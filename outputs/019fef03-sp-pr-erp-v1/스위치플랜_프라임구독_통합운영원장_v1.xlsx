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f622d8568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관리판" sheetId="1" r:id="R2d8fbe0099b146ca"/>
    <x:sheet xmlns:r="http://schemas.openxmlformats.org/officeDocument/2006/relationships" name="차량현황" sheetId="2" r:id="R9f8400b6af4446f2"/>
    <x:sheet xmlns:r="http://schemas.openxmlformats.org/officeDocument/2006/relationships" name="계약이력" sheetId="3" r:id="R7e1c81e285fb4712"/>
    <x:sheet xmlns:r="http://schemas.openxmlformats.org/officeDocument/2006/relationships" name="수납스케줄" sheetId="4" r:id="R18d478604d444834"/>
    <x:sheet xmlns:r="http://schemas.openxmlformats.org/officeDocument/2006/relationships" name="보험점검" sheetId="5" r:id="Rb59c079808da4c71"/>
    <x:sheet xmlns:r="http://schemas.openxmlformats.org/officeDocument/2006/relationships" name="회수관리" sheetId="6" r:id="R66bcf7225b4b4f16"/>
    <x:sheet xmlns:r="http://schemas.openxmlformats.org/officeDocument/2006/relationships" name="자산이력" sheetId="7" r:id="Ra33fe57d0dc74374"/>
    <x:sheet xmlns:r="http://schemas.openxmlformats.org/officeDocument/2006/relationships" name="확인필요" sheetId="8" r:id="R82686c5e236640a0"/>
    <x:sheet xmlns:r="http://schemas.openxmlformats.org/officeDocument/2006/relationships" name="차량이벤트" sheetId="9" r:id="R30cb79882a3541aa"/>
    <x:sheet xmlns:r="http://schemas.openxmlformats.org/officeDocument/2006/relationships" name="입금원장" sheetId="10" r:id="Rd33f3f20cccd44b0"/>
    <x:sheet xmlns:r="http://schemas.openxmlformats.org/officeDocument/2006/relationships" name="입금배분" sheetId="11" r:id="Rc4286b539bb24382"/>
    <x:sheet xmlns:r="http://schemas.openxmlformats.org/officeDocument/2006/relationships" name="원본출처" sheetId="12" r:id="R929ff1d092b644c7"/>
    <x:sheet xmlns:r="http://schemas.openxmlformats.org/officeDocument/2006/relationships" name="코드" sheetId="13" r:id="R8bf6615cd6fc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%"/>
    <x:numFmt numFmtId="202" formatCode="#,##0;[Red]-#,##0"/>
    <x:numFmt numFmtId="203" formatCode="#,##0"/>
  </x:numFmts>
  <x:fonts count="7">
    <x:font>
      <x:sz val="11"/>
      <x:name val="Carlito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1"/>
      <x:color rgb="FF17211F"/>
      <x:name val="Arial"/>
    </x:font>
    <x:font>
      <x:b/>
      <x:sz val="11"/>
      <x:color rgb="FF17211F"/>
      <x:name val="Arial"/>
    </x:font>
    <x:font>
      <x:sz val="10"/>
      <x:color rgb="FF17211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F3A"/>
      </x:patternFill>
    </x:fill>
    <x:fill>
      <x:patternFill patternType="solid">
        <x:fgColor rgb="FFF4F7F6"/>
      </x:patternFill>
    </x:fill>
  </x:fills>
  <x:borders count="4">
    <x:border/>
    <x:border>
      <x:left style="thin">
        <x:color rgb="FFD7DFDC"/>
      </x:left>
      <x:right style="thin">
        <x:color rgb="FFD7DFDC"/>
      </x:right>
      <x:top style="thin">
        <x:color rgb="FFD7DFDC"/>
      </x:top>
      <x:bottom style="thin">
        <x:color rgb="FFD7DFDC"/>
      </x:bottom>
    </x:border>
    <x:border>
      <x:left style="thin">
        <x:color rgb="FFD7DFDC"/>
      </x:left>
      <x:right style="thin">
        <x:color rgb="FFD7DFDC"/>
      </x:right>
      <x:top style="thin">
        <x:color rgb="FFD7DFDC"/>
      </x:top>
      <x:bottom style="double">
        <x:color rgb="FF123F3A"/>
      </x:bottom>
    </x:border>
    <x:border>
      <x:left style="thin">
        <x:color rgb="FF123F3A"/>
      </x:left>
      <x:right style="thin">
        <x:color rgb="FF123F3A"/>
      </x:right>
      <x:top style="thin">
        <x:color rgb="FF123F3A"/>
      </x:top>
      <x:bottom style="thin">
        <x:color rgb="FF123F3A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4" fillId="3" borderId="2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3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A15C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A15C00"/>
      </x:font>
      <x:fill>
        <x:patternFill patternType="solid">
          <x:bgColor rgb="FFFFF3D6"/>
        </x:patternFill>
      </x:fill>
    </x:dxf>
    <x:dxf>
      <x:font>
        <x:b/>
        <x:color rgb="FFA15C00"/>
      </x:font>
      <x:fill>
        <x:patternFill patternType="solid">
          <x:bgColor rgb="FFFFF3D6"/>
        </x:patternFill>
      </x:fill>
    </x:dxf>
    <x:dxf>
      <x:font>
        <x:b/>
        <x:color rgb="FFA15C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A15C00"/>
      </x:font>
      <x:fill>
        <x:patternFill patternType="solid">
          <x:bgColor rgb="FFFFF3D6"/>
        </x:patternFill>
      </x:fill>
    </x:dxf>
    <x:dxf>
      <x:font>
        <x:b/>
        <x:color rgb="FFA15C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A15C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d6b91ff274c9e" /><Relationship Type="http://schemas.openxmlformats.org/officeDocument/2006/relationships/theme" Target="/xl/theme/theme1.xml" Id="R0c3d2465ee044f0f" /><Relationship Type="http://schemas.openxmlformats.org/officeDocument/2006/relationships/sharedStrings" Target="/xl/sharedStrings.xml" Id="R51e1be1d661141e0" /><Relationship Type="http://schemas.openxmlformats.org/officeDocument/2006/relationships/worksheet" Target="/xl/worksheets/sheet1.xml" Id="R2d8fbe0099b146ca" /><Relationship Type="http://schemas.openxmlformats.org/officeDocument/2006/relationships/worksheet" Target="/xl/worksheets/sheet2.xml" Id="R9f8400b6af4446f2" /><Relationship Type="http://schemas.openxmlformats.org/officeDocument/2006/relationships/worksheet" Target="/xl/worksheets/sheet3.xml" Id="R7e1c81e285fb4712" /><Relationship Type="http://schemas.openxmlformats.org/officeDocument/2006/relationships/worksheet" Target="/xl/worksheets/sheet4.xml" Id="R18d478604d444834" /><Relationship Type="http://schemas.openxmlformats.org/officeDocument/2006/relationships/worksheet" Target="/xl/worksheets/sheet5.xml" Id="Rb59c079808da4c71" /><Relationship Type="http://schemas.openxmlformats.org/officeDocument/2006/relationships/worksheet" Target="/xl/worksheets/sheet6.xml" Id="R66bcf7225b4b4f16" /><Relationship Type="http://schemas.openxmlformats.org/officeDocument/2006/relationships/worksheet" Target="/xl/worksheets/sheet7.xml" Id="Ra33fe57d0dc74374" /><Relationship Type="http://schemas.openxmlformats.org/officeDocument/2006/relationships/worksheet" Target="/xl/worksheets/sheet8.xml" Id="R82686c5e236640a0" /><Relationship Type="http://schemas.openxmlformats.org/officeDocument/2006/relationships/worksheet" Target="/xl/worksheets/sheet9.xml" Id="R30cb79882a3541aa" /><Relationship Type="http://schemas.openxmlformats.org/officeDocument/2006/relationships/worksheet" Target="/xl/worksheets/sheet10.xml" Id="Rd33f3f20cccd44b0" /><Relationship Type="http://schemas.openxmlformats.org/officeDocument/2006/relationships/worksheet" Target="/xl/worksheets/sheet11.xml" Id="Rc4286b539bb24382" /><Relationship Type="http://schemas.openxmlformats.org/officeDocument/2006/relationships/worksheet" Target="/xl/worksheets/sheet12.xml" Id="R929ff1d092b644c7" /><Relationship Type="http://schemas.openxmlformats.org/officeDocument/2006/relationships/worksheet" Target="/xl/worksheets/sheet13.xml" Id="R8bf6615cd6fc4d6f" /></Relationships>
</file>

<file path=xl/tables/table1.xml><?xml version="1.0" encoding="utf-8"?>
<x:table xmlns:x="http://schemas.openxmlformats.org/spreadsheetml/2006/main" id="1" name="VehicleCurrentTable" displayName="VehicleCurrentTable" ref="A1:AA294" headerRowCount="1" totalsRowCount="0" totalsRowShown="0">
  <x:autoFilter ref="A1:AA294"/>
  <x:tableColumns count="27">
    <x:tableColumn id="1" name="법인"/>
    <x:tableColumn id="2" name="차량번호"/>
    <x:tableColumn id="3" name="보유상태"/>
    <x:tableColumn id="4" name="운행상태"/>
    <x:tableColumn id="5" name="상태시작일"/>
    <x:tableColumn id="6" name="휴차일수"/>
    <x:tableColumn id="7" name="현재고객"/>
    <x:tableColumn id="8" name="계약ID"/>
    <x:tableColumn id="9" name="계약시작일"/>
    <x:tableColumn id="10" name="계약종료일"/>
    <x:tableColumn id="11" name="결제일"/>
    <x:tableColumn id="12" name="월대여료"/>
    <x:tableColumn id="13" name="미수건수"/>
    <x:tableColumn id="14" name="미수금액"/>
    <x:tableColumn id="15" name="연체일수"/>
    <x:tableColumn id="16" name="회수단계"/>
    <x:tableColumn id="17" name="계약연령"/>
    <x:tableColumn id="18" name="보험연령"/>
    <x:tableColumn id="19" name="연령점검"/>
    <x:tableColumn id="20" name="보험만기"/>
    <x:tableColumn id="21" name="보험점검"/>
    <x:tableColumn id="22" name="소재지"/>
    <x:tableColumn id="23" name="GPS"/>
    <x:tableColumn id="24" name="계약서"/>
    <x:tableColumn id="25" name="다음업무"/>
    <x:tableColumn id="26" name="담당자"/>
    <x:tableColumn id="27" name="확인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actHistoryTable" displayName="ContractHistoryTable" ref="A1:U646" headerRowCount="1" totalsRowCount="0" totalsRowShown="0">
  <x:autoFilter ref="A1:U646"/>
  <x:tableColumns count="21">
    <x:tableColumn id="1" name="계약ID"/>
    <x:tableColumn id="2" name="법인"/>
    <x:tableColumn id="3" name="차량번호"/>
    <x:tableColumn id="4" name="순번"/>
    <x:tableColumn id="5" name="계약상태"/>
    <x:tableColumn id="6" name="계약구분"/>
    <x:tableColumn id="7" name="고객명"/>
    <x:tableColumn id="8" name="시작일"/>
    <x:tableColumn id="9" name="종료일"/>
    <x:tableColumn id="10" name="반납일"/>
    <x:tableColumn id="11" name="월대여료"/>
    <x:tableColumn id="12" name="보증금"/>
    <x:tableColumn id="13" name="결제일"/>
    <x:tableColumn id="14" name="계약최저연령"/>
    <x:tableColumn id="15" name="보험사"/>
    <x:tableColumn id="16" name="영업자"/>
    <x:tableColumn id="17" name="계약서상태"/>
    <x:tableColumn id="18" name="계약서링크"/>
    <x:tableColumn id="19" name="원본행"/>
    <x:tableColumn id="20" name="확인상태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llingScheduleTable" displayName="BillingScheduleTable" ref="A1:O3459" headerRowCount="1" totalsRowCount="0" totalsRowShown="0">
  <x:autoFilter ref="A1:O3459"/>
  <x:tableColumns count="15">
    <x:tableColumn id="1" name="청구ID"/>
    <x:tableColumn id="2" name="법인"/>
    <x:tableColumn id="3" name="계약ID"/>
    <x:tableColumn id="4" name="차량번호"/>
    <x:tableColumn id="5" name="고객명"/>
    <x:tableColumn id="6" name="청구월"/>
    <x:tableColumn id="7" name="납기일"/>
    <x:tableColumn id="8" name="청구금액"/>
    <x:tableColumn id="9" name="결제금액"/>
    <x:tableColumn id="10" name="미납금액"/>
    <x:tableColumn id="11" name="결제일자"/>
    <x:tableColumn id="12" name="결제수단"/>
    <x:tableColumn id="13" name="연체일수"/>
    <x:tableColumn id="14" name="상태"/>
    <x:tableColumn id="15" name="원본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uranceCheckTable" displayName="InsuranceCheckTable" ref="A1:P294" headerRowCount="1" totalsRowCount="0" totalsRowShown="0">
  <x:autoFilter ref="A1:P294"/>
  <x:tableColumns count="16">
    <x:tableColumn id="1" name="보험ID"/>
    <x:tableColumn id="2" name="법인"/>
    <x:tableColumn id="3" name="차량번호"/>
    <x:tableColumn id="4" name="보험사"/>
    <x:tableColumn id="5" name="증권번호"/>
    <x:tableColumn id="6" name="시작일"/>
    <x:tableColumn id="7" name="만기일"/>
    <x:tableColumn id="8" name="보험최저연령"/>
    <x:tableColumn id="9" name="계약최저연령"/>
    <x:tableColumn id="10" name="연령점검"/>
    <x:tableColumn id="11" name="가입상태"/>
    <x:tableColumn id="12" name="계약고객"/>
    <x:tableColumn id="13" name="추가운전자"/>
    <x:tableColumn id="14" name="보험증빙링크"/>
    <x:tableColumn id="15" name="확인상태"/>
    <x:tableColumn id="16" name="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veryWorkTable" displayName="RecoveryWorkTable" ref="A1:V112" headerRowCount="1" totalsRowCount="0" totalsRowShown="0">
  <x:autoFilter ref="A1:V112"/>
  <x:tableColumns count="22">
    <x:tableColumn id="1" name="회수ID"/>
    <x:tableColumn id="2" name="법인"/>
    <x:tableColumn id="3" name="차량번호"/>
    <x:tableColumn id="4" name="계약ID"/>
    <x:tableColumn id="5" name="고객명"/>
    <x:tableColumn id="6" name="미수건수"/>
    <x:tableColumn id="7" name="미수금액"/>
    <x:tableColumn id="8" name="최초미납일"/>
    <x:tableColumn id="9" name="연체일수"/>
    <x:tableColumn id="10" name="계약회수요건"/>
    <x:tableColumn id="11" name="독촉상태"/>
    <x:tableColumn id="12" name="내용증명일"/>
    <x:tableColumn id="13" name="보험상태"/>
    <x:tableColumn id="14" name="차량위치"/>
    <x:tableColumn id="15" name="GPS"/>
    <x:tableColumn id="16" name="시동제어"/>
    <x:tableColumn id="17" name="승인상태"/>
    <x:tableColumn id="18" name="담당자"/>
    <x:tableColumn id="19" name="다음조치"/>
    <x:tableColumn id="20" name="기한"/>
    <x:tableColumn id="21" name="완료일"/>
    <x:tableColumn id="22" name="증빙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etHistoryTable" displayName="AssetHistoryTable" ref="A1:AN377" headerRowCount="1" totalsRowCount="0" totalsRowShown="0">
  <x:autoFilter ref="A1:AN377"/>
  <x:tableColumns count="40">
    <x:tableColumn id="1" name="법인"/>
    <x:tableColumn id="2" name="차량번호"/>
    <x:tableColumn id="3" name="보유상태"/>
    <x:tableColumn id="4" name="제조사"/>
    <x:tableColumn id="5" name="모델"/>
    <x:tableColumn id="6" name="세부모델"/>
    <x:tableColumn id="7" name="파워트레인"/>
    <x:tableColumn id="8" name="연료"/>
    <x:tableColumn id="9" name="배기량"/>
    <x:tableColumn id="10" name="연식"/>
    <x:tableColumn id="11" name="차대번호"/>
    <x:tableColumn id="12" name="등록지"/>
    <x:tableColumn id="13" name="최초등록일"/>
    <x:tableColumn id="14" name="주행거리"/>
    <x:tableColumn id="15" name="취득일"/>
    <x:tableColumn id="16" name="소비자가격"/>
    <x:tableColumn id="17" name="차량가격"/>
    <x:tableColumn id="18" name="실제구입가격"/>
    <x:tableColumn id="19" name="구입처"/>
    <x:tableColumn id="20" name="상품화비용"/>
    <x:tableColumn id="21" name="취득가격"/>
    <x:tableColumn id="22" name="할부유형"/>
    <x:tableColumn id="23" name="할부사"/>
    <x:tableColumn id="24" name="할부원금"/>
    <x:tableColumn id="25" name="금리"/>
    <x:tableColumn id="26" name="할부기간"/>
    <x:tableColumn id="27" name="결제일"/>
    <x:tableColumn id="28" name="실행일"/>
    <x:tableColumn id="29" name="만기일"/>
    <x:tableColumn id="30" name="월납입액"/>
    <x:tableColumn id="31" name="잔여원금"/>
    <x:tableColumn id="32" name="GPS"/>
    <x:tableColumn id="33" name="단말기"/>
    <x:tableColumn id="34" name="매각일"/>
    <x:tableColumn id="35" name="매각처"/>
    <x:tableColumn id="36" name="매각방법"/>
    <x:tableColumn id="37" name="매각금액"/>
    <x:tableColumn id="38" name="손익"/>
    <x:tableColumn id="39" name="증빙비고"/>
    <x:tableColumn id="40" name="원본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orkQueueTable" displayName="WorkQueueTable" ref="A1:L723" headerRowCount="1" totalsRowCount="0" totalsRowShown="0">
  <x:autoFilter ref="A1:L723"/>
  <x:tableColumns count="12">
    <x:tableColumn id="1" name="업무ID"/>
    <x:tableColumn id="2" name="법인"/>
    <x:tableColumn id="3" name="차량번호"/>
    <x:tableColumn id="4" name="우선순위"/>
    <x:tableColumn id="5" name="업무유형"/>
    <x:tableColumn id="6" name="내용"/>
    <x:tableColumn id="7" name="담당자"/>
    <x:tableColumn id="8" name="기한"/>
    <x:tableColumn id="9" name="상태"/>
    <x:tableColumn id="10" name="완료일"/>
    <x:tableColumn id="11" name="관련ID"/>
    <x:tableColumn id="12" name="원본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ehicleEventTable" displayName="VehicleEventTable" ref="A1:N1061" headerRowCount="1" totalsRowCount="0" totalsRowShown="0">
  <x:autoFilter ref="A1:N1061"/>
  <x:tableColumns count="14">
    <x:tableColumn id="1" name="이벤트ID"/>
    <x:tableColumn id="2" name="법인"/>
    <x:tableColumn id="3" name="차량번호"/>
    <x:tableColumn id="4" name="발생일시"/>
    <x:tableColumn id="5" name="유형"/>
    <x:tableColumn id="6" name="상태전"/>
    <x:tableColumn id="7" name="상태후"/>
    <x:tableColumn id="8" name="금액"/>
    <x:tableColumn id="9" name="계약ID"/>
    <x:tableColumn id="10" name="상대방"/>
    <x:tableColumn id="11" name="내용"/>
    <x:tableColumn id="12" name="증빙링크"/>
    <x:tableColumn id="13" name="담당자"/>
    <x:tableColumn id="14" name="완료일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positLedgerTable" displayName="DepositLedgerTable" ref="A1:J2" headerRowCount="1" totalsRowCount="0" totalsRowShown="0">
  <x:autoFilter ref="A1:J2"/>
  <x:tableColumns count="10">
    <x:tableColumn id="1" name="입금ID"/>
    <x:tableColumn id="2" name="법인"/>
    <x:tableColumn id="3" name="거래일"/>
    <x:tableColumn id="4" name="금액"/>
    <x:tableColumn id="5" name="입금자"/>
    <x:tableColumn id="6" name="수단"/>
    <x:tableColumn id="7" name="계좌"/>
    <x:tableColumn id="8" name="원본거래ID"/>
    <x:tableColumn id="9" name="확인상태"/>
    <x:tableColumn id="10" name="비고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positAllocationTable" displayName="DepositAllocationTable" ref="A1:G2" headerRowCount="1" totalsRowCount="0" totalsRowShown="0">
  <x:autoFilter ref="A1:G2"/>
  <x:tableColumns count="7">
    <x:tableColumn id="1" name="배분ID"/>
    <x:tableColumn id="2" name="입금ID"/>
    <x:tableColumn id="3" name="청구ID"/>
    <x:tableColumn id="4" name="배분금액"/>
    <x:tableColumn id="5" name="처리자"/>
    <x:tableColumn id="6" name="처리일"/>
    <x:tableColumn id="7" name="비고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RegisterTable" displayName="SourceRegisterTable" ref="A1:E6" headerRowCount="1" totalsRowCount="0" totalsRowShown="0">
  <x:autoFilter ref="A1:E6"/>
  <x:tableColumns count="5">
    <x:tableColumn id="1" name="법인"/>
    <x:tableColumn id="2" name="구분"/>
    <x:tableColumn id="3" name="문서명"/>
    <x:tableColumn id="4" name="URL"/>
    <x:tableColumn id="5" name="사용범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3b2098b3c34a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92e73dea9946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54316f250d41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3e3020dd6c4e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ddfd4dab574d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3003f5a97340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7607caa44547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b1809fe8d04f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4c97880ba864f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1d673557cc643f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c433675688640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6.25" hidden="0" customWidth="1"/>
    <x:col min="8" max="8" width="13.75" hidden="0" customWidth="1"/>
    <x:col min="9" max="9" width="13.75" hidden="0" customWidth="1"/>
  </x:cols>
  <x:sheetData>
    <x:row r="1" ht="31.5" customHeight="1">
      <x:c r="A1" s="3" t="str">
        <x:v>스위치플랜 · 프라임구독 운영 관리판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기준일</x:v>
      </x:c>
      <x:c r="B2" s="4" t="n">
        <x:f>TODAY()</x:f>
        <x:v>46249</x:v>
      </x:c>
    </x:row>
    <x:row r="4">
      <x:c r="A4" s="7" t="str">
        <x:v>법인</x:v>
      </x:c>
      <x:c r="B4" s="7" t="str">
        <x:v>현재 보유</x:v>
      </x:c>
      <x:c r="C4" s="7" t="str">
        <x:v>대여중</x:v>
      </x:c>
      <x:c r="D4" s="7" t="str">
        <x:v>쉬는차</x:v>
      </x:c>
      <x:c r="E4" s="7" t="str">
        <x:v>가동률</x:v>
      </x:c>
      <x:c r="F4" s="7" t="str">
        <x:v>미수 차량</x:v>
      </x:c>
      <x:c r="G4" s="7" t="str">
        <x:v>미수 금액</x:v>
      </x:c>
      <x:c r="H4" s="7" t="str">
        <x:v>회수 검토</x:v>
      </x:c>
      <x:c r="I4" s="7" t="str">
        <x:v>확인 필요</x:v>
      </x:c>
    </x:row>
    <x:row r="5">
      <x:c r="A5" s="10" t="str">
        <x:v>스위치플랜</x:v>
      </x:c>
      <x:c r="B5" s="10" t="n">
        <x:f>COUNTIFS('차량현황'!$A$2:$A$500,$A5,'차량현황'!$C$2:$C$500,"현재보유")</x:f>
        <x:v>109</x:v>
      </x:c>
      <x:c r="C5" s="10" t="n">
        <x:f>COUNTIFS('차량현황'!$A$2:$A$500,$A5,'차량현황'!$D$2:$D$500,"대여중")</x:f>
        <x:v>98</x:v>
      </x:c>
      <x:c r="D5" s="10" t="n">
        <x:f>COUNTIFS('차량현황'!$A$2:$A$500,$A5,'차량현황'!$D$2:$D$500,"쉬는차")</x:f>
        <x:v>1</x:v>
      </x:c>
      <x:c r="E5" s="14" t="n">
        <x:f>IFERROR(C5/B5,0)</x:f>
        <x:v>0.8990825688073395</x:v>
      </x:c>
      <x:c r="F5" s="10" t="n">
        <x:f>COUNTIFS('차량현황'!$A$2:$A$500,$A5,'차량현황'!$N$2:$N$500,"&gt;0")</x:f>
        <x:v>68</x:v>
      </x:c>
      <x:c r="G5" s="16" t="n">
        <x:f>SUMIFS('차량현황'!$N$2:$N$500,'차량현황'!$A$2:$A$500,$A5,'차량현황'!$N$2:$N$500,"&gt;0")</x:f>
        <x:v>73517800</x:v>
      </x:c>
      <x:c r="H5" s="10" t="n">
        <x:f>COUNTIFS('차량현황'!$A$2:$A$500,$A5,'차량현황'!$P$2:$P$500,"*회수*")</x:f>
        <x:v>0</x:v>
      </x:c>
      <x:c r="I5" s="10" t="n">
        <x:f>COUNTIFS('확인필요'!$B$2:$B$1000,$A5,'확인필요'!$I$2:$I$1000,"&lt;&gt;완료")</x:f>
        <x:v>268</x:v>
      </x:c>
    </x:row>
    <x:row r="6">
      <x:c r="A6" s="10" t="str">
        <x:v>프라임구독</x:v>
      </x:c>
      <x:c r="B6" s="10" t="n">
        <x:f>COUNTIFS('차량현황'!$A$2:$A$500,$A6,'차량현황'!$C$2:$C$500,"현재보유")</x:f>
        <x:v>184</x:v>
      </x:c>
      <x:c r="C6" s="10" t="n">
        <x:f>COUNTIFS('차량현황'!$A$2:$A$500,$A6,'차량현황'!$D$2:$D$500,"대여중")</x:f>
        <x:v>42</x:v>
      </x:c>
      <x:c r="D6" s="10" t="n">
        <x:f>COUNTIFS('차량현황'!$A$2:$A$500,$A6,'차량현황'!$D$2:$D$500,"쉬는차")</x:f>
        <x:v>142</x:v>
      </x:c>
      <x:c r="E6" s="14" t="n">
        <x:f>IFERROR(C6/B6,0)</x:f>
        <x:v>0.22826086956521738</x:v>
      </x:c>
      <x:c r="F6" s="10" t="n">
        <x:f>COUNTIFS('차량현황'!$A$2:$A$500,$A6,'차량현황'!$N$2:$N$500,"&gt;0")</x:f>
        <x:v>40</x:v>
      </x:c>
      <x:c r="G6" s="16" t="n">
        <x:f>SUMIFS('차량현황'!$N$2:$N$500,'차량현황'!$A$2:$A$500,$A6,'차량현황'!$N$2:$N$500,"&gt;0")</x:f>
        <x:v>145299020</x:v>
      </x:c>
      <x:c r="H6" s="10" t="n">
        <x:f>COUNTIFS('차량현황'!$A$2:$A$500,$A6,'차량현황'!$P$2:$P$500,"*회수*")</x:f>
        <x:v>0</x:v>
      </x:c>
      <x:c r="I6" s="10" t="n">
        <x:f>COUNTIFS('확인필요'!$B$2:$B$1000,$A6,'확인필요'!$I$2:$I$1000,"&lt;&gt;완료")</x:f>
        <x:v>454</x:v>
      </x:c>
    </x:row>
    <x:row r="7">
      <x:c r="A7" s="13" t="str">
        <x:v>합계</x:v>
      </x:c>
      <x:c r="B7" s="13" t="n">
        <x:f>SUM(B5:B6)</x:f>
        <x:v>293</x:v>
      </x:c>
      <x:c r="C7" s="13" t="n">
        <x:f>SUM(C5:C6)</x:f>
        <x:v>140</x:v>
      </x:c>
      <x:c r="D7" s="13" t="n">
        <x:f>SUM(D5:D6)</x:f>
        <x:v>143</x:v>
      </x:c>
      <x:c r="E7" s="15" t="n">
        <x:f>IFERROR(C7/B7,0)</x:f>
        <x:v>0.4778156996587031</x:v>
      </x:c>
      <x:c r="F7" s="13" t="n">
        <x:f>SUM(F5:F6)</x:f>
        <x:v>108</x:v>
      </x:c>
      <x:c r="G7" s="17" t="n">
        <x:f>SUM(G5:G6)</x:f>
        <x:v>218816820</x:v>
      </x:c>
      <x:c r="H7" s="13" t="n">
        <x:f>SUM(H5:H6)</x:f>
        <x:v>0</x:v>
      </x:c>
      <x:c r="I7" s="13" t="n">
        <x:f>SUM(I5:I6)</x:f>
        <x:v>722</x:v>
      </x:c>
    </x:row>
    <x:row r="10">
      <x:c r="A10" s="7" t="str">
        <x:v>업무 순서</x:v>
      </x:c>
      <x:c r="B10" s="7" t="str">
        <x:v>1</x:v>
      </x:c>
      <x:c r="C10" s="7" t="str">
        <x:v>2</x:v>
      </x:c>
      <x:c r="D10" s="7" t="str">
        <x:v>3</x:v>
      </x:c>
      <x:c r="E10" s="7" t="str">
        <x:v>4</x:v>
      </x:c>
    </x:row>
    <x:row r="11">
      <x:c r="A11" s="21" t="str"/>
      <x:c r="B11" s="21" t="str">
        <x:v>계약·보험 불일치</x:v>
      </x:c>
      <x:c r="C11" s="21" t="str">
        <x:v>미수·회수</x:v>
      </x:c>
      <x:c r="D11" s="21" t="str">
        <x:v>쉬는차</x:v>
      </x:c>
      <x:c r="E11" s="21" t="str">
        <x:v>입금 배분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1.5" hidden="0" customWidth="1"/>
    <x:col min="3" max="3" width="10.630000114440918" hidden="0" customWidth="1"/>
    <x:col min="4" max="4" width="11.25" hidden="0" customWidth="1"/>
    <x:col min="5" max="5" width="11.25" hidden="0" customWidth="1"/>
    <x:col min="6" max="6" width="9.380000114440918" hidden="0" customWidth="1"/>
    <x:col min="7" max="7" width="11.880000114440918" hidden="0" customWidth="1"/>
    <x:col min="8" max="8" width="23.1299991607666" hidden="0" customWidth="1"/>
    <x:col min="9" max="9" width="11.25" hidden="0" customWidth="1"/>
    <x:col min="10" max="10" width="11.25" hidden="0" customWidth="1"/>
    <x:col min="11" max="11" width="8.75" hidden="0" customWidth="1"/>
    <x:col min="12" max="12" width="11.25" hidden="0" customWidth="1"/>
    <x:col min="13" max="13" width="9.380000114440918" hidden="0" customWidth="1"/>
    <x:col min="14" max="14" width="12.5" hidden="0" customWidth="1"/>
    <x:col min="15" max="15" width="9.380000114440918" hidden="0" customWidth="1"/>
    <x:col min="16" max="16" width="15.630000114440918" hidden="0" customWidth="1"/>
    <x:col min="17" max="17" width="9.380000114440918" hidden="0" customWidth="1"/>
    <x:col min="18" max="18" width="9.380000114440918" hidden="0" customWidth="1"/>
    <x:col min="19" max="19" width="15.630000114440918" hidden="0" customWidth="1"/>
    <x:col min="20" max="20" width="11.25" hidden="0" customWidth="1"/>
    <x:col min="21" max="21" width="16.25" hidden="0" customWidth="1"/>
    <x:col min="22" max="22" width="15.630000114440918" hidden="0" customWidth="1"/>
    <x:col min="23" max="23" width="11.25" hidden="0" customWidth="1"/>
    <x:col min="24" max="24" width="9.380000114440918" hidden="0" customWidth="1"/>
    <x:col min="25" max="25" width="16.25" hidden="0" customWidth="1"/>
    <x:col min="26" max="26" width="10" hidden="0" customWidth="1"/>
    <x:col min="27" max="27" width="15" hidden="0" customWidth="1"/>
  </x:cols>
  <x:sheetData>
    <x:row r="1" ht="25.5" customHeight="1">
      <x:c r="A1" s="29" t="str">
        <x:v>법인</x:v>
      </x:c>
      <x:c r="B1" s="29" t="str">
        <x:v>차량번호</x:v>
      </x:c>
      <x:c r="C1" s="29" t="str">
        <x:v>보유상태</x:v>
      </x:c>
      <x:c r="D1" s="29" t="str">
        <x:v>운행상태</x:v>
      </x:c>
      <x:c r="E1" s="29" t="str">
        <x:v>상태시작일</x:v>
      </x:c>
      <x:c r="F1" s="29" t="str">
        <x:v>휴차일수</x:v>
      </x:c>
      <x:c r="G1" s="29" t="str">
        <x:v>현재고객</x:v>
      </x:c>
      <x:c r="H1" s="29" t="str">
        <x:v>계약ID</x:v>
      </x:c>
      <x:c r="I1" s="29" t="str">
        <x:v>계약시작일</x:v>
      </x:c>
      <x:c r="J1" s="29" t="str">
        <x:v>계약종료일</x:v>
      </x:c>
      <x:c r="K1" s="29" t="str">
        <x:v>결제일</x:v>
      </x:c>
      <x:c r="L1" s="29" t="str">
        <x:v>월대여료</x:v>
      </x:c>
      <x:c r="M1" s="29" t="str">
        <x:v>미수건수</x:v>
      </x:c>
      <x:c r="N1" s="29" t="str">
        <x:v>미수금액</x:v>
      </x:c>
      <x:c r="O1" s="29" t="str">
        <x:v>연체일수</x:v>
      </x:c>
      <x:c r="P1" s="29" t="str">
        <x:v>회수단계</x:v>
      </x:c>
      <x:c r="Q1" s="29" t="str">
        <x:v>계약연령</x:v>
      </x:c>
      <x:c r="R1" s="29" t="str">
        <x:v>보험연령</x:v>
      </x:c>
      <x:c r="S1" s="29" t="str">
        <x:v>연령점검</x:v>
      </x:c>
      <x:c r="T1" s="29" t="str">
        <x:v>보험만기</x:v>
      </x:c>
      <x:c r="U1" s="29" t="str">
        <x:v>보험점검</x:v>
      </x:c>
      <x:c r="V1" s="29" t="str">
        <x:v>소재지</x:v>
      </x:c>
      <x:c r="W1" s="29" t="str">
        <x:v>GPS</x:v>
      </x:c>
      <x:c r="X1" s="29" t="str">
        <x:v>계약서</x:v>
      </x:c>
      <x:c r="Y1" s="29" t="str">
        <x:v>다음업무</x:v>
      </x:c>
      <x:c r="Z1" s="29" t="str">
        <x:v>담당자</x:v>
      </x:c>
      <x:c r="AA1" s="29" t="str">
        <x:v>확인상태</x:v>
      </x:c>
    </x:row>
    <x:row r="2" ht="17.25" customHeight="1">
      <x:c r="A2" s="24" t="str">
        <x:v>스위치플랜</x:v>
      </x:c>
      <x:c r="B2" s="24" t="str">
        <x:v>16부2718</x:v>
      </x:c>
      <x:c r="C2" s="24" t="str">
        <x:v>현재보유</x:v>
      </x:c>
      <x:c r="D2" s="24" t="str">
        <x:v>대여중</x:v>
      </x:c>
      <x:c r="E2" s="30"/>
      <x:c r="F2" s="31" t="str">
        <x:f>IF(AND(D2="쉬는차",E2&lt;&gt;""),TODAY()-E2,"")</x:f>
      </x:c>
      <x:c r="G2" s="24" t="str">
        <x:v>김근하</x:v>
      </x:c>
      <x:c r="H2" s="24" t="str">
        <x:v>SW-C-16부2718-1-20260211-3</x:v>
      </x:c>
      <x:c r="I2" s="30" t="n">
        <x:v>46064</x:v>
      </x:c>
      <x:c r="J2" s="30" t="n">
        <x:v>47159</x:v>
      </x:c>
      <x:c r="K2" s="24" t="str">
        <x:v>10일</x:v>
      </x:c>
      <x:c r="L2" s="32" t="n">
        <x:v>390000</x:v>
      </x:c>
      <x:c r="M2" s="31" t="n">
        <x:v>0</x:v>
      </x:c>
      <x:c r="N2" s="32" t="n">
        <x:v>0</x:v>
      </x:c>
      <x:c r="O2" s="31" t="n">
        <x:v>0</x:v>
      </x:c>
      <x:c r="P2" s="24" t="str"/>
      <x:c r="Q2" s="24" t="str">
        <x:v>개인</x:v>
      </x:c>
      <x:c r="R2" s="24" t="str"/>
      <x:c r="S2" s="24" t="str">
        <x:f>IF(Q2="","계약연령 미입력",IFERROR(IF(R2="","보험연령 미입력",IF(VALUE(R2)=VALUE(Q2),"정상",IF(VALUE(R2)&gt;VALUE(Q2),"보장 불일치","과보장 점검"))),"계약연령 형식확인"))</x:f>
        <x:v>보험연령 미입력</x:v>
      </x:c>
      <x:c r="T2" s="30"/>
      <x:c r="U2" s="24" t="str">
        <x:f>IF(T2="","보험 자료 없음",IF(T2&lt;TODAY(),"만기 자료 갱신 필요","정상"))</x:f>
        <x:v>보험 자료 없음</x:v>
      </x:c>
      <x:c r="V2" s="24" t="str"/>
      <x:c r="W2" s="24" t="str"/>
      <x:c r="X2" s="24" t="str">
        <x:v>있음</x:v>
      </x:c>
      <x:c r="Y2" s="24" t="str">
        <x:v>보험 연령 입력</x:v>
      </x:c>
      <x:c r="Z2" s="24" t="str"/>
      <x:c r="AA2" s="24" t="str"/>
    </x:row>
    <x:row r="3" ht="17.25" customHeight="1">
      <x:c r="A3" s="24" t="str">
        <x:v>스위치플랜</x:v>
      </x:c>
      <x:c r="B3" s="24" t="str">
        <x:v>181로2705</x:v>
      </x:c>
      <x:c r="C3" s="24" t="str">
        <x:v>현재보유</x:v>
      </x:c>
      <x:c r="D3" s="24" t="str">
        <x:v>대여중</x:v>
      </x:c>
      <x:c r="E3" s="30"/>
      <x:c r="F3" s="31" t="str">
        <x:f>IF(AND(D3="쉬는차",E3&lt;&gt;""),TODAY()-E3,"")</x:f>
      </x:c>
      <x:c r="G3" s="24" t="str">
        <x:v>김현우</x:v>
      </x:c>
      <x:c r="H3" s="24" t="str">
        <x:v>SW-C-181로2705-1-20241209-4</x:v>
      </x:c>
      <x:c r="I3" s="30" t="n">
        <x:v>45635</x:v>
      </x:c>
      <x:c r="J3" s="30" t="n">
        <x:v>46363</x:v>
      </x:c>
      <x:c r="K3" s="24" t="str">
        <x:v>10일</x:v>
      </x:c>
      <x:c r="L3" s="32" t="n">
        <x:v>1360000</x:v>
      </x:c>
      <x:c r="M3" s="31" t="n">
        <x:v>7</x:v>
      </x:c>
      <x:c r="N3" s="32" t="n">
        <x:v>810000</x:v>
      </x:c>
      <x:c r="O3" s="31" t="n">
        <x:v>0</x:v>
      </x:c>
      <x:c r="P3" s="24" t="str">
        <x:v>독촉 5일 · 만기 임박</x:v>
      </x:c>
      <x:c r="Q3" s="24" t="str">
        <x:v>26</x:v>
      </x:c>
      <x:c r="R3" s="24" t="str"/>
      <x:c r="S3" s="24" t="str">
        <x:f>IF(Q3="","계약연령 미입력",IFERROR(IF(R3="","보험연령 미입력",IF(VALUE(R3)=VALUE(Q3),"정상",IF(VALUE(R3)&gt;VALUE(Q3),"보장 불일치","과보장 점검"))),"계약연령 형식확인"))</x:f>
        <x:v>보험연령 미입력</x:v>
      </x:c>
      <x:c r="T3" s="30"/>
      <x:c r="U3" s="24" t="str">
        <x:f>IF(T3="","보험 자료 없음",IF(T3&lt;TODAY(),"만기 자료 갱신 필요","정상"))</x:f>
        <x:v>보험 자료 없음</x:v>
      </x:c>
      <x:c r="V3" s="24" t="str"/>
      <x:c r="W3" s="24" t="str"/>
      <x:c r="X3" s="24" t="str">
        <x:v>있음</x:v>
      </x:c>
      <x:c r="Y3" s="24" t="str">
        <x:v>미수 확인</x:v>
      </x:c>
      <x:c r="Z3" s="24" t="str"/>
      <x:c r="AA3" s="24" t="str"/>
    </x:row>
    <x:row r="4" ht="17.25" customHeight="1">
      <x:c r="A4" s="24" t="str">
        <x:v>스위치플랜</x:v>
      </x:c>
      <x:c r="B4" s="24" t="str">
        <x:v>03머0389</x:v>
      </x:c>
      <x:c r="C4" s="24" t="str">
        <x:v>현재보유</x:v>
      </x:c>
      <x:c r="D4" s="24" t="str">
        <x:v>대여중</x:v>
      </x:c>
      <x:c r="E4" s="30"/>
      <x:c r="F4" s="31" t="str">
        <x:f>IF(AND(D4="쉬는차",E4&lt;&gt;""),TODAY()-E4,"")</x:f>
      </x:c>
      <x:c r="G4" s="24" t="str">
        <x:v>고욱</x:v>
      </x:c>
      <x:c r="H4" s="24" t="str">
        <x:v>SW-C-03머0389-1-20240104-5</x:v>
      </x:c>
      <x:c r="I4" s="30" t="n">
        <x:v>45295</x:v>
      </x:c>
      <x:c r="J4" s="30" t="n">
        <x:v>46755</x:v>
      </x:c>
      <x:c r="K4" s="24" t="str">
        <x:v>05일</x:v>
      </x:c>
      <x:c r="L4" s="32" t="n">
        <x:v>1030000</x:v>
      </x:c>
      <x:c r="M4" s="31" t="n">
        <x:v>5</x:v>
      </x:c>
      <x:c r="N4" s="32" t="n">
        <x:v>2060000</x:v>
      </x:c>
      <x:c r="O4" s="31" t="n">
        <x:v>0</x:v>
      </x:c>
      <x:c r="P4" s="24" t="str">
        <x:v>회수 판단</x:v>
      </x:c>
      <x:c r="Q4" s="24" t="str">
        <x:v>26</x:v>
      </x:c>
      <x:c r="R4" s="24" t="str"/>
      <x:c r="S4" s="24" t="str">
        <x:f>IF(Q4="","계약연령 미입력",IFERROR(IF(R4="","보험연령 미입력",IF(VALUE(R4)=VALUE(Q4),"정상",IF(VALUE(R4)&gt;VALUE(Q4),"보장 불일치","과보장 점검"))),"계약연령 형식확인"))</x:f>
        <x:v>보험연령 미입력</x:v>
      </x:c>
      <x:c r="T4" s="30"/>
      <x:c r="U4" s="24" t="str">
        <x:f>IF(T4="","보험 자료 없음",IF(T4&lt;TODAY(),"만기 자료 갱신 필요","정상"))</x:f>
        <x:v>보험 자료 없음</x:v>
      </x:c>
      <x:c r="V4" s="24" t="str"/>
      <x:c r="W4" s="24" t="str"/>
      <x:c r="X4" s="24" t="str">
        <x:v>있음</x:v>
      </x:c>
      <x:c r="Y4" s="24" t="str">
        <x:v>회수 검토</x:v>
      </x:c>
      <x:c r="Z4" s="24" t="str"/>
      <x:c r="AA4" s="24" t="str"/>
    </x:row>
    <x:row r="5" ht="17.25" customHeight="1">
      <x:c r="A5" s="24" t="str">
        <x:v>스위치플랜</x:v>
      </x:c>
      <x:c r="B5" s="24" t="str">
        <x:v>117머4942</x:v>
      </x:c>
      <x:c r="C5" s="24" t="str">
        <x:v>현재보유</x:v>
      </x:c>
      <x:c r="D5" s="24" t="str">
        <x:v>대여중</x:v>
      </x:c>
      <x:c r="E5" s="30"/>
      <x:c r="F5" s="31" t="str">
        <x:f>IF(AND(D5="쉬는차",E5&lt;&gt;""),TODAY()-E5,"")</x:f>
      </x:c>
      <x:c r="G5" s="24" t="str">
        <x:v>김지원</x:v>
      </x:c>
      <x:c r="H5" s="24" t="str">
        <x:v>SW-C-117머4942-1-20250623-6</x:v>
      </x:c>
      <x:c r="I5" s="30" t="n">
        <x:v>45831</x:v>
      </x:c>
      <x:c r="J5" s="30" t="n">
        <x:v>47291</x:v>
      </x:c>
      <x:c r="K5" s="24" t="str">
        <x:v>25일</x:v>
      </x:c>
      <x:c r="L5" s="32" t="n">
        <x:v>990000</x:v>
      </x:c>
      <x:c r="M5" s="31" t="n">
        <x:v>8</x:v>
      </x:c>
      <x:c r="N5" s="32" t="n">
        <x:v>990000</x:v>
      </x:c>
      <x:c r="O5" s="31" t="n">
        <x:v>0</x:v>
      </x:c>
      <x:c r="P5" s="24" t="str"/>
      <x:c r="Q5" s="24" t="str">
        <x:v>30</x:v>
      </x:c>
      <x:c r="R5" s="24" t="str"/>
      <x:c r="S5" s="24" t="str">
        <x:f>IF(Q5="","계약연령 미입력",IFERROR(IF(R5="","보험연령 미입력",IF(VALUE(R5)=VALUE(Q5),"정상",IF(VALUE(R5)&gt;VALUE(Q5),"보장 불일치","과보장 점검"))),"계약연령 형식확인"))</x:f>
        <x:v>보험연령 미입력</x:v>
      </x:c>
      <x:c r="T5" s="30"/>
      <x:c r="U5" s="24" t="str">
        <x:f>IF(T5="","보험 자료 없음",IF(T5&lt;TODAY(),"만기 자료 갱신 필요","정상"))</x:f>
        <x:v>보험 자료 없음</x:v>
      </x:c>
      <x:c r="V5" s="24" t="str"/>
      <x:c r="W5" s="24" t="str"/>
      <x:c r="X5" s="24" t="str">
        <x:v>있음</x:v>
      </x:c>
      <x:c r="Y5" s="24" t="str">
        <x:v>미수 확인</x:v>
      </x:c>
      <x:c r="Z5" s="24" t="str"/>
      <x:c r="AA5" s="24" t="str"/>
    </x:row>
    <x:row r="6" ht="17.25" customHeight="1">
      <x:c r="A6" s="24" t="str">
        <x:v>스위치플랜</x:v>
      </x:c>
      <x:c r="B6" s="24" t="str">
        <x:v>19마6497</x:v>
      </x:c>
      <x:c r="C6" s="24" t="str">
        <x:v>현재보유</x:v>
      </x:c>
      <x:c r="D6" s="24" t="str">
        <x:v>대여중</x:v>
      </x:c>
      <x:c r="E6" s="30"/>
      <x:c r="F6" s="31" t="str">
        <x:f>IF(AND(D6="쉬는차",E6&lt;&gt;""),TODAY()-E6,"")</x:f>
      </x:c>
      <x:c r="G6" s="24" t="str">
        <x:v>강권식</x:v>
      </x:c>
      <x:c r="H6" s="24" t="str">
        <x:v>SW-C-19마6497-1-20241211-7</x:v>
      </x:c>
      <x:c r="I6" s="30" t="n">
        <x:v>45637</x:v>
      </x:c>
      <x:c r="J6" s="30" t="n">
        <x:v>47097</x:v>
      </x:c>
      <x:c r="K6" s="24" t="str">
        <x:v>10일</x:v>
      </x:c>
      <x:c r="L6" s="32" t="n">
        <x:v>1080000</x:v>
      </x:c>
      <x:c r="M6" s="31" t="n">
        <x:v>0</x:v>
      </x:c>
      <x:c r="N6" s="32" t="n">
        <x:v>0</x:v>
      </x:c>
      <x:c r="O6" s="31" t="n">
        <x:v>0</x:v>
      </x:c>
      <x:c r="P6" s="24" t="str"/>
      <x:c r="Q6" s="24" t="str">
        <x:v>35</x:v>
      </x:c>
      <x:c r="R6" s="24" t="str"/>
      <x:c r="S6" s="24" t="str">
        <x:f>IF(Q6="","계약연령 미입력",IFERROR(IF(R6="","보험연령 미입력",IF(VALUE(R6)=VALUE(Q6),"정상",IF(VALUE(R6)&gt;VALUE(Q6),"보장 불일치","과보장 점검"))),"계약연령 형식확인"))</x:f>
        <x:v>보험연령 미입력</x:v>
      </x:c>
      <x:c r="T6" s="30"/>
      <x:c r="U6" s="24" t="str">
        <x:f>IF(T6="","보험 자료 없음",IF(T6&lt;TODAY(),"만기 자료 갱신 필요","정상"))</x:f>
        <x:v>보험 자료 없음</x:v>
      </x:c>
      <x:c r="V6" s="24" t="str"/>
      <x:c r="W6" s="24" t="str"/>
      <x:c r="X6" s="24" t="str">
        <x:v>있음</x:v>
      </x:c>
      <x:c r="Y6" s="24" t="str">
        <x:v>보험 연령 입력</x:v>
      </x:c>
      <x:c r="Z6" s="24" t="str"/>
      <x:c r="AA6" s="24" t="str"/>
    </x:row>
    <x:row r="7" ht="17.25" customHeight="1">
      <x:c r="A7" s="24" t="str">
        <x:v>스위치플랜</x:v>
      </x:c>
      <x:c r="B7" s="24" t="str">
        <x:v>62조4444</x:v>
      </x:c>
      <x:c r="C7" s="24" t="str">
        <x:v>현재보유</x:v>
      </x:c>
      <x:c r="D7" s="24" t="str">
        <x:v>대여중</x:v>
      </x:c>
      <x:c r="E7" s="30"/>
      <x:c r="F7" s="31" t="str">
        <x:f>IF(AND(D7="쉬는차",E7&lt;&gt;""),TODAY()-E7,"")</x:f>
      </x:c>
      <x:c r="G7" s="24" t="str">
        <x:v>이경석</x:v>
      </x:c>
      <x:c r="H7" s="24" t="str">
        <x:v>SW-C-62조4444-1-2510-8</x:v>
      </x:c>
      <x:c r="I7" s="30"/>
      <x:c r="J7" s="30"/>
      <x:c r="K7" s="24" t="str">
        <x:v>25일</x:v>
      </x:c>
      <x:c r="L7" s="32" t="n">
        <x:v>1300000</x:v>
      </x:c>
      <x:c r="M7" s="31" t="n">
        <x:v>7</x:v>
      </x:c>
      <x:c r="N7" s="32" t="n">
        <x:v>5000000</x:v>
      </x:c>
      <x:c r="O7" s="31" t="n">
        <x:v>0</x:v>
      </x:c>
      <x:c r="P7" s="24" t="str">
        <x:v>회수 판단</x:v>
      </x:c>
      <x:c r="Q7" s="24" t="str">
        <x:v>35</x:v>
      </x:c>
      <x:c r="R7" s="24" t="str"/>
      <x:c r="S7" s="24" t="str">
        <x:f>IF(Q7="","계약연령 미입력",IFERROR(IF(R7="","보험연령 미입력",IF(VALUE(R7)=VALUE(Q7),"정상",IF(VALUE(R7)&gt;VALUE(Q7),"보장 불일치","과보장 점검"))),"계약연령 형식확인"))</x:f>
        <x:v>보험연령 미입력</x:v>
      </x:c>
      <x:c r="T7" s="30"/>
      <x:c r="U7" s="24" t="str">
        <x:f>IF(T7="","보험 자료 없음",IF(T7&lt;TODAY(),"만기 자료 갱신 필요","정상"))</x:f>
        <x:v>보험 자료 없음</x:v>
      </x:c>
      <x:c r="V7" s="24" t="str"/>
      <x:c r="W7" s="24" t="str"/>
      <x:c r="X7" s="24" t="str">
        <x:v>있음</x:v>
      </x:c>
      <x:c r="Y7" s="24" t="str">
        <x:v>회수 검토</x:v>
      </x:c>
      <x:c r="Z7" s="24" t="str"/>
      <x:c r="AA7" s="24" t="str"/>
    </x:row>
    <x:row r="8" ht="17.25" customHeight="1">
      <x:c r="A8" s="24" t="str">
        <x:v>스위치플랜</x:v>
      </x:c>
      <x:c r="B8" s="24" t="str">
        <x:v>41구1614</x:v>
      </x:c>
      <x:c r="C8" s="24" t="str">
        <x:v>현재보유</x:v>
      </x:c>
      <x:c r="D8" s="24" t="str">
        <x:v>대여중</x:v>
      </x:c>
      <x:c r="E8" s="30"/>
      <x:c r="F8" s="31" t="str">
        <x:f>IF(AND(D8="쉬는차",E8&lt;&gt;""),TODAY()-E8,"")</x:f>
      </x:c>
      <x:c r="G8" s="24" t="str">
        <x:v>조해인</x:v>
      </x:c>
      <x:c r="H8" s="24" t="str">
        <x:v>SW-C-41구1614-1-20250422-9</x:v>
      </x:c>
      <x:c r="I8" s="30" t="n">
        <x:v>45769</x:v>
      </x:c>
      <x:c r="J8" s="30" t="n">
        <x:v>47229</x:v>
      </x:c>
      <x:c r="K8" s="24" t="str">
        <x:v>20일</x:v>
      </x:c>
      <x:c r="L8" s="32" t="n">
        <x:v>330000</x:v>
      </x:c>
      <x:c r="M8" s="31" t="n">
        <x:v>1</x:v>
      </x:c>
      <x:c r="N8" s="32" t="n">
        <x:v>330000</x:v>
      </x:c>
      <x:c r="O8" s="31" t="n">
        <x:v>0</x:v>
      </x:c>
      <x:c r="P8" s="24" t="str"/>
      <x:c r="Q8" s="24" t="str">
        <x:v>30</x:v>
      </x:c>
      <x:c r="R8" s="24" t="str"/>
      <x:c r="S8" s="24" t="str">
        <x:f>IF(Q8="","계약연령 미입력",IFERROR(IF(R8="","보험연령 미입력",IF(VALUE(R8)=VALUE(Q8),"정상",IF(VALUE(R8)&gt;VALUE(Q8),"보장 불일치","과보장 점검"))),"계약연령 형식확인"))</x:f>
        <x:v>보험연령 미입력</x:v>
      </x:c>
      <x:c r="T8" s="30"/>
      <x:c r="U8" s="24" t="str">
        <x:f>IF(T8="","보험 자료 없음",IF(T8&lt;TODAY(),"만기 자료 갱신 필요","정상"))</x:f>
        <x:v>보험 자료 없음</x:v>
      </x:c>
      <x:c r="V8" s="24" t="str"/>
      <x:c r="W8" s="24" t="str"/>
      <x:c r="X8" s="24" t="str">
        <x:v>있음</x:v>
      </x:c>
      <x:c r="Y8" s="24" t="str">
        <x:v>미수 확인</x:v>
      </x:c>
      <x:c r="Z8" s="24" t="str"/>
      <x:c r="AA8" s="24" t="str"/>
    </x:row>
    <x:row r="9" ht="17.25" customHeight="1">
      <x:c r="A9" s="24" t="str">
        <x:v>스위치플랜</x:v>
      </x:c>
      <x:c r="B9" s="24" t="str">
        <x:v>52수7832</x:v>
      </x:c>
      <x:c r="C9" s="24" t="str">
        <x:v>현재보유</x:v>
      </x:c>
      <x:c r="D9" s="24" t="str">
        <x:v>대여중</x:v>
      </x:c>
      <x:c r="E9" s="30"/>
      <x:c r="F9" s="31" t="str">
        <x:f>IF(AND(D9="쉬는차",E9&lt;&gt;""),TODAY()-E9,"")</x:f>
      </x:c>
      <x:c r="G9" s="24" t="str">
        <x:v>손영태</x:v>
      </x:c>
      <x:c r="H9" s="24" t="str">
        <x:v>SW-C-52수7832-1-20260526-10</x:v>
      </x:c>
      <x:c r="I9" s="30" t="n">
        <x:v>46168</x:v>
      </x:c>
      <x:c r="J9" s="30" t="n">
        <x:v>47628</x:v>
      </x:c>
      <x:c r="K9" s="24" t="str">
        <x:v>25일</x:v>
      </x:c>
      <x:c r="L9" s="32" t="n">
        <x:v>780000</x:v>
      </x:c>
      <x:c r="M9" s="31" t="n">
        <x:v>2</x:v>
      </x:c>
      <x:c r="N9" s="32" t="n">
        <x:v>1510000</x:v>
      </x:c>
      <x:c r="O9" s="31" t="n">
        <x:v>0</x:v>
      </x:c>
      <x:c r="P9" s="24" t="str">
        <x:v>회수 판단</x:v>
      </x:c>
      <x:c r="Q9" s="24" t="str">
        <x:v>개인</x:v>
      </x:c>
      <x:c r="R9" s="24" t="str"/>
      <x:c r="S9" s="24" t="str">
        <x:f>IF(Q9="","계약연령 미입력",IFERROR(IF(R9="","보험연령 미입력",IF(VALUE(R9)=VALUE(Q9),"정상",IF(VALUE(R9)&gt;VALUE(Q9),"보장 불일치","과보장 점검"))),"계약연령 형식확인"))</x:f>
        <x:v>보험연령 미입력</x:v>
      </x:c>
      <x:c r="T9" s="30"/>
      <x:c r="U9" s="24" t="str">
        <x:f>IF(T9="","보험 자료 없음",IF(T9&lt;TODAY(),"만기 자료 갱신 필요","정상"))</x:f>
        <x:v>보험 자료 없음</x:v>
      </x:c>
      <x:c r="V9" s="24" t="str"/>
      <x:c r="W9" s="24" t="str"/>
      <x:c r="X9" s="24" t="str">
        <x:v>있음</x:v>
      </x:c>
      <x:c r="Y9" s="24" t="str">
        <x:v>회수 검토</x:v>
      </x:c>
      <x:c r="Z9" s="24" t="str"/>
      <x:c r="AA9" s="24" t="str"/>
    </x:row>
    <x:row r="10" ht="17.25" customHeight="1">
      <x:c r="A10" s="24" t="str">
        <x:v>스위치플랜</x:v>
      </x:c>
      <x:c r="B10" s="24" t="str">
        <x:v>36머9150</x:v>
      </x:c>
      <x:c r="C10" s="24" t="str">
        <x:v>현재보유</x:v>
      </x:c>
      <x:c r="D10" s="24" t="str">
        <x:v>상품화예정</x:v>
      </x:c>
      <x:c r="E10" s="30"/>
      <x:c r="F10" s="31" t="str">
        <x:f>IF(AND(D10="쉬는차",E10&lt;&gt;""),TODAY()-E10,"")</x:f>
      </x:c>
      <x:c r="G10" s="24" t="str">
        <x:v>상품화예정</x:v>
      </x:c>
      <x:c r="H10" s="24" t="str">
        <x:v>SW-C-36머9150-1-NA-11</x:v>
      </x:c>
      <x:c r="I10" s="30"/>
      <x:c r="J10" s="30"/>
      <x:c r="K10" s="24" t="str"/>
      <x:c r="L10" s="32"/>
      <x:c r="M10" s="31" t="n">
        <x:v>2</x:v>
      </x:c>
      <x:c r="N10" s="32" t="n">
        <x:v>0</x:v>
      </x:c>
      <x:c r="O10" s="31" t="n">
        <x:v>0</x:v>
      </x:c>
      <x:c r="P10" s="24" t="str"/>
      <x:c r="Q10" s="24" t="str">
        <x:v>35</x:v>
      </x:c>
      <x:c r="R10" s="24" t="str"/>
      <x:c r="S10" s="24" t="str">
        <x:f>IF(Q10="","계약연령 미입력",IFERROR(IF(R10="","보험연령 미입력",IF(VALUE(R10)=VALUE(Q10),"정상",IF(VALUE(R10)&gt;VALUE(Q10),"보장 불일치","과보장 점검"))),"계약연령 형식확인"))</x:f>
        <x:v>보험연령 미입력</x:v>
      </x:c>
      <x:c r="T10" s="30"/>
      <x:c r="U10" s="24" t="str">
        <x:f>IF(T10="","보험 자료 없음",IF(T10&lt;TODAY(),"만기 자료 갱신 필요","정상"))</x:f>
        <x:v>보험 자료 없음</x:v>
      </x:c>
      <x:c r="V10" s="24" t="str"/>
      <x:c r="W10" s="24" t="str"/>
      <x:c r="X10" s="24" t="str">
        <x:v>있음</x:v>
      </x:c>
      <x:c r="Y10" s="24" t="str"/>
      <x:c r="Z10" s="24" t="str"/>
      <x:c r="AA10" s="24" t="str"/>
    </x:row>
    <x:row r="11" ht="17.25" customHeight="1">
      <x:c r="A11" s="24" t="str">
        <x:v>스위치플랜</x:v>
      </x:c>
      <x:c r="B11" s="24" t="str">
        <x:v>07버3390</x:v>
      </x:c>
      <x:c r="C11" s="24" t="str">
        <x:v>현재보유</x:v>
      </x:c>
      <x:c r="D11" s="24" t="str">
        <x:v>대여중</x:v>
      </x:c>
      <x:c r="E11" s="30"/>
      <x:c r="F11" s="31" t="str">
        <x:f>IF(AND(D11="쉬는차",E11&lt;&gt;""),TODAY()-E11,"")</x:f>
      </x:c>
      <x:c r="G11" s="24" t="str">
        <x:v>유정란</x:v>
      </x:c>
      <x:c r="H11" s="24" t="str">
        <x:v>SW-C-07버3390-1-20250729-12</x:v>
      </x:c>
      <x:c r="I11" s="30" t="n">
        <x:v>45867</x:v>
      </x:c>
      <x:c r="J11" s="30" t="n">
        <x:v>47327</x:v>
      </x:c>
      <x:c r="K11" s="24" t="str">
        <x:v>25일</x:v>
      </x:c>
      <x:c r="L11" s="32" t="n">
        <x:v>550000</x:v>
      </x:c>
      <x:c r="M11" s="31" t="n">
        <x:v>7</x:v>
      </x:c>
      <x:c r="N11" s="32" t="n">
        <x:v>550000</x:v>
      </x:c>
      <x:c r="O11" s="31" t="n">
        <x:v>0</x:v>
      </x:c>
      <x:c r="P11" s="24" t="str"/>
      <x:c r="Q11" s="24" t="str">
        <x:v>35</x:v>
      </x:c>
      <x:c r="R11" s="24" t="str"/>
      <x:c r="S11" s="24" t="str">
        <x:f>IF(Q11="","계약연령 미입력",IFERROR(IF(R11="","보험연령 미입력",IF(VALUE(R11)=VALUE(Q11),"정상",IF(VALUE(R11)&gt;VALUE(Q11),"보장 불일치","과보장 점검"))),"계약연령 형식확인"))</x:f>
        <x:v>보험연령 미입력</x:v>
      </x:c>
      <x:c r="T11" s="30"/>
      <x:c r="U11" s="24" t="str">
        <x:f>IF(T11="","보험 자료 없음",IF(T11&lt;TODAY(),"만기 자료 갱신 필요","정상"))</x:f>
        <x:v>보험 자료 없음</x:v>
      </x:c>
      <x:c r="V11" s="24" t="str"/>
      <x:c r="W11" s="24" t="str"/>
      <x:c r="X11" s="24" t="str">
        <x:v>있음</x:v>
      </x:c>
      <x:c r="Y11" s="24" t="str">
        <x:v>미수 확인</x:v>
      </x:c>
      <x:c r="Z11" s="24" t="str"/>
      <x:c r="AA11" s="24" t="str"/>
    </x:row>
    <x:row r="12" ht="17.25" customHeight="1">
      <x:c r="A12" s="24" t="str">
        <x:v>스위치플랜</x:v>
      </x:c>
      <x:c r="B12" s="24" t="str">
        <x:v>12다2400</x:v>
      </x:c>
      <x:c r="C12" s="24" t="str">
        <x:v>현재보유</x:v>
      </x:c>
      <x:c r="D12" s="24" t="str">
        <x:v>대여중</x:v>
      </x:c>
      <x:c r="E12" s="30"/>
      <x:c r="F12" s="31" t="str">
        <x:f>IF(AND(D12="쉬는차",E12&lt;&gt;""),TODAY()-E12,"")</x:f>
      </x:c>
      <x:c r="G12" s="24" t="str">
        <x:v>배준호</x:v>
      </x:c>
      <x:c r="H12" s="24" t="str">
        <x:v>SW-C-12다2400-1-20240921-13</x:v>
      </x:c>
      <x:c r="I12" s="30" t="n">
        <x:v>45556</x:v>
      </x:c>
      <x:c r="J12" s="30" t="n">
        <x:v>47016</x:v>
      </x:c>
      <x:c r="K12" s="24" t="str">
        <x:v>20일</x:v>
      </x:c>
      <x:c r="L12" s="32" t="n">
        <x:v>900000</x:v>
      </x:c>
      <x:c r="M12" s="31" t="n">
        <x:v>2</x:v>
      </x:c>
      <x:c r="N12" s="32" t="n">
        <x:v>1800000</x:v>
      </x:c>
      <x:c r="O12" s="31" t="n">
        <x:v>0</x:v>
      </x:c>
      <x:c r="P12" s="24" t="str">
        <x:v>회수 판단</x:v>
      </x:c>
      <x:c r="Q12" s="24" t="str">
        <x:v>21</x:v>
      </x:c>
      <x:c r="R12" s="24" t="str"/>
      <x:c r="S12" s="24" t="str">
        <x:f>IF(Q12="","계약연령 미입력",IFERROR(IF(R12="","보험연령 미입력",IF(VALUE(R12)=VALUE(Q12),"정상",IF(VALUE(R12)&gt;VALUE(Q12),"보장 불일치","과보장 점검"))),"계약연령 형식확인"))</x:f>
        <x:v>보험연령 미입력</x:v>
      </x:c>
      <x:c r="T12" s="30"/>
      <x:c r="U12" s="24" t="str">
        <x:f>IF(T12="","보험 자료 없음",IF(T12&lt;TODAY(),"만기 자료 갱신 필요","정상"))</x:f>
        <x:v>보험 자료 없음</x:v>
      </x:c>
      <x:c r="V12" s="24" t="str"/>
      <x:c r="W12" s="24" t="str"/>
      <x:c r="X12" s="24" t="str">
        <x:v>있음</x:v>
      </x:c>
      <x:c r="Y12" s="24" t="str">
        <x:v>회수 검토</x:v>
      </x:c>
      <x:c r="Z12" s="24" t="str"/>
      <x:c r="AA12" s="24" t="str"/>
    </x:row>
    <x:row r="13" ht="17.25" customHeight="1">
      <x:c r="A13" s="24" t="str">
        <x:v>스위치플랜</x:v>
      </x:c>
      <x:c r="B13" s="24" t="str">
        <x:v>54무1552</x:v>
      </x:c>
      <x:c r="C13" s="24" t="str">
        <x:v>현재보유</x:v>
      </x:c>
      <x:c r="D13" s="24" t="str">
        <x:v>대여중</x:v>
      </x:c>
      <x:c r="E13" s="30"/>
      <x:c r="F13" s="31" t="str">
        <x:f>IF(AND(D13="쉬는차",E13&lt;&gt;""),TODAY()-E13,"")</x:f>
      </x:c>
      <x:c r="G13" s="24" t="str">
        <x:v>정현묵</x:v>
      </x:c>
      <x:c r="H13" s="24" t="str">
        <x:v>SW-C-54무1552-1-20250102-14</x:v>
      </x:c>
      <x:c r="I13" s="30" t="n">
        <x:v>45659</x:v>
      </x:c>
      <x:c r="J13" s="30" t="n">
        <x:v>46387</x:v>
      </x:c>
      <x:c r="K13" s="24" t="str">
        <x:v>05일</x:v>
      </x:c>
      <x:c r="L13" s="32" t="n">
        <x:v>330000</x:v>
      </x:c>
      <x:c r="M13" s="31" t="n">
        <x:v>0</x:v>
      </x:c>
      <x:c r="N13" s="32" t="n">
        <x:v>0</x:v>
      </x:c>
      <x:c r="O13" s="31" t="n">
        <x:v>0</x:v>
      </x:c>
      <x:c r="P13" s="24" t="str"/>
      <x:c r="Q13" s="24" t="str">
        <x:v>35</x:v>
      </x:c>
      <x:c r="R13" s="24" t="str"/>
      <x:c r="S13" s="24" t="str">
        <x:f>IF(Q13="","계약연령 미입력",IFERROR(IF(R13="","보험연령 미입력",IF(VALUE(R13)=VALUE(Q13),"정상",IF(VALUE(R13)&gt;VALUE(Q13),"보장 불일치","과보장 점검"))),"계약연령 형식확인"))</x:f>
        <x:v>보험연령 미입력</x:v>
      </x:c>
      <x:c r="T13" s="30"/>
      <x:c r="U13" s="24" t="str">
        <x:f>IF(T13="","보험 자료 없음",IF(T13&lt;TODAY(),"만기 자료 갱신 필요","정상"))</x:f>
        <x:v>보험 자료 없음</x:v>
      </x:c>
      <x:c r="V13" s="24" t="str"/>
      <x:c r="W13" s="24" t="str"/>
      <x:c r="X13" s="24" t="str">
        <x:v>있음</x:v>
      </x:c>
      <x:c r="Y13" s="24" t="str">
        <x:v>보험 연령 입력</x:v>
      </x:c>
      <x:c r="Z13" s="24" t="str"/>
      <x:c r="AA13" s="24" t="str"/>
    </x:row>
    <x:row r="14" ht="17.25" customHeight="1">
      <x:c r="A14" s="24" t="str">
        <x:v>스위치플랜</x:v>
      </x:c>
      <x:c r="B14" s="24" t="str">
        <x:v>24부3251</x:v>
      </x:c>
      <x:c r="C14" s="24" t="str">
        <x:v>현재보유</x:v>
      </x:c>
      <x:c r="D14" s="24" t="str">
        <x:v>대여중</x:v>
      </x:c>
      <x:c r="E14" s="30"/>
      <x:c r="F14" s="31" t="str">
        <x:f>IF(AND(D14="쉬는차",E14&lt;&gt;""),TODAY()-E14,"")</x:f>
      </x:c>
      <x:c r="G14" s="24" t="str">
        <x:v>이정원</x:v>
      </x:c>
      <x:c r="H14" s="24" t="str">
        <x:v>SW-C-24부3251-1-20250808-15</x:v>
      </x:c>
      <x:c r="I14" s="30" t="n">
        <x:v>45877</x:v>
      </x:c>
      <x:c r="J14" s="30" t="n">
        <x:v>47337</x:v>
      </x:c>
      <x:c r="K14" s="24" t="str">
        <x:v>10일</x:v>
      </x:c>
      <x:c r="L14" s="32" t="n">
        <x:v>780000</x:v>
      </x:c>
      <x:c r="M14" s="31" t="n">
        <x:v>0</x:v>
      </x:c>
      <x:c r="N14" s="32" t="n">
        <x:v>0</x:v>
      </x:c>
      <x:c r="O14" s="31" t="n">
        <x:v>0</x:v>
      </x:c>
      <x:c r="P14" s="24" t="str"/>
      <x:c r="Q14" s="24" t="str">
        <x:v>30</x:v>
      </x:c>
      <x:c r="R14" s="24" t="str"/>
      <x:c r="S14" s="24" t="str">
        <x:f>IF(Q14="","계약연령 미입력",IFERROR(IF(R14="","보험연령 미입력",IF(VALUE(R14)=VALUE(Q14),"정상",IF(VALUE(R14)&gt;VALUE(Q14),"보장 불일치","과보장 점검"))),"계약연령 형식확인"))</x:f>
        <x:v>보험연령 미입력</x:v>
      </x:c>
      <x:c r="T14" s="30"/>
      <x:c r="U14" s="24" t="str">
        <x:f>IF(T14="","보험 자료 없음",IF(T14&lt;TODAY(),"만기 자료 갱신 필요","정상"))</x:f>
        <x:v>보험 자료 없음</x:v>
      </x:c>
      <x:c r="V14" s="24" t="str"/>
      <x:c r="W14" s="24" t="str"/>
      <x:c r="X14" s="24" t="str">
        <x:v>있음</x:v>
      </x:c>
      <x:c r="Y14" s="24" t="str">
        <x:v>보험 연령 입력</x:v>
      </x:c>
      <x:c r="Z14" s="24" t="str"/>
      <x:c r="AA14" s="24" t="str"/>
    </x:row>
    <x:row r="15" ht="17.25" customHeight="1">
      <x:c r="A15" s="24" t="str">
        <x:v>스위치플랜</x:v>
      </x:c>
      <x:c r="B15" s="24" t="str">
        <x:v>297거4892</x:v>
      </x:c>
      <x:c r="C15" s="24" t="str">
        <x:v>현재보유</x:v>
      </x:c>
      <x:c r="D15" s="24" t="str">
        <x:v>대여중</x:v>
      </x:c>
      <x:c r="E15" s="30"/>
      <x:c r="F15" s="31" t="str">
        <x:f>IF(AND(D15="쉬는차",E15&lt;&gt;""),TODAY()-E15,"")</x:f>
      </x:c>
      <x:c r="G15" s="24" t="str">
        <x:v>김선우</x:v>
      </x:c>
      <x:c r="H15" s="24" t="str">
        <x:v>SW-C-297거4892-1-20251017-16</x:v>
      </x:c>
      <x:c r="I15" s="30" t="n">
        <x:v>45947</x:v>
      </x:c>
      <x:c r="J15" s="30" t="n">
        <x:v>47158</x:v>
      </x:c>
      <x:c r="K15" s="24" t="str">
        <x:v>10일</x:v>
      </x:c>
      <x:c r="L15" s="32" t="n">
        <x:v>930000</x:v>
      </x:c>
      <x:c r="M15" s="31" t="n">
        <x:v>2</x:v>
      </x:c>
      <x:c r="N15" s="32" t="n">
        <x:v>1860000</x:v>
      </x:c>
      <x:c r="O15" s="31" t="n">
        <x:v>0</x:v>
      </x:c>
      <x:c r="P15" s="24" t="str">
        <x:v>회수 판단</x:v>
      </x:c>
      <x:c r="Q15" s="24" t="str">
        <x:v>24</x:v>
      </x:c>
      <x:c r="R15" s="24" t="str"/>
      <x:c r="S15" s="24" t="str">
        <x:f>IF(Q15="","계약연령 미입력",IFERROR(IF(R15="","보험연령 미입력",IF(VALUE(R15)=VALUE(Q15),"정상",IF(VALUE(R15)&gt;VALUE(Q15),"보장 불일치","과보장 점검"))),"계약연령 형식확인"))</x:f>
        <x:v>보험연령 미입력</x:v>
      </x:c>
      <x:c r="T15" s="30"/>
      <x:c r="U15" s="24" t="str">
        <x:f>IF(T15="","보험 자료 없음",IF(T15&lt;TODAY(),"만기 자료 갱신 필요","정상"))</x:f>
        <x:v>보험 자료 없음</x:v>
      </x:c>
      <x:c r="V15" s="24" t="str"/>
      <x:c r="W15" s="24" t="str"/>
      <x:c r="X15" s="24" t="str">
        <x:v>있음</x:v>
      </x:c>
      <x:c r="Y15" s="24" t="str">
        <x:v>회수 검토</x:v>
      </x:c>
      <x:c r="Z15" s="24" t="str"/>
      <x:c r="AA15" s="24" t="str"/>
    </x:row>
    <x:row r="16" ht="17.25" customHeight="1">
      <x:c r="A16" s="24" t="str">
        <x:v>스위치플랜</x:v>
      </x:c>
      <x:c r="B16" s="24" t="str">
        <x:v>263모3889</x:v>
      </x:c>
      <x:c r="C16" s="24" t="str">
        <x:v>현재보유</x:v>
      </x:c>
      <x:c r="D16" s="24" t="str">
        <x:v>대여중</x:v>
      </x:c>
      <x:c r="E16" s="30"/>
      <x:c r="F16" s="31" t="str">
        <x:f>IF(AND(D16="쉬는차",E16&lt;&gt;""),TODAY()-E16,"")</x:f>
      </x:c>
      <x:c r="G16" s="24" t="str">
        <x:v>박진경</x:v>
      </x:c>
      <x:c r="H16" s="24" t="str">
        <x:v>SW-C-263모3889-1-20250422-17</x:v>
      </x:c>
      <x:c r="I16" s="30" t="n">
        <x:v>45769</x:v>
      </x:c>
      <x:c r="J16" s="30" t="n">
        <x:v>46864</x:v>
      </x:c>
      <x:c r="K16" s="24" t="str">
        <x:v>25일</x:v>
      </x:c>
      <x:c r="L16" s="32" t="n">
        <x:v>1290000</x:v>
      </x:c>
      <x:c r="M16" s="31" t="n">
        <x:v>7</x:v>
      </x:c>
      <x:c r="N16" s="32" t="n">
        <x:v>2580000</x:v>
      </x:c>
      <x:c r="O16" s="31" t="n">
        <x:v>0</x:v>
      </x:c>
      <x:c r="P16" s="24" t="str">
        <x:v>회수 판단</x:v>
      </x:c>
      <x:c r="Q16" s="24" t="str">
        <x:v>35</x:v>
      </x:c>
      <x:c r="R16" s="24" t="str"/>
      <x:c r="S16" s="24" t="str">
        <x:f>IF(Q16="","계약연령 미입력",IFERROR(IF(R16="","보험연령 미입력",IF(VALUE(R16)=VALUE(Q16),"정상",IF(VALUE(R16)&gt;VALUE(Q16),"보장 불일치","과보장 점검"))),"계약연령 형식확인"))</x:f>
        <x:v>보험연령 미입력</x:v>
      </x:c>
      <x:c r="T16" s="30"/>
      <x:c r="U16" s="24" t="str">
        <x:f>IF(T16="","보험 자료 없음",IF(T16&lt;TODAY(),"만기 자료 갱신 필요","정상"))</x:f>
        <x:v>보험 자료 없음</x:v>
      </x:c>
      <x:c r="V16" s="24" t="str"/>
      <x:c r="W16" s="24" t="str"/>
      <x:c r="X16" s="24" t="str">
        <x:v>있음</x:v>
      </x:c>
      <x:c r="Y16" s="24" t="str">
        <x:v>회수 검토</x:v>
      </x:c>
      <x:c r="Z16" s="24" t="str"/>
      <x:c r="AA16" s="24" t="str"/>
    </x:row>
    <x:row r="17" ht="17.25" customHeight="1">
      <x:c r="A17" s="24" t="str">
        <x:v>스위치플랜</x:v>
      </x:c>
      <x:c r="B17" s="24" t="str">
        <x:v>01도9893</x:v>
      </x:c>
      <x:c r="C17" s="24" t="str">
        <x:v>현재보유</x:v>
      </x:c>
      <x:c r="D17" s="24" t="str">
        <x:v>대여중</x:v>
      </x:c>
      <x:c r="E17" s="30"/>
      <x:c r="F17" s="31" t="str">
        <x:f>IF(AND(D17="쉬는차",E17&lt;&gt;""),TODAY()-E17,"")</x:f>
      </x:c>
      <x:c r="G17" s="24" t="str">
        <x:v>김효은</x:v>
      </x:c>
      <x:c r="H17" s="24" t="str">
        <x:v>SW-C-01도9893-1-20241014-18</x:v>
      </x:c>
      <x:c r="I17" s="30" t="n">
        <x:v>45579</x:v>
      </x:c>
      <x:c r="J17" s="30" t="n">
        <x:v>46307</x:v>
      </x:c>
      <x:c r="K17" s="24" t="str">
        <x:v>15일</x:v>
      </x:c>
      <x:c r="L17" s="32" t="n">
        <x:v>450000</x:v>
      </x:c>
      <x:c r="M17" s="31" t="n">
        <x:v>1</x:v>
      </x:c>
      <x:c r="N17" s="32" t="n">
        <x:v>450000</x:v>
      </x:c>
      <x:c r="O17" s="31" t="n">
        <x:v>0</x:v>
      </x:c>
      <x:c r="P17" s="24" t="str">
        <x:v>만기 임박</x:v>
      </x:c>
      <x:c r="Q17" s="24" t="str">
        <x:v>24</x:v>
      </x:c>
      <x:c r="R17" s="24" t="str"/>
      <x:c r="S17" s="24" t="str">
        <x:f>IF(Q17="","계약연령 미입력",IFERROR(IF(R17="","보험연령 미입력",IF(VALUE(R17)=VALUE(Q17),"정상",IF(VALUE(R17)&gt;VALUE(Q17),"보장 불일치","과보장 점검"))),"계약연령 형식확인"))</x:f>
        <x:v>보험연령 미입력</x:v>
      </x:c>
      <x:c r="T17" s="30"/>
      <x:c r="U17" s="24" t="str">
        <x:f>IF(T17="","보험 자료 없음",IF(T17&lt;TODAY(),"만기 자료 갱신 필요","정상"))</x:f>
        <x:v>보험 자료 없음</x:v>
      </x:c>
      <x:c r="V17" s="24" t="str"/>
      <x:c r="W17" s="24" t="str"/>
      <x:c r="X17" s="24" t="str">
        <x:v>있음</x:v>
      </x:c>
      <x:c r="Y17" s="24" t="str">
        <x:v>미수 확인</x:v>
      </x:c>
      <x:c r="Z17" s="24" t="str"/>
      <x:c r="AA17" s="24" t="str"/>
    </x:row>
    <x:row r="18" ht="17.25" customHeight="1">
      <x:c r="A18" s="24" t="str">
        <x:v>스위치플랜</x:v>
      </x:c>
      <x:c r="B18" s="24" t="str">
        <x:v>02마4731</x:v>
      </x:c>
      <x:c r="C18" s="24" t="str">
        <x:v>현재보유</x:v>
      </x:c>
      <x:c r="D18" s="24" t="str">
        <x:v>대여중</x:v>
      </x:c>
      <x:c r="E18" s="30"/>
      <x:c r="F18" s="31" t="str">
        <x:f>IF(AND(D18="쉬는차",E18&lt;&gt;""),TODAY()-E18,"")</x:f>
      </x:c>
      <x:c r="G18" s="24" t="str">
        <x:v>하정만</x:v>
      </x:c>
      <x:c r="H18" s="24" t="str">
        <x:v>SW-C-02마4731-1-20250317-19</x:v>
      </x:c>
      <x:c r="I18" s="30" t="n">
        <x:v>45733</x:v>
      </x:c>
      <x:c r="J18" s="30" t="n">
        <x:v>47193</x:v>
      </x:c>
      <x:c r="K18" s="24" t="str">
        <x:v>15일</x:v>
      </x:c>
      <x:c r="L18" s="32" t="n">
        <x:v>330000</x:v>
      </x:c>
      <x:c r="M18" s="31" t="n">
        <x:v>0</x:v>
      </x:c>
      <x:c r="N18" s="32" t="n">
        <x:v>0</x:v>
      </x:c>
      <x:c r="O18" s="31" t="n">
        <x:v>0</x:v>
      </x:c>
      <x:c r="P18" s="24" t="str"/>
      <x:c r="Q18" s="24" t="str">
        <x:v>30</x:v>
      </x:c>
      <x:c r="R18" s="24" t="str"/>
      <x:c r="S18" s="24" t="str">
        <x:f>IF(Q18="","계약연령 미입력",IFERROR(IF(R18="","보험연령 미입력",IF(VALUE(R18)=VALUE(Q18),"정상",IF(VALUE(R18)&gt;VALUE(Q18),"보장 불일치","과보장 점검"))),"계약연령 형식확인"))</x:f>
        <x:v>보험연령 미입력</x:v>
      </x:c>
      <x:c r="T18" s="30"/>
      <x:c r="U18" s="24" t="str">
        <x:f>IF(T18="","보험 자료 없음",IF(T18&lt;TODAY(),"만기 자료 갱신 필요","정상"))</x:f>
        <x:v>보험 자료 없음</x:v>
      </x:c>
      <x:c r="V18" s="24" t="str"/>
      <x:c r="W18" s="24" t="str"/>
      <x:c r="X18" s="24" t="str">
        <x:v>있음</x:v>
      </x:c>
      <x:c r="Y18" s="24" t="str">
        <x:v>보험 연령 입력</x:v>
      </x:c>
      <x:c r="Z18" s="24" t="str"/>
      <x:c r="AA18" s="24" t="str"/>
    </x:row>
    <x:row r="19" ht="17.25" customHeight="1">
      <x:c r="A19" s="24" t="str">
        <x:v>스위치플랜</x:v>
      </x:c>
      <x:c r="B19" s="24" t="str">
        <x:v>306조9919</x:v>
      </x:c>
      <x:c r="C19" s="24" t="str">
        <x:v>현재보유</x:v>
      </x:c>
      <x:c r="D19" s="24" t="str">
        <x:v>대여중</x:v>
      </x:c>
      <x:c r="E19" s="30"/>
      <x:c r="F19" s="31" t="str">
        <x:f>IF(AND(D19="쉬는차",E19&lt;&gt;""),TODAY()-E19,"")</x:f>
      </x:c>
      <x:c r="G19" s="24" t="str">
        <x:v>김기영</x:v>
      </x:c>
      <x:c r="H19" s="24" t="str">
        <x:v>SW-C-306조9919-1-20260204-20</x:v>
      </x:c>
      <x:c r="I19" s="30" t="n">
        <x:v>46057</x:v>
      </x:c>
      <x:c r="J19" s="30" t="n">
        <x:v>47152</x:v>
      </x:c>
      <x:c r="K19" s="24" t="str">
        <x:v>05일</x:v>
      </x:c>
      <x:c r="L19" s="32" t="n">
        <x:v>1070000</x:v>
      </x:c>
      <x:c r="M19" s="31" t="n">
        <x:v>1</x:v>
      </x:c>
      <x:c r="N19" s="32" t="n">
        <x:v>1070000</x:v>
      </x:c>
      <x:c r="O19" s="31" t="n">
        <x:v>0</x:v>
      </x:c>
      <x:c r="P19" s="24" t="str">
        <x:v>독촉 10일</x:v>
      </x:c>
      <x:c r="Q19" s="24" t="str">
        <x:v>35</x:v>
      </x:c>
      <x:c r="R19" s="24" t="str"/>
      <x:c r="S19" s="24" t="str">
        <x:f>IF(Q19="","계약연령 미입력",IFERROR(IF(R19="","보험연령 미입력",IF(VALUE(R19)=VALUE(Q19),"정상",IF(VALUE(R19)&gt;VALUE(Q19),"보장 불일치","과보장 점검"))),"계약연령 형식확인"))</x:f>
        <x:v>보험연령 미입력</x:v>
      </x:c>
      <x:c r="T19" s="30"/>
      <x:c r="U19" s="24" t="str">
        <x:f>IF(T19="","보험 자료 없음",IF(T19&lt;TODAY(),"만기 자료 갱신 필요","정상"))</x:f>
        <x:v>보험 자료 없음</x:v>
      </x:c>
      <x:c r="V19" s="24" t="str"/>
      <x:c r="W19" s="24" t="str"/>
      <x:c r="X19" s="24" t="str">
        <x:v>있음</x:v>
      </x:c>
      <x:c r="Y19" s="24" t="str">
        <x:v>미수 확인</x:v>
      </x:c>
      <x:c r="Z19" s="24" t="str"/>
      <x:c r="AA19" s="24" t="str"/>
    </x:row>
    <x:row r="20" ht="17.25" customHeight="1">
      <x:c r="A20" s="24" t="str">
        <x:v>스위치플랜</x:v>
      </x:c>
      <x:c r="B20" s="24" t="str">
        <x:v>109로1819</x:v>
      </x:c>
      <x:c r="C20" s="24" t="str">
        <x:v>현재보유</x:v>
      </x:c>
      <x:c r="D20" s="24" t="str">
        <x:v>대여중</x:v>
      </x:c>
      <x:c r="E20" s="30"/>
      <x:c r="F20" s="31" t="str">
        <x:f>IF(AND(D20="쉬는차",E20&lt;&gt;""),TODAY()-E20,"")</x:f>
      </x:c>
      <x:c r="G20" s="24" t="str">
        <x:v>박주신</x:v>
      </x:c>
      <x:c r="H20" s="24" t="str">
        <x:v>SW-C-109로1819-1-20250716-21</x:v>
      </x:c>
      <x:c r="I20" s="30" t="n">
        <x:v>45854</x:v>
      </x:c>
      <x:c r="J20" s="30" t="n">
        <x:v>47314</x:v>
      </x:c>
      <x:c r="K20" s="24" t="str">
        <x:v>15일</x:v>
      </x:c>
      <x:c r="L20" s="32" t="n">
        <x:v>1800000</x:v>
      </x:c>
      <x:c r="M20" s="31" t="n">
        <x:v>4</x:v>
      </x:c>
      <x:c r="N20" s="32" t="n">
        <x:v>1800000</x:v>
      </x:c>
      <x:c r="O20" s="31" t="n">
        <x:v>0</x:v>
      </x:c>
      <x:c r="P20" s="24" t="str"/>
      <x:c r="Q20" s="24" t="str">
        <x:v>35</x:v>
      </x:c>
      <x:c r="R20" s="24" t="str"/>
      <x:c r="S20" s="24" t="str">
        <x:f>IF(Q20="","계약연령 미입력",IFERROR(IF(R20="","보험연령 미입력",IF(VALUE(R20)=VALUE(Q20),"정상",IF(VALUE(R20)&gt;VALUE(Q20),"보장 불일치","과보장 점검"))),"계약연령 형식확인"))</x:f>
        <x:v>보험연령 미입력</x:v>
      </x:c>
      <x:c r="T20" s="30"/>
      <x:c r="U20" s="24" t="str">
        <x:f>IF(T20="","보험 자료 없음",IF(T20&lt;TODAY(),"만기 자료 갱신 필요","정상"))</x:f>
        <x:v>보험 자료 없음</x:v>
      </x:c>
      <x:c r="V20" s="24" t="str"/>
      <x:c r="W20" s="24" t="str"/>
      <x:c r="X20" s="24" t="str">
        <x:v>있음</x:v>
      </x:c>
      <x:c r="Y20" s="24" t="str">
        <x:v>미수 확인</x:v>
      </x:c>
      <x:c r="Z20" s="24" t="str"/>
      <x:c r="AA20" s="24" t="str"/>
    </x:row>
    <x:row r="21" ht="17.25" customHeight="1">
      <x:c r="A21" s="24" t="str">
        <x:v>스위치플랜</x:v>
      </x:c>
      <x:c r="B21" s="24" t="str">
        <x:v>17수4278</x:v>
      </x:c>
      <x:c r="C21" s="24" t="str">
        <x:v>현재보유</x:v>
      </x:c>
      <x:c r="D21" s="24" t="str">
        <x:v>대여중</x:v>
      </x:c>
      <x:c r="E21" s="30"/>
      <x:c r="F21" s="31" t="str">
        <x:f>IF(AND(D21="쉬는차",E21&lt;&gt;""),TODAY()-E21,"")</x:f>
      </x:c>
      <x:c r="G21" s="24" t="str">
        <x:v>김은옥</x:v>
      </x:c>
      <x:c r="H21" s="24" t="str">
        <x:v>SW-C-17수4278-1-20260303-22</x:v>
      </x:c>
      <x:c r="I21" s="30" t="n">
        <x:v>46084</x:v>
      </x:c>
      <x:c r="J21" s="30" t="n">
        <x:v>47450</x:v>
      </x:c>
      <x:c r="K21" s="24" t="str">
        <x:v>25일</x:v>
      </x:c>
      <x:c r="L21" s="32" t="n">
        <x:v>630000</x:v>
      </x:c>
      <x:c r="M21" s="31" t="n">
        <x:v>3</x:v>
      </x:c>
      <x:c r="N21" s="32" t="n">
        <x:v>630000</x:v>
      </x:c>
      <x:c r="O21" s="31" t="n">
        <x:v>0</x:v>
      </x:c>
      <x:c r="P21" s="24" t="str"/>
      <x:c r="Q21" s="24" t="str">
        <x:v>35</x:v>
      </x:c>
      <x:c r="R21" s="24" t="str"/>
      <x:c r="S21" s="24" t="str">
        <x:f>IF(Q21="","계약연령 미입력",IFERROR(IF(R21="","보험연령 미입력",IF(VALUE(R21)=VALUE(Q21),"정상",IF(VALUE(R21)&gt;VALUE(Q21),"보장 불일치","과보장 점검"))),"계약연령 형식확인"))</x:f>
        <x:v>보험연령 미입력</x:v>
      </x:c>
      <x:c r="T21" s="30"/>
      <x:c r="U21" s="24" t="str">
        <x:f>IF(T21="","보험 자료 없음",IF(T21&lt;TODAY(),"만기 자료 갱신 필요","정상"))</x:f>
        <x:v>보험 자료 없음</x:v>
      </x:c>
      <x:c r="V21" s="24" t="str"/>
      <x:c r="W21" s="24" t="str"/>
      <x:c r="X21" s="24" t="str">
        <x:v>있음</x:v>
      </x:c>
      <x:c r="Y21" s="24" t="str">
        <x:v>미수 확인</x:v>
      </x:c>
      <x:c r="Z21" s="24" t="str"/>
      <x:c r="AA21" s="24" t="str"/>
    </x:row>
    <x:row r="22" ht="17.25" customHeight="1">
      <x:c r="A22" s="24" t="str">
        <x:v>스위치플랜</x:v>
      </x:c>
      <x:c r="B22" s="24" t="str">
        <x:v>15두2255</x:v>
      </x:c>
      <x:c r="C22" s="24" t="str">
        <x:v>현재보유</x:v>
      </x:c>
      <x:c r="D22" s="24" t="str">
        <x:v>대여중</x:v>
      </x:c>
      <x:c r="E22" s="30"/>
      <x:c r="F22" s="31" t="str">
        <x:f>IF(AND(D22="쉬는차",E22&lt;&gt;""),TODAY()-E22,"")</x:f>
      </x:c>
      <x:c r="G22" s="24" t="str">
        <x:v>송대성</x:v>
      </x:c>
      <x:c r="H22" s="24" t="str">
        <x:v>SW-C-15두2255-1-20260325-23</x:v>
      </x:c>
      <x:c r="I22" s="30" t="n">
        <x:v>46106</x:v>
      </x:c>
      <x:c r="J22" s="30" t="n">
        <x:v>47180</x:v>
      </x:c>
      <x:c r="K22" s="24" t="str">
        <x:v>20일</x:v>
      </x:c>
      <x:c r="L22" s="32" t="n">
        <x:v>850000</x:v>
      </x:c>
      <x:c r="M22" s="31" t="n">
        <x:v>1</x:v>
      </x:c>
      <x:c r="N22" s="32" t="n">
        <x:v>850000</x:v>
      </x:c>
      <x:c r="O22" s="31" t="n">
        <x:v>0</x:v>
      </x:c>
      <x:c r="P22" s="24" t="str"/>
      <x:c r="Q22" s="24" t="str">
        <x:v>35</x:v>
      </x:c>
      <x:c r="R22" s="24" t="str"/>
      <x:c r="S22" s="24" t="str">
        <x:f>IF(Q22="","계약연령 미입력",IFERROR(IF(R22="","보험연령 미입력",IF(VALUE(R22)=VALUE(Q22),"정상",IF(VALUE(R22)&gt;VALUE(Q22),"보장 불일치","과보장 점검"))),"계약연령 형식확인"))</x:f>
        <x:v>보험연령 미입력</x:v>
      </x:c>
      <x:c r="T22" s="30"/>
      <x:c r="U22" s="24" t="str">
        <x:f>IF(T22="","보험 자료 없음",IF(T22&lt;TODAY(),"만기 자료 갱신 필요","정상"))</x:f>
        <x:v>보험 자료 없음</x:v>
      </x:c>
      <x:c r="V22" s="24" t="str"/>
      <x:c r="W22" s="24" t="str"/>
      <x:c r="X22" s="24" t="str">
        <x:v>있음</x:v>
      </x:c>
      <x:c r="Y22" s="24" t="str">
        <x:v>미수 확인</x:v>
      </x:c>
      <x:c r="Z22" s="24" t="str"/>
      <x:c r="AA22" s="24" t="str"/>
    </x:row>
    <x:row r="23" ht="17.25" customHeight="1">
      <x:c r="A23" s="24" t="str">
        <x:v>스위치플랜</x:v>
      </x:c>
      <x:c r="B23" s="24" t="str">
        <x:v>311마8929</x:v>
      </x:c>
      <x:c r="C23" s="24" t="str">
        <x:v>현재보유</x:v>
      </x:c>
      <x:c r="D23" s="24" t="str">
        <x:v>대여중</x:v>
      </x:c>
      <x:c r="E23" s="30"/>
      <x:c r="F23" s="31" t="str">
        <x:f>IF(AND(D23="쉬는차",E23&lt;&gt;""),TODAY()-E23,"")</x:f>
      </x:c>
      <x:c r="G23" s="24" t="str">
        <x:v>김태원</x:v>
      </x:c>
      <x:c r="H23" s="24" t="str">
        <x:v>SW-C-311마8929-1-20260504-24</x:v>
      </x:c>
      <x:c r="I23" s="30" t="n">
        <x:v>46146</x:v>
      </x:c>
      <x:c r="J23" s="30" t="n">
        <x:v>47606</x:v>
      </x:c>
      <x:c r="K23" s="24" t="str">
        <x:v>05일</x:v>
      </x:c>
      <x:c r="L23" s="32" t="n">
        <x:v>880000</x:v>
      </x:c>
      <x:c r="M23" s="31" t="n">
        <x:v>1</x:v>
      </x:c>
      <x:c r="N23" s="32" t="n">
        <x:v>0</x:v>
      </x:c>
      <x:c r="O23" s="31" t="n">
        <x:v>0</x:v>
      </x:c>
      <x:c r="P23" s="24" t="str"/>
      <x:c r="Q23" s="24" t="str">
        <x:v>개인</x:v>
      </x:c>
      <x:c r="R23" s="24" t="str"/>
      <x:c r="S23" s="24" t="str">
        <x:f>IF(Q23="","계약연령 미입력",IFERROR(IF(R23="","보험연령 미입력",IF(VALUE(R23)=VALUE(Q23),"정상",IF(VALUE(R23)&gt;VALUE(Q23),"보장 불일치","과보장 점검"))),"계약연령 형식확인"))</x:f>
        <x:v>보험연령 미입력</x:v>
      </x:c>
      <x:c r="T23" s="30"/>
      <x:c r="U23" s="24" t="str">
        <x:f>IF(T23="","보험 자료 없음",IF(T23&lt;TODAY(),"만기 자료 갱신 필요","정상"))</x:f>
        <x:v>보험 자료 없음</x:v>
      </x:c>
      <x:c r="V23" s="24" t="str"/>
      <x:c r="W23" s="24" t="str"/>
      <x:c r="X23" s="24" t="str">
        <x:v>있음</x:v>
      </x:c>
      <x:c r="Y23" s="24" t="str">
        <x:v>보험 연령 입력</x:v>
      </x:c>
      <x:c r="Z23" s="24" t="str"/>
      <x:c r="AA23" s="24" t="str"/>
    </x:row>
    <x:row r="24" ht="17.25" customHeight="1">
      <x:c r="A24" s="24" t="str">
        <x:v>스위치플랜</x:v>
      </x:c>
      <x:c r="B24" s="24" t="str">
        <x:v>10어7374</x:v>
      </x:c>
      <x:c r="C24" s="24" t="str">
        <x:v>현재보유</x:v>
      </x:c>
      <x:c r="D24" s="24" t="str">
        <x:v>대여중</x:v>
      </x:c>
      <x:c r="E24" s="30"/>
      <x:c r="F24" s="31" t="str">
        <x:f>IF(AND(D24="쉬는차",E24&lt;&gt;""),TODAY()-E24,"")</x:f>
      </x:c>
      <x:c r="G24" s="24" t="str">
        <x:v>오종석</x:v>
      </x:c>
      <x:c r="H24" s="24" t="str">
        <x:v>SW-C-10어7374-1-20241230-25</x:v>
      </x:c>
      <x:c r="I24" s="30" t="n">
        <x:v>45656</x:v>
      </x:c>
      <x:c r="J24" s="30" t="n">
        <x:v>47116</x:v>
      </x:c>
      <x:c r="K24" s="24" t="str">
        <x:v>말일</x:v>
      </x:c>
      <x:c r="L24" s="32" t="n">
        <x:v>580000</x:v>
      </x:c>
      <x:c r="M24" s="31" t="n">
        <x:v>0</x:v>
      </x:c>
      <x:c r="N24" s="32" t="n">
        <x:v>-580000</x:v>
      </x:c>
      <x:c r="O24" s="31" t="n">
        <x:v>0</x:v>
      </x:c>
      <x:c r="P24" s="24" t="str"/>
      <x:c r="Q24" s="24" t="str">
        <x:v>24</x:v>
      </x:c>
      <x:c r="R24" s="24" t="str"/>
      <x:c r="S24" s="24" t="str">
        <x:f>IF(Q24="","계약연령 미입력",IFERROR(IF(R24="","보험연령 미입력",IF(VALUE(R24)=VALUE(Q24),"정상",IF(VALUE(R24)&gt;VALUE(Q24),"보장 불일치","과보장 점검"))),"계약연령 형식확인"))</x:f>
        <x:v>보험연령 미입력</x:v>
      </x:c>
      <x:c r="T24" s="30"/>
      <x:c r="U24" s="24" t="str">
        <x:f>IF(T24="","보험 자료 없음",IF(T24&lt;TODAY(),"만기 자료 갱신 필요","정상"))</x:f>
        <x:v>보험 자료 없음</x:v>
      </x:c>
      <x:c r="V24" s="24" t="str"/>
      <x:c r="W24" s="24" t="str"/>
      <x:c r="X24" s="24" t="str">
        <x:v>있음</x:v>
      </x:c>
      <x:c r="Y24" s="24" t="str">
        <x:v>보험 연령 입력</x:v>
      </x:c>
      <x:c r="Z24" s="24" t="str"/>
      <x:c r="AA24" s="24" t="str"/>
    </x:row>
    <x:row r="25" ht="17.25" customHeight="1">
      <x:c r="A25" s="24" t="str">
        <x:v>스위치플랜</x:v>
      </x:c>
      <x:c r="B25" s="24" t="str">
        <x:v>252거3143</x:v>
      </x:c>
      <x:c r="C25" s="24" t="str">
        <x:v>현재보유</x:v>
      </x:c>
      <x:c r="D25" s="24" t="str">
        <x:v>대여중</x:v>
      </x:c>
      <x:c r="E25" s="30"/>
      <x:c r="F25" s="31" t="str">
        <x:f>IF(AND(D25="쉬는차",E25&lt;&gt;""),TODAY()-E25,"")</x:f>
      </x:c>
      <x:c r="G25" s="24" t="str">
        <x:v>김종원</x:v>
      </x:c>
      <x:c r="H25" s="24" t="str">
        <x:v>SW-C-252거3143-1-20240820-26</x:v>
      </x:c>
      <x:c r="I25" s="30" t="n">
        <x:v>45524</x:v>
      </x:c>
      <x:c r="J25" s="30" t="n">
        <x:v>46984</x:v>
      </x:c>
      <x:c r="K25" s="24" t="str">
        <x:v>20일</x:v>
      </x:c>
      <x:c r="L25" s="32" t="n">
        <x:v>320000</x:v>
      </x:c>
      <x:c r="M25" s="31" t="n">
        <x:v>1</x:v>
      </x:c>
      <x:c r="N25" s="32" t="n">
        <x:v>320000</x:v>
      </x:c>
      <x:c r="O25" s="31" t="n">
        <x:v>0</x:v>
      </x:c>
      <x:c r="P25" s="24" t="str"/>
      <x:c r="Q25" s="24" t="str">
        <x:v>35</x:v>
      </x:c>
      <x:c r="R25" s="24" t="str"/>
      <x:c r="S25" s="24" t="str">
        <x:f>IF(Q25="","계약연령 미입력",IFERROR(IF(R25="","보험연령 미입력",IF(VALUE(R25)=VALUE(Q25),"정상",IF(VALUE(R25)&gt;VALUE(Q25),"보장 불일치","과보장 점검"))),"계약연령 형식확인"))</x:f>
        <x:v>보험연령 미입력</x:v>
      </x:c>
      <x:c r="T25" s="30"/>
      <x:c r="U25" s="24" t="str">
        <x:f>IF(T25="","보험 자료 없음",IF(T25&lt;TODAY(),"만기 자료 갱신 필요","정상"))</x:f>
        <x:v>보험 자료 없음</x:v>
      </x:c>
      <x:c r="V25" s="24" t="str"/>
      <x:c r="W25" s="24" t="str"/>
      <x:c r="X25" s="24" t="str">
        <x:v>있음</x:v>
      </x:c>
      <x:c r="Y25" s="24" t="str">
        <x:v>미수 확인</x:v>
      </x:c>
      <x:c r="Z25" s="24" t="str"/>
      <x:c r="AA25" s="24" t="str"/>
    </x:row>
    <x:row r="26" ht="17.25" customHeight="1">
      <x:c r="A26" s="24" t="str">
        <x:v>스위치플랜</x:v>
      </x:c>
      <x:c r="B26" s="24" t="str">
        <x:v>57나3382</x:v>
      </x:c>
      <x:c r="C26" s="24" t="str">
        <x:v>현재보유</x:v>
      </x:c>
      <x:c r="D26" s="24" t="str">
        <x:v>대여중</x:v>
      </x:c>
      <x:c r="E26" s="30"/>
      <x:c r="F26" s="31" t="str">
        <x:f>IF(AND(D26="쉬는차",E26&lt;&gt;""),TODAY()-E26,"")</x:f>
      </x:c>
      <x:c r="G26" s="24" t="str">
        <x:v>김대훈</x:v>
      </x:c>
      <x:c r="H26" s="24" t="str">
        <x:v>SW-C-57나3382-1-20260520-27</x:v>
      </x:c>
      <x:c r="I26" s="30" t="n">
        <x:v>46162</x:v>
      </x:c>
      <x:c r="J26" s="30" t="n">
        <x:v>47622</x:v>
      </x:c>
      <x:c r="K26" s="24" t="str">
        <x:v>20일</x:v>
      </x:c>
      <x:c r="L26" s="32" t="n">
        <x:v>350000</x:v>
      </x:c>
      <x:c r="M26" s="31" t="n">
        <x:v>7</x:v>
      </x:c>
      <x:c r="N26" s="32" t="n">
        <x:v>350000</x:v>
      </x:c>
      <x:c r="O26" s="31" t="n">
        <x:v>0</x:v>
      </x:c>
      <x:c r="P26" s="24" t="str"/>
      <x:c r="Q26" s="24" t="str">
        <x:v>개인</x:v>
      </x:c>
      <x:c r="R26" s="24" t="str"/>
      <x:c r="S26" s="24" t="str">
        <x:f>IF(Q26="","계약연령 미입력",IFERROR(IF(R26="","보험연령 미입력",IF(VALUE(R26)=VALUE(Q26),"정상",IF(VALUE(R26)&gt;VALUE(Q26),"보장 불일치","과보장 점검"))),"계약연령 형식확인"))</x:f>
        <x:v>보험연령 미입력</x:v>
      </x:c>
      <x:c r="T26" s="30"/>
      <x:c r="U26" s="24" t="str">
        <x:f>IF(T26="","보험 자료 없음",IF(T26&lt;TODAY(),"만기 자료 갱신 필요","정상"))</x:f>
        <x:v>보험 자료 없음</x:v>
      </x:c>
      <x:c r="V26" s="24" t="str"/>
      <x:c r="W26" s="24" t="str"/>
      <x:c r="X26" s="24" t="str">
        <x:v>있음</x:v>
      </x:c>
      <x:c r="Y26" s="24" t="str">
        <x:v>미수 확인</x:v>
      </x:c>
      <x:c r="Z26" s="24" t="str"/>
      <x:c r="AA26" s="24" t="str"/>
    </x:row>
    <x:row r="27" ht="17.25" customHeight="1">
      <x:c r="A27" s="24" t="str">
        <x:v>스위치플랜</x:v>
      </x:c>
      <x:c r="B27" s="24" t="str">
        <x:v>81너0984</x:v>
      </x:c>
      <x:c r="C27" s="24" t="str">
        <x:v>현재보유</x:v>
      </x:c>
      <x:c r="D27" s="24" t="str">
        <x:v>대여중</x:v>
      </x:c>
      <x:c r="E27" s="30"/>
      <x:c r="F27" s="31" t="str">
        <x:f>IF(AND(D27="쉬는차",E27&lt;&gt;""),TODAY()-E27,"")</x:f>
      </x:c>
      <x:c r="G27" s="24" t="str">
        <x:v>양인석</x:v>
      </x:c>
      <x:c r="H27" s="24" t="str">
        <x:v>SW-C-81너0984-1-20240118-28</x:v>
      </x:c>
      <x:c r="I27" s="30" t="n">
        <x:v>45309</x:v>
      </x:c>
      <x:c r="J27" s="30" t="n">
        <x:v>46769</x:v>
      </x:c>
      <x:c r="K27" s="24" t="str">
        <x:v>20일</x:v>
      </x:c>
      <x:c r="L27" s="32" t="n">
        <x:v>720000</x:v>
      </x:c>
      <x:c r="M27" s="31" t="n">
        <x:v>2</x:v>
      </x:c>
      <x:c r="N27" s="32" t="n">
        <x:v>720000</x:v>
      </x:c>
      <x:c r="O27" s="31" t="n">
        <x:v>0</x:v>
      </x:c>
      <x:c r="P27" s="24" t="str"/>
      <x:c r="Q27" s="24" t="str">
        <x:v>35</x:v>
      </x:c>
      <x:c r="R27" s="24" t="str"/>
      <x:c r="S27" s="24" t="str">
        <x:f>IF(Q27="","계약연령 미입력",IFERROR(IF(R27="","보험연령 미입력",IF(VALUE(R27)=VALUE(Q27),"정상",IF(VALUE(R27)&gt;VALUE(Q27),"보장 불일치","과보장 점검"))),"계약연령 형식확인"))</x:f>
        <x:v>보험연령 미입력</x:v>
      </x:c>
      <x:c r="T27" s="30"/>
      <x:c r="U27" s="24" t="str">
        <x:f>IF(T27="","보험 자료 없음",IF(T27&lt;TODAY(),"만기 자료 갱신 필요","정상"))</x:f>
        <x:v>보험 자료 없음</x:v>
      </x:c>
      <x:c r="V27" s="24" t="str"/>
      <x:c r="W27" s="24" t="str"/>
      <x:c r="X27" s="24" t="str">
        <x:v>있음</x:v>
      </x:c>
      <x:c r="Y27" s="24" t="str">
        <x:v>미수 확인</x:v>
      </x:c>
      <x:c r="Z27" s="24" t="str"/>
      <x:c r="AA27" s="24" t="str"/>
    </x:row>
    <x:row r="28" ht="17.25" customHeight="1">
      <x:c r="A28" s="24" t="str">
        <x:v>스위치플랜</x:v>
      </x:c>
      <x:c r="B28" s="24" t="str">
        <x:v>133가8292</x:v>
      </x:c>
      <x:c r="C28" s="24" t="str">
        <x:v>현재보유</x:v>
      </x:c>
      <x:c r="D28" s="24" t="str">
        <x:v>대여중</x:v>
      </x:c>
      <x:c r="E28" s="30"/>
      <x:c r="F28" s="31" t="str">
        <x:f>IF(AND(D28="쉬는차",E28&lt;&gt;""),TODAY()-E28,"")</x:f>
      </x:c>
      <x:c r="G28" s="24" t="str">
        <x:v>김찬일</x:v>
      </x:c>
      <x:c r="H28" s="24" t="str">
        <x:v>SW-C-133가8292-1-20240504-29</x:v>
      </x:c>
      <x:c r="I28" s="30" t="n">
        <x:v>45416</x:v>
      </x:c>
      <x:c r="J28" s="30" t="n">
        <x:v>46297</x:v>
      </x:c>
      <x:c r="K28" s="24" t="str">
        <x:v>05일</x:v>
      </x:c>
      <x:c r="L28" s="32" t="n">
        <x:v>840000</x:v>
      </x:c>
      <x:c r="M28" s="31" t="n">
        <x:v>0</x:v>
      </x:c>
      <x:c r="N28" s="32" t="n">
        <x:v>0</x:v>
      </x:c>
      <x:c r="O28" s="31" t="n">
        <x:v>0</x:v>
      </x:c>
      <x:c r="P28" s="24" t="str">
        <x:v>만기 임박</x:v>
      </x:c>
      <x:c r="Q28" s="24" t="str">
        <x:v>35</x:v>
      </x:c>
      <x:c r="R28" s="24" t="str"/>
      <x:c r="S28" s="24" t="str">
        <x:f>IF(Q28="","계약연령 미입력",IFERROR(IF(R28="","보험연령 미입력",IF(VALUE(R28)=VALUE(Q28),"정상",IF(VALUE(R28)&gt;VALUE(Q28),"보장 불일치","과보장 점검"))),"계약연령 형식확인"))</x:f>
        <x:v>보험연령 미입력</x:v>
      </x:c>
      <x:c r="T28" s="30"/>
      <x:c r="U28" s="24" t="str">
        <x:f>IF(T28="","보험 자료 없음",IF(T28&lt;TODAY(),"만기 자료 갱신 필요","정상"))</x:f>
        <x:v>보험 자료 없음</x:v>
      </x:c>
      <x:c r="V28" s="24" t="str"/>
      <x:c r="W28" s="24" t="str"/>
      <x:c r="X28" s="24" t="str">
        <x:v>있음</x:v>
      </x:c>
      <x:c r="Y28" s="24" t="str">
        <x:v>보험 연령 입력</x:v>
      </x:c>
      <x:c r="Z28" s="24" t="str"/>
      <x:c r="AA28" s="24" t="str"/>
    </x:row>
    <x:row r="29" ht="17.25" customHeight="1">
      <x:c r="A29" s="24" t="str">
        <x:v>스위치플랜</x:v>
      </x:c>
      <x:c r="B29" s="24" t="str">
        <x:v>51라1828</x:v>
      </x:c>
      <x:c r="C29" s="24" t="str">
        <x:v>현재보유</x:v>
      </x:c>
      <x:c r="D29" s="24" t="str">
        <x:v>대여중</x:v>
      </x:c>
      <x:c r="E29" s="30"/>
      <x:c r="F29" s="31" t="str">
        <x:f>IF(AND(D29="쉬는차",E29&lt;&gt;""),TODAY()-E29,"")</x:f>
      </x:c>
      <x:c r="G29" s="24" t="str">
        <x:v>안준우</x:v>
      </x:c>
      <x:c r="H29" s="24" t="str">
        <x:v>SW-C-51라1828-1-20240405-30</x:v>
      </x:c>
      <x:c r="I29" s="30" t="n">
        <x:v>45387</x:v>
      </x:c>
      <x:c r="J29" s="30" t="n">
        <x:v>46847</x:v>
      </x:c>
      <x:c r="K29" s="24" t="str">
        <x:v>10일</x:v>
      </x:c>
      <x:c r="L29" s="32" t="n">
        <x:v>650000</x:v>
      </x:c>
      <x:c r="M29" s="31" t="n">
        <x:v>0</x:v>
      </x:c>
      <x:c r="N29" s="32" t="n">
        <x:v>0</x:v>
      </x:c>
      <x:c r="O29" s="31" t="n">
        <x:v>0</x:v>
      </x:c>
      <x:c r="P29" s="24" t="str"/>
      <x:c r="Q29" s="24" t="str">
        <x:v>26</x:v>
      </x:c>
      <x:c r="R29" s="24" t="str"/>
      <x:c r="S29" s="24" t="str">
        <x:f>IF(Q29="","계약연령 미입력",IFERROR(IF(R29="","보험연령 미입력",IF(VALUE(R29)=VALUE(Q29),"정상",IF(VALUE(R29)&gt;VALUE(Q29),"보장 불일치","과보장 점검"))),"계약연령 형식확인"))</x:f>
        <x:v>보험연령 미입력</x:v>
      </x:c>
      <x:c r="T29" s="30"/>
      <x:c r="U29" s="24" t="str">
        <x:f>IF(T29="","보험 자료 없음",IF(T29&lt;TODAY(),"만기 자료 갱신 필요","정상"))</x:f>
        <x:v>보험 자료 없음</x:v>
      </x:c>
      <x:c r="V29" s="24" t="str"/>
      <x:c r="W29" s="24" t="str"/>
      <x:c r="X29" s="24" t="str">
        <x:v>있음</x:v>
      </x:c>
      <x:c r="Y29" s="24" t="str">
        <x:v>보험 연령 입력</x:v>
      </x:c>
      <x:c r="Z29" s="24" t="str"/>
      <x:c r="AA29" s="24" t="str"/>
    </x:row>
    <x:row r="30" ht="17.25" customHeight="1">
      <x:c r="A30" s="24" t="str">
        <x:v>스위치플랜</x:v>
      </x:c>
      <x:c r="B30" s="24" t="str">
        <x:v>265가2481</x:v>
      </x:c>
      <x:c r="C30" s="24" t="str">
        <x:v>현재보유</x:v>
      </x:c>
      <x:c r="D30" s="24" t="str">
        <x:v>대여중</x:v>
      </x:c>
      <x:c r="E30" s="30"/>
      <x:c r="F30" s="31" t="str">
        <x:f>IF(AND(D30="쉬는차",E30&lt;&gt;""),TODAY()-E30,"")</x:f>
      </x:c>
      <x:c r="G30" s="24" t="str">
        <x:v>최희영</x:v>
      </x:c>
      <x:c r="H30" s="24" t="str">
        <x:v>SW-C-265가2481-1-20240718-31</x:v>
      </x:c>
      <x:c r="I30" s="30" t="n">
        <x:v>45491</x:v>
      </x:c>
      <x:c r="J30" s="30" t="n">
        <x:v>46951</x:v>
      </x:c>
      <x:c r="K30" s="24" t="str">
        <x:v>20일</x:v>
      </x:c>
      <x:c r="L30" s="32" t="n">
        <x:v>990000</x:v>
      </x:c>
      <x:c r="M30" s="31" t="n">
        <x:v>4</x:v>
      </x:c>
      <x:c r="N30" s="32" t="n">
        <x:v>990000</x:v>
      </x:c>
      <x:c r="O30" s="31" t="n">
        <x:v>0</x:v>
      </x:c>
      <x:c r="P30" s="24" t="str"/>
      <x:c r="Q30" s="24" t="str">
        <x:v>30</x:v>
      </x:c>
      <x:c r="R30" s="24" t="str"/>
      <x:c r="S30" s="24" t="str">
        <x:f>IF(Q30="","계약연령 미입력",IFERROR(IF(R30="","보험연령 미입력",IF(VALUE(R30)=VALUE(Q30),"정상",IF(VALUE(R30)&gt;VALUE(Q30),"보장 불일치","과보장 점검"))),"계약연령 형식확인"))</x:f>
        <x:v>보험연령 미입력</x:v>
      </x:c>
      <x:c r="T30" s="30"/>
      <x:c r="U30" s="24" t="str">
        <x:f>IF(T30="","보험 자료 없음",IF(T30&lt;TODAY(),"만기 자료 갱신 필요","정상"))</x:f>
        <x:v>보험 자료 없음</x:v>
      </x:c>
      <x:c r="V30" s="24" t="str"/>
      <x:c r="W30" s="24" t="str"/>
      <x:c r="X30" s="24" t="str">
        <x:v>있음</x:v>
      </x:c>
      <x:c r="Y30" s="24" t="str">
        <x:v>미수 확인</x:v>
      </x:c>
      <x:c r="Z30" s="24" t="str"/>
      <x:c r="AA30" s="24" t="str"/>
    </x:row>
    <x:row r="31" ht="17.25" customHeight="1">
      <x:c r="A31" s="24" t="str">
        <x:v>스위치플랜</x:v>
      </x:c>
      <x:c r="B31" s="24" t="str">
        <x:v>30어1926</x:v>
      </x:c>
      <x:c r="C31" s="24" t="str">
        <x:v>현재보유</x:v>
      </x:c>
      <x:c r="D31" s="24" t="str">
        <x:v>대여중</x:v>
      </x:c>
      <x:c r="E31" s="30"/>
      <x:c r="F31" s="31" t="str">
        <x:f>IF(AND(D31="쉬는차",E31&lt;&gt;""),TODAY()-E31,"")</x:f>
      </x:c>
      <x:c r="G31" s="24" t="str">
        <x:v>광명건설</x:v>
      </x:c>
      <x:c r="H31" s="24" t="str">
        <x:v>SW-C-30어1926-1-20250804-32</x:v>
      </x:c>
      <x:c r="I31" s="30" t="n">
        <x:v>45873</x:v>
      </x:c>
      <x:c r="J31" s="30" t="n">
        <x:v>47333</x:v>
      </x:c>
      <x:c r="K31" s="24" t="str">
        <x:v>15일</x:v>
      </x:c>
      <x:c r="L31" s="32" t="n">
        <x:v>1080000</x:v>
      </x:c>
      <x:c r="M31" s="31" t="n">
        <x:v>1</x:v>
      </x:c>
      <x:c r="N31" s="32" t="n">
        <x:v>1080000</x:v>
      </x:c>
      <x:c r="O31" s="31" t="n">
        <x:v>0</x:v>
      </x:c>
      <x:c r="P31" s="24" t="str"/>
      <x:c r="Q31" s="24" t="str">
        <x:v>30</x:v>
      </x:c>
      <x:c r="R31" s="24" t="str"/>
      <x:c r="S31" s="24" t="str">
        <x:f>IF(Q31="","계약연령 미입력",IFERROR(IF(R31="","보험연령 미입력",IF(VALUE(R31)=VALUE(Q31),"정상",IF(VALUE(R31)&gt;VALUE(Q31),"보장 불일치","과보장 점검"))),"계약연령 형식확인"))</x:f>
        <x:v>보험연령 미입력</x:v>
      </x:c>
      <x:c r="T31" s="30"/>
      <x:c r="U31" s="24" t="str">
        <x:f>IF(T31="","보험 자료 없음",IF(T31&lt;TODAY(),"만기 자료 갱신 필요","정상"))</x:f>
        <x:v>보험 자료 없음</x:v>
      </x:c>
      <x:c r="V31" s="24" t="str"/>
      <x:c r="W31" s="24" t="str"/>
      <x:c r="X31" s="24" t="str">
        <x:v>있음</x:v>
      </x:c>
      <x:c r="Y31" s="24" t="str">
        <x:v>미수 확인</x:v>
      </x:c>
      <x:c r="Z31" s="24" t="str"/>
      <x:c r="AA31" s="24" t="str"/>
    </x:row>
    <x:row r="32" ht="17.25" customHeight="1">
      <x:c r="A32" s="24" t="str">
        <x:v>스위치플랜</x:v>
      </x:c>
      <x:c r="B32" s="24" t="str">
        <x:v>172수8945</x:v>
      </x:c>
      <x:c r="C32" s="24" t="str">
        <x:v>현재보유</x:v>
      </x:c>
      <x:c r="D32" s="24" t="str">
        <x:v>대여중</x:v>
      </x:c>
      <x:c r="E32" s="30"/>
      <x:c r="F32" s="31" t="str">
        <x:f>IF(AND(D32="쉬는차",E32&lt;&gt;""),TODAY()-E32,"")</x:f>
      </x:c>
      <x:c r="G32" s="24" t="str">
        <x:v>박형주</x:v>
      </x:c>
      <x:c r="H32" s="24" t="str">
        <x:v>SW-C-172수8945-1-20260528-33</x:v>
      </x:c>
      <x:c r="I32" s="30" t="n">
        <x:v>46170</x:v>
      </x:c>
      <x:c r="J32" s="30" t="n">
        <x:v>47630</x:v>
      </x:c>
      <x:c r="K32" s="24" t="str">
        <x:v>25일</x:v>
      </x:c>
      <x:c r="L32" s="32" t="n">
        <x:v>780000</x:v>
      </x:c>
      <x:c r="M32" s="31" t="n">
        <x:v>1</x:v>
      </x:c>
      <x:c r="N32" s="32" t="n">
        <x:v>680000</x:v>
      </x:c>
      <x:c r="O32" s="31" t="n">
        <x:v>0</x:v>
      </x:c>
      <x:c r="P32" s="24" t="str"/>
      <x:c r="Q32" s="24" t="str">
        <x:v>개인</x:v>
      </x:c>
      <x:c r="R32" s="24" t="str"/>
      <x:c r="S32" s="24" t="str">
        <x:f>IF(Q32="","계약연령 미입력",IFERROR(IF(R32="","보험연령 미입력",IF(VALUE(R32)=VALUE(Q32),"정상",IF(VALUE(R32)&gt;VALUE(Q32),"보장 불일치","과보장 점검"))),"계약연령 형식확인"))</x:f>
        <x:v>보험연령 미입력</x:v>
      </x:c>
      <x:c r="T32" s="30"/>
      <x:c r="U32" s="24" t="str">
        <x:f>IF(T32="","보험 자료 없음",IF(T32&lt;TODAY(),"만기 자료 갱신 필요","정상"))</x:f>
        <x:v>보험 자료 없음</x:v>
      </x:c>
      <x:c r="V32" s="24" t="str"/>
      <x:c r="W32" s="24" t="str"/>
      <x:c r="X32" s="24" t="str">
        <x:v>있음</x:v>
      </x:c>
      <x:c r="Y32" s="24" t="str">
        <x:v>미수 확인</x:v>
      </x:c>
      <x:c r="Z32" s="24" t="str"/>
      <x:c r="AA32" s="24" t="str"/>
    </x:row>
    <x:row r="33" ht="17.25" customHeight="1">
      <x:c r="A33" s="24" t="str">
        <x:v>스위치플랜</x:v>
      </x:c>
      <x:c r="B33" s="24" t="str">
        <x:v>81소0566</x:v>
      </x:c>
      <x:c r="C33" s="24" t="str">
        <x:v>현재보유</x:v>
      </x:c>
      <x:c r="D33" s="24" t="str">
        <x:v>대여중</x:v>
      </x:c>
      <x:c r="E33" s="30"/>
      <x:c r="F33" s="31" t="str">
        <x:f>IF(AND(D33="쉬는차",E33&lt;&gt;""),TODAY()-E33,"")</x:f>
      </x:c>
      <x:c r="G33" s="24" t="str">
        <x:v>김승겸</x:v>
      </x:c>
      <x:c r="H33" s="24" t="str">
        <x:v>SW-C-81소0566-1-20240130-34</x:v>
      </x:c>
      <x:c r="I33" s="30" t="n">
        <x:v>45321</x:v>
      </x:c>
      <x:c r="J33" s="30" t="n">
        <x:v>46781</x:v>
      </x:c>
      <x:c r="K33" s="24" t="str">
        <x:v>말일</x:v>
      </x:c>
      <x:c r="L33" s="32" t="n">
        <x:v>580000</x:v>
      </x:c>
      <x:c r="M33" s="31" t="n">
        <x:v>10</x:v>
      </x:c>
      <x:c r="N33" s="32" t="n">
        <x:v>1160000</x:v>
      </x:c>
      <x:c r="O33" s="31" t="n">
        <x:v>0</x:v>
      </x:c>
      <x:c r="P33" s="24" t="str">
        <x:v>회수 판단</x:v>
      </x:c>
      <x:c r="Q33" s="24" t="str">
        <x:v>35</x:v>
      </x:c>
      <x:c r="R33" s="24" t="str"/>
      <x:c r="S33" s="24" t="str">
        <x:f>IF(Q33="","계약연령 미입력",IFERROR(IF(R33="","보험연령 미입력",IF(VALUE(R33)=VALUE(Q33),"정상",IF(VALUE(R33)&gt;VALUE(Q33),"보장 불일치","과보장 점검"))),"계약연령 형식확인"))</x:f>
        <x:v>보험연령 미입력</x:v>
      </x:c>
      <x:c r="T33" s="30"/>
      <x:c r="U33" s="24" t="str">
        <x:f>IF(T33="","보험 자료 없음",IF(T33&lt;TODAY(),"만기 자료 갱신 필요","정상"))</x:f>
        <x:v>보험 자료 없음</x:v>
      </x:c>
      <x:c r="V33" s="24" t="str"/>
      <x:c r="W33" s="24" t="str"/>
      <x:c r="X33" s="24" t="str">
        <x:v>있음</x:v>
      </x:c>
      <x:c r="Y33" s="24" t="str">
        <x:v>회수 검토</x:v>
      </x:c>
      <x:c r="Z33" s="24" t="str"/>
      <x:c r="AA33" s="24" t="str"/>
    </x:row>
    <x:row r="34" ht="17.25" customHeight="1">
      <x:c r="A34" s="24" t="str">
        <x:v>스위치플랜</x:v>
      </x:c>
      <x:c r="B34" s="24" t="str">
        <x:v>89너4007</x:v>
      </x:c>
      <x:c r="C34" s="24" t="str">
        <x:v>현재보유</x:v>
      </x:c>
      <x:c r="D34" s="24" t="str">
        <x:v>대여중</x:v>
      </x:c>
      <x:c r="E34" s="30"/>
      <x:c r="F34" s="31" t="str">
        <x:f>IF(AND(D34="쉬는차",E34&lt;&gt;""),TODAY()-E34,"")</x:f>
      </x:c>
      <x:c r="G34" s="24" t="str">
        <x:v>박영현</x:v>
      </x:c>
      <x:c r="H34" s="24" t="str">
        <x:v>SW-C-89너4007-1-NA-35</x:v>
      </x:c>
      <x:c r="I34" s="30"/>
      <x:c r="J34" s="30"/>
      <x:c r="K34" s="24" t="str"/>
      <x:c r="L34" s="32"/>
      <x:c r="M34" s="31" t="n">
        <x:v>0</x:v>
      </x:c>
      <x:c r="N34" s="32" t="n">
        <x:v>0</x:v>
      </x:c>
      <x:c r="O34" s="31" t="n">
        <x:v>0</x:v>
      </x:c>
      <x:c r="P34" s="24" t="str"/>
      <x:c r="Q34" s="24" t="str">
        <x:v>35</x:v>
      </x:c>
      <x:c r="R34" s="24" t="str"/>
      <x:c r="S34" s="24" t="str">
        <x:f>IF(Q34="","계약연령 미입력",IFERROR(IF(R34="","보험연령 미입력",IF(VALUE(R34)=VALUE(Q34),"정상",IF(VALUE(R34)&gt;VALUE(Q34),"보장 불일치","과보장 점검"))),"계약연령 형식확인"))</x:f>
        <x:v>보험연령 미입력</x:v>
      </x:c>
      <x:c r="T34" s="30"/>
      <x:c r="U34" s="24" t="str">
        <x:f>IF(T34="","보험 자료 없음",IF(T34&lt;TODAY(),"만기 자료 갱신 필요","정상"))</x:f>
        <x:v>보험 자료 없음</x:v>
      </x:c>
      <x:c r="V34" s="24" t="str"/>
      <x:c r="W34" s="24" t="str"/>
      <x:c r="X34" s="24" t="str">
        <x:v>없음</x:v>
      </x:c>
      <x:c r="Y34" s="24" t="str">
        <x:v>계약서 연결</x:v>
      </x:c>
      <x:c r="Z34" s="24" t="str"/>
      <x:c r="AA34" s="24" t="str"/>
    </x:row>
    <x:row r="35" ht="17.25" customHeight="1">
      <x:c r="A35" s="24" t="str">
        <x:v>스위치플랜</x:v>
      </x:c>
      <x:c r="B35" s="24" t="str">
        <x:v>314소2486</x:v>
      </x:c>
      <x:c r="C35" s="24" t="str">
        <x:v>현재보유</x:v>
      </x:c>
      <x:c r="D35" s="24" t="str">
        <x:v>대여중</x:v>
      </x:c>
      <x:c r="E35" s="30"/>
      <x:c r="F35" s="31" t="str">
        <x:f>IF(AND(D35="쉬는차",E35&lt;&gt;""),TODAY()-E35,"")</x:f>
      </x:c>
      <x:c r="G35" s="24" t="str">
        <x:v>우재민</x:v>
      </x:c>
      <x:c r="H35" s="24" t="str">
        <x:v>SW-C-314소2486-1-20231121-36</x:v>
      </x:c>
      <x:c r="I35" s="30" t="n">
        <x:v>45251</x:v>
      </x:c>
      <x:c r="J35" s="30" t="n">
        <x:v>47077</x:v>
      </x:c>
      <x:c r="K35" s="24" t="str">
        <x:v>20일</x:v>
      </x:c>
      <x:c r="L35" s="32" t="n">
        <x:v>660000</x:v>
      </x:c>
      <x:c r="M35" s="31" t="n">
        <x:v>13</x:v>
      </x:c>
      <x:c r="N35" s="32" t="n">
        <x:v>660000</x:v>
      </x:c>
      <x:c r="O35" s="31" t="n">
        <x:v>0</x:v>
      </x:c>
      <x:c r="P35" s="24" t="str"/>
      <x:c r="Q35" s="24" t="str">
        <x:v>35</x:v>
      </x:c>
      <x:c r="R35" s="24" t="str"/>
      <x:c r="S35" s="24" t="str">
        <x:f>IF(Q35="","계약연령 미입력",IFERROR(IF(R35="","보험연령 미입력",IF(VALUE(R35)=VALUE(Q35),"정상",IF(VALUE(R35)&gt;VALUE(Q35),"보장 불일치","과보장 점검"))),"계약연령 형식확인"))</x:f>
        <x:v>보험연령 미입력</x:v>
      </x:c>
      <x:c r="T35" s="30"/>
      <x:c r="U35" s="24" t="str">
        <x:f>IF(T35="","보험 자료 없음",IF(T35&lt;TODAY(),"만기 자료 갱신 필요","정상"))</x:f>
        <x:v>보험 자료 없음</x:v>
      </x:c>
      <x:c r="V35" s="24" t="str"/>
      <x:c r="W35" s="24" t="str"/>
      <x:c r="X35" s="24" t="str">
        <x:v>있음</x:v>
      </x:c>
      <x:c r="Y35" s="24" t="str">
        <x:v>미수 확인</x:v>
      </x:c>
      <x:c r="Z35" s="24" t="str"/>
      <x:c r="AA35" s="24" t="str"/>
    </x:row>
    <x:row r="36" ht="17.25" customHeight="1">
      <x:c r="A36" s="24" t="str">
        <x:v>스위치플랜</x:v>
      </x:c>
      <x:c r="B36" s="24" t="str">
        <x:v>52모6211</x:v>
      </x:c>
      <x:c r="C36" s="24" t="str">
        <x:v>현재보유</x:v>
      </x:c>
      <x:c r="D36" s="24" t="str">
        <x:v>대여중</x:v>
      </x:c>
      <x:c r="E36" s="30"/>
      <x:c r="F36" s="31" t="str">
        <x:f>IF(AND(D36="쉬는차",E36&lt;&gt;""),TODAY()-E36,"")</x:f>
      </x:c>
      <x:c r="G36" s="24" t="str">
        <x:v>이우진</x:v>
      </x:c>
      <x:c r="H36" s="24" t="str">
        <x:v>SW-C-52모6211-1-20240925-37</x:v>
      </x:c>
      <x:c r="I36" s="30" t="n">
        <x:v>45560</x:v>
      </x:c>
      <x:c r="J36" s="30" t="n">
        <x:v>47020</x:v>
      </x:c>
      <x:c r="K36" s="24" t="str">
        <x:v>05일</x:v>
      </x:c>
      <x:c r="L36" s="32" t="n">
        <x:v>800000</x:v>
      </x:c>
      <x:c r="M36" s="31" t="n">
        <x:v>0</x:v>
      </x:c>
      <x:c r="N36" s="32" t="n">
        <x:v>0</x:v>
      </x:c>
      <x:c r="O36" s="31" t="n">
        <x:v>0</x:v>
      </x:c>
      <x:c r="P36" s="24" t="str"/>
      <x:c r="Q36" s="24" t="str">
        <x:v>30</x:v>
      </x:c>
      <x:c r="R36" s="24" t="str"/>
      <x:c r="S36" s="24" t="str">
        <x:f>IF(Q36="","계약연령 미입력",IFERROR(IF(R36="","보험연령 미입력",IF(VALUE(R36)=VALUE(Q36),"정상",IF(VALUE(R36)&gt;VALUE(Q36),"보장 불일치","과보장 점검"))),"계약연령 형식확인"))</x:f>
        <x:v>보험연령 미입력</x:v>
      </x:c>
      <x:c r="T36" s="30"/>
      <x:c r="U36" s="24" t="str">
        <x:f>IF(T36="","보험 자료 없음",IF(T36&lt;TODAY(),"만기 자료 갱신 필요","정상"))</x:f>
        <x:v>보험 자료 없음</x:v>
      </x:c>
      <x:c r="V36" s="24" t="str"/>
      <x:c r="W36" s="24" t="str"/>
      <x:c r="X36" s="24" t="str">
        <x:v>있음</x:v>
      </x:c>
      <x:c r="Y36" s="24" t="str">
        <x:v>보험 연령 입력</x:v>
      </x:c>
      <x:c r="Z36" s="24" t="str"/>
      <x:c r="AA36" s="24" t="str"/>
    </x:row>
    <x:row r="37" ht="17.25" customHeight="1">
      <x:c r="A37" s="24" t="str">
        <x:v>스위치플랜</x:v>
      </x:c>
      <x:c r="B37" s="24" t="str">
        <x:v>376두7844</x:v>
      </x:c>
      <x:c r="C37" s="24" t="str">
        <x:v>현재보유</x:v>
      </x:c>
      <x:c r="D37" s="24" t="str">
        <x:v>대여중</x:v>
      </x:c>
      <x:c r="E37" s="30"/>
      <x:c r="F37" s="31" t="str">
        <x:f>IF(AND(D37="쉬는차",E37&lt;&gt;""),TODAY()-E37,"")</x:f>
      </x:c>
      <x:c r="G37" s="24" t="str">
        <x:v>김동현</x:v>
      </x:c>
      <x:c r="H37" s="24" t="str">
        <x:v>SW-C-376두7844-1-20250616-38</x:v>
      </x:c>
      <x:c r="I37" s="30" t="n">
        <x:v>45824</x:v>
      </x:c>
      <x:c r="J37" s="30" t="n">
        <x:v>47284</x:v>
      </x:c>
      <x:c r="K37" s="24" t="str">
        <x:v>15일</x:v>
      </x:c>
      <x:c r="L37" s="32" t="n">
        <x:v>1170000</x:v>
      </x:c>
      <x:c r="M37" s="31" t="n">
        <x:v>1</x:v>
      </x:c>
      <x:c r="N37" s="32" t="n">
        <x:v>1170000</x:v>
      </x:c>
      <x:c r="O37" s="31" t="n">
        <x:v>0</x:v>
      </x:c>
      <x:c r="P37" s="24" t="str"/>
      <x:c r="Q37" s="24" t="str">
        <x:v>35</x:v>
      </x:c>
      <x:c r="R37" s="24" t="str"/>
      <x:c r="S37" s="24" t="str">
        <x:f>IF(Q37="","계약연령 미입력",IFERROR(IF(R37="","보험연령 미입력",IF(VALUE(R37)=VALUE(Q37),"정상",IF(VALUE(R37)&gt;VALUE(Q37),"보장 불일치","과보장 점검"))),"계약연령 형식확인"))</x:f>
        <x:v>보험연령 미입력</x:v>
      </x:c>
      <x:c r="T37" s="30"/>
      <x:c r="U37" s="24" t="str">
        <x:f>IF(T37="","보험 자료 없음",IF(T37&lt;TODAY(),"만기 자료 갱신 필요","정상"))</x:f>
        <x:v>보험 자료 없음</x:v>
      </x:c>
      <x:c r="V37" s="24" t="str"/>
      <x:c r="W37" s="24" t="str"/>
      <x:c r="X37" s="24" t="str">
        <x:v>있음</x:v>
      </x:c>
      <x:c r="Y37" s="24" t="str">
        <x:v>미수 확인</x:v>
      </x:c>
      <x:c r="Z37" s="24" t="str"/>
      <x:c r="AA37" s="24" t="str"/>
    </x:row>
    <x:row r="38" ht="17.25" customHeight="1">
      <x:c r="A38" s="24" t="str">
        <x:v>스위치플랜</x:v>
      </x:c>
      <x:c r="B38" s="24" t="str">
        <x:v>66소6317</x:v>
      </x:c>
      <x:c r="C38" s="24" t="str">
        <x:v>현재보유</x:v>
      </x:c>
      <x:c r="D38" s="24" t="str">
        <x:v>내부용</x:v>
      </x:c>
      <x:c r="E38" s="30"/>
      <x:c r="F38" s="31" t="str">
        <x:f>IF(AND(D38="쉬는차",E38&lt;&gt;""),TODAY()-E38,"")</x:f>
      </x:c>
      <x:c r="G38" s="24" t="str">
        <x:v>내부의전용</x:v>
      </x:c>
      <x:c r="H38" s="24" t="str">
        <x:v>SW-C-66소6317-1-NA-39</x:v>
      </x:c>
      <x:c r="I38" s="30"/>
      <x:c r="J38" s="30"/>
      <x:c r="K38" s="24" t="str"/>
      <x:c r="L38" s="32"/>
      <x:c r="M38" s="31" t="n">
        <x:v>0</x:v>
      </x:c>
      <x:c r="N38" s="32" t="n">
        <x:v>-50000</x:v>
      </x:c>
      <x:c r="O38" s="31" t="n">
        <x:v>0</x:v>
      </x:c>
      <x:c r="P38" s="24" t="str"/>
      <x:c r="Q38" s="24" t="str">
        <x:v>책임</x:v>
      </x:c>
      <x:c r="R38" s="24" t="str"/>
      <x:c r="S38" s="24" t="str">
        <x:f>IF(Q38="","계약연령 미입력",IFERROR(IF(R38="","보험연령 미입력",IF(VALUE(R38)=VALUE(Q38),"정상",IF(VALUE(R38)&gt;VALUE(Q38),"보장 불일치","과보장 점검"))),"계약연령 형식확인"))</x:f>
        <x:v>보험연령 미입력</x:v>
      </x:c>
      <x:c r="T38" s="30"/>
      <x:c r="U38" s="24" t="str">
        <x:f>IF(T38="","보험 자료 없음",IF(T38&lt;TODAY(),"만기 자료 갱신 필요","정상"))</x:f>
        <x:v>보험 자료 없음</x:v>
      </x:c>
      <x:c r="V38" s="24" t="str"/>
      <x:c r="W38" s="24" t="str"/>
      <x:c r="X38" s="24" t="str">
        <x:v>있음</x:v>
      </x:c>
      <x:c r="Y38" s="24" t="str"/>
      <x:c r="Z38" s="24" t="str"/>
      <x:c r="AA38" s="24" t="str"/>
    </x:row>
    <x:row r="39" ht="17.25" customHeight="1">
      <x:c r="A39" s="24" t="str">
        <x:v>스위치플랜</x:v>
      </x:c>
      <x:c r="B39" s="24" t="str">
        <x:v>162고5602</x:v>
      </x:c>
      <x:c r="C39" s="24" t="str">
        <x:v>현재보유</x:v>
      </x:c>
      <x:c r="D39" s="24" t="str">
        <x:v>대여중</x:v>
      </x:c>
      <x:c r="E39" s="30"/>
      <x:c r="F39" s="31" t="str">
        <x:f>IF(AND(D39="쉬는차",E39&lt;&gt;""),TODAY()-E39,"")</x:f>
      </x:c>
      <x:c r="G39" s="24" t="str">
        <x:v>디테힐링(장승민)</x:v>
      </x:c>
      <x:c r="H39" s="24" t="str">
        <x:v>SW-C-162고5602-1-20241216-40</x:v>
      </x:c>
      <x:c r="I39" s="30" t="n">
        <x:v>45642</x:v>
      </x:c>
      <x:c r="J39" s="30" t="n">
        <x:v>47467</x:v>
      </x:c>
      <x:c r="K39" s="24" t="str">
        <x:v>15일</x:v>
      </x:c>
      <x:c r="L39" s="32" t="n">
        <x:v>280000</x:v>
      </x:c>
      <x:c r="M39" s="31" t="n">
        <x:v>1</x:v>
      </x:c>
      <x:c r="N39" s="32" t="n">
        <x:v>280000</x:v>
      </x:c>
      <x:c r="O39" s="31" t="n">
        <x:v>0</x:v>
      </x:c>
      <x:c r="P39" s="24" t="str"/>
      <x:c r="Q39" s="24" t="str">
        <x:v>26</x:v>
      </x:c>
      <x:c r="R39" s="24" t="str"/>
      <x:c r="S39" s="24" t="str">
        <x:f>IF(Q39="","계약연령 미입력",IFERROR(IF(R39="","보험연령 미입력",IF(VALUE(R39)=VALUE(Q39),"정상",IF(VALUE(R39)&gt;VALUE(Q39),"보장 불일치","과보장 점검"))),"계약연령 형식확인"))</x:f>
        <x:v>보험연령 미입력</x:v>
      </x:c>
      <x:c r="T39" s="30"/>
      <x:c r="U39" s="24" t="str">
        <x:f>IF(T39="","보험 자료 없음",IF(T39&lt;TODAY(),"만기 자료 갱신 필요","정상"))</x:f>
        <x:v>보험 자료 없음</x:v>
      </x:c>
      <x:c r="V39" s="24" t="str"/>
      <x:c r="W39" s="24" t="str"/>
      <x:c r="X39" s="24" t="str">
        <x:v>있음</x:v>
      </x:c>
      <x:c r="Y39" s="24" t="str">
        <x:v>미수 확인</x:v>
      </x:c>
      <x:c r="Z39" s="24" t="str"/>
      <x:c r="AA39" s="24" t="str"/>
    </x:row>
    <x:row r="40" ht="17.25" customHeight="1">
      <x:c r="A40" s="24" t="str">
        <x:v>스위치플랜</x:v>
      </x:c>
      <x:c r="B40" s="24" t="str">
        <x:v>15나3640</x:v>
      </x:c>
      <x:c r="C40" s="24" t="str">
        <x:v>현재보유</x:v>
      </x:c>
      <x:c r="D40" s="24" t="str">
        <x:v>대여중</x:v>
      </x:c>
      <x:c r="E40" s="30"/>
      <x:c r="F40" s="31" t="str">
        <x:f>IF(AND(D40="쉬는차",E40&lt;&gt;""),TODAY()-E40,"")</x:f>
      </x:c>
      <x:c r="G40" s="24" t="str">
        <x:v>이영민</x:v>
      </x:c>
      <x:c r="H40" s="24" t="str">
        <x:v>SW-C-15나3640-1-20250822-41</x:v>
      </x:c>
      <x:c r="I40" s="30" t="n">
        <x:v>45891</x:v>
      </x:c>
      <x:c r="J40" s="30" t="n">
        <x:v>47351</x:v>
      </x:c>
      <x:c r="K40" s="24" t="str">
        <x:v>25일</x:v>
      </x:c>
      <x:c r="L40" s="32" t="n">
        <x:v>850000</x:v>
      </x:c>
      <x:c r="M40" s="31" t="n">
        <x:v>1</x:v>
      </x:c>
      <x:c r="N40" s="32" t="n">
        <x:v>850000</x:v>
      </x:c>
      <x:c r="O40" s="31" t="n">
        <x:v>0</x:v>
      </x:c>
      <x:c r="P40" s="24" t="str"/>
      <x:c r="Q40" s="24" t="str">
        <x:v>26</x:v>
      </x:c>
      <x:c r="R40" s="24" t="str"/>
      <x:c r="S40" s="24" t="str">
        <x:f>IF(Q40="","계약연령 미입력",IFERROR(IF(R40="","보험연령 미입력",IF(VALUE(R40)=VALUE(Q40),"정상",IF(VALUE(R40)&gt;VALUE(Q40),"보장 불일치","과보장 점검"))),"계약연령 형식확인"))</x:f>
        <x:v>보험연령 미입력</x:v>
      </x:c>
      <x:c r="T40" s="30"/>
      <x:c r="U40" s="24" t="str">
        <x:f>IF(T40="","보험 자료 없음",IF(T40&lt;TODAY(),"만기 자료 갱신 필요","정상"))</x:f>
        <x:v>보험 자료 없음</x:v>
      </x:c>
      <x:c r="V40" s="24" t="str"/>
      <x:c r="W40" s="24" t="str"/>
      <x:c r="X40" s="24" t="str">
        <x:v>있음</x:v>
      </x:c>
      <x:c r="Y40" s="24" t="str">
        <x:v>미수 확인</x:v>
      </x:c>
      <x:c r="Z40" s="24" t="str"/>
      <x:c r="AA40" s="24" t="str"/>
    </x:row>
    <x:row r="41" ht="17.25" customHeight="1">
      <x:c r="A41" s="24" t="str">
        <x:v>스위치플랜</x:v>
      </x:c>
      <x:c r="B41" s="24" t="str">
        <x:v>97러0815</x:v>
      </x:c>
      <x:c r="C41" s="24" t="str">
        <x:v>현재보유</x:v>
      </x:c>
      <x:c r="D41" s="24" t="str">
        <x:v>대여중</x:v>
      </x:c>
      <x:c r="E41" s="30"/>
      <x:c r="F41" s="31" t="str">
        <x:f>IF(AND(D41="쉬는차",E41&lt;&gt;""),TODAY()-E41,"")</x:f>
      </x:c>
      <x:c r="G41" s="24" t="str">
        <x:v>쏘노엠</x:v>
      </x:c>
      <x:c r="H41" s="24" t="str">
        <x:v>SW-C-97러0815-1-20260115-42</x:v>
      </x:c>
      <x:c r="I41" s="30" t="n">
        <x:v>46037</x:v>
      </x:c>
      <x:c r="J41" s="30" t="n">
        <x:v>46749</x:v>
      </x:c>
      <x:c r="K41" s="24" t="str">
        <x:v>05일</x:v>
      </x:c>
      <x:c r="L41" s="32" t="n">
        <x:v>720000</x:v>
      </x:c>
      <x:c r="M41" s="31" t="n">
        <x:v>0</x:v>
      </x:c>
      <x:c r="N41" s="32" t="n">
        <x:v>0</x:v>
      </x:c>
      <x:c r="O41" s="31" t="n">
        <x:v>0</x:v>
      </x:c>
      <x:c r="P41" s="24" t="str"/>
      <x:c r="Q41" s="24" t="str">
        <x:v>35</x:v>
      </x:c>
      <x:c r="R41" s="24" t="str"/>
      <x:c r="S41" s="24" t="str">
        <x:f>IF(Q41="","계약연령 미입력",IFERROR(IF(R41="","보험연령 미입력",IF(VALUE(R41)=VALUE(Q41),"정상",IF(VALUE(R41)&gt;VALUE(Q41),"보장 불일치","과보장 점검"))),"계약연령 형식확인"))</x:f>
        <x:v>보험연령 미입력</x:v>
      </x:c>
      <x:c r="T41" s="30"/>
      <x:c r="U41" s="24" t="str">
        <x:f>IF(T41="","보험 자료 없음",IF(T41&lt;TODAY(),"만기 자료 갱신 필요","정상"))</x:f>
        <x:v>보험 자료 없음</x:v>
      </x:c>
      <x:c r="V41" s="24" t="str"/>
      <x:c r="W41" s="24" t="str"/>
      <x:c r="X41" s="24" t="str">
        <x:v>있음</x:v>
      </x:c>
      <x:c r="Y41" s="24" t="str">
        <x:v>보험 연령 입력</x:v>
      </x:c>
      <x:c r="Z41" s="24" t="str"/>
      <x:c r="AA41" s="24" t="str"/>
    </x:row>
    <x:row r="42" ht="17.25" customHeight="1">
      <x:c r="A42" s="24" t="str">
        <x:v>스위치플랜</x:v>
      </x:c>
      <x:c r="B42" s="24" t="str">
        <x:v>68서5320</x:v>
      </x:c>
      <x:c r="C42" s="24" t="str">
        <x:v>현재보유</x:v>
      </x:c>
      <x:c r="D42" s="24" t="str">
        <x:v>대여중</x:v>
      </x:c>
      <x:c r="E42" s="30"/>
      <x:c r="F42" s="31" t="str">
        <x:f>IF(AND(D42="쉬는차",E42&lt;&gt;""),TODAY()-E42,"")</x:f>
      </x:c>
      <x:c r="G42" s="24" t="str">
        <x:v>이승조</x:v>
      </x:c>
      <x:c r="H42" s="24" t="str">
        <x:v>SW-C-68서5320-1-20260424-43</x:v>
      </x:c>
      <x:c r="I42" s="30" t="n">
        <x:v>46136</x:v>
      </x:c>
      <x:c r="J42" s="30" t="n">
        <x:v>46969</x:v>
      </x:c>
      <x:c r="K42" s="24" t="str">
        <x:v>10일</x:v>
      </x:c>
      <x:c r="L42" s="32" t="n">
        <x:v>500000</x:v>
      </x:c>
      <x:c r="M42" s="31" t="n">
        <x:v>0</x:v>
      </x:c>
      <x:c r="N42" s="32" t="n">
        <x:v>0</x:v>
      </x:c>
      <x:c r="O42" s="31" t="n">
        <x:v>0</x:v>
      </x:c>
      <x:c r="P42" s="24" t="str"/>
      <x:c r="Q42" s="24" t="str">
        <x:v>26</x:v>
      </x:c>
      <x:c r="R42" s="24" t="str"/>
      <x:c r="S42" s="24" t="str">
        <x:f>IF(Q42="","계약연령 미입력",IFERROR(IF(R42="","보험연령 미입력",IF(VALUE(R42)=VALUE(Q42),"정상",IF(VALUE(R42)&gt;VALUE(Q42),"보장 불일치","과보장 점검"))),"계약연령 형식확인"))</x:f>
        <x:v>보험연령 미입력</x:v>
      </x:c>
      <x:c r="T42" s="30"/>
      <x:c r="U42" s="24" t="str">
        <x:f>IF(T42="","보험 자료 없음",IF(T42&lt;TODAY(),"만기 자료 갱신 필요","정상"))</x:f>
        <x:v>보험 자료 없음</x:v>
      </x:c>
      <x:c r="V42" s="24" t="str"/>
      <x:c r="W42" s="24" t="str"/>
      <x:c r="X42" s="24" t="str">
        <x:v>있음</x:v>
      </x:c>
      <x:c r="Y42" s="24" t="str">
        <x:v>보험 연령 입력</x:v>
      </x:c>
      <x:c r="Z42" s="24" t="str"/>
      <x:c r="AA42" s="24" t="str"/>
    </x:row>
    <x:row r="43" ht="17.25" customHeight="1">
      <x:c r="A43" s="24" t="str">
        <x:v>스위치플랜</x:v>
      </x:c>
      <x:c r="B43" s="24" t="str">
        <x:v>28구4152</x:v>
      </x:c>
      <x:c r="C43" s="24" t="str">
        <x:v>현재보유</x:v>
      </x:c>
      <x:c r="D43" s="24" t="str">
        <x:v>대여중</x:v>
      </x:c>
      <x:c r="E43" s="30"/>
      <x:c r="F43" s="31" t="str">
        <x:f>IF(AND(D43="쉬는차",E43&lt;&gt;""),TODAY()-E43,"")</x:f>
      </x:c>
      <x:c r="G43" s="24" t="str">
        <x:v>김경남</x:v>
      </x:c>
      <x:c r="H43" s="24" t="str">
        <x:v>SW-C-28구4152-1-20240201-44</x:v>
      </x:c>
      <x:c r="I43" s="30" t="n">
        <x:v>45323</x:v>
      </x:c>
      <x:c r="J43" s="30" t="n">
        <x:v>46783</x:v>
      </x:c>
      <x:c r="K43" s="24" t="str">
        <x:v>05일</x:v>
      </x:c>
      <x:c r="L43" s="32" t="n">
        <x:v>880000</x:v>
      </x:c>
      <x:c r="M43" s="31" t="n">
        <x:v>0</x:v>
      </x:c>
      <x:c r="N43" s="32" t="n">
        <x:v>0</x:v>
      </x:c>
      <x:c r="O43" s="31" t="n">
        <x:v>0</x:v>
      </x:c>
      <x:c r="P43" s="24" t="str"/>
      <x:c r="Q43" s="24" t="str">
        <x:v>35</x:v>
      </x:c>
      <x:c r="R43" s="24" t="str"/>
      <x:c r="S43" s="24" t="str">
        <x:f>IF(Q43="","계약연령 미입력",IFERROR(IF(R43="","보험연령 미입력",IF(VALUE(R43)=VALUE(Q43),"정상",IF(VALUE(R43)&gt;VALUE(Q43),"보장 불일치","과보장 점검"))),"계약연령 형식확인"))</x:f>
        <x:v>보험연령 미입력</x:v>
      </x:c>
      <x:c r="T43" s="30"/>
      <x:c r="U43" s="24" t="str">
        <x:f>IF(T43="","보험 자료 없음",IF(T43&lt;TODAY(),"만기 자료 갱신 필요","정상"))</x:f>
        <x:v>보험 자료 없음</x:v>
      </x:c>
      <x:c r="V43" s="24" t="str"/>
      <x:c r="W43" s="24" t="str"/>
      <x:c r="X43" s="24" t="str">
        <x:v>있음</x:v>
      </x:c>
      <x:c r="Y43" s="24" t="str">
        <x:v>보험 연령 입력</x:v>
      </x:c>
      <x:c r="Z43" s="24" t="str"/>
      <x:c r="AA43" s="24" t="str"/>
    </x:row>
    <x:row r="44" ht="17.25" customHeight="1">
      <x:c r="A44" s="24" t="str">
        <x:v>스위치플랜</x:v>
      </x:c>
      <x:c r="B44" s="24" t="str">
        <x:v>365주3303</x:v>
      </x:c>
      <x:c r="C44" s="24" t="str">
        <x:v>현재보유</x:v>
      </x:c>
      <x:c r="D44" s="24" t="str">
        <x:v>대여중</x:v>
      </x:c>
      <x:c r="E44" s="30"/>
      <x:c r="F44" s="31" t="str">
        <x:f>IF(AND(D44="쉬는차",E44&lt;&gt;""),TODAY()-E44,"")</x:f>
      </x:c>
      <x:c r="G44" s="24" t="str">
        <x:v>이은규</x:v>
      </x:c>
      <x:c r="H44" s="24" t="str">
        <x:v>SW-C-365주3303-1-20231121-45</x:v>
      </x:c>
      <x:c r="I44" s="30" t="n">
        <x:v>45251</x:v>
      </x:c>
      <x:c r="J44" s="30" t="n">
        <x:v>47077</x:v>
      </x:c>
      <x:c r="K44" s="24" t="str">
        <x:v>20일</x:v>
      </x:c>
      <x:c r="L44" s="32" t="n">
        <x:v>960000</x:v>
      </x:c>
      <x:c r="M44" s="31" t="n">
        <x:v>22</x:v>
      </x:c>
      <x:c r="N44" s="32" t="n">
        <x:v>930000</x:v>
      </x:c>
      <x:c r="O44" s="31" t="n">
        <x:v>0</x:v>
      </x:c>
      <x:c r="P44" s="24" t="str"/>
      <x:c r="Q44" s="24" t="str">
        <x:v>35</x:v>
      </x:c>
      <x:c r="R44" s="24" t="str"/>
      <x:c r="S44" s="24" t="str">
        <x:f>IF(Q44="","계약연령 미입력",IFERROR(IF(R44="","보험연령 미입력",IF(VALUE(R44)=VALUE(Q44),"정상",IF(VALUE(R44)&gt;VALUE(Q44),"보장 불일치","과보장 점검"))),"계약연령 형식확인"))</x:f>
        <x:v>보험연령 미입력</x:v>
      </x:c>
      <x:c r="T44" s="30"/>
      <x:c r="U44" s="24" t="str">
        <x:f>IF(T44="","보험 자료 없음",IF(T44&lt;TODAY(),"만기 자료 갱신 필요","정상"))</x:f>
        <x:v>보험 자료 없음</x:v>
      </x:c>
      <x:c r="V44" s="24" t="str"/>
      <x:c r="W44" s="24" t="str"/>
      <x:c r="X44" s="24" t="str">
        <x:v>있음</x:v>
      </x:c>
      <x:c r="Y44" s="24" t="str">
        <x:v>미수 확인</x:v>
      </x:c>
      <x:c r="Z44" s="24" t="str"/>
      <x:c r="AA44" s="24" t="str"/>
    </x:row>
    <x:row r="45" ht="17.25" customHeight="1">
      <x:c r="A45" s="24" t="str">
        <x:v>스위치플랜</x:v>
      </x:c>
      <x:c r="B45" s="24" t="str">
        <x:v>165서6056</x:v>
      </x:c>
      <x:c r="C45" s="24" t="str">
        <x:v>현재보유</x:v>
      </x:c>
      <x:c r="D45" s="24" t="str">
        <x:v>대여중</x:v>
      </x:c>
      <x:c r="E45" s="30"/>
      <x:c r="F45" s="31" t="str">
        <x:f>IF(AND(D45="쉬는차",E45&lt;&gt;""),TODAY()-E45,"")</x:f>
      </x:c>
      <x:c r="G45" s="24" t="str">
        <x:v>백규열</x:v>
      </x:c>
      <x:c r="H45" s="24" t="str">
        <x:v>SW-C-165서6056-1-20231123-46</x:v>
      </x:c>
      <x:c r="I45" s="30" t="n">
        <x:v>45253</x:v>
      </x:c>
      <x:c r="J45" s="30" t="n">
        <x:v>46348</x:v>
      </x:c>
      <x:c r="K45" s="24" t="str">
        <x:v>25일</x:v>
      </x:c>
      <x:c r="L45" s="32" t="n">
        <x:v>400000</x:v>
      </x:c>
      <x:c r="M45" s="31" t="n">
        <x:v>6</x:v>
      </x:c>
      <x:c r="N45" s="32" t="n">
        <x:v>400000</x:v>
      </x:c>
      <x:c r="O45" s="31" t="n">
        <x:v>0</x:v>
      </x:c>
      <x:c r="P45" s="24" t="str">
        <x:v>만기 임박</x:v>
      </x:c>
      <x:c r="Q45" s="24" t="str">
        <x:v>35</x:v>
      </x:c>
      <x:c r="R45" s="24" t="str"/>
      <x:c r="S45" s="24" t="str">
        <x:f>IF(Q45="","계약연령 미입력",IFERROR(IF(R45="","보험연령 미입력",IF(VALUE(R45)=VALUE(Q45),"정상",IF(VALUE(R45)&gt;VALUE(Q45),"보장 불일치","과보장 점검"))),"계약연령 형식확인"))</x:f>
        <x:v>보험연령 미입력</x:v>
      </x:c>
      <x:c r="T45" s="30"/>
      <x:c r="U45" s="24" t="str">
        <x:f>IF(T45="","보험 자료 없음",IF(T45&lt;TODAY(),"만기 자료 갱신 필요","정상"))</x:f>
        <x:v>보험 자료 없음</x:v>
      </x:c>
      <x:c r="V45" s="24" t="str"/>
      <x:c r="W45" s="24" t="str"/>
      <x:c r="X45" s="24" t="str">
        <x:v>있음</x:v>
      </x:c>
      <x:c r="Y45" s="24" t="str">
        <x:v>미수 확인</x:v>
      </x:c>
      <x:c r="Z45" s="24" t="str"/>
      <x:c r="AA45" s="24" t="str"/>
    </x:row>
    <x:row r="46" ht="17.25" customHeight="1">
      <x:c r="A46" s="24" t="str">
        <x:v>스위치플랜</x:v>
      </x:c>
      <x:c r="B46" s="24" t="str">
        <x:v>32어3092</x:v>
      </x:c>
      <x:c r="C46" s="24" t="str">
        <x:v>현재보유</x:v>
      </x:c>
      <x:c r="D46" s="24" t="str">
        <x:v>대여중</x:v>
      </x:c>
      <x:c r="E46" s="30"/>
      <x:c r="F46" s="31" t="str">
        <x:f>IF(AND(D46="쉬는차",E46&lt;&gt;""),TODAY()-E46,"")</x:f>
      </x:c>
      <x:c r="G46" s="24" t="str">
        <x:v>박태윤</x:v>
      </x:c>
      <x:c r="H46" s="24" t="str">
        <x:v>SW-C-32어3092-1-NA-47</x:v>
      </x:c>
      <x:c r="I46" s="30"/>
      <x:c r="J46" s="30"/>
      <x:c r="K46" s="24" t="str"/>
      <x:c r="L46" s="32"/>
      <x:c r="M46" s="31" t="n">
        <x:v>0</x:v>
      </x:c>
      <x:c r="N46" s="32" t="n">
        <x:v>0</x:v>
      </x:c>
      <x:c r="O46" s="31" t="n">
        <x:v>0</x:v>
      </x:c>
      <x:c r="P46" s="24" t="str"/>
      <x:c r="Q46" s="24" t="str">
        <x:v>개인</x:v>
      </x:c>
      <x:c r="R46" s="24" t="str"/>
      <x:c r="S46" s="24" t="str">
        <x:f>IF(Q46="","계약연령 미입력",IFERROR(IF(R46="","보험연령 미입력",IF(VALUE(R46)=VALUE(Q46),"정상",IF(VALUE(R46)&gt;VALUE(Q46),"보장 불일치","과보장 점검"))),"계약연령 형식확인"))</x:f>
        <x:v>보험연령 미입력</x:v>
      </x:c>
      <x:c r="T46" s="30"/>
      <x:c r="U46" s="24" t="str">
        <x:f>IF(T46="","보험 자료 없음",IF(T46&lt;TODAY(),"만기 자료 갱신 필요","정상"))</x:f>
        <x:v>보험 자료 없음</x:v>
      </x:c>
      <x:c r="V46" s="24" t="str"/>
      <x:c r="W46" s="24" t="str"/>
      <x:c r="X46" s="24" t="str">
        <x:v>있음</x:v>
      </x:c>
      <x:c r="Y46" s="24" t="str">
        <x:v>보험 연령 입력</x:v>
      </x:c>
      <x:c r="Z46" s="24" t="str"/>
      <x:c r="AA46" s="24" t="str"/>
    </x:row>
    <x:row r="47" ht="17.25" customHeight="1">
      <x:c r="A47" s="24" t="str">
        <x:v>스위치플랜</x:v>
      </x:c>
      <x:c r="B47" s="24" t="str">
        <x:v>193우6384</x:v>
      </x:c>
      <x:c r="C47" s="24" t="str">
        <x:v>현재보유</x:v>
      </x:c>
      <x:c r="D47" s="24" t="str">
        <x:v>대여중</x:v>
      </x:c>
      <x:c r="E47" s="30"/>
      <x:c r="F47" s="31" t="str">
        <x:f>IF(AND(D47="쉬는차",E47&lt;&gt;""),TODAY()-E47,"")</x:f>
      </x:c>
      <x:c r="G47" s="24" t="str">
        <x:v>김도건</x:v>
      </x:c>
      <x:c r="H47" s="24" t="str">
        <x:v>SW-C-193우6384-1-20250226-48</x:v>
      </x:c>
      <x:c r="I47" s="30" t="n">
        <x:v>45714</x:v>
      </x:c>
      <x:c r="J47" s="30" t="n">
        <x:v>47174</x:v>
      </x:c>
      <x:c r="K47" s="24" t="str">
        <x:v>25일</x:v>
      </x:c>
      <x:c r="L47" s="32" t="n">
        <x:v>710000</x:v>
      </x:c>
      <x:c r="M47" s="31" t="n">
        <x:v>0</x:v>
      </x:c>
      <x:c r="N47" s="32" t="n">
        <x:v>0</x:v>
      </x:c>
      <x:c r="O47" s="31" t="n">
        <x:v>0</x:v>
      </x:c>
      <x:c r="P47" s="24" t="str"/>
      <x:c r="Q47" s="24" t="str">
        <x:v>24</x:v>
      </x:c>
      <x:c r="R47" s="24" t="str"/>
      <x:c r="S47" s="24" t="str">
        <x:f>IF(Q47="","계약연령 미입력",IFERROR(IF(R47="","보험연령 미입력",IF(VALUE(R47)=VALUE(Q47),"정상",IF(VALUE(R47)&gt;VALUE(Q47),"보장 불일치","과보장 점검"))),"계약연령 형식확인"))</x:f>
        <x:v>보험연령 미입력</x:v>
      </x:c>
      <x:c r="T47" s="30"/>
      <x:c r="U47" s="24" t="str">
        <x:f>IF(T47="","보험 자료 없음",IF(T47&lt;TODAY(),"만기 자료 갱신 필요","정상"))</x:f>
        <x:v>보험 자료 없음</x:v>
      </x:c>
      <x:c r="V47" s="24" t="str"/>
      <x:c r="W47" s="24" t="str"/>
      <x:c r="X47" s="24" t="str">
        <x:v>있음</x:v>
      </x:c>
      <x:c r="Y47" s="24" t="str">
        <x:v>보험 연령 입력</x:v>
      </x:c>
      <x:c r="Z47" s="24" t="str"/>
      <x:c r="AA47" s="24" t="str"/>
    </x:row>
    <x:row r="48" ht="17.25" customHeight="1">
      <x:c r="A48" s="24" t="str">
        <x:v>스위치플랜</x:v>
      </x:c>
      <x:c r="B48" s="24" t="str">
        <x:v>293서9081</x:v>
      </x:c>
      <x:c r="C48" s="24" t="str">
        <x:v>현재보유</x:v>
      </x:c>
      <x:c r="D48" s="24" t="str">
        <x:v>대여중</x:v>
      </x:c>
      <x:c r="E48" s="30"/>
      <x:c r="F48" s="31" t="str">
        <x:f>IF(AND(D48="쉬는차",E48&lt;&gt;""),TODAY()-E48,"")</x:f>
      </x:c>
      <x:c r="G48" s="24" t="str">
        <x:v>진보민</x:v>
      </x:c>
      <x:c r="H48" s="24" t="str">
        <x:v>SW-C-293서9081-1-20240206-49</x:v>
      </x:c>
      <x:c r="I48" s="30" t="n">
        <x:v>45328</x:v>
      </x:c>
      <x:c r="J48" s="30" t="n">
        <x:v>47154</x:v>
      </x:c>
      <x:c r="K48" s="24" t="str">
        <x:v>05일</x:v>
      </x:c>
      <x:c r="L48" s="32" t="n">
        <x:v>1320000</x:v>
      </x:c>
      <x:c r="M48" s="31" t="n">
        <x:v>3</x:v>
      </x:c>
      <x:c r="N48" s="32" t="n">
        <x:v>0</x:v>
      </x:c>
      <x:c r="O48" s="31" t="n">
        <x:v>0</x:v>
      </x:c>
      <x:c r="P48" s="24" t="str"/>
      <x:c r="Q48" s="24" t="str">
        <x:v>35</x:v>
      </x:c>
      <x:c r="R48" s="24" t="str"/>
      <x:c r="S48" s="24" t="str">
        <x:f>IF(Q48="","계약연령 미입력",IFERROR(IF(R48="","보험연령 미입력",IF(VALUE(R48)=VALUE(Q48),"정상",IF(VALUE(R48)&gt;VALUE(Q48),"보장 불일치","과보장 점검"))),"계약연령 형식확인"))</x:f>
        <x:v>보험연령 미입력</x:v>
      </x:c>
      <x:c r="T48" s="30"/>
      <x:c r="U48" s="24" t="str">
        <x:f>IF(T48="","보험 자료 없음",IF(T48&lt;TODAY(),"만기 자료 갱신 필요","정상"))</x:f>
        <x:v>보험 자료 없음</x:v>
      </x:c>
      <x:c r="V48" s="24" t="str"/>
      <x:c r="W48" s="24" t="str"/>
      <x:c r="X48" s="24" t="str">
        <x:v>있음</x:v>
      </x:c>
      <x:c r="Y48" s="24" t="str">
        <x:v>보험 연령 입력</x:v>
      </x:c>
      <x:c r="Z48" s="24" t="str"/>
      <x:c r="AA48" s="24" t="str"/>
    </x:row>
    <x:row r="49" ht="17.25" customHeight="1">
      <x:c r="A49" s="24" t="str">
        <x:v>스위치플랜</x:v>
      </x:c>
      <x:c r="B49" s="24" t="str">
        <x:v>149조6163</x:v>
      </x:c>
      <x:c r="C49" s="24" t="str">
        <x:v>현재보유</x:v>
      </x:c>
      <x:c r="D49" s="24" t="str">
        <x:v>대여중</x:v>
      </x:c>
      <x:c r="E49" s="30"/>
      <x:c r="F49" s="31" t="str">
        <x:f>IF(AND(D49="쉬는차",E49&lt;&gt;""),TODAY()-E49,"")</x:f>
      </x:c>
      <x:c r="G49" s="24" t="str">
        <x:v>한상관</x:v>
      </x:c>
      <x:c r="H49" s="24" t="str">
        <x:v>SW-C-149조6163-1-20260323-50</x:v>
      </x:c>
      <x:c r="I49" s="30" t="n">
        <x:v>46104</x:v>
      </x:c>
      <x:c r="J49" s="30" t="n">
        <x:v>47564</x:v>
      </x:c>
      <x:c r="K49" s="24" t="str">
        <x:v>25일</x:v>
      </x:c>
      <x:c r="L49" s="32" t="n">
        <x:v>1000000</x:v>
      </x:c>
      <x:c r="M49" s="31" t="n">
        <x:v>3</x:v>
      </x:c>
      <x:c r="N49" s="32" t="n">
        <x:v>1200000</x:v>
      </x:c>
      <x:c r="O49" s="31" t="n">
        <x:v>0</x:v>
      </x:c>
      <x:c r="P49" s="24" t="str"/>
      <x:c r="Q49" s="24" t="str">
        <x:v>35</x:v>
      </x:c>
      <x:c r="R49" s="24" t="str"/>
      <x:c r="S49" s="24" t="str">
        <x:f>IF(Q49="","계약연령 미입력",IFERROR(IF(R49="","보험연령 미입력",IF(VALUE(R49)=VALUE(Q49),"정상",IF(VALUE(R49)&gt;VALUE(Q49),"보장 불일치","과보장 점검"))),"계약연령 형식확인"))</x:f>
        <x:v>보험연령 미입력</x:v>
      </x:c>
      <x:c r="T49" s="30"/>
      <x:c r="U49" s="24" t="str">
        <x:f>IF(T49="","보험 자료 없음",IF(T49&lt;TODAY(),"만기 자료 갱신 필요","정상"))</x:f>
        <x:v>보험 자료 없음</x:v>
      </x:c>
      <x:c r="V49" s="24" t="str"/>
      <x:c r="W49" s="24" t="str"/>
      <x:c r="X49" s="24" t="str">
        <x:v>있음</x:v>
      </x:c>
      <x:c r="Y49" s="24" t="str">
        <x:v>미수 확인</x:v>
      </x:c>
      <x:c r="Z49" s="24" t="str"/>
      <x:c r="AA49" s="24" t="str"/>
    </x:row>
    <x:row r="50" ht="17.25" customHeight="1">
      <x:c r="A50" s="24" t="str">
        <x:v>스위치플랜</x:v>
      </x:c>
      <x:c r="B50" s="24" t="str">
        <x:v>193우6308</x:v>
      </x:c>
      <x:c r="C50" s="24" t="str">
        <x:v>현재보유</x:v>
      </x:c>
      <x:c r="D50" s="24" t="str">
        <x:v>대여중</x:v>
      </x:c>
      <x:c r="E50" s="30"/>
      <x:c r="F50" s="31" t="str">
        <x:f>IF(AND(D50="쉬는차",E50&lt;&gt;""),TODAY()-E50,"")</x:f>
      </x:c>
      <x:c r="G50" s="24" t="str">
        <x:v>권오현</x:v>
      </x:c>
      <x:c r="H50" s="24" t="str">
        <x:v>SW-C-193우6308-1-20240507-51</x:v>
      </x:c>
      <x:c r="I50" s="30" t="n">
        <x:v>45419</x:v>
      </x:c>
      <x:c r="J50" s="30" t="n">
        <x:v>46879</x:v>
      </x:c>
      <x:c r="K50" s="24" t="str">
        <x:v>10일</x:v>
      </x:c>
      <x:c r="L50" s="32" t="n">
        <x:v>700000</x:v>
      </x:c>
      <x:c r="M50" s="31" t="n">
        <x:v>2</x:v>
      </x:c>
      <x:c r="N50" s="32" t="n">
        <x:v>1400000</x:v>
      </x:c>
      <x:c r="O50" s="31" t="n">
        <x:v>0</x:v>
      </x:c>
      <x:c r="P50" s="24" t="str">
        <x:v>회수 판단</x:v>
      </x:c>
      <x:c r="Q50" s="24" t="str">
        <x:v>35</x:v>
      </x:c>
      <x:c r="R50" s="24" t="str"/>
      <x:c r="S50" s="24" t="str">
        <x:f>IF(Q50="","계약연령 미입력",IFERROR(IF(R50="","보험연령 미입력",IF(VALUE(R50)=VALUE(Q50),"정상",IF(VALUE(R50)&gt;VALUE(Q50),"보장 불일치","과보장 점검"))),"계약연령 형식확인"))</x:f>
        <x:v>보험연령 미입력</x:v>
      </x:c>
      <x:c r="T50" s="30"/>
      <x:c r="U50" s="24" t="str">
        <x:f>IF(T50="","보험 자료 없음",IF(T50&lt;TODAY(),"만기 자료 갱신 필요","정상"))</x:f>
        <x:v>보험 자료 없음</x:v>
      </x:c>
      <x:c r="V50" s="24" t="str"/>
      <x:c r="W50" s="24" t="str"/>
      <x:c r="X50" s="24" t="str">
        <x:v>있음</x:v>
      </x:c>
      <x:c r="Y50" s="24" t="str">
        <x:v>회수 검토</x:v>
      </x:c>
      <x:c r="Z50" s="24" t="str"/>
      <x:c r="AA50" s="24" t="str"/>
    </x:row>
    <x:row r="51" ht="17.25" customHeight="1">
      <x:c r="A51" s="24" t="str">
        <x:v>스위치플랜</x:v>
      </x:c>
      <x:c r="B51" s="24" t="str">
        <x:v>314구7889</x:v>
      </x:c>
      <x:c r="C51" s="24" t="str">
        <x:v>현재보유</x:v>
      </x:c>
      <x:c r="D51" s="24" t="str">
        <x:v>대여중</x:v>
      </x:c>
      <x:c r="E51" s="30"/>
      <x:c r="F51" s="31" t="str">
        <x:f>IF(AND(D51="쉬는차",E51&lt;&gt;""),TODAY()-E51,"")</x:f>
      </x:c>
      <x:c r="G51" s="24" t="str">
        <x:v>홍미정</x:v>
      </x:c>
      <x:c r="H51" s="24" t="str">
        <x:v>SW-C-314구7889-1-20250512-52</x:v>
      </x:c>
      <x:c r="I51" s="30" t="n">
        <x:v>45789</x:v>
      </x:c>
      <x:c r="J51" s="30" t="n">
        <x:v>47249</x:v>
      </x:c>
      <x:c r="K51" s="24" t="str">
        <x:v>10일</x:v>
      </x:c>
      <x:c r="L51" s="32" t="n">
        <x:v>930000</x:v>
      </x:c>
      <x:c r="M51" s="31" t="n">
        <x:v>1</x:v>
      </x:c>
      <x:c r="N51" s="32" t="n">
        <x:v>930000</x:v>
      </x:c>
      <x:c r="O51" s="31" t="n">
        <x:v>0</x:v>
      </x:c>
      <x:c r="P51" s="24" t="str">
        <x:v>독촉 5일</x:v>
      </x:c>
      <x:c r="Q51" s="24" t="str">
        <x:v>35</x:v>
      </x:c>
      <x:c r="R51" s="24" t="str"/>
      <x:c r="S51" s="24" t="str">
        <x:f>IF(Q51="","계약연령 미입력",IFERROR(IF(R51="","보험연령 미입력",IF(VALUE(R51)=VALUE(Q51),"정상",IF(VALUE(R51)&gt;VALUE(Q51),"보장 불일치","과보장 점검"))),"계약연령 형식확인"))</x:f>
        <x:v>보험연령 미입력</x:v>
      </x:c>
      <x:c r="T51" s="30"/>
      <x:c r="U51" s="24" t="str">
        <x:f>IF(T51="","보험 자료 없음",IF(T51&lt;TODAY(),"만기 자료 갱신 필요","정상"))</x:f>
        <x:v>보험 자료 없음</x:v>
      </x:c>
      <x:c r="V51" s="24" t="str"/>
      <x:c r="W51" s="24" t="str"/>
      <x:c r="X51" s="24" t="str">
        <x:v>있음</x:v>
      </x:c>
      <x:c r="Y51" s="24" t="str">
        <x:v>미수 확인</x:v>
      </x:c>
      <x:c r="Z51" s="24" t="str"/>
      <x:c r="AA51" s="24" t="str"/>
    </x:row>
    <x:row r="52" ht="17.25" customHeight="1">
      <x:c r="A52" s="24" t="str">
        <x:v>스위치플랜</x:v>
      </x:c>
      <x:c r="B52" s="24" t="str">
        <x:v>383마3206</x:v>
      </x:c>
      <x:c r="C52" s="24" t="str">
        <x:v>현재보유</x:v>
      </x:c>
      <x:c r="D52" s="24" t="str">
        <x:v>대여중</x:v>
      </x:c>
      <x:c r="E52" s="30"/>
      <x:c r="F52" s="31" t="str">
        <x:f>IF(AND(D52="쉬는차",E52&lt;&gt;""),TODAY()-E52,"")</x:f>
      </x:c>
      <x:c r="G52" s="24" t="str">
        <x:v>이수정</x:v>
      </x:c>
      <x:c r="H52" s="24" t="str">
        <x:v>SW-C-383마3206-1-20260207-53</x:v>
      </x:c>
      <x:c r="I52" s="30" t="n">
        <x:v>46060</x:v>
      </x:c>
      <x:c r="J52" s="30" t="n">
        <x:v>46424</x:v>
      </x:c>
      <x:c r="K52" s="24" t="str">
        <x:v>10일</x:v>
      </x:c>
      <x:c r="L52" s="32" t="n">
        <x:v>730000</x:v>
      </x:c>
      <x:c r="M52" s="31" t="n">
        <x:v>6</x:v>
      </x:c>
      <x:c r="N52" s="32" t="n">
        <x:v>600000</x:v>
      </x:c>
      <x:c r="O52" s="31" t="n">
        <x:v>0</x:v>
      </x:c>
      <x:c r="P52" s="24" t="str">
        <x:v>독촉 5일</x:v>
      </x:c>
      <x:c r="Q52" s="24" t="str">
        <x:v>30</x:v>
      </x:c>
      <x:c r="R52" s="24" t="str"/>
      <x:c r="S52" s="24" t="str">
        <x:f>IF(Q52="","계약연령 미입력",IFERROR(IF(R52="","보험연령 미입력",IF(VALUE(R52)=VALUE(Q52),"정상",IF(VALUE(R52)&gt;VALUE(Q52),"보장 불일치","과보장 점검"))),"계약연령 형식확인"))</x:f>
        <x:v>보험연령 미입력</x:v>
      </x:c>
      <x:c r="T52" s="30"/>
      <x:c r="U52" s="24" t="str">
        <x:f>IF(T52="","보험 자료 없음",IF(T52&lt;TODAY(),"만기 자료 갱신 필요","정상"))</x:f>
        <x:v>보험 자료 없음</x:v>
      </x:c>
      <x:c r="V52" s="24" t="str"/>
      <x:c r="W52" s="24" t="str"/>
      <x:c r="X52" s="24" t="str">
        <x:v>있음</x:v>
      </x:c>
      <x:c r="Y52" s="24" t="str">
        <x:v>미수 확인</x:v>
      </x:c>
      <x:c r="Z52" s="24" t="str"/>
      <x:c r="AA52" s="24" t="str"/>
    </x:row>
    <x:row r="53" ht="17.25" customHeight="1">
      <x:c r="A53" s="24" t="str">
        <x:v>스위치플랜</x:v>
      </x:c>
      <x:c r="B53" s="24" t="str">
        <x:v>193우6312</x:v>
      </x:c>
      <x:c r="C53" s="24" t="str">
        <x:v>현재보유</x:v>
      </x:c>
      <x:c r="D53" s="24" t="str">
        <x:v>대여중</x:v>
      </x:c>
      <x:c r="E53" s="30"/>
      <x:c r="F53" s="31" t="str">
        <x:f>IF(AND(D53="쉬는차",E53&lt;&gt;""),TODAY()-E53,"")</x:f>
      </x:c>
      <x:c r="G53" s="24" t="str">
        <x:v>김서진</x:v>
      </x:c>
      <x:c r="H53" s="24" t="str">
        <x:v>SW-C-193우6312-1-20240422-54</x:v>
      </x:c>
      <x:c r="I53" s="30" t="n">
        <x:v>45404</x:v>
      </x:c>
      <x:c r="J53" s="30" t="n">
        <x:v>46864</x:v>
      </x:c>
      <x:c r="K53" s="24" t="str">
        <x:v>20일</x:v>
      </x:c>
      <x:c r="L53" s="32" t="n">
        <x:v>450000</x:v>
      </x:c>
      <x:c r="M53" s="31" t="n">
        <x:v>2</x:v>
      </x:c>
      <x:c r="N53" s="32" t="n">
        <x:v>900000</x:v>
      </x:c>
      <x:c r="O53" s="31" t="n">
        <x:v>0</x:v>
      </x:c>
      <x:c r="P53" s="24" t="str">
        <x:v>회수 판단</x:v>
      </x:c>
      <x:c r="Q53" s="24" t="str">
        <x:v>35</x:v>
      </x:c>
      <x:c r="R53" s="24" t="str"/>
      <x:c r="S53" s="24" t="str">
        <x:f>IF(Q53="","계약연령 미입력",IFERROR(IF(R53="","보험연령 미입력",IF(VALUE(R53)=VALUE(Q53),"정상",IF(VALUE(R53)&gt;VALUE(Q53),"보장 불일치","과보장 점검"))),"계약연령 형식확인"))</x:f>
        <x:v>보험연령 미입력</x:v>
      </x:c>
      <x:c r="T53" s="30"/>
      <x:c r="U53" s="24" t="str">
        <x:f>IF(T53="","보험 자료 없음",IF(T53&lt;TODAY(),"만기 자료 갱신 필요","정상"))</x:f>
        <x:v>보험 자료 없음</x:v>
      </x:c>
      <x:c r="V53" s="24" t="str"/>
      <x:c r="W53" s="24" t="str"/>
      <x:c r="X53" s="24" t="str">
        <x:v>있음</x:v>
      </x:c>
      <x:c r="Y53" s="24" t="str">
        <x:v>회수 검토</x:v>
      </x:c>
      <x:c r="Z53" s="24" t="str"/>
      <x:c r="AA53" s="24" t="str"/>
    </x:row>
    <x:row r="54" ht="17.25" customHeight="1">
      <x:c r="A54" s="24" t="str">
        <x:v>스위치플랜</x:v>
      </x:c>
      <x:c r="B54" s="24" t="str">
        <x:v>193우6391</x:v>
      </x:c>
      <x:c r="C54" s="24" t="str">
        <x:v>현재보유</x:v>
      </x:c>
      <x:c r="D54" s="24" t="str">
        <x:v>대여중</x:v>
      </x:c>
      <x:c r="E54" s="30"/>
      <x:c r="F54" s="31" t="str">
        <x:f>IF(AND(D54="쉬는차",E54&lt;&gt;""),TODAY()-E54,"")</x:f>
      </x:c>
      <x:c r="G54" s="24" t="str">
        <x:v>엠제이에스</x:v>
      </x:c>
      <x:c r="H54" s="24" t="str">
        <x:v>SW-C-193우6391-1-20251125-55</x:v>
      </x:c>
      <x:c r="I54" s="30" t="n">
        <x:v>45986</x:v>
      </x:c>
      <x:c r="J54" s="30" t="n">
        <x:v>47446</x:v>
      </x:c>
      <x:c r="K54" s="24" t="str">
        <x:v>25일</x:v>
      </x:c>
      <x:c r="L54" s="32" t="n">
        <x:v>750000</x:v>
      </x:c>
      <x:c r="M54" s="31" t="n">
        <x:v>2</x:v>
      </x:c>
      <x:c r="N54" s="32" t="n">
        <x:v>750000</x:v>
      </x:c>
      <x:c r="O54" s="31" t="n">
        <x:v>0</x:v>
      </x:c>
      <x:c r="P54" s="24" t="str"/>
      <x:c r="Q54" s="24" t="str">
        <x:v>35</x:v>
      </x:c>
      <x:c r="R54" s="24" t="str"/>
      <x:c r="S54" s="24" t="str">
        <x:f>IF(Q54="","계약연령 미입력",IFERROR(IF(R54="","보험연령 미입력",IF(VALUE(R54)=VALUE(Q54),"정상",IF(VALUE(R54)&gt;VALUE(Q54),"보장 불일치","과보장 점검"))),"계약연령 형식확인"))</x:f>
        <x:v>보험연령 미입력</x:v>
      </x:c>
      <x:c r="T54" s="30"/>
      <x:c r="U54" s="24" t="str">
        <x:f>IF(T54="","보험 자료 없음",IF(T54&lt;TODAY(),"만기 자료 갱신 필요","정상"))</x:f>
        <x:v>보험 자료 없음</x:v>
      </x:c>
      <x:c r="V54" s="24" t="str"/>
      <x:c r="W54" s="24" t="str"/>
      <x:c r="X54" s="24" t="str">
        <x:v>있음</x:v>
      </x:c>
      <x:c r="Y54" s="24" t="str">
        <x:v>미수 확인</x:v>
      </x:c>
      <x:c r="Z54" s="24" t="str"/>
      <x:c r="AA54" s="24" t="str"/>
    </x:row>
    <x:row r="55" ht="17.25" customHeight="1">
      <x:c r="A55" s="24" t="str">
        <x:v>스위치플랜</x:v>
      </x:c>
      <x:c r="B55" s="24" t="str">
        <x:v>193우6343</x:v>
      </x:c>
      <x:c r="C55" s="24" t="str">
        <x:v>현재보유</x:v>
      </x:c>
      <x:c r="D55" s="24" t="str">
        <x:v>대여중</x:v>
      </x:c>
      <x:c r="E55" s="30"/>
      <x:c r="F55" s="31" t="str">
        <x:f>IF(AND(D55="쉬는차",E55&lt;&gt;""),TODAY()-E55,"")</x:f>
      </x:c>
      <x:c r="G55" s="24" t="str">
        <x:v>권현지</x:v>
      </x:c>
      <x:c r="H55" s="24" t="str">
        <x:v>SW-C-193우6343-1-20250515-56</x:v>
      </x:c>
      <x:c r="I55" s="30" t="n">
        <x:v>45792</x:v>
      </x:c>
      <x:c r="J55" s="30" t="n">
        <x:v>47252</x:v>
      </x:c>
      <x:c r="K55" s="24" t="str">
        <x:v>15일</x:v>
      </x:c>
      <x:c r="L55" s="32" t="n">
        <x:v>560000</x:v>
      </x:c>
      <x:c r="M55" s="31" t="n">
        <x:v>1</x:v>
      </x:c>
      <x:c r="N55" s="32" t="n">
        <x:v>560000</x:v>
      </x:c>
      <x:c r="O55" s="31" t="n">
        <x:v>0</x:v>
      </x:c>
      <x:c r="P55" s="24" t="str"/>
      <x:c r="Q55" s="24" t="str">
        <x:v>26</x:v>
      </x:c>
      <x:c r="R55" s="24" t="str"/>
      <x:c r="S55" s="24" t="str">
        <x:f>IF(Q55="","계약연령 미입력",IFERROR(IF(R55="","보험연령 미입력",IF(VALUE(R55)=VALUE(Q55),"정상",IF(VALUE(R55)&gt;VALUE(Q55),"보장 불일치","과보장 점검"))),"계약연령 형식확인"))</x:f>
        <x:v>보험연령 미입력</x:v>
      </x:c>
      <x:c r="T55" s="30"/>
      <x:c r="U55" s="24" t="str">
        <x:f>IF(T55="","보험 자료 없음",IF(T55&lt;TODAY(),"만기 자료 갱신 필요","정상"))</x:f>
        <x:v>보험 자료 없음</x:v>
      </x:c>
      <x:c r="V55" s="24" t="str"/>
      <x:c r="W55" s="24" t="str"/>
      <x:c r="X55" s="24" t="str">
        <x:v>있음</x:v>
      </x:c>
      <x:c r="Y55" s="24" t="str">
        <x:v>미수 확인</x:v>
      </x:c>
      <x:c r="Z55" s="24" t="str"/>
      <x:c r="AA55" s="24" t="str"/>
    </x:row>
    <x:row r="56" ht="17.25" customHeight="1">
      <x:c r="A56" s="24" t="str">
        <x:v>스위치플랜</x:v>
      </x:c>
      <x:c r="B56" s="24" t="str">
        <x:v>245고2473</x:v>
      </x:c>
      <x:c r="C56" s="24" t="str">
        <x:v>현재보유</x:v>
      </x:c>
      <x:c r="D56" s="24" t="str">
        <x:v>대여중</x:v>
      </x:c>
      <x:c r="E56" s="30"/>
      <x:c r="F56" s="31" t="str">
        <x:f>IF(AND(D56="쉬는차",E56&lt;&gt;""),TODAY()-E56,"")</x:f>
      </x:c>
      <x:c r="G56" s="24" t="str">
        <x:v>최윤형</x:v>
      </x:c>
      <x:c r="H56" s="24" t="str">
        <x:v>SW-C-245고2473-1-20231213-57</x:v>
      </x:c>
      <x:c r="I56" s="30" t="n">
        <x:v>45273</x:v>
      </x:c>
      <x:c r="J56" s="30" t="n">
        <x:v>46733</x:v>
      </x:c>
      <x:c r="K56" s="24" t="str">
        <x:v>15일</x:v>
      </x:c>
      <x:c r="L56" s="32" t="n">
        <x:v>460000</x:v>
      </x:c>
      <x:c r="M56" s="31" t="n">
        <x:v>2</x:v>
      </x:c>
      <x:c r="N56" s="32" t="n">
        <x:v>860000</x:v>
      </x:c>
      <x:c r="O56" s="31" t="n">
        <x:v>0</x:v>
      </x:c>
      <x:c r="P56" s="24" t="str">
        <x:v>회수 판단</x:v>
      </x:c>
      <x:c r="Q56" s="24" t="str">
        <x:v>35</x:v>
      </x:c>
      <x:c r="R56" s="24" t="str"/>
      <x:c r="S56" s="24" t="str">
        <x:f>IF(Q56="","계약연령 미입력",IFERROR(IF(R56="","보험연령 미입력",IF(VALUE(R56)=VALUE(Q56),"정상",IF(VALUE(R56)&gt;VALUE(Q56),"보장 불일치","과보장 점검"))),"계약연령 형식확인"))</x:f>
        <x:v>보험연령 미입력</x:v>
      </x:c>
      <x:c r="T56" s="30"/>
      <x:c r="U56" s="24" t="str">
        <x:f>IF(T56="","보험 자료 없음",IF(T56&lt;TODAY(),"만기 자료 갱신 필요","정상"))</x:f>
        <x:v>보험 자료 없음</x:v>
      </x:c>
      <x:c r="V56" s="24" t="str"/>
      <x:c r="W56" s="24" t="str"/>
      <x:c r="X56" s="24" t="str">
        <x:v>있음</x:v>
      </x:c>
      <x:c r="Y56" s="24" t="str">
        <x:v>회수 검토</x:v>
      </x:c>
      <x:c r="Z56" s="24" t="str"/>
      <x:c r="AA56" s="24" t="str"/>
    </x:row>
    <x:row r="57" ht="17.25" customHeight="1">
      <x:c r="A57" s="24" t="str">
        <x:v>스위치플랜</x:v>
      </x:c>
      <x:c r="B57" s="24" t="str">
        <x:v>193우6396</x:v>
      </x:c>
      <x:c r="C57" s="24" t="str">
        <x:v>현재보유</x:v>
      </x:c>
      <x:c r="D57" s="24" t="str">
        <x:v>대여중</x:v>
      </x:c>
      <x:c r="E57" s="30"/>
      <x:c r="F57" s="31" t="str">
        <x:f>IF(AND(D57="쉬는차",E57&lt;&gt;""),TODAY()-E57,"")</x:f>
      </x:c>
      <x:c r="G57" s="24" t="str">
        <x:v>권성호</x:v>
      </x:c>
      <x:c r="H57" s="24" t="str">
        <x:v>SW-C-193우6396-1-20240913-58</x:v>
      </x:c>
      <x:c r="I57" s="30" t="n">
        <x:v>45548</x:v>
      </x:c>
      <x:c r="J57" s="30" t="n">
        <x:v>47008</x:v>
      </x:c>
      <x:c r="K57" s="24" t="str">
        <x:v>15일</x:v>
      </x:c>
      <x:c r="L57" s="32" t="n">
        <x:v>670000</x:v>
      </x:c>
      <x:c r="M57" s="31" t="n">
        <x:v>2</x:v>
      </x:c>
      <x:c r="N57" s="32" t="n">
        <x:v>670000</x:v>
      </x:c>
      <x:c r="O57" s="31" t="n">
        <x:v>0</x:v>
      </x:c>
      <x:c r="P57" s="24" t="str"/>
      <x:c r="Q57" s="24" t="str">
        <x:v>35</x:v>
      </x:c>
      <x:c r="R57" s="24" t="str"/>
      <x:c r="S57" s="24" t="str">
        <x:f>IF(Q57="","계약연령 미입력",IFERROR(IF(R57="","보험연령 미입력",IF(VALUE(R57)=VALUE(Q57),"정상",IF(VALUE(R57)&gt;VALUE(Q57),"보장 불일치","과보장 점검"))),"계약연령 형식확인"))</x:f>
        <x:v>보험연령 미입력</x:v>
      </x:c>
      <x:c r="T57" s="30"/>
      <x:c r="U57" s="24" t="str">
        <x:f>IF(T57="","보험 자료 없음",IF(T57&lt;TODAY(),"만기 자료 갱신 필요","정상"))</x:f>
        <x:v>보험 자료 없음</x:v>
      </x:c>
      <x:c r="V57" s="24" t="str"/>
      <x:c r="W57" s="24" t="str"/>
      <x:c r="X57" s="24" t="str">
        <x:v>있음</x:v>
      </x:c>
      <x:c r="Y57" s="24" t="str">
        <x:v>미수 확인</x:v>
      </x:c>
      <x:c r="Z57" s="24" t="str"/>
      <x:c r="AA57" s="24" t="str"/>
    </x:row>
    <x:row r="58" ht="17.25" customHeight="1">
      <x:c r="A58" s="24" t="str">
        <x:v>스위치플랜</x:v>
      </x:c>
      <x:c r="B58" s="24" t="str">
        <x:v>204나2940</x:v>
      </x:c>
      <x:c r="C58" s="24" t="str">
        <x:v>현재보유</x:v>
      </x:c>
      <x:c r="D58" s="24" t="str">
        <x:v>상품화예정</x:v>
      </x:c>
      <x:c r="E58" s="30"/>
      <x:c r="F58" s="31" t="str">
        <x:f>IF(AND(D58="쉬는차",E58&lt;&gt;""),TODAY()-E58,"")</x:f>
      </x:c>
      <x:c r="G58" s="24" t="str">
        <x:v>상품화예정</x:v>
      </x:c>
      <x:c r="H58" s="24" t="str">
        <x:v>SW-C-204나2940-1-NA-59</x:v>
      </x:c>
      <x:c r="I58" s="30"/>
      <x:c r="J58" s="30"/>
      <x:c r="K58" s="24" t="str"/>
      <x:c r="L58" s="32"/>
      <x:c r="M58" s="31" t="n">
        <x:v>3</x:v>
      </x:c>
      <x:c r="N58" s="32" t="n">
        <x:v>0</x:v>
      </x:c>
      <x:c r="O58" s="31" t="n">
        <x:v>0</x:v>
      </x:c>
      <x:c r="P58" s="24" t="str"/>
      <x:c r="Q58" s="24" t="str">
        <x:v>26</x:v>
      </x:c>
      <x:c r="R58" s="24" t="str"/>
      <x:c r="S58" s="24" t="str">
        <x:f>IF(Q58="","계약연령 미입력",IFERROR(IF(R58="","보험연령 미입력",IF(VALUE(R58)=VALUE(Q58),"정상",IF(VALUE(R58)&gt;VALUE(Q58),"보장 불일치","과보장 점검"))),"계약연령 형식확인"))</x:f>
        <x:v>보험연령 미입력</x:v>
      </x:c>
      <x:c r="T58" s="30"/>
      <x:c r="U58" s="24" t="str">
        <x:f>IF(T58="","보험 자료 없음",IF(T58&lt;TODAY(),"만기 자료 갱신 필요","정상"))</x:f>
        <x:v>보험 자료 없음</x:v>
      </x:c>
      <x:c r="V58" s="24" t="str"/>
      <x:c r="W58" s="24" t="str"/>
      <x:c r="X58" s="24" t="str">
        <x:v>있음</x:v>
      </x:c>
      <x:c r="Y58" s="24" t="str"/>
      <x:c r="Z58" s="24" t="str"/>
      <x:c r="AA58" s="24" t="str"/>
    </x:row>
    <x:row r="59" ht="17.25" customHeight="1">
      <x:c r="A59" s="24" t="str">
        <x:v>스위치플랜</x:v>
      </x:c>
      <x:c r="B59" s="24" t="str">
        <x:v>204거7383</x:v>
      </x:c>
      <x:c r="C59" s="24" t="str">
        <x:v>현재보유</x:v>
      </x:c>
      <x:c r="D59" s="24" t="str">
        <x:v>대여중</x:v>
      </x:c>
      <x:c r="E59" s="30"/>
      <x:c r="F59" s="31" t="str">
        <x:f>IF(AND(D59="쉬는차",E59&lt;&gt;""),TODAY()-E59,"")</x:f>
      </x:c>
      <x:c r="G59" s="24" t="str">
        <x:v>박영협대표 지인(이현희)</x:v>
      </x:c>
      <x:c r="H59" s="24" t="str">
        <x:v>SW-C-204거7383-1-NA-60</x:v>
      </x:c>
      <x:c r="I59" s="30"/>
      <x:c r="J59" s="30"/>
      <x:c r="K59" s="24" t="str"/>
      <x:c r="L59" s="32"/>
      <x:c r="M59" s="31" t="n">
        <x:v>0</x:v>
      </x:c>
      <x:c r="N59" s="32" t="n">
        <x:v>0</x:v>
      </x:c>
      <x:c r="O59" s="31" t="n">
        <x:v>0</x:v>
      </x:c>
      <x:c r="P59" s="24" t="str"/>
      <x:c r="Q59" s="24" t="str">
        <x:v>35</x:v>
      </x:c>
      <x:c r="R59" s="24" t="str"/>
      <x:c r="S59" s="24" t="str">
        <x:f>IF(Q59="","계약연령 미입력",IFERROR(IF(R59="","보험연령 미입력",IF(VALUE(R59)=VALUE(Q59),"정상",IF(VALUE(R59)&gt;VALUE(Q59),"보장 불일치","과보장 점검"))),"계약연령 형식확인"))</x:f>
        <x:v>보험연령 미입력</x:v>
      </x:c>
      <x:c r="T59" s="30"/>
      <x:c r="U59" s="24" t="str">
        <x:f>IF(T59="","보험 자료 없음",IF(T59&lt;TODAY(),"만기 자료 갱신 필요","정상"))</x:f>
        <x:v>보험 자료 없음</x:v>
      </x:c>
      <x:c r="V59" s="24" t="str"/>
      <x:c r="W59" s="24" t="str"/>
      <x:c r="X59" s="24" t="str">
        <x:v>있음</x:v>
      </x:c>
      <x:c r="Y59" s="24" t="str">
        <x:v>보험 연령 입력</x:v>
      </x:c>
      <x:c r="Z59" s="24" t="str"/>
      <x:c r="AA59" s="24" t="str"/>
    </x:row>
    <x:row r="60" ht="17.25" customHeight="1">
      <x:c r="A60" s="24" t="str">
        <x:v>스위치플랜</x:v>
      </x:c>
      <x:c r="B60" s="24" t="str">
        <x:v>15가4481</x:v>
      </x:c>
      <x:c r="C60" s="24" t="str">
        <x:v>현재보유</x:v>
      </x:c>
      <x:c r="D60" s="24" t="str">
        <x:v>대여중</x:v>
      </x:c>
      <x:c r="E60" s="30"/>
      <x:c r="F60" s="31" t="str">
        <x:f>IF(AND(D60="쉬는차",E60&lt;&gt;""),TODAY()-E60,"")</x:f>
      </x:c>
      <x:c r="G60" s="24" t="str">
        <x:v>이용호</x:v>
      </x:c>
      <x:c r="H60" s="24" t="str">
        <x:v>SW-C-15가4481-1-20260706-61</x:v>
      </x:c>
      <x:c r="I60" s="30" t="n">
        <x:v>46209</x:v>
      </x:c>
      <x:c r="J60" s="30" t="n">
        <x:v>47359</x:v>
      </x:c>
      <x:c r="K60" s="24" t="str">
        <x:v>05일</x:v>
      </x:c>
      <x:c r="L60" s="32" t="n">
        <x:v>1200000</x:v>
      </x:c>
      <x:c r="M60" s="31" t="n">
        <x:v>0</x:v>
      </x:c>
      <x:c r="N60" s="32" t="n">
        <x:v>-90000</x:v>
      </x:c>
      <x:c r="O60" s="31" t="n">
        <x:v>0</x:v>
      </x:c>
      <x:c r="P60" s="24" t="str"/>
      <x:c r="Q60" s="24" t="str">
        <x:v>개인</x:v>
      </x:c>
      <x:c r="R60" s="24" t="str"/>
      <x:c r="S60" s="24" t="str">
        <x:f>IF(Q60="","계약연령 미입력",IFERROR(IF(R60="","보험연령 미입력",IF(VALUE(R60)=VALUE(Q60),"정상",IF(VALUE(R60)&gt;VALUE(Q60),"보장 불일치","과보장 점검"))),"계약연령 형식확인"))</x:f>
        <x:v>보험연령 미입력</x:v>
      </x:c>
      <x:c r="T60" s="30"/>
      <x:c r="U60" s="24" t="str">
        <x:f>IF(T60="","보험 자료 없음",IF(T60&lt;TODAY(),"만기 자료 갱신 필요","정상"))</x:f>
        <x:v>보험 자료 없음</x:v>
      </x:c>
      <x:c r="V60" s="24" t="str"/>
      <x:c r="W60" s="24" t="str"/>
      <x:c r="X60" s="24" t="str">
        <x:v>있음</x:v>
      </x:c>
      <x:c r="Y60" s="24" t="str">
        <x:v>보험 연령 입력</x:v>
      </x:c>
      <x:c r="Z60" s="24" t="str"/>
      <x:c r="AA60" s="24" t="str"/>
    </x:row>
    <x:row r="61" ht="17.25" customHeight="1">
      <x:c r="A61" s="24" t="str">
        <x:v>스위치플랜</x:v>
      </x:c>
      <x:c r="B61" s="24" t="str">
        <x:v>299수4820</x:v>
      </x:c>
      <x:c r="C61" s="24" t="str">
        <x:v>현재보유</x:v>
      </x:c>
      <x:c r="D61" s="24" t="str">
        <x:v>대여중</x:v>
      </x:c>
      <x:c r="E61" s="30"/>
      <x:c r="F61" s="31" t="str">
        <x:f>IF(AND(D61="쉬는차",E61&lt;&gt;""),TODAY()-E61,"")</x:f>
      </x:c>
      <x:c r="G61" s="24" t="str">
        <x:v>이훈4820</x:v>
      </x:c>
      <x:c r="H61" s="24" t="str">
        <x:v>SW-C-299수4820-1-26-62</x:v>
      </x:c>
      <x:c r="I61" s="30"/>
      <x:c r="J61" s="30"/>
      <x:c r="K61" s="24" t="str">
        <x:v>-</x:v>
      </x:c>
      <x:c r="L61" s="32" t="n">
        <x:v>630000</x:v>
      </x:c>
      <x:c r="M61" s="31" t="n">
        <x:v>7</x:v>
      </x:c>
      <x:c r="N61" s="32" t="n">
        <x:v>2520000</x:v>
      </x:c>
      <x:c r="O61" s="31" t="n">
        <x:v>0</x:v>
      </x:c>
      <x:c r="P61" s="24" t="str">
        <x:v>회수 판단</x:v>
      </x:c>
      <x:c r="Q61" s="24" t="str">
        <x:v>35</x:v>
      </x:c>
      <x:c r="R61" s="24" t="str"/>
      <x:c r="S61" s="24" t="str">
        <x:f>IF(Q61="","계약연령 미입력",IFERROR(IF(R61="","보험연령 미입력",IF(VALUE(R61)=VALUE(Q61),"정상",IF(VALUE(R61)&gt;VALUE(Q61),"보장 불일치","과보장 점검"))),"계약연령 형식확인"))</x:f>
        <x:v>보험연령 미입력</x:v>
      </x:c>
      <x:c r="T61" s="30"/>
      <x:c r="U61" s="24" t="str">
        <x:f>IF(T61="","보험 자료 없음",IF(T61&lt;TODAY(),"만기 자료 갱신 필요","정상"))</x:f>
        <x:v>보험 자료 없음</x:v>
      </x:c>
      <x:c r="V61" s="24" t="str"/>
      <x:c r="W61" s="24" t="str"/>
      <x:c r="X61" s="24" t="str">
        <x:v>있음</x:v>
      </x:c>
      <x:c r="Y61" s="24" t="str">
        <x:v>회수 검토</x:v>
      </x:c>
      <x:c r="Z61" s="24" t="str"/>
      <x:c r="AA61" s="24" t="str"/>
    </x:row>
    <x:row r="62" ht="17.25" customHeight="1">
      <x:c r="A62" s="24" t="str">
        <x:v>스위치플랜</x:v>
      </x:c>
      <x:c r="B62" s="24" t="str">
        <x:v>154모5759</x:v>
      </x:c>
      <x:c r="C62" s="24" t="str">
        <x:v>현재보유</x:v>
      </x:c>
      <x:c r="D62" s="24" t="str">
        <x:v>대여중</x:v>
      </x:c>
      <x:c r="E62" s="30"/>
      <x:c r="F62" s="31" t="str">
        <x:f>IF(AND(D62="쉬는차",E62&lt;&gt;""),TODAY()-E62,"")</x:f>
      </x:c>
      <x:c r="G62" s="24" t="str">
        <x:v>아산휴먼</x:v>
      </x:c>
      <x:c r="H62" s="24" t="str">
        <x:v>SW-C-154모5759-1-20250829-63</x:v>
      </x:c>
      <x:c r="I62" s="30" t="n">
        <x:v>45898</x:v>
      </x:c>
      <x:c r="J62" s="30" t="n">
        <x:v>47358</x:v>
      </x:c>
      <x:c r="K62" s="24" t="str">
        <x:v>05일</x:v>
      </x:c>
      <x:c r="L62" s="32" t="n">
        <x:v>880000</x:v>
      </x:c>
      <x:c r="M62" s="31" t="n">
        <x:v>0</x:v>
      </x:c>
      <x:c r="N62" s="32" t="n">
        <x:v>0</x:v>
      </x:c>
      <x:c r="O62" s="31" t="n">
        <x:v>0</x:v>
      </x:c>
      <x:c r="P62" s="24" t="str"/>
      <x:c r="Q62" s="24" t="str">
        <x:v>35</x:v>
      </x:c>
      <x:c r="R62" s="24" t="str"/>
      <x:c r="S62" s="24" t="str">
        <x:f>IF(Q62="","계약연령 미입력",IFERROR(IF(R62="","보험연령 미입력",IF(VALUE(R62)=VALUE(Q62),"정상",IF(VALUE(R62)&gt;VALUE(Q62),"보장 불일치","과보장 점검"))),"계약연령 형식확인"))</x:f>
        <x:v>보험연령 미입력</x:v>
      </x:c>
      <x:c r="T62" s="30"/>
      <x:c r="U62" s="24" t="str">
        <x:f>IF(T62="","보험 자료 없음",IF(T62&lt;TODAY(),"만기 자료 갱신 필요","정상"))</x:f>
        <x:v>보험 자료 없음</x:v>
      </x:c>
      <x:c r="V62" s="24" t="str"/>
      <x:c r="W62" s="24" t="str"/>
      <x:c r="X62" s="24" t="str">
        <x:v>있음</x:v>
      </x:c>
      <x:c r="Y62" s="24" t="str">
        <x:v>보험 연령 입력</x:v>
      </x:c>
      <x:c r="Z62" s="24" t="str"/>
      <x:c r="AA62" s="24" t="str"/>
    </x:row>
    <x:row r="63" ht="17.25" customHeight="1">
      <x:c r="A63" s="24" t="str">
        <x:v>스위치플랜</x:v>
      </x:c>
      <x:c r="B63" s="24" t="str">
        <x:v>135수5711</x:v>
      </x:c>
      <x:c r="C63" s="24" t="str">
        <x:v>현재보유</x:v>
      </x:c>
      <x:c r="D63" s="24" t="str">
        <x:v>상품화예정</x:v>
      </x:c>
      <x:c r="E63" s="30"/>
      <x:c r="F63" s="31" t="str">
        <x:f>IF(AND(D63="쉬는차",E63&lt;&gt;""),TODAY()-E63,"")</x:f>
      </x:c>
      <x:c r="G63" s="24" t="str">
        <x:v>상품화예정</x:v>
      </x:c>
      <x:c r="H63" s="24" t="str">
        <x:v>SW-C-135수5711-1-NA-64</x:v>
      </x:c>
      <x:c r="I63" s="30"/>
      <x:c r="J63" s="30"/>
      <x:c r="K63" s="24" t="str"/>
      <x:c r="L63" s="32"/>
      <x:c r="M63" s="31" t="n">
        <x:v>2</x:v>
      </x:c>
      <x:c r="N63" s="32" t="n">
        <x:v>0</x:v>
      </x:c>
      <x:c r="O63" s="31" t="n">
        <x:v>0</x:v>
      </x:c>
      <x:c r="P63" s="24" t="str"/>
      <x:c r="Q63" s="24" t="str">
        <x:v>35</x:v>
      </x:c>
      <x:c r="R63" s="24" t="str"/>
      <x:c r="S63" s="24" t="str">
        <x:f>IF(Q63="","계약연령 미입력",IFERROR(IF(R63="","보험연령 미입력",IF(VALUE(R63)=VALUE(Q63),"정상",IF(VALUE(R63)&gt;VALUE(Q63),"보장 불일치","과보장 점검"))),"계약연령 형식확인"))</x:f>
        <x:v>보험연령 미입력</x:v>
      </x:c>
      <x:c r="T63" s="30"/>
      <x:c r="U63" s="24" t="str">
        <x:f>IF(T63="","보험 자료 없음",IF(T63&lt;TODAY(),"만기 자료 갱신 필요","정상"))</x:f>
        <x:v>보험 자료 없음</x:v>
      </x:c>
      <x:c r="V63" s="24" t="str"/>
      <x:c r="W63" s="24" t="str"/>
      <x:c r="X63" s="24" t="str">
        <x:v>있음</x:v>
      </x:c>
      <x:c r="Y63" s="24" t="str"/>
      <x:c r="Z63" s="24" t="str"/>
      <x:c r="AA63" s="24" t="str"/>
    </x:row>
    <x:row r="64" ht="17.25" customHeight="1">
      <x:c r="A64" s="24" t="str">
        <x:v>스위치플랜</x:v>
      </x:c>
      <x:c r="B64" s="24" t="str">
        <x:v>94주0700</x:v>
      </x:c>
      <x:c r="C64" s="24" t="str">
        <x:v>현재보유</x:v>
      </x:c>
      <x:c r="D64" s="24" t="str">
        <x:v>대여중</x:v>
      </x:c>
      <x:c r="E64" s="30"/>
      <x:c r="F64" s="31" t="str">
        <x:f>IF(AND(D64="쉬는차",E64&lt;&gt;""),TODAY()-E64,"")</x:f>
      </x:c>
      <x:c r="G64" s="24" t="str">
        <x:v>신태민</x:v>
      </x:c>
      <x:c r="H64" s="24" t="str">
        <x:v>SW-C-94주0700-1-20231219-65</x:v>
      </x:c>
      <x:c r="I64" s="30" t="n">
        <x:v>45279</x:v>
      </x:c>
      <x:c r="J64" s="30" t="n">
        <x:v>46739</x:v>
      </x:c>
      <x:c r="K64" s="24" t="str">
        <x:v>20일</x:v>
      </x:c>
      <x:c r="L64" s="32" t="n">
        <x:v>610000</x:v>
      </x:c>
      <x:c r="M64" s="31" t="n">
        <x:v>2</x:v>
      </x:c>
      <x:c r="N64" s="32" t="n">
        <x:v>610000</x:v>
      </x:c>
      <x:c r="O64" s="31" t="n">
        <x:v>0</x:v>
      </x:c>
      <x:c r="P64" s="24" t="str"/>
      <x:c r="Q64" s="24" t="str">
        <x:v>35</x:v>
      </x:c>
      <x:c r="R64" s="24" t="str"/>
      <x:c r="S64" s="24" t="str">
        <x:f>IF(Q64="","계약연령 미입력",IFERROR(IF(R64="","보험연령 미입력",IF(VALUE(R64)=VALUE(Q64),"정상",IF(VALUE(R64)&gt;VALUE(Q64),"보장 불일치","과보장 점검"))),"계약연령 형식확인"))</x:f>
        <x:v>보험연령 미입력</x:v>
      </x:c>
      <x:c r="T64" s="30"/>
      <x:c r="U64" s="24" t="str">
        <x:f>IF(T64="","보험 자료 없음",IF(T64&lt;TODAY(),"만기 자료 갱신 필요","정상"))</x:f>
        <x:v>보험 자료 없음</x:v>
      </x:c>
      <x:c r="V64" s="24" t="str"/>
      <x:c r="W64" s="24" t="str"/>
      <x:c r="X64" s="24" t="str">
        <x:v>있음</x:v>
      </x:c>
      <x:c r="Y64" s="24" t="str">
        <x:v>미수 확인</x:v>
      </x:c>
      <x:c r="Z64" s="24" t="str"/>
      <x:c r="AA64" s="24" t="str"/>
    </x:row>
    <x:row r="65" ht="17.25" customHeight="1">
      <x:c r="A65" s="24" t="str">
        <x:v>스위치플랜</x:v>
      </x:c>
      <x:c r="B65" s="24" t="str">
        <x:v>236로9998</x:v>
      </x:c>
      <x:c r="C65" s="24" t="str">
        <x:v>현재보유</x:v>
      </x:c>
      <x:c r="D65" s="24" t="str">
        <x:v>대여중</x:v>
      </x:c>
      <x:c r="E65" s="30"/>
      <x:c r="F65" s="31" t="str">
        <x:f>IF(AND(D65="쉬는차",E65&lt;&gt;""),TODAY()-E65,"")</x:f>
      </x:c>
      <x:c r="G65" s="24" t="str">
        <x:v>유승</x:v>
      </x:c>
      <x:c r="H65" s="24" t="str">
        <x:v>SW-C-236로9998-1-20260522-66</x:v>
      </x:c>
      <x:c r="I65" s="30" t="n">
        <x:v>46164</x:v>
      </x:c>
      <x:c r="J65" s="30" t="n">
        <x:v>47624</x:v>
      </x:c>
      <x:c r="K65" s="24" t="str">
        <x:v>25일</x:v>
      </x:c>
      <x:c r="L65" s="32" t="n">
        <x:v>1200000</x:v>
      </x:c>
      <x:c r="M65" s="31" t="n">
        <x:v>3</x:v>
      </x:c>
      <x:c r="N65" s="32" t="n">
        <x:v>2300000</x:v>
      </x:c>
      <x:c r="O65" s="31" t="n">
        <x:v>0</x:v>
      </x:c>
      <x:c r="P65" s="24" t="str">
        <x:v>회수 판단</x:v>
      </x:c>
      <x:c r="Q65" s="24" t="str">
        <x:v>개인</x:v>
      </x:c>
      <x:c r="R65" s="24" t="str"/>
      <x:c r="S65" s="24" t="str">
        <x:f>IF(Q65="","계약연령 미입력",IFERROR(IF(R65="","보험연령 미입력",IF(VALUE(R65)=VALUE(Q65),"정상",IF(VALUE(R65)&gt;VALUE(Q65),"보장 불일치","과보장 점검"))),"계약연령 형식확인"))</x:f>
        <x:v>보험연령 미입력</x:v>
      </x:c>
      <x:c r="T65" s="30"/>
      <x:c r="U65" s="24" t="str">
        <x:f>IF(T65="","보험 자료 없음",IF(T65&lt;TODAY(),"만기 자료 갱신 필요","정상"))</x:f>
        <x:v>보험 자료 없음</x:v>
      </x:c>
      <x:c r="V65" s="24" t="str"/>
      <x:c r="W65" s="24" t="str"/>
      <x:c r="X65" s="24" t="str">
        <x:v>있음</x:v>
      </x:c>
      <x:c r="Y65" s="24" t="str">
        <x:v>회수 검토</x:v>
      </x:c>
      <x:c r="Z65" s="24" t="str"/>
      <x:c r="AA65" s="24" t="str"/>
    </x:row>
    <x:row r="66" ht="17.25" customHeight="1">
      <x:c r="A66" s="24" t="str">
        <x:v>스위치플랜</x:v>
      </x:c>
      <x:c r="B66" s="24" t="str">
        <x:v>45루6163</x:v>
      </x:c>
      <x:c r="C66" s="24" t="str">
        <x:v>현재보유</x:v>
      </x:c>
      <x:c r="D66" s="24" t="str">
        <x:v>대여중</x:v>
      </x:c>
      <x:c r="E66" s="30"/>
      <x:c r="F66" s="31" t="str">
        <x:f>IF(AND(D66="쉬는차",E66&lt;&gt;""),TODAY()-E66,"")</x:f>
      </x:c>
      <x:c r="G66" s="24" t="str">
        <x:v>김민수</x:v>
      </x:c>
      <x:c r="H66" s="24" t="str">
        <x:v>SW-C-45루6163-1-20250822-67</x:v>
      </x:c>
      <x:c r="I66" s="30" t="n">
        <x:v>45891</x:v>
      </x:c>
      <x:c r="J66" s="30" t="n">
        <x:v>47351</x:v>
      </x:c>
      <x:c r="K66" s="24" t="str">
        <x:v>20일</x:v>
      </x:c>
      <x:c r="L66" s="32" t="n">
        <x:v>1100000</x:v>
      </x:c>
      <x:c r="M66" s="31" t="n">
        <x:v>8</x:v>
      </x:c>
      <x:c r="N66" s="32" t="n">
        <x:v>1250000</x:v>
      </x:c>
      <x:c r="O66" s="31" t="n">
        <x:v>0</x:v>
      </x:c>
      <x:c r="P66" s="24" t="str"/>
      <x:c r="Q66" s="24" t="str">
        <x:v>30</x:v>
      </x:c>
      <x:c r="R66" s="24" t="str"/>
      <x:c r="S66" s="24" t="str">
        <x:f>IF(Q66="","계약연령 미입력",IFERROR(IF(R66="","보험연령 미입력",IF(VALUE(R66)=VALUE(Q66),"정상",IF(VALUE(R66)&gt;VALUE(Q66),"보장 불일치","과보장 점검"))),"계약연령 형식확인"))</x:f>
        <x:v>보험연령 미입력</x:v>
      </x:c>
      <x:c r="T66" s="30"/>
      <x:c r="U66" s="24" t="str">
        <x:f>IF(T66="","보험 자료 없음",IF(T66&lt;TODAY(),"만기 자료 갱신 필요","정상"))</x:f>
        <x:v>보험 자료 없음</x:v>
      </x:c>
      <x:c r="V66" s="24" t="str"/>
      <x:c r="W66" s="24" t="str"/>
      <x:c r="X66" s="24" t="str">
        <x:v>있음</x:v>
      </x:c>
      <x:c r="Y66" s="24" t="str">
        <x:v>미수 확인</x:v>
      </x:c>
      <x:c r="Z66" s="24" t="str"/>
      <x:c r="AA66" s="24" t="str"/>
    </x:row>
    <x:row r="67" ht="17.25" customHeight="1">
      <x:c r="A67" s="24" t="str">
        <x:v>스위치플랜</x:v>
      </x:c>
      <x:c r="B67" s="24" t="str">
        <x:v>143조2022</x:v>
      </x:c>
      <x:c r="C67" s="24" t="str">
        <x:v>현재보유</x:v>
      </x:c>
      <x:c r="D67" s="24" t="str">
        <x:v>대여중</x:v>
      </x:c>
      <x:c r="E67" s="30"/>
      <x:c r="F67" s="31" t="str">
        <x:f>IF(AND(D67="쉬는차",E67&lt;&gt;""),TODAY()-E67,"")</x:f>
      </x:c>
      <x:c r="G67" s="24" t="str">
        <x:v>김현민</x:v>
      </x:c>
      <x:c r="H67" s="24" t="str">
        <x:v>SW-C-143조2022-1-20260309-68</x:v>
      </x:c>
      <x:c r="I67" s="30" t="n">
        <x:v>46090</x:v>
      </x:c>
      <x:c r="J67" s="30" t="n">
        <x:v>47550</x:v>
      </x:c>
      <x:c r="K67" s="24" t="str">
        <x:v>10일</x:v>
      </x:c>
      <x:c r="L67" s="32" t="n">
        <x:v>520000</x:v>
      </x:c>
      <x:c r="M67" s="31" t="n">
        <x:v>2</x:v>
      </x:c>
      <x:c r="N67" s="32" t="n">
        <x:v>467800</x:v>
      </x:c>
      <x:c r="O67" s="31" t="n">
        <x:v>0</x:v>
      </x:c>
      <x:c r="P67" s="24" t="str">
        <x:v>독촉 5일</x:v>
      </x:c>
      <x:c r="Q67" s="24" t="str">
        <x:v>개인</x:v>
      </x:c>
      <x:c r="R67" s="24" t="str"/>
      <x:c r="S67" s="24" t="str">
        <x:f>IF(Q67="","계약연령 미입력",IFERROR(IF(R67="","보험연령 미입력",IF(VALUE(R67)=VALUE(Q67),"정상",IF(VALUE(R67)&gt;VALUE(Q67),"보장 불일치","과보장 점검"))),"계약연령 형식확인"))</x:f>
        <x:v>보험연령 미입력</x:v>
      </x:c>
      <x:c r="T67" s="30"/>
      <x:c r="U67" s="24" t="str">
        <x:f>IF(T67="","보험 자료 없음",IF(T67&lt;TODAY(),"만기 자료 갱신 필요","정상"))</x:f>
        <x:v>보험 자료 없음</x:v>
      </x:c>
      <x:c r="V67" s="24" t="str"/>
      <x:c r="W67" s="24" t="str"/>
      <x:c r="X67" s="24" t="str">
        <x:v>있음</x:v>
      </x:c>
      <x:c r="Y67" s="24" t="str">
        <x:v>미수 확인</x:v>
      </x:c>
      <x:c r="Z67" s="24" t="str"/>
      <x:c r="AA67" s="24" t="str"/>
    </x:row>
    <x:row r="68" ht="17.25" customHeight="1">
      <x:c r="A68" s="24" t="str">
        <x:v>스위치플랜</x:v>
      </x:c>
      <x:c r="B68" s="24" t="str">
        <x:v>377마3268</x:v>
      </x:c>
      <x:c r="C68" s="24" t="str">
        <x:v>현재보유</x:v>
      </x:c>
      <x:c r="D68" s="24" t="str">
        <x:v>상품화예정</x:v>
      </x:c>
      <x:c r="E68" s="30"/>
      <x:c r="F68" s="31" t="str">
        <x:f>IF(AND(D68="쉬는차",E68&lt;&gt;""),TODAY()-E68,"")</x:f>
      </x:c>
      <x:c r="G68" s="24" t="str">
        <x:v>상품화예정</x:v>
      </x:c>
      <x:c r="H68" s="24" t="str">
        <x:v>SW-C-377마3268-1-NA-70</x:v>
      </x:c>
      <x:c r="I68" s="30"/>
      <x:c r="J68" s="30"/>
      <x:c r="K68" s="24" t="str"/>
      <x:c r="L68" s="32"/>
      <x:c r="M68" s="31" t="n">
        <x:v>1</x:v>
      </x:c>
      <x:c r="N68" s="32" t="n">
        <x:v>0</x:v>
      </x:c>
      <x:c r="O68" s="31" t="n">
        <x:v>0</x:v>
      </x:c>
      <x:c r="P68" s="24" t="str"/>
      <x:c r="Q68" s="24" t="str">
        <x:v>26</x:v>
      </x:c>
      <x:c r="R68" s="24" t="str"/>
      <x:c r="S68" s="24" t="str">
        <x:f>IF(Q68="","계약연령 미입력",IFERROR(IF(R68="","보험연령 미입력",IF(VALUE(R68)=VALUE(Q68),"정상",IF(VALUE(R68)&gt;VALUE(Q68),"보장 불일치","과보장 점검"))),"계약연령 형식확인"))</x:f>
        <x:v>보험연령 미입력</x:v>
      </x:c>
      <x:c r="T68" s="30"/>
      <x:c r="U68" s="24" t="str">
        <x:f>IF(T68="","보험 자료 없음",IF(T68&lt;TODAY(),"만기 자료 갱신 필요","정상"))</x:f>
        <x:v>보험 자료 없음</x:v>
      </x:c>
      <x:c r="V68" s="24" t="str"/>
      <x:c r="W68" s="24" t="str"/>
      <x:c r="X68" s="24" t="str">
        <x:v>있음</x:v>
      </x:c>
      <x:c r="Y68" s="24" t="str"/>
      <x:c r="Z68" s="24" t="str"/>
      <x:c r="AA68" s="24" t="str"/>
    </x:row>
    <x:row r="69" ht="17.25" customHeight="1">
      <x:c r="A69" s="24" t="str">
        <x:v>스위치플랜</x:v>
      </x:c>
      <x:c r="B69" s="24" t="str">
        <x:v>104버2190</x:v>
      </x:c>
      <x:c r="C69" s="24" t="str">
        <x:v>현재보유</x:v>
      </x:c>
      <x:c r="D69" s="24" t="str">
        <x:v>대여중</x:v>
      </x:c>
      <x:c r="E69" s="30"/>
      <x:c r="F69" s="31" t="str">
        <x:f>IF(AND(D69="쉬는차",E69&lt;&gt;""),TODAY()-E69,"")</x:f>
      </x:c>
      <x:c r="G69" s="24" t="str">
        <x:v>박지혜</x:v>
      </x:c>
      <x:c r="H69" s="24" t="str">
        <x:v>SW-C-104버2190-1-20240809-71</x:v>
      </x:c>
      <x:c r="I69" s="30" t="n">
        <x:v>45513</x:v>
      </x:c>
      <x:c r="J69" s="30" t="n">
        <x:v>46973</x:v>
      </x:c>
      <x:c r="K69" s="24" t="str">
        <x:v>10일</x:v>
      </x:c>
      <x:c r="L69" s="32" t="n">
        <x:v>1340000</x:v>
      </x:c>
      <x:c r="M69" s="31" t="n">
        <x:v>1</x:v>
      </x:c>
      <x:c r="N69" s="32" t="n">
        <x:v>1340000</x:v>
      </x:c>
      <x:c r="O69" s="31" t="n">
        <x:v>0</x:v>
      </x:c>
      <x:c r="P69" s="24" t="str">
        <x:v>독촉 5일</x:v>
      </x:c>
      <x:c r="Q69" s="24" t="str">
        <x:v>35</x:v>
      </x:c>
      <x:c r="R69" s="24" t="str"/>
      <x:c r="S69" s="24" t="str">
        <x:f>IF(Q69="","계약연령 미입력",IFERROR(IF(R69="","보험연령 미입력",IF(VALUE(R69)=VALUE(Q69),"정상",IF(VALUE(R69)&gt;VALUE(Q69),"보장 불일치","과보장 점검"))),"계약연령 형식확인"))</x:f>
        <x:v>보험연령 미입력</x:v>
      </x:c>
      <x:c r="T69" s="30"/>
      <x:c r="U69" s="24" t="str">
        <x:f>IF(T69="","보험 자료 없음",IF(T69&lt;TODAY(),"만기 자료 갱신 필요","정상"))</x:f>
        <x:v>보험 자료 없음</x:v>
      </x:c>
      <x:c r="V69" s="24" t="str"/>
      <x:c r="W69" s="24" t="str"/>
      <x:c r="X69" s="24" t="str">
        <x:v>있음</x:v>
      </x:c>
      <x:c r="Y69" s="24" t="str">
        <x:v>미수 확인</x:v>
      </x:c>
      <x:c r="Z69" s="24" t="str"/>
      <x:c r="AA69" s="24" t="str"/>
    </x:row>
    <x:row r="70" ht="17.25" customHeight="1">
      <x:c r="A70" s="24" t="str">
        <x:v>스위치플랜</x:v>
      </x:c>
      <x:c r="B70" s="24" t="str">
        <x:v>155라6323</x:v>
      </x:c>
      <x:c r="C70" s="24" t="str">
        <x:v>현재보유</x:v>
      </x:c>
      <x:c r="D70" s="24" t="str">
        <x:v>대여중</x:v>
      </x:c>
      <x:c r="E70" s="30"/>
      <x:c r="F70" s="31" t="str">
        <x:f>IF(AND(D70="쉬는차",E70&lt;&gt;""),TODAY()-E70,"")</x:f>
      </x:c>
      <x:c r="G70" s="24" t="str">
        <x:v>장준</x:v>
      </x:c>
      <x:c r="H70" s="24" t="str">
        <x:v>SW-C-155라6323-1-20250210-72</x:v>
      </x:c>
      <x:c r="I70" s="30" t="n">
        <x:v>45698</x:v>
      </x:c>
      <x:c r="J70" s="30" t="n">
        <x:v>47158</x:v>
      </x:c>
      <x:c r="K70" s="24" t="str">
        <x:v>20일</x:v>
      </x:c>
      <x:c r="L70" s="32" t="n">
        <x:v>1320000</x:v>
      </x:c>
      <x:c r="M70" s="31" t="n">
        <x:v>3</x:v>
      </x:c>
      <x:c r="N70" s="32" t="n">
        <x:v>2640000</x:v>
      </x:c>
      <x:c r="O70" s="31" t="n">
        <x:v>0</x:v>
      </x:c>
      <x:c r="P70" s="24" t="str">
        <x:v>회수 판단</x:v>
      </x:c>
      <x:c r="Q70" s="24" t="str">
        <x:v>24</x:v>
      </x:c>
      <x:c r="R70" s="24" t="str"/>
      <x:c r="S70" s="24" t="str">
        <x:f>IF(Q70="","계약연령 미입력",IFERROR(IF(R70="","보험연령 미입력",IF(VALUE(R70)=VALUE(Q70),"정상",IF(VALUE(R70)&gt;VALUE(Q70),"보장 불일치","과보장 점검"))),"계약연령 형식확인"))</x:f>
        <x:v>보험연령 미입력</x:v>
      </x:c>
      <x:c r="T70" s="30"/>
      <x:c r="U70" s="24" t="str">
        <x:f>IF(T70="","보험 자료 없음",IF(T70&lt;TODAY(),"만기 자료 갱신 필요","정상"))</x:f>
        <x:v>보험 자료 없음</x:v>
      </x:c>
      <x:c r="V70" s="24" t="str"/>
      <x:c r="W70" s="24" t="str"/>
      <x:c r="X70" s="24" t="str">
        <x:v>있음</x:v>
      </x:c>
      <x:c r="Y70" s="24" t="str">
        <x:v>회수 검토</x:v>
      </x:c>
      <x:c r="Z70" s="24" t="str"/>
      <x:c r="AA70" s="24" t="str"/>
    </x:row>
    <x:row r="71" ht="17.25" customHeight="1">
      <x:c r="A71" s="24" t="str">
        <x:v>스위치플랜</x:v>
      </x:c>
      <x:c r="B71" s="24" t="str">
        <x:v>325구9443</x:v>
      </x:c>
      <x:c r="C71" s="24" t="str">
        <x:v>현재보유</x:v>
      </x:c>
      <x:c r="D71" s="24" t="str">
        <x:v>대여중</x:v>
      </x:c>
      <x:c r="E71" s="30"/>
      <x:c r="F71" s="31" t="str">
        <x:f>IF(AND(D71="쉬는차",E71&lt;&gt;""),TODAY()-E71,"")</x:f>
      </x:c>
      <x:c r="G71" s="24" t="str">
        <x:v>최정훈</x:v>
      </x:c>
      <x:c r="H71" s="24" t="str">
        <x:v>SW-C-325구9443-1-20250820-73</x:v>
      </x:c>
      <x:c r="I71" s="30" t="n">
        <x:v>45889</x:v>
      </x:c>
      <x:c r="J71" s="30" t="n">
        <x:v>47349</x:v>
      </x:c>
      <x:c r="K71" s="24" t="str">
        <x:v>20일</x:v>
      </x:c>
      <x:c r="L71" s="32" t="n">
        <x:v>850000</x:v>
      </x:c>
      <x:c r="M71" s="31" t="n">
        <x:v>7</x:v>
      </x:c>
      <x:c r="N71" s="32" t="n">
        <x:v>790000</x:v>
      </x:c>
      <x:c r="O71" s="31" t="n">
        <x:v>0</x:v>
      </x:c>
      <x:c r="P71" s="24" t="str"/>
      <x:c r="Q71" s="24" t="str">
        <x:v>26</x:v>
      </x:c>
      <x:c r="R71" s="24" t="str"/>
      <x:c r="S71" s="24" t="str">
        <x:f>IF(Q71="","계약연령 미입력",IFERROR(IF(R71="","보험연령 미입력",IF(VALUE(R71)=VALUE(Q71),"정상",IF(VALUE(R71)&gt;VALUE(Q71),"보장 불일치","과보장 점검"))),"계약연령 형식확인"))</x:f>
        <x:v>보험연령 미입력</x:v>
      </x:c>
      <x:c r="T71" s="30"/>
      <x:c r="U71" s="24" t="str">
        <x:f>IF(T71="","보험 자료 없음",IF(T71&lt;TODAY(),"만기 자료 갱신 필요","정상"))</x:f>
        <x:v>보험 자료 없음</x:v>
      </x:c>
      <x:c r="V71" s="24" t="str"/>
      <x:c r="W71" s="24" t="str"/>
      <x:c r="X71" s="24" t="str">
        <x:v>있음</x:v>
      </x:c>
      <x:c r="Y71" s="24" t="str">
        <x:v>미수 확인</x:v>
      </x:c>
      <x:c r="Z71" s="24" t="str"/>
      <x:c r="AA71" s="24" t="str"/>
    </x:row>
    <x:row r="72" ht="17.25" customHeight="1">
      <x:c r="A72" s="24" t="str">
        <x:v>스위치플랜</x:v>
      </x:c>
      <x:c r="B72" s="24" t="str">
        <x:v>268저3547</x:v>
      </x:c>
      <x:c r="C72" s="24" t="str">
        <x:v>현재보유</x:v>
      </x:c>
      <x:c r="D72" s="24" t="str">
        <x:v>대여중</x:v>
      </x:c>
      <x:c r="E72" s="30"/>
      <x:c r="F72" s="31" t="str">
        <x:f>IF(AND(D72="쉬는차",E72&lt;&gt;""),TODAY()-E72,"")</x:f>
      </x:c>
      <x:c r="G72" s="24" t="str">
        <x:v>제이엠</x:v>
      </x:c>
      <x:c r="H72" s="24" t="str">
        <x:v>SW-C-268저3547-1-20250709-74</x:v>
      </x:c>
      <x:c r="I72" s="30" t="n">
        <x:v>45847</x:v>
      </x:c>
      <x:c r="J72" s="30" t="n">
        <x:v>47307</x:v>
      </x:c>
      <x:c r="K72" s="24" t="str">
        <x:v>10일</x:v>
      </x:c>
      <x:c r="L72" s="32" t="n">
        <x:v>1220000</x:v>
      </x:c>
      <x:c r="M72" s="31" t="n">
        <x:v>1</x:v>
      </x:c>
      <x:c r="N72" s="32" t="n">
        <x:v>1220000</x:v>
      </x:c>
      <x:c r="O72" s="31" t="n">
        <x:v>0</x:v>
      </x:c>
      <x:c r="P72" s="24" t="str">
        <x:v>독촉 5일</x:v>
      </x:c>
      <x:c r="Q72" s="24" t="str">
        <x:v>35</x:v>
      </x:c>
      <x:c r="R72" s="24" t="str"/>
      <x:c r="S72" s="24" t="str">
        <x:f>IF(Q72="","계약연령 미입력",IFERROR(IF(R72="","보험연령 미입력",IF(VALUE(R72)=VALUE(Q72),"정상",IF(VALUE(R72)&gt;VALUE(Q72),"보장 불일치","과보장 점검"))),"계약연령 형식확인"))</x:f>
        <x:v>보험연령 미입력</x:v>
      </x:c>
      <x:c r="T72" s="30"/>
      <x:c r="U72" s="24" t="str">
        <x:f>IF(T72="","보험 자료 없음",IF(T72&lt;TODAY(),"만기 자료 갱신 필요","정상"))</x:f>
        <x:v>보험 자료 없음</x:v>
      </x:c>
      <x:c r="V72" s="24" t="str"/>
      <x:c r="W72" s="24" t="str"/>
      <x:c r="X72" s="24" t="str">
        <x:v>있음</x:v>
      </x:c>
      <x:c r="Y72" s="24" t="str">
        <x:v>미수 확인</x:v>
      </x:c>
      <x:c r="Z72" s="24" t="str"/>
      <x:c r="AA72" s="24" t="str"/>
    </x:row>
    <x:row r="73" ht="17.25" customHeight="1">
      <x:c r="A73" s="24" t="str">
        <x:v>스위치플랜</x:v>
      </x:c>
      <x:c r="B73" s="24" t="str">
        <x:v>336소9711</x:v>
      </x:c>
      <x:c r="C73" s="24" t="str">
        <x:v>현재보유</x:v>
      </x:c>
      <x:c r="D73" s="24" t="str">
        <x:v>대여중</x:v>
      </x:c>
      <x:c r="E73" s="30"/>
      <x:c r="F73" s="31" t="str">
        <x:f>IF(AND(D73="쉬는차",E73&lt;&gt;""),TODAY()-E73,"")</x:f>
      </x:c>
      <x:c r="G73" s="24" t="str">
        <x:v>문성오</x:v>
      </x:c>
      <x:c r="H73" s="24" t="str">
        <x:v>SW-C-336소9711-1-20231130-75</x:v>
      </x:c>
      <x:c r="I73" s="30" t="n">
        <x:v>45260</x:v>
      </x:c>
      <x:c r="J73" s="30" t="n">
        <x:v>46720</x:v>
      </x:c>
      <x:c r="K73" s="24" t="str">
        <x:v>05일</x:v>
      </x:c>
      <x:c r="L73" s="32" t="n">
        <x:v>1000000</x:v>
      </x:c>
      <x:c r="M73" s="31" t="n">
        <x:v>0</x:v>
      </x:c>
      <x:c r="N73" s="32" t="n">
        <x:v>-1000000</x:v>
      </x:c>
      <x:c r="O73" s="31" t="n">
        <x:v>0</x:v>
      </x:c>
      <x:c r="P73" s="24" t="str"/>
      <x:c r="Q73" s="24" t="str">
        <x:v>24</x:v>
      </x:c>
      <x:c r="R73" s="24" t="str"/>
      <x:c r="S73" s="24" t="str">
        <x:f>IF(Q73="","계약연령 미입력",IFERROR(IF(R73="","보험연령 미입력",IF(VALUE(R73)=VALUE(Q73),"정상",IF(VALUE(R73)&gt;VALUE(Q73),"보장 불일치","과보장 점검"))),"계약연령 형식확인"))</x:f>
        <x:v>보험연령 미입력</x:v>
      </x:c>
      <x:c r="T73" s="30"/>
      <x:c r="U73" s="24" t="str">
        <x:f>IF(T73="","보험 자료 없음",IF(T73&lt;TODAY(),"만기 자료 갱신 필요","정상"))</x:f>
        <x:v>보험 자료 없음</x:v>
      </x:c>
      <x:c r="V73" s="24" t="str"/>
      <x:c r="W73" s="24" t="str"/>
      <x:c r="X73" s="24" t="str">
        <x:v>있음</x:v>
      </x:c>
      <x:c r="Y73" s="24" t="str">
        <x:v>보험 연령 입력</x:v>
      </x:c>
      <x:c r="Z73" s="24" t="str"/>
      <x:c r="AA73" s="24" t="str"/>
    </x:row>
    <x:row r="74" ht="17.25" customHeight="1">
      <x:c r="A74" s="24" t="str">
        <x:v>스위치플랜</x:v>
      </x:c>
      <x:c r="B74" s="24" t="str">
        <x:v>182거8282</x:v>
      </x:c>
      <x:c r="C74" s="24" t="str">
        <x:v>현재보유</x:v>
      </x:c>
      <x:c r="D74" s="24" t="str">
        <x:v>대여중</x:v>
      </x:c>
      <x:c r="E74" s="30"/>
      <x:c r="F74" s="31" t="str">
        <x:f>IF(AND(D74="쉬는차",E74&lt;&gt;""),TODAY()-E74,"")</x:f>
      </x:c>
      <x:c r="G74" s="24" t="str">
        <x:v>지승언</x:v>
      </x:c>
      <x:c r="H74" s="24" t="str">
        <x:v>SW-C-182거8282-1-20250605-76</x:v>
      </x:c>
      <x:c r="I74" s="30" t="n">
        <x:v>45813</x:v>
      </x:c>
      <x:c r="J74" s="30" t="n">
        <x:v>47273</x:v>
      </x:c>
      <x:c r="K74" s="24" t="str">
        <x:v>05일</x:v>
      </x:c>
      <x:c r="L74" s="32" t="n">
        <x:v>350000</x:v>
      </x:c>
      <x:c r="M74" s="31" t="n">
        <x:v>0</x:v>
      </x:c>
      <x:c r="N74" s="32" t="n">
        <x:v>0</x:v>
      </x:c>
      <x:c r="O74" s="31" t="n">
        <x:v>0</x:v>
      </x:c>
      <x:c r="P74" s="24" t="str"/>
      <x:c r="Q74" s="24" t="str">
        <x:v>35</x:v>
      </x:c>
      <x:c r="R74" s="24" t="str"/>
      <x:c r="S74" s="24" t="str">
        <x:f>IF(Q74="","계약연령 미입력",IFERROR(IF(R74="","보험연령 미입력",IF(VALUE(R74)=VALUE(Q74),"정상",IF(VALUE(R74)&gt;VALUE(Q74),"보장 불일치","과보장 점검"))),"계약연령 형식확인"))</x:f>
        <x:v>보험연령 미입력</x:v>
      </x:c>
      <x:c r="T74" s="30"/>
      <x:c r="U74" s="24" t="str">
        <x:f>IF(T74="","보험 자료 없음",IF(T74&lt;TODAY(),"만기 자료 갱신 필요","정상"))</x:f>
        <x:v>보험 자료 없음</x:v>
      </x:c>
      <x:c r="V74" s="24" t="str"/>
      <x:c r="W74" s="24" t="str"/>
      <x:c r="X74" s="24" t="str">
        <x:v>있음</x:v>
      </x:c>
      <x:c r="Y74" s="24" t="str">
        <x:v>보험 연령 입력</x:v>
      </x:c>
      <x:c r="Z74" s="24" t="str"/>
      <x:c r="AA74" s="24" t="str"/>
    </x:row>
    <x:row r="75" ht="17.25" customHeight="1">
      <x:c r="A75" s="24" t="str">
        <x:v>스위치플랜</x:v>
      </x:c>
      <x:c r="B75" s="24" t="str">
        <x:v>165다5063</x:v>
      </x:c>
      <x:c r="C75" s="24" t="str">
        <x:v>현재보유</x:v>
      </x:c>
      <x:c r="D75" s="24" t="str">
        <x:v>대여중</x:v>
      </x:c>
      <x:c r="E75" s="30"/>
      <x:c r="F75" s="31" t="str">
        <x:f>IF(AND(D75="쉬는차",E75&lt;&gt;""),TODAY()-E75,"")</x:f>
      </x:c>
      <x:c r="G75" s="24" t="str">
        <x:v>정성</x:v>
      </x:c>
      <x:c r="H75" s="24" t="str">
        <x:v>SW-C-165다5063-1-20250910-77</x:v>
      </x:c>
      <x:c r="I75" s="30" t="n">
        <x:v>45910</x:v>
      </x:c>
      <x:c r="J75" s="30" t="n">
        <x:v>46892</x:v>
      </x:c>
      <x:c r="K75" s="24" t="str">
        <x:v>25일</x:v>
      </x:c>
      <x:c r="L75" s="32" t="n">
        <x:v>690000</x:v>
      </x:c>
      <x:c r="M75" s="31" t="n">
        <x:v>6</x:v>
      </x:c>
      <x:c r="N75" s="32" t="n">
        <x:v>690000</x:v>
      </x:c>
      <x:c r="O75" s="31" t="n">
        <x:v>0</x:v>
      </x:c>
      <x:c r="P75" s="24" t="str"/>
      <x:c r="Q75" s="24" t="str">
        <x:v>35</x:v>
      </x:c>
      <x:c r="R75" s="24" t="str"/>
      <x:c r="S75" s="24" t="str">
        <x:f>IF(Q75="","계약연령 미입력",IFERROR(IF(R75="","보험연령 미입력",IF(VALUE(R75)=VALUE(Q75),"정상",IF(VALUE(R75)&gt;VALUE(Q75),"보장 불일치","과보장 점검"))),"계약연령 형식확인"))</x:f>
        <x:v>보험연령 미입력</x:v>
      </x:c>
      <x:c r="T75" s="30"/>
      <x:c r="U75" s="24" t="str">
        <x:f>IF(T75="","보험 자료 없음",IF(T75&lt;TODAY(),"만기 자료 갱신 필요","정상"))</x:f>
        <x:v>보험 자료 없음</x:v>
      </x:c>
      <x:c r="V75" s="24" t="str"/>
      <x:c r="W75" s="24" t="str"/>
      <x:c r="X75" s="24" t="str">
        <x:v>있음</x:v>
      </x:c>
      <x:c r="Y75" s="24" t="str">
        <x:v>미수 확인</x:v>
      </x:c>
      <x:c r="Z75" s="24" t="str"/>
      <x:c r="AA75" s="24" t="str"/>
    </x:row>
    <x:row r="76" ht="17.25" customHeight="1">
      <x:c r="A76" s="24" t="str">
        <x:v>스위치플랜</x:v>
      </x:c>
      <x:c r="B76" s="24" t="str">
        <x:v>145가1781</x:v>
      </x:c>
      <x:c r="C76" s="24" t="str">
        <x:v>현재보유</x:v>
      </x:c>
      <x:c r="D76" s="24" t="str">
        <x:v>대여중</x:v>
      </x:c>
      <x:c r="E76" s="30"/>
      <x:c r="F76" s="31" t="str">
        <x:f>IF(AND(D76="쉬는차",E76&lt;&gt;""),TODAY()-E76,"")</x:f>
      </x:c>
      <x:c r="G76" s="24" t="str">
        <x:v>김용순</x:v>
      </x:c>
      <x:c r="H76" s="24" t="str">
        <x:v>SW-C-145가1781-1-20260309-78</x:v>
      </x:c>
      <x:c r="I76" s="30" t="n">
        <x:v>46090</x:v>
      </x:c>
      <x:c r="J76" s="30" t="n">
        <x:v>46456</x:v>
      </x:c>
      <x:c r="K76" s="24" t="str">
        <x:v>10일</x:v>
      </x:c>
      <x:c r="L76" s="32" t="n">
        <x:v>1100000</x:v>
      </x:c>
      <x:c r="M76" s="31" t="n">
        <x:v>0</x:v>
      </x:c>
      <x:c r="N76" s="32" t="n">
        <x:v>0</x:v>
      </x:c>
      <x:c r="O76" s="31" t="n">
        <x:v>0</x:v>
      </x:c>
      <x:c r="P76" s="24" t="str"/>
      <x:c r="Q76" s="24" t="str">
        <x:v>35</x:v>
      </x:c>
      <x:c r="R76" s="24" t="str"/>
      <x:c r="S76" s="24" t="str">
        <x:f>IF(Q76="","계약연령 미입력",IFERROR(IF(R76="","보험연령 미입력",IF(VALUE(R76)=VALUE(Q76),"정상",IF(VALUE(R76)&gt;VALUE(Q76),"보장 불일치","과보장 점검"))),"계약연령 형식확인"))</x:f>
        <x:v>보험연령 미입력</x:v>
      </x:c>
      <x:c r="T76" s="30"/>
      <x:c r="U76" s="24" t="str">
        <x:f>IF(T76="","보험 자료 없음",IF(T76&lt;TODAY(),"만기 자료 갱신 필요","정상"))</x:f>
        <x:v>보험 자료 없음</x:v>
      </x:c>
      <x:c r="V76" s="24" t="str"/>
      <x:c r="W76" s="24" t="str"/>
      <x:c r="X76" s="24" t="str">
        <x:v>있음</x:v>
      </x:c>
      <x:c r="Y76" s="24" t="str">
        <x:v>보험 연령 입력</x:v>
      </x:c>
      <x:c r="Z76" s="24" t="str"/>
      <x:c r="AA76" s="24" t="str"/>
    </x:row>
    <x:row r="77" ht="17.25" customHeight="1">
      <x:c r="A77" s="24" t="str">
        <x:v>스위치플랜</x:v>
      </x:c>
      <x:c r="B77" s="24" t="str">
        <x:v>145가1796</x:v>
      </x:c>
      <x:c r="C77" s="24" t="str">
        <x:v>현재보유</x:v>
      </x:c>
      <x:c r="D77" s="24" t="str">
        <x:v>대여중</x:v>
      </x:c>
      <x:c r="E77" s="30"/>
      <x:c r="F77" s="31" t="str">
        <x:f>IF(AND(D77="쉬는차",E77&lt;&gt;""),TODAY()-E77,"")</x:f>
      </x:c>
      <x:c r="G77" s="24" t="str">
        <x:v>정유림</x:v>
      </x:c>
      <x:c r="H77" s="24" t="str">
        <x:v>SW-C-145가1796-1-20250626-79</x:v>
      </x:c>
      <x:c r="I77" s="30" t="n">
        <x:v>45834</x:v>
      </x:c>
      <x:c r="J77" s="30" t="n">
        <x:v>47294</x:v>
      </x:c>
      <x:c r="K77" s="24" t="str">
        <x:v>25일</x:v>
      </x:c>
      <x:c r="L77" s="32" t="n">
        <x:v>1070000</x:v>
      </x:c>
      <x:c r="M77" s="31" t="n">
        <x:v>2</x:v>
      </x:c>
      <x:c r="N77" s="32" t="n">
        <x:v>1070000</x:v>
      </x:c>
      <x:c r="O77" s="31" t="n">
        <x:v>0</x:v>
      </x:c>
      <x:c r="P77" s="24" t="str"/>
      <x:c r="Q77" s="24" t="str">
        <x:v>30</x:v>
      </x:c>
      <x:c r="R77" s="24" t="str"/>
      <x:c r="S77" s="24" t="str">
        <x:f>IF(Q77="","계약연령 미입력",IFERROR(IF(R77="","보험연령 미입력",IF(VALUE(R77)=VALUE(Q77),"정상",IF(VALUE(R77)&gt;VALUE(Q77),"보장 불일치","과보장 점검"))),"계약연령 형식확인"))</x:f>
        <x:v>보험연령 미입력</x:v>
      </x:c>
      <x:c r="T77" s="30"/>
      <x:c r="U77" s="24" t="str">
        <x:f>IF(T77="","보험 자료 없음",IF(T77&lt;TODAY(),"만기 자료 갱신 필요","정상"))</x:f>
        <x:v>보험 자료 없음</x:v>
      </x:c>
      <x:c r="V77" s="24" t="str"/>
      <x:c r="W77" s="24" t="str"/>
      <x:c r="X77" s="24" t="str">
        <x:v>있음</x:v>
      </x:c>
      <x:c r="Y77" s="24" t="str">
        <x:v>미수 확인</x:v>
      </x:c>
      <x:c r="Z77" s="24" t="str"/>
      <x:c r="AA77" s="24" t="str"/>
    </x:row>
    <x:row r="78" ht="17.25" customHeight="1">
      <x:c r="A78" s="24" t="str">
        <x:v>스위치플랜</x:v>
      </x:c>
      <x:c r="B78" s="24" t="str">
        <x:v>155라6311</x:v>
      </x:c>
      <x:c r="C78" s="24" t="str">
        <x:v>현재보유</x:v>
      </x:c>
      <x:c r="D78" s="24" t="str">
        <x:v>상품화예정</x:v>
      </x:c>
      <x:c r="E78" s="30"/>
      <x:c r="F78" s="31" t="str">
        <x:f>IF(AND(D78="쉬는차",E78&lt;&gt;""),TODAY()-E78,"")</x:f>
      </x:c>
      <x:c r="G78" s="24" t="str">
        <x:v>상품화예정</x:v>
      </x:c>
      <x:c r="H78" s="24" t="str">
        <x:v>SW-C-155라6311-1-NA-80</x:v>
      </x:c>
      <x:c r="I78" s="30"/>
      <x:c r="J78" s="30"/>
      <x:c r="K78" s="24" t="str"/>
      <x:c r="L78" s="32"/>
      <x:c r="M78" s="31" t="n">
        <x:v>0</x:v>
      </x:c>
      <x:c r="N78" s="32" t="n">
        <x:v>0</x:v>
      </x:c>
      <x:c r="O78" s="31" t="n">
        <x:v>0</x:v>
      </x:c>
      <x:c r="P78" s="24" t="str"/>
      <x:c r="Q78" s="24" t="str">
        <x:v>35</x:v>
      </x:c>
      <x:c r="R78" s="24" t="str"/>
      <x:c r="S78" s="24" t="str">
        <x:f>IF(Q78="","계약연령 미입력",IFERROR(IF(R78="","보험연령 미입력",IF(VALUE(R78)=VALUE(Q78),"정상",IF(VALUE(R78)&gt;VALUE(Q78),"보장 불일치","과보장 점검"))),"계약연령 형식확인"))</x:f>
        <x:v>보험연령 미입력</x:v>
      </x:c>
      <x:c r="T78" s="30"/>
      <x:c r="U78" s="24" t="str">
        <x:f>IF(T78="","보험 자료 없음",IF(T78&lt;TODAY(),"만기 자료 갱신 필요","정상"))</x:f>
        <x:v>보험 자료 없음</x:v>
      </x:c>
      <x:c r="V78" s="24" t="str"/>
      <x:c r="W78" s="24" t="str"/>
      <x:c r="X78" s="24" t="str">
        <x:v>있음</x:v>
      </x:c>
      <x:c r="Y78" s="24" t="str"/>
      <x:c r="Z78" s="24" t="str"/>
      <x:c r="AA78" s="24" t="str"/>
    </x:row>
    <x:row r="79" ht="17.25" customHeight="1">
      <x:c r="A79" s="24" t="str">
        <x:v>스위치플랜</x:v>
      </x:c>
      <x:c r="B79" s="24" t="str">
        <x:v>155라6331</x:v>
      </x:c>
      <x:c r="C79" s="24" t="str">
        <x:v>현재보유</x:v>
      </x:c>
      <x:c r="D79" s="24" t="str">
        <x:v>대여중</x:v>
      </x:c>
      <x:c r="E79" s="30"/>
      <x:c r="F79" s="31" t="str">
        <x:f>IF(AND(D79="쉬는차",E79&lt;&gt;""),TODAY()-E79,"")</x:f>
      </x:c>
      <x:c r="G79" s="24" t="str">
        <x:v>김지현</x:v>
      </x:c>
      <x:c r="H79" s="24" t="str">
        <x:v>SW-C-155라6331-1-20250314-81</x:v>
      </x:c>
      <x:c r="I79" s="30" t="n">
        <x:v>45730</x:v>
      </x:c>
      <x:c r="J79" s="30" t="n">
        <x:v>47190</x:v>
      </x:c>
      <x:c r="K79" s="24" t="str">
        <x:v>15일</x:v>
      </x:c>
      <x:c r="L79" s="32" t="n">
        <x:v>1330000</x:v>
      </x:c>
      <x:c r="M79" s="31" t="n">
        <x:v>4</x:v>
      </x:c>
      <x:c r="N79" s="32" t="n">
        <x:v>10000</x:v>
      </x:c>
      <x:c r="O79" s="31" t="n">
        <x:v>0</x:v>
      </x:c>
      <x:c r="P79" s="24" t="str"/>
      <x:c r="Q79" s="24" t="str">
        <x:v>30</x:v>
      </x:c>
      <x:c r="R79" s="24" t="str"/>
      <x:c r="S79" s="24" t="str">
        <x:f>IF(Q79="","계약연령 미입력",IFERROR(IF(R79="","보험연령 미입력",IF(VALUE(R79)=VALUE(Q79),"정상",IF(VALUE(R79)&gt;VALUE(Q79),"보장 불일치","과보장 점검"))),"계약연령 형식확인"))</x:f>
        <x:v>보험연령 미입력</x:v>
      </x:c>
      <x:c r="T79" s="30"/>
      <x:c r="U79" s="24" t="str">
        <x:f>IF(T79="","보험 자료 없음",IF(T79&lt;TODAY(),"만기 자료 갱신 필요","정상"))</x:f>
        <x:v>보험 자료 없음</x:v>
      </x:c>
      <x:c r="V79" s="24" t="str"/>
      <x:c r="W79" s="24" t="str"/>
      <x:c r="X79" s="24" t="str">
        <x:v>있음</x:v>
      </x:c>
      <x:c r="Y79" s="24" t="str">
        <x:v>미수 확인</x:v>
      </x:c>
      <x:c r="Z79" s="24" t="str"/>
      <x:c r="AA79" s="24" t="str"/>
    </x:row>
    <x:row r="80" ht="17.25" customHeight="1">
      <x:c r="A80" s="24" t="str">
        <x:v>스위치플랜</x:v>
      </x:c>
      <x:c r="B80" s="24" t="str">
        <x:v>248너5286</x:v>
      </x:c>
      <x:c r="C80" s="24" t="str">
        <x:v>현재보유</x:v>
      </x:c>
      <x:c r="D80" s="24" t="str">
        <x:v>대여중</x:v>
      </x:c>
      <x:c r="E80" s="30"/>
      <x:c r="F80" s="31" t="str">
        <x:f>IF(AND(D80="쉬는차",E80&lt;&gt;""),TODAY()-E80,"")</x:f>
      </x:c>
      <x:c r="G80" s="24" t="str">
        <x:v>김후집</x:v>
      </x:c>
      <x:c r="H80" s="24" t="str">
        <x:v>SW-C-248너5286-1-20240223-82</x:v>
      </x:c>
      <x:c r="I80" s="30" t="n">
        <x:v>45345</x:v>
      </x:c>
      <x:c r="J80" s="30" t="n">
        <x:v>46805</x:v>
      </x:c>
      <x:c r="K80" s="24" t="str">
        <x:v>25일</x:v>
      </x:c>
      <x:c r="L80" s="32" t="n">
        <x:v>1500000</x:v>
      </x:c>
      <x:c r="M80" s="31" t="n">
        <x:v>1</x:v>
      </x:c>
      <x:c r="N80" s="32" t="n">
        <x:v>1500000</x:v>
      </x:c>
      <x:c r="O80" s="31" t="n">
        <x:v>0</x:v>
      </x:c>
      <x:c r="P80" s="24" t="str"/>
      <x:c r="Q80" s="24" t="str">
        <x:v>35</x:v>
      </x:c>
      <x:c r="R80" s="24" t="str"/>
      <x:c r="S80" s="24" t="str">
        <x:f>IF(Q80="","계약연령 미입력",IFERROR(IF(R80="","보험연령 미입력",IF(VALUE(R80)=VALUE(Q80),"정상",IF(VALUE(R80)&gt;VALUE(Q80),"보장 불일치","과보장 점검"))),"계약연령 형식확인"))</x:f>
        <x:v>보험연령 미입력</x:v>
      </x:c>
      <x:c r="T80" s="30"/>
      <x:c r="U80" s="24" t="str">
        <x:f>IF(T80="","보험 자료 없음",IF(T80&lt;TODAY(),"만기 자료 갱신 필요","정상"))</x:f>
        <x:v>보험 자료 없음</x:v>
      </x:c>
      <x:c r="V80" s="24" t="str"/>
      <x:c r="W80" s="24" t="str"/>
      <x:c r="X80" s="24" t="str">
        <x:v>있음</x:v>
      </x:c>
      <x:c r="Y80" s="24" t="str">
        <x:v>미수 확인</x:v>
      </x:c>
      <x:c r="Z80" s="24" t="str"/>
      <x:c r="AA80" s="24" t="str"/>
    </x:row>
    <x:row r="81" ht="17.25" customHeight="1">
      <x:c r="A81" s="24" t="str">
        <x:v>스위치플랜</x:v>
      </x:c>
      <x:c r="B81" s="24" t="str">
        <x:v>350수9623</x:v>
      </x:c>
      <x:c r="C81" s="24" t="str">
        <x:v>현재보유</x:v>
      </x:c>
      <x:c r="D81" s="24" t="str">
        <x:v>대여중</x:v>
      </x:c>
      <x:c r="E81" s="30"/>
      <x:c r="F81" s="31" t="str">
        <x:f>IF(AND(D81="쉬는차",E81&lt;&gt;""),TODAY()-E81,"")</x:f>
      </x:c>
      <x:c r="G81" s="24" t="str">
        <x:v>청산물류</x:v>
      </x:c>
      <x:c r="H81" s="24" t="str">
        <x:v>SW-C-350수9623-1-20260504-83</x:v>
      </x:c>
      <x:c r="I81" s="30" t="n">
        <x:v>46146</x:v>
      </x:c>
      <x:c r="J81" s="30" t="n">
        <x:v>47606</x:v>
      </x:c>
      <x:c r="K81" s="24" t="str">
        <x:v>05일</x:v>
      </x:c>
      <x:c r="L81" s="32" t="n">
        <x:v>1230000</x:v>
      </x:c>
      <x:c r="M81" s="31" t="n">
        <x:v>0</x:v>
      </x:c>
      <x:c r="N81" s="32" t="n">
        <x:v>0</x:v>
      </x:c>
      <x:c r="O81" s="31" t="n">
        <x:v>0</x:v>
      </x:c>
      <x:c r="P81" s="24" t="str"/>
      <x:c r="Q81" s="24" t="str">
        <x:v>개인</x:v>
      </x:c>
      <x:c r="R81" s="24" t="str"/>
      <x:c r="S81" s="24" t="str">
        <x:f>IF(Q81="","계약연령 미입력",IFERROR(IF(R81="","보험연령 미입력",IF(VALUE(R81)=VALUE(Q81),"정상",IF(VALUE(R81)&gt;VALUE(Q81),"보장 불일치","과보장 점검"))),"계약연령 형식확인"))</x:f>
        <x:v>보험연령 미입력</x:v>
      </x:c>
      <x:c r="T81" s="30"/>
      <x:c r="U81" s="24" t="str">
        <x:f>IF(T81="","보험 자료 없음",IF(T81&lt;TODAY(),"만기 자료 갱신 필요","정상"))</x:f>
        <x:v>보험 자료 없음</x:v>
      </x:c>
      <x:c r="V81" s="24" t="str"/>
      <x:c r="W81" s="24" t="str"/>
      <x:c r="X81" s="24" t="str">
        <x:v>있음</x:v>
      </x:c>
      <x:c r="Y81" s="24" t="str">
        <x:v>보험 연령 입력</x:v>
      </x:c>
      <x:c r="Z81" s="24" t="str"/>
      <x:c r="AA81" s="24" t="str"/>
    </x:row>
    <x:row r="82" ht="17.25" customHeight="1">
      <x:c r="A82" s="24" t="str">
        <x:v>스위치플랜</x:v>
      </x:c>
      <x:c r="B82" s="24" t="str">
        <x:v>827버3872</x:v>
      </x:c>
      <x:c r="C82" s="24" t="str">
        <x:v>현재보유</x:v>
      </x:c>
      <x:c r="D82" s="24" t="str">
        <x:v>대여중</x:v>
      </x:c>
      <x:c r="E82" s="30"/>
      <x:c r="F82" s="31" t="str">
        <x:f>IF(AND(D82="쉬는차",E82&lt;&gt;""),TODAY()-E82,"")</x:f>
      </x:c>
      <x:c r="G82" s="24" t="str">
        <x:v>전국연합누수119</x:v>
      </x:c>
      <x:c r="H82" s="24" t="str">
        <x:v>SW-C-827버3872-1-20240528-84</x:v>
      </x:c>
      <x:c r="I82" s="30" t="n">
        <x:v>45440</x:v>
      </x:c>
      <x:c r="J82" s="30" t="n">
        <x:v>46900</x:v>
      </x:c>
      <x:c r="K82" s="24" t="str">
        <x:v>말일</x:v>
      </x:c>
      <x:c r="L82" s="32" t="n">
        <x:v>660000</x:v>
      </x:c>
      <x:c r="M82" s="31" t="n">
        <x:v>11</x:v>
      </x:c>
      <x:c r="N82" s="32" t="n">
        <x:v>660000</x:v>
      </x:c>
      <x:c r="O82" s="31" t="n">
        <x:v>0</x:v>
      </x:c>
      <x:c r="P82" s="24" t="str"/>
      <x:c r="Q82" s="24" t="str">
        <x:v>35</x:v>
      </x:c>
      <x:c r="R82" s="24" t="str"/>
      <x:c r="S82" s="24" t="str">
        <x:f>IF(Q82="","계약연령 미입력",IFERROR(IF(R82="","보험연령 미입력",IF(VALUE(R82)=VALUE(Q82),"정상",IF(VALUE(R82)&gt;VALUE(Q82),"보장 불일치","과보장 점검"))),"계약연령 형식확인"))</x:f>
        <x:v>보험연령 미입력</x:v>
      </x:c>
      <x:c r="T82" s="30"/>
      <x:c r="U82" s="24" t="str">
        <x:f>IF(T82="","보험 자료 없음",IF(T82&lt;TODAY(),"만기 자료 갱신 필요","정상"))</x:f>
        <x:v>보험 자료 없음</x:v>
      </x:c>
      <x:c r="V82" s="24" t="str"/>
      <x:c r="W82" s="24" t="str"/>
      <x:c r="X82" s="24" t="str">
        <x:v>있음</x:v>
      </x:c>
      <x:c r="Y82" s="24" t="str">
        <x:v>미수 확인</x:v>
      </x:c>
      <x:c r="Z82" s="24" t="str"/>
      <x:c r="AA82" s="24" t="str"/>
    </x:row>
    <x:row r="83" ht="17.25" customHeight="1">
      <x:c r="A83" s="24" t="str">
        <x:v>스위치플랜</x:v>
      </x:c>
      <x:c r="B83" s="24" t="str">
        <x:v>201다3498</x:v>
      </x:c>
      <x:c r="C83" s="24" t="str">
        <x:v>현재보유</x:v>
      </x:c>
      <x:c r="D83" s="24" t="str">
        <x:v>대여중</x:v>
      </x:c>
      <x:c r="E83" s="30"/>
      <x:c r="F83" s="31" t="str">
        <x:f>IF(AND(D83="쉬는차",E83&lt;&gt;""),TODAY()-E83,"")</x:f>
      </x:c>
      <x:c r="G83" s="24" t="str">
        <x:v>남정식</x:v>
      </x:c>
      <x:c r="H83" s="24" t="str">
        <x:v>SW-C-201다3498-1-20240110-85</x:v>
      </x:c>
      <x:c r="I83" s="30" t="n">
        <x:v>45301</x:v>
      </x:c>
      <x:c r="J83" s="30" t="n">
        <x:v>46761</x:v>
      </x:c>
      <x:c r="K83" s="24" t="str">
        <x:v>10일</x:v>
      </x:c>
      <x:c r="L83" s="32" t="n">
        <x:v>1160000</x:v>
      </x:c>
      <x:c r="M83" s="31" t="n">
        <x:v>0</x:v>
      </x:c>
      <x:c r="N83" s="32" t="n">
        <x:v>0</x:v>
      </x:c>
      <x:c r="O83" s="31" t="n">
        <x:v>0</x:v>
      </x:c>
      <x:c r="P83" s="24" t="str"/>
      <x:c r="Q83" s="24" t="str">
        <x:v>35</x:v>
      </x:c>
      <x:c r="R83" s="24" t="str"/>
      <x:c r="S83" s="24" t="str">
        <x:f>IF(Q83="","계약연령 미입력",IFERROR(IF(R83="","보험연령 미입력",IF(VALUE(R83)=VALUE(Q83),"정상",IF(VALUE(R83)&gt;VALUE(Q83),"보장 불일치","과보장 점검"))),"계약연령 형식확인"))</x:f>
        <x:v>보험연령 미입력</x:v>
      </x:c>
      <x:c r="T83" s="30"/>
      <x:c r="U83" s="24" t="str">
        <x:f>IF(T83="","보험 자료 없음",IF(T83&lt;TODAY(),"만기 자료 갱신 필요","정상"))</x:f>
        <x:v>보험 자료 없음</x:v>
      </x:c>
      <x:c r="V83" s="24" t="str"/>
      <x:c r="W83" s="24" t="str"/>
      <x:c r="X83" s="24" t="str">
        <x:v>있음</x:v>
      </x:c>
      <x:c r="Y83" s="24" t="str">
        <x:v>보험 연령 입력</x:v>
      </x:c>
      <x:c r="Z83" s="24" t="str"/>
      <x:c r="AA83" s="24" t="str"/>
    </x:row>
    <x:row r="84" ht="17.25" customHeight="1">
      <x:c r="A84" s="24" t="str">
        <x:v>스위치플랜</x:v>
      </x:c>
      <x:c r="B84" s="24" t="str">
        <x:v>288수6402</x:v>
      </x:c>
      <x:c r="C84" s="24" t="str">
        <x:v>현재보유</x:v>
      </x:c>
      <x:c r="D84" s="24" t="str">
        <x:v>대여중</x:v>
      </x:c>
      <x:c r="E84" s="30"/>
      <x:c r="F84" s="31" t="str">
        <x:f>IF(AND(D84="쉬는차",E84&lt;&gt;""),TODAY()-E84,"")</x:f>
      </x:c>
      <x:c r="G84" s="24" t="str">
        <x:v>김서운</x:v>
      </x:c>
      <x:c r="H84" s="24" t="str">
        <x:v>SW-C-288수6402-1-20260324-86</x:v>
      </x:c>
      <x:c r="I84" s="30" t="n">
        <x:v>46105</x:v>
      </x:c>
      <x:c r="J84" s="30" t="n">
        <x:v>46980</x:v>
      </x:c>
      <x:c r="K84" s="24" t="str">
        <x:v>15일</x:v>
      </x:c>
      <x:c r="L84" s="32" t="n">
        <x:v>730000</x:v>
      </x:c>
      <x:c r="M84" s="31" t="n">
        <x:v>1</x:v>
      </x:c>
      <x:c r="N84" s="32" t="n">
        <x:v>730000</x:v>
      </x:c>
      <x:c r="O84" s="31" t="n">
        <x:v>0</x:v>
      </x:c>
      <x:c r="P84" s="24" t="str"/>
      <x:c r="Q84" s="24" t="str">
        <x:v>35</x:v>
      </x:c>
      <x:c r="R84" s="24" t="str"/>
      <x:c r="S84" s="24" t="str">
        <x:f>IF(Q84="","계약연령 미입력",IFERROR(IF(R84="","보험연령 미입력",IF(VALUE(R84)=VALUE(Q84),"정상",IF(VALUE(R84)&gt;VALUE(Q84),"보장 불일치","과보장 점검"))),"계약연령 형식확인"))</x:f>
        <x:v>보험연령 미입력</x:v>
      </x:c>
      <x:c r="T84" s="30"/>
      <x:c r="U84" s="24" t="str">
        <x:f>IF(T84="","보험 자료 없음",IF(T84&lt;TODAY(),"만기 자료 갱신 필요","정상"))</x:f>
        <x:v>보험 자료 없음</x:v>
      </x:c>
      <x:c r="V84" s="24" t="str"/>
      <x:c r="W84" s="24" t="str"/>
      <x:c r="X84" s="24" t="str">
        <x:v>있음</x:v>
      </x:c>
      <x:c r="Y84" s="24" t="str">
        <x:v>미수 확인</x:v>
      </x:c>
      <x:c r="Z84" s="24" t="str"/>
      <x:c r="AA84" s="24" t="str"/>
    </x:row>
    <x:row r="85" ht="17.25" customHeight="1">
      <x:c r="A85" s="24" t="str">
        <x:v>스위치플랜</x:v>
      </x:c>
      <x:c r="B85" s="24" t="str">
        <x:v>244루2757</x:v>
      </x:c>
      <x:c r="C85" s="24" t="str">
        <x:v>현재보유</x:v>
      </x:c>
      <x:c r="D85" s="24" t="str">
        <x:v>대여중</x:v>
      </x:c>
      <x:c r="E85" s="30"/>
      <x:c r="F85" s="31" t="str">
        <x:f>IF(AND(D85="쉬는차",E85&lt;&gt;""),TODAY()-E85,"")</x:f>
      </x:c>
      <x:c r="G85" s="24" t="str">
        <x:v>홍이삭</x:v>
      </x:c>
      <x:c r="H85" s="24" t="str">
        <x:v>SW-C-244루2757-1-20260318-87</x:v>
      </x:c>
      <x:c r="I85" s="30" t="n">
        <x:v>46099</x:v>
      </x:c>
      <x:c r="J85" s="30" t="n">
        <x:v>47559</x:v>
      </x:c>
      <x:c r="K85" s="24" t="str">
        <x:v>20일</x:v>
      </x:c>
      <x:c r="L85" s="32" t="n">
        <x:v>380000</x:v>
      </x:c>
      <x:c r="M85" s="31" t="n">
        <x:v>1</x:v>
      </x:c>
      <x:c r="N85" s="32" t="n">
        <x:v>380000</x:v>
      </x:c>
      <x:c r="O85" s="31" t="n">
        <x:v>0</x:v>
      </x:c>
      <x:c r="P85" s="24" t="str"/>
      <x:c r="Q85" s="24" t="str">
        <x:v>개인</x:v>
      </x:c>
      <x:c r="R85" s="24" t="str"/>
      <x:c r="S85" s="24" t="str">
        <x:f>IF(Q85="","계약연령 미입력",IFERROR(IF(R85="","보험연령 미입력",IF(VALUE(R85)=VALUE(Q85),"정상",IF(VALUE(R85)&gt;VALUE(Q85),"보장 불일치","과보장 점검"))),"계약연령 형식확인"))</x:f>
        <x:v>보험연령 미입력</x:v>
      </x:c>
      <x:c r="T85" s="30"/>
      <x:c r="U85" s="24" t="str">
        <x:f>IF(T85="","보험 자료 없음",IF(T85&lt;TODAY(),"만기 자료 갱신 필요","정상"))</x:f>
        <x:v>보험 자료 없음</x:v>
      </x:c>
      <x:c r="V85" s="24" t="str"/>
      <x:c r="W85" s="24" t="str"/>
      <x:c r="X85" s="24" t="str">
        <x:v>있음</x:v>
      </x:c>
      <x:c r="Y85" s="24" t="str">
        <x:v>미수 확인</x:v>
      </x:c>
      <x:c r="Z85" s="24" t="str"/>
      <x:c r="AA85" s="24" t="str"/>
    </x:row>
    <x:row r="86" ht="17.25" customHeight="1">
      <x:c r="A86" s="24" t="str">
        <x:v>스위치플랜</x:v>
      </x:c>
      <x:c r="B86" s="24" t="str">
        <x:v>330모8787</x:v>
      </x:c>
      <x:c r="C86" s="24" t="str">
        <x:v>현재보유</x:v>
      </x:c>
      <x:c r="D86" s="24" t="str">
        <x:v>대여중</x:v>
      </x:c>
      <x:c r="E86" s="30"/>
      <x:c r="F86" s="31" t="str">
        <x:f>IF(AND(D86="쉬는차",E86&lt;&gt;""),TODAY()-E86,"")</x:f>
      </x:c>
      <x:c r="G86" s="24" t="str">
        <x:v>이상원</x:v>
      </x:c>
      <x:c r="H86" s="24" t="str">
        <x:v>SW-C-330모8787-1-20250524-88</x:v>
      </x:c>
      <x:c r="I86" s="30" t="n">
        <x:v>45801</x:v>
      </x:c>
      <x:c r="J86" s="30" t="n">
        <x:v>46327</x:v>
      </x:c>
      <x:c r="K86" s="24" t="str">
        <x:v>10일</x:v>
      </x:c>
      <x:c r="L86" s="32" t="n">
        <x:v>1010000</x:v>
      </x:c>
      <x:c r="M86" s="31" t="n">
        <x:v>0</x:v>
      </x:c>
      <x:c r="N86" s="32" t="n">
        <x:v>0</x:v>
      </x:c>
      <x:c r="O86" s="31" t="n">
        <x:v>0</x:v>
      </x:c>
      <x:c r="P86" s="24" t="str">
        <x:v>만기 임박</x:v>
      </x:c>
      <x:c r="Q86" s="24" t="str">
        <x:v>26</x:v>
      </x:c>
      <x:c r="R86" s="24" t="str"/>
      <x:c r="S86" s="24" t="str">
        <x:f>IF(Q86="","계약연령 미입력",IFERROR(IF(R86="","보험연령 미입력",IF(VALUE(R86)=VALUE(Q86),"정상",IF(VALUE(R86)&gt;VALUE(Q86),"보장 불일치","과보장 점검"))),"계약연령 형식확인"))</x:f>
        <x:v>보험연령 미입력</x:v>
      </x:c>
      <x:c r="T86" s="30"/>
      <x:c r="U86" s="24" t="str">
        <x:f>IF(T86="","보험 자료 없음",IF(T86&lt;TODAY(),"만기 자료 갱신 필요","정상"))</x:f>
        <x:v>보험 자료 없음</x:v>
      </x:c>
      <x:c r="V86" s="24" t="str"/>
      <x:c r="W86" s="24" t="str"/>
      <x:c r="X86" s="24" t="str">
        <x:v>있음</x:v>
      </x:c>
      <x:c r="Y86" s="24" t="str">
        <x:v>보험 연령 입력</x:v>
      </x:c>
      <x:c r="Z86" s="24" t="str"/>
      <x:c r="AA86" s="24" t="str"/>
    </x:row>
    <x:row r="87" ht="17.25" customHeight="1">
      <x:c r="A87" s="24" t="str">
        <x:v>스위치플랜</x:v>
      </x:c>
      <x:c r="B87" s="24" t="str">
        <x:v>186고4026</x:v>
      </x:c>
      <x:c r="C87" s="24" t="str">
        <x:v>현재보유</x:v>
      </x:c>
      <x:c r="D87" s="24" t="str">
        <x:v>대여중</x:v>
      </x:c>
      <x:c r="E87" s="30"/>
      <x:c r="F87" s="31" t="str">
        <x:f>IF(AND(D87="쉬는차",E87&lt;&gt;""),TODAY()-E87,"")</x:f>
      </x:c>
      <x:c r="G87" s="24" t="str">
        <x:v>김경호</x:v>
      </x:c>
      <x:c r="H87" s="24" t="str">
        <x:v>SW-C-186고4026-1-20240530-89</x:v>
      </x:c>
      <x:c r="I87" s="30" t="n">
        <x:v>45442</x:v>
      </x:c>
      <x:c r="J87" s="30" t="n">
        <x:v>46902</x:v>
      </x:c>
      <x:c r="K87" s="24" t="str">
        <x:v>말일</x:v>
      </x:c>
      <x:c r="L87" s="32" t="n">
        <x:v>1100000</x:v>
      </x:c>
      <x:c r="M87" s="31" t="n">
        <x:v>1</x:v>
      </x:c>
      <x:c r="N87" s="32" t="n">
        <x:v>1100000</x:v>
      </x:c>
      <x:c r="O87" s="31" t="n">
        <x:v>0</x:v>
      </x:c>
      <x:c r="P87" s="24" t="str"/>
      <x:c r="Q87" s="24" t="str">
        <x:v>35</x:v>
      </x:c>
      <x:c r="R87" s="24" t="str"/>
      <x:c r="S87" s="24" t="str">
        <x:f>IF(Q87="","계약연령 미입력",IFERROR(IF(R87="","보험연령 미입력",IF(VALUE(R87)=VALUE(Q87),"정상",IF(VALUE(R87)&gt;VALUE(Q87),"보장 불일치","과보장 점검"))),"계약연령 형식확인"))</x:f>
        <x:v>보험연령 미입력</x:v>
      </x:c>
      <x:c r="T87" s="30"/>
      <x:c r="U87" s="24" t="str">
        <x:f>IF(T87="","보험 자료 없음",IF(T87&lt;TODAY(),"만기 자료 갱신 필요","정상"))</x:f>
        <x:v>보험 자료 없음</x:v>
      </x:c>
      <x:c r="V87" s="24" t="str"/>
      <x:c r="W87" s="24" t="str"/>
      <x:c r="X87" s="24" t="str">
        <x:v>있음</x:v>
      </x:c>
      <x:c r="Y87" s="24" t="str">
        <x:v>미수 확인</x:v>
      </x:c>
      <x:c r="Z87" s="24" t="str"/>
      <x:c r="AA87" s="24" t="str"/>
    </x:row>
    <x:row r="88" ht="17.25" customHeight="1">
      <x:c r="A88" s="24" t="str">
        <x:v>스위치플랜</x:v>
      </x:c>
      <x:c r="B88" s="24" t="str">
        <x:v>151나8783</x:v>
      </x:c>
      <x:c r="C88" s="24" t="str">
        <x:v>현재보유</x:v>
      </x:c>
      <x:c r="D88" s="24" t="str">
        <x:v>대여중</x:v>
      </x:c>
      <x:c r="E88" s="30"/>
      <x:c r="F88" s="31" t="str">
        <x:f>IF(AND(D88="쉬는차",E88&lt;&gt;""),TODAY()-E88,"")</x:f>
      </x:c>
      <x:c r="G88" s="24" t="str">
        <x:v>황우정</x:v>
      </x:c>
      <x:c r="H88" s="24" t="str">
        <x:v>SW-C-151나8783-1-20260410-90</x:v>
      </x:c>
      <x:c r="I88" s="30" t="n">
        <x:v>46122</x:v>
      </x:c>
      <x:c r="J88" s="30" t="n">
        <x:v>47287</x:v>
      </x:c>
      <x:c r="K88" s="24" t="str">
        <x:v>20일</x:v>
      </x:c>
      <x:c r="L88" s="32" t="n">
        <x:v>880000</x:v>
      </x:c>
      <x:c r="M88" s="31" t="n">
        <x:v>2</x:v>
      </x:c>
      <x:c r="N88" s="32" t="n">
        <x:v>1760000</x:v>
      </x:c>
      <x:c r="O88" s="31" t="n">
        <x:v>0</x:v>
      </x:c>
      <x:c r="P88" s="24" t="str">
        <x:v>회수 판단</x:v>
      </x:c>
      <x:c r="Q88" s="24" t="str">
        <x:v>26</x:v>
      </x:c>
      <x:c r="R88" s="24" t="str"/>
      <x:c r="S88" s="24" t="str">
        <x:f>IF(Q88="","계약연령 미입력",IFERROR(IF(R88="","보험연령 미입력",IF(VALUE(R88)=VALUE(Q88),"정상",IF(VALUE(R88)&gt;VALUE(Q88),"보장 불일치","과보장 점검"))),"계약연령 형식확인"))</x:f>
        <x:v>보험연령 미입력</x:v>
      </x:c>
      <x:c r="T88" s="30"/>
      <x:c r="U88" s="24" t="str">
        <x:f>IF(T88="","보험 자료 없음",IF(T88&lt;TODAY(),"만기 자료 갱신 필요","정상"))</x:f>
        <x:v>보험 자료 없음</x:v>
      </x:c>
      <x:c r="V88" s="24" t="str"/>
      <x:c r="W88" s="24" t="str"/>
      <x:c r="X88" s="24" t="str">
        <x:v>있음</x:v>
      </x:c>
      <x:c r="Y88" s="24" t="str">
        <x:v>회수 검토</x:v>
      </x:c>
      <x:c r="Z88" s="24" t="str"/>
      <x:c r="AA88" s="24" t="str"/>
    </x:row>
    <x:row r="89" ht="17.25" customHeight="1">
      <x:c r="A89" s="24" t="str">
        <x:v>스위치플랜</x:v>
      </x:c>
      <x:c r="B89" s="24" t="str">
        <x:v>181조8459</x:v>
      </x:c>
      <x:c r="C89" s="24" t="str">
        <x:v>현재보유</x:v>
      </x:c>
      <x:c r="D89" s="24" t="str">
        <x:v>대여중</x:v>
      </x:c>
      <x:c r="E89" s="30"/>
      <x:c r="F89" s="31" t="str">
        <x:f>IF(AND(D89="쉬는차",E89&lt;&gt;""),TODAY()-E89,"")</x:f>
      </x:c>
      <x:c r="G89" s="24" t="str">
        <x:v>배성호</x:v>
      </x:c>
      <x:c r="H89" s="24" t="str">
        <x:v>SW-C-181조8459-1-20260420-91</x:v>
      </x:c>
      <x:c r="I89" s="30" t="n">
        <x:v>46132</x:v>
      </x:c>
      <x:c r="J89" s="30" t="n">
        <x:v>47592</x:v>
      </x:c>
      <x:c r="K89" s="24" t="str">
        <x:v>20일</x:v>
      </x:c>
      <x:c r="L89" s="32" t="n">
        <x:v>370000</x:v>
      </x:c>
      <x:c r="M89" s="31" t="n">
        <x:v>1</x:v>
      </x:c>
      <x:c r="N89" s="32" t="n">
        <x:v>70000</x:v>
      </x:c>
      <x:c r="O89" s="31" t="n">
        <x:v>0</x:v>
      </x:c>
      <x:c r="P89" s="24" t="str"/>
      <x:c r="Q89" s="24" t="str">
        <x:v>개인</x:v>
      </x:c>
      <x:c r="R89" s="24" t="str"/>
      <x:c r="S89" s="24" t="str">
        <x:f>IF(Q89="","계약연령 미입력",IFERROR(IF(R89="","보험연령 미입력",IF(VALUE(R89)=VALUE(Q89),"정상",IF(VALUE(R89)&gt;VALUE(Q89),"보장 불일치","과보장 점검"))),"계약연령 형식확인"))</x:f>
        <x:v>보험연령 미입력</x:v>
      </x:c>
      <x:c r="T89" s="30"/>
      <x:c r="U89" s="24" t="str">
        <x:f>IF(T89="","보험 자료 없음",IF(T89&lt;TODAY(),"만기 자료 갱신 필요","정상"))</x:f>
        <x:v>보험 자료 없음</x:v>
      </x:c>
      <x:c r="V89" s="24" t="str"/>
      <x:c r="W89" s="24" t="str"/>
      <x:c r="X89" s="24" t="str">
        <x:v>있음</x:v>
      </x:c>
      <x:c r="Y89" s="24" t="str">
        <x:v>미수 확인</x:v>
      </x:c>
      <x:c r="Z89" s="24" t="str"/>
      <x:c r="AA89" s="24" t="str"/>
    </x:row>
    <x:row r="90" ht="17.25" customHeight="1">
      <x:c r="A90" s="24" t="str">
        <x:v>스위치플랜</x:v>
      </x:c>
      <x:c r="B90" s="24" t="str">
        <x:v>120라5445</x:v>
      </x:c>
      <x:c r="C90" s="24" t="str">
        <x:v>현재보유</x:v>
      </x:c>
      <x:c r="D90" s="24" t="str">
        <x:v>대여중</x:v>
      </x:c>
      <x:c r="E90" s="30"/>
      <x:c r="F90" s="31" t="str">
        <x:f>IF(AND(D90="쉬는차",E90&lt;&gt;""),TODAY()-E90,"")</x:f>
      </x:c>
      <x:c r="G90" s="24" t="str">
        <x:v>백민정</x:v>
      </x:c>
      <x:c r="H90" s="24" t="str">
        <x:v>SW-C-120라5445-1-20231208-92</x:v>
      </x:c>
      <x:c r="I90" s="30" t="n">
        <x:v>45268</x:v>
      </x:c>
      <x:c r="J90" s="30" t="n">
        <x:v>46728</x:v>
      </x:c>
      <x:c r="K90" s="24" t="str">
        <x:v>15일</x:v>
      </x:c>
      <x:c r="L90" s="32" t="n">
        <x:v>540000</x:v>
      </x:c>
      <x:c r="M90" s="31" t="n">
        <x:v>5</x:v>
      </x:c>
      <x:c r="N90" s="32" t="n">
        <x:v>540000</x:v>
      </x:c>
      <x:c r="O90" s="31" t="n">
        <x:v>0</x:v>
      </x:c>
      <x:c r="P90" s="24" t="str"/>
      <x:c r="Q90" s="24" t="str">
        <x:v>35</x:v>
      </x:c>
      <x:c r="R90" s="24" t="str"/>
      <x:c r="S90" s="24" t="str">
        <x:f>IF(Q90="","계약연령 미입력",IFERROR(IF(R90="","보험연령 미입력",IF(VALUE(R90)=VALUE(Q90),"정상",IF(VALUE(R90)&gt;VALUE(Q90),"보장 불일치","과보장 점검"))),"계약연령 형식확인"))</x:f>
        <x:v>보험연령 미입력</x:v>
      </x:c>
      <x:c r="T90" s="30"/>
      <x:c r="U90" s="24" t="str">
        <x:f>IF(T90="","보험 자료 없음",IF(T90&lt;TODAY(),"만기 자료 갱신 필요","정상"))</x:f>
        <x:v>보험 자료 없음</x:v>
      </x:c>
      <x:c r="V90" s="24" t="str"/>
      <x:c r="W90" s="24" t="str"/>
      <x:c r="X90" s="24" t="str">
        <x:v>있음</x:v>
      </x:c>
      <x:c r="Y90" s="24" t="str">
        <x:v>미수 확인</x:v>
      </x:c>
      <x:c r="Z90" s="24" t="str"/>
      <x:c r="AA90" s="24" t="str"/>
    </x:row>
    <x:row r="91" ht="17.25" customHeight="1">
      <x:c r="A91" s="24" t="str">
        <x:v>스위치플랜</x:v>
      </x:c>
      <x:c r="B91" s="24" t="str">
        <x:v>363소9788</x:v>
      </x:c>
      <x:c r="C91" s="24" t="str">
        <x:v>현재보유</x:v>
      </x:c>
      <x:c r="D91" s="24" t="str">
        <x:v>대여중</x:v>
      </x:c>
      <x:c r="E91" s="30"/>
      <x:c r="F91" s="31" t="str">
        <x:f>IF(AND(D91="쉬는차",E91&lt;&gt;""),TODAY()-E91,"")</x:f>
      </x:c>
      <x:c r="G91" s="24" t="str">
        <x:v>김기남</x:v>
      </x:c>
      <x:c r="H91" s="24" t="str">
        <x:v>SW-C-363소9788-1-20250529-93</x:v>
      </x:c>
      <x:c r="I91" s="30" t="n">
        <x:v>45806</x:v>
      </x:c>
      <x:c r="J91" s="30" t="n">
        <x:v>46901</x:v>
      </x:c>
      <x:c r="K91" s="24" t="str">
        <x:v>25일</x:v>
      </x:c>
      <x:c r="L91" s="32" t="n">
        <x:v>360000</x:v>
      </x:c>
      <x:c r="M91" s="31" t="n">
        <x:v>1</x:v>
      </x:c>
      <x:c r="N91" s="32" t="n">
        <x:v>360000</x:v>
      </x:c>
      <x:c r="O91" s="31" t="n">
        <x:v>0</x:v>
      </x:c>
      <x:c r="P91" s="24" t="str"/>
      <x:c r="Q91" s="24" t="str">
        <x:v>35</x:v>
      </x:c>
      <x:c r="R91" s="24" t="str"/>
      <x:c r="S91" s="24" t="str">
        <x:f>IF(Q91="","계약연령 미입력",IFERROR(IF(R91="","보험연령 미입력",IF(VALUE(R91)=VALUE(Q91),"정상",IF(VALUE(R91)&gt;VALUE(Q91),"보장 불일치","과보장 점검"))),"계약연령 형식확인"))</x:f>
        <x:v>보험연령 미입력</x:v>
      </x:c>
      <x:c r="T91" s="30"/>
      <x:c r="U91" s="24" t="str">
        <x:f>IF(T91="","보험 자료 없음",IF(T91&lt;TODAY(),"만기 자료 갱신 필요","정상"))</x:f>
        <x:v>보험 자료 없음</x:v>
      </x:c>
      <x:c r="V91" s="24" t="str"/>
      <x:c r="W91" s="24" t="str"/>
      <x:c r="X91" s="24" t="str">
        <x:v>있음</x:v>
      </x:c>
      <x:c r="Y91" s="24" t="str">
        <x:v>미수 확인</x:v>
      </x:c>
      <x:c r="Z91" s="24" t="str"/>
      <x:c r="AA91" s="24" t="str"/>
    </x:row>
    <x:row r="92" ht="17.25" customHeight="1">
      <x:c r="A92" s="24" t="str">
        <x:v>스위치플랜</x:v>
      </x:c>
      <x:c r="B92" s="24" t="str">
        <x:v>162버2918</x:v>
      </x:c>
      <x:c r="C92" s="24" t="str">
        <x:v>현재보유</x:v>
      </x:c>
      <x:c r="D92" s="24" t="str">
        <x:v>대여중</x:v>
      </x:c>
      <x:c r="E92" s="30"/>
      <x:c r="F92" s="31" t="str">
        <x:f>IF(AND(D92="쉬는차",E92&lt;&gt;""),TODAY()-E92,"")</x:f>
      </x:c>
      <x:c r="G92" s="24" t="str">
        <x:v>박소희</x:v>
      </x:c>
      <x:c r="H92" s="24" t="str">
        <x:v>SW-C-162버2918-1-20240709-94</x:v>
      </x:c>
      <x:c r="I92" s="30" t="n">
        <x:v>45482</x:v>
      </x:c>
      <x:c r="J92" s="30" t="n">
        <x:v>46942</x:v>
      </x:c>
      <x:c r="K92" s="24" t="str">
        <x:v>10일</x:v>
      </x:c>
      <x:c r="L92" s="32" t="n">
        <x:v>950000</x:v>
      </x:c>
      <x:c r="M92" s="31" t="n">
        <x:v>0</x:v>
      </x:c>
      <x:c r="N92" s="32" t="n">
        <x:v>0</x:v>
      </x:c>
      <x:c r="O92" s="31" t="n">
        <x:v>0</x:v>
      </x:c>
      <x:c r="P92" s="24" t="str"/>
      <x:c r="Q92" s="24" t="str">
        <x:v>30</x:v>
      </x:c>
      <x:c r="R92" s="24" t="str"/>
      <x:c r="S92" s="24" t="str">
        <x:f>IF(Q92="","계약연령 미입력",IFERROR(IF(R92="","보험연령 미입력",IF(VALUE(R92)=VALUE(Q92),"정상",IF(VALUE(R92)&gt;VALUE(Q92),"보장 불일치","과보장 점검"))),"계약연령 형식확인"))</x:f>
        <x:v>보험연령 미입력</x:v>
      </x:c>
      <x:c r="T92" s="30"/>
      <x:c r="U92" s="24" t="str">
        <x:f>IF(T92="","보험 자료 없음",IF(T92&lt;TODAY(),"만기 자료 갱신 필요","정상"))</x:f>
        <x:v>보험 자료 없음</x:v>
      </x:c>
      <x:c r="V92" s="24" t="str"/>
      <x:c r="W92" s="24" t="str"/>
      <x:c r="X92" s="24" t="str">
        <x:v>있음</x:v>
      </x:c>
      <x:c r="Y92" s="24" t="str">
        <x:v>보험 연령 입력</x:v>
      </x:c>
      <x:c r="Z92" s="24" t="str"/>
      <x:c r="AA92" s="24" t="str"/>
    </x:row>
    <x:row r="93" ht="17.25" customHeight="1">
      <x:c r="A93" s="24" t="str">
        <x:v>스위치플랜</x:v>
      </x:c>
      <x:c r="B93" s="24" t="str">
        <x:v>286주8294</x:v>
      </x:c>
      <x:c r="C93" s="24" t="str">
        <x:v>현재보유</x:v>
      </x:c>
      <x:c r="D93" s="24" t="str">
        <x:v>대여중</x:v>
      </x:c>
      <x:c r="E93" s="30"/>
      <x:c r="F93" s="31" t="str">
        <x:f>IF(AND(D93="쉬는차",E93&lt;&gt;""),TODAY()-E93,"")</x:f>
      </x:c>
      <x:c r="G93" s="24" t="str">
        <x:v>성진우</x:v>
      </x:c>
      <x:c r="H93" s="24" t="str">
        <x:v>SW-C-286주8294-1-20250328-95</x:v>
      </x:c>
      <x:c r="I93" s="30" t="n">
        <x:v>45744</x:v>
      </x:c>
      <x:c r="J93" s="30" t="n">
        <x:v>46551</x:v>
      </x:c>
      <x:c r="K93" s="24" t="str">
        <x:v>15일</x:v>
      </x:c>
      <x:c r="L93" s="32" t="n">
        <x:v>1020000</x:v>
      </x:c>
      <x:c r="M93" s="31" t="n">
        <x:v>1</x:v>
      </x:c>
      <x:c r="N93" s="32" t="n">
        <x:v>1020000</x:v>
      </x:c>
      <x:c r="O93" s="31" t="n">
        <x:v>0</x:v>
      </x:c>
      <x:c r="P93" s="24" t="str"/>
      <x:c r="Q93" s="24" t="str">
        <x:v>30</x:v>
      </x:c>
      <x:c r="R93" s="24" t="str"/>
      <x:c r="S93" s="24" t="str">
        <x:f>IF(Q93="","계약연령 미입력",IFERROR(IF(R93="","보험연령 미입력",IF(VALUE(R93)=VALUE(Q93),"정상",IF(VALUE(R93)&gt;VALUE(Q93),"보장 불일치","과보장 점검"))),"계약연령 형식확인"))</x:f>
        <x:v>보험연령 미입력</x:v>
      </x:c>
      <x:c r="T93" s="30"/>
      <x:c r="U93" s="24" t="str">
        <x:f>IF(T93="","보험 자료 없음",IF(T93&lt;TODAY(),"만기 자료 갱신 필요","정상"))</x:f>
        <x:v>보험 자료 없음</x:v>
      </x:c>
      <x:c r="V93" s="24" t="str"/>
      <x:c r="W93" s="24" t="str"/>
      <x:c r="X93" s="24" t="str">
        <x:v>있음</x:v>
      </x:c>
      <x:c r="Y93" s="24" t="str">
        <x:v>미수 확인</x:v>
      </x:c>
      <x:c r="Z93" s="24" t="str"/>
      <x:c r="AA93" s="24" t="str"/>
    </x:row>
    <x:row r="94" ht="17.25" customHeight="1">
      <x:c r="A94" s="24" t="str">
        <x:v>스위치플랜</x:v>
      </x:c>
      <x:c r="B94" s="24" t="str">
        <x:v>347다5712</x:v>
      </x:c>
      <x:c r="C94" s="24" t="str">
        <x:v>현재보유</x:v>
      </x:c>
      <x:c r="D94" s="24" t="str">
        <x:v>대여중</x:v>
      </x:c>
      <x:c r="E94" s="30"/>
      <x:c r="F94" s="31" t="str">
        <x:f>IF(AND(D94="쉬는차",E94&lt;&gt;""),TODAY()-E94,"")</x:f>
      </x:c>
      <x:c r="G94" s="24" t="str">
        <x:v>이은진</x:v>
      </x:c>
      <x:c r="H94" s="24" t="str">
        <x:v>SW-C-347다5712-1-20240319-96</x:v>
      </x:c>
      <x:c r="I94" s="30" t="n">
        <x:v>45370</x:v>
      </x:c>
      <x:c r="J94" s="30" t="n">
        <x:v>46830</x:v>
      </x:c>
      <x:c r="K94" s="24" t="str">
        <x:v>20일</x:v>
      </x:c>
      <x:c r="L94" s="32" t="n">
        <x:v>510000</x:v>
      </x:c>
      <x:c r="M94" s="31" t="n">
        <x:v>1</x:v>
      </x:c>
      <x:c r="N94" s="32" t="n">
        <x:v>510000</x:v>
      </x:c>
      <x:c r="O94" s="31" t="n">
        <x:v>0</x:v>
      </x:c>
      <x:c r="P94" s="24" t="str"/>
      <x:c r="Q94" s="24" t="str">
        <x:v>35</x:v>
      </x:c>
      <x:c r="R94" s="24" t="str"/>
      <x:c r="S94" s="24" t="str">
        <x:f>IF(Q94="","계약연령 미입력",IFERROR(IF(R94="","보험연령 미입력",IF(VALUE(R94)=VALUE(Q94),"정상",IF(VALUE(R94)&gt;VALUE(Q94),"보장 불일치","과보장 점검"))),"계약연령 형식확인"))</x:f>
        <x:v>보험연령 미입력</x:v>
      </x:c>
      <x:c r="T94" s="30"/>
      <x:c r="U94" s="24" t="str">
        <x:f>IF(T94="","보험 자료 없음",IF(T94&lt;TODAY(),"만기 자료 갱신 필요","정상"))</x:f>
        <x:v>보험 자료 없음</x:v>
      </x:c>
      <x:c r="V94" s="24" t="str"/>
      <x:c r="W94" s="24" t="str"/>
      <x:c r="X94" s="24" t="str">
        <x:v>있음</x:v>
      </x:c>
      <x:c r="Y94" s="24" t="str">
        <x:v>미수 확인</x:v>
      </x:c>
      <x:c r="Z94" s="24" t="str"/>
      <x:c r="AA94" s="24" t="str"/>
    </x:row>
    <x:row r="95" ht="17.25" customHeight="1">
      <x:c r="A95" s="24" t="str">
        <x:v>스위치플랜</x:v>
      </x:c>
      <x:c r="B95" s="24" t="str">
        <x:v>257구2888</x:v>
      </x:c>
      <x:c r="C95" s="24" t="str">
        <x:v>현재보유</x:v>
      </x:c>
      <x:c r="D95" s="24" t="str">
        <x:v>상품화예정</x:v>
      </x:c>
      <x:c r="E95" s="30"/>
      <x:c r="F95" s="31" t="str">
        <x:f>IF(AND(D95="쉬는차",E95&lt;&gt;""),TODAY()-E95,"")</x:f>
      </x:c>
      <x:c r="G95" s="24" t="str">
        <x:v>상품화예정</x:v>
      </x:c>
      <x:c r="H95" s="24" t="str">
        <x:v>SW-C-257구2888-1-NA-97</x:v>
      </x:c>
      <x:c r="I95" s="30"/>
      <x:c r="J95" s="30"/>
      <x:c r="K95" s="24" t="str"/>
      <x:c r="L95" s="32"/>
      <x:c r="M95" s="31" t="n">
        <x:v>1</x:v>
      </x:c>
      <x:c r="N95" s="32" t="n">
        <x:v>0</x:v>
      </x:c>
      <x:c r="O95" s="31" t="n">
        <x:v>0</x:v>
      </x:c>
      <x:c r="P95" s="24" t="str"/>
      <x:c r="Q95" s="24" t="str">
        <x:v>35</x:v>
      </x:c>
      <x:c r="R95" s="24" t="str"/>
      <x:c r="S95" s="24" t="str">
        <x:f>IF(Q95="","계약연령 미입력",IFERROR(IF(R95="","보험연령 미입력",IF(VALUE(R95)=VALUE(Q95),"정상",IF(VALUE(R95)&gt;VALUE(Q95),"보장 불일치","과보장 점검"))),"계약연령 형식확인"))</x:f>
        <x:v>보험연령 미입력</x:v>
      </x:c>
      <x:c r="T95" s="30"/>
      <x:c r="U95" s="24" t="str">
        <x:f>IF(T95="","보험 자료 없음",IF(T95&lt;TODAY(),"만기 자료 갱신 필요","정상"))</x:f>
        <x:v>보험 자료 없음</x:v>
      </x:c>
      <x:c r="V95" s="24" t="str"/>
      <x:c r="W95" s="24" t="str"/>
      <x:c r="X95" s="24" t="str">
        <x:v>있음</x:v>
      </x:c>
      <x:c r="Y95" s="24" t="str"/>
      <x:c r="Z95" s="24" t="str"/>
      <x:c r="AA95" s="24" t="str"/>
    </x:row>
    <x:row r="96" ht="17.25" customHeight="1">
      <x:c r="A96" s="24" t="str">
        <x:v>스위치플랜</x:v>
      </x:c>
      <x:c r="B96" s="24" t="str">
        <x:v>126서4223</x:v>
      </x:c>
      <x:c r="C96" s="24" t="str">
        <x:v>현재보유</x:v>
      </x:c>
      <x:c r="D96" s="24" t="str">
        <x:v>대여중</x:v>
      </x:c>
      <x:c r="E96" s="30"/>
      <x:c r="F96" s="31" t="str">
        <x:f>IF(AND(D96="쉬는차",E96&lt;&gt;""),TODAY()-E96,"")</x:f>
      </x:c>
      <x:c r="G96" s="24" t="str">
        <x:v>김민창</x:v>
      </x:c>
      <x:c r="H96" s="24" t="str">
        <x:v>SW-C-126서4223-1-20260616-98</x:v>
      </x:c>
      <x:c r="I96" s="30" t="n">
        <x:v>46189</x:v>
      </x:c>
      <x:c r="J96" s="30" t="n">
        <x:v>48014</x:v>
      </x:c>
      <x:c r="K96" s="24" t="str">
        <x:v>15일</x:v>
      </x:c>
      <x:c r="L96" s="32" t="n">
        <x:v>1070000</x:v>
      </x:c>
      <x:c r="M96" s="31" t="n">
        <x:v>6</x:v>
      </x:c>
      <x:c r="N96" s="32" t="n">
        <x:v>720000</x:v>
      </x:c>
      <x:c r="O96" s="31" t="n">
        <x:v>0</x:v>
      </x:c>
      <x:c r="P96" s="24" t="str"/>
      <x:c r="Q96" s="24" t="str">
        <x:v>개인</x:v>
      </x:c>
      <x:c r="R96" s="24" t="str"/>
      <x:c r="S96" s="24" t="str">
        <x:f>IF(Q96="","계약연령 미입력",IFERROR(IF(R96="","보험연령 미입력",IF(VALUE(R96)=VALUE(Q96),"정상",IF(VALUE(R96)&gt;VALUE(Q96),"보장 불일치","과보장 점검"))),"계약연령 형식확인"))</x:f>
        <x:v>보험연령 미입력</x:v>
      </x:c>
      <x:c r="T96" s="30"/>
      <x:c r="U96" s="24" t="str">
        <x:f>IF(T96="","보험 자료 없음",IF(T96&lt;TODAY(),"만기 자료 갱신 필요","정상"))</x:f>
        <x:v>보험 자료 없음</x:v>
      </x:c>
      <x:c r="V96" s="24" t="str"/>
      <x:c r="W96" s="24" t="str"/>
      <x:c r="X96" s="24" t="str">
        <x:v>있음</x:v>
      </x:c>
      <x:c r="Y96" s="24" t="str">
        <x:v>미수 확인</x:v>
      </x:c>
      <x:c r="Z96" s="24" t="str"/>
      <x:c r="AA96" s="24" t="str"/>
    </x:row>
    <x:row r="97" ht="17.25" customHeight="1">
      <x:c r="A97" s="24" t="str">
        <x:v>스위치플랜</x:v>
      </x:c>
      <x:c r="B97" s="24" t="str">
        <x:v>391서7476</x:v>
      </x:c>
      <x:c r="C97" s="24" t="str">
        <x:v>현재보유</x:v>
      </x:c>
      <x:c r="D97" s="24" t="str">
        <x:v>대여중</x:v>
      </x:c>
      <x:c r="E97" s="30"/>
      <x:c r="F97" s="31" t="str">
        <x:f>IF(AND(D97="쉬는차",E97&lt;&gt;""),TODAY()-E97,"")</x:f>
      </x:c>
      <x:c r="G97" s="24" t="str">
        <x:v>태재완</x:v>
      </x:c>
      <x:c r="H97" s="24" t="str">
        <x:v>SW-C-391서7476-1-20260115-99</x:v>
      </x:c>
      <x:c r="I97" s="30" t="n">
        <x:v>46037</x:v>
      </x:c>
      <x:c r="J97" s="30" t="n">
        <x:v>47132</x:v>
      </x:c>
      <x:c r="K97" s="24" t="str">
        <x:v>15일</x:v>
      </x:c>
      <x:c r="L97" s="32" t="n">
        <x:v>1000000</x:v>
      </x:c>
      <x:c r="M97" s="31" t="n">
        <x:v>3</x:v>
      </x:c>
      <x:c r="N97" s="32" t="n">
        <x:v>1760000</x:v>
      </x:c>
      <x:c r="O97" s="31" t="n">
        <x:v>0</x:v>
      </x:c>
      <x:c r="P97" s="24" t="str">
        <x:v>회수 판단</x:v>
      </x:c>
      <x:c r="Q97" s="24" t="str">
        <x:v>21</x:v>
      </x:c>
      <x:c r="R97" s="24" t="str"/>
      <x:c r="S97" s="24" t="str">
        <x:f>IF(Q97="","계약연령 미입력",IFERROR(IF(R97="","보험연령 미입력",IF(VALUE(R97)=VALUE(Q97),"정상",IF(VALUE(R97)&gt;VALUE(Q97),"보장 불일치","과보장 점검"))),"계약연령 형식확인"))</x:f>
        <x:v>보험연령 미입력</x:v>
      </x:c>
      <x:c r="T97" s="30"/>
      <x:c r="U97" s="24" t="str">
        <x:f>IF(T97="","보험 자료 없음",IF(T97&lt;TODAY(),"만기 자료 갱신 필요","정상"))</x:f>
        <x:v>보험 자료 없음</x:v>
      </x:c>
      <x:c r="V97" s="24" t="str"/>
      <x:c r="W97" s="24" t="str"/>
      <x:c r="X97" s="24" t="str">
        <x:v>있음</x:v>
      </x:c>
      <x:c r="Y97" s="24" t="str">
        <x:v>회수 검토</x:v>
      </x:c>
      <x:c r="Z97" s="24" t="str"/>
      <x:c r="AA97" s="24" t="str"/>
    </x:row>
    <x:row r="98" ht="17.25" customHeight="1">
      <x:c r="A98" s="24" t="str">
        <x:v>스위치플랜</x:v>
      </x:c>
      <x:c r="B98" s="24" t="str">
        <x:v>139우7166</x:v>
      </x:c>
      <x:c r="C98" s="24" t="str">
        <x:v>현재보유</x:v>
      </x:c>
      <x:c r="D98" s="24" t="str">
        <x:v>대여중</x:v>
      </x:c>
      <x:c r="E98" s="30"/>
      <x:c r="F98" s="31" t="str">
        <x:f>IF(AND(D98="쉬는차",E98&lt;&gt;""),TODAY()-E98,"")</x:f>
      </x:c>
      <x:c r="G98" s="24" t="str">
        <x:v>박진택</x:v>
      </x:c>
      <x:c r="H98" s="24" t="str">
        <x:v>SW-C-139우7166-1-20231127-100</x:v>
      </x:c>
      <x:c r="I98" s="30" t="n">
        <x:v>45257</x:v>
      </x:c>
      <x:c r="J98" s="30" t="n">
        <x:v>46717</x:v>
      </x:c>
      <x:c r="K98" s="24" t="str">
        <x:v>25일</x:v>
      </x:c>
      <x:c r="L98" s="32" t="n">
        <x:v>750000</x:v>
      </x:c>
      <x:c r="M98" s="31" t="n">
        <x:v>6</x:v>
      </x:c>
      <x:c r="N98" s="32" t="n">
        <x:v>1500000</x:v>
      </x:c>
      <x:c r="O98" s="31" t="n">
        <x:v>0</x:v>
      </x:c>
      <x:c r="P98" s="24" t="str">
        <x:v>회수 판단</x:v>
      </x:c>
      <x:c r="Q98" s="24" t="str">
        <x:v>35</x:v>
      </x:c>
      <x:c r="R98" s="24" t="str"/>
      <x:c r="S98" s="24" t="str">
        <x:f>IF(Q98="","계약연령 미입력",IFERROR(IF(R98="","보험연령 미입력",IF(VALUE(R98)=VALUE(Q98),"정상",IF(VALUE(R98)&gt;VALUE(Q98),"보장 불일치","과보장 점검"))),"계약연령 형식확인"))</x:f>
        <x:v>보험연령 미입력</x:v>
      </x:c>
      <x:c r="T98" s="30"/>
      <x:c r="U98" s="24" t="str">
        <x:f>IF(T98="","보험 자료 없음",IF(T98&lt;TODAY(),"만기 자료 갱신 필요","정상"))</x:f>
        <x:v>보험 자료 없음</x:v>
      </x:c>
      <x:c r="V98" s="24" t="str"/>
      <x:c r="W98" s="24" t="str"/>
      <x:c r="X98" s="24" t="str">
        <x:v>있음</x:v>
      </x:c>
      <x:c r="Y98" s="24" t="str">
        <x:v>회수 검토</x:v>
      </x:c>
      <x:c r="Z98" s="24" t="str"/>
      <x:c r="AA98" s="24" t="str"/>
    </x:row>
    <x:row r="99" ht="17.25" customHeight="1">
      <x:c r="A99" s="24" t="str">
        <x:v>스위치플랜</x:v>
      </x:c>
      <x:c r="B99" s="24" t="str">
        <x:v>41호8300</x:v>
      </x:c>
      <x:c r="C99" s="24" t="str">
        <x:v>현재보유</x:v>
      </x:c>
      <x:c r="D99" s="24" t="str">
        <x:v>대여중</x:v>
      </x:c>
      <x:c r="E99" s="30"/>
      <x:c r="F99" s="31" t="str">
        <x:f>IF(AND(D99="쉬는차",E99&lt;&gt;""),TODAY()-E99,"")</x:f>
      </x:c>
      <x:c r="G99" s="24" t="str">
        <x:v>손오공 강태리부장</x:v>
      </x:c>
      <x:c r="H99" s="24" t="str">
        <x:v>SW-C-41호8300-1-NA-101</x:v>
      </x:c>
      <x:c r="I99" s="30"/>
      <x:c r="J99" s="30"/>
      <x:c r="K99" s="24" t="str"/>
      <x:c r="L99" s="32"/>
      <x:c r="M99" s="31" t="n">
        <x:v>0</x:v>
      </x:c>
      <x:c r="N99" s="32" t="n">
        <x:v>0</x:v>
      </x:c>
      <x:c r="O99" s="31" t="n">
        <x:v>0</x:v>
      </x:c>
      <x:c r="P99" s="24" t="str"/>
      <x:c r="Q99" s="24" t="str">
        <x:v>26</x:v>
      </x:c>
      <x:c r="R99" s="24" t="str"/>
      <x:c r="S99" s="24" t="str">
        <x:f>IF(Q99="","계약연령 미입력",IFERROR(IF(R99="","보험연령 미입력",IF(VALUE(R99)=VALUE(Q99),"정상",IF(VALUE(R99)&gt;VALUE(Q99),"보장 불일치","과보장 점검"))),"계약연령 형식확인"))</x:f>
        <x:v>보험연령 미입력</x:v>
      </x:c>
      <x:c r="T99" s="30"/>
      <x:c r="U99" s="24" t="str">
        <x:f>IF(T99="","보험 자료 없음",IF(T99&lt;TODAY(),"만기 자료 갱신 필요","정상"))</x:f>
        <x:v>보험 자료 없음</x:v>
      </x:c>
      <x:c r="V99" s="24" t="str"/>
      <x:c r="W99" s="24" t="str"/>
      <x:c r="X99" s="24" t="str">
        <x:v>없음</x:v>
      </x:c>
      <x:c r="Y99" s="24" t="str">
        <x:v>계약서 연결</x:v>
      </x:c>
      <x:c r="Z99" s="24" t="str"/>
      <x:c r="AA99" s="24" t="str"/>
    </x:row>
    <x:row r="100" ht="17.25" customHeight="1">
      <x:c r="A100" s="24" t="str">
        <x:v>스위치플랜</x:v>
      </x:c>
      <x:c r="B100" s="24" t="str">
        <x:v>41호8301</x:v>
      </x:c>
      <x:c r="C100" s="24" t="str">
        <x:v>현재보유</x:v>
      </x:c>
      <x:c r="D100" s="24" t="str">
        <x:v>상품화예정</x:v>
      </x:c>
      <x:c r="E100" s="30"/>
      <x:c r="F100" s="31" t="str">
        <x:f>IF(AND(D100="쉬는차",E100&lt;&gt;""),TODAY()-E100,"")</x:f>
      </x:c>
      <x:c r="G100" s="24" t="str">
        <x:v>상품화예정</x:v>
      </x:c>
      <x:c r="H100" s="24" t="str">
        <x:v>SW-C-41호8301-1-NA-102</x:v>
      </x:c>
      <x:c r="I100" s="30"/>
      <x:c r="J100" s="30"/>
      <x:c r="K100" s="24" t="str"/>
      <x:c r="L100" s="32"/>
      <x:c r="M100" s="31" t="n">
        <x:v>0</x:v>
      </x:c>
      <x:c r="N100" s="32" t="n">
        <x:v>0</x:v>
      </x:c>
      <x:c r="O100" s="31" t="n">
        <x:v>0</x:v>
      </x:c>
      <x:c r="P100" s="24" t="str"/>
      <x:c r="Q100" s="24" t="str">
        <x:v>26</x:v>
      </x:c>
      <x:c r="R100" s="24" t="str"/>
      <x:c r="S100" s="24" t="str">
        <x:f>IF(Q100="","계약연령 미입력",IFERROR(IF(R100="","보험연령 미입력",IF(VALUE(R100)=VALUE(Q100),"정상",IF(VALUE(R100)&gt;VALUE(Q100),"보장 불일치","과보장 점검"))),"계약연령 형식확인"))</x:f>
        <x:v>보험연령 미입력</x:v>
      </x:c>
      <x:c r="T100" s="30"/>
      <x:c r="U100" s="24" t="str">
        <x:f>IF(T100="","보험 자료 없음",IF(T100&lt;TODAY(),"만기 자료 갱신 필요","정상"))</x:f>
        <x:v>보험 자료 없음</x:v>
      </x:c>
      <x:c r="V100" s="24" t="str"/>
      <x:c r="W100" s="24" t="str"/>
      <x:c r="X100" s="24" t="str">
        <x:v>없음</x:v>
      </x:c>
      <x:c r="Y100" s="24" t="str"/>
      <x:c r="Z100" s="24" t="str"/>
      <x:c r="AA100" s="24" t="str"/>
    </x:row>
    <x:row r="101" ht="17.25" customHeight="1">
      <x:c r="A101" s="24" t="str">
        <x:v>스위치플랜</x:v>
      </x:c>
      <x:c r="B101" s="24" t="str">
        <x:v>41호8302</x:v>
      </x:c>
      <x:c r="C101" s="24" t="str">
        <x:v>현재보유</x:v>
      </x:c>
      <x:c r="D101" s="24" t="str">
        <x:v>대여중</x:v>
      </x:c>
      <x:c r="E101" s="30"/>
      <x:c r="F101" s="31" t="str">
        <x:f>IF(AND(D101="쉬는차",E101&lt;&gt;""),TODAY()-E101,"")</x:f>
      </x:c>
      <x:c r="G101" s="24" t="str">
        <x:v>김성은</x:v>
      </x:c>
      <x:c r="H101" s="24" t="str">
        <x:v>SW-C-41호8302-1-20260317-103</x:v>
      </x:c>
      <x:c r="I101" s="30" t="n">
        <x:v>46098</x:v>
      </x:c>
      <x:c r="J101" s="30" t="n">
        <x:v>47558</x:v>
      </x:c>
      <x:c r="K101" s="24" t="str">
        <x:v>15일</x:v>
      </x:c>
      <x:c r="L101" s="32" t="n">
        <x:v>700000</x:v>
      </x:c>
      <x:c r="M101" s="31" t="n">
        <x:v>0</x:v>
      </x:c>
      <x:c r="N101" s="32" t="n">
        <x:v>0</x:v>
      </x:c>
      <x:c r="O101" s="31" t="n">
        <x:v>0</x:v>
      </x:c>
      <x:c r="P101" s="24" t="str"/>
      <x:c r="Q101" s="24" t="str">
        <x:v>26</x:v>
      </x:c>
      <x:c r="R101" s="24" t="str"/>
      <x:c r="S101" s="24" t="str">
        <x:f>IF(Q101="","계약연령 미입력",IFERROR(IF(R101="","보험연령 미입력",IF(VALUE(R101)=VALUE(Q101),"정상",IF(VALUE(R101)&gt;VALUE(Q101),"보장 불일치","과보장 점검"))),"계약연령 형식확인"))</x:f>
        <x:v>보험연령 미입력</x:v>
      </x:c>
      <x:c r="T101" s="30"/>
      <x:c r="U101" s="24" t="str">
        <x:f>IF(T101="","보험 자료 없음",IF(T101&lt;TODAY(),"만기 자료 갱신 필요","정상"))</x:f>
        <x:v>보험 자료 없음</x:v>
      </x:c>
      <x:c r="V101" s="24" t="str"/>
      <x:c r="W101" s="24" t="str"/>
      <x:c r="X101" s="24" t="str">
        <x:v>있음</x:v>
      </x:c>
      <x:c r="Y101" s="24" t="str">
        <x:v>보험 연령 입력</x:v>
      </x:c>
      <x:c r="Z101" s="24" t="str"/>
      <x:c r="AA101" s="24" t="str"/>
    </x:row>
    <x:row r="102" ht="17.25" customHeight="1">
      <x:c r="A102" s="24" t="str">
        <x:v>스위치플랜</x:v>
      </x:c>
      <x:c r="B102" s="24" t="str">
        <x:v>41호8303</x:v>
      </x:c>
      <x:c r="C102" s="24" t="str">
        <x:v>현재보유</x:v>
      </x:c>
      <x:c r="D102" s="24" t="str">
        <x:v>대여중</x:v>
      </x:c>
      <x:c r="E102" s="30"/>
      <x:c r="F102" s="31" t="str">
        <x:f>IF(AND(D102="쉬는차",E102&lt;&gt;""),TODAY()-E102,"")</x:f>
      </x:c>
      <x:c r="G102" s="24" t="str">
        <x:v>또바기</x:v>
      </x:c>
      <x:c r="H102" s="24" t="str">
        <x:v>SW-C-41호8303-1-20260226-104</x:v>
      </x:c>
      <x:c r="I102" s="30" t="n">
        <x:v>46079</x:v>
      </x:c>
      <x:c r="J102" s="30" t="n">
        <x:v>47539</x:v>
      </x:c>
      <x:c r="K102" s="24" t="str">
        <x:v>25일</x:v>
      </x:c>
      <x:c r="L102" s="32" t="n">
        <x:v>700000</x:v>
      </x:c>
      <x:c r="M102" s="31" t="n">
        <x:v>1</x:v>
      </x:c>
      <x:c r="N102" s="32" t="n">
        <x:v>700000</x:v>
      </x:c>
      <x:c r="O102" s="31" t="n">
        <x:v>0</x:v>
      </x:c>
      <x:c r="P102" s="24" t="str"/>
      <x:c r="Q102" s="24" t="str">
        <x:v>26</x:v>
      </x:c>
      <x:c r="R102" s="24" t="str"/>
      <x:c r="S102" s="24" t="str">
        <x:f>IF(Q102="","계약연령 미입력",IFERROR(IF(R102="","보험연령 미입력",IF(VALUE(R102)=VALUE(Q102),"정상",IF(VALUE(R102)&gt;VALUE(Q102),"보장 불일치","과보장 점검"))),"계약연령 형식확인"))</x:f>
        <x:v>보험연령 미입력</x:v>
      </x:c>
      <x:c r="T102" s="30"/>
      <x:c r="U102" s="24" t="str">
        <x:f>IF(T102="","보험 자료 없음",IF(T102&lt;TODAY(),"만기 자료 갱신 필요","정상"))</x:f>
        <x:v>보험 자료 없음</x:v>
      </x:c>
      <x:c r="V102" s="24" t="str"/>
      <x:c r="W102" s="24" t="str"/>
      <x:c r="X102" s="24" t="str">
        <x:v>있음</x:v>
      </x:c>
      <x:c r="Y102" s="24" t="str">
        <x:v>미수 확인</x:v>
      </x:c>
      <x:c r="Z102" s="24" t="str"/>
      <x:c r="AA102" s="24" t="str"/>
    </x:row>
    <x:row r="103" ht="17.25" customHeight="1">
      <x:c r="A103" s="24" t="str">
        <x:v>스위치플랜</x:v>
      </x:c>
      <x:c r="B103" s="24" t="str">
        <x:v>41호8304</x:v>
      </x:c>
      <x:c r="C103" s="24" t="str">
        <x:v>현재보유</x:v>
      </x:c>
      <x:c r="D103" s="24" t="str">
        <x:v>상품화예정</x:v>
      </x:c>
      <x:c r="E103" s="30"/>
      <x:c r="F103" s="31" t="str">
        <x:f>IF(AND(D103="쉬는차",E103&lt;&gt;""),TODAY()-E103,"")</x:f>
      </x:c>
      <x:c r="G103" s="24" t="str">
        <x:v>상품화예정</x:v>
      </x:c>
      <x:c r="H103" s="24" t="str">
        <x:v>SW-C-41호8304-1-NA-105</x:v>
      </x:c>
      <x:c r="I103" s="30"/>
      <x:c r="J103" s="30"/>
      <x:c r="K103" s="24" t="str"/>
      <x:c r="L103" s="32"/>
      <x:c r="M103" s="31" t="n">
        <x:v>0</x:v>
      </x:c>
      <x:c r="N103" s="32" t="n">
        <x:v>-300000</x:v>
      </x:c>
      <x:c r="O103" s="31" t="n">
        <x:v>0</x:v>
      </x:c>
      <x:c r="P103" s="24" t="str"/>
      <x:c r="Q103" s="24" t="str">
        <x:v>26</x:v>
      </x:c>
      <x:c r="R103" s="24" t="str"/>
      <x:c r="S103" s="24" t="str">
        <x:f>IF(Q103="","계약연령 미입력",IFERROR(IF(R103="","보험연령 미입력",IF(VALUE(R103)=VALUE(Q103),"정상",IF(VALUE(R103)&gt;VALUE(Q103),"보장 불일치","과보장 점검"))),"계약연령 형식확인"))</x:f>
        <x:v>보험연령 미입력</x:v>
      </x:c>
      <x:c r="T103" s="30"/>
      <x:c r="U103" s="24" t="str">
        <x:f>IF(T103="","보험 자료 없음",IF(T103&lt;TODAY(),"만기 자료 갱신 필요","정상"))</x:f>
        <x:v>보험 자료 없음</x:v>
      </x:c>
      <x:c r="V103" s="24" t="str"/>
      <x:c r="W103" s="24" t="str"/>
      <x:c r="X103" s="24" t="str">
        <x:v>있음</x:v>
      </x:c>
      <x:c r="Y103" s="24" t="str"/>
      <x:c r="Z103" s="24" t="str"/>
      <x:c r="AA103" s="24" t="str"/>
    </x:row>
    <x:row r="104" ht="17.25" customHeight="1">
      <x:c r="A104" s="24" t="str">
        <x:v>스위치플랜</x:v>
      </x:c>
      <x:c r="B104" s="24" t="str">
        <x:v>41호8306</x:v>
      </x:c>
      <x:c r="C104" s="24" t="str">
        <x:v>현재보유</x:v>
      </x:c>
      <x:c r="D104" s="24" t="str">
        <x:v>상품화예정</x:v>
      </x:c>
      <x:c r="E104" s="30"/>
      <x:c r="F104" s="31" t="str">
        <x:f>IF(AND(D104="쉬는차",E104&lt;&gt;""),TODAY()-E104,"")</x:f>
      </x:c>
      <x:c r="G104" s="24" t="str">
        <x:v>상품화예정</x:v>
      </x:c>
      <x:c r="H104" s="24" t="str">
        <x:v>SW-C-41호8306-1-NA-106</x:v>
      </x:c>
      <x:c r="I104" s="30"/>
      <x:c r="J104" s="30"/>
      <x:c r="K104" s="24" t="str"/>
      <x:c r="L104" s="32"/>
      <x:c r="M104" s="31" t="n">
        <x:v>0</x:v>
      </x:c>
      <x:c r="N104" s="32" t="n">
        <x:v>0</x:v>
      </x:c>
      <x:c r="O104" s="31" t="n">
        <x:v>0</x:v>
      </x:c>
      <x:c r="P104" s="24" t="str"/>
      <x:c r="Q104" s="24" t="str">
        <x:v>26</x:v>
      </x:c>
      <x:c r="R104" s="24" t="str"/>
      <x:c r="S104" s="24" t="str">
        <x:f>IF(Q104="","계약연령 미입력",IFERROR(IF(R104="","보험연령 미입력",IF(VALUE(R104)=VALUE(Q104),"정상",IF(VALUE(R104)&gt;VALUE(Q104),"보장 불일치","과보장 점검"))),"계약연령 형식확인"))</x:f>
        <x:v>보험연령 미입력</x:v>
      </x:c>
      <x:c r="T104" s="30"/>
      <x:c r="U104" s="24" t="str">
        <x:f>IF(T104="","보험 자료 없음",IF(T104&lt;TODAY(),"만기 자료 갱신 필요","정상"))</x:f>
        <x:v>보험 자료 없음</x:v>
      </x:c>
      <x:c r="V104" s="24" t="str"/>
      <x:c r="W104" s="24" t="str"/>
      <x:c r="X104" s="24" t="str">
        <x:v>있음</x:v>
      </x:c>
      <x:c r="Y104" s="24" t="str"/>
      <x:c r="Z104" s="24" t="str"/>
      <x:c r="AA104" s="24" t="str"/>
    </x:row>
    <x:row r="105" ht="17.25" customHeight="1">
      <x:c r="A105" s="24" t="str">
        <x:v>스위치플랜</x:v>
      </x:c>
      <x:c r="B105" s="24" t="str">
        <x:v>41호8307</x:v>
      </x:c>
      <x:c r="C105" s="24" t="str">
        <x:v>현재보유</x:v>
      </x:c>
      <x:c r="D105" s="24" t="str">
        <x:v>대여중</x:v>
      </x:c>
      <x:c r="E105" s="30"/>
      <x:c r="F105" s="31" t="str">
        <x:f>IF(AND(D105="쉬는차",E105&lt;&gt;""),TODAY()-E105,"")</x:f>
      </x:c>
      <x:c r="G105" s="24" t="str">
        <x:v>박진용</x:v>
      </x:c>
      <x:c r="H105" s="24" t="str">
        <x:v>SW-C-41호8307-1-20260310-107</x:v>
      </x:c>
      <x:c r="I105" s="30" t="n">
        <x:v>46091</x:v>
      </x:c>
      <x:c r="J105" s="30" t="n">
        <x:v>47551</x:v>
      </x:c>
      <x:c r="K105" s="24" t="str">
        <x:v>10일</x:v>
      </x:c>
      <x:c r="L105" s="32" t="n">
        <x:v>700000</x:v>
      </x:c>
      <x:c r="M105" s="31" t="n">
        <x:v>1</x:v>
      </x:c>
      <x:c r="N105" s="32" t="n">
        <x:v>700000</x:v>
      </x:c>
      <x:c r="O105" s="31" t="n">
        <x:v>0</x:v>
      </x:c>
      <x:c r="P105" s="24" t="str">
        <x:v>독촉 5일</x:v>
      </x:c>
      <x:c r="Q105" s="24" t="str">
        <x:v>26</x:v>
      </x:c>
      <x:c r="R105" s="24" t="str"/>
      <x:c r="S105" s="24" t="str">
        <x:f>IF(Q105="","계약연령 미입력",IFERROR(IF(R105="","보험연령 미입력",IF(VALUE(R105)=VALUE(Q105),"정상",IF(VALUE(R105)&gt;VALUE(Q105),"보장 불일치","과보장 점검"))),"계약연령 형식확인"))</x:f>
        <x:v>보험연령 미입력</x:v>
      </x:c>
      <x:c r="T105" s="30"/>
      <x:c r="U105" s="24" t="str">
        <x:f>IF(T105="","보험 자료 없음",IF(T105&lt;TODAY(),"만기 자료 갱신 필요","정상"))</x:f>
        <x:v>보험 자료 없음</x:v>
      </x:c>
      <x:c r="V105" s="24" t="str"/>
      <x:c r="W105" s="24" t="str"/>
      <x:c r="X105" s="24" t="str">
        <x:v>있음</x:v>
      </x:c>
      <x:c r="Y105" s="24" t="str">
        <x:v>미수 확인</x:v>
      </x:c>
      <x:c r="Z105" s="24" t="str"/>
      <x:c r="AA105" s="24" t="str"/>
    </x:row>
    <x:row r="106" ht="17.25" customHeight="1">
      <x:c r="A106" s="24" t="str">
        <x:v>스위치플랜</x:v>
      </x:c>
      <x:c r="B106" s="24" t="str">
        <x:v>17하3915</x:v>
      </x:c>
      <x:c r="C106" s="24" t="str">
        <x:v>현재보유</x:v>
      </x:c>
      <x:c r="D106" s="24" t="str">
        <x:v>대여중</x:v>
      </x:c>
      <x:c r="E106" s="30"/>
      <x:c r="F106" s="31" t="str">
        <x:f>IF(AND(D106="쉬는차",E106&lt;&gt;""),TODAY()-E106,"")</x:f>
      </x:c>
      <x:c r="G106" s="24" t="str">
        <x:v>천설</x:v>
      </x:c>
      <x:c r="H106" s="24" t="str">
        <x:v>SW-C-17하3915-1-20260415-108</x:v>
      </x:c>
      <x:c r="I106" s="30" t="n">
        <x:v>46127</x:v>
      </x:c>
      <x:c r="J106" s="30" t="n">
        <x:v>47587</x:v>
      </x:c>
      <x:c r="K106" s="24" t="str">
        <x:v>15일</x:v>
      </x:c>
      <x:c r="L106" s="32" t="n">
        <x:v>730000</x:v>
      </x:c>
      <x:c r="M106" s="31" t="n">
        <x:v>1</x:v>
      </x:c>
      <x:c r="N106" s="32" t="n">
        <x:v>730000</x:v>
      </x:c>
      <x:c r="O106" s="31" t="n">
        <x:v>0</x:v>
      </x:c>
      <x:c r="P106" s="24" t="str"/>
      <x:c r="Q106" s="24" t="str">
        <x:v>26</x:v>
      </x:c>
      <x:c r="R106" s="24" t="str"/>
      <x:c r="S106" s="24" t="str">
        <x:f>IF(Q106="","계약연령 미입력",IFERROR(IF(R106="","보험연령 미입력",IF(VALUE(R106)=VALUE(Q106),"정상",IF(VALUE(R106)&gt;VALUE(Q106),"보장 불일치","과보장 점검"))),"계약연령 형식확인"))</x:f>
        <x:v>보험연령 미입력</x:v>
      </x:c>
      <x:c r="T106" s="30"/>
      <x:c r="U106" s="24" t="str">
        <x:f>IF(T106="","보험 자료 없음",IF(T106&lt;TODAY(),"만기 자료 갱신 필요","정상"))</x:f>
        <x:v>보험 자료 없음</x:v>
      </x:c>
      <x:c r="V106" s="24" t="str"/>
      <x:c r="W106" s="24" t="str"/>
      <x:c r="X106" s="24" t="str">
        <x:v>있음</x:v>
      </x:c>
      <x:c r="Y106" s="24" t="str">
        <x:v>미수 확인</x:v>
      </x:c>
      <x:c r="Z106" s="24" t="str"/>
      <x:c r="AA106" s="24" t="str"/>
    </x:row>
    <x:row r="107" ht="17.25" customHeight="1">
      <x:c r="A107" s="24" t="str">
        <x:v>스위치플랜</x:v>
      </x:c>
      <x:c r="B107" s="24" t="str">
        <x:v>17하3922</x:v>
      </x:c>
      <x:c r="C107" s="24" t="str">
        <x:v>현재보유</x:v>
      </x:c>
      <x:c r="D107" s="24" t="str">
        <x:v>대여중</x:v>
      </x:c>
      <x:c r="E107" s="30"/>
      <x:c r="F107" s="31" t="str">
        <x:f>IF(AND(D107="쉬는차",E107&lt;&gt;""),TODAY()-E107,"")</x:f>
      </x:c>
      <x:c r="G107" s="24" t="str">
        <x:v>김상호</x:v>
      </x:c>
      <x:c r="H107" s="24" t="str">
        <x:v>SW-C-17하3922-1-20260227-109</x:v>
      </x:c>
      <x:c r="I107" s="30" t="n">
        <x:v>46080</x:v>
      </x:c>
      <x:c r="J107" s="30" t="n">
        <x:v>47540</x:v>
      </x:c>
      <x:c r="K107" s="24" t="str">
        <x:v>25일</x:v>
      </x:c>
      <x:c r="L107" s="32" t="n">
        <x:v>800000</x:v>
      </x:c>
      <x:c r="M107" s="31" t="n">
        <x:v>3</x:v>
      </x:c>
      <x:c r="N107" s="32" t="n">
        <x:v>1600000</x:v>
      </x:c>
      <x:c r="O107" s="31" t="n">
        <x:v>0</x:v>
      </x:c>
      <x:c r="P107" s="24" t="str">
        <x:v>회수 판단</x:v>
      </x:c>
      <x:c r="Q107" s="24" t="str">
        <x:v>21</x:v>
      </x:c>
      <x:c r="R107" s="24" t="str"/>
      <x:c r="S107" s="24" t="str">
        <x:f>IF(Q107="","계약연령 미입력",IFERROR(IF(R107="","보험연령 미입력",IF(VALUE(R107)=VALUE(Q107),"정상",IF(VALUE(R107)&gt;VALUE(Q107),"보장 불일치","과보장 점검"))),"계약연령 형식확인"))</x:f>
        <x:v>보험연령 미입력</x:v>
      </x:c>
      <x:c r="T107" s="30"/>
      <x:c r="U107" s="24" t="str">
        <x:f>IF(T107="","보험 자료 없음",IF(T107&lt;TODAY(),"만기 자료 갱신 필요","정상"))</x:f>
        <x:v>보험 자료 없음</x:v>
      </x:c>
      <x:c r="V107" s="24" t="str"/>
      <x:c r="W107" s="24" t="str"/>
      <x:c r="X107" s="24" t="str">
        <x:v>있음</x:v>
      </x:c>
      <x:c r="Y107" s="24" t="str">
        <x:v>회수 검토</x:v>
      </x:c>
      <x:c r="Z107" s="24" t="str"/>
      <x:c r="AA107" s="24" t="str"/>
    </x:row>
    <x:row r="108" ht="17.25" customHeight="1">
      <x:c r="A108" s="24" t="str">
        <x:v>스위치플랜</x:v>
      </x:c>
      <x:c r="B108" s="24" t="str">
        <x:v>75두7416</x:v>
      </x:c>
      <x:c r="C108" s="24" t="str">
        <x:v>현재보유</x:v>
      </x:c>
      <x:c r="D108" s="24" t="str">
        <x:v>대여중</x:v>
      </x:c>
      <x:c r="E108" s="30"/>
      <x:c r="F108" s="31" t="str">
        <x:f>IF(AND(D108="쉬는차",E108&lt;&gt;""),TODAY()-E108,"")</x:f>
      </x:c>
      <x:c r="G108" s="24" t="str">
        <x:v>이훈7416</x:v>
      </x:c>
      <x:c r="H108" s="24" t="str">
        <x:v>SW-C-75두7416-1-26-110</x:v>
      </x:c>
      <x:c r="I108" s="30"/>
      <x:c r="J108" s="30"/>
      <x:c r="K108" s="24" t="str">
        <x:v>-</x:v>
      </x:c>
      <x:c r="L108" s="32" t="n">
        <x:v>630000</x:v>
      </x:c>
      <x:c r="M108" s="31" t="n">
        <x:v>4</x:v>
      </x:c>
      <x:c r="N108" s="32" t="n">
        <x:v>2520000</x:v>
      </x:c>
      <x:c r="O108" s="31" t="n">
        <x:v>0</x:v>
      </x:c>
      <x:c r="P108" s="24" t="str">
        <x:v>회수 판단</x:v>
      </x:c>
      <x:c r="Q108" s="24" t="str">
        <x:v>35</x:v>
      </x:c>
      <x:c r="R108" s="24" t="str"/>
      <x:c r="S108" s="24" t="str">
        <x:f>IF(Q108="","계약연령 미입력",IFERROR(IF(R108="","보험연령 미입력",IF(VALUE(R108)=VALUE(Q108),"정상",IF(VALUE(R108)&gt;VALUE(Q108),"보장 불일치","과보장 점검"))),"계약연령 형식확인"))</x:f>
        <x:v>보험연령 미입력</x:v>
      </x:c>
      <x:c r="T108" s="30"/>
      <x:c r="U108" s="24" t="str">
        <x:f>IF(T108="","보험 자료 없음",IF(T108&lt;TODAY(),"만기 자료 갱신 필요","정상"))</x:f>
        <x:v>보험 자료 없음</x:v>
      </x:c>
      <x:c r="V108" s="24" t="str"/>
      <x:c r="W108" s="24" t="str"/>
      <x:c r="X108" s="24" t="str">
        <x:v>있음</x:v>
      </x:c>
      <x:c r="Y108" s="24" t="str">
        <x:v>회수 검토</x:v>
      </x:c>
      <x:c r="Z108" s="24" t="str"/>
      <x:c r="AA108" s="24" t="str"/>
    </x:row>
    <x:row r="109" ht="17.25" customHeight="1">
      <x:c r="A109" s="24" t="str">
        <x:v>스위치플랜</x:v>
      </x:c>
      <x:c r="B109" s="24" t="str">
        <x:v>161허1751</x:v>
      </x:c>
      <x:c r="C109" s="24" t="str">
        <x:v>현재보유</x:v>
      </x:c>
      <x:c r="D109" s="24" t="str">
        <x:v>대여중</x:v>
      </x:c>
      <x:c r="E109" s="30"/>
      <x:c r="F109" s="31" t="str">
        <x:f>IF(AND(D109="쉬는차",E109&lt;&gt;""),TODAY()-E109,"")</x:f>
      </x:c>
      <x:c r="G109" s="24" t="str">
        <x:v>양용득 상무</x:v>
      </x:c>
      <x:c r="H109" s="24" t="str">
        <x:v>SW-C-161허1751-1-NA-111</x:v>
      </x:c>
      <x:c r="I109" s="30"/>
      <x:c r="J109" s="30"/>
      <x:c r="K109" s="24" t="str"/>
      <x:c r="L109" s="32"/>
      <x:c r="M109" s="31" t="n">
        <x:v>0</x:v>
      </x:c>
      <x:c r="N109" s="32" t="n">
        <x:v>0</x:v>
      </x:c>
      <x:c r="O109" s="31" t="n">
        <x:v>0</x:v>
      </x:c>
      <x:c r="P109" s="24" t="str"/>
      <x:c r="Q109" s="24" t="str">
        <x:v>35</x:v>
      </x:c>
      <x:c r="R109" s="24" t="str"/>
      <x:c r="S109" s="24" t="str">
        <x:f>IF(Q109="","계약연령 미입력",IFERROR(IF(R109="","보험연령 미입력",IF(VALUE(R109)=VALUE(Q109),"정상",IF(VALUE(R109)&gt;VALUE(Q109),"보장 불일치","과보장 점검"))),"계약연령 형식확인"))</x:f>
        <x:v>보험연령 미입력</x:v>
      </x:c>
      <x:c r="T109" s="30"/>
      <x:c r="U109" s="24" t="str">
        <x:f>IF(T109="","보험 자료 없음",IF(T109&lt;TODAY(),"만기 자료 갱신 필요","정상"))</x:f>
        <x:v>보험 자료 없음</x:v>
      </x:c>
      <x:c r="V109" s="24" t="str"/>
      <x:c r="W109" s="24" t="str"/>
      <x:c r="X109" s="24" t="str">
        <x:v>없음</x:v>
      </x:c>
      <x:c r="Y109" s="24" t="str">
        <x:v>계약서 연결</x:v>
      </x:c>
      <x:c r="Z109" s="24" t="str"/>
      <x:c r="AA109" s="24" t="str"/>
    </x:row>
    <x:row r="110" ht="17.25" customHeight="1">
      <x:c r="A110" s="24" t="str">
        <x:v>스위치플랜</x:v>
      </x:c>
      <x:c r="B110" s="24" t="str">
        <x:v>252나8761</x:v>
      </x:c>
      <x:c r="C110" s="24" t="str">
        <x:v>현재보유</x:v>
      </x:c>
      <x:c r="D110" s="24" t="str">
        <x:v>쉬는차</x:v>
      </x:c>
      <x:c r="E110" s="30"/>
      <x:c r="F110" s="31" t="str">
        <x:f>IF(AND(D110="쉬는차",E110&lt;&gt;""),TODAY()-E110,"")</x:f>
      </x:c>
      <x:c r="G110" s="24" t="str"/>
      <x:c r="H110" s="24" t="str"/>
      <x:c r="I110" s="30"/>
      <x:c r="J110" s="30"/>
      <x:c r="K110" s="24" t="str"/>
      <x:c r="L110" s="32"/>
      <x:c r="M110" s="31" t="n">
        <x:v>0</x:v>
      </x:c>
      <x:c r="N110" s="32" t="n">
        <x:v>0</x:v>
      </x:c>
      <x:c r="O110" s="31" t="n">
        <x:v>0</x:v>
      </x:c>
      <x:c r="P110" s="24" t="str"/>
      <x:c r="Q110" s="24" t="str"/>
      <x:c r="R110" s="24" t="str"/>
      <x:c r="S110" s="24" t="str">
        <x:f>IF(Q110="","계약연령 미입력",IFERROR(IF(R110="","보험연령 미입력",IF(VALUE(R110)=VALUE(Q110),"정상",IF(VALUE(R110)&gt;VALUE(Q110),"보장 불일치","과보장 점검"))),"계약연령 형식확인"))</x:f>
        <x:v>계약연령 미입력</x:v>
      </x:c>
      <x:c r="T110" s="30"/>
      <x:c r="U110" s="24" t="str">
        <x:f>IF(T110="","보험 자료 없음",IF(T110&lt;TODAY(),"만기 자료 갱신 필요","정상"))</x:f>
        <x:v>보험 자료 없음</x:v>
      </x:c>
      <x:c r="V110" s="24" t="str"/>
      <x:c r="W110" s="24" t="str"/>
      <x:c r="X110" s="24" t="str">
        <x:v>있음</x:v>
      </x:c>
      <x:c r="Y110" s="24" t="str">
        <x:v>상태 시작일 입력</x:v>
      </x:c>
      <x:c r="Z110" s="24" t="str"/>
      <x:c r="AA110" s="24" t="str"/>
    </x:row>
    <x:row r="111" ht="17.25" customHeight="1">
      <x:c r="A111" s="24" t="str">
        <x:v>프라임구독</x:v>
      </x:c>
      <x:c r="B111" s="24" t="str">
        <x:v>01도2340</x:v>
      </x:c>
      <x:c r="C111" s="24" t="str">
        <x:v>현재보유</x:v>
      </x:c>
      <x:c r="D111" s="24" t="str">
        <x:v>대여중</x:v>
      </x:c>
      <x:c r="E111" s="30"/>
      <x:c r="F111" s="31" t="str">
        <x:f>IF(AND(D111="쉬는차",E111&lt;&gt;""),TODAY()-E111,"")</x:f>
      </x:c>
      <x:c r="G111" s="24" t="str">
        <x:v>이광용</x:v>
      </x:c>
      <x:c r="H111" s="24" t="str">
        <x:v>PR-C-01도2340-1-20230105-3</x:v>
      </x:c>
      <x:c r="I111" s="30" t="n">
        <x:v>44931</x:v>
      </x:c>
      <x:c r="J111" s="30" t="n">
        <x:v>46073</x:v>
      </x:c>
      <x:c r="K111" s="24" t="str">
        <x:v>20</x:v>
      </x:c>
      <x:c r="L111" s="32" t="n">
        <x:v>640000</x:v>
      </x:c>
      <x:c r="M111" s="31" t="n">
        <x:v>11</x:v>
      </x:c>
      <x:c r="N111" s="32" t="n">
        <x:v>500000</x:v>
      </x:c>
      <x:c r="O111" s="31" t="n">
        <x:v>299</x:v>
      </x:c>
      <x:c r="P111" s="24" t="str">
        <x:v>만기 임박</x:v>
      </x:c>
      <x:c r="Q111" s="24" t="str"/>
      <x:c r="R111" s="24" t="str"/>
      <x:c r="S111" s="24" t="str">
        <x:f>IF(Q111="","계약연령 미입력",IFERROR(IF(R111="","보험연령 미입력",IF(VALUE(R111)=VALUE(Q111),"정상",IF(VALUE(R111)&gt;VALUE(Q111),"보장 불일치","과보장 점검"))),"계약연령 형식확인"))</x:f>
        <x:v>계약연령 미입력</x:v>
      </x:c>
      <x:c r="T111" s="30" t="n">
        <x:v>46117</x:v>
      </x:c>
      <x:c r="U111" s="24" t="str">
        <x:f>IF(T111="","보험 자료 없음",IF(T111&lt;TODAY(),"만기 자료 갱신 필요","정상"))</x:f>
        <x:v>만기 자료 갱신 필요</x:v>
      </x:c>
      <x:c r="V111" s="24" t="str">
        <x:v>010-5634-8321</x:v>
      </x:c>
      <x:c r="W111" s="24" t="str"/>
      <x:c r="X111" s="24" t="str">
        <x:v>있음</x:v>
      </x:c>
      <x:c r="Y111" s="24" t="str">
        <x:v>미수 확인</x:v>
      </x:c>
      <x:c r="Z111" s="24" t="str"/>
      <x:c r="AA111" s="24" t="str">
        <x:v>보유 기준 확인</x:v>
      </x:c>
    </x:row>
    <x:row r="112" ht="17.25" customHeight="1">
      <x:c r="A112" s="24" t="str">
        <x:v>프라임구독</x:v>
      </x:c>
      <x:c r="B112" s="24" t="str">
        <x:v>01두1601</x:v>
      </x:c>
      <x:c r="C112" s="24" t="str">
        <x:v>현재보유</x:v>
      </x:c>
      <x:c r="D112" s="24" t="str">
        <x:v>쉬는차</x:v>
      </x:c>
      <x:c r="E112" s="30"/>
      <x:c r="F112" s="31" t="str">
        <x:f>IF(AND(D112="쉬는차",E112&lt;&gt;""),TODAY()-E112,"")</x:f>
      </x:c>
      <x:c r="G112" s="24" t="str"/>
      <x:c r="H112" s="24" t="str"/>
      <x:c r="I112" s="30"/>
      <x:c r="J112" s="30"/>
      <x:c r="K112" s="24" t="str"/>
      <x:c r="L112" s="32"/>
      <x:c r="M112" s="31" t="n">
        <x:v>0</x:v>
      </x:c>
      <x:c r="N112" s="32" t="n">
        <x:v>0</x:v>
      </x:c>
      <x:c r="O112" s="31" t="n">
        <x:v>0</x:v>
      </x:c>
      <x:c r="P112" s="24" t="str"/>
      <x:c r="Q112" s="24" t="str"/>
      <x:c r="R112" s="24" t="str"/>
      <x:c r="S112" s="24" t="str">
        <x:f>IF(Q112="","계약연령 미입력",IFERROR(IF(R112="","보험연령 미입력",IF(VALUE(R112)=VALUE(Q112),"정상",IF(VALUE(R112)&gt;VALUE(Q112),"보장 불일치","과보장 점검"))),"계약연령 형식확인"))</x:f>
        <x:v>계약연령 미입력</x:v>
      </x:c>
      <x:c r="T112" s="30" t="n">
        <x:v>45752</x:v>
      </x:c>
      <x:c r="U112" s="24" t="str">
        <x:f>IF(T112="","보험 자료 없음",IF(T112&lt;TODAY(),"만기 자료 갱신 필요","정상"))</x:f>
        <x:v>만기 자료 갱신 필요</x:v>
      </x:c>
      <x:c r="V112" s="24" t="str">
        <x:v>010-8206-1497</x:v>
      </x:c>
      <x:c r="W112" s="24" t="str"/>
      <x:c r="X112" s="24" t="str">
        <x:v>있음</x:v>
      </x:c>
      <x:c r="Y112" s="24" t="str">
        <x:v>상태 시작일 입력</x:v>
      </x:c>
      <x:c r="Z112" s="24" t="str"/>
      <x:c r="AA112" s="24" t="str">
        <x:v>보유 기준 확인</x:v>
      </x:c>
    </x:row>
    <x:row r="113" ht="17.25" customHeight="1">
      <x:c r="A113" s="24" t="str">
        <x:v>프라임구독</x:v>
      </x:c>
      <x:c r="B113" s="24" t="str">
        <x:v>01무1615</x:v>
      </x:c>
      <x:c r="C113" s="24" t="str">
        <x:v>현재보유</x:v>
      </x:c>
      <x:c r="D113" s="24" t="str">
        <x:v>쉬는차</x:v>
      </x:c>
      <x:c r="E113" s="30"/>
      <x:c r="F113" s="31" t="str">
        <x:f>IF(AND(D113="쉬는차",E113&lt;&gt;""),TODAY()-E113,"")</x:f>
      </x:c>
      <x:c r="G113" s="24" t="str"/>
      <x:c r="H113" s="24" t="str"/>
      <x:c r="I113" s="30"/>
      <x:c r="J113" s="30"/>
      <x:c r="K113" s="24" t="str"/>
      <x:c r="L113" s="32"/>
      <x:c r="M113" s="31" t="n">
        <x:v>0</x:v>
      </x:c>
      <x:c r="N113" s="32" t="n">
        <x:v>0</x:v>
      </x:c>
      <x:c r="O113" s="31" t="n">
        <x:v>0</x:v>
      </x:c>
      <x:c r="P113" s="24" t="str"/>
      <x:c r="Q113" s="24" t="str"/>
      <x:c r="R113" s="24" t="str"/>
      <x:c r="S113" s="24" t="str">
        <x:f>IF(Q113="","계약연령 미입력",IFERROR(IF(R113="","보험연령 미입력",IF(VALUE(R113)=VALUE(Q113),"정상",IF(VALUE(R113)&gt;VALUE(Q113),"보장 불일치","과보장 점검"))),"계약연령 형식확인"))</x:f>
        <x:v>계약연령 미입력</x:v>
      </x:c>
      <x:c r="T113" s="30" t="n">
        <x:v>46054</x:v>
      </x:c>
      <x:c r="U113" s="24" t="str">
        <x:f>IF(T113="","보험 자료 없음",IF(T113&lt;TODAY(),"만기 자료 갱신 필요","정상"))</x:f>
        <x:v>만기 자료 갱신 필요</x:v>
      </x:c>
      <x:c r="V113" s="24" t="str">
        <x:v>010-8450-0377</x:v>
      </x:c>
      <x:c r="W113" s="24" t="str"/>
      <x:c r="X113" s="24" t="str">
        <x:v>있음</x:v>
      </x:c>
      <x:c r="Y113" s="24" t="str">
        <x:v>상태 시작일 입력</x:v>
      </x:c>
      <x:c r="Z113" s="24" t="str"/>
      <x:c r="AA113" s="24" t="str">
        <x:v>보유 기준 확인</x:v>
      </x:c>
    </x:row>
    <x:row r="114" ht="17.25" customHeight="1">
      <x:c r="A114" s="24" t="str">
        <x:v>프라임구독</x:v>
      </x:c>
      <x:c r="B114" s="24" t="str">
        <x:v>01부3634</x:v>
      </x:c>
      <x:c r="C114" s="24" t="str">
        <x:v>현재보유</x:v>
      </x:c>
      <x:c r="D114" s="24" t="str">
        <x:v>대여중</x:v>
      </x:c>
      <x:c r="E114" s="30"/>
      <x:c r="F114" s="31" t="str">
        <x:f>IF(AND(D114="쉬는차",E114&lt;&gt;""),TODAY()-E114,"")</x:f>
      </x:c>
      <x:c r="G114" s="24" t="str">
        <x:v>김창준b</x:v>
      </x:c>
      <x:c r="H114" s="24" t="str">
        <x:v>PR-C-01부3634-1-20230821-6</x:v>
      </x:c>
      <x:c r="I114" s="30" t="n">
        <x:v>45159</x:v>
      </x:c>
      <x:c r="J114" s="30" t="n">
        <x:v>46624</x:v>
      </x:c>
      <x:c r="K114" s="24" t="str">
        <x:v>25</x:v>
      </x:c>
      <x:c r="L114" s="32" t="n">
        <x:v>412000</x:v>
      </x:c>
      <x:c r="M114" s="31" t="n">
        <x:v>19</x:v>
      </x:c>
      <x:c r="N114" s="32" t="n">
        <x:v>2896000</x:v>
      </x:c>
      <x:c r="O114" s="31" t="n">
        <x:v>536</x:v>
      </x:c>
      <x:c r="P114" s="24" t="str">
        <x:v>회수 판단</x:v>
      </x:c>
      <x:c r="Q114" s="24" t="str"/>
      <x:c r="R114" s="24" t="str"/>
      <x:c r="S114" s="24" t="str">
        <x:f>IF(Q114="","계약연령 미입력",IFERROR(IF(R114="","보험연령 미입력",IF(VALUE(R114)=VALUE(Q114),"정상",IF(VALUE(R114)&gt;VALUE(Q114),"보장 불일치","과보장 점검"))),"계약연령 형식확인"))</x:f>
        <x:v>계약연령 미입력</x:v>
      </x:c>
      <x:c r="T114" s="30" t="n">
        <x:v>45890</x:v>
      </x:c>
      <x:c r="U114" s="24" t="str">
        <x:f>IF(T114="","보험 자료 없음",IF(T114&lt;TODAY(),"만기 자료 갱신 필요","정상"))</x:f>
        <x:v>만기 자료 갱신 필요</x:v>
      </x:c>
      <x:c r="V114" s="24" t="str">
        <x:v>010-3700-8587</x:v>
      </x:c>
      <x:c r="W114" s="24" t="str"/>
      <x:c r="X114" s="24" t="str">
        <x:v>있음</x:v>
      </x:c>
      <x:c r="Y114" s="24" t="str">
        <x:v>회수 검토</x:v>
      </x:c>
      <x:c r="Z114" s="24" t="str"/>
      <x:c r="AA114" s="24" t="str">
        <x:v>보유 기준 확인</x:v>
      </x:c>
    </x:row>
    <x:row r="115" ht="17.25" customHeight="1">
      <x:c r="A115" s="24" t="str">
        <x:v>프라임구독</x:v>
      </x:c>
      <x:c r="B115" s="24" t="str">
        <x:v>02노0857</x:v>
      </x:c>
      <x:c r="C115" s="24" t="str">
        <x:v>현재보유</x:v>
      </x:c>
      <x:c r="D115" s="24" t="str">
        <x:v>대여중</x:v>
      </x:c>
      <x:c r="E115" s="30"/>
      <x:c r="F115" s="31" t="str">
        <x:f>IF(AND(D115="쉬는차",E115&lt;&gt;""),TODAY()-E115,"")</x:f>
      </x:c>
      <x:c r="G115" s="24" t="str">
        <x:v>박이석</x:v>
      </x:c>
      <x:c r="H115" s="24" t="str">
        <x:v>PR-C-02노0857-1-20230308-7</x:v>
      </x:c>
      <x:c r="I115" s="30" t="n">
        <x:v>44993</x:v>
      </x:c>
      <x:c r="J115" s="30" t="n">
        <x:v>46091</x:v>
      </x:c>
      <x:c r="K115" s="24" t="str">
        <x:v>10</x:v>
      </x:c>
      <x:c r="L115" s="32" t="n">
        <x:v>573000</x:v>
      </x:c>
      <x:c r="M115" s="31" t="n">
        <x:v>1</x:v>
      </x:c>
      <x:c r="N115" s="32" t="n">
        <x:v>573000</x:v>
      </x:c>
      <x:c r="O115" s="31" t="n">
        <x:v>5</x:v>
      </x:c>
      <x:c r="P115" s="24" t="str">
        <x:v>독촉 5일 · 만기 임박</x:v>
      </x:c>
      <x:c r="Q115" s="24" t="str"/>
      <x:c r="R115" s="24" t="str"/>
      <x:c r="S115" s="24" t="str">
        <x:f>IF(Q115="","계약연령 미입력",IFERROR(IF(R115="","보험연령 미입력",IF(VALUE(R115)=VALUE(Q115),"정상",IF(VALUE(R115)&gt;VALUE(Q115),"보장 불일치","과보장 점검"))),"계약연령 형식확인"))</x:f>
        <x:v>계약연령 미입력</x:v>
      </x:c>
      <x:c r="T115" s="30" t="n">
        <x:v>46092</x:v>
      </x:c>
      <x:c r="U115" s="24" t="str">
        <x:f>IF(T115="","보험 자료 없음",IF(T115&lt;TODAY(),"만기 자료 갱신 필요","정상"))</x:f>
        <x:v>만기 자료 갱신 필요</x:v>
      </x:c>
      <x:c r="V115" s="24" t="str">
        <x:v>010-6605-8175</x:v>
      </x:c>
      <x:c r="W115" s="24" t="str"/>
      <x:c r="X115" s="24" t="str">
        <x:v>있음</x:v>
      </x:c>
      <x:c r="Y115" s="24" t="str">
        <x:v>미수 확인</x:v>
      </x:c>
      <x:c r="Z115" s="24" t="str"/>
      <x:c r="AA115" s="24" t="str">
        <x:v>보유 기준 확인</x:v>
      </x:c>
    </x:row>
    <x:row r="116" ht="17.25" customHeight="1">
      <x:c r="A116" s="24" t="str">
        <x:v>프라임구독</x:v>
      </x:c>
      <x:c r="B116" s="24" t="str">
        <x:v>02어5437</x:v>
      </x:c>
      <x:c r="C116" s="24" t="str">
        <x:v>현재보유</x:v>
      </x:c>
      <x:c r="D116" s="24" t="str">
        <x:v>쉬는차</x:v>
      </x:c>
      <x:c r="E116" s="30"/>
      <x:c r="F116" s="31" t="str">
        <x:f>IF(AND(D116="쉬는차",E116&lt;&gt;""),TODAY()-E116,"")</x:f>
      </x:c>
      <x:c r="G116" s="24" t="str"/>
      <x:c r="H116" s="24" t="str"/>
      <x:c r="I116" s="30"/>
      <x:c r="J116" s="30"/>
      <x:c r="K116" s="24" t="str"/>
      <x:c r="L116" s="32"/>
      <x:c r="M116" s="31" t="n">
        <x:v>0</x:v>
      </x:c>
      <x:c r="N116" s="32" t="n">
        <x:v>0</x:v>
      </x:c>
      <x:c r="O116" s="31" t="n">
        <x:v>0</x:v>
      </x:c>
      <x:c r="P116" s="24" t="str"/>
      <x:c r="Q116" s="24" t="str"/>
      <x:c r="R116" s="24" t="str"/>
      <x:c r="S116" s="24" t="str">
        <x:f>IF(Q116="","계약연령 미입력",IFERROR(IF(R116="","보험연령 미입력",IF(VALUE(R116)=VALUE(Q116),"정상",IF(VALUE(R116)&gt;VALUE(Q116),"보장 불일치","과보장 점검"))),"계약연령 형식확인"))</x:f>
        <x:v>계약연령 미입력</x:v>
      </x:c>
      <x:c r="T116" s="30" t="n">
        <x:v>45767</x:v>
      </x:c>
      <x:c r="U116" s="24" t="str">
        <x:f>IF(T116="","보험 자료 없음",IF(T116&lt;TODAY(),"만기 자료 갱신 필요","정상"))</x:f>
        <x:v>만기 자료 갱신 필요</x:v>
      </x:c>
      <x:c r="V116" s="24" t="str">
        <x:v>010-6498-9556</x:v>
      </x:c>
      <x:c r="W116" s="24" t="str"/>
      <x:c r="X116" s="24" t="str">
        <x:v>있음</x:v>
      </x:c>
      <x:c r="Y116" s="24" t="str">
        <x:v>상태 시작일 입력</x:v>
      </x:c>
      <x:c r="Z116" s="24" t="str"/>
      <x:c r="AA116" s="24" t="str">
        <x:v>보유 기준 확인</x:v>
      </x:c>
    </x:row>
    <x:row r="117" ht="17.25" customHeight="1">
      <x:c r="A117" s="24" t="str">
        <x:v>프라임구독</x:v>
      </x:c>
      <x:c r="B117" s="24" t="str">
        <x:v>03거6049</x:v>
      </x:c>
      <x:c r="C117" s="24" t="str">
        <x:v>현재보유</x:v>
      </x:c>
      <x:c r="D117" s="24" t="str">
        <x:v>쉬는차</x:v>
      </x:c>
      <x:c r="E117" s="30"/>
      <x:c r="F117" s="31" t="str">
        <x:f>IF(AND(D117="쉬는차",E117&lt;&gt;""),TODAY()-E117,"")</x:f>
      </x:c>
      <x:c r="G117" s="24" t="str"/>
      <x:c r="H117" s="24" t="str"/>
      <x:c r="I117" s="30"/>
      <x:c r="J117" s="30"/>
      <x:c r="K117" s="24" t="str"/>
      <x:c r="L117" s="32"/>
      <x:c r="M117" s="31" t="n">
        <x:v>0</x:v>
      </x:c>
      <x:c r="N117" s="32" t="n">
        <x:v>0</x:v>
      </x:c>
      <x:c r="O117" s="31" t="n">
        <x:v>0</x:v>
      </x:c>
      <x:c r="P117" s="24" t="str"/>
      <x:c r="Q117" s="24" t="str"/>
      <x:c r="R117" s="24" t="str"/>
      <x:c r="S117" s="24" t="str">
        <x:f>IF(Q117="","계약연령 미입력",IFERROR(IF(R117="","보험연령 미입력",IF(VALUE(R117)=VALUE(Q117),"정상",IF(VALUE(R117)&gt;VALUE(Q117),"보장 불일치","과보장 점검"))),"계약연령 형식확인"))</x:f>
        <x:v>계약연령 미입력</x:v>
      </x:c>
      <x:c r="T117" s="30" t="n">
        <x:v>46102</x:v>
      </x:c>
      <x:c r="U117" s="24" t="str">
        <x:f>IF(T117="","보험 자료 없음",IF(T117&lt;TODAY(),"만기 자료 갱신 필요","정상"))</x:f>
        <x:v>만기 자료 갱신 필요</x:v>
      </x:c>
      <x:c r="V117" s="24" t="str">
        <x:v>010-5665-2098</x:v>
      </x:c>
      <x:c r="W117" s="24" t="str"/>
      <x:c r="X117" s="24" t="str">
        <x:v>있음</x:v>
      </x:c>
      <x:c r="Y117" s="24" t="str">
        <x:v>상태 시작일 입력</x:v>
      </x:c>
      <x:c r="Z117" s="24" t="str"/>
      <x:c r="AA117" s="24" t="str">
        <x:v>보유 기준 확인</x:v>
      </x:c>
    </x:row>
    <x:row r="118" ht="17.25" customHeight="1">
      <x:c r="A118" s="24" t="str">
        <x:v>프라임구독</x:v>
      </x:c>
      <x:c r="B118" s="24" t="str">
        <x:v>03고7687</x:v>
      </x:c>
      <x:c r="C118" s="24" t="str">
        <x:v>현재보유</x:v>
      </x:c>
      <x:c r="D118" s="24" t="str">
        <x:v>쉬는차</x:v>
      </x:c>
      <x:c r="E118" s="30"/>
      <x:c r="F118" s="31" t="str">
        <x:f>IF(AND(D118="쉬는차",E118&lt;&gt;""),TODAY()-E118,"")</x:f>
      </x:c>
      <x:c r="G118" s="24" t="str"/>
      <x:c r="H118" s="24" t="str"/>
      <x:c r="I118" s="30"/>
      <x:c r="J118" s="30"/>
      <x:c r="K118" s="24" t="str"/>
      <x:c r="L118" s="32"/>
      <x:c r="M118" s="31" t="n">
        <x:v>0</x:v>
      </x:c>
      <x:c r="N118" s="32" t="n">
        <x:v>0</x:v>
      </x:c>
      <x:c r="O118" s="31" t="n">
        <x:v>0</x:v>
      </x:c>
      <x:c r="P118" s="24" t="str"/>
      <x:c r="Q118" s="24" t="str"/>
      <x:c r="R118" s="24" t="str"/>
      <x:c r="S118" s="24" t="str">
        <x:f>IF(Q118="","계약연령 미입력",IFERROR(IF(R118="","보험연령 미입력",IF(VALUE(R118)=VALUE(Q118),"정상",IF(VALUE(R118)&gt;VALUE(Q118),"보장 불일치","과보장 점검"))),"계약연령 형식확인"))</x:f>
        <x:v>계약연령 미입력</x:v>
      </x:c>
      <x:c r="T118" s="30" t="n">
        <x:v>45628</x:v>
      </x:c>
      <x:c r="U118" s="24" t="str">
        <x:f>IF(T118="","보험 자료 없음",IF(T118&lt;TODAY(),"만기 자료 갱신 필요","정상"))</x:f>
        <x:v>만기 자료 갱신 필요</x:v>
      </x:c>
      <x:c r="V118" s="24"/>
      <x:c r="W118" s="24" t="str"/>
      <x:c r="X118" s="24" t="str">
        <x:v>없음</x:v>
      </x:c>
      <x:c r="Y118" s="24" t="str">
        <x:v>상태 시작일 입력</x:v>
      </x:c>
      <x:c r="Z118" s="24" t="str"/>
      <x:c r="AA118" s="24" t="str">
        <x:v>보유 기준 확인</x:v>
      </x:c>
    </x:row>
    <x:row r="119" ht="17.25" customHeight="1">
      <x:c r="A119" s="24" t="str">
        <x:v>프라임구독</x:v>
      </x:c>
      <x:c r="B119" s="24" t="str">
        <x:v>03러8697</x:v>
      </x:c>
      <x:c r="C119" s="24" t="str">
        <x:v>현재보유</x:v>
      </x:c>
      <x:c r="D119" s="24" t="str">
        <x:v>쉬는차</x:v>
      </x:c>
      <x:c r="E119" s="30"/>
      <x:c r="F119" s="31" t="str">
        <x:f>IF(AND(D119="쉬는차",E119&lt;&gt;""),TODAY()-E119,"")</x:f>
      </x:c>
      <x:c r="G119" s="24" t="str"/>
      <x:c r="H119" s="24" t="str"/>
      <x:c r="I119" s="30"/>
      <x:c r="J119" s="30"/>
      <x:c r="K119" s="24" t="str"/>
      <x:c r="L119" s="32"/>
      <x:c r="M119" s="31" t="n">
        <x:v>0</x:v>
      </x:c>
      <x:c r="N119" s="32" t="n">
        <x:v>0</x:v>
      </x:c>
      <x:c r="O119" s="31" t="n">
        <x:v>0</x:v>
      </x:c>
      <x:c r="P119" s="24" t="str"/>
      <x:c r="Q119" s="24" t="str"/>
      <x:c r="R119" s="24" t="str"/>
      <x:c r="S119" s="24" t="str">
        <x:f>IF(Q119="","계약연령 미입력",IFERROR(IF(R119="","보험연령 미입력",IF(VALUE(R119)=VALUE(Q119),"정상",IF(VALUE(R119)&gt;VALUE(Q119),"보장 불일치","과보장 점검"))),"계약연령 형식확인"))</x:f>
        <x:v>계약연령 미입력</x:v>
      </x:c>
      <x:c r="T119" s="30" t="n">
        <x:v>45731</x:v>
      </x:c>
      <x:c r="U119" s="24" t="str">
        <x:f>IF(T119="","보험 자료 없음",IF(T119&lt;TODAY(),"만기 자료 갱신 필요","정상"))</x:f>
        <x:v>만기 자료 갱신 필요</x:v>
      </x:c>
      <x:c r="V119" s="24" t="str">
        <x:v>010-2810-8329</x:v>
      </x:c>
      <x:c r="W119" s="24" t="str"/>
      <x:c r="X119" s="24" t="str">
        <x:v>있음</x:v>
      </x:c>
      <x:c r="Y119" s="24" t="str">
        <x:v>상태 시작일 입력</x:v>
      </x:c>
      <x:c r="Z119" s="24" t="str"/>
      <x:c r="AA119" s="24" t="str">
        <x:v>보유 기준 확인</x:v>
      </x:c>
    </x:row>
    <x:row r="120" ht="17.25" customHeight="1">
      <x:c r="A120" s="24" t="str">
        <x:v>프라임구독</x:v>
      </x:c>
      <x:c r="B120" s="24" t="str">
        <x:v>04모0665</x:v>
      </x:c>
      <x:c r="C120" s="24" t="str">
        <x:v>현재보유</x:v>
      </x:c>
      <x:c r="D120" s="24" t="str">
        <x:v>쉬는차</x:v>
      </x:c>
      <x:c r="E120" s="30"/>
      <x:c r="F120" s="31" t="str">
        <x:f>IF(AND(D120="쉬는차",E120&lt;&gt;""),TODAY()-E120,"")</x:f>
      </x:c>
      <x:c r="G120" s="24" t="str"/>
      <x:c r="H120" s="24" t="str"/>
      <x:c r="I120" s="30"/>
      <x:c r="J120" s="30"/>
      <x:c r="K120" s="24" t="str"/>
      <x:c r="L120" s="32"/>
      <x:c r="M120" s="31" t="n">
        <x:v>0</x:v>
      </x:c>
      <x:c r="N120" s="32" t="n">
        <x:v>0</x:v>
      </x:c>
      <x:c r="O120" s="31" t="n">
        <x:v>0</x:v>
      </x:c>
      <x:c r="P120" s="24" t="str"/>
      <x:c r="Q120" s="24" t="str"/>
      <x:c r="R120" s="24" t="str"/>
      <x:c r="S120" s="24" t="str">
        <x:f>IF(Q120="","계약연령 미입력",IFERROR(IF(R120="","보험연령 미입력",IF(VALUE(R120)=VALUE(Q120),"정상",IF(VALUE(R120)&gt;VALUE(Q120),"보장 불일치","과보장 점검"))),"계약연령 형식확인"))</x:f>
        <x:v>계약연령 미입력</x:v>
      </x:c>
      <x:c r="T120" s="30" t="n">
        <x:v>45571</x:v>
      </x:c>
      <x:c r="U120" s="24" t="str">
        <x:f>IF(T120="","보험 자료 없음",IF(T120&lt;TODAY(),"만기 자료 갱신 필요","정상"))</x:f>
        <x:v>만기 자료 갱신 필요</x:v>
      </x:c>
      <x:c r="V120" s="24" t="str">
        <x:v>010-8111-6426</x:v>
      </x:c>
      <x:c r="W120" s="24" t="str"/>
      <x:c r="X120" s="24" t="str">
        <x:v>있음</x:v>
      </x:c>
      <x:c r="Y120" s="24" t="str">
        <x:v>상태 시작일 입력</x:v>
      </x:c>
      <x:c r="Z120" s="24" t="str"/>
      <x:c r="AA120" s="24" t="str">
        <x:v>보유 기준 확인</x:v>
      </x:c>
    </x:row>
    <x:row r="121" ht="17.25" customHeight="1">
      <x:c r="A121" s="24" t="str">
        <x:v>프라임구독</x:v>
      </x:c>
      <x:c r="B121" s="24" t="str">
        <x:v>06오8368</x:v>
      </x:c>
      <x:c r="C121" s="24" t="str">
        <x:v>현재보유</x:v>
      </x:c>
      <x:c r="D121" s="24" t="str">
        <x:v>쉬는차</x:v>
      </x:c>
      <x:c r="E121" s="30"/>
      <x:c r="F121" s="31" t="str">
        <x:f>IF(AND(D121="쉬는차",E121&lt;&gt;""),TODAY()-E121,"")</x:f>
      </x:c>
      <x:c r="G121" s="24" t="str"/>
      <x:c r="H121" s="24" t="str"/>
      <x:c r="I121" s="30"/>
      <x:c r="J121" s="30"/>
      <x:c r="K121" s="24" t="str"/>
      <x:c r="L121" s="32"/>
      <x:c r="M121" s="31" t="n">
        <x:v>0</x:v>
      </x:c>
      <x:c r="N121" s="32" t="n">
        <x:v>0</x:v>
      </x:c>
      <x:c r="O121" s="31" t="n">
        <x:v>0</x:v>
      </x:c>
      <x:c r="P121" s="24" t="str"/>
      <x:c r="Q121" s="24" t="str"/>
      <x:c r="R121" s="24" t="str"/>
      <x:c r="S121" s="24" t="str">
        <x:f>IF(Q121="","계약연령 미입력",IFERROR(IF(R121="","보험연령 미입력",IF(VALUE(R121)=VALUE(Q121),"정상",IF(VALUE(R121)&gt;VALUE(Q121),"보장 불일치","과보장 점검"))),"계약연령 형식확인"))</x:f>
        <x:v>계약연령 미입력</x:v>
      </x:c>
      <x:c r="T121" s="30" t="n">
        <x:v>45991</x:v>
      </x:c>
      <x:c r="U121" s="24" t="str">
        <x:f>IF(T121="","보험 자료 없음",IF(T121&lt;TODAY(),"만기 자료 갱신 필요","정상"))</x:f>
        <x:v>만기 자료 갱신 필요</x:v>
      </x:c>
      <x:c r="V121" s="24" t="str">
        <x:v>010-4389-3302</x:v>
      </x:c>
      <x:c r="W121" s="24" t="str"/>
      <x:c r="X121" s="24" t="str">
        <x:v>있음</x:v>
      </x:c>
      <x:c r="Y121" s="24" t="str">
        <x:v>상태 시작일 입력</x:v>
      </x:c>
      <x:c r="Z121" s="24" t="str"/>
      <x:c r="AA121" s="24" t="str">
        <x:v>보유 기준 확인</x:v>
      </x:c>
    </x:row>
    <x:row r="122" ht="17.25" customHeight="1">
      <x:c r="A122" s="24" t="str">
        <x:v>프라임구독</x:v>
      </x:c>
      <x:c r="B122" s="24" t="str">
        <x:v>07로0775</x:v>
      </x:c>
      <x:c r="C122" s="24" t="str">
        <x:v>현재보유</x:v>
      </x:c>
      <x:c r="D122" s="24" t="str">
        <x:v>쉬는차</x:v>
      </x:c>
      <x:c r="E122" s="30"/>
      <x:c r="F122" s="31" t="str">
        <x:f>IF(AND(D122="쉬는차",E122&lt;&gt;""),TODAY()-E122,"")</x:f>
      </x:c>
      <x:c r="G122" s="24" t="str"/>
      <x:c r="H122" s="24" t="str"/>
      <x:c r="I122" s="30"/>
      <x:c r="J122" s="30"/>
      <x:c r="K122" s="24" t="str"/>
      <x:c r="L122" s="32"/>
      <x:c r="M122" s="31" t="n">
        <x:v>0</x:v>
      </x:c>
      <x:c r="N122" s="32" t="n">
        <x:v>0</x:v>
      </x:c>
      <x:c r="O122" s="31" t="n">
        <x:v>0</x:v>
      </x:c>
      <x:c r="P122" s="24" t="str"/>
      <x:c r="Q122" s="24" t="str"/>
      <x:c r="R122" s="24" t="str"/>
      <x:c r="S122" s="24" t="str">
        <x:f>IF(Q122="","계약연령 미입력",IFERROR(IF(R122="","보험연령 미입력",IF(VALUE(R122)=VALUE(Q122),"정상",IF(VALUE(R122)&gt;VALUE(Q122),"보장 불일치","과보장 점검"))),"계약연령 형식확인"))</x:f>
        <x:v>계약연령 미입력</x:v>
      </x:c>
      <x:c r="T122" s="30" t="n">
        <x:v>45976</x:v>
      </x:c>
      <x:c r="U122" s="24" t="str">
        <x:f>IF(T122="","보험 자료 없음",IF(T122&lt;TODAY(),"만기 자료 갱신 필요","정상"))</x:f>
        <x:v>만기 자료 갱신 필요</x:v>
      </x:c>
      <x:c r="V122" s="24" t="str">
        <x:v>010-4105-0030</x:v>
      </x:c>
      <x:c r="W122" s="24" t="str"/>
      <x:c r="X122" s="24" t="str">
        <x:v>있음</x:v>
      </x:c>
      <x:c r="Y122" s="24" t="str">
        <x:v>상태 시작일 입력</x:v>
      </x:c>
      <x:c r="Z122" s="24" t="str"/>
      <x:c r="AA122" s="24" t="str">
        <x:v>보유 기준 확인</x:v>
      </x:c>
    </x:row>
    <x:row r="123" ht="17.25" customHeight="1">
      <x:c r="A123" s="24" t="str">
        <x:v>프라임구독</x:v>
      </x:c>
      <x:c r="B123" s="24" t="str">
        <x:v>08모1646</x:v>
      </x:c>
      <x:c r="C123" s="24" t="str">
        <x:v>현재보유</x:v>
      </x:c>
      <x:c r="D123" s="24" t="str">
        <x:v>쉬는차</x:v>
      </x:c>
      <x:c r="E123" s="30"/>
      <x:c r="F123" s="31" t="str">
        <x:f>IF(AND(D123="쉬는차",E123&lt;&gt;""),TODAY()-E123,"")</x:f>
      </x:c>
      <x:c r="G123" s="24" t="str"/>
      <x:c r="H123" s="24" t="str"/>
      <x:c r="I123" s="30"/>
      <x:c r="J123" s="30"/>
      <x:c r="K123" s="24" t="str"/>
      <x:c r="L123" s="32"/>
      <x:c r="M123" s="31" t="n">
        <x:v>0</x:v>
      </x:c>
      <x:c r="N123" s="32" t="n">
        <x:v>0</x:v>
      </x:c>
      <x:c r="O123" s="31" t="n">
        <x:v>0</x:v>
      </x:c>
      <x:c r="P123" s="24" t="str"/>
      <x:c r="Q123" s="24" t="str"/>
      <x:c r="R123" s="24" t="str"/>
      <x:c r="S123" s="24" t="str">
        <x:f>IF(Q123="","계약연령 미입력",IFERROR(IF(R123="","보험연령 미입력",IF(VALUE(R123)=VALUE(Q123),"정상",IF(VALUE(R123)&gt;VALUE(Q123),"보장 불일치","과보장 점검"))),"계약연령 형식확인"))</x:f>
        <x:v>계약연령 미입력</x:v>
      </x:c>
      <x:c r="T123" s="30" t="n">
        <x:v>46088</x:v>
      </x:c>
      <x:c r="U123" s="24" t="str">
        <x:f>IF(T123="","보험 자료 없음",IF(T123&lt;TODAY(),"만기 자료 갱신 필요","정상"))</x:f>
        <x:v>만기 자료 갱신 필요</x:v>
      </x:c>
      <x:c r="V123" s="24" t="str">
        <x:v>010-8058-5877</x:v>
      </x:c>
      <x:c r="W123" s="24" t="str"/>
      <x:c r="X123" s="24" t="str">
        <x:v>있음</x:v>
      </x:c>
      <x:c r="Y123" s="24" t="str">
        <x:v>상태 시작일 입력</x:v>
      </x:c>
      <x:c r="Z123" s="24" t="str"/>
      <x:c r="AA123" s="24" t="str">
        <x:v>보유 기준 확인</x:v>
      </x:c>
    </x:row>
    <x:row r="124" ht="17.25" customHeight="1">
      <x:c r="A124" s="24" t="str">
        <x:v>프라임구독</x:v>
      </x:c>
      <x:c r="B124" s="24" t="str">
        <x:v>09누4209</x:v>
      </x:c>
      <x:c r="C124" s="24" t="str">
        <x:v>현재보유</x:v>
      </x:c>
      <x:c r="D124" s="24" t="str">
        <x:v>쉬는차</x:v>
      </x:c>
      <x:c r="E124" s="30"/>
      <x:c r="F124" s="31" t="str">
        <x:f>IF(AND(D124="쉬는차",E124&lt;&gt;""),TODAY()-E124,"")</x:f>
      </x:c>
      <x:c r="G124" s="24" t="str"/>
      <x:c r="H124" s="24" t="str"/>
      <x:c r="I124" s="30"/>
      <x:c r="J124" s="30"/>
      <x:c r="K124" s="24" t="str"/>
      <x:c r="L124" s="32"/>
      <x:c r="M124" s="31" t="n">
        <x:v>0</x:v>
      </x:c>
      <x:c r="N124" s="32" t="n">
        <x:v>0</x:v>
      </x:c>
      <x:c r="O124" s="31" t="n">
        <x:v>0</x:v>
      </x:c>
      <x:c r="P124" s="24" t="str"/>
      <x:c r="Q124" s="24" t="str"/>
      <x:c r="R124" s="24" t="str"/>
      <x:c r="S124" s="24" t="str">
        <x:f>IF(Q124="","계약연령 미입력",IFERROR(IF(R124="","보험연령 미입력",IF(VALUE(R124)=VALUE(Q124),"정상",IF(VALUE(R124)&gt;VALUE(Q124),"보장 불일치","과보장 점검"))),"계약연령 형식확인"))</x:f>
        <x:v>계약연령 미입력</x:v>
      </x:c>
      <x:c r="T124" s="30" t="n">
        <x:v>45881</x:v>
      </x:c>
      <x:c r="U124" s="24" t="str">
        <x:f>IF(T124="","보험 자료 없음",IF(T124&lt;TODAY(),"만기 자료 갱신 필요","정상"))</x:f>
        <x:v>만기 자료 갱신 필요</x:v>
      </x:c>
      <x:c r="V124" s="24" t="str">
        <x:v>010-5588-7085</x:v>
      </x:c>
      <x:c r="W124" s="24" t="str"/>
      <x:c r="X124" s="24" t="str">
        <x:v>있음</x:v>
      </x:c>
      <x:c r="Y124" s="24" t="str">
        <x:v>상태 시작일 입력</x:v>
      </x:c>
      <x:c r="Z124" s="24" t="str"/>
      <x:c r="AA124" s="24" t="str">
        <x:v>보유 기준 확인</x:v>
      </x:c>
    </x:row>
    <x:row r="125" ht="17.25" customHeight="1">
      <x:c r="A125" s="24" t="str">
        <x:v>프라임구독</x:v>
      </x:c>
      <x:c r="B125" s="24" t="str">
        <x:v>103너3604</x:v>
      </x:c>
      <x:c r="C125" s="24" t="str">
        <x:v>현재보유</x:v>
      </x:c>
      <x:c r="D125" s="24" t="str">
        <x:v>쉬는차</x:v>
      </x:c>
      <x:c r="E125" s="30"/>
      <x:c r="F125" s="31" t="str">
        <x:f>IF(AND(D125="쉬는차",E125&lt;&gt;""),TODAY()-E125,"")</x:f>
      </x:c>
      <x:c r="G125" s="24" t="str"/>
      <x:c r="H125" s="24" t="str"/>
      <x:c r="I125" s="30"/>
      <x:c r="J125" s="30"/>
      <x:c r="K125" s="24" t="str"/>
      <x:c r="L125" s="32"/>
      <x:c r="M125" s="31" t="n">
        <x:v>0</x:v>
      </x:c>
      <x:c r="N125" s="32" t="n">
        <x:v>0</x:v>
      </x:c>
      <x:c r="O125" s="31" t="n">
        <x:v>0</x:v>
      </x:c>
      <x:c r="P125" s="24" t="str"/>
      <x:c r="Q125" s="24" t="str"/>
      <x:c r="R125" s="24" t="str"/>
      <x:c r="S125" s="24" t="str">
        <x:f>IF(Q125="","계약연령 미입력",IFERROR(IF(R125="","보험연령 미입력",IF(VALUE(R125)=VALUE(Q125),"정상",IF(VALUE(R125)&gt;VALUE(Q125),"보장 불일치","과보장 점검"))),"계약연령 형식확인"))</x:f>
        <x:v>계약연령 미입력</x:v>
      </x:c>
      <x:c r="T125" s="30" t="n">
        <x:v>46003</x:v>
      </x:c>
      <x:c r="U125" s="24" t="str">
        <x:f>IF(T125="","보험 자료 없음",IF(T125&lt;TODAY(),"만기 자료 갱신 필요","정상"))</x:f>
        <x:v>만기 자료 갱신 필요</x:v>
      </x:c>
      <x:c r="V125" s="24" t="str">
        <x:v>010-8787-9694</x:v>
      </x:c>
      <x:c r="W125" s="24" t="str"/>
      <x:c r="X125" s="24" t="str">
        <x:v>있음</x:v>
      </x:c>
      <x:c r="Y125" s="24" t="str">
        <x:v>상태 시작일 입력</x:v>
      </x:c>
      <x:c r="Z125" s="24" t="str"/>
      <x:c r="AA125" s="24" t="str">
        <x:v>보유 기준 확인</x:v>
      </x:c>
    </x:row>
    <x:row r="126" ht="17.25" customHeight="1">
      <x:c r="A126" s="24" t="str">
        <x:v>프라임구독</x:v>
      </x:c>
      <x:c r="B126" s="24" t="str">
        <x:v>107고5687</x:v>
      </x:c>
      <x:c r="C126" s="24" t="str">
        <x:v>현재보유</x:v>
      </x:c>
      <x:c r="D126" s="24" t="str">
        <x:v>쉬는차</x:v>
      </x:c>
      <x:c r="E126" s="30"/>
      <x:c r="F126" s="31" t="str">
        <x:f>IF(AND(D126="쉬는차",E126&lt;&gt;""),TODAY()-E126,"")</x:f>
      </x:c>
      <x:c r="G126" s="24" t="str"/>
      <x:c r="H126" s="24" t="str"/>
      <x:c r="I126" s="30"/>
      <x:c r="J126" s="30"/>
      <x:c r="K126" s="24" t="str"/>
      <x:c r="L126" s="32"/>
      <x:c r="M126" s="31" t="n">
        <x:v>0</x:v>
      </x:c>
      <x:c r="N126" s="32" t="n">
        <x:v>0</x:v>
      </x:c>
      <x:c r="O126" s="31" t="n">
        <x:v>0</x:v>
      </x:c>
      <x:c r="P126" s="24" t="str"/>
      <x:c r="Q126" s="24" t="str"/>
      <x:c r="R126" s="24" t="str"/>
      <x:c r="S126" s="24" t="str">
        <x:f>IF(Q126="","계약연령 미입력",IFERROR(IF(R126="","보험연령 미입력",IF(VALUE(R126)=VALUE(Q126),"정상",IF(VALUE(R126)&gt;VALUE(Q126),"보장 불일치","과보장 점검"))),"계약연령 형식확인"))</x:f>
        <x:v>계약연령 미입력</x:v>
      </x:c>
      <x:c r="T126" s="30" t="n">
        <x:v>45790</x:v>
      </x:c>
      <x:c r="U126" s="24" t="str">
        <x:f>IF(T126="","보험 자료 없음",IF(T126&lt;TODAY(),"만기 자료 갱신 필요","정상"))</x:f>
        <x:v>만기 자료 갱신 필요</x:v>
      </x:c>
      <x:c r="V126" s="24" t="str">
        <x:v>010-6629-0405</x:v>
      </x:c>
      <x:c r="W126" s="24" t="str"/>
      <x:c r="X126" s="24" t="str">
        <x:v>있음</x:v>
      </x:c>
      <x:c r="Y126" s="24" t="str">
        <x:v>상태 시작일 입력</x:v>
      </x:c>
      <x:c r="Z126" s="24" t="str"/>
      <x:c r="AA126" s="24" t="str">
        <x:v>보유 기준 확인</x:v>
      </x:c>
    </x:row>
    <x:row r="127" ht="17.25" customHeight="1">
      <x:c r="A127" s="24" t="str">
        <x:v>프라임구독</x:v>
      </x:c>
      <x:c r="B127" s="24" t="str">
        <x:v>107보9912</x:v>
      </x:c>
      <x:c r="C127" s="24" t="str">
        <x:v>현재보유</x:v>
      </x:c>
      <x:c r="D127" s="24" t="str">
        <x:v>쉬는차</x:v>
      </x:c>
      <x:c r="E127" s="30"/>
      <x:c r="F127" s="31" t="str">
        <x:f>IF(AND(D127="쉬는차",E127&lt;&gt;""),TODAY()-E127,"")</x:f>
      </x:c>
      <x:c r="G127" s="24" t="str"/>
      <x:c r="H127" s="24" t="str"/>
      <x:c r="I127" s="30"/>
      <x:c r="J127" s="30"/>
      <x:c r="K127" s="24" t="str"/>
      <x:c r="L127" s="32"/>
      <x:c r="M127" s="31" t="n">
        <x:v>0</x:v>
      </x:c>
      <x:c r="N127" s="32" t="n">
        <x:v>0</x:v>
      </x:c>
      <x:c r="O127" s="31" t="n">
        <x:v>0</x:v>
      </x:c>
      <x:c r="P127" s="24" t="str"/>
      <x:c r="Q127" s="24" t="str"/>
      <x:c r="R127" s="24" t="str"/>
      <x:c r="S127" s="24" t="str">
        <x:f>IF(Q127="","계약연령 미입력",IFERROR(IF(R127="","보험연령 미입력",IF(VALUE(R127)=VALUE(Q127),"정상",IF(VALUE(R127)&gt;VALUE(Q127),"보장 불일치","과보장 점검"))),"계약연령 형식확인"))</x:f>
        <x:v>계약연령 미입력</x:v>
      </x:c>
      <x:c r="T127" s="30" t="n">
        <x:v>45657</x:v>
      </x:c>
      <x:c r="U127" s="24" t="str">
        <x:f>IF(T127="","보험 자료 없음",IF(T127&lt;TODAY(),"만기 자료 갱신 필요","정상"))</x:f>
        <x:v>만기 자료 갱신 필요</x:v>
      </x:c>
      <x:c r="V127" s="24" t="str">
        <x:v>010-9221-9924</x:v>
      </x:c>
      <x:c r="W127" s="24" t="str"/>
      <x:c r="X127" s="24" t="str">
        <x:v>있음</x:v>
      </x:c>
      <x:c r="Y127" s="24" t="str">
        <x:v>상태 시작일 입력</x:v>
      </x:c>
      <x:c r="Z127" s="24" t="str"/>
      <x:c r="AA127" s="24" t="str">
        <x:v>보유 기준 확인</x:v>
      </x:c>
    </x:row>
    <x:row r="128" ht="17.25" customHeight="1">
      <x:c r="A128" s="24" t="str">
        <x:v>프라임구독</x:v>
      </x:c>
      <x:c r="B128" s="24" t="str">
        <x:v>10고0707</x:v>
      </x:c>
      <x:c r="C128" s="24" t="str">
        <x:v>현재보유</x:v>
      </x:c>
      <x:c r="D128" s="24" t="str">
        <x:v>쉬는차</x:v>
      </x:c>
      <x:c r="E128" s="30"/>
      <x:c r="F128" s="31" t="str">
        <x:f>IF(AND(D128="쉬는차",E128&lt;&gt;""),TODAY()-E128,"")</x:f>
      </x:c>
      <x:c r="G128" s="24" t="str"/>
      <x:c r="H128" s="24" t="str"/>
      <x:c r="I128" s="30"/>
      <x:c r="J128" s="30"/>
      <x:c r="K128" s="24" t="str"/>
      <x:c r="L128" s="32"/>
      <x:c r="M128" s="31" t="n">
        <x:v>0</x:v>
      </x:c>
      <x:c r="N128" s="32" t="n">
        <x:v>0</x:v>
      </x:c>
      <x:c r="O128" s="31" t="n">
        <x:v>0</x:v>
      </x:c>
      <x:c r="P128" s="24" t="str"/>
      <x:c r="Q128" s="24" t="str"/>
      <x:c r="R128" s="24" t="str"/>
      <x:c r="S128" s="24" t="str">
        <x:f>IF(Q128="","계약연령 미입력",IFERROR(IF(R128="","보험연령 미입력",IF(VALUE(R128)=VALUE(Q128),"정상",IF(VALUE(R128)&gt;VALUE(Q128),"보장 불일치","과보장 점검"))),"계약연령 형식확인"))</x:f>
        <x:v>계약연령 미입력</x:v>
      </x:c>
      <x:c r="T128" s="30" t="n">
        <x:v>45745</x:v>
      </x:c>
      <x:c r="U128" s="24" t="str">
        <x:f>IF(T128="","보험 자료 없음",IF(T128&lt;TODAY(),"만기 자료 갱신 필요","정상"))</x:f>
        <x:v>만기 자료 갱신 필요</x:v>
      </x:c>
      <x:c r="V128" s="24" t="str">
        <x:v>010-7571-4696</x:v>
      </x:c>
      <x:c r="W128" s="24" t="str"/>
      <x:c r="X128" s="24" t="str">
        <x:v>있음</x:v>
      </x:c>
      <x:c r="Y128" s="24" t="str">
        <x:v>상태 시작일 입력</x:v>
      </x:c>
      <x:c r="Z128" s="24" t="str"/>
      <x:c r="AA128" s="24" t="str">
        <x:v>보유 기준 확인</x:v>
      </x:c>
    </x:row>
    <x:row r="129" ht="17.25" customHeight="1">
      <x:c r="A129" s="24" t="str">
        <x:v>프라임구독</x:v>
      </x:c>
      <x:c r="B129" s="24" t="str">
        <x:v>10루8404</x:v>
      </x:c>
      <x:c r="C129" s="24" t="str">
        <x:v>현재보유</x:v>
      </x:c>
      <x:c r="D129" s="24" t="str">
        <x:v>쉬는차</x:v>
      </x:c>
      <x:c r="E129" s="30"/>
      <x:c r="F129" s="31" t="str">
        <x:f>IF(AND(D129="쉬는차",E129&lt;&gt;""),TODAY()-E129,"")</x:f>
      </x:c>
      <x:c r="G129" s="24" t="str"/>
      <x:c r="H129" s="24" t="str"/>
      <x:c r="I129" s="30"/>
      <x:c r="J129" s="30"/>
      <x:c r="K129" s="24" t="str"/>
      <x:c r="L129" s="32"/>
      <x:c r="M129" s="31" t="n">
        <x:v>0</x:v>
      </x:c>
      <x:c r="N129" s="32" t="n">
        <x:v>0</x:v>
      </x:c>
      <x:c r="O129" s="31" t="n">
        <x:v>0</x:v>
      </x:c>
      <x:c r="P129" s="24" t="str"/>
      <x:c r="Q129" s="24" t="str"/>
      <x:c r="R129" s="24" t="str"/>
      <x:c r="S129" s="24" t="str">
        <x:f>IF(Q129="","계약연령 미입력",IFERROR(IF(R129="","보험연령 미입력",IF(VALUE(R129)=VALUE(Q129),"정상",IF(VALUE(R129)&gt;VALUE(Q129),"보장 불일치","과보장 점검"))),"계약연령 형식확인"))</x:f>
        <x:v>계약연령 미입력</x:v>
      </x:c>
      <x:c r="T129" s="30" t="n">
        <x:v>45697</x:v>
      </x:c>
      <x:c r="U129" s="24" t="str">
        <x:f>IF(T129="","보험 자료 없음",IF(T129&lt;TODAY(),"만기 자료 갱신 필요","정상"))</x:f>
        <x:v>만기 자료 갱신 필요</x:v>
      </x:c>
      <x:c r="V129" s="24" t="str">
        <x:v>010-5736-5818</x:v>
      </x:c>
      <x:c r="W129" s="24" t="str"/>
      <x:c r="X129" s="24" t="str">
        <x:v>있음</x:v>
      </x:c>
      <x:c r="Y129" s="24" t="str">
        <x:v>상태 시작일 입력</x:v>
      </x:c>
      <x:c r="Z129" s="24" t="str"/>
      <x:c r="AA129" s="24" t="str">
        <x:v>보유 기준 확인</x:v>
      </x:c>
    </x:row>
    <x:row r="130" ht="17.25" customHeight="1">
      <x:c r="A130" s="24" t="str">
        <x:v>프라임구독</x:v>
      </x:c>
      <x:c r="B130" s="24" t="str">
        <x:v>10버7680</x:v>
      </x:c>
      <x:c r="C130" s="24" t="str">
        <x:v>현재보유</x:v>
      </x:c>
      <x:c r="D130" s="24" t="str">
        <x:v>쉬는차</x:v>
      </x:c>
      <x:c r="E130" s="30"/>
      <x:c r="F130" s="31" t="str">
        <x:f>IF(AND(D130="쉬는차",E130&lt;&gt;""),TODAY()-E130,"")</x:f>
      </x:c>
      <x:c r="G130" s="24" t="str"/>
      <x:c r="H130" s="24" t="str"/>
      <x:c r="I130" s="30"/>
      <x:c r="J130" s="30"/>
      <x:c r="K130" s="24" t="str"/>
      <x:c r="L130" s="32"/>
      <x:c r="M130" s="31" t="n">
        <x:v>0</x:v>
      </x:c>
      <x:c r="N130" s="32" t="n">
        <x:v>0</x:v>
      </x:c>
      <x:c r="O130" s="31" t="n">
        <x:v>0</x:v>
      </x:c>
      <x:c r="P130" s="24" t="str"/>
      <x:c r="Q130" s="24" t="str"/>
      <x:c r="R130" s="24" t="str"/>
      <x:c r="S130" s="24" t="str">
        <x:f>IF(Q130="","계약연령 미입력",IFERROR(IF(R130="","보험연령 미입력",IF(VALUE(R130)=VALUE(Q130),"정상",IF(VALUE(R130)&gt;VALUE(Q130),"보장 불일치","과보장 점검"))),"계약연령 형식확인"))</x:f>
        <x:v>계약연령 미입력</x:v>
      </x:c>
      <x:c r="T130" s="30" t="n">
        <x:v>45824</x:v>
      </x:c>
      <x:c r="U130" s="24" t="str">
        <x:f>IF(T130="","보험 자료 없음",IF(T130&lt;TODAY(),"만기 자료 갱신 필요","정상"))</x:f>
        <x:v>만기 자료 갱신 필요</x:v>
      </x:c>
      <x:c r="V130" s="24" t="str">
        <x:v>010-7469-0222</x:v>
      </x:c>
      <x:c r="W130" s="24" t="str"/>
      <x:c r="X130" s="24" t="str">
        <x:v>있음</x:v>
      </x:c>
      <x:c r="Y130" s="24" t="str">
        <x:v>상태 시작일 입력</x:v>
      </x:c>
      <x:c r="Z130" s="24" t="str"/>
      <x:c r="AA130" s="24" t="str">
        <x:v>보유 기준 확인</x:v>
      </x:c>
    </x:row>
    <x:row r="131" ht="17.25" customHeight="1">
      <x:c r="A131" s="24" t="str">
        <x:v>프라임구독</x:v>
      </x:c>
      <x:c r="B131" s="24" t="str">
        <x:v>110오3731</x:v>
      </x:c>
      <x:c r="C131" s="24" t="str">
        <x:v>현재보유</x:v>
      </x:c>
      <x:c r="D131" s="24" t="str">
        <x:v>쉬는차</x:v>
      </x:c>
      <x:c r="E131" s="30"/>
      <x:c r="F131" s="31" t="str">
        <x:f>IF(AND(D131="쉬는차",E131&lt;&gt;""),TODAY()-E131,"")</x:f>
      </x:c>
      <x:c r="G131" s="24" t="str"/>
      <x:c r="H131" s="24" t="str"/>
      <x:c r="I131" s="30"/>
      <x:c r="J131" s="30"/>
      <x:c r="K131" s="24" t="str"/>
      <x:c r="L131" s="32"/>
      <x:c r="M131" s="31" t="n">
        <x:v>0</x:v>
      </x:c>
      <x:c r="N131" s="32" t="n">
        <x:v>0</x:v>
      </x:c>
      <x:c r="O131" s="31" t="n">
        <x:v>0</x:v>
      </x:c>
      <x:c r="P131" s="24" t="str"/>
      <x:c r="Q131" s="24" t="str"/>
      <x:c r="R131" s="24" t="str"/>
      <x:c r="S131" s="24" t="str">
        <x:f>IF(Q131="","계약연령 미입력",IFERROR(IF(R131="","보험연령 미입력",IF(VALUE(R131)=VALUE(Q131),"정상",IF(VALUE(R131)&gt;VALUE(Q131),"보장 불일치","과보장 점검"))),"계약연령 형식확인"))</x:f>
        <x:v>계약연령 미입력</x:v>
      </x:c>
      <x:c r="T131" s="30" t="n">
        <x:v>45849</x:v>
      </x:c>
      <x:c r="U131" s="24" t="str">
        <x:f>IF(T131="","보험 자료 없음",IF(T131&lt;TODAY(),"만기 자료 갱신 필요","정상"))</x:f>
        <x:v>만기 자료 갱신 필요</x:v>
      </x:c>
      <x:c r="V131" s="24" t="str">
        <x:v>010-5822-6103</x:v>
      </x:c>
      <x:c r="W131" s="24" t="str"/>
      <x:c r="X131" s="24" t="str">
        <x:v>있음</x:v>
      </x:c>
      <x:c r="Y131" s="24" t="str">
        <x:v>상태 시작일 입력</x:v>
      </x:c>
      <x:c r="Z131" s="24" t="str"/>
      <x:c r="AA131" s="24" t="str">
        <x:v>보유 기준 확인</x:v>
      </x:c>
    </x:row>
    <x:row r="132" ht="17.25" customHeight="1">
      <x:c r="A132" s="24" t="str">
        <x:v>프라임구독</x:v>
      </x:c>
      <x:c r="B132" s="24" t="str">
        <x:v>110오3787</x:v>
      </x:c>
      <x:c r="C132" s="24" t="str">
        <x:v>현재보유</x:v>
      </x:c>
      <x:c r="D132" s="24" t="str">
        <x:v>쉬는차</x:v>
      </x:c>
      <x:c r="E132" s="30"/>
      <x:c r="F132" s="31" t="str">
        <x:f>IF(AND(D132="쉬는차",E132&lt;&gt;""),TODAY()-E132,"")</x:f>
      </x:c>
      <x:c r="G132" s="24" t="str"/>
      <x:c r="H132" s="24" t="str"/>
      <x:c r="I132" s="30"/>
      <x:c r="J132" s="30"/>
      <x:c r="K132" s="24" t="str"/>
      <x:c r="L132" s="32"/>
      <x:c r="M132" s="31" t="n">
        <x:v>0</x:v>
      </x:c>
      <x:c r="N132" s="32" t="n">
        <x:v>0</x:v>
      </x:c>
      <x:c r="O132" s="31" t="n">
        <x:v>0</x:v>
      </x:c>
      <x:c r="P132" s="24" t="str"/>
      <x:c r="Q132" s="24" t="str"/>
      <x:c r="R132" s="24" t="str"/>
      <x:c r="S132" s="24" t="str">
        <x:f>IF(Q132="","계약연령 미입력",IFERROR(IF(R132="","보험연령 미입력",IF(VALUE(R132)=VALUE(Q132),"정상",IF(VALUE(R132)&gt;VALUE(Q132),"보장 불일치","과보장 점검"))),"계약연령 형식확인"))</x:f>
        <x:v>계약연령 미입력</x:v>
      </x:c>
      <x:c r="T132" s="30" t="n">
        <x:v>45682</x:v>
      </x:c>
      <x:c r="U132" s="24" t="str">
        <x:f>IF(T132="","보험 자료 없음",IF(T132&lt;TODAY(),"만기 자료 갱신 필요","정상"))</x:f>
        <x:v>만기 자료 갱신 필요</x:v>
      </x:c>
      <x:c r="V132" s="24" t="str">
        <x:v>010-2441-9441</x:v>
      </x:c>
      <x:c r="W132" s="24" t="str"/>
      <x:c r="X132" s="24" t="str">
        <x:v>있음</x:v>
      </x:c>
      <x:c r="Y132" s="24" t="str">
        <x:v>상태 시작일 입력</x:v>
      </x:c>
      <x:c r="Z132" s="24" t="str"/>
      <x:c r="AA132" s="24" t="str">
        <x:v>보유 기준 확인</x:v>
      </x:c>
    </x:row>
    <x:row r="133" ht="17.25" customHeight="1">
      <x:c r="A133" s="24" t="str">
        <x:v>프라임구독</x:v>
      </x:c>
      <x:c r="B133" s="24" t="str">
        <x:v>111로8548</x:v>
      </x:c>
      <x:c r="C133" s="24" t="str">
        <x:v>현재보유</x:v>
      </x:c>
      <x:c r="D133" s="24" t="str">
        <x:v>쉬는차</x:v>
      </x:c>
      <x:c r="E133" s="30"/>
      <x:c r="F133" s="31" t="str">
        <x:f>IF(AND(D133="쉬는차",E133&lt;&gt;""),TODAY()-E133,"")</x:f>
      </x:c>
      <x:c r="G133" s="24" t="str"/>
      <x:c r="H133" s="24" t="str"/>
      <x:c r="I133" s="30"/>
      <x:c r="J133" s="30"/>
      <x:c r="K133" s="24" t="str"/>
      <x:c r="L133" s="32"/>
      <x:c r="M133" s="31" t="n">
        <x:v>0</x:v>
      </x:c>
      <x:c r="N133" s="32" t="n">
        <x:v>0</x:v>
      </x:c>
      <x:c r="O133" s="31" t="n">
        <x:v>0</x:v>
      </x:c>
      <x:c r="P133" s="24" t="str"/>
      <x:c r="Q133" s="24" t="str"/>
      <x:c r="R133" s="24" t="str"/>
      <x:c r="S133" s="24" t="str">
        <x:f>IF(Q133="","계약연령 미입력",IFERROR(IF(R133="","보험연령 미입력",IF(VALUE(R133)=VALUE(Q133),"정상",IF(VALUE(R133)&gt;VALUE(Q133),"보장 불일치","과보장 점검"))),"계약연령 형식확인"))</x:f>
        <x:v>계약연령 미입력</x:v>
      </x:c>
      <x:c r="T133" s="30" t="n">
        <x:v>45947</x:v>
      </x:c>
      <x:c r="U133" s="24" t="str">
        <x:f>IF(T133="","보험 자료 없음",IF(T133&lt;TODAY(),"만기 자료 갱신 필요","정상"))</x:f>
        <x:v>만기 자료 갱신 필요</x:v>
      </x:c>
      <x:c r="V133" s="24" t="str">
        <x:v>010-3829-8464</x:v>
      </x:c>
      <x:c r="W133" s="24" t="str"/>
      <x:c r="X133" s="24" t="str">
        <x:v>있음</x:v>
      </x:c>
      <x:c r="Y133" s="24" t="str">
        <x:v>상태 시작일 입력</x:v>
      </x:c>
      <x:c r="Z133" s="24" t="str"/>
      <x:c r="AA133" s="24" t="str">
        <x:v>보유 기준 확인</x:v>
      </x:c>
    </x:row>
    <x:row r="134" ht="17.25" customHeight="1">
      <x:c r="A134" s="24" t="str">
        <x:v>프라임구독</x:v>
      </x:c>
      <x:c r="B134" s="24" t="str">
        <x:v>112가8342</x:v>
      </x:c>
      <x:c r="C134" s="24" t="str">
        <x:v>현재보유</x:v>
      </x:c>
      <x:c r="D134" s="24" t="str">
        <x:v>쉬는차</x:v>
      </x:c>
      <x:c r="E134" s="30"/>
      <x:c r="F134" s="31" t="str">
        <x:f>IF(AND(D134="쉬는차",E134&lt;&gt;""),TODAY()-E134,"")</x:f>
      </x:c>
      <x:c r="G134" s="24" t="str"/>
      <x:c r="H134" s="24" t="str"/>
      <x:c r="I134" s="30"/>
      <x:c r="J134" s="30"/>
      <x:c r="K134" s="24" t="str"/>
      <x:c r="L134" s="32"/>
      <x:c r="M134" s="31" t="n">
        <x:v>0</x:v>
      </x:c>
      <x:c r="N134" s="32" t="n">
        <x:v>0</x:v>
      </x:c>
      <x:c r="O134" s="31" t="n">
        <x:v>0</x:v>
      </x:c>
      <x:c r="P134" s="24" t="str"/>
      <x:c r="Q134" s="24" t="str"/>
      <x:c r="R134" s="24" t="str"/>
      <x:c r="S134" s="24" t="str">
        <x:f>IF(Q134="","계약연령 미입력",IFERROR(IF(R134="","보험연령 미입력",IF(VALUE(R134)=VALUE(Q134),"정상",IF(VALUE(R134)&gt;VALUE(Q134),"보장 불일치","과보장 점검"))),"계약연령 형식확인"))</x:f>
        <x:v>계약연령 미입력</x:v>
      </x:c>
      <x:c r="T134" s="30" t="n">
        <x:v>45800</x:v>
      </x:c>
      <x:c r="U134" s="24" t="str">
        <x:f>IF(T134="","보험 자료 없음",IF(T134&lt;TODAY(),"만기 자료 갱신 필요","정상"))</x:f>
        <x:v>만기 자료 갱신 필요</x:v>
      </x:c>
      <x:c r="V134" s="24" t="str">
        <x:v>010-2087-1418</x:v>
      </x:c>
      <x:c r="W134" s="24" t="str"/>
      <x:c r="X134" s="24" t="str">
        <x:v>있음</x:v>
      </x:c>
      <x:c r="Y134" s="24" t="str">
        <x:v>상태 시작일 입력</x:v>
      </x:c>
      <x:c r="Z134" s="24" t="str"/>
      <x:c r="AA134" s="24" t="str">
        <x:v>보유 기준 확인</x:v>
      </x:c>
    </x:row>
    <x:row r="135" ht="17.25" customHeight="1">
      <x:c r="A135" s="24" t="str">
        <x:v>프라임구독</x:v>
      </x:c>
      <x:c r="B135" s="24" t="str">
        <x:v>112수8932</x:v>
      </x:c>
      <x:c r="C135" s="24" t="str">
        <x:v>현재보유</x:v>
      </x:c>
      <x:c r="D135" s="24" t="str">
        <x:v>쉬는차</x:v>
      </x:c>
      <x:c r="E135" s="30"/>
      <x:c r="F135" s="31" t="str">
        <x:f>IF(AND(D135="쉬는차",E135&lt;&gt;""),TODAY()-E135,"")</x:f>
      </x:c>
      <x:c r="G135" s="24" t="str"/>
      <x:c r="H135" s="24" t="str"/>
      <x:c r="I135" s="30"/>
      <x:c r="J135" s="30"/>
      <x:c r="K135" s="24" t="str"/>
      <x:c r="L135" s="32"/>
      <x:c r="M135" s="31" t="n">
        <x:v>0</x:v>
      </x:c>
      <x:c r="N135" s="32" t="n">
        <x:v>0</x:v>
      </x:c>
      <x:c r="O135" s="31" t="n">
        <x:v>0</x:v>
      </x:c>
      <x:c r="P135" s="24" t="str"/>
      <x:c r="Q135" s="24" t="str"/>
      <x:c r="R135" s="24" t="str"/>
      <x:c r="S135" s="24" t="str">
        <x:f>IF(Q135="","계약연령 미입력",IFERROR(IF(R135="","보험연령 미입력",IF(VALUE(R135)=VALUE(Q135),"정상",IF(VALUE(R135)&gt;VALUE(Q135),"보장 불일치","과보장 점검"))),"계약연령 형식확인"))</x:f>
        <x:v>계약연령 미입력</x:v>
      </x:c>
      <x:c r="T135" s="30" t="n">
        <x:v>45500</x:v>
      </x:c>
      <x:c r="U135" s="24" t="str">
        <x:f>IF(T135="","보험 자료 없음",IF(T135&lt;TODAY(),"만기 자료 갱신 필요","정상"))</x:f>
        <x:v>만기 자료 갱신 필요</x:v>
      </x:c>
      <x:c r="V135" s="24" t="str">
        <x:v>010-5632-7853</x:v>
      </x:c>
      <x:c r="W135" s="24" t="str"/>
      <x:c r="X135" s="24" t="str">
        <x:v>있음</x:v>
      </x:c>
      <x:c r="Y135" s="24" t="str">
        <x:v>상태 시작일 입력</x:v>
      </x:c>
      <x:c r="Z135" s="24" t="str"/>
      <x:c r="AA135" s="24" t="str">
        <x:v>보유 기준 확인</x:v>
      </x:c>
    </x:row>
    <x:row r="136" ht="17.25" customHeight="1">
      <x:c r="A136" s="24" t="str">
        <x:v>프라임구독</x:v>
      </x:c>
      <x:c r="B136" s="24" t="str">
        <x:v>113더8112</x:v>
      </x:c>
      <x:c r="C136" s="24" t="str">
        <x:v>현재보유</x:v>
      </x:c>
      <x:c r="D136" s="24" t="str">
        <x:v>대여중</x:v>
      </x:c>
      <x:c r="E136" s="30"/>
      <x:c r="F136" s="31" t="str">
        <x:f>IF(AND(D136="쉬는차",E136&lt;&gt;""),TODAY()-E136,"")</x:f>
      </x:c>
      <x:c r="G136" s="24" t="str">
        <x:v>곽현중</x:v>
      </x:c>
      <x:c r="H136" s="24" t="str">
        <x:v>PR-C-113더8112-1-20230817-27</x:v>
      </x:c>
      <x:c r="I136" s="30" t="n">
        <x:v>45155</x:v>
      </x:c>
      <x:c r="J136" s="30" t="n">
        <x:v>46624</x:v>
      </x:c>
      <x:c r="K136" s="24" t="str">
        <x:v>25</x:v>
      </x:c>
      <x:c r="L136" s="32" t="n">
        <x:v>781000</x:v>
      </x:c>
      <x:c r="M136" s="31" t="n">
        <x:v>20</x:v>
      </x:c>
      <x:c r="N136" s="32" t="n">
        <x:v>12496000</x:v>
      </x:c>
      <x:c r="O136" s="31" t="n">
        <x:v>567</x:v>
      </x:c>
      <x:c r="P136" s="24" t="str">
        <x:v>회수 판단</x:v>
      </x:c>
      <x:c r="Q136" s="24" t="str"/>
      <x:c r="R136" s="24" t="str"/>
      <x:c r="S136" s="24" t="str">
        <x:f>IF(Q136="","계약연령 미입력",IFERROR(IF(R136="","보험연령 미입력",IF(VALUE(R136)=VALUE(Q136),"정상",IF(VALUE(R136)&gt;VALUE(Q136),"보장 불일치","과보장 점검"))),"계약연령 형식확인"))</x:f>
        <x:v>계약연령 미입력</x:v>
      </x:c>
      <x:c r="T136" s="30" t="n">
        <x:v>45886</x:v>
      </x:c>
      <x:c r="U136" s="24" t="str">
        <x:f>IF(T136="","보험 자료 없음",IF(T136&lt;TODAY(),"만기 자료 갱신 필요","정상"))</x:f>
        <x:v>만기 자료 갱신 필요</x:v>
      </x:c>
      <x:c r="V136" s="24" t="str">
        <x:v>010-7138-3400</x:v>
      </x:c>
      <x:c r="W136" s="24" t="str"/>
      <x:c r="X136" s="24" t="str">
        <x:v>있음</x:v>
      </x:c>
      <x:c r="Y136" s="24" t="str">
        <x:v>회수 검토</x:v>
      </x:c>
      <x:c r="Z136" s="24" t="str"/>
      <x:c r="AA136" s="24" t="str">
        <x:v>보유 기준 확인</x:v>
      </x:c>
    </x:row>
    <x:row r="137" ht="17.25" customHeight="1">
      <x:c r="A137" s="24" t="str">
        <x:v>프라임구독</x:v>
      </x:c>
      <x:c r="B137" s="24" t="str">
        <x:v>114루8423</x:v>
      </x:c>
      <x:c r="C137" s="24" t="str">
        <x:v>현재보유</x:v>
      </x:c>
      <x:c r="D137" s="24" t="str">
        <x:v>쉬는차</x:v>
      </x:c>
      <x:c r="E137" s="30"/>
      <x:c r="F137" s="31" t="str">
        <x:f>IF(AND(D137="쉬는차",E137&lt;&gt;""),TODAY()-E137,"")</x:f>
      </x:c>
      <x:c r="G137" s="24" t="str"/>
      <x:c r="H137" s="24" t="str"/>
      <x:c r="I137" s="30"/>
      <x:c r="J137" s="30"/>
      <x:c r="K137" s="24" t="str"/>
      <x:c r="L137" s="32"/>
      <x:c r="M137" s="31" t="n">
        <x:v>0</x:v>
      </x:c>
      <x:c r="N137" s="32" t="n">
        <x:v>0</x:v>
      </x:c>
      <x:c r="O137" s="31" t="n">
        <x:v>0</x:v>
      </x:c>
      <x:c r="P137" s="24" t="str"/>
      <x:c r="Q137" s="24" t="str"/>
      <x:c r="R137" s="24" t="str"/>
      <x:c r="S137" s="24" t="str">
        <x:f>IF(Q137="","계약연령 미입력",IFERROR(IF(R137="","보험연령 미입력",IF(VALUE(R137)=VALUE(Q137),"정상",IF(VALUE(R137)&gt;VALUE(Q137),"보장 불일치","과보장 점검"))),"계약연령 형식확인"))</x:f>
        <x:v>계약연령 미입력</x:v>
      </x:c>
      <x:c r="T137" s="30" t="n">
        <x:v>45597</x:v>
      </x:c>
      <x:c r="U137" s="24" t="str">
        <x:f>IF(T137="","보험 자료 없음",IF(T137&lt;TODAY(),"만기 자료 갱신 필요","정상"))</x:f>
        <x:v>만기 자료 갱신 필요</x:v>
      </x:c>
      <x:c r="V137" s="24" t="str">
        <x:v>010-8454-1868</x:v>
      </x:c>
      <x:c r="W137" s="24" t="str"/>
      <x:c r="X137" s="24" t="str">
        <x:v>있음</x:v>
      </x:c>
      <x:c r="Y137" s="24" t="str">
        <x:v>상태 시작일 입력</x:v>
      </x:c>
      <x:c r="Z137" s="24" t="str"/>
      <x:c r="AA137" s="24" t="str">
        <x:v>보유 기준 확인</x:v>
      </x:c>
    </x:row>
    <x:row r="138" ht="17.25" customHeight="1">
      <x:c r="A138" s="24" t="str">
        <x:v>프라임구독</x:v>
      </x:c>
      <x:c r="B138" s="24" t="str">
        <x:v>119두7903</x:v>
      </x:c>
      <x:c r="C138" s="24" t="str">
        <x:v>현재보유</x:v>
      </x:c>
      <x:c r="D138" s="24" t="str">
        <x:v>대여중</x:v>
      </x:c>
      <x:c r="E138" s="30"/>
      <x:c r="F138" s="31" t="str">
        <x:f>IF(AND(D138="쉬는차",E138&lt;&gt;""),TODAY()-E138,"")</x:f>
      </x:c>
      <x:c r="G138" s="24" t="str">
        <x:v>이보영</x:v>
      </x:c>
      <x:c r="H138" s="24" t="str">
        <x:v>PR-C-119두7903-1-20230113-29</x:v>
      </x:c>
      <x:c r="I138" s="30" t="n">
        <x:v>44939</x:v>
      </x:c>
      <x:c r="J138" s="30" t="n">
        <x:v>46042</x:v>
      </x:c>
      <x:c r="K138" s="24" t="str">
        <x:v>20</x:v>
      </x:c>
      <x:c r="L138" s="32" t="n">
        <x:v>685000</x:v>
      </x:c>
      <x:c r="M138" s="31" t="n">
        <x:v>20</x:v>
      </x:c>
      <x:c r="N138" s="32" t="n">
        <x:v>2055000</x:v>
      </x:c>
      <x:c r="O138" s="31" t="n">
        <x:v>572</x:v>
      </x:c>
      <x:c r="P138" s="24" t="str">
        <x:v>회수 판단 · 만기 임박</x:v>
      </x:c>
      <x:c r="Q138" s="24" t="str"/>
      <x:c r="R138" s="24" t="str"/>
      <x:c r="S138" s="24" t="str">
        <x:f>IF(Q138="","계약연령 미입력",IFERROR(IF(R138="","보험연령 미입력",IF(VALUE(R138)=VALUE(Q138),"정상",IF(VALUE(R138)&gt;VALUE(Q138),"보장 불일치","과보장 점검"))),"계약연령 형식확인"))</x:f>
        <x:v>계약연령 미입력</x:v>
      </x:c>
      <x:c r="T138" s="30" t="n">
        <x:v>45821</x:v>
      </x:c>
      <x:c r="U138" s="24" t="str">
        <x:f>IF(T138="","보험 자료 없음",IF(T138&lt;TODAY(),"만기 자료 갱신 필요","정상"))</x:f>
        <x:v>만기 자료 갱신 필요</x:v>
      </x:c>
      <x:c r="V138" s="24" t="str">
        <x:v>010-9489-8929</x:v>
      </x:c>
      <x:c r="W138" s="24" t="str"/>
      <x:c r="X138" s="24" t="str">
        <x:v>있음</x:v>
      </x:c>
      <x:c r="Y138" s="24" t="str">
        <x:v>회수 검토</x:v>
      </x:c>
      <x:c r="Z138" s="24" t="str"/>
      <x:c r="AA138" s="24" t="str">
        <x:v>보유 기준 확인</x:v>
      </x:c>
    </x:row>
    <x:row r="139" ht="17.25" customHeight="1">
      <x:c r="A139" s="24" t="str">
        <x:v>프라임구독</x:v>
      </x:c>
      <x:c r="B139" s="24" t="str">
        <x:v>119라1440</x:v>
      </x:c>
      <x:c r="C139" s="24" t="str">
        <x:v>현재보유</x:v>
      </x:c>
      <x:c r="D139" s="24" t="str">
        <x:v>쉬는차</x:v>
      </x:c>
      <x:c r="E139" s="30"/>
      <x:c r="F139" s="31" t="str">
        <x:f>IF(AND(D139="쉬는차",E139&lt;&gt;""),TODAY()-E139,"")</x:f>
      </x:c>
      <x:c r="G139" s="24" t="str"/>
      <x:c r="H139" s="24" t="str"/>
      <x:c r="I139" s="30"/>
      <x:c r="J139" s="30"/>
      <x:c r="K139" s="24" t="str"/>
      <x:c r="L139" s="32"/>
      <x:c r="M139" s="31" t="n">
        <x:v>0</x:v>
      </x:c>
      <x:c r="N139" s="32" t="n">
        <x:v>0</x:v>
      </x:c>
      <x:c r="O139" s="31" t="n">
        <x:v>0</x:v>
      </x:c>
      <x:c r="P139" s="24" t="str"/>
      <x:c r="Q139" s="24" t="str"/>
      <x:c r="R139" s="24" t="str"/>
      <x:c r="S139" s="24" t="str">
        <x:f>IF(Q139="","계약연령 미입력",IFERROR(IF(R139="","보험연령 미입력",IF(VALUE(R139)=VALUE(Q139),"정상",IF(VALUE(R139)&gt;VALUE(Q139),"보장 불일치","과보장 점검"))),"계약연령 형식확인"))</x:f>
        <x:v>계약연령 미입력</x:v>
      </x:c>
      <x:c r="T139" s="30" t="n">
        <x:v>46076</x:v>
      </x:c>
      <x:c r="U139" s="24" t="str">
        <x:f>IF(T139="","보험 자료 없음",IF(T139&lt;TODAY(),"만기 자료 갱신 필요","정상"))</x:f>
        <x:v>만기 자료 갱신 필요</x:v>
      </x:c>
      <x:c r="V139" s="24" t="str">
        <x:v>010-8351-8591</x:v>
      </x:c>
      <x:c r="W139" s="24" t="str"/>
      <x:c r="X139" s="24" t="str">
        <x:v>있음</x:v>
      </x:c>
      <x:c r="Y139" s="24" t="str">
        <x:v>상태 시작일 입력</x:v>
      </x:c>
      <x:c r="Z139" s="24" t="str"/>
      <x:c r="AA139" s="24" t="str">
        <x:v>보유 기준 확인</x:v>
      </x:c>
    </x:row>
    <x:row r="140" ht="17.25" customHeight="1">
      <x:c r="A140" s="24" t="str">
        <x:v>프라임구독</x:v>
      </x:c>
      <x:c r="B140" s="24" t="str">
        <x:v>11구5844</x:v>
      </x:c>
      <x:c r="C140" s="24" t="str">
        <x:v>현재보유</x:v>
      </x:c>
      <x:c r="D140" s="24" t="str">
        <x:v>쉬는차</x:v>
      </x:c>
      <x:c r="E140" s="30"/>
      <x:c r="F140" s="31" t="str">
        <x:f>IF(AND(D140="쉬는차",E140&lt;&gt;""),TODAY()-E140,"")</x:f>
      </x:c>
      <x:c r="G140" s="24" t="str"/>
      <x:c r="H140" s="24" t="str"/>
      <x:c r="I140" s="30"/>
      <x:c r="J140" s="30"/>
      <x:c r="K140" s="24" t="str"/>
      <x:c r="L140" s="32"/>
      <x:c r="M140" s="31" t="n">
        <x:v>0</x:v>
      </x:c>
      <x:c r="N140" s="32" t="n">
        <x:v>0</x:v>
      </x:c>
      <x:c r="O140" s="31" t="n">
        <x:v>0</x:v>
      </x:c>
      <x:c r="P140" s="24" t="str"/>
      <x:c r="Q140" s="24" t="str"/>
      <x:c r="R140" s="24" t="str"/>
      <x:c r="S140" s="24" t="str">
        <x:f>IF(Q140="","계약연령 미입력",IFERROR(IF(R140="","보험연령 미입력",IF(VALUE(R140)=VALUE(Q140),"정상",IF(VALUE(R140)&gt;VALUE(Q140),"보장 불일치","과보장 점검"))),"계약연령 형식확인"))</x:f>
        <x:v>계약연령 미입력</x:v>
      </x:c>
      <x:c r="T140" s="30" t="n">
        <x:v>45873</x:v>
      </x:c>
      <x:c r="U140" s="24" t="str">
        <x:f>IF(T140="","보험 자료 없음",IF(T140&lt;TODAY(),"만기 자료 갱신 필요","정상"))</x:f>
        <x:v>만기 자료 갱신 필요</x:v>
      </x:c>
      <x:c r="V140" s="24" t="str">
        <x:v>010-7207-8063</x:v>
      </x:c>
      <x:c r="W140" s="24" t="str"/>
      <x:c r="X140" s="24" t="str">
        <x:v>있음</x:v>
      </x:c>
      <x:c r="Y140" s="24" t="str">
        <x:v>상태 시작일 입력</x:v>
      </x:c>
      <x:c r="Z140" s="24" t="str"/>
      <x:c r="AA140" s="24" t="str">
        <x:v>보유 기준 확인</x:v>
      </x:c>
    </x:row>
    <x:row r="141" ht="17.25" customHeight="1">
      <x:c r="A141" s="24" t="str">
        <x:v>프라임구독</x:v>
      </x:c>
      <x:c r="B141" s="24" t="str">
        <x:v>11머0509</x:v>
      </x:c>
      <x:c r="C141" s="24" t="str">
        <x:v>현재보유</x:v>
      </x:c>
      <x:c r="D141" s="24" t="str">
        <x:v>쉬는차</x:v>
      </x:c>
      <x:c r="E141" s="30"/>
      <x:c r="F141" s="31" t="str">
        <x:f>IF(AND(D141="쉬는차",E141&lt;&gt;""),TODAY()-E141,"")</x:f>
      </x:c>
      <x:c r="G141" s="24" t="str"/>
      <x:c r="H141" s="24" t="str"/>
      <x:c r="I141" s="30"/>
      <x:c r="J141" s="30"/>
      <x:c r="K141" s="24" t="str"/>
      <x:c r="L141" s="32"/>
      <x:c r="M141" s="31" t="n">
        <x:v>0</x:v>
      </x:c>
      <x:c r="N141" s="32" t="n">
        <x:v>0</x:v>
      </x:c>
      <x:c r="O141" s="31" t="n">
        <x:v>0</x:v>
      </x:c>
      <x:c r="P141" s="24" t="str"/>
      <x:c r="Q141" s="24" t="str"/>
      <x:c r="R141" s="24" t="str"/>
      <x:c r="S141" s="24" t="str">
        <x:f>IF(Q141="","계약연령 미입력",IFERROR(IF(R141="","보험연령 미입력",IF(VALUE(R141)=VALUE(Q141),"정상",IF(VALUE(R141)&gt;VALUE(Q141),"보장 불일치","과보장 점검"))),"계약연령 형식확인"))</x:f>
        <x:v>계약연령 미입력</x:v>
      </x:c>
      <x:c r="T141" s="30" t="n">
        <x:v>45887</x:v>
      </x:c>
      <x:c r="U141" s="24" t="str">
        <x:f>IF(T141="","보험 자료 없음",IF(T141&lt;TODAY(),"만기 자료 갱신 필요","정상"))</x:f>
        <x:v>만기 자료 갱신 필요</x:v>
      </x:c>
      <x:c r="V141" s="24" t="str">
        <x:v>010-7342-5852</x:v>
      </x:c>
      <x:c r="W141" s="24" t="str"/>
      <x:c r="X141" s="24" t="str">
        <x:v>있음</x:v>
      </x:c>
      <x:c r="Y141" s="24" t="str">
        <x:v>상태 시작일 입력</x:v>
      </x:c>
      <x:c r="Z141" s="24" t="str"/>
      <x:c r="AA141" s="24" t="str">
        <x:v>보유 기준 확인</x:v>
      </x:c>
    </x:row>
    <x:row r="142" ht="17.25" customHeight="1">
      <x:c r="A142" s="24" t="str">
        <x:v>프라임구독</x:v>
      </x:c>
      <x:c r="B142" s="24" t="str">
        <x:v>11서5986</x:v>
      </x:c>
      <x:c r="C142" s="24" t="str">
        <x:v>현재보유</x:v>
      </x:c>
      <x:c r="D142" s="24" t="str">
        <x:v>쉬는차</x:v>
      </x:c>
      <x:c r="E142" s="30"/>
      <x:c r="F142" s="31" t="str">
        <x:f>IF(AND(D142="쉬는차",E142&lt;&gt;""),TODAY()-E142,"")</x:f>
      </x:c>
      <x:c r="G142" s="24" t="str"/>
      <x:c r="H142" s="24" t="str"/>
      <x:c r="I142" s="30"/>
      <x:c r="J142" s="30"/>
      <x:c r="K142" s="24" t="str"/>
      <x:c r="L142" s="32"/>
      <x:c r="M142" s="31" t="n">
        <x:v>0</x:v>
      </x:c>
      <x:c r="N142" s="32" t="n">
        <x:v>0</x:v>
      </x:c>
      <x:c r="O142" s="31" t="n">
        <x:v>0</x:v>
      </x:c>
      <x:c r="P142" s="24" t="str"/>
      <x:c r="Q142" s="24" t="str"/>
      <x:c r="R142" s="24" t="str"/>
      <x:c r="S142" s="24" t="str">
        <x:f>IF(Q142="","계약연령 미입력",IFERROR(IF(R142="","보험연령 미입력",IF(VALUE(R142)=VALUE(Q142),"정상",IF(VALUE(R142)&gt;VALUE(Q142),"보장 불일치","과보장 점검"))),"계약연령 형식확인"))</x:f>
        <x:v>계약연령 미입력</x:v>
      </x:c>
      <x:c r="T142" s="30" t="n">
        <x:v>45930</x:v>
      </x:c>
      <x:c r="U142" s="24" t="str">
        <x:f>IF(T142="","보험 자료 없음",IF(T142&lt;TODAY(),"만기 자료 갱신 필요","정상"))</x:f>
        <x:v>만기 자료 갱신 필요</x:v>
      </x:c>
      <x:c r="V142" s="24" t="str">
        <x:v>010-7598-8817</x:v>
      </x:c>
      <x:c r="W142" s="24" t="str"/>
      <x:c r="X142" s="24" t="str">
        <x:v>있음</x:v>
      </x:c>
      <x:c r="Y142" s="24" t="str">
        <x:v>상태 시작일 입력</x:v>
      </x:c>
      <x:c r="Z142" s="24" t="str"/>
      <x:c r="AA142" s="24" t="str">
        <x:v>보유 기준 확인</x:v>
      </x:c>
    </x:row>
    <x:row r="143" ht="17.25" customHeight="1">
      <x:c r="A143" s="24" t="str">
        <x:v>프라임구독</x:v>
      </x:c>
      <x:c r="B143" s="24" t="str">
        <x:v>129수4096</x:v>
      </x:c>
      <x:c r="C143" s="24" t="str">
        <x:v>현재보유</x:v>
      </x:c>
      <x:c r="D143" s="24" t="str">
        <x:v>쉬는차</x:v>
      </x:c>
      <x:c r="E143" s="30"/>
      <x:c r="F143" s="31" t="str">
        <x:f>IF(AND(D143="쉬는차",E143&lt;&gt;""),TODAY()-E143,"")</x:f>
      </x:c>
      <x:c r="G143" s="24" t="str"/>
      <x:c r="H143" s="24" t="str"/>
      <x:c r="I143" s="30"/>
      <x:c r="J143" s="30"/>
      <x:c r="K143" s="24" t="str"/>
      <x:c r="L143" s="32"/>
      <x:c r="M143" s="31" t="n">
        <x:v>0</x:v>
      </x:c>
      <x:c r="N143" s="32" t="n">
        <x:v>0</x:v>
      </x:c>
      <x:c r="O143" s="31" t="n">
        <x:v>0</x:v>
      </x:c>
      <x:c r="P143" s="24" t="str"/>
      <x:c r="Q143" s="24" t="str"/>
      <x:c r="R143" s="24" t="str"/>
      <x:c r="S143" s="24" t="str">
        <x:f>IF(Q143="","계약연령 미입력",IFERROR(IF(R143="","보험연령 미입력",IF(VALUE(R143)=VALUE(Q143),"정상",IF(VALUE(R143)&gt;VALUE(Q143),"보장 불일치","과보장 점검"))),"계약연령 형식확인"))</x:f>
        <x:v>계약연령 미입력</x:v>
      </x:c>
      <x:c r="T143" s="30" t="n">
        <x:v>45993</x:v>
      </x:c>
      <x:c r="U143" s="24" t="str">
        <x:f>IF(T143="","보험 자료 없음",IF(T143&lt;TODAY(),"만기 자료 갱신 필요","정상"))</x:f>
        <x:v>만기 자료 갱신 필요</x:v>
      </x:c>
      <x:c r="V143" s="24" t="str">
        <x:v>010-5738-2951</x:v>
      </x:c>
      <x:c r="W143" s="24" t="str"/>
      <x:c r="X143" s="24" t="str">
        <x:v>있음</x:v>
      </x:c>
      <x:c r="Y143" s="24" t="str">
        <x:v>상태 시작일 입력</x:v>
      </x:c>
      <x:c r="Z143" s="24" t="str"/>
      <x:c r="AA143" s="24" t="str">
        <x:v>보유 기준 확인</x:v>
      </x:c>
    </x:row>
    <x:row r="144" ht="17.25" customHeight="1">
      <x:c r="A144" s="24" t="str">
        <x:v>프라임구독</x:v>
      </x:c>
      <x:c r="B144" s="24" t="str">
        <x:v>136저9431</x:v>
      </x:c>
      <x:c r="C144" s="24" t="str">
        <x:v>현재보유</x:v>
      </x:c>
      <x:c r="D144" s="24" t="str">
        <x:v>대여중</x:v>
      </x:c>
      <x:c r="E144" s="30"/>
      <x:c r="F144" s="31" t="str">
        <x:f>IF(AND(D144="쉬는차",E144&lt;&gt;""),TODAY()-E144,"")</x:f>
      </x:c>
      <x:c r="G144" s="24" t="str">
        <x:v>김태윤</x:v>
      </x:c>
      <x:c r="H144" s="24" t="str">
        <x:v>PR-C-136저9431-1-20240307-36</x:v>
      </x:c>
      <x:c r="I144" s="30" t="n">
        <x:v>45358</x:v>
      </x:c>
      <x:c r="J144" s="30" t="n">
        <x:v>46827</x:v>
      </x:c>
      <x:c r="K144" s="24" t="str">
        <x:v>15</x:v>
      </x:c>
      <x:c r="L144" s="32" t="n">
        <x:v>627000</x:v>
      </x:c>
      <x:c r="M144" s="31" t="n">
        <x:v>19</x:v>
      </x:c>
      <x:c r="N144" s="32" t="n">
        <x:v>7786000</x:v>
      </x:c>
      <x:c r="O144" s="31" t="n">
        <x:v>546</x:v>
      </x:c>
      <x:c r="P144" s="24" t="str">
        <x:v>회수 판단</x:v>
      </x:c>
      <x:c r="Q144" s="24" t="str"/>
      <x:c r="R144" s="24" t="str"/>
      <x:c r="S144" s="24" t="str">
        <x:f>IF(Q144="","계약연령 미입력",IFERROR(IF(R144="","보험연령 미입력",IF(VALUE(R144)=VALUE(Q144),"정상",IF(VALUE(R144)&gt;VALUE(Q144),"보장 불일치","과보장 점검"))),"계약연령 형식확인"))</x:f>
        <x:v>계약연령 미입력</x:v>
      </x:c>
      <x:c r="T144" s="30" t="n">
        <x:v>46091</x:v>
      </x:c>
      <x:c r="U144" s="24" t="str">
        <x:f>IF(T144="","보험 자료 없음",IF(T144&lt;TODAY(),"만기 자료 갱신 필요","정상"))</x:f>
        <x:v>만기 자료 갱신 필요</x:v>
      </x:c>
      <x:c r="V144" s="24" t="str">
        <x:v>010-3011-5057</x:v>
      </x:c>
      <x:c r="W144" s="24" t="str"/>
      <x:c r="X144" s="24" t="str">
        <x:v>있음</x:v>
      </x:c>
      <x:c r="Y144" s="24" t="str">
        <x:v>회수 검토</x:v>
      </x:c>
      <x:c r="Z144" s="24" t="str"/>
      <x:c r="AA144" s="24" t="str">
        <x:v>보유 기준 확인</x:v>
      </x:c>
    </x:row>
    <x:row r="145" ht="17.25" customHeight="1">
      <x:c r="A145" s="24" t="str">
        <x:v>프라임구독</x:v>
      </x:c>
      <x:c r="B145" s="24" t="str">
        <x:v>13보6078</x:v>
      </x:c>
      <x:c r="C145" s="24" t="str">
        <x:v>현재보유</x:v>
      </x:c>
      <x:c r="D145" s="24" t="str">
        <x:v>쉬는차</x:v>
      </x:c>
      <x:c r="E145" s="30"/>
      <x:c r="F145" s="31" t="str">
        <x:f>IF(AND(D145="쉬는차",E145&lt;&gt;""),TODAY()-E145,"")</x:f>
      </x:c>
      <x:c r="G145" s="24" t="str"/>
      <x:c r="H145" s="24" t="str"/>
      <x:c r="I145" s="30"/>
      <x:c r="J145" s="30"/>
      <x:c r="K145" s="24" t="str"/>
      <x:c r="L145" s="32"/>
      <x:c r="M145" s="31" t="n">
        <x:v>0</x:v>
      </x:c>
      <x:c r="N145" s="32" t="n">
        <x:v>0</x:v>
      </x:c>
      <x:c r="O145" s="31" t="n">
        <x:v>0</x:v>
      </x:c>
      <x:c r="P145" s="24" t="str"/>
      <x:c r="Q145" s="24" t="str"/>
      <x:c r="R145" s="24" t="str"/>
      <x:c r="S145" s="24" t="str">
        <x:f>IF(Q145="","계약연령 미입력",IFERROR(IF(R145="","보험연령 미입력",IF(VALUE(R145)=VALUE(Q145),"정상",IF(VALUE(R145)&gt;VALUE(Q145),"보장 불일치","과보장 점검"))),"계약연령 형식확인"))</x:f>
        <x:v>계약연령 미입력</x:v>
      </x:c>
      <x:c r="T145" s="30" t="n">
        <x:v>46028</x:v>
      </x:c>
      <x:c r="U145" s="24" t="str">
        <x:f>IF(T145="","보험 자료 없음",IF(T145&lt;TODAY(),"만기 자료 갱신 필요","정상"))</x:f>
        <x:v>만기 자료 갱신 필요</x:v>
      </x:c>
      <x:c r="V145" s="24" t="str">
        <x:v>010-8864-6130</x:v>
      </x:c>
      <x:c r="W145" s="24" t="str"/>
      <x:c r="X145" s="24" t="str">
        <x:v>있음</x:v>
      </x:c>
      <x:c r="Y145" s="24" t="str">
        <x:v>상태 시작일 입력</x:v>
      </x:c>
      <x:c r="Z145" s="24" t="str"/>
      <x:c r="AA145" s="24" t="str">
        <x:v>보유 기준 확인</x:v>
      </x:c>
    </x:row>
    <x:row r="146" ht="17.25" customHeight="1">
      <x:c r="A146" s="24" t="str">
        <x:v>프라임구독</x:v>
      </x:c>
      <x:c r="B146" s="24" t="str">
        <x:v>13서8926</x:v>
      </x:c>
      <x:c r="C146" s="24" t="str">
        <x:v>현재보유</x:v>
      </x:c>
      <x:c r="D146" s="24" t="str">
        <x:v>쉬는차</x:v>
      </x:c>
      <x:c r="E146" s="30"/>
      <x:c r="F146" s="31" t="str">
        <x:f>IF(AND(D146="쉬는차",E146&lt;&gt;""),TODAY()-E146,"")</x:f>
      </x:c>
      <x:c r="G146" s="24" t="str"/>
      <x:c r="H146" s="24" t="str"/>
      <x:c r="I146" s="30"/>
      <x:c r="J146" s="30"/>
      <x:c r="K146" s="24" t="str"/>
      <x:c r="L146" s="32"/>
      <x:c r="M146" s="31" t="n">
        <x:v>0</x:v>
      </x:c>
      <x:c r="N146" s="32" t="n">
        <x:v>0</x:v>
      </x:c>
      <x:c r="O146" s="31" t="n">
        <x:v>0</x:v>
      </x:c>
      <x:c r="P146" s="24" t="str"/>
      <x:c r="Q146" s="24" t="str"/>
      <x:c r="R146" s="24" t="str"/>
      <x:c r="S146" s="24" t="str">
        <x:f>IF(Q146="","계약연령 미입력",IFERROR(IF(R146="","보험연령 미입력",IF(VALUE(R146)=VALUE(Q146),"정상",IF(VALUE(R146)&gt;VALUE(Q146),"보장 불일치","과보장 점검"))),"계약연령 형식확인"))</x:f>
        <x:v>계약연령 미입력</x:v>
      </x:c>
      <x:c r="T146" s="30" t="n">
        <x:v>45585</x:v>
      </x:c>
      <x:c r="U146" s="24" t="str">
        <x:f>IF(T146="","보험 자료 없음",IF(T146&lt;TODAY(),"만기 자료 갱신 필요","정상"))</x:f>
        <x:v>만기 자료 갱신 필요</x:v>
      </x:c>
      <x:c r="V146" s="24" t="str">
        <x:v>010-2267-8759</x:v>
      </x:c>
      <x:c r="W146" s="24" t="str"/>
      <x:c r="X146" s="24" t="str">
        <x:v>있음</x:v>
      </x:c>
      <x:c r="Y146" s="24" t="str">
        <x:v>상태 시작일 입력</x:v>
      </x:c>
      <x:c r="Z146" s="24" t="str"/>
      <x:c r="AA146" s="24" t="str">
        <x:v>보유 기준 확인</x:v>
      </x:c>
    </x:row>
    <x:row r="147" ht="17.25" customHeight="1">
      <x:c r="A147" s="24" t="str">
        <x:v>프라임구독</x:v>
      </x:c>
      <x:c r="B147" s="24" t="str">
        <x:v>141라3003</x:v>
      </x:c>
      <x:c r="C147" s="24" t="str">
        <x:v>현재보유</x:v>
      </x:c>
      <x:c r="D147" s="24" t="str">
        <x:v>쉬는차</x:v>
      </x:c>
      <x:c r="E147" s="30"/>
      <x:c r="F147" s="31" t="str">
        <x:f>IF(AND(D147="쉬는차",E147&lt;&gt;""),TODAY()-E147,"")</x:f>
      </x:c>
      <x:c r="G147" s="24" t="str"/>
      <x:c r="H147" s="24" t="str"/>
      <x:c r="I147" s="30"/>
      <x:c r="J147" s="30"/>
      <x:c r="K147" s="24" t="str"/>
      <x:c r="L147" s="32"/>
      <x:c r="M147" s="31" t="n">
        <x:v>0</x:v>
      </x:c>
      <x:c r="N147" s="32" t="n">
        <x:v>0</x:v>
      </x:c>
      <x:c r="O147" s="31" t="n">
        <x:v>0</x:v>
      </x:c>
      <x:c r="P147" s="24" t="str"/>
      <x:c r="Q147" s="24" t="str"/>
      <x:c r="R147" s="24" t="str"/>
      <x:c r="S147" s="24" t="str">
        <x:f>IF(Q147="","계약연령 미입력",IFERROR(IF(R147="","보험연령 미입력",IF(VALUE(R147)=VALUE(Q147),"정상",IF(VALUE(R147)&gt;VALUE(Q147),"보장 불일치","과보장 점검"))),"계약연령 형식확인"))</x:f>
        <x:v>계약연령 미입력</x:v>
      </x:c>
      <x:c r="T147" s="30"/>
      <x:c r="U147" s="24" t="str">
        <x:f>IF(T147="","보험 자료 없음",IF(T147&lt;TODAY(),"만기 자료 갱신 필요","정상"))</x:f>
        <x:v>보험 자료 없음</x:v>
      </x:c>
      <x:c r="V147" s="24" t="str"/>
      <x:c r="W147" s="24" t="str"/>
      <x:c r="X147" s="24" t="str">
        <x:v>없음</x:v>
      </x:c>
      <x:c r="Y147" s="24" t="str">
        <x:v>상태 시작일 입력</x:v>
      </x:c>
      <x:c r="Z147" s="24" t="str"/>
      <x:c r="AA147" s="24" t="str">
        <x:v>보유 기준 확인</x:v>
      </x:c>
    </x:row>
    <x:row r="148" ht="17.25" customHeight="1">
      <x:c r="A148" s="24" t="str">
        <x:v>프라임구독</x:v>
      </x:c>
      <x:c r="B148" s="24" t="str">
        <x:v>141로3689</x:v>
      </x:c>
      <x:c r="C148" s="24" t="str">
        <x:v>현재보유</x:v>
      </x:c>
      <x:c r="D148" s="24" t="str">
        <x:v>쉬는차</x:v>
      </x:c>
      <x:c r="E148" s="30"/>
      <x:c r="F148" s="31" t="str">
        <x:f>IF(AND(D148="쉬는차",E148&lt;&gt;""),TODAY()-E148,"")</x:f>
      </x:c>
      <x:c r="G148" s="24" t="str"/>
      <x:c r="H148" s="24" t="str"/>
      <x:c r="I148" s="30"/>
      <x:c r="J148" s="30"/>
      <x:c r="K148" s="24" t="str"/>
      <x:c r="L148" s="32"/>
      <x:c r="M148" s="31" t="n">
        <x:v>0</x:v>
      </x:c>
      <x:c r="N148" s="32" t="n">
        <x:v>0</x:v>
      </x:c>
      <x:c r="O148" s="31" t="n">
        <x:v>0</x:v>
      </x:c>
      <x:c r="P148" s="24" t="str"/>
      <x:c r="Q148" s="24" t="str"/>
      <x:c r="R148" s="24" t="str"/>
      <x:c r="S148" s="24" t="str">
        <x:f>IF(Q148="","계약연령 미입력",IFERROR(IF(R148="","보험연령 미입력",IF(VALUE(R148)=VALUE(Q148),"정상",IF(VALUE(R148)&gt;VALUE(Q148),"보장 불일치","과보장 점검"))),"계약연령 형식확인"))</x:f>
        <x:v>계약연령 미입력</x:v>
      </x:c>
      <x:c r="T148" s="30" t="n">
        <x:v>45795</x:v>
      </x:c>
      <x:c r="U148" s="24" t="str">
        <x:f>IF(T148="","보험 자료 없음",IF(T148&lt;TODAY(),"만기 자료 갱신 필요","정상"))</x:f>
        <x:v>만기 자료 갱신 필요</x:v>
      </x:c>
      <x:c r="V148" s="24" t="str">
        <x:v>010-6810-8008</x:v>
      </x:c>
      <x:c r="W148" s="24" t="str"/>
      <x:c r="X148" s="24" t="str">
        <x:v>있음</x:v>
      </x:c>
      <x:c r="Y148" s="24" t="str">
        <x:v>상태 시작일 입력</x:v>
      </x:c>
      <x:c r="Z148" s="24" t="str"/>
      <x:c r="AA148" s="24" t="str">
        <x:v>보유 기준 확인</x:v>
      </x:c>
    </x:row>
    <x:row r="149" ht="17.25" customHeight="1">
      <x:c r="A149" s="24" t="str">
        <x:v>프라임구독</x:v>
      </x:c>
      <x:c r="B149" s="24" t="str">
        <x:v>145부9300</x:v>
      </x:c>
      <x:c r="C149" s="24" t="str">
        <x:v>현재보유</x:v>
      </x:c>
      <x:c r="D149" s="24" t="str">
        <x:v>쉬는차</x:v>
      </x:c>
      <x:c r="E149" s="30"/>
      <x:c r="F149" s="31" t="str">
        <x:f>IF(AND(D149="쉬는차",E149&lt;&gt;""),TODAY()-E149,"")</x:f>
      </x:c>
      <x:c r="G149" s="24" t="str"/>
      <x:c r="H149" s="24" t="str"/>
      <x:c r="I149" s="30"/>
      <x:c r="J149" s="30"/>
      <x:c r="K149" s="24" t="str"/>
      <x:c r="L149" s="32"/>
      <x:c r="M149" s="31" t="n">
        <x:v>0</x:v>
      </x:c>
      <x:c r="N149" s="32" t="n">
        <x:v>0</x:v>
      </x:c>
      <x:c r="O149" s="31" t="n">
        <x:v>0</x:v>
      </x:c>
      <x:c r="P149" s="24" t="str"/>
      <x:c r="Q149" s="24" t="str"/>
      <x:c r="R149" s="24" t="str"/>
      <x:c r="S149" s="24" t="str">
        <x:f>IF(Q149="","계약연령 미입력",IFERROR(IF(R149="","보험연령 미입력",IF(VALUE(R149)=VALUE(Q149),"정상",IF(VALUE(R149)&gt;VALUE(Q149),"보장 불일치","과보장 점검"))),"계약연령 형식확인"))</x:f>
        <x:v>계약연령 미입력</x:v>
      </x:c>
      <x:c r="T149" s="30" t="n">
        <x:v>45721</x:v>
      </x:c>
      <x:c r="U149" s="24" t="str">
        <x:f>IF(T149="","보험 자료 없음",IF(T149&lt;TODAY(),"만기 자료 갱신 필요","정상"))</x:f>
        <x:v>만기 자료 갱신 필요</x:v>
      </x:c>
      <x:c r="V149" s="24" t="str">
        <x:v>010-7651-9300</x:v>
      </x:c>
      <x:c r="W149" s="24" t="str"/>
      <x:c r="X149" s="24" t="str">
        <x:v>있음</x:v>
      </x:c>
      <x:c r="Y149" s="24" t="str">
        <x:v>상태 시작일 입력</x:v>
      </x:c>
      <x:c r="Z149" s="24" t="str"/>
      <x:c r="AA149" s="24" t="str">
        <x:v>보유 기준 확인</x:v>
      </x:c>
    </x:row>
    <x:row r="150" ht="17.25" customHeight="1">
      <x:c r="A150" s="24" t="str">
        <x:v>프라임구독</x:v>
      </x:c>
      <x:c r="B150" s="24" t="str">
        <x:v>14누0912</x:v>
      </x:c>
      <x:c r="C150" s="24" t="str">
        <x:v>현재보유</x:v>
      </x:c>
      <x:c r="D150" s="24" t="str">
        <x:v>대여중</x:v>
      </x:c>
      <x:c r="E150" s="30"/>
      <x:c r="F150" s="31" t="str">
        <x:f>IF(AND(D150="쉬는차",E150&lt;&gt;""),TODAY()-E150,"")</x:f>
      </x:c>
      <x:c r="G150" s="24" t="str">
        <x:v>정준영3</x:v>
      </x:c>
      <x:c r="H150" s="24" t="str">
        <x:v>PR-C-14누0912-1-20240223-45</x:v>
      </x:c>
      <x:c r="I150" s="30" t="n">
        <x:v>45345</x:v>
      </x:c>
      <x:c r="J150" s="30" t="n">
        <x:v>46808</x:v>
      </x:c>
      <x:c r="K150" s="24" t="str">
        <x:v>25</x:v>
      </x:c>
      <x:c r="L150" s="32" t="n">
        <x:v>408000</x:v>
      </x:c>
      <x:c r="M150" s="31" t="n">
        <x:v>14</x:v>
      </x:c>
      <x:c r="N150" s="32" t="n">
        <x:v>1227000</x:v>
      </x:c>
      <x:c r="O150" s="31" t="n">
        <x:v>508</x:v>
      </x:c>
      <x:c r="P150" s="24" t="str">
        <x:v>회수 판단</x:v>
      </x:c>
      <x:c r="Q150" s="24" t="str"/>
      <x:c r="R150" s="24" t="str"/>
      <x:c r="S150" s="24" t="str">
        <x:f>IF(Q150="","계약연령 미입력",IFERROR(IF(R150="","보험연령 미입력",IF(VALUE(R150)=VALUE(Q150),"정상",IF(VALUE(R150)&gt;VALUE(Q150),"보장 불일치","과보장 점검"))),"계약연령 형식확인"))</x:f>
        <x:v>계약연령 미입력</x:v>
      </x:c>
      <x:c r="T150" s="30" t="n">
        <x:v>45800</x:v>
      </x:c>
      <x:c r="U150" s="24" t="str">
        <x:f>IF(T150="","보험 자료 없음",IF(T150&lt;TODAY(),"만기 자료 갱신 필요","정상"))</x:f>
        <x:v>만기 자료 갱신 필요</x:v>
      </x:c>
      <x:c r="V150" s="24" t="str">
        <x:v>010-8472-4468</x:v>
      </x:c>
      <x:c r="W150" s="24" t="str"/>
      <x:c r="X150" s="24" t="str">
        <x:v>있음</x:v>
      </x:c>
      <x:c r="Y150" s="24" t="str">
        <x:v>회수 검토</x:v>
      </x:c>
      <x:c r="Z150" s="24" t="str"/>
      <x:c r="AA150" s="24" t="str">
        <x:v>보유 기준 확인</x:v>
      </x:c>
    </x:row>
    <x:row r="151" ht="17.25" customHeight="1">
      <x:c r="A151" s="24" t="str">
        <x:v>프라임구독</x:v>
      </x:c>
      <x:c r="B151" s="24" t="str">
        <x:v>14도4653</x:v>
      </x:c>
      <x:c r="C151" s="24" t="str">
        <x:v>현재보유</x:v>
      </x:c>
      <x:c r="D151" s="24" t="str">
        <x:v>대여중</x:v>
      </x:c>
      <x:c r="E151" s="30"/>
      <x:c r="F151" s="31" t="str">
        <x:f>IF(AND(D151="쉬는차",E151&lt;&gt;""),TODAY()-E151,"")</x:f>
      </x:c>
      <x:c r="G151" s="24" t="str">
        <x:v>백혜리</x:v>
      </x:c>
      <x:c r="H151" s="24" t="str">
        <x:v>PR-C-14도4653-1-20240221-46</x:v>
      </x:c>
      <x:c r="I151" s="30" t="n">
        <x:v>45343</x:v>
      </x:c>
      <x:c r="J151" s="30" t="n">
        <x:v>46788</x:v>
      </x:c>
      <x:c r="K151" s="24" t="str">
        <x:v>5</x:v>
      </x:c>
      <x:c r="L151" s="32" t="n">
        <x:v>381000</x:v>
      </x:c>
      <x:c r="M151" s="31" t="n">
        <x:v>1</x:v>
      </x:c>
      <x:c r="N151" s="32" t="n">
        <x:v>381000</x:v>
      </x:c>
      <x:c r="O151" s="31" t="n">
        <x:v>10</x:v>
      </x:c>
      <x:c r="P151" s="24" t="str">
        <x:v>독촉 10일</x:v>
      </x:c>
      <x:c r="Q151" s="24" t="str"/>
      <x:c r="R151" s="24" t="str"/>
      <x:c r="S151" s="24" t="str">
        <x:f>IF(Q151="","계약연령 미입력",IFERROR(IF(R151="","보험연령 미입력",IF(VALUE(R151)=VALUE(Q151),"정상",IF(VALUE(R151)&gt;VALUE(Q151),"보장 불일치","과보장 점검"))),"계약연령 형식확인"))</x:f>
        <x:v>계약연령 미입력</x:v>
      </x:c>
      <x:c r="T151" s="30" t="n">
        <x:v>46074</x:v>
      </x:c>
      <x:c r="U151" s="24" t="str">
        <x:f>IF(T151="","보험 자료 없음",IF(T151&lt;TODAY(),"만기 자료 갱신 필요","정상"))</x:f>
        <x:v>만기 자료 갱신 필요</x:v>
      </x:c>
      <x:c r="V151" s="24" t="str">
        <x:v>010-5746-5932</x:v>
      </x:c>
      <x:c r="W151" s="24" t="str"/>
      <x:c r="X151" s="24" t="str">
        <x:v>있음</x:v>
      </x:c>
      <x:c r="Y151" s="24" t="str">
        <x:v>미수 확인</x:v>
      </x:c>
      <x:c r="Z151" s="24" t="str"/>
      <x:c r="AA151" s="24" t="str">
        <x:v>보유 기준 확인</x:v>
      </x:c>
    </x:row>
    <x:row r="152" ht="17.25" customHeight="1">
      <x:c r="A152" s="24" t="str">
        <x:v>프라임구독</x:v>
      </x:c>
      <x:c r="B152" s="24" t="str">
        <x:v>14두9128</x:v>
      </x:c>
      <x:c r="C152" s="24" t="str">
        <x:v>현재보유</x:v>
      </x:c>
      <x:c r="D152" s="24" t="str">
        <x:v>대여중</x:v>
      </x:c>
      <x:c r="E152" s="30"/>
      <x:c r="F152" s="31" t="str">
        <x:f>IF(AND(D152="쉬는차",E152&lt;&gt;""),TODAY()-E152,"")</x:f>
      </x:c>
      <x:c r="G152" s="24" t="str">
        <x:v>권소아</x:v>
      </x:c>
      <x:c r="H152" s="24" t="str">
        <x:v>PR-C-14두9128-1-20230906-47</x:v>
      </x:c>
      <x:c r="I152" s="30" t="n">
        <x:v>45175</x:v>
      </x:c>
      <x:c r="J152" s="30" t="n">
        <x:v>46624</x:v>
      </x:c>
      <x:c r="K152" s="24" t="str">
        <x:v>25</x:v>
      </x:c>
      <x:c r="L152" s="32" t="n">
        <x:v>911000</x:v>
      </x:c>
      <x:c r="M152" s="31" t="n">
        <x:v>19</x:v>
      </x:c>
      <x:c r="N152" s="32" t="n">
        <x:v>3644000</x:v>
      </x:c>
      <x:c r="O152" s="31" t="n">
        <x:v>567</x:v>
      </x:c>
      <x:c r="P152" s="24" t="str">
        <x:v>회수 판단</x:v>
      </x:c>
      <x:c r="Q152" s="24" t="str"/>
      <x:c r="R152" s="24" t="str"/>
      <x:c r="S152" s="24" t="str">
        <x:f>IF(Q152="","계약연령 미입력",IFERROR(IF(R152="","보험연령 미입력",IF(VALUE(R152)=VALUE(Q152),"정상",IF(VALUE(R152)&gt;VALUE(Q152),"보장 불일치","과보장 점검"))),"계약연령 형식확인"))</x:f>
        <x:v>계약연령 미입력</x:v>
      </x:c>
      <x:c r="T152" s="30" t="n">
        <x:v>45854</x:v>
      </x:c>
      <x:c r="U152" s="24" t="str">
        <x:f>IF(T152="","보험 자료 없음",IF(T152&lt;TODAY(),"만기 자료 갱신 필요","정상"))</x:f>
        <x:v>만기 자료 갱신 필요</x:v>
      </x:c>
      <x:c r="V152" s="24" t="str">
        <x:v>010-6778-1373</x:v>
      </x:c>
      <x:c r="W152" s="24" t="str"/>
      <x:c r="X152" s="24" t="str">
        <x:v>있음</x:v>
      </x:c>
      <x:c r="Y152" s="24" t="str">
        <x:v>회수 검토</x:v>
      </x:c>
      <x:c r="Z152" s="24" t="str"/>
      <x:c r="AA152" s="24" t="str">
        <x:v>보유 기준 확인</x:v>
      </x:c>
    </x:row>
    <x:row r="153" ht="17.25" customHeight="1">
      <x:c r="A153" s="24" t="str">
        <x:v>프라임구독</x:v>
      </x:c>
      <x:c r="B153" s="24" t="str">
        <x:v>14소0456</x:v>
      </x:c>
      <x:c r="C153" s="24" t="str">
        <x:v>현재보유</x:v>
      </x:c>
      <x:c r="D153" s="24" t="str">
        <x:v>대여중</x:v>
      </x:c>
      <x:c r="E153" s="30"/>
      <x:c r="F153" s="31" t="str">
        <x:f>IF(AND(D153="쉬는차",E153&lt;&gt;""),TODAY()-E153,"")</x:f>
      </x:c>
      <x:c r="G153" s="24" t="str">
        <x:v>양두식</x:v>
      </x:c>
      <x:c r="H153" s="24" t="str">
        <x:v>PR-C-14소0456-1-20230317-48</x:v>
      </x:c>
      <x:c r="I153" s="30" t="n">
        <x:v>45002</x:v>
      </x:c>
      <x:c r="J153" s="30" t="n">
        <x:v>46091</x:v>
      </x:c>
      <x:c r="K153" s="24" t="str">
        <x:v>10</x:v>
      </x:c>
      <x:c r="L153" s="32" t="n">
        <x:v>769000</x:v>
      </x:c>
      <x:c r="M153" s="31" t="n">
        <x:v>25</x:v>
      </x:c>
      <x:c r="N153" s="32" t="n">
        <x:v>18244153</x:v>
      </x:c>
      <x:c r="O153" s="31" t="n">
        <x:v>735</x:v>
      </x:c>
      <x:c r="P153" s="24" t="str">
        <x:v>회수 판단 · 만기 임박</x:v>
      </x:c>
      <x:c r="Q153" s="24" t="str"/>
      <x:c r="R153" s="24" t="str"/>
      <x:c r="S153" s="24" t="str">
        <x:f>IF(Q153="","계약연령 미입력",IFERROR(IF(R153="","보험연령 미입력",IF(VALUE(R153)=VALUE(Q153),"정상",IF(VALUE(R153)&gt;VALUE(Q153),"보장 불일치","과보장 점검"))),"계약연령 형식확인"))</x:f>
        <x:v>계약연령 미입력</x:v>
      </x:c>
      <x:c r="T153" s="30" t="n">
        <x:v>45735</x:v>
      </x:c>
      <x:c r="U153" s="24" t="str">
        <x:f>IF(T153="","보험 자료 없음",IF(T153&lt;TODAY(),"만기 자료 갱신 필요","정상"))</x:f>
        <x:v>만기 자료 갱신 필요</x:v>
      </x:c>
      <x:c r="V153" s="24" t="str">
        <x:v>010-2064-5006</x:v>
      </x:c>
      <x:c r="W153" s="24" t="str"/>
      <x:c r="X153" s="24" t="str">
        <x:v>있음</x:v>
      </x:c>
      <x:c r="Y153" s="24" t="str">
        <x:v>회수 검토</x:v>
      </x:c>
      <x:c r="Z153" s="24" t="str"/>
      <x:c r="AA153" s="24" t="str">
        <x:v>보유 기준 확인</x:v>
      </x:c>
    </x:row>
    <x:row r="154" ht="17.25" customHeight="1">
      <x:c r="A154" s="24" t="str">
        <x:v>프라임구독</x:v>
      </x:c>
      <x:c r="B154" s="24" t="str">
        <x:v>152거6619</x:v>
      </x:c>
      <x:c r="C154" s="24" t="str">
        <x:v>현재보유</x:v>
      </x:c>
      <x:c r="D154" s="24" t="str">
        <x:v>쉬는차</x:v>
      </x:c>
      <x:c r="E154" s="30"/>
      <x:c r="F154" s="31" t="str">
        <x:f>IF(AND(D154="쉬는차",E154&lt;&gt;""),TODAY()-E154,"")</x:f>
      </x:c>
      <x:c r="G154" s="24" t="str"/>
      <x:c r="H154" s="24" t="str"/>
      <x:c r="I154" s="30"/>
      <x:c r="J154" s="30"/>
      <x:c r="K154" s="24" t="str"/>
      <x:c r="L154" s="32"/>
      <x:c r="M154" s="31" t="n">
        <x:v>0</x:v>
      </x:c>
      <x:c r="N154" s="32" t="n">
        <x:v>0</x:v>
      </x:c>
      <x:c r="O154" s="31" t="n">
        <x:v>0</x:v>
      </x:c>
      <x:c r="P154" s="24" t="str"/>
      <x:c r="Q154" s="24" t="str"/>
      <x:c r="R154" s="24" t="str"/>
      <x:c r="S154" s="24" t="str">
        <x:f>IF(Q154="","계약연령 미입력",IFERROR(IF(R154="","보험연령 미입력",IF(VALUE(R154)=VALUE(Q154),"정상",IF(VALUE(R154)&gt;VALUE(Q154),"보장 불일치","과보장 점검"))),"계약연령 형식확인"))</x:f>
        <x:v>계약연령 미입력</x:v>
      </x:c>
      <x:c r="T154" s="30" t="n">
        <x:v>45887</x:v>
      </x:c>
      <x:c r="U154" s="24" t="str">
        <x:f>IF(T154="","보험 자료 없음",IF(T154&lt;TODAY(),"만기 자료 갱신 필요","정상"))</x:f>
        <x:v>만기 자료 갱신 필요</x:v>
      </x:c>
      <x:c r="V154" s="24" t="str">
        <x:v>010-9249-7828</x:v>
      </x:c>
      <x:c r="W154" s="24" t="str"/>
      <x:c r="X154" s="24" t="str">
        <x:v>있음</x:v>
      </x:c>
      <x:c r="Y154" s="24" t="str">
        <x:v>상태 시작일 입력</x:v>
      </x:c>
      <x:c r="Z154" s="24" t="str"/>
      <x:c r="AA154" s="24" t="str">
        <x:v>보유 기준 확인</x:v>
      </x:c>
    </x:row>
    <x:row r="155" ht="17.25" customHeight="1">
      <x:c r="A155" s="24" t="str">
        <x:v>프라임구독</x:v>
      </x:c>
      <x:c r="B155" s="24" t="str">
        <x:v>157구9550</x:v>
      </x:c>
      <x:c r="C155" s="24" t="str">
        <x:v>현재보유</x:v>
      </x:c>
      <x:c r="D155" s="24" t="str">
        <x:v>쉬는차</x:v>
      </x:c>
      <x:c r="E155" s="30"/>
      <x:c r="F155" s="31" t="str">
        <x:f>IF(AND(D155="쉬는차",E155&lt;&gt;""),TODAY()-E155,"")</x:f>
      </x:c>
      <x:c r="G155" s="24" t="str"/>
      <x:c r="H155" s="24" t="str"/>
      <x:c r="I155" s="30"/>
      <x:c r="J155" s="30"/>
      <x:c r="K155" s="24" t="str"/>
      <x:c r="L155" s="32"/>
      <x:c r="M155" s="31" t="n">
        <x:v>0</x:v>
      </x:c>
      <x:c r="N155" s="32" t="n">
        <x:v>0</x:v>
      </x:c>
      <x:c r="O155" s="31" t="n">
        <x:v>0</x:v>
      </x:c>
      <x:c r="P155" s="24" t="str"/>
      <x:c r="Q155" s="24" t="str"/>
      <x:c r="R155" s="24" t="str"/>
      <x:c r="S155" s="24" t="str">
        <x:f>IF(Q155="","계약연령 미입력",IFERROR(IF(R155="","보험연령 미입력",IF(VALUE(R155)=VALUE(Q155),"정상",IF(VALUE(R155)&gt;VALUE(Q155),"보장 불일치","과보장 점검"))),"계약연령 형식확인"))</x:f>
        <x:v>계약연령 미입력</x:v>
      </x:c>
      <x:c r="T155" s="30" t="n">
        <x:v>45697</x:v>
      </x:c>
      <x:c r="U155" s="24" t="str">
        <x:f>IF(T155="","보험 자료 없음",IF(T155&lt;TODAY(),"만기 자료 갱신 필요","정상"))</x:f>
        <x:v>만기 자료 갱신 필요</x:v>
      </x:c>
      <x:c r="V155" s="24" t="str">
        <x:v>010-6877-9557</x:v>
      </x:c>
      <x:c r="W155" s="24" t="str"/>
      <x:c r="X155" s="24" t="str">
        <x:v>있음</x:v>
      </x:c>
      <x:c r="Y155" s="24" t="str">
        <x:v>상태 시작일 입력</x:v>
      </x:c>
      <x:c r="Z155" s="24" t="str"/>
      <x:c r="AA155" s="24" t="str">
        <x:v>보유 기준 확인</x:v>
      </x:c>
    </x:row>
    <x:row r="156" ht="17.25" customHeight="1">
      <x:c r="A156" s="24" t="str">
        <x:v>프라임구독</x:v>
      </x:c>
      <x:c r="B156" s="24" t="str">
        <x:v>15도5239</x:v>
      </x:c>
      <x:c r="C156" s="24" t="str">
        <x:v>현재보유</x:v>
      </x:c>
      <x:c r="D156" s="24" t="str">
        <x:v>쉬는차</x:v>
      </x:c>
      <x:c r="E156" s="30"/>
      <x:c r="F156" s="31" t="str">
        <x:f>IF(AND(D156="쉬는차",E156&lt;&gt;""),TODAY()-E156,"")</x:f>
      </x:c>
      <x:c r="G156" s="24" t="str"/>
      <x:c r="H156" s="24" t="str"/>
      <x:c r="I156" s="30"/>
      <x:c r="J156" s="30"/>
      <x:c r="K156" s="24" t="str"/>
      <x:c r="L156" s="32"/>
      <x:c r="M156" s="31" t="n">
        <x:v>0</x:v>
      </x:c>
      <x:c r="N156" s="32" t="n">
        <x:v>0</x:v>
      </x:c>
      <x:c r="O156" s="31" t="n">
        <x:v>0</x:v>
      </x:c>
      <x:c r="P156" s="24" t="str"/>
      <x:c r="Q156" s="24" t="str"/>
      <x:c r="R156" s="24" t="str"/>
      <x:c r="S156" s="24" t="str">
        <x:f>IF(Q156="","계약연령 미입력",IFERROR(IF(R156="","보험연령 미입력",IF(VALUE(R156)=VALUE(Q156),"정상",IF(VALUE(R156)&gt;VALUE(Q156),"보장 불일치","과보장 점검"))),"계약연령 형식확인"))</x:f>
        <x:v>계약연령 미입력</x:v>
      </x:c>
      <x:c r="T156" s="30" t="n">
        <x:v>46039</x:v>
      </x:c>
      <x:c r="U156" s="24" t="str">
        <x:f>IF(T156="","보험 자료 없음",IF(T156&lt;TODAY(),"만기 자료 갱신 필요","정상"))</x:f>
        <x:v>만기 자료 갱신 필요</x:v>
      </x:c>
      <x:c r="V156" s="24" t="str">
        <x:v>010-8937-0080</x:v>
      </x:c>
      <x:c r="W156" s="24" t="str"/>
      <x:c r="X156" s="24" t="str">
        <x:v>있음</x:v>
      </x:c>
      <x:c r="Y156" s="24" t="str">
        <x:v>상태 시작일 입력</x:v>
      </x:c>
      <x:c r="Z156" s="24" t="str"/>
      <x:c r="AA156" s="24" t="str">
        <x:v>보유 기준 확인</x:v>
      </x:c>
    </x:row>
    <x:row r="157" ht="17.25" customHeight="1">
      <x:c r="A157" s="24" t="str">
        <x:v>프라임구독</x:v>
      </x:c>
      <x:c r="B157" s="24" t="str">
        <x:v>15마0652</x:v>
      </x:c>
      <x:c r="C157" s="24" t="str">
        <x:v>현재보유</x:v>
      </x:c>
      <x:c r="D157" s="24" t="str">
        <x:v>쉬는차</x:v>
      </x:c>
      <x:c r="E157" s="30"/>
      <x:c r="F157" s="31" t="str">
        <x:f>IF(AND(D157="쉬는차",E157&lt;&gt;""),TODAY()-E157,"")</x:f>
      </x:c>
      <x:c r="G157" s="24" t="str"/>
      <x:c r="H157" s="24" t="str"/>
      <x:c r="I157" s="30"/>
      <x:c r="J157" s="30"/>
      <x:c r="K157" s="24" t="str"/>
      <x:c r="L157" s="32"/>
      <x:c r="M157" s="31" t="n">
        <x:v>0</x:v>
      </x:c>
      <x:c r="N157" s="32" t="n">
        <x:v>0</x:v>
      </x:c>
      <x:c r="O157" s="31" t="n">
        <x:v>0</x:v>
      </x:c>
      <x:c r="P157" s="24" t="str"/>
      <x:c r="Q157" s="24" t="str"/>
      <x:c r="R157" s="24" t="str"/>
      <x:c r="S157" s="24" t="str">
        <x:f>IF(Q157="","계약연령 미입력",IFERROR(IF(R157="","보험연령 미입력",IF(VALUE(R157)=VALUE(Q157),"정상",IF(VALUE(R157)&gt;VALUE(Q157),"보장 불일치","과보장 점검"))),"계약연령 형식확인"))</x:f>
        <x:v>계약연령 미입력</x:v>
      </x:c>
      <x:c r="T157" s="30" t="n">
        <x:v>45979</x:v>
      </x:c>
      <x:c r="U157" s="24" t="str">
        <x:f>IF(T157="","보험 자료 없음",IF(T157&lt;TODAY(),"만기 자료 갱신 필요","정상"))</x:f>
        <x:v>만기 자료 갱신 필요</x:v>
      </x:c>
      <x:c r="V157" s="24" t="str">
        <x:v>010-6494-9777</x:v>
      </x:c>
      <x:c r="W157" s="24" t="str"/>
      <x:c r="X157" s="24" t="str">
        <x:v>있음</x:v>
      </x:c>
      <x:c r="Y157" s="24" t="str">
        <x:v>상태 시작일 입력</x:v>
      </x:c>
      <x:c r="Z157" s="24" t="str"/>
      <x:c r="AA157" s="24" t="str">
        <x:v>보유 기준 확인</x:v>
      </x:c>
    </x:row>
    <x:row r="158" ht="17.25" customHeight="1">
      <x:c r="A158" s="24" t="str">
        <x:v>프라임구독</x:v>
      </x:c>
      <x:c r="B158" s="24" t="str">
        <x:v>15머9092</x:v>
      </x:c>
      <x:c r="C158" s="24" t="str">
        <x:v>현재보유</x:v>
      </x:c>
      <x:c r="D158" s="24" t="str">
        <x:v>쉬는차</x:v>
      </x:c>
      <x:c r="E158" s="30"/>
      <x:c r="F158" s="31" t="str">
        <x:f>IF(AND(D158="쉬는차",E158&lt;&gt;""),TODAY()-E158,"")</x:f>
      </x:c>
      <x:c r="G158" s="24" t="str"/>
      <x:c r="H158" s="24" t="str"/>
      <x:c r="I158" s="30"/>
      <x:c r="J158" s="30"/>
      <x:c r="K158" s="24" t="str"/>
      <x:c r="L158" s="32"/>
      <x:c r="M158" s="31" t="n">
        <x:v>0</x:v>
      </x:c>
      <x:c r="N158" s="32" t="n">
        <x:v>0</x:v>
      </x:c>
      <x:c r="O158" s="31" t="n">
        <x:v>0</x:v>
      </x:c>
      <x:c r="P158" s="24" t="str"/>
      <x:c r="Q158" s="24" t="str"/>
      <x:c r="R158" s="24" t="str"/>
      <x:c r="S158" s="24" t="str">
        <x:f>IF(Q158="","계약연령 미입력",IFERROR(IF(R158="","보험연령 미입력",IF(VALUE(R158)=VALUE(Q158),"정상",IF(VALUE(R158)&gt;VALUE(Q158),"보장 불일치","과보장 점검"))),"계약연령 형식확인"))</x:f>
        <x:v>계약연령 미입력</x:v>
      </x:c>
      <x:c r="T158" s="30" t="n">
        <x:v>45830</x:v>
      </x:c>
      <x:c r="U158" s="24" t="str">
        <x:f>IF(T158="","보험 자료 없음",IF(T158&lt;TODAY(),"만기 자료 갱신 필요","정상"))</x:f>
        <x:v>만기 자료 갱신 필요</x:v>
      </x:c>
      <x:c r="V158" s="24" t="str">
        <x:v>010-6409-1433</x:v>
      </x:c>
      <x:c r="W158" s="24" t="str"/>
      <x:c r="X158" s="24" t="str">
        <x:v>있음</x:v>
      </x:c>
      <x:c r="Y158" s="24" t="str">
        <x:v>상태 시작일 입력</x:v>
      </x:c>
      <x:c r="Z158" s="24" t="str"/>
      <x:c r="AA158" s="24" t="str">
        <x:v>보유 기준 확인</x:v>
      </x:c>
    </x:row>
    <x:row r="159" ht="17.25" customHeight="1">
      <x:c r="A159" s="24" t="str">
        <x:v>프라임구독</x:v>
      </x:c>
      <x:c r="B159" s="24" t="str">
        <x:v>163부8390</x:v>
      </x:c>
      <x:c r="C159" s="24" t="str">
        <x:v>현재보유</x:v>
      </x:c>
      <x:c r="D159" s="24" t="str">
        <x:v>쉬는차</x:v>
      </x:c>
      <x:c r="E159" s="30"/>
      <x:c r="F159" s="31" t="str">
        <x:f>IF(AND(D159="쉬는차",E159&lt;&gt;""),TODAY()-E159,"")</x:f>
      </x:c>
      <x:c r="G159" s="24" t="str"/>
      <x:c r="H159" s="24" t="str"/>
      <x:c r="I159" s="30"/>
      <x:c r="J159" s="30"/>
      <x:c r="K159" s="24" t="str"/>
      <x:c r="L159" s="32"/>
      <x:c r="M159" s="31" t="n">
        <x:v>0</x:v>
      </x:c>
      <x:c r="N159" s="32" t="n">
        <x:v>0</x:v>
      </x:c>
      <x:c r="O159" s="31" t="n">
        <x:v>0</x:v>
      </x:c>
      <x:c r="P159" s="24" t="str"/>
      <x:c r="Q159" s="24" t="str"/>
      <x:c r="R159" s="24" t="str"/>
      <x:c r="S159" s="24" t="str">
        <x:f>IF(Q159="","계약연령 미입력",IFERROR(IF(R159="","보험연령 미입력",IF(VALUE(R159)=VALUE(Q159),"정상",IF(VALUE(R159)&gt;VALUE(Q159),"보장 불일치","과보장 점검"))),"계약연령 형식확인"))</x:f>
        <x:v>계약연령 미입력</x:v>
      </x:c>
      <x:c r="T159" s="30" t="n">
        <x:v>45791</x:v>
      </x:c>
      <x:c r="U159" s="24" t="str">
        <x:f>IF(T159="","보험 자료 없음",IF(T159&lt;TODAY(),"만기 자료 갱신 필요","정상"))</x:f>
        <x:v>만기 자료 갱신 필요</x:v>
      </x:c>
      <x:c r="V159" s="24" t="str">
        <x:v>010-2366-6482</x:v>
      </x:c>
      <x:c r="W159" s="24" t="str"/>
      <x:c r="X159" s="24" t="str">
        <x:v>있음</x:v>
      </x:c>
      <x:c r="Y159" s="24" t="str">
        <x:v>상태 시작일 입력</x:v>
      </x:c>
      <x:c r="Z159" s="24" t="str"/>
      <x:c r="AA159" s="24" t="str">
        <x:v>보유 기준 확인</x:v>
      </x:c>
    </x:row>
    <x:row r="160" ht="17.25" customHeight="1">
      <x:c r="A160" s="24" t="str">
        <x:v>프라임구독</x:v>
      </x:c>
      <x:c r="B160" s="24" t="str">
        <x:v>164노9379</x:v>
      </x:c>
      <x:c r="C160" s="24" t="str">
        <x:v>현재보유</x:v>
      </x:c>
      <x:c r="D160" s="24" t="str">
        <x:v>대여중</x:v>
      </x:c>
      <x:c r="E160" s="30"/>
      <x:c r="F160" s="31" t="str">
        <x:f>IF(AND(D160="쉬는차",E160&lt;&gt;""),TODAY()-E160,"")</x:f>
      </x:c>
      <x:c r="G160" s="24" t="str">
        <x:v>강민규</x:v>
      </x:c>
      <x:c r="H160" s="24" t="str">
        <x:v>PR-C-164노9379-1-20230814-56</x:v>
      </x:c>
      <x:c r="I160" s="30" t="n">
        <x:v>45152</x:v>
      </x:c>
      <x:c r="J160" s="30" t="n">
        <x:v>46624</x:v>
      </x:c>
      <x:c r="K160" s="24" t="str">
        <x:v>25</x:v>
      </x:c>
      <x:c r="L160" s="32" t="n">
        <x:v>492000</x:v>
      </x:c>
      <x:c r="M160" s="31" t="n">
        <x:v>1</x:v>
      </x:c>
      <x:c r="N160" s="32" t="n">
        <x:v>492000</x:v>
      </x:c>
      <x:c r="O160" s="31" t="n">
        <x:v>0</x:v>
      </x:c>
      <x:c r="P160" s="24" t="str"/>
      <x:c r="Q160" s="24" t="str"/>
      <x:c r="R160" s="24" t="str"/>
      <x:c r="S160" s="24" t="str">
        <x:f>IF(Q160="","계약연령 미입력",IFERROR(IF(R160="","보험연령 미입력",IF(VALUE(R160)=VALUE(Q160),"정상",IF(VALUE(R160)&gt;VALUE(Q160),"보장 불일치","과보장 점검"))),"계약연령 형식확인"))</x:f>
        <x:v>계약연령 미입력</x:v>
      </x:c>
      <x:c r="T160" s="30" t="n">
        <x:v>45883</x:v>
      </x:c>
      <x:c r="U160" s="24" t="str">
        <x:f>IF(T160="","보험 자료 없음",IF(T160&lt;TODAY(),"만기 자료 갱신 필요","정상"))</x:f>
        <x:v>만기 자료 갱신 필요</x:v>
      </x:c>
      <x:c r="V160" s="24" t="str">
        <x:v>010-8493-9928</x:v>
      </x:c>
      <x:c r="W160" s="24" t="str"/>
      <x:c r="X160" s="24" t="str">
        <x:v>있음</x:v>
      </x:c>
      <x:c r="Y160" s="24" t="str">
        <x:v>미수 확인</x:v>
      </x:c>
      <x:c r="Z160" s="24" t="str"/>
      <x:c r="AA160" s="24" t="str">
        <x:v>보유 기준 확인</x:v>
      </x:c>
    </x:row>
    <x:row r="161" ht="17.25" customHeight="1">
      <x:c r="A161" s="24" t="str">
        <x:v>프라임구독</x:v>
      </x:c>
      <x:c r="B161" s="24" t="str">
        <x:v>169버5426</x:v>
      </x:c>
      <x:c r="C161" s="24" t="str">
        <x:v>현재보유</x:v>
      </x:c>
      <x:c r="D161" s="24" t="str">
        <x:v>쉬는차</x:v>
      </x:c>
      <x:c r="E161" s="30"/>
      <x:c r="F161" s="31" t="str">
        <x:f>IF(AND(D161="쉬는차",E161&lt;&gt;""),TODAY()-E161,"")</x:f>
      </x:c>
      <x:c r="G161" s="24" t="str"/>
      <x:c r="H161" s="24" t="str"/>
      <x:c r="I161" s="30"/>
      <x:c r="J161" s="30"/>
      <x:c r="K161" s="24" t="str"/>
      <x:c r="L161" s="32"/>
      <x:c r="M161" s="31" t="n">
        <x:v>0</x:v>
      </x:c>
      <x:c r="N161" s="32" t="n">
        <x:v>0</x:v>
      </x:c>
      <x:c r="O161" s="31" t="n">
        <x:v>0</x:v>
      </x:c>
      <x:c r="P161" s="24" t="str"/>
      <x:c r="Q161" s="24" t="str"/>
      <x:c r="R161" s="24" t="str"/>
      <x:c r="S161" s="24" t="str">
        <x:f>IF(Q161="","계약연령 미입력",IFERROR(IF(R161="","보험연령 미입력",IF(VALUE(R161)=VALUE(Q161),"정상",IF(VALUE(R161)&gt;VALUE(Q161),"보장 불일치","과보장 점검"))),"계약연령 형식확인"))</x:f>
        <x:v>계약연령 미입력</x:v>
      </x:c>
      <x:c r="T161" s="30" t="n">
        <x:v>45739</x:v>
      </x:c>
      <x:c r="U161" s="24" t="str">
        <x:f>IF(T161="","보험 자료 없음",IF(T161&lt;TODAY(),"만기 자료 갱신 필요","정상"))</x:f>
        <x:v>만기 자료 갱신 필요</x:v>
      </x:c>
      <x:c r="V161" s="24" t="str">
        <x:v>010-3029-7447</x:v>
      </x:c>
      <x:c r="W161" s="24" t="str"/>
      <x:c r="X161" s="24" t="str">
        <x:v>있음</x:v>
      </x:c>
      <x:c r="Y161" s="24" t="str">
        <x:v>상태 시작일 입력</x:v>
      </x:c>
      <x:c r="Z161" s="24" t="str"/>
      <x:c r="AA161" s="24" t="str">
        <x:v>보유 기준 확인</x:v>
      </x:c>
    </x:row>
    <x:row r="162" ht="17.25" customHeight="1">
      <x:c r="A162" s="24" t="str">
        <x:v>프라임구독</x:v>
      </x:c>
      <x:c r="B162" s="24" t="str">
        <x:v>16다6556</x:v>
      </x:c>
      <x:c r="C162" s="24" t="str">
        <x:v>현재보유</x:v>
      </x:c>
      <x:c r="D162" s="24" t="str">
        <x:v>쉬는차</x:v>
      </x:c>
      <x:c r="E162" s="30"/>
      <x:c r="F162" s="31" t="str">
        <x:f>IF(AND(D162="쉬는차",E162&lt;&gt;""),TODAY()-E162,"")</x:f>
      </x:c>
      <x:c r="G162" s="24" t="str"/>
      <x:c r="H162" s="24" t="str"/>
      <x:c r="I162" s="30"/>
      <x:c r="J162" s="30"/>
      <x:c r="K162" s="24" t="str"/>
      <x:c r="L162" s="32"/>
      <x:c r="M162" s="31" t="n">
        <x:v>0</x:v>
      </x:c>
      <x:c r="N162" s="32" t="n">
        <x:v>0</x:v>
      </x:c>
      <x:c r="O162" s="31" t="n">
        <x:v>0</x:v>
      </x:c>
      <x:c r="P162" s="24" t="str"/>
      <x:c r="Q162" s="24" t="str"/>
      <x:c r="R162" s="24" t="str"/>
      <x:c r="S162" s="24" t="str">
        <x:f>IF(Q162="","계약연령 미입력",IFERROR(IF(R162="","보험연령 미입력",IF(VALUE(R162)=VALUE(Q162),"정상",IF(VALUE(R162)&gt;VALUE(Q162),"보장 불일치","과보장 점검"))),"계약연령 형식확인"))</x:f>
        <x:v>계약연령 미입력</x:v>
      </x:c>
      <x:c r="T162" s="30" t="n">
        <x:v>45707</x:v>
      </x:c>
      <x:c r="U162" s="24" t="str">
        <x:f>IF(T162="","보험 자료 없음",IF(T162&lt;TODAY(),"만기 자료 갱신 필요","정상"))</x:f>
        <x:v>만기 자료 갱신 필요</x:v>
      </x:c>
      <x:c r="V162" s="24" t="str">
        <x:v>010-4465-6498</x:v>
      </x:c>
      <x:c r="W162" s="24" t="str"/>
      <x:c r="X162" s="24" t="str">
        <x:v>있음</x:v>
      </x:c>
      <x:c r="Y162" s="24" t="str">
        <x:v>상태 시작일 입력</x:v>
      </x:c>
      <x:c r="Z162" s="24" t="str"/>
      <x:c r="AA162" s="24" t="str">
        <x:v>보유 기준 확인</x:v>
      </x:c>
    </x:row>
    <x:row r="163" ht="17.25" customHeight="1">
      <x:c r="A163" s="24" t="str">
        <x:v>프라임구독</x:v>
      </x:c>
      <x:c r="B163" s="24" t="str">
        <x:v>16소0356</x:v>
      </x:c>
      <x:c r="C163" s="24" t="str">
        <x:v>현재보유</x:v>
      </x:c>
      <x:c r="D163" s="24" t="str">
        <x:v>쉬는차</x:v>
      </x:c>
      <x:c r="E163" s="30"/>
      <x:c r="F163" s="31" t="str">
        <x:f>IF(AND(D163="쉬는차",E163&lt;&gt;""),TODAY()-E163,"")</x:f>
      </x:c>
      <x:c r="G163" s="24" t="str"/>
      <x:c r="H163" s="24" t="str"/>
      <x:c r="I163" s="30"/>
      <x:c r="J163" s="30"/>
      <x:c r="K163" s="24" t="str"/>
      <x:c r="L163" s="32"/>
      <x:c r="M163" s="31" t="n">
        <x:v>0</x:v>
      </x:c>
      <x:c r="N163" s="32" t="n">
        <x:v>0</x:v>
      </x:c>
      <x:c r="O163" s="31" t="n">
        <x:v>0</x:v>
      </x:c>
      <x:c r="P163" s="24" t="str"/>
      <x:c r="Q163" s="24" t="str"/>
      <x:c r="R163" s="24" t="str"/>
      <x:c r="S163" s="24" t="str">
        <x:f>IF(Q163="","계약연령 미입력",IFERROR(IF(R163="","보험연령 미입력",IF(VALUE(R163)=VALUE(Q163),"정상",IF(VALUE(R163)&gt;VALUE(Q163),"보장 불일치","과보장 점검"))),"계약연령 형식확인"))</x:f>
        <x:v>계약연령 미입력</x:v>
      </x:c>
      <x:c r="T163" s="30" t="n">
        <x:v>46024</x:v>
      </x:c>
      <x:c r="U163" s="24" t="str">
        <x:f>IF(T163="","보험 자료 없음",IF(T163&lt;TODAY(),"만기 자료 갱신 필요","정상"))</x:f>
        <x:v>만기 자료 갱신 필요</x:v>
      </x:c>
      <x:c r="V163" s="24" t="str">
        <x:v>010-2333-6680</x:v>
      </x:c>
      <x:c r="W163" s="24" t="str"/>
      <x:c r="X163" s="24" t="str">
        <x:v>있음</x:v>
      </x:c>
      <x:c r="Y163" s="24" t="str">
        <x:v>상태 시작일 입력</x:v>
      </x:c>
      <x:c r="Z163" s="24" t="str"/>
      <x:c r="AA163" s="24" t="str">
        <x:v>보유 기준 확인</x:v>
      </x:c>
    </x:row>
    <x:row r="164" ht="17.25" customHeight="1">
      <x:c r="A164" s="24" t="str">
        <x:v>프라임구독</x:v>
      </x:c>
      <x:c r="B164" s="24" t="str">
        <x:v>16어0497</x:v>
      </x:c>
      <x:c r="C164" s="24" t="str">
        <x:v>현재보유</x:v>
      </x:c>
      <x:c r="D164" s="24" t="str">
        <x:v>쉬는차</x:v>
      </x:c>
      <x:c r="E164" s="30"/>
      <x:c r="F164" s="31" t="str">
        <x:f>IF(AND(D164="쉬는차",E164&lt;&gt;""),TODAY()-E164,"")</x:f>
      </x:c>
      <x:c r="G164" s="24" t="str"/>
      <x:c r="H164" s="24" t="str"/>
      <x:c r="I164" s="30"/>
      <x:c r="J164" s="30"/>
      <x:c r="K164" s="24" t="str"/>
      <x:c r="L164" s="32"/>
      <x:c r="M164" s="31" t="n">
        <x:v>0</x:v>
      </x:c>
      <x:c r="N164" s="32" t="n">
        <x:v>0</x:v>
      </x:c>
      <x:c r="O164" s="31" t="n">
        <x:v>0</x:v>
      </x:c>
      <x:c r="P164" s="24" t="str"/>
      <x:c r="Q164" s="24" t="str"/>
      <x:c r="R164" s="24" t="str"/>
      <x:c r="S164" s="24" t="str">
        <x:f>IF(Q164="","계약연령 미입력",IFERROR(IF(R164="","보험연령 미입력",IF(VALUE(R164)=VALUE(Q164),"정상",IF(VALUE(R164)&gt;VALUE(Q164),"보장 불일치","과보장 점검"))),"계약연령 형식확인"))</x:f>
        <x:v>계약연령 미입력</x:v>
      </x:c>
      <x:c r="T164" s="30" t="n">
        <x:v>45910</x:v>
      </x:c>
      <x:c r="U164" s="24" t="str">
        <x:f>IF(T164="","보험 자료 없음",IF(T164&lt;TODAY(),"만기 자료 갱신 필요","정상"))</x:f>
        <x:v>만기 자료 갱신 필요</x:v>
      </x:c>
      <x:c r="V164" s="24" t="str">
        <x:v>010-2155-1607</x:v>
      </x:c>
      <x:c r="W164" s="24" t="str"/>
      <x:c r="X164" s="24" t="str">
        <x:v>있음</x:v>
      </x:c>
      <x:c r="Y164" s="24" t="str">
        <x:v>상태 시작일 입력</x:v>
      </x:c>
      <x:c r="Z164" s="24" t="str"/>
      <x:c r="AA164" s="24" t="str">
        <x:v>보유 기준 확인</x:v>
      </x:c>
    </x:row>
    <x:row r="165" ht="17.25" customHeight="1">
      <x:c r="A165" s="24" t="str">
        <x:v>프라임구독</x:v>
      </x:c>
      <x:c r="B165" s="24" t="str">
        <x:v>179다2681</x:v>
      </x:c>
      <x:c r="C165" s="24" t="str">
        <x:v>현재보유</x:v>
      </x:c>
      <x:c r="D165" s="24" t="str">
        <x:v>대여중</x:v>
      </x:c>
      <x:c r="E165" s="30"/>
      <x:c r="F165" s="31" t="str">
        <x:f>IF(AND(D165="쉬는차",E165&lt;&gt;""),TODAY()-E165,"")</x:f>
      </x:c>
      <x:c r="G165" s="24" t="str">
        <x:v>이미옥</x:v>
      </x:c>
      <x:c r="H165" s="24" t="str">
        <x:v>PR-C-179다2681-1-20230605-62</x:v>
      </x:c>
      <x:c r="I165" s="30" t="n">
        <x:v>45082</x:v>
      </x:c>
      <x:c r="J165" s="30" t="n">
        <x:v>46548</x:v>
      </x:c>
      <x:c r="K165" s="24" t="str">
        <x:v>10</x:v>
      </x:c>
      <x:c r="L165" s="32" t="n">
        <x:v>767000</x:v>
      </x:c>
      <x:c r="M165" s="31" t="n">
        <x:v>15</x:v>
      </x:c>
      <x:c r="N165" s="32" t="n">
        <x:v>2867000</x:v>
      </x:c>
      <x:c r="O165" s="31" t="n">
        <x:v>462</x:v>
      </x:c>
      <x:c r="P165" s="24" t="str">
        <x:v>회수 판단</x:v>
      </x:c>
      <x:c r="Q165" s="24" t="str"/>
      <x:c r="R165" s="24" t="str"/>
      <x:c r="S165" s="24" t="str">
        <x:f>IF(Q165="","계약연령 미입력",IFERROR(IF(R165="","보험연령 미입력",IF(VALUE(R165)=VALUE(Q165),"정상",IF(VALUE(R165)&gt;VALUE(Q165),"보장 불일치","과보장 점검"))),"계약연령 형식확인"))</x:f>
        <x:v>계약연령 미입력</x:v>
      </x:c>
      <x:c r="T165" s="30" t="n">
        <x:v>45786</x:v>
      </x:c>
      <x:c r="U165" s="24" t="str">
        <x:f>IF(T165="","보험 자료 없음",IF(T165&lt;TODAY(),"만기 자료 갱신 필요","정상"))</x:f>
        <x:v>만기 자료 갱신 필요</x:v>
      </x:c>
      <x:c r="V165" s="24" t="str">
        <x:v>010-9497-6151</x:v>
      </x:c>
      <x:c r="W165" s="24" t="str"/>
      <x:c r="X165" s="24" t="str">
        <x:v>있음</x:v>
      </x:c>
      <x:c r="Y165" s="24" t="str">
        <x:v>회수 검토</x:v>
      </x:c>
      <x:c r="Z165" s="24" t="str"/>
      <x:c r="AA165" s="24" t="str">
        <x:v>보유 기준 확인</x:v>
      </x:c>
    </x:row>
    <x:row r="166" ht="17.25" customHeight="1">
      <x:c r="A166" s="24" t="str">
        <x:v>프라임구독</x:v>
      </x:c>
      <x:c r="B166" s="24" t="str">
        <x:v>184주9892</x:v>
      </x:c>
      <x:c r="C166" s="24" t="str">
        <x:v>현재보유</x:v>
      </x:c>
      <x:c r="D166" s="24" t="str">
        <x:v>쉬는차</x:v>
      </x:c>
      <x:c r="E166" s="30"/>
      <x:c r="F166" s="31" t="str">
        <x:f>IF(AND(D166="쉬는차",E166&lt;&gt;""),TODAY()-E166,"")</x:f>
      </x:c>
      <x:c r="G166" s="24" t="str"/>
      <x:c r="H166" s="24" t="str"/>
      <x:c r="I166" s="30"/>
      <x:c r="J166" s="30"/>
      <x:c r="K166" s="24" t="str"/>
      <x:c r="L166" s="32"/>
      <x:c r="M166" s="31" t="n">
        <x:v>0</x:v>
      </x:c>
      <x:c r="N166" s="32" t="n">
        <x:v>0</x:v>
      </x:c>
      <x:c r="O166" s="31" t="n">
        <x:v>0</x:v>
      </x:c>
      <x:c r="P166" s="24" t="str"/>
      <x:c r="Q166" s="24" t="str"/>
      <x:c r="R166" s="24" t="str"/>
      <x:c r="S166" s="24" t="str">
        <x:f>IF(Q166="","계약연령 미입력",IFERROR(IF(R166="","보험연령 미입력",IF(VALUE(R166)=VALUE(Q166),"정상",IF(VALUE(R166)&gt;VALUE(Q166),"보장 불일치","과보장 점검"))),"계약연령 형식확인"))</x:f>
        <x:v>계약연령 미입력</x:v>
      </x:c>
      <x:c r="T166" s="30" t="n">
        <x:v>45691</x:v>
      </x:c>
      <x:c r="U166" s="24" t="str">
        <x:f>IF(T166="","보험 자료 없음",IF(T166&lt;TODAY(),"만기 자료 갱신 필요","정상"))</x:f>
        <x:v>만기 자료 갱신 필요</x:v>
      </x:c>
      <x:c r="V166" s="24" t="str">
        <x:v>010-2887-1667</x:v>
      </x:c>
      <x:c r="W166" s="24" t="str"/>
      <x:c r="X166" s="24" t="str">
        <x:v>있음</x:v>
      </x:c>
      <x:c r="Y166" s="24" t="str">
        <x:v>상태 시작일 입력</x:v>
      </x:c>
      <x:c r="Z166" s="24" t="str"/>
      <x:c r="AA166" s="24" t="str">
        <x:v>보유 기준 확인</x:v>
      </x:c>
    </x:row>
    <x:row r="167" ht="17.25" customHeight="1">
      <x:c r="A167" s="24" t="str">
        <x:v>프라임구독</x:v>
      </x:c>
      <x:c r="B167" s="24" t="str">
        <x:v>193저7763</x:v>
      </x:c>
      <x:c r="C167" s="24" t="str">
        <x:v>현재보유</x:v>
      </x:c>
      <x:c r="D167" s="24" t="str">
        <x:v>쉬는차</x:v>
      </x:c>
      <x:c r="E167" s="30"/>
      <x:c r="F167" s="31" t="str">
        <x:f>IF(AND(D167="쉬는차",E167&lt;&gt;""),TODAY()-E167,"")</x:f>
      </x:c>
      <x:c r="G167" s="24" t="str"/>
      <x:c r="H167" s="24" t="str"/>
      <x:c r="I167" s="30"/>
      <x:c r="J167" s="30"/>
      <x:c r="K167" s="24" t="str"/>
      <x:c r="L167" s="32"/>
      <x:c r="M167" s="31" t="n">
        <x:v>0</x:v>
      </x:c>
      <x:c r="N167" s="32" t="n">
        <x:v>0</x:v>
      </x:c>
      <x:c r="O167" s="31" t="n">
        <x:v>0</x:v>
      </x:c>
      <x:c r="P167" s="24" t="str"/>
      <x:c r="Q167" s="24" t="str"/>
      <x:c r="R167" s="24" t="str"/>
      <x:c r="S167" s="24" t="str">
        <x:f>IF(Q167="","계약연령 미입력",IFERROR(IF(R167="","보험연령 미입력",IF(VALUE(R167)=VALUE(Q167),"정상",IF(VALUE(R167)&gt;VALUE(Q167),"보장 불일치","과보장 점검"))),"계약연령 형식확인"))</x:f>
        <x:v>계약연령 미입력</x:v>
      </x:c>
      <x:c r="T167" s="30" t="n">
        <x:v>45975</x:v>
      </x:c>
      <x:c r="U167" s="24" t="str">
        <x:f>IF(T167="","보험 자료 없음",IF(T167&lt;TODAY(),"만기 자료 갱신 필요","정상"))</x:f>
        <x:v>만기 자료 갱신 필요</x:v>
      </x:c>
      <x:c r="V167" s="24" t="str">
        <x:v>010-6761-5401</x:v>
      </x:c>
      <x:c r="W167" s="24" t="str"/>
      <x:c r="X167" s="24" t="str">
        <x:v>있음</x:v>
      </x:c>
      <x:c r="Y167" s="24" t="str">
        <x:v>상태 시작일 입력</x:v>
      </x:c>
      <x:c r="Z167" s="24" t="str"/>
      <x:c r="AA167" s="24" t="str">
        <x:v>보유 기준 확인</x:v>
      </x:c>
    </x:row>
    <x:row r="168" ht="17.25" customHeight="1">
      <x:c r="A168" s="24" t="str">
        <x:v>프라임구독</x:v>
      </x:c>
      <x:c r="B168" s="24" t="str">
        <x:v>198조2892</x:v>
      </x:c>
      <x:c r="C168" s="24" t="str">
        <x:v>현재보유</x:v>
      </x:c>
      <x:c r="D168" s="24" t="str">
        <x:v>쉬는차</x:v>
      </x:c>
      <x:c r="E168" s="30"/>
      <x:c r="F168" s="31" t="str">
        <x:f>IF(AND(D168="쉬는차",E168&lt;&gt;""),TODAY()-E168,"")</x:f>
      </x:c>
      <x:c r="G168" s="24" t="str"/>
      <x:c r="H168" s="24" t="str"/>
      <x:c r="I168" s="30"/>
      <x:c r="J168" s="30"/>
      <x:c r="K168" s="24" t="str"/>
      <x:c r="L168" s="32"/>
      <x:c r="M168" s="31" t="n">
        <x:v>0</x:v>
      </x:c>
      <x:c r="N168" s="32" t="n">
        <x:v>0</x:v>
      </x:c>
      <x:c r="O168" s="31" t="n">
        <x:v>0</x:v>
      </x:c>
      <x:c r="P168" s="24" t="str"/>
      <x:c r="Q168" s="24" t="str"/>
      <x:c r="R168" s="24" t="str"/>
      <x:c r="S168" s="24" t="str">
        <x:f>IF(Q168="","계약연령 미입력",IFERROR(IF(R168="","보험연령 미입력",IF(VALUE(R168)=VALUE(Q168),"정상",IF(VALUE(R168)&gt;VALUE(Q168),"보장 불일치","과보장 점검"))),"계약연령 형식확인"))</x:f>
        <x:v>계약연령 미입력</x:v>
      </x:c>
      <x:c r="T168" s="30" t="n">
        <x:v>46025</x:v>
      </x:c>
      <x:c r="U168" s="24" t="str">
        <x:f>IF(T168="","보험 자료 없음",IF(T168&lt;TODAY(),"만기 자료 갱신 필요","정상"))</x:f>
        <x:v>만기 자료 갱신 필요</x:v>
      </x:c>
      <x:c r="V168" s="24" t="str">
        <x:v>010-5536-2122</x:v>
      </x:c>
      <x:c r="W168" s="24" t="str"/>
      <x:c r="X168" s="24" t="str">
        <x:v>있음</x:v>
      </x:c>
      <x:c r="Y168" s="24" t="str">
        <x:v>상태 시작일 입력</x:v>
      </x:c>
      <x:c r="Z168" s="24" t="str"/>
      <x:c r="AA168" s="24" t="str">
        <x:v>보유 기준 확인</x:v>
      </x:c>
    </x:row>
    <x:row r="169" ht="17.25" customHeight="1">
      <x:c r="A169" s="24" t="str">
        <x:v>프라임구독</x:v>
      </x:c>
      <x:c r="B169" s="24" t="str">
        <x:v>19너5699</x:v>
      </x:c>
      <x:c r="C169" s="24" t="str">
        <x:v>현재보유</x:v>
      </x:c>
      <x:c r="D169" s="24" t="str">
        <x:v>대여중</x:v>
      </x:c>
      <x:c r="E169" s="30"/>
      <x:c r="F169" s="31" t="str">
        <x:f>IF(AND(D169="쉬는차",E169&lt;&gt;""),TODAY()-E169,"")</x:f>
      </x:c>
      <x:c r="G169" s="24" t="str">
        <x:v>김수연</x:v>
      </x:c>
      <x:c r="H169" s="24" t="str">
        <x:v>PR-C-19너5699-1-20240423-72</x:v>
      </x:c>
      <x:c r="I169" s="30" t="n">
        <x:v>45405</x:v>
      </x:c>
      <x:c r="J169" s="30" t="n">
        <x:v>46502</x:v>
      </x:c>
      <x:c r="K169" s="24" t="str">
        <x:v>25</x:v>
      </x:c>
      <x:c r="L169" s="32" t="n">
        <x:v>435000</x:v>
      </x:c>
      <x:c r="M169" s="31" t="n">
        <x:v>21</x:v>
      </x:c>
      <x:c r="N169" s="32" t="n">
        <x:v>3516000</x:v>
      </x:c>
      <x:c r="O169" s="31" t="n">
        <x:v>598</x:v>
      </x:c>
      <x:c r="P169" s="24" t="str">
        <x:v>회수 판단</x:v>
      </x:c>
      <x:c r="Q169" s="24" t="str"/>
      <x:c r="R169" s="24" t="str"/>
      <x:c r="S169" s="24" t="str">
        <x:f>IF(Q169="","계약연령 미입력",IFERROR(IF(R169="","보험연령 미입력",IF(VALUE(R169)=VALUE(Q169),"정상",IF(VALUE(R169)&gt;VALUE(Q169),"보장 불일치","과보장 점검"))),"계약연령 형식확인"))</x:f>
        <x:v>계약연령 미입력</x:v>
      </x:c>
      <x:c r="T169" s="30" t="n">
        <x:v>45861</x:v>
      </x:c>
      <x:c r="U169" s="24" t="str">
        <x:f>IF(T169="","보험 자료 없음",IF(T169&lt;TODAY(),"만기 자료 갱신 필요","정상"))</x:f>
        <x:v>만기 자료 갱신 필요</x:v>
      </x:c>
      <x:c r="V169" s="24" t="str">
        <x:v>010-2700-2748</x:v>
      </x:c>
      <x:c r="W169" s="24" t="str"/>
      <x:c r="X169" s="24" t="str">
        <x:v>있음</x:v>
      </x:c>
      <x:c r="Y169" s="24" t="str">
        <x:v>회수 검토</x:v>
      </x:c>
      <x:c r="Z169" s="24" t="str"/>
      <x:c r="AA169" s="24" t="str">
        <x:v>보유 기준 확인</x:v>
      </x:c>
    </x:row>
    <x:row r="170" ht="17.25" customHeight="1">
      <x:c r="A170" s="24" t="str">
        <x:v>프라임구독</x:v>
      </x:c>
      <x:c r="B170" s="24" t="str">
        <x:v>19보9990</x:v>
      </x:c>
      <x:c r="C170" s="24" t="str">
        <x:v>현재보유</x:v>
      </x:c>
      <x:c r="D170" s="24" t="str">
        <x:v>쉬는차</x:v>
      </x:c>
      <x:c r="E170" s="30"/>
      <x:c r="F170" s="31" t="str">
        <x:f>IF(AND(D170="쉬는차",E170&lt;&gt;""),TODAY()-E170,"")</x:f>
      </x:c>
      <x:c r="G170" s="24" t="str"/>
      <x:c r="H170" s="24" t="str"/>
      <x:c r="I170" s="30"/>
      <x:c r="J170" s="30"/>
      <x:c r="K170" s="24" t="str"/>
      <x:c r="L170" s="32"/>
      <x:c r="M170" s="31" t="n">
        <x:v>0</x:v>
      </x:c>
      <x:c r="N170" s="32" t="n">
        <x:v>0</x:v>
      </x:c>
      <x:c r="O170" s="31" t="n">
        <x:v>0</x:v>
      </x:c>
      <x:c r="P170" s="24" t="str"/>
      <x:c r="Q170" s="24" t="str"/>
      <x:c r="R170" s="24" t="str"/>
      <x:c r="S170" s="24" t="str">
        <x:f>IF(Q170="","계약연령 미입력",IFERROR(IF(R170="","보험연령 미입력",IF(VALUE(R170)=VALUE(Q170),"정상",IF(VALUE(R170)&gt;VALUE(Q170),"보장 불일치","과보장 점검"))),"계약연령 형식확인"))</x:f>
        <x:v>계약연령 미입력</x:v>
      </x:c>
      <x:c r="T170" s="30" t="n">
        <x:v>45726</x:v>
      </x:c>
      <x:c r="U170" s="24" t="str">
        <x:f>IF(T170="","보험 자료 없음",IF(T170&lt;TODAY(),"만기 자료 갱신 필요","정상"))</x:f>
        <x:v>만기 자료 갱신 필요</x:v>
      </x:c>
      <x:c r="V170" s="24" t="str">
        <x:v>010-4979-3320</x:v>
      </x:c>
      <x:c r="W170" s="24" t="str"/>
      <x:c r="X170" s="24" t="str">
        <x:v>있음</x:v>
      </x:c>
      <x:c r="Y170" s="24" t="str">
        <x:v>상태 시작일 입력</x:v>
      </x:c>
      <x:c r="Z170" s="24" t="str"/>
      <x:c r="AA170" s="24" t="str">
        <x:v>보유 기준 확인</x:v>
      </x:c>
    </x:row>
    <x:row r="171" ht="17.25" customHeight="1">
      <x:c r="A171" s="24" t="str">
        <x:v>프라임구독</x:v>
      </x:c>
      <x:c r="B171" s="24" t="str">
        <x:v>200나9556</x:v>
      </x:c>
      <x:c r="C171" s="24" t="str">
        <x:v>현재보유</x:v>
      </x:c>
      <x:c r="D171" s="24" t="str">
        <x:v>쉬는차</x:v>
      </x:c>
      <x:c r="E171" s="30"/>
      <x:c r="F171" s="31" t="str">
        <x:f>IF(AND(D171="쉬는차",E171&lt;&gt;""),TODAY()-E171,"")</x:f>
      </x:c>
      <x:c r="G171" s="24" t="str"/>
      <x:c r="H171" s="24" t="str"/>
      <x:c r="I171" s="30"/>
      <x:c r="J171" s="30"/>
      <x:c r="K171" s="24" t="str"/>
      <x:c r="L171" s="32"/>
      <x:c r="M171" s="31" t="n">
        <x:v>0</x:v>
      </x:c>
      <x:c r="N171" s="32" t="n">
        <x:v>0</x:v>
      </x:c>
      <x:c r="O171" s="31" t="n">
        <x:v>0</x:v>
      </x:c>
      <x:c r="P171" s="24" t="str"/>
      <x:c r="Q171" s="24" t="str"/>
      <x:c r="R171" s="24" t="str"/>
      <x:c r="S171" s="24" t="str">
        <x:f>IF(Q171="","계약연령 미입력",IFERROR(IF(R171="","보험연령 미입력",IF(VALUE(R171)=VALUE(Q171),"정상",IF(VALUE(R171)&gt;VALUE(Q171),"보장 불일치","과보장 점검"))),"계약연령 형식확인"))</x:f>
        <x:v>계약연령 미입력</x:v>
      </x:c>
      <x:c r="T171" s="30" t="n">
        <x:v>45957</x:v>
      </x:c>
      <x:c r="U171" s="24" t="str">
        <x:f>IF(T171="","보험 자료 없음",IF(T171&lt;TODAY(),"만기 자료 갱신 필요","정상"))</x:f>
        <x:v>만기 자료 갱신 필요</x:v>
      </x:c>
      <x:c r="V171" s="24" t="str">
        <x:v>010-3607-9537</x:v>
      </x:c>
      <x:c r="W171" s="24" t="str"/>
      <x:c r="X171" s="24" t="str">
        <x:v>있음</x:v>
      </x:c>
      <x:c r="Y171" s="24" t="str">
        <x:v>상태 시작일 입력</x:v>
      </x:c>
      <x:c r="Z171" s="24" t="str"/>
      <x:c r="AA171" s="24" t="str">
        <x:v>보유 기준 확인</x:v>
      </x:c>
    </x:row>
    <x:row r="172" ht="17.25" customHeight="1">
      <x:c r="A172" s="24" t="str">
        <x:v>프라임구독</x:v>
      </x:c>
      <x:c r="B172" s="24" t="str">
        <x:v>20가6992</x:v>
      </x:c>
      <x:c r="C172" s="24" t="str">
        <x:v>현재보유</x:v>
      </x:c>
      <x:c r="D172" s="24" t="str">
        <x:v>쉬는차</x:v>
      </x:c>
      <x:c r="E172" s="30"/>
      <x:c r="F172" s="31" t="str">
        <x:f>IF(AND(D172="쉬는차",E172&lt;&gt;""),TODAY()-E172,"")</x:f>
      </x:c>
      <x:c r="G172" s="24" t="str"/>
      <x:c r="H172" s="24" t="str"/>
      <x:c r="I172" s="30"/>
      <x:c r="J172" s="30"/>
      <x:c r="K172" s="24" t="str"/>
      <x:c r="L172" s="32"/>
      <x:c r="M172" s="31" t="n">
        <x:v>0</x:v>
      </x:c>
      <x:c r="N172" s="32" t="n">
        <x:v>0</x:v>
      </x:c>
      <x:c r="O172" s="31" t="n">
        <x:v>0</x:v>
      </x:c>
      <x:c r="P172" s="24" t="str"/>
      <x:c r="Q172" s="24" t="str"/>
      <x:c r="R172" s="24" t="str"/>
      <x:c r="S172" s="24" t="str">
        <x:f>IF(Q172="","계약연령 미입력",IFERROR(IF(R172="","보험연령 미입력",IF(VALUE(R172)=VALUE(Q172),"정상",IF(VALUE(R172)&gt;VALUE(Q172),"보장 불일치","과보장 점검"))),"계약연령 형식확인"))</x:f>
        <x:v>계약연령 미입력</x:v>
      </x:c>
      <x:c r="T172" s="30" t="n">
        <x:v>45722</x:v>
      </x:c>
      <x:c r="U172" s="24" t="str">
        <x:f>IF(T172="","보험 자료 없음",IF(T172&lt;TODAY(),"만기 자료 갱신 필요","정상"))</x:f>
        <x:v>만기 자료 갱신 필요</x:v>
      </x:c>
      <x:c r="V172" s="24" t="str">
        <x:v>010-2378-0714</x:v>
      </x:c>
      <x:c r="W172" s="24" t="str"/>
      <x:c r="X172" s="24" t="str">
        <x:v>있음</x:v>
      </x:c>
      <x:c r="Y172" s="24" t="str">
        <x:v>상태 시작일 입력</x:v>
      </x:c>
      <x:c r="Z172" s="24" t="str"/>
      <x:c r="AA172" s="24" t="str">
        <x:v>보유 기준 확인</x:v>
      </x:c>
    </x:row>
    <x:row r="173" ht="17.25" customHeight="1">
      <x:c r="A173" s="24" t="str">
        <x:v>프라임구독</x:v>
      </x:c>
      <x:c r="B173" s="24" t="str">
        <x:v>20누1882</x:v>
      </x:c>
      <x:c r="C173" s="24" t="str">
        <x:v>현재보유</x:v>
      </x:c>
      <x:c r="D173" s="24" t="str">
        <x:v>쉬는차</x:v>
      </x:c>
      <x:c r="E173" s="30"/>
      <x:c r="F173" s="31" t="str">
        <x:f>IF(AND(D173="쉬는차",E173&lt;&gt;""),TODAY()-E173,"")</x:f>
      </x:c>
      <x:c r="G173" s="24" t="str"/>
      <x:c r="H173" s="24" t="str"/>
      <x:c r="I173" s="30"/>
      <x:c r="J173" s="30"/>
      <x:c r="K173" s="24" t="str"/>
      <x:c r="L173" s="32"/>
      <x:c r="M173" s="31" t="n">
        <x:v>0</x:v>
      </x:c>
      <x:c r="N173" s="32" t="n">
        <x:v>0</x:v>
      </x:c>
      <x:c r="O173" s="31" t="n">
        <x:v>0</x:v>
      </x:c>
      <x:c r="P173" s="24" t="str"/>
      <x:c r="Q173" s="24" t="str"/>
      <x:c r="R173" s="24" t="str"/>
      <x:c r="S173" s="24" t="str">
        <x:f>IF(Q173="","계약연령 미입력",IFERROR(IF(R173="","보험연령 미입력",IF(VALUE(R173)=VALUE(Q173),"정상",IF(VALUE(R173)&gt;VALUE(Q173),"보장 불일치","과보장 점검"))),"계약연령 형식확인"))</x:f>
        <x:v>계약연령 미입력</x:v>
      </x:c>
      <x:c r="T173" s="30" t="n">
        <x:v>45780</x:v>
      </x:c>
      <x:c r="U173" s="24" t="str">
        <x:f>IF(T173="","보험 자료 없음",IF(T173&lt;TODAY(),"만기 자료 갱신 필요","정상"))</x:f>
        <x:v>만기 자료 갱신 필요</x:v>
      </x:c>
      <x:c r="V173" s="24" t="str">
        <x:v>010-8460-5932</x:v>
      </x:c>
      <x:c r="W173" s="24" t="str"/>
      <x:c r="X173" s="24" t="str">
        <x:v>있음</x:v>
      </x:c>
      <x:c r="Y173" s="24" t="str">
        <x:v>상태 시작일 입력</x:v>
      </x:c>
      <x:c r="Z173" s="24" t="str"/>
      <x:c r="AA173" s="24" t="str">
        <x:v>보유 기준 확인</x:v>
      </x:c>
    </x:row>
    <x:row r="174" ht="17.25" customHeight="1">
      <x:c r="A174" s="24" t="str">
        <x:v>프라임구독</x:v>
      </x:c>
      <x:c r="B174" s="24" t="str">
        <x:v>20부2787</x:v>
      </x:c>
      <x:c r="C174" s="24" t="str">
        <x:v>현재보유</x:v>
      </x:c>
      <x:c r="D174" s="24" t="str">
        <x:v>쉬는차</x:v>
      </x:c>
      <x:c r="E174" s="30"/>
      <x:c r="F174" s="31" t="str">
        <x:f>IF(AND(D174="쉬는차",E174&lt;&gt;""),TODAY()-E174,"")</x:f>
      </x:c>
      <x:c r="G174" s="24" t="str"/>
      <x:c r="H174" s="24" t="str"/>
      <x:c r="I174" s="30"/>
      <x:c r="J174" s="30"/>
      <x:c r="K174" s="24" t="str"/>
      <x:c r="L174" s="32"/>
      <x:c r="M174" s="31" t="n">
        <x:v>0</x:v>
      </x:c>
      <x:c r="N174" s="32" t="n">
        <x:v>0</x:v>
      </x:c>
      <x:c r="O174" s="31" t="n">
        <x:v>0</x:v>
      </x:c>
      <x:c r="P174" s="24" t="str"/>
      <x:c r="Q174" s="24" t="str"/>
      <x:c r="R174" s="24" t="str"/>
      <x:c r="S174" s="24" t="str">
        <x:f>IF(Q174="","계약연령 미입력",IFERROR(IF(R174="","보험연령 미입력",IF(VALUE(R174)=VALUE(Q174),"정상",IF(VALUE(R174)&gt;VALUE(Q174),"보장 불일치","과보장 점검"))),"계약연령 형식확인"))</x:f>
        <x:v>계약연령 미입력</x:v>
      </x:c>
      <x:c r="T174" s="30" t="n">
        <x:v>46182</x:v>
      </x:c>
      <x:c r="U174" s="24" t="str">
        <x:f>IF(T174="","보험 자료 없음",IF(T174&lt;TODAY(),"만기 자료 갱신 필요","정상"))</x:f>
        <x:v>만기 자료 갱신 필요</x:v>
      </x:c>
      <x:c r="V174" s="24" t="str">
        <x:v>010-7466-9084</x:v>
      </x:c>
      <x:c r="W174" s="24" t="str"/>
      <x:c r="X174" s="24" t="str">
        <x:v>있음</x:v>
      </x:c>
      <x:c r="Y174" s="24" t="str">
        <x:v>상태 시작일 입력</x:v>
      </x:c>
      <x:c r="Z174" s="24" t="str"/>
      <x:c r="AA174" s="24" t="str">
        <x:v>보유 기준 확인</x:v>
      </x:c>
    </x:row>
    <x:row r="175" ht="17.25" customHeight="1">
      <x:c r="A175" s="24" t="str">
        <x:v>프라임구독</x:v>
      </x:c>
      <x:c r="B175" s="24" t="str">
        <x:v>20서8159</x:v>
      </x:c>
      <x:c r="C175" s="24" t="str">
        <x:v>현재보유</x:v>
      </x:c>
      <x:c r="D175" s="24" t="str">
        <x:v>쉬는차</x:v>
      </x:c>
      <x:c r="E175" s="30"/>
      <x:c r="F175" s="31" t="str">
        <x:f>IF(AND(D175="쉬는차",E175&lt;&gt;""),TODAY()-E175,"")</x:f>
      </x:c>
      <x:c r="G175" s="24" t="str"/>
      <x:c r="H175" s="24" t="str"/>
      <x:c r="I175" s="30"/>
      <x:c r="J175" s="30"/>
      <x:c r="K175" s="24" t="str"/>
      <x:c r="L175" s="32"/>
      <x:c r="M175" s="31" t="n">
        <x:v>0</x:v>
      </x:c>
      <x:c r="N175" s="32" t="n">
        <x:v>0</x:v>
      </x:c>
      <x:c r="O175" s="31" t="n">
        <x:v>0</x:v>
      </x:c>
      <x:c r="P175" s="24" t="str"/>
      <x:c r="Q175" s="24" t="str"/>
      <x:c r="R175" s="24" t="str"/>
      <x:c r="S175" s="24" t="str">
        <x:f>IF(Q175="","계약연령 미입력",IFERROR(IF(R175="","보험연령 미입력",IF(VALUE(R175)=VALUE(Q175),"정상",IF(VALUE(R175)&gt;VALUE(Q175),"보장 불일치","과보장 점검"))),"계약연령 형식확인"))</x:f>
        <x:v>계약연령 미입력</x:v>
      </x:c>
      <x:c r="T175" s="30" t="n">
        <x:v>46087</x:v>
      </x:c>
      <x:c r="U175" s="24" t="str">
        <x:f>IF(T175="","보험 자료 없음",IF(T175&lt;TODAY(),"만기 자료 갱신 필요","정상"))</x:f>
        <x:v>만기 자료 갱신 필요</x:v>
      </x:c>
      <x:c r="V175" s="24" t="str">
        <x:v>010-7936-8570</x:v>
      </x:c>
      <x:c r="W175" s="24" t="str"/>
      <x:c r="X175" s="24" t="str">
        <x:v>있음</x:v>
      </x:c>
      <x:c r="Y175" s="24" t="str">
        <x:v>상태 시작일 입력</x:v>
      </x:c>
      <x:c r="Z175" s="24" t="str"/>
      <x:c r="AA175" s="24" t="str">
        <x:v>보유 기준 확인</x:v>
      </x:c>
    </x:row>
    <x:row r="176" ht="17.25" customHeight="1">
      <x:c r="A176" s="24" t="str">
        <x:v>프라임구독</x:v>
      </x:c>
      <x:c r="B176" s="24" t="str">
        <x:v>21고4882</x:v>
      </x:c>
      <x:c r="C176" s="24" t="str">
        <x:v>현재보유</x:v>
      </x:c>
      <x:c r="D176" s="24" t="str">
        <x:v>대여중</x:v>
      </x:c>
      <x:c r="E176" s="30"/>
      <x:c r="F176" s="31" t="str">
        <x:f>IF(AND(D176="쉬는차",E176&lt;&gt;""),TODAY()-E176,"")</x:f>
      </x:c>
      <x:c r="G176" s="24" t="str">
        <x:v>김윤정</x:v>
      </x:c>
      <x:c r="H176" s="24" t="str">
        <x:v>PR-C-21고4882-1-20231117-80</x:v>
      </x:c>
      <x:c r="I176" s="30" t="n">
        <x:v>45247</x:v>
      </x:c>
      <x:c r="J176" s="30" t="n">
        <x:v>46341</x:v>
      </x:c>
      <x:c r="K176" s="24" t="str">
        <x:v>15</x:v>
      </x:c>
      <x:c r="L176" s="32" t="n">
        <x:v>447000</x:v>
      </x:c>
      <x:c r="M176" s="31" t="n">
        <x:v>1</x:v>
      </x:c>
      <x:c r="N176" s="32" t="n">
        <x:v>447000</x:v>
      </x:c>
      <x:c r="O176" s="31" t="n">
        <x:v>0</x:v>
      </x:c>
      <x:c r="P176" s="24" t="str">
        <x:v>만기 임박</x:v>
      </x:c>
      <x:c r="Q176" s="24" t="str"/>
      <x:c r="R176" s="24" t="str"/>
      <x:c r="S176" s="24" t="str">
        <x:f>IF(Q176="","계약연령 미입력",IFERROR(IF(R176="","보험연령 미입력",IF(VALUE(R176)=VALUE(Q176),"정상",IF(VALUE(R176)&gt;VALUE(Q176),"보장 불일치","과보장 점검"))),"계약연령 형식확인"))</x:f>
        <x:v>계약연령 미입력</x:v>
      </x:c>
      <x:c r="T176" s="30" t="n">
        <x:v>45979</x:v>
      </x:c>
      <x:c r="U176" s="24" t="str">
        <x:f>IF(T176="","보험 자료 없음",IF(T176&lt;TODAY(),"만기 자료 갱신 필요","정상"))</x:f>
        <x:v>만기 자료 갱신 필요</x:v>
      </x:c>
      <x:c r="V176" s="24" t="str">
        <x:v>010-3725-3389</x:v>
      </x:c>
      <x:c r="W176" s="24" t="str"/>
      <x:c r="X176" s="24" t="str">
        <x:v>있음</x:v>
      </x:c>
      <x:c r="Y176" s="24" t="str">
        <x:v>미수 확인</x:v>
      </x:c>
      <x:c r="Z176" s="24" t="str"/>
      <x:c r="AA176" s="24" t="str">
        <x:v>보유 기준 확인</x:v>
      </x:c>
    </x:row>
    <x:row r="177" ht="17.25" customHeight="1">
      <x:c r="A177" s="24" t="str">
        <x:v>프라임구독</x:v>
      </x:c>
      <x:c r="B177" s="24" t="str">
        <x:v>227서8291</x:v>
      </x:c>
      <x:c r="C177" s="24" t="str">
        <x:v>현재보유</x:v>
      </x:c>
      <x:c r="D177" s="24" t="str">
        <x:v>쉬는차</x:v>
      </x:c>
      <x:c r="E177" s="30"/>
      <x:c r="F177" s="31" t="str">
        <x:f>IF(AND(D177="쉬는차",E177&lt;&gt;""),TODAY()-E177,"")</x:f>
      </x:c>
      <x:c r="G177" s="24" t="str"/>
      <x:c r="H177" s="24" t="str"/>
      <x:c r="I177" s="30"/>
      <x:c r="J177" s="30"/>
      <x:c r="K177" s="24" t="str"/>
      <x:c r="L177" s="32"/>
      <x:c r="M177" s="31" t="n">
        <x:v>0</x:v>
      </x:c>
      <x:c r="N177" s="32" t="n">
        <x:v>0</x:v>
      </x:c>
      <x:c r="O177" s="31" t="n">
        <x:v>0</x:v>
      </x:c>
      <x:c r="P177" s="24" t="str"/>
      <x:c r="Q177" s="24" t="str"/>
      <x:c r="R177" s="24" t="str"/>
      <x:c r="S177" s="24" t="str">
        <x:f>IF(Q177="","계약연령 미입력",IFERROR(IF(R177="","보험연령 미입력",IF(VALUE(R177)=VALUE(Q177),"정상",IF(VALUE(R177)&gt;VALUE(Q177),"보장 불일치","과보장 점검"))),"계약연령 형식확인"))</x:f>
        <x:v>계약연령 미입력</x:v>
      </x:c>
      <x:c r="T177" s="30" t="n">
        <x:v>45739</x:v>
      </x:c>
      <x:c r="U177" s="24" t="str">
        <x:f>IF(T177="","보험 자료 없음",IF(T177&lt;TODAY(),"만기 자료 갱신 필요","정상"))</x:f>
        <x:v>만기 자료 갱신 필요</x:v>
      </x:c>
      <x:c r="V177" s="24" t="str">
        <x:v>010-7103-3914</x:v>
      </x:c>
      <x:c r="W177" s="24" t="str"/>
      <x:c r="X177" s="24" t="str">
        <x:v>있음</x:v>
      </x:c>
      <x:c r="Y177" s="24" t="str">
        <x:v>상태 시작일 입력</x:v>
      </x:c>
      <x:c r="Z177" s="24" t="str"/>
      <x:c r="AA177" s="24" t="str">
        <x:v>보유 기준 확인</x:v>
      </x:c>
    </x:row>
    <x:row r="178" ht="17.25" customHeight="1">
      <x:c r="A178" s="24" t="str">
        <x:v>프라임구독</x:v>
      </x:c>
      <x:c r="B178" s="24" t="str">
        <x:v>22거1063</x:v>
      </x:c>
      <x:c r="C178" s="24" t="str">
        <x:v>현재보유</x:v>
      </x:c>
      <x:c r="D178" s="24" t="str">
        <x:v>쉬는차</x:v>
      </x:c>
      <x:c r="E178" s="30"/>
      <x:c r="F178" s="31" t="str">
        <x:f>IF(AND(D178="쉬는차",E178&lt;&gt;""),TODAY()-E178,"")</x:f>
      </x:c>
      <x:c r="G178" s="24" t="str"/>
      <x:c r="H178" s="24" t="str"/>
      <x:c r="I178" s="30"/>
      <x:c r="J178" s="30"/>
      <x:c r="K178" s="24" t="str"/>
      <x:c r="L178" s="32"/>
      <x:c r="M178" s="31" t="n">
        <x:v>0</x:v>
      </x:c>
      <x:c r="N178" s="32" t="n">
        <x:v>0</x:v>
      </x:c>
      <x:c r="O178" s="31" t="n">
        <x:v>0</x:v>
      </x:c>
      <x:c r="P178" s="24" t="str"/>
      <x:c r="Q178" s="24" t="str"/>
      <x:c r="R178" s="24" t="str"/>
      <x:c r="S178" s="24" t="str">
        <x:f>IF(Q178="","계약연령 미입력",IFERROR(IF(R178="","보험연령 미입력",IF(VALUE(R178)=VALUE(Q178),"정상",IF(VALUE(R178)&gt;VALUE(Q178),"보장 불일치","과보장 점검"))),"계약연령 형식확인"))</x:f>
        <x:v>계약연령 미입력</x:v>
      </x:c>
      <x:c r="T178" s="30" t="n">
        <x:v>45794</x:v>
      </x:c>
      <x:c r="U178" s="24" t="str">
        <x:f>IF(T178="","보험 자료 없음",IF(T178&lt;TODAY(),"만기 자료 갱신 필요","정상"))</x:f>
        <x:v>만기 자료 갱신 필요</x:v>
      </x:c>
      <x:c r="V178" s="24" t="str">
        <x:v>010-8472-4814</x:v>
      </x:c>
      <x:c r="W178" s="24" t="str"/>
      <x:c r="X178" s="24" t="str">
        <x:v>있음</x:v>
      </x:c>
      <x:c r="Y178" s="24" t="str">
        <x:v>상태 시작일 입력</x:v>
      </x:c>
      <x:c r="Z178" s="24" t="str"/>
      <x:c r="AA178" s="24" t="str">
        <x:v>보유 기준 확인</x:v>
      </x:c>
    </x:row>
    <x:row r="179" ht="17.25" customHeight="1">
      <x:c r="A179" s="24" t="str">
        <x:v>프라임구독</x:v>
      </x:c>
      <x:c r="B179" s="24" t="str">
        <x:v>231더7227</x:v>
      </x:c>
      <x:c r="C179" s="24" t="str">
        <x:v>현재보유</x:v>
      </x:c>
      <x:c r="D179" s="24" t="str">
        <x:v>쉬는차</x:v>
      </x:c>
      <x:c r="E179" s="30"/>
      <x:c r="F179" s="31" t="str">
        <x:f>IF(AND(D179="쉬는차",E179&lt;&gt;""),TODAY()-E179,"")</x:f>
      </x:c>
      <x:c r="G179" s="24" t="str"/>
      <x:c r="H179" s="24" t="str"/>
      <x:c r="I179" s="30"/>
      <x:c r="J179" s="30"/>
      <x:c r="K179" s="24" t="str"/>
      <x:c r="L179" s="32"/>
      <x:c r="M179" s="31" t="n">
        <x:v>0</x:v>
      </x:c>
      <x:c r="N179" s="32" t="n">
        <x:v>0</x:v>
      </x:c>
      <x:c r="O179" s="31" t="n">
        <x:v>0</x:v>
      </x:c>
      <x:c r="P179" s="24" t="str"/>
      <x:c r="Q179" s="24" t="str"/>
      <x:c r="R179" s="24" t="str"/>
      <x:c r="S179" s="24" t="str">
        <x:f>IF(Q179="","계약연령 미입력",IFERROR(IF(R179="","보험연령 미입력",IF(VALUE(R179)=VALUE(Q179),"정상",IF(VALUE(R179)&gt;VALUE(Q179),"보장 불일치","과보장 점검"))),"계약연령 형식확인"))</x:f>
        <x:v>계약연령 미입력</x:v>
      </x:c>
      <x:c r="T179" s="30" t="n">
        <x:v>45871</x:v>
      </x:c>
      <x:c r="U179" s="24" t="str">
        <x:f>IF(T179="","보험 자료 없음",IF(T179&lt;TODAY(),"만기 자료 갱신 필요","정상"))</x:f>
        <x:v>만기 자료 갱신 필요</x:v>
      </x:c>
      <x:c r="V179" s="24" t="str">
        <x:v>010-7287-7549</x:v>
      </x:c>
      <x:c r="W179" s="24" t="str"/>
      <x:c r="X179" s="24" t="str">
        <x:v>있음</x:v>
      </x:c>
      <x:c r="Y179" s="24" t="str">
        <x:v>상태 시작일 입력</x:v>
      </x:c>
      <x:c r="Z179" s="24" t="str"/>
      <x:c r="AA179" s="24" t="str">
        <x:v>보유 기준 확인</x:v>
      </x:c>
    </x:row>
    <x:row r="180" ht="17.25" customHeight="1">
      <x:c r="A180" s="24" t="str">
        <x:v>프라임구독</x:v>
      </x:c>
      <x:c r="B180" s="24" t="str">
        <x:v>236가3220</x:v>
      </x:c>
      <x:c r="C180" s="24" t="str">
        <x:v>현재보유</x:v>
      </x:c>
      <x:c r="D180" s="24" t="str">
        <x:v>쉬는차</x:v>
      </x:c>
      <x:c r="E180" s="30"/>
      <x:c r="F180" s="31" t="str">
        <x:f>IF(AND(D180="쉬는차",E180&lt;&gt;""),TODAY()-E180,"")</x:f>
      </x:c>
      <x:c r="G180" s="24" t="str"/>
      <x:c r="H180" s="24" t="str"/>
      <x:c r="I180" s="30"/>
      <x:c r="J180" s="30"/>
      <x:c r="K180" s="24" t="str"/>
      <x:c r="L180" s="32"/>
      <x:c r="M180" s="31" t="n">
        <x:v>0</x:v>
      </x:c>
      <x:c r="N180" s="32" t="n">
        <x:v>0</x:v>
      </x:c>
      <x:c r="O180" s="31" t="n">
        <x:v>0</x:v>
      </x:c>
      <x:c r="P180" s="24" t="str"/>
      <x:c r="Q180" s="24" t="str"/>
      <x:c r="R180" s="24" t="str"/>
      <x:c r="S180" s="24" t="str">
        <x:f>IF(Q180="","계약연령 미입력",IFERROR(IF(R180="","보험연령 미입력",IF(VALUE(R180)=VALUE(Q180),"정상",IF(VALUE(R180)&gt;VALUE(Q180),"보장 불일치","과보장 점검"))),"계약연령 형식확인"))</x:f>
        <x:v>계약연령 미입력</x:v>
      </x:c>
      <x:c r="T180" s="30" t="n">
        <x:v>45714</x:v>
      </x:c>
      <x:c r="U180" s="24" t="str">
        <x:f>IF(T180="","보험 자료 없음",IF(T180&lt;TODAY(),"만기 자료 갱신 필요","정상"))</x:f>
        <x:v>만기 자료 갱신 필요</x:v>
      </x:c>
      <x:c r="V180" s="24" t="str">
        <x:v>010-2198-7003</x:v>
      </x:c>
      <x:c r="W180" s="24" t="str"/>
      <x:c r="X180" s="24" t="str">
        <x:v>있음</x:v>
      </x:c>
      <x:c r="Y180" s="24" t="str">
        <x:v>상태 시작일 입력</x:v>
      </x:c>
      <x:c r="Z180" s="24" t="str"/>
      <x:c r="AA180" s="24" t="str">
        <x:v>보유 기준 확인</x:v>
      </x:c>
    </x:row>
    <x:row r="181" ht="17.25" customHeight="1">
      <x:c r="A181" s="24" t="str">
        <x:v>프라임구독</x:v>
      </x:c>
      <x:c r="B181" s="24" t="str">
        <x:v>236보1364</x:v>
      </x:c>
      <x:c r="C181" s="24" t="str">
        <x:v>현재보유</x:v>
      </x:c>
      <x:c r="D181" s="24" t="str">
        <x:v>대여중</x:v>
      </x:c>
      <x:c r="E181" s="30"/>
      <x:c r="F181" s="31" t="str">
        <x:f>IF(AND(D181="쉬는차",E181&lt;&gt;""),TODAY()-E181,"")</x:f>
      </x:c>
      <x:c r="G181" s="24" t="str">
        <x:v>조영훈b</x:v>
      </x:c>
      <x:c r="H181" s="24" t="str">
        <x:v>PR-C-236보1364-1-20240313-85</x:v>
      </x:c>
      <x:c r="I181" s="30" t="n">
        <x:v>45364</x:v>
      </x:c>
      <x:c r="J181" s="30" t="n">
        <x:v>46837</x:v>
      </x:c>
      <x:c r="K181" s="24" t="str">
        <x:v>25</x:v>
      </x:c>
      <x:c r="L181" s="32" t="n">
        <x:v>399000</x:v>
      </x:c>
      <x:c r="M181" s="31" t="n">
        <x:v>17</x:v>
      </x:c>
      <x:c r="N181" s="32" t="n">
        <x:v>1077280</x:v>
      </x:c>
      <x:c r="O181" s="31" t="n">
        <x:v>477</x:v>
      </x:c>
      <x:c r="P181" s="24" t="str">
        <x:v>회수 판단</x:v>
      </x:c>
      <x:c r="Q181" s="24" t="str"/>
      <x:c r="R181" s="24" t="str"/>
      <x:c r="S181" s="24" t="str">
        <x:f>IF(Q181="","계약연령 미입력",IFERROR(IF(R181="","보험연령 미입력",IF(VALUE(R181)=VALUE(Q181),"정상",IF(VALUE(R181)&gt;VALUE(Q181),"보장 불일치","과보장 점검"))),"계약연령 형식확인"))</x:f>
        <x:v>계약연령 미입력</x:v>
      </x:c>
      <x:c r="T181" s="30" t="n">
        <x:v>45828</x:v>
      </x:c>
      <x:c r="U181" s="24" t="str">
        <x:f>IF(T181="","보험 자료 없음",IF(T181&lt;TODAY(),"만기 자료 갱신 필요","정상"))</x:f>
        <x:v>만기 자료 갱신 필요</x:v>
      </x:c>
      <x:c r="V181" s="24" t="str">
        <x:v>010-6354-6421</x:v>
      </x:c>
      <x:c r="W181" s="24" t="str"/>
      <x:c r="X181" s="24" t="str">
        <x:v>있음</x:v>
      </x:c>
      <x:c r="Y181" s="24" t="str">
        <x:v>회수 검토</x:v>
      </x:c>
      <x:c r="Z181" s="24" t="str"/>
      <x:c r="AA181" s="24" t="str">
        <x:v>보유 기준 확인</x:v>
      </x:c>
    </x:row>
    <x:row r="182" ht="17.25" customHeight="1">
      <x:c r="A182" s="24" t="str">
        <x:v>프라임구독</x:v>
      </x:c>
      <x:c r="B182" s="24" t="str">
        <x:v>239버3661</x:v>
      </x:c>
      <x:c r="C182" s="24" t="str">
        <x:v>현재보유</x:v>
      </x:c>
      <x:c r="D182" s="24" t="str">
        <x:v>쉬는차</x:v>
      </x:c>
      <x:c r="E182" s="30"/>
      <x:c r="F182" s="31" t="str">
        <x:f>IF(AND(D182="쉬는차",E182&lt;&gt;""),TODAY()-E182,"")</x:f>
      </x:c>
      <x:c r="G182" s="24" t="str"/>
      <x:c r="H182" s="24" t="str"/>
      <x:c r="I182" s="30"/>
      <x:c r="J182" s="30"/>
      <x:c r="K182" s="24" t="str"/>
      <x:c r="L182" s="32"/>
      <x:c r="M182" s="31" t="n">
        <x:v>0</x:v>
      </x:c>
      <x:c r="N182" s="32" t="n">
        <x:v>0</x:v>
      </x:c>
      <x:c r="O182" s="31" t="n">
        <x:v>0</x:v>
      </x:c>
      <x:c r="P182" s="24" t="str"/>
      <x:c r="Q182" s="24" t="str"/>
      <x:c r="R182" s="24" t="str"/>
      <x:c r="S182" s="24" t="str">
        <x:f>IF(Q182="","계약연령 미입력",IFERROR(IF(R182="","보험연령 미입력",IF(VALUE(R182)=VALUE(Q182),"정상",IF(VALUE(R182)&gt;VALUE(Q182),"보장 불일치","과보장 점검"))),"계약연령 형식확인"))</x:f>
        <x:v>계약연령 미입력</x:v>
      </x:c>
      <x:c r="T182" s="30" t="n">
        <x:v>46108</x:v>
      </x:c>
      <x:c r="U182" s="24" t="str">
        <x:f>IF(T182="","보험 자료 없음",IF(T182&lt;TODAY(),"만기 자료 갱신 필요","정상"))</x:f>
        <x:v>만기 자료 갱신 필요</x:v>
      </x:c>
      <x:c r="V182" s="24" t="str">
        <x:v>010-6434-3865</x:v>
      </x:c>
      <x:c r="W182" s="24" t="str"/>
      <x:c r="X182" s="24" t="str">
        <x:v>있음</x:v>
      </x:c>
      <x:c r="Y182" s="24" t="str">
        <x:v>상태 시작일 입력</x:v>
      </x:c>
      <x:c r="Z182" s="24" t="str"/>
      <x:c r="AA182" s="24" t="str">
        <x:v>보유 기준 확인</x:v>
      </x:c>
    </x:row>
    <x:row r="183" ht="17.25" customHeight="1">
      <x:c r="A183" s="24" t="str">
        <x:v>프라임구독</x:v>
      </x:c>
      <x:c r="B183" s="24" t="str">
        <x:v>23더7974</x:v>
      </x:c>
      <x:c r="C183" s="24" t="str">
        <x:v>현재보유</x:v>
      </x:c>
      <x:c r="D183" s="24" t="str">
        <x:v>쉬는차</x:v>
      </x:c>
      <x:c r="E183" s="30"/>
      <x:c r="F183" s="31" t="str">
        <x:f>IF(AND(D183="쉬는차",E183&lt;&gt;""),TODAY()-E183,"")</x:f>
      </x:c>
      <x:c r="G183" s="24" t="str"/>
      <x:c r="H183" s="24" t="str"/>
      <x:c r="I183" s="30"/>
      <x:c r="J183" s="30"/>
      <x:c r="K183" s="24" t="str"/>
      <x:c r="L183" s="32"/>
      <x:c r="M183" s="31" t="n">
        <x:v>0</x:v>
      </x:c>
      <x:c r="N183" s="32" t="n">
        <x:v>0</x:v>
      </x:c>
      <x:c r="O183" s="31" t="n">
        <x:v>0</x:v>
      </x:c>
      <x:c r="P183" s="24" t="str"/>
      <x:c r="Q183" s="24" t="str"/>
      <x:c r="R183" s="24" t="str"/>
      <x:c r="S183" s="24" t="str">
        <x:f>IF(Q183="","계약연령 미입력",IFERROR(IF(R183="","보험연령 미입력",IF(VALUE(R183)=VALUE(Q183),"정상",IF(VALUE(R183)&gt;VALUE(Q183),"보장 불일치","과보장 점검"))),"계약연령 형식확인"))</x:f>
        <x:v>계약연령 미입력</x:v>
      </x:c>
      <x:c r="T183" s="30" t="n">
        <x:v>45848</x:v>
      </x:c>
      <x:c r="U183" s="24" t="str">
        <x:f>IF(T183="","보험 자료 없음",IF(T183&lt;TODAY(),"만기 자료 갱신 필요","정상"))</x:f>
        <x:v>만기 자료 갱신 필요</x:v>
      </x:c>
      <x:c r="V183" s="24" t="str">
        <x:v>010-2808-8450</x:v>
      </x:c>
      <x:c r="W183" s="24" t="str"/>
      <x:c r="X183" s="24" t="str">
        <x:v>있음</x:v>
      </x:c>
      <x:c r="Y183" s="24" t="str">
        <x:v>상태 시작일 입력</x:v>
      </x:c>
      <x:c r="Z183" s="24" t="str"/>
      <x:c r="AA183" s="24" t="str">
        <x:v>보유 기준 확인</x:v>
      </x:c>
    </x:row>
    <x:row r="184" ht="17.25" customHeight="1">
      <x:c r="A184" s="24" t="str">
        <x:v>프라임구독</x:v>
      </x:c>
      <x:c r="B184" s="24" t="str">
        <x:v>240보1114</x:v>
      </x:c>
      <x:c r="C184" s="24" t="str">
        <x:v>현재보유</x:v>
      </x:c>
      <x:c r="D184" s="24" t="str">
        <x:v>쉬는차</x:v>
      </x:c>
      <x:c r="E184" s="30"/>
      <x:c r="F184" s="31" t="str">
        <x:f>IF(AND(D184="쉬는차",E184&lt;&gt;""),TODAY()-E184,"")</x:f>
      </x:c>
      <x:c r="G184" s="24" t="str"/>
      <x:c r="H184" s="24" t="str"/>
      <x:c r="I184" s="30"/>
      <x:c r="J184" s="30"/>
      <x:c r="K184" s="24" t="str"/>
      <x:c r="L184" s="32"/>
      <x:c r="M184" s="31" t="n">
        <x:v>0</x:v>
      </x:c>
      <x:c r="N184" s="32" t="n">
        <x:v>0</x:v>
      </x:c>
      <x:c r="O184" s="31" t="n">
        <x:v>0</x:v>
      </x:c>
      <x:c r="P184" s="24" t="str"/>
      <x:c r="Q184" s="24" t="str"/>
      <x:c r="R184" s="24" t="str"/>
      <x:c r="S184" s="24" t="str">
        <x:f>IF(Q184="","계약연령 미입력",IFERROR(IF(R184="","보험연령 미입력",IF(VALUE(R184)=VALUE(Q184),"정상",IF(VALUE(R184)&gt;VALUE(Q184),"보장 불일치","과보장 점검"))),"계약연령 형식확인"))</x:f>
        <x:v>계약연령 미입력</x:v>
      </x:c>
      <x:c r="T184" s="30" t="n">
        <x:v>46025</x:v>
      </x:c>
      <x:c r="U184" s="24" t="str">
        <x:f>IF(T184="","보험 자료 없음",IF(T184&lt;TODAY(),"만기 자료 갱신 필요","정상"))</x:f>
        <x:v>만기 자료 갱신 필요</x:v>
      </x:c>
      <x:c r="V184" s="24" t="str">
        <x:v>010-5035-9650</x:v>
      </x:c>
      <x:c r="W184" s="24" t="str"/>
      <x:c r="X184" s="24" t="str">
        <x:v>있음</x:v>
      </x:c>
      <x:c r="Y184" s="24" t="str">
        <x:v>상태 시작일 입력</x:v>
      </x:c>
      <x:c r="Z184" s="24" t="str"/>
      <x:c r="AA184" s="24" t="str">
        <x:v>보유 기준 확인</x:v>
      </x:c>
    </x:row>
    <x:row r="185" ht="17.25" customHeight="1">
      <x:c r="A185" s="24" t="str">
        <x:v>프라임구독</x:v>
      </x:c>
      <x:c r="B185" s="24" t="str">
        <x:v>24고7227</x:v>
      </x:c>
      <x:c r="C185" s="24" t="str">
        <x:v>현재보유</x:v>
      </x:c>
      <x:c r="D185" s="24" t="str">
        <x:v>쉬는차</x:v>
      </x:c>
      <x:c r="E185" s="30"/>
      <x:c r="F185" s="31" t="str">
        <x:f>IF(AND(D185="쉬는차",E185&lt;&gt;""),TODAY()-E185,"")</x:f>
      </x:c>
      <x:c r="G185" s="24" t="str"/>
      <x:c r="H185" s="24" t="str"/>
      <x:c r="I185" s="30"/>
      <x:c r="J185" s="30"/>
      <x:c r="K185" s="24" t="str"/>
      <x:c r="L185" s="32"/>
      <x:c r="M185" s="31" t="n">
        <x:v>0</x:v>
      </x:c>
      <x:c r="N185" s="32" t="n">
        <x:v>0</x:v>
      </x:c>
      <x:c r="O185" s="31" t="n">
        <x:v>0</x:v>
      </x:c>
      <x:c r="P185" s="24" t="str"/>
      <x:c r="Q185" s="24" t="str"/>
      <x:c r="R185" s="24" t="str"/>
      <x:c r="S185" s="24" t="str">
        <x:f>IF(Q185="","계약연령 미입력",IFERROR(IF(R185="","보험연령 미입력",IF(VALUE(R185)=VALUE(Q185),"정상",IF(VALUE(R185)&gt;VALUE(Q185),"보장 불일치","과보장 점검"))),"계약연령 형식확인"))</x:f>
        <x:v>계약연령 미입력</x:v>
      </x:c>
      <x:c r="T185" s="30" t="n">
        <x:v>46047</x:v>
      </x:c>
      <x:c r="U185" s="24" t="str">
        <x:f>IF(T185="","보험 자료 없음",IF(T185&lt;TODAY(),"만기 자료 갱신 필요","정상"))</x:f>
        <x:v>만기 자료 갱신 필요</x:v>
      </x:c>
      <x:c r="V185" s="24" t="str">
        <x:v>010-9379-7934</x:v>
      </x:c>
      <x:c r="W185" s="24" t="str"/>
      <x:c r="X185" s="24" t="str">
        <x:v>있음</x:v>
      </x:c>
      <x:c r="Y185" s="24" t="str">
        <x:v>상태 시작일 입력</x:v>
      </x:c>
      <x:c r="Z185" s="24" t="str"/>
      <x:c r="AA185" s="24" t="str">
        <x:v>보유 기준 확인</x:v>
      </x:c>
    </x:row>
    <x:row r="186" ht="17.25" customHeight="1">
      <x:c r="A186" s="24" t="str">
        <x:v>프라임구독</x:v>
      </x:c>
      <x:c r="B186" s="24" t="str">
        <x:v>250서5013</x:v>
      </x:c>
      <x:c r="C186" s="24" t="str">
        <x:v>현재보유</x:v>
      </x:c>
      <x:c r="D186" s="24" t="str">
        <x:v>쉬는차</x:v>
      </x:c>
      <x:c r="E186" s="30"/>
      <x:c r="F186" s="31" t="str">
        <x:f>IF(AND(D186="쉬는차",E186&lt;&gt;""),TODAY()-E186,"")</x:f>
      </x:c>
      <x:c r="G186" s="24" t="str"/>
      <x:c r="H186" s="24" t="str"/>
      <x:c r="I186" s="30"/>
      <x:c r="J186" s="30"/>
      <x:c r="K186" s="24" t="str"/>
      <x:c r="L186" s="32"/>
      <x:c r="M186" s="31" t="n">
        <x:v>0</x:v>
      </x:c>
      <x:c r="N186" s="32" t="n">
        <x:v>0</x:v>
      </x:c>
      <x:c r="O186" s="31" t="n">
        <x:v>0</x:v>
      </x:c>
      <x:c r="P186" s="24" t="str"/>
      <x:c r="Q186" s="24" t="str"/>
      <x:c r="R186" s="24" t="str"/>
      <x:c r="S186" s="24" t="str">
        <x:f>IF(Q186="","계약연령 미입력",IFERROR(IF(R186="","보험연령 미입력",IF(VALUE(R186)=VALUE(Q186),"정상",IF(VALUE(R186)&gt;VALUE(Q186),"보장 불일치","과보장 점검"))),"계약연령 형식확인"))</x:f>
        <x:v>계약연령 미입력</x:v>
      </x:c>
      <x:c r="T186" s="30" t="n">
        <x:v>45892</x:v>
      </x:c>
      <x:c r="U186" s="24" t="str">
        <x:f>IF(T186="","보험 자료 없음",IF(T186&lt;TODAY(),"만기 자료 갱신 필요","정상"))</x:f>
        <x:v>만기 자료 갱신 필요</x:v>
      </x:c>
      <x:c r="V186" s="24" t="str">
        <x:v>010-7748-9281</x:v>
      </x:c>
      <x:c r="W186" s="24" t="str"/>
      <x:c r="X186" s="24" t="str">
        <x:v>있음</x:v>
      </x:c>
      <x:c r="Y186" s="24" t="str">
        <x:v>상태 시작일 입력</x:v>
      </x:c>
      <x:c r="Z186" s="24" t="str"/>
      <x:c r="AA186" s="24" t="str">
        <x:v>보유 기준 확인</x:v>
      </x:c>
    </x:row>
    <x:row r="187" ht="17.25" customHeight="1">
      <x:c r="A187" s="24" t="str">
        <x:v>프라임구독</x:v>
      </x:c>
      <x:c r="B187" s="24" t="str">
        <x:v>255로9949</x:v>
      </x:c>
      <x:c r="C187" s="24" t="str">
        <x:v>현재보유</x:v>
      </x:c>
      <x:c r="D187" s="24" t="str">
        <x:v>쉬는차</x:v>
      </x:c>
      <x:c r="E187" s="30"/>
      <x:c r="F187" s="31" t="str">
        <x:f>IF(AND(D187="쉬는차",E187&lt;&gt;""),TODAY()-E187,"")</x:f>
      </x:c>
      <x:c r="G187" s="24" t="str"/>
      <x:c r="H187" s="24" t="str"/>
      <x:c r="I187" s="30"/>
      <x:c r="J187" s="30"/>
      <x:c r="K187" s="24" t="str"/>
      <x:c r="L187" s="32"/>
      <x:c r="M187" s="31" t="n">
        <x:v>0</x:v>
      </x:c>
      <x:c r="N187" s="32" t="n">
        <x:v>0</x:v>
      </x:c>
      <x:c r="O187" s="31" t="n">
        <x:v>0</x:v>
      </x:c>
      <x:c r="P187" s="24" t="str"/>
      <x:c r="Q187" s="24" t="str"/>
      <x:c r="R187" s="24" t="str"/>
      <x:c r="S187" s="24" t="str">
        <x:f>IF(Q187="","계약연령 미입력",IFERROR(IF(R187="","보험연령 미입력",IF(VALUE(R187)=VALUE(Q187),"정상",IF(VALUE(R187)&gt;VALUE(Q187),"보장 불일치","과보장 점검"))),"계약연령 형식확인"))</x:f>
        <x:v>계약연령 미입력</x:v>
      </x:c>
      <x:c r="T187" s="30" t="n">
        <x:v>45874</x:v>
      </x:c>
      <x:c r="U187" s="24" t="str">
        <x:f>IF(T187="","보험 자료 없음",IF(T187&lt;TODAY(),"만기 자료 갱신 필요","정상"))</x:f>
        <x:v>만기 자료 갱신 필요</x:v>
      </x:c>
      <x:c r="V187" s="24" t="str">
        <x:v>010-7571-8136</x:v>
      </x:c>
      <x:c r="W187" s="24" t="str"/>
      <x:c r="X187" s="24" t="str">
        <x:v>있음</x:v>
      </x:c>
      <x:c r="Y187" s="24" t="str">
        <x:v>상태 시작일 입력</x:v>
      </x:c>
      <x:c r="Z187" s="24" t="str"/>
      <x:c r="AA187" s="24" t="str">
        <x:v>보유 기준 확인</x:v>
      </x:c>
    </x:row>
    <x:row r="188" ht="17.25" customHeight="1">
      <x:c r="A188" s="24" t="str">
        <x:v>프라임구독</x:v>
      </x:c>
      <x:c r="B188" s="24" t="str">
        <x:v>255오1360</x:v>
      </x:c>
      <x:c r="C188" s="24" t="str">
        <x:v>현재보유</x:v>
      </x:c>
      <x:c r="D188" s="24" t="str">
        <x:v>대여중</x:v>
      </x:c>
      <x:c r="E188" s="30"/>
      <x:c r="F188" s="31" t="str">
        <x:f>IF(AND(D188="쉬는차",E188&lt;&gt;""),TODAY()-E188,"")</x:f>
      </x:c>
      <x:c r="G188" s="24" t="str">
        <x:v>이문구</x:v>
      </x:c>
      <x:c r="H188" s="24" t="str">
        <x:v>PR-C-255오1360-1-20231115-92</x:v>
      </x:c>
      <x:c r="I188" s="30" t="n">
        <x:v>45245</x:v>
      </x:c>
      <x:c r="J188" s="30" t="n">
        <x:v>46696</x:v>
      </x:c>
      <x:c r="K188" s="24" t="str">
        <x:v>5</x:v>
      </x:c>
      <x:c r="L188" s="32" t="n">
        <x:v>565000</x:v>
      </x:c>
      <x:c r="M188" s="31" t="n">
        <x:v>20</x:v>
      </x:c>
      <x:c r="N188" s="32" t="n">
        <x:v>3390000</x:v>
      </x:c>
      <x:c r="O188" s="31" t="n">
        <x:v>587</x:v>
      </x:c>
      <x:c r="P188" s="24" t="str">
        <x:v>회수 판단</x:v>
      </x:c>
      <x:c r="Q188" s="24" t="str"/>
      <x:c r="R188" s="24" t="str"/>
      <x:c r="S188" s="24" t="str">
        <x:f>IF(Q188="","계약연령 미입력",IFERROR(IF(R188="","보험연령 미입력",IF(VALUE(R188)=VALUE(Q188),"정상",IF(VALUE(R188)&gt;VALUE(Q188),"보장 불일치","과보장 점검"))),"계약연령 형식확인"))</x:f>
        <x:v>계약연령 미입력</x:v>
      </x:c>
      <x:c r="T188" s="30" t="n">
        <x:v>45977</x:v>
      </x:c>
      <x:c r="U188" s="24" t="str">
        <x:f>IF(T188="","보험 자료 없음",IF(T188&lt;TODAY(),"만기 자료 갱신 필요","정상"))</x:f>
        <x:v>만기 자료 갱신 필요</x:v>
      </x:c>
      <x:c r="V188" s="24" t="str">
        <x:v>010-5960-7870</x:v>
      </x:c>
      <x:c r="W188" s="24" t="str"/>
      <x:c r="X188" s="24" t="str">
        <x:v>있음</x:v>
      </x:c>
      <x:c r="Y188" s="24" t="str">
        <x:v>회수 검토</x:v>
      </x:c>
      <x:c r="Z188" s="24" t="str"/>
      <x:c r="AA188" s="24" t="str">
        <x:v>보유 기준 확인</x:v>
      </x:c>
    </x:row>
    <x:row r="189" ht="17.25" customHeight="1">
      <x:c r="A189" s="24" t="str">
        <x:v>프라임구독</x:v>
      </x:c>
      <x:c r="B189" s="24" t="str">
        <x:v>255우2089</x:v>
      </x:c>
      <x:c r="C189" s="24" t="str">
        <x:v>현재보유</x:v>
      </x:c>
      <x:c r="D189" s="24" t="str">
        <x:v>쉬는차</x:v>
      </x:c>
      <x:c r="E189" s="30"/>
      <x:c r="F189" s="31" t="str">
        <x:f>IF(AND(D189="쉬는차",E189&lt;&gt;""),TODAY()-E189,"")</x:f>
      </x:c>
      <x:c r="G189" s="24" t="str"/>
      <x:c r="H189" s="24" t="str"/>
      <x:c r="I189" s="30"/>
      <x:c r="J189" s="30"/>
      <x:c r="K189" s="24" t="str"/>
      <x:c r="L189" s="32"/>
      <x:c r="M189" s="31" t="n">
        <x:v>0</x:v>
      </x:c>
      <x:c r="N189" s="32" t="n">
        <x:v>0</x:v>
      </x:c>
      <x:c r="O189" s="31" t="n">
        <x:v>0</x:v>
      </x:c>
      <x:c r="P189" s="24" t="str"/>
      <x:c r="Q189" s="24" t="str"/>
      <x:c r="R189" s="24" t="str"/>
      <x:c r="S189" s="24" t="str">
        <x:f>IF(Q189="","계약연령 미입력",IFERROR(IF(R189="","보험연령 미입력",IF(VALUE(R189)=VALUE(Q189),"정상",IF(VALUE(R189)&gt;VALUE(Q189),"보장 불일치","과보장 점검"))),"계약연령 형식확인"))</x:f>
        <x:v>계약연령 미입력</x:v>
      </x:c>
      <x:c r="T189" s="30" t="n">
        <x:v>45767</x:v>
      </x:c>
      <x:c r="U189" s="24" t="str">
        <x:f>IF(T189="","보험 자료 없음",IF(T189&lt;TODAY(),"만기 자료 갱신 필요","정상"))</x:f>
        <x:v>만기 자료 갱신 필요</x:v>
      </x:c>
      <x:c r="V189" s="24" t="str">
        <x:v>010-2684-7914</x:v>
      </x:c>
      <x:c r="W189" s="24" t="str"/>
      <x:c r="X189" s="24" t="str">
        <x:v>있음</x:v>
      </x:c>
      <x:c r="Y189" s="24" t="str">
        <x:v>상태 시작일 입력</x:v>
      </x:c>
      <x:c r="Z189" s="24" t="str"/>
      <x:c r="AA189" s="24" t="str">
        <x:v>보유 기준 확인</x:v>
      </x:c>
    </x:row>
    <x:row r="190" ht="17.25" customHeight="1">
      <x:c r="A190" s="24" t="str">
        <x:v>프라임구독</x:v>
      </x:c>
      <x:c r="B190" s="24" t="str">
        <x:v>25머4399</x:v>
      </x:c>
      <x:c r="C190" s="24" t="str">
        <x:v>현재보유</x:v>
      </x:c>
      <x:c r="D190" s="24" t="str">
        <x:v>쉬는차</x:v>
      </x:c>
      <x:c r="E190" s="30"/>
      <x:c r="F190" s="31" t="str">
        <x:f>IF(AND(D190="쉬는차",E190&lt;&gt;""),TODAY()-E190,"")</x:f>
      </x:c>
      <x:c r="G190" s="24" t="str"/>
      <x:c r="H190" s="24" t="str"/>
      <x:c r="I190" s="30"/>
      <x:c r="J190" s="30"/>
      <x:c r="K190" s="24" t="str"/>
      <x:c r="L190" s="32"/>
      <x:c r="M190" s="31" t="n">
        <x:v>0</x:v>
      </x:c>
      <x:c r="N190" s="32" t="n">
        <x:v>0</x:v>
      </x:c>
      <x:c r="O190" s="31" t="n">
        <x:v>0</x:v>
      </x:c>
      <x:c r="P190" s="24" t="str"/>
      <x:c r="Q190" s="24" t="str"/>
      <x:c r="R190" s="24" t="str"/>
      <x:c r="S190" s="24" t="str">
        <x:f>IF(Q190="","계약연령 미입력",IFERROR(IF(R190="","보험연령 미입력",IF(VALUE(R190)=VALUE(Q190),"정상",IF(VALUE(R190)&gt;VALUE(Q190),"보장 불일치","과보장 점검"))),"계약연령 형식확인"))</x:f>
        <x:v>계약연령 미입력</x:v>
      </x:c>
      <x:c r="T190" s="30" t="n">
        <x:v>45508</x:v>
      </x:c>
      <x:c r="U190" s="24" t="str">
        <x:f>IF(T190="","보험 자료 없음",IF(T190&lt;TODAY(),"만기 자료 갱신 필요","정상"))</x:f>
        <x:v>만기 자료 갱신 필요</x:v>
      </x:c>
      <x:c r="V190" s="24" t="str">
        <x:v>010-4138-8913</x:v>
      </x:c>
      <x:c r="W190" s="24" t="str"/>
      <x:c r="X190" s="24" t="str">
        <x:v>있음</x:v>
      </x:c>
      <x:c r="Y190" s="24" t="str">
        <x:v>상태 시작일 입력</x:v>
      </x:c>
      <x:c r="Z190" s="24" t="str"/>
      <x:c r="AA190" s="24" t="str">
        <x:v>보유 기준 확인</x:v>
      </x:c>
    </x:row>
    <x:row r="191" ht="17.25" customHeight="1">
      <x:c r="A191" s="24" t="str">
        <x:v>프라임구독</x:v>
      </x:c>
      <x:c r="B191" s="24" t="str">
        <x:v>25부0580</x:v>
      </x:c>
      <x:c r="C191" s="24" t="str">
        <x:v>현재보유</x:v>
      </x:c>
      <x:c r="D191" s="24" t="str">
        <x:v>쉬는차</x:v>
      </x:c>
      <x:c r="E191" s="30"/>
      <x:c r="F191" s="31" t="str">
        <x:f>IF(AND(D191="쉬는차",E191&lt;&gt;""),TODAY()-E191,"")</x:f>
      </x:c>
      <x:c r="G191" s="24" t="str"/>
      <x:c r="H191" s="24" t="str"/>
      <x:c r="I191" s="30"/>
      <x:c r="J191" s="30"/>
      <x:c r="K191" s="24" t="str"/>
      <x:c r="L191" s="32"/>
      <x:c r="M191" s="31" t="n">
        <x:v>0</x:v>
      </x:c>
      <x:c r="N191" s="32" t="n">
        <x:v>0</x:v>
      </x:c>
      <x:c r="O191" s="31" t="n">
        <x:v>0</x:v>
      </x:c>
      <x:c r="P191" s="24" t="str"/>
      <x:c r="Q191" s="24" t="str"/>
      <x:c r="R191" s="24" t="str"/>
      <x:c r="S191" s="24" t="str">
        <x:f>IF(Q191="","계약연령 미입력",IFERROR(IF(R191="","보험연령 미입력",IF(VALUE(R191)=VALUE(Q191),"정상",IF(VALUE(R191)&gt;VALUE(Q191),"보장 불일치","과보장 점검"))),"계약연령 형식확인"))</x:f>
        <x:v>계약연령 미입력</x:v>
      </x:c>
      <x:c r="T191" s="30" t="n">
        <x:v>45740</x:v>
      </x:c>
      <x:c r="U191" s="24" t="str">
        <x:f>IF(T191="","보험 자료 없음",IF(T191&lt;TODAY(),"만기 자료 갱신 필요","정상"))</x:f>
        <x:v>만기 자료 갱신 필요</x:v>
      </x:c>
      <x:c r="V191" s="24" t="str">
        <x:v>010-2644-1977</x:v>
      </x:c>
      <x:c r="W191" s="24" t="str"/>
      <x:c r="X191" s="24" t="str">
        <x:v>있음</x:v>
      </x:c>
      <x:c r="Y191" s="24" t="str">
        <x:v>상태 시작일 입력</x:v>
      </x:c>
      <x:c r="Z191" s="24" t="str"/>
      <x:c r="AA191" s="24" t="str">
        <x:v>보유 기준 확인</x:v>
      </x:c>
    </x:row>
    <x:row r="192" ht="17.25" customHeight="1">
      <x:c r="A192" s="24" t="str">
        <x:v>프라임구독</x:v>
      </x:c>
      <x:c r="B192" s="24" t="str">
        <x:v>25오7995</x:v>
      </x:c>
      <x:c r="C192" s="24" t="str">
        <x:v>현재보유</x:v>
      </x:c>
      <x:c r="D192" s="24" t="str">
        <x:v>쉬는차</x:v>
      </x:c>
      <x:c r="E192" s="30"/>
      <x:c r="F192" s="31" t="str">
        <x:f>IF(AND(D192="쉬는차",E192&lt;&gt;""),TODAY()-E192,"")</x:f>
      </x:c>
      <x:c r="G192" s="24" t="str"/>
      <x:c r="H192" s="24" t="str"/>
      <x:c r="I192" s="30"/>
      <x:c r="J192" s="30"/>
      <x:c r="K192" s="24" t="str"/>
      <x:c r="L192" s="32"/>
      <x:c r="M192" s="31" t="n">
        <x:v>0</x:v>
      </x:c>
      <x:c r="N192" s="32" t="n">
        <x:v>0</x:v>
      </x:c>
      <x:c r="O192" s="31" t="n">
        <x:v>0</x:v>
      </x:c>
      <x:c r="P192" s="24" t="str"/>
      <x:c r="Q192" s="24" t="str"/>
      <x:c r="R192" s="24" t="str"/>
      <x:c r="S192" s="24" t="str">
        <x:f>IF(Q192="","계약연령 미입력",IFERROR(IF(R192="","보험연령 미입력",IF(VALUE(R192)=VALUE(Q192),"정상",IF(VALUE(R192)&gt;VALUE(Q192),"보장 불일치","과보장 점검"))),"계약연령 형식확인"))</x:f>
        <x:v>계약연령 미입력</x:v>
      </x:c>
      <x:c r="T192" s="30" t="n">
        <x:v>45898</x:v>
      </x:c>
      <x:c r="U192" s="24" t="str">
        <x:f>IF(T192="","보험 자료 없음",IF(T192&lt;TODAY(),"만기 자료 갱신 필요","정상"))</x:f>
        <x:v>만기 자료 갱신 필요</x:v>
      </x:c>
      <x:c r="V192" s="24" t="str">
        <x:v>010-9173-4210</x:v>
      </x:c>
      <x:c r="W192" s="24" t="str"/>
      <x:c r="X192" s="24" t="str">
        <x:v>있음</x:v>
      </x:c>
      <x:c r="Y192" s="24" t="str">
        <x:v>상태 시작일 입력</x:v>
      </x:c>
      <x:c r="Z192" s="24" t="str"/>
      <x:c r="AA192" s="24" t="str">
        <x:v>보유 기준 확인</x:v>
      </x:c>
    </x:row>
    <x:row r="193" ht="17.25" customHeight="1">
      <x:c r="A193" s="24" t="str">
        <x:v>프라임구독</x:v>
      </x:c>
      <x:c r="B193" s="24" t="str">
        <x:v>263오7836</x:v>
      </x:c>
      <x:c r="C193" s="24" t="str">
        <x:v>현재보유</x:v>
      </x:c>
      <x:c r="D193" s="24" t="str">
        <x:v>쉬는차</x:v>
      </x:c>
      <x:c r="E193" s="30"/>
      <x:c r="F193" s="31" t="str">
        <x:f>IF(AND(D193="쉬는차",E193&lt;&gt;""),TODAY()-E193,"")</x:f>
      </x:c>
      <x:c r="G193" s="24" t="str"/>
      <x:c r="H193" s="24" t="str"/>
      <x:c r="I193" s="30"/>
      <x:c r="J193" s="30"/>
      <x:c r="K193" s="24" t="str"/>
      <x:c r="L193" s="32"/>
      <x:c r="M193" s="31" t="n">
        <x:v>0</x:v>
      </x:c>
      <x:c r="N193" s="32" t="n">
        <x:v>0</x:v>
      </x:c>
      <x:c r="O193" s="31" t="n">
        <x:v>0</x:v>
      </x:c>
      <x:c r="P193" s="24" t="str"/>
      <x:c r="Q193" s="24" t="str"/>
      <x:c r="R193" s="24" t="str"/>
      <x:c r="S193" s="24" t="str">
        <x:f>IF(Q193="","계약연령 미입력",IFERROR(IF(R193="","보험연령 미입력",IF(VALUE(R193)=VALUE(Q193),"정상",IF(VALUE(R193)&gt;VALUE(Q193),"보장 불일치","과보장 점검"))),"계약연령 형식확인"))</x:f>
        <x:v>계약연령 미입력</x:v>
      </x:c>
      <x:c r="T193" s="30" t="n">
        <x:v>45767</x:v>
      </x:c>
      <x:c r="U193" s="24" t="str">
        <x:f>IF(T193="","보험 자료 없음",IF(T193&lt;TODAY(),"만기 자료 갱신 필요","정상"))</x:f>
        <x:v>만기 자료 갱신 필요</x:v>
      </x:c>
      <x:c r="V193" s="24" t="str">
        <x:v>010-8935-9462</x:v>
      </x:c>
      <x:c r="W193" s="24" t="str"/>
      <x:c r="X193" s="24" t="str">
        <x:v>있음</x:v>
      </x:c>
      <x:c r="Y193" s="24" t="str">
        <x:v>상태 시작일 입력</x:v>
      </x:c>
      <x:c r="Z193" s="24" t="str"/>
      <x:c r="AA193" s="24" t="str">
        <x:v>보유 기준 확인</x:v>
      </x:c>
    </x:row>
    <x:row r="194" ht="17.25" customHeight="1">
      <x:c r="A194" s="24" t="str">
        <x:v>프라임구독</x:v>
      </x:c>
      <x:c r="B194" s="24" t="str">
        <x:v>266버3645</x:v>
      </x:c>
      <x:c r="C194" s="24" t="str">
        <x:v>현재보유</x:v>
      </x:c>
      <x:c r="D194" s="24" t="str">
        <x:v>쉬는차</x:v>
      </x:c>
      <x:c r="E194" s="30"/>
      <x:c r="F194" s="31" t="str">
        <x:f>IF(AND(D194="쉬는차",E194&lt;&gt;""),TODAY()-E194,"")</x:f>
      </x:c>
      <x:c r="G194" s="24" t="str"/>
      <x:c r="H194" s="24" t="str"/>
      <x:c r="I194" s="30"/>
      <x:c r="J194" s="30"/>
      <x:c r="K194" s="24" t="str"/>
      <x:c r="L194" s="32"/>
      <x:c r="M194" s="31" t="n">
        <x:v>0</x:v>
      </x:c>
      <x:c r="N194" s="32" t="n">
        <x:v>0</x:v>
      </x:c>
      <x:c r="O194" s="31" t="n">
        <x:v>0</x:v>
      </x:c>
      <x:c r="P194" s="24" t="str"/>
      <x:c r="Q194" s="24" t="str"/>
      <x:c r="R194" s="24" t="str"/>
      <x:c r="S194" s="24" t="str">
        <x:f>IF(Q194="","계약연령 미입력",IFERROR(IF(R194="","보험연령 미입력",IF(VALUE(R194)=VALUE(Q194),"정상",IF(VALUE(R194)&gt;VALUE(Q194),"보장 불일치","과보장 점검"))),"계약연령 형식확인"))</x:f>
        <x:v>계약연령 미입력</x:v>
      </x:c>
      <x:c r="T194" s="30" t="n">
        <x:v>45843</x:v>
      </x:c>
      <x:c r="U194" s="24" t="str">
        <x:f>IF(T194="","보험 자료 없음",IF(T194&lt;TODAY(),"만기 자료 갱신 필요","정상"))</x:f>
        <x:v>만기 자료 갱신 필요</x:v>
      </x:c>
      <x:c r="V194" s="24" t="str">
        <x:v>010-8442-0638</x:v>
      </x:c>
      <x:c r="W194" s="24" t="str"/>
      <x:c r="X194" s="24" t="str">
        <x:v>있음</x:v>
      </x:c>
      <x:c r="Y194" s="24" t="str">
        <x:v>상태 시작일 입력</x:v>
      </x:c>
      <x:c r="Z194" s="24" t="str"/>
      <x:c r="AA194" s="24" t="str">
        <x:v>보유 기준 확인</x:v>
      </x:c>
    </x:row>
    <x:row r="195" ht="17.25" customHeight="1">
      <x:c r="A195" s="24" t="str">
        <x:v>프라임구독</x:v>
      </x:c>
      <x:c r="B195" s="24" t="str">
        <x:v>26너0333</x:v>
      </x:c>
      <x:c r="C195" s="24" t="str">
        <x:v>현재보유</x:v>
      </x:c>
      <x:c r="D195" s="24" t="str">
        <x:v>쉬는차</x:v>
      </x:c>
      <x:c r="E195" s="30"/>
      <x:c r="F195" s="31" t="str">
        <x:f>IF(AND(D195="쉬는차",E195&lt;&gt;""),TODAY()-E195,"")</x:f>
      </x:c>
      <x:c r="G195" s="24" t="str"/>
      <x:c r="H195" s="24" t="str"/>
      <x:c r="I195" s="30"/>
      <x:c r="J195" s="30"/>
      <x:c r="K195" s="24" t="str"/>
      <x:c r="L195" s="32"/>
      <x:c r="M195" s="31" t="n">
        <x:v>0</x:v>
      </x:c>
      <x:c r="N195" s="32" t="n">
        <x:v>0</x:v>
      </x:c>
      <x:c r="O195" s="31" t="n">
        <x:v>0</x:v>
      </x:c>
      <x:c r="P195" s="24" t="str"/>
      <x:c r="Q195" s="24" t="str"/>
      <x:c r="R195" s="24" t="str"/>
      <x:c r="S195" s="24" t="str">
        <x:f>IF(Q195="","계약연령 미입력",IFERROR(IF(R195="","보험연령 미입력",IF(VALUE(R195)=VALUE(Q195),"정상",IF(VALUE(R195)&gt;VALUE(Q195),"보장 불일치","과보장 점검"))),"계약연령 형식확인"))</x:f>
        <x:v>계약연령 미입력</x:v>
      </x:c>
      <x:c r="T195" s="30" t="n">
        <x:v>45976</x:v>
      </x:c>
      <x:c r="U195" s="24" t="str">
        <x:f>IF(T195="","보험 자료 없음",IF(T195&lt;TODAY(),"만기 자료 갱신 필요","정상"))</x:f>
        <x:v>만기 자료 갱신 필요</x:v>
      </x:c>
      <x:c r="V195" s="24" t="str">
        <x:v>010-8972-5217</x:v>
      </x:c>
      <x:c r="W195" s="24" t="str"/>
      <x:c r="X195" s="24" t="str">
        <x:v>있음</x:v>
      </x:c>
      <x:c r="Y195" s="24" t="str">
        <x:v>상태 시작일 입력</x:v>
      </x:c>
      <x:c r="Z195" s="24" t="str"/>
      <x:c r="AA195" s="24" t="str">
        <x:v>보유 기준 확인</x:v>
      </x:c>
    </x:row>
    <x:row r="196" ht="17.25" customHeight="1">
      <x:c r="A196" s="24" t="str">
        <x:v>프라임구독</x:v>
      </x:c>
      <x:c r="B196" s="24" t="str">
        <x:v>26수4134</x:v>
      </x:c>
      <x:c r="C196" s="24" t="str">
        <x:v>현재보유</x:v>
      </x:c>
      <x:c r="D196" s="24" t="str">
        <x:v>쉬는차</x:v>
      </x:c>
      <x:c r="E196" s="30"/>
      <x:c r="F196" s="31" t="str">
        <x:f>IF(AND(D196="쉬는차",E196&lt;&gt;""),TODAY()-E196,"")</x:f>
      </x:c>
      <x:c r="G196" s="24" t="str"/>
      <x:c r="H196" s="24" t="str"/>
      <x:c r="I196" s="30"/>
      <x:c r="J196" s="30"/>
      <x:c r="K196" s="24" t="str"/>
      <x:c r="L196" s="32"/>
      <x:c r="M196" s="31" t="n">
        <x:v>0</x:v>
      </x:c>
      <x:c r="N196" s="32" t="n">
        <x:v>0</x:v>
      </x:c>
      <x:c r="O196" s="31" t="n">
        <x:v>0</x:v>
      </x:c>
      <x:c r="P196" s="24" t="str"/>
      <x:c r="Q196" s="24" t="str"/>
      <x:c r="R196" s="24" t="str"/>
      <x:c r="S196" s="24" t="str">
        <x:f>IF(Q196="","계약연령 미입력",IFERROR(IF(R196="","보험연령 미입력",IF(VALUE(R196)=VALUE(Q196),"정상",IF(VALUE(R196)&gt;VALUE(Q196),"보장 불일치","과보장 점검"))),"계약연령 형식확인"))</x:f>
        <x:v>계약연령 미입력</x:v>
      </x:c>
      <x:c r="T196" s="30" t="n">
        <x:v>45943</x:v>
      </x:c>
      <x:c r="U196" s="24" t="str">
        <x:f>IF(T196="","보험 자료 없음",IF(T196&lt;TODAY(),"만기 자료 갱신 필요","정상"))</x:f>
        <x:v>만기 자료 갱신 필요</x:v>
      </x:c>
      <x:c r="V196" s="24" t="str">
        <x:v>010-5860-3441</x:v>
      </x:c>
      <x:c r="W196" s="24" t="str"/>
      <x:c r="X196" s="24" t="str">
        <x:v>있음</x:v>
      </x:c>
      <x:c r="Y196" s="24" t="str">
        <x:v>상태 시작일 입력</x:v>
      </x:c>
      <x:c r="Z196" s="24" t="str"/>
      <x:c r="AA196" s="24" t="str">
        <x:v>보유 기준 확인</x:v>
      </x:c>
    </x:row>
    <x:row r="197" ht="17.25" customHeight="1">
      <x:c r="A197" s="24" t="str">
        <x:v>프라임구독</x:v>
      </x:c>
      <x:c r="B197" s="24" t="str">
        <x:v>272오2150</x:v>
      </x:c>
      <x:c r="C197" s="24" t="str">
        <x:v>현재보유</x:v>
      </x:c>
      <x:c r="D197" s="24" t="str">
        <x:v>쉬는차</x:v>
      </x:c>
      <x:c r="E197" s="30"/>
      <x:c r="F197" s="31" t="str">
        <x:f>IF(AND(D197="쉬는차",E197&lt;&gt;""),TODAY()-E197,"")</x:f>
      </x:c>
      <x:c r="G197" s="24" t="str"/>
      <x:c r="H197" s="24" t="str"/>
      <x:c r="I197" s="30"/>
      <x:c r="J197" s="30"/>
      <x:c r="K197" s="24" t="str"/>
      <x:c r="L197" s="32"/>
      <x:c r="M197" s="31" t="n">
        <x:v>0</x:v>
      </x:c>
      <x:c r="N197" s="32" t="n">
        <x:v>0</x:v>
      </x:c>
      <x:c r="O197" s="31" t="n">
        <x:v>0</x:v>
      </x:c>
      <x:c r="P197" s="24" t="str"/>
      <x:c r="Q197" s="24" t="str"/>
      <x:c r="R197" s="24" t="str"/>
      <x:c r="S197" s="24" t="str">
        <x:f>IF(Q197="","계약연령 미입력",IFERROR(IF(R197="","보험연령 미입력",IF(VALUE(R197)=VALUE(Q197),"정상",IF(VALUE(R197)&gt;VALUE(Q197),"보장 불일치","과보장 점검"))),"계약연령 형식확인"))</x:f>
        <x:v>계약연령 미입력</x:v>
      </x:c>
      <x:c r="T197" s="30" t="n">
        <x:v>45570</x:v>
      </x:c>
      <x:c r="U197" s="24" t="str">
        <x:f>IF(T197="","보험 자료 없음",IF(T197&lt;TODAY(),"만기 자료 갱신 필요","정상"))</x:f>
        <x:v>만기 자료 갱신 필요</x:v>
      </x:c>
      <x:c r="V197" s="24" t="str">
        <x:v>010-6559-0979</x:v>
      </x:c>
      <x:c r="W197" s="24" t="str"/>
      <x:c r="X197" s="24" t="str">
        <x:v>있음</x:v>
      </x:c>
      <x:c r="Y197" s="24" t="str">
        <x:v>상태 시작일 입력</x:v>
      </x:c>
      <x:c r="Z197" s="24" t="str"/>
      <x:c r="AA197" s="24" t="str">
        <x:v>보유 기준 확인</x:v>
      </x:c>
    </x:row>
    <x:row r="198" ht="17.25" customHeight="1">
      <x:c r="A198" s="24" t="str">
        <x:v>프라임구독</x:v>
      </x:c>
      <x:c r="B198" s="24" t="str">
        <x:v>27로0765</x:v>
      </x:c>
      <x:c r="C198" s="24" t="str">
        <x:v>현재보유</x:v>
      </x:c>
      <x:c r="D198" s="24" t="str">
        <x:v>쉬는차</x:v>
      </x:c>
      <x:c r="E198" s="30"/>
      <x:c r="F198" s="31" t="str">
        <x:f>IF(AND(D198="쉬는차",E198&lt;&gt;""),TODAY()-E198,"")</x:f>
      </x:c>
      <x:c r="G198" s="24" t="str"/>
      <x:c r="H198" s="24" t="str"/>
      <x:c r="I198" s="30"/>
      <x:c r="J198" s="30"/>
      <x:c r="K198" s="24" t="str"/>
      <x:c r="L198" s="32"/>
      <x:c r="M198" s="31" t="n">
        <x:v>0</x:v>
      </x:c>
      <x:c r="N198" s="32" t="n">
        <x:v>0</x:v>
      </x:c>
      <x:c r="O198" s="31" t="n">
        <x:v>0</x:v>
      </x:c>
      <x:c r="P198" s="24" t="str"/>
      <x:c r="Q198" s="24" t="str"/>
      <x:c r="R198" s="24" t="str"/>
      <x:c r="S198" s="24" t="str">
        <x:f>IF(Q198="","계약연령 미입력",IFERROR(IF(R198="","보험연령 미입력",IF(VALUE(R198)=VALUE(Q198),"정상",IF(VALUE(R198)&gt;VALUE(Q198),"보장 불일치","과보장 점검"))),"계약연령 형식확인"))</x:f>
        <x:v>계약연령 미입력</x:v>
      </x:c>
      <x:c r="T198" s="30" t="n">
        <x:v>45751</x:v>
      </x:c>
      <x:c r="U198" s="24" t="str">
        <x:f>IF(T198="","보험 자료 없음",IF(T198&lt;TODAY(),"만기 자료 갱신 필요","정상"))</x:f>
        <x:v>만기 자료 갱신 필요</x:v>
      </x:c>
      <x:c r="V198" s="24" t="str">
        <x:v>010-8526-3706</x:v>
      </x:c>
      <x:c r="W198" s="24" t="str"/>
      <x:c r="X198" s="24" t="str">
        <x:v>있음</x:v>
      </x:c>
      <x:c r="Y198" s="24" t="str">
        <x:v>상태 시작일 입력</x:v>
      </x:c>
      <x:c r="Z198" s="24" t="str"/>
      <x:c r="AA198" s="24" t="str">
        <x:v>보유 기준 확인</x:v>
      </x:c>
    </x:row>
    <x:row r="199" ht="17.25" customHeight="1">
      <x:c r="A199" s="24" t="str">
        <x:v>프라임구독</x:v>
      </x:c>
      <x:c r="B199" s="24" t="str">
        <x:v>27무0874</x:v>
      </x:c>
      <x:c r="C199" s="24" t="str">
        <x:v>현재보유</x:v>
      </x:c>
      <x:c r="D199" s="24" t="str">
        <x:v>쉬는차</x:v>
      </x:c>
      <x:c r="E199" s="30"/>
      <x:c r="F199" s="31" t="str">
        <x:f>IF(AND(D199="쉬는차",E199&lt;&gt;""),TODAY()-E199,"")</x:f>
      </x:c>
      <x:c r="G199" s="24" t="str"/>
      <x:c r="H199" s="24" t="str"/>
      <x:c r="I199" s="30"/>
      <x:c r="J199" s="30"/>
      <x:c r="K199" s="24" t="str"/>
      <x:c r="L199" s="32"/>
      <x:c r="M199" s="31" t="n">
        <x:v>0</x:v>
      </x:c>
      <x:c r="N199" s="32" t="n">
        <x:v>0</x:v>
      </x:c>
      <x:c r="O199" s="31" t="n">
        <x:v>0</x:v>
      </x:c>
      <x:c r="P199" s="24" t="str"/>
      <x:c r="Q199" s="24" t="str"/>
      <x:c r="R199" s="24" t="str"/>
      <x:c r="S199" s="24" t="str">
        <x:f>IF(Q199="","계약연령 미입력",IFERROR(IF(R199="","보험연령 미입력",IF(VALUE(R199)=VALUE(Q199),"정상",IF(VALUE(R199)&gt;VALUE(Q199),"보장 불일치","과보장 점검"))),"계약연령 형식확인"))</x:f>
        <x:v>계약연령 미입력</x:v>
      </x:c>
      <x:c r="T199" s="30" t="n">
        <x:v>45992</x:v>
      </x:c>
      <x:c r="U199" s="24" t="str">
        <x:f>IF(T199="","보험 자료 없음",IF(T199&lt;TODAY(),"만기 자료 갱신 필요","정상"))</x:f>
        <x:v>만기 자료 갱신 필요</x:v>
      </x:c>
      <x:c r="V199" s="24" t="str">
        <x:v>010-5947-5277</x:v>
      </x:c>
      <x:c r="W199" s="24" t="str"/>
      <x:c r="X199" s="24" t="str">
        <x:v>있음</x:v>
      </x:c>
      <x:c r="Y199" s="24" t="str">
        <x:v>상태 시작일 입력</x:v>
      </x:c>
      <x:c r="Z199" s="24" t="str"/>
      <x:c r="AA199" s="24" t="str">
        <x:v>보유 기준 확인</x:v>
      </x:c>
    </x:row>
    <x:row r="200" ht="17.25" customHeight="1">
      <x:c r="A200" s="24" t="str">
        <x:v>프라임구독</x:v>
      </x:c>
      <x:c r="B200" s="24" t="str">
        <x:v>27오1144</x:v>
      </x:c>
      <x:c r="C200" s="24" t="str">
        <x:v>현재보유</x:v>
      </x:c>
      <x:c r="D200" s="24" t="str">
        <x:v>대여중</x:v>
      </x:c>
      <x:c r="E200" s="30"/>
      <x:c r="F200" s="31" t="str">
        <x:f>IF(AND(D200="쉬는차",E200&lt;&gt;""),TODAY()-E200,"")</x:f>
      </x:c>
      <x:c r="G200" s="24" t="str">
        <x:v>김현규</x:v>
      </x:c>
      <x:c r="H200" s="24" t="str">
        <x:v>PR-C-27오1144-1-20220708-104</x:v>
      </x:c>
      <x:c r="I200" s="30" t="n">
        <x:v>44750</x:v>
      </x:c>
      <x:c r="J200" s="30" t="n">
        <x:v>45858</x:v>
      </x:c>
      <x:c r="K200" s="24" t="str">
        <x:v>20</x:v>
      </x:c>
      <x:c r="L200" s="32" t="n">
        <x:v>750000</x:v>
      </x:c>
      <x:c r="M200" s="31" t="n">
        <x:v>13</x:v>
      </x:c>
      <x:c r="N200" s="32" t="n">
        <x:v>0</x:v>
      </x:c>
      <x:c r="O200" s="31" t="n">
        <x:v>541</x:v>
      </x:c>
      <x:c r="P200" s="24" t="str">
        <x:v>만기 임박</x:v>
      </x:c>
      <x:c r="Q200" s="24" t="str"/>
      <x:c r="R200" s="24" t="str"/>
      <x:c r="S200" s="24" t="str">
        <x:f>IF(Q200="","계약연령 미입력",IFERROR(IF(R200="","보험연령 미입력",IF(VALUE(R200)=VALUE(Q200),"정상",IF(VALUE(R200)&gt;VALUE(Q200),"보장 불일치","과보장 점검"))),"계약연령 형식확인"))</x:f>
        <x:v>계약연령 미입력</x:v>
      </x:c>
      <x:c r="T200" s="30" t="n">
        <x:v>45845</x:v>
      </x:c>
      <x:c r="U200" s="24" t="str">
        <x:f>IF(T200="","보험 자료 없음",IF(T200&lt;TODAY(),"만기 자료 갱신 필요","정상"))</x:f>
        <x:v>만기 자료 갱신 필요</x:v>
      </x:c>
      <x:c r="V200" s="24" t="str">
        <x:v>010-5232-7969</x:v>
      </x:c>
      <x:c r="W200" s="24" t="str"/>
      <x:c r="X200" s="24" t="str">
        <x:v>있음</x:v>
      </x:c>
      <x:c r="Y200" s="24" t="str">
        <x:v>보험 연령 입력</x:v>
      </x:c>
      <x:c r="Z200" s="24" t="str"/>
      <x:c r="AA200" s="24" t="str">
        <x:v>보유 기준 확인</x:v>
      </x:c>
    </x:row>
    <x:row r="201" ht="17.25" customHeight="1">
      <x:c r="A201" s="24" t="str">
        <x:v>프라임구독</x:v>
      </x:c>
      <x:c r="B201" s="24" t="str">
        <x:v>28머4792</x:v>
      </x:c>
      <x:c r="C201" s="24" t="str">
        <x:v>현재보유</x:v>
      </x:c>
      <x:c r="D201" s="24" t="str">
        <x:v>쉬는차</x:v>
      </x:c>
      <x:c r="E201" s="30"/>
      <x:c r="F201" s="31" t="str">
        <x:f>IF(AND(D201="쉬는차",E201&lt;&gt;""),TODAY()-E201,"")</x:f>
      </x:c>
      <x:c r="G201" s="24" t="str"/>
      <x:c r="H201" s="24" t="str"/>
      <x:c r="I201" s="30"/>
      <x:c r="J201" s="30"/>
      <x:c r="K201" s="24" t="str"/>
      <x:c r="L201" s="32"/>
      <x:c r="M201" s="31" t="n">
        <x:v>0</x:v>
      </x:c>
      <x:c r="N201" s="32" t="n">
        <x:v>0</x:v>
      </x:c>
      <x:c r="O201" s="31" t="n">
        <x:v>0</x:v>
      </x:c>
      <x:c r="P201" s="24" t="str"/>
      <x:c r="Q201" s="24" t="str"/>
      <x:c r="R201" s="24" t="str"/>
      <x:c r="S201" s="24" t="str">
        <x:f>IF(Q201="","계약연령 미입력",IFERROR(IF(R201="","보험연령 미입력",IF(VALUE(R201)=VALUE(Q201),"정상",IF(VALUE(R201)&gt;VALUE(Q201),"보장 불일치","과보장 점검"))),"계약연령 형식확인"))</x:f>
        <x:v>계약연령 미입력</x:v>
      </x:c>
      <x:c r="T201" s="30" t="n">
        <x:v>45831</x:v>
      </x:c>
      <x:c r="U201" s="24" t="str">
        <x:f>IF(T201="","보험 자료 없음",IF(T201&lt;TODAY(),"만기 자료 갱신 필요","정상"))</x:f>
        <x:v>만기 자료 갱신 필요</x:v>
      </x:c>
      <x:c r="V201" s="24" t="str">
        <x:v>010-6334-7800</x:v>
      </x:c>
      <x:c r="W201" s="24" t="str"/>
      <x:c r="X201" s="24" t="str">
        <x:v>있음</x:v>
      </x:c>
      <x:c r="Y201" s="24" t="str">
        <x:v>상태 시작일 입력</x:v>
      </x:c>
      <x:c r="Z201" s="24" t="str"/>
      <x:c r="AA201" s="24" t="str">
        <x:v>보유 기준 확인</x:v>
      </x:c>
    </x:row>
    <x:row r="202" ht="17.25" customHeight="1">
      <x:c r="A202" s="24" t="str">
        <x:v>프라임구독</x:v>
      </x:c>
      <x:c r="B202" s="24" t="str">
        <x:v>290주5804</x:v>
      </x:c>
      <x:c r="C202" s="24" t="str">
        <x:v>현재보유</x:v>
      </x:c>
      <x:c r="D202" s="24" t="str">
        <x:v>대여중</x:v>
      </x:c>
      <x:c r="E202" s="30"/>
      <x:c r="F202" s="31" t="str">
        <x:f>IF(AND(D202="쉬는차",E202&lt;&gt;""),TODAY()-E202,"")</x:f>
      </x:c>
      <x:c r="G202" s="24" t="str">
        <x:v>김순용</x:v>
      </x:c>
      <x:c r="H202" s="24" t="str">
        <x:v>PR-C-290주5804-1-20240422-107</x:v>
      </x:c>
      <x:c r="I202" s="30" t="n">
        <x:v>45404</x:v>
      </x:c>
      <x:c r="J202" s="30" t="n">
        <x:v>46848</x:v>
      </x:c>
      <x:c r="K202" s="24" t="str">
        <x:v>5</x:v>
      </x:c>
      <x:c r="L202" s="32" t="n">
        <x:v>533000</x:v>
      </x:c>
      <x:c r="M202" s="31" t="n">
        <x:v>0</x:v>
      </x:c>
      <x:c r="N202" s="32" t="n">
        <x:v>-661000</x:v>
      </x:c>
      <x:c r="O202" s="31" t="n">
        <x:v>0</x:v>
      </x:c>
      <x:c r="P202" s="24" t="str"/>
      <x:c r="Q202" s="24" t="str"/>
      <x:c r="R202" s="24" t="str"/>
      <x:c r="S202" s="24" t="str">
        <x:f>IF(Q202="","계약연령 미입력",IFERROR(IF(R202="","보험연령 미입력",IF(VALUE(R202)=VALUE(Q202),"정상",IF(VALUE(R202)&gt;VALUE(Q202),"보장 불일치","과보장 점검"))),"계약연령 형식확인"))</x:f>
        <x:v>계약연령 미입력</x:v>
      </x:c>
      <x:c r="T202" s="30" t="n">
        <x:v>46134</x:v>
      </x:c>
      <x:c r="U202" s="24" t="str">
        <x:f>IF(T202="","보험 자료 없음",IF(T202&lt;TODAY(),"만기 자료 갱신 필요","정상"))</x:f>
        <x:v>만기 자료 갱신 필요</x:v>
      </x:c>
      <x:c r="V202" s="24" t="str">
        <x:v>010-5027-9933</x:v>
      </x:c>
      <x:c r="W202" s="24" t="str"/>
      <x:c r="X202" s="24" t="str">
        <x:v>있음</x:v>
      </x:c>
      <x:c r="Y202" s="24" t="str">
        <x:v>보험 연령 입력</x:v>
      </x:c>
      <x:c r="Z202" s="24" t="str"/>
      <x:c r="AA202" s="24" t="str">
        <x:v>보유 기준 확인</x:v>
      </x:c>
    </x:row>
    <x:row r="203" ht="17.25" customHeight="1">
      <x:c r="A203" s="24" t="str">
        <x:v>프라임구독</x:v>
      </x:c>
      <x:c r="B203" s="24" t="str">
        <x:v>29마4743</x:v>
      </x:c>
      <x:c r="C203" s="24" t="str">
        <x:v>현재보유</x:v>
      </x:c>
      <x:c r="D203" s="24" t="str">
        <x:v>대여중</x:v>
      </x:c>
      <x:c r="E203" s="30"/>
      <x:c r="F203" s="31" t="str">
        <x:f>IF(AND(D203="쉬는차",E203&lt;&gt;""),TODAY()-E203,"")</x:f>
      </x:c>
      <x:c r="G203" s="24" t="str">
        <x:v>변재영</x:v>
      </x:c>
      <x:c r="H203" s="24" t="str">
        <x:v>PR-C-29마4743-1-20231113-108</x:v>
      </x:c>
      <x:c r="I203" s="30" t="n">
        <x:v>45243</x:v>
      </x:c>
      <x:c r="J203" s="30" t="n">
        <x:v>46716</x:v>
      </x:c>
      <x:c r="K203" s="24" t="str">
        <x:v>25</x:v>
      </x:c>
      <x:c r="L203" s="32" t="n">
        <x:v>1109000</x:v>
      </x:c>
      <x:c r="M203" s="31" t="n">
        <x:v>1</x:v>
      </x:c>
      <x:c r="N203" s="32" t="n">
        <x:v>1109000</x:v>
      </x:c>
      <x:c r="O203" s="31" t="n">
        <x:v>0</x:v>
      </x:c>
      <x:c r="P203" s="24" t="str"/>
      <x:c r="Q203" s="24" t="str"/>
      <x:c r="R203" s="24" t="str"/>
      <x:c r="S203" s="24" t="str">
        <x:f>IF(Q203="","계약연령 미입력",IFERROR(IF(R203="","보험연령 미입력",IF(VALUE(R203)=VALUE(Q203),"정상",IF(VALUE(R203)&gt;VALUE(Q203),"보장 불일치","과보장 점검"))),"계약연령 형식확인"))</x:f>
        <x:v>계약연령 미입력</x:v>
      </x:c>
      <x:c r="T203" s="30" t="n">
        <x:v>45784</x:v>
      </x:c>
      <x:c r="U203" s="24" t="str">
        <x:f>IF(T203="","보험 자료 없음",IF(T203&lt;TODAY(),"만기 자료 갱신 필요","정상"))</x:f>
        <x:v>만기 자료 갱신 필요</x:v>
      </x:c>
      <x:c r="V203" s="24" t="str">
        <x:v>010-9331-8940</x:v>
      </x:c>
      <x:c r="W203" s="24" t="str"/>
      <x:c r="X203" s="24" t="str">
        <x:v>있음</x:v>
      </x:c>
      <x:c r="Y203" s="24" t="str">
        <x:v>미수 확인</x:v>
      </x:c>
      <x:c r="Z203" s="24" t="str"/>
      <x:c r="AA203" s="24" t="str">
        <x:v>보유 기준 확인</x:v>
      </x:c>
    </x:row>
    <x:row r="204" ht="17.25" customHeight="1">
      <x:c r="A204" s="24" t="str">
        <x:v>프라임구독</x:v>
      </x:c>
      <x:c r="B204" s="24" t="str">
        <x:v>302보9212</x:v>
      </x:c>
      <x:c r="C204" s="24" t="str">
        <x:v>현재보유</x:v>
      </x:c>
      <x:c r="D204" s="24" t="str">
        <x:v>쉬는차</x:v>
      </x:c>
      <x:c r="E204" s="30"/>
      <x:c r="F204" s="31" t="str">
        <x:f>IF(AND(D204="쉬는차",E204&lt;&gt;""),TODAY()-E204,"")</x:f>
      </x:c>
      <x:c r="G204" s="24" t="str"/>
      <x:c r="H204" s="24" t="str"/>
      <x:c r="I204" s="30"/>
      <x:c r="J204" s="30"/>
      <x:c r="K204" s="24" t="str"/>
      <x:c r="L204" s="32"/>
      <x:c r="M204" s="31" t="n">
        <x:v>0</x:v>
      </x:c>
      <x:c r="N204" s="32" t="n">
        <x:v>0</x:v>
      </x:c>
      <x:c r="O204" s="31" t="n">
        <x:v>0</x:v>
      </x:c>
      <x:c r="P204" s="24" t="str"/>
      <x:c r="Q204" s="24" t="str"/>
      <x:c r="R204" s="24" t="str"/>
      <x:c r="S204" s="24" t="str">
        <x:f>IF(Q204="","계약연령 미입력",IFERROR(IF(R204="","보험연령 미입력",IF(VALUE(R204)=VALUE(Q204),"정상",IF(VALUE(R204)&gt;VALUE(Q204),"보장 불일치","과보장 점검"))),"계약연령 형식확인"))</x:f>
        <x:v>계약연령 미입력</x:v>
      </x:c>
      <x:c r="T204" s="30" t="n">
        <x:v>45618</x:v>
      </x:c>
      <x:c r="U204" s="24" t="str">
        <x:f>IF(T204="","보험 자료 없음",IF(T204&lt;TODAY(),"만기 자료 갱신 필요","정상"))</x:f>
        <x:v>만기 자료 갱신 필요</x:v>
      </x:c>
      <x:c r="V204" s="24" t="str">
        <x:v>010-8695-9926</x:v>
      </x:c>
      <x:c r="W204" s="24" t="str"/>
      <x:c r="X204" s="24" t="str">
        <x:v>있음</x:v>
      </x:c>
      <x:c r="Y204" s="24" t="str">
        <x:v>상태 시작일 입력</x:v>
      </x:c>
      <x:c r="Z204" s="24" t="str"/>
      <x:c r="AA204" s="24" t="str">
        <x:v>보유 기준 확인</x:v>
      </x:c>
    </x:row>
    <x:row r="205" ht="17.25" customHeight="1">
      <x:c r="A205" s="24" t="str">
        <x:v>프라임구독</x:v>
      </x:c>
      <x:c r="B205" s="24" t="str">
        <x:v>309무3799</x:v>
      </x:c>
      <x:c r="C205" s="24" t="str">
        <x:v>현재보유</x:v>
      </x:c>
      <x:c r="D205" s="24" t="str">
        <x:v>대여중</x:v>
      </x:c>
      <x:c r="E205" s="30"/>
      <x:c r="F205" s="31" t="str">
        <x:f>IF(AND(D205="쉬는차",E205&lt;&gt;""),TODAY()-E205,"")</x:f>
      </x:c>
      <x:c r="G205" s="24" t="str">
        <x:v>신용엽</x:v>
      </x:c>
      <x:c r="H205" s="24" t="str">
        <x:v>PR-C-309무3799-1-20240618-110</x:v>
      </x:c>
      <x:c r="I205" s="30" t="n">
        <x:v>45461</x:v>
      </x:c>
      <x:c r="J205" s="30" t="n">
        <x:v>46929</x:v>
      </x:c>
      <x:c r="K205" s="24" t="str">
        <x:v>25</x:v>
      </x:c>
      <x:c r="L205" s="32" t="n">
        <x:v>559000</x:v>
      </x:c>
      <x:c r="M205" s="31" t="n">
        <x:v>1</x:v>
      </x:c>
      <x:c r="N205" s="32" t="n">
        <x:v>559000</x:v>
      </x:c>
      <x:c r="O205" s="31" t="n">
        <x:v>0</x:v>
      </x:c>
      <x:c r="P205" s="24" t="str"/>
      <x:c r="Q205" s="24" t="str"/>
      <x:c r="R205" s="24" t="str"/>
      <x:c r="S205" s="24" t="str">
        <x:f>IF(Q205="","계약연령 미입력",IFERROR(IF(R205="","보험연령 미입력",IF(VALUE(R205)=VALUE(Q205),"정상",IF(VALUE(R205)&gt;VALUE(Q205),"보장 불일치","과보장 점검"))),"계약연령 형식확인"))</x:f>
        <x:v>계약연령 미입력</x:v>
      </x:c>
      <x:c r="T205" s="30" t="n">
        <x:v>45826</x:v>
      </x:c>
      <x:c r="U205" s="24" t="str">
        <x:f>IF(T205="","보험 자료 없음",IF(T205&lt;TODAY(),"만기 자료 갱신 필요","정상"))</x:f>
        <x:v>만기 자료 갱신 필요</x:v>
      </x:c>
      <x:c r="V205" s="24" t="str">
        <x:v>010-4552-6112</x:v>
      </x:c>
      <x:c r="W205" s="24" t="str"/>
      <x:c r="X205" s="24" t="str">
        <x:v>있음</x:v>
      </x:c>
      <x:c r="Y205" s="24" t="str">
        <x:v>미수 확인</x:v>
      </x:c>
      <x:c r="Z205" s="24" t="str"/>
      <x:c r="AA205" s="24" t="str">
        <x:v>보유 기준 확인</x:v>
      </x:c>
    </x:row>
    <x:row r="206" ht="17.25" customHeight="1">
      <x:c r="A206" s="24" t="str">
        <x:v>프라임구독</x:v>
      </x:c>
      <x:c r="B206" s="24" t="str">
        <x:v>30고0596</x:v>
      </x:c>
      <x:c r="C206" s="24" t="str">
        <x:v>현재보유</x:v>
      </x:c>
      <x:c r="D206" s="24" t="str">
        <x:v>쉬는차</x:v>
      </x:c>
      <x:c r="E206" s="30"/>
      <x:c r="F206" s="31" t="str">
        <x:f>IF(AND(D206="쉬는차",E206&lt;&gt;""),TODAY()-E206,"")</x:f>
      </x:c>
      <x:c r="G206" s="24" t="str"/>
      <x:c r="H206" s="24" t="str"/>
      <x:c r="I206" s="30"/>
      <x:c r="J206" s="30"/>
      <x:c r="K206" s="24" t="str"/>
      <x:c r="L206" s="32"/>
      <x:c r="M206" s="31" t="n">
        <x:v>0</x:v>
      </x:c>
      <x:c r="N206" s="32" t="n">
        <x:v>0</x:v>
      </x:c>
      <x:c r="O206" s="31" t="n">
        <x:v>0</x:v>
      </x:c>
      <x:c r="P206" s="24" t="str"/>
      <x:c r="Q206" s="24" t="str"/>
      <x:c r="R206" s="24" t="str"/>
      <x:c r="S206" s="24" t="str">
        <x:f>IF(Q206="","계약연령 미입력",IFERROR(IF(R206="","보험연령 미입력",IF(VALUE(R206)=VALUE(Q206),"정상",IF(VALUE(R206)&gt;VALUE(Q206),"보장 불일치","과보장 점검"))),"계약연령 형식확인"))</x:f>
        <x:v>계약연령 미입력</x:v>
      </x:c>
      <x:c r="T206" s="30" t="n">
        <x:v>46024</x:v>
      </x:c>
      <x:c r="U206" s="24" t="str">
        <x:f>IF(T206="","보험 자료 없음",IF(T206&lt;TODAY(),"만기 자료 갱신 필요","정상"))</x:f>
        <x:v>만기 자료 갱신 필요</x:v>
      </x:c>
      <x:c r="V206" s="24" t="str">
        <x:v>010-3059-1188</x:v>
      </x:c>
      <x:c r="W206" s="24" t="str"/>
      <x:c r="X206" s="24" t="str">
        <x:v>없음</x:v>
      </x:c>
      <x:c r="Y206" s="24" t="str">
        <x:v>상태 시작일 입력</x:v>
      </x:c>
      <x:c r="Z206" s="24" t="str"/>
      <x:c r="AA206" s="24" t="str">
        <x:v>보유 기준 확인</x:v>
      </x:c>
    </x:row>
    <x:row r="207" ht="17.25" customHeight="1">
      <x:c r="A207" s="24" t="str">
        <x:v>프라임구독</x:v>
      </x:c>
      <x:c r="B207" s="24" t="str">
        <x:v>322주8288</x:v>
      </x:c>
      <x:c r="C207" s="24" t="str">
        <x:v>현재보유</x:v>
      </x:c>
      <x:c r="D207" s="24" t="str">
        <x:v>쉬는차</x:v>
      </x:c>
      <x:c r="E207" s="30"/>
      <x:c r="F207" s="31" t="str">
        <x:f>IF(AND(D207="쉬는차",E207&lt;&gt;""),TODAY()-E207,"")</x:f>
      </x:c>
      <x:c r="G207" s="24" t="str"/>
      <x:c r="H207" s="24" t="str"/>
      <x:c r="I207" s="30"/>
      <x:c r="J207" s="30"/>
      <x:c r="K207" s="24" t="str"/>
      <x:c r="L207" s="32"/>
      <x:c r="M207" s="31" t="n">
        <x:v>0</x:v>
      </x:c>
      <x:c r="N207" s="32" t="n">
        <x:v>0</x:v>
      </x:c>
      <x:c r="O207" s="31" t="n">
        <x:v>0</x:v>
      </x:c>
      <x:c r="P207" s="24" t="str"/>
      <x:c r="Q207" s="24" t="str"/>
      <x:c r="R207" s="24" t="str"/>
      <x:c r="S207" s="24" t="str">
        <x:f>IF(Q207="","계약연령 미입력",IFERROR(IF(R207="","보험연령 미입력",IF(VALUE(R207)=VALUE(Q207),"정상",IF(VALUE(R207)&gt;VALUE(Q207),"보장 불일치","과보장 점검"))),"계약연령 형식확인"))</x:f>
        <x:v>계약연령 미입력</x:v>
      </x:c>
      <x:c r="T207" s="30" t="n">
        <x:v>45691</x:v>
      </x:c>
      <x:c r="U207" s="24" t="str">
        <x:f>IF(T207="","보험 자료 없음",IF(T207&lt;TODAY(),"만기 자료 갱신 필요","정상"))</x:f>
        <x:v>만기 자료 갱신 필요</x:v>
      </x:c>
      <x:c r="V207" s="24"/>
      <x:c r="W207" s="24" t="str"/>
      <x:c r="X207" s="24" t="str">
        <x:v>없음</x:v>
      </x:c>
      <x:c r="Y207" s="24" t="str">
        <x:v>상태 시작일 입력</x:v>
      </x:c>
      <x:c r="Z207" s="24" t="str"/>
      <x:c r="AA207" s="24" t="str">
        <x:v>보유 기준 확인</x:v>
      </x:c>
    </x:row>
    <x:row r="208" ht="17.25" customHeight="1">
      <x:c r="A208" s="24" t="str">
        <x:v>프라임구독</x:v>
      </x:c>
      <x:c r="B208" s="24" t="str">
        <x:v>32오3869</x:v>
      </x:c>
      <x:c r="C208" s="24" t="str">
        <x:v>현재보유</x:v>
      </x:c>
      <x:c r="D208" s="24" t="str">
        <x:v>쉬는차</x:v>
      </x:c>
      <x:c r="E208" s="30"/>
      <x:c r="F208" s="31" t="str">
        <x:f>IF(AND(D208="쉬는차",E208&lt;&gt;""),TODAY()-E208,"")</x:f>
      </x:c>
      <x:c r="G208" s="24" t="str"/>
      <x:c r="H208" s="24" t="str"/>
      <x:c r="I208" s="30"/>
      <x:c r="J208" s="30"/>
      <x:c r="K208" s="24" t="str"/>
      <x:c r="L208" s="32"/>
      <x:c r="M208" s="31" t="n">
        <x:v>0</x:v>
      </x:c>
      <x:c r="N208" s="32" t="n">
        <x:v>0</x:v>
      </x:c>
      <x:c r="O208" s="31" t="n">
        <x:v>0</x:v>
      </x:c>
      <x:c r="P208" s="24" t="str"/>
      <x:c r="Q208" s="24" t="str"/>
      <x:c r="R208" s="24" t="str"/>
      <x:c r="S208" s="24" t="str">
        <x:f>IF(Q208="","계약연령 미입력",IFERROR(IF(R208="","보험연령 미입력",IF(VALUE(R208)=VALUE(Q208),"정상",IF(VALUE(R208)&gt;VALUE(Q208),"보장 불일치","과보장 점검"))),"계약연령 형식확인"))</x:f>
        <x:v>계약연령 미입력</x:v>
      </x:c>
      <x:c r="T208" s="30" t="n">
        <x:v>45787</x:v>
      </x:c>
      <x:c r="U208" s="24" t="str">
        <x:f>IF(T208="","보험 자료 없음",IF(T208&lt;TODAY(),"만기 자료 갱신 필요","정상"))</x:f>
        <x:v>만기 자료 갱신 필요</x:v>
      </x:c>
      <x:c r="V208" s="24" t="str">
        <x:v>010-8132-7470</x:v>
      </x:c>
      <x:c r="W208" s="24" t="str"/>
      <x:c r="X208" s="24" t="str">
        <x:v>있음</x:v>
      </x:c>
      <x:c r="Y208" s="24" t="str">
        <x:v>상태 시작일 입력</x:v>
      </x:c>
      <x:c r="Z208" s="24" t="str"/>
      <x:c r="AA208" s="24" t="str">
        <x:v>보유 기준 확인</x:v>
      </x:c>
    </x:row>
    <x:row r="209" ht="17.25" customHeight="1">
      <x:c r="A209" s="24" t="str">
        <x:v>프라임구독</x:v>
      </x:c>
      <x:c r="B209" s="24" t="str">
        <x:v>338우2810</x:v>
      </x:c>
      <x:c r="C209" s="24" t="str">
        <x:v>현재보유</x:v>
      </x:c>
      <x:c r="D209" s="24" t="str">
        <x:v>쉬는차</x:v>
      </x:c>
      <x:c r="E209" s="30"/>
      <x:c r="F209" s="31" t="str">
        <x:f>IF(AND(D209="쉬는차",E209&lt;&gt;""),TODAY()-E209,"")</x:f>
      </x:c>
      <x:c r="G209" s="24" t="str"/>
      <x:c r="H209" s="24" t="str"/>
      <x:c r="I209" s="30"/>
      <x:c r="J209" s="30"/>
      <x:c r="K209" s="24" t="str"/>
      <x:c r="L209" s="32"/>
      <x:c r="M209" s="31" t="n">
        <x:v>0</x:v>
      </x:c>
      <x:c r="N209" s="32" t="n">
        <x:v>0</x:v>
      </x:c>
      <x:c r="O209" s="31" t="n">
        <x:v>0</x:v>
      </x:c>
      <x:c r="P209" s="24" t="str"/>
      <x:c r="Q209" s="24" t="str"/>
      <x:c r="R209" s="24" t="str"/>
      <x:c r="S209" s="24" t="str">
        <x:f>IF(Q209="","계약연령 미입력",IFERROR(IF(R209="","보험연령 미입력",IF(VALUE(R209)=VALUE(Q209),"정상",IF(VALUE(R209)&gt;VALUE(Q209),"보장 불일치","과보장 점검"))),"계약연령 형식확인"))</x:f>
        <x:v>계약연령 미입력</x:v>
      </x:c>
      <x:c r="T209" s="30" t="n">
        <x:v>46066</x:v>
      </x:c>
      <x:c r="U209" s="24" t="str">
        <x:f>IF(T209="","보험 자료 없음",IF(T209&lt;TODAY(),"만기 자료 갱신 필요","정상"))</x:f>
        <x:v>만기 자료 갱신 필요</x:v>
      </x:c>
      <x:c r="V209" s="24" t="str">
        <x:v>010-9982-7033</x:v>
      </x:c>
      <x:c r="W209" s="24" t="str"/>
      <x:c r="X209" s="24" t="str">
        <x:v>있음</x:v>
      </x:c>
      <x:c r="Y209" s="24" t="str">
        <x:v>상태 시작일 입력</x:v>
      </x:c>
      <x:c r="Z209" s="24" t="str"/>
      <x:c r="AA209" s="24" t="str">
        <x:v>보유 기준 확인</x:v>
      </x:c>
    </x:row>
    <x:row r="210" ht="17.25" customHeight="1">
      <x:c r="A210" s="24" t="str">
        <x:v>프라임구독</x:v>
      </x:c>
      <x:c r="B210" s="24" t="str">
        <x:v>340고3084</x:v>
      </x:c>
      <x:c r="C210" s="24" t="str">
        <x:v>현재보유</x:v>
      </x:c>
      <x:c r="D210" s="24" t="str">
        <x:v>쉬는차</x:v>
      </x:c>
      <x:c r="E210" s="30"/>
      <x:c r="F210" s="31" t="str">
        <x:f>IF(AND(D210="쉬는차",E210&lt;&gt;""),TODAY()-E210,"")</x:f>
      </x:c>
      <x:c r="G210" s="24" t="str"/>
      <x:c r="H210" s="24" t="str"/>
      <x:c r="I210" s="30"/>
      <x:c r="J210" s="30"/>
      <x:c r="K210" s="24" t="str"/>
      <x:c r="L210" s="32"/>
      <x:c r="M210" s="31" t="n">
        <x:v>0</x:v>
      </x:c>
      <x:c r="N210" s="32" t="n">
        <x:v>0</x:v>
      </x:c>
      <x:c r="O210" s="31" t="n">
        <x:v>0</x:v>
      </x:c>
      <x:c r="P210" s="24" t="str"/>
      <x:c r="Q210" s="24" t="str"/>
      <x:c r="R210" s="24" t="str"/>
      <x:c r="S210" s="24" t="str">
        <x:f>IF(Q210="","계약연령 미입력",IFERROR(IF(R210="","보험연령 미입력",IF(VALUE(R210)=VALUE(Q210),"정상",IF(VALUE(R210)&gt;VALUE(Q210),"보장 불일치","과보장 점검"))),"계약연령 형식확인"))</x:f>
        <x:v>계약연령 미입력</x:v>
      </x:c>
      <x:c r="T210" s="30" t="n">
        <x:v>45648</x:v>
      </x:c>
      <x:c r="U210" s="24" t="str">
        <x:f>IF(T210="","보험 자료 없음",IF(T210&lt;TODAY(),"만기 자료 갱신 필요","정상"))</x:f>
        <x:v>만기 자료 갱신 필요</x:v>
      </x:c>
      <x:c r="V210" s="24" t="str">
        <x:v>010-3061-9383</x:v>
      </x:c>
      <x:c r="W210" s="24" t="str"/>
      <x:c r="X210" s="24" t="str">
        <x:v>있음</x:v>
      </x:c>
      <x:c r="Y210" s="24" t="str">
        <x:v>상태 시작일 입력</x:v>
      </x:c>
      <x:c r="Z210" s="24" t="str"/>
      <x:c r="AA210" s="24" t="str">
        <x:v>보유 기준 확인</x:v>
      </x:c>
    </x:row>
    <x:row r="211" ht="17.25" customHeight="1">
      <x:c r="A211" s="24" t="str">
        <x:v>프라임구독</x:v>
      </x:c>
      <x:c r="B211" s="24" t="str">
        <x:v>343거1533</x:v>
      </x:c>
      <x:c r="C211" s="24" t="str">
        <x:v>현재보유</x:v>
      </x:c>
      <x:c r="D211" s="24" t="str">
        <x:v>쉬는차</x:v>
      </x:c>
      <x:c r="E211" s="30"/>
      <x:c r="F211" s="31" t="str">
        <x:f>IF(AND(D211="쉬는차",E211&lt;&gt;""),TODAY()-E211,"")</x:f>
      </x:c>
      <x:c r="G211" s="24" t="str"/>
      <x:c r="H211" s="24" t="str"/>
      <x:c r="I211" s="30"/>
      <x:c r="J211" s="30"/>
      <x:c r="K211" s="24" t="str"/>
      <x:c r="L211" s="32"/>
      <x:c r="M211" s="31" t="n">
        <x:v>0</x:v>
      </x:c>
      <x:c r="N211" s="32" t="n">
        <x:v>0</x:v>
      </x:c>
      <x:c r="O211" s="31" t="n">
        <x:v>0</x:v>
      </x:c>
      <x:c r="P211" s="24" t="str"/>
      <x:c r="Q211" s="24" t="str"/>
      <x:c r="R211" s="24" t="str"/>
      <x:c r="S211" s="24" t="str">
        <x:f>IF(Q211="","계약연령 미입력",IFERROR(IF(R211="","보험연령 미입력",IF(VALUE(R211)=VALUE(Q211),"정상",IF(VALUE(R211)&gt;VALUE(Q211),"보장 불일치","과보장 점검"))),"계약연령 형식확인"))</x:f>
        <x:v>계약연령 미입력</x:v>
      </x:c>
      <x:c r="T211" s="30" t="n">
        <x:v>45721</x:v>
      </x:c>
      <x:c r="U211" s="24" t="str">
        <x:f>IF(T211="","보험 자료 없음",IF(T211&lt;TODAY(),"만기 자료 갱신 필요","정상"))</x:f>
        <x:v>만기 자료 갱신 필요</x:v>
      </x:c>
      <x:c r="V211" s="24" t="str">
        <x:v>010-5892-6373</x:v>
      </x:c>
      <x:c r="W211" s="24" t="str"/>
      <x:c r="X211" s="24" t="str">
        <x:v>있음</x:v>
      </x:c>
      <x:c r="Y211" s="24" t="str">
        <x:v>상태 시작일 입력</x:v>
      </x:c>
      <x:c r="Z211" s="24" t="str"/>
      <x:c r="AA211" s="24" t="str">
        <x:v>보유 기준 확인</x:v>
      </x:c>
    </x:row>
    <x:row r="212" ht="17.25" customHeight="1">
      <x:c r="A212" s="24" t="str">
        <x:v>프라임구독</x:v>
      </x:c>
      <x:c r="B212" s="24" t="str">
        <x:v>34구0251</x:v>
      </x:c>
      <x:c r="C212" s="24" t="str">
        <x:v>현재보유</x:v>
      </x:c>
      <x:c r="D212" s="24" t="str">
        <x:v>대여중</x:v>
      </x:c>
      <x:c r="E212" s="30"/>
      <x:c r="F212" s="31" t="str">
        <x:f>IF(AND(D212="쉬는차",E212&lt;&gt;""),TODAY()-E212,"")</x:f>
      </x:c>
      <x:c r="G212" s="24" t="str">
        <x:v>김진성2</x:v>
      </x:c>
      <x:c r="H212" s="24" t="str">
        <x:v>PR-C-34구0251-1-20240415-119</x:v>
      </x:c>
      <x:c r="I212" s="30" t="n">
        <x:v>45397</x:v>
      </x:c>
      <x:c r="J212" s="30" t="n">
        <x:v>46863</x:v>
      </x:c>
      <x:c r="K212" s="24" t="str">
        <x:v>20</x:v>
      </x:c>
      <x:c r="L212" s="32" t="n">
        <x:v>550000</x:v>
      </x:c>
      <x:c r="M212" s="31" t="n">
        <x:v>1</x:v>
      </x:c>
      <x:c r="N212" s="32" t="n">
        <x:v>550000</x:v>
      </x:c>
      <x:c r="O212" s="31" t="n">
        <x:v>0</x:v>
      </x:c>
      <x:c r="P212" s="24" t="str"/>
      <x:c r="Q212" s="24" t="str"/>
      <x:c r="R212" s="24" t="str"/>
      <x:c r="S212" s="24" t="str">
        <x:f>IF(Q212="","계약연령 미입력",IFERROR(IF(R212="","보험연령 미입력",IF(VALUE(R212)=VALUE(Q212),"정상",IF(VALUE(R212)&gt;VALUE(Q212),"보장 불일치","과보장 점검"))),"계약연령 형식확인"))</x:f>
        <x:v>계약연령 미입력</x:v>
      </x:c>
      <x:c r="T212" s="30" t="n">
        <x:v>45762</x:v>
      </x:c>
      <x:c r="U212" s="24" t="str">
        <x:f>IF(T212="","보험 자료 없음",IF(T212&lt;TODAY(),"만기 자료 갱신 필요","정상"))</x:f>
        <x:v>만기 자료 갱신 필요</x:v>
      </x:c>
      <x:c r="V212" s="24" t="str">
        <x:v>010-5838-3584</x:v>
      </x:c>
      <x:c r="W212" s="24" t="str"/>
      <x:c r="X212" s="24" t="str">
        <x:v>있음</x:v>
      </x:c>
      <x:c r="Y212" s="24" t="str">
        <x:v>미수 확인</x:v>
      </x:c>
      <x:c r="Z212" s="24" t="str"/>
      <x:c r="AA212" s="24" t="str">
        <x:v>보유 기준 확인</x:v>
      </x:c>
    </x:row>
    <x:row r="213" ht="17.25" customHeight="1">
      <x:c r="A213" s="24" t="str">
        <x:v>프라임구독</x:v>
      </x:c>
      <x:c r="B213" s="24" t="str">
        <x:v>34우4050</x:v>
      </x:c>
      <x:c r="C213" s="24" t="str">
        <x:v>현재보유</x:v>
      </x:c>
      <x:c r="D213" s="24" t="str">
        <x:v>쉬는차</x:v>
      </x:c>
      <x:c r="E213" s="30"/>
      <x:c r="F213" s="31" t="str">
        <x:f>IF(AND(D213="쉬는차",E213&lt;&gt;""),TODAY()-E213,"")</x:f>
      </x:c>
      <x:c r="G213" s="24" t="str"/>
      <x:c r="H213" s="24" t="str"/>
      <x:c r="I213" s="30"/>
      <x:c r="J213" s="30"/>
      <x:c r="K213" s="24" t="str"/>
      <x:c r="L213" s="32"/>
      <x:c r="M213" s="31" t="n">
        <x:v>0</x:v>
      </x:c>
      <x:c r="N213" s="32" t="n">
        <x:v>0</x:v>
      </x:c>
      <x:c r="O213" s="31" t="n">
        <x:v>0</x:v>
      </x:c>
      <x:c r="P213" s="24" t="str"/>
      <x:c r="Q213" s="24" t="str"/>
      <x:c r="R213" s="24" t="str"/>
      <x:c r="S213" s="24" t="str">
        <x:f>IF(Q213="","계약연령 미입력",IFERROR(IF(R213="","보험연령 미입력",IF(VALUE(R213)=VALUE(Q213),"정상",IF(VALUE(R213)&gt;VALUE(Q213),"보장 불일치","과보장 점검"))),"계약연령 형식확인"))</x:f>
        <x:v>계약연령 미입력</x:v>
      </x:c>
      <x:c r="T213" s="30" t="n">
        <x:v>45723</x:v>
      </x:c>
      <x:c r="U213" s="24" t="str">
        <x:f>IF(T213="","보험 자료 없음",IF(T213&lt;TODAY(),"만기 자료 갱신 필요","정상"))</x:f>
        <x:v>만기 자료 갱신 필요</x:v>
      </x:c>
      <x:c r="V213" s="24" t="str">
        <x:v>010-8336-5894</x:v>
      </x:c>
      <x:c r="W213" s="24" t="str"/>
      <x:c r="X213" s="24" t="str">
        <x:v>있음</x:v>
      </x:c>
      <x:c r="Y213" s="24" t="str">
        <x:v>상태 시작일 입력</x:v>
      </x:c>
      <x:c r="Z213" s="24" t="str"/>
      <x:c r="AA213" s="24" t="str">
        <x:v>보유 기준 확인</x:v>
      </x:c>
    </x:row>
    <x:row r="214" ht="17.25" customHeight="1">
      <x:c r="A214" s="24" t="str">
        <x:v>프라임구독</x:v>
      </x:c>
      <x:c r="B214" s="24" t="str">
        <x:v>355루1724</x:v>
      </x:c>
      <x:c r="C214" s="24" t="str">
        <x:v>현재보유</x:v>
      </x:c>
      <x:c r="D214" s="24" t="str">
        <x:v>쉬는차</x:v>
      </x:c>
      <x:c r="E214" s="30"/>
      <x:c r="F214" s="31" t="str">
        <x:f>IF(AND(D214="쉬는차",E214&lt;&gt;""),TODAY()-E214,"")</x:f>
      </x:c>
      <x:c r="G214" s="24" t="str"/>
      <x:c r="H214" s="24" t="str"/>
      <x:c r="I214" s="30"/>
      <x:c r="J214" s="30"/>
      <x:c r="K214" s="24" t="str"/>
      <x:c r="L214" s="32"/>
      <x:c r="M214" s="31" t="n">
        <x:v>0</x:v>
      </x:c>
      <x:c r="N214" s="32" t="n">
        <x:v>0</x:v>
      </x:c>
      <x:c r="O214" s="31" t="n">
        <x:v>0</x:v>
      </x:c>
      <x:c r="P214" s="24" t="str"/>
      <x:c r="Q214" s="24" t="str"/>
      <x:c r="R214" s="24" t="str"/>
      <x:c r="S214" s="24" t="str">
        <x:f>IF(Q214="","계약연령 미입력",IFERROR(IF(R214="","보험연령 미입력",IF(VALUE(R214)=VALUE(Q214),"정상",IF(VALUE(R214)&gt;VALUE(Q214),"보장 불일치","과보장 점검"))),"계약연령 형식확인"))</x:f>
        <x:v>계약연령 미입력</x:v>
      </x:c>
      <x:c r="T214" s="30" t="n">
        <x:v>45980</x:v>
      </x:c>
      <x:c r="U214" s="24" t="str">
        <x:f>IF(T214="","보험 자료 없음",IF(T214&lt;TODAY(),"만기 자료 갱신 필요","정상"))</x:f>
        <x:v>만기 자료 갱신 필요</x:v>
      </x:c>
      <x:c r="V214" s="24" t="str">
        <x:v>010-5961-2269</x:v>
      </x:c>
      <x:c r="W214" s="24" t="str"/>
      <x:c r="X214" s="24" t="str">
        <x:v>있음</x:v>
      </x:c>
      <x:c r="Y214" s="24" t="str">
        <x:v>상태 시작일 입력</x:v>
      </x:c>
      <x:c r="Z214" s="24" t="str"/>
      <x:c r="AA214" s="24" t="str">
        <x:v>보유 기준 확인</x:v>
      </x:c>
    </x:row>
    <x:row r="215" ht="17.25" customHeight="1">
      <x:c r="A215" s="24" t="str">
        <x:v>프라임구독</x:v>
      </x:c>
      <x:c r="B215" s="24" t="str">
        <x:v>358다8942</x:v>
      </x:c>
      <x:c r="C215" s="24" t="str">
        <x:v>현재보유</x:v>
      </x:c>
      <x:c r="D215" s="24" t="str">
        <x:v>대여중</x:v>
      </x:c>
      <x:c r="E215" s="30"/>
      <x:c r="F215" s="31" t="str">
        <x:f>IF(AND(D215="쉬는차",E215&lt;&gt;""),TODAY()-E215,"")</x:f>
      </x:c>
      <x:c r="G215" s="24" t="str">
        <x:v>김종범</x:v>
      </x:c>
      <x:c r="H215" s="24" t="str">
        <x:v>PR-C-358다8942-1-20230112-122</x:v>
      </x:c>
      <x:c r="I215" s="30" t="n">
        <x:v>44938</x:v>
      </x:c>
      <x:c r="J215" s="30" t="n">
        <x:v>46032</x:v>
      </x:c>
      <x:c r="K215" s="24" t="str">
        <x:v>10</x:v>
      </x:c>
      <x:c r="L215" s="32" t="n">
        <x:v>736000</x:v>
      </x:c>
      <x:c r="M215" s="31" t="n">
        <x:v>17</x:v>
      </x:c>
      <x:c r="N215" s="32" t="n">
        <x:v>4416000</x:v>
      </x:c>
      <x:c r="O215" s="31" t="n">
        <x:v>523</x:v>
      </x:c>
      <x:c r="P215" s="24" t="str">
        <x:v>회수 판단 · 만기 임박</x:v>
      </x:c>
      <x:c r="Q215" s="24" t="str"/>
      <x:c r="R215" s="24" t="str"/>
      <x:c r="S215" s="24" t="str">
        <x:f>IF(Q215="","계약연령 미입력",IFERROR(IF(R215="","보험연령 미입력",IF(VALUE(R215)=VALUE(Q215),"정상",IF(VALUE(R215)&gt;VALUE(Q215),"보장 불일치","과보장 점검"))),"계약연령 형식확인"))</x:f>
        <x:v>계약연령 미입력</x:v>
      </x:c>
      <x:c r="T215" s="30" t="n">
        <x:v>45669</x:v>
      </x:c>
      <x:c r="U215" s="24" t="str">
        <x:f>IF(T215="","보험 자료 없음",IF(T215&lt;TODAY(),"만기 자료 갱신 필요","정상"))</x:f>
        <x:v>만기 자료 갱신 필요</x:v>
      </x:c>
      <x:c r="V215" s="24" t="str">
        <x:v>010-6620-4192</x:v>
      </x:c>
      <x:c r="W215" s="24" t="str"/>
      <x:c r="X215" s="24" t="str">
        <x:v>있음</x:v>
      </x:c>
      <x:c r="Y215" s="24" t="str">
        <x:v>회수 검토</x:v>
      </x:c>
      <x:c r="Z215" s="24" t="str"/>
      <x:c r="AA215" s="24" t="str">
        <x:v>보유 기준 확인</x:v>
      </x:c>
    </x:row>
    <x:row r="216" ht="17.25" customHeight="1">
      <x:c r="A216" s="24" t="str">
        <x:v>프라임구독</x:v>
      </x:c>
      <x:c r="B216" s="24" t="str">
        <x:v>35라3486</x:v>
      </x:c>
      <x:c r="C216" s="24" t="str">
        <x:v>현재보유</x:v>
      </x:c>
      <x:c r="D216" s="24" t="str">
        <x:v>쉬는차</x:v>
      </x:c>
      <x:c r="E216" s="30"/>
      <x:c r="F216" s="31" t="str">
        <x:f>IF(AND(D216="쉬는차",E216&lt;&gt;""),TODAY()-E216,"")</x:f>
      </x:c>
      <x:c r="G216" s="24" t="str"/>
      <x:c r="H216" s="24" t="str"/>
      <x:c r="I216" s="30"/>
      <x:c r="J216" s="30"/>
      <x:c r="K216" s="24" t="str"/>
      <x:c r="L216" s="32"/>
      <x:c r="M216" s="31" t="n">
        <x:v>0</x:v>
      </x:c>
      <x:c r="N216" s="32" t="n">
        <x:v>0</x:v>
      </x:c>
      <x:c r="O216" s="31" t="n">
        <x:v>0</x:v>
      </x:c>
      <x:c r="P216" s="24" t="str"/>
      <x:c r="Q216" s="24" t="str"/>
      <x:c r="R216" s="24" t="str"/>
      <x:c r="S216" s="24" t="str">
        <x:f>IF(Q216="","계약연령 미입력",IFERROR(IF(R216="","보험연령 미입력",IF(VALUE(R216)=VALUE(Q216),"정상",IF(VALUE(R216)&gt;VALUE(Q216),"보장 불일치","과보장 점검"))),"계약연령 형식확인"))</x:f>
        <x:v>계약연령 미입력</x:v>
      </x:c>
      <x:c r="T216" s="30" t="n">
        <x:v>45719</x:v>
      </x:c>
      <x:c r="U216" s="24" t="str">
        <x:f>IF(T216="","보험 자료 없음",IF(T216&lt;TODAY(),"만기 자료 갱신 필요","정상"))</x:f>
        <x:v>만기 자료 갱신 필요</x:v>
      </x:c>
      <x:c r="V216" s="24" t="str">
        <x:v>010-9491-1261</x:v>
      </x:c>
      <x:c r="W216" s="24" t="str"/>
      <x:c r="X216" s="24" t="str">
        <x:v>있음</x:v>
      </x:c>
      <x:c r="Y216" s="24" t="str">
        <x:v>상태 시작일 입력</x:v>
      </x:c>
      <x:c r="Z216" s="24" t="str"/>
      <x:c r="AA216" s="24" t="str">
        <x:v>보유 기준 확인</x:v>
      </x:c>
    </x:row>
    <x:row r="217" ht="17.25" customHeight="1">
      <x:c r="A217" s="24" t="str">
        <x:v>프라임구독</x:v>
      </x:c>
      <x:c r="B217" s="24" t="str">
        <x:v>35조0980</x:v>
      </x:c>
      <x:c r="C217" s="24" t="str">
        <x:v>현재보유</x:v>
      </x:c>
      <x:c r="D217" s="24" t="str">
        <x:v>대여중</x:v>
      </x:c>
      <x:c r="E217" s="30"/>
      <x:c r="F217" s="31" t="str">
        <x:f>IF(AND(D217="쉬는차",E217&lt;&gt;""),TODAY()-E217,"")</x:f>
      </x:c>
      <x:c r="G217" s="24" t="str">
        <x:v>김진성1</x:v>
      </x:c>
      <x:c r="H217" s="24" t="str">
        <x:v>PR-C-35조0980-1-20230811-124</x:v>
      </x:c>
      <x:c r="I217" s="30" t="n">
        <x:v>45149</x:v>
      </x:c>
      <x:c r="J217" s="30" t="n">
        <x:v>46619</x:v>
      </x:c>
      <x:c r="K217" s="24" t="str">
        <x:v>20</x:v>
      </x:c>
      <x:c r="L217" s="32" t="n">
        <x:v>856000</x:v>
      </x:c>
      <x:c r="M217" s="31" t="n">
        <x:v>1</x:v>
      </x:c>
      <x:c r="N217" s="32" t="n">
        <x:v>856000</x:v>
      </x:c>
      <x:c r="O217" s="31" t="n">
        <x:v>0</x:v>
      </x:c>
      <x:c r="P217" s="24" t="str"/>
      <x:c r="Q217" s="24" t="str"/>
      <x:c r="R217" s="24" t="str"/>
      <x:c r="S217" s="24" t="str">
        <x:f>IF(Q217="","계약연령 미입력",IFERROR(IF(R217="","보험연령 미입력",IF(VALUE(R217)=VALUE(Q217),"정상",IF(VALUE(R217)&gt;VALUE(Q217),"보장 불일치","과보장 점검"))),"계약연령 형식확인"))</x:f>
        <x:v>계약연령 미입력</x:v>
      </x:c>
      <x:c r="T217" s="30" t="n">
        <x:v>45880</x:v>
      </x:c>
      <x:c r="U217" s="24" t="str">
        <x:f>IF(T217="","보험 자료 없음",IF(T217&lt;TODAY(),"만기 자료 갱신 필요","정상"))</x:f>
        <x:v>만기 자료 갱신 필요</x:v>
      </x:c>
      <x:c r="V217" s="24" t="str">
        <x:v>010-5838-3584</x:v>
      </x:c>
      <x:c r="W217" s="24" t="str"/>
      <x:c r="X217" s="24" t="str">
        <x:v>있음</x:v>
      </x:c>
      <x:c r="Y217" s="24" t="str">
        <x:v>미수 확인</x:v>
      </x:c>
      <x:c r="Z217" s="24" t="str"/>
      <x:c r="AA217" s="24" t="str">
        <x:v>보유 기준 확인</x:v>
      </x:c>
    </x:row>
    <x:row r="218" ht="17.25" customHeight="1">
      <x:c r="A218" s="24" t="str">
        <x:v>프라임구독</x:v>
      </x:c>
      <x:c r="B218" s="24" t="str">
        <x:v>366버2054</x:v>
      </x:c>
      <x:c r="C218" s="24" t="str">
        <x:v>현재보유</x:v>
      </x:c>
      <x:c r="D218" s="24" t="str">
        <x:v>쉬는차</x:v>
      </x:c>
      <x:c r="E218" s="30"/>
      <x:c r="F218" s="31" t="str">
        <x:f>IF(AND(D218="쉬는차",E218&lt;&gt;""),TODAY()-E218,"")</x:f>
      </x:c>
      <x:c r="G218" s="24" t="str"/>
      <x:c r="H218" s="24" t="str"/>
      <x:c r="I218" s="30"/>
      <x:c r="J218" s="30"/>
      <x:c r="K218" s="24" t="str"/>
      <x:c r="L218" s="32"/>
      <x:c r="M218" s="31" t="n">
        <x:v>0</x:v>
      </x:c>
      <x:c r="N218" s="32" t="n">
        <x:v>0</x:v>
      </x:c>
      <x:c r="O218" s="31" t="n">
        <x:v>0</x:v>
      </x:c>
      <x:c r="P218" s="24" t="str"/>
      <x:c r="Q218" s="24" t="str"/>
      <x:c r="R218" s="24" t="str"/>
      <x:c r="S218" s="24" t="str">
        <x:f>IF(Q218="","계약연령 미입력",IFERROR(IF(R218="","보험연령 미입력",IF(VALUE(R218)=VALUE(Q218),"정상",IF(VALUE(R218)&gt;VALUE(Q218),"보장 불일치","과보장 점검"))),"계약연령 형식확인"))</x:f>
        <x:v>계약연령 미입력</x:v>
      </x:c>
      <x:c r="T218" s="30" t="n">
        <x:v>45504</x:v>
      </x:c>
      <x:c r="U218" s="24" t="str">
        <x:f>IF(T218="","보험 자료 없음",IF(T218&lt;TODAY(),"만기 자료 갱신 필요","정상"))</x:f>
        <x:v>만기 자료 갱신 필요</x:v>
      </x:c>
      <x:c r="V218" s="24" t="str">
        <x:v>010-8267-1492</x:v>
      </x:c>
      <x:c r="W218" s="24" t="str"/>
      <x:c r="X218" s="24" t="str">
        <x:v>있음</x:v>
      </x:c>
      <x:c r="Y218" s="24" t="str">
        <x:v>상태 시작일 입력</x:v>
      </x:c>
      <x:c r="Z218" s="24" t="str"/>
      <x:c r="AA218" s="24" t="str">
        <x:v>보유 기준 확인</x:v>
      </x:c>
    </x:row>
    <x:row r="219" ht="17.25" customHeight="1">
      <x:c r="A219" s="24" t="str">
        <x:v>프라임구독</x:v>
      </x:c>
      <x:c r="B219" s="24" t="str">
        <x:v>36너9100</x:v>
      </x:c>
      <x:c r="C219" s="24" t="str">
        <x:v>현재보유</x:v>
      </x:c>
      <x:c r="D219" s="24" t="str">
        <x:v>쉬는차</x:v>
      </x:c>
      <x:c r="E219" s="30"/>
      <x:c r="F219" s="31" t="str">
        <x:f>IF(AND(D219="쉬는차",E219&lt;&gt;""),TODAY()-E219,"")</x:f>
      </x:c>
      <x:c r="G219" s="24" t="str"/>
      <x:c r="H219" s="24" t="str"/>
      <x:c r="I219" s="30"/>
      <x:c r="J219" s="30"/>
      <x:c r="K219" s="24" t="str"/>
      <x:c r="L219" s="32"/>
      <x:c r="M219" s="31" t="n">
        <x:v>0</x:v>
      </x:c>
      <x:c r="N219" s="32" t="n">
        <x:v>0</x:v>
      </x:c>
      <x:c r="O219" s="31" t="n">
        <x:v>0</x:v>
      </x:c>
      <x:c r="P219" s="24" t="str"/>
      <x:c r="Q219" s="24" t="str"/>
      <x:c r="R219" s="24" t="str"/>
      <x:c r="S219" s="24" t="str">
        <x:f>IF(Q219="","계약연령 미입력",IFERROR(IF(R219="","보험연령 미입력",IF(VALUE(R219)=VALUE(Q219),"정상",IF(VALUE(R219)&gt;VALUE(Q219),"보장 불일치","과보장 점검"))),"계약연령 형식확인"))</x:f>
        <x:v>계약연령 미입력</x:v>
      </x:c>
      <x:c r="T219" s="30" t="n">
        <x:v>45899</x:v>
      </x:c>
      <x:c r="U219" s="24" t="str">
        <x:f>IF(T219="","보험 자료 없음",IF(T219&lt;TODAY(),"만기 자료 갱신 필요","정상"))</x:f>
        <x:v>만기 자료 갱신 필요</x:v>
      </x:c>
      <x:c r="V219" s="24" t="str">
        <x:v>010-5924-3009</x:v>
      </x:c>
      <x:c r="W219" s="24" t="str"/>
      <x:c r="X219" s="24" t="str">
        <x:v>있음</x:v>
      </x:c>
      <x:c r="Y219" s="24" t="str">
        <x:v>상태 시작일 입력</x:v>
      </x:c>
      <x:c r="Z219" s="24" t="str"/>
      <x:c r="AA219" s="24" t="str">
        <x:v>보유 기준 확인</x:v>
      </x:c>
    </x:row>
    <x:row r="220" ht="17.25" customHeight="1">
      <x:c r="A220" s="24" t="str">
        <x:v>프라임구독</x:v>
      </x:c>
      <x:c r="B220" s="24" t="str">
        <x:v>36조8835</x:v>
      </x:c>
      <x:c r="C220" s="24" t="str">
        <x:v>현재보유</x:v>
      </x:c>
      <x:c r="D220" s="24" t="str">
        <x:v>쉬는차</x:v>
      </x:c>
      <x:c r="E220" s="30"/>
      <x:c r="F220" s="31" t="str">
        <x:f>IF(AND(D220="쉬는차",E220&lt;&gt;""),TODAY()-E220,"")</x:f>
      </x:c>
      <x:c r="G220" s="24" t="str"/>
      <x:c r="H220" s="24" t="str"/>
      <x:c r="I220" s="30"/>
      <x:c r="J220" s="30"/>
      <x:c r="K220" s="24" t="str"/>
      <x:c r="L220" s="32"/>
      <x:c r="M220" s="31" t="n">
        <x:v>0</x:v>
      </x:c>
      <x:c r="N220" s="32" t="n">
        <x:v>0</x:v>
      </x:c>
      <x:c r="O220" s="31" t="n">
        <x:v>0</x:v>
      </x:c>
      <x:c r="P220" s="24" t="str"/>
      <x:c r="Q220" s="24" t="str"/>
      <x:c r="R220" s="24" t="str"/>
      <x:c r="S220" s="24" t="str">
        <x:f>IF(Q220="","계약연령 미입력",IFERROR(IF(R220="","보험연령 미입력",IF(VALUE(R220)=VALUE(Q220),"정상",IF(VALUE(R220)&gt;VALUE(Q220),"보장 불일치","과보장 점검"))),"계약연령 형식확인"))</x:f>
        <x:v>계약연령 미입력</x:v>
      </x:c>
      <x:c r="T220" s="30" t="n">
        <x:v>45800</x:v>
      </x:c>
      <x:c r="U220" s="24" t="str">
        <x:f>IF(T220="","보험 자료 없음",IF(T220&lt;TODAY(),"만기 자료 갱신 필요","정상"))</x:f>
        <x:v>만기 자료 갱신 필요</x:v>
      </x:c>
      <x:c r="V220" s="24" t="str">
        <x:v>010-2269-4771</x:v>
      </x:c>
      <x:c r="W220" s="24" t="str"/>
      <x:c r="X220" s="24" t="str">
        <x:v>있음</x:v>
      </x:c>
      <x:c r="Y220" s="24" t="str">
        <x:v>상태 시작일 입력</x:v>
      </x:c>
      <x:c r="Z220" s="24" t="str"/>
      <x:c r="AA220" s="24" t="str">
        <x:v>보유 기준 확인</x:v>
      </x:c>
    </x:row>
    <x:row r="221" ht="17.25" customHeight="1">
      <x:c r="A221" s="24" t="str">
        <x:v>프라임구독</x:v>
      </x:c>
      <x:c r="B221" s="24" t="str">
        <x:v>372너6080</x:v>
      </x:c>
      <x:c r="C221" s="24" t="str">
        <x:v>현재보유</x:v>
      </x:c>
      <x:c r="D221" s="24" t="str">
        <x:v>쉬는차</x:v>
      </x:c>
      <x:c r="E221" s="30"/>
      <x:c r="F221" s="31" t="str">
        <x:f>IF(AND(D221="쉬는차",E221&lt;&gt;""),TODAY()-E221,"")</x:f>
      </x:c>
      <x:c r="G221" s="24" t="str"/>
      <x:c r="H221" s="24" t="str"/>
      <x:c r="I221" s="30"/>
      <x:c r="J221" s="30"/>
      <x:c r="K221" s="24" t="str"/>
      <x:c r="L221" s="32"/>
      <x:c r="M221" s="31" t="n">
        <x:v>0</x:v>
      </x:c>
      <x:c r="N221" s="32" t="n">
        <x:v>0</x:v>
      </x:c>
      <x:c r="O221" s="31" t="n">
        <x:v>0</x:v>
      </x:c>
      <x:c r="P221" s="24" t="str"/>
      <x:c r="Q221" s="24" t="str"/>
      <x:c r="R221" s="24" t="str"/>
      <x:c r="S221" s="24" t="str">
        <x:f>IF(Q221="","계약연령 미입력",IFERROR(IF(R221="","보험연령 미입력",IF(VALUE(R221)=VALUE(Q221),"정상",IF(VALUE(R221)&gt;VALUE(Q221),"보장 불일치","과보장 점검"))),"계약연령 형식확인"))</x:f>
        <x:v>계약연령 미입력</x:v>
      </x:c>
      <x:c r="T221" s="30" t="n">
        <x:v>46001</x:v>
      </x:c>
      <x:c r="U221" s="24" t="str">
        <x:f>IF(T221="","보험 자료 없음",IF(T221&lt;TODAY(),"만기 자료 갱신 필요","정상"))</x:f>
        <x:v>만기 자료 갱신 필요</x:v>
      </x:c>
      <x:c r="V221" s="24" t="str">
        <x:v>010-2663-9779</x:v>
      </x:c>
      <x:c r="W221" s="24" t="str"/>
      <x:c r="X221" s="24" t="str">
        <x:v>있음</x:v>
      </x:c>
      <x:c r="Y221" s="24" t="str">
        <x:v>상태 시작일 입력</x:v>
      </x:c>
      <x:c r="Z221" s="24" t="str"/>
      <x:c r="AA221" s="24" t="str">
        <x:v>보유 기준 확인</x:v>
      </x:c>
    </x:row>
    <x:row r="222" ht="17.25" customHeight="1">
      <x:c r="A222" s="24" t="str">
        <x:v>프라임구독</x:v>
      </x:c>
      <x:c r="B222" s="24" t="str">
        <x:v>375노8331</x:v>
      </x:c>
      <x:c r="C222" s="24" t="str">
        <x:v>현재보유</x:v>
      </x:c>
      <x:c r="D222" s="24" t="str">
        <x:v>쉬는차</x:v>
      </x:c>
      <x:c r="E222" s="30"/>
      <x:c r="F222" s="31" t="str">
        <x:f>IF(AND(D222="쉬는차",E222&lt;&gt;""),TODAY()-E222,"")</x:f>
      </x:c>
      <x:c r="G222" s="24" t="str"/>
      <x:c r="H222" s="24" t="str"/>
      <x:c r="I222" s="30"/>
      <x:c r="J222" s="30"/>
      <x:c r="K222" s="24" t="str"/>
      <x:c r="L222" s="32"/>
      <x:c r="M222" s="31" t="n">
        <x:v>0</x:v>
      </x:c>
      <x:c r="N222" s="32" t="n">
        <x:v>0</x:v>
      </x:c>
      <x:c r="O222" s="31" t="n">
        <x:v>0</x:v>
      </x:c>
      <x:c r="P222" s="24" t="str"/>
      <x:c r="Q222" s="24" t="str"/>
      <x:c r="R222" s="24" t="str"/>
      <x:c r="S222" s="24" t="str">
        <x:f>IF(Q222="","계약연령 미입력",IFERROR(IF(R222="","보험연령 미입력",IF(VALUE(R222)=VALUE(Q222),"정상",IF(VALUE(R222)&gt;VALUE(Q222),"보장 불일치","과보장 점검"))),"계약연령 형식확인"))</x:f>
        <x:v>계약연령 미입력</x:v>
      </x:c>
      <x:c r="T222" s="30" t="n">
        <x:v>46004</x:v>
      </x:c>
      <x:c r="U222" s="24" t="str">
        <x:f>IF(T222="","보험 자료 없음",IF(T222&lt;TODAY(),"만기 자료 갱신 필요","정상"))</x:f>
        <x:v>만기 자료 갱신 필요</x:v>
      </x:c>
      <x:c r="V222" s="24" t="str">
        <x:v>010-4171-1082</x:v>
      </x:c>
      <x:c r="W222" s="24" t="str"/>
      <x:c r="X222" s="24" t="str">
        <x:v>있음</x:v>
      </x:c>
      <x:c r="Y222" s="24" t="str">
        <x:v>상태 시작일 입력</x:v>
      </x:c>
      <x:c r="Z222" s="24" t="str"/>
      <x:c r="AA222" s="24" t="str">
        <x:v>보유 기준 확인</x:v>
      </x:c>
    </x:row>
    <x:row r="223" ht="17.25" customHeight="1">
      <x:c r="A223" s="24" t="str">
        <x:v>프라임구독</x:v>
      </x:c>
      <x:c r="B223" s="24" t="str">
        <x:v>375어9516</x:v>
      </x:c>
      <x:c r="C223" s="24" t="str">
        <x:v>현재보유</x:v>
      </x:c>
      <x:c r="D223" s="24" t="str">
        <x:v>쉬는차</x:v>
      </x:c>
      <x:c r="E223" s="30"/>
      <x:c r="F223" s="31" t="str">
        <x:f>IF(AND(D223="쉬는차",E223&lt;&gt;""),TODAY()-E223,"")</x:f>
      </x:c>
      <x:c r="G223" s="24" t="str"/>
      <x:c r="H223" s="24" t="str"/>
      <x:c r="I223" s="30"/>
      <x:c r="J223" s="30"/>
      <x:c r="K223" s="24" t="str"/>
      <x:c r="L223" s="32"/>
      <x:c r="M223" s="31" t="n">
        <x:v>0</x:v>
      </x:c>
      <x:c r="N223" s="32" t="n">
        <x:v>0</x:v>
      </x:c>
      <x:c r="O223" s="31" t="n">
        <x:v>0</x:v>
      </x:c>
      <x:c r="P223" s="24" t="str"/>
      <x:c r="Q223" s="24" t="str"/>
      <x:c r="R223" s="24" t="str"/>
      <x:c r="S223" s="24" t="str">
        <x:f>IF(Q223="","계약연령 미입력",IFERROR(IF(R223="","보험연령 미입력",IF(VALUE(R223)=VALUE(Q223),"정상",IF(VALUE(R223)&gt;VALUE(Q223),"보장 불일치","과보장 점검"))),"계약연령 형식확인"))</x:f>
        <x:v>계약연령 미입력</x:v>
      </x:c>
      <x:c r="T223" s="30" t="n">
        <x:v>45986</x:v>
      </x:c>
      <x:c r="U223" s="24" t="str">
        <x:f>IF(T223="","보험 자료 없음",IF(T223&lt;TODAY(),"만기 자료 갱신 필요","정상"))</x:f>
        <x:v>만기 자료 갱신 필요</x:v>
      </x:c>
      <x:c r="V223" s="24" t="str">
        <x:v>010-2061-1058</x:v>
      </x:c>
      <x:c r="W223" s="24" t="str"/>
      <x:c r="X223" s="24" t="str">
        <x:v>있음</x:v>
      </x:c>
      <x:c r="Y223" s="24" t="str">
        <x:v>상태 시작일 입력</x:v>
      </x:c>
      <x:c r="Z223" s="24" t="str"/>
      <x:c r="AA223" s="24" t="str">
        <x:v>보유 기준 확인</x:v>
      </x:c>
    </x:row>
    <x:row r="224" ht="17.25" customHeight="1">
      <x:c r="A224" s="24" t="str">
        <x:v>프라임구독</x:v>
      </x:c>
      <x:c r="B224" s="24" t="str">
        <x:v>37가6818</x:v>
      </x:c>
      <x:c r="C224" s="24" t="str">
        <x:v>현재보유</x:v>
      </x:c>
      <x:c r="D224" s="24" t="str">
        <x:v>쉬는차</x:v>
      </x:c>
      <x:c r="E224" s="30"/>
      <x:c r="F224" s="31" t="str">
        <x:f>IF(AND(D224="쉬는차",E224&lt;&gt;""),TODAY()-E224,"")</x:f>
      </x:c>
      <x:c r="G224" s="24" t="str"/>
      <x:c r="H224" s="24" t="str"/>
      <x:c r="I224" s="30"/>
      <x:c r="J224" s="30"/>
      <x:c r="K224" s="24" t="str"/>
      <x:c r="L224" s="32"/>
      <x:c r="M224" s="31" t="n">
        <x:v>0</x:v>
      </x:c>
      <x:c r="N224" s="32" t="n">
        <x:v>0</x:v>
      </x:c>
      <x:c r="O224" s="31" t="n">
        <x:v>0</x:v>
      </x:c>
      <x:c r="P224" s="24" t="str"/>
      <x:c r="Q224" s="24" t="str"/>
      <x:c r="R224" s="24" t="str"/>
      <x:c r="S224" s="24" t="str">
        <x:f>IF(Q224="","계약연령 미입력",IFERROR(IF(R224="","보험연령 미입력",IF(VALUE(R224)=VALUE(Q224),"정상",IF(VALUE(R224)&gt;VALUE(Q224),"보장 불일치","과보장 점검"))),"계약연령 형식확인"))</x:f>
        <x:v>계약연령 미입력</x:v>
      </x:c>
      <x:c r="T224" s="30" t="n">
        <x:v>45723</x:v>
      </x:c>
      <x:c r="U224" s="24" t="str">
        <x:f>IF(T224="","보험 자료 없음",IF(T224&lt;TODAY(),"만기 자료 갱신 필요","정상"))</x:f>
        <x:v>만기 자료 갱신 필요</x:v>
      </x:c>
      <x:c r="V224" s="24" t="str">
        <x:v>010-6466-6669</x:v>
      </x:c>
      <x:c r="W224" s="24" t="str"/>
      <x:c r="X224" s="24" t="str">
        <x:v>있음</x:v>
      </x:c>
      <x:c r="Y224" s="24" t="str">
        <x:v>상태 시작일 입력</x:v>
      </x:c>
      <x:c r="Z224" s="24" t="str"/>
      <x:c r="AA224" s="24" t="str">
        <x:v>보유 기준 확인</x:v>
      </x:c>
    </x:row>
    <x:row r="225" ht="17.25" customHeight="1">
      <x:c r="A225" s="24" t="str">
        <x:v>프라임구독</x:v>
      </x:c>
      <x:c r="B225" s="24" t="str">
        <x:v>37루0709</x:v>
      </x:c>
      <x:c r="C225" s="24" t="str">
        <x:v>현재보유</x:v>
      </x:c>
      <x:c r="D225" s="24" t="str">
        <x:v>쉬는차</x:v>
      </x:c>
      <x:c r="E225" s="30"/>
      <x:c r="F225" s="31" t="str">
        <x:f>IF(AND(D225="쉬는차",E225&lt;&gt;""),TODAY()-E225,"")</x:f>
      </x:c>
      <x:c r="G225" s="24" t="str"/>
      <x:c r="H225" s="24" t="str"/>
      <x:c r="I225" s="30"/>
      <x:c r="J225" s="30"/>
      <x:c r="K225" s="24" t="str"/>
      <x:c r="L225" s="32"/>
      <x:c r="M225" s="31" t="n">
        <x:v>0</x:v>
      </x:c>
      <x:c r="N225" s="32" t="n">
        <x:v>0</x:v>
      </x:c>
      <x:c r="O225" s="31" t="n">
        <x:v>0</x:v>
      </x:c>
      <x:c r="P225" s="24" t="str"/>
      <x:c r="Q225" s="24" t="str"/>
      <x:c r="R225" s="24" t="str"/>
      <x:c r="S225" s="24" t="str">
        <x:f>IF(Q225="","계약연령 미입력",IFERROR(IF(R225="","보험연령 미입력",IF(VALUE(R225)=VALUE(Q225),"정상",IF(VALUE(R225)&gt;VALUE(Q225),"보장 불일치","과보장 점검"))),"계약연령 형식확인"))</x:f>
        <x:v>계약연령 미입력</x:v>
      </x:c>
      <x:c r="T225" s="30" t="n">
        <x:v>45596</x:v>
      </x:c>
      <x:c r="U225" s="24" t="str">
        <x:f>IF(T225="","보험 자료 없음",IF(T225&lt;TODAY(),"만기 자료 갱신 필요","정상"))</x:f>
        <x:v>만기 자료 갱신 필요</x:v>
      </x:c>
      <x:c r="V225" s="24" t="str">
        <x:v>010-4216-8200</x:v>
      </x:c>
      <x:c r="W225" s="24" t="str"/>
      <x:c r="X225" s="24" t="str">
        <x:v>있음</x:v>
      </x:c>
      <x:c r="Y225" s="24" t="str">
        <x:v>상태 시작일 입력</x:v>
      </x:c>
      <x:c r="Z225" s="24" t="str"/>
      <x:c r="AA225" s="24" t="str">
        <x:v>보유 기준 확인</x:v>
      </x:c>
    </x:row>
    <x:row r="226" ht="17.25" customHeight="1">
      <x:c r="A226" s="24" t="str">
        <x:v>프라임구독</x:v>
      </x:c>
      <x:c r="B226" s="24" t="str">
        <x:v>37부6628</x:v>
      </x:c>
      <x:c r="C226" s="24" t="str">
        <x:v>현재보유</x:v>
      </x:c>
      <x:c r="D226" s="24" t="str">
        <x:v>대여중</x:v>
      </x:c>
      <x:c r="E226" s="30"/>
      <x:c r="F226" s="31" t="str">
        <x:f>IF(AND(D226="쉬는차",E226&lt;&gt;""),TODAY()-E226,"")</x:f>
      </x:c>
      <x:c r="G226" s="24" t="str">
        <x:v>배초롱</x:v>
      </x:c>
      <x:c r="H226" s="24" t="str">
        <x:v>PR-C-37부6628-1-20231031-134</x:v>
      </x:c>
      <x:c r="I226" s="30" t="n">
        <x:v>45230</x:v>
      </x:c>
      <x:c r="J226" s="30" t="n">
        <x:v>46680</x:v>
      </x:c>
      <x:c r="K226" s="24" t="str">
        <x:v>20</x:v>
      </x:c>
      <x:c r="L226" s="32" t="n">
        <x:v>770000</x:v>
      </x:c>
      <x:c r="M226" s="31" t="n">
        <x:v>19</x:v>
      </x:c>
      <x:c r="N226" s="32" t="n">
        <x:v>836000</x:v>
      </x:c>
      <x:c r="O226" s="31" t="n">
        <x:v>541</x:v>
      </x:c>
      <x:c r="P226" s="24" t="str"/>
      <x:c r="Q226" s="24" t="str"/>
      <x:c r="R226" s="24" t="str"/>
      <x:c r="S226" s="24" t="str">
        <x:f>IF(Q226="","계약연령 미입력",IFERROR(IF(R226="","보험연령 미입력",IF(VALUE(R226)=VALUE(Q226),"정상",IF(VALUE(R226)&gt;VALUE(Q226),"보장 불일치","과보장 점검"))),"계약연령 형식확인"))</x:f>
        <x:v>계약연령 미입력</x:v>
      </x:c>
      <x:c r="T226" s="30" t="n">
        <x:v>46100</x:v>
      </x:c>
      <x:c r="U226" s="24" t="str">
        <x:f>IF(T226="","보험 자료 없음",IF(T226&lt;TODAY(),"만기 자료 갱신 필요","정상"))</x:f>
        <x:v>만기 자료 갱신 필요</x:v>
      </x:c>
      <x:c r="V226" s="24" t="str">
        <x:v>010-3931-0242</x:v>
      </x:c>
      <x:c r="W226" s="24" t="str"/>
      <x:c r="X226" s="24" t="str">
        <x:v>있음</x:v>
      </x:c>
      <x:c r="Y226" s="24" t="str">
        <x:v>미수 확인</x:v>
      </x:c>
      <x:c r="Z226" s="24" t="str"/>
      <x:c r="AA226" s="24" t="str">
        <x:v>보유 기준 확인</x:v>
      </x:c>
    </x:row>
    <x:row r="227" ht="17.25" customHeight="1">
      <x:c r="A227" s="24" t="str">
        <x:v>프라임구독</x:v>
      </x:c>
      <x:c r="B227" s="24" t="str">
        <x:v>383고5530</x:v>
      </x:c>
      <x:c r="C227" s="24" t="str">
        <x:v>현재보유</x:v>
      </x:c>
      <x:c r="D227" s="24" t="str">
        <x:v>쉬는차</x:v>
      </x:c>
      <x:c r="E227" s="30"/>
      <x:c r="F227" s="31" t="str">
        <x:f>IF(AND(D227="쉬는차",E227&lt;&gt;""),TODAY()-E227,"")</x:f>
      </x:c>
      <x:c r="G227" s="24" t="str"/>
      <x:c r="H227" s="24" t="str"/>
      <x:c r="I227" s="30"/>
      <x:c r="J227" s="30"/>
      <x:c r="K227" s="24" t="str"/>
      <x:c r="L227" s="32"/>
      <x:c r="M227" s="31" t="n">
        <x:v>0</x:v>
      </x:c>
      <x:c r="N227" s="32" t="n">
        <x:v>0</x:v>
      </x:c>
      <x:c r="O227" s="31" t="n">
        <x:v>0</x:v>
      </x:c>
      <x:c r="P227" s="24" t="str"/>
      <x:c r="Q227" s="24" t="str"/>
      <x:c r="R227" s="24" t="str"/>
      <x:c r="S227" s="24" t="str">
        <x:f>IF(Q227="","계약연령 미입력",IFERROR(IF(R227="","보험연령 미입력",IF(VALUE(R227)=VALUE(Q227),"정상",IF(VALUE(R227)&gt;VALUE(Q227),"보장 불일치","과보장 점검"))),"계약연령 형식확인"))</x:f>
        <x:v>계약연령 미입력</x:v>
      </x:c>
      <x:c r="T227" s="30" t="n">
        <x:v>46034</x:v>
      </x:c>
      <x:c r="U227" s="24" t="str">
        <x:f>IF(T227="","보험 자료 없음",IF(T227&lt;TODAY(),"만기 자료 갱신 필요","정상"))</x:f>
        <x:v>만기 자료 갱신 필요</x:v>
      </x:c>
      <x:c r="V227" s="24" t="str">
        <x:v>010-3361-5846</x:v>
      </x:c>
      <x:c r="W227" s="24" t="str"/>
      <x:c r="X227" s="24" t="str">
        <x:v>있음</x:v>
      </x:c>
      <x:c r="Y227" s="24" t="str">
        <x:v>상태 시작일 입력</x:v>
      </x:c>
      <x:c r="Z227" s="24" t="str"/>
      <x:c r="AA227" s="24" t="str">
        <x:v>보유 기준 확인</x:v>
      </x:c>
    </x:row>
    <x:row r="228" ht="17.25" customHeight="1">
      <x:c r="A228" s="24" t="str">
        <x:v>프라임구독</x:v>
      </x:c>
      <x:c r="B228" s="24" t="str">
        <x:v>385두9468</x:v>
      </x:c>
      <x:c r="C228" s="24" t="str">
        <x:v>현재보유</x:v>
      </x:c>
      <x:c r="D228" s="24" t="str">
        <x:v>쉬는차</x:v>
      </x:c>
      <x:c r="E228" s="30"/>
      <x:c r="F228" s="31" t="str">
        <x:f>IF(AND(D228="쉬는차",E228&lt;&gt;""),TODAY()-E228,"")</x:f>
      </x:c>
      <x:c r="G228" s="24" t="str"/>
      <x:c r="H228" s="24" t="str"/>
      <x:c r="I228" s="30"/>
      <x:c r="J228" s="30"/>
      <x:c r="K228" s="24" t="str"/>
      <x:c r="L228" s="32"/>
      <x:c r="M228" s="31" t="n">
        <x:v>0</x:v>
      </x:c>
      <x:c r="N228" s="32" t="n">
        <x:v>0</x:v>
      </x:c>
      <x:c r="O228" s="31" t="n">
        <x:v>0</x:v>
      </x:c>
      <x:c r="P228" s="24" t="str"/>
      <x:c r="Q228" s="24" t="str"/>
      <x:c r="R228" s="24" t="str"/>
      <x:c r="S228" s="24" t="str">
        <x:f>IF(Q228="","계약연령 미입력",IFERROR(IF(R228="","보험연령 미입력",IF(VALUE(R228)=VALUE(Q228),"정상",IF(VALUE(R228)&gt;VALUE(Q228),"보장 불일치","과보장 점검"))),"계약연령 형식확인"))</x:f>
        <x:v>계약연령 미입력</x:v>
      </x:c>
      <x:c r="T228" s="30" t="n">
        <x:v>45514</x:v>
      </x:c>
      <x:c r="U228" s="24" t="str">
        <x:f>IF(T228="","보험 자료 없음",IF(T228&lt;TODAY(),"만기 자료 갱신 필요","정상"))</x:f>
        <x:v>만기 자료 갱신 필요</x:v>
      </x:c>
      <x:c r="V228" s="24" t="str">
        <x:v>010-9946-2522</x:v>
      </x:c>
      <x:c r="W228" s="24" t="str"/>
      <x:c r="X228" s="24" t="str">
        <x:v>있음</x:v>
      </x:c>
      <x:c r="Y228" s="24" t="str">
        <x:v>상태 시작일 입력</x:v>
      </x:c>
      <x:c r="Z228" s="24" t="str"/>
      <x:c r="AA228" s="24" t="str">
        <x:v>보유 기준 확인</x:v>
      </x:c>
    </x:row>
    <x:row r="229" ht="17.25" customHeight="1">
      <x:c r="A229" s="24" t="str">
        <x:v>프라임구독</x:v>
      </x:c>
      <x:c r="B229" s="24" t="str">
        <x:v>38거0839</x:v>
      </x:c>
      <x:c r="C229" s="24" t="str">
        <x:v>현재보유</x:v>
      </x:c>
      <x:c r="D229" s="24" t="str">
        <x:v>대여중</x:v>
      </x:c>
      <x:c r="E229" s="30"/>
      <x:c r="F229" s="31" t="str">
        <x:f>IF(AND(D229="쉬는차",E229&lt;&gt;""),TODAY()-E229,"")</x:f>
      </x:c>
      <x:c r="G229" s="24" t="str">
        <x:v>김준모</x:v>
      </x:c>
      <x:c r="H229" s="24" t="str">
        <x:v>PR-C-38거0839-1-20240130-137</x:v>
      </x:c>
      <x:c r="I229" s="30" t="n">
        <x:v>45321</x:v>
      </x:c>
      <x:c r="J229" s="30" t="n">
        <x:v>46788</x:v>
      </x:c>
      <x:c r="K229" s="24" t="str">
        <x:v>5</x:v>
      </x:c>
      <x:c r="L229" s="32" t="n">
        <x:v>573000</x:v>
      </x:c>
      <x:c r="M229" s="31" t="n">
        <x:v>19</x:v>
      </x:c>
      <x:c r="N229" s="32" t="n">
        <x:v>3803000</x:v>
      </x:c>
      <x:c r="O229" s="31" t="n">
        <x:v>556</x:v>
      </x:c>
      <x:c r="P229" s="24" t="str">
        <x:v>회수 판단</x:v>
      </x:c>
      <x:c r="Q229" s="24" t="str"/>
      <x:c r="R229" s="24" t="str"/>
      <x:c r="S229" s="24" t="str">
        <x:f>IF(Q229="","계약연령 미입력",IFERROR(IF(R229="","보험연령 미입력",IF(VALUE(R229)=VALUE(Q229),"정상",IF(VALUE(R229)&gt;VALUE(Q229),"보장 불일치","과보장 점검"))),"계약연령 형식확인"))</x:f>
        <x:v>계약연령 미입력</x:v>
      </x:c>
      <x:c r="T229" s="30" t="n">
        <x:v>45747</x:v>
      </x:c>
      <x:c r="U229" s="24" t="str">
        <x:f>IF(T229="","보험 자료 없음",IF(T229&lt;TODAY(),"만기 자료 갱신 필요","정상"))</x:f>
        <x:v>만기 자료 갱신 필요</x:v>
      </x:c>
      <x:c r="V229" s="24" t="str">
        <x:v>010-2279-6009</x:v>
      </x:c>
      <x:c r="W229" s="24" t="str"/>
      <x:c r="X229" s="24" t="str">
        <x:v>없음</x:v>
      </x:c>
      <x:c r="Y229" s="24" t="str">
        <x:v>회수 검토</x:v>
      </x:c>
      <x:c r="Z229" s="24" t="str"/>
      <x:c r="AA229" s="24" t="str">
        <x:v>보유 기준 확인</x:v>
      </x:c>
    </x:row>
    <x:row r="230" ht="17.25" customHeight="1">
      <x:c r="A230" s="24" t="str">
        <x:v>프라임구독</x:v>
      </x:c>
      <x:c r="B230" s="24" t="str">
        <x:v>38나0980</x:v>
      </x:c>
      <x:c r="C230" s="24" t="str">
        <x:v>현재보유</x:v>
      </x:c>
      <x:c r="D230" s="24" t="str">
        <x:v>쉬는차</x:v>
      </x:c>
      <x:c r="E230" s="30"/>
      <x:c r="F230" s="31" t="str">
        <x:f>IF(AND(D230="쉬는차",E230&lt;&gt;""),TODAY()-E230,"")</x:f>
      </x:c>
      <x:c r="G230" s="24" t="str"/>
      <x:c r="H230" s="24" t="str"/>
      <x:c r="I230" s="30"/>
      <x:c r="J230" s="30"/>
      <x:c r="K230" s="24" t="str"/>
      <x:c r="L230" s="32"/>
      <x:c r="M230" s="31" t="n">
        <x:v>0</x:v>
      </x:c>
      <x:c r="N230" s="32" t="n">
        <x:v>0</x:v>
      </x:c>
      <x:c r="O230" s="31" t="n">
        <x:v>0</x:v>
      </x:c>
      <x:c r="P230" s="24" t="str"/>
      <x:c r="Q230" s="24" t="str"/>
      <x:c r="R230" s="24" t="str"/>
      <x:c r="S230" s="24" t="str">
        <x:f>IF(Q230="","계약연령 미입력",IFERROR(IF(R230="","보험연령 미입력",IF(VALUE(R230)=VALUE(Q230),"정상",IF(VALUE(R230)&gt;VALUE(Q230),"보장 불일치","과보장 점검"))),"계약연령 형식확인"))</x:f>
        <x:v>계약연령 미입력</x:v>
      </x:c>
      <x:c r="T230" s="30" t="n">
        <x:v>45820</x:v>
      </x:c>
      <x:c r="U230" s="24" t="str">
        <x:f>IF(T230="","보험 자료 없음",IF(T230&lt;TODAY(),"만기 자료 갱신 필요","정상"))</x:f>
        <x:v>만기 자료 갱신 필요</x:v>
      </x:c>
      <x:c r="V230" s="24" t="str">
        <x:v>010-2243-6158</x:v>
      </x:c>
      <x:c r="W230" s="24" t="str"/>
      <x:c r="X230" s="24" t="str">
        <x:v>있음</x:v>
      </x:c>
      <x:c r="Y230" s="24" t="str">
        <x:v>상태 시작일 입력</x:v>
      </x:c>
      <x:c r="Z230" s="24" t="str"/>
      <x:c r="AA230" s="24" t="str">
        <x:v>보유 기준 확인</x:v>
      </x:c>
    </x:row>
    <x:row r="231" ht="17.25" customHeight="1">
      <x:c r="A231" s="24" t="str">
        <x:v>프라임구독</x:v>
      </x:c>
      <x:c r="B231" s="24" t="str">
        <x:v>38모0931</x:v>
      </x:c>
      <x:c r="C231" s="24" t="str">
        <x:v>현재보유</x:v>
      </x:c>
      <x:c r="D231" s="24" t="str">
        <x:v>쉬는차</x:v>
      </x:c>
      <x:c r="E231" s="30"/>
      <x:c r="F231" s="31" t="str">
        <x:f>IF(AND(D231="쉬는차",E231&lt;&gt;""),TODAY()-E231,"")</x:f>
      </x:c>
      <x:c r="G231" s="24" t="str"/>
      <x:c r="H231" s="24" t="str"/>
      <x:c r="I231" s="30"/>
      <x:c r="J231" s="30"/>
      <x:c r="K231" s="24" t="str"/>
      <x:c r="L231" s="32"/>
      <x:c r="M231" s="31" t="n">
        <x:v>0</x:v>
      </x:c>
      <x:c r="N231" s="32" t="n">
        <x:v>0</x:v>
      </x:c>
      <x:c r="O231" s="31" t="n">
        <x:v>0</x:v>
      </x:c>
      <x:c r="P231" s="24" t="str"/>
      <x:c r="Q231" s="24" t="str"/>
      <x:c r="R231" s="24" t="str"/>
      <x:c r="S231" s="24" t="str">
        <x:f>IF(Q231="","계약연령 미입력",IFERROR(IF(R231="","보험연령 미입력",IF(VALUE(R231)=VALUE(Q231),"정상",IF(VALUE(R231)&gt;VALUE(Q231),"보장 불일치","과보장 점검"))),"계약연령 형식확인"))</x:f>
        <x:v>계약연령 미입력</x:v>
      </x:c>
      <x:c r="T231" s="30" t="n">
        <x:v>45923</x:v>
      </x:c>
      <x:c r="U231" s="24" t="str">
        <x:f>IF(T231="","보험 자료 없음",IF(T231&lt;TODAY(),"만기 자료 갱신 필요","정상"))</x:f>
        <x:v>만기 자료 갱신 필요</x:v>
      </x:c>
      <x:c r="V231" s="24" t="str">
        <x:v>010-9890-8235</x:v>
      </x:c>
      <x:c r="W231" s="24" t="str"/>
      <x:c r="X231" s="24" t="str">
        <x:v>있음</x:v>
      </x:c>
      <x:c r="Y231" s="24" t="str">
        <x:v>상태 시작일 입력</x:v>
      </x:c>
      <x:c r="Z231" s="24" t="str"/>
      <x:c r="AA231" s="24" t="str">
        <x:v>보유 기준 확인</x:v>
      </x:c>
    </x:row>
    <x:row r="232" ht="17.25" customHeight="1">
      <x:c r="A232" s="24" t="str">
        <x:v>프라임구독</x:v>
      </x:c>
      <x:c r="B232" s="24" t="str">
        <x:v>392주8214</x:v>
      </x:c>
      <x:c r="C232" s="24" t="str">
        <x:v>현재보유</x:v>
      </x:c>
      <x:c r="D232" s="24" t="str">
        <x:v>쉬는차</x:v>
      </x:c>
      <x:c r="E232" s="30"/>
      <x:c r="F232" s="31" t="str">
        <x:f>IF(AND(D232="쉬는차",E232&lt;&gt;""),TODAY()-E232,"")</x:f>
      </x:c>
      <x:c r="G232" s="24" t="str"/>
      <x:c r="H232" s="24" t="str"/>
      <x:c r="I232" s="30"/>
      <x:c r="J232" s="30"/>
      <x:c r="K232" s="24" t="str"/>
      <x:c r="L232" s="32"/>
      <x:c r="M232" s="31" t="n">
        <x:v>0</x:v>
      </x:c>
      <x:c r="N232" s="32" t="n">
        <x:v>0</x:v>
      </x:c>
      <x:c r="O232" s="31" t="n">
        <x:v>0</x:v>
      </x:c>
      <x:c r="P232" s="24" t="str"/>
      <x:c r="Q232" s="24" t="str"/>
      <x:c r="R232" s="24" t="str"/>
      <x:c r="S232" s="24" t="str">
        <x:f>IF(Q232="","계약연령 미입력",IFERROR(IF(R232="","보험연령 미입력",IF(VALUE(R232)=VALUE(Q232),"정상",IF(VALUE(R232)&gt;VALUE(Q232),"보장 불일치","과보장 점검"))),"계약연령 형식확인"))</x:f>
        <x:v>계약연령 미입력</x:v>
      </x:c>
      <x:c r="T232" s="30" t="n">
        <x:v>45740</x:v>
      </x:c>
      <x:c r="U232" s="24" t="str">
        <x:f>IF(T232="","보험 자료 없음",IF(T232&lt;TODAY(),"만기 자료 갱신 필요","정상"))</x:f>
        <x:v>만기 자료 갱신 필요</x:v>
      </x:c>
      <x:c r="V232" s="24" t="str">
        <x:v>010-8526-3706</x:v>
      </x:c>
      <x:c r="W232" s="24" t="str"/>
      <x:c r="X232" s="24" t="str">
        <x:v>있음</x:v>
      </x:c>
      <x:c r="Y232" s="24" t="str">
        <x:v>상태 시작일 입력</x:v>
      </x:c>
      <x:c r="Z232" s="24" t="str"/>
      <x:c r="AA232" s="24" t="str">
        <x:v>보유 기준 확인</x:v>
      </x:c>
    </x:row>
    <x:row r="233" ht="17.25" customHeight="1">
      <x:c r="A233" s="24" t="str">
        <x:v>프라임구독</x:v>
      </x:c>
      <x:c r="B233" s="24" t="str">
        <x:v>40가4998</x:v>
      </x:c>
      <x:c r="C233" s="24" t="str">
        <x:v>현재보유</x:v>
      </x:c>
      <x:c r="D233" s="24" t="str">
        <x:v>쉬는차</x:v>
      </x:c>
      <x:c r="E233" s="30"/>
      <x:c r="F233" s="31" t="str">
        <x:f>IF(AND(D233="쉬는차",E233&lt;&gt;""),TODAY()-E233,"")</x:f>
      </x:c>
      <x:c r="G233" s="24" t="str"/>
      <x:c r="H233" s="24" t="str"/>
      <x:c r="I233" s="30"/>
      <x:c r="J233" s="30"/>
      <x:c r="K233" s="24" t="str"/>
      <x:c r="L233" s="32"/>
      <x:c r="M233" s="31" t="n">
        <x:v>0</x:v>
      </x:c>
      <x:c r="N233" s="32" t="n">
        <x:v>0</x:v>
      </x:c>
      <x:c r="O233" s="31" t="n">
        <x:v>0</x:v>
      </x:c>
      <x:c r="P233" s="24" t="str"/>
      <x:c r="Q233" s="24" t="str"/>
      <x:c r="R233" s="24" t="str"/>
      <x:c r="S233" s="24" t="str">
        <x:f>IF(Q233="","계약연령 미입력",IFERROR(IF(R233="","보험연령 미입력",IF(VALUE(R233)=VALUE(Q233),"정상",IF(VALUE(R233)&gt;VALUE(Q233),"보장 불일치","과보장 점검"))),"계약연령 형식확인"))</x:f>
        <x:v>계약연령 미입력</x:v>
      </x:c>
      <x:c r="T233" s="30" t="n">
        <x:v>45981</x:v>
      </x:c>
      <x:c r="U233" s="24" t="str">
        <x:f>IF(T233="","보험 자료 없음",IF(T233&lt;TODAY(),"만기 자료 갱신 필요","정상"))</x:f>
        <x:v>만기 자료 갱신 필요</x:v>
      </x:c>
      <x:c r="V233" s="24" t="str">
        <x:v>010-3585-8631</x:v>
      </x:c>
      <x:c r="W233" s="24" t="str"/>
      <x:c r="X233" s="24" t="str">
        <x:v>있음</x:v>
      </x:c>
      <x:c r="Y233" s="24" t="str">
        <x:v>상태 시작일 입력</x:v>
      </x:c>
      <x:c r="Z233" s="24" t="str"/>
      <x:c r="AA233" s="24" t="str">
        <x:v>보유 기준 확인</x:v>
      </x:c>
    </x:row>
    <x:row r="234" ht="17.25" customHeight="1">
      <x:c r="A234" s="24" t="str">
        <x:v>프라임구독</x:v>
      </x:c>
      <x:c r="B234" s="24" t="str">
        <x:v>41누0758</x:v>
      </x:c>
      <x:c r="C234" s="24" t="str">
        <x:v>현재보유</x:v>
      </x:c>
      <x:c r="D234" s="24" t="str">
        <x:v>대여중</x:v>
      </x:c>
      <x:c r="E234" s="30"/>
      <x:c r="F234" s="31" t="str">
        <x:f>IF(AND(D234="쉬는차",E234&lt;&gt;""),TODAY()-E234,"")</x:f>
      </x:c>
      <x:c r="G234" s="24" t="str">
        <x:v>장두식</x:v>
      </x:c>
      <x:c r="H234" s="24" t="str">
        <x:v>PR-C-41누0758-1-20221125-143</x:v>
      </x:c>
      <x:c r="I234" s="30" t="n">
        <x:v>44890</x:v>
      </x:c>
      <x:c r="J234" s="30" t="n">
        <x:v>45981</x:v>
      </x:c>
      <x:c r="K234" s="24" t="str">
        <x:v>20</x:v>
      </x:c>
      <x:c r="L234" s="32" t="n">
        <x:v>421000</x:v>
      </x:c>
      <x:c r="M234" s="31" t="n">
        <x:v>22</x:v>
      </x:c>
      <x:c r="N234" s="32" t="n">
        <x:v>2105000</x:v>
      </x:c>
      <x:c r="O234" s="31" t="n">
        <x:v>694</x:v>
      </x:c>
      <x:c r="P234" s="24" t="str">
        <x:v>회수 판단 · 만기 임박</x:v>
      </x:c>
      <x:c r="Q234" s="24" t="str"/>
      <x:c r="R234" s="24" t="str"/>
      <x:c r="S234" s="24" t="str">
        <x:f>IF(Q234="","계약연령 미입력",IFERROR(IF(R234="","보험연령 미입력",IF(VALUE(R234)=VALUE(Q234),"정상",IF(VALUE(R234)&gt;VALUE(Q234),"보장 불일치","과보장 점검"))),"계약연령 형식확인"))</x:f>
        <x:v>계약연령 미입력</x:v>
      </x:c>
      <x:c r="T234" s="30" t="n">
        <x:v>45991</x:v>
      </x:c>
      <x:c r="U234" s="24" t="str">
        <x:f>IF(T234="","보험 자료 없음",IF(T234&lt;TODAY(),"만기 자료 갱신 필요","정상"))</x:f>
        <x:v>만기 자료 갱신 필요</x:v>
      </x:c>
      <x:c r="V234" s="24" t="str">
        <x:v>010-7665-9384</x:v>
      </x:c>
      <x:c r="W234" s="24" t="str"/>
      <x:c r="X234" s="24" t="str">
        <x:v>있음</x:v>
      </x:c>
      <x:c r="Y234" s="24" t="str">
        <x:v>회수 검토</x:v>
      </x:c>
      <x:c r="Z234" s="24" t="str"/>
      <x:c r="AA234" s="24" t="str">
        <x:v>보유 기준 확인</x:v>
      </x:c>
    </x:row>
    <x:row r="235" ht="17.25" customHeight="1">
      <x:c r="A235" s="24" t="str">
        <x:v>프라임구독</x:v>
      </x:c>
      <x:c r="B235" s="24" t="str">
        <x:v>46누5796</x:v>
      </x:c>
      <x:c r="C235" s="24" t="str">
        <x:v>현재보유</x:v>
      </x:c>
      <x:c r="D235" s="24" t="str">
        <x:v>쉬는차</x:v>
      </x:c>
      <x:c r="E235" s="30"/>
      <x:c r="F235" s="31" t="str">
        <x:f>IF(AND(D235="쉬는차",E235&lt;&gt;""),TODAY()-E235,"")</x:f>
      </x:c>
      <x:c r="G235" s="24" t="str"/>
      <x:c r="H235" s="24" t="str"/>
      <x:c r="I235" s="30"/>
      <x:c r="J235" s="30"/>
      <x:c r="K235" s="24" t="str"/>
      <x:c r="L235" s="32"/>
      <x:c r="M235" s="31" t="n">
        <x:v>0</x:v>
      </x:c>
      <x:c r="N235" s="32" t="n">
        <x:v>0</x:v>
      </x:c>
      <x:c r="O235" s="31" t="n">
        <x:v>0</x:v>
      </x:c>
      <x:c r="P235" s="24" t="str"/>
      <x:c r="Q235" s="24" t="str"/>
      <x:c r="R235" s="24" t="str"/>
      <x:c r="S235" s="24" t="str">
        <x:f>IF(Q235="","계약연령 미입력",IFERROR(IF(R235="","보험연령 미입력",IF(VALUE(R235)=VALUE(Q235),"정상",IF(VALUE(R235)&gt;VALUE(Q235),"보장 불일치","과보장 점검"))),"계약연령 형식확인"))</x:f>
        <x:v>계약연령 미입력</x:v>
      </x:c>
      <x:c r="T235" s="30" t="n">
        <x:v>45863</x:v>
      </x:c>
      <x:c r="U235" s="24" t="str">
        <x:f>IF(T235="","보험 자료 없음",IF(T235&lt;TODAY(),"만기 자료 갱신 필요","정상"))</x:f>
        <x:v>만기 자료 갱신 필요</x:v>
      </x:c>
      <x:c r="V235" s="24" t="str">
        <x:v>010-2053-6232</x:v>
      </x:c>
      <x:c r="W235" s="24" t="str"/>
      <x:c r="X235" s="24" t="str">
        <x:v>있음</x:v>
      </x:c>
      <x:c r="Y235" s="24" t="str">
        <x:v>상태 시작일 입력</x:v>
      </x:c>
      <x:c r="Z235" s="24" t="str"/>
      <x:c r="AA235" s="24" t="str">
        <x:v>보유 기준 확인</x:v>
      </x:c>
    </x:row>
    <x:row r="236" ht="17.25" customHeight="1">
      <x:c r="A236" s="24" t="str">
        <x:v>프라임구독</x:v>
      </x:c>
      <x:c r="B236" s="24" t="str">
        <x:v>46어0360</x:v>
      </x:c>
      <x:c r="C236" s="24" t="str">
        <x:v>현재보유</x:v>
      </x:c>
      <x:c r="D236" s="24" t="str">
        <x:v>쉬는차</x:v>
      </x:c>
      <x:c r="E236" s="30"/>
      <x:c r="F236" s="31" t="str">
        <x:f>IF(AND(D236="쉬는차",E236&lt;&gt;""),TODAY()-E236,"")</x:f>
      </x:c>
      <x:c r="G236" s="24" t="str"/>
      <x:c r="H236" s="24" t="str"/>
      <x:c r="I236" s="30"/>
      <x:c r="J236" s="30"/>
      <x:c r="K236" s="24" t="str"/>
      <x:c r="L236" s="32"/>
      <x:c r="M236" s="31" t="n">
        <x:v>0</x:v>
      </x:c>
      <x:c r="N236" s="32" t="n">
        <x:v>0</x:v>
      </x:c>
      <x:c r="O236" s="31" t="n">
        <x:v>0</x:v>
      </x:c>
      <x:c r="P236" s="24" t="str"/>
      <x:c r="Q236" s="24" t="str"/>
      <x:c r="R236" s="24" t="str"/>
      <x:c r="S236" s="24" t="str">
        <x:f>IF(Q236="","계약연령 미입력",IFERROR(IF(R236="","보험연령 미입력",IF(VALUE(R236)=VALUE(Q236),"정상",IF(VALUE(R236)&gt;VALUE(Q236),"보장 불일치","과보장 점검"))),"계약연령 형식확인"))</x:f>
        <x:v>계약연령 미입력</x:v>
      </x:c>
      <x:c r="T236" s="30"/>
      <x:c r="U236" s="24" t="str">
        <x:f>IF(T236="","보험 자료 없음",IF(T236&lt;TODAY(),"만기 자료 갱신 필요","정상"))</x:f>
        <x:v>보험 자료 없음</x:v>
      </x:c>
      <x:c r="V236" s="24" t="str"/>
      <x:c r="W236" s="24" t="str"/>
      <x:c r="X236" s="24" t="str">
        <x:v>없음</x:v>
      </x:c>
      <x:c r="Y236" s="24" t="str">
        <x:v>상태 시작일 입력</x:v>
      </x:c>
      <x:c r="Z236" s="24" t="str"/>
      <x:c r="AA236" s="24" t="str">
        <x:v>보유 기준 확인</x:v>
      </x:c>
    </x:row>
    <x:row r="237" ht="17.25" customHeight="1">
      <x:c r="A237" s="24" t="str">
        <x:v>프라임구독</x:v>
      </x:c>
      <x:c r="B237" s="24" t="str">
        <x:v>47너7301</x:v>
      </x:c>
      <x:c r="C237" s="24" t="str">
        <x:v>현재보유</x:v>
      </x:c>
      <x:c r="D237" s="24" t="str">
        <x:v>쉬는차</x:v>
      </x:c>
      <x:c r="E237" s="30"/>
      <x:c r="F237" s="31" t="str">
        <x:f>IF(AND(D237="쉬는차",E237&lt;&gt;""),TODAY()-E237,"")</x:f>
      </x:c>
      <x:c r="G237" s="24" t="str"/>
      <x:c r="H237" s="24" t="str"/>
      <x:c r="I237" s="30"/>
      <x:c r="J237" s="30"/>
      <x:c r="K237" s="24" t="str"/>
      <x:c r="L237" s="32"/>
      <x:c r="M237" s="31" t="n">
        <x:v>0</x:v>
      </x:c>
      <x:c r="N237" s="32" t="n">
        <x:v>0</x:v>
      </x:c>
      <x:c r="O237" s="31" t="n">
        <x:v>0</x:v>
      </x:c>
      <x:c r="P237" s="24" t="str"/>
      <x:c r="Q237" s="24" t="str"/>
      <x:c r="R237" s="24" t="str"/>
      <x:c r="S237" s="24" t="str">
        <x:f>IF(Q237="","계약연령 미입력",IFERROR(IF(R237="","보험연령 미입력",IF(VALUE(R237)=VALUE(Q237),"정상",IF(VALUE(R237)&gt;VALUE(Q237),"보장 불일치","과보장 점검"))),"계약연령 형식확인"))</x:f>
        <x:v>계약연령 미입력</x:v>
      </x:c>
      <x:c r="T237" s="30" t="n">
        <x:v>45818</x:v>
      </x:c>
      <x:c r="U237" s="24" t="str">
        <x:f>IF(T237="","보험 자료 없음",IF(T237&lt;TODAY(),"만기 자료 갱신 필요","정상"))</x:f>
        <x:v>만기 자료 갱신 필요</x:v>
      </x:c>
      <x:c r="V237" s="24" t="str">
        <x:v>010-6278-1058</x:v>
      </x:c>
      <x:c r="W237" s="24" t="str"/>
      <x:c r="X237" s="24" t="str">
        <x:v>있음</x:v>
      </x:c>
      <x:c r="Y237" s="24" t="str">
        <x:v>상태 시작일 입력</x:v>
      </x:c>
      <x:c r="Z237" s="24" t="str"/>
      <x:c r="AA237" s="24" t="str">
        <x:v>보유 기준 확인</x:v>
      </x:c>
    </x:row>
    <x:row r="238" ht="17.25" customHeight="1">
      <x:c r="A238" s="24" t="str">
        <x:v>프라임구독</x:v>
      </x:c>
      <x:c r="B238" s="24" t="str">
        <x:v>47마0220</x:v>
      </x:c>
      <x:c r="C238" s="24" t="str">
        <x:v>현재보유</x:v>
      </x:c>
      <x:c r="D238" s="24" t="str">
        <x:v>쉬는차</x:v>
      </x:c>
      <x:c r="E238" s="30"/>
      <x:c r="F238" s="31" t="str">
        <x:f>IF(AND(D238="쉬는차",E238&lt;&gt;""),TODAY()-E238,"")</x:f>
      </x:c>
      <x:c r="G238" s="24" t="str"/>
      <x:c r="H238" s="24" t="str"/>
      <x:c r="I238" s="30"/>
      <x:c r="J238" s="30"/>
      <x:c r="K238" s="24" t="str"/>
      <x:c r="L238" s="32"/>
      <x:c r="M238" s="31" t="n">
        <x:v>0</x:v>
      </x:c>
      <x:c r="N238" s="32" t="n">
        <x:v>0</x:v>
      </x:c>
      <x:c r="O238" s="31" t="n">
        <x:v>0</x:v>
      </x:c>
      <x:c r="P238" s="24" t="str"/>
      <x:c r="Q238" s="24" t="str"/>
      <x:c r="R238" s="24" t="str"/>
      <x:c r="S238" s="24" t="str">
        <x:f>IF(Q238="","계약연령 미입력",IFERROR(IF(R238="","보험연령 미입력",IF(VALUE(R238)=VALUE(Q238),"정상",IF(VALUE(R238)&gt;VALUE(Q238),"보장 불일치","과보장 점검"))),"계약연령 형식확인"))</x:f>
        <x:v>계약연령 미입력</x:v>
      </x:c>
      <x:c r="T238" s="30" t="n">
        <x:v>46031</x:v>
      </x:c>
      <x:c r="U238" s="24" t="str">
        <x:f>IF(T238="","보험 자료 없음",IF(T238&lt;TODAY(),"만기 자료 갱신 필요","정상"))</x:f>
        <x:v>만기 자료 갱신 필요</x:v>
      </x:c>
      <x:c r="V238" s="24" t="str">
        <x:v>010-7527-8036</x:v>
      </x:c>
      <x:c r="W238" s="24" t="str"/>
      <x:c r="X238" s="24" t="str">
        <x:v>있음</x:v>
      </x:c>
      <x:c r="Y238" s="24" t="str">
        <x:v>상태 시작일 입력</x:v>
      </x:c>
      <x:c r="Z238" s="24" t="str"/>
      <x:c r="AA238" s="24" t="str">
        <x:v>보유 기준 확인</x:v>
      </x:c>
    </x:row>
    <x:row r="239" ht="17.25" customHeight="1">
      <x:c r="A239" s="24" t="str">
        <x:v>프라임구독</x:v>
      </x:c>
      <x:c r="B239" s="24" t="str">
        <x:v>47어0249</x:v>
      </x:c>
      <x:c r="C239" s="24" t="str">
        <x:v>현재보유</x:v>
      </x:c>
      <x:c r="D239" s="24" t="str">
        <x:v>쉬는차</x:v>
      </x:c>
      <x:c r="E239" s="30"/>
      <x:c r="F239" s="31" t="str">
        <x:f>IF(AND(D239="쉬는차",E239&lt;&gt;""),TODAY()-E239,"")</x:f>
      </x:c>
      <x:c r="G239" s="24" t="str"/>
      <x:c r="H239" s="24" t="str"/>
      <x:c r="I239" s="30"/>
      <x:c r="J239" s="30"/>
      <x:c r="K239" s="24" t="str"/>
      <x:c r="L239" s="32"/>
      <x:c r="M239" s="31" t="n">
        <x:v>0</x:v>
      </x:c>
      <x:c r="N239" s="32" t="n">
        <x:v>0</x:v>
      </x:c>
      <x:c r="O239" s="31" t="n">
        <x:v>0</x:v>
      </x:c>
      <x:c r="P239" s="24" t="str"/>
      <x:c r="Q239" s="24" t="str"/>
      <x:c r="R239" s="24" t="str"/>
      <x:c r="S239" s="24" t="str">
        <x:f>IF(Q239="","계약연령 미입력",IFERROR(IF(R239="","보험연령 미입력",IF(VALUE(R239)=VALUE(Q239),"정상",IF(VALUE(R239)&gt;VALUE(Q239),"보장 불일치","과보장 점검"))),"계약연령 형식확인"))</x:f>
        <x:v>계약연령 미입력</x:v>
      </x:c>
      <x:c r="T239" s="30" t="n">
        <x:v>45746</x:v>
      </x:c>
      <x:c r="U239" s="24" t="str">
        <x:f>IF(T239="","보험 자료 없음",IF(T239&lt;TODAY(),"만기 자료 갱신 필요","정상"))</x:f>
        <x:v>만기 자료 갱신 필요</x:v>
      </x:c>
      <x:c r="V239" s="24" t="str">
        <x:v>010-5522-5426</x:v>
      </x:c>
      <x:c r="W239" s="24" t="str"/>
      <x:c r="X239" s="24" t="str">
        <x:v>있음</x:v>
      </x:c>
      <x:c r="Y239" s="24" t="str">
        <x:v>상태 시작일 입력</x:v>
      </x:c>
      <x:c r="Z239" s="24" t="str"/>
      <x:c r="AA239" s="24" t="str">
        <x:v>보유 기준 확인</x:v>
      </x:c>
    </x:row>
    <x:row r="240" ht="17.25" customHeight="1">
      <x:c r="A240" s="24" t="str">
        <x:v>프라임구독</x:v>
      </x:c>
      <x:c r="B240" s="24" t="str">
        <x:v>48라0691</x:v>
      </x:c>
      <x:c r="C240" s="24" t="str">
        <x:v>현재보유</x:v>
      </x:c>
      <x:c r="D240" s="24" t="str">
        <x:v>쉬는차</x:v>
      </x:c>
      <x:c r="E240" s="30"/>
      <x:c r="F240" s="31" t="str">
        <x:f>IF(AND(D240="쉬는차",E240&lt;&gt;""),TODAY()-E240,"")</x:f>
      </x:c>
      <x:c r="G240" s="24" t="str"/>
      <x:c r="H240" s="24" t="str"/>
      <x:c r="I240" s="30"/>
      <x:c r="J240" s="30"/>
      <x:c r="K240" s="24" t="str"/>
      <x:c r="L240" s="32"/>
      <x:c r="M240" s="31" t="n">
        <x:v>0</x:v>
      </x:c>
      <x:c r="N240" s="32" t="n">
        <x:v>0</x:v>
      </x:c>
      <x:c r="O240" s="31" t="n">
        <x:v>0</x:v>
      </x:c>
      <x:c r="P240" s="24" t="str"/>
      <x:c r="Q240" s="24" t="str"/>
      <x:c r="R240" s="24" t="str"/>
      <x:c r="S240" s="24" t="str">
        <x:f>IF(Q240="","계약연령 미입력",IFERROR(IF(R240="","보험연령 미입력",IF(VALUE(R240)=VALUE(Q240),"정상",IF(VALUE(R240)&gt;VALUE(Q240),"보장 불일치","과보장 점검"))),"계약연령 형식확인"))</x:f>
        <x:v>계약연령 미입력</x:v>
      </x:c>
      <x:c r="T240" s="30" t="n">
        <x:v>45703</x:v>
      </x:c>
      <x:c r="U240" s="24" t="str">
        <x:f>IF(T240="","보험 자료 없음",IF(T240&lt;TODAY(),"만기 자료 갱신 필요","정상"))</x:f>
        <x:v>만기 자료 갱신 필요</x:v>
      </x:c>
      <x:c r="V240" s="24" t="str">
        <x:v>010-3914-1426</x:v>
      </x:c>
      <x:c r="W240" s="24" t="str"/>
      <x:c r="X240" s="24" t="str">
        <x:v>있음</x:v>
      </x:c>
      <x:c r="Y240" s="24" t="str">
        <x:v>상태 시작일 입력</x:v>
      </x:c>
      <x:c r="Z240" s="24" t="str"/>
      <x:c r="AA240" s="24" t="str">
        <x:v>보유 기준 확인</x:v>
      </x:c>
    </x:row>
    <x:row r="241" ht="17.25" customHeight="1">
      <x:c r="A241" s="24" t="str">
        <x:v>프라임구독</x:v>
      </x:c>
      <x:c r="B241" s="24" t="str">
        <x:v>48저0234</x:v>
      </x:c>
      <x:c r="C241" s="24" t="str">
        <x:v>현재보유</x:v>
      </x:c>
      <x:c r="D241" s="24" t="str">
        <x:v>쉬는차</x:v>
      </x:c>
      <x:c r="E241" s="30"/>
      <x:c r="F241" s="31" t="str">
        <x:f>IF(AND(D241="쉬는차",E241&lt;&gt;""),TODAY()-E241,"")</x:f>
      </x:c>
      <x:c r="G241" s="24" t="str"/>
      <x:c r="H241" s="24" t="str"/>
      <x:c r="I241" s="30"/>
      <x:c r="J241" s="30"/>
      <x:c r="K241" s="24" t="str"/>
      <x:c r="L241" s="32"/>
      <x:c r="M241" s="31" t="n">
        <x:v>0</x:v>
      </x:c>
      <x:c r="N241" s="32" t="n">
        <x:v>0</x:v>
      </x:c>
      <x:c r="O241" s="31" t="n">
        <x:v>0</x:v>
      </x:c>
      <x:c r="P241" s="24" t="str"/>
      <x:c r="Q241" s="24" t="str"/>
      <x:c r="R241" s="24" t="str"/>
      <x:c r="S241" s="24" t="str">
        <x:f>IF(Q241="","계약연령 미입력",IFERROR(IF(R241="","보험연령 미입력",IF(VALUE(R241)=VALUE(Q241),"정상",IF(VALUE(R241)&gt;VALUE(Q241),"보장 불일치","과보장 점검"))),"계약연령 형식확인"))</x:f>
        <x:v>계약연령 미입력</x:v>
      </x:c>
      <x:c r="T241" s="30" t="n">
        <x:v>45906</x:v>
      </x:c>
      <x:c r="U241" s="24" t="str">
        <x:f>IF(T241="","보험 자료 없음",IF(T241&lt;TODAY(),"만기 자료 갱신 필요","정상"))</x:f>
        <x:v>만기 자료 갱신 필요</x:v>
      </x:c>
      <x:c r="V241" s="24" t="str">
        <x:v>010-5551-0594</x:v>
      </x:c>
      <x:c r="W241" s="24" t="str"/>
      <x:c r="X241" s="24" t="str">
        <x:v>있음</x:v>
      </x:c>
      <x:c r="Y241" s="24" t="str">
        <x:v>상태 시작일 입력</x:v>
      </x:c>
      <x:c r="Z241" s="24" t="str"/>
      <x:c r="AA241" s="24" t="str">
        <x:v>보유 기준 확인</x:v>
      </x:c>
    </x:row>
    <x:row r="242" ht="17.25" customHeight="1">
      <x:c r="A242" s="24" t="str">
        <x:v>프라임구독</x:v>
      </x:c>
      <x:c r="B242" s="24" t="str">
        <x:v>49노4773</x:v>
      </x:c>
      <x:c r="C242" s="24" t="str">
        <x:v>현재보유</x:v>
      </x:c>
      <x:c r="D242" s="24" t="str">
        <x:v>쉬는차</x:v>
      </x:c>
      <x:c r="E242" s="30"/>
      <x:c r="F242" s="31" t="str">
        <x:f>IF(AND(D242="쉬는차",E242&lt;&gt;""),TODAY()-E242,"")</x:f>
      </x:c>
      <x:c r="G242" s="24" t="str"/>
      <x:c r="H242" s="24" t="str"/>
      <x:c r="I242" s="30"/>
      <x:c r="J242" s="30"/>
      <x:c r="K242" s="24" t="str"/>
      <x:c r="L242" s="32"/>
      <x:c r="M242" s="31" t="n">
        <x:v>0</x:v>
      </x:c>
      <x:c r="N242" s="32" t="n">
        <x:v>0</x:v>
      </x:c>
      <x:c r="O242" s="31" t="n">
        <x:v>0</x:v>
      </x:c>
      <x:c r="P242" s="24" t="str"/>
      <x:c r="Q242" s="24" t="str"/>
      <x:c r="R242" s="24" t="str"/>
      <x:c r="S242" s="24" t="str">
        <x:f>IF(Q242="","계약연령 미입력",IFERROR(IF(R242="","보험연령 미입력",IF(VALUE(R242)=VALUE(Q242),"정상",IF(VALUE(R242)&gt;VALUE(Q242),"보장 불일치","과보장 점검"))),"계약연령 형식확인"))</x:f>
        <x:v>계약연령 미입력</x:v>
      </x:c>
      <x:c r="T242" s="30" t="n">
        <x:v>45865</x:v>
      </x:c>
      <x:c r="U242" s="24" t="str">
        <x:f>IF(T242="","보험 자료 없음",IF(T242&lt;TODAY(),"만기 자료 갱신 필요","정상"))</x:f>
        <x:v>만기 자료 갱신 필요</x:v>
      </x:c>
      <x:c r="V242" s="24" t="str">
        <x:v>010-3947-7523</x:v>
      </x:c>
      <x:c r="W242" s="24" t="str"/>
      <x:c r="X242" s="24" t="str">
        <x:v>있음</x:v>
      </x:c>
      <x:c r="Y242" s="24" t="str">
        <x:v>상태 시작일 입력</x:v>
      </x:c>
      <x:c r="Z242" s="24" t="str"/>
      <x:c r="AA242" s="24" t="str">
        <x:v>보유 기준 확인</x:v>
      </x:c>
    </x:row>
    <x:row r="243" ht="17.25" customHeight="1">
      <x:c r="A243" s="24" t="str">
        <x:v>프라임구독</x:v>
      </x:c>
      <x:c r="B243" s="24" t="str">
        <x:v>49누4194</x:v>
      </x:c>
      <x:c r="C243" s="24" t="str">
        <x:v>현재보유</x:v>
      </x:c>
      <x:c r="D243" s="24" t="str">
        <x:v>쉬는차</x:v>
      </x:c>
      <x:c r="E243" s="30"/>
      <x:c r="F243" s="31" t="str">
        <x:f>IF(AND(D243="쉬는차",E243&lt;&gt;""),TODAY()-E243,"")</x:f>
      </x:c>
      <x:c r="G243" s="24" t="str"/>
      <x:c r="H243" s="24" t="str"/>
      <x:c r="I243" s="30"/>
      <x:c r="J243" s="30"/>
      <x:c r="K243" s="24" t="str"/>
      <x:c r="L243" s="32"/>
      <x:c r="M243" s="31" t="n">
        <x:v>0</x:v>
      </x:c>
      <x:c r="N243" s="32" t="n">
        <x:v>0</x:v>
      </x:c>
      <x:c r="O243" s="31" t="n">
        <x:v>0</x:v>
      </x:c>
      <x:c r="P243" s="24" t="str"/>
      <x:c r="Q243" s="24" t="str"/>
      <x:c r="R243" s="24" t="str"/>
      <x:c r="S243" s="24" t="str">
        <x:f>IF(Q243="","계약연령 미입력",IFERROR(IF(R243="","보험연령 미입력",IF(VALUE(R243)=VALUE(Q243),"정상",IF(VALUE(R243)&gt;VALUE(Q243),"보장 불일치","과보장 점검"))),"계약연령 형식확인"))</x:f>
        <x:v>계약연령 미입력</x:v>
      </x:c>
      <x:c r="T243" s="30" t="n">
        <x:v>45774</x:v>
      </x:c>
      <x:c r="U243" s="24" t="str">
        <x:f>IF(T243="","보험 자료 없음",IF(T243&lt;TODAY(),"만기 자료 갱신 필요","정상"))</x:f>
        <x:v>만기 자료 갱신 필요</x:v>
      </x:c>
      <x:c r="V243" s="24" t="str">
        <x:v>010-7234-8586</x:v>
      </x:c>
      <x:c r="W243" s="24" t="str"/>
      <x:c r="X243" s="24" t="str">
        <x:v>있음</x:v>
      </x:c>
      <x:c r="Y243" s="24" t="str">
        <x:v>상태 시작일 입력</x:v>
      </x:c>
      <x:c r="Z243" s="24" t="str"/>
      <x:c r="AA243" s="24" t="str">
        <x:v>보유 기준 확인</x:v>
      </x:c>
    </x:row>
    <x:row r="244" ht="17.25" customHeight="1">
      <x:c r="A244" s="24" t="str">
        <x:v>프라임구독</x:v>
      </x:c>
      <x:c r="B244" s="24" t="str">
        <x:v>49더0163</x:v>
      </x:c>
      <x:c r="C244" s="24" t="str">
        <x:v>현재보유</x:v>
      </x:c>
      <x:c r="D244" s="24" t="str">
        <x:v>대여중</x:v>
      </x:c>
      <x:c r="E244" s="30"/>
      <x:c r="F244" s="31" t="str">
        <x:f>IF(AND(D244="쉬는차",E244&lt;&gt;""),TODAY()-E244,"")</x:f>
      </x:c>
      <x:c r="G244" s="24" t="str">
        <x:v>김정웅</x:v>
      </x:c>
      <x:c r="H244" s="24" t="str">
        <x:v>PR-C-49더0163-1-20230705-155</x:v>
      </x:c>
      <x:c r="I244" s="30" t="n">
        <x:v>45112</x:v>
      </x:c>
      <x:c r="J244" s="30" t="n">
        <x:v>46583</x:v>
      </x:c>
      <x:c r="K244" s="24" t="str">
        <x:v>15</x:v>
      </x:c>
      <x:c r="L244" s="32" t="n">
        <x:v>351000</x:v>
      </x:c>
      <x:c r="M244" s="31" t="n">
        <x:v>19</x:v>
      </x:c>
      <x:c r="N244" s="32" t="n">
        <x:v>2510000</x:v>
      </x:c>
      <x:c r="O244" s="31" t="n">
        <x:v>546</x:v>
      </x:c>
      <x:c r="P244" s="24" t="str">
        <x:v>회수 판단</x:v>
      </x:c>
      <x:c r="Q244" s="24" t="str"/>
      <x:c r="R244" s="24" t="str"/>
      <x:c r="S244" s="24" t="str">
        <x:f>IF(Q244="","계약연령 미입력",IFERROR(IF(R244="","보험연령 미입력",IF(VALUE(R244)=VALUE(Q244),"정상",IF(VALUE(R244)&gt;VALUE(Q244),"보장 불일치","과보장 점검"))),"계약연령 형식확인"))</x:f>
        <x:v>계약연령 미입력</x:v>
      </x:c>
      <x:c r="T244" s="30" t="n">
        <x:v>45850</x:v>
      </x:c>
      <x:c r="U244" s="24" t="str">
        <x:f>IF(T244="","보험 자료 없음",IF(T244&lt;TODAY(),"만기 자료 갱신 필요","정상"))</x:f>
        <x:v>만기 자료 갱신 필요</x:v>
      </x:c>
      <x:c r="V244" s="24" t="str">
        <x:v>010-5874-7101</x:v>
      </x:c>
      <x:c r="W244" s="24" t="str"/>
      <x:c r="X244" s="24" t="str">
        <x:v>있음</x:v>
      </x:c>
      <x:c r="Y244" s="24" t="str">
        <x:v>회수 검토</x:v>
      </x:c>
      <x:c r="Z244" s="24" t="str"/>
      <x:c r="AA244" s="24" t="str">
        <x:v>보유 기준 확인</x:v>
      </x:c>
    </x:row>
    <x:row r="245" ht="17.25" customHeight="1">
      <x:c r="A245" s="24" t="str">
        <x:v>프라임구독</x:v>
      </x:c>
      <x:c r="B245" s="24" t="str">
        <x:v>49두5388</x:v>
      </x:c>
      <x:c r="C245" s="24" t="str">
        <x:v>현재보유</x:v>
      </x:c>
      <x:c r="D245" s="24" t="str">
        <x:v>쉬는차</x:v>
      </x:c>
      <x:c r="E245" s="30"/>
      <x:c r="F245" s="31" t="str">
        <x:f>IF(AND(D245="쉬는차",E245&lt;&gt;""),TODAY()-E245,"")</x:f>
      </x:c>
      <x:c r="G245" s="24" t="str"/>
      <x:c r="H245" s="24" t="str"/>
      <x:c r="I245" s="30"/>
      <x:c r="J245" s="30"/>
      <x:c r="K245" s="24" t="str"/>
      <x:c r="L245" s="32"/>
      <x:c r="M245" s="31" t="n">
        <x:v>0</x:v>
      </x:c>
      <x:c r="N245" s="32" t="n">
        <x:v>0</x:v>
      </x:c>
      <x:c r="O245" s="31" t="n">
        <x:v>0</x:v>
      </x:c>
      <x:c r="P245" s="24" t="str"/>
      <x:c r="Q245" s="24" t="str"/>
      <x:c r="R245" s="24" t="str"/>
      <x:c r="S245" s="24" t="str">
        <x:f>IF(Q245="","계약연령 미입력",IFERROR(IF(R245="","보험연령 미입력",IF(VALUE(R245)=VALUE(Q245),"정상",IF(VALUE(R245)&gt;VALUE(Q245),"보장 불일치","과보장 점검"))),"계약연령 형식확인"))</x:f>
        <x:v>계약연령 미입력</x:v>
      </x:c>
      <x:c r="T245" s="30" t="n">
        <x:v>45732</x:v>
      </x:c>
      <x:c r="U245" s="24" t="str">
        <x:f>IF(T245="","보험 자료 없음",IF(T245&lt;TODAY(),"만기 자료 갱신 필요","정상"))</x:f>
        <x:v>만기 자료 갱신 필요</x:v>
      </x:c>
      <x:c r="V245" s="24" t="str">
        <x:v>010-2211-2099</x:v>
      </x:c>
      <x:c r="W245" s="24" t="str"/>
      <x:c r="X245" s="24" t="str">
        <x:v>있음</x:v>
      </x:c>
      <x:c r="Y245" s="24" t="str">
        <x:v>상태 시작일 입력</x:v>
      </x:c>
      <x:c r="Z245" s="24" t="str"/>
      <x:c r="AA245" s="24" t="str">
        <x:v>보유 기준 확인</x:v>
      </x:c>
    </x:row>
    <x:row r="246" ht="17.25" customHeight="1">
      <x:c r="A246" s="24" t="str">
        <x:v>프라임구독</x:v>
      </x:c>
      <x:c r="B246" s="24" t="str">
        <x:v>49부7248</x:v>
      </x:c>
      <x:c r="C246" s="24" t="str">
        <x:v>현재보유</x:v>
      </x:c>
      <x:c r="D246" s="24" t="str">
        <x:v>쉬는차</x:v>
      </x:c>
      <x:c r="E246" s="30"/>
      <x:c r="F246" s="31" t="str">
        <x:f>IF(AND(D246="쉬는차",E246&lt;&gt;""),TODAY()-E246,"")</x:f>
      </x:c>
      <x:c r="G246" s="24" t="str"/>
      <x:c r="H246" s="24" t="str"/>
      <x:c r="I246" s="30"/>
      <x:c r="J246" s="30"/>
      <x:c r="K246" s="24" t="str"/>
      <x:c r="L246" s="32"/>
      <x:c r="M246" s="31" t="n">
        <x:v>0</x:v>
      </x:c>
      <x:c r="N246" s="32" t="n">
        <x:v>0</x:v>
      </x:c>
      <x:c r="O246" s="31" t="n">
        <x:v>0</x:v>
      </x:c>
      <x:c r="P246" s="24" t="str"/>
      <x:c r="Q246" s="24" t="str"/>
      <x:c r="R246" s="24" t="str"/>
      <x:c r="S246" s="24" t="str">
        <x:f>IF(Q246="","계약연령 미입력",IFERROR(IF(R246="","보험연령 미입력",IF(VALUE(R246)=VALUE(Q246),"정상",IF(VALUE(R246)&gt;VALUE(Q246),"보장 불일치","과보장 점검"))),"계약연령 형식확인"))</x:f>
        <x:v>계약연령 미입력</x:v>
      </x:c>
      <x:c r="T246" s="30" t="n">
        <x:v>45757</x:v>
      </x:c>
      <x:c r="U246" s="24" t="str">
        <x:f>IF(T246="","보험 자료 없음",IF(T246&lt;TODAY(),"만기 자료 갱신 필요","정상"))</x:f>
        <x:v>만기 자료 갱신 필요</x:v>
      </x:c>
      <x:c r="V246" s="24" t="str">
        <x:v>010-8030-0366</x:v>
      </x:c>
      <x:c r="W246" s="24" t="str"/>
      <x:c r="X246" s="24" t="str">
        <x:v>있음</x:v>
      </x:c>
      <x:c r="Y246" s="24" t="str">
        <x:v>상태 시작일 입력</x:v>
      </x:c>
      <x:c r="Z246" s="24" t="str"/>
      <x:c r="AA246" s="24" t="str">
        <x:v>보유 기준 확인</x:v>
      </x:c>
    </x:row>
    <x:row r="247" ht="17.25" customHeight="1">
      <x:c r="A247" s="24" t="str">
        <x:v>프라임구독</x:v>
      </x:c>
      <x:c r="B247" s="24" t="str">
        <x:v>49수2445</x:v>
      </x:c>
      <x:c r="C247" s="24" t="str">
        <x:v>현재보유</x:v>
      </x:c>
      <x:c r="D247" s="24" t="str">
        <x:v>쉬는차</x:v>
      </x:c>
      <x:c r="E247" s="30"/>
      <x:c r="F247" s="31" t="str">
        <x:f>IF(AND(D247="쉬는차",E247&lt;&gt;""),TODAY()-E247,"")</x:f>
      </x:c>
      <x:c r="G247" s="24" t="str"/>
      <x:c r="H247" s="24" t="str"/>
      <x:c r="I247" s="30"/>
      <x:c r="J247" s="30"/>
      <x:c r="K247" s="24" t="str"/>
      <x:c r="L247" s="32"/>
      <x:c r="M247" s="31" t="n">
        <x:v>0</x:v>
      </x:c>
      <x:c r="N247" s="32" t="n">
        <x:v>0</x:v>
      </x:c>
      <x:c r="O247" s="31" t="n">
        <x:v>0</x:v>
      </x:c>
      <x:c r="P247" s="24" t="str"/>
      <x:c r="Q247" s="24" t="str"/>
      <x:c r="R247" s="24" t="str"/>
      <x:c r="S247" s="24" t="str">
        <x:f>IF(Q247="","계약연령 미입력",IFERROR(IF(R247="","보험연령 미입력",IF(VALUE(R247)=VALUE(Q247),"정상",IF(VALUE(R247)&gt;VALUE(Q247),"보장 불일치","과보장 점검"))),"계약연령 형식확인"))</x:f>
        <x:v>계약연령 미입력</x:v>
      </x:c>
      <x:c r="T247" s="30" t="n">
        <x:v>46019</x:v>
      </x:c>
      <x:c r="U247" s="24" t="str">
        <x:f>IF(T247="","보험 자료 없음",IF(T247&lt;TODAY(),"만기 자료 갱신 필요","정상"))</x:f>
        <x:v>만기 자료 갱신 필요</x:v>
      </x:c>
      <x:c r="V247" s="24" t="str">
        <x:v>010-7522-4972</x:v>
      </x:c>
      <x:c r="W247" s="24" t="str"/>
      <x:c r="X247" s="24" t="str">
        <x:v>있음</x:v>
      </x:c>
      <x:c r="Y247" s="24" t="str">
        <x:v>상태 시작일 입력</x:v>
      </x:c>
      <x:c r="Z247" s="24" t="str"/>
      <x:c r="AA247" s="24" t="str">
        <x:v>보유 기준 확인</x:v>
      </x:c>
    </x:row>
    <x:row r="248" ht="17.25" customHeight="1">
      <x:c r="A248" s="24" t="str">
        <x:v>프라임구독</x:v>
      </x:c>
      <x:c r="B248" s="24" t="str">
        <x:v>49어2497</x:v>
      </x:c>
      <x:c r="C248" s="24" t="str">
        <x:v>현재보유</x:v>
      </x:c>
      <x:c r="D248" s="24" t="str">
        <x:v>대여중</x:v>
      </x:c>
      <x:c r="E248" s="30"/>
      <x:c r="F248" s="31" t="str">
        <x:f>IF(AND(D248="쉬는차",E248&lt;&gt;""),TODAY()-E248,"")</x:f>
      </x:c>
      <x:c r="G248" s="24" t="str">
        <x:v>양원호</x:v>
      </x:c>
      <x:c r="H248" s="24" t="str">
        <x:v>PR-C-49어2497-1-20240403-159</x:v>
      </x:c>
      <x:c r="I248" s="30" t="n">
        <x:v>45385</x:v>
      </x:c>
      <x:c r="J248" s="30" t="n">
        <x:v>46848</x:v>
      </x:c>
      <x:c r="K248" s="24" t="str">
        <x:v>5</x:v>
      </x:c>
      <x:c r="L248" s="32" t="n">
        <x:v>559000</x:v>
      </x:c>
      <x:c r="M248" s="31" t="n">
        <x:v>8</x:v>
      </x:c>
      <x:c r="N248" s="32" t="n">
        <x:v>2755000</x:v>
      </x:c>
      <x:c r="O248" s="31" t="n">
        <x:v>222</x:v>
      </x:c>
      <x:c r="P248" s="24" t="str">
        <x:v>회수 판단</x:v>
      </x:c>
      <x:c r="Q248" s="24" t="str"/>
      <x:c r="R248" s="24" t="str"/>
      <x:c r="S248" s="24" t="str">
        <x:f>IF(Q248="","계약연령 미입력",IFERROR(IF(R248="","보험연령 미입력",IF(VALUE(R248)=VALUE(Q248),"정상",IF(VALUE(R248)&gt;VALUE(Q248),"보장 불일치","과보장 점검"))),"계약연령 형식확인"))</x:f>
        <x:v>계약연령 미입력</x:v>
      </x:c>
      <x:c r="T248" s="30" t="n">
        <x:v>45750</x:v>
      </x:c>
      <x:c r="U248" s="24" t="str">
        <x:f>IF(T248="","보험 자료 없음",IF(T248&lt;TODAY(),"만기 자료 갱신 필요","정상"))</x:f>
        <x:v>만기 자료 갱신 필요</x:v>
      </x:c>
      <x:c r="V248" s="24" t="str">
        <x:v>010-2336-2370</x:v>
      </x:c>
      <x:c r="W248" s="24" t="str"/>
      <x:c r="X248" s="24" t="str">
        <x:v>있음</x:v>
      </x:c>
      <x:c r="Y248" s="24" t="str">
        <x:v>회수 검토</x:v>
      </x:c>
      <x:c r="Z248" s="24" t="str"/>
      <x:c r="AA248" s="24" t="str">
        <x:v>보유 기준 확인</x:v>
      </x:c>
    </x:row>
    <x:row r="249" ht="17.25" customHeight="1">
      <x:c r="A249" s="24" t="str">
        <x:v>프라임구독</x:v>
      </x:c>
      <x:c r="B249" s="24" t="str">
        <x:v>50마3675</x:v>
      </x:c>
      <x:c r="C249" s="24" t="str">
        <x:v>현재보유</x:v>
      </x:c>
      <x:c r="D249" s="24" t="str">
        <x:v>쉬는차</x:v>
      </x:c>
      <x:c r="E249" s="30"/>
      <x:c r="F249" s="31" t="str">
        <x:f>IF(AND(D249="쉬는차",E249&lt;&gt;""),TODAY()-E249,"")</x:f>
      </x:c>
      <x:c r="G249" s="24" t="str"/>
      <x:c r="H249" s="24" t="str"/>
      <x:c r="I249" s="30"/>
      <x:c r="J249" s="30"/>
      <x:c r="K249" s="24" t="str"/>
      <x:c r="L249" s="32"/>
      <x:c r="M249" s="31" t="n">
        <x:v>0</x:v>
      </x:c>
      <x:c r="N249" s="32" t="n">
        <x:v>0</x:v>
      </x:c>
      <x:c r="O249" s="31" t="n">
        <x:v>0</x:v>
      </x:c>
      <x:c r="P249" s="24" t="str"/>
      <x:c r="Q249" s="24" t="str"/>
      <x:c r="R249" s="24" t="str"/>
      <x:c r="S249" s="24" t="str">
        <x:f>IF(Q249="","계약연령 미입력",IFERROR(IF(R249="","보험연령 미입력",IF(VALUE(R249)=VALUE(Q249),"정상",IF(VALUE(R249)&gt;VALUE(Q249),"보장 불일치","과보장 점검"))),"계약연령 형식확인"))</x:f>
        <x:v>계약연령 미입력</x:v>
      </x:c>
      <x:c r="T249" s="30" t="n">
        <x:v>45636</x:v>
      </x:c>
      <x:c r="U249" s="24" t="str">
        <x:f>IF(T249="","보험 자료 없음",IF(T249&lt;TODAY(),"만기 자료 갱신 필요","정상"))</x:f>
        <x:v>만기 자료 갱신 필요</x:v>
      </x:c>
      <x:c r="V249" s="24" t="str">
        <x:v>010-2840-9355</x:v>
      </x:c>
      <x:c r="W249" s="24" t="str"/>
      <x:c r="X249" s="24" t="str">
        <x:v>있음</x:v>
      </x:c>
      <x:c r="Y249" s="24" t="str">
        <x:v>상태 시작일 입력</x:v>
      </x:c>
      <x:c r="Z249" s="24" t="str"/>
      <x:c r="AA249" s="24" t="str">
        <x:v>보유 기준 확인</x:v>
      </x:c>
    </x:row>
    <x:row r="250" ht="17.25" customHeight="1">
      <x:c r="A250" s="24" t="str">
        <x:v>프라임구독</x:v>
      </x:c>
      <x:c r="B250" s="24" t="str">
        <x:v>51누9585</x:v>
      </x:c>
      <x:c r="C250" s="24" t="str">
        <x:v>현재보유</x:v>
      </x:c>
      <x:c r="D250" s="24" t="str">
        <x:v>쉬는차</x:v>
      </x:c>
      <x:c r="E250" s="30"/>
      <x:c r="F250" s="31" t="str">
        <x:f>IF(AND(D250="쉬는차",E250&lt;&gt;""),TODAY()-E250,"")</x:f>
      </x:c>
      <x:c r="G250" s="24" t="str"/>
      <x:c r="H250" s="24" t="str"/>
      <x:c r="I250" s="30"/>
      <x:c r="J250" s="30"/>
      <x:c r="K250" s="24" t="str"/>
      <x:c r="L250" s="32"/>
      <x:c r="M250" s="31" t="n">
        <x:v>0</x:v>
      </x:c>
      <x:c r="N250" s="32" t="n">
        <x:v>0</x:v>
      </x:c>
      <x:c r="O250" s="31" t="n">
        <x:v>0</x:v>
      </x:c>
      <x:c r="P250" s="24" t="str"/>
      <x:c r="Q250" s="24" t="str"/>
      <x:c r="R250" s="24" t="str"/>
      <x:c r="S250" s="24" t="str">
        <x:f>IF(Q250="","계약연령 미입력",IFERROR(IF(R250="","보험연령 미입력",IF(VALUE(R250)=VALUE(Q250),"정상",IF(VALUE(R250)&gt;VALUE(Q250),"보장 불일치","과보장 점검"))),"계약연령 형식확인"))</x:f>
        <x:v>계약연령 미입력</x:v>
      </x:c>
      <x:c r="T250" s="30" t="n">
        <x:v>45620</x:v>
      </x:c>
      <x:c r="U250" s="24" t="str">
        <x:f>IF(T250="","보험 자료 없음",IF(T250&lt;TODAY(),"만기 자료 갱신 필요","정상"))</x:f>
        <x:v>만기 자료 갱신 필요</x:v>
      </x:c>
      <x:c r="V250" s="24" t="str">
        <x:v>010-2199-0395</x:v>
      </x:c>
      <x:c r="W250" s="24" t="str"/>
      <x:c r="X250" s="24" t="str">
        <x:v>있음</x:v>
      </x:c>
      <x:c r="Y250" s="24" t="str">
        <x:v>상태 시작일 입력</x:v>
      </x:c>
      <x:c r="Z250" s="24" t="str"/>
      <x:c r="AA250" s="24" t="str">
        <x:v>보유 기준 확인</x:v>
      </x:c>
    </x:row>
    <x:row r="251" ht="17.25" customHeight="1">
      <x:c r="A251" s="24" t="str">
        <x:v>프라임구독</x:v>
      </x:c>
      <x:c r="B251" s="24" t="str">
        <x:v>51주4315</x:v>
      </x:c>
      <x:c r="C251" s="24" t="str">
        <x:v>현재보유</x:v>
      </x:c>
      <x:c r="D251" s="24" t="str">
        <x:v>쉬는차</x:v>
      </x:c>
      <x:c r="E251" s="30"/>
      <x:c r="F251" s="31" t="str">
        <x:f>IF(AND(D251="쉬는차",E251&lt;&gt;""),TODAY()-E251,"")</x:f>
      </x:c>
      <x:c r="G251" s="24" t="str"/>
      <x:c r="H251" s="24" t="str"/>
      <x:c r="I251" s="30"/>
      <x:c r="J251" s="30"/>
      <x:c r="K251" s="24" t="str"/>
      <x:c r="L251" s="32"/>
      <x:c r="M251" s="31" t="n">
        <x:v>0</x:v>
      </x:c>
      <x:c r="N251" s="32" t="n">
        <x:v>0</x:v>
      </x:c>
      <x:c r="O251" s="31" t="n">
        <x:v>0</x:v>
      </x:c>
      <x:c r="P251" s="24" t="str"/>
      <x:c r="Q251" s="24" t="str"/>
      <x:c r="R251" s="24" t="str"/>
      <x:c r="S251" s="24" t="str">
        <x:f>IF(Q251="","계약연령 미입력",IFERROR(IF(R251="","보험연령 미입력",IF(VALUE(R251)=VALUE(Q251),"정상",IF(VALUE(R251)&gt;VALUE(Q251),"보장 불일치","과보장 점검"))),"계약연령 형식확인"))</x:f>
        <x:v>계약연령 미입력</x:v>
      </x:c>
      <x:c r="T251" s="30" t="n">
        <x:v>46127</x:v>
      </x:c>
      <x:c r="U251" s="24" t="str">
        <x:f>IF(T251="","보험 자료 없음",IF(T251&lt;TODAY(),"만기 자료 갱신 필요","정상"))</x:f>
        <x:v>만기 자료 갱신 필요</x:v>
      </x:c>
      <x:c r="V251" s="24" t="str">
        <x:v>010-8459-7414</x:v>
      </x:c>
      <x:c r="W251" s="24" t="str"/>
      <x:c r="X251" s="24" t="str">
        <x:v>있음</x:v>
      </x:c>
      <x:c r="Y251" s="24" t="str">
        <x:v>상태 시작일 입력</x:v>
      </x:c>
      <x:c r="Z251" s="24" t="str"/>
      <x:c r="AA251" s="24" t="str">
        <x:v>보유 기준 확인</x:v>
      </x:c>
    </x:row>
    <x:row r="252" ht="17.25" customHeight="1">
      <x:c r="A252" s="24" t="str">
        <x:v>프라임구독</x:v>
      </x:c>
      <x:c r="B252" s="24" t="str">
        <x:v>52우0228</x:v>
      </x:c>
      <x:c r="C252" s="24" t="str">
        <x:v>현재보유</x:v>
      </x:c>
      <x:c r="D252" s="24" t="str">
        <x:v>대여중</x:v>
      </x:c>
      <x:c r="E252" s="30"/>
      <x:c r="F252" s="31" t="str">
        <x:f>IF(AND(D252="쉬는차",E252&lt;&gt;""),TODAY()-E252,"")</x:f>
      </x:c>
      <x:c r="G252" s="24" t="str">
        <x:v>서기열</x:v>
      </x:c>
      <x:c r="H252" s="24" t="str">
        <x:v>PR-C-52우0228-1-20230704-164</x:v>
      </x:c>
      <x:c r="I252" s="30" t="n">
        <x:v>45111</x:v>
      </x:c>
      <x:c r="J252" s="30" t="n">
        <x:v>46193</x:v>
      </x:c>
      <x:c r="K252" s="24" t="str">
        <x:v>20</x:v>
      </x:c>
      <x:c r="L252" s="32" t="n">
        <x:v>353000</x:v>
      </x:c>
      <x:c r="M252" s="31" t="n">
        <x:v>20</x:v>
      </x:c>
      <x:c r="N252" s="32" t="n">
        <x:v>1395000</x:v>
      </x:c>
      <x:c r="O252" s="31" t="n">
        <x:v>572</x:v>
      </x:c>
      <x:c r="P252" s="24" t="str">
        <x:v>회수 판단 · 만기 임박</x:v>
      </x:c>
      <x:c r="Q252" s="24" t="str"/>
      <x:c r="R252" s="24" t="str"/>
      <x:c r="S252" s="24" t="str">
        <x:f>IF(Q252="","계약연령 미입력",IFERROR(IF(R252="","보험연령 미입력",IF(VALUE(R252)=VALUE(Q252),"정상",IF(VALUE(R252)&gt;VALUE(Q252),"보장 불일치","과보장 점검"))),"계약연령 형식확인"))</x:f>
        <x:v>계약연령 미입력</x:v>
      </x:c>
      <x:c r="T252" s="30" t="n">
        <x:v>45842</x:v>
      </x:c>
      <x:c r="U252" s="24" t="str">
        <x:f>IF(T252="","보험 자료 없음",IF(T252&lt;TODAY(),"만기 자료 갱신 필요","정상"))</x:f>
        <x:v>만기 자료 갱신 필요</x:v>
      </x:c>
      <x:c r="V252" s="24" t="str">
        <x:v>010-7579-7110</x:v>
      </x:c>
      <x:c r="W252" s="24" t="str"/>
      <x:c r="X252" s="24" t="str">
        <x:v>있음</x:v>
      </x:c>
      <x:c r="Y252" s="24" t="str">
        <x:v>회수 검토</x:v>
      </x:c>
      <x:c r="Z252" s="24" t="str"/>
      <x:c r="AA252" s="24" t="str">
        <x:v>보유 기준 확인</x:v>
      </x:c>
    </x:row>
    <x:row r="253" ht="17.25" customHeight="1">
      <x:c r="A253" s="24" t="str">
        <x:v>프라임구독</x:v>
      </x:c>
      <x:c r="B253" s="24" t="str">
        <x:v>54라8654</x:v>
      </x:c>
      <x:c r="C253" s="24" t="str">
        <x:v>현재보유</x:v>
      </x:c>
      <x:c r="D253" s="24" t="str">
        <x:v>쉬는차</x:v>
      </x:c>
      <x:c r="E253" s="30"/>
      <x:c r="F253" s="31" t="str">
        <x:f>IF(AND(D253="쉬는차",E253&lt;&gt;""),TODAY()-E253,"")</x:f>
      </x:c>
      <x:c r="G253" s="24" t="str"/>
      <x:c r="H253" s="24" t="str"/>
      <x:c r="I253" s="30"/>
      <x:c r="J253" s="30"/>
      <x:c r="K253" s="24" t="str"/>
      <x:c r="L253" s="32"/>
      <x:c r="M253" s="31" t="n">
        <x:v>0</x:v>
      </x:c>
      <x:c r="N253" s="32" t="n">
        <x:v>0</x:v>
      </x:c>
      <x:c r="O253" s="31" t="n">
        <x:v>0</x:v>
      </x:c>
      <x:c r="P253" s="24" t="str"/>
      <x:c r="Q253" s="24" t="str"/>
      <x:c r="R253" s="24" t="str"/>
      <x:c r="S253" s="24" t="str">
        <x:f>IF(Q253="","계약연령 미입력",IFERROR(IF(R253="","보험연령 미입력",IF(VALUE(R253)=VALUE(Q253),"정상",IF(VALUE(R253)&gt;VALUE(Q253),"보장 불일치","과보장 점검"))),"계약연령 형식확인"))</x:f>
        <x:v>계약연령 미입력</x:v>
      </x:c>
      <x:c r="T253" s="30" t="n">
        <x:v>46105</x:v>
      </x:c>
      <x:c r="U253" s="24" t="str">
        <x:f>IF(T253="","보험 자료 없음",IF(T253&lt;TODAY(),"만기 자료 갱신 필요","정상"))</x:f>
        <x:v>만기 자료 갱신 필요</x:v>
      </x:c>
      <x:c r="V253" s="24" t="str">
        <x:v>010-2376-2495</x:v>
      </x:c>
      <x:c r="W253" s="24" t="str"/>
      <x:c r="X253" s="24" t="str">
        <x:v>있음</x:v>
      </x:c>
      <x:c r="Y253" s="24" t="str">
        <x:v>상태 시작일 입력</x:v>
      </x:c>
      <x:c r="Z253" s="24" t="str"/>
      <x:c r="AA253" s="24" t="str">
        <x:v>보유 기준 확인</x:v>
      </x:c>
    </x:row>
    <x:row r="254" ht="17.25" customHeight="1">
      <x:c r="A254" s="24" t="str">
        <x:v>프라임구독</x:v>
      </x:c>
      <x:c r="B254" s="24" t="str">
        <x:v>55두2701</x:v>
      </x:c>
      <x:c r="C254" s="24" t="str">
        <x:v>현재보유</x:v>
      </x:c>
      <x:c r="D254" s="24" t="str">
        <x:v>쉬는차</x:v>
      </x:c>
      <x:c r="E254" s="30"/>
      <x:c r="F254" s="31" t="str">
        <x:f>IF(AND(D254="쉬는차",E254&lt;&gt;""),TODAY()-E254,"")</x:f>
      </x:c>
      <x:c r="G254" s="24" t="str"/>
      <x:c r="H254" s="24" t="str"/>
      <x:c r="I254" s="30"/>
      <x:c r="J254" s="30"/>
      <x:c r="K254" s="24" t="str"/>
      <x:c r="L254" s="32"/>
      <x:c r="M254" s="31" t="n">
        <x:v>0</x:v>
      </x:c>
      <x:c r="N254" s="32" t="n">
        <x:v>0</x:v>
      </x:c>
      <x:c r="O254" s="31" t="n">
        <x:v>0</x:v>
      </x:c>
      <x:c r="P254" s="24" t="str"/>
      <x:c r="Q254" s="24" t="str"/>
      <x:c r="R254" s="24" t="str"/>
      <x:c r="S254" s="24" t="str">
        <x:f>IF(Q254="","계약연령 미입력",IFERROR(IF(R254="","보험연령 미입력",IF(VALUE(R254)=VALUE(Q254),"정상",IF(VALUE(R254)&gt;VALUE(Q254),"보장 불일치","과보장 점검"))),"계약연령 형식확인"))</x:f>
        <x:v>계약연령 미입력</x:v>
      </x:c>
      <x:c r="T254" s="30" t="n">
        <x:v>45721</x:v>
      </x:c>
      <x:c r="U254" s="24" t="str">
        <x:f>IF(T254="","보험 자료 없음",IF(T254&lt;TODAY(),"만기 자료 갱신 필요","정상"))</x:f>
        <x:v>만기 자료 갱신 필요</x:v>
      </x:c>
      <x:c r="V254" s="24" t="str">
        <x:v>010-4996-3201</x:v>
      </x:c>
      <x:c r="W254" s="24" t="str"/>
      <x:c r="X254" s="24" t="str">
        <x:v>있음</x:v>
      </x:c>
      <x:c r="Y254" s="24" t="str">
        <x:v>상태 시작일 입력</x:v>
      </x:c>
      <x:c r="Z254" s="24" t="str"/>
      <x:c r="AA254" s="24" t="str">
        <x:v>보유 기준 확인</x:v>
      </x:c>
    </x:row>
    <x:row r="255" ht="17.25" customHeight="1">
      <x:c r="A255" s="24" t="str">
        <x:v>프라임구독</x:v>
      </x:c>
      <x:c r="B255" s="24" t="str">
        <x:v>56마2851</x:v>
      </x:c>
      <x:c r="C255" s="24" t="str">
        <x:v>현재보유</x:v>
      </x:c>
      <x:c r="D255" s="24" t="str">
        <x:v>대여중</x:v>
      </x:c>
      <x:c r="E255" s="30"/>
      <x:c r="F255" s="31" t="str">
        <x:f>IF(AND(D255="쉬는차",E255&lt;&gt;""),TODAY()-E255,"")</x:f>
      </x:c>
      <x:c r="G255" s="24" t="str">
        <x:v>윤성민</x:v>
      </x:c>
      <x:c r="H255" s="24" t="str">
        <x:v>PR-C-56마2851-1-20230925-170</x:v>
      </x:c>
      <x:c r="I255" s="30" t="n">
        <x:v>45194</x:v>
      </x:c>
      <x:c r="J255" s="30" t="n">
        <x:v>46655</x:v>
      </x:c>
      <x:c r="K255" s="24" t="str">
        <x:v>25</x:v>
      </x:c>
      <x:c r="L255" s="32" t="n">
        <x:v>515000</x:v>
      </x:c>
      <x:c r="M255" s="31" t="n">
        <x:v>22</x:v>
      </x:c>
      <x:c r="N255" s="32" t="n">
        <x:v>10710000</x:v>
      </x:c>
      <x:c r="O255" s="31" t="n">
        <x:v>628</x:v>
      </x:c>
      <x:c r="P255" s="24" t="str">
        <x:v>회수 판단</x:v>
      </x:c>
      <x:c r="Q255" s="24" t="str"/>
      <x:c r="R255" s="24" t="str"/>
      <x:c r="S255" s="24" t="str">
        <x:f>IF(Q255="","계약연령 미입력",IFERROR(IF(R255="","보험연령 미입력",IF(VALUE(R255)=VALUE(Q255),"정상",IF(VALUE(R255)&gt;VALUE(Q255),"보장 불일치","과보장 점검"))),"계약연령 형식확인"))</x:f>
        <x:v>계약연령 미입력</x:v>
      </x:c>
      <x:c r="T255" s="30" t="n">
        <x:v>45716</x:v>
      </x:c>
      <x:c r="U255" s="24" t="str">
        <x:f>IF(T255="","보험 자료 없음",IF(T255&lt;TODAY(),"만기 자료 갱신 필요","정상"))</x:f>
        <x:v>만기 자료 갱신 필요</x:v>
      </x:c>
      <x:c r="V255" s="24" t="str">
        <x:v>010-7635-7215</x:v>
      </x:c>
      <x:c r="W255" s="24" t="str"/>
      <x:c r="X255" s="24" t="str">
        <x:v>있음</x:v>
      </x:c>
      <x:c r="Y255" s="24" t="str">
        <x:v>회수 검토</x:v>
      </x:c>
      <x:c r="Z255" s="24" t="str"/>
      <x:c r="AA255" s="24" t="str">
        <x:v>보유 기준 확인</x:v>
      </x:c>
    </x:row>
    <x:row r="256" ht="17.25" customHeight="1">
      <x:c r="A256" s="24" t="str">
        <x:v>프라임구독</x:v>
      </x:c>
      <x:c r="B256" s="24" t="str">
        <x:v>56보8997</x:v>
      </x:c>
      <x:c r="C256" s="24" t="str">
        <x:v>현재보유</x:v>
      </x:c>
      <x:c r="D256" s="24" t="str">
        <x:v>쉬는차</x:v>
      </x:c>
      <x:c r="E256" s="30"/>
      <x:c r="F256" s="31" t="str">
        <x:f>IF(AND(D256="쉬는차",E256&lt;&gt;""),TODAY()-E256,"")</x:f>
      </x:c>
      <x:c r="G256" s="24" t="str"/>
      <x:c r="H256" s="24" t="str"/>
      <x:c r="I256" s="30"/>
      <x:c r="J256" s="30"/>
      <x:c r="K256" s="24" t="str"/>
      <x:c r="L256" s="32"/>
      <x:c r="M256" s="31" t="n">
        <x:v>0</x:v>
      </x:c>
      <x:c r="N256" s="32" t="n">
        <x:v>0</x:v>
      </x:c>
      <x:c r="O256" s="31" t="n">
        <x:v>0</x:v>
      </x:c>
      <x:c r="P256" s="24" t="str"/>
      <x:c r="Q256" s="24" t="str"/>
      <x:c r="R256" s="24" t="str"/>
      <x:c r="S256" s="24" t="str">
        <x:f>IF(Q256="","계약연령 미입력",IFERROR(IF(R256="","보험연령 미입력",IF(VALUE(R256)=VALUE(Q256),"정상",IF(VALUE(R256)&gt;VALUE(Q256),"보장 불일치","과보장 점검"))),"계약연령 형식확인"))</x:f>
        <x:v>계약연령 미입력</x:v>
      </x:c>
      <x:c r="T256" s="30" t="n">
        <x:v>45717</x:v>
      </x:c>
      <x:c r="U256" s="24" t="str">
        <x:f>IF(T256="","보험 자료 없음",IF(T256&lt;TODAY(),"만기 자료 갱신 필요","정상"))</x:f>
        <x:v>만기 자료 갱신 필요</x:v>
      </x:c>
      <x:c r="V256" s="24" t="str">
        <x:v>010-7138-7235</x:v>
      </x:c>
      <x:c r="W256" s="24" t="str"/>
      <x:c r="X256" s="24" t="str">
        <x:v>있음</x:v>
      </x:c>
      <x:c r="Y256" s="24" t="str">
        <x:v>상태 시작일 입력</x:v>
      </x:c>
      <x:c r="Z256" s="24" t="str"/>
      <x:c r="AA256" s="24" t="str">
        <x:v>보유 기준 확인</x:v>
      </x:c>
    </x:row>
    <x:row r="257" ht="17.25" customHeight="1">
      <x:c r="A257" s="24" t="str">
        <x:v>프라임구독</x:v>
      </x:c>
      <x:c r="B257" s="24" t="str">
        <x:v>57두7690</x:v>
      </x:c>
      <x:c r="C257" s="24" t="str">
        <x:v>현재보유</x:v>
      </x:c>
      <x:c r="D257" s="24" t="str">
        <x:v>쉬는차</x:v>
      </x:c>
      <x:c r="E257" s="30"/>
      <x:c r="F257" s="31" t="str">
        <x:f>IF(AND(D257="쉬는차",E257&lt;&gt;""),TODAY()-E257,"")</x:f>
      </x:c>
      <x:c r="G257" s="24" t="str"/>
      <x:c r="H257" s="24" t="str"/>
      <x:c r="I257" s="30"/>
      <x:c r="J257" s="30"/>
      <x:c r="K257" s="24" t="str"/>
      <x:c r="L257" s="32"/>
      <x:c r="M257" s="31" t="n">
        <x:v>0</x:v>
      </x:c>
      <x:c r="N257" s="32" t="n">
        <x:v>0</x:v>
      </x:c>
      <x:c r="O257" s="31" t="n">
        <x:v>0</x:v>
      </x:c>
      <x:c r="P257" s="24" t="str"/>
      <x:c r="Q257" s="24" t="str"/>
      <x:c r="R257" s="24" t="str"/>
      <x:c r="S257" s="24" t="str">
        <x:f>IF(Q257="","계약연령 미입력",IFERROR(IF(R257="","보험연령 미입력",IF(VALUE(R257)=VALUE(Q257),"정상",IF(VALUE(R257)&gt;VALUE(Q257),"보장 불일치","과보장 점검"))),"계약연령 형식확인"))</x:f>
        <x:v>계약연령 미입력</x:v>
      </x:c>
      <x:c r="T257" s="30" t="n">
        <x:v>46013</x:v>
      </x:c>
      <x:c r="U257" s="24" t="str">
        <x:f>IF(T257="","보험 자료 없음",IF(T257&lt;TODAY(),"만기 자료 갱신 필요","정상"))</x:f>
        <x:v>만기 자료 갱신 필요</x:v>
      </x:c>
      <x:c r="V257" s="24" t="str">
        <x:v>010-4844-9689</x:v>
      </x:c>
      <x:c r="W257" s="24" t="str"/>
      <x:c r="X257" s="24" t="str">
        <x:v>있음</x:v>
      </x:c>
      <x:c r="Y257" s="24" t="str">
        <x:v>상태 시작일 입력</x:v>
      </x:c>
      <x:c r="Z257" s="24" t="str"/>
      <x:c r="AA257" s="24" t="str">
        <x:v>보유 기준 확인</x:v>
      </x:c>
    </x:row>
    <x:row r="258" ht="17.25" customHeight="1">
      <x:c r="A258" s="24" t="str">
        <x:v>프라임구독</x:v>
      </x:c>
      <x:c r="B258" s="24" t="str">
        <x:v>59보0161</x:v>
      </x:c>
      <x:c r="C258" s="24" t="str">
        <x:v>현재보유</x:v>
      </x:c>
      <x:c r="D258" s="24" t="str">
        <x:v>쉬는차</x:v>
      </x:c>
      <x:c r="E258" s="30"/>
      <x:c r="F258" s="31" t="str">
        <x:f>IF(AND(D258="쉬는차",E258&lt;&gt;""),TODAY()-E258,"")</x:f>
      </x:c>
      <x:c r="G258" s="24" t="str"/>
      <x:c r="H258" s="24" t="str"/>
      <x:c r="I258" s="30"/>
      <x:c r="J258" s="30"/>
      <x:c r="K258" s="24" t="str"/>
      <x:c r="L258" s="32"/>
      <x:c r="M258" s="31" t="n">
        <x:v>0</x:v>
      </x:c>
      <x:c r="N258" s="32" t="n">
        <x:v>0</x:v>
      </x:c>
      <x:c r="O258" s="31" t="n">
        <x:v>0</x:v>
      </x:c>
      <x:c r="P258" s="24" t="str"/>
      <x:c r="Q258" s="24" t="str"/>
      <x:c r="R258" s="24" t="str"/>
      <x:c r="S258" s="24" t="str">
        <x:f>IF(Q258="","계약연령 미입력",IFERROR(IF(R258="","보험연령 미입력",IF(VALUE(R258)=VALUE(Q258),"정상",IF(VALUE(R258)&gt;VALUE(Q258),"보장 불일치","과보장 점검"))),"계약연령 형식확인"))</x:f>
        <x:v>계약연령 미입력</x:v>
      </x:c>
      <x:c r="T258" s="30" t="n">
        <x:v>46042</x:v>
      </x:c>
      <x:c r="U258" s="24" t="str">
        <x:f>IF(T258="","보험 자료 없음",IF(T258&lt;TODAY(),"만기 자료 갱신 필요","정상"))</x:f>
        <x:v>만기 자료 갱신 필요</x:v>
      </x:c>
      <x:c r="V258" s="24" t="str">
        <x:v>010-5232-2226</x:v>
      </x:c>
      <x:c r="W258" s="24" t="str"/>
      <x:c r="X258" s="24" t="str">
        <x:v>있음</x:v>
      </x:c>
      <x:c r="Y258" s="24" t="str">
        <x:v>상태 시작일 입력</x:v>
      </x:c>
      <x:c r="Z258" s="24" t="str"/>
      <x:c r="AA258" s="24" t="str">
        <x:v>보유 기준 확인</x:v>
      </x:c>
    </x:row>
    <x:row r="259" ht="17.25" customHeight="1">
      <x:c r="A259" s="24" t="str">
        <x:v>프라임구독</x:v>
      </x:c>
      <x:c r="B259" s="24" t="str">
        <x:v>59보0907</x:v>
      </x:c>
      <x:c r="C259" s="24" t="str">
        <x:v>현재보유</x:v>
      </x:c>
      <x:c r="D259" s="24" t="str">
        <x:v>쉬는차</x:v>
      </x:c>
      <x:c r="E259" s="30"/>
      <x:c r="F259" s="31" t="str">
        <x:f>IF(AND(D259="쉬는차",E259&lt;&gt;""),TODAY()-E259,"")</x:f>
      </x:c>
      <x:c r="G259" s="24" t="str"/>
      <x:c r="H259" s="24" t="str"/>
      <x:c r="I259" s="30"/>
      <x:c r="J259" s="30"/>
      <x:c r="K259" s="24" t="str"/>
      <x:c r="L259" s="32"/>
      <x:c r="M259" s="31" t="n">
        <x:v>0</x:v>
      </x:c>
      <x:c r="N259" s="32" t="n">
        <x:v>0</x:v>
      </x:c>
      <x:c r="O259" s="31" t="n">
        <x:v>0</x:v>
      </x:c>
      <x:c r="P259" s="24" t="str"/>
      <x:c r="Q259" s="24" t="str"/>
      <x:c r="R259" s="24" t="str"/>
      <x:c r="S259" s="24" t="str">
        <x:f>IF(Q259="","계약연령 미입력",IFERROR(IF(R259="","보험연령 미입력",IF(VALUE(R259)=VALUE(Q259),"정상",IF(VALUE(R259)&gt;VALUE(Q259),"보장 불일치","과보장 점검"))),"계약연령 형식확인"))</x:f>
        <x:v>계약연령 미입력</x:v>
      </x:c>
      <x:c r="T259" s="30" t="n">
        <x:v>45694</x:v>
      </x:c>
      <x:c r="U259" s="24" t="str">
        <x:f>IF(T259="","보험 자료 없음",IF(T259&lt;TODAY(),"만기 자료 갱신 필요","정상"))</x:f>
        <x:v>만기 자료 갱신 필요</x:v>
      </x:c>
      <x:c r="V259" s="24" t="str">
        <x:v>010-5226-2935</x:v>
      </x:c>
      <x:c r="W259" s="24" t="str"/>
      <x:c r="X259" s="24" t="str">
        <x:v>있음</x:v>
      </x:c>
      <x:c r="Y259" s="24" t="str">
        <x:v>상태 시작일 입력</x:v>
      </x:c>
      <x:c r="Z259" s="24" t="str"/>
      <x:c r="AA259" s="24" t="str">
        <x:v>보유 기준 확인</x:v>
      </x:c>
    </x:row>
    <x:row r="260" ht="17.25" customHeight="1">
      <x:c r="A260" s="24" t="str">
        <x:v>프라임구독</x:v>
      </x:c>
      <x:c r="B260" s="24" t="str">
        <x:v>60조0437</x:v>
      </x:c>
      <x:c r="C260" s="24" t="str">
        <x:v>현재보유</x:v>
      </x:c>
      <x:c r="D260" s="24" t="str">
        <x:v>대여중</x:v>
      </x:c>
      <x:c r="E260" s="30"/>
      <x:c r="F260" s="31" t="str">
        <x:f>IF(AND(D260="쉬는차",E260&lt;&gt;""),TODAY()-E260,"")</x:f>
      </x:c>
      <x:c r="G260" s="24" t="str">
        <x:v>우창식</x:v>
      </x:c>
      <x:c r="H260" s="24" t="str">
        <x:v>PR-C-60조0437-1-20230418-175</x:v>
      </x:c>
      <x:c r="I260" s="30" t="n">
        <x:v>45034</x:v>
      </x:c>
      <x:c r="J260" s="30" t="n">
        <x:v>46132</x:v>
      </x:c>
      <x:c r="K260" s="24" t="str">
        <x:v>20</x:v>
      </x:c>
      <x:c r="L260" s="32" t="n">
        <x:v>343000</x:v>
      </x:c>
      <x:c r="M260" s="31" t="n">
        <x:v>20</x:v>
      </x:c>
      <x:c r="N260" s="32" t="n">
        <x:v>3087000</x:v>
      </x:c>
      <x:c r="O260" s="31" t="n">
        <x:v>572</x:v>
      </x:c>
      <x:c r="P260" s="24" t="str">
        <x:v>회수 판단 · 만기 임박</x:v>
      </x:c>
      <x:c r="Q260" s="24" t="str"/>
      <x:c r="R260" s="24" t="str"/>
      <x:c r="S260" s="24" t="str">
        <x:f>IF(Q260="","계약연령 미입력",IFERROR(IF(R260="","보험연령 미입력",IF(VALUE(R260)=VALUE(Q260),"정상",IF(VALUE(R260)&gt;VALUE(Q260),"보장 불일치","과보장 점검"))),"계약연령 형식확인"))</x:f>
        <x:v>계약연령 미입력</x:v>
      </x:c>
      <x:c r="T260" s="30" t="n">
        <x:v>46130</x:v>
      </x:c>
      <x:c r="U260" s="24" t="str">
        <x:f>IF(T260="","보험 자료 없음",IF(T260&lt;TODAY(),"만기 자료 갱신 필요","정상"))</x:f>
        <x:v>만기 자료 갱신 필요</x:v>
      </x:c>
      <x:c r="V260" s="24" t="str">
        <x:v>010-4275-7908</x:v>
      </x:c>
      <x:c r="W260" s="24" t="str"/>
      <x:c r="X260" s="24" t="str">
        <x:v>있음</x:v>
      </x:c>
      <x:c r="Y260" s="24" t="str">
        <x:v>회수 검토</x:v>
      </x:c>
      <x:c r="Z260" s="24" t="str"/>
      <x:c r="AA260" s="24" t="str">
        <x:v>보유 기준 확인</x:v>
      </x:c>
    </x:row>
    <x:row r="261" ht="17.25" customHeight="1">
      <x:c r="A261" s="24" t="str">
        <x:v>프라임구독</x:v>
      </x:c>
      <x:c r="B261" s="24" t="str">
        <x:v>61너5024</x:v>
      </x:c>
      <x:c r="C261" s="24" t="str">
        <x:v>현재보유</x:v>
      </x:c>
      <x:c r="D261" s="24" t="str">
        <x:v>대여중</x:v>
      </x:c>
      <x:c r="E261" s="30"/>
      <x:c r="F261" s="31" t="str">
        <x:f>IF(AND(D261="쉬는차",E261&lt;&gt;""),TODAY()-E261,"")</x:f>
      </x:c>
      <x:c r="G261" s="24" t="str">
        <x:v>안미숙</x:v>
      </x:c>
      <x:c r="H261" s="24" t="str">
        <x:v>PR-C-61너5024-1-20230629-177</x:v>
      </x:c>
      <x:c r="I261" s="30" t="n">
        <x:v>45106</x:v>
      </x:c>
      <x:c r="J261" s="30" t="n">
        <x:v>46193</x:v>
      </x:c>
      <x:c r="K261" s="24" t="str">
        <x:v>20</x:v>
      </x:c>
      <x:c r="L261" s="32" t="n">
        <x:v>493000</x:v>
      </x:c>
      <x:c r="M261" s="31" t="n">
        <x:v>19</x:v>
      </x:c>
      <x:c r="N261" s="32" t="n">
        <x:v>493000</x:v>
      </x:c>
      <x:c r="O261" s="31" t="n">
        <x:v>572</x:v>
      </x:c>
      <x:c r="P261" s="24" t="str">
        <x:v>만기 임박</x:v>
      </x:c>
      <x:c r="Q261" s="24" t="str"/>
      <x:c r="R261" s="24" t="str"/>
      <x:c r="S261" s="24" t="str">
        <x:f>IF(Q261="","계약연령 미입력",IFERROR(IF(R261="","보험연령 미입력",IF(VALUE(R261)=VALUE(Q261),"정상",IF(VALUE(R261)&gt;VALUE(Q261),"보장 불일치","과보장 점검"))),"계약연령 형식확인"))</x:f>
        <x:v>계약연령 미입력</x:v>
      </x:c>
      <x:c r="T261" s="30" t="n">
        <x:v>46202</x:v>
      </x:c>
      <x:c r="U261" s="24" t="str">
        <x:f>IF(T261="","보험 자료 없음",IF(T261&lt;TODAY(),"만기 자료 갱신 필요","정상"))</x:f>
        <x:v>만기 자료 갱신 필요</x:v>
      </x:c>
      <x:c r="V261" s="24" t="str">
        <x:v>010-6307-8107</x:v>
      </x:c>
      <x:c r="W261" s="24" t="str"/>
      <x:c r="X261" s="24" t="str">
        <x:v>있음</x:v>
      </x:c>
      <x:c r="Y261" s="24" t="str">
        <x:v>미수 확인</x:v>
      </x:c>
      <x:c r="Z261" s="24" t="str"/>
      <x:c r="AA261" s="24" t="str">
        <x:v>보유 기준 확인</x:v>
      </x:c>
    </x:row>
    <x:row r="262" ht="17.25" customHeight="1">
      <x:c r="A262" s="24" t="str">
        <x:v>프라임구독</x:v>
      </x:c>
      <x:c r="B262" s="24" t="str">
        <x:v>61루2328</x:v>
      </x:c>
      <x:c r="C262" s="24" t="str">
        <x:v>현재보유</x:v>
      </x:c>
      <x:c r="D262" s="24" t="str">
        <x:v>대여중</x:v>
      </x:c>
      <x:c r="E262" s="30"/>
      <x:c r="F262" s="31" t="str">
        <x:f>IF(AND(D262="쉬는차",E262&lt;&gt;""),TODAY()-E262,"")</x:f>
      </x:c>
      <x:c r="G262" s="24" t="str">
        <x:v>권오중</x:v>
      </x:c>
      <x:c r="H262" s="24" t="str">
        <x:v>PR-C-61루2328-1-20230705-178</x:v>
      </x:c>
      <x:c r="I262" s="30" t="n">
        <x:v>45112</x:v>
      </x:c>
      <x:c r="J262" s="30" t="n">
        <x:v>46558</x:v>
      </x:c>
      <x:c r="K262" s="24" t="str">
        <x:v>20</x:v>
      </x:c>
      <x:c r="L262" s="32" t="n">
        <x:v>448000</x:v>
      </x:c>
      <x:c r="M262" s="31" t="n">
        <x:v>1</x:v>
      </x:c>
      <x:c r="N262" s="32" t="n">
        <x:v>448000</x:v>
      </x:c>
      <x:c r="O262" s="31" t="n">
        <x:v>0</x:v>
      </x:c>
      <x:c r="P262" s="24" t="str"/>
      <x:c r="Q262" s="24" t="str"/>
      <x:c r="R262" s="24" t="str"/>
      <x:c r="S262" s="24" t="str">
        <x:f>IF(Q262="","계약연령 미입력",IFERROR(IF(R262="","보험연령 미입력",IF(VALUE(R262)=VALUE(Q262),"정상",IF(VALUE(R262)&gt;VALUE(Q262),"보장 불일치","과보장 점검"))),"계약연령 형식확인"))</x:f>
        <x:v>계약연령 미입력</x:v>
      </x:c>
      <x:c r="T262" s="30" t="n">
        <x:v>46208</x:v>
      </x:c>
      <x:c r="U262" s="24" t="str">
        <x:f>IF(T262="","보험 자료 없음",IF(T262&lt;TODAY(),"만기 자료 갱신 필요","정상"))</x:f>
        <x:v>만기 자료 갱신 필요</x:v>
      </x:c>
      <x:c r="V262" s="24" t="str">
        <x:v>010-9355-5085</x:v>
      </x:c>
      <x:c r="W262" s="24" t="str"/>
      <x:c r="X262" s="24" t="str">
        <x:v>있음</x:v>
      </x:c>
      <x:c r="Y262" s="24" t="str">
        <x:v>미수 확인</x:v>
      </x:c>
      <x:c r="Z262" s="24" t="str"/>
      <x:c r="AA262" s="24" t="str">
        <x:v>보유 기준 확인</x:v>
      </x:c>
    </x:row>
    <x:row r="263" ht="17.25" customHeight="1">
      <x:c r="A263" s="24" t="str">
        <x:v>프라임구독</x:v>
      </x:c>
      <x:c r="B263" s="24" t="str">
        <x:v>61마9264</x:v>
      </x:c>
      <x:c r="C263" s="24" t="str">
        <x:v>현재보유</x:v>
      </x:c>
      <x:c r="D263" s="24" t="str">
        <x:v>쉬는차</x:v>
      </x:c>
      <x:c r="E263" s="30"/>
      <x:c r="F263" s="31" t="str">
        <x:f>IF(AND(D263="쉬는차",E263&lt;&gt;""),TODAY()-E263,"")</x:f>
      </x:c>
      <x:c r="G263" s="24" t="str"/>
      <x:c r="H263" s="24" t="str"/>
      <x:c r="I263" s="30"/>
      <x:c r="J263" s="30"/>
      <x:c r="K263" s="24" t="str"/>
      <x:c r="L263" s="32"/>
      <x:c r="M263" s="31" t="n">
        <x:v>0</x:v>
      </x:c>
      <x:c r="N263" s="32" t="n">
        <x:v>0</x:v>
      </x:c>
      <x:c r="O263" s="31" t="n">
        <x:v>0</x:v>
      </x:c>
      <x:c r="P263" s="24" t="str"/>
      <x:c r="Q263" s="24" t="str"/>
      <x:c r="R263" s="24" t="str"/>
      <x:c r="S263" s="24" t="str">
        <x:f>IF(Q263="","계약연령 미입력",IFERROR(IF(R263="","보험연령 미입력",IF(VALUE(R263)=VALUE(Q263),"정상",IF(VALUE(R263)&gt;VALUE(Q263),"보장 불일치","과보장 점검"))),"계약연령 형식확인"))</x:f>
        <x:v>계약연령 미입력</x:v>
      </x:c>
      <x:c r="T263" s="30" t="n">
        <x:v>45704</x:v>
      </x:c>
      <x:c r="U263" s="24" t="str">
        <x:f>IF(T263="","보험 자료 없음",IF(T263&lt;TODAY(),"만기 자료 갱신 필요","정상"))</x:f>
        <x:v>만기 자료 갱신 필요</x:v>
      </x:c>
      <x:c r="V263" s="24" t="str">
        <x:v>010-7771-2383</x:v>
      </x:c>
      <x:c r="W263" s="24" t="str"/>
      <x:c r="X263" s="24" t="str">
        <x:v>있음</x:v>
      </x:c>
      <x:c r="Y263" s="24" t="str">
        <x:v>상태 시작일 입력</x:v>
      </x:c>
      <x:c r="Z263" s="24" t="str"/>
      <x:c r="AA263" s="24" t="str">
        <x:v>보유 기준 확인</x:v>
      </x:c>
    </x:row>
    <x:row r="264" ht="17.25" customHeight="1">
      <x:c r="A264" s="24" t="str">
        <x:v>프라임구독</x:v>
      </x:c>
      <x:c r="B264" s="24" t="str">
        <x:v>64너1414</x:v>
      </x:c>
      <x:c r="C264" s="24" t="str">
        <x:v>현재보유</x:v>
      </x:c>
      <x:c r="D264" s="24" t="str">
        <x:v>쉬는차</x:v>
      </x:c>
      <x:c r="E264" s="30"/>
      <x:c r="F264" s="31" t="str">
        <x:f>IF(AND(D264="쉬는차",E264&lt;&gt;""),TODAY()-E264,"")</x:f>
      </x:c>
      <x:c r="G264" s="24" t="str"/>
      <x:c r="H264" s="24" t="str"/>
      <x:c r="I264" s="30"/>
      <x:c r="J264" s="30"/>
      <x:c r="K264" s="24" t="str"/>
      <x:c r="L264" s="32"/>
      <x:c r="M264" s="31" t="n">
        <x:v>0</x:v>
      </x:c>
      <x:c r="N264" s="32" t="n">
        <x:v>0</x:v>
      </x:c>
      <x:c r="O264" s="31" t="n">
        <x:v>0</x:v>
      </x:c>
      <x:c r="P264" s="24" t="str"/>
      <x:c r="Q264" s="24" t="str"/>
      <x:c r="R264" s="24" t="str"/>
      <x:c r="S264" s="24" t="str">
        <x:f>IF(Q264="","계약연령 미입력",IFERROR(IF(R264="","보험연령 미입력",IF(VALUE(R264)=VALUE(Q264),"정상",IF(VALUE(R264)&gt;VALUE(Q264),"보장 불일치","과보장 점검"))),"계약연령 형식확인"))</x:f>
        <x:v>계약연령 미입력</x:v>
      </x:c>
      <x:c r="T264" s="30"/>
      <x:c r="U264" s="24" t="str">
        <x:f>IF(T264="","보험 자료 없음",IF(T264&lt;TODAY(),"만기 자료 갱신 필요","정상"))</x:f>
        <x:v>보험 자료 없음</x:v>
      </x:c>
      <x:c r="V264" s="24" t="str"/>
      <x:c r="W264" s="24" t="str"/>
      <x:c r="X264" s="24" t="str">
        <x:v>없음</x:v>
      </x:c>
      <x:c r="Y264" s="24" t="str">
        <x:v>상태 시작일 입력</x:v>
      </x:c>
      <x:c r="Z264" s="24" t="str"/>
      <x:c r="AA264" s="24" t="str">
        <x:v>보유 기준 확인</x:v>
      </x:c>
    </x:row>
    <x:row r="265" ht="17.25" customHeight="1">
      <x:c r="A265" s="24" t="str">
        <x:v>프라임구독</x:v>
      </x:c>
      <x:c r="B265" s="24" t="str">
        <x:v>64로0269</x:v>
      </x:c>
      <x:c r="C265" s="24" t="str">
        <x:v>현재보유</x:v>
      </x:c>
      <x:c r="D265" s="24" t="str">
        <x:v>대여중</x:v>
      </x:c>
      <x:c r="E265" s="30"/>
      <x:c r="F265" s="31" t="str">
        <x:f>IF(AND(D265="쉬는차",E265&lt;&gt;""),TODAY()-E265,"")</x:f>
      </x:c>
      <x:c r="G265" s="24" t="str">
        <x:v>배미주</x:v>
      </x:c>
      <x:c r="H265" s="24" t="str">
        <x:v>PR-C-64로0269-1-20230623-181</x:v>
      </x:c>
      <x:c r="I265" s="30" t="n">
        <x:v>45100</x:v>
      </x:c>
      <x:c r="J265" s="30" t="n">
        <x:v>46558</x:v>
      </x:c>
      <x:c r="K265" s="24" t="str">
        <x:v>20</x:v>
      </x:c>
      <x:c r="L265" s="32" t="n">
        <x:v>639000</x:v>
      </x:c>
      <x:c r="M265" s="31" t="n">
        <x:v>22</x:v>
      </x:c>
      <x:c r="N265" s="32" t="n">
        <x:v>13458000</x:v>
      </x:c>
      <x:c r="O265" s="31" t="n">
        <x:v>633</x:v>
      </x:c>
      <x:c r="P265" s="24" t="str">
        <x:v>회수 판단</x:v>
      </x:c>
      <x:c r="Q265" s="24" t="str"/>
      <x:c r="R265" s="24" t="str"/>
      <x:c r="S265" s="24" t="str">
        <x:f>IF(Q265="","계약연령 미입력",IFERROR(IF(R265="","보험연령 미입력",IF(VALUE(R265)=VALUE(Q265),"정상",IF(VALUE(R265)&gt;VALUE(Q265),"보장 불일치","과보장 점검"))),"계약연령 형식확인"))</x:f>
        <x:v>계약연령 미입력</x:v>
      </x:c>
      <x:c r="T265" s="30" t="n">
        <x:v>45831</x:v>
      </x:c>
      <x:c r="U265" s="24" t="str">
        <x:f>IF(T265="","보험 자료 없음",IF(T265&lt;TODAY(),"만기 자료 갱신 필요","정상"))</x:f>
        <x:v>만기 자료 갱신 필요</x:v>
      </x:c>
      <x:c r="V265" s="24" t="str">
        <x:v>010-6605-6446</x:v>
      </x:c>
      <x:c r="W265" s="24" t="str"/>
      <x:c r="X265" s="24" t="str">
        <x:v>있음</x:v>
      </x:c>
      <x:c r="Y265" s="24" t="str">
        <x:v>회수 검토</x:v>
      </x:c>
      <x:c r="Z265" s="24" t="str"/>
      <x:c r="AA265" s="24" t="str">
        <x:v>보유 기준 확인</x:v>
      </x:c>
    </x:row>
    <x:row r="266" ht="17.25" customHeight="1">
      <x:c r="A266" s="24" t="str">
        <x:v>프라임구독</x:v>
      </x:c>
      <x:c r="B266" s="24" t="str">
        <x:v>65서0911</x:v>
      </x:c>
      <x:c r="C266" s="24" t="str">
        <x:v>현재보유</x:v>
      </x:c>
      <x:c r="D266" s="24" t="str">
        <x:v>쉬는차</x:v>
      </x:c>
      <x:c r="E266" s="30"/>
      <x:c r="F266" s="31" t="str">
        <x:f>IF(AND(D266="쉬는차",E266&lt;&gt;""),TODAY()-E266,"")</x:f>
      </x:c>
      <x:c r="G266" s="24" t="str"/>
      <x:c r="H266" s="24" t="str"/>
      <x:c r="I266" s="30"/>
      <x:c r="J266" s="30"/>
      <x:c r="K266" s="24" t="str"/>
      <x:c r="L266" s="32"/>
      <x:c r="M266" s="31" t="n">
        <x:v>0</x:v>
      </x:c>
      <x:c r="N266" s="32" t="n">
        <x:v>0</x:v>
      </x:c>
      <x:c r="O266" s="31" t="n">
        <x:v>0</x:v>
      </x:c>
      <x:c r="P266" s="24" t="str"/>
      <x:c r="Q266" s="24" t="str"/>
      <x:c r="R266" s="24" t="str"/>
      <x:c r="S266" s="24" t="str">
        <x:f>IF(Q266="","계약연령 미입력",IFERROR(IF(R266="","보험연령 미입력",IF(VALUE(R266)=VALUE(Q266),"정상",IF(VALUE(R266)&gt;VALUE(Q266),"보장 불일치","과보장 점검"))),"계약연령 형식확인"))</x:f>
        <x:v>계약연령 미입력</x:v>
      </x:c>
      <x:c r="T266" s="30" t="n">
        <x:v>45846</x:v>
      </x:c>
      <x:c r="U266" s="24" t="str">
        <x:f>IF(T266="","보험 자료 없음",IF(T266&lt;TODAY(),"만기 자료 갱신 필요","정상"))</x:f>
        <x:v>만기 자료 갱신 필요</x:v>
      </x:c>
      <x:c r="V266" s="24" t="str">
        <x:v>010-5788-8413</x:v>
      </x:c>
      <x:c r="W266" s="24" t="str"/>
      <x:c r="X266" s="24" t="str">
        <x:v>있음</x:v>
      </x:c>
      <x:c r="Y266" s="24" t="str">
        <x:v>상태 시작일 입력</x:v>
      </x:c>
      <x:c r="Z266" s="24" t="str"/>
      <x:c r="AA266" s="24" t="str">
        <x:v>보유 기준 확인</x:v>
      </x:c>
    </x:row>
    <x:row r="267" ht="17.25" customHeight="1">
      <x:c r="A267" s="24" t="str">
        <x:v>프라임구독</x:v>
      </x:c>
      <x:c r="B267" s="24" t="str">
        <x:v>66어1934</x:v>
      </x:c>
      <x:c r="C267" s="24" t="str">
        <x:v>현재보유</x:v>
      </x:c>
      <x:c r="D267" s="24" t="str">
        <x:v>대여중</x:v>
      </x:c>
      <x:c r="E267" s="30"/>
      <x:c r="F267" s="31" t="str">
        <x:f>IF(AND(D267="쉬는차",E267&lt;&gt;""),TODAY()-E267,"")</x:f>
      </x:c>
      <x:c r="G267" s="24" t="str">
        <x:v>박진훈</x:v>
      </x:c>
      <x:c r="H267" s="24" t="str">
        <x:v>PR-C-66어1934-1-20220526-183</x:v>
      </x:c>
      <x:c r="I267" s="30" t="n">
        <x:v>44707</x:v>
      </x:c>
      <x:c r="J267" s="30" t="n">
        <x:v>45802</x:v>
      </x:c>
      <x:c r="K267" s="24" t="str">
        <x:v>25</x:v>
      </x:c>
      <x:c r="L267" s="32" t="n">
        <x:v>350000</x:v>
      </x:c>
      <x:c r="M267" s="31" t="n">
        <x:v>26</x:v>
      </x:c>
      <x:c r="N267" s="32" t="n">
        <x:v>2700000</x:v>
      </x:c>
      <x:c r="O267" s="31" t="n">
        <x:v>751</x:v>
      </x:c>
      <x:c r="P267" s="24" t="str">
        <x:v>회수 판단 · 만기 임박</x:v>
      </x:c>
      <x:c r="Q267" s="24" t="str"/>
      <x:c r="R267" s="24" t="str"/>
      <x:c r="S267" s="24" t="str">
        <x:f>IF(Q267="","계약연령 미입력",IFERROR(IF(R267="","보험연령 미입력",IF(VALUE(R267)=VALUE(Q267),"정상",IF(VALUE(R267)&gt;VALUE(Q267),"보장 불일치","과보장 점검"))),"계약연령 형식확인"))</x:f>
        <x:v>계약연령 미입력</x:v>
      </x:c>
      <x:c r="T267" s="30" t="n">
        <x:v>45735</x:v>
      </x:c>
      <x:c r="U267" s="24" t="str">
        <x:f>IF(T267="","보험 자료 없음",IF(T267&lt;TODAY(),"만기 자료 갱신 필요","정상"))</x:f>
        <x:v>만기 자료 갱신 필요</x:v>
      </x:c>
      <x:c r="V267" s="24" t="str">
        <x:v>010-8500-2906</x:v>
      </x:c>
      <x:c r="W267" s="24" t="str"/>
      <x:c r="X267" s="24" t="str">
        <x:v>있음</x:v>
      </x:c>
      <x:c r="Y267" s="24" t="str">
        <x:v>회수 검토</x:v>
      </x:c>
      <x:c r="Z267" s="24" t="str"/>
      <x:c r="AA267" s="24" t="str">
        <x:v>보유 기준 확인</x:v>
      </x:c>
    </x:row>
    <x:row r="268" ht="17.25" customHeight="1">
      <x:c r="A268" s="24" t="str">
        <x:v>프라임구독</x:v>
      </x:c>
      <x:c r="B268" s="24" t="str">
        <x:v>66오8575</x:v>
      </x:c>
      <x:c r="C268" s="24" t="str">
        <x:v>현재보유</x:v>
      </x:c>
      <x:c r="D268" s="24" t="str">
        <x:v>쉬는차</x:v>
      </x:c>
      <x:c r="E268" s="30"/>
      <x:c r="F268" s="31" t="str">
        <x:f>IF(AND(D268="쉬는차",E268&lt;&gt;""),TODAY()-E268,"")</x:f>
      </x:c>
      <x:c r="G268" s="24" t="str"/>
      <x:c r="H268" s="24" t="str"/>
      <x:c r="I268" s="30"/>
      <x:c r="J268" s="30"/>
      <x:c r="K268" s="24" t="str"/>
      <x:c r="L268" s="32"/>
      <x:c r="M268" s="31" t="n">
        <x:v>0</x:v>
      </x:c>
      <x:c r="N268" s="32" t="n">
        <x:v>0</x:v>
      </x:c>
      <x:c r="O268" s="31" t="n">
        <x:v>0</x:v>
      </x:c>
      <x:c r="P268" s="24" t="str"/>
      <x:c r="Q268" s="24" t="str"/>
      <x:c r="R268" s="24" t="str"/>
      <x:c r="S268" s="24" t="str">
        <x:f>IF(Q268="","계약연령 미입력",IFERROR(IF(R268="","보험연령 미입력",IF(VALUE(R268)=VALUE(Q268),"정상",IF(VALUE(R268)&gt;VALUE(Q268),"보장 불일치","과보장 점검"))),"계약연령 형식확인"))</x:f>
        <x:v>계약연령 미입력</x:v>
      </x:c>
      <x:c r="T268" s="30" t="n">
        <x:v>45828</x:v>
      </x:c>
      <x:c r="U268" s="24" t="str">
        <x:f>IF(T268="","보험 자료 없음",IF(T268&lt;TODAY(),"만기 자료 갱신 필요","정상"))</x:f>
        <x:v>만기 자료 갱신 필요</x:v>
      </x:c>
      <x:c r="V268" s="24" t="str">
        <x:v>010-5130-6377</x:v>
      </x:c>
      <x:c r="W268" s="24" t="str"/>
      <x:c r="X268" s="24" t="str">
        <x:v>있음</x:v>
      </x:c>
      <x:c r="Y268" s="24" t="str">
        <x:v>상태 시작일 입력</x:v>
      </x:c>
      <x:c r="Z268" s="24" t="str"/>
      <x:c r="AA268" s="24" t="str">
        <x:v>보유 기준 확인</x:v>
      </x:c>
    </x:row>
    <x:row r="269" ht="17.25" customHeight="1">
      <x:c r="A269" s="24" t="str">
        <x:v>프라임구독</x:v>
      </x:c>
      <x:c r="B269" s="24" t="str">
        <x:v>67거4224</x:v>
      </x:c>
      <x:c r="C269" s="24" t="str">
        <x:v>현재보유</x:v>
      </x:c>
      <x:c r="D269" s="24" t="str">
        <x:v>쉬는차</x:v>
      </x:c>
      <x:c r="E269" s="30"/>
      <x:c r="F269" s="31" t="str">
        <x:f>IF(AND(D269="쉬는차",E269&lt;&gt;""),TODAY()-E269,"")</x:f>
      </x:c>
      <x:c r="G269" s="24" t="str"/>
      <x:c r="H269" s="24" t="str"/>
      <x:c r="I269" s="30"/>
      <x:c r="J269" s="30"/>
      <x:c r="K269" s="24" t="str"/>
      <x:c r="L269" s="32"/>
      <x:c r="M269" s="31" t="n">
        <x:v>0</x:v>
      </x:c>
      <x:c r="N269" s="32" t="n">
        <x:v>0</x:v>
      </x:c>
      <x:c r="O269" s="31" t="n">
        <x:v>0</x:v>
      </x:c>
      <x:c r="P269" s="24" t="str"/>
      <x:c r="Q269" s="24" t="str"/>
      <x:c r="R269" s="24" t="str"/>
      <x:c r="S269" s="24" t="str">
        <x:f>IF(Q269="","계약연령 미입력",IFERROR(IF(R269="","보험연령 미입력",IF(VALUE(R269)=VALUE(Q269),"정상",IF(VALUE(R269)&gt;VALUE(Q269),"보장 불일치","과보장 점검"))),"계약연령 형식확인"))</x:f>
        <x:v>계약연령 미입력</x:v>
      </x:c>
      <x:c r="T269" s="30" t="n">
        <x:v>45702</x:v>
      </x:c>
      <x:c r="U269" s="24" t="str">
        <x:f>IF(T269="","보험 자료 없음",IF(T269&lt;TODAY(),"만기 자료 갱신 필요","정상"))</x:f>
        <x:v>만기 자료 갱신 필요</x:v>
      </x:c>
      <x:c r="V269" s="24" t="str">
        <x:v>010-2890-0629</x:v>
      </x:c>
      <x:c r="W269" s="24" t="str"/>
      <x:c r="X269" s="24" t="str">
        <x:v>있음</x:v>
      </x:c>
      <x:c r="Y269" s="24" t="str">
        <x:v>상태 시작일 입력</x:v>
      </x:c>
      <x:c r="Z269" s="24" t="str"/>
      <x:c r="AA269" s="24" t="str">
        <x:v>보유 기준 확인</x:v>
      </x:c>
    </x:row>
    <x:row r="270" ht="17.25" customHeight="1">
      <x:c r="A270" s="24" t="str">
        <x:v>프라임구독</x:v>
      </x:c>
      <x:c r="B270" s="24" t="str">
        <x:v>67구7368</x:v>
      </x:c>
      <x:c r="C270" s="24" t="str">
        <x:v>현재보유</x:v>
      </x:c>
      <x:c r="D270" s="24" t="str">
        <x:v>대여중</x:v>
      </x:c>
      <x:c r="E270" s="30"/>
      <x:c r="F270" s="31" t="str">
        <x:f>IF(AND(D270="쉬는차",E270&lt;&gt;""),TODAY()-E270,"")</x:f>
      </x:c>
      <x:c r="G270" s="24" t="str">
        <x:v>드림하우징</x:v>
      </x:c>
      <x:c r="H270" s="24" t="str">
        <x:v>PR-C-67구7368-1-20230103-186</x:v>
      </x:c>
      <x:c r="I270" s="30" t="n">
        <x:v>44929</x:v>
      </x:c>
      <x:c r="J270" s="30" t="n">
        <x:v>46021</x:v>
      </x:c>
      <x:c r="K270" s="24" t="str">
        <x:v>30</x:v>
      </x:c>
      <x:c r="L270" s="32" t="n">
        <x:v>1054000</x:v>
      </x:c>
      <x:c r="M270" s="31" t="n">
        <x:v>21</x:v>
      </x:c>
      <x:c r="N270" s="32" t="n">
        <x:v>8486000</x:v>
      </x:c>
      <x:c r="O270" s="31" t="n">
        <x:v>593</x:v>
      </x:c>
      <x:c r="P270" s="24" t="str">
        <x:v>회수 판단 · 만기 임박</x:v>
      </x:c>
      <x:c r="Q270" s="24" t="str"/>
      <x:c r="R270" s="24" t="str"/>
      <x:c r="S270" s="24" t="str">
        <x:f>IF(Q270="","계약연령 미입력",IFERROR(IF(R270="","보험연령 미입력",IF(VALUE(R270)=VALUE(Q270),"정상",IF(VALUE(R270)&gt;VALUE(Q270),"보장 불일치","과보장 점검"))),"계약연령 형식확인"))</x:f>
        <x:v>계약연령 미입력</x:v>
      </x:c>
      <x:c r="T270" s="30" t="n">
        <x:v>45841</x:v>
      </x:c>
      <x:c r="U270" s="24" t="str">
        <x:f>IF(T270="","보험 자료 없음",IF(T270&lt;TODAY(),"만기 자료 갱신 필요","정상"))</x:f>
        <x:v>만기 자료 갱신 필요</x:v>
      </x:c>
      <x:c r="V270" s="24" t="str">
        <x:v>010-9475-2760</x:v>
      </x:c>
      <x:c r="W270" s="24" t="str"/>
      <x:c r="X270" s="24" t="str">
        <x:v>없음</x:v>
      </x:c>
      <x:c r="Y270" s="24" t="str">
        <x:v>회수 검토</x:v>
      </x:c>
      <x:c r="Z270" s="24" t="str"/>
      <x:c r="AA270" s="24" t="str">
        <x:v>보유 기준 확인</x:v>
      </x:c>
    </x:row>
    <x:row r="271" ht="17.25" customHeight="1">
      <x:c r="A271" s="24" t="str">
        <x:v>프라임구독</x:v>
      </x:c>
      <x:c r="B271" s="24" t="str">
        <x:v>67어3004</x:v>
      </x:c>
      <x:c r="C271" s="24" t="str">
        <x:v>현재보유</x:v>
      </x:c>
      <x:c r="D271" s="24" t="str">
        <x:v>쉬는차</x:v>
      </x:c>
      <x:c r="E271" s="30"/>
      <x:c r="F271" s="31" t="str">
        <x:f>IF(AND(D271="쉬는차",E271&lt;&gt;""),TODAY()-E271,"")</x:f>
      </x:c>
      <x:c r="G271" s="24" t="str"/>
      <x:c r="H271" s="24" t="str"/>
      <x:c r="I271" s="30"/>
      <x:c r="J271" s="30"/>
      <x:c r="K271" s="24" t="str"/>
      <x:c r="L271" s="32"/>
      <x:c r="M271" s="31" t="n">
        <x:v>0</x:v>
      </x:c>
      <x:c r="N271" s="32" t="n">
        <x:v>0</x:v>
      </x:c>
      <x:c r="O271" s="31" t="n">
        <x:v>0</x:v>
      </x:c>
      <x:c r="P271" s="24" t="str"/>
      <x:c r="Q271" s="24" t="str"/>
      <x:c r="R271" s="24" t="str"/>
      <x:c r="S271" s="24" t="str">
        <x:f>IF(Q271="","계약연령 미입력",IFERROR(IF(R271="","보험연령 미입력",IF(VALUE(R271)=VALUE(Q271),"정상",IF(VALUE(R271)&gt;VALUE(Q271),"보장 불일치","과보장 점검"))),"계약연령 형식확인"))</x:f>
        <x:v>계약연령 미입력</x:v>
      </x:c>
      <x:c r="T271" s="30" t="n">
        <x:v>45696</x:v>
      </x:c>
      <x:c r="U271" s="24" t="str">
        <x:f>IF(T271="","보험 자료 없음",IF(T271&lt;TODAY(),"만기 자료 갱신 필요","정상"))</x:f>
        <x:v>만기 자료 갱신 필요</x:v>
      </x:c>
      <x:c r="V271" s="24" t="str">
        <x:v>010-5742-0948</x:v>
      </x:c>
      <x:c r="W271" s="24" t="str"/>
      <x:c r="X271" s="24" t="str">
        <x:v>있음</x:v>
      </x:c>
      <x:c r="Y271" s="24" t="str">
        <x:v>상태 시작일 입력</x:v>
      </x:c>
      <x:c r="Z271" s="24" t="str"/>
      <x:c r="AA271" s="24" t="str">
        <x:v>보유 기준 확인</x:v>
      </x:c>
    </x:row>
    <x:row r="272" ht="17.25" customHeight="1">
      <x:c r="A272" s="24" t="str">
        <x:v>프라임구독</x:v>
      </x:c>
      <x:c r="B272" s="24" t="str">
        <x:v>68수7744</x:v>
      </x:c>
      <x:c r="C272" s="24" t="str">
        <x:v>현재보유</x:v>
      </x:c>
      <x:c r="D272" s="24" t="str">
        <x:v>쉬는차</x:v>
      </x:c>
      <x:c r="E272" s="30"/>
      <x:c r="F272" s="31" t="str">
        <x:f>IF(AND(D272="쉬는차",E272&lt;&gt;""),TODAY()-E272,"")</x:f>
      </x:c>
      <x:c r="G272" s="24" t="str"/>
      <x:c r="H272" s="24" t="str"/>
      <x:c r="I272" s="30"/>
      <x:c r="J272" s="30"/>
      <x:c r="K272" s="24" t="str"/>
      <x:c r="L272" s="32"/>
      <x:c r="M272" s="31" t="n">
        <x:v>0</x:v>
      </x:c>
      <x:c r="N272" s="32" t="n">
        <x:v>0</x:v>
      </x:c>
      <x:c r="O272" s="31" t="n">
        <x:v>0</x:v>
      </x:c>
      <x:c r="P272" s="24" t="str"/>
      <x:c r="Q272" s="24" t="str"/>
      <x:c r="R272" s="24" t="str"/>
      <x:c r="S272" s="24" t="str">
        <x:f>IF(Q272="","계약연령 미입력",IFERROR(IF(R272="","보험연령 미입력",IF(VALUE(R272)=VALUE(Q272),"정상",IF(VALUE(R272)&gt;VALUE(Q272),"보장 불일치","과보장 점검"))),"계약연령 형식확인"))</x:f>
        <x:v>계약연령 미입력</x:v>
      </x:c>
      <x:c r="T272" s="30" t="n">
        <x:v>45668</x:v>
      </x:c>
      <x:c r="U272" s="24" t="str">
        <x:f>IF(T272="","보험 자료 없음",IF(T272&lt;TODAY(),"만기 자료 갱신 필요","정상"))</x:f>
        <x:v>만기 자료 갱신 필요</x:v>
      </x:c>
      <x:c r="V272" s="24" t="str">
        <x:v>010-5636-6671</x:v>
      </x:c>
      <x:c r="W272" s="24" t="str"/>
      <x:c r="X272" s="24" t="str">
        <x:v>있음</x:v>
      </x:c>
      <x:c r="Y272" s="24" t="str">
        <x:v>상태 시작일 입력</x:v>
      </x:c>
      <x:c r="Z272" s="24" t="str"/>
      <x:c r="AA272" s="24" t="str">
        <x:v>보유 기준 확인</x:v>
      </x:c>
    </x:row>
    <x:row r="273" ht="17.25" customHeight="1">
      <x:c r="A273" s="24" t="str">
        <x:v>프라임구독</x:v>
      </x:c>
      <x:c r="B273" s="24" t="str">
        <x:v>69나9074</x:v>
      </x:c>
      <x:c r="C273" s="24" t="str">
        <x:v>현재보유</x:v>
      </x:c>
      <x:c r="D273" s="24" t="str">
        <x:v>쉬는차</x:v>
      </x:c>
      <x:c r="E273" s="30"/>
      <x:c r="F273" s="31" t="str">
        <x:f>IF(AND(D273="쉬는차",E273&lt;&gt;""),TODAY()-E273,"")</x:f>
      </x:c>
      <x:c r="G273" s="24" t="str"/>
      <x:c r="H273" s="24" t="str"/>
      <x:c r="I273" s="30"/>
      <x:c r="J273" s="30"/>
      <x:c r="K273" s="24" t="str"/>
      <x:c r="L273" s="32"/>
      <x:c r="M273" s="31" t="n">
        <x:v>0</x:v>
      </x:c>
      <x:c r="N273" s="32" t="n">
        <x:v>0</x:v>
      </x:c>
      <x:c r="O273" s="31" t="n">
        <x:v>0</x:v>
      </x:c>
      <x:c r="P273" s="24" t="str"/>
      <x:c r="Q273" s="24" t="str"/>
      <x:c r="R273" s="24" t="str"/>
      <x:c r="S273" s="24" t="str">
        <x:f>IF(Q273="","계약연령 미입력",IFERROR(IF(R273="","보험연령 미입력",IF(VALUE(R273)=VALUE(Q273),"정상",IF(VALUE(R273)&gt;VALUE(Q273),"보장 불일치","과보장 점검"))),"계약연령 형식확인"))</x:f>
        <x:v>계약연령 미입력</x:v>
      </x:c>
      <x:c r="T273" s="30" t="n">
        <x:v>45520</x:v>
      </x:c>
      <x:c r="U273" s="24" t="str">
        <x:f>IF(T273="","보험 자료 없음",IF(T273&lt;TODAY(),"만기 자료 갱신 필요","정상"))</x:f>
        <x:v>만기 자료 갱신 필요</x:v>
      </x:c>
      <x:c r="V273" s="24" t="str">
        <x:v>010-2971-2015</x:v>
      </x:c>
      <x:c r="W273" s="24" t="str"/>
      <x:c r="X273" s="24" t="str">
        <x:v>있음</x:v>
      </x:c>
      <x:c r="Y273" s="24" t="str">
        <x:v>상태 시작일 입력</x:v>
      </x:c>
      <x:c r="Z273" s="24" t="str"/>
      <x:c r="AA273" s="24" t="str">
        <x:v>보유 기준 확인</x:v>
      </x:c>
    </x:row>
    <x:row r="274" ht="17.25" customHeight="1">
      <x:c r="A274" s="24" t="str">
        <x:v>프라임구독</x:v>
      </x:c>
      <x:c r="B274" s="24" t="str">
        <x:v>69모6244</x:v>
      </x:c>
      <x:c r="C274" s="24" t="str">
        <x:v>현재보유</x:v>
      </x:c>
      <x:c r="D274" s="24" t="str">
        <x:v>쉬는차</x:v>
      </x:c>
      <x:c r="E274" s="30"/>
      <x:c r="F274" s="31" t="str">
        <x:f>IF(AND(D274="쉬는차",E274&lt;&gt;""),TODAY()-E274,"")</x:f>
      </x:c>
      <x:c r="G274" s="24" t="str"/>
      <x:c r="H274" s="24" t="str"/>
      <x:c r="I274" s="30"/>
      <x:c r="J274" s="30"/>
      <x:c r="K274" s="24" t="str"/>
      <x:c r="L274" s="32"/>
      <x:c r="M274" s="31" t="n">
        <x:v>0</x:v>
      </x:c>
      <x:c r="N274" s="32" t="n">
        <x:v>0</x:v>
      </x:c>
      <x:c r="O274" s="31" t="n">
        <x:v>0</x:v>
      </x:c>
      <x:c r="P274" s="24" t="str"/>
      <x:c r="Q274" s="24" t="str"/>
      <x:c r="R274" s="24" t="str"/>
      <x:c r="S274" s="24" t="str">
        <x:f>IF(Q274="","계약연령 미입력",IFERROR(IF(R274="","보험연령 미입력",IF(VALUE(R274)=VALUE(Q274),"정상",IF(VALUE(R274)&gt;VALUE(Q274),"보장 불일치","과보장 점검"))),"계약연령 형식확인"))</x:f>
        <x:v>계약연령 미입력</x:v>
      </x:c>
      <x:c r="T274" s="30" t="n">
        <x:v>45810</x:v>
      </x:c>
      <x:c r="U274" s="24" t="str">
        <x:f>IF(T274="","보험 자료 없음",IF(T274&lt;TODAY(),"만기 자료 갱신 필요","정상"))</x:f>
        <x:v>만기 자료 갱신 필요</x:v>
      </x:c>
      <x:c r="V274" s="24" t="str">
        <x:v>010-7566-1593</x:v>
      </x:c>
      <x:c r="W274" s="24" t="str"/>
      <x:c r="X274" s="24" t="str">
        <x:v>있음</x:v>
      </x:c>
      <x:c r="Y274" s="24" t="str">
        <x:v>상태 시작일 입력</x:v>
      </x:c>
      <x:c r="Z274" s="24" t="str"/>
      <x:c r="AA274" s="24" t="str">
        <x:v>보유 기준 확인</x:v>
      </x:c>
    </x:row>
    <x:row r="275" ht="17.25" customHeight="1">
      <x:c r="A275" s="24" t="str">
        <x:v>프라임구독</x:v>
      </x:c>
      <x:c r="B275" s="24" t="str">
        <x:v>69버0299</x:v>
      </x:c>
      <x:c r="C275" s="24" t="str">
        <x:v>현재보유</x:v>
      </x:c>
      <x:c r="D275" s="24" t="str">
        <x:v>대여중</x:v>
      </x:c>
      <x:c r="E275" s="30"/>
      <x:c r="F275" s="31" t="str">
        <x:f>IF(AND(D275="쉬는차",E275&lt;&gt;""),TODAY()-E275,"")</x:f>
      </x:c>
      <x:c r="G275" s="24" t="str">
        <x:v>이준영</x:v>
      </x:c>
      <x:c r="H275" s="24" t="str">
        <x:v>PR-C-69버0299-1-20240305-191</x:v>
      </x:c>
      <x:c r="I275" s="30" t="n">
        <x:v>45356</x:v>
      </x:c>
      <x:c r="J275" s="30" t="n">
        <x:v>46808</x:v>
      </x:c>
      <x:c r="K275" s="24" t="str">
        <x:v>25</x:v>
      </x:c>
      <x:c r="L275" s="32" t="n">
        <x:v>550000</x:v>
      </x:c>
      <x:c r="M275" s="31" t="n">
        <x:v>1</x:v>
      </x:c>
      <x:c r="N275" s="32" t="n">
        <x:v>550000</x:v>
      </x:c>
      <x:c r="O275" s="31" t="n">
        <x:v>0</x:v>
      </x:c>
      <x:c r="P275" s="24" t="str"/>
      <x:c r="Q275" s="24" t="str"/>
      <x:c r="R275" s="24" t="str"/>
      <x:c r="S275" s="24" t="str">
        <x:f>IF(Q275="","계약연령 미입력",IFERROR(IF(R275="","보험연령 미입력",IF(VALUE(R275)=VALUE(Q275),"정상",IF(VALUE(R275)&gt;VALUE(Q275),"보장 불일치","과보장 점검"))),"계약연령 형식확인"))</x:f>
        <x:v>계약연령 미입력</x:v>
      </x:c>
      <x:c r="T275" s="30" t="n">
        <x:v>46272</x:v>
      </x:c>
      <x:c r="U275" s="24" t="str">
        <x:f>IF(T275="","보험 자료 없음",IF(T275&lt;TODAY(),"만기 자료 갱신 필요","정상"))</x:f>
        <x:v>정상</x:v>
      </x:c>
      <x:c r="V275" s="24" t="str">
        <x:v>010-5944-8700</x:v>
      </x:c>
      <x:c r="W275" s="24" t="str"/>
      <x:c r="X275" s="24" t="str">
        <x:v>있음</x:v>
      </x:c>
      <x:c r="Y275" s="24" t="str">
        <x:v>미수 확인</x:v>
      </x:c>
      <x:c r="Z275" s="24" t="str"/>
      <x:c r="AA275" s="24" t="str">
        <x:v>보유 기준 확인</x:v>
      </x:c>
    </x:row>
    <x:row r="276" ht="17.25" customHeight="1">
      <x:c r="A276" s="24" t="str">
        <x:v>프라임구독</x:v>
      </x:c>
      <x:c r="B276" s="24" t="str">
        <x:v>69오7954</x:v>
      </x:c>
      <x:c r="C276" s="24" t="str">
        <x:v>현재보유</x:v>
      </x:c>
      <x:c r="D276" s="24" t="str">
        <x:v>쉬는차</x:v>
      </x:c>
      <x:c r="E276" s="30"/>
      <x:c r="F276" s="31" t="str">
        <x:f>IF(AND(D276="쉬는차",E276&lt;&gt;""),TODAY()-E276,"")</x:f>
      </x:c>
      <x:c r="G276" s="24" t="str"/>
      <x:c r="H276" s="24" t="str"/>
      <x:c r="I276" s="30"/>
      <x:c r="J276" s="30"/>
      <x:c r="K276" s="24" t="str"/>
      <x:c r="L276" s="32"/>
      <x:c r="M276" s="31" t="n">
        <x:v>0</x:v>
      </x:c>
      <x:c r="N276" s="32" t="n">
        <x:v>0</x:v>
      </x:c>
      <x:c r="O276" s="31" t="n">
        <x:v>0</x:v>
      </x:c>
      <x:c r="P276" s="24" t="str"/>
      <x:c r="Q276" s="24" t="str"/>
      <x:c r="R276" s="24" t="str"/>
      <x:c r="S276" s="24" t="str">
        <x:f>IF(Q276="","계약연령 미입력",IFERROR(IF(R276="","보험연령 미입력",IF(VALUE(R276)=VALUE(Q276),"정상",IF(VALUE(R276)&gt;VALUE(Q276),"보장 불일치","과보장 점검"))),"계약연령 형식확인"))</x:f>
        <x:v>계약연령 미입력</x:v>
      </x:c>
      <x:c r="T276" s="30" t="n">
        <x:v>45896</x:v>
      </x:c>
      <x:c r="U276" s="24" t="str">
        <x:f>IF(T276="","보험 자료 없음",IF(T276&lt;TODAY(),"만기 자료 갱신 필요","정상"))</x:f>
        <x:v>만기 자료 갱신 필요</x:v>
      </x:c>
      <x:c r="V276" s="24" t="str">
        <x:v>010-5213-1979</x:v>
      </x:c>
      <x:c r="W276" s="24" t="str"/>
      <x:c r="X276" s="24" t="str">
        <x:v>있음</x:v>
      </x:c>
      <x:c r="Y276" s="24" t="str">
        <x:v>상태 시작일 입력</x:v>
      </x:c>
      <x:c r="Z276" s="24" t="str"/>
      <x:c r="AA276" s="24" t="str">
        <x:v>보유 기준 확인</x:v>
      </x:c>
    </x:row>
    <x:row r="277" ht="17.25" customHeight="1">
      <x:c r="A277" s="24" t="str">
        <x:v>프라임구독</x:v>
      </x:c>
      <x:c r="B277" s="24" t="str">
        <x:v>72러4490</x:v>
      </x:c>
      <x:c r="C277" s="24" t="str">
        <x:v>현재보유</x:v>
      </x:c>
      <x:c r="D277" s="24" t="str">
        <x:v>쉬는차</x:v>
      </x:c>
      <x:c r="E277" s="30"/>
      <x:c r="F277" s="31" t="str">
        <x:f>IF(AND(D277="쉬는차",E277&lt;&gt;""),TODAY()-E277,"")</x:f>
      </x:c>
      <x:c r="G277" s="24" t="str"/>
      <x:c r="H277" s="24" t="str"/>
      <x:c r="I277" s="30"/>
      <x:c r="J277" s="30"/>
      <x:c r="K277" s="24" t="str"/>
      <x:c r="L277" s="32"/>
      <x:c r="M277" s="31" t="n">
        <x:v>0</x:v>
      </x:c>
      <x:c r="N277" s="32" t="n">
        <x:v>0</x:v>
      </x:c>
      <x:c r="O277" s="31" t="n">
        <x:v>0</x:v>
      </x:c>
      <x:c r="P277" s="24" t="str"/>
      <x:c r="Q277" s="24" t="str"/>
      <x:c r="R277" s="24" t="str"/>
      <x:c r="S277" s="24" t="str">
        <x:f>IF(Q277="","계약연령 미입력",IFERROR(IF(R277="","보험연령 미입력",IF(VALUE(R277)=VALUE(Q277),"정상",IF(VALUE(R277)&gt;VALUE(Q277),"보장 불일치","과보장 점검"))),"계약연령 형식확인"))</x:f>
        <x:v>계약연령 미입력</x:v>
      </x:c>
      <x:c r="T277" s="30" t="n">
        <x:v>45597</x:v>
      </x:c>
      <x:c r="U277" s="24" t="str">
        <x:f>IF(T277="","보험 자료 없음",IF(T277&lt;TODAY(),"만기 자료 갱신 필요","정상"))</x:f>
        <x:v>만기 자료 갱신 필요</x:v>
      </x:c>
      <x:c r="V277" s="24" t="str">
        <x:v>010-3033-4140</x:v>
      </x:c>
      <x:c r="W277" s="24" t="str"/>
      <x:c r="X277" s="24" t="str">
        <x:v>있음</x:v>
      </x:c>
      <x:c r="Y277" s="24" t="str">
        <x:v>상태 시작일 입력</x:v>
      </x:c>
      <x:c r="Z277" s="24" t="str"/>
      <x:c r="AA277" s="24" t="str">
        <x:v>보유 기준 확인</x:v>
      </x:c>
    </x:row>
    <x:row r="278" ht="17.25" customHeight="1">
      <x:c r="A278" s="24" t="str">
        <x:v>프라임구독</x:v>
      </x:c>
      <x:c r="B278" s="24" t="str">
        <x:v>76버5489</x:v>
      </x:c>
      <x:c r="C278" s="24" t="str">
        <x:v>현재보유</x:v>
      </x:c>
      <x:c r="D278" s="24" t="str">
        <x:v>대여중</x:v>
      </x:c>
      <x:c r="E278" s="30"/>
      <x:c r="F278" s="31" t="str">
        <x:f>IF(AND(D278="쉬는차",E278&lt;&gt;""),TODAY()-E278,"")</x:f>
      </x:c>
      <x:c r="G278" s="24" t="str">
        <x:v>한샘</x:v>
      </x:c>
      <x:c r="H278" s="24" t="str">
        <x:v>PR-C-76버5489-1-20220816-194</x:v>
      </x:c>
      <x:c r="I278" s="30" t="n">
        <x:v>44789</x:v>
      </x:c>
      <x:c r="J278" s="30" t="n">
        <x:v>45889</x:v>
      </x:c>
      <x:c r="K278" s="24" t="str">
        <x:v>20</x:v>
      </x:c>
      <x:c r="L278" s="32" t="n">
        <x:v>545000</x:v>
      </x:c>
      <x:c r="M278" s="31" t="n">
        <x:v>21</x:v>
      </x:c>
      <x:c r="N278" s="32" t="n">
        <x:v>4850000</x:v>
      </x:c>
      <x:c r="O278" s="31" t="n">
        <x:v>603</x:v>
      </x:c>
      <x:c r="P278" s="24" t="str">
        <x:v>회수 판단 · 만기 임박</x:v>
      </x:c>
      <x:c r="Q278" s="24" t="str"/>
      <x:c r="R278" s="24" t="str"/>
      <x:c r="S278" s="24" t="str">
        <x:f>IF(Q278="","계약연령 미입력",IFERROR(IF(R278="","보험연령 미입력",IF(VALUE(R278)=VALUE(Q278),"정상",IF(VALUE(R278)&gt;VALUE(Q278),"보장 불일치","과보장 점검"))),"계약연령 형식확인"))</x:f>
        <x:v>계약연령 미입력</x:v>
      </x:c>
      <x:c r="T278" s="30" t="n">
        <x:v>45885</x:v>
      </x:c>
      <x:c r="U278" s="24" t="str">
        <x:f>IF(T278="","보험 자료 없음",IF(T278&lt;TODAY(),"만기 자료 갱신 필요","정상"))</x:f>
        <x:v>만기 자료 갱신 필요</x:v>
      </x:c>
      <x:c r="V278" s="24" t="str">
        <x:v>010-9436-2503</x:v>
      </x:c>
      <x:c r="W278" s="24" t="str"/>
      <x:c r="X278" s="24" t="str">
        <x:v>있음</x:v>
      </x:c>
      <x:c r="Y278" s="24" t="str">
        <x:v>회수 검토</x:v>
      </x:c>
      <x:c r="Z278" s="24" t="str"/>
      <x:c r="AA278" s="24" t="str">
        <x:v>보유 기준 확인</x:v>
      </x:c>
    </x:row>
    <x:row r="279" ht="17.25" customHeight="1">
      <x:c r="A279" s="24" t="str">
        <x:v>프라임구독</x:v>
      </x:c>
      <x:c r="B279" s="24" t="str">
        <x:v>78고8923</x:v>
      </x:c>
      <x:c r="C279" s="24" t="str">
        <x:v>현재보유</x:v>
      </x:c>
      <x:c r="D279" s="24" t="str">
        <x:v>쉬는차</x:v>
      </x:c>
      <x:c r="E279" s="30"/>
      <x:c r="F279" s="31" t="str">
        <x:f>IF(AND(D279="쉬는차",E279&lt;&gt;""),TODAY()-E279,"")</x:f>
      </x:c>
      <x:c r="G279" s="24" t="str"/>
      <x:c r="H279" s="24" t="str"/>
      <x:c r="I279" s="30"/>
      <x:c r="J279" s="30"/>
      <x:c r="K279" s="24" t="str"/>
      <x:c r="L279" s="32"/>
      <x:c r="M279" s="31" t="n">
        <x:v>0</x:v>
      </x:c>
      <x:c r="N279" s="32" t="n">
        <x:v>0</x:v>
      </x:c>
      <x:c r="O279" s="31" t="n">
        <x:v>0</x:v>
      </x:c>
      <x:c r="P279" s="24" t="str"/>
      <x:c r="Q279" s="24" t="str"/>
      <x:c r="R279" s="24" t="str"/>
      <x:c r="S279" s="24" t="str">
        <x:f>IF(Q279="","계약연령 미입력",IFERROR(IF(R279="","보험연령 미입력",IF(VALUE(R279)=VALUE(Q279),"정상",IF(VALUE(R279)&gt;VALUE(Q279),"보장 불일치","과보장 점검"))),"계약연령 형식확인"))</x:f>
        <x:v>계약연령 미입력</x:v>
      </x:c>
      <x:c r="T279" s="30" t="n">
        <x:v>45872</x:v>
      </x:c>
      <x:c r="U279" s="24" t="str">
        <x:f>IF(T279="","보험 자료 없음",IF(T279&lt;TODAY(),"만기 자료 갱신 필요","정상"))</x:f>
        <x:v>만기 자료 갱신 필요</x:v>
      </x:c>
      <x:c r="V279" s="24" t="str">
        <x:v>010-8251-7399</x:v>
      </x:c>
      <x:c r="W279" s="24" t="str"/>
      <x:c r="X279" s="24" t="str">
        <x:v>있음</x:v>
      </x:c>
      <x:c r="Y279" s="24" t="str">
        <x:v>상태 시작일 입력</x:v>
      </x:c>
      <x:c r="Z279" s="24" t="str"/>
      <x:c r="AA279" s="24" t="str">
        <x:v>보유 기준 확인</x:v>
      </x:c>
    </x:row>
    <x:row r="280" ht="17.25" customHeight="1">
      <x:c r="A280" s="24" t="str">
        <x:v>프라임구독</x:v>
      </x:c>
      <x:c r="B280" s="24" t="str">
        <x:v>79도2997</x:v>
      </x:c>
      <x:c r="C280" s="24" t="str">
        <x:v>현재보유</x:v>
      </x:c>
      <x:c r="D280" s="24" t="str">
        <x:v>쉬는차</x:v>
      </x:c>
      <x:c r="E280" s="30"/>
      <x:c r="F280" s="31" t="str">
        <x:f>IF(AND(D280="쉬는차",E280&lt;&gt;""),TODAY()-E280,"")</x:f>
      </x:c>
      <x:c r="G280" s="24" t="str"/>
      <x:c r="H280" s="24" t="str"/>
      <x:c r="I280" s="30"/>
      <x:c r="J280" s="30"/>
      <x:c r="K280" s="24" t="str"/>
      <x:c r="L280" s="32"/>
      <x:c r="M280" s="31" t="n">
        <x:v>0</x:v>
      </x:c>
      <x:c r="N280" s="32" t="n">
        <x:v>0</x:v>
      </x:c>
      <x:c r="O280" s="31" t="n">
        <x:v>0</x:v>
      </x:c>
      <x:c r="P280" s="24" t="str"/>
      <x:c r="Q280" s="24" t="str"/>
      <x:c r="R280" s="24" t="str"/>
      <x:c r="S280" s="24" t="str">
        <x:f>IF(Q280="","계약연령 미입력",IFERROR(IF(R280="","보험연령 미입력",IF(VALUE(R280)=VALUE(Q280),"정상",IF(VALUE(R280)&gt;VALUE(Q280),"보장 불일치","과보장 점검"))),"계약연령 형식확인"))</x:f>
        <x:v>계약연령 미입력</x:v>
      </x:c>
      <x:c r="T280" s="30" t="n">
        <x:v>45765</x:v>
      </x:c>
      <x:c r="U280" s="24" t="str">
        <x:f>IF(T280="","보험 자료 없음",IF(T280&lt;TODAY(),"만기 자료 갱신 필요","정상"))</x:f>
        <x:v>만기 자료 갱신 필요</x:v>
      </x:c>
      <x:c r="V280" s="24" t="str">
        <x:v>010-9909-2085</x:v>
      </x:c>
      <x:c r="W280" s="24" t="str"/>
      <x:c r="X280" s="24" t="str">
        <x:v>있음</x:v>
      </x:c>
      <x:c r="Y280" s="24" t="str">
        <x:v>상태 시작일 입력</x:v>
      </x:c>
      <x:c r="Z280" s="24" t="str"/>
      <x:c r="AA280" s="24" t="str">
        <x:v>보유 기준 확인</x:v>
      </x:c>
    </x:row>
    <x:row r="281" ht="17.25" customHeight="1">
      <x:c r="A281" s="24" t="str">
        <x:v>프라임구독</x:v>
      </x:c>
      <x:c r="B281" s="24" t="str">
        <x:v>824도7383</x:v>
      </x:c>
      <x:c r="C281" s="24" t="str">
        <x:v>현재보유</x:v>
      </x:c>
      <x:c r="D281" s="24" t="str">
        <x:v>쉬는차</x:v>
      </x:c>
      <x:c r="E281" s="30"/>
      <x:c r="F281" s="31" t="str">
        <x:f>IF(AND(D281="쉬는차",E281&lt;&gt;""),TODAY()-E281,"")</x:f>
      </x:c>
      <x:c r="G281" s="24" t="str"/>
      <x:c r="H281" s="24" t="str"/>
      <x:c r="I281" s="30"/>
      <x:c r="J281" s="30"/>
      <x:c r="K281" s="24" t="str"/>
      <x:c r="L281" s="32"/>
      <x:c r="M281" s="31" t="n">
        <x:v>0</x:v>
      </x:c>
      <x:c r="N281" s="32" t="n">
        <x:v>0</x:v>
      </x:c>
      <x:c r="O281" s="31" t="n">
        <x:v>0</x:v>
      </x:c>
      <x:c r="P281" s="24" t="str"/>
      <x:c r="Q281" s="24" t="str"/>
      <x:c r="R281" s="24" t="str"/>
      <x:c r="S281" s="24" t="str">
        <x:f>IF(Q281="","계약연령 미입력",IFERROR(IF(R281="","보험연령 미입력",IF(VALUE(R281)=VALUE(Q281),"정상",IF(VALUE(R281)&gt;VALUE(Q281),"보장 불일치","과보장 점검"))),"계약연령 형식확인"))</x:f>
        <x:v>계약연령 미입력</x:v>
      </x:c>
      <x:c r="T281" s="30" t="n">
        <x:v>46138</x:v>
      </x:c>
      <x:c r="U281" s="24" t="str">
        <x:f>IF(T281="","보험 자료 없음",IF(T281&lt;TODAY(),"만기 자료 갱신 필요","정상"))</x:f>
        <x:v>만기 자료 갱신 필요</x:v>
      </x:c>
      <x:c r="V281" s="24" t="str">
        <x:v>010-5926-8244</x:v>
      </x:c>
      <x:c r="W281" s="24" t="str"/>
      <x:c r="X281" s="24" t="str">
        <x:v>있음</x:v>
      </x:c>
      <x:c r="Y281" s="24" t="str">
        <x:v>상태 시작일 입력</x:v>
      </x:c>
      <x:c r="Z281" s="24" t="str"/>
      <x:c r="AA281" s="24" t="str">
        <x:v>보유 기준 확인</x:v>
      </x:c>
    </x:row>
    <x:row r="282" ht="17.25" customHeight="1">
      <x:c r="A282" s="24" t="str">
        <x:v>프라임구독</x:v>
      </x:c>
      <x:c r="B282" s="24" t="str">
        <x:v>84고8297</x:v>
      </x:c>
      <x:c r="C282" s="24" t="str">
        <x:v>현재보유</x:v>
      </x:c>
      <x:c r="D282" s="24" t="str">
        <x:v>쉬는차</x:v>
      </x:c>
      <x:c r="E282" s="30"/>
      <x:c r="F282" s="31" t="str">
        <x:f>IF(AND(D282="쉬는차",E282&lt;&gt;""),TODAY()-E282,"")</x:f>
      </x:c>
      <x:c r="G282" s="24" t="str"/>
      <x:c r="H282" s="24" t="str"/>
      <x:c r="I282" s="30"/>
      <x:c r="J282" s="30"/>
      <x:c r="K282" s="24" t="str"/>
      <x:c r="L282" s="32"/>
      <x:c r="M282" s="31" t="n">
        <x:v>0</x:v>
      </x:c>
      <x:c r="N282" s="32" t="n">
        <x:v>0</x:v>
      </x:c>
      <x:c r="O282" s="31" t="n">
        <x:v>0</x:v>
      </x:c>
      <x:c r="P282" s="24" t="str"/>
      <x:c r="Q282" s="24" t="str"/>
      <x:c r="R282" s="24" t="str"/>
      <x:c r="S282" s="24" t="str">
        <x:f>IF(Q282="","계약연령 미입력",IFERROR(IF(R282="","보험연령 미입력",IF(VALUE(R282)=VALUE(Q282),"정상",IF(VALUE(R282)&gt;VALUE(Q282),"보장 불일치","과보장 점검"))),"계약연령 형식확인"))</x:f>
        <x:v>계약연령 미입력</x:v>
      </x:c>
      <x:c r="T282" s="30" t="n">
        <x:v>46154</x:v>
      </x:c>
      <x:c r="U282" s="24" t="str">
        <x:f>IF(T282="","보험 자료 없음",IF(T282&lt;TODAY(),"만기 자료 갱신 필요","정상"))</x:f>
        <x:v>만기 자료 갱신 필요</x:v>
      </x:c>
      <x:c r="V282" s="24" t="str">
        <x:v>010-3405-7390</x:v>
      </x:c>
      <x:c r="W282" s="24" t="str"/>
      <x:c r="X282" s="24" t="str">
        <x:v>있음</x:v>
      </x:c>
      <x:c r="Y282" s="24" t="str">
        <x:v>상태 시작일 입력</x:v>
      </x:c>
      <x:c r="Z282" s="24" t="str"/>
      <x:c r="AA282" s="24" t="str">
        <x:v>보유 기준 확인</x:v>
      </x:c>
    </x:row>
    <x:row r="283" ht="17.25" customHeight="1">
      <x:c r="A283" s="24" t="str">
        <x:v>프라임구독</x:v>
      </x:c>
      <x:c r="B283" s="24" t="str">
        <x:v>84모5364</x:v>
      </x:c>
      <x:c r="C283" s="24" t="str">
        <x:v>현재보유</x:v>
      </x:c>
      <x:c r="D283" s="24" t="str">
        <x:v>대여중</x:v>
      </x:c>
      <x:c r="E283" s="30"/>
      <x:c r="F283" s="31" t="str">
        <x:f>IF(AND(D283="쉬는차",E283&lt;&gt;""),TODAY()-E283,"")</x:f>
      </x:c>
      <x:c r="G283" s="24" t="str">
        <x:v>권용구</x:v>
      </x:c>
      <x:c r="H283" s="24" t="str">
        <x:v>PR-C-84모5364-1-20231122-200</x:v>
      </x:c>
      <x:c r="I283" s="30" t="n">
        <x:v>45252</x:v>
      </x:c>
      <x:c r="J283" s="30" t="n">
        <x:v>47077</x:v>
      </x:c>
      <x:c r="K283" s="24" t="str">
        <x:v>20</x:v>
      </x:c>
      <x:c r="L283" s="32" t="n">
        <x:v>521405</x:v>
      </x:c>
      <x:c r="M283" s="31" t="n">
        <x:v>23</x:v>
      </x:c>
      <x:c r="N283" s="32" t="n">
        <x:v>8992315</x:v>
      </x:c>
      <x:c r="O283" s="31" t="n">
        <x:v>664</x:v>
      </x:c>
      <x:c r="P283" s="24" t="str">
        <x:v>회수 판단</x:v>
      </x:c>
      <x:c r="Q283" s="24" t="str"/>
      <x:c r="R283" s="24" t="str"/>
      <x:c r="S283" s="24" t="str">
        <x:f>IF(Q283="","계약연령 미입력",IFERROR(IF(R283="","보험연령 미입력",IF(VALUE(R283)=VALUE(Q283),"정상",IF(VALUE(R283)&gt;VALUE(Q283),"보장 불일치","과보장 점검"))),"계약연령 형식확인"))</x:f>
        <x:v>계약연령 미입력</x:v>
      </x:c>
      <x:c r="T283" s="30"/>
      <x:c r="U283" s="24" t="str">
        <x:f>IF(T283="","보험 자료 없음",IF(T283&lt;TODAY(),"만기 자료 갱신 필요","정상"))</x:f>
        <x:v>보험 자료 없음</x:v>
      </x:c>
      <x:c r="V283" s="24" t="str">
        <x:v>010-7652-3064</x:v>
      </x:c>
      <x:c r="W283" s="24" t="str"/>
      <x:c r="X283" s="24" t="str">
        <x:v>있음</x:v>
      </x:c>
      <x:c r="Y283" s="24" t="str">
        <x:v>회수 검토</x:v>
      </x:c>
      <x:c r="Z283" s="24" t="str"/>
      <x:c r="AA283" s="24" t="str">
        <x:v>보유 기준 확인</x:v>
      </x:c>
    </x:row>
    <x:row r="284" ht="17.25" customHeight="1">
      <x:c r="A284" s="24" t="str">
        <x:v>프라임구독</x:v>
      </x:c>
      <x:c r="B284" s="24" t="str">
        <x:v>84모5456</x:v>
      </x:c>
      <x:c r="C284" s="24" t="str">
        <x:v>현재보유</x:v>
      </x:c>
      <x:c r="D284" s="24" t="str">
        <x:v>쉬는차</x:v>
      </x:c>
      <x:c r="E284" s="30"/>
      <x:c r="F284" s="31" t="str">
        <x:f>IF(AND(D284="쉬는차",E284&lt;&gt;""),TODAY()-E284,"")</x:f>
      </x:c>
      <x:c r="G284" s="24" t="str"/>
      <x:c r="H284" s="24" t="str"/>
      <x:c r="I284" s="30"/>
      <x:c r="J284" s="30"/>
      <x:c r="K284" s="24" t="str"/>
      <x:c r="L284" s="32"/>
      <x:c r="M284" s="31" t="n">
        <x:v>0</x:v>
      </x:c>
      <x:c r="N284" s="32" t="n">
        <x:v>0</x:v>
      </x:c>
      <x:c r="O284" s="31" t="n">
        <x:v>0</x:v>
      </x:c>
      <x:c r="P284" s="24" t="str"/>
      <x:c r="Q284" s="24" t="str"/>
      <x:c r="R284" s="24" t="str"/>
      <x:c r="S284" s="24" t="str">
        <x:f>IF(Q284="","계약연령 미입력",IFERROR(IF(R284="","보험연령 미입력",IF(VALUE(R284)=VALUE(Q284),"정상",IF(VALUE(R284)&gt;VALUE(Q284),"보장 불일치","과보장 점검"))),"계약연령 형식확인"))</x:f>
        <x:v>계약연령 미입력</x:v>
      </x:c>
      <x:c r="T284" s="30"/>
      <x:c r="U284" s="24" t="str">
        <x:f>IF(T284="","보험 자료 없음",IF(T284&lt;TODAY(),"만기 자료 갱신 필요","정상"))</x:f>
        <x:v>보험 자료 없음</x:v>
      </x:c>
      <x:c r="V284" s="24" t="str">
        <x:v>010-8013-2810</x:v>
      </x:c>
      <x:c r="W284" s="24" t="str"/>
      <x:c r="X284" s="24" t="str">
        <x:v>있음</x:v>
      </x:c>
      <x:c r="Y284" s="24" t="str">
        <x:v>상태 시작일 입력</x:v>
      </x:c>
      <x:c r="Z284" s="24" t="str"/>
      <x:c r="AA284" s="24" t="str">
        <x:v>보유 기준 확인</x:v>
      </x:c>
    </x:row>
    <x:row r="285" ht="17.25" customHeight="1">
      <x:c r="A285" s="24" t="str">
        <x:v>프라임구독</x:v>
      </x:c>
      <x:c r="B285" s="24" t="str">
        <x:v>86어0692</x:v>
      </x:c>
      <x:c r="C285" s="24" t="str">
        <x:v>현재보유</x:v>
      </x:c>
      <x:c r="D285" s="24" t="str">
        <x:v>쉬는차</x:v>
      </x:c>
      <x:c r="E285" s="30"/>
      <x:c r="F285" s="31" t="str">
        <x:f>IF(AND(D285="쉬는차",E285&lt;&gt;""),TODAY()-E285,"")</x:f>
      </x:c>
      <x:c r="G285" s="24" t="str"/>
      <x:c r="H285" s="24" t="str"/>
      <x:c r="I285" s="30"/>
      <x:c r="J285" s="30"/>
      <x:c r="K285" s="24" t="str"/>
      <x:c r="L285" s="32"/>
      <x:c r="M285" s="31" t="n">
        <x:v>0</x:v>
      </x:c>
      <x:c r="N285" s="32" t="n">
        <x:v>0</x:v>
      </x:c>
      <x:c r="O285" s="31" t="n">
        <x:v>0</x:v>
      </x:c>
      <x:c r="P285" s="24" t="str"/>
      <x:c r="Q285" s="24" t="str"/>
      <x:c r="R285" s="24" t="str"/>
      <x:c r="S285" s="24" t="str">
        <x:f>IF(Q285="","계약연령 미입력",IFERROR(IF(R285="","보험연령 미입력",IF(VALUE(R285)=VALUE(Q285),"정상",IF(VALUE(R285)&gt;VALUE(Q285),"보장 불일치","과보장 점검"))),"계약연령 형식확인"))</x:f>
        <x:v>계약연령 미입력</x:v>
      </x:c>
      <x:c r="T285" s="30" t="n">
        <x:v>45851</x:v>
      </x:c>
      <x:c r="U285" s="24" t="str">
        <x:f>IF(T285="","보험 자료 없음",IF(T285&lt;TODAY(),"만기 자료 갱신 필요","정상"))</x:f>
        <x:v>만기 자료 갱신 필요</x:v>
      </x:c>
      <x:c r="V285" s="24" t="str">
        <x:v>010-6875-3689</x:v>
      </x:c>
      <x:c r="W285" s="24" t="str"/>
      <x:c r="X285" s="24" t="str">
        <x:v>있음</x:v>
      </x:c>
      <x:c r="Y285" s="24" t="str">
        <x:v>상태 시작일 입력</x:v>
      </x:c>
      <x:c r="Z285" s="24" t="str"/>
      <x:c r="AA285" s="24" t="str">
        <x:v>보유 기준 확인</x:v>
      </x:c>
    </x:row>
    <x:row r="286" ht="17.25" customHeight="1">
      <x:c r="A286" s="24" t="str">
        <x:v>프라임구독</x:v>
      </x:c>
      <x:c r="B286" s="24" t="str">
        <x:v>88오9333</x:v>
      </x:c>
      <x:c r="C286" s="24" t="str">
        <x:v>현재보유</x:v>
      </x:c>
      <x:c r="D286" s="24" t="str">
        <x:v>쉬는차</x:v>
      </x:c>
      <x:c r="E286" s="30"/>
      <x:c r="F286" s="31" t="str">
        <x:f>IF(AND(D286="쉬는차",E286&lt;&gt;""),TODAY()-E286,"")</x:f>
      </x:c>
      <x:c r="G286" s="24" t="str"/>
      <x:c r="H286" s="24" t="str"/>
      <x:c r="I286" s="30"/>
      <x:c r="J286" s="30"/>
      <x:c r="K286" s="24" t="str"/>
      <x:c r="L286" s="32"/>
      <x:c r="M286" s="31" t="n">
        <x:v>0</x:v>
      </x:c>
      <x:c r="N286" s="32" t="n">
        <x:v>0</x:v>
      </x:c>
      <x:c r="O286" s="31" t="n">
        <x:v>0</x:v>
      </x:c>
      <x:c r="P286" s="24" t="str"/>
      <x:c r="Q286" s="24" t="str"/>
      <x:c r="R286" s="24" t="str"/>
      <x:c r="S286" s="24" t="str">
        <x:f>IF(Q286="","계약연령 미입력",IFERROR(IF(R286="","보험연령 미입력",IF(VALUE(R286)=VALUE(Q286),"정상",IF(VALUE(R286)&gt;VALUE(Q286),"보장 불일치","과보장 점검"))),"계약연령 형식확인"))</x:f>
        <x:v>계약연령 미입력</x:v>
      </x:c>
      <x:c r="T286" s="30" t="n">
        <x:v>46086</x:v>
      </x:c>
      <x:c r="U286" s="24" t="str">
        <x:f>IF(T286="","보험 자료 없음",IF(T286&lt;TODAY(),"만기 자료 갱신 필요","정상"))</x:f>
        <x:v>만기 자료 갱신 필요</x:v>
      </x:c>
      <x:c r="V286" s="24" t="str">
        <x:v>010-2112-0459</x:v>
      </x:c>
      <x:c r="W286" s="24" t="str"/>
      <x:c r="X286" s="24" t="str">
        <x:v>있음</x:v>
      </x:c>
      <x:c r="Y286" s="24" t="str">
        <x:v>상태 시작일 입력</x:v>
      </x:c>
      <x:c r="Z286" s="24" t="str"/>
      <x:c r="AA286" s="24" t="str">
        <x:v>보유 기준 확인</x:v>
      </x:c>
    </x:row>
    <x:row r="287" ht="17.25" customHeight="1">
      <x:c r="A287" s="24" t="str">
        <x:v>프라임구독</x:v>
      </x:c>
      <x:c r="B287" s="24" t="str">
        <x:v>89누6882</x:v>
      </x:c>
      <x:c r="C287" s="24" t="str">
        <x:v>현재보유</x:v>
      </x:c>
      <x:c r="D287" s="24" t="str">
        <x:v>쉬는차</x:v>
      </x:c>
      <x:c r="E287" s="30"/>
      <x:c r="F287" s="31" t="str">
        <x:f>IF(AND(D287="쉬는차",E287&lt;&gt;""),TODAY()-E287,"")</x:f>
      </x:c>
      <x:c r="G287" s="24" t="str"/>
      <x:c r="H287" s="24" t="str"/>
      <x:c r="I287" s="30"/>
      <x:c r="J287" s="30"/>
      <x:c r="K287" s="24" t="str"/>
      <x:c r="L287" s="32"/>
      <x:c r="M287" s="31" t="n">
        <x:v>0</x:v>
      </x:c>
      <x:c r="N287" s="32" t="n">
        <x:v>0</x:v>
      </x:c>
      <x:c r="O287" s="31" t="n">
        <x:v>0</x:v>
      </x:c>
      <x:c r="P287" s="24" t="str"/>
      <x:c r="Q287" s="24" t="str"/>
      <x:c r="R287" s="24" t="str"/>
      <x:c r="S287" s="24" t="str">
        <x:f>IF(Q287="","계약연령 미입력",IFERROR(IF(R287="","보험연령 미입력",IF(VALUE(R287)=VALUE(Q287),"정상",IF(VALUE(R287)&gt;VALUE(Q287),"보장 불일치","과보장 점검"))),"계약연령 형식확인"))</x:f>
        <x:v>계약연령 미입력</x:v>
      </x:c>
      <x:c r="T287" s="30" t="n">
        <x:v>45777</x:v>
      </x:c>
      <x:c r="U287" s="24" t="str">
        <x:f>IF(T287="","보험 자료 없음",IF(T287&lt;TODAY(),"만기 자료 갱신 필요","정상"))</x:f>
        <x:v>만기 자료 갱신 필요</x:v>
      </x:c>
      <x:c r="V287" s="24" t="str">
        <x:v>010-2795-6100</x:v>
      </x:c>
      <x:c r="W287" s="24" t="str"/>
      <x:c r="X287" s="24" t="str">
        <x:v>있음</x:v>
      </x:c>
      <x:c r="Y287" s="24" t="str">
        <x:v>상태 시작일 입력</x:v>
      </x:c>
      <x:c r="Z287" s="24" t="str"/>
      <x:c r="AA287" s="24" t="str">
        <x:v>보유 기준 확인</x:v>
      </x:c>
    </x:row>
    <x:row r="288" ht="17.25" customHeight="1">
      <x:c r="A288" s="24" t="str">
        <x:v>프라임구독</x:v>
      </x:c>
      <x:c r="B288" s="24" t="str">
        <x:v>89더0565</x:v>
      </x:c>
      <x:c r="C288" s="24" t="str">
        <x:v>현재보유</x:v>
      </x:c>
      <x:c r="D288" s="24" t="str">
        <x:v>쉬는차</x:v>
      </x:c>
      <x:c r="E288" s="30"/>
      <x:c r="F288" s="31" t="str">
        <x:f>IF(AND(D288="쉬는차",E288&lt;&gt;""),TODAY()-E288,"")</x:f>
      </x:c>
      <x:c r="G288" s="24" t="str"/>
      <x:c r="H288" s="24" t="str"/>
      <x:c r="I288" s="30"/>
      <x:c r="J288" s="30"/>
      <x:c r="K288" s="24" t="str"/>
      <x:c r="L288" s="32"/>
      <x:c r="M288" s="31" t="n">
        <x:v>0</x:v>
      </x:c>
      <x:c r="N288" s="32" t="n">
        <x:v>0</x:v>
      </x:c>
      <x:c r="O288" s="31" t="n">
        <x:v>0</x:v>
      </x:c>
      <x:c r="P288" s="24" t="str"/>
      <x:c r="Q288" s="24" t="str"/>
      <x:c r="R288" s="24" t="str"/>
      <x:c r="S288" s="24" t="str">
        <x:f>IF(Q288="","계약연령 미입력",IFERROR(IF(R288="","보험연령 미입력",IF(VALUE(R288)=VALUE(Q288),"정상",IF(VALUE(R288)&gt;VALUE(Q288),"보장 불일치","과보장 점검"))),"계약연령 형식확인"))</x:f>
        <x:v>계약연령 미입력</x:v>
      </x:c>
      <x:c r="T288" s="30" t="n">
        <x:v>45978</x:v>
      </x:c>
      <x:c r="U288" s="24" t="str">
        <x:f>IF(T288="","보험 자료 없음",IF(T288&lt;TODAY(),"만기 자료 갱신 필요","정상"))</x:f>
        <x:v>만기 자료 갱신 필요</x:v>
      </x:c>
      <x:c r="V288" s="24" t="str">
        <x:v>010-3169-6211</x:v>
      </x:c>
      <x:c r="W288" s="24" t="str"/>
      <x:c r="X288" s="24" t="str">
        <x:v>있음</x:v>
      </x:c>
      <x:c r="Y288" s="24" t="str">
        <x:v>상태 시작일 입력</x:v>
      </x:c>
      <x:c r="Z288" s="24" t="str"/>
      <x:c r="AA288" s="24" t="str">
        <x:v>보유 기준 확인</x:v>
      </x:c>
    </x:row>
    <x:row r="289" ht="17.25" customHeight="1">
      <x:c r="A289" s="24" t="str">
        <x:v>프라임구독</x:v>
      </x:c>
      <x:c r="B289" s="24" t="str">
        <x:v>91구1898</x:v>
      </x:c>
      <x:c r="C289" s="24" t="str">
        <x:v>현재보유</x:v>
      </x:c>
      <x:c r="D289" s="24" t="str">
        <x:v>쉬는차</x:v>
      </x:c>
      <x:c r="E289" s="30"/>
      <x:c r="F289" s="31" t="str">
        <x:f>IF(AND(D289="쉬는차",E289&lt;&gt;""),TODAY()-E289,"")</x:f>
      </x:c>
      <x:c r="G289" s="24" t="str"/>
      <x:c r="H289" s="24" t="str"/>
      <x:c r="I289" s="30"/>
      <x:c r="J289" s="30"/>
      <x:c r="K289" s="24" t="str"/>
      <x:c r="L289" s="32"/>
      <x:c r="M289" s="31" t="n">
        <x:v>0</x:v>
      </x:c>
      <x:c r="N289" s="32" t="n">
        <x:v>0</x:v>
      </x:c>
      <x:c r="O289" s="31" t="n">
        <x:v>0</x:v>
      </x:c>
      <x:c r="P289" s="24" t="str"/>
      <x:c r="Q289" s="24" t="str"/>
      <x:c r="R289" s="24" t="str"/>
      <x:c r="S289" s="24" t="str">
        <x:f>IF(Q289="","계약연령 미입력",IFERROR(IF(R289="","보험연령 미입력",IF(VALUE(R289)=VALUE(Q289),"정상",IF(VALUE(R289)&gt;VALUE(Q289),"보장 불일치","과보장 점검"))),"계약연령 형식확인"))</x:f>
        <x:v>계약연령 미입력</x:v>
      </x:c>
      <x:c r="T289" s="30" t="n">
        <x:v>45738</x:v>
      </x:c>
      <x:c r="U289" s="24" t="str">
        <x:f>IF(T289="","보험 자료 없음",IF(T289&lt;TODAY(),"만기 자료 갱신 필요","정상"))</x:f>
        <x:v>만기 자료 갱신 필요</x:v>
      </x:c>
      <x:c r="V289" s="24" t="str">
        <x:v>010-4148-4624</x:v>
      </x:c>
      <x:c r="W289" s="24" t="str"/>
      <x:c r="X289" s="24" t="str">
        <x:v>있음</x:v>
      </x:c>
      <x:c r="Y289" s="24" t="str">
        <x:v>상태 시작일 입력</x:v>
      </x:c>
      <x:c r="Z289" s="24" t="str"/>
      <x:c r="AA289" s="24" t="str">
        <x:v>보유 기준 확인</x:v>
      </x:c>
    </x:row>
    <x:row r="290" ht="17.25" customHeight="1">
      <x:c r="A290" s="24" t="str">
        <x:v>프라임구독</x:v>
      </x:c>
      <x:c r="B290" s="24" t="str">
        <x:v>93너4019</x:v>
      </x:c>
      <x:c r="C290" s="24" t="str">
        <x:v>현재보유</x:v>
      </x:c>
      <x:c r="D290" s="24" t="str">
        <x:v>대여중</x:v>
      </x:c>
      <x:c r="E290" s="30"/>
      <x:c r="F290" s="31" t="str">
        <x:f>IF(AND(D290="쉬는차",E290&lt;&gt;""),TODAY()-E290,"")</x:f>
      </x:c>
      <x:c r="G290" s="24" t="str">
        <x:v>최유미</x:v>
      </x:c>
      <x:c r="H290" s="24" t="str">
        <x:v>PR-C-93너4019-1-20231024-209</x:v>
      </x:c>
      <x:c r="I290" s="30" t="n">
        <x:v>45223</x:v>
      </x:c>
      <x:c r="J290" s="30" t="n">
        <x:v>47051</x:v>
      </x:c>
      <x:c r="K290" s="24" t="str">
        <x:v>25</x:v>
      </x:c>
      <x:c r="L290" s="32" t="n">
        <x:v>554212</x:v>
      </x:c>
      <x:c r="M290" s="31" t="n">
        <x:v>20</x:v>
      </x:c>
      <x:c r="N290" s="32" t="n">
        <x:v>3325272</x:v>
      </x:c>
      <x:c r="O290" s="31" t="n">
        <x:v>567</x:v>
      </x:c>
      <x:c r="P290" s="24" t="str">
        <x:v>회수 판단</x:v>
      </x:c>
      <x:c r="Q290" s="24" t="str"/>
      <x:c r="R290" s="24" t="str"/>
      <x:c r="S290" s="24" t="str">
        <x:f>IF(Q290="","계약연령 미입력",IFERROR(IF(R290="","보험연령 미입력",IF(VALUE(R290)=VALUE(Q290),"정상",IF(VALUE(R290)&gt;VALUE(Q290),"보장 불일치","과보장 점검"))),"계약연령 형식확인"))</x:f>
        <x:v>계약연령 미입력</x:v>
      </x:c>
      <x:c r="T290" s="30"/>
      <x:c r="U290" s="24" t="str">
        <x:f>IF(T290="","보험 자료 없음",IF(T290&lt;TODAY(),"만기 자료 갱신 필요","정상"))</x:f>
        <x:v>보험 자료 없음</x:v>
      </x:c>
      <x:c r="V290" s="24" t="str">
        <x:v>010-4448-4113</x:v>
      </x:c>
      <x:c r="W290" s="24" t="str"/>
      <x:c r="X290" s="24" t="str">
        <x:v>있음</x:v>
      </x:c>
      <x:c r="Y290" s="24" t="str">
        <x:v>회수 검토</x:v>
      </x:c>
      <x:c r="Z290" s="24" t="str"/>
      <x:c r="AA290" s="24" t="str">
        <x:v>보유 기준 확인</x:v>
      </x:c>
    </x:row>
    <x:row r="291" ht="17.25" customHeight="1">
      <x:c r="A291" s="24" t="str">
        <x:v>프라임구독</x:v>
      </x:c>
      <x:c r="B291" s="24" t="str">
        <x:v>93오0716</x:v>
      </x:c>
      <x:c r="C291" s="24" t="str">
        <x:v>현재보유</x:v>
      </x:c>
      <x:c r="D291" s="24" t="str">
        <x:v>대여중</x:v>
      </x:c>
      <x:c r="E291" s="30"/>
      <x:c r="F291" s="31" t="str">
        <x:f>IF(AND(D291="쉬는차",E291&lt;&gt;""),TODAY()-E291,"")</x:f>
      </x:c>
      <x:c r="G291" s="24" t="str">
        <x:v>김성룡</x:v>
      </x:c>
      <x:c r="H291" s="24" t="str">
        <x:v>PR-C-93오0716-1-20230712-211</x:v>
      </x:c>
      <x:c r="I291" s="30" t="n">
        <x:v>45119</x:v>
      </x:c>
      <x:c r="J291" s="30" t="n">
        <x:v>46218</x:v>
      </x:c>
      <x:c r="K291" s="24" t="str">
        <x:v>15</x:v>
      </x:c>
      <x:c r="L291" s="32" t="n">
        <x:v>708000</x:v>
      </x:c>
      <x:c r="M291" s="31" t="n">
        <x:v>19</x:v>
      </x:c>
      <x:c r="N291" s="32" t="n">
        <x:v>4956000</x:v>
      </x:c>
      <x:c r="O291" s="31" t="n">
        <x:v>546</x:v>
      </x:c>
      <x:c r="P291" s="24" t="str">
        <x:v>회수 판단 · 만기 임박</x:v>
      </x:c>
      <x:c r="Q291" s="24" t="str"/>
      <x:c r="R291" s="24" t="str"/>
      <x:c r="S291" s="24" t="str">
        <x:f>IF(Q291="","계약연령 미입력",IFERROR(IF(R291="","보험연령 미입력",IF(VALUE(R291)=VALUE(Q291),"정상",IF(VALUE(R291)&gt;VALUE(Q291),"보장 불일치","과보장 점검"))),"계약연령 형식확인"))</x:f>
        <x:v>계약연령 미입력</x:v>
      </x:c>
      <x:c r="T291" s="30" t="n">
        <x:v>45766</x:v>
      </x:c>
      <x:c r="U291" s="24" t="str">
        <x:f>IF(T291="","보험 자료 없음",IF(T291&lt;TODAY(),"만기 자료 갱신 필요","정상"))</x:f>
        <x:v>만기 자료 갱신 필요</x:v>
      </x:c>
      <x:c r="V291" s="24" t="str">
        <x:v>010-6656-5233</x:v>
      </x:c>
      <x:c r="W291" s="24" t="str"/>
      <x:c r="X291" s="24" t="str">
        <x:v>있음</x:v>
      </x:c>
      <x:c r="Y291" s="24" t="str">
        <x:v>회수 검토</x:v>
      </x:c>
      <x:c r="Z291" s="24" t="str"/>
      <x:c r="AA291" s="24" t="str">
        <x:v>보유 기준 확인</x:v>
      </x:c>
    </x:row>
    <x:row r="292" ht="17.25" customHeight="1">
      <x:c r="A292" s="24" t="str">
        <x:v>프라임구독</x:v>
      </x:c>
      <x:c r="B292" s="24" t="str">
        <x:v>95서4167</x:v>
      </x:c>
      <x:c r="C292" s="24" t="str">
        <x:v>현재보유</x:v>
      </x:c>
      <x:c r="D292" s="24" t="str">
        <x:v>쉬는차</x:v>
      </x:c>
      <x:c r="E292" s="30"/>
      <x:c r="F292" s="31" t="str">
        <x:f>IF(AND(D292="쉬는차",E292&lt;&gt;""),TODAY()-E292,"")</x:f>
      </x:c>
      <x:c r="G292" s="24" t="str"/>
      <x:c r="H292" s="24" t="str"/>
      <x:c r="I292" s="30"/>
      <x:c r="J292" s="30"/>
      <x:c r="K292" s="24" t="str"/>
      <x:c r="L292" s="32"/>
      <x:c r="M292" s="31" t="n">
        <x:v>0</x:v>
      </x:c>
      <x:c r="N292" s="32" t="n">
        <x:v>0</x:v>
      </x:c>
      <x:c r="O292" s="31" t="n">
        <x:v>0</x:v>
      </x:c>
      <x:c r="P292" s="24" t="str"/>
      <x:c r="Q292" s="24" t="str"/>
      <x:c r="R292" s="24" t="str"/>
      <x:c r="S292" s="24" t="str">
        <x:f>IF(Q292="","계약연령 미입력",IFERROR(IF(R292="","보험연령 미입력",IF(VALUE(R292)=VALUE(Q292),"정상",IF(VALUE(R292)&gt;VALUE(Q292),"보장 불일치","과보장 점검"))),"계약연령 형식확인"))</x:f>
        <x:v>계약연령 미입력</x:v>
      </x:c>
      <x:c r="T292" s="30"/>
      <x:c r="U292" s="24" t="str">
        <x:f>IF(T292="","보험 자료 없음",IF(T292&lt;TODAY(),"만기 자료 갱신 필요","정상"))</x:f>
        <x:v>보험 자료 없음</x:v>
      </x:c>
      <x:c r="V292" s="24" t="str">
        <x:v>010-4070-5982</x:v>
      </x:c>
      <x:c r="W292" s="24" t="str"/>
      <x:c r="X292" s="24" t="str">
        <x:v>있음</x:v>
      </x:c>
      <x:c r="Y292" s="24" t="str">
        <x:v>상태 시작일 입력</x:v>
      </x:c>
      <x:c r="Z292" s="24" t="str"/>
      <x:c r="AA292" s="24" t="str">
        <x:v>보유 기준 확인</x:v>
      </x:c>
    </x:row>
    <x:row r="293" ht="17.25" customHeight="1">
      <x:c r="A293" s="24" t="str">
        <x:v>프라임구독</x:v>
      </x:c>
      <x:c r="B293" s="24" t="str">
        <x:v>96머7474</x:v>
      </x:c>
      <x:c r="C293" s="24" t="str">
        <x:v>현재보유</x:v>
      </x:c>
      <x:c r="D293" s="24" t="str">
        <x:v>대여중</x:v>
      </x:c>
      <x:c r="E293" s="30"/>
      <x:c r="F293" s="31" t="str">
        <x:f>IF(AND(D293="쉬는차",E293&lt;&gt;""),TODAY()-E293,"")</x:f>
      </x:c>
      <x:c r="G293" s="24" t="str">
        <x:v>김동석</x:v>
      </x:c>
      <x:c r="H293" s="24" t="str">
        <x:v>PR-C-96머7474-1-20230131-214</x:v>
      </x:c>
      <x:c r="I293" s="30" t="n">
        <x:v>44957</x:v>
      </x:c>
      <x:c r="J293" s="30" t="n">
        <x:v>46042</x:v>
      </x:c>
      <x:c r="K293" s="24" t="str">
        <x:v>20</x:v>
      </x:c>
      <x:c r="L293" s="32" t="n">
        <x:v>662000</x:v>
      </x:c>
      <x:c r="M293" s="31" t="n">
        <x:v>19</x:v>
      </x:c>
      <x:c r="N293" s="32" t="n">
        <x:v>758000</x:v>
      </x:c>
      <x:c r="O293" s="31" t="n">
        <x:v>541</x:v>
      </x:c>
      <x:c r="P293" s="24" t="str">
        <x:v>만기 임박</x:v>
      </x:c>
      <x:c r="Q293" s="24" t="str"/>
      <x:c r="R293" s="24" t="str"/>
      <x:c r="S293" s="24" t="str">
        <x:f>IF(Q293="","계약연령 미입력",IFERROR(IF(R293="","보험연령 미입력",IF(VALUE(R293)=VALUE(Q293),"정상",IF(VALUE(R293)&gt;VALUE(Q293),"보장 불일치","과보장 점검"))),"계약연령 형식확인"))</x:f>
        <x:v>계약연령 미입력</x:v>
      </x:c>
      <x:c r="T293" s="30" t="n">
        <x:v>46053</x:v>
      </x:c>
      <x:c r="U293" s="24" t="str">
        <x:f>IF(T293="","보험 자료 없음",IF(T293&lt;TODAY(),"만기 자료 갱신 필요","정상"))</x:f>
        <x:v>만기 자료 갱신 필요</x:v>
      </x:c>
      <x:c r="V293" s="24" t="str">
        <x:v>010-5863-0873</x:v>
      </x:c>
      <x:c r="W293" s="24" t="str"/>
      <x:c r="X293" s="24" t="str">
        <x:v>있음</x:v>
      </x:c>
      <x:c r="Y293" s="24" t="str">
        <x:v>미수 확인</x:v>
      </x:c>
      <x:c r="Z293" s="24" t="str"/>
      <x:c r="AA293" s="24" t="str">
        <x:v>보유 기준 확인</x:v>
      </x:c>
    </x:row>
    <x:row r="294" ht="17.25" customHeight="1">
      <x:c r="A294" s="24" t="str">
        <x:v>프라임구독</x:v>
      </x:c>
      <x:c r="B294" s="24" t="str">
        <x:v>96서1502</x:v>
      </x:c>
      <x:c r="C294" s="24" t="str">
        <x:v>현재보유</x:v>
      </x:c>
      <x:c r="D294" s="24" t="str">
        <x:v>쉬는차</x:v>
      </x:c>
      <x:c r="E294" s="30"/>
      <x:c r="F294" s="31" t="str">
        <x:f>IF(AND(D294="쉬는차",E294&lt;&gt;""),TODAY()-E294,"")</x:f>
      </x:c>
      <x:c r="G294" s="24" t="str"/>
      <x:c r="H294" s="24" t="str"/>
      <x:c r="I294" s="30"/>
      <x:c r="J294" s="30"/>
      <x:c r="K294" s="24" t="str"/>
      <x:c r="L294" s="32"/>
      <x:c r="M294" s="31" t="n">
        <x:v>0</x:v>
      </x:c>
      <x:c r="N294" s="32" t="n">
        <x:v>0</x:v>
      </x:c>
      <x:c r="O294" s="31" t="n">
        <x:v>0</x:v>
      </x:c>
      <x:c r="P294" s="24" t="str"/>
      <x:c r="Q294" s="24" t="str"/>
      <x:c r="R294" s="24" t="str"/>
      <x:c r="S294" s="24" t="str">
        <x:f>IF(Q294="","계약연령 미입력",IFERROR(IF(R294="","보험연령 미입력",IF(VALUE(R294)=VALUE(Q294),"정상",IF(VALUE(R294)&gt;VALUE(Q294),"보장 불일치","과보장 점검"))),"계약연령 형식확인"))</x:f>
        <x:v>계약연령 미입력</x:v>
      </x:c>
      <x:c r="T294" s="30" t="n">
        <x:v>45820</x:v>
      </x:c>
      <x:c r="U294" s="24" t="str">
        <x:f>IF(T294="","보험 자료 없음",IF(T294&lt;TODAY(),"만기 자료 갱신 필요","정상"))</x:f>
        <x:v>만기 자료 갱신 필요</x:v>
      </x:c>
      <x:c r="V294" s="24" t="str">
        <x:v>010-7747-9225</x:v>
      </x:c>
      <x:c r="W294" s="24" t="str"/>
      <x:c r="X294" s="24" t="str">
        <x:v>있음</x:v>
      </x:c>
      <x:c r="Y294" s="24" t="str">
        <x:v>상태 시작일 입력</x:v>
      </x:c>
      <x:c r="Z294" s="24" t="str"/>
      <x:c r="AA294" s="24" t="str">
        <x:v>보유 기준 확인</x:v>
      </x:c>
    </x:row>
  </x:sheetData>
  <x:conditionalFormatting sqref="N2:N294">
    <x:cfRule type="cellIs" dxfId="0" priority="1" operator="greaterThan">
      <x:formula>0</x:formula>
    </x:cfRule>
  </x:conditionalFormatting>
  <x:conditionalFormatting sqref="D2:D294">
    <x:cfRule type="containsText" dxfId="1" priority="2" operator="containsText" text="쉬는차"/>
  </x:conditionalFormatting>
  <x:conditionalFormatting sqref="S2:U294">
    <x:cfRule type="containsText" dxfId="2" priority="3" operator="containsText" text="불일치"/>
    <x:cfRule type="containsText" dxfId="3" priority="4" operator="containsText" text="확인"/>
    <x:cfRule type="containsText" dxfId="4" priority="5" operator="containsText" text="없음"/>
  </x:conditionalFormatting>
  <x:pageMargins left="0.7" right="0.7" top="0.75" bottom="0.75" header="0.3" footer="0.3"/>
  <x:tableParts count="1">
    <x:tablePart xmlns:r="http://schemas.openxmlformats.org/officeDocument/2006/relationships" r:id="R893b2098b3c34a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3.130000114440918" hidden="0" customWidth="1"/>
    <x:col min="3" max="3" width="11.25" hidden="0" customWidth="1"/>
    <x:col min="4" max="4" width="6.880000114440918" hidden="0" customWidth="1"/>
    <x:col min="5" max="5" width="9.380000114440918" hidden="0" customWidth="1"/>
    <x:col min="6" max="6" width="11.25" hidden="0" customWidth="1"/>
    <x:col min="7" max="7" width="11.880000114440918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8.75" hidden="0" customWidth="1"/>
    <x:col min="14" max="14" width="11.880000114440918" hidden="0" customWidth="1"/>
    <x:col min="15" max="15" width="10.630000114440918" hidden="0" customWidth="1"/>
    <x:col min="16" max="16" width="10.630000114440918" hidden="0" customWidth="1"/>
    <x:col min="17" max="17" width="11.25" hidden="0" customWidth="1"/>
    <x:col min="18" max="18" width="22.5" hidden="0" customWidth="1"/>
    <x:col min="19" max="19" width="8.130000114440918" hidden="0" customWidth="1"/>
    <x:col min="20" max="20" width="13.75" hidden="0" customWidth="1"/>
    <x:col min="21" max="21" width="20" hidden="0" customWidth="1"/>
  </x:cols>
  <x:sheetData>
    <x:row r="1" ht="25.5" customHeight="1">
      <x:c r="A1" s="29" t="str">
        <x:v>계약ID</x:v>
      </x:c>
      <x:c r="B1" s="29" t="str">
        <x:v>법인</x:v>
      </x:c>
      <x:c r="C1" s="29" t="str">
        <x:v>차량번호</x:v>
      </x:c>
      <x:c r="D1" s="29" t="str">
        <x:v>순번</x:v>
      </x:c>
      <x:c r="E1" s="29" t="str">
        <x:v>계약상태</x:v>
      </x:c>
      <x:c r="F1" s="29" t="str">
        <x:v>계약구분</x:v>
      </x:c>
      <x:c r="G1" s="29" t="str">
        <x:v>고객명</x:v>
      </x:c>
      <x:c r="H1" s="29" t="str">
        <x:v>시작일</x:v>
      </x:c>
      <x:c r="I1" s="29" t="str">
        <x:v>종료일</x:v>
      </x:c>
      <x:c r="J1" s="29" t="str">
        <x:v>반납일</x:v>
      </x:c>
      <x:c r="K1" s="29" t="str">
        <x:v>월대여료</x:v>
      </x:c>
      <x:c r="L1" s="29" t="str">
        <x:v>보증금</x:v>
      </x:c>
      <x:c r="M1" s="29" t="str">
        <x:v>결제일</x:v>
      </x:c>
      <x:c r="N1" s="29" t="str">
        <x:v>계약최저연령</x:v>
      </x:c>
      <x:c r="O1" s="29" t="str">
        <x:v>보험사</x:v>
      </x:c>
      <x:c r="P1" s="29" t="str">
        <x:v>영업자</x:v>
      </x:c>
      <x:c r="Q1" s="29" t="str">
        <x:v>계약서상태</x:v>
      </x:c>
      <x:c r="R1" s="29" t="str">
        <x:v>계약서링크</x:v>
      </x:c>
      <x:c r="S1" s="29" t="str">
        <x:v>원본행</x:v>
      </x:c>
      <x:c r="T1" s="29" t="str">
        <x:v>확인상태</x:v>
      </x:c>
      <x:c r="U1" s="29" t="str">
        <x:v>비고</x:v>
      </x:c>
    </x:row>
    <x:row r="2" ht="17.25" customHeight="1">
      <x:c r="A2" s="24" t="str">
        <x:v>SW-C-16부2718-1-20260211-3</x:v>
      </x:c>
      <x:c r="B2" s="24" t="str">
        <x:v>스위치플랜</x:v>
      </x:c>
      <x:c r="C2" s="24" t="str">
        <x:v>16부2718</x:v>
      </x:c>
      <x:c r="D2" s="31" t="n">
        <x:v>1</x:v>
      </x:c>
      <x:c r="E2" s="24" t="str">
        <x:v>현재칸</x:v>
      </x:c>
      <x:c r="F2" s="24" t="str">
        <x:v>구독대여</x:v>
      </x:c>
      <x:c r="G2" s="24" t="str">
        <x:v>김근하</x:v>
      </x:c>
      <x:c r="H2" s="30" t="n">
        <x:v>46064</x:v>
      </x:c>
      <x:c r="I2" s="30" t="n">
        <x:v>47159</x:v>
      </x:c>
      <x:c r="J2" s="30"/>
      <x:c r="K2" s="32" t="n">
        <x:v>390000</x:v>
      </x:c>
      <x:c r="L2" s="32"/>
      <x:c r="M2" s="24" t="str">
        <x:v>10일</x:v>
      </x:c>
      <x:c r="N2" s="24" t="str">
        <x:v>개인</x:v>
      </x:c>
      <x:c r="O2" s="24" t="str">
        <x:v>DB</x:v>
      </x:c>
      <x:c r="P2" s="24" t="str">
        <x:v>하허호</x:v>
      </x:c>
      <x:c r="Q2" s="24" t="str">
        <x:v>있음</x:v>
      </x:c>
      <x:c r="R2" s="24" t="str"/>
      <x:c r="S2" s="31" t="n">
        <x:v>3</x:v>
      </x:c>
      <x:c r="T2" s="24" t="str">
        <x:v>연령 확인</x:v>
      </x:c>
      <x:c r="U2" s="24" t="str">
        <x:v>무보증</x:v>
      </x:c>
    </x:row>
    <x:row r="3" ht="17.25" customHeight="1">
      <x:c r="A3" s="24" t="str">
        <x:v>SW-C-16부2718-2-NA-3</x:v>
      </x:c>
      <x:c r="B3" s="24" t="str">
        <x:v>스위치플랜</x:v>
      </x:c>
      <x:c r="C3" s="24" t="str">
        <x:v>16부2718</x:v>
      </x:c>
      <x:c r="D3" s="31" t="n">
        <x:v>2</x:v>
      </x:c>
      <x:c r="E3" s="24" t="str">
        <x:v>이력</x:v>
      </x:c>
      <x:c r="F3" s="24" t="str">
        <x:v>직원</x:v>
      </x:c>
      <x:c r="G3" s="24" t="str">
        <x:v>박영협</x:v>
      </x:c>
      <x:c r="H3" s="30"/>
      <x:c r="I3" s="30"/>
      <x:c r="J3" s="30"/>
      <x:c r="K3" s="32"/>
      <x:c r="L3" s="32"/>
      <x:c r="M3" s="24" t="str"/>
      <x:c r="N3" s="24" t="str">
        <x:v>개인</x:v>
      </x:c>
      <x:c r="O3" s="24" t="str"/>
      <x:c r="P3" s="24" t="str"/>
      <x:c r="Q3" s="24" t="str">
        <x:v>있음</x:v>
      </x:c>
      <x:c r="R3" s="24" t="str"/>
      <x:c r="S3" s="31" t="n">
        <x:v>3</x:v>
      </x:c>
      <x:c r="T3" s="24" t="str">
        <x:v>연령 확인</x:v>
      </x:c>
      <x:c r="U3" s="24" t="str"/>
    </x:row>
    <x:row r="4" ht="17.25" customHeight="1">
      <x:c r="A4" s="24" t="str">
        <x:v>SW-C-16부2718-3-20250409-3</x:v>
      </x:c>
      <x:c r="B4" s="24" t="str">
        <x:v>스위치플랜</x:v>
      </x:c>
      <x:c r="C4" s="24" t="str">
        <x:v>16부2718</x:v>
      </x:c>
      <x:c r="D4" s="31" t="n">
        <x:v>3</x:v>
      </x:c>
      <x:c r="E4" s="24" t="str">
        <x:v>이력</x:v>
      </x:c>
      <x:c r="F4" s="24" t="str">
        <x:v>구독대여</x:v>
      </x:c>
      <x:c r="G4" s="24" t="str">
        <x:v>임영래</x:v>
      </x:c>
      <x:c r="H4" s="30" t="n">
        <x:v>45756</x:v>
      </x:c>
      <x:c r="I4" s="30" t="n">
        <x:v>47216</x:v>
      </x:c>
      <x:c r="J4" s="30" t="n">
        <x:v>45861</x:v>
      </x:c>
      <x:c r="K4" s="32" t="n">
        <x:v>490000</x:v>
      </x:c>
      <x:c r="L4" s="32"/>
      <x:c r="M4" s="24" t="str"/>
      <x:c r="N4" s="24" t="str">
        <x:v>개인</x:v>
      </x:c>
      <x:c r="O4" s="24" t="str"/>
      <x:c r="P4" s="24" t="str">
        <x:v>하허호</x:v>
      </x:c>
      <x:c r="Q4" s="24" t="str">
        <x:v>있음</x:v>
      </x:c>
      <x:c r="R4" s="24" t="str"/>
      <x:c r="S4" s="31" t="n">
        <x:v>3</x:v>
      </x:c>
      <x:c r="T4" s="24" t="str">
        <x:v>연령 확인</x:v>
      </x:c>
      <x:c r="U4" s="24" t="str">
        <x:v>무보증</x:v>
      </x:c>
    </x:row>
    <x:row r="5" ht="17.25" customHeight="1">
      <x:c r="A5" s="24" t="str">
        <x:v>SW-C-16부2718-4-20250117-3</x:v>
      </x:c>
      <x:c r="B5" s="24" t="str">
        <x:v>스위치플랜</x:v>
      </x:c>
      <x:c r="C5" s="24" t="str">
        <x:v>16부2718</x:v>
      </x:c>
      <x:c r="D5" s="31" t="n">
        <x:v>4</x:v>
      </x:c>
      <x:c r="E5" s="24" t="str">
        <x:v>이력</x:v>
      </x:c>
      <x:c r="F5" s="24" t="str">
        <x:v>구독대여</x:v>
      </x:c>
      <x:c r="G5" s="24" t="str">
        <x:v>이명재</x:v>
      </x:c>
      <x:c r="H5" s="30" t="n">
        <x:v>45674</x:v>
      </x:c>
      <x:c r="I5" s="30" t="n">
        <x:v>46038</x:v>
      </x:c>
      <x:c r="J5" s="30" t="n">
        <x:v>45741</x:v>
      </x:c>
      <x:c r="K5" s="32" t="n">
        <x:v>700000</x:v>
      </x:c>
      <x:c r="L5" s="32"/>
      <x:c r="M5" s="24" t="str"/>
      <x:c r="N5" s="24" t="str">
        <x:v>개인</x:v>
      </x:c>
      <x:c r="O5" s="24" t="str"/>
      <x:c r="P5" s="24" t="str">
        <x:v>하허호</x:v>
      </x:c>
      <x:c r="Q5" s="24" t="str">
        <x:v>있음</x:v>
      </x:c>
      <x:c r="R5" s="24" t="str"/>
      <x:c r="S5" s="31" t="n">
        <x:v>3</x:v>
      </x:c>
      <x:c r="T5" s="24" t="str">
        <x:v>연령 확인</x:v>
      </x:c>
      <x:c r="U5" s="24" t="str">
        <x:v>무보증</x:v>
      </x:c>
    </x:row>
    <x:row r="6" ht="17.25" customHeight="1">
      <x:c r="A6" s="24" t="str">
        <x:v>SW-C-16부2718-5-20250108-3</x:v>
      </x:c>
      <x:c r="B6" s="24" t="str">
        <x:v>스위치플랜</x:v>
      </x:c>
      <x:c r="C6" s="24" t="str">
        <x:v>16부2718</x:v>
      </x:c>
      <x:c r="D6" s="31" t="n">
        <x:v>5</x:v>
      </x:c>
      <x:c r="E6" s="24" t="str">
        <x:v>이력</x:v>
      </x:c>
      <x:c r="F6" s="24" t="str">
        <x:v>구독대여</x:v>
      </x:c>
      <x:c r="G6" s="24" t="str">
        <x:v>공창원</x:v>
      </x:c>
      <x:c r="H6" s="30" t="n">
        <x:v>45665</x:v>
      </x:c>
      <x:c r="I6" s="30" t="n">
        <x:v>45667</x:v>
      </x:c>
      <x:c r="J6" s="30"/>
      <x:c r="K6" s="32" t="n">
        <x:v>45300</x:v>
      </x:c>
      <x:c r="L6" s="32" t="n">
        <x:v>870000</x:v>
      </x:c>
      <x:c r="M6" s="24" t="str"/>
      <x:c r="N6" s="24" t="str">
        <x:v>개인</x:v>
      </x:c>
      <x:c r="O6" s="24" t="str"/>
      <x:c r="P6" s="24" t="str">
        <x:v>하허호</x:v>
      </x:c>
      <x:c r="Q6" s="24" t="str">
        <x:v>있음</x:v>
      </x:c>
      <x:c r="R6" s="24" t="str"/>
      <x:c r="S6" s="31" t="n">
        <x:v>3</x:v>
      </x:c>
      <x:c r="T6" s="24" t="str">
        <x:v>연령 확인</x:v>
      </x:c>
      <x:c r="U6" s="24" t="str"/>
    </x:row>
    <x:row r="7" ht="17.25" customHeight="1">
      <x:c r="A7" s="24" t="str">
        <x:v>SW-C-181로2705-1-20241209-4</x:v>
      </x:c>
      <x:c r="B7" s="24" t="str">
        <x:v>스위치플랜</x:v>
      </x:c>
      <x:c r="C7" s="24" t="str">
        <x:v>181로2705</x:v>
      </x:c>
      <x:c r="D7" s="31" t="n">
        <x:v>1</x:v>
      </x:c>
      <x:c r="E7" s="24" t="str">
        <x:v>현재칸</x:v>
      </x:c>
      <x:c r="F7" s="24" t="str">
        <x:v>구독대여</x:v>
      </x:c>
      <x:c r="G7" s="24" t="str">
        <x:v>김현우</x:v>
      </x:c>
      <x:c r="H7" s="30" t="n">
        <x:v>45635</x:v>
      </x:c>
      <x:c r="I7" s="30" t="n">
        <x:v>46363</x:v>
      </x:c>
      <x:c r="J7" s="30"/>
      <x:c r="K7" s="32" t="n">
        <x:v>1360000</x:v>
      </x:c>
      <x:c r="L7" s="32" t="n">
        <x:v>1360000</x:v>
      </x:c>
      <x:c r="M7" s="24" t="str">
        <x:v>10일</x:v>
      </x:c>
      <x:c r="N7" s="24" t="str">
        <x:v>26</x:v>
      </x:c>
      <x:c r="O7" s="24" t="str">
        <x:v>DB</x:v>
      </x:c>
      <x:c r="P7" s="24" t="str">
        <x:v>하허호</x:v>
      </x:c>
      <x:c r="Q7" s="24" t="str">
        <x:v>있음</x:v>
      </x:c>
      <x:c r="R7" s="24" t="str"/>
      <x:c r="S7" s="31" t="n">
        <x:v>4</x:v>
      </x:c>
      <x:c r="T7" s="24" t="str"/>
      <x:c r="U7" s="24" t="str"/>
    </x:row>
    <x:row r="8" ht="17.25" customHeight="1">
      <x:c r="A8" s="24" t="str">
        <x:v>SW-C-03머0389-1-20240104-5</x:v>
      </x:c>
      <x:c r="B8" s="24" t="str">
        <x:v>스위치플랜</x:v>
      </x:c>
      <x:c r="C8" s="24" t="str">
        <x:v>03머0389</x:v>
      </x:c>
      <x:c r="D8" s="31" t="n">
        <x:v>1</x:v>
      </x:c>
      <x:c r="E8" s="24" t="str">
        <x:v>현재칸</x:v>
      </x:c>
      <x:c r="F8" s="24" t="str">
        <x:v>구독대여</x:v>
      </x:c>
      <x:c r="G8" s="24" t="str">
        <x:v>고욱</x:v>
      </x:c>
      <x:c r="H8" s="30" t="n">
        <x:v>45295</x:v>
      </x:c>
      <x:c r="I8" s="30" t="n">
        <x:v>46755</x:v>
      </x:c>
      <x:c r="J8" s="30"/>
      <x:c r="K8" s="32" t="n">
        <x:v>1030000</x:v>
      </x:c>
      <x:c r="L8" s="32" t="n">
        <x:v>2500000</x:v>
      </x:c>
      <x:c r="M8" s="24" t="str">
        <x:v>05일</x:v>
      </x:c>
      <x:c r="N8" s="24" t="str">
        <x:v>26</x:v>
      </x:c>
      <x:c r="O8" s="24" t="str">
        <x:v>DB</x:v>
      </x:c>
      <x:c r="P8" s="24" t="str">
        <x:v>하허호</x:v>
      </x:c>
      <x:c r="Q8" s="24" t="str">
        <x:v>있음</x:v>
      </x:c>
      <x:c r="R8" s="24" t="str"/>
      <x:c r="S8" s="31" t="n">
        <x:v>5</x:v>
      </x:c>
      <x:c r="T8" s="24" t="str"/>
      <x:c r="U8" s="24" t="str"/>
    </x:row>
    <x:row r="9" ht="17.25" customHeight="1">
      <x:c r="A9" s="24" t="str">
        <x:v>SW-C-03머0389-2-20231211-5</x:v>
      </x:c>
      <x:c r="B9" s="24" t="str">
        <x:v>스위치플랜</x:v>
      </x:c>
      <x:c r="C9" s="24" t="str">
        <x:v>03머0389</x:v>
      </x:c>
      <x:c r="D9" s="31" t="n">
        <x:v>2</x:v>
      </x:c>
      <x:c r="E9" s="24" t="str">
        <x:v>이력</x:v>
      </x:c>
      <x:c r="F9" s="24" t="str">
        <x:v>구독대여</x:v>
      </x:c>
      <x:c r="G9" s="24" t="str">
        <x:v>신윤형</x:v>
      </x:c>
      <x:c r="H9" s="30" t="n">
        <x:v>45271</x:v>
      </x:c>
      <x:c r="I9" s="30" t="n">
        <x:v>45636</x:v>
      </x:c>
      <x:c r="J9" s="30" t="n">
        <x:v>45531</x:v>
      </x:c>
      <x:c r="K9" s="32" t="n">
        <x:v>1360000</x:v>
      </x:c>
      <x:c r="L9" s="32" t="n">
        <x:v>1360000</x:v>
      </x:c>
      <x:c r="M9" s="24" t="str"/>
      <x:c r="N9" s="24" t="str">
        <x:v>26</x:v>
      </x:c>
      <x:c r="O9" s="24" t="str"/>
      <x:c r="P9" s="24" t="str">
        <x:v>하허호</x:v>
      </x:c>
      <x:c r="Q9" s="24" t="str">
        <x:v>있음</x:v>
      </x:c>
      <x:c r="R9" s="24" t="str"/>
      <x:c r="S9" s="31" t="n">
        <x:v>5</x:v>
      </x:c>
      <x:c r="T9" s="24" t="str"/>
      <x:c r="U9" s="24" t="str"/>
    </x:row>
    <x:row r="10" ht="17.25" customHeight="1">
      <x:c r="A10" s="24" t="str">
        <x:v>SW-C-117머4942-1-20250623-6</x:v>
      </x:c>
      <x:c r="B10" s="24" t="str">
        <x:v>스위치플랜</x:v>
      </x:c>
      <x:c r="C10" s="24" t="str">
        <x:v>117머4942</x:v>
      </x:c>
      <x:c r="D10" s="31" t="n">
        <x:v>1</x:v>
      </x:c>
      <x:c r="E10" s="24" t="str">
        <x:v>현재칸</x:v>
      </x:c>
      <x:c r="F10" s="24" t="str">
        <x:v>구독대여</x:v>
      </x:c>
      <x:c r="G10" s="24" t="str">
        <x:v>김지원</x:v>
      </x:c>
      <x:c r="H10" s="30" t="n">
        <x:v>45831</x:v>
      </x:c>
      <x:c r="I10" s="30" t="n">
        <x:v>47291</x:v>
      </x:c>
      <x:c r="J10" s="30"/>
      <x:c r="K10" s="32" t="n">
        <x:v>990000</x:v>
      </x:c>
      <x:c r="L10" s="32"/>
      <x:c r="M10" s="24" t="str">
        <x:v>25일</x:v>
      </x:c>
      <x:c r="N10" s="24" t="str">
        <x:v>30</x:v>
      </x:c>
      <x:c r="O10" s="24" t="str">
        <x:v>DB</x:v>
      </x:c>
      <x:c r="P10" s="24" t="str">
        <x:v>하허호</x:v>
      </x:c>
      <x:c r="Q10" s="24" t="str">
        <x:v>있음</x:v>
      </x:c>
      <x:c r="R10" s="24" t="str"/>
      <x:c r="S10" s="31" t="n">
        <x:v>6</x:v>
      </x:c>
      <x:c r="T10" s="24" t="str"/>
      <x:c r="U10" s="24" t="str">
        <x:v>무보증</x:v>
      </x:c>
    </x:row>
    <x:row r="11" ht="17.25" customHeight="1">
      <x:c r="A11" s="24" t="str">
        <x:v>SW-C-117머4942-2-20250312-6</x:v>
      </x:c>
      <x:c r="B11" s="24" t="str">
        <x:v>스위치플랜</x:v>
      </x:c>
      <x:c r="C11" s="24" t="str">
        <x:v>117머4942</x:v>
      </x:c>
      <x:c r="D11" s="31" t="n">
        <x:v>2</x:v>
      </x:c>
      <x:c r="E11" s="24" t="str">
        <x:v>이력</x:v>
      </x:c>
      <x:c r="F11" s="24" t="str">
        <x:v>구독대여</x:v>
      </x:c>
      <x:c r="G11" s="24" t="str">
        <x:v>박진영</x:v>
      </x:c>
      <x:c r="H11" s="30" t="n">
        <x:v>45728</x:v>
      </x:c>
      <x:c r="I11" s="30" t="n">
        <x:v>47188</x:v>
      </x:c>
      <x:c r="J11" s="30" t="n">
        <x:v>45810</x:v>
      </x:c>
      <x:c r="K11" s="32" t="n">
        <x:v>1090000</x:v>
      </x:c>
      <x:c r="L11" s="32"/>
      <x:c r="M11" s="24" t="str"/>
      <x:c r="N11" s="24" t="str">
        <x:v>30</x:v>
      </x:c>
      <x:c r="O11" s="24" t="str"/>
      <x:c r="P11" s="24" t="str">
        <x:v>하허호</x:v>
      </x:c>
      <x:c r="Q11" s="24" t="str">
        <x:v>있음</x:v>
      </x:c>
      <x:c r="R11" s="24" t="str"/>
      <x:c r="S11" s="31" t="n">
        <x:v>6</x:v>
      </x:c>
      <x:c r="T11" s="24" t="str"/>
      <x:c r="U11" s="24" t="str">
        <x:v>무보증</x:v>
      </x:c>
    </x:row>
    <x:row r="12" ht="17.25" customHeight="1">
      <x:c r="A12" s="24" t="str">
        <x:v>SW-C-117머4942-3-20250120-6</x:v>
      </x:c>
      <x:c r="B12" s="24" t="str">
        <x:v>스위치플랜</x:v>
      </x:c>
      <x:c r="C12" s="24" t="str">
        <x:v>117머4942</x:v>
      </x:c>
      <x:c r="D12" s="31" t="n">
        <x:v>3</x:v>
      </x:c>
      <x:c r="E12" s="24" t="str">
        <x:v>이력</x:v>
      </x:c>
      <x:c r="F12" s="24" t="str">
        <x:v>구독대여</x:v>
      </x:c>
      <x:c r="G12" s="24" t="str">
        <x:v>김종한</x:v>
      </x:c>
      <x:c r="H12" s="30" t="n">
        <x:v>45677</x:v>
      </x:c>
      <x:c r="I12" s="30" t="n">
        <x:v>47137</x:v>
      </x:c>
      <x:c r="J12" s="30" t="n">
        <x:v>45726</x:v>
      </x:c>
      <x:c r="K12" s="32" t="n">
        <x:v>990000</x:v>
      </x:c>
      <x:c r="L12" s="32" t="n">
        <x:v>2500000</x:v>
      </x:c>
      <x:c r="M12" s="24" t="str"/>
      <x:c r="N12" s="24" t="str">
        <x:v>30</x:v>
      </x:c>
      <x:c r="O12" s="24" t="str"/>
      <x:c r="P12" s="24" t="str">
        <x:v>하허호</x:v>
      </x:c>
      <x:c r="Q12" s="24" t="str">
        <x:v>있음</x:v>
      </x:c>
      <x:c r="R12" s="24" t="str"/>
      <x:c r="S12" s="31" t="n">
        <x:v>6</x:v>
      </x:c>
      <x:c r="T12" s="24" t="str"/>
      <x:c r="U12" s="24" t="str"/>
    </x:row>
    <x:row r="13" ht="17.25" customHeight="1">
      <x:c r="A13" s="24" t="str">
        <x:v>SW-C-19마6497-1-20241211-7</x:v>
      </x:c>
      <x:c r="B13" s="24" t="str">
        <x:v>스위치플랜</x:v>
      </x:c>
      <x:c r="C13" s="24" t="str">
        <x:v>19마6497</x:v>
      </x:c>
      <x:c r="D13" s="31" t="n">
        <x:v>1</x:v>
      </x:c>
      <x:c r="E13" s="24" t="str">
        <x:v>현재칸</x:v>
      </x:c>
      <x:c r="F13" s="24" t="str">
        <x:v>구독대여</x:v>
      </x:c>
      <x:c r="G13" s="24" t="str">
        <x:v>강권식</x:v>
      </x:c>
      <x:c r="H13" s="30" t="n">
        <x:v>45637</x:v>
      </x:c>
      <x:c r="I13" s="30" t="n">
        <x:v>47097</x:v>
      </x:c>
      <x:c r="J13" s="30"/>
      <x:c r="K13" s="32" t="n">
        <x:v>1080000</x:v>
      </x:c>
      <x:c r="L13" s="32" t="n">
        <x:v>3190000</x:v>
      </x:c>
      <x:c r="M13" s="24" t="str">
        <x:v>10일</x:v>
      </x:c>
      <x:c r="N13" s="24" t="str">
        <x:v>35</x:v>
      </x:c>
      <x:c r="O13" s="24" t="str">
        <x:v>DB</x:v>
      </x:c>
      <x:c r="P13" s="24" t="str">
        <x:v>하허호</x:v>
      </x:c>
      <x:c r="Q13" s="24" t="str">
        <x:v>있음</x:v>
      </x:c>
      <x:c r="R13" s="24" t="str"/>
      <x:c r="S13" s="31" t="n">
        <x:v>7</x:v>
      </x:c>
      <x:c r="T13" s="24" t="str"/>
      <x:c r="U13" s="24" t="str"/>
    </x:row>
    <x:row r="14" ht="17.25" customHeight="1">
      <x:c r="A14" s="24" t="str">
        <x:v>SW-C-62조4444-1-2510-8</x:v>
      </x:c>
      <x:c r="B14" s="24" t="str">
        <x:v>스위치플랜</x:v>
      </x:c>
      <x:c r="C14" s="24" t="str">
        <x:v>62조4444</x:v>
      </x:c>
      <x:c r="D14" s="31" t="n">
        <x:v>1</x:v>
      </x:c>
      <x:c r="E14" s="24" t="str">
        <x:v>현재칸</x:v>
      </x:c>
      <x:c r="F14" s="24" t="str">
        <x:v>지인</x:v>
      </x:c>
      <x:c r="G14" s="24" t="str">
        <x:v>이경석</x:v>
      </x:c>
      <x:c r="H14" s="30"/>
      <x:c r="I14" s="30"/>
      <x:c r="J14" s="30"/>
      <x:c r="K14" s="32" t="n">
        <x:v>1300000</x:v>
      </x:c>
      <x:c r="L14" s="32"/>
      <x:c r="M14" s="24" t="str">
        <x:v>25일</x:v>
      </x:c>
      <x:c r="N14" s="24" t="str">
        <x:v>35</x:v>
      </x:c>
      <x:c r="O14" s="24" t="str">
        <x:v>DB</x:v>
      </x:c>
      <x:c r="P14" s="24" t="str"/>
      <x:c r="Q14" s="24" t="str">
        <x:v>있음</x:v>
      </x:c>
      <x:c r="R14" s="24" t="str"/>
      <x:c r="S14" s="31" t="n">
        <x:v>8</x:v>
      </x:c>
      <x:c r="T14" s="24" t="str">
        <x:v>필수값 확인</x:v>
      </x:c>
      <x:c r="U14" s="24" t="str">
        <x:v>무보증</x:v>
      </x:c>
    </x:row>
    <x:row r="15" ht="17.25" customHeight="1">
      <x:c r="A15" s="24" t="str">
        <x:v>SW-C-62조4444-2-NA-8</x:v>
      </x:c>
      <x:c r="B15" s="24" t="str">
        <x:v>스위치플랜</x:v>
      </x:c>
      <x:c r="C15" s="24" t="str">
        <x:v>62조4444</x:v>
      </x:c>
      <x:c r="D15" s="31" t="n">
        <x:v>2</x:v>
      </x:c>
      <x:c r="E15" s="24" t="str">
        <x:v>이력</x:v>
      </x:c>
      <x:c r="F15" s="24" t="str">
        <x:v>지인</x:v>
      </x:c>
      <x:c r="G15" s="24" t="str">
        <x:v>유근재</x:v>
      </x:c>
      <x:c r="H15" s="30"/>
      <x:c r="I15" s="30"/>
      <x:c r="J15" s="30"/>
      <x:c r="K15" s="32"/>
      <x:c r="L15" s="32"/>
      <x:c r="M15" s="24" t="str"/>
      <x:c r="N15" s="24" t="str">
        <x:v>35</x:v>
      </x:c>
      <x:c r="O15" s="24" t="str"/>
      <x:c r="P15" s="24" t="str">
        <x:v>김성진</x:v>
      </x:c>
      <x:c r="Q15" s="24" t="str">
        <x:v>있음</x:v>
      </x:c>
      <x:c r="R15" s="24" t="str"/>
      <x:c r="S15" s="31" t="n">
        <x:v>8</x:v>
      </x:c>
      <x:c r="T15" s="24" t="str">
        <x:v>필수값 확인</x:v>
      </x:c>
      <x:c r="U15" s="24" t="str"/>
    </x:row>
    <x:row r="16" ht="17.25" customHeight="1">
      <x:c r="A16" s="24" t="str">
        <x:v>SW-C-62조4444-3-20250926-8</x:v>
      </x:c>
      <x:c r="B16" s="24" t="str">
        <x:v>스위치플랜</x:v>
      </x:c>
      <x:c r="C16" s="24" t="str">
        <x:v>62조4444</x:v>
      </x:c>
      <x:c r="D16" s="31" t="n">
        <x:v>3</x:v>
      </x:c>
      <x:c r="E16" s="24" t="str">
        <x:v>이력</x:v>
      </x:c>
      <x:c r="F16" s="24" t="str">
        <x:v>단기</x:v>
      </x:c>
      <x:c r="G16" s="24" t="str">
        <x:v>김성진(조희선)</x:v>
      </x:c>
      <x:c r="H16" s="30" t="n">
        <x:v>45926</x:v>
      </x:c>
      <x:c r="I16" s="30"/>
      <x:c r="J16" s="30" t="n">
        <x:v>45946</x:v>
      </x:c>
      <x:c r="K16" s="32"/>
      <x:c r="L16" s="32"/>
      <x:c r="M16" s="24" t="str"/>
      <x:c r="N16" s="24" t="str">
        <x:v>35</x:v>
      </x:c>
      <x:c r="O16" s="24" t="str"/>
      <x:c r="P16" s="24" t="str"/>
      <x:c r="Q16" s="24" t="str">
        <x:v>있음</x:v>
      </x:c>
      <x:c r="R16" s="24" t="str"/>
      <x:c r="S16" s="31" t="n">
        <x:v>8</x:v>
      </x:c>
      <x:c r="T16" s="24" t="str">
        <x:v>필수값 확인</x:v>
      </x:c>
      <x:c r="U16" s="24" t="str"/>
    </x:row>
    <x:row r="17" ht="17.25" customHeight="1">
      <x:c r="A17" s="24" t="str">
        <x:v>SW-C-62조4444-4-20250121-8</x:v>
      </x:c>
      <x:c r="B17" s="24" t="str">
        <x:v>스위치플랜</x:v>
      </x:c>
      <x:c r="C17" s="24" t="str">
        <x:v>62조4444</x:v>
      </x:c>
      <x:c r="D17" s="31" t="n">
        <x:v>4</x:v>
      </x:c>
      <x:c r="E17" s="24" t="str">
        <x:v>이력</x:v>
      </x:c>
      <x:c r="F17" s="24" t="str">
        <x:v>구독대여</x:v>
      </x:c>
      <x:c r="G17" s="24" t="str">
        <x:v>이승민(넷넷)</x:v>
      </x:c>
      <x:c r="H17" s="30" t="n">
        <x:v>45678</x:v>
      </x:c>
      <x:c r="I17" s="30" t="n">
        <x:v>47138</x:v>
      </x:c>
      <x:c r="J17" s="30" t="n">
        <x:v>45905</x:v>
      </x:c>
      <x:c r="K17" s="32" t="n">
        <x:v>1550000</x:v>
      </x:c>
      <x:c r="L17" s="32" t="n">
        <x:v>6000000</x:v>
      </x:c>
      <x:c r="M17" s="24" t="str"/>
      <x:c r="N17" s="24" t="str">
        <x:v>35</x:v>
      </x:c>
      <x:c r="O17" s="24" t="str"/>
      <x:c r="P17" s="24" t="str">
        <x:v>하허호</x:v>
      </x:c>
      <x:c r="Q17" s="24" t="str">
        <x:v>있음</x:v>
      </x:c>
      <x:c r="R17" s="24" t="str"/>
      <x:c r="S17" s="31" t="n">
        <x:v>8</x:v>
      </x:c>
      <x:c r="T17" s="24" t="str"/>
      <x:c r="U17" s="24" t="str"/>
    </x:row>
    <x:row r="18" ht="17.25" customHeight="1">
      <x:c r="A18" s="24" t="str">
        <x:v>SW-C-41구1614-1-20250422-9</x:v>
      </x:c>
      <x:c r="B18" s="24" t="str">
        <x:v>스위치플랜</x:v>
      </x:c>
      <x:c r="C18" s="24" t="str">
        <x:v>41구1614</x:v>
      </x:c>
      <x:c r="D18" s="31" t="n">
        <x:v>1</x:v>
      </x:c>
      <x:c r="E18" s="24" t="str">
        <x:v>현재칸</x:v>
      </x:c>
      <x:c r="F18" s="24" t="str">
        <x:v>구독대여</x:v>
      </x:c>
      <x:c r="G18" s="24" t="str">
        <x:v>조해인</x:v>
      </x:c>
      <x:c r="H18" s="30" t="n">
        <x:v>45769</x:v>
      </x:c>
      <x:c r="I18" s="30" t="n">
        <x:v>47229</x:v>
      </x:c>
      <x:c r="J18" s="30"/>
      <x:c r="K18" s="32" t="n">
        <x:v>330000</x:v>
      </x:c>
      <x:c r="L18" s="32"/>
      <x:c r="M18" s="24" t="str">
        <x:v>20일</x:v>
      </x:c>
      <x:c r="N18" s="24" t="str">
        <x:v>30</x:v>
      </x:c>
      <x:c r="O18" s="24" t="str">
        <x:v>DB</x:v>
      </x:c>
      <x:c r="P18" s="24" t="str">
        <x:v>하허호</x:v>
      </x:c>
      <x:c r="Q18" s="24" t="str">
        <x:v>있음</x:v>
      </x:c>
      <x:c r="R18" s="24" t="str"/>
      <x:c r="S18" s="31" t="n">
        <x:v>9</x:v>
      </x:c>
      <x:c r="T18" s="24" t="str"/>
      <x:c r="U18" s="24" t="str">
        <x:v>무보증</x:v>
      </x:c>
    </x:row>
    <x:row r="19" ht="17.25" customHeight="1">
      <x:c r="A19" s="24" t="str">
        <x:v>SW-C-41구1614-2-20240820-9</x:v>
      </x:c>
      <x:c r="B19" s="24" t="str">
        <x:v>스위치플랜</x:v>
      </x:c>
      <x:c r="C19" s="24" t="str">
        <x:v>41구1614</x:v>
      </x:c>
      <x:c r="D19" s="31" t="n">
        <x:v>2</x:v>
      </x:c>
      <x:c r="E19" s="24" t="str">
        <x:v>이력</x:v>
      </x:c>
      <x:c r="F19" s="24" t="str">
        <x:v>구독대여</x:v>
      </x:c>
      <x:c r="G19" s="24" t="str">
        <x:v>김민준</x:v>
      </x:c>
      <x:c r="H19" s="30" t="n">
        <x:v>45524</x:v>
      </x:c>
      <x:c r="I19" s="30" t="n">
        <x:v>45888</x:v>
      </x:c>
      <x:c r="J19" s="30" t="n">
        <x:v>45759</x:v>
      </x:c>
      <x:c r="K19" s="32" t="n">
        <x:v>390000</x:v>
      </x:c>
      <x:c r="L19" s="32" t="n">
        <x:v>390000</x:v>
      </x:c>
      <x:c r="M19" s="24" t="str"/>
      <x:c r="N19" s="24" t="str">
        <x:v>30</x:v>
      </x:c>
      <x:c r="O19" s="24" t="str"/>
      <x:c r="P19" s="24" t="str">
        <x:v>하허호</x:v>
      </x:c>
      <x:c r="Q19" s="24" t="str">
        <x:v>있음</x:v>
      </x:c>
      <x:c r="R19" s="24" t="str"/>
      <x:c r="S19" s="31" t="n">
        <x:v>9</x:v>
      </x:c>
      <x:c r="T19" s="24" t="str"/>
      <x:c r="U19" s="24" t="str"/>
    </x:row>
    <x:row r="20" ht="17.25" customHeight="1">
      <x:c r="A20" s="24" t="str">
        <x:v>SW-C-52수7832-1-20260526-10</x:v>
      </x:c>
      <x:c r="B20" s="24" t="str">
        <x:v>스위치플랜</x:v>
      </x:c>
      <x:c r="C20" s="24" t="str">
        <x:v>52수7832</x:v>
      </x:c>
      <x:c r="D20" s="31" t="n">
        <x:v>1</x:v>
      </x:c>
      <x:c r="E20" s="24" t="str">
        <x:v>현재칸</x:v>
      </x:c>
      <x:c r="F20" s="24" t="str">
        <x:v>구독대여</x:v>
      </x:c>
      <x:c r="G20" s="24" t="str">
        <x:v>손영태</x:v>
      </x:c>
      <x:c r="H20" s="30" t="n">
        <x:v>46168</x:v>
      </x:c>
      <x:c r="I20" s="30" t="n">
        <x:v>47628</x:v>
      </x:c>
      <x:c r="J20" s="30"/>
      <x:c r="K20" s="32" t="n">
        <x:v>780000</x:v>
      </x:c>
      <x:c r="L20" s="32" t="n">
        <x:v>1500000</x:v>
      </x:c>
      <x:c r="M20" s="24" t="str">
        <x:v>25일</x:v>
      </x:c>
      <x:c r="N20" s="24" t="str">
        <x:v>개인</x:v>
      </x:c>
      <x:c r="O20" s="24" t="str">
        <x:v>삼성</x:v>
      </x:c>
      <x:c r="P20" s="24" t="str">
        <x:v>하허호</x:v>
      </x:c>
      <x:c r="Q20" s="24" t="str">
        <x:v>있음</x:v>
      </x:c>
      <x:c r="R20" s="24" t="str"/>
      <x:c r="S20" s="31" t="n">
        <x:v>10</x:v>
      </x:c>
      <x:c r="T20" s="24" t="str">
        <x:v>연령 확인</x:v>
      </x:c>
      <x:c r="U20" s="24" t="str"/>
    </x:row>
    <x:row r="21" ht="17.25" customHeight="1">
      <x:c r="A21" s="24" t="str">
        <x:v>SW-C-52수7832-2-20251121-10</x:v>
      </x:c>
      <x:c r="B21" s="24" t="str">
        <x:v>스위치플랜</x:v>
      </x:c>
      <x:c r="C21" s="24" t="str">
        <x:v>52수7832</x:v>
      </x:c>
      <x:c r="D21" s="31" t="n">
        <x:v>2</x:v>
      </x:c>
      <x:c r="E21" s="24" t="str">
        <x:v>이력</x:v>
      </x:c>
      <x:c r="F21" s="24" t="str">
        <x:v>구독대여</x:v>
      </x:c>
      <x:c r="G21" s="24" t="str">
        <x:v>이재찬</x:v>
      </x:c>
      <x:c r="H21" s="30" t="n">
        <x:v>45982</x:v>
      </x:c>
      <x:c r="I21" s="30" t="n">
        <x:v>47442</x:v>
      </x:c>
      <x:c r="J21" s="30" t="n">
        <x:v>46142</x:v>
      </x:c>
      <x:c r="K21" s="32" t="n">
        <x:v>990000</x:v>
      </x:c>
      <x:c r="L21" s="32" t="n">
        <x:v>2000000</x:v>
      </x:c>
      <x:c r="M21" s="24" t="str"/>
      <x:c r="N21" s="24" t="str">
        <x:v>개인</x:v>
      </x:c>
      <x:c r="O21" s="24" t="str"/>
      <x:c r="P21" s="24" t="str">
        <x:v>하허호</x:v>
      </x:c>
      <x:c r="Q21" s="24" t="str">
        <x:v>있음</x:v>
      </x:c>
      <x:c r="R21" s="24" t="str"/>
      <x:c r="S21" s="31" t="n">
        <x:v>10</x:v>
      </x:c>
      <x:c r="T21" s="24" t="str">
        <x:v>연령 확인</x:v>
      </x:c>
      <x:c r="U21" s="24" t="str"/>
    </x:row>
    <x:row r="22" ht="17.25" customHeight="1">
      <x:c r="A22" s="24" t="str">
        <x:v>SW-C-52수7832-3-20250923-10</x:v>
      </x:c>
      <x:c r="B22" s="24" t="str">
        <x:v>스위치플랜</x:v>
      </x:c>
      <x:c r="C22" s="24" t="str">
        <x:v>52수7832</x:v>
      </x:c>
      <x:c r="D22" s="31" t="n">
        <x:v>3</x:v>
      </x:c>
      <x:c r="E22" s="24" t="str">
        <x:v>이력</x:v>
      </x:c>
      <x:c r="F22" s="24" t="str">
        <x:v>구독대여</x:v>
      </x:c>
      <x:c r="G22" s="24" t="str">
        <x:v>안준범</x:v>
      </x:c>
      <x:c r="H22" s="30" t="n">
        <x:v>45923</x:v>
      </x:c>
      <x:c r="I22" s="30" t="n">
        <x:v>47272</x:v>
      </x:c>
      <x:c r="J22" s="30" t="n">
        <x:v>45944</x:v>
      </x:c>
      <x:c r="K22" s="32" t="n">
        <x:v>1030000</x:v>
      </x:c>
      <x:c r="L22" s="32" t="n">
        <x:v>2500000</x:v>
      </x:c>
      <x:c r="M22" s="24" t="str"/>
      <x:c r="N22" s="24" t="str">
        <x:v>개인</x:v>
      </x:c>
      <x:c r="O22" s="24" t="str"/>
      <x:c r="P22" s="24" t="str">
        <x:v>하허호</x:v>
      </x:c>
      <x:c r="Q22" s="24" t="str">
        <x:v>있음</x:v>
      </x:c>
      <x:c r="R22" s="24" t="str"/>
      <x:c r="S22" s="31" t="n">
        <x:v>10</x:v>
      </x:c>
      <x:c r="T22" s="24" t="str">
        <x:v>연령 확인</x:v>
      </x:c>
      <x:c r="U22" s="24" t="str"/>
    </x:row>
    <x:row r="23" ht="17.25" customHeight="1">
      <x:c r="A23" s="24" t="str">
        <x:v>SW-C-52수7832-4-20250604-10</x:v>
      </x:c>
      <x:c r="B23" s="24" t="str">
        <x:v>스위치플랜</x:v>
      </x:c>
      <x:c r="C23" s="24" t="str">
        <x:v>52수7832</x:v>
      </x:c>
      <x:c r="D23" s="31" t="n">
        <x:v>4</x:v>
      </x:c>
      <x:c r="E23" s="24" t="str">
        <x:v>이력</x:v>
      </x:c>
      <x:c r="F23" s="24" t="str">
        <x:v>구독대여</x:v>
      </x:c>
      <x:c r="G23" s="24" t="str">
        <x:v>김민재</x:v>
      </x:c>
      <x:c r="H23" s="30" t="n">
        <x:v>45812</x:v>
      </x:c>
      <x:c r="I23" s="30" t="n">
        <x:v>47272</x:v>
      </x:c>
      <x:c r="J23" s="30"/>
      <x:c r="K23" s="32" t="n">
        <x:v>1130000</x:v>
      </x:c>
      <x:c r="L23" s="32" t="n">
        <x:v>2500000</x:v>
      </x:c>
      <x:c r="M23" s="24" t="str"/>
      <x:c r="N23" s="24" t="str">
        <x:v>개인</x:v>
      </x:c>
      <x:c r="O23" s="24" t="str"/>
      <x:c r="P23" s="24" t="str">
        <x:v>하허호</x:v>
      </x:c>
      <x:c r="Q23" s="24" t="str">
        <x:v>있음</x:v>
      </x:c>
      <x:c r="R23" s="24" t="str"/>
      <x:c r="S23" s="31" t="n">
        <x:v>10</x:v>
      </x:c>
      <x:c r="T23" s="24" t="str">
        <x:v>연령 확인</x:v>
      </x:c>
      <x:c r="U23" s="24" t="str"/>
    </x:row>
    <x:row r="24" ht="17.25" customHeight="1">
      <x:c r="A24" s="24" t="str">
        <x:v>SW-C-52수7832-5-20280314-10</x:v>
      </x:c>
      <x:c r="B24" s="24" t="str">
        <x:v>스위치플랜</x:v>
      </x:c>
      <x:c r="C24" s="24" t="str">
        <x:v>52수7832</x:v>
      </x:c>
      <x:c r="D24" s="31" t="n">
        <x:v>5</x:v>
      </x:c>
      <x:c r="E24" s="24" t="str">
        <x:v>이력</x:v>
      </x:c>
      <x:c r="F24" s="24" t="str">
        <x:v>구독대여</x:v>
      </x:c>
      <x:c r="G24" s="24" t="str">
        <x:v>박정호</x:v>
      </x:c>
      <x:c r="H24" s="30" t="n">
        <x:v>46826</x:v>
      </x:c>
      <x:c r="I24" s="30" t="n">
        <x:v>45776</x:v>
      </x:c>
      <x:c r="J24" s="30"/>
      <x:c r="K24" s="32" t="n">
        <x:v>45366</x:v>
      </x:c>
      <x:c r="L24" s="32" t="n">
        <x:v>4095000</x:v>
      </x:c>
      <x:c r="M24" s="24" t="str"/>
      <x:c r="N24" s="24" t="str">
        <x:v>개인</x:v>
      </x:c>
      <x:c r="O24" s="24" t="str"/>
      <x:c r="P24" s="24" t="str">
        <x:v>카랜(주)</x:v>
      </x:c>
      <x:c r="Q24" s="24" t="str">
        <x:v>있음</x:v>
      </x:c>
      <x:c r="R24" s="24" t="str"/>
      <x:c r="S24" s="31" t="n">
        <x:v>10</x:v>
      </x:c>
      <x:c r="T24" s="24" t="str">
        <x:v>연령 확인</x:v>
      </x:c>
      <x:c r="U24" s="24" t="str"/>
    </x:row>
    <x:row r="25" ht="17.25" customHeight="1">
      <x:c r="A25" s="24" t="str">
        <x:v>SW-C-36머9150-1-NA-11</x:v>
      </x:c>
      <x:c r="B25" s="24" t="str">
        <x:v>스위치플랜</x:v>
      </x:c>
      <x:c r="C25" s="24" t="str">
        <x:v>36머9150</x:v>
      </x:c>
      <x:c r="D25" s="31" t="n">
        <x:v>1</x:v>
      </x:c>
      <x:c r="E25" s="24" t="str">
        <x:v>현재칸</x:v>
      </x:c>
      <x:c r="F25" s="24" t="str"/>
      <x:c r="G25" s="24" t="str">
        <x:v>상품화예정</x:v>
      </x:c>
      <x:c r="H25" s="30"/>
      <x:c r="I25" s="30"/>
      <x:c r="J25" s="30"/>
      <x:c r="K25" s="32"/>
      <x:c r="L25" s="32"/>
      <x:c r="M25" s="24" t="str"/>
      <x:c r="N25" s="24" t="str">
        <x:v>35</x:v>
      </x:c>
      <x:c r="O25" s="24" t="str">
        <x:v>DB</x:v>
      </x:c>
      <x:c r="P25" s="24" t="str"/>
      <x:c r="Q25" s="24" t="str">
        <x:v>있음</x:v>
      </x:c>
      <x:c r="R25" s="24" t="str"/>
      <x:c r="S25" s="31" t="n">
        <x:v>11</x:v>
      </x:c>
      <x:c r="T25" s="24" t="str">
        <x:v>필수값 확인</x:v>
      </x:c>
      <x:c r="U25" s="24" t="str"/>
    </x:row>
    <x:row r="26" ht="17.25" customHeight="1">
      <x:c r="A26" s="24" t="str">
        <x:v>SW-C-36머9150-2-20260424-11</x:v>
      </x:c>
      <x:c r="B26" s="24" t="str">
        <x:v>스위치플랜</x:v>
      </x:c>
      <x:c r="C26" s="24" t="str">
        <x:v>36머9150</x:v>
      </x:c>
      <x:c r="D26" s="31" t="n">
        <x:v>2</x:v>
      </x:c>
      <x:c r="E26" s="24" t="str">
        <x:v>이력</x:v>
      </x:c>
      <x:c r="F26" s="24" t="str">
        <x:v>구독대여</x:v>
      </x:c>
      <x:c r="G26" s="24" t="str">
        <x:v>장현주</x:v>
      </x:c>
      <x:c r="H26" s="30" t="n">
        <x:v>46136</x:v>
      </x:c>
      <x:c r="I26" s="30" t="n">
        <x:v>47596</x:v>
      </x:c>
      <x:c r="J26" s="30" t="n">
        <x:v>46195</x:v>
      </x:c>
      <x:c r="K26" s="32" t="n">
        <x:v>720000</x:v>
      </x:c>
      <x:c r="L26" s="32"/>
      <x:c r="M26" s="24" t="str"/>
      <x:c r="N26" s="24" t="str">
        <x:v>35</x:v>
      </x:c>
      <x:c r="O26" s="24" t="str"/>
      <x:c r="P26" s="24" t="str">
        <x:v>하허호</x:v>
      </x:c>
      <x:c r="Q26" s="24" t="str">
        <x:v>있음</x:v>
      </x:c>
      <x:c r="R26" s="24" t="str"/>
      <x:c r="S26" s="31" t="n">
        <x:v>11</x:v>
      </x:c>
      <x:c r="T26" s="24" t="str"/>
      <x:c r="U26" s="24" t="str">
        <x:v>무보증</x:v>
      </x:c>
    </x:row>
    <x:row r="27" ht="17.25" customHeight="1">
      <x:c r="A27" s="24" t="str">
        <x:v>SW-C-36머9150-3-20241211-11</x:v>
      </x:c>
      <x:c r="B27" s="24" t="str">
        <x:v>스위치플랜</x:v>
      </x:c>
      <x:c r="C27" s="24" t="str">
        <x:v>36머9150</x:v>
      </x:c>
      <x:c r="D27" s="31" t="n">
        <x:v>3</x:v>
      </x:c>
      <x:c r="E27" s="24" t="str">
        <x:v>이력</x:v>
      </x:c>
      <x:c r="F27" s="24" t="str">
        <x:v>구독대여</x:v>
      </x:c>
      <x:c r="G27" s="24" t="str">
        <x:v>한태훈</x:v>
      </x:c>
      <x:c r="H27" s="30" t="n">
        <x:v>45637</x:v>
      </x:c>
      <x:c r="I27" s="30" t="n">
        <x:v>47097</x:v>
      </x:c>
      <x:c r="J27" s="30" t="n">
        <x:v>46110</x:v>
      </x:c>
      <x:c r="K27" s="32" t="n">
        <x:v>730000</x:v>
      </x:c>
      <x:c r="L27" s="32" t="n">
        <x:v>1700000</x:v>
      </x:c>
      <x:c r="M27" s="24" t="str"/>
      <x:c r="N27" s="24" t="str">
        <x:v>35</x:v>
      </x:c>
      <x:c r="O27" s="24" t="str"/>
      <x:c r="P27" s="24" t="str">
        <x:v>하허호</x:v>
      </x:c>
      <x:c r="Q27" s="24" t="str">
        <x:v>있음</x:v>
      </x:c>
      <x:c r="R27" s="24" t="str"/>
      <x:c r="S27" s="31" t="n">
        <x:v>11</x:v>
      </x:c>
      <x:c r="T27" s="24" t="str"/>
      <x:c r="U27" s="24" t="str"/>
    </x:row>
    <x:row r="28" ht="17.25" customHeight="1">
      <x:c r="A28" s="24" t="str">
        <x:v>SW-C-07버3390-1-20250729-12</x:v>
      </x:c>
      <x:c r="B28" s="24" t="str">
        <x:v>스위치플랜</x:v>
      </x:c>
      <x:c r="C28" s="24" t="str">
        <x:v>07버3390</x:v>
      </x:c>
      <x:c r="D28" s="31" t="n">
        <x:v>1</x:v>
      </x:c>
      <x:c r="E28" s="24" t="str">
        <x:v>현재칸</x:v>
      </x:c>
      <x:c r="F28" s="24" t="str">
        <x:v>구독대여</x:v>
      </x:c>
      <x:c r="G28" s="24" t="str">
        <x:v>유정란</x:v>
      </x:c>
      <x:c r="H28" s="30" t="n">
        <x:v>45867</x:v>
      </x:c>
      <x:c r="I28" s="30" t="n">
        <x:v>47327</x:v>
      </x:c>
      <x:c r="J28" s="30"/>
      <x:c r="K28" s="32" t="n">
        <x:v>550000</x:v>
      </x:c>
      <x:c r="L28" s="32"/>
      <x:c r="M28" s="24" t="str">
        <x:v>25일</x:v>
      </x:c>
      <x:c r="N28" s="24" t="str">
        <x:v>35</x:v>
      </x:c>
      <x:c r="O28" s="24" t="str">
        <x:v>DB</x:v>
      </x:c>
      <x:c r="P28" s="24" t="str">
        <x:v>하허호</x:v>
      </x:c>
      <x:c r="Q28" s="24" t="str">
        <x:v>있음</x:v>
      </x:c>
      <x:c r="R28" s="24" t="str"/>
      <x:c r="S28" s="31" t="n">
        <x:v>12</x:v>
      </x:c>
      <x:c r="T28" s="24" t="str"/>
      <x:c r="U28" s="24" t="str">
        <x:v>무보증</x:v>
      </x:c>
    </x:row>
    <x:row r="29" ht="17.25" customHeight="1">
      <x:c r="A29" s="24" t="str">
        <x:v>SW-C-07버3390-2-20240718-12</x:v>
      </x:c>
      <x:c r="B29" s="24" t="str">
        <x:v>스위치플랜</x:v>
      </x:c>
      <x:c r="C29" s="24" t="str">
        <x:v>07버3390</x:v>
      </x:c>
      <x:c r="D29" s="31" t="n">
        <x:v>2</x:v>
      </x:c>
      <x:c r="E29" s="24" t="str">
        <x:v>이력</x:v>
      </x:c>
      <x:c r="F29" s="24" t="str">
        <x:v>구독대여</x:v>
      </x:c>
      <x:c r="G29" s="24" t="str">
        <x:v>최은혜</x:v>
      </x:c>
      <x:c r="H29" s="30" t="n">
        <x:v>45491</x:v>
      </x:c>
      <x:c r="I29" s="30" t="n">
        <x:v>45855</x:v>
      </x:c>
      <x:c r="J29" s="30" t="n">
        <x:v>45847</x:v>
      </x:c>
      <x:c r="K29" s="32" t="n">
        <x:v>740000</x:v>
      </x:c>
      <x:c r="L29" s="32" t="n">
        <x:v>740000</x:v>
      </x:c>
      <x:c r="M29" s="24" t="str"/>
      <x:c r="N29" s="24" t="str">
        <x:v>35</x:v>
      </x:c>
      <x:c r="O29" s="24" t="str"/>
      <x:c r="P29" s="24" t="str">
        <x:v>하허호</x:v>
      </x:c>
      <x:c r="Q29" s="24" t="str">
        <x:v>있음</x:v>
      </x:c>
      <x:c r="R29" s="24" t="str"/>
      <x:c r="S29" s="31" t="n">
        <x:v>12</x:v>
      </x:c>
      <x:c r="T29" s="24" t="str"/>
      <x:c r="U29" s="24" t="str"/>
    </x:row>
    <x:row r="30" ht="17.25" customHeight="1">
      <x:c r="A30" s="24" t="str">
        <x:v>SW-C-12다2400-1-20240921-13</x:v>
      </x:c>
      <x:c r="B30" s="24" t="str">
        <x:v>스위치플랜</x:v>
      </x:c>
      <x:c r="C30" s="24" t="str">
        <x:v>12다2400</x:v>
      </x:c>
      <x:c r="D30" s="31" t="n">
        <x:v>1</x:v>
      </x:c>
      <x:c r="E30" s="24" t="str">
        <x:v>현재칸</x:v>
      </x:c>
      <x:c r="F30" s="24" t="str">
        <x:v>구독대여</x:v>
      </x:c>
      <x:c r="G30" s="24" t="str">
        <x:v>배준호</x:v>
      </x:c>
      <x:c r="H30" s="30" t="n">
        <x:v>45556</x:v>
      </x:c>
      <x:c r="I30" s="30" t="n">
        <x:v>47016</x:v>
      </x:c>
      <x:c r="J30" s="30"/>
      <x:c r="K30" s="32" t="n">
        <x:v>900000</x:v>
      </x:c>
      <x:c r="L30" s="32" t="n">
        <x:v>2300000</x:v>
      </x:c>
      <x:c r="M30" s="24" t="str">
        <x:v>20일</x:v>
      </x:c>
      <x:c r="N30" s="24" t="str">
        <x:v>21</x:v>
      </x:c>
      <x:c r="O30" s="24" t="str">
        <x:v>DB</x:v>
      </x:c>
      <x:c r="P30" s="24" t="str">
        <x:v>하허호</x:v>
      </x:c>
      <x:c r="Q30" s="24" t="str">
        <x:v>있음</x:v>
      </x:c>
      <x:c r="R30" s="24" t="str"/>
      <x:c r="S30" s="31" t="n">
        <x:v>13</x:v>
      </x:c>
      <x:c r="T30" s="24" t="str"/>
      <x:c r="U30" s="24" t="str"/>
    </x:row>
    <x:row r="31" ht="17.25" customHeight="1">
      <x:c r="A31" s="24" t="str">
        <x:v>SW-C-54무1552-1-20250102-14</x:v>
      </x:c>
      <x:c r="B31" s="24" t="str">
        <x:v>스위치플랜</x:v>
      </x:c>
      <x:c r="C31" s="24" t="str">
        <x:v>54무1552</x:v>
      </x:c>
      <x:c r="D31" s="31" t="n">
        <x:v>1</x:v>
      </x:c>
      <x:c r="E31" s="24" t="str">
        <x:v>현재칸</x:v>
      </x:c>
      <x:c r="F31" s="24" t="str">
        <x:v>구독대여</x:v>
      </x:c>
      <x:c r="G31" s="24" t="str">
        <x:v>정현묵</x:v>
      </x:c>
      <x:c r="H31" s="30" t="n">
        <x:v>45659</x:v>
      </x:c>
      <x:c r="I31" s="30" t="n">
        <x:v>46387</x:v>
      </x:c>
      <x:c r="J31" s="30"/>
      <x:c r="K31" s="32" t="n">
        <x:v>330000</x:v>
      </x:c>
      <x:c r="L31" s="32" t="n">
        <x:v>340000</x:v>
      </x:c>
      <x:c r="M31" s="24" t="str">
        <x:v>05일</x:v>
      </x:c>
      <x:c r="N31" s="24" t="str">
        <x:v>35</x:v>
      </x:c>
      <x:c r="O31" s="24" t="str">
        <x:v>DB</x:v>
      </x:c>
      <x:c r="P31" s="24" t="str">
        <x:v>하허호</x:v>
      </x:c>
      <x:c r="Q31" s="24" t="str">
        <x:v>있음</x:v>
      </x:c>
      <x:c r="R31" s="24" t="str"/>
      <x:c r="S31" s="31" t="n">
        <x:v>14</x:v>
      </x:c>
      <x:c r="T31" s="24" t="str"/>
      <x:c r="U31" s="24" t="str"/>
    </x:row>
    <x:row r="32" ht="17.25" customHeight="1">
      <x:c r="A32" s="24" t="str">
        <x:v>SW-C-24부3251-1-20250808-15</x:v>
      </x:c>
      <x:c r="B32" s="24" t="str">
        <x:v>스위치플랜</x:v>
      </x:c>
      <x:c r="C32" s="24" t="str">
        <x:v>24부3251</x:v>
      </x:c>
      <x:c r="D32" s="31" t="n">
        <x:v>1</x:v>
      </x:c>
      <x:c r="E32" s="24" t="str">
        <x:v>현재칸</x:v>
      </x:c>
      <x:c r="F32" s="24" t="str">
        <x:v>구독대여</x:v>
      </x:c>
      <x:c r="G32" s="24" t="str">
        <x:v>이정원</x:v>
      </x:c>
      <x:c r="H32" s="30" t="n">
        <x:v>45877</x:v>
      </x:c>
      <x:c r="I32" s="30" t="n">
        <x:v>47337</x:v>
      </x:c>
      <x:c r="J32" s="30"/>
      <x:c r="K32" s="32" t="n">
        <x:v>780000</x:v>
      </x:c>
      <x:c r="L32" s="32"/>
      <x:c r="M32" s="24" t="str">
        <x:v>10일</x:v>
      </x:c>
      <x:c r="N32" s="24" t="str">
        <x:v>30</x:v>
      </x:c>
      <x:c r="O32" s="24" t="str">
        <x:v>DB</x:v>
      </x:c>
      <x:c r="P32" s="24" t="str">
        <x:v>하허호</x:v>
      </x:c>
      <x:c r="Q32" s="24" t="str">
        <x:v>있음</x:v>
      </x:c>
      <x:c r="R32" s="24" t="str"/>
      <x:c r="S32" s="31" t="n">
        <x:v>15</x:v>
      </x:c>
      <x:c r="T32" s="24" t="str"/>
      <x:c r="U32" s="24" t="str">
        <x:v>무보증</x:v>
      </x:c>
    </x:row>
    <x:row r="33" ht="17.25" customHeight="1">
      <x:c r="A33" s="24" t="str">
        <x:v>SW-C-24부3251-2-20241204-15</x:v>
      </x:c>
      <x:c r="B33" s="24" t="str">
        <x:v>스위치플랜</x:v>
      </x:c>
      <x:c r="C33" s="24" t="str">
        <x:v>24부3251</x:v>
      </x:c>
      <x:c r="D33" s="31" t="n">
        <x:v>2</x:v>
      </x:c>
      <x:c r="E33" s="24" t="str">
        <x:v>이력</x:v>
      </x:c>
      <x:c r="F33" s="24" t="str">
        <x:v>구독대여</x:v>
      </x:c>
      <x:c r="G33" s="24" t="str">
        <x:v>이상훈</x:v>
      </x:c>
      <x:c r="H33" s="30" t="n">
        <x:v>45630</x:v>
      </x:c>
      <x:c r="I33" s="30" t="n">
        <x:v>47090</x:v>
      </x:c>
      <x:c r="J33" s="30" t="n">
        <x:v>45829</x:v>
      </x:c>
      <x:c r="K33" s="32" t="n">
        <x:v>870000</x:v>
      </x:c>
      <x:c r="L33" s="32" t="n">
        <x:v>1500000</x:v>
      </x:c>
      <x:c r="M33" s="24" t="str"/>
      <x:c r="N33" s="24" t="str">
        <x:v>30</x:v>
      </x:c>
      <x:c r="O33" s="24" t="str"/>
      <x:c r="P33" s="24" t="str">
        <x:v>하허호</x:v>
      </x:c>
      <x:c r="Q33" s="24" t="str">
        <x:v>있음</x:v>
      </x:c>
      <x:c r="R33" s="24" t="str"/>
      <x:c r="S33" s="31" t="n">
        <x:v>15</x:v>
      </x:c>
      <x:c r="T33" s="24" t="str"/>
      <x:c r="U33" s="24" t="str"/>
    </x:row>
    <x:row r="34" ht="17.25" customHeight="1">
      <x:c r="A34" s="24" t="str">
        <x:v>SW-C-24부3251-3-20231214-15</x:v>
      </x:c>
      <x:c r="B34" s="24" t="str">
        <x:v>스위치플랜</x:v>
      </x:c>
      <x:c r="C34" s="24" t="str">
        <x:v>24부3251</x:v>
      </x:c>
      <x:c r="D34" s="31" t="n">
        <x:v>3</x:v>
      </x:c>
      <x:c r="E34" s="24" t="str">
        <x:v>이력</x:v>
      </x:c>
      <x:c r="F34" s="24" t="str">
        <x:v>구독대여</x:v>
      </x:c>
      <x:c r="G34" s="24" t="str">
        <x:v>진세진</x:v>
      </x:c>
      <x:c r="H34" s="30" t="n">
        <x:v>45274</x:v>
      </x:c>
      <x:c r="I34" s="30" t="n">
        <x:v>45639</x:v>
      </x:c>
      <x:c r="J34" s="30"/>
      <x:c r="K34" s="32" t="n">
        <x:v>1150000</x:v>
      </x:c>
      <x:c r="L34" s="32" t="n">
        <x:v>2700000</x:v>
      </x:c>
      <x:c r="M34" s="24" t="str"/>
      <x:c r="N34" s="24" t="str">
        <x:v>30</x:v>
      </x:c>
      <x:c r="O34" s="24" t="str"/>
      <x:c r="P34" s="24" t="str">
        <x:v>헬로</x:v>
      </x:c>
      <x:c r="Q34" s="24" t="str">
        <x:v>있음</x:v>
      </x:c>
      <x:c r="R34" s="24" t="str"/>
      <x:c r="S34" s="31" t="n">
        <x:v>15</x:v>
      </x:c>
      <x:c r="T34" s="24" t="str"/>
      <x:c r="U34" s="24" t="str"/>
    </x:row>
    <x:row r="35" ht="17.25" customHeight="1">
      <x:c r="A35" s="24" t="str">
        <x:v>SW-C-297거4892-1-20251017-16</x:v>
      </x:c>
      <x:c r="B35" s="24" t="str">
        <x:v>스위치플랜</x:v>
      </x:c>
      <x:c r="C35" s="24" t="str">
        <x:v>297거4892</x:v>
      </x:c>
      <x:c r="D35" s="31" t="n">
        <x:v>1</x:v>
      </x:c>
      <x:c r="E35" s="24" t="str">
        <x:v>현재칸</x:v>
      </x:c>
      <x:c r="F35" s="24" t="str">
        <x:v>구독대여</x:v>
      </x:c>
      <x:c r="G35" s="24" t="str">
        <x:v>김선우</x:v>
      </x:c>
      <x:c r="H35" s="30" t="n">
        <x:v>45947</x:v>
      </x:c>
      <x:c r="I35" s="30" t="n">
        <x:v>47158</x:v>
      </x:c>
      <x:c r="J35" s="30"/>
      <x:c r="K35" s="32" t="n">
        <x:v>930000</x:v>
      </x:c>
      <x:c r="L35" s="32" t="n">
        <x:v>2000000</x:v>
      </x:c>
      <x:c r="M35" s="24" t="str">
        <x:v>10일</x:v>
      </x:c>
      <x:c r="N35" s="24" t="str">
        <x:v>24</x:v>
      </x:c>
      <x:c r="O35" s="24" t="str">
        <x:v>DB</x:v>
      </x:c>
      <x:c r="P35" s="24" t="str">
        <x:v>하허호</x:v>
      </x:c>
      <x:c r="Q35" s="24" t="str">
        <x:v>있음</x:v>
      </x:c>
      <x:c r="R35" s="24" t="str"/>
      <x:c r="S35" s="31" t="n">
        <x:v>16</x:v>
      </x:c>
      <x:c r="T35" s="24" t="str"/>
      <x:c r="U35" s="24" t="str"/>
    </x:row>
    <x:row r="36" ht="17.25" customHeight="1">
      <x:c r="A36" s="24" t="str">
        <x:v>SW-C-297거4892-2-20250711-16</x:v>
      </x:c>
      <x:c r="B36" s="24" t="str">
        <x:v>스위치플랜</x:v>
      </x:c>
      <x:c r="C36" s="24" t="str">
        <x:v>297거4892</x:v>
      </x:c>
      <x:c r="D36" s="31" t="n">
        <x:v>2</x:v>
      </x:c>
      <x:c r="E36" s="24" t="str">
        <x:v>이력</x:v>
      </x:c>
      <x:c r="F36" s="24" t="str">
        <x:v>구독대여</x:v>
      </x:c>
      <x:c r="G36" s="24" t="str">
        <x:v>문규호</x:v>
      </x:c>
      <x:c r="H36" s="30" t="n">
        <x:v>45849</x:v>
      </x:c>
      <x:c r="I36" s="30" t="n">
        <x:v>47158</x:v>
      </x:c>
      <x:c r="J36" s="30"/>
      <x:c r="K36" s="32" t="n">
        <x:v>930000</x:v>
      </x:c>
      <x:c r="L36" s="32"/>
      <x:c r="M36" s="24" t="str"/>
      <x:c r="N36" s="24" t="str">
        <x:v>24</x:v>
      </x:c>
      <x:c r="O36" s="24" t="str"/>
      <x:c r="P36" s="24" t="str">
        <x:v>하허호</x:v>
      </x:c>
      <x:c r="Q36" s="24" t="str">
        <x:v>있음</x:v>
      </x:c>
      <x:c r="R36" s="24" t="str"/>
      <x:c r="S36" s="31" t="n">
        <x:v>16</x:v>
      </x:c>
      <x:c r="T36" s="24" t="str"/>
      <x:c r="U36" s="24" t="str">
        <x:v>무보증</x:v>
      </x:c>
    </x:row>
    <x:row r="37" ht="17.25" customHeight="1">
      <x:c r="A37" s="24" t="str">
        <x:v>SW-C-297거4892-3-20250210-16</x:v>
      </x:c>
      <x:c r="B37" s="24" t="str">
        <x:v>스위치플랜</x:v>
      </x:c>
      <x:c r="C37" s="24" t="str">
        <x:v>297거4892</x:v>
      </x:c>
      <x:c r="D37" s="31" t="n">
        <x:v>3</x:v>
      </x:c>
      <x:c r="E37" s="24" t="str">
        <x:v>이력</x:v>
      </x:c>
      <x:c r="F37" s="24" t="str">
        <x:v>구독대여</x:v>
      </x:c>
      <x:c r="G37" s="24" t="str">
        <x:v>오재훈</x:v>
      </x:c>
      <x:c r="H37" s="30" t="n">
        <x:v>45698</x:v>
      </x:c>
      <x:c r="I37" s="30" t="n">
        <x:v>47158</x:v>
      </x:c>
      <x:c r="J37" s="30"/>
      <x:c r="K37" s="32" t="n">
        <x:v>830000</x:v>
      </x:c>
      <x:c r="L37" s="32"/>
      <x:c r="M37" s="24" t="str"/>
      <x:c r="N37" s="24" t="str">
        <x:v>24</x:v>
      </x:c>
      <x:c r="O37" s="24" t="str"/>
      <x:c r="P37" s="24" t="str">
        <x:v>하허호</x:v>
      </x:c>
      <x:c r="Q37" s="24" t="str">
        <x:v>있음</x:v>
      </x:c>
      <x:c r="R37" s="24" t="str"/>
      <x:c r="S37" s="31" t="n">
        <x:v>16</x:v>
      </x:c>
      <x:c r="T37" s="24" t="str"/>
      <x:c r="U37" s="24" t="str">
        <x:v>무보증</x:v>
      </x:c>
    </x:row>
    <x:row r="38" ht="17.25" customHeight="1">
      <x:c r="A38" s="24" t="str">
        <x:v>SW-C-297거4892-4-20240315-16</x:v>
      </x:c>
      <x:c r="B38" s="24" t="str">
        <x:v>스위치플랜</x:v>
      </x:c>
      <x:c r="C38" s="24" t="str">
        <x:v>297거4892</x:v>
      </x:c>
      <x:c r="D38" s="31" t="n">
        <x:v>4</x:v>
      </x:c>
      <x:c r="E38" s="24" t="str">
        <x:v>이력</x:v>
      </x:c>
      <x:c r="F38" s="24" t="str">
        <x:v>구독대여</x:v>
      </x:c>
      <x:c r="G38" s="24" t="str">
        <x:v>김태린</x:v>
      </x:c>
      <x:c r="H38" s="30" t="n">
        <x:v>45366</x:v>
      </x:c>
      <x:c r="I38" s="30" t="n">
        <x:v>45730</x:v>
      </x:c>
      <x:c r="J38" s="30" t="n">
        <x:v>45645</x:v>
      </x:c>
      <x:c r="K38" s="32" t="n">
        <x:v>1110000</x:v>
      </x:c>
      <x:c r="L38" s="32" t="n">
        <x:v>1110000</x:v>
      </x:c>
      <x:c r="M38" s="24" t="str"/>
      <x:c r="N38" s="24" t="str">
        <x:v>24</x:v>
      </x:c>
      <x:c r="O38" s="24" t="str"/>
      <x:c r="P38" s="24" t="str">
        <x:v>카랜(주)</x:v>
      </x:c>
      <x:c r="Q38" s="24" t="str">
        <x:v>있음</x:v>
      </x:c>
      <x:c r="R38" s="24" t="str"/>
      <x:c r="S38" s="31" t="n">
        <x:v>16</x:v>
      </x:c>
      <x:c r="T38" s="24" t="str"/>
      <x:c r="U38" s="24" t="str"/>
    </x:row>
    <x:row r="39" ht="17.25" customHeight="1">
      <x:c r="A39" s="24" t="str">
        <x:v>SW-C-263모3889-1-20250422-17</x:v>
      </x:c>
      <x:c r="B39" s="24" t="str">
        <x:v>스위치플랜</x:v>
      </x:c>
      <x:c r="C39" s="24" t="str">
        <x:v>263모3889</x:v>
      </x:c>
      <x:c r="D39" s="31" t="n">
        <x:v>1</x:v>
      </x:c>
      <x:c r="E39" s="24" t="str">
        <x:v>현재칸</x:v>
      </x:c>
      <x:c r="F39" s="24" t="str">
        <x:v>구독대여</x:v>
      </x:c>
      <x:c r="G39" s="24" t="str">
        <x:v>박진경</x:v>
      </x:c>
      <x:c r="H39" s="30" t="n">
        <x:v>45769</x:v>
      </x:c>
      <x:c r="I39" s="30" t="n">
        <x:v>46864</x:v>
      </x:c>
      <x:c r="J39" s="30"/>
      <x:c r="K39" s="32" t="n">
        <x:v>1290000</x:v>
      </x:c>
      <x:c r="L39" s="32" t="n">
        <x:v>3000000</x:v>
      </x:c>
      <x:c r="M39" s="24" t="str">
        <x:v>25일</x:v>
      </x:c>
      <x:c r="N39" s="24" t="str">
        <x:v>35</x:v>
      </x:c>
      <x:c r="O39" s="24" t="str">
        <x:v>DB</x:v>
      </x:c>
      <x:c r="P39" s="24" t="str">
        <x:v>하허호</x:v>
      </x:c>
      <x:c r="Q39" s="24" t="str">
        <x:v>있음</x:v>
      </x:c>
      <x:c r="R39" s="24" t="str"/>
      <x:c r="S39" s="31" t="n">
        <x:v>17</x:v>
      </x:c>
      <x:c r="T39" s="24" t="str"/>
      <x:c r="U39" s="24" t="str"/>
    </x:row>
    <x:row r="40" ht="17.25" customHeight="1">
      <x:c r="A40" s="24" t="str">
        <x:v>SW-C-01도9893-1-20241014-18</x:v>
      </x:c>
      <x:c r="B40" s="24" t="str">
        <x:v>스위치플랜</x:v>
      </x:c>
      <x:c r="C40" s="24" t="str">
        <x:v>01도9893</x:v>
      </x:c>
      <x:c r="D40" s="31" t="n">
        <x:v>1</x:v>
      </x:c>
      <x:c r="E40" s="24" t="str">
        <x:v>현재칸</x:v>
      </x:c>
      <x:c r="F40" s="24" t="str">
        <x:v>구독대여</x:v>
      </x:c>
      <x:c r="G40" s="24" t="str">
        <x:v>김효은</x:v>
      </x:c>
      <x:c r="H40" s="30" t="n">
        <x:v>45579</x:v>
      </x:c>
      <x:c r="I40" s="30" t="n">
        <x:v>46307</x:v>
      </x:c>
      <x:c r="J40" s="30"/>
      <x:c r="K40" s="32" t="n">
        <x:v>450000</x:v>
      </x:c>
      <x:c r="L40" s="32" t="n">
        <x:v>480000</x:v>
      </x:c>
      <x:c r="M40" s="24" t="str">
        <x:v>15일</x:v>
      </x:c>
      <x:c r="N40" s="24" t="str">
        <x:v>24</x:v>
      </x:c>
      <x:c r="O40" s="24" t="str">
        <x:v>DB</x:v>
      </x:c>
      <x:c r="P40" s="24" t="str">
        <x:v>하허호</x:v>
      </x:c>
      <x:c r="Q40" s="24" t="str">
        <x:v>있음</x:v>
      </x:c>
      <x:c r="R40" s="24" t="str"/>
      <x:c r="S40" s="31" t="n">
        <x:v>18</x:v>
      </x:c>
      <x:c r="T40" s="24" t="str"/>
      <x:c r="U40" s="24" t="str"/>
    </x:row>
    <x:row r="41" ht="17.25" customHeight="1">
      <x:c r="A41" s="24" t="str">
        <x:v>SW-C-02마4731-1-20250317-19</x:v>
      </x:c>
      <x:c r="B41" s="24" t="str">
        <x:v>스위치플랜</x:v>
      </x:c>
      <x:c r="C41" s="24" t="str">
        <x:v>02마4731</x:v>
      </x:c>
      <x:c r="D41" s="31" t="n">
        <x:v>1</x:v>
      </x:c>
      <x:c r="E41" s="24" t="str">
        <x:v>현재칸</x:v>
      </x:c>
      <x:c r="F41" s="24" t="str">
        <x:v>구독대여</x:v>
      </x:c>
      <x:c r="G41" s="24" t="str">
        <x:v>하정만</x:v>
      </x:c>
      <x:c r="H41" s="30" t="n">
        <x:v>45733</x:v>
      </x:c>
      <x:c r="I41" s="30" t="n">
        <x:v>47193</x:v>
      </x:c>
      <x:c r="J41" s="30"/>
      <x:c r="K41" s="32" t="n">
        <x:v>330000</x:v>
      </x:c>
      <x:c r="L41" s="32" t="n">
        <x:v>1000000</x:v>
      </x:c>
      <x:c r="M41" s="24" t="str">
        <x:v>15일</x:v>
      </x:c>
      <x:c r="N41" s="24" t="str">
        <x:v>30</x:v>
      </x:c>
      <x:c r="O41" s="24" t="str">
        <x:v>DB</x:v>
      </x:c>
      <x:c r="P41" s="24" t="str">
        <x:v>하허호</x:v>
      </x:c>
      <x:c r="Q41" s="24" t="str">
        <x:v>있음</x:v>
      </x:c>
      <x:c r="R41" s="24" t="str"/>
      <x:c r="S41" s="31" t="n">
        <x:v>19</x:v>
      </x:c>
      <x:c r="T41" s="24" t="str"/>
      <x:c r="U41" s="24" t="str"/>
    </x:row>
    <x:row r="42" ht="17.25" customHeight="1">
      <x:c r="A42" s="24" t="str">
        <x:v>SW-C-02마4731-2-20250108-19</x:v>
      </x:c>
      <x:c r="B42" s="24" t="str">
        <x:v>스위치플랜</x:v>
      </x:c>
      <x:c r="C42" s="24" t="str">
        <x:v>02마4731</x:v>
      </x:c>
      <x:c r="D42" s="31" t="n">
        <x:v>2</x:v>
      </x:c>
      <x:c r="E42" s="24" t="str">
        <x:v>이력</x:v>
      </x:c>
      <x:c r="F42" s="24" t="str">
        <x:v>단기대여</x:v>
      </x:c>
      <x:c r="G42" s="24" t="str">
        <x:v>김영희</x:v>
      </x:c>
      <x:c r="H42" s="30" t="n">
        <x:v>45665</x:v>
      </x:c>
      <x:c r="I42" s="30" t="n">
        <x:v>45726</x:v>
      </x:c>
      <x:c r="J42" s="30" t="n">
        <x:v>45726</x:v>
      </x:c>
      <x:c r="K42" s="32" t="n">
        <x:v>300000</x:v>
      </x:c>
      <x:c r="L42" s="32"/>
      <x:c r="M42" s="24" t="str"/>
      <x:c r="N42" s="24" t="str">
        <x:v>30</x:v>
      </x:c>
      <x:c r="O42" s="24" t="str"/>
      <x:c r="P42" s="24" t="str">
        <x:v>하허호</x:v>
      </x:c>
      <x:c r="Q42" s="24" t="str">
        <x:v>있음</x:v>
      </x:c>
      <x:c r="R42" s="24" t="str"/>
      <x:c r="S42" s="31" t="n">
        <x:v>19</x:v>
      </x:c>
      <x:c r="T42" s="24" t="str"/>
      <x:c r="U42" s="24" t="str">
        <x:v>무보증</x:v>
      </x:c>
    </x:row>
    <x:row r="43" ht="17.25" customHeight="1">
      <x:c r="A43" s="24" t="str">
        <x:v>SW-C-02마4731-3-20231219-19</x:v>
      </x:c>
      <x:c r="B43" s="24" t="str">
        <x:v>스위치플랜</x:v>
      </x:c>
      <x:c r="C43" s="24" t="str">
        <x:v>02마4731</x:v>
      </x:c>
      <x:c r="D43" s="31" t="n">
        <x:v>3</x:v>
      </x:c>
      <x:c r="E43" s="24" t="str">
        <x:v>이력</x:v>
      </x:c>
      <x:c r="F43" s="24" t="str">
        <x:v>구독대여</x:v>
      </x:c>
      <x:c r="G43" s="24" t="str">
        <x:v>백중선</x:v>
      </x:c>
      <x:c r="H43" s="30" t="n">
        <x:v>45279</x:v>
      </x:c>
      <x:c r="I43" s="30" t="n">
        <x:v>45644</x:v>
      </x:c>
      <x:c r="J43" s="30" t="n">
        <x:v>45645</x:v>
      </x:c>
      <x:c r="K43" s="32" t="n">
        <x:v>410000</x:v>
      </x:c>
      <x:c r="L43" s="32" t="n">
        <x:v>410000</x:v>
      </x:c>
      <x:c r="M43" s="24" t="str"/>
      <x:c r="N43" s="24" t="str">
        <x:v>30</x:v>
      </x:c>
      <x:c r="O43" s="24" t="str"/>
      <x:c r="P43" s="24" t="str">
        <x:v>하허호</x:v>
      </x:c>
      <x:c r="Q43" s="24" t="str">
        <x:v>있음</x:v>
      </x:c>
      <x:c r="R43" s="24" t="str"/>
      <x:c r="S43" s="31" t="n">
        <x:v>19</x:v>
      </x:c>
      <x:c r="T43" s="24" t="str"/>
      <x:c r="U43" s="24" t="str"/>
    </x:row>
    <x:row r="44" ht="17.25" customHeight="1">
      <x:c r="A44" s="24" t="str">
        <x:v>SW-C-306조9919-1-20260204-20</x:v>
      </x:c>
      <x:c r="B44" s="24" t="str">
        <x:v>스위치플랜</x:v>
      </x:c>
      <x:c r="C44" s="24" t="str">
        <x:v>306조9919</x:v>
      </x:c>
      <x:c r="D44" s="31" t="n">
        <x:v>1</x:v>
      </x:c>
      <x:c r="E44" s="24" t="str">
        <x:v>현재칸</x:v>
      </x:c>
      <x:c r="F44" s="24" t="str">
        <x:v>구독대여</x:v>
      </x:c>
      <x:c r="G44" s="24" t="str">
        <x:v>김기영</x:v>
      </x:c>
      <x:c r="H44" s="30" t="n">
        <x:v>46057</x:v>
      </x:c>
      <x:c r="I44" s="30" t="n">
        <x:v>47152</x:v>
      </x:c>
      <x:c r="J44" s="30"/>
      <x:c r="K44" s="32" t="n">
        <x:v>1070000</x:v>
      </x:c>
      <x:c r="L44" s="32" t="n">
        <x:v>2000000</x:v>
      </x:c>
      <x:c r="M44" s="24" t="str">
        <x:v>05일</x:v>
      </x:c>
      <x:c r="N44" s="24" t="str">
        <x:v>35</x:v>
      </x:c>
      <x:c r="O44" s="24" t="str">
        <x:v>DB</x:v>
      </x:c>
      <x:c r="P44" s="24" t="str"/>
      <x:c r="Q44" s="24" t="str">
        <x:v>있음</x:v>
      </x:c>
      <x:c r="R44" s="24" t="str"/>
      <x:c r="S44" s="31" t="n">
        <x:v>20</x:v>
      </x:c>
      <x:c r="T44" s="24" t="str"/>
      <x:c r="U44" s="24" t="str"/>
    </x:row>
    <x:row r="45" ht="17.25" customHeight="1">
      <x:c r="A45" s="24" t="str">
        <x:v>SW-C-306조9919-2-20250828-20</x:v>
      </x:c>
      <x:c r="B45" s="24" t="str">
        <x:v>스위치플랜</x:v>
      </x:c>
      <x:c r="C45" s="24" t="str">
        <x:v>306조9919</x:v>
      </x:c>
      <x:c r="D45" s="31" t="n">
        <x:v>2</x:v>
      </x:c>
      <x:c r="E45" s="24" t="str">
        <x:v>이력</x:v>
      </x:c>
      <x:c r="F45" s="24" t="str">
        <x:v>구독대여</x:v>
      </x:c>
      <x:c r="G45" s="24" t="str">
        <x:v>링크월배</x:v>
      </x:c>
      <x:c r="H45" s="30" t="n">
        <x:v>45897</x:v>
      </x:c>
      <x:c r="I45" s="30" t="n">
        <x:v>47270</x:v>
      </x:c>
      <x:c r="J45" s="30" t="n">
        <x:v>45947</x:v>
      </x:c>
      <x:c r="K45" s="32" t="n">
        <x:v>1150000</x:v>
      </x:c>
      <x:c r="L45" s="32"/>
      <x:c r="M45" s="24" t="str"/>
      <x:c r="N45" s="24" t="str">
        <x:v>35</x:v>
      </x:c>
      <x:c r="O45" s="24" t="str"/>
      <x:c r="P45" s="24" t="str"/>
      <x:c r="Q45" s="24" t="str">
        <x:v>있음</x:v>
      </x:c>
      <x:c r="R45" s="24" t="str"/>
      <x:c r="S45" s="31" t="n">
        <x:v>20</x:v>
      </x:c>
      <x:c r="T45" s="24" t="str"/>
      <x:c r="U45" s="24" t="str">
        <x:v>무보증</x:v>
      </x:c>
    </x:row>
    <x:row r="46" ht="17.25" customHeight="1">
      <x:c r="A46" s="24" t="str">
        <x:v>SW-C-306조9919-3-20250602-20</x:v>
      </x:c>
      <x:c r="B46" s="24" t="str">
        <x:v>스위치플랜</x:v>
      </x:c>
      <x:c r="C46" s="24" t="str">
        <x:v>306조9919</x:v>
      </x:c>
      <x:c r="D46" s="31" t="n">
        <x:v>3</x:v>
      </x:c>
      <x:c r="E46" s="24" t="str">
        <x:v>이력</x:v>
      </x:c>
      <x:c r="F46" s="24" t="str">
        <x:v>구독대여</x:v>
      </x:c>
      <x:c r="G46" s="24" t="str">
        <x:v>조인환</x:v>
      </x:c>
      <x:c r="H46" s="30" t="n">
        <x:v>45810</x:v>
      </x:c>
      <x:c r="I46" s="30" t="n">
        <x:v>47270</x:v>
      </x:c>
      <x:c r="J46" s="30"/>
      <x:c r="K46" s="32" t="n">
        <x:v>1150000</x:v>
      </x:c>
      <x:c r="L46" s="32"/>
      <x:c r="M46" s="24" t="str"/>
      <x:c r="N46" s="24" t="str">
        <x:v>35</x:v>
      </x:c>
      <x:c r="O46" s="24" t="str"/>
      <x:c r="P46" s="24" t="str">
        <x:v>하허호</x:v>
      </x:c>
      <x:c r="Q46" s="24" t="str">
        <x:v>있음</x:v>
      </x:c>
      <x:c r="R46" s="24" t="str"/>
      <x:c r="S46" s="31" t="n">
        <x:v>20</x:v>
      </x:c>
      <x:c r="T46" s="24" t="str"/>
      <x:c r="U46" s="24" t="str">
        <x:v>무보증</x:v>
      </x:c>
    </x:row>
    <x:row r="47" ht="17.25" customHeight="1">
      <x:c r="A47" s="24" t="str">
        <x:v>SW-C-306조9919-4-20241206-20</x:v>
      </x:c>
      <x:c r="B47" s="24" t="str">
        <x:v>스위치플랜</x:v>
      </x:c>
      <x:c r="C47" s="24" t="str">
        <x:v>306조9919</x:v>
      </x:c>
      <x:c r="D47" s="31" t="n">
        <x:v>4</x:v>
      </x:c>
      <x:c r="E47" s="24" t="str">
        <x:v>이력</x:v>
      </x:c>
      <x:c r="F47" s="24" t="str">
        <x:v>구독대여</x:v>
      </x:c>
      <x:c r="G47" s="24" t="str">
        <x:v>김대욱</x:v>
      </x:c>
      <x:c r="H47" s="30" t="n">
        <x:v>45632</x:v>
      </x:c>
      <x:c r="I47" s="30" t="n">
        <x:v>45996</x:v>
      </x:c>
      <x:c r="J47" s="30" t="n">
        <x:v>45796</x:v>
      </x:c>
      <x:c r="K47" s="32" t="n">
        <x:v>1390000</x:v>
      </x:c>
      <x:c r="L47" s="32" t="n">
        <x:v>1390000</x:v>
      </x:c>
      <x:c r="M47" s="24" t="str"/>
      <x:c r="N47" s="24" t="str">
        <x:v>35</x:v>
      </x:c>
      <x:c r="O47" s="24" t="str"/>
      <x:c r="P47" s="24" t="str">
        <x:v>하허호</x:v>
      </x:c>
      <x:c r="Q47" s="24" t="str">
        <x:v>있음</x:v>
      </x:c>
      <x:c r="R47" s="24" t="str"/>
      <x:c r="S47" s="31" t="n">
        <x:v>20</x:v>
      </x:c>
      <x:c r="T47" s="24" t="str"/>
      <x:c r="U47" s="24" t="str"/>
    </x:row>
    <x:row r="48" ht="17.25" customHeight="1">
      <x:c r="A48" s="24" t="str">
        <x:v>SW-C-109로1819-1-20250716-21</x:v>
      </x:c>
      <x:c r="B48" s="24" t="str">
        <x:v>스위치플랜</x:v>
      </x:c>
      <x:c r="C48" s="24" t="str">
        <x:v>109로1819</x:v>
      </x:c>
      <x:c r="D48" s="31" t="n">
        <x:v>1</x:v>
      </x:c>
      <x:c r="E48" s="24" t="str">
        <x:v>현재칸</x:v>
      </x:c>
      <x:c r="F48" s="24" t="str">
        <x:v>구독대여</x:v>
      </x:c>
      <x:c r="G48" s="24" t="str">
        <x:v>박주신</x:v>
      </x:c>
      <x:c r="H48" s="30" t="n">
        <x:v>45854</x:v>
      </x:c>
      <x:c r="I48" s="30" t="n">
        <x:v>47314</x:v>
      </x:c>
      <x:c r="J48" s="30"/>
      <x:c r="K48" s="32" t="n">
        <x:v>1800000</x:v>
      </x:c>
      <x:c r="L48" s="32" t="n">
        <x:v>1800000</x:v>
      </x:c>
      <x:c r="M48" s="24" t="str">
        <x:v>15일</x:v>
      </x:c>
      <x:c r="N48" s="24" t="str">
        <x:v>35</x:v>
      </x:c>
      <x:c r="O48" s="24" t="str">
        <x:v>DB</x:v>
      </x:c>
      <x:c r="P48" s="24" t="str">
        <x:v>하허호</x:v>
      </x:c>
      <x:c r="Q48" s="24" t="str">
        <x:v>있음</x:v>
      </x:c>
      <x:c r="R48" s="24" t="str"/>
      <x:c r="S48" s="31" t="n">
        <x:v>21</x:v>
      </x:c>
      <x:c r="T48" s="24" t="str"/>
      <x:c r="U48" s="24" t="str"/>
    </x:row>
    <x:row r="49" ht="17.25" customHeight="1">
      <x:c r="A49" s="24" t="str">
        <x:v>SW-C-109로1819-2-20241210-21</x:v>
      </x:c>
      <x:c r="B49" s="24" t="str">
        <x:v>스위치플랜</x:v>
      </x:c>
      <x:c r="C49" s="24" t="str">
        <x:v>109로1819</x:v>
      </x:c>
      <x:c r="D49" s="31" t="n">
        <x:v>2</x:v>
      </x:c>
      <x:c r="E49" s="24" t="str">
        <x:v>이력</x:v>
      </x:c>
      <x:c r="F49" s="24" t="str">
        <x:v>구독대여</x:v>
      </x:c>
      <x:c r="G49" s="24" t="str">
        <x:v>윤홍석</x:v>
      </x:c>
      <x:c r="H49" s="30" t="n">
        <x:v>45636</x:v>
      </x:c>
      <x:c r="I49" s="30" t="n">
        <x:v>46365</x:v>
      </x:c>
      <x:c r="J49" s="30" t="n">
        <x:v>45836</x:v>
      </x:c>
      <x:c r="K49" s="32" t="n">
        <x:v>2190000</x:v>
      </x:c>
      <x:c r="L49" s="32" t="n">
        <x:v>1010000</x:v>
      </x:c>
      <x:c r="M49" s="24" t="str"/>
      <x:c r="N49" s="24" t="str">
        <x:v>35</x:v>
      </x:c>
      <x:c r="O49" s="24" t="str"/>
      <x:c r="P49" s="24" t="str">
        <x:v>김지호</x:v>
      </x:c>
      <x:c r="Q49" s="24" t="str">
        <x:v>있음</x:v>
      </x:c>
      <x:c r="R49" s="24" t="str"/>
      <x:c r="S49" s="31" t="n">
        <x:v>21</x:v>
      </x:c>
      <x:c r="T49" s="24" t="str"/>
      <x:c r="U49" s="24" t="str"/>
    </x:row>
    <x:row r="50" ht="17.25" customHeight="1">
      <x:c r="A50" s="24" t="str">
        <x:v>SW-C-17수4278-1-20260303-22</x:v>
      </x:c>
      <x:c r="B50" s="24" t="str">
        <x:v>스위치플랜</x:v>
      </x:c>
      <x:c r="C50" s="24" t="str">
        <x:v>17수4278</x:v>
      </x:c>
      <x:c r="D50" s="31" t="n">
        <x:v>1</x:v>
      </x:c>
      <x:c r="E50" s="24" t="str">
        <x:v>현재칸</x:v>
      </x:c>
      <x:c r="F50" s="24" t="str">
        <x:v>구독대여</x:v>
      </x:c>
      <x:c r="G50" s="24" t="str">
        <x:v>김은옥</x:v>
      </x:c>
      <x:c r="H50" s="30" t="n">
        <x:v>46084</x:v>
      </x:c>
      <x:c r="I50" s="30" t="n">
        <x:v>47450</x:v>
      </x:c>
      <x:c r="J50" s="30"/>
      <x:c r="K50" s="32" t="n">
        <x:v>630000</x:v>
      </x:c>
      <x:c r="L50" s="32" t="n">
        <x:v>1400000</x:v>
      </x:c>
      <x:c r="M50" s="24" t="str">
        <x:v>25일</x:v>
      </x:c>
      <x:c r="N50" s="24" t="str">
        <x:v>35</x:v>
      </x:c>
      <x:c r="O50" s="24" t="str">
        <x:v>DB</x:v>
      </x:c>
      <x:c r="P50" s="24" t="str">
        <x:v>하허호</x:v>
      </x:c>
      <x:c r="Q50" s="24" t="str">
        <x:v>있음</x:v>
      </x:c>
      <x:c r="R50" s="24" t="str"/>
      <x:c r="S50" s="31" t="n">
        <x:v>22</x:v>
      </x:c>
      <x:c r="T50" s="24" t="str"/>
      <x:c r="U50" s="24" t="str"/>
    </x:row>
    <x:row r="51" ht="17.25" customHeight="1">
      <x:c r="A51" s="24" t="str">
        <x:v>SW-C-17수4278-2-20251129-22</x:v>
      </x:c>
      <x:c r="B51" s="24" t="str">
        <x:v>스위치플랜</x:v>
      </x:c>
      <x:c r="C51" s="24" t="str">
        <x:v>17수4278</x:v>
      </x:c>
      <x:c r="D51" s="31" t="n">
        <x:v>2</x:v>
      </x:c>
      <x:c r="E51" s="24" t="str">
        <x:v>이력</x:v>
      </x:c>
      <x:c r="F51" s="24" t="str">
        <x:v>구독대여</x:v>
      </x:c>
      <x:c r="G51" s="24" t="str">
        <x:v>김민영</x:v>
      </x:c>
      <x:c r="H51" s="30" t="n">
        <x:v>45990</x:v>
      </x:c>
      <x:c r="I51" s="30" t="n">
        <x:v>47450</x:v>
      </x:c>
      <x:c r="J51" s="30"/>
      <x:c r="K51" s="32" t="n">
        <x:v>630000</x:v>
      </x:c>
      <x:c r="L51" s="32" t="n">
        <x:v>1400000</x:v>
      </x:c>
      <x:c r="M51" s="24" t="str"/>
      <x:c r="N51" s="24" t="str">
        <x:v>35</x:v>
      </x:c>
      <x:c r="O51" s="24" t="str"/>
      <x:c r="P51" s="24" t="str">
        <x:v>하허호</x:v>
      </x:c>
      <x:c r="Q51" s="24" t="str">
        <x:v>있음</x:v>
      </x:c>
      <x:c r="R51" s="24" t="str"/>
      <x:c r="S51" s="31" t="n">
        <x:v>22</x:v>
      </x:c>
      <x:c r="T51" s="24" t="str"/>
      <x:c r="U51" s="24" t="str"/>
    </x:row>
    <x:row r="52" ht="17.25" customHeight="1">
      <x:c r="A52" s="24" t="str">
        <x:v>SW-C-17수4278-3-20250906-22</x:v>
      </x:c>
      <x:c r="B52" s="24" t="str">
        <x:v>스위치플랜</x:v>
      </x:c>
      <x:c r="C52" s="24" t="str">
        <x:v>17수4278</x:v>
      </x:c>
      <x:c r="D52" s="31" t="n">
        <x:v>3</x:v>
      </x:c>
      <x:c r="E52" s="24" t="str">
        <x:v>이력</x:v>
      </x:c>
      <x:c r="F52" s="24" t="str">
        <x:v>구독대여</x:v>
      </x:c>
      <x:c r="G52" s="24" t="str">
        <x:v>김영도</x:v>
      </x:c>
      <x:c r="H52" s="30" t="n">
        <x:v>45906</x:v>
      </x:c>
      <x:c r="I52" s="30" t="n">
        <x:v>47366</x:v>
      </x:c>
      <x:c r="J52" s="30" t="n">
        <x:v>45955</x:v>
      </x:c>
      <x:c r="K52" s="32" t="n">
        <x:v>780000</x:v>
      </x:c>
      <x:c r="L52" s="32" t="n">
        <x:v>1400000</x:v>
      </x:c>
      <x:c r="M52" s="24" t="str"/>
      <x:c r="N52" s="24" t="str">
        <x:v>35</x:v>
      </x:c>
      <x:c r="O52" s="24" t="str"/>
      <x:c r="P52" s="24" t="str"/>
      <x:c r="Q52" s="24" t="str">
        <x:v>있음</x:v>
      </x:c>
      <x:c r="R52" s="24" t="str"/>
      <x:c r="S52" s="31" t="n">
        <x:v>22</x:v>
      </x:c>
      <x:c r="T52" s="24" t="str"/>
      <x:c r="U52" s="24" t="str"/>
    </x:row>
    <x:row r="53" ht="17.25" customHeight="1">
      <x:c r="A53" s="24" t="str">
        <x:v>SW-C-17수4278-4-20250106-22</x:v>
      </x:c>
      <x:c r="B53" s="24" t="str">
        <x:v>스위치플랜</x:v>
      </x:c>
      <x:c r="C53" s="24" t="str">
        <x:v>17수4278</x:v>
      </x:c>
      <x:c r="D53" s="31" t="n">
        <x:v>4</x:v>
      </x:c>
      <x:c r="E53" s="24" t="str">
        <x:v>이력</x:v>
      </x:c>
      <x:c r="F53" s="24" t="str">
        <x:v>구독대여</x:v>
      </x:c>
      <x:c r="G53" s="24" t="str">
        <x:v>박주희</x:v>
      </x:c>
      <x:c r="H53" s="30" t="n">
        <x:v>45663</x:v>
      </x:c>
      <x:c r="I53" s="30" t="n">
        <x:v>46873</x:v>
      </x:c>
      <x:c r="J53" s="30" t="n">
        <x:v>45817</x:v>
      </x:c>
      <x:c r="K53" s="32" t="n">
        <x:v>780000</x:v>
      </x:c>
      <x:c r="L53" s="32" t="n">
        <x:v>2000000</x:v>
      </x:c>
      <x:c r="M53" s="24" t="str"/>
      <x:c r="N53" s="24" t="str">
        <x:v>35</x:v>
      </x:c>
      <x:c r="O53" s="24" t="str"/>
      <x:c r="P53" s="24" t="str"/>
      <x:c r="Q53" s="24" t="str">
        <x:v>있음</x:v>
      </x:c>
      <x:c r="R53" s="24" t="str"/>
      <x:c r="S53" s="31" t="n">
        <x:v>22</x:v>
      </x:c>
      <x:c r="T53" s="24" t="str"/>
      <x:c r="U53" s="24" t="str"/>
    </x:row>
    <x:row r="54" ht="17.25" customHeight="1">
      <x:c r="A54" s="24" t="str">
        <x:v>SW-C-17수4278-5-20280430-22</x:v>
      </x:c>
      <x:c r="B54" s="24" t="str">
        <x:v>스위치플랜</x:v>
      </x:c>
      <x:c r="C54" s="24" t="str">
        <x:v>17수4278</x:v>
      </x:c>
      <x:c r="D54" s="31" t="n">
        <x:v>5</x:v>
      </x:c>
      <x:c r="E54" s="24" t="str">
        <x:v>이력</x:v>
      </x:c>
      <x:c r="F54" s="24" t="str">
        <x:v>구독대여</x:v>
      </x:c>
      <x:c r="G54" s="24" t="str">
        <x:v>전민석</x:v>
      </x:c>
      <x:c r="H54" s="30" t="n">
        <x:v>46873</x:v>
      </x:c>
      <x:c r="I54" s="30"/>
      <x:c r="J54" s="30"/>
      <x:c r="K54" s="32" t="n">
        <x:v>45663</x:v>
      </x:c>
      <x:c r="L54" s="32" t="n">
        <x:v>2000000</x:v>
      </x:c>
      <x:c r="M54" s="24" t="str"/>
      <x:c r="N54" s="24" t="str">
        <x:v>35</x:v>
      </x:c>
      <x:c r="O54" s="24" t="str"/>
      <x:c r="P54" s="24" t="str">
        <x:v>하허호</x:v>
      </x:c>
      <x:c r="Q54" s="24" t="str">
        <x:v>있음</x:v>
      </x:c>
      <x:c r="R54" s="24" t="str"/>
      <x:c r="S54" s="31" t="n">
        <x:v>22</x:v>
      </x:c>
      <x:c r="T54" s="24" t="str"/>
      <x:c r="U54" s="24" t="str"/>
    </x:row>
    <x:row r="55" ht="17.25" customHeight="1">
      <x:c r="A55" s="24" t="str">
        <x:v>SW-C-17수4278-6-20280430-22</x:v>
      </x:c>
      <x:c r="B55" s="24" t="str">
        <x:v>스위치플랜</x:v>
      </x:c>
      <x:c r="C55" s="24" t="str">
        <x:v>17수4278</x:v>
      </x:c>
      <x:c r="D55" s="31" t="n">
        <x:v>6</x:v>
      </x:c>
      <x:c r="E55" s="24" t="str">
        <x:v>이력</x:v>
      </x:c>
      <x:c r="F55" s="24" t="str">
        <x:v>구독대여</x:v>
      </x:c>
      <x:c r="G55" s="24" t="str">
        <x:v>서성종</x:v>
      </x:c>
      <x:c r="H55" s="30" t="n">
        <x:v>46873</x:v>
      </x:c>
      <x:c r="I55" s="30" t="n">
        <x:v>45663</x:v>
      </x:c>
      <x:c r="J55" s="30"/>
      <x:c r="K55" s="32" t="n">
        <x:v>45413</x:v>
      </x:c>
      <x:c r="L55" s="32" t="n">
        <x:v>2000000</x:v>
      </x:c>
      <x:c r="M55" s="24" t="str"/>
      <x:c r="N55" s="24" t="str">
        <x:v>35</x:v>
      </x:c>
      <x:c r="O55" s="24" t="str"/>
      <x:c r="P55" s="24" t="str">
        <x:v>카랜(주)</x:v>
      </x:c>
      <x:c r="Q55" s="24" t="str">
        <x:v>있음</x:v>
      </x:c>
      <x:c r="R55" s="24" t="str"/>
      <x:c r="S55" s="31" t="n">
        <x:v>22</x:v>
      </x:c>
      <x:c r="T55" s="24" t="str"/>
      <x:c r="U55" s="24" t="str"/>
    </x:row>
    <x:row r="56" ht="17.25" customHeight="1">
      <x:c r="A56" s="24" t="str">
        <x:v>SW-C-17수4278-7-20271205-22</x:v>
      </x:c>
      <x:c r="B56" s="24" t="str">
        <x:v>스위치플랜</x:v>
      </x:c>
      <x:c r="C56" s="24" t="str">
        <x:v>17수4278</x:v>
      </x:c>
      <x:c r="D56" s="31" t="n">
        <x:v>7</x:v>
      </x:c>
      <x:c r="E56" s="24" t="str">
        <x:v>이력</x:v>
      </x:c>
      <x:c r="F56" s="24" t="str">
        <x:v>구독대여</x:v>
      </x:c>
      <x:c r="G56" s="24" t="str">
        <x:v>한동완</x:v>
      </x:c>
      <x:c r="H56" s="30" t="n">
        <x:v>46726</x:v>
      </x:c>
      <x:c r="I56" s="30" t="n">
        <x:v>45404</x:v>
      </x:c>
      <x:c r="J56" s="30"/>
      <x:c r="K56" s="32" t="n">
        <x:v>45266</x:v>
      </x:c>
      <x:c r="L56" s="32" t="n">
        <x:v>2020000</x:v>
      </x:c>
      <x:c r="M56" s="24" t="str"/>
      <x:c r="N56" s="24" t="str">
        <x:v>35</x:v>
      </x:c>
      <x:c r="O56" s="24" t="str"/>
      <x:c r="P56" s="24" t="str">
        <x:v>SI</x:v>
      </x:c>
      <x:c r="Q56" s="24" t="str">
        <x:v>있음</x:v>
      </x:c>
      <x:c r="R56" s="24" t="str"/>
      <x:c r="S56" s="31" t="n">
        <x:v>22</x:v>
      </x:c>
      <x:c r="T56" s="24" t="str"/>
      <x:c r="U56" s="24" t="str"/>
    </x:row>
    <x:row r="57" ht="17.25" customHeight="1">
      <x:c r="A57" s="24" t="str">
        <x:v>SW-C-15두2255-1-20260325-23</x:v>
      </x:c>
      <x:c r="B57" s="24" t="str">
        <x:v>스위치플랜</x:v>
      </x:c>
      <x:c r="C57" s="24" t="str">
        <x:v>15두2255</x:v>
      </x:c>
      <x:c r="D57" s="31" t="n">
        <x:v>1</x:v>
      </x:c>
      <x:c r="E57" s="24" t="str">
        <x:v>현재칸</x:v>
      </x:c>
      <x:c r="F57" s="24" t="str">
        <x:v>구독대여</x:v>
      </x:c>
      <x:c r="G57" s="24" t="str">
        <x:v>송대성</x:v>
      </x:c>
      <x:c r="H57" s="30" t="n">
        <x:v>46106</x:v>
      </x:c>
      <x:c r="I57" s="30" t="n">
        <x:v>47180</x:v>
      </x:c>
      <x:c r="J57" s="30"/>
      <x:c r="K57" s="32" t="n">
        <x:v>850000</x:v>
      </x:c>
      <x:c r="L57" s="32"/>
      <x:c r="M57" s="24" t="str">
        <x:v>20일</x:v>
      </x:c>
      <x:c r="N57" s="24" t="str">
        <x:v>35</x:v>
      </x:c>
      <x:c r="O57" s="24" t="str">
        <x:v>AXA</x:v>
      </x:c>
      <x:c r="P57" s="24" t="str">
        <x:v>하허호</x:v>
      </x:c>
      <x:c r="Q57" s="24" t="str">
        <x:v>있음</x:v>
      </x:c>
      <x:c r="R57" s="24" t="str"/>
      <x:c r="S57" s="31" t="n">
        <x:v>23</x:v>
      </x:c>
      <x:c r="T57" s="24" t="str"/>
      <x:c r="U57" s="24" t="str">
        <x:v>무보증</x:v>
      </x:c>
    </x:row>
    <x:row r="58" ht="17.25" customHeight="1">
      <x:c r="A58" s="24" t="str">
        <x:v>SW-C-15두2255-2-20250324-23</x:v>
      </x:c>
      <x:c r="B58" s="24" t="str">
        <x:v>스위치플랜</x:v>
      </x:c>
      <x:c r="C58" s="24" t="str">
        <x:v>15두2255</x:v>
      </x:c>
      <x:c r="D58" s="31" t="n">
        <x:v>2</x:v>
      </x:c>
      <x:c r="E58" s="24" t="str">
        <x:v>이력</x:v>
      </x:c>
      <x:c r="F58" s="24" t="str">
        <x:v>구독대여</x:v>
      </x:c>
      <x:c r="G58" s="24" t="str">
        <x:v>이명규</x:v>
      </x:c>
      <x:c r="H58" s="30" t="n">
        <x:v>45740</x:v>
      </x:c>
      <x:c r="I58" s="30" t="n">
        <x:v>47180</x:v>
      </x:c>
      <x:c r="J58" s="30"/>
      <x:c r="K58" s="32" t="n">
        <x:v>850000</x:v>
      </x:c>
      <x:c r="L58" s="32"/>
      <x:c r="M58" s="24" t="str"/>
      <x:c r="N58" s="24" t="str">
        <x:v>35</x:v>
      </x:c>
      <x:c r="O58" s="24" t="str"/>
      <x:c r="P58" s="24" t="str">
        <x:v>하허호</x:v>
      </x:c>
      <x:c r="Q58" s="24" t="str">
        <x:v>있음</x:v>
      </x:c>
      <x:c r="R58" s="24" t="str"/>
      <x:c r="S58" s="31" t="n">
        <x:v>23</x:v>
      </x:c>
      <x:c r="T58" s="24" t="str"/>
      <x:c r="U58" s="24" t="str">
        <x:v>무보증</x:v>
      </x:c>
    </x:row>
    <x:row r="59" ht="17.25" customHeight="1">
      <x:c r="A59" s="24" t="str">
        <x:v>SW-C-15두2255-3-20250304-23</x:v>
      </x:c>
      <x:c r="B59" s="24" t="str">
        <x:v>스위치플랜</x:v>
      </x:c>
      <x:c r="C59" s="24" t="str">
        <x:v>15두2255</x:v>
      </x:c>
      <x:c r="D59" s="31" t="n">
        <x:v>3</x:v>
      </x:c>
      <x:c r="E59" s="24" t="str">
        <x:v>이력</x:v>
      </x:c>
      <x:c r="F59" s="24" t="str">
        <x:v>구독대여</x:v>
      </x:c>
      <x:c r="G59" s="24" t="str">
        <x:v>안준범</x:v>
      </x:c>
      <x:c r="H59" s="30" t="n">
        <x:v>45720</x:v>
      </x:c>
      <x:c r="I59" s="30" t="n">
        <x:v>47180</x:v>
      </x:c>
      <x:c r="J59" s="30"/>
      <x:c r="K59" s="32" t="n">
        <x:v>850000</x:v>
      </x:c>
      <x:c r="L59" s="32"/>
      <x:c r="M59" s="24" t="str"/>
      <x:c r="N59" s="24" t="str">
        <x:v>35</x:v>
      </x:c>
      <x:c r="O59" s="24" t="str"/>
      <x:c r="P59" s="24" t="str">
        <x:v>하허호</x:v>
      </x:c>
      <x:c r="Q59" s="24" t="str">
        <x:v>있음</x:v>
      </x:c>
      <x:c r="R59" s="24" t="str"/>
      <x:c r="S59" s="31" t="n">
        <x:v>23</x:v>
      </x:c>
      <x:c r="T59" s="24" t="str"/>
      <x:c r="U59" s="24" t="str">
        <x:v>무보증</x:v>
      </x:c>
    </x:row>
    <x:row r="60" ht="17.25" customHeight="1">
      <x:c r="A60" s="24" t="str">
        <x:v>SW-C-15두2255-4-20250120-23</x:v>
      </x:c>
      <x:c r="B60" s="24" t="str">
        <x:v>스위치플랜</x:v>
      </x:c>
      <x:c r="C60" s="24" t="str">
        <x:v>15두2255</x:v>
      </x:c>
      <x:c r="D60" s="31" t="n">
        <x:v>4</x:v>
      </x:c>
      <x:c r="E60" s="24" t="str">
        <x:v>이력</x:v>
      </x:c>
      <x:c r="F60" s="24" t="str">
        <x:v>구독대여</x:v>
      </x:c>
      <x:c r="G60" s="24" t="str">
        <x:v>강호</x:v>
      </x:c>
      <x:c r="H60" s="30" t="n">
        <x:v>45677</x:v>
      </x:c>
      <x:c r="I60" s="30" t="n">
        <x:v>47137</x:v>
      </x:c>
      <x:c r="J60" s="30" t="n">
        <x:v>45720</x:v>
      </x:c>
      <x:c r="K60" s="32" t="n">
        <x:v>850000</x:v>
      </x:c>
      <x:c r="L60" s="32" t="n">
        <x:v>2500000</x:v>
      </x:c>
      <x:c r="M60" s="24" t="str"/>
      <x:c r="N60" s="24" t="str">
        <x:v>35</x:v>
      </x:c>
      <x:c r="O60" s="24" t="str"/>
      <x:c r="P60" s="24" t="str">
        <x:v>하허호</x:v>
      </x:c>
      <x:c r="Q60" s="24" t="str">
        <x:v>있음</x:v>
      </x:c>
      <x:c r="R60" s="24" t="str"/>
      <x:c r="S60" s="31" t="n">
        <x:v>23</x:v>
      </x:c>
      <x:c r="T60" s="24" t="str"/>
      <x:c r="U60" s="24" t="str"/>
    </x:row>
    <x:row r="61" ht="17.25" customHeight="1">
      <x:c r="A61" s="24" t="str">
        <x:v>SW-C-15두2255-5-20250428-23</x:v>
      </x:c>
      <x:c r="B61" s="24" t="str">
        <x:v>스위치플랜</x:v>
      </x:c>
      <x:c r="C61" s="24" t="str">
        <x:v>15두2255</x:v>
      </x:c>
      <x:c r="D61" s="31" t="n">
        <x:v>5</x:v>
      </x:c>
      <x:c r="E61" s="24" t="str">
        <x:v>이력</x:v>
      </x:c>
      <x:c r="F61" s="24" t="str">
        <x:v>구독대여</x:v>
      </x:c>
      <x:c r="G61" s="24" t="str">
        <x:v>박승빈</x:v>
      </x:c>
      <x:c r="H61" s="30" t="n">
        <x:v>45775</x:v>
      </x:c>
      <x:c r="I61" s="30" t="n">
        <x:v>45659</x:v>
      </x:c>
      <x:c r="J61" s="30"/>
      <x:c r="K61" s="32" t="n">
        <x:v>45411</x:v>
      </x:c>
      <x:c r="L61" s="32" t="n">
        <x:v>1230000</x:v>
      </x:c>
      <x:c r="M61" s="24" t="str"/>
      <x:c r="N61" s="24" t="str">
        <x:v>35</x:v>
      </x:c>
      <x:c r="O61" s="24" t="str"/>
      <x:c r="P61" s="24" t="str">
        <x:v>카랜(주)</x:v>
      </x:c>
      <x:c r="Q61" s="24" t="str">
        <x:v>있음</x:v>
      </x:c>
      <x:c r="R61" s="24" t="str"/>
      <x:c r="S61" s="31" t="n">
        <x:v>23</x:v>
      </x:c>
      <x:c r="T61" s="24" t="str"/>
      <x:c r="U61" s="24" t="str"/>
    </x:row>
    <x:row r="62" ht="17.25" customHeight="1">
      <x:c r="A62" s="24" t="str">
        <x:v>SW-C-311마8929-1-20260504-24</x:v>
      </x:c>
      <x:c r="B62" s="24" t="str">
        <x:v>스위치플랜</x:v>
      </x:c>
      <x:c r="C62" s="24" t="str">
        <x:v>311마8929</x:v>
      </x:c>
      <x:c r="D62" s="31" t="n">
        <x:v>1</x:v>
      </x:c>
      <x:c r="E62" s="24" t="str">
        <x:v>현재칸</x:v>
      </x:c>
      <x:c r="F62" s="24" t="str">
        <x:v>구독대여</x:v>
      </x:c>
      <x:c r="G62" s="24" t="str">
        <x:v>김태원</x:v>
      </x:c>
      <x:c r="H62" s="30" t="n">
        <x:v>46146</x:v>
      </x:c>
      <x:c r="I62" s="30" t="n">
        <x:v>47606</x:v>
      </x:c>
      <x:c r="J62" s="30"/>
      <x:c r="K62" s="32" t="n">
        <x:v>880000</x:v>
      </x:c>
      <x:c r="L62" s="32"/>
      <x:c r="M62" s="24" t="str">
        <x:v>05일</x:v>
      </x:c>
      <x:c r="N62" s="24" t="str">
        <x:v>개인</x:v>
      </x:c>
      <x:c r="O62" s="24" t="str">
        <x:v>KB</x:v>
      </x:c>
      <x:c r="P62" s="24" t="str">
        <x:v>하하호</x:v>
      </x:c>
      <x:c r="Q62" s="24" t="str">
        <x:v>있음</x:v>
      </x:c>
      <x:c r="R62" s="24" t="str"/>
      <x:c r="S62" s="31" t="n">
        <x:v>24</x:v>
      </x:c>
      <x:c r="T62" s="24" t="str">
        <x:v>연령 확인</x:v>
      </x:c>
      <x:c r="U62" s="24" t="str">
        <x:v>무보증</x:v>
      </x:c>
    </x:row>
    <x:row r="63" ht="17.25" customHeight="1">
      <x:c r="A63" s="24" t="str">
        <x:v>SW-C-311마8929-2-20251201-24</x:v>
      </x:c>
      <x:c r="B63" s="24" t="str">
        <x:v>스위치플랜</x:v>
      </x:c>
      <x:c r="C63" s="24" t="str">
        <x:v>311마8929</x:v>
      </x:c>
      <x:c r="D63" s="31" t="n">
        <x:v>2</x:v>
      </x:c>
      <x:c r="E63" s="24" t="str">
        <x:v>이력</x:v>
      </x:c>
      <x:c r="F63" s="24" t="str">
        <x:v>구독대여</x:v>
      </x:c>
      <x:c r="G63" s="24" t="str">
        <x:v>주은호</x:v>
      </x:c>
      <x:c r="H63" s="30" t="n">
        <x:v>45992</x:v>
      </x:c>
      <x:c r="I63" s="30" t="n">
        <x:v>47222</x:v>
      </x:c>
      <x:c r="J63" s="30" t="n">
        <x:v>46120</x:v>
      </x:c>
      <x:c r="K63" s="32" t="n">
        <x:v>1280000</x:v>
      </x:c>
      <x:c r="L63" s="32"/>
      <x:c r="M63" s="24" t="str"/>
      <x:c r="N63" s="24" t="str">
        <x:v>개인</x:v>
      </x:c>
      <x:c r="O63" s="24" t="str"/>
      <x:c r="P63" s="24" t="str">
        <x:v>하허호</x:v>
      </x:c>
      <x:c r="Q63" s="24" t="str">
        <x:v>있음</x:v>
      </x:c>
      <x:c r="R63" s="24" t="str"/>
      <x:c r="S63" s="31" t="n">
        <x:v>24</x:v>
      </x:c>
      <x:c r="T63" s="24" t="str">
        <x:v>연령 확인</x:v>
      </x:c>
      <x:c r="U63" s="24" t="str">
        <x:v>무보증</x:v>
      </x:c>
    </x:row>
    <x:row r="64" ht="17.25" customHeight="1">
      <x:c r="A64" s="24" t="str">
        <x:v>SW-C-311마8929-3-20250415-24</x:v>
      </x:c>
      <x:c r="B64" s="24" t="str">
        <x:v>스위치플랜</x:v>
      </x:c>
      <x:c r="C64" s="24" t="str">
        <x:v>311마8929</x:v>
      </x:c>
      <x:c r="D64" s="31" t="n">
        <x:v>3</x:v>
      </x:c>
      <x:c r="E64" s="24" t="str">
        <x:v>이력</x:v>
      </x:c>
      <x:c r="F64" s="24" t="str">
        <x:v>구독대여</x:v>
      </x:c>
      <x:c r="G64" s="24" t="str">
        <x:v>윤도희</x:v>
      </x:c>
      <x:c r="H64" s="30" t="n">
        <x:v>45762</x:v>
      </x:c>
      <x:c r="I64" s="30" t="n">
        <x:v>47222</x:v>
      </x:c>
      <x:c r="J64" s="30" t="n">
        <x:v>45992</x:v>
      </x:c>
      <x:c r="K64" s="32" t="n">
        <x:v>1280000</x:v>
      </x:c>
      <x:c r="L64" s="32"/>
      <x:c r="M64" s="24" t="str"/>
      <x:c r="N64" s="24" t="str">
        <x:v>개인</x:v>
      </x:c>
      <x:c r="O64" s="24" t="str"/>
      <x:c r="P64" s="24" t="str">
        <x:v>하허호</x:v>
      </x:c>
      <x:c r="Q64" s="24" t="str">
        <x:v>있음</x:v>
      </x:c>
      <x:c r="R64" s="24" t="str"/>
      <x:c r="S64" s="31" t="n">
        <x:v>24</x:v>
      </x:c>
      <x:c r="T64" s="24" t="str">
        <x:v>연령 확인</x:v>
      </x:c>
      <x:c r="U64" s="24" t="str">
        <x:v>무보증</x:v>
      </x:c>
    </x:row>
    <x:row r="65" ht="17.25" customHeight="1">
      <x:c r="A65" s="24" t="str">
        <x:v>SW-C-311마8929-4-20240229-24</x:v>
      </x:c>
      <x:c r="B65" s="24" t="str">
        <x:v>스위치플랜</x:v>
      </x:c>
      <x:c r="C65" s="24" t="str">
        <x:v>311마8929</x:v>
      </x:c>
      <x:c r="D65" s="31" t="n">
        <x:v>4</x:v>
      </x:c>
      <x:c r="E65" s="24" t="str">
        <x:v>이력</x:v>
      </x:c>
      <x:c r="F65" s="24" t="str">
        <x:v>구독대여</x:v>
      </x:c>
      <x:c r="G65" s="24" t="str">
        <x:v>위국희</x:v>
      </x:c>
      <x:c r="H65" s="30" t="n">
        <x:v>45351</x:v>
      </x:c>
      <x:c r="I65" s="30" t="n">
        <x:v>46811</x:v>
      </x:c>
      <x:c r="J65" s="30" t="n">
        <x:v>45746</x:v>
      </x:c>
      <x:c r="K65" s="32" t="n">
        <x:v>1170000</x:v>
      </x:c>
      <x:c r="L65" s="32" t="n">
        <x:v>6300000</x:v>
      </x:c>
      <x:c r="M65" s="24" t="str"/>
      <x:c r="N65" s="24" t="str">
        <x:v>개인</x:v>
      </x:c>
      <x:c r="O65" s="24" t="str"/>
      <x:c r="P65" s="24" t="str">
        <x:v>카랜(주)</x:v>
      </x:c>
      <x:c r="Q65" s="24" t="str">
        <x:v>있음</x:v>
      </x:c>
      <x:c r="R65" s="24" t="str"/>
      <x:c r="S65" s="31" t="n">
        <x:v>24</x:v>
      </x:c>
      <x:c r="T65" s="24" t="str">
        <x:v>연령 확인</x:v>
      </x:c>
      <x:c r="U65" s="24" t="str"/>
    </x:row>
    <x:row r="66" ht="17.25" customHeight="1">
      <x:c r="A66" s="24" t="str">
        <x:v>SW-C-10어7374-1-20241230-25</x:v>
      </x:c>
      <x:c r="B66" s="24" t="str">
        <x:v>스위치플랜</x:v>
      </x:c>
      <x:c r="C66" s="24" t="str">
        <x:v>10어7374</x:v>
      </x:c>
      <x:c r="D66" s="31" t="n">
        <x:v>1</x:v>
      </x:c>
      <x:c r="E66" s="24" t="str">
        <x:v>현재칸</x:v>
      </x:c>
      <x:c r="F66" s="24" t="str">
        <x:v>구독대여</x:v>
      </x:c>
      <x:c r="G66" s="24" t="str">
        <x:v>오종석</x:v>
      </x:c>
      <x:c r="H66" s="30" t="n">
        <x:v>45656</x:v>
      </x:c>
      <x:c r="I66" s="30" t="n">
        <x:v>47116</x:v>
      </x:c>
      <x:c r="J66" s="30"/>
      <x:c r="K66" s="32" t="n">
        <x:v>580000</x:v>
      </x:c>
      <x:c r="L66" s="32" t="n">
        <x:v>1490000</x:v>
      </x:c>
      <x:c r="M66" s="24" t="str">
        <x:v>말일</x:v>
      </x:c>
      <x:c r="N66" s="24" t="str">
        <x:v>24</x:v>
      </x:c>
      <x:c r="O66" s="24" t="str">
        <x:v>DB</x:v>
      </x:c>
      <x:c r="P66" s="24" t="str">
        <x:v>하허호</x:v>
      </x:c>
      <x:c r="Q66" s="24" t="str">
        <x:v>있음</x:v>
      </x:c>
      <x:c r="R66" s="24" t="str"/>
      <x:c r="S66" s="31" t="n">
        <x:v>25</x:v>
      </x:c>
      <x:c r="T66" s="24" t="str"/>
      <x:c r="U66" s="24" t="str"/>
    </x:row>
    <x:row r="67" ht="17.25" customHeight="1">
      <x:c r="A67" s="24" t="str">
        <x:v>SW-C-252거3143-1-20240820-26</x:v>
      </x:c>
      <x:c r="B67" s="24" t="str">
        <x:v>스위치플랜</x:v>
      </x:c>
      <x:c r="C67" s="24" t="str">
        <x:v>252거3143</x:v>
      </x:c>
      <x:c r="D67" s="31" t="n">
        <x:v>1</x:v>
      </x:c>
      <x:c r="E67" s="24" t="str">
        <x:v>현재칸</x:v>
      </x:c>
      <x:c r="F67" s="24" t="str">
        <x:v>구독대여</x:v>
      </x:c>
      <x:c r="G67" s="24" t="str">
        <x:v>김종원</x:v>
      </x:c>
      <x:c r="H67" s="30" t="n">
        <x:v>45524</x:v>
      </x:c>
      <x:c r="I67" s="30" t="n">
        <x:v>46984</x:v>
      </x:c>
      <x:c r="J67" s="30"/>
      <x:c r="K67" s="32" t="n">
        <x:v>320000</x:v>
      </x:c>
      <x:c r="L67" s="32" t="n">
        <x:v>630000</x:v>
      </x:c>
      <x:c r="M67" s="24" t="str">
        <x:v>20일</x:v>
      </x:c>
      <x:c r="N67" s="24" t="str">
        <x:v>35</x:v>
      </x:c>
      <x:c r="O67" s="24" t="str">
        <x:v>DB</x:v>
      </x:c>
      <x:c r="P67" s="24" t="str">
        <x:v>하허호</x:v>
      </x:c>
      <x:c r="Q67" s="24" t="str">
        <x:v>있음</x:v>
      </x:c>
      <x:c r="R67" s="24" t="str"/>
      <x:c r="S67" s="31" t="n">
        <x:v>26</x:v>
      </x:c>
      <x:c r="T67" s="24" t="str"/>
      <x:c r="U67" s="24" t="str"/>
    </x:row>
    <x:row r="68" ht="17.25" customHeight="1">
      <x:c r="A68" s="24" t="str">
        <x:v>SW-C-57나3382-1-20260520-27</x:v>
      </x:c>
      <x:c r="B68" s="24" t="str">
        <x:v>스위치플랜</x:v>
      </x:c>
      <x:c r="C68" s="24" t="str">
        <x:v>57나3382</x:v>
      </x:c>
      <x:c r="D68" s="31" t="n">
        <x:v>1</x:v>
      </x:c>
      <x:c r="E68" s="24" t="str">
        <x:v>현재칸</x:v>
      </x:c>
      <x:c r="F68" s="24" t="str">
        <x:v>구독대여</x:v>
      </x:c>
      <x:c r="G68" s="24" t="str">
        <x:v>김대훈</x:v>
      </x:c>
      <x:c r="H68" s="30" t="n">
        <x:v>46162</x:v>
      </x:c>
      <x:c r="I68" s="30" t="n">
        <x:v>47622</x:v>
      </x:c>
      <x:c r="J68" s="30"/>
      <x:c r="K68" s="32" t="n">
        <x:v>350000</x:v>
      </x:c>
      <x:c r="L68" s="32" t="n">
        <x:v>500000</x:v>
      </x:c>
      <x:c r="M68" s="24" t="str">
        <x:v>20일</x:v>
      </x:c>
      <x:c r="N68" s="24" t="str">
        <x:v>개인</x:v>
      </x:c>
      <x:c r="O68" s="24" t="str">
        <x:v>한화손보</x:v>
      </x:c>
      <x:c r="P68" s="24" t="str"/>
      <x:c r="Q68" s="24" t="str">
        <x:v>있음</x:v>
      </x:c>
      <x:c r="R68" s="24" t="str"/>
      <x:c r="S68" s="31" t="n">
        <x:v>27</x:v>
      </x:c>
      <x:c r="T68" s="24" t="str">
        <x:v>연령 확인</x:v>
      </x:c>
      <x:c r="U68" s="24" t="str"/>
    </x:row>
    <x:row r="69" ht="17.25" customHeight="1">
      <x:c r="A69" s="24" t="str">
        <x:v>SW-C-57나3382-2-20250428-27</x:v>
      </x:c>
      <x:c r="B69" s="24" t="str">
        <x:v>스위치플랜</x:v>
      </x:c>
      <x:c r="C69" s="24" t="str">
        <x:v>57나3382</x:v>
      </x:c>
      <x:c r="D69" s="31" t="n">
        <x:v>2</x:v>
      </x:c>
      <x:c r="E69" s="24" t="str">
        <x:v>이력</x:v>
      </x:c>
      <x:c r="F69" s="24" t="str">
        <x:v>구독대여</x:v>
      </x:c>
      <x:c r="G69" s="24" t="str">
        <x:v>최춘학</x:v>
      </x:c>
      <x:c r="H69" s="30" t="n">
        <x:v>45775</x:v>
      </x:c>
      <x:c r="I69" s="30" t="n">
        <x:v>47235</x:v>
      </x:c>
      <x:c r="J69" s="30" t="n">
        <x:v>46135</x:v>
      </x:c>
      <x:c r="K69" s="32" t="n">
        <x:v>370000</x:v>
      </x:c>
      <x:c r="L69" s="32"/>
      <x:c r="M69" s="24" t="str"/>
      <x:c r="N69" s="24" t="str">
        <x:v>개인</x:v>
      </x:c>
      <x:c r="O69" s="24" t="str"/>
      <x:c r="P69" s="24" t="str">
        <x:v>에메트</x:v>
      </x:c>
      <x:c r="Q69" s="24" t="str">
        <x:v>있음</x:v>
      </x:c>
      <x:c r="R69" s="24" t="str"/>
      <x:c r="S69" s="31" t="n">
        <x:v>27</x:v>
      </x:c>
      <x:c r="T69" s="24" t="str">
        <x:v>연령 확인</x:v>
      </x:c>
      <x:c r="U69" s="24" t="str">
        <x:v>무보증</x:v>
      </x:c>
    </x:row>
    <x:row r="70" ht="17.25" customHeight="1">
      <x:c r="A70" s="24" t="str">
        <x:v>SW-C-57나3382-3-20240417-27</x:v>
      </x:c>
      <x:c r="B70" s="24" t="str">
        <x:v>스위치플랜</x:v>
      </x:c>
      <x:c r="C70" s="24" t="str">
        <x:v>57나3382</x:v>
      </x:c>
      <x:c r="D70" s="31" t="n">
        <x:v>3</x:v>
      </x:c>
      <x:c r="E70" s="24" t="str">
        <x:v>이력</x:v>
      </x:c>
      <x:c r="F70" s="24" t="str">
        <x:v>구독대여</x:v>
      </x:c>
      <x:c r="G70" s="24" t="str">
        <x:v>현경재</x:v>
      </x:c>
      <x:c r="H70" s="30" t="n">
        <x:v>45399</x:v>
      </x:c>
      <x:c r="I70" s="30" t="n">
        <x:v>45763</x:v>
      </x:c>
      <x:c r="J70" s="30" t="n">
        <x:v>45763</x:v>
      </x:c>
      <x:c r="K70" s="32" t="n">
        <x:v>460000</x:v>
      </x:c>
      <x:c r="L70" s="32" t="n">
        <x:v>460000</x:v>
      </x:c>
      <x:c r="M70" s="24" t="str"/>
      <x:c r="N70" s="24" t="str">
        <x:v>개인</x:v>
      </x:c>
      <x:c r="O70" s="24" t="str"/>
      <x:c r="P70" s="24" t="str">
        <x:v>하허호</x:v>
      </x:c>
      <x:c r="Q70" s="24" t="str">
        <x:v>있음</x:v>
      </x:c>
      <x:c r="R70" s="24" t="str"/>
      <x:c r="S70" s="31" t="n">
        <x:v>27</x:v>
      </x:c>
      <x:c r="T70" s="24" t="str">
        <x:v>연령 확인</x:v>
      </x:c>
      <x:c r="U70" s="24" t="str"/>
    </x:row>
    <x:row r="71" ht="17.25" customHeight="1">
      <x:c r="A71" s="24" t="str">
        <x:v>SW-C-57나3382-4-20231127-27</x:v>
      </x:c>
      <x:c r="B71" s="24" t="str">
        <x:v>스위치플랜</x:v>
      </x:c>
      <x:c r="C71" s="24" t="str">
        <x:v>57나3382</x:v>
      </x:c>
      <x:c r="D71" s="31" t="n">
        <x:v>4</x:v>
      </x:c>
      <x:c r="E71" s="24" t="str">
        <x:v>이력</x:v>
      </x:c>
      <x:c r="F71" s="24" t="str">
        <x:v>구독대여</x:v>
      </x:c>
      <x:c r="G71" s="24" t="str">
        <x:v>이명성</x:v>
      </x:c>
      <x:c r="H71" s="30" t="n">
        <x:v>45257</x:v>
      </x:c>
      <x:c r="I71" s="30" t="n">
        <x:v>45622</x:v>
      </x:c>
      <x:c r="J71" s="30" t="n">
        <x:v>45393</x:v>
      </x:c>
      <x:c r="K71" s="32" t="n">
        <x:v>460000</x:v>
      </x:c>
      <x:c r="L71" s="32" t="n">
        <x:v>460000</x:v>
      </x:c>
      <x:c r="M71" s="24" t="str"/>
      <x:c r="N71" s="24" t="str">
        <x:v>개인</x:v>
      </x:c>
      <x:c r="O71" s="24" t="str"/>
      <x:c r="P71" s="24" t="str">
        <x:v>하허호</x:v>
      </x:c>
      <x:c r="Q71" s="24" t="str">
        <x:v>있음</x:v>
      </x:c>
      <x:c r="R71" s="24" t="str"/>
      <x:c r="S71" s="31" t="n">
        <x:v>27</x:v>
      </x:c>
      <x:c r="T71" s="24" t="str">
        <x:v>연령 확인</x:v>
      </x:c>
      <x:c r="U71" s="24" t="str"/>
    </x:row>
    <x:row r="72" ht="17.25" customHeight="1">
      <x:c r="A72" s="24" t="str">
        <x:v>SW-C-81너0984-1-20240118-28</x:v>
      </x:c>
      <x:c r="B72" s="24" t="str">
        <x:v>스위치플랜</x:v>
      </x:c>
      <x:c r="C72" s="24" t="str">
        <x:v>81너0984</x:v>
      </x:c>
      <x:c r="D72" s="31" t="n">
        <x:v>1</x:v>
      </x:c>
      <x:c r="E72" s="24" t="str">
        <x:v>현재칸</x:v>
      </x:c>
      <x:c r="F72" s="24" t="str">
        <x:v>구독대여</x:v>
      </x:c>
      <x:c r="G72" s="24" t="str">
        <x:v>양인석</x:v>
      </x:c>
      <x:c r="H72" s="30" t="n">
        <x:v>45309</x:v>
      </x:c>
      <x:c r="I72" s="30" t="n">
        <x:v>46769</x:v>
      </x:c>
      <x:c r="J72" s="30"/>
      <x:c r="K72" s="32" t="n">
        <x:v>720000</x:v>
      </x:c>
      <x:c r="L72" s="32" t="n">
        <x:v>880000</x:v>
      </x:c>
      <x:c r="M72" s="24" t="str">
        <x:v>20일</x:v>
      </x:c>
      <x:c r="N72" s="24" t="str">
        <x:v>35</x:v>
      </x:c>
      <x:c r="O72" s="24" t="str">
        <x:v>DB</x:v>
      </x:c>
      <x:c r="P72" s="24" t="str">
        <x:v>SI</x:v>
      </x:c>
      <x:c r="Q72" s="24" t="str">
        <x:v>있음</x:v>
      </x:c>
      <x:c r="R72" s="24" t="str"/>
      <x:c r="S72" s="31" t="n">
        <x:v>28</x:v>
      </x:c>
      <x:c r="T72" s="24" t="str"/>
      <x:c r="U72" s="24" t="str"/>
    </x:row>
    <x:row r="73" ht="17.25" customHeight="1">
      <x:c r="A73" s="24" t="str">
        <x:v>SW-C-133가8292-1-20240504-29</x:v>
      </x:c>
      <x:c r="B73" s="24" t="str">
        <x:v>스위치플랜</x:v>
      </x:c>
      <x:c r="C73" s="24" t="str">
        <x:v>133가8292</x:v>
      </x:c>
      <x:c r="D73" s="31" t="n">
        <x:v>1</x:v>
      </x:c>
      <x:c r="E73" s="24" t="str">
        <x:v>현재칸</x:v>
      </x:c>
      <x:c r="F73" s="24" t="str">
        <x:v>구독대여</x:v>
      </x:c>
      <x:c r="G73" s="24" t="str">
        <x:v>김찬일</x:v>
      </x:c>
      <x:c r="H73" s="30" t="n">
        <x:v>45416</x:v>
      </x:c>
      <x:c r="I73" s="30" t="n">
        <x:v>46297</x:v>
      </x:c>
      <x:c r="J73" s="30"/>
      <x:c r="K73" s="32" t="n">
        <x:v>840000</x:v>
      </x:c>
      <x:c r="L73" s="32" t="n">
        <x:v>3450000</x:v>
      </x:c>
      <x:c r="M73" s="24" t="str">
        <x:v>05일</x:v>
      </x:c>
      <x:c r="N73" s="24" t="str">
        <x:v>35</x:v>
      </x:c>
      <x:c r="O73" s="24" t="str">
        <x:v>AXA</x:v>
      </x:c>
      <x:c r="P73" s="24" t="str">
        <x:v>하허호</x:v>
      </x:c>
      <x:c r="Q73" s="24" t="str">
        <x:v>있음</x:v>
      </x:c>
      <x:c r="R73" s="24" t="str"/>
      <x:c r="S73" s="31" t="n">
        <x:v>29</x:v>
      </x:c>
      <x:c r="T73" s="24" t="str"/>
      <x:c r="U73" s="24" t="str"/>
    </x:row>
    <x:row r="74" ht="17.25" customHeight="1">
      <x:c r="A74" s="24" t="str">
        <x:v>SW-C-51라1828-1-20240405-30</x:v>
      </x:c>
      <x:c r="B74" s="24" t="str">
        <x:v>스위치플랜</x:v>
      </x:c>
      <x:c r="C74" s="24" t="str">
        <x:v>51라1828</x:v>
      </x:c>
      <x:c r="D74" s="31" t="n">
        <x:v>1</x:v>
      </x:c>
      <x:c r="E74" s="24" t="str">
        <x:v>현재칸</x:v>
      </x:c>
      <x:c r="F74" s="24" t="str">
        <x:v>구독대여</x:v>
      </x:c>
      <x:c r="G74" s="24" t="str">
        <x:v>안준우</x:v>
      </x:c>
      <x:c r="H74" s="30" t="n">
        <x:v>45387</x:v>
      </x:c>
      <x:c r="I74" s="30" t="n">
        <x:v>46847</x:v>
      </x:c>
      <x:c r="J74" s="30"/>
      <x:c r="K74" s="32" t="n">
        <x:v>650000</x:v>
      </x:c>
      <x:c r="L74" s="32" t="n">
        <x:v>1500000</x:v>
      </x:c>
      <x:c r="M74" s="24" t="str">
        <x:v>10일</x:v>
      </x:c>
      <x:c r="N74" s="24" t="str">
        <x:v>26</x:v>
      </x:c>
      <x:c r="O74" s="24" t="str">
        <x:v>DB</x:v>
      </x:c>
      <x:c r="P74" s="24" t="str">
        <x:v>카랜(주)</x:v>
      </x:c>
      <x:c r="Q74" s="24" t="str">
        <x:v>있음</x:v>
      </x:c>
      <x:c r="R74" s="24" t="str"/>
      <x:c r="S74" s="31" t="n">
        <x:v>30</x:v>
      </x:c>
      <x:c r="T74" s="24" t="str"/>
      <x:c r="U74" s="24" t="str"/>
    </x:row>
    <x:row r="75" ht="17.25" customHeight="1">
      <x:c r="A75" s="24" t="str">
        <x:v>SW-C-265가2481-1-20240718-31</x:v>
      </x:c>
      <x:c r="B75" s="24" t="str">
        <x:v>스위치플랜</x:v>
      </x:c>
      <x:c r="C75" s="24" t="str">
        <x:v>265가2481</x:v>
      </x:c>
      <x:c r="D75" s="31" t="n">
        <x:v>1</x:v>
      </x:c>
      <x:c r="E75" s="24" t="str">
        <x:v>현재칸</x:v>
      </x:c>
      <x:c r="F75" s="24" t="str">
        <x:v>구독대여</x:v>
      </x:c>
      <x:c r="G75" s="24" t="str">
        <x:v>최희영</x:v>
      </x:c>
      <x:c r="H75" s="30" t="n">
        <x:v>45491</x:v>
      </x:c>
      <x:c r="I75" s="30" t="n">
        <x:v>46951</x:v>
      </x:c>
      <x:c r="J75" s="30"/>
      <x:c r="K75" s="32" t="n">
        <x:v>990000</x:v>
      </x:c>
      <x:c r="L75" s="32" t="n">
        <x:v>2900000</x:v>
      </x:c>
      <x:c r="M75" s="24" t="str">
        <x:v>20일</x:v>
      </x:c>
      <x:c r="N75" s="24" t="str">
        <x:v>30</x:v>
      </x:c>
      <x:c r="O75" s="24" t="str">
        <x:v>DB</x:v>
      </x:c>
      <x:c r="P75" s="24" t="str">
        <x:v>하허호</x:v>
      </x:c>
      <x:c r="Q75" s="24" t="str">
        <x:v>있음</x:v>
      </x:c>
      <x:c r="R75" s="24" t="str"/>
      <x:c r="S75" s="31" t="n">
        <x:v>31</x:v>
      </x:c>
      <x:c r="T75" s="24" t="str"/>
      <x:c r="U75" s="24" t="str"/>
    </x:row>
    <x:row r="76" ht="17.25" customHeight="1">
      <x:c r="A76" s="24" t="str">
        <x:v>SW-C-30어1926-1-20250804-32</x:v>
      </x:c>
      <x:c r="B76" s="24" t="str">
        <x:v>스위치플랜</x:v>
      </x:c>
      <x:c r="C76" s="24" t="str">
        <x:v>30어1926</x:v>
      </x:c>
      <x:c r="D76" s="31" t="n">
        <x:v>1</x:v>
      </x:c>
      <x:c r="E76" s="24" t="str">
        <x:v>현재칸</x:v>
      </x:c>
      <x:c r="F76" s="24" t="str">
        <x:v>구독대여</x:v>
      </x:c>
      <x:c r="G76" s="24" t="str">
        <x:v>광명건설</x:v>
      </x:c>
      <x:c r="H76" s="30" t="n">
        <x:v>45873</x:v>
      </x:c>
      <x:c r="I76" s="30" t="n">
        <x:v>47333</x:v>
      </x:c>
      <x:c r="J76" s="30"/>
      <x:c r="K76" s="32" t="n">
        <x:v>1080000</x:v>
      </x:c>
      <x:c r="L76" s="32"/>
      <x:c r="M76" s="24" t="str">
        <x:v>15일</x:v>
      </x:c>
      <x:c r="N76" s="24" t="str">
        <x:v>30</x:v>
      </x:c>
      <x:c r="O76" s="24" t="str">
        <x:v>DB</x:v>
      </x:c>
      <x:c r="P76" s="24" t="str">
        <x:v>렌트야</x:v>
      </x:c>
      <x:c r="Q76" s="24" t="str">
        <x:v>있음</x:v>
      </x:c>
      <x:c r="R76" s="24" t="str"/>
      <x:c r="S76" s="31" t="n">
        <x:v>32</x:v>
      </x:c>
      <x:c r="T76" s="24" t="str"/>
      <x:c r="U76" s="24" t="str">
        <x:v>무보증</x:v>
      </x:c>
    </x:row>
    <x:row r="77" ht="17.25" customHeight="1">
      <x:c r="A77" s="24" t="str">
        <x:v>SW-C-30어1926-2-20250212-32</x:v>
      </x:c>
      <x:c r="B77" s="24" t="str">
        <x:v>스위치플랜</x:v>
      </x:c>
      <x:c r="C77" s="24" t="str">
        <x:v>30어1926</x:v>
      </x:c>
      <x:c r="D77" s="31" t="n">
        <x:v>2</x:v>
      </x:c>
      <x:c r="E77" s="24" t="str">
        <x:v>이력</x:v>
      </x:c>
      <x:c r="F77" s="24" t="str">
        <x:v>구독대여</x:v>
      </x:c>
      <x:c r="G77" s="24" t="str">
        <x:v>서동혁</x:v>
      </x:c>
      <x:c r="H77" s="30" t="n">
        <x:v>45700</x:v>
      </x:c>
      <x:c r="I77" s="30" t="n">
        <x:v>47160</x:v>
      </x:c>
      <x:c r="J77" s="30" t="n">
        <x:v>45831</x:v>
      </x:c>
      <x:c r="K77" s="32" t="n">
        <x:v>980000</x:v>
      </x:c>
      <x:c r="L77" s="32"/>
      <x:c r="M77" s="24" t="str"/>
      <x:c r="N77" s="24" t="str">
        <x:v>30</x:v>
      </x:c>
      <x:c r="O77" s="24" t="str"/>
      <x:c r="P77" s="24" t="str">
        <x:v>하허호</x:v>
      </x:c>
      <x:c r="Q77" s="24" t="str">
        <x:v>있음</x:v>
      </x:c>
      <x:c r="R77" s="24" t="str"/>
      <x:c r="S77" s="31" t="n">
        <x:v>32</x:v>
      </x:c>
      <x:c r="T77" s="24" t="str"/>
      <x:c r="U77" s="24" t="str">
        <x:v>무보증</x:v>
      </x:c>
    </x:row>
    <x:row r="78" ht="17.25" customHeight="1">
      <x:c r="A78" s="24" t="str">
        <x:v>SW-C-30어1926-3-20240126-32</x:v>
      </x:c>
      <x:c r="B78" s="24" t="str">
        <x:v>스위치플랜</x:v>
      </x:c>
      <x:c r="C78" s="24" t="str">
        <x:v>30어1926</x:v>
      </x:c>
      <x:c r="D78" s="31" t="n">
        <x:v>3</x:v>
      </x:c>
      <x:c r="E78" s="24" t="str">
        <x:v>이력</x:v>
      </x:c>
      <x:c r="F78" s="24" t="str">
        <x:v>구독대여</x:v>
      </x:c>
      <x:c r="G78" s="24" t="str">
        <x:v>차현</x:v>
      </x:c>
      <x:c r="H78" s="30" t="n">
        <x:v>45317</x:v>
      </x:c>
      <x:c r="I78" s="30" t="n">
        <x:v>45682</x:v>
      </x:c>
      <x:c r="J78" s="30" t="n">
        <x:v>45523</x:v>
      </x:c>
      <x:c r="K78" s="32" t="n">
        <x:v>1360000</x:v>
      </x:c>
      <x:c r="L78" s="32" t="n">
        <x:v>1360000</x:v>
      </x:c>
      <x:c r="M78" s="24" t="str"/>
      <x:c r="N78" s="24" t="str">
        <x:v>30</x:v>
      </x:c>
      <x:c r="O78" s="24" t="str"/>
      <x:c r="P78" s="24" t="str">
        <x:v>하허호</x:v>
      </x:c>
      <x:c r="Q78" s="24" t="str">
        <x:v>있음</x:v>
      </x:c>
      <x:c r="R78" s="24" t="str"/>
      <x:c r="S78" s="31" t="n">
        <x:v>32</x:v>
      </x:c>
      <x:c r="T78" s="24" t="str"/>
      <x:c r="U78" s="24" t="str"/>
    </x:row>
    <x:row r="79" ht="17.25" customHeight="1">
      <x:c r="A79" s="24" t="str">
        <x:v>SW-C-172수8945-1-20260528-33</x:v>
      </x:c>
      <x:c r="B79" s="24" t="str">
        <x:v>스위치플랜</x:v>
      </x:c>
      <x:c r="C79" s="24" t="str">
        <x:v>172수8945</x:v>
      </x:c>
      <x:c r="D79" s="31" t="n">
        <x:v>1</x:v>
      </x:c>
      <x:c r="E79" s="24" t="str">
        <x:v>현재칸</x:v>
      </x:c>
      <x:c r="F79" s="24" t="str">
        <x:v>구독대여</x:v>
      </x:c>
      <x:c r="G79" s="24" t="str">
        <x:v>박형주</x:v>
      </x:c>
      <x:c r="H79" s="30" t="n">
        <x:v>46170</x:v>
      </x:c>
      <x:c r="I79" s="30" t="n">
        <x:v>47630</x:v>
      </x:c>
      <x:c r="J79" s="30"/>
      <x:c r="K79" s="32" t="n">
        <x:v>780000</x:v>
      </x:c>
      <x:c r="L79" s="32"/>
      <x:c r="M79" s="24" t="str">
        <x:v>25일</x:v>
      </x:c>
      <x:c r="N79" s="24" t="str">
        <x:v>개인</x:v>
      </x:c>
      <x:c r="O79" s="24" t="str">
        <x:v>삼성</x:v>
      </x:c>
      <x:c r="P79" s="24" t="str">
        <x:v>하허호</x:v>
      </x:c>
      <x:c r="Q79" s="24" t="str">
        <x:v>있음</x:v>
      </x:c>
      <x:c r="R79" s="24" t="str"/>
      <x:c r="S79" s="31" t="n">
        <x:v>33</x:v>
      </x:c>
      <x:c r="T79" s="24" t="str">
        <x:v>연령 확인</x:v>
      </x:c>
      <x:c r="U79" s="24" t="str">
        <x:v>무보증</x:v>
      </x:c>
    </x:row>
    <x:row r="80" ht="17.25" customHeight="1">
      <x:c r="A80" s="24" t="str">
        <x:v>SW-C-172수8945-2-20250521-33</x:v>
      </x:c>
      <x:c r="B80" s="24" t="str">
        <x:v>스위치플랜</x:v>
      </x:c>
      <x:c r="C80" s="24" t="str">
        <x:v>172수8945</x:v>
      </x:c>
      <x:c r="D80" s="31" t="n">
        <x:v>2</x:v>
      </x:c>
      <x:c r="E80" s="24" t="str">
        <x:v>이력</x:v>
      </x:c>
      <x:c r="F80" s="24" t="str">
        <x:v>구독대여</x:v>
      </x:c>
      <x:c r="G80" s="24" t="str">
        <x:v>라온하제</x:v>
      </x:c>
      <x:c r="H80" s="30" t="n">
        <x:v>45798</x:v>
      </x:c>
      <x:c r="I80" s="30" t="n">
        <x:v>46162</x:v>
      </x:c>
      <x:c r="J80" s="30" t="n">
        <x:v>46112</x:v>
      </x:c>
      <x:c r="K80" s="32" t="n">
        <x:v>1180000</x:v>
      </x:c>
      <x:c r="L80" s="32" t="n">
        <x:v>600000</x:v>
      </x:c>
      <x:c r="M80" s="24" t="str"/>
      <x:c r="N80" s="24" t="str">
        <x:v>개인</x:v>
      </x:c>
      <x:c r="O80" s="24" t="str"/>
      <x:c r="P80" s="24" t="str">
        <x:v>하허호</x:v>
      </x:c>
      <x:c r="Q80" s="24" t="str">
        <x:v>있음</x:v>
      </x:c>
      <x:c r="R80" s="24" t="str"/>
      <x:c r="S80" s="31" t="n">
        <x:v>33</x:v>
      </x:c>
      <x:c r="T80" s="24" t="str">
        <x:v>연령 확인</x:v>
      </x:c>
      <x:c r="U80" s="24" t="str"/>
    </x:row>
    <x:row r="81" ht="17.25" customHeight="1">
      <x:c r="A81" s="24" t="str">
        <x:v>SW-C-172수8945-3-20231127-33</x:v>
      </x:c>
      <x:c r="B81" s="24" t="str">
        <x:v>스위치플랜</x:v>
      </x:c>
      <x:c r="C81" s="24" t="str">
        <x:v>172수8945</x:v>
      </x:c>
      <x:c r="D81" s="31" t="n">
        <x:v>3</x:v>
      </x:c>
      <x:c r="E81" s="24" t="str">
        <x:v>이력</x:v>
      </x:c>
      <x:c r="F81" s="24" t="str">
        <x:v>구독대여</x:v>
      </x:c>
      <x:c r="G81" s="24" t="str">
        <x:v>장시영</x:v>
      </x:c>
      <x:c r="H81" s="30" t="n">
        <x:v>45257</x:v>
      </x:c>
      <x:c r="I81" s="30" t="n">
        <x:v>45622</x:v>
      </x:c>
      <x:c r="J81" s="30" t="n">
        <x:v>45422</x:v>
      </x:c>
      <x:c r="K81" s="32" t="n">
        <x:v>1400000</x:v>
      </x:c>
      <x:c r="L81" s="32" t="n">
        <x:v>1400000</x:v>
      </x:c>
      <x:c r="M81" s="24" t="str"/>
      <x:c r="N81" s="24" t="str">
        <x:v>개인</x:v>
      </x:c>
      <x:c r="O81" s="24" t="str"/>
      <x:c r="P81" s="24" t="str">
        <x:v>하허호</x:v>
      </x:c>
      <x:c r="Q81" s="24" t="str">
        <x:v>있음</x:v>
      </x:c>
      <x:c r="R81" s="24" t="str"/>
      <x:c r="S81" s="31" t="n">
        <x:v>33</x:v>
      </x:c>
      <x:c r="T81" s="24" t="str">
        <x:v>연령 확인</x:v>
      </x:c>
      <x:c r="U81" s="24" t="str"/>
    </x:row>
    <x:row r="82" ht="17.25" customHeight="1">
      <x:c r="A82" s="24" t="str">
        <x:v>SW-C-81소0566-1-20240130-34</x:v>
      </x:c>
      <x:c r="B82" s="24" t="str">
        <x:v>스위치플랜</x:v>
      </x:c>
      <x:c r="C82" s="24" t="str">
        <x:v>81소0566</x:v>
      </x:c>
      <x:c r="D82" s="31" t="n">
        <x:v>1</x:v>
      </x:c>
      <x:c r="E82" s="24" t="str">
        <x:v>현재칸</x:v>
      </x:c>
      <x:c r="F82" s="24" t="str">
        <x:v>구독대여</x:v>
      </x:c>
      <x:c r="G82" s="24" t="str">
        <x:v>김승겸</x:v>
      </x:c>
      <x:c r="H82" s="30" t="n">
        <x:v>45321</x:v>
      </x:c>
      <x:c r="I82" s="30" t="n">
        <x:v>46781</x:v>
      </x:c>
      <x:c r="J82" s="30"/>
      <x:c r="K82" s="32" t="n">
        <x:v>580000</x:v>
      </x:c>
      <x:c r="L82" s="32" t="n">
        <x:v>1500000</x:v>
      </x:c>
      <x:c r="M82" s="24" t="str">
        <x:v>말일</x:v>
      </x:c>
      <x:c r="N82" s="24" t="str">
        <x:v>35</x:v>
      </x:c>
      <x:c r="O82" s="24" t="str">
        <x:v>DB</x:v>
      </x:c>
      <x:c r="P82" s="24" t="str">
        <x:v>카리스</x:v>
      </x:c>
      <x:c r="Q82" s="24" t="str">
        <x:v>있음</x:v>
      </x:c>
      <x:c r="R82" s="24" t="str"/>
      <x:c r="S82" s="31" t="n">
        <x:v>34</x:v>
      </x:c>
      <x:c r="T82" s="24" t="str"/>
      <x:c r="U82" s="24" t="str"/>
    </x:row>
    <x:row r="83" ht="17.25" customHeight="1">
      <x:c r="A83" s="24" t="str">
        <x:v>SW-C-89너4007-1-NA-35</x:v>
      </x:c>
      <x:c r="B83" s="24" t="str">
        <x:v>스위치플랜</x:v>
      </x:c>
      <x:c r="C83" s="24" t="str">
        <x:v>89너4007</x:v>
      </x:c>
      <x:c r="D83" s="31" t="n">
        <x:v>1</x:v>
      </x:c>
      <x:c r="E83" s="24" t="str">
        <x:v>현재칸</x:v>
      </x:c>
      <x:c r="F83" s="24" t="str"/>
      <x:c r="G83" s="24" t="str">
        <x:v>박영현</x:v>
      </x:c>
      <x:c r="H83" s="30"/>
      <x:c r="I83" s="30"/>
      <x:c r="J83" s="30"/>
      <x:c r="K83" s="32"/>
      <x:c r="L83" s="32"/>
      <x:c r="M83" s="24" t="str"/>
      <x:c r="N83" s="24" t="str">
        <x:v>35</x:v>
      </x:c>
      <x:c r="O83" s="24" t="str">
        <x:v>DB</x:v>
      </x:c>
      <x:c r="P83" s="24" t="str">
        <x:v>박영협</x:v>
      </x:c>
      <x:c r="Q83" s="24" t="str">
        <x:v>없음</x:v>
      </x:c>
      <x:c r="R83" s="24" t="str"/>
      <x:c r="S83" s="31" t="n">
        <x:v>35</x:v>
      </x:c>
      <x:c r="T83" s="24" t="str">
        <x:v>필수값 확인</x:v>
      </x:c>
      <x:c r="U83" s="24" t="str"/>
    </x:row>
    <x:row r="84" ht="17.25" customHeight="1">
      <x:c r="A84" s="24" t="str">
        <x:v>SW-C-314소2486-1-20231121-36</x:v>
      </x:c>
      <x:c r="B84" s="24" t="str">
        <x:v>스위치플랜</x:v>
      </x:c>
      <x:c r="C84" s="24" t="str">
        <x:v>314소2486</x:v>
      </x:c>
      <x:c r="D84" s="31" t="n">
        <x:v>1</x:v>
      </x:c>
      <x:c r="E84" s="24" t="str">
        <x:v>현재칸</x:v>
      </x:c>
      <x:c r="F84" s="24" t="str">
        <x:v>구독대여</x:v>
      </x:c>
      <x:c r="G84" s="24" t="str">
        <x:v>우재민</x:v>
      </x:c>
      <x:c r="H84" s="30" t="n">
        <x:v>45251</x:v>
      </x:c>
      <x:c r="I84" s="30" t="n">
        <x:v>47077</x:v>
      </x:c>
      <x:c r="J84" s="30"/>
      <x:c r="K84" s="32" t="n">
        <x:v>660000</x:v>
      </x:c>
      <x:c r="L84" s="32" t="n">
        <x:v>2000000</x:v>
      </x:c>
      <x:c r="M84" s="24" t="str">
        <x:v>20일</x:v>
      </x:c>
      <x:c r="N84" s="24" t="str">
        <x:v>35</x:v>
      </x:c>
      <x:c r="O84" s="24" t="str">
        <x:v>DB</x:v>
      </x:c>
      <x:c r="P84" s="24" t="str">
        <x:v>SI</x:v>
      </x:c>
      <x:c r="Q84" s="24" t="str">
        <x:v>있음</x:v>
      </x:c>
      <x:c r="R84" s="24" t="str"/>
      <x:c r="S84" s="31" t="n">
        <x:v>36</x:v>
      </x:c>
      <x:c r="T84" s="24" t="str"/>
      <x:c r="U84" s="24" t="str"/>
    </x:row>
    <x:row r="85" ht="17.25" customHeight="1">
      <x:c r="A85" s="24" t="str">
        <x:v>SW-C-52모6211-1-20240925-37</x:v>
      </x:c>
      <x:c r="B85" s="24" t="str">
        <x:v>스위치플랜</x:v>
      </x:c>
      <x:c r="C85" s="24" t="str">
        <x:v>52모6211</x:v>
      </x:c>
      <x:c r="D85" s="31" t="n">
        <x:v>1</x:v>
      </x:c>
      <x:c r="E85" s="24" t="str">
        <x:v>현재칸</x:v>
      </x:c>
      <x:c r="F85" s="24" t="str">
        <x:v>구독대여</x:v>
      </x:c>
      <x:c r="G85" s="24" t="str">
        <x:v>이우진</x:v>
      </x:c>
      <x:c r="H85" s="30" t="n">
        <x:v>45560</x:v>
      </x:c>
      <x:c r="I85" s="30" t="n">
        <x:v>47020</x:v>
      </x:c>
      <x:c r="J85" s="30"/>
      <x:c r="K85" s="32" t="n">
        <x:v>800000</x:v>
      </x:c>
      <x:c r="L85" s="32" t="n">
        <x:v>1500000</x:v>
      </x:c>
      <x:c r="M85" s="24" t="str">
        <x:v>05일</x:v>
      </x:c>
      <x:c r="N85" s="24" t="str">
        <x:v>30</x:v>
      </x:c>
      <x:c r="O85" s="24" t="str">
        <x:v>DB</x:v>
      </x:c>
      <x:c r="P85" s="24" t="str">
        <x:v>카랜(주)</x:v>
      </x:c>
      <x:c r="Q85" s="24" t="str">
        <x:v>있음</x:v>
      </x:c>
      <x:c r="R85" s="24" t="str"/>
      <x:c r="S85" s="31" t="n">
        <x:v>37</x:v>
      </x:c>
      <x:c r="T85" s="24" t="str"/>
      <x:c r="U85" s="24" t="str"/>
    </x:row>
    <x:row r="86" ht="17.25" customHeight="1">
      <x:c r="A86" s="24" t="str">
        <x:v>SW-C-52모6211-2-20240404-37</x:v>
      </x:c>
      <x:c r="B86" s="24" t="str">
        <x:v>스위치플랜</x:v>
      </x:c>
      <x:c r="C86" s="24" t="str">
        <x:v>52모6211</x:v>
      </x:c>
      <x:c r="D86" s="31" t="n">
        <x:v>2</x:v>
      </x:c>
      <x:c r="E86" s="24" t="str">
        <x:v>이력</x:v>
      </x:c>
      <x:c r="F86" s="24" t="str">
        <x:v>구독대여</x:v>
      </x:c>
      <x:c r="G86" s="24" t="str">
        <x:v>박세인</x:v>
      </x:c>
      <x:c r="H86" s="30" t="n">
        <x:v>45386</x:v>
      </x:c>
      <x:c r="I86" s="30" t="n">
        <x:v>46846</x:v>
      </x:c>
      <x:c r="J86" s="30" t="n">
        <x:v>45544</x:v>
      </x:c>
      <x:c r="K86" s="32" t="n">
        <x:v>930000</x:v>
      </x:c>
      <x:c r="L86" s="32" t="n">
        <x:v>2000000</x:v>
      </x:c>
      <x:c r="M86" s="24" t="str"/>
      <x:c r="N86" s="24" t="str">
        <x:v>30</x:v>
      </x:c>
      <x:c r="O86" s="24" t="str"/>
      <x:c r="P86" s="24" t="str">
        <x:v>카랜(주)</x:v>
      </x:c>
      <x:c r="Q86" s="24" t="str">
        <x:v>있음</x:v>
      </x:c>
      <x:c r="R86" s="24" t="str"/>
      <x:c r="S86" s="31" t="n">
        <x:v>37</x:v>
      </x:c>
      <x:c r="T86" s="24" t="str"/>
      <x:c r="U86" s="24" t="str"/>
    </x:row>
    <x:row r="87" ht="17.25" customHeight="1">
      <x:c r="A87" s="24" t="str">
        <x:v>SW-C-376두7844-1-20250616-38</x:v>
      </x:c>
      <x:c r="B87" s="24" t="str">
        <x:v>스위치플랜</x:v>
      </x:c>
      <x:c r="C87" s="24" t="str">
        <x:v>376두7844</x:v>
      </x:c>
      <x:c r="D87" s="31" t="n">
        <x:v>1</x:v>
      </x:c>
      <x:c r="E87" s="24" t="str">
        <x:v>현재칸</x:v>
      </x:c>
      <x:c r="F87" s="24" t="str">
        <x:v>구독대여</x:v>
      </x:c>
      <x:c r="G87" s="24" t="str">
        <x:v>김동현</x:v>
      </x:c>
      <x:c r="H87" s="30" t="n">
        <x:v>45824</x:v>
      </x:c>
      <x:c r="I87" s="30" t="n">
        <x:v>47284</x:v>
      </x:c>
      <x:c r="J87" s="30"/>
      <x:c r="K87" s="32" t="n">
        <x:v>1170000</x:v>
      </x:c>
      <x:c r="L87" s="32" t="n">
        <x:v>3100000</x:v>
      </x:c>
      <x:c r="M87" s="24" t="str">
        <x:v>15일</x:v>
      </x:c>
      <x:c r="N87" s="24" t="str">
        <x:v>35</x:v>
      </x:c>
      <x:c r="O87" s="24" t="str">
        <x:v>DB</x:v>
      </x:c>
      <x:c r="P87" s="24" t="str">
        <x:v>하허호</x:v>
      </x:c>
      <x:c r="Q87" s="24" t="str">
        <x:v>있음</x:v>
      </x:c>
      <x:c r="R87" s="24" t="str"/>
      <x:c r="S87" s="31" t="n">
        <x:v>38</x:v>
      </x:c>
      <x:c r="T87" s="24" t="str"/>
      <x:c r="U87" s="24" t="str"/>
    </x:row>
    <x:row r="88" ht="17.25" customHeight="1">
      <x:c r="A88" s="24" t="str">
        <x:v>SW-C-66소6317-1-NA-39</x:v>
      </x:c>
      <x:c r="B88" s="24" t="str">
        <x:v>스위치플랜</x:v>
      </x:c>
      <x:c r="C88" s="24" t="str">
        <x:v>66소6317</x:v>
      </x:c>
      <x:c r="D88" s="31" t="n">
        <x:v>1</x:v>
      </x:c>
      <x:c r="E88" s="24" t="str">
        <x:v>현재칸</x:v>
      </x:c>
      <x:c r="F88" s="24" t="str"/>
      <x:c r="G88" s="24" t="str">
        <x:v>내부의전용</x:v>
      </x:c>
      <x:c r="H88" s="30"/>
      <x:c r="I88" s="30"/>
      <x:c r="J88" s="30"/>
      <x:c r="K88" s="32"/>
      <x:c r="L88" s="32"/>
      <x:c r="M88" s="24" t="str"/>
      <x:c r="N88" s="24" t="str">
        <x:v>책임</x:v>
      </x:c>
      <x:c r="O88" s="24" t="str">
        <x:v>삼성</x:v>
      </x:c>
      <x:c r="P88" s="24" t="str"/>
      <x:c r="Q88" s="24" t="str">
        <x:v>있음</x:v>
      </x:c>
      <x:c r="R88" s="24" t="str"/>
      <x:c r="S88" s="31" t="n">
        <x:v>39</x:v>
      </x:c>
      <x:c r="T88" s="24" t="str">
        <x:v>연령 확인</x:v>
      </x:c>
      <x:c r="U88" s="24" t="str"/>
    </x:row>
    <x:row r="89" ht="17.25" customHeight="1">
      <x:c r="A89" s="24" t="str">
        <x:v>SW-C-66소6317-2-20260521-39</x:v>
      </x:c>
      <x:c r="B89" s="24" t="str">
        <x:v>스위치플랜</x:v>
      </x:c>
      <x:c r="C89" s="24" t="str">
        <x:v>66소6317</x:v>
      </x:c>
      <x:c r="D89" s="31" t="n">
        <x:v>2</x:v>
      </x:c>
      <x:c r="E89" s="24" t="str">
        <x:v>이력</x:v>
      </x:c>
      <x:c r="F89" s="24" t="str">
        <x:v>구독대여</x:v>
      </x:c>
      <x:c r="G89" s="24" t="str">
        <x:v>카스파</x:v>
      </x:c>
      <x:c r="H89" s="30" t="n">
        <x:v>46163</x:v>
      </x:c>
      <x:c r="I89" s="30" t="n">
        <x:v>47623</x:v>
      </x:c>
      <x:c r="J89" s="30" t="n">
        <x:v>46231</x:v>
      </x:c>
      <x:c r="K89" s="32" t="n">
        <x:v>760000</x:v>
      </x:c>
      <x:c r="L89" s="32"/>
      <x:c r="M89" s="24" t="str"/>
      <x:c r="N89" s="24" t="str">
        <x:v>책임</x:v>
      </x:c>
      <x:c r="O89" s="24" t="str"/>
      <x:c r="P89" s="24" t="str"/>
      <x:c r="Q89" s="24" t="str">
        <x:v>있음</x:v>
      </x:c>
      <x:c r="R89" s="24" t="str"/>
      <x:c r="S89" s="31" t="n">
        <x:v>39</x:v>
      </x:c>
      <x:c r="T89" s="24" t="str">
        <x:v>연령 확인</x:v>
      </x:c>
      <x:c r="U89" s="24" t="str">
        <x:v>무보증</x:v>
      </x:c>
    </x:row>
    <x:row r="90" ht="17.25" customHeight="1">
      <x:c r="A90" s="24" t="str">
        <x:v>SW-C-66소6317-3-20250721-39</x:v>
      </x:c>
      <x:c r="B90" s="24" t="str">
        <x:v>스위치플랜</x:v>
      </x:c>
      <x:c r="C90" s="24" t="str">
        <x:v>66소6317</x:v>
      </x:c>
      <x:c r="D90" s="31" t="n">
        <x:v>3</x:v>
      </x:c>
      <x:c r="E90" s="24" t="str">
        <x:v>이력</x:v>
      </x:c>
      <x:c r="F90" s="24" t="str">
        <x:v>구독대여</x:v>
      </x:c>
      <x:c r="G90" s="24" t="str">
        <x:v>김희정</x:v>
      </x:c>
      <x:c r="H90" s="30" t="n">
        <x:v>45859</x:v>
      </x:c>
      <x:c r="I90" s="30" t="n">
        <x:v>47319</x:v>
      </x:c>
      <x:c r="J90" s="30" t="n">
        <x:v>46046</x:v>
      </x:c>
      <x:c r="K90" s="32" t="n">
        <x:v>930000</x:v>
      </x:c>
      <x:c r="L90" s="32"/>
      <x:c r="M90" s="24" t="str"/>
      <x:c r="N90" s="24" t="str">
        <x:v>책임</x:v>
      </x:c>
      <x:c r="O90" s="24" t="str"/>
      <x:c r="P90" s="24" t="str">
        <x:v>하허호</x:v>
      </x:c>
      <x:c r="Q90" s="24" t="str">
        <x:v>있음</x:v>
      </x:c>
      <x:c r="R90" s="24" t="str"/>
      <x:c r="S90" s="31" t="n">
        <x:v>39</x:v>
      </x:c>
      <x:c r="T90" s="24" t="str">
        <x:v>연령 확인</x:v>
      </x:c>
      <x:c r="U90" s="24" t="str">
        <x:v>무보증</x:v>
      </x:c>
    </x:row>
    <x:row r="91" ht="17.25" customHeight="1">
      <x:c r="A91" s="24" t="str">
        <x:v>SW-C-66소6317-4-20250110-39</x:v>
      </x:c>
      <x:c r="B91" s="24" t="str">
        <x:v>스위치플랜</x:v>
      </x:c>
      <x:c r="C91" s="24" t="str">
        <x:v>66소6317</x:v>
      </x:c>
      <x:c r="D91" s="31" t="n">
        <x:v>4</x:v>
      </x:c>
      <x:c r="E91" s="24" t="str">
        <x:v>이력</x:v>
      </x:c>
      <x:c r="F91" s="24" t="str">
        <x:v>구독대여</x:v>
      </x:c>
      <x:c r="G91" s="24" t="str">
        <x:v>고영엽</x:v>
      </x:c>
      <x:c r="H91" s="30" t="n">
        <x:v>45667</x:v>
      </x:c>
      <x:c r="I91" s="30" t="n">
        <x:v>47127</x:v>
      </x:c>
      <x:c r="J91" s="30" t="n">
        <x:v>45847</x:v>
      </x:c>
      <x:c r="K91" s="32" t="n">
        <x:v>980000</x:v>
      </x:c>
      <x:c r="L91" s="32" t="n">
        <x:v>2500000</x:v>
      </x:c>
      <x:c r="M91" s="24" t="str"/>
      <x:c r="N91" s="24" t="str">
        <x:v>책임</x:v>
      </x:c>
      <x:c r="O91" s="24" t="str"/>
      <x:c r="P91" s="24" t="str">
        <x:v>SI</x:v>
      </x:c>
      <x:c r="Q91" s="24" t="str">
        <x:v>있음</x:v>
      </x:c>
      <x:c r="R91" s="24" t="str"/>
      <x:c r="S91" s="31" t="n">
        <x:v>39</x:v>
      </x:c>
      <x:c r="T91" s="24" t="str">
        <x:v>연령 확인</x:v>
      </x:c>
      <x:c r="U91" s="24" t="str"/>
    </x:row>
    <x:row r="92" ht="17.25" customHeight="1">
      <x:c r="A92" s="24" t="str">
        <x:v>SW-C-162고5602-1-20241216-40</x:v>
      </x:c>
      <x:c r="B92" s="24" t="str">
        <x:v>스위치플랜</x:v>
      </x:c>
      <x:c r="C92" s="24" t="str">
        <x:v>162고5602</x:v>
      </x:c>
      <x:c r="D92" s="31" t="n">
        <x:v>1</x:v>
      </x:c>
      <x:c r="E92" s="24" t="str">
        <x:v>현재칸</x:v>
      </x:c>
      <x:c r="F92" s="24" t="str">
        <x:v>구독대여</x:v>
      </x:c>
      <x:c r="G92" s="24" t="str">
        <x:v>디테힐링(장승민)</x:v>
      </x:c>
      <x:c r="H92" s="30" t="n">
        <x:v>45642</x:v>
      </x:c>
      <x:c r="I92" s="30" t="n">
        <x:v>47467</x:v>
      </x:c>
      <x:c r="J92" s="30"/>
      <x:c r="K92" s="32" t="n">
        <x:v>280000</x:v>
      </x:c>
      <x:c r="L92" s="32" t="n">
        <x:v>670000</x:v>
      </x:c>
      <x:c r="M92" s="24" t="str">
        <x:v>15일</x:v>
      </x:c>
      <x:c r="N92" s="24" t="str">
        <x:v>26</x:v>
      </x:c>
      <x:c r="O92" s="24" t="str">
        <x:v>DB</x:v>
      </x:c>
      <x:c r="P92" s="24" t="str">
        <x:v>하허호</x:v>
      </x:c>
      <x:c r="Q92" s="24" t="str">
        <x:v>있음</x:v>
      </x:c>
      <x:c r="R92" s="24" t="str"/>
      <x:c r="S92" s="31" t="n">
        <x:v>40</x:v>
      </x:c>
      <x:c r="T92" s="24" t="str"/>
      <x:c r="U92" s="24" t="str"/>
    </x:row>
    <x:row r="93" ht="17.25" customHeight="1">
      <x:c r="A93" s="24" t="str">
        <x:v>SW-C-15나3640-1-20250822-41</x:v>
      </x:c>
      <x:c r="B93" s="24" t="str">
        <x:v>스위치플랜</x:v>
      </x:c>
      <x:c r="C93" s="24" t="str">
        <x:v>15나3640</x:v>
      </x:c>
      <x:c r="D93" s="31" t="n">
        <x:v>1</x:v>
      </x:c>
      <x:c r="E93" s="24" t="str">
        <x:v>현재칸</x:v>
      </x:c>
      <x:c r="F93" s="24" t="str">
        <x:v>구독대여</x:v>
      </x:c>
      <x:c r="G93" s="24" t="str">
        <x:v>이영민</x:v>
      </x:c>
      <x:c r="H93" s="30" t="n">
        <x:v>45891</x:v>
      </x:c>
      <x:c r="I93" s="30" t="n">
        <x:v>47351</x:v>
      </x:c>
      <x:c r="J93" s="30"/>
      <x:c r="K93" s="32" t="n">
        <x:v>850000</x:v>
      </x:c>
      <x:c r="L93" s="32" t="n">
        <x:v>2000000</x:v>
      </x:c>
      <x:c r="M93" s="24" t="str">
        <x:v>25일</x:v>
      </x:c>
      <x:c r="N93" s="24" t="str">
        <x:v>26</x:v>
      </x:c>
      <x:c r="O93" s="24" t="str">
        <x:v>DB</x:v>
      </x:c>
      <x:c r="P93" s="24" t="str">
        <x:v>하허호</x:v>
      </x:c>
      <x:c r="Q93" s="24" t="str">
        <x:v>있음</x:v>
      </x:c>
      <x:c r="R93" s="24" t="str"/>
      <x:c r="S93" s="31" t="n">
        <x:v>41</x:v>
      </x:c>
      <x:c r="T93" s="24" t="str"/>
      <x:c r="U93" s="24" t="str"/>
    </x:row>
    <x:row r="94" ht="17.25" customHeight="1">
      <x:c r="A94" s="24" t="str">
        <x:v>SW-C-15나3640-2-20241205-41</x:v>
      </x:c>
      <x:c r="B94" s="24" t="str">
        <x:v>스위치플랜</x:v>
      </x:c>
      <x:c r="C94" s="24" t="str">
        <x:v>15나3640</x:v>
      </x:c>
      <x:c r="D94" s="31" t="n">
        <x:v>2</x:v>
      </x:c>
      <x:c r="E94" s="24" t="str">
        <x:v>이력</x:v>
      </x:c>
      <x:c r="F94" s="24" t="str">
        <x:v>구독대여</x:v>
      </x:c>
      <x:c r="G94" s="24" t="str">
        <x:v>차재현</x:v>
      </x:c>
      <x:c r="H94" s="30" t="n">
        <x:v>45631</x:v>
      </x:c>
      <x:c r="I94" s="30" t="n">
        <x:v>47091</x:v>
      </x:c>
      <x:c r="J94" s="30" t="n">
        <x:v>45854</x:v>
      </x:c>
      <x:c r="K94" s="32" t="n">
        <x:v>920000</x:v>
      </x:c>
      <x:c r="L94" s="32" t="n">
        <x:v>2000000</x:v>
      </x:c>
      <x:c r="M94" s="24" t="str"/>
      <x:c r="N94" s="24" t="str">
        <x:v>26</x:v>
      </x:c>
      <x:c r="O94" s="24" t="str"/>
      <x:c r="P94" s="24" t="str">
        <x:v>하허호</x:v>
      </x:c>
      <x:c r="Q94" s="24" t="str">
        <x:v>있음</x:v>
      </x:c>
      <x:c r="R94" s="24" t="str"/>
      <x:c r="S94" s="31" t="n">
        <x:v>41</x:v>
      </x:c>
      <x:c r="T94" s="24" t="str"/>
      <x:c r="U94" s="24" t="str"/>
    </x:row>
    <x:row r="95" ht="17.25" customHeight="1">
      <x:c r="A95" s="24" t="str">
        <x:v>SW-C-15나3640-3-20231120-41</x:v>
      </x:c>
      <x:c r="B95" s="24" t="str">
        <x:v>스위치플랜</x:v>
      </x:c>
      <x:c r="C95" s="24" t="str">
        <x:v>15나3640</x:v>
      </x:c>
      <x:c r="D95" s="31" t="n">
        <x:v>3</x:v>
      </x:c>
      <x:c r="E95" s="24" t="str">
        <x:v>이력</x:v>
      </x:c>
      <x:c r="F95" s="24" t="str">
        <x:v>구독대여</x:v>
      </x:c>
      <x:c r="G95" s="24" t="str">
        <x:v>김예은</x:v>
      </x:c>
      <x:c r="H95" s="30" t="n">
        <x:v>45250</x:v>
      </x:c>
      <x:c r="I95" s="30" t="n">
        <x:v>46710</x:v>
      </x:c>
      <x:c r="J95" s="30" t="n">
        <x:v>45615</x:v>
      </x:c>
      <x:c r="K95" s="32" t="n">
        <x:v>1100000</x:v>
      </x:c>
      <x:c r="L95" s="32" t="n">
        <x:v>3000000</x:v>
      </x:c>
      <x:c r="M95" s="24" t="str"/>
      <x:c r="N95" s="24" t="str">
        <x:v>26</x:v>
      </x:c>
      <x:c r="O95" s="24" t="str"/>
      <x:c r="P95" s="24" t="str">
        <x:v>KS오토</x:v>
      </x:c>
      <x:c r="Q95" s="24" t="str">
        <x:v>있음</x:v>
      </x:c>
      <x:c r="R95" s="24" t="str"/>
      <x:c r="S95" s="31" t="n">
        <x:v>41</x:v>
      </x:c>
      <x:c r="T95" s="24" t="str"/>
      <x:c r="U95" s="24" t="str"/>
    </x:row>
    <x:row r="96" ht="17.25" customHeight="1">
      <x:c r="A96" s="24" t="str">
        <x:v>SW-C-97러0815-1-20260115-42</x:v>
      </x:c>
      <x:c r="B96" s="24" t="str">
        <x:v>스위치플랜</x:v>
      </x:c>
      <x:c r="C96" s="24" t="str">
        <x:v>97러0815</x:v>
      </x:c>
      <x:c r="D96" s="31" t="n">
        <x:v>1</x:v>
      </x:c>
      <x:c r="E96" s="24" t="str">
        <x:v>현재칸</x:v>
      </x:c>
      <x:c r="F96" s="24" t="str">
        <x:v>구독대여</x:v>
      </x:c>
      <x:c r="G96" s="24" t="str">
        <x:v>쏘노엠</x:v>
      </x:c>
      <x:c r="H96" s="30" t="n">
        <x:v>46037</x:v>
      </x:c>
      <x:c r="I96" s="30" t="n">
        <x:v>46749</x:v>
      </x:c>
      <x:c r="J96" s="30"/>
      <x:c r="K96" s="32" t="n">
        <x:v>720000</x:v>
      </x:c>
      <x:c r="L96" s="32" t="n">
        <x:v>2000000</x:v>
      </x:c>
      <x:c r="M96" s="24" t="str">
        <x:v>05일</x:v>
      </x:c>
      <x:c r="N96" s="24" t="str">
        <x:v>35</x:v>
      </x:c>
      <x:c r="O96" s="24" t="str">
        <x:v>DB</x:v>
      </x:c>
      <x:c r="P96" s="24" t="str"/>
      <x:c r="Q96" s="24" t="str">
        <x:v>있음</x:v>
      </x:c>
      <x:c r="R96" s="24" t="str"/>
      <x:c r="S96" s="31" t="n">
        <x:v>42</x:v>
      </x:c>
      <x:c r="T96" s="24" t="str"/>
      <x:c r="U96" s="24" t="str"/>
    </x:row>
    <x:row r="97" ht="17.25" customHeight="1">
      <x:c r="A97" s="24" t="str">
        <x:v>SW-C-97러0815-2-20231229-42</x:v>
      </x:c>
      <x:c r="B97" s="24" t="str">
        <x:v>스위치플랜</x:v>
      </x:c>
      <x:c r="C97" s="24" t="str">
        <x:v>97러0815</x:v>
      </x:c>
      <x:c r="D97" s="31" t="n">
        <x:v>2</x:v>
      </x:c>
      <x:c r="E97" s="24" t="str">
        <x:v>이력</x:v>
      </x:c>
      <x:c r="F97" s="24" t="str">
        <x:v>구독대여</x:v>
      </x:c>
      <x:c r="G97" s="24" t="str">
        <x:v>뉴포트홀딩스</x:v>
      </x:c>
      <x:c r="H97" s="30" t="n">
        <x:v>45289</x:v>
      </x:c>
      <x:c r="I97" s="30" t="n">
        <x:v>46749</x:v>
      </x:c>
      <x:c r="J97" s="30" t="n">
        <x:v>46037</x:v>
      </x:c>
      <x:c r="K97" s="32" t="n">
        <x:v>720000</x:v>
      </x:c>
      <x:c r="L97" s="32" t="n">
        <x:v>2000000</x:v>
      </x:c>
      <x:c r="M97" s="24" t="str"/>
      <x:c r="N97" s="24" t="str">
        <x:v>35</x:v>
      </x:c>
      <x:c r="O97" s="24" t="str"/>
      <x:c r="P97" s="24" t="str">
        <x:v>GNA</x:v>
      </x:c>
      <x:c r="Q97" s="24" t="str">
        <x:v>있음</x:v>
      </x:c>
      <x:c r="R97" s="24" t="str"/>
      <x:c r="S97" s="31" t="n">
        <x:v>42</x:v>
      </x:c>
      <x:c r="T97" s="24" t="str"/>
      <x:c r="U97" s="24" t="str"/>
    </x:row>
    <x:row r="98" ht="17.25" customHeight="1">
      <x:c r="A98" s="24" t="str">
        <x:v>SW-C-68서5320-1-20260424-43</x:v>
      </x:c>
      <x:c r="B98" s="24" t="str">
        <x:v>스위치플랜</x:v>
      </x:c>
      <x:c r="C98" s="24" t="str">
        <x:v>68서5320</x:v>
      </x:c>
      <x:c r="D98" s="31" t="n">
        <x:v>1</x:v>
      </x:c>
      <x:c r="E98" s="24" t="str">
        <x:v>현재칸</x:v>
      </x:c>
      <x:c r="F98" s="24" t="str">
        <x:v>구독대여</x:v>
      </x:c>
      <x:c r="G98" s="24" t="str">
        <x:v>이승조</x:v>
      </x:c>
      <x:c r="H98" s="30" t="n">
        <x:v>46136</x:v>
      </x:c>
      <x:c r="I98" s="30" t="n">
        <x:v>46969</x:v>
      </x:c>
      <x:c r="J98" s="30"/>
      <x:c r="K98" s="32" t="n">
        <x:v>500000</x:v>
      </x:c>
      <x:c r="L98" s="32"/>
      <x:c r="M98" s="24" t="str">
        <x:v>10일</x:v>
      </x:c>
      <x:c r="N98" s="24" t="str">
        <x:v>26</x:v>
      </x:c>
      <x:c r="O98" s="24" t="str">
        <x:v>DB</x:v>
      </x:c>
      <x:c r="P98" s="24" t="str">
        <x:v>하허호</x:v>
      </x:c>
      <x:c r="Q98" s="24" t="str">
        <x:v>있음</x:v>
      </x:c>
      <x:c r="R98" s="24" t="str"/>
      <x:c r="S98" s="31" t="n">
        <x:v>43</x:v>
      </x:c>
      <x:c r="T98" s="24" t="str"/>
      <x:c r="U98" s="24" t="str">
        <x:v>무보증</x:v>
      </x:c>
    </x:row>
    <x:row r="99" ht="17.25" customHeight="1">
      <x:c r="A99" s="24" t="str">
        <x:v>SW-C-68서5320-2-20250805-43</x:v>
      </x:c>
      <x:c r="B99" s="24" t="str">
        <x:v>스위치플랜</x:v>
      </x:c>
      <x:c r="C99" s="24" t="str">
        <x:v>68서5320</x:v>
      </x:c>
      <x:c r="D99" s="31" t="n">
        <x:v>2</x:v>
      </x:c>
      <x:c r="E99" s="24" t="str">
        <x:v>이력</x:v>
      </x:c>
      <x:c r="F99" s="24" t="str">
        <x:v>구독대여</x:v>
      </x:c>
      <x:c r="G99" s="24" t="str">
        <x:v>황우정5320</x:v>
      </x:c>
      <x:c r="H99" s="30" t="n">
        <x:v>45874</x:v>
      </x:c>
      <x:c r="I99" s="30" t="n">
        <x:v>46969</x:v>
      </x:c>
      <x:c r="J99" s="30"/>
      <x:c r="K99" s="32" t="n">
        <x:v>500000</x:v>
      </x:c>
      <x:c r="L99" s="32"/>
      <x:c r="M99" s="24" t="str"/>
      <x:c r="N99" s="24" t="str">
        <x:v>26</x:v>
      </x:c>
      <x:c r="O99" s="24" t="str"/>
      <x:c r="P99" s="24" t="str">
        <x:v>하허호</x:v>
      </x:c>
      <x:c r="Q99" s="24" t="str">
        <x:v>있음</x:v>
      </x:c>
      <x:c r="R99" s="24" t="str"/>
      <x:c r="S99" s="31" t="n">
        <x:v>43</x:v>
      </x:c>
      <x:c r="T99" s="24" t="str"/>
      <x:c r="U99" s="24" t="str">
        <x:v>무보증</x:v>
      </x:c>
    </x:row>
    <x:row r="100" ht="17.25" customHeight="1">
      <x:c r="A100" s="24" t="str">
        <x:v>SW-C-68서5320-3-20241101-43</x:v>
      </x:c>
      <x:c r="B100" s="24" t="str">
        <x:v>스위치플랜</x:v>
      </x:c>
      <x:c r="C100" s="24" t="str">
        <x:v>68서5320</x:v>
      </x:c>
      <x:c r="D100" s="31" t="n">
        <x:v>3</x:v>
      </x:c>
      <x:c r="E100" s="24" t="str">
        <x:v>이력</x:v>
      </x:c>
      <x:c r="F100" s="24" t="str">
        <x:v>구독대여</x:v>
      </x:c>
      <x:c r="G100" s="24" t="str">
        <x:v>권태훈</x:v>
      </x:c>
      <x:c r="H100" s="30" t="n">
        <x:v>45597</x:v>
      </x:c>
      <x:c r="I100" s="30" t="n">
        <x:v>45961</x:v>
      </x:c>
      <x:c r="J100" s="30" t="n">
        <x:v>45867</x:v>
      </x:c>
      <x:c r="K100" s="32" t="n">
        <x:v>670000</x:v>
      </x:c>
      <x:c r="L100" s="32" t="n">
        <x:v>500000</x:v>
      </x:c>
      <x:c r="M100" s="24" t="str"/>
      <x:c r="N100" s="24" t="str">
        <x:v>26</x:v>
      </x:c>
      <x:c r="O100" s="24" t="str"/>
      <x:c r="P100" s="24" t="str">
        <x:v>하허호</x:v>
      </x:c>
      <x:c r="Q100" s="24" t="str">
        <x:v>있음</x:v>
      </x:c>
      <x:c r="R100" s="24" t="str"/>
      <x:c r="S100" s="31" t="n">
        <x:v>43</x:v>
      </x:c>
      <x:c r="T100" s="24" t="str"/>
      <x:c r="U100" s="24" t="str"/>
    </x:row>
    <x:row r="101" ht="17.25" customHeight="1">
      <x:c r="A101" s="24" t="str">
        <x:v>SW-C-68서5320-4-20240510-43</x:v>
      </x:c>
      <x:c r="B101" s="24" t="str">
        <x:v>스위치플랜</x:v>
      </x:c>
      <x:c r="C101" s="24" t="str">
        <x:v>68서5320</x:v>
      </x:c>
      <x:c r="D101" s="31" t="n">
        <x:v>4</x:v>
      </x:c>
      <x:c r="E101" s="24" t="str">
        <x:v>이력</x:v>
      </x:c>
      <x:c r="F101" s="24" t="str">
        <x:v>구독대여</x:v>
      </x:c>
      <x:c r="G101" s="24" t="str">
        <x:v>김종혁</x:v>
      </x:c>
      <x:c r="H101" s="30" t="n">
        <x:v>45422</x:v>
      </x:c>
      <x:c r="I101" s="30" t="n">
        <x:v>46882</x:v>
      </x:c>
      <x:c r="J101" s="30" t="n">
        <x:v>45587</x:v>
      </x:c>
      <x:c r="K101" s="32" t="n">
        <x:v>580000</x:v>
      </x:c>
      <x:c r="L101" s="32" t="n">
        <x:v>1390000</x:v>
      </x:c>
      <x:c r="M101" s="24" t="str"/>
      <x:c r="N101" s="24" t="str">
        <x:v>26</x:v>
      </x:c>
      <x:c r="O101" s="24" t="str"/>
      <x:c r="P101" s="24" t="str">
        <x:v>카랜(주)</x:v>
      </x:c>
      <x:c r="Q101" s="24" t="str">
        <x:v>있음</x:v>
      </x:c>
      <x:c r="R101" s="24" t="str"/>
      <x:c r="S101" s="31" t="n">
        <x:v>43</x:v>
      </x:c>
      <x:c r="T101" s="24" t="str"/>
      <x:c r="U101" s="24" t="str"/>
    </x:row>
    <x:row r="102" ht="17.25" customHeight="1">
      <x:c r="A102" s="24" t="str">
        <x:v>SW-C-28구4152-1-20240201-44</x:v>
      </x:c>
      <x:c r="B102" s="24" t="str">
        <x:v>스위치플랜</x:v>
      </x:c>
      <x:c r="C102" s="24" t="str">
        <x:v>28구4152</x:v>
      </x:c>
      <x:c r="D102" s="31" t="n">
        <x:v>1</x:v>
      </x:c>
      <x:c r="E102" s="24" t="str">
        <x:v>현재칸</x:v>
      </x:c>
      <x:c r="F102" s="24" t="str">
        <x:v>구독대여</x:v>
      </x:c>
      <x:c r="G102" s="24" t="str">
        <x:v>김경남</x:v>
      </x:c>
      <x:c r="H102" s="30" t="n">
        <x:v>45323</x:v>
      </x:c>
      <x:c r="I102" s="30" t="n">
        <x:v>46783</x:v>
      </x:c>
      <x:c r="J102" s="30"/>
      <x:c r="K102" s="32" t="n">
        <x:v>880000</x:v>
      </x:c>
      <x:c r="L102" s="32" t="n">
        <x:v>3000000</x:v>
      </x:c>
      <x:c r="M102" s="24" t="str">
        <x:v>05일</x:v>
      </x:c>
      <x:c r="N102" s="24" t="str">
        <x:v>35</x:v>
      </x:c>
      <x:c r="O102" s="24" t="str">
        <x:v>DB</x:v>
      </x:c>
      <x:c r="P102" s="24" t="str">
        <x:v>SI</x:v>
      </x:c>
      <x:c r="Q102" s="24" t="str">
        <x:v>있음</x:v>
      </x:c>
      <x:c r="R102" s="24" t="str"/>
      <x:c r="S102" s="31" t="n">
        <x:v>44</x:v>
      </x:c>
      <x:c r="T102" s="24" t="str"/>
      <x:c r="U102" s="24" t="str"/>
    </x:row>
    <x:row r="103" ht="17.25" customHeight="1">
      <x:c r="A103" s="24" t="str">
        <x:v>SW-C-365주3303-1-20231121-45</x:v>
      </x:c>
      <x:c r="B103" s="24" t="str">
        <x:v>스위치플랜</x:v>
      </x:c>
      <x:c r="C103" s="24" t="str">
        <x:v>365주3303</x:v>
      </x:c>
      <x:c r="D103" s="31" t="n">
        <x:v>1</x:v>
      </x:c>
      <x:c r="E103" s="24" t="str">
        <x:v>현재칸</x:v>
      </x:c>
      <x:c r="F103" s="24" t="str">
        <x:v>구독대여</x:v>
      </x:c>
      <x:c r="G103" s="24" t="str">
        <x:v>이은규</x:v>
      </x:c>
      <x:c r="H103" s="30" t="n">
        <x:v>45251</x:v>
      </x:c>
      <x:c r="I103" s="30" t="n">
        <x:v>47077</x:v>
      </x:c>
      <x:c r="J103" s="30"/>
      <x:c r="K103" s="32" t="n">
        <x:v>960000</x:v>
      </x:c>
      <x:c r="L103" s="32" t="n">
        <x:v>3500000</x:v>
      </x:c>
      <x:c r="M103" s="24" t="str">
        <x:v>20일</x:v>
      </x:c>
      <x:c r="N103" s="24" t="str">
        <x:v>35</x:v>
      </x:c>
      <x:c r="O103" s="24" t="str">
        <x:v>DB</x:v>
      </x:c>
      <x:c r="P103" s="24" t="str">
        <x:v>하허호</x:v>
      </x:c>
      <x:c r="Q103" s="24" t="str">
        <x:v>있음</x:v>
      </x:c>
      <x:c r="R103" s="24" t="str"/>
      <x:c r="S103" s="31" t="n">
        <x:v>45</x:v>
      </x:c>
      <x:c r="T103" s="24" t="str"/>
      <x:c r="U103" s="24" t="str"/>
    </x:row>
    <x:row r="104" ht="17.25" customHeight="1">
      <x:c r="A104" s="24" t="str">
        <x:v>SW-C-165서6056-1-20231123-46</x:v>
      </x:c>
      <x:c r="B104" s="24" t="str">
        <x:v>스위치플랜</x:v>
      </x:c>
      <x:c r="C104" s="24" t="str">
        <x:v>165서6056</x:v>
      </x:c>
      <x:c r="D104" s="31" t="n">
        <x:v>1</x:v>
      </x:c>
      <x:c r="E104" s="24" t="str">
        <x:v>현재칸</x:v>
      </x:c>
      <x:c r="F104" s="24" t="str">
        <x:v>구독대여</x:v>
      </x:c>
      <x:c r="G104" s="24" t="str">
        <x:v>백규열</x:v>
      </x:c>
      <x:c r="H104" s="30" t="n">
        <x:v>45253</x:v>
      </x:c>
      <x:c r="I104" s="30" t="n">
        <x:v>46348</x:v>
      </x:c>
      <x:c r="J104" s="30"/>
      <x:c r="K104" s="32" t="n">
        <x:v>400000</x:v>
      </x:c>
      <x:c r="L104" s="32" t="n">
        <x:v>1000000</x:v>
      </x:c>
      <x:c r="M104" s="24" t="str">
        <x:v>25일</x:v>
      </x:c>
      <x:c r="N104" s="24" t="str">
        <x:v>35</x:v>
      </x:c>
      <x:c r="O104" s="24" t="str">
        <x:v>DB</x:v>
      </x:c>
      <x:c r="P104" s="24" t="str">
        <x:v>개인AG</x:v>
      </x:c>
      <x:c r="Q104" s="24" t="str">
        <x:v>있음</x:v>
      </x:c>
      <x:c r="R104" s="24" t="str"/>
      <x:c r="S104" s="31" t="n">
        <x:v>46</x:v>
      </x:c>
      <x:c r="T104" s="24" t="str"/>
      <x:c r="U104" s="24" t="str"/>
    </x:row>
    <x:row r="105" ht="17.25" customHeight="1">
      <x:c r="A105" s="24" t="str">
        <x:v>SW-C-32어3092-1-NA-47</x:v>
      </x:c>
      <x:c r="B105" s="24" t="str">
        <x:v>스위치플랜</x:v>
      </x:c>
      <x:c r="C105" s="24" t="str">
        <x:v>32어3092</x:v>
      </x:c>
      <x:c r="D105" s="31" t="n">
        <x:v>1</x:v>
      </x:c>
      <x:c r="E105" s="24" t="str">
        <x:v>현재칸</x:v>
      </x:c>
      <x:c r="F105" s="24" t="str"/>
      <x:c r="G105" s="24" t="str">
        <x:v>박태윤</x:v>
      </x:c>
      <x:c r="H105" s="30"/>
      <x:c r="I105" s="30"/>
      <x:c r="J105" s="30"/>
      <x:c r="K105" s="32"/>
      <x:c r="L105" s="32"/>
      <x:c r="M105" s="24" t="str"/>
      <x:c r="N105" s="24" t="str">
        <x:v>개인</x:v>
      </x:c>
      <x:c r="O105" s="24" t="str">
        <x:v>삼성</x:v>
      </x:c>
      <x:c r="P105" s="24" t="str"/>
      <x:c r="Q105" s="24" t="str">
        <x:v>있음</x:v>
      </x:c>
      <x:c r="R105" s="24" t="str"/>
      <x:c r="S105" s="31" t="n">
        <x:v>47</x:v>
      </x:c>
      <x:c r="T105" s="24" t="str">
        <x:v>연령 확인</x:v>
      </x:c>
      <x:c r="U105" s="24" t="str"/>
    </x:row>
    <x:row r="106" ht="17.25" customHeight="1">
      <x:c r="A106" s="24" t="str">
        <x:v>SW-C-32어3092-2-20240507-47</x:v>
      </x:c>
      <x:c r="B106" s="24" t="str">
        <x:v>스위치플랜</x:v>
      </x:c>
      <x:c r="C106" s="24" t="str">
        <x:v>32어3092</x:v>
      </x:c>
      <x:c r="D106" s="31" t="n">
        <x:v>2</x:v>
      </x:c>
      <x:c r="E106" s="24" t="str">
        <x:v>이력</x:v>
      </x:c>
      <x:c r="F106" s="24" t="str">
        <x:v>구독대여</x:v>
      </x:c>
      <x:c r="G106" s="24" t="str">
        <x:v>임수민</x:v>
      </x:c>
      <x:c r="H106" s="30" t="n">
        <x:v>45419</x:v>
      </x:c>
      <x:c r="I106" s="30" t="n">
        <x:v>46879</x:v>
      </x:c>
      <x:c r="J106" s="30" t="n">
        <x:v>45986</x:v>
      </x:c>
      <x:c r="K106" s="32" t="n">
        <x:v>500000</x:v>
      </x:c>
      <x:c r="L106" s="32" t="n">
        <x:v>1500000</x:v>
      </x:c>
      <x:c r="M106" s="24" t="str"/>
      <x:c r="N106" s="24" t="str">
        <x:v>개인</x:v>
      </x:c>
      <x:c r="O106" s="24" t="str"/>
      <x:c r="P106" s="24" t="str">
        <x:v>카랜(주)</x:v>
      </x:c>
      <x:c r="Q106" s="24" t="str">
        <x:v>있음</x:v>
      </x:c>
      <x:c r="R106" s="24" t="str"/>
      <x:c r="S106" s="31" t="n">
        <x:v>47</x:v>
      </x:c>
      <x:c r="T106" s="24" t="str">
        <x:v>연령 확인</x:v>
      </x:c>
      <x:c r="U106" s="24" t="str"/>
    </x:row>
    <x:row r="107" ht="17.25" customHeight="1">
      <x:c r="A107" s="24" t="str">
        <x:v>SW-C-193우6384-1-20250226-48</x:v>
      </x:c>
      <x:c r="B107" s="24" t="str">
        <x:v>스위치플랜</x:v>
      </x:c>
      <x:c r="C107" s="24" t="str">
        <x:v>193우6384</x:v>
      </x:c>
      <x:c r="D107" s="31" t="n">
        <x:v>1</x:v>
      </x:c>
      <x:c r="E107" s="24" t="str">
        <x:v>현재칸</x:v>
      </x:c>
      <x:c r="F107" s="24" t="str">
        <x:v>구독대여</x:v>
      </x:c>
      <x:c r="G107" s="24" t="str">
        <x:v>김도건</x:v>
      </x:c>
      <x:c r="H107" s="30" t="n">
        <x:v>45714</x:v>
      </x:c>
      <x:c r="I107" s="30" t="n">
        <x:v>47174</x:v>
      </x:c>
      <x:c r="J107" s="30"/>
      <x:c r="K107" s="32" t="n">
        <x:v>710000</x:v>
      </x:c>
      <x:c r="L107" s="32"/>
      <x:c r="M107" s="24" t="str">
        <x:v>25일</x:v>
      </x:c>
      <x:c r="N107" s="24" t="str">
        <x:v>24</x:v>
      </x:c>
      <x:c r="O107" s="24" t="str">
        <x:v>AXA</x:v>
      </x:c>
      <x:c r="P107" s="24" t="str">
        <x:v>하허호</x:v>
      </x:c>
      <x:c r="Q107" s="24" t="str">
        <x:v>있음</x:v>
      </x:c>
      <x:c r="R107" s="24" t="str"/>
      <x:c r="S107" s="31" t="n">
        <x:v>48</x:v>
      </x:c>
      <x:c r="T107" s="24" t="str"/>
      <x:c r="U107" s="24" t="str">
        <x:v>무보증</x:v>
      </x:c>
    </x:row>
    <x:row r="108" ht="17.25" customHeight="1">
      <x:c r="A108" s="24" t="str">
        <x:v>SW-C-193우6384-2-20240507-48</x:v>
      </x:c>
      <x:c r="B108" s="24" t="str">
        <x:v>스위치플랜</x:v>
      </x:c>
      <x:c r="C108" s="24" t="str">
        <x:v>193우6384</x:v>
      </x:c>
      <x:c r="D108" s="31" t="n">
        <x:v>2</x:v>
      </x:c>
      <x:c r="E108" s="24" t="str">
        <x:v>이력</x:v>
      </x:c>
      <x:c r="F108" s="24" t="str">
        <x:v>구독대여</x:v>
      </x:c>
      <x:c r="G108" s="24" t="str">
        <x:v>김병근</x:v>
      </x:c>
      <x:c r="H108" s="30" t="n">
        <x:v>45419</x:v>
      </x:c>
      <x:c r="I108" s="30" t="n">
        <x:v>46879</x:v>
      </x:c>
      <x:c r="J108" s="30" t="n">
        <x:v>45700</x:v>
      </x:c>
      <x:c r="K108" s="32" t="n">
        <x:v>640000</x:v>
      </x:c>
      <x:c r="L108" s="32" t="n">
        <x:v>1500000</x:v>
      </x:c>
      <x:c r="M108" s="24" t="str"/>
      <x:c r="N108" s="24" t="str">
        <x:v>24</x:v>
      </x:c>
      <x:c r="O108" s="24" t="str"/>
      <x:c r="P108" s="24" t="str">
        <x:v>카랜(주)</x:v>
      </x:c>
      <x:c r="Q108" s="24" t="str">
        <x:v>있음</x:v>
      </x:c>
      <x:c r="R108" s="24" t="str"/>
      <x:c r="S108" s="31" t="n">
        <x:v>48</x:v>
      </x:c>
      <x:c r="T108" s="24" t="str"/>
      <x:c r="U108" s="24" t="str"/>
    </x:row>
    <x:row r="109" ht="17.25" customHeight="1">
      <x:c r="A109" s="24" t="str">
        <x:v>SW-C-293서9081-1-20240206-49</x:v>
      </x:c>
      <x:c r="B109" s="24" t="str">
        <x:v>스위치플랜</x:v>
      </x:c>
      <x:c r="C109" s="24" t="str">
        <x:v>293서9081</x:v>
      </x:c>
      <x:c r="D109" s="31" t="n">
        <x:v>1</x:v>
      </x:c>
      <x:c r="E109" s="24" t="str">
        <x:v>현재칸</x:v>
      </x:c>
      <x:c r="F109" s="24" t="str">
        <x:v>구독대여</x:v>
      </x:c>
      <x:c r="G109" s="24" t="str">
        <x:v>진보민</x:v>
      </x:c>
      <x:c r="H109" s="30" t="n">
        <x:v>45328</x:v>
      </x:c>
      <x:c r="I109" s="30" t="n">
        <x:v>47154</x:v>
      </x:c>
      <x:c r="J109" s="30"/>
      <x:c r="K109" s="32" t="n">
        <x:v>1320000</x:v>
      </x:c>
      <x:c r="L109" s="32" t="n">
        <x:v>8000000</x:v>
      </x:c>
      <x:c r="M109" s="24" t="str">
        <x:v>05일</x:v>
      </x:c>
      <x:c r="N109" s="24" t="str">
        <x:v>35</x:v>
      </x:c>
      <x:c r="O109" s="24" t="str">
        <x:v>DB</x:v>
      </x:c>
      <x:c r="P109" s="24" t="str">
        <x:v>카랜(주)</x:v>
      </x:c>
      <x:c r="Q109" s="24" t="str">
        <x:v>있음</x:v>
      </x:c>
      <x:c r="R109" s="24" t="str"/>
      <x:c r="S109" s="31" t="n">
        <x:v>49</x:v>
      </x:c>
      <x:c r="T109" s="24" t="str"/>
      <x:c r="U109" s="24" t="str"/>
    </x:row>
    <x:row r="110" ht="17.25" customHeight="1">
      <x:c r="A110" s="24" t="str">
        <x:v>SW-C-149조6163-1-20260323-50</x:v>
      </x:c>
      <x:c r="B110" s="24" t="str">
        <x:v>스위치플랜</x:v>
      </x:c>
      <x:c r="C110" s="24" t="str">
        <x:v>149조6163</x:v>
      </x:c>
      <x:c r="D110" s="31" t="n">
        <x:v>1</x:v>
      </x:c>
      <x:c r="E110" s="24" t="str">
        <x:v>현재칸</x:v>
      </x:c>
      <x:c r="F110" s="24" t="str">
        <x:v>구독대여</x:v>
      </x:c>
      <x:c r="G110" s="24" t="str">
        <x:v>한상관</x:v>
      </x:c>
      <x:c r="H110" s="30" t="n">
        <x:v>46104</x:v>
      </x:c>
      <x:c r="I110" s="30" t="n">
        <x:v>47564</x:v>
      </x:c>
      <x:c r="J110" s="30"/>
      <x:c r="K110" s="32" t="n">
        <x:v>1000000</x:v>
      </x:c>
      <x:c r="L110" s="32"/>
      <x:c r="M110" s="24" t="str">
        <x:v>25일</x:v>
      </x:c>
      <x:c r="N110" s="24" t="str">
        <x:v>35</x:v>
      </x:c>
      <x:c r="O110" s="24" t="str">
        <x:v>DB</x:v>
      </x:c>
      <x:c r="P110" s="24" t="str">
        <x:v>하허호</x:v>
      </x:c>
      <x:c r="Q110" s="24" t="str">
        <x:v>있음</x:v>
      </x:c>
      <x:c r="R110" s="24" t="str"/>
      <x:c r="S110" s="31" t="n">
        <x:v>50</x:v>
      </x:c>
      <x:c r="T110" s="24" t="str"/>
      <x:c r="U110" s="24" t="str">
        <x:v>무보증</x:v>
      </x:c>
    </x:row>
    <x:row r="111" ht="17.25" customHeight="1">
      <x:c r="A111" s="24" t="str">
        <x:v>SW-C-149조6163-2-20240206-50</x:v>
      </x:c>
      <x:c r="B111" s="24" t="str">
        <x:v>스위치플랜</x:v>
      </x:c>
      <x:c r="C111" s="24" t="str">
        <x:v>149조6163</x:v>
      </x:c>
      <x:c r="D111" s="31" t="n">
        <x:v>2</x:v>
      </x:c>
      <x:c r="E111" s="24" t="str">
        <x:v>이력</x:v>
      </x:c>
      <x:c r="F111" s="24" t="str">
        <x:v>구독대여</x:v>
      </x:c>
      <x:c r="G111" s="24" t="str">
        <x:v>이상진</x:v>
      </x:c>
      <x:c r="H111" s="30" t="n">
        <x:v>45328</x:v>
      </x:c>
      <x:c r="I111" s="30" t="n">
        <x:v>46058</x:v>
      </x:c>
      <x:c r="J111" s="30" t="n">
        <x:v>46058</x:v>
      </x:c>
      <x:c r="K111" s="32" t="n">
        <x:v>1540000</x:v>
      </x:c>
      <x:c r="L111" s="32" t="n">
        <x:v>4600000</x:v>
      </x:c>
      <x:c r="M111" s="24" t="str"/>
      <x:c r="N111" s="24" t="str">
        <x:v>35</x:v>
      </x:c>
      <x:c r="O111" s="24" t="str"/>
      <x:c r="P111" s="24" t="str">
        <x:v>카랜(주)</x:v>
      </x:c>
      <x:c r="Q111" s="24" t="str">
        <x:v>있음</x:v>
      </x:c>
      <x:c r="R111" s="24" t="str"/>
      <x:c r="S111" s="31" t="n">
        <x:v>50</x:v>
      </x:c>
      <x:c r="T111" s="24" t="str"/>
      <x:c r="U111" s="24" t="str"/>
    </x:row>
    <x:row r="112" ht="17.25" customHeight="1">
      <x:c r="A112" s="24" t="str">
        <x:v>SW-C-193우6308-1-20240507-51</x:v>
      </x:c>
      <x:c r="B112" s="24" t="str">
        <x:v>스위치플랜</x:v>
      </x:c>
      <x:c r="C112" s="24" t="str">
        <x:v>193우6308</x:v>
      </x:c>
      <x:c r="D112" s="31" t="n">
        <x:v>1</x:v>
      </x:c>
      <x:c r="E112" s="24" t="str">
        <x:v>현재칸</x:v>
      </x:c>
      <x:c r="F112" s="24" t="str">
        <x:v>구독대여</x:v>
      </x:c>
      <x:c r="G112" s="24" t="str">
        <x:v>권오현</x:v>
      </x:c>
      <x:c r="H112" s="30" t="n">
        <x:v>45419</x:v>
      </x:c>
      <x:c r="I112" s="30" t="n">
        <x:v>46879</x:v>
      </x:c>
      <x:c r="J112" s="30"/>
      <x:c r="K112" s="32" t="n">
        <x:v>700000</x:v>
      </x:c>
      <x:c r="L112" s="32" t="n">
        <x:v>2000000</x:v>
      </x:c>
      <x:c r="M112" s="24" t="str">
        <x:v>10일</x:v>
      </x:c>
      <x:c r="N112" s="24" t="str">
        <x:v>35</x:v>
      </x:c>
      <x:c r="O112" s="24" t="str">
        <x:v>AXA</x:v>
      </x:c>
      <x:c r="P112" s="24" t="str">
        <x:v>카랜(주)</x:v>
      </x:c>
      <x:c r="Q112" s="24" t="str">
        <x:v>있음</x:v>
      </x:c>
      <x:c r="R112" s="24" t="str"/>
      <x:c r="S112" s="31" t="n">
        <x:v>51</x:v>
      </x:c>
      <x:c r="T112" s="24" t="str"/>
      <x:c r="U112" s="24" t="str"/>
    </x:row>
    <x:row r="113" ht="17.25" customHeight="1">
      <x:c r="A113" s="24" t="str">
        <x:v>SW-C-314구7889-1-20250512-52</x:v>
      </x:c>
      <x:c r="B113" s="24" t="str">
        <x:v>스위치플랜</x:v>
      </x:c>
      <x:c r="C113" s="24" t="str">
        <x:v>314구7889</x:v>
      </x:c>
      <x:c r="D113" s="31" t="n">
        <x:v>1</x:v>
      </x:c>
      <x:c r="E113" s="24" t="str">
        <x:v>현재칸</x:v>
      </x:c>
      <x:c r="F113" s="24" t="str">
        <x:v>구독대여</x:v>
      </x:c>
      <x:c r="G113" s="24" t="str">
        <x:v>홍미정</x:v>
      </x:c>
      <x:c r="H113" s="30" t="n">
        <x:v>45789</x:v>
      </x:c>
      <x:c r="I113" s="30" t="n">
        <x:v>47249</x:v>
      </x:c>
      <x:c r="J113" s="30"/>
      <x:c r="K113" s="32" t="n">
        <x:v>930000</x:v>
      </x:c>
      <x:c r="L113" s="32"/>
      <x:c r="M113" s="24" t="str">
        <x:v>10일</x:v>
      </x:c>
      <x:c r="N113" s="24" t="str">
        <x:v>35</x:v>
      </x:c>
      <x:c r="O113" s="24" t="str">
        <x:v>DB</x:v>
      </x:c>
      <x:c r="P113" s="24" t="str">
        <x:v>하허호</x:v>
      </x:c>
      <x:c r="Q113" s="24" t="str">
        <x:v>있음</x:v>
      </x:c>
      <x:c r="R113" s="24" t="str"/>
      <x:c r="S113" s="31" t="n">
        <x:v>52</x:v>
      </x:c>
      <x:c r="T113" s="24" t="str"/>
      <x:c r="U113" s="24" t="str">
        <x:v>무보증</x:v>
      </x:c>
    </x:row>
    <x:row r="114" ht="17.25" customHeight="1">
      <x:c r="A114" s="24" t="str">
        <x:v>SW-C-314구7889-2-20231226-52</x:v>
      </x:c>
      <x:c r="B114" s="24" t="str">
        <x:v>스위치플랜</x:v>
      </x:c>
      <x:c r="C114" s="24" t="str">
        <x:v>314구7889</x:v>
      </x:c>
      <x:c r="D114" s="31" t="n">
        <x:v>2</x:v>
      </x:c>
      <x:c r="E114" s="24" t="str">
        <x:v>이력</x:v>
      </x:c>
      <x:c r="F114" s="24" t="str">
        <x:v>구독대여</x:v>
      </x:c>
      <x:c r="G114" s="24" t="str">
        <x:v>조다운</x:v>
      </x:c>
      <x:c r="H114" s="30" t="n">
        <x:v>45286</x:v>
      </x:c>
      <x:c r="I114" s="30" t="n">
        <x:v>46016</x:v>
      </x:c>
      <x:c r="J114" s="30" t="n">
        <x:v>45757</x:v>
      </x:c>
      <x:c r="K114" s="32" t="n">
        <x:v>1210000</x:v>
      </x:c>
      <x:c r="L114" s="32" t="n">
        <x:v>2420000</x:v>
      </x:c>
      <x:c r="M114" s="24" t="str"/>
      <x:c r="N114" s="24" t="str">
        <x:v>35</x:v>
      </x:c>
      <x:c r="O114" s="24" t="str"/>
      <x:c r="P114" s="24" t="str">
        <x:v>SI</x:v>
      </x:c>
      <x:c r="Q114" s="24" t="str">
        <x:v>있음</x:v>
      </x:c>
      <x:c r="R114" s="24" t="str"/>
      <x:c r="S114" s="31" t="n">
        <x:v>52</x:v>
      </x:c>
      <x:c r="T114" s="24" t="str"/>
      <x:c r="U114" s="24" t="str"/>
    </x:row>
    <x:row r="115" ht="17.25" customHeight="1">
      <x:c r="A115" s="24" t="str">
        <x:v>SW-C-383마3206-1-20260207-53</x:v>
      </x:c>
      <x:c r="B115" s="24" t="str">
        <x:v>스위치플랜</x:v>
      </x:c>
      <x:c r="C115" s="24" t="str">
        <x:v>383마3206</x:v>
      </x:c>
      <x:c r="D115" s="31" t="n">
        <x:v>1</x:v>
      </x:c>
      <x:c r="E115" s="24" t="str">
        <x:v>현재칸</x:v>
      </x:c>
      <x:c r="F115" s="24" t="str">
        <x:v>구독대여</x:v>
      </x:c>
      <x:c r="G115" s="24" t="str">
        <x:v>이수정</x:v>
      </x:c>
      <x:c r="H115" s="30" t="n">
        <x:v>46060</x:v>
      </x:c>
      <x:c r="I115" s="30" t="n">
        <x:v>46424</x:v>
      </x:c>
      <x:c r="J115" s="30"/>
      <x:c r="K115" s="32" t="n">
        <x:v>730000</x:v>
      </x:c>
      <x:c r="L115" s="32" t="n">
        <x:v>840000</x:v>
      </x:c>
      <x:c r="M115" s="24" t="str">
        <x:v>10일</x:v>
      </x:c>
      <x:c r="N115" s="24" t="str">
        <x:v>30</x:v>
      </x:c>
      <x:c r="O115" s="24" t="str">
        <x:v>DB</x:v>
      </x:c>
      <x:c r="P115" s="24" t="str">
        <x:v>카랜(주)</x:v>
      </x:c>
      <x:c r="Q115" s="24" t="str">
        <x:v>있음</x:v>
      </x:c>
      <x:c r="R115" s="24" t="str"/>
      <x:c r="S115" s="31" t="n">
        <x:v>53</x:v>
      </x:c>
      <x:c r="T115" s="24" t="str"/>
      <x:c r="U115" s="24" t="str"/>
    </x:row>
    <x:row r="116" ht="17.25" customHeight="1">
      <x:c r="A116" s="24" t="str">
        <x:v>SW-C-193우6312-1-20240422-54</x:v>
      </x:c>
      <x:c r="B116" s="24" t="str">
        <x:v>스위치플랜</x:v>
      </x:c>
      <x:c r="C116" s="24" t="str">
        <x:v>193우6312</x:v>
      </x:c>
      <x:c r="D116" s="31" t="n">
        <x:v>1</x:v>
      </x:c>
      <x:c r="E116" s="24" t="str">
        <x:v>현재칸</x:v>
      </x:c>
      <x:c r="F116" s="24" t="str">
        <x:v>구독대여</x:v>
      </x:c>
      <x:c r="G116" s="24" t="str">
        <x:v>김서진</x:v>
      </x:c>
      <x:c r="H116" s="30" t="n">
        <x:v>45404</x:v>
      </x:c>
      <x:c r="I116" s="30" t="n">
        <x:v>46864</x:v>
      </x:c>
      <x:c r="J116" s="30"/>
      <x:c r="K116" s="32" t="n">
        <x:v>450000</x:v>
      </x:c>
      <x:c r="L116" s="32" t="n">
        <x:v>1000000</x:v>
      </x:c>
      <x:c r="M116" s="24" t="str">
        <x:v>20일</x:v>
      </x:c>
      <x:c r="N116" s="24" t="str">
        <x:v>35</x:v>
      </x:c>
      <x:c r="O116" s="24" t="str">
        <x:v>DB</x:v>
      </x:c>
      <x:c r="P116" s="24" t="str">
        <x:v>카랜(주)</x:v>
      </x:c>
      <x:c r="Q116" s="24" t="str">
        <x:v>있음</x:v>
      </x:c>
      <x:c r="R116" s="24" t="str"/>
      <x:c r="S116" s="31" t="n">
        <x:v>54</x:v>
      </x:c>
      <x:c r="T116" s="24" t="str"/>
      <x:c r="U116" s="24" t="str"/>
    </x:row>
    <x:row r="117" ht="17.25" customHeight="1">
      <x:c r="A117" s="24" t="str">
        <x:v>SW-C-193우6391-1-20251125-55</x:v>
      </x:c>
      <x:c r="B117" s="24" t="str">
        <x:v>스위치플랜</x:v>
      </x:c>
      <x:c r="C117" s="24" t="str">
        <x:v>193우6391</x:v>
      </x:c>
      <x:c r="D117" s="31" t="n">
        <x:v>1</x:v>
      </x:c>
      <x:c r="E117" s="24" t="str">
        <x:v>현재칸</x:v>
      </x:c>
      <x:c r="F117" s="24" t="str">
        <x:v>구독대여</x:v>
      </x:c>
      <x:c r="G117" s="24" t="str">
        <x:v>엠제이에스</x:v>
      </x:c>
      <x:c r="H117" s="30" t="n">
        <x:v>45986</x:v>
      </x:c>
      <x:c r="I117" s="30" t="n">
        <x:v>47446</x:v>
      </x:c>
      <x:c r="J117" s="30"/>
      <x:c r="K117" s="32" t="n">
        <x:v>750000</x:v>
      </x:c>
      <x:c r="L117" s="32"/>
      <x:c r="M117" s="24" t="str">
        <x:v>25일</x:v>
      </x:c>
      <x:c r="N117" s="24" t="str">
        <x:v>35</x:v>
      </x:c>
      <x:c r="O117" s="24" t="str">
        <x:v>DB</x:v>
      </x:c>
      <x:c r="P117" s="24" t="str">
        <x:v>하허호</x:v>
      </x:c>
      <x:c r="Q117" s="24" t="str">
        <x:v>있음</x:v>
      </x:c>
      <x:c r="R117" s="24" t="str"/>
      <x:c r="S117" s="31" t="n">
        <x:v>55</x:v>
      </x:c>
      <x:c r="T117" s="24" t="str"/>
      <x:c r="U117" s="24" t="str">
        <x:v>무보증</x:v>
      </x:c>
    </x:row>
    <x:row r="118" ht="17.25" customHeight="1">
      <x:c r="A118" s="24" t="str">
        <x:v>SW-C-193우6343-1-20250515-56</x:v>
      </x:c>
      <x:c r="B118" s="24" t="str">
        <x:v>스위치플랜</x:v>
      </x:c>
      <x:c r="C118" s="24" t="str">
        <x:v>193우6343</x:v>
      </x:c>
      <x:c r="D118" s="31" t="n">
        <x:v>1</x:v>
      </x:c>
      <x:c r="E118" s="24" t="str">
        <x:v>현재칸</x:v>
      </x:c>
      <x:c r="F118" s="24" t="str">
        <x:v>구독대여</x:v>
      </x:c>
      <x:c r="G118" s="24" t="str">
        <x:v>권현지</x:v>
      </x:c>
      <x:c r="H118" s="30" t="n">
        <x:v>45792</x:v>
      </x:c>
      <x:c r="I118" s="30" t="n">
        <x:v>47252</x:v>
      </x:c>
      <x:c r="J118" s="30"/>
      <x:c r="K118" s="32" t="n">
        <x:v>560000</x:v>
      </x:c>
      <x:c r="L118" s="32"/>
      <x:c r="M118" s="24" t="str">
        <x:v>15일</x:v>
      </x:c>
      <x:c r="N118" s="24" t="str">
        <x:v>26</x:v>
      </x:c>
      <x:c r="O118" s="24" t="str">
        <x:v>DB</x:v>
      </x:c>
      <x:c r="P118" s="24" t="str">
        <x:v>하허호</x:v>
      </x:c>
      <x:c r="Q118" s="24" t="str">
        <x:v>있음</x:v>
      </x:c>
      <x:c r="R118" s="24" t="str"/>
      <x:c r="S118" s="31" t="n">
        <x:v>56</x:v>
      </x:c>
      <x:c r="T118" s="24" t="str"/>
      <x:c r="U118" s="24" t="str">
        <x:v>무보증</x:v>
      </x:c>
    </x:row>
    <x:row r="119" ht="17.25" customHeight="1">
      <x:c r="A119" s="24" t="str">
        <x:v>SW-C-193우6343-2-20240402-56</x:v>
      </x:c>
      <x:c r="B119" s="24" t="str">
        <x:v>스위치플랜</x:v>
      </x:c>
      <x:c r="C119" s="24" t="str">
        <x:v>193우6343</x:v>
      </x:c>
      <x:c r="D119" s="31" t="n">
        <x:v>2</x:v>
      </x:c>
      <x:c r="E119" s="24" t="str">
        <x:v>이력</x:v>
      </x:c>
      <x:c r="F119" s="24" t="str">
        <x:v>구독대여</x:v>
      </x:c>
      <x:c r="G119" s="24" t="str">
        <x:v>정재원</x:v>
      </x:c>
      <x:c r="H119" s="30" t="n">
        <x:v>45384</x:v>
      </x:c>
      <x:c r="I119" s="30" t="n">
        <x:v>46844</x:v>
      </x:c>
      <x:c r="J119" s="30" t="n">
        <x:v>45734</x:v>
      </x:c>
      <x:c r="K119" s="32" t="n">
        <x:v>600000</x:v>
      </x:c>
      <x:c r="L119" s="32" t="n">
        <x:v>1500000</x:v>
      </x:c>
      <x:c r="M119" s="24" t="str"/>
      <x:c r="N119" s="24" t="str">
        <x:v>26</x:v>
      </x:c>
      <x:c r="O119" s="24" t="str"/>
      <x:c r="P119" s="24" t="str">
        <x:v>카랜(주)</x:v>
      </x:c>
      <x:c r="Q119" s="24" t="str">
        <x:v>있음</x:v>
      </x:c>
      <x:c r="R119" s="24" t="str"/>
      <x:c r="S119" s="31" t="n">
        <x:v>56</x:v>
      </x:c>
      <x:c r="T119" s="24" t="str"/>
      <x:c r="U119" s="24" t="str"/>
    </x:row>
    <x:row r="120" ht="17.25" customHeight="1">
      <x:c r="A120" s="24" t="str">
        <x:v>SW-C-245고2473-1-20231213-57</x:v>
      </x:c>
      <x:c r="B120" s="24" t="str">
        <x:v>스위치플랜</x:v>
      </x:c>
      <x:c r="C120" s="24" t="str">
        <x:v>245고2473</x:v>
      </x:c>
      <x:c r="D120" s="31" t="n">
        <x:v>1</x:v>
      </x:c>
      <x:c r="E120" s="24" t="str">
        <x:v>현재칸</x:v>
      </x:c>
      <x:c r="F120" s="24" t="str">
        <x:v>구독대여</x:v>
      </x:c>
      <x:c r="G120" s="24" t="str">
        <x:v>최윤형</x:v>
      </x:c>
      <x:c r="H120" s="30" t="n">
        <x:v>45273</x:v>
      </x:c>
      <x:c r="I120" s="30" t="n">
        <x:v>46733</x:v>
      </x:c>
      <x:c r="J120" s="30"/>
      <x:c r="K120" s="32" t="n">
        <x:v>460000</x:v>
      </x:c>
      <x:c r="L120" s="32" t="n">
        <x:v>1500000</x:v>
      </x:c>
      <x:c r="M120" s="24" t="str">
        <x:v>15일</x:v>
      </x:c>
      <x:c r="N120" s="24" t="str">
        <x:v>35</x:v>
      </x:c>
      <x:c r="O120" s="24" t="str">
        <x:v>DB</x:v>
      </x:c>
      <x:c r="P120" s="24" t="str">
        <x:v>SI</x:v>
      </x:c>
      <x:c r="Q120" s="24" t="str">
        <x:v>있음</x:v>
      </x:c>
      <x:c r="R120" s="24" t="str"/>
      <x:c r="S120" s="31" t="n">
        <x:v>57</x:v>
      </x:c>
      <x:c r="T120" s="24" t="str"/>
      <x:c r="U120" s="24" t="str"/>
    </x:row>
    <x:row r="121" ht="17.25" customHeight="1">
      <x:c r="A121" s="24" t="str">
        <x:v>SW-C-193우6396-1-20240913-58</x:v>
      </x:c>
      <x:c r="B121" s="24" t="str">
        <x:v>스위치플랜</x:v>
      </x:c>
      <x:c r="C121" s="24" t="str">
        <x:v>193우6396</x:v>
      </x:c>
      <x:c r="D121" s="31" t="n">
        <x:v>1</x:v>
      </x:c>
      <x:c r="E121" s="24" t="str">
        <x:v>현재칸</x:v>
      </x:c>
      <x:c r="F121" s="24" t="str">
        <x:v>구독대여</x:v>
      </x:c>
      <x:c r="G121" s="24" t="str">
        <x:v>권성호</x:v>
      </x:c>
      <x:c r="H121" s="30" t="n">
        <x:v>45548</x:v>
      </x:c>
      <x:c r="I121" s="30" t="n">
        <x:v>47008</x:v>
      </x:c>
      <x:c r="J121" s="30"/>
      <x:c r="K121" s="32" t="n">
        <x:v>670000</x:v>
      </x:c>
      <x:c r="L121" s="32" t="n">
        <x:v>1500000</x:v>
      </x:c>
      <x:c r="M121" s="24" t="str">
        <x:v>15일</x:v>
      </x:c>
      <x:c r="N121" s="24" t="str">
        <x:v>35</x:v>
      </x:c>
      <x:c r="O121" s="24" t="str">
        <x:v>DB</x:v>
      </x:c>
      <x:c r="P121" s="24" t="str">
        <x:v>하허호</x:v>
      </x:c>
      <x:c r="Q121" s="24" t="str">
        <x:v>있음</x:v>
      </x:c>
      <x:c r="R121" s="24" t="str"/>
      <x:c r="S121" s="31" t="n">
        <x:v>58</x:v>
      </x:c>
      <x:c r="T121" s="24" t="str"/>
      <x:c r="U121" s="24" t="str"/>
    </x:row>
    <x:row r="122" ht="17.25" customHeight="1">
      <x:c r="A122" s="24" t="str">
        <x:v>SW-C-193우6396-2-20240621-58</x:v>
      </x:c>
      <x:c r="B122" s="24" t="str">
        <x:v>스위치플랜</x:v>
      </x:c>
      <x:c r="C122" s="24" t="str">
        <x:v>193우6396</x:v>
      </x:c>
      <x:c r="D122" s="31" t="n">
        <x:v>2</x:v>
      </x:c>
      <x:c r="E122" s="24" t="str">
        <x:v>이력</x:v>
      </x:c>
      <x:c r="F122" s="24" t="str">
        <x:v>구독대여</x:v>
      </x:c>
      <x:c r="G122" s="24" t="str">
        <x:v>홍일무역</x:v>
      </x:c>
      <x:c r="H122" s="30" t="n">
        <x:v>45464</x:v>
      </x:c>
      <x:c r="I122" s="30" t="n">
        <x:v>45828</x:v>
      </x:c>
      <x:c r="J122" s="30" t="n">
        <x:v>45540</x:v>
      </x:c>
      <x:c r="K122" s="32" t="n">
        <x:v>880000</x:v>
      </x:c>
      <x:c r="L122" s="32" t="n">
        <x:v>880000</x:v>
      </x:c>
      <x:c r="M122" s="24" t="str"/>
      <x:c r="N122" s="24" t="str">
        <x:v>35</x:v>
      </x:c>
      <x:c r="O122" s="24" t="str"/>
      <x:c r="P122" s="24" t="str">
        <x:v>황제</x:v>
      </x:c>
      <x:c r="Q122" s="24" t="str">
        <x:v>있음</x:v>
      </x:c>
      <x:c r="R122" s="24" t="str"/>
      <x:c r="S122" s="31" t="n">
        <x:v>58</x:v>
      </x:c>
      <x:c r="T122" s="24" t="str"/>
      <x:c r="U122" s="24" t="str"/>
    </x:row>
    <x:row r="123" ht="17.25" customHeight="1">
      <x:c r="A123" s="24" t="str">
        <x:v>SW-C-204나2940-1-NA-59</x:v>
      </x:c>
      <x:c r="B123" s="24" t="str">
        <x:v>스위치플랜</x:v>
      </x:c>
      <x:c r="C123" s="24" t="str">
        <x:v>204나2940</x:v>
      </x:c>
      <x:c r="D123" s="31" t="n">
        <x:v>1</x:v>
      </x:c>
      <x:c r="E123" s="24" t="str">
        <x:v>현재칸</x:v>
      </x:c>
      <x:c r="F123" s="24" t="str"/>
      <x:c r="G123" s="24" t="str">
        <x:v>상품화예정</x:v>
      </x:c>
      <x:c r="H123" s="30"/>
      <x:c r="I123" s="30"/>
      <x:c r="J123" s="30"/>
      <x:c r="K123" s="32"/>
      <x:c r="L123" s="32"/>
      <x:c r="M123" s="24" t="str"/>
      <x:c r="N123" s="24" t="str">
        <x:v>26</x:v>
      </x:c>
      <x:c r="O123" s="24" t="str">
        <x:v>AXA</x:v>
      </x:c>
      <x:c r="P123" s="24" t="str"/>
      <x:c r="Q123" s="24" t="str">
        <x:v>있음</x:v>
      </x:c>
      <x:c r="R123" s="24" t="str"/>
      <x:c r="S123" s="31" t="n">
        <x:v>59</x:v>
      </x:c>
      <x:c r="T123" s="24" t="str">
        <x:v>필수값 확인</x:v>
      </x:c>
      <x:c r="U123" s="24" t="str"/>
    </x:row>
    <x:row r="124" ht="17.25" customHeight="1">
      <x:c r="A124" s="24" t="str">
        <x:v>SW-C-204나2940-2-20260220-59</x:v>
      </x:c>
      <x:c r="B124" s="24" t="str">
        <x:v>스위치플랜</x:v>
      </x:c>
      <x:c r="C124" s="24" t="str">
        <x:v>204나2940</x:v>
      </x:c>
      <x:c r="D124" s="31" t="n">
        <x:v>2</x:v>
      </x:c>
      <x:c r="E124" s="24" t="str">
        <x:v>이력</x:v>
      </x:c>
      <x:c r="F124" s="24" t="str">
        <x:v>구독대여</x:v>
      </x:c>
      <x:c r="G124" s="24" t="str">
        <x:v>정승헌</x:v>
      </x:c>
      <x:c r="H124" s="30" t="n">
        <x:v>46073</x:v>
      </x:c>
      <x:c r="I124" s="30" t="n">
        <x:v>47280</x:v>
      </x:c>
      <x:c r="J124" s="30" t="n">
        <x:v>46216</x:v>
      </x:c>
      <x:c r="K124" s="32" t="n">
        <x:v>690000</x:v>
      </x:c>
      <x:c r="L124" s="32" t="n">
        <x:v>1500000</x:v>
      </x:c>
      <x:c r="M124" s="24" t="str"/>
      <x:c r="N124" s="24" t="str">
        <x:v>26</x:v>
      </x:c>
      <x:c r="O124" s="24" t="str"/>
      <x:c r="P124" s="24" t="str">
        <x:v>하허호</x:v>
      </x:c>
      <x:c r="Q124" s="24" t="str">
        <x:v>있음</x:v>
      </x:c>
      <x:c r="R124" s="24" t="str"/>
      <x:c r="S124" s="31" t="n">
        <x:v>59</x:v>
      </x:c>
      <x:c r="T124" s="24" t="str"/>
      <x:c r="U124" s="24" t="str"/>
    </x:row>
    <x:row r="125" ht="17.25" customHeight="1">
      <x:c r="A125" s="24" t="str">
        <x:v>SW-C-204나2940-3-20250612-59</x:v>
      </x:c>
      <x:c r="B125" s="24" t="str">
        <x:v>스위치플랜</x:v>
      </x:c>
      <x:c r="C125" s="24" t="str">
        <x:v>204나2940</x:v>
      </x:c>
      <x:c r="D125" s="31" t="n">
        <x:v>3</x:v>
      </x:c>
      <x:c r="E125" s="24" t="str">
        <x:v>이력</x:v>
      </x:c>
      <x:c r="F125" s="24" t="str">
        <x:v>구독대여</x:v>
      </x:c>
      <x:c r="G125" s="24" t="str">
        <x:v>더블에이치</x:v>
      </x:c>
      <x:c r="H125" s="30" t="n">
        <x:v>45820</x:v>
      </x:c>
      <x:c r="I125" s="30" t="n">
        <x:v>47280</x:v>
      </x:c>
      <x:c r="J125" s="30"/>
      <x:c r="K125" s="32" t="n">
        <x:v>690000</x:v>
      </x:c>
      <x:c r="L125" s="32" t="n">
        <x:v>1500000</x:v>
      </x:c>
      <x:c r="M125" s="24" t="str"/>
      <x:c r="N125" s="24" t="str">
        <x:v>26</x:v>
      </x:c>
      <x:c r="O125" s="24" t="str"/>
      <x:c r="P125" s="24" t="str">
        <x:v>하허호</x:v>
      </x:c>
      <x:c r="Q125" s="24" t="str">
        <x:v>있음</x:v>
      </x:c>
      <x:c r="R125" s="24" t="str"/>
      <x:c r="S125" s="31" t="n">
        <x:v>59</x:v>
      </x:c>
      <x:c r="T125" s="24" t="str"/>
      <x:c r="U125" s="24" t="str"/>
    </x:row>
    <x:row r="126" ht="17.25" customHeight="1">
      <x:c r="A126" s="24" t="str">
        <x:v>SW-C-204나2940-4-20240612-59</x:v>
      </x:c>
      <x:c r="B126" s="24" t="str">
        <x:v>스위치플랜</x:v>
      </x:c>
      <x:c r="C126" s="24" t="str">
        <x:v>204나2940</x:v>
      </x:c>
      <x:c r="D126" s="31" t="n">
        <x:v>4</x:v>
      </x:c>
      <x:c r="E126" s="24" t="str">
        <x:v>이력</x:v>
      </x:c>
      <x:c r="F126" s="24" t="str">
        <x:v>구독대여</x:v>
      </x:c>
      <x:c r="G126" s="24" t="str">
        <x:v>최창훈</x:v>
      </x:c>
      <x:c r="H126" s="30" t="n">
        <x:v>45455</x:v>
      </x:c>
      <x:c r="I126" s="30" t="n">
        <x:v>46915</x:v>
      </x:c>
      <x:c r="J126" s="30" t="n">
        <x:v>45777</x:v>
      </x:c>
      <x:c r="K126" s="32" t="n">
        <x:v>690000</x:v>
      </x:c>
      <x:c r="L126" s="32" t="n">
        <x:v>1500000</x:v>
      </x:c>
      <x:c r="M126" s="24" t="str"/>
      <x:c r="N126" s="24" t="str">
        <x:v>26</x:v>
      </x:c>
      <x:c r="O126" s="24" t="str"/>
      <x:c r="P126" s="24" t="str">
        <x:v>카랜(주)</x:v>
      </x:c>
      <x:c r="Q126" s="24" t="str">
        <x:v>있음</x:v>
      </x:c>
      <x:c r="R126" s="24" t="str"/>
      <x:c r="S126" s="31" t="n">
        <x:v>59</x:v>
      </x:c>
      <x:c r="T126" s="24" t="str"/>
      <x:c r="U126" s="24" t="str"/>
    </x:row>
    <x:row r="127" ht="17.25" customHeight="1">
      <x:c r="A127" s="24" t="str">
        <x:v>SW-C-204나2940-5-20280611-59</x:v>
      </x:c>
      <x:c r="B127" s="24" t="str">
        <x:v>스위치플랜</x:v>
      </x:c>
      <x:c r="C127" s="24" t="str">
        <x:v>204나2940</x:v>
      </x:c>
      <x:c r="D127" s="31" t="n">
        <x:v>5</x:v>
      </x:c>
      <x:c r="E127" s="24" t="str">
        <x:v>이력</x:v>
      </x:c>
      <x:c r="F127" s="24" t="str">
        <x:v>구독대여</x:v>
      </x:c>
      <x:c r="G127" s="24" t="str">
        <x:v>김영훈</x:v>
      </x:c>
      <x:c r="H127" s="30" t="n">
        <x:v>46915</x:v>
      </x:c>
      <x:c r="I127" s="30" t="n">
        <x:v>45660</x:v>
      </x:c>
      <x:c r="J127" s="30"/>
      <x:c r="K127" s="32" t="n">
        <x:v>45455</x:v>
      </x:c>
      <x:c r="L127" s="32" t="n">
        <x:v>1500000</x:v>
      </x:c>
      <x:c r="M127" s="24" t="str"/>
      <x:c r="N127" s="24" t="str">
        <x:v>26</x:v>
      </x:c>
      <x:c r="O127" s="24" t="str"/>
      <x:c r="P127" s="24" t="str">
        <x:v>카랜(주)</x:v>
      </x:c>
      <x:c r="Q127" s="24" t="str">
        <x:v>있음</x:v>
      </x:c>
      <x:c r="R127" s="24" t="str"/>
      <x:c r="S127" s="31" t="n">
        <x:v>59</x:v>
      </x:c>
      <x:c r="T127" s="24" t="str"/>
      <x:c r="U127" s="24" t="str"/>
    </x:row>
    <x:row r="128" ht="17.25" customHeight="1">
      <x:c r="A128" s="24" t="str">
        <x:v>SW-C-204거7383-1-NA-60</x:v>
      </x:c>
      <x:c r="B128" s="24" t="str">
        <x:v>스위치플랜</x:v>
      </x:c>
      <x:c r="C128" s="24" t="str">
        <x:v>204거7383</x:v>
      </x:c>
      <x:c r="D128" s="31" t="n">
        <x:v>1</x:v>
      </x:c>
      <x:c r="E128" s="24" t="str">
        <x:v>현재칸</x:v>
      </x:c>
      <x:c r="F128" s="24" t="str">
        <x:v>지인</x:v>
      </x:c>
      <x:c r="G128" s="24" t="str">
        <x:v>박영협대표 지인(이현희)</x:v>
      </x:c>
      <x:c r="H128" s="30"/>
      <x:c r="I128" s="30"/>
      <x:c r="J128" s="30"/>
      <x:c r="K128" s="32"/>
      <x:c r="L128" s="32"/>
      <x:c r="M128" s="24" t="str"/>
      <x:c r="N128" s="24" t="str">
        <x:v>35</x:v>
      </x:c>
      <x:c r="O128" s="24" t="str">
        <x:v>DB</x:v>
      </x:c>
      <x:c r="P128" s="24" t="str">
        <x:v>박영협</x:v>
      </x:c>
      <x:c r="Q128" s="24" t="str">
        <x:v>있음</x:v>
      </x:c>
      <x:c r="R128" s="24" t="str"/>
      <x:c r="S128" s="31" t="n">
        <x:v>60</x:v>
      </x:c>
      <x:c r="T128" s="24" t="str">
        <x:v>필수값 확인</x:v>
      </x:c>
      <x:c r="U128" s="24" t="str"/>
    </x:row>
    <x:row r="129" ht="17.25" customHeight="1">
      <x:c r="A129" s="24" t="str">
        <x:v>SW-C-204거7383-2-20250417-60</x:v>
      </x:c>
      <x:c r="B129" s="24" t="str">
        <x:v>스위치플랜</x:v>
      </x:c>
      <x:c r="C129" s="24" t="str">
        <x:v>204거7383</x:v>
      </x:c>
      <x:c r="D129" s="31" t="n">
        <x:v>2</x:v>
      </x:c>
      <x:c r="E129" s="24" t="str">
        <x:v>이력</x:v>
      </x:c>
      <x:c r="F129" s="24" t="str">
        <x:v>구독대여</x:v>
      </x:c>
      <x:c r="G129" s="24" t="str">
        <x:v>김은진</x:v>
      </x:c>
      <x:c r="H129" s="30" t="n">
        <x:v>45764</x:v>
      </x:c>
      <x:c r="I129" s="30" t="n">
        <x:v>47224</x:v>
      </x:c>
      <x:c r="J129" s="30" t="n">
        <x:v>45988</x:v>
      </x:c>
      <x:c r="K129" s="32" t="n">
        <x:v>990000</x:v>
      </x:c>
      <x:c r="L129" s="32" t="n">
        <x:v>2000000</x:v>
      </x:c>
      <x:c r="M129" s="24" t="str"/>
      <x:c r="N129" s="24" t="str">
        <x:v>35</x:v>
      </x:c>
      <x:c r="O129" s="24" t="str"/>
      <x:c r="P129" s="24" t="str">
        <x:v>하허호</x:v>
      </x:c>
      <x:c r="Q129" s="24" t="str">
        <x:v>있음</x:v>
      </x:c>
      <x:c r="R129" s="24" t="str"/>
      <x:c r="S129" s="31" t="n">
        <x:v>60</x:v>
      </x:c>
      <x:c r="T129" s="24" t="str"/>
      <x:c r="U129" s="24" t="str"/>
    </x:row>
    <x:row r="130" ht="17.25" customHeight="1">
      <x:c r="A130" s="24" t="str">
        <x:v>SW-C-204거7383-3-NA-60</x:v>
      </x:c>
      <x:c r="B130" s="24" t="str">
        <x:v>스위치플랜</x:v>
      </x:c>
      <x:c r="C130" s="24" t="str">
        <x:v>204거7383</x:v>
      </x:c>
      <x:c r="D130" s="31" t="n">
        <x:v>3</x:v>
      </x:c>
      <x:c r="E130" s="24" t="str">
        <x:v>이력</x:v>
      </x:c>
      <x:c r="F130" s="24" t="str"/>
      <x:c r="G130" s="24" t="str">
        <x:v>조상무님</x:v>
      </x:c>
      <x:c r="H130" s="30"/>
      <x:c r="I130" s="30"/>
      <x:c r="J130" s="30"/>
      <x:c r="K130" s="32"/>
      <x:c r="L130" s="32"/>
      <x:c r="M130" s="24" t="str"/>
      <x:c r="N130" s="24" t="str">
        <x:v>35</x:v>
      </x:c>
      <x:c r="O130" s="24" t="str"/>
      <x:c r="P130" s="24" t="str"/>
      <x:c r="Q130" s="24" t="str">
        <x:v>있음</x:v>
      </x:c>
      <x:c r="R130" s="24" t="str"/>
      <x:c r="S130" s="31" t="n">
        <x:v>60</x:v>
      </x:c>
      <x:c r="T130" s="24" t="str">
        <x:v>필수값 확인</x:v>
      </x:c>
      <x:c r="U130" s="24" t="str"/>
    </x:row>
    <x:row r="131" ht="17.25" customHeight="1">
      <x:c r="A131" s="24" t="str">
        <x:v>SW-C-204거7383-4-20240603-60</x:v>
      </x:c>
      <x:c r="B131" s="24" t="str">
        <x:v>스위치플랜</x:v>
      </x:c>
      <x:c r="C131" s="24" t="str">
        <x:v>204거7383</x:v>
      </x:c>
      <x:c r="D131" s="31" t="n">
        <x:v>4</x:v>
      </x:c>
      <x:c r="E131" s="24" t="str">
        <x:v>이력</x:v>
      </x:c>
      <x:c r="F131" s="24" t="str">
        <x:v>구독대여</x:v>
      </x:c>
      <x:c r="G131" s="24" t="str">
        <x:v>송혜린</x:v>
      </x:c>
      <x:c r="H131" s="30" t="n">
        <x:v>45446</x:v>
      </x:c>
      <x:c r="I131" s="30" t="n">
        <x:v>45810</x:v>
      </x:c>
      <x:c r="J131" s="30" t="n">
        <x:v>45730</x:v>
      </x:c>
      <x:c r="K131" s="32" t="n">
        <x:v>1350000</x:v>
      </x:c>
      <x:c r="L131" s="32" t="n">
        <x:v>700000</x:v>
      </x:c>
      <x:c r="M131" s="24" t="str"/>
      <x:c r="N131" s="24" t="str">
        <x:v>35</x:v>
      </x:c>
      <x:c r="O131" s="24" t="str"/>
      <x:c r="P131" s="24" t="str">
        <x:v>카랜(주)</x:v>
      </x:c>
      <x:c r="Q131" s="24" t="str">
        <x:v>있음</x:v>
      </x:c>
      <x:c r="R131" s="24" t="str"/>
      <x:c r="S131" s="31" t="n">
        <x:v>60</x:v>
      </x:c>
      <x:c r="T131" s="24" t="str"/>
      <x:c r="U131" s="24" t="str"/>
    </x:row>
    <x:row r="132" ht="17.25" customHeight="1">
      <x:c r="A132" s="24" t="str">
        <x:v>SW-C-204거7383-5-20260325-60</x:v>
      </x:c>
      <x:c r="B132" s="24" t="str">
        <x:v>스위치플랜</x:v>
      </x:c>
      <x:c r="C132" s="24" t="str">
        <x:v>204거7383</x:v>
      </x:c>
      <x:c r="D132" s="31" t="n">
        <x:v>5</x:v>
      </x:c>
      <x:c r="E132" s="24" t="str">
        <x:v>이력</x:v>
      </x:c>
      <x:c r="F132" s="24" t="str">
        <x:v>구독대여</x:v>
      </x:c>
      <x:c r="G132" s="24" t="str">
        <x:v>장순규</x:v>
      </x:c>
      <x:c r="H132" s="30" t="n">
        <x:v>46106</x:v>
      </x:c>
      <x:c r="I132" s="30" t="n">
        <x:v>45420</x:v>
      </x:c>
      <x:c r="J132" s="30"/>
      <x:c r="K132" s="32" t="n">
        <x:v>45377</x:v>
      </x:c>
      <x:c r="L132" s="32" t="n">
        <x:v>2540000</x:v>
      </x:c>
      <x:c r="M132" s="24" t="str"/>
      <x:c r="N132" s="24" t="str">
        <x:v>35</x:v>
      </x:c>
      <x:c r="O132" s="24" t="str"/>
      <x:c r="P132" s="24" t="str">
        <x:v>카랜(주)</x:v>
      </x:c>
      <x:c r="Q132" s="24" t="str">
        <x:v>있음</x:v>
      </x:c>
      <x:c r="R132" s="24" t="str"/>
      <x:c r="S132" s="31" t="n">
        <x:v>60</x:v>
      </x:c>
      <x:c r="T132" s="24" t="str"/>
      <x:c r="U132" s="24" t="str"/>
    </x:row>
    <x:row r="133" ht="17.25" customHeight="1">
      <x:c r="A133" s="24" t="str">
        <x:v>SW-C-15가4481-1-20260706-61</x:v>
      </x:c>
      <x:c r="B133" s="24" t="str">
        <x:v>스위치플랜</x:v>
      </x:c>
      <x:c r="C133" s="24" t="str">
        <x:v>15가4481</x:v>
      </x:c>
      <x:c r="D133" s="31" t="n">
        <x:v>1</x:v>
      </x:c>
      <x:c r="E133" s="24" t="str">
        <x:v>현재칸</x:v>
      </x:c>
      <x:c r="F133" s="24" t="str">
        <x:v>구독대여</x:v>
      </x:c>
      <x:c r="G133" s="24" t="str">
        <x:v>이용호</x:v>
      </x:c>
      <x:c r="H133" s="30" t="n">
        <x:v>46209</x:v>
      </x:c>
      <x:c r="I133" s="30" t="n">
        <x:v>47359</x:v>
      </x:c>
      <x:c r="J133" s="30"/>
      <x:c r="K133" s="32" t="n">
        <x:v>1200000</x:v>
      </x:c>
      <x:c r="L133" s="32" t="n">
        <x:v>1360000</x:v>
      </x:c>
      <x:c r="M133" s="24" t="str">
        <x:v>05일</x:v>
      </x:c>
      <x:c r="N133" s="24" t="str">
        <x:v>개인</x:v>
      </x:c>
      <x:c r="O133" s="24" t="str">
        <x:v>AXA</x:v>
      </x:c>
      <x:c r="P133" s="24" t="str"/>
      <x:c r="Q133" s="24" t="str">
        <x:v>있음</x:v>
      </x:c>
      <x:c r="R133" s="24" t="str"/>
      <x:c r="S133" s="31" t="n">
        <x:v>61</x:v>
      </x:c>
      <x:c r="T133" s="24" t="str">
        <x:v>연령 확인</x:v>
      </x:c>
      <x:c r="U133" s="24" t="str"/>
    </x:row>
    <x:row r="134" ht="17.25" customHeight="1">
      <x:c r="A134" s="24" t="str">
        <x:v>SW-C-15가4481-2-20250830-61</x:v>
      </x:c>
      <x:c r="B134" s="24" t="str">
        <x:v>스위치플랜</x:v>
      </x:c>
      <x:c r="C134" s="24" t="str">
        <x:v>15가4481</x:v>
      </x:c>
      <x:c r="D134" s="31" t="n">
        <x:v>2</x:v>
      </x:c>
      <x:c r="E134" s="24" t="str">
        <x:v>이력</x:v>
      </x:c>
      <x:c r="F134" s="24" t="str">
        <x:v>구독대여</x:v>
      </x:c>
      <x:c r="G134" s="24" t="str">
        <x:v>권태훈</x:v>
      </x:c>
      <x:c r="H134" s="30" t="n">
        <x:v>45899</x:v>
      </x:c>
      <x:c r="I134" s="30" t="n">
        <x:v>47359</x:v>
      </x:c>
      <x:c r="J134" s="30"/>
      <x:c r="K134" s="32" t="n">
        <x:v>1360000</x:v>
      </x:c>
      <x:c r="L134" s="32" t="n">
        <x:v>1360000</x:v>
      </x:c>
      <x:c r="M134" s="24" t="str"/>
      <x:c r="N134" s="24" t="str">
        <x:v>개인</x:v>
      </x:c>
      <x:c r="O134" s="24" t="str"/>
      <x:c r="P134" s="24" t="str">
        <x:v>하허호</x:v>
      </x:c>
      <x:c r="Q134" s="24" t="str">
        <x:v>있음</x:v>
      </x:c>
      <x:c r="R134" s="24" t="str"/>
      <x:c r="S134" s="31" t="n">
        <x:v>61</x:v>
      </x:c>
      <x:c r="T134" s="24" t="str">
        <x:v>연령 확인</x:v>
      </x:c>
      <x:c r="U134" s="24" t="str"/>
    </x:row>
    <x:row r="135" ht="17.25" customHeight="1">
      <x:c r="A135" s="24" t="str">
        <x:v>SW-C-15가4481-3-20250530-61</x:v>
      </x:c>
      <x:c r="B135" s="24" t="str">
        <x:v>스위치플랜</x:v>
      </x:c>
      <x:c r="C135" s="24" t="str">
        <x:v>15가4481</x:v>
      </x:c>
      <x:c r="D135" s="31" t="n">
        <x:v>3</x:v>
      </x:c>
      <x:c r="E135" s="24" t="str">
        <x:v>이력</x:v>
      </x:c>
      <x:c r="F135" s="24" t="str">
        <x:v>구독대여</x:v>
      </x:c>
      <x:c r="G135" s="24" t="str">
        <x:v>정은수</x:v>
      </x:c>
      <x:c r="H135" s="30" t="n">
        <x:v>45807</x:v>
      </x:c>
      <x:c r="I135" s="30" t="n">
        <x:v>47267</x:v>
      </x:c>
      <x:c r="J135" s="30" t="n">
        <x:v>45877</x:v>
      </x:c>
      <x:c r="K135" s="32" t="n">
        <x:v>1290000</x:v>
      </x:c>
      <x:c r="L135" s="32" t="n">
        <x:v>3500000</x:v>
      </x:c>
      <x:c r="M135" s="24" t="str"/>
      <x:c r="N135" s="24" t="str">
        <x:v>개인</x:v>
      </x:c>
      <x:c r="O135" s="24" t="str"/>
      <x:c r="P135" s="24" t="str">
        <x:v>하허호</x:v>
      </x:c>
      <x:c r="Q135" s="24" t="str">
        <x:v>있음</x:v>
      </x:c>
      <x:c r="R135" s="24" t="str"/>
      <x:c r="S135" s="31" t="n">
        <x:v>61</x:v>
      </x:c>
      <x:c r="T135" s="24" t="str">
        <x:v>연령 확인</x:v>
      </x:c>
      <x:c r="U135" s="24" t="str"/>
    </x:row>
    <x:row r="136" ht="17.25" customHeight="1">
      <x:c r="A136" s="24" t="str">
        <x:v>SW-C-299수4820-1-26-62</x:v>
      </x:c>
      <x:c r="B136" s="24" t="str">
        <x:v>스위치플랜</x:v>
      </x:c>
      <x:c r="C136" s="24" t="str">
        <x:v>299수4820</x:v>
      </x:c>
      <x:c r="D136" s="31" t="n">
        <x:v>1</x:v>
      </x:c>
      <x:c r="E136" s="24" t="str">
        <x:v>현재칸</x:v>
      </x:c>
      <x:c r="F136" s="24" t="str">
        <x:v>지인</x:v>
      </x:c>
      <x:c r="G136" s="24" t="str">
        <x:v>이훈4820</x:v>
      </x:c>
      <x:c r="H136" s="30"/>
      <x:c r="I136" s="30"/>
      <x:c r="J136" s="30"/>
      <x:c r="K136" s="32" t="n">
        <x:v>630000</x:v>
      </x:c>
      <x:c r="L136" s="32"/>
      <x:c r="M136" s="24" t="str">
        <x:v>-</x:v>
      </x:c>
      <x:c r="N136" s="24" t="str">
        <x:v>35</x:v>
      </x:c>
      <x:c r="O136" s="24" t="str">
        <x:v>DB</x:v>
      </x:c>
      <x:c r="P136" s="24" t="str"/>
      <x:c r="Q136" s="24" t="str">
        <x:v>있음</x:v>
      </x:c>
      <x:c r="R136" s="24" t="str"/>
      <x:c r="S136" s="31" t="n">
        <x:v>62</x:v>
      </x:c>
      <x:c r="T136" s="24" t="str"/>
      <x:c r="U136" s="24" t="str">
        <x:v>무보증</x:v>
      </x:c>
    </x:row>
    <x:row r="137" ht="17.25" customHeight="1">
      <x:c r="A137" s="24" t="str">
        <x:v>SW-C-299수4820-2-20240509-62</x:v>
      </x:c>
      <x:c r="B137" s="24" t="str">
        <x:v>스위치플랜</x:v>
      </x:c>
      <x:c r="C137" s="24" t="str">
        <x:v>299수4820</x:v>
      </x:c>
      <x:c r="D137" s="31" t="n">
        <x:v>2</x:v>
      </x:c>
      <x:c r="E137" s="24" t="str">
        <x:v>이력</x:v>
      </x:c>
      <x:c r="F137" s="24" t="str">
        <x:v>구독대여</x:v>
      </x:c>
      <x:c r="G137" s="24" t="str">
        <x:v>이훈</x:v>
      </x:c>
      <x:c r="H137" s="30" t="n">
        <x:v>45421</x:v>
      </x:c>
      <x:c r="I137" s="30" t="n">
        <x:v>46150</x:v>
      </x:c>
      <x:c r="J137" s="30" t="n">
        <x:v>46015</x:v>
      </x:c>
      <x:c r="K137" s="32" t="n">
        <x:v>550000</x:v>
      </x:c>
      <x:c r="L137" s="32" t="n">
        <x:v>4000000</x:v>
      </x:c>
      <x:c r="M137" s="24" t="str"/>
      <x:c r="N137" s="24" t="str">
        <x:v>35</x:v>
      </x:c>
      <x:c r="O137" s="24" t="str"/>
      <x:c r="P137" s="24" t="str">
        <x:v>카랜(주)</x:v>
      </x:c>
      <x:c r="Q137" s="24" t="str">
        <x:v>있음</x:v>
      </x:c>
      <x:c r="R137" s="24" t="str"/>
      <x:c r="S137" s="31" t="n">
        <x:v>62</x:v>
      </x:c>
      <x:c r="T137" s="24" t="str"/>
      <x:c r="U137" s="24" t="str"/>
    </x:row>
    <x:row r="138" ht="17.25" customHeight="1">
      <x:c r="A138" s="24" t="str">
        <x:v>SW-C-154모5759-1-20250829-63</x:v>
      </x:c>
      <x:c r="B138" s="24" t="str">
        <x:v>스위치플랜</x:v>
      </x:c>
      <x:c r="C138" s="24" t="str">
        <x:v>154모5759</x:v>
      </x:c>
      <x:c r="D138" s="31" t="n">
        <x:v>1</x:v>
      </x:c>
      <x:c r="E138" s="24" t="str">
        <x:v>현재칸</x:v>
      </x:c>
      <x:c r="F138" s="24" t="str">
        <x:v>구독대여</x:v>
      </x:c>
      <x:c r="G138" s="24" t="str">
        <x:v>아산휴먼</x:v>
      </x:c>
      <x:c r="H138" s="30" t="n">
        <x:v>45898</x:v>
      </x:c>
      <x:c r="I138" s="30" t="n">
        <x:v>47358</x:v>
      </x:c>
      <x:c r="J138" s="30"/>
      <x:c r="K138" s="32" t="n">
        <x:v>880000</x:v>
      </x:c>
      <x:c r="L138" s="32"/>
      <x:c r="M138" s="24" t="str">
        <x:v>05일</x:v>
      </x:c>
      <x:c r="N138" s="24" t="str">
        <x:v>35</x:v>
      </x:c>
      <x:c r="O138" s="24" t="str">
        <x:v>DB</x:v>
      </x:c>
      <x:c r="P138" s="24" t="str">
        <x:v>SI</x:v>
      </x:c>
      <x:c r="Q138" s="24" t="str">
        <x:v>있음</x:v>
      </x:c>
      <x:c r="R138" s="24" t="str"/>
      <x:c r="S138" s="31" t="n">
        <x:v>63</x:v>
      </x:c>
      <x:c r="T138" s="24" t="str"/>
      <x:c r="U138" s="24" t="str">
        <x:v>무보증</x:v>
      </x:c>
    </x:row>
    <x:row r="139" ht="17.25" customHeight="1">
      <x:c r="A139" s="24" t="str">
        <x:v>SW-C-154모5759-2-20250618-63</x:v>
      </x:c>
      <x:c r="B139" s="24" t="str">
        <x:v>스위치플랜</x:v>
      </x:c>
      <x:c r="C139" s="24" t="str">
        <x:v>154모5759</x:v>
      </x:c>
      <x:c r="D139" s="31" t="n">
        <x:v>2</x:v>
      </x:c>
      <x:c r="E139" s="24" t="str">
        <x:v>이력</x:v>
      </x:c>
      <x:c r="F139" s="24" t="str">
        <x:v>구독대여</x:v>
      </x:c>
      <x:c r="G139" s="24" t="str">
        <x:v>임지수</x:v>
      </x:c>
      <x:c r="H139" s="30" t="n">
        <x:v>45826</x:v>
      </x:c>
      <x:c r="I139" s="30" t="n">
        <x:v>47286</x:v>
      </x:c>
      <x:c r="J139" s="30" t="n">
        <x:v>45876</x:v>
      </x:c>
      <x:c r="K139" s="32" t="n">
        <x:v>880000</x:v>
      </x:c>
      <x:c r="L139" s="32"/>
      <x:c r="M139" s="24" t="str"/>
      <x:c r="N139" s="24" t="str">
        <x:v>35</x:v>
      </x:c>
      <x:c r="O139" s="24" t="str"/>
      <x:c r="P139" s="24" t="str">
        <x:v>하허호</x:v>
      </x:c>
      <x:c r="Q139" s="24" t="str">
        <x:v>있음</x:v>
      </x:c>
      <x:c r="R139" s="24" t="str"/>
      <x:c r="S139" s="31" t="n">
        <x:v>63</x:v>
      </x:c>
      <x:c r="T139" s="24" t="str"/>
      <x:c r="U139" s="24" t="str">
        <x:v>무보증</x:v>
      </x:c>
    </x:row>
    <x:row r="140" ht="17.25" customHeight="1">
      <x:c r="A140" s="24" t="str">
        <x:v>SW-C-154모5759-3-20250328-63</x:v>
      </x:c>
      <x:c r="B140" s="24" t="str">
        <x:v>스위치플랜</x:v>
      </x:c>
      <x:c r="C140" s="24" t="str">
        <x:v>154모5759</x:v>
      </x:c>
      <x:c r="D140" s="31" t="n">
        <x:v>3</x:v>
      </x:c>
      <x:c r="E140" s="24" t="str">
        <x:v>이력</x:v>
      </x:c>
      <x:c r="F140" s="24" t="str">
        <x:v>구독대여</x:v>
      </x:c>
      <x:c r="G140" s="24" t="str">
        <x:v>김종현</x:v>
      </x:c>
      <x:c r="H140" s="30" t="n">
        <x:v>45744</x:v>
      </x:c>
      <x:c r="I140" s="30" t="n">
        <x:v>47204</x:v>
      </x:c>
      <x:c r="J140" s="30" t="n">
        <x:v>45751</x:v>
      </x:c>
      <x:c r="K140" s="32" t="n">
        <x:v>950000</x:v>
      </x:c>
      <x:c r="L140" s="32"/>
      <x:c r="M140" s="24" t="str"/>
      <x:c r="N140" s="24" t="str">
        <x:v>35</x:v>
      </x:c>
      <x:c r="O140" s="24" t="str"/>
      <x:c r="P140" s="24" t="str">
        <x:v>하허호</x:v>
      </x:c>
      <x:c r="Q140" s="24" t="str">
        <x:v>있음</x:v>
      </x:c>
      <x:c r="R140" s="24" t="str"/>
      <x:c r="S140" s="31" t="n">
        <x:v>63</x:v>
      </x:c>
      <x:c r="T140" s="24" t="str"/>
      <x:c r="U140" s="24" t="str">
        <x:v>무보증</x:v>
      </x:c>
    </x:row>
    <x:row r="141" ht="17.25" customHeight="1">
      <x:c r="A141" s="24" t="str">
        <x:v>SW-C-154모5759-4-20231120-63</x:v>
      </x:c>
      <x:c r="B141" s="24" t="str">
        <x:v>스위치플랜</x:v>
      </x:c>
      <x:c r="C141" s="24" t="str">
        <x:v>154모5759</x:v>
      </x:c>
      <x:c r="D141" s="31" t="n">
        <x:v>4</x:v>
      </x:c>
      <x:c r="E141" s="24" t="str">
        <x:v>이력</x:v>
      </x:c>
      <x:c r="F141" s="24" t="str">
        <x:v>구독대여</x:v>
      </x:c>
      <x:c r="G141" s="24" t="str">
        <x:v>구재언</x:v>
      </x:c>
      <x:c r="H141" s="30" t="n">
        <x:v>45250</x:v>
      </x:c>
      <x:c r="I141" s="30" t="n">
        <x:v>46710</x:v>
      </x:c>
      <x:c r="J141" s="30" t="n">
        <x:v>45726</x:v>
      </x:c>
      <x:c r="K141" s="32" t="n">
        <x:v>930000</x:v>
      </x:c>
      <x:c r="L141" s="32" t="n">
        <x:v>2630000</x:v>
      </x:c>
      <x:c r="M141" s="24" t="str"/>
      <x:c r="N141" s="24" t="str">
        <x:v>35</x:v>
      </x:c>
      <x:c r="O141" s="24" t="str"/>
      <x:c r="P141" s="24" t="str">
        <x:v>하허호</x:v>
      </x:c>
      <x:c r="Q141" s="24" t="str">
        <x:v>있음</x:v>
      </x:c>
      <x:c r="R141" s="24" t="str"/>
      <x:c r="S141" s="31" t="n">
        <x:v>63</x:v>
      </x:c>
      <x:c r="T141" s="24" t="str"/>
      <x:c r="U141" s="24" t="str"/>
    </x:row>
    <x:row r="142" ht="17.25" customHeight="1">
      <x:c r="A142" s="24" t="str">
        <x:v>SW-C-135수5711-1-NA-64</x:v>
      </x:c>
      <x:c r="B142" s="24" t="str">
        <x:v>스위치플랜</x:v>
      </x:c>
      <x:c r="C142" s="24" t="str">
        <x:v>135수5711</x:v>
      </x:c>
      <x:c r="D142" s="31" t="n">
        <x:v>1</x:v>
      </x:c>
      <x:c r="E142" s="24" t="str">
        <x:v>현재칸</x:v>
      </x:c>
      <x:c r="F142" s="24" t="str">
        <x:v>구독대여</x:v>
      </x:c>
      <x:c r="G142" s="24" t="str">
        <x:v>상품화예정</x:v>
      </x:c>
      <x:c r="H142" s="30"/>
      <x:c r="I142" s="30"/>
      <x:c r="J142" s="30"/>
      <x:c r="K142" s="32"/>
      <x:c r="L142" s="32"/>
      <x:c r="M142" s="24" t="str"/>
      <x:c r="N142" s="24" t="str">
        <x:v>35</x:v>
      </x:c>
      <x:c r="O142" s="24" t="str">
        <x:v>DB</x:v>
      </x:c>
      <x:c r="P142" s="24" t="str"/>
      <x:c r="Q142" s="24" t="str">
        <x:v>있음</x:v>
      </x:c>
      <x:c r="R142" s="24" t="str"/>
      <x:c r="S142" s="31" t="n">
        <x:v>64</x:v>
      </x:c>
      <x:c r="T142" s="24" t="str">
        <x:v>필수값 확인</x:v>
      </x:c>
      <x:c r="U142" s="24" t="str"/>
    </x:row>
    <x:row r="143" ht="17.25" customHeight="1">
      <x:c r="A143" s="24" t="str">
        <x:v>SW-C-135수5711-2-20260121-64</x:v>
      </x:c>
      <x:c r="B143" s="24" t="str">
        <x:v>스위치플랜</x:v>
      </x:c>
      <x:c r="C143" s="24" t="str">
        <x:v>135수5711</x:v>
      </x:c>
      <x:c r="D143" s="31" t="n">
        <x:v>2</x:v>
      </x:c>
      <x:c r="E143" s="24" t="str">
        <x:v>이력</x:v>
      </x:c>
      <x:c r="F143" s="24" t="str">
        <x:v>구독대여</x:v>
      </x:c>
      <x:c r="G143" s="24" t="str">
        <x:v>정도하</x:v>
      </x:c>
      <x:c r="H143" s="30" t="n">
        <x:v>46043</x:v>
      </x:c>
      <x:c r="I143" s="30" t="n">
        <x:v>46407</x:v>
      </x:c>
      <x:c r="J143" s="30" t="n">
        <x:v>46177</x:v>
      </x:c>
      <x:c r="K143" s="32" t="n">
        <x:v>1090000</x:v>
      </x:c>
      <x:c r="L143" s="32" t="n">
        <x:v>990000</x:v>
      </x:c>
      <x:c r="M143" s="24" t="str"/>
      <x:c r="N143" s="24" t="str">
        <x:v>35</x:v>
      </x:c>
      <x:c r="O143" s="24" t="str"/>
      <x:c r="P143" s="24" t="str">
        <x:v>하허호</x:v>
      </x:c>
      <x:c r="Q143" s="24" t="str">
        <x:v>있음</x:v>
      </x:c>
      <x:c r="R143" s="24" t="str"/>
      <x:c r="S143" s="31" t="n">
        <x:v>64</x:v>
      </x:c>
      <x:c r="T143" s="24" t="str"/>
      <x:c r="U143" s="24" t="str"/>
    </x:row>
    <x:row r="144" ht="17.25" customHeight="1">
      <x:c r="A144" s="24" t="str">
        <x:v>SW-C-135수5711-3-20251121-64</x:v>
      </x:c>
      <x:c r="B144" s="24" t="str">
        <x:v>스위치플랜</x:v>
      </x:c>
      <x:c r="C144" s="24" t="str">
        <x:v>135수5711</x:v>
      </x:c>
      <x:c r="D144" s="31" t="n">
        <x:v>3</x:v>
      </x:c>
      <x:c r="E144" s="24" t="str">
        <x:v>이력</x:v>
      </x:c>
      <x:c r="F144" s="24" t="str">
        <x:v>구독대여</x:v>
      </x:c>
      <x:c r="G144" s="24" t="str">
        <x:v>원명재</x:v>
      </x:c>
      <x:c r="H144" s="30" t="n">
        <x:v>45982</x:v>
      </x:c>
      <x:c r="I144" s="30" t="n">
        <x:v>46346</x:v>
      </x:c>
      <x:c r="J144" s="30" t="n">
        <x:v>46037</x:v>
      </x:c>
      <x:c r="K144" s="32" t="n">
        <x:v>990000</x:v>
      </x:c>
      <x:c r="L144" s="32" t="n">
        <x:v>990000</x:v>
      </x:c>
      <x:c r="M144" s="24" t="str"/>
      <x:c r="N144" s="24" t="str">
        <x:v>35</x:v>
      </x:c>
      <x:c r="O144" s="24" t="str"/>
      <x:c r="P144" s="24" t="str">
        <x:v>하허호</x:v>
      </x:c>
      <x:c r="Q144" s="24" t="str">
        <x:v>있음</x:v>
      </x:c>
      <x:c r="R144" s="24" t="str"/>
      <x:c r="S144" s="31" t="n">
        <x:v>64</x:v>
      </x:c>
      <x:c r="T144" s="24" t="str"/>
      <x:c r="U144" s="24" t="str"/>
    </x:row>
    <x:row r="145" ht="17.25" customHeight="1">
      <x:c r="A145" s="24" t="str">
        <x:v>SW-C-135수5711-4-20250801-64</x:v>
      </x:c>
      <x:c r="B145" s="24" t="str">
        <x:v>스위치플랜</x:v>
      </x:c>
      <x:c r="C145" s="24" t="str">
        <x:v>135수5711</x:v>
      </x:c>
      <x:c r="D145" s="31" t="n">
        <x:v>4</x:v>
      </x:c>
      <x:c r="E145" s="24" t="str">
        <x:v>이력</x:v>
      </x:c>
      <x:c r="F145" s="24" t="str">
        <x:v>구독대여</x:v>
      </x:c>
      <x:c r="G145" s="24" t="str">
        <x:v>권태훈</x:v>
      </x:c>
      <x:c r="H145" s="30" t="n">
        <x:v>45870</x:v>
      </x:c>
      <x:c r="I145" s="30"/>
      <x:c r="J145" s="30" t="n">
        <x:v>45898</x:v>
      </x:c>
      <x:c r="K145" s="32" t="n">
        <x:v>980000</x:v>
      </x:c>
      <x:c r="L145" s="32"/>
      <x:c r="M145" s="24" t="str"/>
      <x:c r="N145" s="24" t="str">
        <x:v>35</x:v>
      </x:c>
      <x:c r="O145" s="24" t="str"/>
      <x:c r="P145" s="24" t="str"/>
      <x:c r="Q145" s="24" t="str">
        <x:v>있음</x:v>
      </x:c>
      <x:c r="R145" s="24" t="str"/>
      <x:c r="S145" s="31" t="n">
        <x:v>64</x:v>
      </x:c>
      <x:c r="T145" s="24" t="str"/>
      <x:c r="U145" s="24" t="str">
        <x:v>무보증</x:v>
      </x:c>
    </x:row>
    <x:row r="146" ht="17.25" customHeight="1">
      <x:c r="A146" s="24" t="str">
        <x:v>SW-C-135수5711-5-20290618-64</x:v>
      </x:c>
      <x:c r="B146" s="24" t="str">
        <x:v>스위치플랜</x:v>
      </x:c>
      <x:c r="C146" s="24" t="str">
        <x:v>135수5711</x:v>
      </x:c>
      <x:c r="D146" s="31" t="n">
        <x:v>5</x:v>
      </x:c>
      <x:c r="E146" s="24" t="str">
        <x:v>이력</x:v>
      </x:c>
      <x:c r="F146" s="24" t="str">
        <x:v>구독대여</x:v>
      </x:c>
      <x:c r="G146" s="24" t="str">
        <x:v>안준범</x:v>
      </x:c>
      <x:c r="H146" s="30" t="n">
        <x:v>47287</x:v>
      </x:c>
      <x:c r="I146" s="30" t="n">
        <x:v>45866</x:v>
      </x:c>
      <x:c r="J146" s="30"/>
      <x:c r="K146" s="32" t="n">
        <x:v>45827</x:v>
      </x:c>
      <x:c r="L146" s="32"/>
      <x:c r="M146" s="24" t="str"/>
      <x:c r="N146" s="24" t="str">
        <x:v>35</x:v>
      </x:c>
      <x:c r="O146" s="24" t="str"/>
      <x:c r="P146" s="24" t="str">
        <x:v>하허호</x:v>
      </x:c>
      <x:c r="Q146" s="24" t="str">
        <x:v>있음</x:v>
      </x:c>
      <x:c r="R146" s="24" t="str"/>
      <x:c r="S146" s="31" t="n">
        <x:v>64</x:v>
      </x:c>
      <x:c r="T146" s="24" t="str"/>
      <x:c r="U146" s="24" t="str">
        <x:v>무보증</x:v>
      </x:c>
    </x:row>
    <x:row r="147" ht="17.25" customHeight="1">
      <x:c r="A147" s="24" t="str">
        <x:v>SW-C-135수5711-6-20260718-64</x:v>
      </x:c>
      <x:c r="B147" s="24" t="str">
        <x:v>스위치플랜</x:v>
      </x:c>
      <x:c r="C147" s="24" t="str">
        <x:v>135수5711</x:v>
      </x:c>
      <x:c r="D147" s="31" t="n">
        <x:v>6</x:v>
      </x:c>
      <x:c r="E147" s="24" t="str">
        <x:v>이력</x:v>
      </x:c>
      <x:c r="F147" s="24" t="str">
        <x:v>구독대여</x:v>
      </x:c>
      <x:c r="G147" s="24" t="str">
        <x:v>임동진</x:v>
      </x:c>
      <x:c r="H147" s="30" t="n">
        <x:v>46221</x:v>
      </x:c>
      <x:c r="I147" s="30" t="n">
        <x:v>45818</x:v>
      </x:c>
      <x:c r="J147" s="30"/>
      <x:c r="K147" s="32" t="n">
        <x:v>45492</x:v>
      </x:c>
      <x:c r="L147" s="32" t="n">
        <x:v>2000000</x:v>
      </x:c>
      <x:c r="M147" s="24" t="str"/>
      <x:c r="N147" s="24" t="str">
        <x:v>35</x:v>
      </x:c>
      <x:c r="O147" s="24" t="str"/>
      <x:c r="P147" s="24" t="str">
        <x:v>하허호</x:v>
      </x:c>
      <x:c r="Q147" s="24" t="str">
        <x:v>있음</x:v>
      </x:c>
      <x:c r="R147" s="24" t="str"/>
      <x:c r="S147" s="31" t="n">
        <x:v>64</x:v>
      </x:c>
      <x:c r="T147" s="24" t="str"/>
      <x:c r="U147" s="24" t="str"/>
    </x:row>
    <x:row r="148" ht="17.25" customHeight="1">
      <x:c r="A148" s="24" t="str">
        <x:v>SW-C-135수5711-7-20250103-64</x:v>
      </x:c>
      <x:c r="B148" s="24" t="str">
        <x:v>스위치플랜</x:v>
      </x:c>
      <x:c r="C148" s="24" t="str">
        <x:v>135수5711</x:v>
      </x:c>
      <x:c r="D148" s="31" t="n">
        <x:v>7</x:v>
      </x:c>
      <x:c r="E148" s="24" t="str">
        <x:v>이력</x:v>
      </x:c>
      <x:c r="F148" s="24" t="str">
        <x:v>구독대여</x:v>
      </x:c>
      <x:c r="G148" s="24" t="str">
        <x:v>박청호</x:v>
      </x:c>
      <x:c r="H148" s="30" t="n">
        <x:v>45660</x:v>
      </x:c>
      <x:c r="I148" s="30" t="n">
        <x:v>45488</x:v>
      </x:c>
      <x:c r="J148" s="30"/>
      <x:c r="K148" s="32" t="n">
        <x:v>45295</x:v>
      </x:c>
      <x:c r="L148" s="32" t="n">
        <x:v>1330000</x:v>
      </x:c>
      <x:c r="M148" s="24" t="str"/>
      <x:c r="N148" s="24" t="str">
        <x:v>35</x:v>
      </x:c>
      <x:c r="O148" s="24" t="str"/>
      <x:c r="P148" s="24" t="str">
        <x:v>하허호</x:v>
      </x:c>
      <x:c r="Q148" s="24" t="str">
        <x:v>있음</x:v>
      </x:c>
      <x:c r="R148" s="24" t="str"/>
      <x:c r="S148" s="31" t="n">
        <x:v>64</x:v>
      </x:c>
      <x:c r="T148" s="24" t="str"/>
      <x:c r="U148" s="24" t="str"/>
    </x:row>
    <x:row r="149" ht="17.25" customHeight="1">
      <x:c r="A149" s="24" t="str">
        <x:v>SW-C-94주0700-1-20231219-65</x:v>
      </x:c>
      <x:c r="B149" s="24" t="str">
        <x:v>스위치플랜</x:v>
      </x:c>
      <x:c r="C149" s="24" t="str">
        <x:v>94주0700</x:v>
      </x:c>
      <x:c r="D149" s="31" t="n">
        <x:v>1</x:v>
      </x:c>
      <x:c r="E149" s="24" t="str">
        <x:v>현재칸</x:v>
      </x:c>
      <x:c r="F149" s="24" t="str">
        <x:v>구독대여</x:v>
      </x:c>
      <x:c r="G149" s="24" t="str">
        <x:v>신태민</x:v>
      </x:c>
      <x:c r="H149" s="30" t="n">
        <x:v>45279</x:v>
      </x:c>
      <x:c r="I149" s="30" t="n">
        <x:v>46739</x:v>
      </x:c>
      <x:c r="J149" s="30"/>
      <x:c r="K149" s="32" t="n">
        <x:v>610000</x:v>
      </x:c>
      <x:c r="L149" s="32" t="n">
        <x:v>1490000</x:v>
      </x:c>
      <x:c r="M149" s="24" t="str">
        <x:v>20일</x:v>
      </x:c>
      <x:c r="N149" s="24" t="str">
        <x:v>35</x:v>
      </x:c>
      <x:c r="O149" s="24" t="str">
        <x:v>DB</x:v>
      </x:c>
      <x:c r="P149" s="24" t="str">
        <x:v>하허호</x:v>
      </x:c>
      <x:c r="Q149" s="24" t="str">
        <x:v>있음</x:v>
      </x:c>
      <x:c r="R149" s="24" t="str"/>
      <x:c r="S149" s="31" t="n">
        <x:v>65</x:v>
      </x:c>
      <x:c r="T149" s="24" t="str"/>
      <x:c r="U149" s="24" t="str"/>
    </x:row>
    <x:row r="150" ht="17.25" customHeight="1">
      <x:c r="A150" s="24" t="str">
        <x:v>SW-C-236로9998-1-20260522-66</x:v>
      </x:c>
      <x:c r="B150" s="24" t="str">
        <x:v>스위치플랜</x:v>
      </x:c>
      <x:c r="C150" s="24" t="str">
        <x:v>236로9998</x:v>
      </x:c>
      <x:c r="D150" s="31" t="n">
        <x:v>1</x:v>
      </x:c>
      <x:c r="E150" s="24" t="str">
        <x:v>현재칸</x:v>
      </x:c>
      <x:c r="F150" s="24" t="str">
        <x:v>구독대여</x:v>
      </x:c>
      <x:c r="G150" s="24" t="str">
        <x:v>유승</x:v>
      </x:c>
      <x:c r="H150" s="30" t="n">
        <x:v>46164</x:v>
      </x:c>
      <x:c r="I150" s="30" t="n">
        <x:v>47624</x:v>
      </x:c>
      <x:c r="J150" s="30"/>
      <x:c r="K150" s="32" t="n">
        <x:v>1200000</x:v>
      </x:c>
      <x:c r="L150" s="32"/>
      <x:c r="M150" s="24" t="str">
        <x:v>25일</x:v>
      </x:c>
      <x:c r="N150" s="24" t="str">
        <x:v>개인</x:v>
      </x:c>
      <x:c r="O150" s="24" t="str">
        <x:v>DB</x:v>
      </x:c>
      <x:c r="P150" s="24" t="str">
        <x:v>하허호</x:v>
      </x:c>
      <x:c r="Q150" s="24" t="str">
        <x:v>있음</x:v>
      </x:c>
      <x:c r="R150" s="24" t="str"/>
      <x:c r="S150" s="31" t="n">
        <x:v>66</x:v>
      </x:c>
      <x:c r="T150" s="24" t="str">
        <x:v>연령 확인</x:v>
      </x:c>
      <x:c r="U150" s="24" t="str">
        <x:v>무보증</x:v>
      </x:c>
    </x:row>
    <x:row r="151" ht="17.25" customHeight="1">
      <x:c r="A151" s="24" t="str">
        <x:v>SW-C-236로9998-2-20250405-66</x:v>
      </x:c>
      <x:c r="B151" s="24" t="str">
        <x:v>스위치플랜</x:v>
      </x:c>
      <x:c r="C151" s="24" t="str">
        <x:v>236로9998</x:v>
      </x:c>
      <x:c r="D151" s="31" t="n">
        <x:v>2</x:v>
      </x:c>
      <x:c r="E151" s="24" t="str">
        <x:v>이력</x:v>
      </x:c>
      <x:c r="F151" s="24" t="str">
        <x:v>구독대여</x:v>
      </x:c>
      <x:c r="G151" s="24" t="str">
        <x:v>조경원</x:v>
      </x:c>
      <x:c r="H151" s="30" t="n">
        <x:v>45752</x:v>
      </x:c>
      <x:c r="I151" s="30" t="n">
        <x:v>47212</x:v>
      </x:c>
      <x:c r="J151" s="30" t="n">
        <x:v>45919</x:v>
      </x:c>
      <x:c r="K151" s="32" t="n">
        <x:v>1550000</x:v>
      </x:c>
      <x:c r="L151" s="32"/>
      <x:c r="M151" s="24" t="str"/>
      <x:c r="N151" s="24" t="str">
        <x:v>개인</x:v>
      </x:c>
      <x:c r="O151" s="24" t="str"/>
      <x:c r="P151" s="24" t="str">
        <x:v>하허호</x:v>
      </x:c>
      <x:c r="Q151" s="24" t="str">
        <x:v>있음</x:v>
      </x:c>
      <x:c r="R151" s="24" t="str"/>
      <x:c r="S151" s="31" t="n">
        <x:v>66</x:v>
      </x:c>
      <x:c r="T151" s="24" t="str">
        <x:v>연령 확인</x:v>
      </x:c>
      <x:c r="U151" s="24" t="str">
        <x:v>무보증</x:v>
      </x:c>
    </x:row>
    <x:row r="152" ht="17.25" customHeight="1">
      <x:c r="A152" s="24" t="str">
        <x:v>SW-C-236로9998-3-20240321-66</x:v>
      </x:c>
      <x:c r="B152" s="24" t="str">
        <x:v>스위치플랜</x:v>
      </x:c>
      <x:c r="C152" s="24" t="str">
        <x:v>236로9998</x:v>
      </x:c>
      <x:c r="D152" s="31" t="n">
        <x:v>3</x:v>
      </x:c>
      <x:c r="E152" s="24" t="str">
        <x:v>이력</x:v>
      </x:c>
      <x:c r="F152" s="24" t="str">
        <x:v>/-+</x:v>
      </x:c>
      <x:c r="G152" s="24" t="str">
        <x:v>박광희</x:v>
      </x:c>
      <x:c r="H152" s="30" t="n">
        <x:v>45372</x:v>
      </x:c>
      <x:c r="I152" s="30" t="n">
        <x:v>46832</x:v>
      </x:c>
      <x:c r="J152" s="30" t="n">
        <x:v>45726</x:v>
      </x:c>
      <x:c r="K152" s="32" t="n">
        <x:v>1600000</x:v>
      </x:c>
      <x:c r="L152" s="32" t="n">
        <x:v>5000000</x:v>
      </x:c>
      <x:c r="M152" s="24" t="str"/>
      <x:c r="N152" s="24" t="str">
        <x:v>개인</x:v>
      </x:c>
      <x:c r="O152" s="24" t="str"/>
      <x:c r="P152" s="24" t="str">
        <x:v>카랜(주)</x:v>
      </x:c>
      <x:c r="Q152" s="24" t="str">
        <x:v>있음</x:v>
      </x:c>
      <x:c r="R152" s="24" t="str"/>
      <x:c r="S152" s="31" t="n">
        <x:v>66</x:v>
      </x:c>
      <x:c r="T152" s="24" t="str">
        <x:v>연령 확인</x:v>
      </x:c>
      <x:c r="U152" s="24" t="str"/>
    </x:row>
    <x:row r="153" ht="17.25" customHeight="1">
      <x:c r="A153" s="24" t="str">
        <x:v>SW-C-45루6163-1-20250822-67</x:v>
      </x:c>
      <x:c r="B153" s="24" t="str">
        <x:v>스위치플랜</x:v>
      </x:c>
      <x:c r="C153" s="24" t="str">
        <x:v>45루6163</x:v>
      </x:c>
      <x:c r="D153" s="31" t="n">
        <x:v>1</x:v>
      </x:c>
      <x:c r="E153" s="24" t="str">
        <x:v>현재칸</x:v>
      </x:c>
      <x:c r="F153" s="24" t="str">
        <x:v>구독대여</x:v>
      </x:c>
      <x:c r="G153" s="24" t="str">
        <x:v>김민수</x:v>
      </x:c>
      <x:c r="H153" s="30" t="n">
        <x:v>45891</x:v>
      </x:c>
      <x:c r="I153" s="30" t="n">
        <x:v>47351</x:v>
      </x:c>
      <x:c r="J153" s="30"/>
      <x:c r="K153" s="32" t="n">
        <x:v>1100000</x:v>
      </x:c>
      <x:c r="L153" s="32"/>
      <x:c r="M153" s="24" t="str">
        <x:v>20일</x:v>
      </x:c>
      <x:c r="N153" s="24" t="str">
        <x:v>30</x:v>
      </x:c>
      <x:c r="O153" s="24" t="str">
        <x:v>삼성</x:v>
      </x:c>
      <x:c r="P153" s="24" t="str">
        <x:v>하허호</x:v>
      </x:c>
      <x:c r="Q153" s="24" t="str">
        <x:v>있음</x:v>
      </x:c>
      <x:c r="R153" s="24" t="str"/>
      <x:c r="S153" s="31" t="n">
        <x:v>67</x:v>
      </x:c>
      <x:c r="T153" s="24" t="str"/>
      <x:c r="U153" s="24" t="str">
        <x:v>무보증</x:v>
      </x:c>
    </x:row>
    <x:row r="154" ht="17.25" customHeight="1">
      <x:c r="A154" s="24" t="str">
        <x:v>SW-C-45루6163-2-20250317-67</x:v>
      </x:c>
      <x:c r="B154" s="24" t="str">
        <x:v>스위치플랜</x:v>
      </x:c>
      <x:c r="C154" s="24" t="str">
        <x:v>45루6163</x:v>
      </x:c>
      <x:c r="D154" s="31" t="n">
        <x:v>2</x:v>
      </x:c>
      <x:c r="E154" s="24" t="str">
        <x:v>이력</x:v>
      </x:c>
      <x:c r="F154" s="24" t="str">
        <x:v>구독대여</x:v>
      </x:c>
      <x:c r="G154" s="24" t="str">
        <x:v>이지(EASY)</x:v>
      </x:c>
      <x:c r="H154" s="30" t="n">
        <x:v>45733</x:v>
      </x:c>
      <x:c r="I154" s="30" t="n">
        <x:v>47193</x:v>
      </x:c>
      <x:c r="J154" s="30" t="n">
        <x:v>45963</x:v>
      </x:c>
      <x:c r="K154" s="32" t="n">
        <x:v>1300000</x:v>
      </x:c>
      <x:c r="L154" s="32"/>
      <x:c r="M154" s="24" t="str"/>
      <x:c r="N154" s="24" t="str">
        <x:v>30</x:v>
      </x:c>
      <x:c r="O154" s="24" t="str"/>
      <x:c r="P154" s="24" t="str">
        <x:v>하허호</x:v>
      </x:c>
      <x:c r="Q154" s="24" t="str">
        <x:v>있음</x:v>
      </x:c>
      <x:c r="R154" s="24" t="str"/>
      <x:c r="S154" s="31" t="n">
        <x:v>67</x:v>
      </x:c>
      <x:c r="T154" s="24" t="str"/>
      <x:c r="U154" s="24" t="str">
        <x:v>무보증</x:v>
      </x:c>
    </x:row>
    <x:row r="155" ht="17.25" customHeight="1">
      <x:c r="A155" s="24" t="str">
        <x:v>SW-C-45루6163-3-20250124-67</x:v>
      </x:c>
      <x:c r="B155" s="24" t="str">
        <x:v>스위치플랜</x:v>
      </x:c>
      <x:c r="C155" s="24" t="str">
        <x:v>45루6163</x:v>
      </x:c>
      <x:c r="D155" s="31" t="n">
        <x:v>3</x:v>
      </x:c>
      <x:c r="E155" s="24" t="str">
        <x:v>이력</x:v>
      </x:c>
      <x:c r="F155" s="24" t="str">
        <x:v>구독대여</x:v>
      </x:c>
      <x:c r="G155" s="24" t="str">
        <x:v>이중연</x:v>
      </x:c>
      <x:c r="H155" s="30" t="n">
        <x:v>45681</x:v>
      </x:c>
      <x:c r="I155" s="30" t="n">
        <x:v>47141</x:v>
      </x:c>
      <x:c r="J155" s="30" t="n">
        <x:v>45722</x:v>
      </x:c>
      <x:c r="K155" s="32" t="n">
        <x:v>1600000</x:v>
      </x:c>
      <x:c r="L155" s="32" t="n">
        <x:v>1300000</x:v>
      </x:c>
      <x:c r="M155" s="24" t="str"/>
      <x:c r="N155" s="24" t="str">
        <x:v>30</x:v>
      </x:c>
      <x:c r="O155" s="24" t="str"/>
      <x:c r="P155" s="24" t="str"/>
      <x:c r="Q155" s="24" t="str">
        <x:v>있음</x:v>
      </x:c>
      <x:c r="R155" s="24" t="str"/>
      <x:c r="S155" s="31" t="n">
        <x:v>67</x:v>
      </x:c>
      <x:c r="T155" s="24" t="str"/>
      <x:c r="U155" s="24" t="str"/>
    </x:row>
    <x:row r="156" ht="17.25" customHeight="1">
      <x:c r="A156" s="24" t="str">
        <x:v>SW-C-143조2022-1-20260309-68</x:v>
      </x:c>
      <x:c r="B156" s="24" t="str">
        <x:v>스위치플랜</x:v>
      </x:c>
      <x:c r="C156" s="24" t="str">
        <x:v>143조2022</x:v>
      </x:c>
      <x:c r="D156" s="31" t="n">
        <x:v>1</x:v>
      </x:c>
      <x:c r="E156" s="24" t="str">
        <x:v>현재칸</x:v>
      </x:c>
      <x:c r="F156" s="24" t="str">
        <x:v>구독대여</x:v>
      </x:c>
      <x:c r="G156" s="24" t="str">
        <x:v>김현민</x:v>
      </x:c>
      <x:c r="H156" s="30" t="n">
        <x:v>46090</x:v>
      </x:c>
      <x:c r="I156" s="30" t="n">
        <x:v>47550</x:v>
      </x:c>
      <x:c r="J156" s="30"/>
      <x:c r="K156" s="32" t="n">
        <x:v>520000</x:v>
      </x:c>
      <x:c r="L156" s="32"/>
      <x:c r="M156" s="24" t="str">
        <x:v>10일</x:v>
      </x:c>
      <x:c r="N156" s="24" t="str">
        <x:v>개인</x:v>
      </x:c>
      <x:c r="O156" s="24" t="str">
        <x:v>한화손보</x:v>
      </x:c>
      <x:c r="P156" s="24" t="str">
        <x:v>하허호</x:v>
      </x:c>
      <x:c r="Q156" s="24" t="str">
        <x:v>있음</x:v>
      </x:c>
      <x:c r="R156" s="24" t="str"/>
      <x:c r="S156" s="31" t="n">
        <x:v>68</x:v>
      </x:c>
      <x:c r="T156" s="24" t="str">
        <x:v>연령 확인</x:v>
      </x:c>
      <x:c r="U156" s="24" t="str">
        <x:v>무보증</x:v>
      </x:c>
    </x:row>
    <x:row r="157" ht="17.25" customHeight="1">
      <x:c r="A157" s="24" t="str">
        <x:v>SW-C-143조2022-2-20250723-68</x:v>
      </x:c>
      <x:c r="B157" s="24" t="str">
        <x:v>스위치플랜</x:v>
      </x:c>
      <x:c r="C157" s="24" t="str">
        <x:v>143조2022</x:v>
      </x:c>
      <x:c r="D157" s="31" t="n">
        <x:v>2</x:v>
      </x:c>
      <x:c r="E157" s="24" t="str">
        <x:v>이력</x:v>
      </x:c>
      <x:c r="F157" s="24" t="str">
        <x:v>구독대여</x:v>
      </x:c>
      <x:c r="G157" s="24" t="str">
        <x:v>남동근</x:v>
      </x:c>
      <x:c r="H157" s="30" t="n">
        <x:v>45861</x:v>
      </x:c>
      <x:c r="I157" s="30" t="n">
        <x:v>46225</x:v>
      </x:c>
      <x:c r="J157" s="30" t="n">
        <x:v>45996</x:v>
      </x:c>
      <x:c r="K157" s="32" t="n">
        <x:v>690000</x:v>
      </x:c>
      <x:c r="L157" s="32" t="n">
        <x:v>690000</x:v>
      </x:c>
      <x:c r="M157" s="24" t="str"/>
      <x:c r="N157" s="24" t="str">
        <x:v>개인</x:v>
      </x:c>
      <x:c r="O157" s="24" t="str"/>
      <x:c r="P157" s="24" t="str"/>
      <x:c r="Q157" s="24" t="str">
        <x:v>있음</x:v>
      </x:c>
      <x:c r="R157" s="24" t="str"/>
      <x:c r="S157" s="31" t="n">
        <x:v>68</x:v>
      </x:c>
      <x:c r="T157" s="24" t="str">
        <x:v>연령 확인</x:v>
      </x:c>
      <x:c r="U157" s="24" t="str"/>
    </x:row>
    <x:row r="158" ht="17.25" customHeight="1">
      <x:c r="A158" s="24" t="str">
        <x:v>SW-C-174모9645-1-20240731-69</x:v>
      </x:c>
      <x:c r="B158" s="24" t="str">
        <x:v>스위치플랜</x:v>
      </x:c>
      <x:c r="C158" s="24" t="str">
        <x:v>174모9645</x:v>
      </x:c>
      <x:c r="D158" s="31" t="n">
        <x:v>1</x:v>
      </x:c>
      <x:c r="E158" s="24" t="str">
        <x:v>현재칸</x:v>
      </x:c>
      <x:c r="F158" s="24" t="str">
        <x:v>구독대여</x:v>
      </x:c>
      <x:c r="G158" s="24" t="str">
        <x:v>나모나</x:v>
      </x:c>
      <x:c r="H158" s="30" t="n">
        <x:v>45504</x:v>
      </x:c>
      <x:c r="I158" s="30" t="n">
        <x:v>46964</x:v>
      </x:c>
      <x:c r="J158" s="30"/>
      <x:c r="K158" s="32" t="n">
        <x:v>900000</x:v>
      </x:c>
      <x:c r="L158" s="32" t="n">
        <x:v>2500000</x:v>
      </x:c>
      <x:c r="M158" s="24" t="str"/>
      <x:c r="N158" s="24" t="str">
        <x:v>35</x:v>
      </x:c>
      <x:c r="O158" s="24" t="str">
        <x:v>DB</x:v>
      </x:c>
      <x:c r="P158" s="24" t="str">
        <x:v>김정남</x:v>
      </x:c>
      <x:c r="Q158" s="24" t="str">
        <x:v>있음</x:v>
      </x:c>
      <x:c r="R158" s="24" t="str"/>
      <x:c r="S158" s="31" t="n">
        <x:v>69</x:v>
      </x:c>
      <x:c r="T158" s="24" t="str"/>
      <x:c r="U158" s="24" t="str"/>
    </x:row>
    <x:row r="159" ht="17.25" customHeight="1">
      <x:c r="A159" s="24" t="str">
        <x:v>SW-C-377마3268-1-NA-70</x:v>
      </x:c>
      <x:c r="B159" s="24" t="str">
        <x:v>스위치플랜</x:v>
      </x:c>
      <x:c r="C159" s="24" t="str">
        <x:v>377마3268</x:v>
      </x:c>
      <x:c r="D159" s="31" t="n">
        <x:v>1</x:v>
      </x:c>
      <x:c r="E159" s="24" t="str">
        <x:v>현재칸</x:v>
      </x:c>
      <x:c r="F159" s="24" t="str"/>
      <x:c r="G159" s="24" t="str">
        <x:v>상품화예정</x:v>
      </x:c>
      <x:c r="H159" s="30"/>
      <x:c r="I159" s="30"/>
      <x:c r="J159" s="30"/>
      <x:c r="K159" s="32"/>
      <x:c r="L159" s="32"/>
      <x:c r="M159" s="24" t="str"/>
      <x:c r="N159" s="24" t="str">
        <x:v>26</x:v>
      </x:c>
      <x:c r="O159" s="24" t="str">
        <x:v>DB</x:v>
      </x:c>
      <x:c r="P159" s="24" t="str"/>
      <x:c r="Q159" s="24" t="str">
        <x:v>있음</x:v>
      </x:c>
      <x:c r="R159" s="24" t="str"/>
      <x:c r="S159" s="31" t="n">
        <x:v>70</x:v>
      </x:c>
      <x:c r="T159" s="24" t="str">
        <x:v>필수값 확인</x:v>
      </x:c>
      <x:c r="U159" s="24" t="str"/>
    </x:row>
    <x:row r="160" ht="17.25" customHeight="1">
      <x:c r="A160" s="24" t="str">
        <x:v>SW-C-377마3268-2-20240625-70</x:v>
      </x:c>
      <x:c r="B160" s="24" t="str">
        <x:v>스위치플랜</x:v>
      </x:c>
      <x:c r="C160" s="24" t="str">
        <x:v>377마3268</x:v>
      </x:c>
      <x:c r="D160" s="31" t="n">
        <x:v>2</x:v>
      </x:c>
      <x:c r="E160" s="24" t="str">
        <x:v>이력</x:v>
      </x:c>
      <x:c r="F160" s="24" t="str">
        <x:v>구독대여</x:v>
      </x:c>
      <x:c r="G160" s="24" t="str">
        <x:v>박수익</x:v>
      </x:c>
      <x:c r="H160" s="30" t="n">
        <x:v>45468</x:v>
      </x:c>
      <x:c r="I160" s="30" t="n">
        <x:v>46928</x:v>
      </x:c>
      <x:c r="J160" s="30" t="n">
        <x:v>46227</x:v>
      </x:c>
      <x:c r="K160" s="32" t="n">
        <x:v>1100000</x:v>
      </x:c>
      <x:c r="L160" s="32" t="n">
        <x:v>3350000</x:v>
      </x:c>
      <x:c r="M160" s="24" t="str"/>
      <x:c r="N160" s="24" t="str">
        <x:v>26</x:v>
      </x:c>
      <x:c r="O160" s="24" t="str"/>
      <x:c r="P160" s="24" t="str">
        <x:v>황제</x:v>
      </x:c>
      <x:c r="Q160" s="24" t="str">
        <x:v>있음</x:v>
      </x:c>
      <x:c r="R160" s="24" t="str"/>
      <x:c r="S160" s="31" t="n">
        <x:v>70</x:v>
      </x:c>
      <x:c r="T160" s="24" t="str"/>
      <x:c r="U160" s="24" t="str"/>
    </x:row>
    <x:row r="161" ht="17.25" customHeight="1">
      <x:c r="A161" s="24" t="str">
        <x:v>SW-C-104버2190-1-20240809-71</x:v>
      </x:c>
      <x:c r="B161" s="24" t="str">
        <x:v>스위치플랜</x:v>
      </x:c>
      <x:c r="C161" s="24" t="str">
        <x:v>104버2190</x:v>
      </x:c>
      <x:c r="D161" s="31" t="n">
        <x:v>1</x:v>
      </x:c>
      <x:c r="E161" s="24" t="str">
        <x:v>현재칸</x:v>
      </x:c>
      <x:c r="F161" s="24" t="str">
        <x:v>구독대여</x:v>
      </x:c>
      <x:c r="G161" s="24" t="str">
        <x:v>박지혜</x:v>
      </x:c>
      <x:c r="H161" s="30" t="n">
        <x:v>45513</x:v>
      </x:c>
      <x:c r="I161" s="30" t="n">
        <x:v>46973</x:v>
      </x:c>
      <x:c r="J161" s="30"/>
      <x:c r="K161" s="32" t="n">
        <x:v>1340000</x:v>
      </x:c>
      <x:c r="L161" s="32" t="n">
        <x:v>4290000</x:v>
      </x:c>
      <x:c r="M161" s="24" t="str">
        <x:v>10일</x:v>
      </x:c>
      <x:c r="N161" s="24" t="str">
        <x:v>35</x:v>
      </x:c>
      <x:c r="O161" s="24" t="str">
        <x:v>DB</x:v>
      </x:c>
      <x:c r="P161" s="24" t="str">
        <x:v>하허호</x:v>
      </x:c>
      <x:c r="Q161" s="24" t="str">
        <x:v>있음</x:v>
      </x:c>
      <x:c r="R161" s="24" t="str"/>
      <x:c r="S161" s="31" t="n">
        <x:v>71</x:v>
      </x:c>
      <x:c r="T161" s="24" t="str"/>
      <x:c r="U161" s="24" t="str"/>
    </x:row>
    <x:row r="162" ht="17.25" customHeight="1">
      <x:c r="A162" s="24" t="str">
        <x:v>SW-C-155라6323-1-20250210-72</x:v>
      </x:c>
      <x:c r="B162" s="24" t="str">
        <x:v>스위치플랜</x:v>
      </x:c>
      <x:c r="C162" s="24" t="str">
        <x:v>155라6323</x:v>
      </x:c>
      <x:c r="D162" s="31" t="n">
        <x:v>1</x:v>
      </x:c>
      <x:c r="E162" s="24" t="str">
        <x:v>현재칸</x:v>
      </x:c>
      <x:c r="F162" s="24" t="str">
        <x:v>구독대여</x:v>
      </x:c>
      <x:c r="G162" s="24" t="str">
        <x:v>장준</x:v>
      </x:c>
      <x:c r="H162" s="30" t="n">
        <x:v>45698</x:v>
      </x:c>
      <x:c r="I162" s="30" t="n">
        <x:v>47158</x:v>
      </x:c>
      <x:c r="J162" s="30"/>
      <x:c r="K162" s="32" t="n">
        <x:v>1320000</x:v>
      </x:c>
      <x:c r="L162" s="32" t="n">
        <x:v>3500000</x:v>
      </x:c>
      <x:c r="M162" s="24" t="str">
        <x:v>20일</x:v>
      </x:c>
      <x:c r="N162" s="24" t="str">
        <x:v>24</x:v>
      </x:c>
      <x:c r="O162" s="24" t="str">
        <x:v>DB</x:v>
      </x:c>
      <x:c r="P162" s="24" t="str">
        <x:v>하허호</x:v>
      </x:c>
      <x:c r="Q162" s="24" t="str">
        <x:v>있음</x:v>
      </x:c>
      <x:c r="R162" s="24" t="str"/>
      <x:c r="S162" s="31" t="n">
        <x:v>72</x:v>
      </x:c>
      <x:c r="T162" s="24" t="str"/>
      <x:c r="U162" s="24" t="str"/>
    </x:row>
    <x:row r="163" ht="17.25" customHeight="1">
      <x:c r="A163" s="24" t="str">
        <x:v>SW-C-325구9443-1-20250820-73</x:v>
      </x:c>
      <x:c r="B163" s="24" t="str">
        <x:v>스위치플랜</x:v>
      </x:c>
      <x:c r="C163" s="24" t="str">
        <x:v>325구9443</x:v>
      </x:c>
      <x:c r="D163" s="31" t="n">
        <x:v>1</x:v>
      </x:c>
      <x:c r="E163" s="24" t="str">
        <x:v>현재칸</x:v>
      </x:c>
      <x:c r="F163" s="24" t="str">
        <x:v>구독대여</x:v>
      </x:c>
      <x:c r="G163" s="24" t="str">
        <x:v>최정훈</x:v>
      </x:c>
      <x:c r="H163" s="30" t="n">
        <x:v>45889</x:v>
      </x:c>
      <x:c r="I163" s="30" t="n">
        <x:v>47349</x:v>
      </x:c>
      <x:c r="J163" s="30"/>
      <x:c r="K163" s="32" t="n">
        <x:v>850000</x:v>
      </x:c>
      <x:c r="L163" s="32"/>
      <x:c r="M163" s="24" t="str">
        <x:v>20일</x:v>
      </x:c>
      <x:c r="N163" s="24" t="str">
        <x:v>26</x:v>
      </x:c>
      <x:c r="O163" s="24" t="str">
        <x:v>DB</x:v>
      </x:c>
      <x:c r="P163" s="24" t="str">
        <x:v>하허호</x:v>
      </x:c>
      <x:c r="Q163" s="24" t="str">
        <x:v>있음</x:v>
      </x:c>
      <x:c r="R163" s="24" t="str"/>
      <x:c r="S163" s="31" t="n">
        <x:v>73</x:v>
      </x:c>
      <x:c r="T163" s="24" t="str"/>
      <x:c r="U163" s="24" t="str">
        <x:v>무보증</x:v>
      </x:c>
    </x:row>
    <x:row r="164" ht="17.25" customHeight="1">
      <x:c r="A164" s="24" t="str">
        <x:v>SW-C-325구9443-2-20250213-73</x:v>
      </x:c>
      <x:c r="B164" s="24" t="str">
        <x:v>스위치플랜</x:v>
      </x:c>
      <x:c r="C164" s="24" t="str">
        <x:v>325구9443</x:v>
      </x:c>
      <x:c r="D164" s="31" t="n">
        <x:v>2</x:v>
      </x:c>
      <x:c r="E164" s="24" t="str">
        <x:v>이력</x:v>
      </x:c>
      <x:c r="F164" s="24" t="str">
        <x:v>구독대여</x:v>
      </x:c>
      <x:c r="G164" s="24" t="str">
        <x:v>김근호</x:v>
      </x:c>
      <x:c r="H164" s="30" t="n">
        <x:v>45701</x:v>
      </x:c>
      <x:c r="I164" s="30" t="n">
        <x:v>47161</x:v>
      </x:c>
      <x:c r="J164" s="30" t="n">
        <x:v>45880</x:v>
      </x:c>
      <x:c r="K164" s="32" t="n">
        <x:v>770000</x:v>
      </x:c>
      <x:c r="L164" s="32"/>
      <x:c r="M164" s="24" t="str"/>
      <x:c r="N164" s="24" t="str">
        <x:v>26</x:v>
      </x:c>
      <x:c r="O164" s="24" t="str"/>
      <x:c r="P164" s="24" t="str">
        <x:v>하허호</x:v>
      </x:c>
      <x:c r="Q164" s="24" t="str">
        <x:v>있음</x:v>
      </x:c>
      <x:c r="R164" s="24" t="str"/>
      <x:c r="S164" s="31" t="n">
        <x:v>73</x:v>
      </x:c>
      <x:c r="T164" s="24" t="str"/>
      <x:c r="U164" s="24" t="str">
        <x:v>무보증</x:v>
      </x:c>
    </x:row>
    <x:row r="165" ht="17.25" customHeight="1">
      <x:c r="A165" s="24" t="str">
        <x:v>SW-C-325구9443-3-20240207-73</x:v>
      </x:c>
      <x:c r="B165" s="24" t="str">
        <x:v>스위치플랜</x:v>
      </x:c>
      <x:c r="C165" s="24" t="str">
        <x:v>325구9443</x:v>
      </x:c>
      <x:c r="D165" s="31" t="n">
        <x:v>3</x:v>
      </x:c>
      <x:c r="E165" s="24" t="str">
        <x:v>이력</x:v>
      </x:c>
      <x:c r="F165" s="24" t="str">
        <x:v>구독대여</x:v>
      </x:c>
      <x:c r="G165" s="24" t="str">
        <x:v>강현식</x:v>
      </x:c>
      <x:c r="H165" s="30" t="n">
        <x:v>45329</x:v>
      </x:c>
      <x:c r="I165" s="30" t="n">
        <x:v>45694</x:v>
      </x:c>
      <x:c r="J165" s="30"/>
      <x:c r="K165" s="32" t="n">
        <x:v>1160000</x:v>
      </x:c>
      <x:c r="L165" s="32" t="n">
        <x:v>1160000</x:v>
      </x:c>
      <x:c r="M165" s="24" t="str"/>
      <x:c r="N165" s="24" t="str">
        <x:v>26</x:v>
      </x:c>
      <x:c r="O165" s="24" t="str"/>
      <x:c r="P165" s="24" t="str">
        <x:v>카랜(주)</x:v>
      </x:c>
      <x:c r="Q165" s="24" t="str">
        <x:v>있음</x:v>
      </x:c>
      <x:c r="R165" s="24" t="str"/>
      <x:c r="S165" s="31" t="n">
        <x:v>73</x:v>
      </x:c>
      <x:c r="T165" s="24" t="str"/>
      <x:c r="U165" s="24" t="str"/>
    </x:row>
    <x:row r="166" ht="17.25" customHeight="1">
      <x:c r="A166" s="24" t="str">
        <x:v>SW-C-268저3547-1-20250709-74</x:v>
      </x:c>
      <x:c r="B166" s="24" t="str">
        <x:v>스위치플랜</x:v>
      </x:c>
      <x:c r="C166" s="24" t="str">
        <x:v>268저3547</x:v>
      </x:c>
      <x:c r="D166" s="31" t="n">
        <x:v>1</x:v>
      </x:c>
      <x:c r="E166" s="24" t="str">
        <x:v>현재칸</x:v>
      </x:c>
      <x:c r="F166" s="24" t="str">
        <x:v>구독대여</x:v>
      </x:c>
      <x:c r="G166" s="24" t="str">
        <x:v>제이엠</x:v>
      </x:c>
      <x:c r="H166" s="30" t="n">
        <x:v>45847</x:v>
      </x:c>
      <x:c r="I166" s="30" t="n">
        <x:v>47307</x:v>
      </x:c>
      <x:c r="J166" s="30"/>
      <x:c r="K166" s="32" t="n">
        <x:v>1220000</x:v>
      </x:c>
      <x:c r="L166" s="32"/>
      <x:c r="M166" s="24" t="str">
        <x:v>10일</x:v>
      </x:c>
      <x:c r="N166" s="24" t="str">
        <x:v>35</x:v>
      </x:c>
      <x:c r="O166" s="24" t="str">
        <x:v>DB</x:v>
      </x:c>
      <x:c r="P166" s="24" t="str">
        <x:v>하허호</x:v>
      </x:c>
      <x:c r="Q166" s="24" t="str">
        <x:v>있음</x:v>
      </x:c>
      <x:c r="R166" s="24" t="str"/>
      <x:c r="S166" s="31" t="n">
        <x:v>74</x:v>
      </x:c>
      <x:c r="T166" s="24" t="str"/>
      <x:c r="U166" s="24" t="str">
        <x:v>무보증</x:v>
      </x:c>
    </x:row>
    <x:row r="167" ht="17.25" customHeight="1">
      <x:c r="A167" s="24" t="str">
        <x:v>SW-C-268저3547-2-20250605-74</x:v>
      </x:c>
      <x:c r="B167" s="24" t="str">
        <x:v>스위치플랜</x:v>
      </x:c>
      <x:c r="C167" s="24" t="str">
        <x:v>268저3547</x:v>
      </x:c>
      <x:c r="D167" s="31" t="n">
        <x:v>2</x:v>
      </x:c>
      <x:c r="E167" s="24" t="str">
        <x:v>이력</x:v>
      </x:c>
      <x:c r="F167" s="24" t="str">
        <x:v>구독대여</x:v>
      </x:c>
      <x:c r="G167" s="24" t="str">
        <x:v>김민환</x:v>
      </x:c>
      <x:c r="H167" s="30" t="n">
        <x:v>45813</x:v>
      </x:c>
      <x:c r="I167" s="30" t="n">
        <x:v>47273</x:v>
      </x:c>
      <x:c r="J167" s="30"/>
      <x:c r="K167" s="32" t="n">
        <x:v>1270000</x:v>
      </x:c>
      <x:c r="L167" s="32" t="n">
        <x:v>3000000</x:v>
      </x:c>
      <x:c r="M167" s="24" t="str"/>
      <x:c r="N167" s="24" t="str">
        <x:v>35</x:v>
      </x:c>
      <x:c r="O167" s="24" t="str"/>
      <x:c r="P167" s="24" t="str">
        <x:v>하하호</x:v>
      </x:c>
      <x:c r="Q167" s="24" t="str">
        <x:v>있음</x:v>
      </x:c>
      <x:c r="R167" s="24" t="str"/>
      <x:c r="S167" s="31" t="n">
        <x:v>74</x:v>
      </x:c>
      <x:c r="T167" s="24" t="str"/>
      <x:c r="U167" s="24" t="str"/>
    </x:row>
    <x:row r="168" ht="17.25" customHeight="1">
      <x:c r="A168" s="24" t="str">
        <x:v>SW-C-268저3547-3-20241206-74</x:v>
      </x:c>
      <x:c r="B168" s="24" t="str">
        <x:v>스위치플랜</x:v>
      </x:c>
      <x:c r="C168" s="24" t="str">
        <x:v>268저3547</x:v>
      </x:c>
      <x:c r="D168" s="31" t="n">
        <x:v>3</x:v>
      </x:c>
      <x:c r="E168" s="24" t="str">
        <x:v>이력</x:v>
      </x:c>
      <x:c r="F168" s="24" t="str">
        <x:v>구독대여</x:v>
      </x:c>
      <x:c r="G168" s="24" t="str">
        <x:v>이정민</x:v>
      </x:c>
      <x:c r="H168" s="30" t="n">
        <x:v>45632</x:v>
      </x:c>
      <x:c r="I168" s="30" t="n">
        <x:v>47092</x:v>
      </x:c>
      <x:c r="J168" s="30" t="n">
        <x:v>45812</x:v>
      </x:c>
      <x:c r="K168" s="32" t="n">
        <x:v>1300000</x:v>
      </x:c>
      <x:c r="L168" s="32" t="n">
        <x:v>4140000</x:v>
      </x:c>
      <x:c r="M168" s="24" t="str"/>
      <x:c r="N168" s="24" t="str">
        <x:v>35</x:v>
      </x:c>
      <x:c r="O168" s="24" t="str"/>
      <x:c r="P168" s="24" t="str">
        <x:v>최사랑</x:v>
      </x:c>
      <x:c r="Q168" s="24" t="str">
        <x:v>있음</x:v>
      </x:c>
      <x:c r="R168" s="24" t="str"/>
      <x:c r="S168" s="31" t="n">
        <x:v>74</x:v>
      </x:c>
      <x:c r="T168" s="24" t="str"/>
      <x:c r="U168" s="24" t="str"/>
    </x:row>
    <x:row r="169" ht="17.25" customHeight="1">
      <x:c r="A169" s="24" t="str">
        <x:v>SW-C-336소9711-1-20231130-75</x:v>
      </x:c>
      <x:c r="B169" s="24" t="str">
        <x:v>스위치플랜</x:v>
      </x:c>
      <x:c r="C169" s="24" t="str">
        <x:v>336소9711</x:v>
      </x:c>
      <x:c r="D169" s="31" t="n">
        <x:v>1</x:v>
      </x:c>
      <x:c r="E169" s="24" t="str">
        <x:v>현재칸</x:v>
      </x:c>
      <x:c r="F169" s="24" t="str">
        <x:v>구독대여</x:v>
      </x:c>
      <x:c r="G169" s="24" t="str">
        <x:v>문성오</x:v>
      </x:c>
      <x:c r="H169" s="30" t="n">
        <x:v>45260</x:v>
      </x:c>
      <x:c r="I169" s="30" t="n">
        <x:v>46720</x:v>
      </x:c>
      <x:c r="J169" s="30"/>
      <x:c r="K169" s="32" t="n">
        <x:v>1000000</x:v>
      </x:c>
      <x:c r="L169" s="32" t="n">
        <x:v>3300000</x:v>
      </x:c>
      <x:c r="M169" s="24" t="str">
        <x:v>05일</x:v>
      </x:c>
      <x:c r="N169" s="24" t="str">
        <x:v>24</x:v>
      </x:c>
      <x:c r="O169" s="24" t="str">
        <x:v>DB</x:v>
      </x:c>
      <x:c r="P169" s="24" t="str">
        <x:v>SI</x:v>
      </x:c>
      <x:c r="Q169" s="24" t="str">
        <x:v>있음</x:v>
      </x:c>
      <x:c r="R169" s="24" t="str"/>
      <x:c r="S169" s="31" t="n">
        <x:v>75</x:v>
      </x:c>
      <x:c r="T169" s="24" t="str"/>
      <x:c r="U169" s="24" t="str"/>
    </x:row>
    <x:row r="170" ht="17.25" customHeight="1">
      <x:c r="A170" s="24" t="str">
        <x:v>SW-C-182거8282-1-20250605-76</x:v>
      </x:c>
      <x:c r="B170" s="24" t="str">
        <x:v>스위치플랜</x:v>
      </x:c>
      <x:c r="C170" s="24" t="str">
        <x:v>182거8282</x:v>
      </x:c>
      <x:c r="D170" s="31" t="n">
        <x:v>1</x:v>
      </x:c>
      <x:c r="E170" s="24" t="str">
        <x:v>현재칸</x:v>
      </x:c>
      <x:c r="F170" s="24" t="str">
        <x:v>구독대여</x:v>
      </x:c>
      <x:c r="G170" s="24" t="str">
        <x:v>지승언</x:v>
      </x:c>
      <x:c r="H170" s="30" t="n">
        <x:v>45813</x:v>
      </x:c>
      <x:c r="I170" s="30" t="n">
        <x:v>47273</x:v>
      </x:c>
      <x:c r="J170" s="30"/>
      <x:c r="K170" s="32" t="n">
        <x:v>350000</x:v>
      </x:c>
      <x:c r="L170" s="32"/>
      <x:c r="M170" s="24" t="str">
        <x:v>05일</x:v>
      </x:c>
      <x:c r="N170" s="24" t="str">
        <x:v>35</x:v>
      </x:c>
      <x:c r="O170" s="24" t="str">
        <x:v>DB</x:v>
      </x:c>
      <x:c r="P170" s="24" t="str">
        <x:v>렌트야</x:v>
      </x:c>
      <x:c r="Q170" s="24" t="str">
        <x:v>있음</x:v>
      </x:c>
      <x:c r="R170" s="24" t="str"/>
      <x:c r="S170" s="31" t="n">
        <x:v>76</x:v>
      </x:c>
      <x:c r="T170" s="24" t="str"/>
      <x:c r="U170" s="24" t="str">
        <x:v>무보증</x:v>
      </x:c>
    </x:row>
    <x:row r="171" ht="17.25" customHeight="1">
      <x:c r="A171" s="24" t="str">
        <x:v>SW-C-182거8282-2-20241211-76</x:v>
      </x:c>
      <x:c r="B171" s="24" t="str">
        <x:v>스위치플랜</x:v>
      </x:c>
      <x:c r="C171" s="24" t="str">
        <x:v>182거8282</x:v>
      </x:c>
      <x:c r="D171" s="31" t="n">
        <x:v>2</x:v>
      </x:c>
      <x:c r="E171" s="24" t="str">
        <x:v>이력</x:v>
      </x:c>
      <x:c r="F171" s="24" t="str">
        <x:v>구독대여</x:v>
      </x:c>
      <x:c r="G171" s="24" t="str">
        <x:v>김학무</x:v>
      </x:c>
      <x:c r="H171" s="30" t="n">
        <x:v>45637</x:v>
      </x:c>
      <x:c r="I171" s="30" t="n">
        <x:v>46001</x:v>
      </x:c>
      <x:c r="J171" s="30" t="n">
        <x:v>45798</x:v>
      </x:c>
      <x:c r="K171" s="32" t="n">
        <x:v>440000</x:v>
      </x:c>
      <x:c r="L171" s="32" t="n">
        <x:v>440000</x:v>
      </x:c>
      <x:c r="M171" s="24" t="str"/>
      <x:c r="N171" s="24" t="str">
        <x:v>35</x:v>
      </x:c>
      <x:c r="O171" s="24" t="str"/>
      <x:c r="P171" s="24" t="str">
        <x:v>렌트야</x:v>
      </x:c>
      <x:c r="Q171" s="24" t="str">
        <x:v>있음</x:v>
      </x:c>
      <x:c r="R171" s="24" t="str"/>
      <x:c r="S171" s="31" t="n">
        <x:v>76</x:v>
      </x:c>
      <x:c r="T171" s="24" t="str"/>
      <x:c r="U171" s="24" t="str"/>
    </x:row>
    <x:row r="172" ht="17.25" customHeight="1">
      <x:c r="A172" s="24" t="str">
        <x:v>SW-C-165다5063-1-20250910-77</x:v>
      </x:c>
      <x:c r="B172" s="24" t="str">
        <x:v>스위치플랜</x:v>
      </x:c>
      <x:c r="C172" s="24" t="str">
        <x:v>165다5063</x:v>
      </x:c>
      <x:c r="D172" s="31" t="n">
        <x:v>1</x:v>
      </x:c>
      <x:c r="E172" s="24" t="str">
        <x:v>현재칸</x:v>
      </x:c>
      <x:c r="F172" s="24" t="str">
        <x:v>구독대여</x:v>
      </x:c>
      <x:c r="G172" s="24" t="str">
        <x:v>정성</x:v>
      </x:c>
      <x:c r="H172" s="30" t="n">
        <x:v>45910</x:v>
      </x:c>
      <x:c r="I172" s="30" t="n">
        <x:v>46892</x:v>
      </x:c>
      <x:c r="J172" s="30"/>
      <x:c r="K172" s="32" t="n">
        <x:v>690000</x:v>
      </x:c>
      <x:c r="L172" s="32" t="n">
        <x:v>1980000</x:v>
      </x:c>
      <x:c r="M172" s="24" t="str">
        <x:v>25일</x:v>
      </x:c>
      <x:c r="N172" s="24" t="str">
        <x:v>35</x:v>
      </x:c>
      <x:c r="O172" s="24" t="str">
        <x:v>DB</x:v>
      </x:c>
      <x:c r="P172" s="24" t="str">
        <x:v>카랜(주)</x:v>
      </x:c>
      <x:c r="Q172" s="24" t="str">
        <x:v>있음</x:v>
      </x:c>
      <x:c r="R172" s="24" t="str"/>
      <x:c r="S172" s="31" t="n">
        <x:v>77</x:v>
      </x:c>
      <x:c r="T172" s="24" t="str"/>
      <x:c r="U172" s="24" t="str"/>
    </x:row>
    <x:row r="173" ht="17.25" customHeight="1">
      <x:c r="A173" s="24" t="str">
        <x:v>SW-C-165다5063-2-20240520-77</x:v>
      </x:c>
      <x:c r="B173" s="24" t="str">
        <x:v>스위치플랜</x:v>
      </x:c>
      <x:c r="C173" s="24" t="str">
        <x:v>165다5063</x:v>
      </x:c>
      <x:c r="D173" s="31" t="n">
        <x:v>2</x:v>
      </x:c>
      <x:c r="E173" s="24" t="str">
        <x:v>이력</x:v>
      </x:c>
      <x:c r="F173" s="24" t="str">
        <x:v>구독대여</x:v>
      </x:c>
      <x:c r="G173" s="24" t="str">
        <x:v>조준영</x:v>
      </x:c>
      <x:c r="H173" s="30" t="n">
        <x:v>45432</x:v>
      </x:c>
      <x:c r="I173" s="30" t="n">
        <x:v>46892</x:v>
      </x:c>
      <x:c r="J173" s="30"/>
      <x:c r="K173" s="32" t="n">
        <x:v>690000</x:v>
      </x:c>
      <x:c r="L173" s="32" t="n">
        <x:v>1980000</x:v>
      </x:c>
      <x:c r="M173" s="24" t="str"/>
      <x:c r="N173" s="24" t="str">
        <x:v>35</x:v>
      </x:c>
      <x:c r="O173" s="24" t="str"/>
      <x:c r="P173" s="24" t="str">
        <x:v>카랜(주)</x:v>
      </x:c>
      <x:c r="Q173" s="24" t="str">
        <x:v>있음</x:v>
      </x:c>
      <x:c r="R173" s="24" t="str"/>
      <x:c r="S173" s="31" t="n">
        <x:v>77</x:v>
      </x:c>
      <x:c r="T173" s="24" t="str"/>
      <x:c r="U173" s="24" t="str"/>
    </x:row>
    <x:row r="174" ht="17.25" customHeight="1">
      <x:c r="A174" s="24" t="str">
        <x:v>SW-C-145가1781-1-20260309-78</x:v>
      </x:c>
      <x:c r="B174" s="24" t="str">
        <x:v>스위치플랜</x:v>
      </x:c>
      <x:c r="C174" s="24" t="str">
        <x:v>145가1781</x:v>
      </x:c>
      <x:c r="D174" s="31" t="n">
        <x:v>1</x:v>
      </x:c>
      <x:c r="E174" s="24" t="str">
        <x:v>현재칸</x:v>
      </x:c>
      <x:c r="F174" s="24" t="str">
        <x:v>구독대여</x:v>
      </x:c>
      <x:c r="G174" s="24" t="str">
        <x:v>김용순</x:v>
      </x:c>
      <x:c r="H174" s="30" t="n">
        <x:v>46090</x:v>
      </x:c>
      <x:c r="I174" s="30" t="n">
        <x:v>46456</x:v>
      </x:c>
      <x:c r="J174" s="30"/>
      <x:c r="K174" s="32" t="n">
        <x:v>1100000</x:v>
      </x:c>
      <x:c r="L174" s="32" t="n">
        <x:v>2000000</x:v>
      </x:c>
      <x:c r="M174" s="24" t="str">
        <x:v>10일</x:v>
      </x:c>
      <x:c r="N174" s="24" t="str">
        <x:v>35</x:v>
      </x:c>
      <x:c r="O174" s="24" t="str">
        <x:v>DB</x:v>
      </x:c>
      <x:c r="P174" s="24" t="str">
        <x:v>지인</x:v>
      </x:c>
      <x:c r="Q174" s="24" t="str">
        <x:v>있음</x:v>
      </x:c>
      <x:c r="R174" s="24" t="str"/>
      <x:c r="S174" s="31" t="n">
        <x:v>78</x:v>
      </x:c>
      <x:c r="T174" s="24" t="str"/>
      <x:c r="U174" s="24" t="str"/>
    </x:row>
    <x:row r="175" ht="17.25" customHeight="1">
      <x:c r="A175" s="24" t="str">
        <x:v>SW-C-145가1781-2-20251223-78</x:v>
      </x:c>
      <x:c r="B175" s="24" t="str">
        <x:v>스위치플랜</x:v>
      </x:c>
      <x:c r="C175" s="24" t="str">
        <x:v>145가1781</x:v>
      </x:c>
      <x:c r="D175" s="31" t="n">
        <x:v>2</x:v>
      </x:c>
      <x:c r="E175" s="24" t="str">
        <x:v>이력</x:v>
      </x:c>
      <x:c r="F175" s="24" t="str">
        <x:v>지인</x:v>
      </x:c>
      <x:c r="G175" s="24" t="str">
        <x:v>법무법인 닥터홈</x:v>
      </x:c>
      <x:c r="H175" s="30" t="n">
        <x:v>46014</x:v>
      </x:c>
      <x:c r="I175" s="30" t="n">
        <x:v>46044</x:v>
      </x:c>
      <x:c r="J175" s="30" t="n">
        <x:v>46044</x:v>
      </x:c>
      <x:c r="K175" s="32" t="n">
        <x:v>1210000</x:v>
      </x:c>
      <x:c r="L175" s="32"/>
      <x:c r="M175" s="24" t="str"/>
      <x:c r="N175" s="24" t="str">
        <x:v>35</x:v>
      </x:c>
      <x:c r="O175" s="24" t="str"/>
      <x:c r="P175" s="24" t="str">
        <x:v>신선호</x:v>
      </x:c>
      <x:c r="Q175" s="24" t="str">
        <x:v>있음</x:v>
      </x:c>
      <x:c r="R175" s="24" t="str"/>
      <x:c r="S175" s="31" t="n">
        <x:v>78</x:v>
      </x:c>
      <x:c r="T175" s="24" t="str"/>
      <x:c r="U175" s="24" t="str"/>
    </x:row>
    <x:row r="176" ht="17.25" customHeight="1">
      <x:c r="A176" s="24" t="str">
        <x:v>SW-C-145가1781-3-20250912-78</x:v>
      </x:c>
      <x:c r="B176" s="24" t="str">
        <x:v>스위치플랜</x:v>
      </x:c>
      <x:c r="C176" s="24" t="str">
        <x:v>145가1781</x:v>
      </x:c>
      <x:c r="D176" s="31" t="n">
        <x:v>3</x:v>
      </x:c>
      <x:c r="E176" s="24" t="str">
        <x:v>이력</x:v>
      </x:c>
      <x:c r="F176" s="24" t="str">
        <x:v>구독대여</x:v>
      </x:c>
      <x:c r="G176" s="24" t="str">
        <x:v>장동현</x:v>
      </x:c>
      <x:c r="H176" s="30" t="n">
        <x:v>45912</x:v>
      </x:c>
      <x:c r="I176" s="30" t="n">
        <x:v>47372</x:v>
      </x:c>
      <x:c r="J176" s="30" t="n">
        <x:v>45997</x:v>
      </x:c>
      <x:c r="K176" s="32" t="n">
        <x:v>1430000</x:v>
      </x:c>
      <x:c r="L176" s="32" t="n">
        <x:v>3500000</x:v>
      </x:c>
      <x:c r="M176" s="24" t="str"/>
      <x:c r="N176" s="24" t="str">
        <x:v>35</x:v>
      </x:c>
      <x:c r="O176" s="24" t="str"/>
      <x:c r="P176" s="24" t="str">
        <x:v>하허호</x:v>
      </x:c>
      <x:c r="Q176" s="24" t="str">
        <x:v>있음</x:v>
      </x:c>
      <x:c r="R176" s="24" t="str"/>
      <x:c r="S176" s="31" t="n">
        <x:v>78</x:v>
      </x:c>
      <x:c r="T176" s="24" t="str"/>
      <x:c r="U176" s="24" t="str"/>
    </x:row>
    <x:row r="177" ht="17.25" customHeight="1">
      <x:c r="A177" s="24" t="str">
        <x:v>SW-C-145가1781-4-20250221-78</x:v>
      </x:c>
      <x:c r="B177" s="24" t="str">
        <x:v>스위치플랜</x:v>
      </x:c>
      <x:c r="C177" s="24" t="str">
        <x:v>145가1781</x:v>
      </x:c>
      <x:c r="D177" s="31" t="n">
        <x:v>4</x:v>
      </x:c>
      <x:c r="E177" s="24" t="str">
        <x:v>이력</x:v>
      </x:c>
      <x:c r="F177" s="24" t="str">
        <x:v>구독대여</x:v>
      </x:c>
      <x:c r="G177" s="24" t="str">
        <x:v>송안기</x:v>
      </x:c>
      <x:c r="H177" s="30" t="n">
        <x:v>45709</x:v>
      </x:c>
      <x:c r="I177" s="30" t="n">
        <x:v>46073</x:v>
      </x:c>
      <x:c r="J177" s="30" t="n">
        <x:v>45888</x:v>
      </x:c>
      <x:c r="K177" s="32" t="n">
        <x:v>1590000</x:v>
      </x:c>
      <x:c r="L177" s="32" t="n">
        <x:v>1590000</x:v>
      </x:c>
      <x:c r="M177" s="24" t="str"/>
      <x:c r="N177" s="24" t="str">
        <x:v>35</x:v>
      </x:c>
      <x:c r="O177" s="24" t="str"/>
      <x:c r="P177" s="24" t="str">
        <x:v>하허호</x:v>
      </x:c>
      <x:c r="Q177" s="24" t="str">
        <x:v>있음</x:v>
      </x:c>
      <x:c r="R177" s="24" t="str"/>
      <x:c r="S177" s="31" t="n">
        <x:v>78</x:v>
      </x:c>
      <x:c r="T177" s="24" t="str"/>
      <x:c r="U177" s="24" t="str"/>
    </x:row>
    <x:row r="178" ht="17.25" customHeight="1">
      <x:c r="A178" s="24" t="str">
        <x:v>SW-C-145가1796-1-20250626-79</x:v>
      </x:c>
      <x:c r="B178" s="24" t="str">
        <x:v>스위치플랜</x:v>
      </x:c>
      <x:c r="C178" s="24" t="str">
        <x:v>145가1796</x:v>
      </x:c>
      <x:c r="D178" s="31" t="n">
        <x:v>1</x:v>
      </x:c>
      <x:c r="E178" s="24" t="str">
        <x:v>현재칸</x:v>
      </x:c>
      <x:c r="F178" s="24" t="str">
        <x:v>구독대여</x:v>
      </x:c>
      <x:c r="G178" s="24" t="str">
        <x:v>정유림</x:v>
      </x:c>
      <x:c r="H178" s="30" t="n">
        <x:v>45834</x:v>
      </x:c>
      <x:c r="I178" s="30" t="n">
        <x:v>47294</x:v>
      </x:c>
      <x:c r="J178" s="30"/>
      <x:c r="K178" s="32" t="n">
        <x:v>1070000</x:v>
      </x:c>
      <x:c r="L178" s="32" t="n">
        <x:v>2700000</x:v>
      </x:c>
      <x:c r="M178" s="24" t="str">
        <x:v>25일</x:v>
      </x:c>
      <x:c r="N178" s="24" t="str">
        <x:v>30</x:v>
      </x:c>
      <x:c r="O178" s="24" t="str">
        <x:v>DB</x:v>
      </x:c>
      <x:c r="P178" s="24" t="str">
        <x:v>하허호</x:v>
      </x:c>
      <x:c r="Q178" s="24" t="str">
        <x:v>있음</x:v>
      </x:c>
      <x:c r="R178" s="24" t="str"/>
      <x:c r="S178" s="31" t="n">
        <x:v>79</x:v>
      </x:c>
      <x:c r="T178" s="24" t="str"/>
      <x:c r="U178" s="24" t="str"/>
    </x:row>
    <x:row r="179" ht="17.25" customHeight="1">
      <x:c r="A179" s="24" t="str">
        <x:v>SW-C-145가1796-2-20250312-79</x:v>
      </x:c>
      <x:c r="B179" s="24" t="str">
        <x:v>스위치플랜</x:v>
      </x:c>
      <x:c r="C179" s="24" t="str">
        <x:v>145가1796</x:v>
      </x:c>
      <x:c r="D179" s="31" t="n">
        <x:v>2</x:v>
      </x:c>
      <x:c r="E179" s="24" t="str">
        <x:v>이력</x:v>
      </x:c>
      <x:c r="F179" s="24" t="str">
        <x:v>구독대여</x:v>
      </x:c>
      <x:c r="G179" s="24" t="str">
        <x:v>우치우</x:v>
      </x:c>
      <x:c r="H179" s="30" t="n">
        <x:v>45728</x:v>
      </x:c>
      <x:c r="I179" s="30" t="n">
        <x:v>46092</x:v>
      </x:c>
      <x:c r="J179" s="30" t="n">
        <x:v>45798</x:v>
      </x:c>
      <x:c r="K179" s="32" t="n">
        <x:v>1590000</x:v>
      </x:c>
      <x:c r="L179" s="32" t="n">
        <x:v>1590000</x:v>
      </x:c>
      <x:c r="M179" s="24" t="str"/>
      <x:c r="N179" s="24" t="str">
        <x:v>30</x:v>
      </x:c>
      <x:c r="O179" s="24" t="str"/>
      <x:c r="P179" s="24" t="str">
        <x:v>하허호</x:v>
      </x:c>
      <x:c r="Q179" s="24" t="str">
        <x:v>있음</x:v>
      </x:c>
      <x:c r="R179" s="24" t="str"/>
      <x:c r="S179" s="31" t="n">
        <x:v>79</x:v>
      </x:c>
      <x:c r="T179" s="24" t="str"/>
      <x:c r="U179" s="24" t="str"/>
    </x:row>
    <x:row r="180" ht="17.25" customHeight="1">
      <x:c r="A180" s="24" t="str">
        <x:v>SW-C-155라6311-1-NA-80</x:v>
      </x:c>
      <x:c r="B180" s="24" t="str">
        <x:v>스위치플랜</x:v>
      </x:c>
      <x:c r="C180" s="24" t="str">
        <x:v>155라6311</x:v>
      </x:c>
      <x:c r="D180" s="31" t="n">
        <x:v>1</x:v>
      </x:c>
      <x:c r="E180" s="24" t="str">
        <x:v>현재칸</x:v>
      </x:c>
      <x:c r="F180" s="24" t="str"/>
      <x:c r="G180" s="24" t="str">
        <x:v>상품화예정</x:v>
      </x:c>
      <x:c r="H180" s="30"/>
      <x:c r="I180" s="30"/>
      <x:c r="J180" s="30"/>
      <x:c r="K180" s="32"/>
      <x:c r="L180" s="32"/>
      <x:c r="M180" s="24" t="str"/>
      <x:c r="N180" s="24" t="str">
        <x:v>35</x:v>
      </x:c>
      <x:c r="O180" s="24" t="str">
        <x:v>DB</x:v>
      </x:c>
      <x:c r="P180" s="24" t="str"/>
      <x:c r="Q180" s="24" t="str">
        <x:v>있음</x:v>
      </x:c>
      <x:c r="R180" s="24" t="str"/>
      <x:c r="S180" s="31" t="n">
        <x:v>80</x:v>
      </x:c>
      <x:c r="T180" s="24" t="str">
        <x:v>필수값 확인</x:v>
      </x:c>
      <x:c r="U180" s="24" t="str"/>
    </x:row>
    <x:row r="181" ht="17.25" customHeight="1">
      <x:c r="A181" s="24" t="str">
        <x:v>SW-C-155라6311-2-20250516-80</x:v>
      </x:c>
      <x:c r="B181" s="24" t="str">
        <x:v>스위치플랜</x:v>
      </x:c>
      <x:c r="C181" s="24" t="str">
        <x:v>155라6311</x:v>
      </x:c>
      <x:c r="D181" s="31" t="n">
        <x:v>2</x:v>
      </x:c>
      <x:c r="E181" s="24" t="str">
        <x:v>이력</x:v>
      </x:c>
      <x:c r="F181" s="24" t="str">
        <x:v>구독대여</x:v>
      </x:c>
      <x:c r="G181" s="24" t="str">
        <x:v>박정희</x:v>
      </x:c>
      <x:c r="H181" s="30" t="n">
        <x:v>45793</x:v>
      </x:c>
      <x:c r="I181" s="30" t="n">
        <x:v>47253</x:v>
      </x:c>
      <x:c r="J181" s="30" t="n">
        <x:v>45982</x:v>
      </x:c>
      <x:c r="K181" s="32" t="n">
        <x:v>1400000</x:v>
      </x:c>
      <x:c r="L181" s="32" t="n">
        <x:v>3600000</x:v>
      </x:c>
      <x:c r="M181" s="24" t="str"/>
      <x:c r="N181" s="24" t="str">
        <x:v>35</x:v>
      </x:c>
      <x:c r="O181" s="24" t="str"/>
      <x:c r="P181" s="24" t="str"/>
      <x:c r="Q181" s="24" t="str">
        <x:v>있음</x:v>
      </x:c>
      <x:c r="R181" s="24" t="str"/>
      <x:c r="S181" s="31" t="n">
        <x:v>80</x:v>
      </x:c>
      <x:c r="T181" s="24" t="str"/>
      <x:c r="U181" s="24" t="str"/>
    </x:row>
    <x:row r="182" ht="17.25" customHeight="1">
      <x:c r="A182" s="24" t="str">
        <x:v>SW-C-155라6311-3-20250321-80</x:v>
      </x:c>
      <x:c r="B182" s="24" t="str">
        <x:v>스위치플랜</x:v>
      </x:c>
      <x:c r="C182" s="24" t="str">
        <x:v>155라6311</x:v>
      </x:c>
      <x:c r="D182" s="31" t="n">
        <x:v>3</x:v>
      </x:c>
      <x:c r="E182" s="24" t="str">
        <x:v>이력</x:v>
      </x:c>
      <x:c r="F182" s="24" t="str">
        <x:v>구독대여</x:v>
      </x:c>
      <x:c r="G182" s="24" t="str">
        <x:v>류원상</x:v>
      </x:c>
      <x:c r="H182" s="30" t="n">
        <x:v>45737</x:v>
      </x:c>
      <x:c r="I182" s="30" t="n">
        <x:v>47197</x:v>
      </x:c>
      <x:c r="J182" s="30" t="n">
        <x:v>45779</x:v>
      </x:c>
      <x:c r="K182" s="32" t="n">
        <x:v>1330000</x:v>
      </x:c>
      <x:c r="L182" s="32"/>
      <x:c r="M182" s="24" t="str"/>
      <x:c r="N182" s="24" t="str">
        <x:v>35</x:v>
      </x:c>
      <x:c r="O182" s="24" t="str"/>
      <x:c r="P182" s="24" t="str">
        <x:v>하허호</x:v>
      </x:c>
      <x:c r="Q182" s="24" t="str">
        <x:v>있음</x:v>
      </x:c>
      <x:c r="R182" s="24" t="str"/>
      <x:c r="S182" s="31" t="n">
        <x:v>80</x:v>
      </x:c>
      <x:c r="T182" s="24" t="str"/>
      <x:c r="U182" s="24" t="str">
        <x:v>무보증</x:v>
      </x:c>
    </x:row>
    <x:row r="183" ht="17.25" customHeight="1">
      <x:c r="A183" s="24" t="str">
        <x:v>SW-C-155라6331-1-20250314-81</x:v>
      </x:c>
      <x:c r="B183" s="24" t="str">
        <x:v>스위치플랜</x:v>
      </x:c>
      <x:c r="C183" s="24" t="str">
        <x:v>155라6331</x:v>
      </x:c>
      <x:c r="D183" s="31" t="n">
        <x:v>1</x:v>
      </x:c>
      <x:c r="E183" s="24" t="str">
        <x:v>현재칸</x:v>
      </x:c>
      <x:c r="F183" s="24" t="str">
        <x:v>구독대여</x:v>
      </x:c>
      <x:c r="G183" s="24" t="str">
        <x:v>김지현</x:v>
      </x:c>
      <x:c r="H183" s="30" t="n">
        <x:v>45730</x:v>
      </x:c>
      <x:c r="I183" s="30" t="n">
        <x:v>47190</x:v>
      </x:c>
      <x:c r="J183" s="30"/>
      <x:c r="K183" s="32" t="n">
        <x:v>1330000</x:v>
      </x:c>
      <x:c r="L183" s="32"/>
      <x:c r="M183" s="24" t="str">
        <x:v>15일</x:v>
      </x:c>
      <x:c r="N183" s="24" t="str">
        <x:v>30</x:v>
      </x:c>
      <x:c r="O183" s="24" t="str">
        <x:v>DB</x:v>
      </x:c>
      <x:c r="P183" s="24" t="str">
        <x:v>하허호</x:v>
      </x:c>
      <x:c r="Q183" s="24" t="str">
        <x:v>있음</x:v>
      </x:c>
      <x:c r="R183" s="24" t="str"/>
      <x:c r="S183" s="31" t="n">
        <x:v>81</x:v>
      </x:c>
      <x:c r="T183" s="24" t="str"/>
      <x:c r="U183" s="24" t="str">
        <x:v>무보증</x:v>
      </x:c>
    </x:row>
    <x:row r="184" ht="17.25" customHeight="1">
      <x:c r="A184" s="24" t="str">
        <x:v>SW-C-248너5286-1-20240223-82</x:v>
      </x:c>
      <x:c r="B184" s="24" t="str">
        <x:v>스위치플랜</x:v>
      </x:c>
      <x:c r="C184" s="24" t="str">
        <x:v>248너5286</x:v>
      </x:c>
      <x:c r="D184" s="31" t="n">
        <x:v>1</x:v>
      </x:c>
      <x:c r="E184" s="24" t="str">
        <x:v>현재칸</x:v>
      </x:c>
      <x:c r="F184" s="24" t="str">
        <x:v>구독대여</x:v>
      </x:c>
      <x:c r="G184" s="24" t="str">
        <x:v>김후집</x:v>
      </x:c>
      <x:c r="H184" s="30" t="n">
        <x:v>45345</x:v>
      </x:c>
      <x:c r="I184" s="30" t="n">
        <x:v>46805</x:v>
      </x:c>
      <x:c r="J184" s="30"/>
      <x:c r="K184" s="32" t="n">
        <x:v>1500000</x:v>
      </x:c>
      <x:c r="L184" s="32" t="n">
        <x:v>4900000</x:v>
      </x:c>
      <x:c r="M184" s="24" t="str">
        <x:v>25일</x:v>
      </x:c>
      <x:c r="N184" s="24" t="str">
        <x:v>35</x:v>
      </x:c>
      <x:c r="O184" s="24" t="str">
        <x:v>DB</x:v>
      </x:c>
      <x:c r="P184" s="24" t="str">
        <x:v>카랜(주)</x:v>
      </x:c>
      <x:c r="Q184" s="24" t="str">
        <x:v>있음</x:v>
      </x:c>
      <x:c r="R184" s="24" t="str"/>
      <x:c r="S184" s="31" t="n">
        <x:v>82</x:v>
      </x:c>
      <x:c r="T184" s="24" t="str"/>
      <x:c r="U184" s="24" t="str"/>
    </x:row>
    <x:row r="185" ht="17.25" customHeight="1">
      <x:c r="A185" s="24" t="str">
        <x:v>SW-C-350수9623-1-20260504-83</x:v>
      </x:c>
      <x:c r="B185" s="24" t="str">
        <x:v>스위치플랜</x:v>
      </x:c>
      <x:c r="C185" s="24" t="str">
        <x:v>350수9623</x:v>
      </x:c>
      <x:c r="D185" s="31" t="n">
        <x:v>1</x:v>
      </x:c>
      <x:c r="E185" s="24" t="str">
        <x:v>현재칸</x:v>
      </x:c>
      <x:c r="F185" s="24" t="str">
        <x:v>구독대여</x:v>
      </x:c>
      <x:c r="G185" s="24" t="str">
        <x:v>청산물류</x:v>
      </x:c>
      <x:c r="H185" s="30" t="n">
        <x:v>46146</x:v>
      </x:c>
      <x:c r="I185" s="30" t="n">
        <x:v>47606</x:v>
      </x:c>
      <x:c r="J185" s="30"/>
      <x:c r="K185" s="32" t="n">
        <x:v>1230000</x:v>
      </x:c>
      <x:c r="L185" s="32"/>
      <x:c r="M185" s="24" t="str">
        <x:v>05일</x:v>
      </x:c>
      <x:c r="N185" s="24" t="str">
        <x:v>개인</x:v>
      </x:c>
      <x:c r="O185" s="24" t="str">
        <x:v>삼성</x:v>
      </x:c>
      <x:c r="P185" s="24" t="str">
        <x:v>하허호</x:v>
      </x:c>
      <x:c r="Q185" s="24" t="str">
        <x:v>있음</x:v>
      </x:c>
      <x:c r="R185" s="24" t="str"/>
      <x:c r="S185" s="31" t="n">
        <x:v>83</x:v>
      </x:c>
      <x:c r="T185" s="24" t="str">
        <x:v>연령 확인</x:v>
      </x:c>
      <x:c r="U185" s="24" t="str">
        <x:v>무보증</x:v>
      </x:c>
    </x:row>
    <x:row r="186" ht="17.25" customHeight="1">
      <x:c r="A186" s="24" t="str">
        <x:v>SW-C-350수9623-2-NA-83</x:v>
      </x:c>
      <x:c r="B186" s="24" t="str">
        <x:v>스위치플랜</x:v>
      </x:c>
      <x:c r="C186" s="24" t="str">
        <x:v>350수9623</x:v>
      </x:c>
      <x:c r="D186" s="31" t="n">
        <x:v>2</x:v>
      </x:c>
      <x:c r="E186" s="24" t="str">
        <x:v>이력</x:v>
      </x:c>
      <x:c r="F186" s="24" t="str">
        <x:v>지인</x:v>
      </x:c>
      <x:c r="G186" s="24" t="str">
        <x:v>김영훈</x:v>
      </x:c>
      <x:c r="H186" s="30"/>
      <x:c r="I186" s="30"/>
      <x:c r="J186" s="30" t="n">
        <x:v>46125</x:v>
      </x:c>
      <x:c r="K186" s="32"/>
      <x:c r="L186" s="32"/>
      <x:c r="M186" s="24" t="str"/>
      <x:c r="N186" s="24" t="str">
        <x:v>개인</x:v>
      </x:c>
      <x:c r="O186" s="24" t="str"/>
      <x:c r="P186" s="24" t="str">
        <x:v>김성진</x:v>
      </x:c>
      <x:c r="Q186" s="24" t="str">
        <x:v>있음</x:v>
      </x:c>
      <x:c r="R186" s="24" t="str"/>
      <x:c r="S186" s="31" t="n">
        <x:v>83</x:v>
      </x:c>
      <x:c r="T186" s="24" t="str">
        <x:v>연령 확인</x:v>
      </x:c>
      <x:c r="U186" s="24" t="str"/>
    </x:row>
    <x:row r="187" ht="17.25" customHeight="1">
      <x:c r="A187" s="24" t="str">
        <x:v>SW-C-350수9623-3-20250624-83</x:v>
      </x:c>
      <x:c r="B187" s="24" t="str">
        <x:v>스위치플랜</x:v>
      </x:c>
      <x:c r="C187" s="24" t="str">
        <x:v>350수9623</x:v>
      </x:c>
      <x:c r="D187" s="31" t="n">
        <x:v>3</x:v>
      </x:c>
      <x:c r="E187" s="24" t="str">
        <x:v>이력</x:v>
      </x:c>
      <x:c r="F187" s="24" t="str">
        <x:v>구독대여</x:v>
      </x:c>
      <x:c r="G187" s="24" t="str">
        <x:v>정나결</x:v>
      </x:c>
      <x:c r="H187" s="30" t="n">
        <x:v>45832</x:v>
      </x:c>
      <x:c r="I187" s="30" t="n">
        <x:v>47292</x:v>
      </x:c>
      <x:c r="J187" s="30" t="n">
        <x:v>45897</x:v>
      </x:c>
      <x:c r="K187" s="32" t="n">
        <x:v>1600000</x:v>
      </x:c>
      <x:c r="L187" s="32"/>
      <x:c r="M187" s="24" t="str"/>
      <x:c r="N187" s="24" t="str">
        <x:v>개인</x:v>
      </x:c>
      <x:c r="O187" s="24" t="str"/>
      <x:c r="P187" s="24" t="str">
        <x:v>하허호</x:v>
      </x:c>
      <x:c r="Q187" s="24" t="str">
        <x:v>있음</x:v>
      </x:c>
      <x:c r="R187" s="24" t="str"/>
      <x:c r="S187" s="31" t="n">
        <x:v>83</x:v>
      </x:c>
      <x:c r="T187" s="24" t="str">
        <x:v>연령 확인</x:v>
      </x:c>
      <x:c r="U187" s="24" t="str">
        <x:v>무보증</x:v>
      </x:c>
    </x:row>
    <x:row r="188" ht="17.25" customHeight="1">
      <x:c r="A188" s="24" t="str">
        <x:v>SW-C-350수9623-4-20231219-83</x:v>
      </x:c>
      <x:c r="B188" s="24" t="str">
        <x:v>스위치플랜</x:v>
      </x:c>
      <x:c r="C188" s="24" t="str">
        <x:v>350수9623</x:v>
      </x:c>
      <x:c r="D188" s="31" t="n">
        <x:v>4</x:v>
      </x:c>
      <x:c r="E188" s="24" t="str">
        <x:v>이력</x:v>
      </x:c>
      <x:c r="F188" s="24" t="str">
        <x:v>구독대여</x:v>
      </x:c>
      <x:c r="G188" s="24" t="str">
        <x:v>이미숙</x:v>
      </x:c>
      <x:c r="H188" s="30" t="n">
        <x:v>45279</x:v>
      </x:c>
      <x:c r="I188" s="30" t="n">
        <x:v>46739</x:v>
      </x:c>
      <x:c r="J188" s="30" t="n">
        <x:v>45804</x:v>
      </x:c>
      <x:c r="K188" s="32" t="n">
        <x:v>1840000</x:v>
      </x:c>
      <x:c r="L188" s="32" t="n">
        <x:v>6180000</x:v>
      </x:c>
      <x:c r="M188" s="24" t="str"/>
      <x:c r="N188" s="24" t="str">
        <x:v>개인</x:v>
      </x:c>
      <x:c r="O188" s="24" t="str"/>
      <x:c r="P188" s="24" t="str">
        <x:v>하허호</x:v>
      </x:c>
      <x:c r="Q188" s="24" t="str">
        <x:v>있음</x:v>
      </x:c>
      <x:c r="R188" s="24" t="str"/>
      <x:c r="S188" s="31" t="n">
        <x:v>83</x:v>
      </x:c>
      <x:c r="T188" s="24" t="str">
        <x:v>연령 확인</x:v>
      </x:c>
      <x:c r="U188" s="24" t="str"/>
    </x:row>
    <x:row r="189" ht="17.25" customHeight="1">
      <x:c r="A189" s="24" t="str">
        <x:v>SW-C-827버3872-1-20240528-84</x:v>
      </x:c>
      <x:c r="B189" s="24" t="str">
        <x:v>스위치플랜</x:v>
      </x:c>
      <x:c r="C189" s="24" t="str">
        <x:v>827버3872</x:v>
      </x:c>
      <x:c r="D189" s="31" t="n">
        <x:v>1</x:v>
      </x:c>
      <x:c r="E189" s="24" t="str">
        <x:v>현재칸</x:v>
      </x:c>
      <x:c r="F189" s="24" t="str">
        <x:v>구독대여</x:v>
      </x:c>
      <x:c r="G189" s="24" t="str">
        <x:v>전국연합누수119</x:v>
      </x:c>
      <x:c r="H189" s="30" t="n">
        <x:v>45440</x:v>
      </x:c>
      <x:c r="I189" s="30" t="n">
        <x:v>46900</x:v>
      </x:c>
      <x:c r="J189" s="30"/>
      <x:c r="K189" s="32" t="n">
        <x:v>660000</x:v>
      </x:c>
      <x:c r="L189" s="32" t="n">
        <x:v>2000000</x:v>
      </x:c>
      <x:c r="M189" s="24" t="str">
        <x:v>말일</x:v>
      </x:c>
      <x:c r="N189" s="24" t="str">
        <x:v>35</x:v>
      </x:c>
      <x:c r="O189" s="24" t="str">
        <x:v>AXA</x:v>
      </x:c>
      <x:c r="P189" s="24" t="str">
        <x:v>카랜(주)</x:v>
      </x:c>
      <x:c r="Q189" s="24" t="str">
        <x:v>있음</x:v>
      </x:c>
      <x:c r="R189" s="24" t="str"/>
      <x:c r="S189" s="31" t="n">
        <x:v>84</x:v>
      </x:c>
      <x:c r="T189" s="24" t="str"/>
      <x:c r="U189" s="24" t="str"/>
    </x:row>
    <x:row r="190" ht="17.25" customHeight="1">
      <x:c r="A190" s="24" t="str">
        <x:v>SW-C-201다3498-1-20240110-85</x:v>
      </x:c>
      <x:c r="B190" s="24" t="str">
        <x:v>스위치플랜</x:v>
      </x:c>
      <x:c r="C190" s="24" t="str">
        <x:v>201다3498</x:v>
      </x:c>
      <x:c r="D190" s="31" t="n">
        <x:v>1</x:v>
      </x:c>
      <x:c r="E190" s="24" t="str">
        <x:v>현재칸</x:v>
      </x:c>
      <x:c r="F190" s="24" t="str">
        <x:v>구독대여</x:v>
      </x:c>
      <x:c r="G190" s="24" t="str">
        <x:v>남정식</x:v>
      </x:c>
      <x:c r="H190" s="30" t="n">
        <x:v>45301</x:v>
      </x:c>
      <x:c r="I190" s="30" t="n">
        <x:v>46761</x:v>
      </x:c>
      <x:c r="J190" s="30"/>
      <x:c r="K190" s="32" t="n">
        <x:v>1160000</x:v>
      </x:c>
      <x:c r="L190" s="32" t="n">
        <x:v>3700000</x:v>
      </x:c>
      <x:c r="M190" s="24" t="str">
        <x:v>10일</x:v>
      </x:c>
      <x:c r="N190" s="24" t="str">
        <x:v>35</x:v>
      </x:c>
      <x:c r="O190" s="24" t="str">
        <x:v>DB</x:v>
      </x:c>
      <x:c r="P190" s="24" t="str">
        <x:v>헬로</x:v>
      </x:c>
      <x:c r="Q190" s="24" t="str">
        <x:v>있음</x:v>
      </x:c>
      <x:c r="R190" s="24" t="str"/>
      <x:c r="S190" s="31" t="n">
        <x:v>85</x:v>
      </x:c>
      <x:c r="T190" s="24" t="str"/>
      <x:c r="U190" s="24" t="str"/>
    </x:row>
    <x:row r="191" ht="17.25" customHeight="1">
      <x:c r="A191" s="24" t="str">
        <x:v>SW-C-288수6402-1-20260324-86</x:v>
      </x:c>
      <x:c r="B191" s="24" t="str">
        <x:v>스위치플랜</x:v>
      </x:c>
      <x:c r="C191" s="24" t="str">
        <x:v>288수6402</x:v>
      </x:c>
      <x:c r="D191" s="31" t="n">
        <x:v>1</x:v>
      </x:c>
      <x:c r="E191" s="24" t="str">
        <x:v>현재칸</x:v>
      </x:c>
      <x:c r="F191" s="24" t="str">
        <x:v>구독대여</x:v>
      </x:c>
      <x:c r="G191" s="24" t="str">
        <x:v>김서운</x:v>
      </x:c>
      <x:c r="H191" s="30" t="n">
        <x:v>46105</x:v>
      </x:c>
      <x:c r="I191" s="30" t="n">
        <x:v>46980</x:v>
      </x:c>
      <x:c r="J191" s="30"/>
      <x:c r="K191" s="32" t="n">
        <x:v>730000</x:v>
      </x:c>
      <x:c r="L191" s="32" t="n">
        <x:v>2380000</x:v>
      </x:c>
      <x:c r="M191" s="24" t="str">
        <x:v>15일</x:v>
      </x:c>
      <x:c r="N191" s="24" t="str">
        <x:v>35</x:v>
      </x:c>
      <x:c r="O191" s="24" t="str">
        <x:v>DB</x:v>
      </x:c>
      <x:c r="P191" s="24" t="str"/>
      <x:c r="Q191" s="24" t="str">
        <x:v>있음</x:v>
      </x:c>
      <x:c r="R191" s="24" t="str"/>
      <x:c r="S191" s="31" t="n">
        <x:v>86</x:v>
      </x:c>
      <x:c r="T191" s="24" t="str"/>
      <x:c r="U191" s="24" t="str"/>
    </x:row>
    <x:row r="192" ht="17.25" customHeight="1">
      <x:c r="A192" s="24" t="str">
        <x:v>SW-C-288수6402-2-20260225-86</x:v>
      </x:c>
      <x:c r="B192" s="24" t="str">
        <x:v>스위치플랜</x:v>
      </x:c>
      <x:c r="C192" s="24" t="str">
        <x:v>288수6402</x:v>
      </x:c>
      <x:c r="D192" s="31" t="n">
        <x:v>2</x:v>
      </x:c>
      <x:c r="E192" s="24" t="str">
        <x:v>이력</x:v>
      </x:c>
      <x:c r="F192" s="24" t="str">
        <x:v>구독대여</x:v>
      </x:c>
      <x:c r="G192" s="24" t="str">
        <x:v>황우정6402</x:v>
      </x:c>
      <x:c r="H192" s="30" t="n">
        <x:v>46078</x:v>
      </x:c>
      <x:c r="I192" s="30" t="n">
        <x:v>46980</x:v>
      </x:c>
      <x:c r="J192" s="30"/>
      <x:c r="K192" s="32" t="n">
        <x:v>730000</x:v>
      </x:c>
      <x:c r="L192" s="32" t="n">
        <x:v>2380000</x:v>
      </x:c>
      <x:c r="M192" s="24" t="str"/>
      <x:c r="N192" s="24" t="str">
        <x:v>35</x:v>
      </x:c>
      <x:c r="O192" s="24" t="str"/>
      <x:c r="P192" s="24" t="str">
        <x:v>하허호</x:v>
      </x:c>
      <x:c r="Q192" s="24" t="str">
        <x:v>있음</x:v>
      </x:c>
      <x:c r="R192" s="24" t="str"/>
      <x:c r="S192" s="31" t="n">
        <x:v>86</x:v>
      </x:c>
      <x:c r="T192" s="24" t="str"/>
      <x:c r="U192" s="24" t="str"/>
    </x:row>
    <x:row r="193" ht="17.25" customHeight="1">
      <x:c r="A193" s="24" t="str">
        <x:v>SW-C-288수6402-3-20260121-86</x:v>
      </x:c>
      <x:c r="B193" s="24" t="str">
        <x:v>스위치플랜</x:v>
      </x:c>
      <x:c r="C193" s="24" t="str">
        <x:v>288수6402</x:v>
      </x:c>
      <x:c r="D193" s="31" t="n">
        <x:v>3</x:v>
      </x:c>
      <x:c r="E193" s="24" t="str">
        <x:v>이력</x:v>
      </x:c>
      <x:c r="F193" s="24" t="str">
        <x:v>구독대여</x:v>
      </x:c>
      <x:c r="G193" s="24" t="str">
        <x:v>강동근</x:v>
      </x:c>
      <x:c r="H193" s="30" t="n">
        <x:v>46043</x:v>
      </x:c>
      <x:c r="I193" s="30" t="n">
        <x:v>46980</x:v>
      </x:c>
      <x:c r="J193" s="30"/>
      <x:c r="K193" s="32" t="n">
        <x:v>830000</x:v>
      </x:c>
      <x:c r="L193" s="32" t="n">
        <x:v>2380000</x:v>
      </x:c>
      <x:c r="M193" s="24" t="str"/>
      <x:c r="N193" s="24" t="str">
        <x:v>35</x:v>
      </x:c>
      <x:c r="O193" s="24" t="str"/>
      <x:c r="P193" s="24" t="str">
        <x:v>하허호</x:v>
      </x:c>
      <x:c r="Q193" s="24" t="str">
        <x:v>있음</x:v>
      </x:c>
      <x:c r="R193" s="24" t="str"/>
      <x:c r="S193" s="31" t="n">
        <x:v>86</x:v>
      </x:c>
      <x:c r="T193" s="24" t="str"/>
      <x:c r="U193" s="24" t="str"/>
    </x:row>
    <x:row r="194" ht="17.25" customHeight="1">
      <x:c r="A194" s="24" t="str">
        <x:v>SW-C-288수6402-4-20251121-86</x:v>
      </x:c>
      <x:c r="B194" s="24" t="str">
        <x:v>스위치플랜</x:v>
      </x:c>
      <x:c r="C194" s="24" t="str">
        <x:v>288수6402</x:v>
      </x:c>
      <x:c r="D194" s="31" t="n">
        <x:v>4</x:v>
      </x:c>
      <x:c r="E194" s="24" t="str">
        <x:v>이력</x:v>
      </x:c>
      <x:c r="F194" s="24" t="str">
        <x:v>구독대여</x:v>
      </x:c>
      <x:c r="G194" s="24" t="str">
        <x:v>이용호</x:v>
      </x:c>
      <x:c r="H194" s="30" t="n">
        <x:v>45982</x:v>
      </x:c>
      <x:c r="I194" s="30" t="n">
        <x:v>46980</x:v>
      </x:c>
      <x:c r="J194" s="30"/>
      <x:c r="K194" s="32" t="n">
        <x:v>730000</x:v>
      </x:c>
      <x:c r="L194" s="32" t="n">
        <x:v>2380000</x:v>
      </x:c>
      <x:c r="M194" s="24" t="str"/>
      <x:c r="N194" s="24" t="str">
        <x:v>35</x:v>
      </x:c>
      <x:c r="O194" s="24" t="str"/>
      <x:c r="P194" s="24" t="str">
        <x:v>하허호</x:v>
      </x:c>
      <x:c r="Q194" s="24" t="str">
        <x:v>있음</x:v>
      </x:c>
      <x:c r="R194" s="24" t="str"/>
      <x:c r="S194" s="31" t="n">
        <x:v>86</x:v>
      </x:c>
      <x:c r="T194" s="24" t="str"/>
      <x:c r="U194" s="24" t="str"/>
    </x:row>
    <x:row r="195" ht="17.25" customHeight="1">
      <x:c r="A195" s="24" t="str">
        <x:v>SW-C-288수6402-5-20280815-86</x:v>
      </x:c>
      <x:c r="B195" s="24" t="str">
        <x:v>스위치플랜</x:v>
      </x:c>
      <x:c r="C195" s="24" t="str">
        <x:v>288수6402</x:v>
      </x:c>
      <x:c r="D195" s="31" t="n">
        <x:v>5</x:v>
      </x:c>
      <x:c r="E195" s="24" t="str">
        <x:v>이력</x:v>
      </x:c>
      <x:c r="F195" s="24" t="str">
        <x:v>구독대여</x:v>
      </x:c>
      <x:c r="G195" s="24" t="str">
        <x:v>이민혁6402</x:v>
      </x:c>
      <x:c r="H195" s="30" t="n">
        <x:v>46980</x:v>
      </x:c>
      <x:c r="I195" s="30"/>
      <x:c r="J195" s="30"/>
      <x:c r="K195" s="32" t="n">
        <x:v>45520</x:v>
      </x:c>
      <x:c r="L195" s="32" t="n">
        <x:v>2380000</x:v>
      </x:c>
      <x:c r="M195" s="24" t="str"/>
      <x:c r="N195" s="24" t="str">
        <x:v>35</x:v>
      </x:c>
      <x:c r="O195" s="24" t="str"/>
      <x:c r="P195" s="24" t="str">
        <x:v>하허호</x:v>
      </x:c>
      <x:c r="Q195" s="24" t="str">
        <x:v>있음</x:v>
      </x:c>
      <x:c r="R195" s="24" t="str"/>
      <x:c r="S195" s="31" t="n">
        <x:v>86</x:v>
      </x:c>
      <x:c r="T195" s="24" t="str"/>
      <x:c r="U195" s="24" t="str"/>
    </x:row>
    <x:row r="196" ht="17.25" customHeight="1">
      <x:c r="A196" s="24" t="str">
        <x:v>SW-C-244루2757-1-20260318-87</x:v>
      </x:c>
      <x:c r="B196" s="24" t="str">
        <x:v>스위치플랜</x:v>
      </x:c>
      <x:c r="C196" s="24" t="str">
        <x:v>244루2757</x:v>
      </x:c>
      <x:c r="D196" s="31" t="n">
        <x:v>1</x:v>
      </x:c>
      <x:c r="E196" s="24" t="str">
        <x:v>현재칸</x:v>
      </x:c>
      <x:c r="F196" s="24" t="str">
        <x:v>구독대여</x:v>
      </x:c>
      <x:c r="G196" s="24" t="str">
        <x:v>홍이삭</x:v>
      </x:c>
      <x:c r="H196" s="30" t="n">
        <x:v>46099</x:v>
      </x:c>
      <x:c r="I196" s="30" t="n">
        <x:v>47559</x:v>
      </x:c>
      <x:c r="J196" s="30"/>
      <x:c r="K196" s="32" t="n">
        <x:v>380000</x:v>
      </x:c>
      <x:c r="L196" s="32"/>
      <x:c r="M196" s="24" t="str">
        <x:v>20일</x:v>
      </x:c>
      <x:c r="N196" s="24" t="str">
        <x:v>개인</x:v>
      </x:c>
      <x:c r="O196" s="24" t="str">
        <x:v>삼성</x:v>
      </x:c>
      <x:c r="P196" s="24" t="str"/>
      <x:c r="Q196" s="24" t="str">
        <x:v>있음</x:v>
      </x:c>
      <x:c r="R196" s="24" t="str"/>
      <x:c r="S196" s="31" t="n">
        <x:v>87</x:v>
      </x:c>
      <x:c r="T196" s="24" t="str">
        <x:v>연령 확인</x:v>
      </x:c>
      <x:c r="U196" s="24" t="str">
        <x:v>무보증</x:v>
      </x:c>
    </x:row>
    <x:row r="197" ht="17.25" customHeight="1">
      <x:c r="A197" s="24" t="str">
        <x:v>SW-C-244루2757-2-20240308-87</x:v>
      </x:c>
      <x:c r="B197" s="24" t="str">
        <x:v>스위치플랜</x:v>
      </x:c>
      <x:c r="C197" s="24" t="str">
        <x:v>244루2757</x:v>
      </x:c>
      <x:c r="D197" s="31" t="n">
        <x:v>2</x:v>
      </x:c>
      <x:c r="E197" s="24" t="str">
        <x:v>이력</x:v>
      </x:c>
      <x:c r="F197" s="24" t="str">
        <x:v>구독대여</x:v>
      </x:c>
      <x:c r="G197" s="24" t="str">
        <x:v>유옥란</x:v>
      </x:c>
      <x:c r="H197" s="30" t="n">
        <x:v>45359</x:v>
      </x:c>
      <x:c r="I197" s="30" t="n">
        <x:v>46819</x:v>
      </x:c>
      <x:c r="J197" s="30" t="n">
        <x:v>46086</x:v>
      </x:c>
      <x:c r="K197" s="32" t="n">
        <x:v>470000</x:v>
      </x:c>
      <x:c r="L197" s="32" t="n">
        <x:v>1290000</x:v>
      </x:c>
      <x:c r="M197" s="24" t="str"/>
      <x:c r="N197" s="24" t="str">
        <x:v>개인</x:v>
      </x:c>
      <x:c r="O197" s="24" t="str"/>
      <x:c r="P197" s="24" t="str">
        <x:v>계산서발행금지</x:v>
      </x:c>
      <x:c r="Q197" s="24" t="str">
        <x:v>있음</x:v>
      </x:c>
      <x:c r="R197" s="24" t="str"/>
      <x:c r="S197" s="31" t="n">
        <x:v>87</x:v>
      </x:c>
      <x:c r="T197" s="24" t="str">
        <x:v>연령 확인</x:v>
      </x:c>
      <x:c r="U197" s="24" t="str"/>
    </x:row>
    <x:row r="198" ht="17.25" customHeight="1">
      <x:c r="A198" s="24" t="str">
        <x:v>SW-C-330모8787-1-20250524-88</x:v>
      </x:c>
      <x:c r="B198" s="24" t="str">
        <x:v>스위치플랜</x:v>
      </x:c>
      <x:c r="C198" s="24" t="str">
        <x:v>330모8787</x:v>
      </x:c>
      <x:c r="D198" s="31" t="n">
        <x:v>1</x:v>
      </x:c>
      <x:c r="E198" s="24" t="str">
        <x:v>현재칸</x:v>
      </x:c>
      <x:c r="F198" s="24" t="str">
        <x:v>구독대여</x:v>
      </x:c>
      <x:c r="G198" s="24" t="str">
        <x:v>이상원</x:v>
      </x:c>
      <x:c r="H198" s="30" t="n">
        <x:v>45801</x:v>
      </x:c>
      <x:c r="I198" s="30" t="n">
        <x:v>46327</x:v>
      </x:c>
      <x:c r="J198" s="30"/>
      <x:c r="K198" s="32" t="n">
        <x:v>1010000</x:v>
      </x:c>
      <x:c r="L198" s="32" t="n">
        <x:v>1110000</x:v>
      </x:c>
      <x:c r="M198" s="24" t="str">
        <x:v>10일</x:v>
      </x:c>
      <x:c r="N198" s="24" t="str">
        <x:v>26</x:v>
      </x:c>
      <x:c r="O198" s="24" t="str">
        <x:v>DB</x:v>
      </x:c>
      <x:c r="P198" s="24" t="str">
        <x:v>하허호</x:v>
      </x:c>
      <x:c r="Q198" s="24" t="str">
        <x:v>있음</x:v>
      </x:c>
      <x:c r="R198" s="24" t="str"/>
      <x:c r="S198" s="31" t="n">
        <x:v>88</x:v>
      </x:c>
      <x:c r="T198" s="24" t="str"/>
      <x:c r="U198" s="24" t="str"/>
    </x:row>
    <x:row r="199" ht="17.25" customHeight="1">
      <x:c r="A199" s="24" t="str">
        <x:v>SW-C-330모8787-2-20241102-88</x:v>
      </x:c>
      <x:c r="B199" s="24" t="str">
        <x:v>스위치플랜</x:v>
      </x:c>
      <x:c r="C199" s="24" t="str">
        <x:v>330모8787</x:v>
      </x:c>
      <x:c r="D199" s="31" t="n">
        <x:v>2</x:v>
      </x:c>
      <x:c r="E199" s="24" t="str">
        <x:v>이력</x:v>
      </x:c>
      <x:c r="F199" s="24" t="str">
        <x:v>구독대여</x:v>
      </x:c>
      <x:c r="G199" s="24" t="str">
        <x:v>김용빈</x:v>
      </x:c>
      <x:c r="H199" s="30" t="n">
        <x:v>45598</x:v>
      </x:c>
      <x:c r="I199" s="30" t="n">
        <x:v>46327</x:v>
      </x:c>
      <x:c r="J199" s="30"/>
      <x:c r="K199" s="32" t="n">
        <x:v>1110000</x:v>
      </x:c>
      <x:c r="L199" s="32" t="n">
        <x:v>1110000</x:v>
      </x:c>
      <x:c r="M199" s="24" t="str"/>
      <x:c r="N199" s="24" t="str">
        <x:v>26</x:v>
      </x:c>
      <x:c r="O199" s="24" t="str"/>
      <x:c r="P199" s="24" t="str">
        <x:v>하허호</x:v>
      </x:c>
      <x:c r="Q199" s="24" t="str">
        <x:v>있음</x:v>
      </x:c>
      <x:c r="R199" s="24" t="str"/>
      <x:c r="S199" s="31" t="n">
        <x:v>88</x:v>
      </x:c>
      <x:c r="T199" s="24" t="str"/>
      <x:c r="U199" s="24" t="str"/>
    </x:row>
    <x:row r="200" ht="17.25" customHeight="1">
      <x:c r="A200" s="24" t="str">
        <x:v>SW-C-330모8787-3-20240722-88</x:v>
      </x:c>
      <x:c r="B200" s="24" t="str">
        <x:v>스위치플랜</x:v>
      </x:c>
      <x:c r="C200" s="24" t="str">
        <x:v>330모8787</x:v>
      </x:c>
      <x:c r="D200" s="31" t="n">
        <x:v>3</x:v>
      </x:c>
      <x:c r="E200" s="24" t="str">
        <x:v>이력</x:v>
      </x:c>
      <x:c r="F200" s="24" t="str">
        <x:v>구독대여</x:v>
      </x:c>
      <x:c r="G200" s="24" t="str">
        <x:v>김황중</x:v>
      </x:c>
      <x:c r="H200" s="30" t="n">
        <x:v>45495</x:v>
      </x:c>
      <x:c r="I200" s="30" t="n">
        <x:v>45859</x:v>
      </x:c>
      <x:c r="J200" s="30" t="n">
        <x:v>45576</x:v>
      </x:c>
      <x:c r="K200" s="32" t="n">
        <x:v>1160000</x:v>
      </x:c>
      <x:c r="L200" s="32" t="n">
        <x:v>500000</x:v>
      </x:c>
      <x:c r="M200" s="24" t="str"/>
      <x:c r="N200" s="24" t="str">
        <x:v>26</x:v>
      </x:c>
      <x:c r="O200" s="24" t="str"/>
      <x:c r="P200" s="24" t="str">
        <x:v>하허호</x:v>
      </x:c>
      <x:c r="Q200" s="24" t="str">
        <x:v>있음</x:v>
      </x:c>
      <x:c r="R200" s="24" t="str"/>
      <x:c r="S200" s="31" t="n">
        <x:v>88</x:v>
      </x:c>
      <x:c r="T200" s="24" t="str"/>
      <x:c r="U200" s="24" t="str"/>
    </x:row>
    <x:row r="201" ht="17.25" customHeight="1">
      <x:c r="A201" s="24" t="str">
        <x:v>SW-C-330모8787-4-20240521-88</x:v>
      </x:c>
      <x:c r="B201" s="24" t="str">
        <x:v>스위치플랜</x:v>
      </x:c>
      <x:c r="C201" s="24" t="str">
        <x:v>330모8787</x:v>
      </x:c>
      <x:c r="D201" s="31" t="n">
        <x:v>4</x:v>
      </x:c>
      <x:c r="E201" s="24" t="str">
        <x:v>이력</x:v>
      </x:c>
      <x:c r="F201" s="24" t="str">
        <x:v>구독대여</x:v>
      </x:c>
      <x:c r="G201" s="24" t="str">
        <x:v>황두호</x:v>
      </x:c>
      <x:c r="H201" s="30" t="n">
        <x:v>45433</x:v>
      </x:c>
      <x:c r="I201" s="30" t="n">
        <x:v>46893</x:v>
      </x:c>
      <x:c r="J201" s="30" t="n">
        <x:v>45481</x:v>
      </x:c>
      <x:c r="K201" s="32" t="n">
        <x:v>950000</x:v>
      </x:c>
      <x:c r="L201" s="32" t="n">
        <x:v>2000000</x:v>
      </x:c>
      <x:c r="M201" s="24" t="str"/>
      <x:c r="N201" s="24" t="str">
        <x:v>26</x:v>
      </x:c>
      <x:c r="O201" s="24" t="str"/>
      <x:c r="P201" s="24" t="str">
        <x:v>카랜(주)</x:v>
      </x:c>
      <x:c r="Q201" s="24" t="str">
        <x:v>있음</x:v>
      </x:c>
      <x:c r="R201" s="24" t="str"/>
      <x:c r="S201" s="31" t="n">
        <x:v>88</x:v>
      </x:c>
      <x:c r="T201" s="24" t="str"/>
      <x:c r="U201" s="24" t="str"/>
    </x:row>
    <x:row r="202" ht="17.25" customHeight="1">
      <x:c r="A202" s="24" t="str">
        <x:v>SW-C-330모8787-5-20280325-88</x:v>
      </x:c>
      <x:c r="B202" s="24" t="str">
        <x:v>스위치플랜</x:v>
      </x:c>
      <x:c r="C202" s="24" t="str">
        <x:v>330모8787</x:v>
      </x:c>
      <x:c r="D202" s="31" t="n">
        <x:v>5</x:v>
      </x:c>
      <x:c r="E202" s="24" t="str">
        <x:v>이력</x:v>
      </x:c>
      <x:c r="F202" s="24" t="str">
        <x:v>구독대여</x:v>
      </x:c>
      <x:c r="G202" s="24" t="str">
        <x:v>김대환</x:v>
      </x:c>
      <x:c r="H202" s="30" t="n">
        <x:v>46837</x:v>
      </x:c>
      <x:c r="I202" s="30" t="n">
        <x:v>45420</x:v>
      </x:c>
      <x:c r="J202" s="30"/>
      <x:c r="K202" s="32" t="n">
        <x:v>45377</x:v>
      </x:c>
      <x:c r="L202" s="32" t="n">
        <x:v>2000000</x:v>
      </x:c>
      <x:c r="M202" s="24" t="str"/>
      <x:c r="N202" s="24" t="str">
        <x:v>26</x:v>
      </x:c>
      <x:c r="O202" s="24" t="str"/>
      <x:c r="P202" s="24" t="str">
        <x:v>카랜(주)</x:v>
      </x:c>
      <x:c r="Q202" s="24" t="str">
        <x:v>있음</x:v>
      </x:c>
      <x:c r="R202" s="24" t="str"/>
      <x:c r="S202" s="31" t="n">
        <x:v>88</x:v>
      </x:c>
      <x:c r="T202" s="24" t="str"/>
      <x:c r="U202" s="24" t="str"/>
    </x:row>
    <x:row r="203" ht="17.25" customHeight="1">
      <x:c r="A203" s="24" t="str">
        <x:v>SW-C-330모8787-6-20271204-88</x:v>
      </x:c>
      <x:c r="B203" s="24" t="str">
        <x:v>스위치플랜</x:v>
      </x:c>
      <x:c r="C203" s="24" t="str">
        <x:v>330모8787</x:v>
      </x:c>
      <x:c r="D203" s="31" t="n">
        <x:v>6</x:v>
      </x:c>
      <x:c r="E203" s="24" t="str">
        <x:v>이력</x:v>
      </x:c>
      <x:c r="F203" s="24" t="str">
        <x:v>구독대여</x:v>
      </x:c>
      <x:c r="G203" s="24" t="str">
        <x:v>최준희</x:v>
      </x:c>
      <x:c r="H203" s="30" t="n">
        <x:v>46725</x:v>
      </x:c>
      <x:c r="I203" s="30" t="n">
        <x:v>45366</x:v>
      </x:c>
      <x:c r="J203" s="30"/>
      <x:c r="K203" s="32" t="n">
        <x:v>45265</x:v>
      </x:c>
      <x:c r="L203" s="32" t="n">
        <x:v>2760000</x:v>
      </x:c>
      <x:c r="M203" s="24" t="str"/>
      <x:c r="N203" s="24" t="str">
        <x:v>26</x:v>
      </x:c>
      <x:c r="O203" s="24" t="str"/>
      <x:c r="P203" s="24" t="str">
        <x:v>SI</x:v>
      </x:c>
      <x:c r="Q203" s="24" t="str">
        <x:v>있음</x:v>
      </x:c>
      <x:c r="R203" s="24" t="str"/>
      <x:c r="S203" s="31" t="n">
        <x:v>88</x:v>
      </x:c>
      <x:c r="T203" s="24" t="str"/>
      <x:c r="U203" s="24" t="str"/>
    </x:row>
    <x:row r="204" ht="17.25" customHeight="1">
      <x:c r="A204" s="24" t="str">
        <x:v>SW-C-186고4026-1-20240530-89</x:v>
      </x:c>
      <x:c r="B204" s="24" t="str">
        <x:v>스위치플랜</x:v>
      </x:c>
      <x:c r="C204" s="24" t="str">
        <x:v>186고4026</x:v>
      </x:c>
      <x:c r="D204" s="31" t="n">
        <x:v>1</x:v>
      </x:c>
      <x:c r="E204" s="24" t="str">
        <x:v>현재칸</x:v>
      </x:c>
      <x:c r="F204" s="24" t="str">
        <x:v>구독대여</x:v>
      </x:c>
      <x:c r="G204" s="24" t="str">
        <x:v>김경호</x:v>
      </x:c>
      <x:c r="H204" s="30" t="n">
        <x:v>45442</x:v>
      </x:c>
      <x:c r="I204" s="30" t="n">
        <x:v>46902</x:v>
      </x:c>
      <x:c r="J204" s="30"/>
      <x:c r="K204" s="32" t="n">
        <x:v>1100000</x:v>
      </x:c>
      <x:c r="L204" s="32" t="n">
        <x:v>7740000</x:v>
      </x:c>
      <x:c r="M204" s="24" t="str">
        <x:v>말일</x:v>
      </x:c>
      <x:c r="N204" s="24" t="str">
        <x:v>35</x:v>
      </x:c>
      <x:c r="O204" s="24" t="str">
        <x:v>AXA</x:v>
      </x:c>
      <x:c r="P204" s="24" t="str">
        <x:v>카랜(주)</x:v>
      </x:c>
      <x:c r="Q204" s="24" t="str">
        <x:v>있음</x:v>
      </x:c>
      <x:c r="R204" s="24" t="str"/>
      <x:c r="S204" s="31" t="n">
        <x:v>89</x:v>
      </x:c>
      <x:c r="T204" s="24" t="str"/>
      <x:c r="U204" s="24" t="str"/>
    </x:row>
    <x:row r="205" ht="17.25" customHeight="1">
      <x:c r="A205" s="24" t="str">
        <x:v>SW-C-151나8783-1-20260410-90</x:v>
      </x:c>
      <x:c r="B205" s="24" t="str">
        <x:v>스위치플랜</x:v>
      </x:c>
      <x:c r="C205" s="24" t="str">
        <x:v>151나8783</x:v>
      </x:c>
      <x:c r="D205" s="31" t="n">
        <x:v>1</x:v>
      </x:c>
      <x:c r="E205" s="24" t="str">
        <x:v>현재칸</x:v>
      </x:c>
      <x:c r="F205" s="24" t="str">
        <x:v>구독대여</x:v>
      </x:c>
      <x:c r="G205" s="24" t="str">
        <x:v>황우정</x:v>
      </x:c>
      <x:c r="H205" s="30" t="n">
        <x:v>46122</x:v>
      </x:c>
      <x:c r="I205" s="30" t="n">
        <x:v>47287</x:v>
      </x:c>
      <x:c r="J205" s="30"/>
      <x:c r="K205" s="32" t="n">
        <x:v>880000</x:v>
      </x:c>
      <x:c r="L205" s="32" t="n">
        <x:v>2850000</x:v>
      </x:c>
      <x:c r="M205" s="24" t="str">
        <x:v>20일</x:v>
      </x:c>
      <x:c r="N205" s="24" t="str">
        <x:v>26</x:v>
      </x:c>
      <x:c r="O205" s="24" t="str">
        <x:v>DB</x:v>
      </x:c>
      <x:c r="P205" s="24" t="str">
        <x:v>하허호</x:v>
      </x:c>
      <x:c r="Q205" s="24" t="str">
        <x:v>있음</x:v>
      </x:c>
      <x:c r="R205" s="24" t="str"/>
      <x:c r="S205" s="31" t="n">
        <x:v>90</x:v>
      </x:c>
      <x:c r="T205" s="24" t="str"/>
      <x:c r="U205" s="24" t="str"/>
    </x:row>
    <x:row r="206" ht="17.25" customHeight="1">
      <x:c r="A206" s="24" t="str">
        <x:v>SW-C-151나8783-2-20250619-90</x:v>
      </x:c>
      <x:c r="B206" s="24" t="str">
        <x:v>스위치플랜</x:v>
      </x:c>
      <x:c r="C206" s="24" t="str">
        <x:v>151나8783</x:v>
      </x:c>
      <x:c r="D206" s="31" t="n">
        <x:v>2</x:v>
      </x:c>
      <x:c r="E206" s="24" t="str">
        <x:v>이력</x:v>
      </x:c>
      <x:c r="F206" s="24" t="str">
        <x:v>구독대여</x:v>
      </x:c>
      <x:c r="G206" s="24" t="str">
        <x:v>최영</x:v>
      </x:c>
      <x:c r="H206" s="30" t="n">
        <x:v>45827</x:v>
      </x:c>
      <x:c r="I206" s="30" t="n">
        <x:v>47287</x:v>
      </x:c>
      <x:c r="J206" s="30"/>
      <x:c r="K206" s="32" t="n">
        <x:v>950000</x:v>
      </x:c>
      <x:c r="L206" s="32" t="n">
        <x:v>2850000</x:v>
      </x:c>
      <x:c r="M206" s="24" t="str"/>
      <x:c r="N206" s="24" t="str">
        <x:v>26</x:v>
      </x:c>
      <x:c r="O206" s="24" t="str"/>
      <x:c r="P206" s="24" t="str">
        <x:v>하허호</x:v>
      </x:c>
      <x:c r="Q206" s="24" t="str">
        <x:v>있음</x:v>
      </x:c>
      <x:c r="R206" s="24" t="str"/>
      <x:c r="S206" s="31" t="n">
        <x:v>90</x:v>
      </x:c>
      <x:c r="T206" s="24" t="str"/>
      <x:c r="U206" s="24" t="str"/>
    </x:row>
    <x:row r="207" ht="17.25" customHeight="1">
      <x:c r="A207" s="24" t="str">
        <x:v>SW-C-181조8459-1-20260420-91</x:v>
      </x:c>
      <x:c r="B207" s="24" t="str">
        <x:v>스위치플랜</x:v>
      </x:c>
      <x:c r="C207" s="24" t="str">
        <x:v>181조8459</x:v>
      </x:c>
      <x:c r="D207" s="31" t="n">
        <x:v>1</x:v>
      </x:c>
      <x:c r="E207" s="24" t="str">
        <x:v>현재칸</x:v>
      </x:c>
      <x:c r="F207" s="24" t="str">
        <x:v>구독대여</x:v>
      </x:c>
      <x:c r="G207" s="24" t="str">
        <x:v>배성호</x:v>
      </x:c>
      <x:c r="H207" s="30" t="n">
        <x:v>46132</x:v>
      </x:c>
      <x:c r="I207" s="30" t="n">
        <x:v>47592</x:v>
      </x:c>
      <x:c r="J207" s="30"/>
      <x:c r="K207" s="32" t="n">
        <x:v>370000</x:v>
      </x:c>
      <x:c r="L207" s="32"/>
      <x:c r="M207" s="24" t="str">
        <x:v>20일</x:v>
      </x:c>
      <x:c r="N207" s="24" t="str">
        <x:v>개인</x:v>
      </x:c>
      <x:c r="O207" s="24" t="str">
        <x:v>AXA</x:v>
      </x:c>
      <x:c r="P207" s="24" t="str"/>
      <x:c r="Q207" s="24" t="str">
        <x:v>있음</x:v>
      </x:c>
      <x:c r="R207" s="24" t="str"/>
      <x:c r="S207" s="31" t="n">
        <x:v>91</x:v>
      </x:c>
      <x:c r="T207" s="24" t="str">
        <x:v>연령 확인</x:v>
      </x:c>
      <x:c r="U207" s="24" t="str">
        <x:v>무보증</x:v>
      </x:c>
    </x:row>
    <x:row r="208" ht="17.25" customHeight="1">
      <x:c r="A208" s="24" t="str">
        <x:v>SW-C-181조8459-2-20250411-91</x:v>
      </x:c>
      <x:c r="B208" s="24" t="str">
        <x:v>스위치플랜</x:v>
      </x:c>
      <x:c r="C208" s="24" t="str">
        <x:v>181조8459</x:v>
      </x:c>
      <x:c r="D208" s="31" t="n">
        <x:v>2</x:v>
      </x:c>
      <x:c r="E208" s="24" t="str">
        <x:v>이력</x:v>
      </x:c>
      <x:c r="F208" s="24" t="str">
        <x:v>구독대여</x:v>
      </x:c>
      <x:c r="G208" s="24" t="str">
        <x:v>김지혜</x:v>
      </x:c>
      <x:c r="H208" s="30" t="n">
        <x:v>45758</x:v>
      </x:c>
      <x:c r="I208" s="30" t="n">
        <x:v>47218</x:v>
      </x:c>
      <x:c r="J208" s="30" t="n">
        <x:v>46108</x:v>
      </x:c>
      <x:c r="K208" s="32" t="n">
        <x:v>500000</x:v>
      </x:c>
      <x:c r="L208" s="32"/>
      <x:c r="M208" s="24" t="str"/>
      <x:c r="N208" s="24" t="str">
        <x:v>개인</x:v>
      </x:c>
      <x:c r="O208" s="24" t="str"/>
      <x:c r="P208" s="24" t="str">
        <x:v>하허호</x:v>
      </x:c>
      <x:c r="Q208" s="24" t="str">
        <x:v>있음</x:v>
      </x:c>
      <x:c r="R208" s="24" t="str"/>
      <x:c r="S208" s="31" t="n">
        <x:v>91</x:v>
      </x:c>
      <x:c r="T208" s="24" t="str">
        <x:v>연령 확인</x:v>
      </x:c>
      <x:c r="U208" s="24" t="str">
        <x:v>무보증</x:v>
      </x:c>
    </x:row>
    <x:row r="209" ht="17.25" customHeight="1">
      <x:c r="A209" s="24" t="str">
        <x:v>SW-C-181조8459-3-20240105-91</x:v>
      </x:c>
      <x:c r="B209" s="24" t="str">
        <x:v>스위치플랜</x:v>
      </x:c>
      <x:c r="C209" s="24" t="str">
        <x:v>181조8459</x:v>
      </x:c>
      <x:c r="D209" s="31" t="n">
        <x:v>3</x:v>
      </x:c>
      <x:c r="E209" s="24" t="str">
        <x:v>이력</x:v>
      </x:c>
      <x:c r="F209" s="24" t="str">
        <x:v>구독대여</x:v>
      </x:c>
      <x:c r="G209" s="24" t="str">
        <x:v>김정화</x:v>
      </x:c>
      <x:c r="H209" s="30" t="n">
        <x:v>45296</x:v>
      </x:c>
      <x:c r="I209" s="30" t="n">
        <x:v>46756</x:v>
      </x:c>
      <x:c r="J209" s="30" t="n">
        <x:v>45742</x:v>
      </x:c>
      <x:c r="K209" s="32" t="n">
        <x:v>580000</x:v>
      </x:c>
      <x:c r="L209" s="32" t="n">
        <x:v>1500000</x:v>
      </x:c>
      <x:c r="M209" s="24" t="str"/>
      <x:c r="N209" s="24" t="str">
        <x:v>개인</x:v>
      </x:c>
      <x:c r="O209" s="24" t="str"/>
      <x:c r="P209" s="24" t="str">
        <x:v>GNA</x:v>
      </x:c>
      <x:c r="Q209" s="24" t="str">
        <x:v>있음</x:v>
      </x:c>
      <x:c r="R209" s="24" t="str"/>
      <x:c r="S209" s="31" t="n">
        <x:v>91</x:v>
      </x:c>
      <x:c r="T209" s="24" t="str">
        <x:v>연령 확인</x:v>
      </x:c>
      <x:c r="U209" s="24" t="str"/>
    </x:row>
    <x:row r="210" ht="17.25" customHeight="1">
      <x:c r="A210" s="24" t="str">
        <x:v>SW-C-120라5445-1-20231208-92</x:v>
      </x:c>
      <x:c r="B210" s="24" t="str">
        <x:v>스위치플랜</x:v>
      </x:c>
      <x:c r="C210" s="24" t="str">
        <x:v>120라5445</x:v>
      </x:c>
      <x:c r="D210" s="31" t="n">
        <x:v>1</x:v>
      </x:c>
      <x:c r="E210" s="24" t="str">
        <x:v>현재칸</x:v>
      </x:c>
      <x:c r="F210" s="24" t="str">
        <x:v>구독대여</x:v>
      </x:c>
      <x:c r="G210" s="24" t="str">
        <x:v>백민정</x:v>
      </x:c>
      <x:c r="H210" s="30" t="n">
        <x:v>45268</x:v>
      </x:c>
      <x:c r="I210" s="30" t="n">
        <x:v>46728</x:v>
      </x:c>
      <x:c r="J210" s="30"/>
      <x:c r="K210" s="32" t="n">
        <x:v>540000</x:v>
      </x:c>
      <x:c r="L210" s="32" t="n">
        <x:v>1700000</x:v>
      </x:c>
      <x:c r="M210" s="24" t="str">
        <x:v>15일</x:v>
      </x:c>
      <x:c r="N210" s="24" t="str">
        <x:v>35</x:v>
      </x:c>
      <x:c r="O210" s="24" t="str">
        <x:v>DB</x:v>
      </x:c>
      <x:c r="P210" s="24" t="str">
        <x:v>SI</x:v>
      </x:c>
      <x:c r="Q210" s="24" t="str">
        <x:v>있음</x:v>
      </x:c>
      <x:c r="R210" s="24" t="str"/>
      <x:c r="S210" s="31" t="n">
        <x:v>92</x:v>
      </x:c>
      <x:c r="T210" s="24" t="str"/>
      <x:c r="U210" s="24" t="str"/>
    </x:row>
    <x:row r="211" ht="17.25" customHeight="1">
      <x:c r="A211" s="24" t="str">
        <x:v>SW-C-363소9788-1-20250529-93</x:v>
      </x:c>
      <x:c r="B211" s="24" t="str">
        <x:v>스위치플랜</x:v>
      </x:c>
      <x:c r="C211" s="24" t="str">
        <x:v>363소9788</x:v>
      </x:c>
      <x:c r="D211" s="31" t="n">
        <x:v>1</x:v>
      </x:c>
      <x:c r="E211" s="24" t="str">
        <x:v>현재칸</x:v>
      </x:c>
      <x:c r="F211" s="24" t="str">
        <x:v>구독대여</x:v>
      </x:c>
      <x:c r="G211" s="24" t="str">
        <x:v>김기남</x:v>
      </x:c>
      <x:c r="H211" s="30" t="n">
        <x:v>45806</x:v>
      </x:c>
      <x:c r="I211" s="30" t="n">
        <x:v>46901</x:v>
      </x:c>
      <x:c r="J211" s="30"/>
      <x:c r="K211" s="32" t="n">
        <x:v>360000</x:v>
      </x:c>
      <x:c r="L211" s="32"/>
      <x:c r="M211" s="24" t="str">
        <x:v>25일</x:v>
      </x:c>
      <x:c r="N211" s="24" t="str">
        <x:v>35</x:v>
      </x:c>
      <x:c r="O211" s="24" t="str">
        <x:v>DB</x:v>
      </x:c>
      <x:c r="P211" s="24" t="str">
        <x:v>하허호</x:v>
      </x:c>
      <x:c r="Q211" s="24" t="str">
        <x:v>있음</x:v>
      </x:c>
      <x:c r="R211" s="24" t="str"/>
      <x:c r="S211" s="31" t="n">
        <x:v>93</x:v>
      </x:c>
      <x:c r="T211" s="24" t="str"/>
      <x:c r="U211" s="24" t="str">
        <x:v>무보증</x:v>
      </x:c>
    </x:row>
    <x:row r="212" ht="17.25" customHeight="1">
      <x:c r="A212" s="24" t="str">
        <x:v>SW-C-363소9788-2-20240307-93</x:v>
      </x:c>
      <x:c r="B212" s="24" t="str">
        <x:v>스위치플랜</x:v>
      </x:c>
      <x:c r="C212" s="24" t="str">
        <x:v>363소9788</x:v>
      </x:c>
      <x:c r="D212" s="31" t="n">
        <x:v>2</x:v>
      </x:c>
      <x:c r="E212" s="24" t="str">
        <x:v>이력</x:v>
      </x:c>
      <x:c r="F212" s="24" t="str">
        <x:v>구독대여</x:v>
      </x:c>
      <x:c r="G212" s="24" t="str">
        <x:v>김철</x:v>
      </x:c>
      <x:c r="H212" s="30" t="n">
        <x:v>45358</x:v>
      </x:c>
      <x:c r="I212" s="30" t="n">
        <x:v>46818</x:v>
      </x:c>
      <x:c r="J212" s="30" t="n">
        <x:v>46150</x:v>
      </x:c>
      <x:c r="K212" s="32" t="n">
        <x:v>460000</x:v>
      </x:c>
      <x:c r="L212" s="32" t="n">
        <x:v>1300000</x:v>
      </x:c>
      <x:c r="M212" s="24" t="str"/>
      <x:c r="N212" s="24" t="str">
        <x:v>35</x:v>
      </x:c>
      <x:c r="O212" s="24" t="str"/>
      <x:c r="P212" s="24" t="str">
        <x:v>카랜(주)</x:v>
      </x:c>
      <x:c r="Q212" s="24" t="str">
        <x:v>있음</x:v>
      </x:c>
      <x:c r="R212" s="24" t="str"/>
      <x:c r="S212" s="31" t="n">
        <x:v>93</x:v>
      </x:c>
      <x:c r="T212" s="24" t="str"/>
      <x:c r="U212" s="24" t="str"/>
    </x:row>
    <x:row r="213" ht="17.25" customHeight="1">
      <x:c r="A213" s="24" t="str">
        <x:v>SW-C-162버2918-1-20240709-94</x:v>
      </x:c>
      <x:c r="B213" s="24" t="str">
        <x:v>스위치플랜</x:v>
      </x:c>
      <x:c r="C213" s="24" t="str">
        <x:v>162버2918</x:v>
      </x:c>
      <x:c r="D213" s="31" t="n">
        <x:v>1</x:v>
      </x:c>
      <x:c r="E213" s="24" t="str">
        <x:v>현재칸</x:v>
      </x:c>
      <x:c r="F213" s="24" t="str">
        <x:v>구독대여</x:v>
      </x:c>
      <x:c r="G213" s="24" t="str">
        <x:v>박소희</x:v>
      </x:c>
      <x:c r="H213" s="30" t="n">
        <x:v>45482</x:v>
      </x:c>
      <x:c r="I213" s="30" t="n">
        <x:v>46942</x:v>
      </x:c>
      <x:c r="J213" s="30"/>
      <x:c r="K213" s="32" t="n">
        <x:v>950000</x:v>
      </x:c>
      <x:c r="L213" s="32" t="n">
        <x:v>3000000</x:v>
      </x:c>
      <x:c r="M213" s="24" t="str">
        <x:v>10일</x:v>
      </x:c>
      <x:c r="N213" s="24" t="str">
        <x:v>30</x:v>
      </x:c>
      <x:c r="O213" s="24" t="str">
        <x:v>DB</x:v>
      </x:c>
      <x:c r="P213" s="24" t="str">
        <x:v>황제</x:v>
      </x:c>
      <x:c r="Q213" s="24" t="str">
        <x:v>있음</x:v>
      </x:c>
      <x:c r="R213" s="24" t="str"/>
      <x:c r="S213" s="31" t="n">
        <x:v>94</x:v>
      </x:c>
      <x:c r="T213" s="24" t="str"/>
      <x:c r="U213" s="24" t="str"/>
    </x:row>
    <x:row r="214" ht="17.25" customHeight="1">
      <x:c r="A214" s="24" t="str">
        <x:v>SW-C-286주8294-1-20250328-95</x:v>
      </x:c>
      <x:c r="B214" s="24" t="str">
        <x:v>스위치플랜</x:v>
      </x:c>
      <x:c r="C214" s="24" t="str">
        <x:v>286주8294</x:v>
      </x:c>
      <x:c r="D214" s="31" t="n">
        <x:v>1</x:v>
      </x:c>
      <x:c r="E214" s="24" t="str">
        <x:v>현재칸</x:v>
      </x:c>
      <x:c r="F214" s="24" t="str">
        <x:v>구독대여</x:v>
      </x:c>
      <x:c r="G214" s="24" t="str">
        <x:v>성진우</x:v>
      </x:c>
      <x:c r="H214" s="30" t="n">
        <x:v>45744</x:v>
      </x:c>
      <x:c r="I214" s="30" t="n">
        <x:v>46551</x:v>
      </x:c>
      <x:c r="J214" s="30"/>
      <x:c r="K214" s="32" t="n">
        <x:v>1020000</x:v>
      </x:c>
      <x:c r="L214" s="32" t="n">
        <x:v>2990000</x:v>
      </x:c>
      <x:c r="M214" s="24" t="str">
        <x:v>15일</x:v>
      </x:c>
      <x:c r="N214" s="24" t="str">
        <x:v>30</x:v>
      </x:c>
      <x:c r="O214" s="24" t="str">
        <x:v>DB</x:v>
      </x:c>
      <x:c r="P214" s="24" t="str">
        <x:v>하허호</x:v>
      </x:c>
      <x:c r="Q214" s="24" t="str">
        <x:v>있음</x:v>
      </x:c>
      <x:c r="R214" s="24" t="str"/>
      <x:c r="S214" s="31" t="n">
        <x:v>95</x:v>
      </x:c>
      <x:c r="T214" s="24" t="str"/>
      <x:c r="U214" s="24" t="str"/>
    </x:row>
    <x:row r="215" ht="17.25" customHeight="1">
      <x:c r="A215" s="24" t="str">
        <x:v>SW-C-286주8294-2-20240614-95</x:v>
      </x:c>
      <x:c r="B215" s="24" t="str">
        <x:v>스위치플랜</x:v>
      </x:c>
      <x:c r="C215" s="24" t="str">
        <x:v>286주8294</x:v>
      </x:c>
      <x:c r="D215" s="31" t="n">
        <x:v>2</x:v>
      </x:c>
      <x:c r="E215" s="24" t="str">
        <x:v>이력</x:v>
      </x:c>
      <x:c r="F215" s="24" t="str">
        <x:v>구독대여</x:v>
      </x:c>
      <x:c r="G215" s="24" t="str">
        <x:v>이경훈</x:v>
      </x:c>
      <x:c r="H215" s="30" t="n">
        <x:v>45457</x:v>
      </x:c>
      <x:c r="I215" s="30" t="n">
        <x:v>46551</x:v>
      </x:c>
      <x:c r="J215" s="30" t="n">
        <x:v>45744</x:v>
      </x:c>
      <x:c r="K215" s="32" t="n">
        <x:v>1090000</x:v>
      </x:c>
      <x:c r="L215" s="32" t="n">
        <x:v>2990000</x:v>
      </x:c>
      <x:c r="M215" s="24" t="str"/>
      <x:c r="N215" s="24" t="str">
        <x:v>30</x:v>
      </x:c>
      <x:c r="O215" s="24" t="str"/>
      <x:c r="P215" s="24" t="str">
        <x:v>카랜(주)</x:v>
      </x:c>
      <x:c r="Q215" s="24" t="str">
        <x:v>있음</x:v>
      </x:c>
      <x:c r="R215" s="24" t="str"/>
      <x:c r="S215" s="31" t="n">
        <x:v>95</x:v>
      </x:c>
      <x:c r="T215" s="24" t="str"/>
      <x:c r="U215" s="24" t="str"/>
    </x:row>
    <x:row r="216" ht="17.25" customHeight="1">
      <x:c r="A216" s="24" t="str">
        <x:v>SW-C-347다5712-1-20240319-96</x:v>
      </x:c>
      <x:c r="B216" s="24" t="str">
        <x:v>스위치플랜</x:v>
      </x:c>
      <x:c r="C216" s="24" t="str">
        <x:v>347다5712</x:v>
      </x:c>
      <x:c r="D216" s="31" t="n">
        <x:v>1</x:v>
      </x:c>
      <x:c r="E216" s="24" t="str">
        <x:v>현재칸</x:v>
      </x:c>
      <x:c r="F216" s="24" t="str">
        <x:v>구독대여</x:v>
      </x:c>
      <x:c r="G216" s="24" t="str">
        <x:v>이은진</x:v>
      </x:c>
      <x:c r="H216" s="30" t="n">
        <x:v>45370</x:v>
      </x:c>
      <x:c r="I216" s="30" t="n">
        <x:v>46830</x:v>
      </x:c>
      <x:c r="J216" s="30"/>
      <x:c r="K216" s="32" t="n">
        <x:v>510000</x:v>
      </x:c>
      <x:c r="L216" s="32" t="n">
        <x:v>1620000</x:v>
      </x:c>
      <x:c r="M216" s="24" t="str">
        <x:v>20일</x:v>
      </x:c>
      <x:c r="N216" s="24" t="str">
        <x:v>35</x:v>
      </x:c>
      <x:c r="O216" s="24" t="str">
        <x:v>DB</x:v>
      </x:c>
      <x:c r="P216" s="24" t="str">
        <x:v>카랜(주)</x:v>
      </x:c>
      <x:c r="Q216" s="24" t="str">
        <x:v>있음</x:v>
      </x:c>
      <x:c r="R216" s="24" t="str"/>
      <x:c r="S216" s="31" t="n">
        <x:v>96</x:v>
      </x:c>
      <x:c r="T216" s="24" t="str"/>
      <x:c r="U216" s="24" t="str"/>
    </x:row>
    <x:row r="217" ht="17.25" customHeight="1">
      <x:c r="A217" s="24" t="str">
        <x:v>SW-C-257구2888-1-NA-97</x:v>
      </x:c>
      <x:c r="B217" s="24" t="str">
        <x:v>스위치플랜</x:v>
      </x:c>
      <x:c r="C217" s="24" t="str">
        <x:v>257구2888</x:v>
      </x:c>
      <x:c r="D217" s="31" t="n">
        <x:v>1</x:v>
      </x:c>
      <x:c r="E217" s="24" t="str">
        <x:v>현재칸</x:v>
      </x:c>
      <x:c r="F217" s="24" t="str"/>
      <x:c r="G217" s="24" t="str">
        <x:v>상품화예정</x:v>
      </x:c>
      <x:c r="H217" s="30"/>
      <x:c r="I217" s="30"/>
      <x:c r="J217" s="30"/>
      <x:c r="K217" s="32"/>
      <x:c r="L217" s="32"/>
      <x:c r="M217" s="24" t="str"/>
      <x:c r="N217" s="24" t="str">
        <x:v>35</x:v>
      </x:c>
      <x:c r="O217" s="24" t="str">
        <x:v>DB</x:v>
      </x:c>
      <x:c r="P217" s="24" t="str"/>
      <x:c r="Q217" s="24" t="str">
        <x:v>있음</x:v>
      </x:c>
      <x:c r="R217" s="24" t="str"/>
      <x:c r="S217" s="31" t="n">
        <x:v>97</x:v>
      </x:c>
      <x:c r="T217" s="24" t="str">
        <x:v>필수값 확인</x:v>
      </x:c>
      <x:c r="U217" s="24" t="str"/>
    </x:row>
    <x:row r="218" ht="17.25" customHeight="1">
      <x:c r="A218" s="24" t="str">
        <x:v>SW-C-257구2888-2-20250822-97</x:v>
      </x:c>
      <x:c r="B218" s="24" t="str">
        <x:v>스위치플랜</x:v>
      </x:c>
      <x:c r="C218" s="24" t="str">
        <x:v>257구2888</x:v>
      </x:c>
      <x:c r="D218" s="31" t="n">
        <x:v>2</x:v>
      </x:c>
      <x:c r="E218" s="24" t="str">
        <x:v>이력</x:v>
      </x:c>
      <x:c r="F218" s="24" t="str">
        <x:v>구독대여</x:v>
      </x:c>
      <x:c r="G218" s="24" t="str">
        <x:v>김대경</x:v>
      </x:c>
      <x:c r="H218" s="30" t="n">
        <x:v>45891</x:v>
      </x:c>
      <x:c r="I218" s="30" t="n">
        <x:v>46436</x:v>
      </x:c>
      <x:c r="J218" s="30" t="n">
        <x:v>46223</x:v>
      </x:c>
      <x:c r="K218" s="32" t="n">
        <x:v>680000</x:v>
      </x:c>
      <x:c r="L218" s="32" t="n">
        <x:v>1260000</x:v>
      </x:c>
      <x:c r="M218" s="24" t="str"/>
      <x:c r="N218" s="24" t="str">
        <x:v>35</x:v>
      </x:c>
      <x:c r="O218" s="24" t="str"/>
      <x:c r="P218" s="24" t="str">
        <x:v>하허호</x:v>
      </x:c>
      <x:c r="Q218" s="24" t="str">
        <x:v>있음</x:v>
      </x:c>
      <x:c r="R218" s="24" t="str"/>
      <x:c r="S218" s="31" t="n">
        <x:v>97</x:v>
      </x:c>
      <x:c r="T218" s="24" t="str"/>
      <x:c r="U218" s="24" t="str"/>
    </x:row>
    <x:row r="219" ht="17.25" customHeight="1">
      <x:c r="A219" s="24" t="str">
        <x:v>SW-C-257구2888-3-20250219-97</x:v>
      </x:c>
      <x:c r="B219" s="24" t="str">
        <x:v>스위치플랜</x:v>
      </x:c>
      <x:c r="C219" s="24" t="str">
        <x:v>257구2888</x:v>
      </x:c>
      <x:c r="D219" s="31" t="n">
        <x:v>3</x:v>
      </x:c>
      <x:c r="E219" s="24" t="str">
        <x:v>이력</x:v>
      </x:c>
      <x:c r="F219" s="24" t="str">
        <x:v>구독대여</x:v>
      </x:c>
      <x:c r="G219" s="24" t="str">
        <x:v>이민우</x:v>
      </x:c>
      <x:c r="H219" s="30" t="n">
        <x:v>45707</x:v>
      </x:c>
      <x:c r="I219" s="30" t="n">
        <x:v>46436</x:v>
      </x:c>
      <x:c r="J219" s="30"/>
      <x:c r="K219" s="32" t="n">
        <x:v>680000</x:v>
      </x:c>
      <x:c r="L219" s="32" t="n">
        <x:v>1260000</x:v>
      </x:c>
      <x:c r="M219" s="24" t="str"/>
      <x:c r="N219" s="24" t="str">
        <x:v>35</x:v>
      </x:c>
      <x:c r="O219" s="24" t="str"/>
      <x:c r="P219" s="24" t="str">
        <x:v>하허호</x:v>
      </x:c>
      <x:c r="Q219" s="24" t="str">
        <x:v>있음</x:v>
      </x:c>
      <x:c r="R219" s="24" t="str"/>
      <x:c r="S219" s="31" t="n">
        <x:v>97</x:v>
      </x:c>
      <x:c r="T219" s="24" t="str"/>
      <x:c r="U219" s="24" t="str"/>
    </x:row>
    <x:row r="220" ht="17.25" customHeight="1">
      <x:c r="A220" s="24" t="str">
        <x:v>SW-C-126서4223-1-20260616-98</x:v>
      </x:c>
      <x:c r="B220" s="24" t="str">
        <x:v>스위치플랜</x:v>
      </x:c>
      <x:c r="C220" s="24" t="str">
        <x:v>126서4223</x:v>
      </x:c>
      <x:c r="D220" s="31" t="n">
        <x:v>1</x:v>
      </x:c>
      <x:c r="E220" s="24" t="str">
        <x:v>현재칸</x:v>
      </x:c>
      <x:c r="F220" s="24" t="str">
        <x:v>구독대여</x:v>
      </x:c>
      <x:c r="G220" s="24" t="str">
        <x:v>김민창</x:v>
      </x:c>
      <x:c r="H220" s="30" t="n">
        <x:v>46189</x:v>
      </x:c>
      <x:c r="I220" s="30" t="n">
        <x:v>48014</x:v>
      </x:c>
      <x:c r="J220" s="30"/>
      <x:c r="K220" s="32" t="n">
        <x:v>1070000</x:v>
      </x:c>
      <x:c r="L220" s="32" t="n">
        <x:v>1070000</x:v>
      </x:c>
      <x:c r="M220" s="24" t="str">
        <x:v>15일</x:v>
      </x:c>
      <x:c r="N220" s="24" t="str">
        <x:v>개인</x:v>
      </x:c>
      <x:c r="O220" s="24" t="str">
        <x:v>한화손보</x:v>
      </x:c>
      <x:c r="P220" s="24" t="str">
        <x:v>하허호</x:v>
      </x:c>
      <x:c r="Q220" s="24" t="str">
        <x:v>있음</x:v>
      </x:c>
      <x:c r="R220" s="24" t="str"/>
      <x:c r="S220" s="31" t="n">
        <x:v>98</x:v>
      </x:c>
      <x:c r="T220" s="24" t="str">
        <x:v>연령 확인</x:v>
      </x:c>
      <x:c r="U220" s="24" t="str"/>
    </x:row>
    <x:row r="221" ht="17.25" customHeight="1">
      <x:c r="A221" s="24" t="str">
        <x:v>SW-C-126서4223-2-20250617-98</x:v>
      </x:c>
      <x:c r="B221" s="24" t="str">
        <x:v>스위치플랜</x:v>
      </x:c>
      <x:c r="C221" s="24" t="str">
        <x:v>126서4223</x:v>
      </x:c>
      <x:c r="D221" s="31" t="n">
        <x:v>2</x:v>
      </x:c>
      <x:c r="E221" s="24" t="str">
        <x:v>이력</x:v>
      </x:c>
      <x:c r="F221" s="24" t="str">
        <x:v>구독대여</x:v>
      </x:c>
      <x:c r="G221" s="24" t="str">
        <x:v>김민창</x:v>
      </x:c>
      <x:c r="H221" s="30" t="n">
        <x:v>45825</x:v>
      </x:c>
      <x:c r="I221" s="30" t="n">
        <x:v>46189</x:v>
      </x:c>
      <x:c r="J221" s="30"/>
      <x:c r="K221" s="32" t="n">
        <x:v>1070000</x:v>
      </x:c>
      <x:c r="L221" s="32" t="n">
        <x:v>1070000</x:v>
      </x:c>
      <x:c r="M221" s="24" t="str"/>
      <x:c r="N221" s="24" t="str">
        <x:v>개인</x:v>
      </x:c>
      <x:c r="O221" s="24" t="str"/>
      <x:c r="P221" s="24" t="str">
        <x:v>하허호</x:v>
      </x:c>
      <x:c r="Q221" s="24" t="str">
        <x:v>있음</x:v>
      </x:c>
      <x:c r="R221" s="24" t="str"/>
      <x:c r="S221" s="31" t="n">
        <x:v>98</x:v>
      </x:c>
      <x:c r="T221" s="24" t="str">
        <x:v>연령 확인</x:v>
      </x:c>
      <x:c r="U221" s="24" t="str"/>
    </x:row>
    <x:row r="222" ht="17.25" customHeight="1">
      <x:c r="A222" s="24" t="str">
        <x:v>SW-C-391서7476-1-20260115-99</x:v>
      </x:c>
      <x:c r="B222" s="24" t="str">
        <x:v>스위치플랜</x:v>
      </x:c>
      <x:c r="C222" s="24" t="str">
        <x:v>391서7476</x:v>
      </x:c>
      <x:c r="D222" s="31" t="n">
        <x:v>1</x:v>
      </x:c>
      <x:c r="E222" s="24" t="str">
        <x:v>현재칸</x:v>
      </x:c>
      <x:c r="F222" s="24" t="str">
        <x:v>구독대여</x:v>
      </x:c>
      <x:c r="G222" s="24" t="str">
        <x:v>태재완</x:v>
      </x:c>
      <x:c r="H222" s="30" t="n">
        <x:v>46037</x:v>
      </x:c>
      <x:c r="I222" s="30" t="n">
        <x:v>47132</x:v>
      </x:c>
      <x:c r="J222" s="30"/>
      <x:c r="K222" s="32" t="n">
        <x:v>1000000</x:v>
      </x:c>
      <x:c r="L222" s="32" t="n">
        <x:v>1500000</x:v>
      </x:c>
      <x:c r="M222" s="24" t="str">
        <x:v>15일</x:v>
      </x:c>
      <x:c r="N222" s="24" t="str">
        <x:v>21</x:v>
      </x:c>
      <x:c r="O222" s="24" t="str">
        <x:v>DB</x:v>
      </x:c>
      <x:c r="P222" s="24" t="str">
        <x:v>하허호</x:v>
      </x:c>
      <x:c r="Q222" s="24" t="str">
        <x:v>있음</x:v>
      </x:c>
      <x:c r="R222" s="24" t="str"/>
      <x:c r="S222" s="31" t="n">
        <x:v>99</x:v>
      </x:c>
      <x:c r="T222" s="24" t="str"/>
      <x:c r="U222" s="24" t="str"/>
    </x:row>
    <x:row r="223" ht="17.25" customHeight="1">
      <x:c r="A223" s="24" t="str">
        <x:v>SW-C-391서7476-2-20250704-99</x:v>
      </x:c>
      <x:c r="B223" s="24" t="str">
        <x:v>스위치플랜</x:v>
      </x:c>
      <x:c r="C223" s="24" t="str">
        <x:v>391서7476</x:v>
      </x:c>
      <x:c r="D223" s="31" t="n">
        <x:v>2</x:v>
      </x:c>
      <x:c r="E223" s="24" t="str">
        <x:v>이력</x:v>
      </x:c>
      <x:c r="F223" s="24" t="str">
        <x:v>구독대여</x:v>
      </x:c>
      <x:c r="G223" s="24" t="str">
        <x:v>김현욱</x:v>
      </x:c>
      <x:c r="H223" s="30" t="n">
        <x:v>45842</x:v>
      </x:c>
      <x:c r="I223" s="30" t="n">
        <x:v>47302</x:v>
      </x:c>
      <x:c r="J223" s="30" t="n">
        <x:v>46029</x:v>
      </x:c>
      <x:c r="K223" s="32" t="n">
        <x:v>1000000</x:v>
      </x:c>
      <x:c r="L223" s="32" t="n">
        <x:v>2000000</x:v>
      </x:c>
      <x:c r="M223" s="24" t="str"/>
      <x:c r="N223" s="24" t="str">
        <x:v>21</x:v>
      </x:c>
      <x:c r="O223" s="24" t="str"/>
      <x:c r="P223" s="24" t="str"/>
      <x:c r="Q223" s="24" t="str">
        <x:v>있음</x:v>
      </x:c>
      <x:c r="R223" s="24" t="str"/>
      <x:c r="S223" s="31" t="n">
        <x:v>99</x:v>
      </x:c>
      <x:c r="T223" s="24" t="str"/>
      <x:c r="U223" s="24" t="str"/>
    </x:row>
    <x:row r="224" ht="17.25" customHeight="1">
      <x:c r="A224" s="24" t="str">
        <x:v>SW-C-391서7476-3-20250409-99</x:v>
      </x:c>
      <x:c r="B224" s="24" t="str">
        <x:v>스위치플랜</x:v>
      </x:c>
      <x:c r="C224" s="24" t="str">
        <x:v>391서7476</x:v>
      </x:c>
      <x:c r="D224" s="31" t="n">
        <x:v>3</x:v>
      </x:c>
      <x:c r="E224" s="24" t="str">
        <x:v>이력</x:v>
      </x:c>
      <x:c r="F224" s="24" t="str">
        <x:v>구독대여</x:v>
      </x:c>
      <x:c r="G224" s="24" t="str">
        <x:v>박명규</x:v>
      </x:c>
      <x:c r="H224" s="30" t="n">
        <x:v>45756</x:v>
      </x:c>
      <x:c r="I224" s="30" t="n">
        <x:v>47216</x:v>
      </x:c>
      <x:c r="J224" s="30" t="n">
        <x:v>45836</x:v>
      </x:c>
      <x:c r="K224" s="32" t="n">
        <x:v>950000</x:v>
      </x:c>
      <x:c r="L224" s="32"/>
      <x:c r="M224" s="24" t="str"/>
      <x:c r="N224" s="24" t="str">
        <x:v>21</x:v>
      </x:c>
      <x:c r="O224" s="24" t="str"/>
      <x:c r="P224" s="24" t="str">
        <x:v>하허호</x:v>
      </x:c>
      <x:c r="Q224" s="24" t="str">
        <x:v>있음</x:v>
      </x:c>
      <x:c r="R224" s="24" t="str"/>
      <x:c r="S224" s="31" t="n">
        <x:v>99</x:v>
      </x:c>
      <x:c r="T224" s="24" t="str"/>
      <x:c r="U224" s="24" t="str">
        <x:v>무보증</x:v>
      </x:c>
    </x:row>
    <x:row r="225" ht="17.25" customHeight="1">
      <x:c r="A225" s="24" t="str">
        <x:v>SW-C-391서7476-4-20241217-99</x:v>
      </x:c>
      <x:c r="B225" s="24" t="str">
        <x:v>스위치플랜</x:v>
      </x:c>
      <x:c r="C225" s="24" t="str">
        <x:v>391서7476</x:v>
      </x:c>
      <x:c r="D225" s="31" t="n">
        <x:v>4</x:v>
      </x:c>
      <x:c r="E225" s="24" t="str">
        <x:v>이력</x:v>
      </x:c>
      <x:c r="F225" s="24" t="str">
        <x:v>구독대여</x:v>
      </x:c>
      <x:c r="G225" s="24" t="str">
        <x:v>김진혁</x:v>
      </x:c>
      <x:c r="H225" s="30" t="n">
        <x:v>45643</x:v>
      </x:c>
      <x:c r="I225" s="30" t="n">
        <x:v>45729</x:v>
      </x:c>
      <x:c r="J225" s="30" t="n">
        <x:v>45742</x:v>
      </x:c>
      <x:c r="K225" s="32" t="n">
        <x:v>1530000</x:v>
      </x:c>
      <x:c r="L225" s="32" t="n">
        <x:v>1530000</x:v>
      </x:c>
      <x:c r="M225" s="24" t="str"/>
      <x:c r="N225" s="24" t="str">
        <x:v>21</x:v>
      </x:c>
      <x:c r="O225" s="24" t="str"/>
      <x:c r="P225" s="24" t="str">
        <x:v>카랜(주)</x:v>
      </x:c>
      <x:c r="Q225" s="24" t="str">
        <x:v>있음</x:v>
      </x:c>
      <x:c r="R225" s="24" t="str"/>
      <x:c r="S225" s="31" t="n">
        <x:v>99</x:v>
      </x:c>
      <x:c r="T225" s="24" t="str"/>
      <x:c r="U225" s="24" t="str"/>
    </x:row>
    <x:row r="226" ht="17.25" customHeight="1">
      <x:c r="A226" s="24" t="str">
        <x:v>SW-C-391서7476-5-20250313-99</x:v>
      </x:c>
      <x:c r="B226" s="24" t="str">
        <x:v>스위치플랜</x:v>
      </x:c>
      <x:c r="C226" s="24" t="str">
        <x:v>391서7476</x:v>
      </x:c>
      <x:c r="D226" s="31" t="n">
        <x:v>5</x:v>
      </x:c>
      <x:c r="E226" s="24" t="str">
        <x:v>이력</x:v>
      </x:c>
      <x:c r="F226" s="24" t="str">
        <x:v>구독대여</x:v>
      </x:c>
      <x:c r="G226" s="24" t="str">
        <x:v>김서운</x:v>
      </x:c>
      <x:c r="H226" s="30" t="n">
        <x:v>45729</x:v>
      </x:c>
      <x:c r="I226" s="30"/>
      <x:c r="J226" s="30"/>
      <x:c r="K226" s="32" t="n">
        <x:v>45365</x:v>
      </x:c>
      <x:c r="L226" s="32" t="n">
        <x:v>1530000</x:v>
      </x:c>
      <x:c r="M226" s="24" t="str"/>
      <x:c r="N226" s="24" t="str">
        <x:v>21</x:v>
      </x:c>
      <x:c r="O226" s="24" t="str"/>
      <x:c r="P226" s="24" t="str">
        <x:v>카랜(주)</x:v>
      </x:c>
      <x:c r="Q226" s="24" t="str">
        <x:v>있음</x:v>
      </x:c>
      <x:c r="R226" s="24" t="str"/>
      <x:c r="S226" s="31" t="n">
        <x:v>99</x:v>
      </x:c>
      <x:c r="T226" s="24" t="str"/>
      <x:c r="U226" s="24" t="str"/>
    </x:row>
    <x:row r="227" ht="17.25" customHeight="1">
      <x:c r="A227" s="24" t="str">
        <x:v>SW-C-139우7166-1-20231127-100</x:v>
      </x:c>
      <x:c r="B227" s="24" t="str">
        <x:v>스위치플랜</x:v>
      </x:c>
      <x:c r="C227" s="24" t="str">
        <x:v>139우7166</x:v>
      </x:c>
      <x:c r="D227" s="31" t="n">
        <x:v>1</x:v>
      </x:c>
      <x:c r="E227" s="24" t="str">
        <x:v>현재칸</x:v>
      </x:c>
      <x:c r="F227" s="24" t="str">
        <x:v>구독대여</x:v>
      </x:c>
      <x:c r="G227" s="24" t="str">
        <x:v>박진택</x:v>
      </x:c>
      <x:c r="H227" s="30" t="n">
        <x:v>45257</x:v>
      </x:c>
      <x:c r="I227" s="30" t="n">
        <x:v>46717</x:v>
      </x:c>
      <x:c r="J227" s="30"/>
      <x:c r="K227" s="32" t="n">
        <x:v>750000</x:v>
      </x:c>
      <x:c r="L227" s="32" t="n">
        <x:v>2000000</x:v>
      </x:c>
      <x:c r="M227" s="24" t="str">
        <x:v>25일</x:v>
      </x:c>
      <x:c r="N227" s="24" t="str">
        <x:v>35</x:v>
      </x:c>
      <x:c r="O227" s="24" t="str">
        <x:v>DB</x:v>
      </x:c>
      <x:c r="P227" s="24" t="str"/>
      <x:c r="Q227" s="24" t="str">
        <x:v>있음</x:v>
      </x:c>
      <x:c r="R227" s="24" t="str"/>
      <x:c r="S227" s="31" t="n">
        <x:v>100</x:v>
      </x:c>
      <x:c r="T227" s="24" t="str"/>
      <x:c r="U227" s="24" t="str"/>
    </x:row>
    <x:row r="228" ht="17.25" customHeight="1">
      <x:c r="A228" s="24" t="str">
        <x:v>SW-C-41호8300-1-NA-101</x:v>
      </x:c>
      <x:c r="B228" s="24" t="str">
        <x:v>스위치플랜</x:v>
      </x:c>
      <x:c r="C228" s="24" t="str">
        <x:v>41호8300</x:v>
      </x:c>
      <x:c r="D228" s="31" t="n">
        <x:v>1</x:v>
      </x:c>
      <x:c r="E228" s="24" t="str">
        <x:v>현재칸</x:v>
      </x:c>
      <x:c r="F228" s="24" t="str"/>
      <x:c r="G228" s="24" t="str">
        <x:v>손오공 강태리부장</x:v>
      </x:c>
      <x:c r="H228" s="30"/>
      <x:c r="I228" s="30"/>
      <x:c r="J228" s="30"/>
      <x:c r="K228" s="32"/>
      <x:c r="L228" s="32"/>
      <x:c r="M228" s="24" t="str"/>
      <x:c r="N228" s="24" t="str">
        <x:v>26</x:v>
      </x:c>
      <x:c r="O228" s="24" t="str">
        <x:v>공제조합</x:v>
      </x:c>
      <x:c r="P228" s="24" t="str">
        <x:v>박영협</x:v>
      </x:c>
      <x:c r="Q228" s="24" t="str">
        <x:v>없음</x:v>
      </x:c>
      <x:c r="R228" s="24" t="str"/>
      <x:c r="S228" s="31" t="n">
        <x:v>101</x:v>
      </x:c>
      <x:c r="T228" s="24" t="str">
        <x:v>필수값 확인</x:v>
      </x:c>
      <x:c r="U228" s="24" t="str"/>
    </x:row>
    <x:row r="229" ht="17.25" customHeight="1">
      <x:c r="A229" s="24" t="str">
        <x:v>SW-C-41호8301-1-NA-102</x:v>
      </x:c>
      <x:c r="B229" s="24" t="str">
        <x:v>스위치플랜</x:v>
      </x:c>
      <x:c r="C229" s="24" t="str">
        <x:v>41호8301</x:v>
      </x:c>
      <x:c r="D229" s="31" t="n">
        <x:v>1</x:v>
      </x:c>
      <x:c r="E229" s="24" t="str">
        <x:v>현재칸</x:v>
      </x:c>
      <x:c r="F229" s="24" t="str"/>
      <x:c r="G229" s="24" t="str">
        <x:v>상품화예정</x:v>
      </x:c>
      <x:c r="H229" s="30"/>
      <x:c r="I229" s="30"/>
      <x:c r="J229" s="30"/>
      <x:c r="K229" s="32"/>
      <x:c r="L229" s="32"/>
      <x:c r="M229" s="24" t="str"/>
      <x:c r="N229" s="24" t="str">
        <x:v>26</x:v>
      </x:c>
      <x:c r="O229" s="24" t="str">
        <x:v>공제조합</x:v>
      </x:c>
      <x:c r="P229" s="24" t="str">
        <x:v>박영협</x:v>
      </x:c>
      <x:c r="Q229" s="24" t="str">
        <x:v>없음</x:v>
      </x:c>
      <x:c r="R229" s="24" t="str"/>
      <x:c r="S229" s="31" t="n">
        <x:v>102</x:v>
      </x:c>
      <x:c r="T229" s="24" t="str">
        <x:v>필수값 확인</x:v>
      </x:c>
      <x:c r="U229" s="24" t="str"/>
    </x:row>
    <x:row r="230" ht="17.25" customHeight="1">
      <x:c r="A230" s="24" t="str">
        <x:v>SW-C-41호8302-1-20260317-103</x:v>
      </x:c>
      <x:c r="B230" s="24" t="str">
        <x:v>스위치플랜</x:v>
      </x:c>
      <x:c r="C230" s="24" t="str">
        <x:v>41호8302</x:v>
      </x:c>
      <x:c r="D230" s="31" t="n">
        <x:v>1</x:v>
      </x:c>
      <x:c r="E230" s="24" t="str">
        <x:v>현재칸</x:v>
      </x:c>
      <x:c r="F230" s="24" t="str">
        <x:v>구독대여</x:v>
      </x:c>
      <x:c r="G230" s="24" t="str">
        <x:v>김성은</x:v>
      </x:c>
      <x:c r="H230" s="30" t="n">
        <x:v>46098</x:v>
      </x:c>
      <x:c r="I230" s="30" t="n">
        <x:v>47558</x:v>
      </x:c>
      <x:c r="J230" s="30"/>
      <x:c r="K230" s="32" t="n">
        <x:v>700000</x:v>
      </x:c>
      <x:c r="L230" s="32"/>
      <x:c r="M230" s="24" t="str">
        <x:v>15일</x:v>
      </x:c>
      <x:c r="N230" s="24" t="str">
        <x:v>26</x:v>
      </x:c>
      <x:c r="O230" s="24" t="str">
        <x:v>공제조합</x:v>
      </x:c>
      <x:c r="P230" s="24" t="str"/>
      <x:c r="Q230" s="24" t="str">
        <x:v>있음</x:v>
      </x:c>
      <x:c r="R230" s="24" t="str"/>
      <x:c r="S230" s="31" t="n">
        <x:v>103</x:v>
      </x:c>
      <x:c r="T230" s="24" t="str"/>
      <x:c r="U230" s="24" t="str">
        <x:v>무보증</x:v>
      </x:c>
    </x:row>
    <x:row r="231" ht="17.25" customHeight="1">
      <x:c r="A231" s="24" t="str">
        <x:v>SW-C-41호8303-1-20260226-104</x:v>
      </x:c>
      <x:c r="B231" s="24" t="str">
        <x:v>스위치플랜</x:v>
      </x:c>
      <x:c r="C231" s="24" t="str">
        <x:v>41호8303</x:v>
      </x:c>
      <x:c r="D231" s="31" t="n">
        <x:v>1</x:v>
      </x:c>
      <x:c r="E231" s="24" t="str">
        <x:v>현재칸</x:v>
      </x:c>
      <x:c r="F231" s="24" t="str">
        <x:v>구독대여</x:v>
      </x:c>
      <x:c r="G231" s="24" t="str">
        <x:v>또바기</x:v>
      </x:c>
      <x:c r="H231" s="30" t="n">
        <x:v>46079</x:v>
      </x:c>
      <x:c r="I231" s="30" t="n">
        <x:v>47539</x:v>
      </x:c>
      <x:c r="J231" s="30"/>
      <x:c r="K231" s="32" t="n">
        <x:v>700000</x:v>
      </x:c>
      <x:c r="L231" s="32"/>
      <x:c r="M231" s="24" t="str">
        <x:v>25일</x:v>
      </x:c>
      <x:c r="N231" s="24" t="str">
        <x:v>26</x:v>
      </x:c>
      <x:c r="O231" s="24" t="str">
        <x:v>공제조합</x:v>
      </x:c>
      <x:c r="P231" s="24" t="str"/>
      <x:c r="Q231" s="24" t="str">
        <x:v>있음</x:v>
      </x:c>
      <x:c r="R231" s="24" t="str"/>
      <x:c r="S231" s="31" t="n">
        <x:v>104</x:v>
      </x:c>
      <x:c r="T231" s="24" t="str"/>
      <x:c r="U231" s="24" t="str">
        <x:v>무보증</x:v>
      </x:c>
    </x:row>
    <x:row r="232" ht="17.25" customHeight="1">
      <x:c r="A232" s="24" t="str">
        <x:v>SW-C-41호8304-1-NA-105</x:v>
      </x:c>
      <x:c r="B232" s="24" t="str">
        <x:v>스위치플랜</x:v>
      </x:c>
      <x:c r="C232" s="24" t="str">
        <x:v>41호8304</x:v>
      </x:c>
      <x:c r="D232" s="31" t="n">
        <x:v>1</x:v>
      </x:c>
      <x:c r="E232" s="24" t="str">
        <x:v>현재칸</x:v>
      </x:c>
      <x:c r="F232" s="24" t="str"/>
      <x:c r="G232" s="24" t="str">
        <x:v>상품화예정</x:v>
      </x:c>
      <x:c r="H232" s="30"/>
      <x:c r="I232" s="30"/>
      <x:c r="J232" s="30"/>
      <x:c r="K232" s="32"/>
      <x:c r="L232" s="32"/>
      <x:c r="M232" s="24" t="str"/>
      <x:c r="N232" s="24" t="str">
        <x:v>26</x:v>
      </x:c>
      <x:c r="O232" s="24" t="str">
        <x:v>공제조합</x:v>
      </x:c>
      <x:c r="P232" s="24" t="str"/>
      <x:c r="Q232" s="24" t="str">
        <x:v>있음</x:v>
      </x:c>
      <x:c r="R232" s="24" t="str"/>
      <x:c r="S232" s="31" t="n">
        <x:v>105</x:v>
      </x:c>
      <x:c r="T232" s="24" t="str">
        <x:v>필수값 확인</x:v>
      </x:c>
      <x:c r="U232" s="24" t="str"/>
    </x:row>
    <x:row r="233" ht="17.25" customHeight="1">
      <x:c r="A233" s="24" t="str">
        <x:v>SW-C-41호8304-2-20260212-105</x:v>
      </x:c>
      <x:c r="B233" s="24" t="str">
        <x:v>스위치플랜</x:v>
      </x:c>
      <x:c r="C233" s="24" t="str">
        <x:v>41호8304</x:v>
      </x:c>
      <x:c r="D233" s="31" t="n">
        <x:v>2</x:v>
      </x:c>
      <x:c r="E233" s="24" t="str">
        <x:v>이력</x:v>
      </x:c>
      <x:c r="F233" s="24" t="str">
        <x:v>구독대여</x:v>
      </x:c>
      <x:c r="G233" s="24" t="str">
        <x:v>권현근</x:v>
      </x:c>
      <x:c r="H233" s="30" t="n">
        <x:v>46065</x:v>
      </x:c>
      <x:c r="I233" s="30" t="n">
        <x:v>47525</x:v>
      </x:c>
      <x:c r="J233" s="30" t="n">
        <x:v>46134</x:v>
      </x:c>
      <x:c r="K233" s="32" t="n">
        <x:v>700000</x:v>
      </x:c>
      <x:c r="L233" s="32"/>
      <x:c r="M233" s="24" t="str"/>
      <x:c r="N233" s="24" t="str">
        <x:v>26</x:v>
      </x:c>
      <x:c r="O233" s="24" t="str"/>
      <x:c r="P233" s="24" t="str">
        <x:v>하허호</x:v>
      </x:c>
      <x:c r="Q233" s="24" t="str">
        <x:v>있음</x:v>
      </x:c>
      <x:c r="R233" s="24" t="str"/>
      <x:c r="S233" s="31" t="n">
        <x:v>105</x:v>
      </x:c>
      <x:c r="T233" s="24" t="str"/>
      <x:c r="U233" s="24" t="str">
        <x:v>무보증</x:v>
      </x:c>
    </x:row>
    <x:row r="234" ht="17.25" customHeight="1">
      <x:c r="A234" s="24" t="str">
        <x:v>SW-C-41호8306-1-NA-106</x:v>
      </x:c>
      <x:c r="B234" s="24" t="str">
        <x:v>스위치플랜</x:v>
      </x:c>
      <x:c r="C234" s="24" t="str">
        <x:v>41호8306</x:v>
      </x:c>
      <x:c r="D234" s="31" t="n">
        <x:v>1</x:v>
      </x:c>
      <x:c r="E234" s="24" t="str">
        <x:v>현재칸</x:v>
      </x:c>
      <x:c r="F234" s="24" t="str"/>
      <x:c r="G234" s="24" t="str">
        <x:v>상품화예정</x:v>
      </x:c>
      <x:c r="H234" s="30"/>
      <x:c r="I234" s="30"/>
      <x:c r="J234" s="30"/>
      <x:c r="K234" s="32"/>
      <x:c r="L234" s="32"/>
      <x:c r="M234" s="24" t="str"/>
      <x:c r="N234" s="24" t="str">
        <x:v>26</x:v>
      </x:c>
      <x:c r="O234" s="24" t="str">
        <x:v>공제조합</x:v>
      </x:c>
      <x:c r="P234" s="24" t="str"/>
      <x:c r="Q234" s="24" t="str">
        <x:v>있음</x:v>
      </x:c>
      <x:c r="R234" s="24" t="str"/>
      <x:c r="S234" s="31" t="n">
        <x:v>106</x:v>
      </x:c>
      <x:c r="T234" s="24" t="str">
        <x:v>필수값 확인</x:v>
      </x:c>
      <x:c r="U234" s="24" t="str"/>
    </x:row>
    <x:row r="235" ht="17.25" customHeight="1">
      <x:c r="A235" s="24" t="str">
        <x:v>SW-C-41호8306-2-20260508-106</x:v>
      </x:c>
      <x:c r="B235" s="24" t="str">
        <x:v>스위치플랜</x:v>
      </x:c>
      <x:c r="C235" s="24" t="str">
        <x:v>41호8306</x:v>
      </x:c>
      <x:c r="D235" s="31" t="n">
        <x:v>2</x:v>
      </x:c>
      <x:c r="E235" s="24" t="str">
        <x:v>이력</x:v>
      </x:c>
      <x:c r="F235" s="24" t="str">
        <x:v>구독대여</x:v>
      </x:c>
      <x:c r="G235" s="24" t="str">
        <x:v>정선기</x:v>
      </x:c>
      <x:c r="H235" s="30" t="n">
        <x:v>46150</x:v>
      </x:c>
      <x:c r="I235" s="30" t="n">
        <x:v>47552</x:v>
      </x:c>
      <x:c r="J235" s="30" t="n">
        <x:v>46198</x:v>
      </x:c>
      <x:c r="K235" s="32" t="n">
        <x:v>700000</x:v>
      </x:c>
      <x:c r="L235" s="32"/>
      <x:c r="M235" s="24" t="str"/>
      <x:c r="N235" s="24" t="str">
        <x:v>26</x:v>
      </x:c>
      <x:c r="O235" s="24" t="str"/>
      <x:c r="P235" s="24" t="str"/>
      <x:c r="Q235" s="24" t="str">
        <x:v>있음</x:v>
      </x:c>
      <x:c r="R235" s="24" t="str"/>
      <x:c r="S235" s="31" t="n">
        <x:v>106</x:v>
      </x:c>
      <x:c r="T235" s="24" t="str"/>
      <x:c r="U235" s="24" t="str">
        <x:v>무보증</x:v>
      </x:c>
    </x:row>
    <x:row r="236" ht="17.25" customHeight="1">
      <x:c r="A236" s="24" t="str">
        <x:v>SW-C-41호8306-3-20260311-106</x:v>
      </x:c>
      <x:c r="B236" s="24" t="str">
        <x:v>스위치플랜</x:v>
      </x:c>
      <x:c r="C236" s="24" t="str">
        <x:v>41호8306</x:v>
      </x:c>
      <x:c r="D236" s="31" t="n">
        <x:v>3</x:v>
      </x:c>
      <x:c r="E236" s="24" t="str">
        <x:v>이력</x:v>
      </x:c>
      <x:c r="F236" s="24" t="str">
        <x:v>구독대여</x:v>
      </x:c>
      <x:c r="G236" s="24" t="str">
        <x:v>김용빈</x:v>
      </x:c>
      <x:c r="H236" s="30" t="n">
        <x:v>46092</x:v>
      </x:c>
      <x:c r="I236" s="30" t="n">
        <x:v>47552</x:v>
      </x:c>
      <x:c r="J236" s="30"/>
      <x:c r="K236" s="32" t="n">
        <x:v>700000</x:v>
      </x:c>
      <x:c r="L236" s="32"/>
      <x:c r="M236" s="24" t="str"/>
      <x:c r="N236" s="24" t="str">
        <x:v>26</x:v>
      </x:c>
      <x:c r="O236" s="24" t="str"/>
      <x:c r="P236" s="24" t="str"/>
      <x:c r="Q236" s="24" t="str">
        <x:v>있음</x:v>
      </x:c>
      <x:c r="R236" s="24" t="str"/>
      <x:c r="S236" s="31" t="n">
        <x:v>106</x:v>
      </x:c>
      <x:c r="T236" s="24" t="str"/>
      <x:c r="U236" s="24" t="str">
        <x:v>무보증</x:v>
      </x:c>
    </x:row>
    <x:row r="237" ht="17.25" customHeight="1">
      <x:c r="A237" s="24" t="str">
        <x:v>SW-C-41호8307-1-20260310-107</x:v>
      </x:c>
      <x:c r="B237" s="24" t="str">
        <x:v>스위치플랜</x:v>
      </x:c>
      <x:c r="C237" s="24" t="str">
        <x:v>41호8307</x:v>
      </x:c>
      <x:c r="D237" s="31" t="n">
        <x:v>1</x:v>
      </x:c>
      <x:c r="E237" s="24" t="str">
        <x:v>현재칸</x:v>
      </x:c>
      <x:c r="F237" s="24" t="str">
        <x:v>구독대여</x:v>
      </x:c>
      <x:c r="G237" s="24" t="str">
        <x:v>박진용</x:v>
      </x:c>
      <x:c r="H237" s="30" t="n">
        <x:v>46091</x:v>
      </x:c>
      <x:c r="I237" s="30" t="n">
        <x:v>47551</x:v>
      </x:c>
      <x:c r="J237" s="30"/>
      <x:c r="K237" s="32" t="n">
        <x:v>700000</x:v>
      </x:c>
      <x:c r="L237" s="32"/>
      <x:c r="M237" s="24" t="str">
        <x:v>10일</x:v>
      </x:c>
      <x:c r="N237" s="24" t="str">
        <x:v>26</x:v>
      </x:c>
      <x:c r="O237" s="24" t="str">
        <x:v>공제조합</x:v>
      </x:c>
      <x:c r="P237" s="24" t="str"/>
      <x:c r="Q237" s="24" t="str">
        <x:v>있음</x:v>
      </x:c>
      <x:c r="R237" s="24" t="str"/>
      <x:c r="S237" s="31" t="n">
        <x:v>107</x:v>
      </x:c>
      <x:c r="T237" s="24" t="str"/>
      <x:c r="U237" s="24" t="str">
        <x:v>무보증</x:v>
      </x:c>
    </x:row>
    <x:row r="238" ht="17.25" customHeight="1">
      <x:c r="A238" s="24" t="str">
        <x:v>SW-C-17하3915-1-20260415-108</x:v>
      </x:c>
      <x:c r="B238" s="24" t="str">
        <x:v>스위치플랜</x:v>
      </x:c>
      <x:c r="C238" s="24" t="str">
        <x:v>17하3915</x:v>
      </x:c>
      <x:c r="D238" s="31" t="n">
        <x:v>1</x:v>
      </x:c>
      <x:c r="E238" s="24" t="str">
        <x:v>현재칸</x:v>
      </x:c>
      <x:c r="F238" s="24" t="str">
        <x:v>구독대여</x:v>
      </x:c>
      <x:c r="G238" s="24" t="str">
        <x:v>천설</x:v>
      </x:c>
      <x:c r="H238" s="30" t="n">
        <x:v>46127</x:v>
      </x:c>
      <x:c r="I238" s="30" t="n">
        <x:v>47587</x:v>
      </x:c>
      <x:c r="J238" s="30"/>
      <x:c r="K238" s="32" t="n">
        <x:v>730000</x:v>
      </x:c>
      <x:c r="L238" s="32"/>
      <x:c r="M238" s="24" t="str">
        <x:v>15일</x:v>
      </x:c>
      <x:c r="N238" s="24" t="str">
        <x:v>26</x:v>
      </x:c>
      <x:c r="O238" s="24" t="str">
        <x:v>공제조합</x:v>
      </x:c>
      <x:c r="P238" s="24" t="str"/>
      <x:c r="Q238" s="24" t="str">
        <x:v>있음</x:v>
      </x:c>
      <x:c r="R238" s="24" t="str"/>
      <x:c r="S238" s="31" t="n">
        <x:v>108</x:v>
      </x:c>
      <x:c r="T238" s="24" t="str"/>
      <x:c r="U238" s="24" t="str">
        <x:v>무보증</x:v>
      </x:c>
    </x:row>
    <x:row r="239" ht="17.25" customHeight="1">
      <x:c r="A239" s="24" t="str">
        <x:v>SW-C-17하3922-1-20260227-109</x:v>
      </x:c>
      <x:c r="B239" s="24" t="str">
        <x:v>스위치플랜</x:v>
      </x:c>
      <x:c r="C239" s="24" t="str">
        <x:v>17하3922</x:v>
      </x:c>
      <x:c r="D239" s="31" t="n">
        <x:v>1</x:v>
      </x:c>
      <x:c r="E239" s="24" t="str">
        <x:v>현재칸</x:v>
      </x:c>
      <x:c r="F239" s="24" t="str">
        <x:v>구독대여</x:v>
      </x:c>
      <x:c r="G239" s="24" t="str">
        <x:v>김상호</x:v>
      </x:c>
      <x:c r="H239" s="30" t="n">
        <x:v>46080</x:v>
      </x:c>
      <x:c r="I239" s="30" t="n">
        <x:v>47540</x:v>
      </x:c>
      <x:c r="J239" s="30"/>
      <x:c r="K239" s="32" t="n">
        <x:v>800000</x:v>
      </x:c>
      <x:c r="L239" s="32"/>
      <x:c r="M239" s="24" t="str">
        <x:v>25일</x:v>
      </x:c>
      <x:c r="N239" s="24" t="str">
        <x:v>21</x:v>
      </x:c>
      <x:c r="O239" s="24" t="str">
        <x:v>공제조합</x:v>
      </x:c>
      <x:c r="P239" s="24" t="str"/>
      <x:c r="Q239" s="24" t="str">
        <x:v>있음</x:v>
      </x:c>
      <x:c r="R239" s="24" t="str"/>
      <x:c r="S239" s="31" t="n">
        <x:v>109</x:v>
      </x:c>
      <x:c r="T239" s="24" t="str"/>
      <x:c r="U239" s="24" t="str">
        <x:v>무보증</x:v>
      </x:c>
    </x:row>
    <x:row r="240" ht="17.25" customHeight="1">
      <x:c r="A240" s="24" t="str">
        <x:v>SW-C-75두7416-1-26-110</x:v>
      </x:c>
      <x:c r="B240" s="24" t="str">
        <x:v>스위치플랜</x:v>
      </x:c>
      <x:c r="C240" s="24" t="str">
        <x:v>75두7416</x:v>
      </x:c>
      <x:c r="D240" s="31" t="n">
        <x:v>1</x:v>
      </x:c>
      <x:c r="E240" s="24" t="str">
        <x:v>현재칸</x:v>
      </x:c>
      <x:c r="F240" s="24" t="str">
        <x:v>지인</x:v>
      </x:c>
      <x:c r="G240" s="24" t="str">
        <x:v>이훈7416</x:v>
      </x:c>
      <x:c r="H240" s="30"/>
      <x:c r="I240" s="30"/>
      <x:c r="J240" s="30"/>
      <x:c r="K240" s="32" t="n">
        <x:v>630000</x:v>
      </x:c>
      <x:c r="L240" s="32"/>
      <x:c r="M240" s="24" t="str">
        <x:v>-</x:v>
      </x:c>
      <x:c r="N240" s="24" t="str">
        <x:v>35</x:v>
      </x:c>
      <x:c r="O240" s="24" t="str">
        <x:v>AXA</x:v>
      </x:c>
      <x:c r="P240" s="24" t="str"/>
      <x:c r="Q240" s="24" t="str">
        <x:v>있음</x:v>
      </x:c>
      <x:c r="R240" s="24" t="str"/>
      <x:c r="S240" s="31" t="n">
        <x:v>110</x:v>
      </x:c>
      <x:c r="T240" s="24" t="str"/>
      <x:c r="U240" s="24" t="str">
        <x:v>무보증</x:v>
      </x:c>
    </x:row>
    <x:row r="241" ht="17.25" customHeight="1">
      <x:c r="A241" s="24" t="str">
        <x:v>SW-C-161허1751-1-NA-111</x:v>
      </x:c>
      <x:c r="B241" s="24" t="str">
        <x:v>스위치플랜</x:v>
      </x:c>
      <x:c r="C241" s="24" t="str">
        <x:v>161허1751</x:v>
      </x:c>
      <x:c r="D241" s="31" t="n">
        <x:v>1</x:v>
      </x:c>
      <x:c r="E241" s="24" t="str">
        <x:v>현재칸</x:v>
      </x:c>
      <x:c r="F241" s="24" t="str"/>
      <x:c r="G241" s="24" t="str">
        <x:v>양용득 상무</x:v>
      </x:c>
      <x:c r="H241" s="30"/>
      <x:c r="I241" s="30"/>
      <x:c r="J241" s="30"/>
      <x:c r="K241" s="32"/>
      <x:c r="L241" s="32"/>
      <x:c r="M241" s="24" t="str"/>
      <x:c r="N241" s="24" t="str">
        <x:v>35</x:v>
      </x:c>
      <x:c r="O241" s="24" t="str">
        <x:v>공제조합</x:v>
      </x:c>
      <x:c r="P241" s="24" t="str"/>
      <x:c r="Q241" s="24" t="str">
        <x:v>없음</x:v>
      </x:c>
      <x:c r="R241" s="24" t="str"/>
      <x:c r="S241" s="31" t="n">
        <x:v>111</x:v>
      </x:c>
      <x:c r="T241" s="24" t="str">
        <x:v>필수값 확인</x:v>
      </x:c>
      <x:c r="U241" s="24" t="str"/>
    </x:row>
    <x:row r="242" ht="17.25" customHeight="1">
      <x:c r="A242" s="24" t="str">
        <x:v>SW-C-193우6313-1-NA-117</x:v>
      </x:c>
      <x:c r="B242" s="24" t="str">
        <x:v>스위치플랜</x:v>
      </x:c>
      <x:c r="C242" s="24" t="str">
        <x:v>193우6313</x:v>
      </x:c>
      <x:c r="D242" s="31" t="n">
        <x:v>1</x:v>
      </x:c>
      <x:c r="E242" s="24" t="str">
        <x:v>현재칸</x:v>
      </x:c>
      <x:c r="F242" s="24" t="str"/>
      <x:c r="G242" s="24" t="str">
        <x:v>폐차</x:v>
      </x:c>
      <x:c r="H242" s="30"/>
      <x:c r="I242" s="30"/>
      <x:c r="J242" s="30"/>
      <x:c r="K242" s="32"/>
      <x:c r="L242" s="32"/>
      <x:c r="M242" s="24" t="str"/>
      <x:c r="N242" s="24" t="str">
        <x:v>35</x:v>
      </x:c>
      <x:c r="O242" s="24" t="str"/>
      <x:c r="P242" s="24" t="str"/>
      <x:c r="Q242" s="24" t="str">
        <x:v>없음</x:v>
      </x:c>
      <x:c r="R242" s="24" t="str"/>
      <x:c r="S242" s="31" t="n">
        <x:v>117</x:v>
      </x:c>
      <x:c r="T242" s="24" t="str">
        <x:v>필수값 확인</x:v>
      </x:c>
      <x:c r="U242" s="24" t="str"/>
    </x:row>
    <x:row r="243" ht="17.25" customHeight="1">
      <x:c r="A243" s="24" t="str">
        <x:v>SW-C-193우6313-2-20240409-117</x:v>
      </x:c>
      <x:c r="B243" s="24" t="str">
        <x:v>스위치플랜</x:v>
      </x:c>
      <x:c r="C243" s="24" t="str">
        <x:v>193우6313</x:v>
      </x:c>
      <x:c r="D243" s="31" t="n">
        <x:v>2</x:v>
      </x:c>
      <x:c r="E243" s="24" t="str">
        <x:v>이력</x:v>
      </x:c>
      <x:c r="F243" s="24" t="str">
        <x:v>구독대여</x:v>
      </x:c>
      <x:c r="G243" s="24" t="str">
        <x:v>나인웅</x:v>
      </x:c>
      <x:c r="H243" s="30" t="n">
        <x:v>45391</x:v>
      </x:c>
      <x:c r="I243" s="30" t="n">
        <x:v>46851</x:v>
      </x:c>
      <x:c r="J243" s="30" t="n">
        <x:v>45499</x:v>
      </x:c>
      <x:c r="K243" s="32" t="n">
        <x:v>600000</x:v>
      </x:c>
      <x:c r="L243" s="32" t="n">
        <x:v>1300000</x:v>
      </x:c>
      <x:c r="M243" s="24" t="str"/>
      <x:c r="N243" s="24" t="str">
        <x:v>35</x:v>
      </x:c>
      <x:c r="O243" s="24" t="str"/>
      <x:c r="P243" s="24" t="str">
        <x:v>카랜(주)</x:v>
      </x:c>
      <x:c r="Q243" s="24" t="str">
        <x:v>없음</x:v>
      </x:c>
      <x:c r="R243" s="24" t="str"/>
      <x:c r="S243" s="31" t="n">
        <x:v>117</x:v>
      </x:c>
      <x:c r="T243" s="24" t="str"/>
      <x:c r="U243" s="24" t="str"/>
    </x:row>
    <x:row r="244" ht="17.25" customHeight="1">
      <x:c r="A244" s="24" t="str">
        <x:v>SW-C-68모3867-1-NA-118</x:v>
      </x:c>
      <x:c r="B244" s="24" t="str">
        <x:v>스위치플랜</x:v>
      </x:c>
      <x:c r="C244" s="24" t="str">
        <x:v>68모3867</x:v>
      </x:c>
      <x:c r="D244" s="31" t="n">
        <x:v>1</x:v>
      </x:c>
      <x:c r="E244" s="24" t="str">
        <x:v>현재칸</x:v>
      </x:c>
      <x:c r="F244" s="24" t="str"/>
      <x:c r="G244" s="24" t="str">
        <x:v>매각</x:v>
      </x:c>
      <x:c r="H244" s="30"/>
      <x:c r="I244" s="30"/>
      <x:c r="J244" s="30"/>
      <x:c r="K244" s="32"/>
      <x:c r="L244" s="32"/>
      <x:c r="M244" s="24" t="str"/>
      <x:c r="N244" s="24" t="str">
        <x:v>35</x:v>
      </x:c>
      <x:c r="O244" s="24" t="str"/>
      <x:c r="P244" s="24" t="str"/>
      <x:c r="Q244" s="24" t="str">
        <x:v>없음</x:v>
      </x:c>
      <x:c r="R244" s="24" t="str"/>
      <x:c r="S244" s="31" t="n">
        <x:v>118</x:v>
      </x:c>
      <x:c r="T244" s="24" t="str">
        <x:v>필수값 확인</x:v>
      </x:c>
      <x:c r="U244" s="24" t="str"/>
    </x:row>
    <x:row r="245" ht="17.25" customHeight="1">
      <x:c r="A245" s="24" t="str">
        <x:v>SW-C-68모3867-2-20231120-118</x:v>
      </x:c>
      <x:c r="B245" s="24" t="str">
        <x:v>스위치플랜</x:v>
      </x:c>
      <x:c r="C245" s="24" t="str">
        <x:v>68모3867</x:v>
      </x:c>
      <x:c r="D245" s="31" t="n">
        <x:v>2</x:v>
      </x:c>
      <x:c r="E245" s="24" t="str">
        <x:v>이력</x:v>
      </x:c>
      <x:c r="F245" s="24" t="str">
        <x:v>구독대여</x:v>
      </x:c>
      <x:c r="G245" s="24" t="str">
        <x:v>썬이헤어샵</x:v>
      </x:c>
      <x:c r="H245" s="30" t="n">
        <x:v>45250</x:v>
      </x:c>
      <x:c r="I245" s="30" t="n">
        <x:v>47076</x:v>
      </x:c>
      <x:c r="J245" s="30"/>
      <x:c r="K245" s="32" t="n">
        <x:v>280000</x:v>
      </x:c>
      <x:c r="L245" s="32" t="n">
        <x:v>1000000</x:v>
      </x:c>
      <x:c r="M245" s="24" t="str"/>
      <x:c r="N245" s="24" t="str">
        <x:v>35</x:v>
      </x:c>
      <x:c r="O245" s="24" t="str"/>
      <x:c r="P245" s="24" t="str">
        <x:v>헬로</x:v>
      </x:c>
      <x:c r="Q245" s="24" t="str">
        <x:v>없음</x:v>
      </x:c>
      <x:c r="R245" s="24" t="str"/>
      <x:c r="S245" s="31" t="n">
        <x:v>118</x:v>
      </x:c>
      <x:c r="T245" s="24" t="str"/>
      <x:c r="U245" s="24" t="str"/>
    </x:row>
    <x:row r="246" ht="17.25" customHeight="1">
      <x:c r="A246" s="24" t="str">
        <x:v>SW-C-07모9002-1-NA-119</x:v>
      </x:c>
      <x:c r="B246" s="24" t="str">
        <x:v>스위치플랜</x:v>
      </x:c>
      <x:c r="C246" s="24" t="str">
        <x:v>07모9002</x:v>
      </x:c>
      <x:c r="D246" s="31" t="n">
        <x:v>1</x:v>
      </x:c>
      <x:c r="E246" s="24" t="str">
        <x:v>현재칸</x:v>
      </x:c>
      <x:c r="F246" s="24" t="str"/>
      <x:c r="G246" s="24" t="str">
        <x:v>매각</x:v>
      </x:c>
      <x:c r="H246" s="30"/>
      <x:c r="I246" s="30"/>
      <x:c r="J246" s="30"/>
      <x:c r="K246" s="32"/>
      <x:c r="L246" s="32"/>
      <x:c r="M246" s="24" t="str"/>
      <x:c r="N246" s="24" t="str">
        <x:v>35</x:v>
      </x:c>
      <x:c r="O246" s="24" t="str"/>
      <x:c r="P246" s="24" t="str"/>
      <x:c r="Q246" s="24" t="str">
        <x:v>없음</x:v>
      </x:c>
      <x:c r="R246" s="24" t="str"/>
      <x:c r="S246" s="31" t="n">
        <x:v>119</x:v>
      </x:c>
      <x:c r="T246" s="24" t="str">
        <x:v>필수값 확인</x:v>
      </x:c>
      <x:c r="U246" s="24" t="str"/>
    </x:row>
    <x:row r="247" ht="17.25" customHeight="1">
      <x:c r="A247" s="24" t="str">
        <x:v>SW-C-07모9002-2-20240111-119</x:v>
      </x:c>
      <x:c r="B247" s="24" t="str">
        <x:v>스위치플랜</x:v>
      </x:c>
      <x:c r="C247" s="24" t="str">
        <x:v>07모9002</x:v>
      </x:c>
      <x:c r="D247" s="31" t="n">
        <x:v>2</x:v>
      </x:c>
      <x:c r="E247" s="24" t="str">
        <x:v>이력</x:v>
      </x:c>
      <x:c r="F247" s="24" t="str">
        <x:v>구독대여</x:v>
      </x:c>
      <x:c r="G247" s="24" t="str">
        <x:v>김민혁</x:v>
      </x:c>
      <x:c r="H247" s="30" t="n">
        <x:v>45302</x:v>
      </x:c>
      <x:c r="I247" s="30" t="n">
        <x:v>46762</x:v>
      </x:c>
      <x:c r="J247" s="30" t="n">
        <x:v>45491</x:v>
      </x:c>
      <x:c r="K247" s="32" t="n">
        <x:v>1910000</x:v>
      </x:c>
      <x:c r="L247" s="32" t="n">
        <x:v>10000000</x:v>
      </x:c>
      <x:c r="M247" s="24" t="str"/>
      <x:c r="N247" s="24" t="str">
        <x:v>35</x:v>
      </x:c>
      <x:c r="O247" s="24" t="str"/>
      <x:c r="P247" s="24" t="str">
        <x:v>개인AG</x:v>
      </x:c>
      <x:c r="Q247" s="24" t="str">
        <x:v>없음</x:v>
      </x:c>
      <x:c r="R247" s="24" t="str"/>
      <x:c r="S247" s="31" t="n">
        <x:v>119</x:v>
      </x:c>
      <x:c r="T247" s="24" t="str"/>
      <x:c r="U247" s="24" t="str"/>
    </x:row>
    <x:row r="248" ht="17.25" customHeight="1">
      <x:c r="A248" s="24" t="str">
        <x:v>SW-C-81소3575-1-NA-120</x:v>
      </x:c>
      <x:c r="B248" s="24" t="str">
        <x:v>스위치플랜</x:v>
      </x:c>
      <x:c r="C248" s="24" t="str">
        <x:v>81소3575</x:v>
      </x:c>
      <x:c r="D248" s="31" t="n">
        <x:v>1</x:v>
      </x:c>
      <x:c r="E248" s="24" t="str">
        <x:v>현재칸</x:v>
      </x:c>
      <x:c r="F248" s="24" t="str"/>
      <x:c r="G248" s="24" t="str">
        <x:v>매각</x:v>
      </x:c>
      <x:c r="H248" s="30"/>
      <x:c r="I248" s="30"/>
      <x:c r="J248" s="30"/>
      <x:c r="K248" s="32"/>
      <x:c r="L248" s="32"/>
      <x:c r="M248" s="24" t="str"/>
      <x:c r="N248" s="24" t="str">
        <x:v>26</x:v>
      </x:c>
      <x:c r="O248" s="24" t="str"/>
      <x:c r="P248" s="24" t="str"/>
      <x:c r="Q248" s="24" t="str">
        <x:v>없음</x:v>
      </x:c>
      <x:c r="R248" s="24" t="str"/>
      <x:c r="S248" s="31" t="n">
        <x:v>120</x:v>
      </x:c>
      <x:c r="T248" s="24" t="str">
        <x:v>필수값 확인</x:v>
      </x:c>
      <x:c r="U248" s="24" t="str"/>
    </x:row>
    <x:row r="249" ht="17.25" customHeight="1">
      <x:c r="A249" s="24" t="str">
        <x:v>SW-C-81소3575-2-20240222-120</x:v>
      </x:c>
      <x:c r="B249" s="24" t="str">
        <x:v>스위치플랜</x:v>
      </x:c>
      <x:c r="C249" s="24" t="str">
        <x:v>81소3575</x:v>
      </x:c>
      <x:c r="D249" s="31" t="n">
        <x:v>2</x:v>
      </x:c>
      <x:c r="E249" s="24" t="str">
        <x:v>이력</x:v>
      </x:c>
      <x:c r="F249" s="24" t="str">
        <x:v>구독대여</x:v>
      </x:c>
      <x:c r="G249" s="24" t="str">
        <x:v>이범호</x:v>
      </x:c>
      <x:c r="H249" s="30" t="n">
        <x:v>45344</x:v>
      </x:c>
      <x:c r="I249" s="30" t="n">
        <x:v>45709</x:v>
      </x:c>
      <x:c r="J249" s="30" t="n">
        <x:v>45449</x:v>
      </x:c>
      <x:c r="K249" s="32" t="n">
        <x:v>800000</x:v>
      </x:c>
      <x:c r="L249" s="32" t="n">
        <x:v>800000</x:v>
      </x:c>
      <x:c r="M249" s="24" t="str"/>
      <x:c r="N249" s="24" t="str">
        <x:v>26</x:v>
      </x:c>
      <x:c r="O249" s="24" t="str"/>
      <x:c r="P249" s="24" t="str">
        <x:v>카랜(주)</x:v>
      </x:c>
      <x:c r="Q249" s="24" t="str">
        <x:v>없음</x:v>
      </x:c>
      <x:c r="R249" s="24" t="str"/>
      <x:c r="S249" s="31" t="n">
        <x:v>120</x:v>
      </x:c>
      <x:c r="T249" s="24" t="str"/>
      <x:c r="U249" s="24" t="str"/>
    </x:row>
    <x:row r="250" ht="17.25" customHeight="1">
      <x:c r="A250" s="24" t="str">
        <x:v>SW-C-283보6844-1-NA-121</x:v>
      </x:c>
      <x:c r="B250" s="24" t="str">
        <x:v>스위치플랜</x:v>
      </x:c>
      <x:c r="C250" s="24" t="str">
        <x:v>283보6844</x:v>
      </x:c>
      <x:c r="D250" s="31" t="n">
        <x:v>1</x:v>
      </x:c>
      <x:c r="E250" s="24" t="str">
        <x:v>현재칸</x:v>
      </x:c>
      <x:c r="F250" s="24" t="str"/>
      <x:c r="G250" s="24" t="str">
        <x:v>매각</x:v>
      </x:c>
      <x:c r="H250" s="30"/>
      <x:c r="I250" s="30"/>
      <x:c r="J250" s="30"/>
      <x:c r="K250" s="32"/>
      <x:c r="L250" s="32"/>
      <x:c r="M250" s="24" t="str"/>
      <x:c r="N250" s="24" t="str">
        <x:v>35</x:v>
      </x:c>
      <x:c r="O250" s="24" t="str"/>
      <x:c r="P250" s="24" t="str"/>
      <x:c r="Q250" s="24" t="str">
        <x:v>없음</x:v>
      </x:c>
      <x:c r="R250" s="24" t="str"/>
      <x:c r="S250" s="31" t="n">
        <x:v>121</x:v>
      </x:c>
      <x:c r="T250" s="24" t="str">
        <x:v>필수값 확인</x:v>
      </x:c>
      <x:c r="U250" s="24" t="str"/>
    </x:row>
    <x:row r="251" ht="17.25" customHeight="1">
      <x:c r="A251" s="24" t="str">
        <x:v>SW-C-283보6844-2-20240222-121</x:v>
      </x:c>
      <x:c r="B251" s="24" t="str">
        <x:v>스위치플랜</x:v>
      </x:c>
      <x:c r="C251" s="24" t="str">
        <x:v>283보6844</x:v>
      </x:c>
      <x:c r="D251" s="31" t="n">
        <x:v>2</x:v>
      </x:c>
      <x:c r="E251" s="24" t="str">
        <x:v>이력</x:v>
      </x:c>
      <x:c r="F251" s="24" t="str">
        <x:v>구독대여</x:v>
      </x:c>
      <x:c r="G251" s="24" t="str">
        <x:v>박수영</x:v>
      </x:c>
      <x:c r="H251" s="30" t="n">
        <x:v>45344</x:v>
      </x:c>
      <x:c r="I251" s="30" t="n">
        <x:v>46804</x:v>
      </x:c>
      <x:c r="J251" s="30"/>
      <x:c r="K251" s="32" t="n">
        <x:v>770000</x:v>
      </x:c>
      <x:c r="L251" s="32" t="n">
        <x:v>1590000</x:v>
      </x:c>
      <x:c r="M251" s="24" t="str"/>
      <x:c r="N251" s="24" t="str">
        <x:v>35</x:v>
      </x:c>
      <x:c r="O251" s="24" t="str"/>
      <x:c r="P251" s="24" t="str">
        <x:v>카랜(주)</x:v>
      </x:c>
      <x:c r="Q251" s="24" t="str">
        <x:v>없음</x:v>
      </x:c>
      <x:c r="R251" s="24" t="str"/>
      <x:c r="S251" s="31" t="n">
        <x:v>121</x:v>
      </x:c>
      <x:c r="T251" s="24" t="str"/>
      <x:c r="U251" s="24" t="str"/>
    </x:row>
    <x:row r="252" ht="17.25" customHeight="1">
      <x:c r="A252" s="24" t="str">
        <x:v>SW-C-13누0392-1-NA-122</x:v>
      </x:c>
      <x:c r="B252" s="24" t="str">
        <x:v>스위치플랜</x:v>
      </x:c>
      <x:c r="C252" s="24" t="str">
        <x:v>13누0392</x:v>
      </x:c>
      <x:c r="D252" s="31" t="n">
        <x:v>1</x:v>
      </x:c>
      <x:c r="E252" s="24" t="str">
        <x:v>현재칸</x:v>
      </x:c>
      <x:c r="F252" s="24" t="str"/>
      <x:c r="G252" s="24" t="str">
        <x:v>매각</x:v>
      </x:c>
      <x:c r="H252" s="30"/>
      <x:c r="I252" s="30"/>
      <x:c r="J252" s="30"/>
      <x:c r="K252" s="32"/>
      <x:c r="L252" s="32"/>
      <x:c r="M252" s="24" t="str"/>
      <x:c r="N252" s="24" t="str"/>
      <x:c r="O252" s="24" t="str"/>
      <x:c r="P252" s="24" t="str"/>
      <x:c r="Q252" s="24" t="str">
        <x:v>없음</x:v>
      </x:c>
      <x:c r="R252" s="24" t="str"/>
      <x:c r="S252" s="31" t="n">
        <x:v>122</x:v>
      </x:c>
      <x:c r="T252" s="24" t="str">
        <x:v>연령 확인</x:v>
      </x:c>
      <x:c r="U252" s="24" t="str"/>
    </x:row>
    <x:row r="253" ht="17.25" customHeight="1">
      <x:c r="A253" s="24" t="str">
        <x:v>SW-C-13누0392-2-20240213-122</x:v>
      </x:c>
      <x:c r="B253" s="24" t="str">
        <x:v>스위치플랜</x:v>
      </x:c>
      <x:c r="C253" s="24" t="str">
        <x:v>13누0392</x:v>
      </x:c>
      <x:c r="D253" s="31" t="n">
        <x:v>2</x:v>
      </x:c>
      <x:c r="E253" s="24" t="str">
        <x:v>이력</x:v>
      </x:c>
      <x:c r="F253" s="24" t="str">
        <x:v>구독대여</x:v>
      </x:c>
      <x:c r="G253" s="24" t="str">
        <x:v>박요한</x:v>
      </x:c>
      <x:c r="H253" s="30" t="n">
        <x:v>45335</x:v>
      </x:c>
      <x:c r="I253" s="30" t="n">
        <x:v>47161</x:v>
      </x:c>
      <x:c r="J253" s="30" t="n">
        <x:v>45560</x:v>
      </x:c>
      <x:c r="K253" s="32" t="n">
        <x:v>560000</x:v>
      </x:c>
      <x:c r="L253" s="32" t="n">
        <x:v>1500000</x:v>
      </x:c>
      <x:c r="M253" s="24" t="str"/>
      <x:c r="N253" s="24" t="str"/>
      <x:c r="O253" s="24" t="str"/>
      <x:c r="P253" s="24" t="str">
        <x:v>카랜(주)</x:v>
      </x:c>
      <x:c r="Q253" s="24" t="str">
        <x:v>없음</x:v>
      </x:c>
      <x:c r="R253" s="24" t="str"/>
      <x:c r="S253" s="31" t="n">
        <x:v>122</x:v>
      </x:c>
      <x:c r="T253" s="24" t="str">
        <x:v>연령 확인</x:v>
      </x:c>
      <x:c r="U253" s="24" t="str"/>
    </x:row>
    <x:row r="254" ht="17.25" customHeight="1">
      <x:c r="A254" s="24" t="str">
        <x:v>SW-C-13누0392-3-20231122-122</x:v>
      </x:c>
      <x:c r="B254" s="24" t="str">
        <x:v>스위치플랜</x:v>
      </x:c>
      <x:c r="C254" s="24" t="str">
        <x:v>13누0392</x:v>
      </x:c>
      <x:c r="D254" s="31" t="n">
        <x:v>3</x:v>
      </x:c>
      <x:c r="E254" s="24" t="str">
        <x:v>이력</x:v>
      </x:c>
      <x:c r="F254" s="24" t="str">
        <x:v>LC</x:v>
      </x:c>
      <x:c r="G254" s="24" t="str">
        <x:v>김성주</x:v>
      </x:c>
      <x:c r="H254" s="30" t="n">
        <x:v>45252</x:v>
      </x:c>
      <x:c r="I254" s="30" t="n">
        <x:v>47078</x:v>
      </x:c>
      <x:c r="J254" s="30"/>
      <x:c r="K254" s="32" t="n">
        <x:v>590000</x:v>
      </x:c>
      <x:c r="L254" s="32" t="n">
        <x:v>1500000</x:v>
      </x:c>
      <x:c r="M254" s="24" t="str"/>
      <x:c r="N254" s="24" t="str"/>
      <x:c r="O254" s="24" t="str"/>
      <x:c r="P254" s="24" t="str">
        <x:v>하허호</x:v>
      </x:c>
      <x:c r="Q254" s="24" t="str">
        <x:v>없음</x:v>
      </x:c>
      <x:c r="R254" s="24" t="str"/>
      <x:c r="S254" s="31" t="n">
        <x:v>122</x:v>
      </x:c>
      <x:c r="T254" s="24" t="str">
        <x:v>연령 확인</x:v>
      </x:c>
      <x:c r="U254" s="24" t="str"/>
    </x:row>
    <x:row r="255" ht="17.25" customHeight="1">
      <x:c r="A255" s="24" t="str">
        <x:v>SW-C-47도9135-1-NA-123</x:v>
      </x:c>
      <x:c r="B255" s="24" t="str">
        <x:v>스위치플랜</x:v>
      </x:c>
      <x:c r="C255" s="24" t="str">
        <x:v>47도9135</x:v>
      </x:c>
      <x:c r="D255" s="31" t="n">
        <x:v>1</x:v>
      </x:c>
      <x:c r="E255" s="24" t="str">
        <x:v>현재칸</x:v>
      </x:c>
      <x:c r="F255" s="24" t="str"/>
      <x:c r="G255" s="24" t="str">
        <x:v>매각</x:v>
      </x:c>
      <x:c r="H255" s="30"/>
      <x:c r="I255" s="30"/>
      <x:c r="J255" s="30"/>
      <x:c r="K255" s="32"/>
      <x:c r="L255" s="32"/>
      <x:c r="M255" s="24" t="str"/>
      <x:c r="N255" s="24" t="str">
        <x:v>35</x:v>
      </x:c>
      <x:c r="O255" s="24" t="str"/>
      <x:c r="P255" s="24" t="str"/>
      <x:c r="Q255" s="24" t="str">
        <x:v>없음</x:v>
      </x:c>
      <x:c r="R255" s="24" t="str"/>
      <x:c r="S255" s="31" t="n">
        <x:v>123</x:v>
      </x:c>
      <x:c r="T255" s="24" t="str">
        <x:v>필수값 확인</x:v>
      </x:c>
      <x:c r="U255" s="24" t="str"/>
    </x:row>
    <x:row r="256" ht="17.25" customHeight="1">
      <x:c r="A256" s="24" t="str">
        <x:v>SW-C-47도9135-2-20231208-123</x:v>
      </x:c>
      <x:c r="B256" s="24" t="str">
        <x:v>스위치플랜</x:v>
      </x:c>
      <x:c r="C256" s="24" t="str">
        <x:v>47도9135</x:v>
      </x:c>
      <x:c r="D256" s="31" t="n">
        <x:v>2</x:v>
      </x:c>
      <x:c r="E256" s="24" t="str">
        <x:v>이력</x:v>
      </x:c>
      <x:c r="F256" s="24" t="str">
        <x:v>구독대여</x:v>
      </x:c>
      <x:c r="G256" s="24" t="str">
        <x:v>박종현</x:v>
      </x:c>
      <x:c r="H256" s="30" t="n">
        <x:v>45268</x:v>
      </x:c>
      <x:c r="I256" s="30" t="n">
        <x:v>45633</x:v>
      </x:c>
      <x:c r="J256" s="30" t="n">
        <x:v>45632</x:v>
      </x:c>
      <x:c r="K256" s="32" t="n">
        <x:v>1090000</x:v>
      </x:c>
      <x:c r="L256" s="32" t="n">
        <x:v>1090000</x:v>
      </x:c>
      <x:c r="M256" s="24" t="str"/>
      <x:c r="N256" s="24" t="str">
        <x:v>35</x:v>
      </x:c>
      <x:c r="O256" s="24" t="str"/>
      <x:c r="P256" s="24" t="str">
        <x:v>하허호</x:v>
      </x:c>
      <x:c r="Q256" s="24" t="str">
        <x:v>없음</x:v>
      </x:c>
      <x:c r="R256" s="24" t="str"/>
      <x:c r="S256" s="31" t="n">
        <x:v>123</x:v>
      </x:c>
      <x:c r="T256" s="24" t="str"/>
      <x:c r="U256" s="24" t="str"/>
    </x:row>
    <x:row r="257" ht="17.25" customHeight="1">
      <x:c r="A257" s="24" t="str">
        <x:v>SW-C-02고5259-1-NA-124</x:v>
      </x:c>
      <x:c r="B257" s="24" t="str">
        <x:v>스위치플랜</x:v>
      </x:c>
      <x:c r="C257" s="24" t="str">
        <x:v>02고5259</x:v>
      </x:c>
      <x:c r="D257" s="31" t="n">
        <x:v>1</x:v>
      </x:c>
      <x:c r="E257" s="24" t="str">
        <x:v>현재칸</x:v>
      </x:c>
      <x:c r="F257" s="24" t="str"/>
      <x:c r="G257" s="24" t="str">
        <x:v>매각</x:v>
      </x:c>
      <x:c r="H257" s="30"/>
      <x:c r="I257" s="30"/>
      <x:c r="J257" s="30"/>
      <x:c r="K257" s="32"/>
      <x:c r="L257" s="32"/>
      <x:c r="M257" s="24" t="str"/>
      <x:c r="N257" s="24" t="str">
        <x:v>35</x:v>
      </x:c>
      <x:c r="O257" s="24" t="str"/>
      <x:c r="P257" s="24" t="str"/>
      <x:c r="Q257" s="24" t="str">
        <x:v>없음</x:v>
      </x:c>
      <x:c r="R257" s="24" t="str"/>
      <x:c r="S257" s="31" t="n">
        <x:v>124</x:v>
      </x:c>
      <x:c r="T257" s="24" t="str">
        <x:v>필수값 확인</x:v>
      </x:c>
      <x:c r="U257" s="24" t="str"/>
    </x:row>
    <x:row r="258" ht="17.25" customHeight="1">
      <x:c r="A258" s="24" t="str">
        <x:v>SW-C-02고5259-2-20240513-124</x:v>
      </x:c>
      <x:c r="B258" s="24" t="str">
        <x:v>스위치플랜</x:v>
      </x:c>
      <x:c r="C258" s="24" t="str">
        <x:v>02고5259</x:v>
      </x:c>
      <x:c r="D258" s="31" t="n">
        <x:v>2</x:v>
      </x:c>
      <x:c r="E258" s="24" t="str">
        <x:v>이력</x:v>
      </x:c>
      <x:c r="F258" s="24" t="str">
        <x:v>구독대여</x:v>
      </x:c>
      <x:c r="G258" s="24" t="str">
        <x:v>황정훈</x:v>
      </x:c>
      <x:c r="H258" s="30" t="n">
        <x:v>45425</x:v>
      </x:c>
      <x:c r="I258" s="30" t="n">
        <x:v>45789</x:v>
      </x:c>
      <x:c r="J258" s="30"/>
      <x:c r="K258" s="32" t="n">
        <x:v>1300000</x:v>
      </x:c>
      <x:c r="L258" s="32" t="n">
        <x:v>1300000</x:v>
      </x:c>
      <x:c r="M258" s="24" t="str"/>
      <x:c r="N258" s="24" t="str">
        <x:v>35</x:v>
      </x:c>
      <x:c r="O258" s="24" t="str"/>
      <x:c r="P258" s="24" t="str">
        <x:v>카랜(주)</x:v>
      </x:c>
      <x:c r="Q258" s="24" t="str">
        <x:v>없음</x:v>
      </x:c>
      <x:c r="R258" s="24" t="str"/>
      <x:c r="S258" s="31" t="n">
        <x:v>124</x:v>
      </x:c>
      <x:c r="T258" s="24" t="str"/>
      <x:c r="U258" s="24" t="str"/>
    </x:row>
    <x:row r="259" ht="17.25" customHeight="1">
      <x:c r="A259" s="24" t="str">
        <x:v>SW-C-300서2532-1-NA-125</x:v>
      </x:c>
      <x:c r="B259" s="24" t="str">
        <x:v>스위치플랜</x:v>
      </x:c>
      <x:c r="C259" s="24" t="str">
        <x:v>300서2532</x:v>
      </x:c>
      <x:c r="D259" s="31" t="n">
        <x:v>1</x:v>
      </x:c>
      <x:c r="E259" s="24" t="str">
        <x:v>이력</x:v>
      </x:c>
      <x:c r="F259" s="24" t="str"/>
      <x:c r="G259" s="24" t="str">
        <x:v>매각</x:v>
      </x:c>
      <x:c r="H259" s="30"/>
      <x:c r="I259" s="30"/>
      <x:c r="J259" s="30" t="n">
        <x:v>45693</x:v>
      </x:c>
      <x:c r="K259" s="32"/>
      <x:c r="L259" s="32"/>
      <x:c r="M259" s="24" t="str"/>
      <x:c r="N259" s="24" t="str">
        <x:v>26</x:v>
      </x:c>
      <x:c r="O259" s="24" t="str"/>
      <x:c r="P259" s="24" t="str"/>
      <x:c r="Q259" s="24" t="str">
        <x:v>있음</x:v>
      </x:c>
      <x:c r="R259" s="24" t="str"/>
      <x:c r="S259" s="31" t="n">
        <x:v>125</x:v>
      </x:c>
      <x:c r="T259" s="24" t="str">
        <x:v>필수값 확인</x:v>
      </x:c>
      <x:c r="U259" s="24" t="str"/>
    </x:row>
    <x:row r="260" ht="17.25" customHeight="1">
      <x:c r="A260" s="24" t="str">
        <x:v>SW-C-300서2532-2-20241115-125</x:v>
      </x:c>
      <x:c r="B260" s="24" t="str">
        <x:v>스위치플랜</x:v>
      </x:c>
      <x:c r="C260" s="24" t="str">
        <x:v>300서2532</x:v>
      </x:c>
      <x:c r="D260" s="31" t="n">
        <x:v>2</x:v>
      </x:c>
      <x:c r="E260" s="24" t="str">
        <x:v>이력</x:v>
      </x:c>
      <x:c r="F260" s="24" t="str">
        <x:v>구독대여</x:v>
      </x:c>
      <x:c r="G260" s="24" t="str">
        <x:v>정석</x:v>
      </x:c>
      <x:c r="H260" s="30" t="n">
        <x:v>45611</x:v>
      </x:c>
      <x:c r="I260" s="30" t="n">
        <x:v>47071</x:v>
      </x:c>
      <x:c r="J260" s="30" t="n">
        <x:v>45677</x:v>
      </x:c>
      <x:c r="K260" s="32" t="n">
        <x:v>1000000</x:v>
      </x:c>
      <x:c r="L260" s="32" t="n">
        <x:v>2000000</x:v>
      </x:c>
      <x:c r="M260" s="24" t="str"/>
      <x:c r="N260" s="24" t="str">
        <x:v>26</x:v>
      </x:c>
      <x:c r="O260" s="24" t="str"/>
      <x:c r="P260" s="24" t="str">
        <x:v>하허호</x:v>
      </x:c>
      <x:c r="Q260" s="24" t="str">
        <x:v>있음</x:v>
      </x:c>
      <x:c r="R260" s="24" t="str"/>
      <x:c r="S260" s="31" t="n">
        <x:v>125</x:v>
      </x:c>
      <x:c r="T260" s="24" t="str"/>
      <x:c r="U260" s="24" t="str"/>
    </x:row>
    <x:row r="261" ht="17.25" customHeight="1">
      <x:c r="A261" s="24" t="str">
        <x:v>SW-C-300서2532-3-20240607-125</x:v>
      </x:c>
      <x:c r="B261" s="24" t="str">
        <x:v>스위치플랜</x:v>
      </x:c>
      <x:c r="C261" s="24" t="str">
        <x:v>300서2532</x:v>
      </x:c>
      <x:c r="D261" s="31" t="n">
        <x:v>3</x:v>
      </x:c>
      <x:c r="E261" s="24" t="str">
        <x:v>이력</x:v>
      </x:c>
      <x:c r="F261" s="24" t="str">
        <x:v>구독대여</x:v>
      </x:c>
      <x:c r="G261" s="24" t="str">
        <x:v>문진욱</x:v>
      </x:c>
      <x:c r="H261" s="30" t="n">
        <x:v>45450</x:v>
      </x:c>
      <x:c r="I261" s="30" t="n">
        <x:v>46910</x:v>
      </x:c>
      <x:c r="J261" s="30" t="n">
        <x:v>45603</x:v>
      </x:c>
      <x:c r="K261" s="32" t="n">
        <x:v>1100000</x:v>
      </x:c>
      <x:c r="L261" s="32" t="n">
        <x:v>2500000</x:v>
      </x:c>
      <x:c r="M261" s="24" t="str"/>
      <x:c r="N261" s="24" t="str">
        <x:v>26</x:v>
      </x:c>
      <x:c r="O261" s="24" t="str"/>
      <x:c r="P261" s="24" t="str">
        <x:v>하허호</x:v>
      </x:c>
      <x:c r="Q261" s="24" t="str">
        <x:v>있음</x:v>
      </x:c>
      <x:c r="R261" s="24" t="str"/>
      <x:c r="S261" s="31" t="n">
        <x:v>125</x:v>
      </x:c>
      <x:c r="T261" s="24" t="str"/>
      <x:c r="U261" s="24" t="str"/>
    </x:row>
    <x:row r="262" ht="17.25" customHeight="1">
      <x:c r="A262" s="24" t="str">
        <x:v>SW-C-336무2957-1-NA-126</x:v>
      </x:c>
      <x:c r="B262" s="24" t="str">
        <x:v>스위치플랜</x:v>
      </x:c>
      <x:c r="C262" s="24" t="str">
        <x:v>336무2957</x:v>
      </x:c>
      <x:c r="D262" s="31" t="n">
        <x:v>1</x:v>
      </x:c>
      <x:c r="E262" s="24" t="str">
        <x:v>이력</x:v>
      </x:c>
      <x:c r="F262" s="24" t="str"/>
      <x:c r="G262" s="24" t="str">
        <x:v>매각</x:v>
      </x:c>
      <x:c r="H262" s="30"/>
      <x:c r="I262" s="30"/>
      <x:c r="J262" s="30" t="n">
        <x:v>45807</x:v>
      </x:c>
      <x:c r="K262" s="32"/>
      <x:c r="L262" s="32"/>
      <x:c r="M262" s="24" t="str"/>
      <x:c r="N262" s="24" t="str">
        <x:v>21</x:v>
      </x:c>
      <x:c r="O262" s="24" t="str">
        <x:v>DB</x:v>
      </x:c>
      <x:c r="P262" s="24" t="str"/>
      <x:c r="Q262" s="24" t="str">
        <x:v>없음</x:v>
      </x:c>
      <x:c r="R262" s="24" t="str"/>
      <x:c r="S262" s="31" t="n">
        <x:v>126</x:v>
      </x:c>
      <x:c r="T262" s="24" t="str">
        <x:v>필수값 확인</x:v>
      </x:c>
      <x:c r="U262" s="24" t="str"/>
    </x:row>
    <x:row r="263" ht="17.25" customHeight="1">
      <x:c r="A263" s="24" t="str">
        <x:v>SW-C-336무2957-2-20231123-126</x:v>
      </x:c>
      <x:c r="B263" s="24" t="str">
        <x:v>스위치플랜</x:v>
      </x:c>
      <x:c r="C263" s="24" t="str">
        <x:v>336무2957</x:v>
      </x:c>
      <x:c r="D263" s="31" t="n">
        <x:v>2</x:v>
      </x:c>
      <x:c r="E263" s="24" t="str">
        <x:v>이력</x:v>
      </x:c>
      <x:c r="F263" s="24" t="str">
        <x:v>구독대여</x:v>
      </x:c>
      <x:c r="G263" s="24" t="str">
        <x:v>김종필</x:v>
      </x:c>
      <x:c r="H263" s="30" t="n">
        <x:v>45253</x:v>
      </x:c>
      <x:c r="I263" s="30" t="n">
        <x:v>47079</x:v>
      </x:c>
      <x:c r="J263" s="30" t="n">
        <x:v>45641</x:v>
      </x:c>
      <x:c r="K263" s="32" t="n">
        <x:v>430000</x:v>
      </x:c>
      <x:c r="L263" s="32" t="n">
        <x:v>1500000</x:v>
      </x:c>
      <x:c r="M263" s="24" t="str"/>
      <x:c r="N263" s="24" t="str">
        <x:v>21</x:v>
      </x:c>
      <x:c r="O263" s="24" t="str"/>
      <x:c r="P263" s="24" t="str">
        <x:v>GNA</x:v>
      </x:c>
      <x:c r="Q263" s="24" t="str">
        <x:v>없음</x:v>
      </x:c>
      <x:c r="R263" s="24" t="str"/>
      <x:c r="S263" s="31" t="n">
        <x:v>126</x:v>
      </x:c>
      <x:c r="T263" s="24" t="str"/>
      <x:c r="U263" s="24" t="str"/>
    </x:row>
    <x:row r="264" ht="17.25" customHeight="1">
      <x:c r="A264" s="24" t="str">
        <x:v>SW-C-58너1732-1-NA-127</x:v>
      </x:c>
      <x:c r="B264" s="24" t="str">
        <x:v>스위치플랜</x:v>
      </x:c>
      <x:c r="C264" s="24" t="str">
        <x:v>58너1732</x:v>
      </x:c>
      <x:c r="D264" s="31" t="n">
        <x:v>1</x:v>
      </x:c>
      <x:c r="E264" s="24" t="str">
        <x:v>이력</x:v>
      </x:c>
      <x:c r="F264" s="24" t="str"/>
      <x:c r="G264" s="24" t="str">
        <x:v>매각</x:v>
      </x:c>
      <x:c r="H264" s="30"/>
      <x:c r="I264" s="30"/>
      <x:c r="J264" s="30" t="n">
        <x:v>45821</x:v>
      </x:c>
      <x:c r="K264" s="32"/>
      <x:c r="L264" s="32"/>
      <x:c r="M264" s="24" t="str"/>
      <x:c r="N264" s="24" t="str">
        <x:v>35</x:v>
      </x:c>
      <x:c r="O264" s="24" t="str">
        <x:v>DB</x:v>
      </x:c>
      <x:c r="P264" s="24" t="str"/>
      <x:c r="Q264" s="24" t="str">
        <x:v>없음</x:v>
      </x:c>
      <x:c r="R264" s="24" t="str"/>
      <x:c r="S264" s="31" t="n">
        <x:v>127</x:v>
      </x:c>
      <x:c r="T264" s="24" t="str">
        <x:v>필수값 확인</x:v>
      </x:c>
      <x:c r="U264" s="24" t="str"/>
    </x:row>
    <x:row r="265" ht="17.25" customHeight="1">
      <x:c r="A265" s="24" t="str">
        <x:v>SW-C-58너1732-2-20231120-127</x:v>
      </x:c>
      <x:c r="B265" s="24" t="str">
        <x:v>스위치플랜</x:v>
      </x:c>
      <x:c r="C265" s="24" t="str">
        <x:v>58너1732</x:v>
      </x:c>
      <x:c r="D265" s="31" t="n">
        <x:v>2</x:v>
      </x:c>
      <x:c r="E265" s="24" t="str">
        <x:v>이력</x:v>
      </x:c>
      <x:c r="F265" s="24" t="str">
        <x:v>구독대여</x:v>
      </x:c>
      <x:c r="G265" s="24" t="str">
        <x:v>썬이헤어샵</x:v>
      </x:c>
      <x:c r="H265" s="30" t="n">
        <x:v>45250</x:v>
      </x:c>
      <x:c r="I265" s="30" t="n">
        <x:v>47076</x:v>
      </x:c>
      <x:c r="J265" s="30" t="n">
        <x:v>45820</x:v>
      </x:c>
      <x:c r="K265" s="32" t="n">
        <x:v>280000</x:v>
      </x:c>
      <x:c r="L265" s="32" t="n">
        <x:v>1000000</x:v>
      </x:c>
      <x:c r="M265" s="24" t="str"/>
      <x:c r="N265" s="24" t="str">
        <x:v>35</x:v>
      </x:c>
      <x:c r="O265" s="24" t="str"/>
      <x:c r="P265" s="24" t="str">
        <x:v>헬로</x:v>
      </x:c>
      <x:c r="Q265" s="24" t="str">
        <x:v>없음</x:v>
      </x:c>
      <x:c r="R265" s="24" t="str"/>
      <x:c r="S265" s="31" t="n">
        <x:v>127</x:v>
      </x:c>
      <x:c r="T265" s="24" t="str"/>
      <x:c r="U265" s="24" t="str"/>
    </x:row>
    <x:row r="266" ht="17.25" customHeight="1">
      <x:c r="A266" s="24" t="str">
        <x:v>SW-C-114라7069-1-NA-128</x:v>
      </x:c>
      <x:c r="B266" s="24" t="str">
        <x:v>스위치플랜</x:v>
      </x:c>
      <x:c r="C266" s="24" t="str">
        <x:v>114라7069</x:v>
      </x:c>
      <x:c r="D266" s="31" t="n">
        <x:v>1</x:v>
      </x:c>
      <x:c r="E266" s="24" t="str">
        <x:v>이력</x:v>
      </x:c>
      <x:c r="F266" s="24" t="str"/>
      <x:c r="G266" s="24" t="str">
        <x:v>매각</x:v>
      </x:c>
      <x:c r="H266" s="30"/>
      <x:c r="I266" s="30"/>
      <x:c r="J266" s="30" t="n">
        <x:v>45821</x:v>
      </x:c>
      <x:c r="K266" s="32"/>
      <x:c r="L266" s="32"/>
      <x:c r="M266" s="24" t="str"/>
      <x:c r="N266" s="24" t="str">
        <x:v>35</x:v>
      </x:c>
      <x:c r="O266" s="24" t="str">
        <x:v>DB</x:v>
      </x:c>
      <x:c r="P266" s="24" t="str"/>
      <x:c r="Q266" s="24" t="str">
        <x:v>있음</x:v>
      </x:c>
      <x:c r="R266" s="24" t="str"/>
      <x:c r="S266" s="31" t="n">
        <x:v>128</x:v>
      </x:c>
      <x:c r="T266" s="24" t="str">
        <x:v>필수값 확인</x:v>
      </x:c>
      <x:c r="U266" s="24" t="str"/>
    </x:row>
    <x:row r="267" ht="17.25" customHeight="1">
      <x:c r="A267" s="24" t="str">
        <x:v>SW-C-114라7069-2-20241022-128</x:v>
      </x:c>
      <x:c r="B267" s="24" t="str">
        <x:v>스위치플랜</x:v>
      </x:c>
      <x:c r="C267" s="24" t="str">
        <x:v>114라7069</x:v>
      </x:c>
      <x:c r="D267" s="31" t="n">
        <x:v>2</x:v>
      </x:c>
      <x:c r="E267" s="24" t="str">
        <x:v>이력</x:v>
      </x:c>
      <x:c r="F267" s="24" t="str">
        <x:v>구독대여</x:v>
      </x:c>
      <x:c r="G267" s="24" t="str">
        <x:v>김기영</x:v>
      </x:c>
      <x:c r="H267" s="30" t="n">
        <x:v>45587</x:v>
      </x:c>
      <x:c r="I267" s="30" t="n">
        <x:v>46316</x:v>
      </x:c>
      <x:c r="J267" s="30" t="n">
        <x:v>45817</x:v>
      </x:c>
      <x:c r="K267" s="32" t="n">
        <x:v>1000000</x:v>
      </x:c>
      <x:c r="L267" s="32" t="n">
        <x:v>2000000</x:v>
      </x:c>
      <x:c r="M267" s="24" t="str"/>
      <x:c r="N267" s="24" t="str">
        <x:v>35</x:v>
      </x:c>
      <x:c r="O267" s="24" t="str"/>
      <x:c r="P267" s="24" t="str">
        <x:v>하허호</x:v>
      </x:c>
      <x:c r="Q267" s="24" t="str">
        <x:v>있음</x:v>
      </x:c>
      <x:c r="R267" s="24" t="str"/>
      <x:c r="S267" s="31" t="n">
        <x:v>128</x:v>
      </x:c>
      <x:c r="T267" s="24" t="str"/>
      <x:c r="U267" s="24" t="str"/>
    </x:row>
    <x:row r="268" ht="17.25" customHeight="1">
      <x:c r="A268" s="24" t="str">
        <x:v>SW-C-114라7069-3-20231121-128</x:v>
      </x:c>
      <x:c r="B268" s="24" t="str">
        <x:v>스위치플랜</x:v>
      </x:c>
      <x:c r="C268" s="24" t="str">
        <x:v>114라7069</x:v>
      </x:c>
      <x:c r="D268" s="31" t="n">
        <x:v>3</x:v>
      </x:c>
      <x:c r="E268" s="24" t="str">
        <x:v>이력</x:v>
      </x:c>
      <x:c r="F268" s="24" t="str">
        <x:v>구독대여</x:v>
      </x:c>
      <x:c r="G268" s="24" t="str">
        <x:v>달래웨딩</x:v>
      </x:c>
      <x:c r="H268" s="30" t="n">
        <x:v>45251</x:v>
      </x:c>
      <x:c r="I268" s="30" t="n">
        <x:v>47077</x:v>
      </x:c>
      <x:c r="J268" s="30" t="n">
        <x:v>45512</x:v>
      </x:c>
      <x:c r="K268" s="32" t="n">
        <x:v>780000</x:v>
      </x:c>
      <x:c r="L268" s="32" t="n">
        <x:v>1700000</x:v>
      </x:c>
      <x:c r="M268" s="24" t="str"/>
      <x:c r="N268" s="24" t="str">
        <x:v>35</x:v>
      </x:c>
      <x:c r="O268" s="24" t="str"/>
      <x:c r="P268" s="24" t="str">
        <x:v>SI</x:v>
      </x:c>
      <x:c r="Q268" s="24" t="str">
        <x:v>있음</x:v>
      </x:c>
      <x:c r="R268" s="24" t="str"/>
      <x:c r="S268" s="31" t="n">
        <x:v>128</x:v>
      </x:c>
      <x:c r="T268" s="24" t="str"/>
      <x:c r="U268" s="24" t="str"/>
    </x:row>
    <x:row r="269" ht="17.25" customHeight="1">
      <x:c r="A269" s="24" t="str">
        <x:v>SW-C-21수0400-1-NA-129</x:v>
      </x:c>
      <x:c r="B269" s="24" t="str">
        <x:v>스위치플랜</x:v>
      </x:c>
      <x:c r="C269" s="24" t="str">
        <x:v>21수0400</x:v>
      </x:c>
      <x:c r="D269" s="31" t="n">
        <x:v>1</x:v>
      </x:c>
      <x:c r="E269" s="24" t="str">
        <x:v>이력</x:v>
      </x:c>
      <x:c r="F269" s="24" t="str"/>
      <x:c r="G269" s="24" t="str">
        <x:v>매각</x:v>
      </x:c>
      <x:c r="H269" s="30"/>
      <x:c r="I269" s="30"/>
      <x:c r="J269" s="30" t="n">
        <x:v>46097</x:v>
      </x:c>
      <x:c r="K269" s="32"/>
      <x:c r="L269" s="32"/>
      <x:c r="M269" s="24" t="str"/>
      <x:c r="N269" s="24" t="str">
        <x:v>30</x:v>
      </x:c>
      <x:c r="O269" s="24" t="str">
        <x:v>DB</x:v>
      </x:c>
      <x:c r="P269" s="24" t="str"/>
      <x:c r="Q269" s="24" t="str">
        <x:v>있음</x:v>
      </x:c>
      <x:c r="R269" s="24" t="str"/>
      <x:c r="S269" s="31" t="n">
        <x:v>129</x:v>
      </x:c>
      <x:c r="T269" s="24" t="str">
        <x:v>필수값 확인</x:v>
      </x:c>
      <x:c r="U269" s="24" t="str"/>
    </x:row>
    <x:row r="270" ht="17.25" customHeight="1">
      <x:c r="A270" s="24" t="str">
        <x:v>SW-C-21수0400-2-20250623-129</x:v>
      </x:c>
      <x:c r="B270" s="24" t="str">
        <x:v>스위치플랜</x:v>
      </x:c>
      <x:c r="C270" s="24" t="str">
        <x:v>21수0400</x:v>
      </x:c>
      <x:c r="D270" s="31" t="n">
        <x:v>2</x:v>
      </x:c>
      <x:c r="E270" s="24" t="str">
        <x:v>이력</x:v>
      </x:c>
      <x:c r="F270" s="24" t="str">
        <x:v>구독대여</x:v>
      </x:c>
      <x:c r="G270" s="24" t="str">
        <x:v>임진수</x:v>
      </x:c>
      <x:c r="H270" s="30" t="n">
        <x:v>45831</x:v>
      </x:c>
      <x:c r="I270" s="30" t="n">
        <x:v>47253</x:v>
      </x:c>
      <x:c r="J270" s="30" t="n">
        <x:v>45860</x:v>
      </x:c>
      <x:c r="K270" s="32" t="n">
        <x:v>700000</x:v>
      </x:c>
      <x:c r="L270" s="32" t="n">
        <x:v>1000000</x:v>
      </x:c>
      <x:c r="M270" s="24" t="str"/>
      <x:c r="N270" s="24" t="str">
        <x:v>30</x:v>
      </x:c>
      <x:c r="O270" s="24" t="str"/>
      <x:c r="P270" s="24" t="str"/>
      <x:c r="Q270" s="24" t="str">
        <x:v>있음</x:v>
      </x:c>
      <x:c r="R270" s="24" t="str"/>
      <x:c r="S270" s="31" t="n">
        <x:v>129</x:v>
      </x:c>
      <x:c r="T270" s="24" t="str"/>
      <x:c r="U270" s="24" t="str"/>
    </x:row>
    <x:row r="271" ht="17.25" customHeight="1">
      <x:c r="A271" s="24" t="str">
        <x:v>SW-C-21수0400-3-20250516-129</x:v>
      </x:c>
      <x:c r="B271" s="24" t="str">
        <x:v>스위치플랜</x:v>
      </x:c>
      <x:c r="C271" s="24" t="str">
        <x:v>21수0400</x:v>
      </x:c>
      <x:c r="D271" s="31" t="n">
        <x:v>3</x:v>
      </x:c>
      <x:c r="E271" s="24" t="str">
        <x:v>이력</x:v>
      </x:c>
      <x:c r="F271" s="24" t="str">
        <x:v>구독대여</x:v>
      </x:c>
      <x:c r="G271" s="24" t="str">
        <x:v>남보석</x:v>
      </x:c>
      <x:c r="H271" s="30" t="n">
        <x:v>45793</x:v>
      </x:c>
      <x:c r="I271" s="30" t="n">
        <x:v>47253</x:v>
      </x:c>
      <x:c r="J271" s="30"/>
      <x:c r="K271" s="32" t="n">
        <x:v>770000</x:v>
      </x:c>
      <x:c r="L271" s="32" t="n">
        <x:v>1000000</x:v>
      </x:c>
      <x:c r="M271" s="24" t="str"/>
      <x:c r="N271" s="24" t="str">
        <x:v>30</x:v>
      </x:c>
      <x:c r="O271" s="24" t="str"/>
      <x:c r="P271" s="24" t="str"/>
      <x:c r="Q271" s="24" t="str">
        <x:v>있음</x:v>
      </x:c>
      <x:c r="R271" s="24" t="str"/>
      <x:c r="S271" s="31" t="n">
        <x:v>129</x:v>
      </x:c>
      <x:c r="T271" s="24" t="str"/>
      <x:c r="U271" s="24" t="str"/>
    </x:row>
    <x:row r="272" ht="17.25" customHeight="1">
      <x:c r="A272" s="24" t="str">
        <x:v>SW-C-21수0400-4-20250317-129</x:v>
      </x:c>
      <x:c r="B272" s="24" t="str">
        <x:v>스위치플랜</x:v>
      </x:c>
      <x:c r="C272" s="24" t="str">
        <x:v>21수0400</x:v>
      </x:c>
      <x:c r="D272" s="31" t="n">
        <x:v>4</x:v>
      </x:c>
      <x:c r="E272" s="24" t="str">
        <x:v>이력</x:v>
      </x:c>
      <x:c r="F272" s="24" t="str">
        <x:v>구독대여</x:v>
      </x:c>
      <x:c r="G272" s="24" t="str">
        <x:v>신명주</x:v>
      </x:c>
      <x:c r="H272" s="30" t="n">
        <x:v>45733</x:v>
      </x:c>
      <x:c r="I272" s="30" t="n">
        <x:v>47193</x:v>
      </x:c>
      <x:c r="J272" s="30" t="n">
        <x:v>45776</x:v>
      </x:c>
      <x:c r="K272" s="32" t="n">
        <x:v>600000</x:v>
      </x:c>
      <x:c r="L272" s="32"/>
      <x:c r="M272" s="24" t="str"/>
      <x:c r="N272" s="24" t="str">
        <x:v>30</x:v>
      </x:c>
      <x:c r="O272" s="24" t="str"/>
      <x:c r="P272" s="24" t="str">
        <x:v>오토원트</x:v>
      </x:c>
      <x:c r="Q272" s="24" t="str">
        <x:v>있음</x:v>
      </x:c>
      <x:c r="R272" s="24" t="str"/>
      <x:c r="S272" s="31" t="n">
        <x:v>129</x:v>
      </x:c>
      <x:c r="T272" s="24" t="str"/>
      <x:c r="U272" s="24" t="str">
        <x:v>무보증</x:v>
      </x:c>
    </x:row>
    <x:row r="273" ht="17.25" customHeight="1">
      <x:c r="A273" s="24" t="str">
        <x:v>SW-C-21수0400-5-20271204-129</x:v>
      </x:c>
      <x:c r="B273" s="24" t="str">
        <x:v>스위치플랜</x:v>
      </x:c>
      <x:c r="C273" s="24" t="str">
        <x:v>21수0400</x:v>
      </x:c>
      <x:c r="D273" s="31" t="n">
        <x:v>5</x:v>
      </x:c>
      <x:c r="E273" s="24" t="str">
        <x:v>이력</x:v>
      </x:c>
      <x:c r="F273" s="24" t="str">
        <x:v>구독대여</x:v>
      </x:c>
      <x:c r="G273" s="24" t="str">
        <x:v>봉현준</x:v>
      </x:c>
      <x:c r="H273" s="30" t="n">
        <x:v>46725</x:v>
      </x:c>
      <x:c r="I273" s="30" t="n">
        <x:v>45349</x:v>
      </x:c>
      <x:c r="J273" s="30"/>
      <x:c r="K273" s="32" t="n">
        <x:v>45265</x:v>
      </x:c>
      <x:c r="L273" s="32" t="n">
        <x:v>1490000</x:v>
      </x:c>
      <x:c r="M273" s="24" t="str"/>
      <x:c r="N273" s="24" t="str">
        <x:v>30</x:v>
      </x:c>
      <x:c r="O273" s="24" t="str"/>
      <x:c r="P273" s="24" t="str">
        <x:v>하허호</x:v>
      </x:c>
      <x:c r="Q273" s="24" t="str">
        <x:v>있음</x:v>
      </x:c>
      <x:c r="R273" s="24" t="str"/>
      <x:c r="S273" s="31" t="n">
        <x:v>129</x:v>
      </x:c>
      <x:c r="T273" s="24" t="str"/>
      <x:c r="U273" s="24" t="str"/>
    </x:row>
    <x:row r="274" ht="17.25" customHeight="1">
      <x:c r="A274" s="24" t="str">
        <x:v>SW-C-31나5759-1-NA-130</x:v>
      </x:c>
      <x:c r="B274" s="24" t="str">
        <x:v>스위치플랜</x:v>
      </x:c>
      <x:c r="C274" s="24" t="str">
        <x:v>31나5759</x:v>
      </x:c>
      <x:c r="D274" s="31" t="n">
        <x:v>1</x:v>
      </x:c>
      <x:c r="E274" s="24" t="str">
        <x:v>이력</x:v>
      </x:c>
      <x:c r="F274" s="24" t="str"/>
      <x:c r="G274" s="24" t="str">
        <x:v>매각</x:v>
      </x:c>
      <x:c r="H274" s="30"/>
      <x:c r="I274" s="30"/>
      <x:c r="J274" s="30" t="n">
        <x:v>46097</x:v>
      </x:c>
      <x:c r="K274" s="32"/>
      <x:c r="L274" s="32"/>
      <x:c r="M274" s="24" t="str"/>
      <x:c r="N274" s="24" t="str">
        <x:v>26</x:v>
      </x:c>
      <x:c r="O274" s="24" t="str">
        <x:v>DB</x:v>
      </x:c>
      <x:c r="P274" s="24" t="str"/>
      <x:c r="Q274" s="24" t="str">
        <x:v>있음</x:v>
      </x:c>
      <x:c r="R274" s="24" t="str"/>
      <x:c r="S274" s="31" t="n">
        <x:v>130</x:v>
      </x:c>
      <x:c r="T274" s="24" t="str">
        <x:v>필수값 확인</x:v>
      </x:c>
      <x:c r="U274" s="24" t="str"/>
    </x:row>
    <x:row r="275" ht="17.25" customHeight="1">
      <x:c r="A275" s="24" t="str">
        <x:v>SW-C-31나5759-2-20240123-130</x:v>
      </x:c>
      <x:c r="B275" s="24" t="str">
        <x:v>스위치플랜</x:v>
      </x:c>
      <x:c r="C275" s="24" t="str">
        <x:v>31나5759</x:v>
      </x:c>
      <x:c r="D275" s="31" t="n">
        <x:v>2</x:v>
      </x:c>
      <x:c r="E275" s="24" t="str">
        <x:v>이력</x:v>
      </x:c>
      <x:c r="F275" s="24" t="str">
        <x:v>구독대여</x:v>
      </x:c>
      <x:c r="G275" s="24" t="str">
        <x:v>홍은지</x:v>
      </x:c>
      <x:c r="H275" s="30" t="n">
        <x:v>45314</x:v>
      </x:c>
      <x:c r="I275" s="30" t="n">
        <x:v>46044</x:v>
      </x:c>
      <x:c r="J275" s="30" t="n">
        <x:v>45849</x:v>
      </x:c>
      <x:c r="K275" s="32" t="n">
        <x:v>533000</x:v>
      </x:c>
      <x:c r="L275" s="32" t="n">
        <x:v>1066000</x:v>
      </x:c>
      <x:c r="M275" s="24" t="str"/>
      <x:c r="N275" s="24" t="str">
        <x:v>26</x:v>
      </x:c>
      <x:c r="O275" s="24" t="str"/>
      <x:c r="P275" s="24" t="str">
        <x:v>하허호</x:v>
      </x:c>
      <x:c r="Q275" s="24" t="str">
        <x:v>있음</x:v>
      </x:c>
      <x:c r="R275" s="24" t="str"/>
      <x:c r="S275" s="31" t="n">
        <x:v>130</x:v>
      </x:c>
      <x:c r="T275" s="24" t="str"/>
      <x:c r="U275" s="24" t="str"/>
    </x:row>
    <x:row r="276" ht="17.25" customHeight="1">
      <x:c r="A276" s="24" t="str">
        <x:v>SW-C-42더5054-1-NA-131</x:v>
      </x:c>
      <x:c r="B276" s="24" t="str">
        <x:v>스위치플랜</x:v>
      </x:c>
      <x:c r="C276" s="24" t="str">
        <x:v>42더5054</x:v>
      </x:c>
      <x:c r="D276" s="31" t="n">
        <x:v>1</x:v>
      </x:c>
      <x:c r="E276" s="24" t="str">
        <x:v>이력</x:v>
      </x:c>
      <x:c r="F276" s="24" t="str"/>
      <x:c r="G276" s="24" t="str">
        <x:v>매각</x:v>
      </x:c>
      <x:c r="H276" s="30"/>
      <x:c r="I276" s="30"/>
      <x:c r="J276" s="30" t="n">
        <x:v>45833</x:v>
      </x:c>
      <x:c r="K276" s="32"/>
      <x:c r="L276" s="32"/>
      <x:c r="M276" s="24" t="str"/>
      <x:c r="N276" s="24" t="str">
        <x:v>35</x:v>
      </x:c>
      <x:c r="O276" s="24" t="str">
        <x:v>DB</x:v>
      </x:c>
      <x:c r="P276" s="24" t="str"/>
      <x:c r="Q276" s="24" t="str">
        <x:v>있음</x:v>
      </x:c>
      <x:c r="R276" s="24" t="str"/>
      <x:c r="S276" s="31" t="n">
        <x:v>131</x:v>
      </x:c>
      <x:c r="T276" s="24" t="str">
        <x:v>필수값 확인</x:v>
      </x:c>
      <x:c r="U276" s="24" t="str"/>
    </x:row>
    <x:row r="277" ht="17.25" customHeight="1">
      <x:c r="A277" s="24" t="str">
        <x:v>SW-C-42더5054-2-20240327-131</x:v>
      </x:c>
      <x:c r="B277" s="24" t="str">
        <x:v>스위치플랜</x:v>
      </x:c>
      <x:c r="C277" s="24" t="str">
        <x:v>42더5054</x:v>
      </x:c>
      <x:c r="D277" s="31" t="n">
        <x:v>2</x:v>
      </x:c>
      <x:c r="E277" s="24" t="str">
        <x:v>이력</x:v>
      </x:c>
      <x:c r="F277" s="24" t="str">
        <x:v>구독대여</x:v>
      </x:c>
      <x:c r="G277" s="24" t="str">
        <x:v>김종수</x:v>
      </x:c>
      <x:c r="H277" s="30" t="n">
        <x:v>45378</x:v>
      </x:c>
      <x:c r="I277" s="30" t="n">
        <x:v>46838</x:v>
      </x:c>
      <x:c r="J277" s="30" t="n">
        <x:v>45799</x:v>
      </x:c>
      <x:c r="K277" s="32" t="n">
        <x:v>1010000</x:v>
      </x:c>
      <x:c r="L277" s="32" t="n">
        <x:v>6000000</x:v>
      </x:c>
      <x:c r="M277" s="24" t="str"/>
      <x:c r="N277" s="24" t="str">
        <x:v>35</x:v>
      </x:c>
      <x:c r="O277" s="24" t="str"/>
      <x:c r="P277" s="24" t="str">
        <x:v>카랜(주)</x:v>
      </x:c>
      <x:c r="Q277" s="24" t="str">
        <x:v>있음</x:v>
      </x:c>
      <x:c r="R277" s="24" t="str"/>
      <x:c r="S277" s="31" t="n">
        <x:v>131</x:v>
      </x:c>
      <x:c r="T277" s="24" t="str"/>
      <x:c r="U277" s="24" t="str"/>
    </x:row>
    <x:row r="278" ht="17.25" customHeight="1">
      <x:c r="A278" s="24" t="str">
        <x:v>SW-C-27두4385-1-NA-132</x:v>
      </x:c>
      <x:c r="B278" s="24" t="str">
        <x:v>스위치플랜</x:v>
      </x:c>
      <x:c r="C278" s="24" t="str">
        <x:v>27두4385</x:v>
      </x:c>
      <x:c r="D278" s="31" t="n">
        <x:v>1</x:v>
      </x:c>
      <x:c r="E278" s="24" t="str">
        <x:v>이력</x:v>
      </x:c>
      <x:c r="F278" s="24" t="str"/>
      <x:c r="G278" s="24" t="str">
        <x:v>매각</x:v>
      </x:c>
      <x:c r="H278" s="30"/>
      <x:c r="I278" s="30"/>
      <x:c r="J278" s="30" t="n">
        <x:v>45833</x:v>
      </x:c>
      <x:c r="K278" s="32"/>
      <x:c r="L278" s="32"/>
      <x:c r="M278" s="24" t="str"/>
      <x:c r="N278" s="24" t="str">
        <x:v>21</x:v>
      </x:c>
      <x:c r="O278" s="24" t="str">
        <x:v>DB</x:v>
      </x:c>
      <x:c r="P278" s="24" t="str"/>
      <x:c r="Q278" s="24" t="str">
        <x:v>있음</x:v>
      </x:c>
      <x:c r="R278" s="24" t="str"/>
      <x:c r="S278" s="31" t="n">
        <x:v>132</x:v>
      </x:c>
      <x:c r="T278" s="24" t="str">
        <x:v>필수값 확인</x:v>
      </x:c>
      <x:c r="U278" s="24" t="str"/>
    </x:row>
    <x:row r="279" ht="17.25" customHeight="1">
      <x:c r="A279" s="24" t="str">
        <x:v>SW-C-27두4385-2-20240126-132</x:v>
      </x:c>
      <x:c r="B279" s="24" t="str">
        <x:v>스위치플랜</x:v>
      </x:c>
      <x:c r="C279" s="24" t="str">
        <x:v>27두4385</x:v>
      </x:c>
      <x:c r="D279" s="31" t="n">
        <x:v>2</x:v>
      </x:c>
      <x:c r="E279" s="24" t="str">
        <x:v>이력</x:v>
      </x:c>
      <x:c r="F279" s="24" t="str">
        <x:v>구독대여</x:v>
      </x:c>
      <x:c r="G279" s="24" t="str">
        <x:v>김민혁</x:v>
      </x:c>
      <x:c r="H279" s="30" t="n">
        <x:v>45317</x:v>
      </x:c>
      <x:c r="I279" s="30" t="n">
        <x:v>46777</x:v>
      </x:c>
      <x:c r="J279" s="30"/>
      <x:c r="K279" s="32" t="n">
        <x:v>960000</x:v>
      </x:c>
      <x:c r="L279" s="32" t="n">
        <x:v>2290000</x:v>
      </x:c>
      <x:c r="M279" s="24" t="str"/>
      <x:c r="N279" s="24" t="str">
        <x:v>21</x:v>
      </x:c>
      <x:c r="O279" s="24" t="str"/>
      <x:c r="P279" s="24" t="str">
        <x:v>하허호</x:v>
      </x:c>
      <x:c r="Q279" s="24" t="str">
        <x:v>있음</x:v>
      </x:c>
      <x:c r="R279" s="24" t="str"/>
      <x:c r="S279" s="31" t="n">
        <x:v>132</x:v>
      </x:c>
      <x:c r="T279" s="24" t="str"/>
      <x:c r="U279" s="24" t="str"/>
    </x:row>
    <x:row r="280" ht="17.25" customHeight="1">
      <x:c r="A280" s="24" t="str">
        <x:v>SW-C-27두4385-3-20240126-132</x:v>
      </x:c>
      <x:c r="B280" s="24" t="str">
        <x:v>스위치플랜</x:v>
      </x:c>
      <x:c r="C280" s="24" t="str">
        <x:v>27두4385</x:v>
      </x:c>
      <x:c r="D280" s="31" t="n">
        <x:v>3</x:v>
      </x:c>
      <x:c r="E280" s="24" t="str">
        <x:v>이력</x:v>
      </x:c>
      <x:c r="F280" s="24" t="str">
        <x:v>구독대여</x:v>
      </x:c>
      <x:c r="G280" s="24" t="str">
        <x:v>이민상</x:v>
      </x:c>
      <x:c r="H280" s="30" t="n">
        <x:v>45317</x:v>
      </x:c>
      <x:c r="I280" s="30" t="n">
        <x:v>46777</x:v>
      </x:c>
      <x:c r="J280" s="30" t="n">
        <x:v>45317</x:v>
      </x:c>
      <x:c r="K280" s="32" t="n">
        <x:v>860000</x:v>
      </x:c>
      <x:c r="L280" s="32" t="n">
        <x:v>2290000</x:v>
      </x:c>
      <x:c r="M280" s="24" t="str"/>
      <x:c r="N280" s="24" t="str">
        <x:v>21</x:v>
      </x:c>
      <x:c r="O280" s="24" t="str"/>
      <x:c r="P280" s="24" t="str">
        <x:v>하허호</x:v>
      </x:c>
      <x:c r="Q280" s="24" t="str">
        <x:v>있음</x:v>
      </x:c>
      <x:c r="R280" s="24" t="str"/>
      <x:c r="S280" s="31" t="n">
        <x:v>132</x:v>
      </x:c>
      <x:c r="T280" s="24" t="str"/>
      <x:c r="U280" s="24" t="str"/>
    </x:row>
    <x:row r="281" ht="17.25" customHeight="1">
      <x:c r="A281" s="24" t="str">
        <x:v>SW-C-167고4054-1-NA-133</x:v>
      </x:c>
      <x:c r="B281" s="24" t="str">
        <x:v>스위치플랜</x:v>
      </x:c>
      <x:c r="C281" s="24" t="str">
        <x:v>167고4054</x:v>
      </x:c>
      <x:c r="D281" s="31" t="n">
        <x:v>1</x:v>
      </x:c>
      <x:c r="E281" s="24" t="str">
        <x:v>이력</x:v>
      </x:c>
      <x:c r="F281" s="24" t="str"/>
      <x:c r="G281" s="24" t="str">
        <x:v>매각</x:v>
      </x:c>
      <x:c r="H281" s="30"/>
      <x:c r="I281" s="30"/>
      <x:c r="J281" s="30" t="n">
        <x:v>46097</x:v>
      </x:c>
      <x:c r="K281" s="32"/>
      <x:c r="L281" s="32"/>
      <x:c r="M281" s="24" t="str"/>
      <x:c r="N281" s="24" t="str">
        <x:v>30</x:v>
      </x:c>
      <x:c r="O281" s="24" t="str">
        <x:v>DB</x:v>
      </x:c>
      <x:c r="P281" s="24" t="str"/>
      <x:c r="Q281" s="24" t="str">
        <x:v>있음</x:v>
      </x:c>
      <x:c r="R281" s="24" t="str"/>
      <x:c r="S281" s="31" t="n">
        <x:v>133</x:v>
      </x:c>
      <x:c r="T281" s="24" t="str">
        <x:v>필수값 확인</x:v>
      </x:c>
      <x:c r="U281" s="24" t="str"/>
    </x:row>
    <x:row r="282" ht="17.25" customHeight="1">
      <x:c r="A282" s="24" t="str">
        <x:v>SW-C-167고4054-2-20250415-133</x:v>
      </x:c>
      <x:c r="B282" s="24" t="str">
        <x:v>스위치플랜</x:v>
      </x:c>
      <x:c r="C282" s="24" t="str">
        <x:v>167고4054</x:v>
      </x:c>
      <x:c r="D282" s="31" t="n">
        <x:v>2</x:v>
      </x:c>
      <x:c r="E282" s="24" t="str">
        <x:v>이력</x:v>
      </x:c>
      <x:c r="F282" s="24" t="str"/>
      <x:c r="G282" s="24" t="str">
        <x:v>이광호</x:v>
      </x:c>
      <x:c r="H282" s="30" t="n">
        <x:v>45762</x:v>
      </x:c>
      <x:c r="I282" s="30" t="n">
        <x:v>47222</x:v>
      </x:c>
      <x:c r="J282" s="30" t="n">
        <x:v>45869</x:v>
      </x:c>
      <x:c r="K282" s="32" t="n">
        <x:v>980000</x:v>
      </x:c>
      <x:c r="L282" s="32"/>
      <x:c r="M282" s="24" t="str"/>
      <x:c r="N282" s="24" t="str">
        <x:v>30</x:v>
      </x:c>
      <x:c r="O282" s="24" t="str"/>
      <x:c r="P282" s="24" t="str">
        <x:v>하허호</x:v>
      </x:c>
      <x:c r="Q282" s="24" t="str">
        <x:v>있음</x:v>
      </x:c>
      <x:c r="R282" s="24" t="str"/>
      <x:c r="S282" s="31" t="n">
        <x:v>133</x:v>
      </x:c>
      <x:c r="T282" s="24" t="str"/>
      <x:c r="U282" s="24" t="str">
        <x:v>무보증</x:v>
      </x:c>
    </x:row>
    <x:row r="283" ht="17.25" customHeight="1">
      <x:c r="A283" s="24" t="str">
        <x:v>SW-C-167고4054-3-20240320-133</x:v>
      </x:c>
      <x:c r="B283" s="24" t="str">
        <x:v>스위치플랜</x:v>
      </x:c>
      <x:c r="C283" s="24" t="str">
        <x:v>167고4054</x:v>
      </x:c>
      <x:c r="D283" s="31" t="n">
        <x:v>3</x:v>
      </x:c>
      <x:c r="E283" s="24" t="str">
        <x:v>이력</x:v>
      </x:c>
      <x:c r="F283" s="24" t="str">
        <x:v>구독대여</x:v>
      </x:c>
      <x:c r="G283" s="24" t="str">
        <x:v>이주호</x:v>
      </x:c>
      <x:c r="H283" s="30" t="n">
        <x:v>45371</x:v>
      </x:c>
      <x:c r="I283" s="30" t="n">
        <x:v>46831</x:v>
      </x:c>
      <x:c r="J283" s="30" t="n">
        <x:v>45504</x:v>
      </x:c>
      <x:c r="K283" s="32" t="n">
        <x:v>1020000</x:v>
      </x:c>
      <x:c r="L283" s="32" t="n">
        <x:v>2697000</x:v>
      </x:c>
      <x:c r="M283" s="24" t="str"/>
      <x:c r="N283" s="24" t="str">
        <x:v>30</x:v>
      </x:c>
      <x:c r="O283" s="24" t="str"/>
      <x:c r="P283" s="24" t="str">
        <x:v>카랜(주)</x:v>
      </x:c>
      <x:c r="Q283" s="24" t="str">
        <x:v>있음</x:v>
      </x:c>
      <x:c r="R283" s="24" t="str"/>
      <x:c r="S283" s="31" t="n">
        <x:v>133</x:v>
      </x:c>
      <x:c r="T283" s="24" t="str"/>
      <x:c r="U283" s="24" t="str"/>
    </x:row>
    <x:row r="284" ht="17.25" customHeight="1">
      <x:c r="A284" s="24" t="str">
        <x:v>SW-C-02머1479-1-NA-134</x:v>
      </x:c>
      <x:c r="B284" s="24" t="str">
        <x:v>스위치플랜</x:v>
      </x:c>
      <x:c r="C284" s="24" t="str">
        <x:v>02머1479</x:v>
      </x:c>
      <x:c r="D284" s="31" t="n">
        <x:v>1</x:v>
      </x:c>
      <x:c r="E284" s="24" t="str">
        <x:v>이력</x:v>
      </x:c>
      <x:c r="F284" s="24" t="str"/>
      <x:c r="G284" s="24" t="str">
        <x:v>매각</x:v>
      </x:c>
      <x:c r="H284" s="30"/>
      <x:c r="I284" s="30"/>
      <x:c r="J284" s="30" t="n">
        <x:v>45917</x:v>
      </x:c>
      <x:c r="K284" s="32"/>
      <x:c r="L284" s="32"/>
      <x:c r="M284" s="24" t="str"/>
      <x:c r="N284" s="24" t="str">
        <x:v>26</x:v>
      </x:c>
      <x:c r="O284" s="24" t="str">
        <x:v>DB</x:v>
      </x:c>
      <x:c r="P284" s="24" t="str"/>
      <x:c r="Q284" s="24" t="str">
        <x:v>있음</x:v>
      </x:c>
      <x:c r="R284" s="24" t="str"/>
      <x:c r="S284" s="31" t="n">
        <x:v>134</x:v>
      </x:c>
      <x:c r="T284" s="24" t="str">
        <x:v>필수값 확인</x:v>
      </x:c>
      <x:c r="U284" s="24" t="str"/>
    </x:row>
    <x:row r="285" ht="17.25" customHeight="1">
      <x:c r="A285" s="24" t="str">
        <x:v>SW-C-02머1479-2-20250123-134</x:v>
      </x:c>
      <x:c r="B285" s="24" t="str">
        <x:v>스위치플랜</x:v>
      </x:c>
      <x:c r="C285" s="24" t="str">
        <x:v>02머1479</x:v>
      </x:c>
      <x:c r="D285" s="31" t="n">
        <x:v>2</x:v>
      </x:c>
      <x:c r="E285" s="24" t="str">
        <x:v>이력</x:v>
      </x:c>
      <x:c r="F285" s="24" t="str">
        <x:v>구독대여</x:v>
      </x:c>
      <x:c r="G285" s="24" t="str">
        <x:v>허수연</x:v>
      </x:c>
      <x:c r="H285" s="30" t="n">
        <x:v>45680</x:v>
      </x:c>
      <x:c r="I285" s="30" t="n">
        <x:v>46774</x:v>
      </x:c>
      <x:c r="J285" s="30" t="n">
        <x:v>45908</x:v>
      </x:c>
      <x:c r="K285" s="32" t="n">
        <x:v>400000</x:v>
      </x:c>
      <x:c r="L285" s="32" t="n">
        <x:v>1000000</x:v>
      </x:c>
      <x:c r="M285" s="24" t="str"/>
      <x:c r="N285" s="24" t="str">
        <x:v>26</x:v>
      </x:c>
      <x:c r="O285" s="24" t="str"/>
      <x:c r="P285" s="24" t="str">
        <x:v>하허호</x:v>
      </x:c>
      <x:c r="Q285" s="24" t="str">
        <x:v>있음</x:v>
      </x:c>
      <x:c r="R285" s="24" t="str"/>
      <x:c r="S285" s="31" t="n">
        <x:v>134</x:v>
      </x:c>
      <x:c r="T285" s="24" t="str"/>
      <x:c r="U285" s="24" t="str"/>
    </x:row>
    <x:row r="286" ht="17.25" customHeight="1">
      <x:c r="A286" s="24" t="str">
        <x:v>SW-C-02머1479-3-20240926-134</x:v>
      </x:c>
      <x:c r="B286" s="24" t="str">
        <x:v>스위치플랜</x:v>
      </x:c>
      <x:c r="C286" s="24" t="str">
        <x:v>02머1479</x:v>
      </x:c>
      <x:c r="D286" s="31" t="n">
        <x:v>3</x:v>
      </x:c>
      <x:c r="E286" s="24" t="str">
        <x:v>이력</x:v>
      </x:c>
      <x:c r="F286" s="24" t="str">
        <x:v>구독대여</x:v>
      </x:c>
      <x:c r="G286" s="24" t="str">
        <x:v>조샛별</x:v>
      </x:c>
      <x:c r="H286" s="30" t="n">
        <x:v>45561</x:v>
      </x:c>
      <x:c r="I286" s="30" t="n">
        <x:v>45651</x:v>
      </x:c>
      <x:c r="J286" s="30"/>
      <x:c r="K286" s="32" t="n">
        <x:v>330000</x:v>
      </x:c>
      <x:c r="L286" s="32"/>
      <x:c r="M286" s="24" t="str"/>
      <x:c r="N286" s="24" t="str">
        <x:v>26</x:v>
      </x:c>
      <x:c r="O286" s="24" t="str"/>
      <x:c r="P286" s="24" t="str">
        <x:v>하허호</x:v>
      </x:c>
      <x:c r="Q286" s="24" t="str">
        <x:v>있음</x:v>
      </x:c>
      <x:c r="R286" s="24" t="str"/>
      <x:c r="S286" s="31" t="n">
        <x:v>134</x:v>
      </x:c>
      <x:c r="T286" s="24" t="str"/>
      <x:c r="U286" s="24" t="str">
        <x:v>-</x:v>
      </x:c>
    </x:row>
    <x:row r="287" ht="17.25" customHeight="1">
      <x:c r="A287" s="24" t="str">
        <x:v>SW-C-02머1479-4-20240527-134</x:v>
      </x:c>
      <x:c r="B287" s="24" t="str">
        <x:v>스위치플랜</x:v>
      </x:c>
      <x:c r="C287" s="24" t="str">
        <x:v>02머1479</x:v>
      </x:c>
      <x:c r="D287" s="31" t="n">
        <x:v>4</x:v>
      </x:c>
      <x:c r="E287" s="24" t="str">
        <x:v>이력</x:v>
      </x:c>
      <x:c r="F287" s="24" t="str">
        <x:v>구독대여</x:v>
      </x:c>
      <x:c r="G287" s="24" t="str">
        <x:v>김남익</x:v>
      </x:c>
      <x:c r="H287" s="30" t="n">
        <x:v>45439</x:v>
      </x:c>
      <x:c r="I287" s="30" t="n">
        <x:v>45803</x:v>
      </x:c>
      <x:c r="J287" s="30" t="n">
        <x:v>45546</x:v>
      </x:c>
      <x:c r="K287" s="32" t="n">
        <x:v>490000</x:v>
      </x:c>
      <x:c r="L287" s="32" t="n">
        <x:v>490000</x:v>
      </x:c>
      <x:c r="M287" s="24" t="str"/>
      <x:c r="N287" s="24" t="str">
        <x:v>26</x:v>
      </x:c>
      <x:c r="O287" s="24" t="str"/>
      <x:c r="P287" s="24" t="str">
        <x:v>카랜(주)</x:v>
      </x:c>
      <x:c r="Q287" s="24" t="str">
        <x:v>있음</x:v>
      </x:c>
      <x:c r="R287" s="24" t="str"/>
      <x:c r="S287" s="31" t="n">
        <x:v>134</x:v>
      </x:c>
      <x:c r="T287" s="24" t="str"/>
      <x:c r="U287" s="24" t="str"/>
    </x:row>
    <x:row r="288" ht="17.25" customHeight="1">
      <x:c r="A288" s="24" t="str">
        <x:v>SW-C-228누7619-1-NA-135</x:v>
      </x:c>
      <x:c r="B288" s="24" t="str">
        <x:v>스위치플랜</x:v>
      </x:c>
      <x:c r="C288" s="24" t="str">
        <x:v>228누7619</x:v>
      </x:c>
      <x:c r="D288" s="31" t="n">
        <x:v>1</x:v>
      </x:c>
      <x:c r="E288" s="24" t="str">
        <x:v>현재칸</x:v>
      </x:c>
      <x:c r="F288" s="24" t="str"/>
      <x:c r="G288" s="24" t="str">
        <x:v>매각</x:v>
      </x:c>
      <x:c r="H288" s="30"/>
      <x:c r="I288" s="30"/>
      <x:c r="J288" s="30"/>
      <x:c r="K288" s="32"/>
      <x:c r="L288" s="32"/>
      <x:c r="M288" s="24" t="str"/>
      <x:c r="N288" s="24" t="str">
        <x:v>26</x:v>
      </x:c>
      <x:c r="O288" s="24" t="str">
        <x:v>DB</x:v>
      </x:c>
      <x:c r="P288" s="24" t="str"/>
      <x:c r="Q288" s="24" t="str">
        <x:v>없음</x:v>
      </x:c>
      <x:c r="R288" s="24" t="str"/>
      <x:c r="S288" s="31" t="n">
        <x:v>135</x:v>
      </x:c>
      <x:c r="T288" s="24" t="str">
        <x:v>필수값 확인</x:v>
      </x:c>
      <x:c r="U288" s="24" t="str"/>
    </x:row>
    <x:row r="289" ht="17.25" customHeight="1">
      <x:c r="A289" s="24" t="str">
        <x:v>SW-C-228누7619-2-NA-135</x:v>
      </x:c>
      <x:c r="B289" s="24" t="str">
        <x:v>스위치플랜</x:v>
      </x:c>
      <x:c r="C289" s="24" t="str">
        <x:v>228누7619</x:v>
      </x:c>
      <x:c r="D289" s="31" t="n">
        <x:v>2</x:v>
      </x:c>
      <x:c r="E289" s="24" t="str">
        <x:v>이력</x:v>
      </x:c>
      <x:c r="F289" s="24" t="str"/>
      <x:c r="G289" s="24" t="str">
        <x:v>엄현주</x:v>
      </x:c>
      <x:c r="H289" s="30"/>
      <x:c r="I289" s="30"/>
      <x:c r="J289" s="30"/>
      <x:c r="K289" s="32"/>
      <x:c r="L289" s="32"/>
      <x:c r="M289" s="24" t="str"/>
      <x:c r="N289" s="24" t="str">
        <x:v>26</x:v>
      </x:c>
      <x:c r="O289" s="24" t="str"/>
      <x:c r="P289" s="24" t="str"/>
      <x:c r="Q289" s="24" t="str">
        <x:v>없음</x:v>
      </x:c>
      <x:c r="R289" s="24" t="str"/>
      <x:c r="S289" s="31" t="n">
        <x:v>135</x:v>
      </x:c>
      <x:c r="T289" s="24" t="str">
        <x:v>필수값 확인</x:v>
      </x:c>
      <x:c r="U289" s="24" t="str"/>
    </x:row>
    <x:row r="290" ht="17.25" customHeight="1">
      <x:c r="A290" s="24" t="str">
        <x:v>SW-C-365마1616-1-NA-136</x:v>
      </x:c>
      <x:c r="B290" s="24" t="str">
        <x:v>스위치플랜</x:v>
      </x:c>
      <x:c r="C290" s="24" t="str">
        <x:v>365마1616</x:v>
      </x:c>
      <x:c r="D290" s="31" t="n">
        <x:v>1</x:v>
      </x:c>
      <x:c r="E290" s="24" t="str">
        <x:v>이력</x:v>
      </x:c>
      <x:c r="F290" s="24" t="str"/>
      <x:c r="G290" s="24" t="str">
        <x:v>매각</x:v>
      </x:c>
      <x:c r="H290" s="30"/>
      <x:c r="I290" s="30"/>
      <x:c r="J290" s="30" t="n">
        <x:v>45966</x:v>
      </x:c>
      <x:c r="K290" s="32"/>
      <x:c r="L290" s="32"/>
      <x:c r="M290" s="24" t="str"/>
      <x:c r="N290" s="24" t="str">
        <x:v>21</x:v>
      </x:c>
      <x:c r="O290" s="24" t="str">
        <x:v>DB</x:v>
      </x:c>
      <x:c r="P290" s="24" t="str"/>
      <x:c r="Q290" s="24" t="str">
        <x:v>있음</x:v>
      </x:c>
      <x:c r="R290" s="24" t="str"/>
      <x:c r="S290" s="31" t="n">
        <x:v>136</x:v>
      </x:c>
      <x:c r="T290" s="24" t="str">
        <x:v>필수값 확인</x:v>
      </x:c>
      <x:c r="U290" s="24" t="str"/>
    </x:row>
    <x:row r="291" ht="17.25" customHeight="1">
      <x:c r="A291" s="24" t="str">
        <x:v>SW-C-365마1616-2-20250721-136</x:v>
      </x:c>
      <x:c r="B291" s="24" t="str">
        <x:v>스위치플랜</x:v>
      </x:c>
      <x:c r="C291" s="24" t="str">
        <x:v>365마1616</x:v>
      </x:c>
      <x:c r="D291" s="31" t="n">
        <x:v>2</x:v>
      </x:c>
      <x:c r="E291" s="24" t="str">
        <x:v>이력</x:v>
      </x:c>
      <x:c r="F291" s="24" t="str">
        <x:v>구독대여</x:v>
      </x:c>
      <x:c r="G291" s="24" t="str">
        <x:v>김태리1616</x:v>
      </x:c>
      <x:c r="H291" s="30" t="n">
        <x:v>45859</x:v>
      </x:c>
      <x:c r="I291" s="30" t="n">
        <x:v>47319</x:v>
      </x:c>
      <x:c r="J291" s="30" t="n">
        <x:v>45905</x:v>
      </x:c>
      <x:c r="K291" s="32" t="n">
        <x:v>1520000</x:v>
      </x:c>
      <x:c r="L291" s="32" t="n">
        <x:v>5000000</x:v>
      </x:c>
      <x:c r="M291" s="24" t="str"/>
      <x:c r="N291" s="24" t="str">
        <x:v>21</x:v>
      </x:c>
      <x:c r="O291" s="24" t="str"/>
      <x:c r="P291" s="24" t="str"/>
      <x:c r="Q291" s="24" t="str">
        <x:v>있음</x:v>
      </x:c>
      <x:c r="R291" s="24" t="str"/>
      <x:c r="S291" s="31" t="n">
        <x:v>136</x:v>
      </x:c>
      <x:c r="T291" s="24" t="str"/>
      <x:c r="U291" s="24" t="str"/>
    </x:row>
    <x:row r="292" ht="17.25" customHeight="1">
      <x:c r="A292" s="24" t="str">
        <x:v>SW-C-365마1616-3-20240730-136</x:v>
      </x:c>
      <x:c r="B292" s="24" t="str">
        <x:v>스위치플랜</x:v>
      </x:c>
      <x:c r="C292" s="24" t="str">
        <x:v>365마1616</x:v>
      </x:c>
      <x:c r="D292" s="31" t="n">
        <x:v>3</x:v>
      </x:c>
      <x:c r="E292" s="24" t="str">
        <x:v>이력</x:v>
      </x:c>
      <x:c r="F292" s="24" t="str">
        <x:v>구독대여</x:v>
      </x:c>
      <x:c r="G292" s="24" t="str">
        <x:v>양선민</x:v>
      </x:c>
      <x:c r="H292" s="30" t="n">
        <x:v>45503</x:v>
      </x:c>
      <x:c r="I292" s="30" t="n">
        <x:v>46963</x:v>
      </x:c>
      <x:c r="J292" s="30" t="n">
        <x:v>45818</x:v>
      </x:c>
      <x:c r="K292" s="32" t="n">
        <x:v>1670000</x:v>
      </x:c>
      <x:c r="L292" s="32" t="n">
        <x:v>5000000</x:v>
      </x:c>
      <x:c r="M292" s="24" t="str"/>
      <x:c r="N292" s="24" t="str">
        <x:v>21</x:v>
      </x:c>
      <x:c r="O292" s="24" t="str"/>
      <x:c r="P292" s="24" t="str">
        <x:v>하허호</x:v>
      </x:c>
      <x:c r="Q292" s="24" t="str">
        <x:v>있음</x:v>
      </x:c>
      <x:c r="R292" s="24" t="str"/>
      <x:c r="S292" s="31" t="n">
        <x:v>136</x:v>
      </x:c>
      <x:c r="T292" s="24" t="str"/>
      <x:c r="U292" s="24" t="str"/>
    </x:row>
    <x:row r="293" ht="17.25" customHeight="1">
      <x:c r="A293" s="24" t="str">
        <x:v>SW-C-365마1616-4-20240708-136</x:v>
      </x:c>
      <x:c r="B293" s="24" t="str">
        <x:v>스위치플랜</x:v>
      </x:c>
      <x:c r="C293" s="24" t="str">
        <x:v>365마1616</x:v>
      </x:c>
      <x:c r="D293" s="31" t="n">
        <x:v>4</x:v>
      </x:c>
      <x:c r="E293" s="24" t="str">
        <x:v>이력</x:v>
      </x:c>
      <x:c r="F293" s="24" t="str">
        <x:v>구독대여</x:v>
      </x:c>
      <x:c r="G293" s="24" t="str">
        <x:v>이정민</x:v>
      </x:c>
      <x:c r="H293" s="30" t="n">
        <x:v>45481</x:v>
      </x:c>
      <x:c r="I293" s="30" t="n">
        <x:v>45845</x:v>
      </x:c>
      <x:c r="J293" s="30" t="n">
        <x:v>45497</x:v>
      </x:c>
      <x:c r="K293" s="32" t="n">
        <x:v>2550000</x:v>
      </x:c>
      <x:c r="L293" s="32" t="n">
        <x:v>2550000</x:v>
      </x:c>
      <x:c r="M293" s="24" t="str"/>
      <x:c r="N293" s="24" t="str">
        <x:v>21</x:v>
      </x:c>
      <x:c r="O293" s="24" t="str"/>
      <x:c r="P293" s="24" t="str">
        <x:v>하허호</x:v>
      </x:c>
      <x:c r="Q293" s="24" t="str">
        <x:v>있음</x:v>
      </x:c>
      <x:c r="R293" s="24" t="str"/>
      <x:c r="S293" s="31" t="n">
        <x:v>136</x:v>
      </x:c>
      <x:c r="T293" s="24" t="str"/>
      <x:c r="U293" s="24" t="str"/>
    </x:row>
    <x:row r="294" ht="17.25" customHeight="1">
      <x:c r="A294" s="24" t="str">
        <x:v>SW-C-365마1616-5-20260228-136</x:v>
      </x:c>
      <x:c r="B294" s="24" t="str">
        <x:v>스위치플랜</x:v>
      </x:c>
      <x:c r="C294" s="24" t="str">
        <x:v>365마1616</x:v>
      </x:c>
      <x:c r="D294" s="31" t="n">
        <x:v>5</x:v>
      </x:c>
      <x:c r="E294" s="24" t="str">
        <x:v>이력</x:v>
      </x:c>
      <x:c r="F294" s="24" t="str">
        <x:v>구독대여</x:v>
      </x:c>
      <x:c r="G294" s="24" t="str">
        <x:v>김민호</x:v>
      </x:c>
      <x:c r="H294" s="30" t="n">
        <x:v>46081</x:v>
      </x:c>
      <x:c r="I294" s="30" t="n">
        <x:v>45453</x:v>
      </x:c>
      <x:c r="J294" s="30"/>
      <x:c r="K294" s="32" t="n">
        <x:v>45351</x:v>
      </x:c>
      <x:c r="L294" s="32" t="n">
        <x:v>10140000</x:v>
      </x:c>
      <x:c r="M294" s="24" t="str"/>
      <x:c r="N294" s="24" t="str">
        <x:v>21</x:v>
      </x:c>
      <x:c r="O294" s="24" t="str"/>
      <x:c r="P294" s="24" t="str">
        <x:v>카랜(주)</x:v>
      </x:c>
      <x:c r="Q294" s="24" t="str">
        <x:v>있음</x:v>
      </x:c>
      <x:c r="R294" s="24" t="str"/>
      <x:c r="S294" s="31" t="n">
        <x:v>136</x:v>
      </x:c>
      <x:c r="T294" s="24" t="str"/>
      <x:c r="U294" s="24" t="str"/>
    </x:row>
    <x:row r="295" ht="17.25" customHeight="1">
      <x:c r="A295" s="24" t="str">
        <x:v>SW-C-03우7717-1-NA-137</x:v>
      </x:c>
      <x:c r="B295" s="24" t="str">
        <x:v>스위치플랜</x:v>
      </x:c>
      <x:c r="C295" s="24" t="str">
        <x:v>03우7717</x:v>
      </x:c>
      <x:c r="D295" s="31" t="n">
        <x:v>1</x:v>
      </x:c>
      <x:c r="E295" s="24" t="str">
        <x:v>이력</x:v>
      </x:c>
      <x:c r="F295" s="24" t="str"/>
      <x:c r="G295" s="24" t="str">
        <x:v>매각</x:v>
      </x:c>
      <x:c r="H295" s="30"/>
      <x:c r="I295" s="30"/>
      <x:c r="J295" s="30" t="n">
        <x:v>45917</x:v>
      </x:c>
      <x:c r="K295" s="32"/>
      <x:c r="L295" s="32"/>
      <x:c r="M295" s="24" t="str"/>
      <x:c r="N295" s="24" t="str">
        <x:v>26</x:v>
      </x:c>
      <x:c r="O295" s="24" t="str">
        <x:v>DB</x:v>
      </x:c>
      <x:c r="P295" s="24" t="str"/>
      <x:c r="Q295" s="24" t="str">
        <x:v>있음</x:v>
      </x:c>
      <x:c r="R295" s="24" t="str"/>
      <x:c r="S295" s="31" t="n">
        <x:v>137</x:v>
      </x:c>
      <x:c r="T295" s="24" t="str">
        <x:v>필수값 확인</x:v>
      </x:c>
      <x:c r="U295" s="24" t="str"/>
    </x:row>
    <x:row r="296" ht="17.25" customHeight="1">
      <x:c r="A296" s="24" t="str">
        <x:v>SW-C-03우7717-2-20250505-137</x:v>
      </x:c>
      <x:c r="B296" s="24" t="str">
        <x:v>스위치플랜</x:v>
      </x:c>
      <x:c r="C296" s="24" t="str">
        <x:v>03우7717</x:v>
      </x:c>
      <x:c r="D296" s="31" t="n">
        <x:v>2</x:v>
      </x:c>
      <x:c r="E296" s="24" t="str">
        <x:v>이력</x:v>
      </x:c>
      <x:c r="F296" s="24" t="str">
        <x:v>구독대여</x:v>
      </x:c>
      <x:c r="G296" s="24" t="str">
        <x:v>김상훈</x:v>
      </x:c>
      <x:c r="H296" s="30" t="n">
        <x:v>45782</x:v>
      </x:c>
      <x:c r="I296" s="30" t="n">
        <x:v>46146</x:v>
      </x:c>
      <x:c r="J296" s="30" t="n">
        <x:v>45913</x:v>
      </x:c>
      <x:c r="K296" s="32" t="n">
        <x:v>2000000</x:v>
      </x:c>
      <x:c r="L296" s="32" t="n">
        <x:v>2000000</x:v>
      </x:c>
      <x:c r="M296" s="24" t="str"/>
      <x:c r="N296" s="24" t="str">
        <x:v>26</x:v>
      </x:c>
      <x:c r="O296" s="24" t="str"/>
      <x:c r="P296" s="24" t="str">
        <x:v>하허호</x:v>
      </x:c>
      <x:c r="Q296" s="24" t="str">
        <x:v>있음</x:v>
      </x:c>
      <x:c r="R296" s="24" t="str"/>
      <x:c r="S296" s="31" t="n">
        <x:v>137</x:v>
      </x:c>
      <x:c r="T296" s="24" t="str"/>
      <x:c r="U296" s="24" t="str"/>
    </x:row>
    <x:row r="297" ht="17.25" customHeight="1">
      <x:c r="A297" s="24" t="str">
        <x:v>SW-C-03우7717-3-20231212-137</x:v>
      </x:c>
      <x:c r="B297" s="24" t="str">
        <x:v>스위치플랜</x:v>
      </x:c>
      <x:c r="C297" s="24" t="str">
        <x:v>03우7717</x:v>
      </x:c>
      <x:c r="D297" s="31" t="n">
        <x:v>3</x:v>
      </x:c>
      <x:c r="E297" s="24" t="str">
        <x:v>이력</x:v>
      </x:c>
      <x:c r="F297" s="24" t="str">
        <x:v>구독대여</x:v>
      </x:c>
      <x:c r="G297" s="24" t="str">
        <x:v>박재완</x:v>
      </x:c>
      <x:c r="H297" s="30" t="n">
        <x:v>45272</x:v>
      </x:c>
      <x:c r="I297" s="30" t="n">
        <x:v>46002</x:v>
      </x:c>
      <x:c r="J297" s="30" t="n">
        <x:v>45638</x:v>
      </x:c>
      <x:c r="K297" s="32" t="n">
        <x:v>2830000</x:v>
      </x:c>
      <x:c r="L297" s="32" t="n">
        <x:v>6600000</x:v>
      </x:c>
      <x:c r="M297" s="24" t="str"/>
      <x:c r="N297" s="24" t="str">
        <x:v>26</x:v>
      </x:c>
      <x:c r="O297" s="24" t="str"/>
      <x:c r="P297" s="24" t="str">
        <x:v>SI</x:v>
      </x:c>
      <x:c r="Q297" s="24" t="str">
        <x:v>있음</x:v>
      </x:c>
      <x:c r="R297" s="24" t="str"/>
      <x:c r="S297" s="31" t="n">
        <x:v>137</x:v>
      </x:c>
      <x:c r="T297" s="24" t="str"/>
      <x:c r="U297" s="24" t="str"/>
    </x:row>
    <x:row r="298" ht="17.25" customHeight="1">
      <x:c r="A298" s="24" t="str">
        <x:v>SW-C-384도7953-1-NA-138</x:v>
      </x:c>
      <x:c r="B298" s="24" t="str">
        <x:v>스위치플랜</x:v>
      </x:c>
      <x:c r="C298" s="24" t="str">
        <x:v>384도7953</x:v>
      </x:c>
      <x:c r="D298" s="31" t="n">
        <x:v>1</x:v>
      </x:c>
      <x:c r="E298" s="24" t="str">
        <x:v>이력</x:v>
      </x:c>
      <x:c r="F298" s="24" t="str"/>
      <x:c r="G298" s="24" t="str">
        <x:v>매각</x:v>
      </x:c>
      <x:c r="H298" s="30"/>
      <x:c r="I298" s="30"/>
      <x:c r="J298" s="30" t="n">
        <x:v>45917</x:v>
      </x:c>
      <x:c r="K298" s="32"/>
      <x:c r="L298" s="32"/>
      <x:c r="M298" s="24" t="str"/>
      <x:c r="N298" s="24" t="str">
        <x:v>30</x:v>
      </x:c>
      <x:c r="O298" s="24" t="str">
        <x:v>DB</x:v>
      </x:c>
      <x:c r="P298" s="24" t="str"/>
      <x:c r="Q298" s="24" t="str">
        <x:v>있음</x:v>
      </x:c>
      <x:c r="R298" s="24" t="str"/>
      <x:c r="S298" s="31" t="n">
        <x:v>138</x:v>
      </x:c>
      <x:c r="T298" s="24" t="str">
        <x:v>필수값 확인</x:v>
      </x:c>
      <x:c r="U298" s="24" t="str"/>
    </x:row>
    <x:row r="299" ht="17.25" customHeight="1">
      <x:c r="A299" s="24" t="str">
        <x:v>SW-C-384도7953-2-20250721-138</x:v>
      </x:c>
      <x:c r="B299" s="24" t="str">
        <x:v>스위치플랜</x:v>
      </x:c>
      <x:c r="C299" s="24" t="str">
        <x:v>384도7953</x:v>
      </x:c>
      <x:c r="D299" s="31" t="n">
        <x:v>2</x:v>
      </x:c>
      <x:c r="E299" s="24" t="str">
        <x:v>이력</x:v>
      </x:c>
      <x:c r="F299" s="24" t="str">
        <x:v>구독대여</x:v>
      </x:c>
      <x:c r="G299" s="24" t="str">
        <x:v>스타바이크</x:v>
      </x:c>
      <x:c r="H299" s="30" t="n">
        <x:v>45859</x:v>
      </x:c>
      <x:c r="I299" s="30" t="n">
        <x:v>47319</x:v>
      </x:c>
      <x:c r="J299" s="30" t="n">
        <x:v>45904</x:v>
      </x:c>
      <x:c r="K299" s="32" t="n">
        <x:v>1600000</x:v>
      </x:c>
      <x:c r="L299" s="32"/>
      <x:c r="M299" s="24" t="str"/>
      <x:c r="N299" s="24" t="str">
        <x:v>30</x:v>
      </x:c>
      <x:c r="O299" s="24" t="str"/>
      <x:c r="P299" s="24" t="str"/>
      <x:c r="Q299" s="24" t="str">
        <x:v>있음</x:v>
      </x:c>
      <x:c r="R299" s="24" t="str"/>
      <x:c r="S299" s="31" t="n">
        <x:v>138</x:v>
      </x:c>
      <x:c r="T299" s="24" t="str"/>
      <x:c r="U299" s="24" t="str">
        <x:v>무보증</x:v>
      </x:c>
    </x:row>
    <x:row r="300" ht="17.25" customHeight="1">
      <x:c r="A300" s="24" t="str">
        <x:v>SW-C-384도7953-3-20240705-138</x:v>
      </x:c>
      <x:c r="B300" s="24" t="str">
        <x:v>스위치플랜</x:v>
      </x:c>
      <x:c r="C300" s="24" t="str">
        <x:v>384도7953</x:v>
      </x:c>
      <x:c r="D300" s="31" t="n">
        <x:v>3</x:v>
      </x:c>
      <x:c r="E300" s="24" t="str">
        <x:v>이력</x:v>
      </x:c>
      <x:c r="F300" s="24" t="str">
        <x:v>구독대여</x:v>
      </x:c>
      <x:c r="G300" s="24" t="str">
        <x:v>박대현</x:v>
      </x:c>
      <x:c r="H300" s="30" t="n">
        <x:v>45478</x:v>
      </x:c>
      <x:c r="I300" s="30" t="n">
        <x:v>45842</x:v>
      </x:c>
      <x:c r="J300" s="30" t="n">
        <x:v>45842</x:v>
      </x:c>
      <x:c r="K300" s="32" t="n">
        <x:v>1950000</x:v>
      </x:c>
      <x:c r="L300" s="32" t="n">
        <x:v>1950000</x:v>
      </x:c>
      <x:c r="M300" s="24" t="str"/>
      <x:c r="N300" s="24" t="str">
        <x:v>30</x:v>
      </x:c>
      <x:c r="O300" s="24" t="str"/>
      <x:c r="P300" s="24" t="str">
        <x:v>하허호</x:v>
      </x:c>
      <x:c r="Q300" s="24" t="str">
        <x:v>있음</x:v>
      </x:c>
      <x:c r="R300" s="24" t="str"/>
      <x:c r="S300" s="31" t="n">
        <x:v>138</x:v>
      </x:c>
      <x:c r="T300" s="24" t="str"/>
      <x:c r="U300" s="24" t="str"/>
    </x:row>
    <x:row r="301" ht="17.25" customHeight="1">
      <x:c r="A301" s="24" t="str">
        <x:v>SW-C-229고3898-1-NA-139</x:v>
      </x:c>
      <x:c r="B301" s="24" t="str">
        <x:v>스위치플랜</x:v>
      </x:c>
      <x:c r="C301" s="24" t="str">
        <x:v>229고3898</x:v>
      </x:c>
      <x:c r="D301" s="31" t="n">
        <x:v>1</x:v>
      </x:c>
      <x:c r="E301" s="24" t="str">
        <x:v>현재칸</x:v>
      </x:c>
      <x:c r="F301" s="24" t="str"/>
      <x:c r="G301" s="24" t="str">
        <x:v>폐차진행중</x:v>
      </x:c>
      <x:c r="H301" s="30"/>
      <x:c r="I301" s="30"/>
      <x:c r="J301" s="30"/>
      <x:c r="K301" s="32"/>
      <x:c r="L301" s="32"/>
      <x:c r="M301" s="24" t="str"/>
      <x:c r="N301" s="24" t="str">
        <x:v>21</x:v>
      </x:c>
      <x:c r="O301" s="24" t="str">
        <x:v>DB</x:v>
      </x:c>
      <x:c r="P301" s="24" t="str"/>
      <x:c r="Q301" s="24" t="str">
        <x:v>있음</x:v>
      </x:c>
      <x:c r="R301" s="24" t="str"/>
      <x:c r="S301" s="31" t="n">
        <x:v>139</x:v>
      </x:c>
      <x:c r="T301" s="24" t="str">
        <x:v>필수값 확인</x:v>
      </x:c>
      <x:c r="U301" s="24" t="str"/>
    </x:row>
    <x:row r="302" ht="17.25" customHeight="1">
      <x:c r="A302" s="24" t="str">
        <x:v>SW-C-229고3898-2-20250114-139</x:v>
      </x:c>
      <x:c r="B302" s="24" t="str">
        <x:v>스위치플랜</x:v>
      </x:c>
      <x:c r="C302" s="24" t="str">
        <x:v>229고3898</x:v>
      </x:c>
      <x:c r="D302" s="31" t="n">
        <x:v>2</x:v>
      </x:c>
      <x:c r="E302" s="24" t="str">
        <x:v>이력</x:v>
      </x:c>
      <x:c r="F302" s="24" t="str">
        <x:v>구독대여</x:v>
      </x:c>
      <x:c r="G302" s="24" t="str">
        <x:v>이다현</x:v>
      </x:c>
      <x:c r="H302" s="30" t="n">
        <x:v>45671</x:v>
      </x:c>
      <x:c r="I302" s="30" t="n">
        <x:v>46765</x:v>
      </x:c>
      <x:c r="J302" s="30"/>
      <x:c r="K302" s="32" t="n">
        <x:v>470000</x:v>
      </x:c>
      <x:c r="L302" s="32" t="n">
        <x:v>1000000</x:v>
      </x:c>
      <x:c r="M302" s="24" t="str"/>
      <x:c r="N302" s="24" t="str">
        <x:v>21</x:v>
      </x:c>
      <x:c r="O302" s="24" t="str"/>
      <x:c r="P302" s="24" t="str"/>
      <x:c r="Q302" s="24" t="str">
        <x:v>있음</x:v>
      </x:c>
      <x:c r="R302" s="24" t="str"/>
      <x:c r="S302" s="31" t="n">
        <x:v>139</x:v>
      </x:c>
      <x:c r="T302" s="24" t="str"/>
      <x:c r="U302" s="24" t="str"/>
    </x:row>
    <x:row r="303" ht="17.25" customHeight="1">
      <x:c r="A303" s="24" t="str">
        <x:v>SW-C-229고3898-3-20240208-139</x:v>
      </x:c>
      <x:c r="B303" s="24" t="str">
        <x:v>스위치플랜</x:v>
      </x:c>
      <x:c r="C303" s="24" t="str">
        <x:v>229고3898</x:v>
      </x:c>
      <x:c r="D303" s="31" t="n">
        <x:v>3</x:v>
      </x:c>
      <x:c r="E303" s="24" t="str">
        <x:v>이력</x:v>
      </x:c>
      <x:c r="F303" s="24" t="str">
        <x:v>구독대여</x:v>
      </x:c>
      <x:c r="G303" s="24" t="str">
        <x:v>최인근</x:v>
      </x:c>
      <x:c r="H303" s="30" t="n">
        <x:v>45330</x:v>
      </x:c>
      <x:c r="I303" s="30" t="n">
        <x:v>46790</x:v>
      </x:c>
      <x:c r="J303" s="30" t="n">
        <x:v>45608</x:v>
      </x:c>
      <x:c r="K303" s="32" t="n">
        <x:v>1070000</x:v>
      </x:c>
      <x:c r="L303" s="32" t="n">
        <x:v>420000</x:v>
      </x:c>
      <x:c r="M303" s="24" t="str"/>
      <x:c r="N303" s="24" t="str">
        <x:v>21</x:v>
      </x:c>
      <x:c r="O303" s="24" t="str"/>
      <x:c r="P303" s="24" t="str">
        <x:v>카랜(주)</x:v>
      </x:c>
      <x:c r="Q303" s="24" t="str">
        <x:v>있음</x:v>
      </x:c>
      <x:c r="R303" s="24" t="str"/>
      <x:c r="S303" s="31" t="n">
        <x:v>139</x:v>
      </x:c>
      <x:c r="T303" s="24" t="str"/>
      <x:c r="U303" s="24" t="str"/>
    </x:row>
    <x:row r="304" ht="17.25" customHeight="1">
      <x:c r="A304" s="24" t="str">
        <x:v>SW-C-275고4723-1-NA-140</x:v>
      </x:c>
      <x:c r="B304" s="24" t="str">
        <x:v>스위치플랜</x:v>
      </x:c>
      <x:c r="C304" s="24" t="str">
        <x:v>275고4723</x:v>
      </x:c>
      <x:c r="D304" s="31" t="n">
        <x:v>1</x:v>
      </x:c>
      <x:c r="E304" s="24" t="str">
        <x:v>현재칸</x:v>
      </x:c>
      <x:c r="F304" s="24" t="str"/>
      <x:c r="G304" s="24" t="str">
        <x:v>매각</x:v>
      </x:c>
      <x:c r="H304" s="30"/>
      <x:c r="I304" s="30"/>
      <x:c r="J304" s="30"/>
      <x:c r="K304" s="32"/>
      <x:c r="L304" s="32"/>
      <x:c r="M304" s="24" t="str"/>
      <x:c r="N304" s="24" t="str">
        <x:v>26</x:v>
      </x:c>
      <x:c r="O304" s="24" t="str">
        <x:v>DB</x:v>
      </x:c>
      <x:c r="P304" s="24" t="str"/>
      <x:c r="Q304" s="24" t="str">
        <x:v>없음</x:v>
      </x:c>
      <x:c r="R304" s="24" t="str"/>
      <x:c r="S304" s="31" t="n">
        <x:v>140</x:v>
      </x:c>
      <x:c r="T304" s="24" t="str">
        <x:v>필수값 확인</x:v>
      </x:c>
      <x:c r="U304" s="24" t="str"/>
    </x:row>
    <x:row r="305" ht="17.25" customHeight="1">
      <x:c r="A305" s="24" t="str">
        <x:v>SW-C-275고4723-2-74-140</x:v>
      </x:c>
      <x:c r="B305" s="24" t="str">
        <x:v>스위치플랜</x:v>
      </x:c>
      <x:c r="C305" s="24" t="str">
        <x:v>275고4723</x:v>
      </x:c>
      <x:c r="D305" s="31" t="n">
        <x:v>2</x:v>
      </x:c>
      <x:c r="E305" s="24" t="str">
        <x:v>이력</x:v>
      </x:c>
      <x:c r="F305" s="24" t="str">
        <x:v>구독대여</x:v>
      </x:c>
      <x:c r="G305" s="24" t="str">
        <x:v>최홍열</x:v>
      </x:c>
      <x:c r="H305" s="30"/>
      <x:c r="I305" s="30" t="n">
        <x:v>45987</x:v>
      </x:c>
      <x:c r="J305" s="30" t="n">
        <x:v>45961</x:v>
      </x:c>
      <x:c r="K305" s="32" t="n">
        <x:v>370000</x:v>
      </x:c>
      <x:c r="L305" s="32" t="n">
        <x:v>800000</x:v>
      </x:c>
      <x:c r="M305" s="24" t="str"/>
      <x:c r="N305" s="24" t="str">
        <x:v>26</x:v>
      </x:c>
      <x:c r="O305" s="24" t="str"/>
      <x:c r="P305" s="24" t="str">
        <x:v>하허호</x:v>
      </x:c>
      <x:c r="Q305" s="24" t="str">
        <x:v>없음</x:v>
      </x:c>
      <x:c r="R305" s="24" t="str"/>
      <x:c r="S305" s="31" t="n">
        <x:v>140</x:v>
      </x:c>
      <x:c r="T305" s="24" t="str"/>
      <x:c r="U305" s="24" t="str"/>
    </x:row>
    <x:row r="306" ht="17.25" customHeight="1">
      <x:c r="A306" s="24" t="str">
        <x:v>SW-C-134어2323-1-NA-141</x:v>
      </x:c>
      <x:c r="B306" s="24" t="str">
        <x:v>스위치플랜</x:v>
      </x:c>
      <x:c r="C306" s="24" t="str">
        <x:v>134어2323</x:v>
      </x:c>
      <x:c r="D306" s="31" t="n">
        <x:v>1</x:v>
      </x:c>
      <x:c r="E306" s="24" t="str">
        <x:v>이력</x:v>
      </x:c>
      <x:c r="F306" s="24" t="str"/>
      <x:c r="G306" s="24" t="str">
        <x:v>매각</x:v>
      </x:c>
      <x:c r="H306" s="30"/>
      <x:c r="I306" s="30"/>
      <x:c r="J306" s="30" t="n">
        <x:v>45979</x:v>
      </x:c>
      <x:c r="K306" s="32"/>
      <x:c r="L306" s="32"/>
      <x:c r="M306" s="24" t="str"/>
      <x:c r="N306" s="24" t="str">
        <x:v>21</x:v>
      </x:c>
      <x:c r="O306" s="24" t="str">
        <x:v>DB</x:v>
      </x:c>
      <x:c r="P306" s="24" t="str"/>
      <x:c r="Q306" s="24" t="str">
        <x:v>있음</x:v>
      </x:c>
      <x:c r="R306" s="24" t="str"/>
      <x:c r="S306" s="31" t="n">
        <x:v>141</x:v>
      </x:c>
      <x:c r="T306" s="24" t="str">
        <x:v>필수값 확인</x:v>
      </x:c>
      <x:c r="U306" s="24" t="str"/>
    </x:row>
    <x:row r="307" ht="17.25" customHeight="1">
      <x:c r="A307" s="24" t="str">
        <x:v>SW-C-134어2323-2-20250422-141</x:v>
      </x:c>
      <x:c r="B307" s="24" t="str">
        <x:v>스위치플랜</x:v>
      </x:c>
      <x:c r="C307" s="24" t="str">
        <x:v>134어2323</x:v>
      </x:c>
      <x:c r="D307" s="31" t="n">
        <x:v>2</x:v>
      </x:c>
      <x:c r="E307" s="24" t="str">
        <x:v>이력</x:v>
      </x:c>
      <x:c r="F307" s="24" t="str">
        <x:v>구독대여</x:v>
      </x:c>
      <x:c r="G307" s="24" t="str">
        <x:v>정희운(에메트중고)</x:v>
      </x:c>
      <x:c r="H307" s="30" t="n">
        <x:v>45769</x:v>
      </x:c>
      <x:c r="I307" s="30" t="n">
        <x:v>47229</x:v>
      </x:c>
      <x:c r="J307" s="30" t="n">
        <x:v>45863</x:v>
      </x:c>
      <x:c r="K307" s="32" t="n">
        <x:v>1350000</x:v>
      </x:c>
      <x:c r="L307" s="32"/>
      <x:c r="M307" s="24" t="str"/>
      <x:c r="N307" s="24" t="str">
        <x:v>21</x:v>
      </x:c>
      <x:c r="O307" s="24" t="str"/>
      <x:c r="P307" s="24" t="str"/>
      <x:c r="Q307" s="24" t="str">
        <x:v>있음</x:v>
      </x:c>
      <x:c r="R307" s="24" t="str"/>
      <x:c r="S307" s="31" t="n">
        <x:v>141</x:v>
      </x:c>
      <x:c r="T307" s="24" t="str"/>
      <x:c r="U307" s="24" t="str">
        <x:v>무보증</x:v>
      </x:c>
    </x:row>
    <x:row r="308" ht="17.25" customHeight="1">
      <x:c r="A308" s="24" t="str">
        <x:v>SW-C-134어2323-3-20240422-141</x:v>
      </x:c>
      <x:c r="B308" s="24" t="str">
        <x:v>스위치플랜</x:v>
      </x:c>
      <x:c r="C308" s="24" t="str">
        <x:v>134어2323</x:v>
      </x:c>
      <x:c r="D308" s="31" t="n">
        <x:v>3</x:v>
      </x:c>
      <x:c r="E308" s="24" t="str">
        <x:v>이력</x:v>
      </x:c>
      <x:c r="F308" s="24" t="str">
        <x:v>구독대여</x:v>
      </x:c>
      <x:c r="G308" s="24" t="str">
        <x:v>김무준</x:v>
      </x:c>
      <x:c r="H308" s="30" t="n">
        <x:v>45404</x:v>
      </x:c>
      <x:c r="I308" s="30" t="n">
        <x:v>46864</x:v>
      </x:c>
      <x:c r="J308" s="30" t="n">
        <x:v>45753</x:v>
      </x:c>
      <x:c r="K308" s="32" t="n">
        <x:v>1320000</x:v>
      </x:c>
      <x:c r="L308" s="32" t="n">
        <x:v>4170000</x:v>
      </x:c>
      <x:c r="M308" s="24" t="str"/>
      <x:c r="N308" s="24" t="str">
        <x:v>21</x:v>
      </x:c>
      <x:c r="O308" s="24" t="str"/>
      <x:c r="P308" s="24" t="str">
        <x:v>카랜(주)</x:v>
      </x:c>
      <x:c r="Q308" s="24" t="str">
        <x:v>있음</x:v>
      </x:c>
      <x:c r="R308" s="24" t="str"/>
      <x:c r="S308" s="31" t="n">
        <x:v>141</x:v>
      </x:c>
      <x:c r="T308" s="24" t="str"/>
      <x:c r="U308" s="24" t="str"/>
    </x:row>
    <x:row r="309" ht="17.25" customHeight="1">
      <x:c r="A309" s="24" t="str">
        <x:v>SW-C-134어2323-4-20240422-141</x:v>
      </x:c>
      <x:c r="B309" s="24" t="str">
        <x:v>스위치플랜</x:v>
      </x:c>
      <x:c r="C309" s="24" t="str">
        <x:v>134어2323</x:v>
      </x:c>
      <x:c r="D309" s="31" t="n">
        <x:v>4</x:v>
      </x:c>
      <x:c r="E309" s="24" t="str">
        <x:v>이력</x:v>
      </x:c>
      <x:c r="F309" s="24" t="str">
        <x:v>구독대여</x:v>
      </x:c>
      <x:c r="G309" s="24" t="str">
        <x:v>정세종</x:v>
      </x:c>
      <x:c r="H309" s="30" t="n">
        <x:v>45404</x:v>
      </x:c>
      <x:c r="I309" s="30" t="n">
        <x:v>46864</x:v>
      </x:c>
      <x:c r="J309" s="30"/>
      <x:c r="K309" s="32" t="n">
        <x:v>1320000</x:v>
      </x:c>
      <x:c r="L309" s="32" t="n">
        <x:v>4170000</x:v>
      </x:c>
      <x:c r="M309" s="24" t="str"/>
      <x:c r="N309" s="24" t="str">
        <x:v>21</x:v>
      </x:c>
      <x:c r="O309" s="24" t="str"/>
      <x:c r="P309" s="24" t="str">
        <x:v>카랜(주)</x:v>
      </x:c>
      <x:c r="Q309" s="24" t="str">
        <x:v>있음</x:v>
      </x:c>
      <x:c r="R309" s="24" t="str"/>
      <x:c r="S309" s="31" t="n">
        <x:v>141</x:v>
      </x:c>
      <x:c r="T309" s="24" t="str"/>
      <x:c r="U309" s="24" t="str"/>
    </x:row>
    <x:row r="310" ht="17.25" customHeight="1">
      <x:c r="A310" s="24" t="str">
        <x:v>SW-C-365고4731-1-NA-142</x:v>
      </x:c>
      <x:c r="B310" s="24" t="str">
        <x:v>스위치플랜</x:v>
      </x:c>
      <x:c r="C310" s="24" t="str">
        <x:v>365고4731</x:v>
      </x:c>
      <x:c r="D310" s="31" t="n">
        <x:v>1</x:v>
      </x:c>
      <x:c r="E310" s="24" t="str">
        <x:v>이력</x:v>
      </x:c>
      <x:c r="F310" s="24" t="str"/>
      <x:c r="G310" s="24" t="str">
        <x:v>매각</x:v>
      </x:c>
      <x:c r="H310" s="30"/>
      <x:c r="I310" s="30"/>
      <x:c r="J310" s="30" t="n">
        <x:v>45995</x:v>
      </x:c>
      <x:c r="K310" s="32"/>
      <x:c r="L310" s="32"/>
      <x:c r="M310" s="24" t="str"/>
      <x:c r="N310" s="24" t="str">
        <x:v>24</x:v>
      </x:c>
      <x:c r="O310" s="24" t="str">
        <x:v>DB</x:v>
      </x:c>
      <x:c r="P310" s="24" t="str"/>
      <x:c r="Q310" s="24" t="str">
        <x:v>있음</x:v>
      </x:c>
      <x:c r="R310" s="24" t="str"/>
      <x:c r="S310" s="31" t="n">
        <x:v>142</x:v>
      </x:c>
      <x:c r="T310" s="24" t="str">
        <x:v>필수값 확인</x:v>
      </x:c>
      <x:c r="U310" s="24" t="str"/>
    </x:row>
    <x:row r="311" ht="17.25" customHeight="1">
      <x:c r="A311" s="24" t="str">
        <x:v>SW-C-365고4731-2-20250912-142</x:v>
      </x:c>
      <x:c r="B311" s="24" t="str">
        <x:v>스위치플랜</x:v>
      </x:c>
      <x:c r="C311" s="24" t="str">
        <x:v>365고4731</x:v>
      </x:c>
      <x:c r="D311" s="31" t="n">
        <x:v>2</x:v>
      </x:c>
      <x:c r="E311" s="24" t="str">
        <x:v>이력</x:v>
      </x:c>
      <x:c r="F311" s="24" t="str">
        <x:v>구독대여</x:v>
      </x:c>
      <x:c r="G311" s="24" t="str">
        <x:v>김인겸</x:v>
      </x:c>
      <x:c r="H311" s="30" t="n">
        <x:v>45912</x:v>
      </x:c>
      <x:c r="I311" s="30" t="n">
        <x:v>47321</x:v>
      </x:c>
      <x:c r="J311" s="30" t="n">
        <x:v>45960</x:v>
      </x:c>
      <x:c r="K311" s="32" t="n">
        <x:v>390000</x:v>
      </x:c>
      <x:c r="L311" s="32" t="n">
        <x:v>870000</x:v>
      </x:c>
      <x:c r="M311" s="24" t="str"/>
      <x:c r="N311" s="24" t="str">
        <x:v>24</x:v>
      </x:c>
      <x:c r="O311" s="24" t="str"/>
      <x:c r="P311" s="24" t="str">
        <x:v>하허호</x:v>
      </x:c>
      <x:c r="Q311" s="24" t="str">
        <x:v>있음</x:v>
      </x:c>
      <x:c r="R311" s="24" t="str"/>
      <x:c r="S311" s="31" t="n">
        <x:v>142</x:v>
      </x:c>
      <x:c r="T311" s="24" t="str"/>
      <x:c r="U311" s="24" t="str"/>
    </x:row>
    <x:row r="312" ht="17.25" customHeight="1">
      <x:c r="A312" s="24" t="str">
        <x:v>SW-C-365고4731-3-20250723-142</x:v>
      </x:c>
      <x:c r="B312" s="24" t="str">
        <x:v>스위치플랜</x:v>
      </x:c>
      <x:c r="C312" s="24" t="str">
        <x:v>365고4731</x:v>
      </x:c>
      <x:c r="D312" s="31" t="n">
        <x:v>3</x:v>
      </x:c>
      <x:c r="E312" s="24" t="str">
        <x:v>이력</x:v>
      </x:c>
      <x:c r="F312" s="24" t="str">
        <x:v>구독대여</x:v>
      </x:c>
      <x:c r="G312" s="24" t="str">
        <x:v>장승민</x:v>
      </x:c>
      <x:c r="H312" s="30" t="n">
        <x:v>45861</x:v>
      </x:c>
      <x:c r="I312" s="30" t="n">
        <x:v>47321</x:v>
      </x:c>
      <x:c r="J312" s="30"/>
      <x:c r="K312" s="32" t="n">
        <x:v>390000</x:v>
      </x:c>
      <x:c r="L312" s="32" t="n">
        <x:v>870000</x:v>
      </x:c>
      <x:c r="M312" s="24" t="str"/>
      <x:c r="N312" s="24" t="str">
        <x:v>24</x:v>
      </x:c>
      <x:c r="O312" s="24" t="str"/>
      <x:c r="P312" s="24" t="str"/>
      <x:c r="Q312" s="24" t="str">
        <x:v>있음</x:v>
      </x:c>
      <x:c r="R312" s="24" t="str"/>
      <x:c r="S312" s="31" t="n">
        <x:v>142</x:v>
      </x:c>
      <x:c r="T312" s="24" t="str"/>
      <x:c r="U312" s="24" t="str"/>
    </x:row>
    <x:row r="313" ht="17.25" customHeight="1">
      <x:c r="A313" s="24" t="str">
        <x:v>SW-C-26부0281-1-NA-143</x:v>
      </x:c>
      <x:c r="B313" s="24" t="str">
        <x:v>스위치플랜</x:v>
      </x:c>
      <x:c r="C313" s="24" t="str">
        <x:v>26부0281</x:v>
      </x:c>
      <x:c r="D313" s="31" t="n">
        <x:v>1</x:v>
      </x:c>
      <x:c r="E313" s="24" t="str">
        <x:v>이력</x:v>
      </x:c>
      <x:c r="F313" s="24" t="str"/>
      <x:c r="G313" s="24" t="str">
        <x:v>매각</x:v>
      </x:c>
      <x:c r="H313" s="30"/>
      <x:c r="I313" s="30"/>
      <x:c r="J313" s="30" t="n">
        <x:v>46008</x:v>
      </x:c>
      <x:c r="K313" s="32"/>
      <x:c r="L313" s="32"/>
      <x:c r="M313" s="24" t="str"/>
      <x:c r="N313" s="24" t="str">
        <x:v>35</x:v>
      </x:c>
      <x:c r="O313" s="24" t="str">
        <x:v>DB</x:v>
      </x:c>
      <x:c r="P313" s="24" t="str"/>
      <x:c r="Q313" s="24" t="str">
        <x:v>있음</x:v>
      </x:c>
      <x:c r="R313" s="24" t="str"/>
      <x:c r="S313" s="31" t="n">
        <x:v>143</x:v>
      </x:c>
      <x:c r="T313" s="24" t="str">
        <x:v>필수값 확인</x:v>
      </x:c>
      <x:c r="U313" s="24" t="str"/>
    </x:row>
    <x:row r="314" ht="17.25" customHeight="1">
      <x:c r="A314" s="24" t="str">
        <x:v>SW-C-26부0281-2-20240805-143</x:v>
      </x:c>
      <x:c r="B314" s="24" t="str">
        <x:v>스위치플랜</x:v>
      </x:c>
      <x:c r="C314" s="24" t="str">
        <x:v>26부0281</x:v>
      </x:c>
      <x:c r="D314" s="31" t="n">
        <x:v>2</x:v>
      </x:c>
      <x:c r="E314" s="24" t="str">
        <x:v>이력</x:v>
      </x:c>
      <x:c r="F314" s="24" t="str">
        <x:v>구독대여</x:v>
      </x:c>
      <x:c r="G314" s="24" t="str">
        <x:v>이연수</x:v>
      </x:c>
      <x:c r="H314" s="30" t="n">
        <x:v>45509</x:v>
      </x:c>
      <x:c r="I314" s="30" t="n">
        <x:v>46969</x:v>
      </x:c>
      <x:c r="J314" s="30" t="n">
        <x:v>45919</x:v>
      </x:c>
      <x:c r="K314" s="32" t="n">
        <x:v>1950000</x:v>
      </x:c>
      <x:c r="L314" s="32" t="n">
        <x:v>5000000</x:v>
      </x:c>
      <x:c r="M314" s="24" t="str"/>
      <x:c r="N314" s="24" t="str">
        <x:v>35</x:v>
      </x:c>
      <x:c r="O314" s="24" t="str"/>
      <x:c r="P314" s="24" t="str">
        <x:v>하허호</x:v>
      </x:c>
      <x:c r="Q314" s="24" t="str">
        <x:v>있음</x:v>
      </x:c>
      <x:c r="R314" s="24" t="str"/>
      <x:c r="S314" s="31" t="n">
        <x:v>143</x:v>
      </x:c>
      <x:c r="T314" s="24" t="str"/>
      <x:c r="U314" s="24" t="str"/>
    </x:row>
    <x:row r="315" ht="17.25" customHeight="1">
      <x:c r="A315" s="24" t="str">
        <x:v>SW-C-26부0281-3-20231208-143</x:v>
      </x:c>
      <x:c r="B315" s="24" t="str">
        <x:v>스위치플랜</x:v>
      </x:c>
      <x:c r="C315" s="24" t="str">
        <x:v>26부0281</x:v>
      </x:c>
      <x:c r="D315" s="31" t="n">
        <x:v>3</x:v>
      </x:c>
      <x:c r="E315" s="24" t="str">
        <x:v>이력</x:v>
      </x:c>
      <x:c r="F315" s="24" t="str">
        <x:v>구독대여</x:v>
      </x:c>
      <x:c r="G315" s="24" t="str">
        <x:v>이두일</x:v>
      </x:c>
      <x:c r="H315" s="30" t="n">
        <x:v>45268</x:v>
      </x:c>
      <x:c r="I315" s="30" t="n">
        <x:v>45633</x:v>
      </x:c>
      <x:c r="J315" s="30" t="n">
        <x:v>45496</x:v>
      </x:c>
      <x:c r="K315" s="32" t="n">
        <x:v>2500000</x:v>
      </x:c>
      <x:c r="L315" s="32" t="n">
        <x:v>3500000</x:v>
      </x:c>
      <x:c r="M315" s="24" t="str"/>
      <x:c r="N315" s="24" t="str">
        <x:v>35</x:v>
      </x:c>
      <x:c r="O315" s="24" t="str"/>
      <x:c r="P315" s="24" t="str">
        <x:v>하허호</x:v>
      </x:c>
      <x:c r="Q315" s="24" t="str">
        <x:v>있음</x:v>
      </x:c>
      <x:c r="R315" s="24" t="str"/>
      <x:c r="S315" s="31" t="n">
        <x:v>143</x:v>
      </x:c>
      <x:c r="T315" s="24" t="str"/>
      <x:c r="U315" s="24" t="str"/>
    </x:row>
    <x:row r="316" ht="17.25" customHeight="1">
      <x:c r="A316" s="24" t="str">
        <x:v>SW-C-08루7297-1-NA-144</x:v>
      </x:c>
      <x:c r="B316" s="24" t="str">
        <x:v>스위치플랜</x:v>
      </x:c>
      <x:c r="C316" s="24" t="str">
        <x:v>08루7297</x:v>
      </x:c>
      <x:c r="D316" s="31" t="n">
        <x:v>1</x:v>
      </x:c>
      <x:c r="E316" s="24" t="str">
        <x:v>이력</x:v>
      </x:c>
      <x:c r="F316" s="24" t="str"/>
      <x:c r="G316" s="24" t="str">
        <x:v>매각</x:v>
      </x:c>
      <x:c r="H316" s="30"/>
      <x:c r="I316" s="30"/>
      <x:c r="J316" s="30" t="n">
        <x:v>46008</x:v>
      </x:c>
      <x:c r="K316" s="32"/>
      <x:c r="L316" s="32"/>
      <x:c r="M316" s="24" t="str"/>
      <x:c r="N316" s="24" t="str">
        <x:v>26</x:v>
      </x:c>
      <x:c r="O316" s="24" t="str">
        <x:v>DB</x:v>
      </x:c>
      <x:c r="P316" s="24" t="str"/>
      <x:c r="Q316" s="24" t="str">
        <x:v>없음</x:v>
      </x:c>
      <x:c r="R316" s="24" t="str"/>
      <x:c r="S316" s="31" t="n">
        <x:v>144</x:v>
      </x:c>
      <x:c r="T316" s="24" t="str">
        <x:v>필수값 확인</x:v>
      </x:c>
      <x:c r="U316" s="24" t="str"/>
    </x:row>
    <x:row r="317" ht="17.25" customHeight="1">
      <x:c r="A317" s="24" t="str">
        <x:v>SW-C-08루7297-2-20231228-144</x:v>
      </x:c>
      <x:c r="B317" s="24" t="str">
        <x:v>스위치플랜</x:v>
      </x:c>
      <x:c r="C317" s="24" t="str">
        <x:v>08루7297</x:v>
      </x:c>
      <x:c r="D317" s="31" t="n">
        <x:v>2</x:v>
      </x:c>
      <x:c r="E317" s="24" t="str">
        <x:v>이력</x:v>
      </x:c>
      <x:c r="F317" s="24" t="str">
        <x:v>구독대여</x:v>
      </x:c>
      <x:c r="G317" s="24" t="str">
        <x:v>최창대</x:v>
      </x:c>
      <x:c r="H317" s="30" t="n">
        <x:v>45288</x:v>
      </x:c>
      <x:c r="I317" s="30" t="n">
        <x:v>46018</x:v>
      </x:c>
      <x:c r="J317" s="30" t="n">
        <x:v>45975</x:v>
      </x:c>
      <x:c r="K317" s="32" t="n">
        <x:v>1260000</x:v>
      </x:c>
      <x:c r="L317" s="32" t="n">
        <x:v>2600000</x:v>
      </x:c>
      <x:c r="M317" s="24" t="str"/>
      <x:c r="N317" s="24" t="str">
        <x:v>26</x:v>
      </x:c>
      <x:c r="O317" s="24" t="str"/>
      <x:c r="P317" s="24" t="str">
        <x:v>SI</x:v>
      </x:c>
      <x:c r="Q317" s="24" t="str">
        <x:v>없음</x:v>
      </x:c>
      <x:c r="R317" s="24" t="str"/>
      <x:c r="S317" s="31" t="n">
        <x:v>144</x:v>
      </x:c>
      <x:c r="T317" s="24" t="str"/>
      <x:c r="U317" s="24" t="str"/>
    </x:row>
    <x:row r="318" ht="17.25" customHeight="1">
      <x:c r="A318" s="24" t="str">
        <x:v>SW-C-85로2308-1-NA-145</x:v>
      </x:c>
      <x:c r="B318" s="24" t="str">
        <x:v>스위치플랜</x:v>
      </x:c>
      <x:c r="C318" s="24" t="str">
        <x:v>85로2308</x:v>
      </x:c>
      <x:c r="D318" s="31" t="n">
        <x:v>1</x:v>
      </x:c>
      <x:c r="E318" s="24" t="str">
        <x:v>이력</x:v>
      </x:c>
      <x:c r="F318" s="24" t="str"/>
      <x:c r="G318" s="24" t="str">
        <x:v>매각</x:v>
      </x:c>
      <x:c r="H318" s="30"/>
      <x:c r="I318" s="30"/>
      <x:c r="J318" s="30" t="n">
        <x:v>46008</x:v>
      </x:c>
      <x:c r="K318" s="32"/>
      <x:c r="L318" s="32"/>
      <x:c r="M318" s="24" t="str"/>
      <x:c r="N318" s="24" t="str">
        <x:v>35</x:v>
      </x:c>
      <x:c r="O318" s="24" t="str">
        <x:v>DB</x:v>
      </x:c>
      <x:c r="P318" s="24" t="str"/>
      <x:c r="Q318" s="24" t="str">
        <x:v>있음</x:v>
      </x:c>
      <x:c r="R318" s="24" t="str"/>
      <x:c r="S318" s="31" t="n">
        <x:v>145</x:v>
      </x:c>
      <x:c r="T318" s="24" t="str">
        <x:v>필수값 확인</x:v>
      </x:c>
      <x:c r="U318" s="24" t="str"/>
    </x:row>
    <x:row r="319" ht="17.25" customHeight="1">
      <x:c r="A319" s="24" t="str">
        <x:v>SW-C-85로2308-2-20250701-145</x:v>
      </x:c>
      <x:c r="B319" s="24" t="str">
        <x:v>스위치플랜</x:v>
      </x:c>
      <x:c r="C319" s="24" t="str">
        <x:v>85로2308</x:v>
      </x:c>
      <x:c r="D319" s="31" t="n">
        <x:v>2</x:v>
      </x:c>
      <x:c r="E319" s="24" t="str">
        <x:v>이력</x:v>
      </x:c>
      <x:c r="F319" s="24" t="str">
        <x:v>구독대여</x:v>
      </x:c>
      <x:c r="G319" s="24" t="str">
        <x:v>최영진</x:v>
      </x:c>
      <x:c r="H319" s="30" t="n">
        <x:v>45839</x:v>
      </x:c>
      <x:c r="I319" s="30" t="n">
        <x:v>47299</x:v>
      </x:c>
      <x:c r="J319" s="30" t="n">
        <x:v>45969</x:v>
      </x:c>
      <x:c r="K319" s="32" t="n">
        <x:v>680000</x:v>
      </x:c>
      <x:c r="L319" s="32"/>
      <x:c r="M319" s="24" t="str"/>
      <x:c r="N319" s="24" t="str">
        <x:v>35</x:v>
      </x:c>
      <x:c r="O319" s="24" t="str"/>
      <x:c r="P319" s="24" t="str"/>
      <x:c r="Q319" s="24" t="str">
        <x:v>있음</x:v>
      </x:c>
      <x:c r="R319" s="24" t="str"/>
      <x:c r="S319" s="31" t="n">
        <x:v>145</x:v>
      </x:c>
      <x:c r="T319" s="24" t="str"/>
      <x:c r="U319" s="24" t="str">
        <x:v>무보증</x:v>
      </x:c>
    </x:row>
    <x:row r="320" ht="17.25" customHeight="1">
      <x:c r="A320" s="24" t="str">
        <x:v>SW-C-85로2308-3-20240117-145</x:v>
      </x:c>
      <x:c r="B320" s="24" t="str">
        <x:v>스위치플랜</x:v>
      </x:c>
      <x:c r="C320" s="24" t="str">
        <x:v>85로2308</x:v>
      </x:c>
      <x:c r="D320" s="31" t="n">
        <x:v>3</x:v>
      </x:c>
      <x:c r="E320" s="24" t="str">
        <x:v>이력</x:v>
      </x:c>
      <x:c r="F320" s="24" t="str">
        <x:v>구독대여</x:v>
      </x:c>
      <x:c r="G320" s="24" t="str">
        <x:v>윤현구</x:v>
      </x:c>
      <x:c r="H320" s="30" t="n">
        <x:v>45308</x:v>
      </x:c>
      <x:c r="I320" s="30" t="n">
        <x:v>46768</x:v>
      </x:c>
      <x:c r="J320" s="30" t="n">
        <x:v>45777</x:v>
      </x:c>
      <x:c r="K320" s="32" t="n">
        <x:v>590000</x:v>
      </x:c>
      <x:c r="L320" s="32" t="n">
        <x:v>4000000</x:v>
      </x:c>
      <x:c r="M320" s="24" t="str"/>
      <x:c r="N320" s="24" t="str">
        <x:v>35</x:v>
      </x:c>
      <x:c r="O320" s="24" t="str"/>
      <x:c r="P320" s="24" t="str">
        <x:v>GNA</x:v>
      </x:c>
      <x:c r="Q320" s="24" t="str">
        <x:v>있음</x:v>
      </x:c>
      <x:c r="R320" s="24" t="str"/>
      <x:c r="S320" s="31" t="n">
        <x:v>145</x:v>
      </x:c>
      <x:c r="T320" s="24" t="str"/>
      <x:c r="U320" s="24" t="str"/>
    </x:row>
    <x:row r="321" ht="17.25" customHeight="1">
      <x:c r="A321" s="24" t="str">
        <x:v>SW-C-806머7753-1-NA-146</x:v>
      </x:c>
      <x:c r="B321" s="24" t="str">
        <x:v>스위치플랜</x:v>
      </x:c>
      <x:c r="C321" s="24" t="str">
        <x:v>806머7753</x:v>
      </x:c>
      <x:c r="D321" s="31" t="n">
        <x:v>1</x:v>
      </x:c>
      <x:c r="E321" s="24" t="str">
        <x:v>이력</x:v>
      </x:c>
      <x:c r="F321" s="24" t="str"/>
      <x:c r="G321" s="24" t="str">
        <x:v>매각</x:v>
      </x:c>
      <x:c r="H321" s="30"/>
      <x:c r="I321" s="30"/>
      <x:c r="J321" s="30" t="n">
        <x:v>46008</x:v>
      </x:c>
      <x:c r="K321" s="32"/>
      <x:c r="L321" s="32"/>
      <x:c r="M321" s="24" t="str"/>
      <x:c r="N321" s="24" t="str">
        <x:v>30</x:v>
      </x:c>
      <x:c r="O321" s="24" t="str">
        <x:v>DB</x:v>
      </x:c>
      <x:c r="P321" s="24" t="str"/>
      <x:c r="Q321" s="24" t="str">
        <x:v>있음</x:v>
      </x:c>
      <x:c r="R321" s="24" t="str"/>
      <x:c r="S321" s="31" t="n">
        <x:v>146</x:v>
      </x:c>
      <x:c r="T321" s="24" t="str">
        <x:v>필수값 확인</x:v>
      </x:c>
      <x:c r="U321" s="24" t="str"/>
    </x:row>
    <x:row r="322" ht="17.25" customHeight="1">
      <x:c r="A322" s="24" t="str">
        <x:v>SW-C-806머7753-2-20250709-146</x:v>
      </x:c>
      <x:c r="B322" s="24" t="str">
        <x:v>스위치플랜</x:v>
      </x:c>
      <x:c r="C322" s="24" t="str">
        <x:v>806머7753</x:v>
      </x:c>
      <x:c r="D322" s="31" t="n">
        <x:v>2</x:v>
      </x:c>
      <x:c r="E322" s="24" t="str">
        <x:v>이력</x:v>
      </x:c>
      <x:c r="F322" s="24" t="str">
        <x:v>구독대여</x:v>
      </x:c>
      <x:c r="G322" s="24" t="str">
        <x:v>청소박사</x:v>
      </x:c>
      <x:c r="H322" s="30" t="n">
        <x:v>45847</x:v>
      </x:c>
      <x:c r="I322" s="30" t="n">
        <x:v>47307</x:v>
      </x:c>
      <x:c r="J322" s="30" t="n">
        <x:v>45996</x:v>
      </x:c>
      <x:c r="K322" s="32" t="n">
        <x:v>830000</x:v>
      </x:c>
      <x:c r="L322" s="32"/>
      <x:c r="M322" s="24" t="str"/>
      <x:c r="N322" s="24" t="str">
        <x:v>30</x:v>
      </x:c>
      <x:c r="O322" s="24" t="str"/>
      <x:c r="P322" s="24" t="str"/>
      <x:c r="Q322" s="24" t="str">
        <x:v>있음</x:v>
      </x:c>
      <x:c r="R322" s="24" t="str"/>
      <x:c r="S322" s="31" t="n">
        <x:v>146</x:v>
      </x:c>
      <x:c r="T322" s="24" t="str"/>
      <x:c r="U322" s="24" t="str">
        <x:v>무보증</x:v>
      </x:c>
    </x:row>
    <x:row r="323" ht="17.25" customHeight="1">
      <x:c r="A323" s="24" t="str">
        <x:v>SW-C-806머7753-3-20250210-146</x:v>
      </x:c>
      <x:c r="B323" s="24" t="str">
        <x:v>스위치플랜</x:v>
      </x:c>
      <x:c r="C323" s="24" t="str">
        <x:v>806머7753</x:v>
      </x:c>
      <x:c r="D323" s="31" t="n">
        <x:v>3</x:v>
      </x:c>
      <x:c r="E323" s="24" t="str">
        <x:v>이력</x:v>
      </x:c>
      <x:c r="F323" s="24" t="str">
        <x:v>구독대여</x:v>
      </x:c>
      <x:c r="G323" s="24" t="str">
        <x:v>이광호</x:v>
      </x:c>
      <x:c r="H323" s="30" t="n">
        <x:v>45698</x:v>
      </x:c>
      <x:c r="I323" s="30" t="n">
        <x:v>47158</x:v>
      </x:c>
      <x:c r="J323" s="30" t="n">
        <x:v>45800</x:v>
      </x:c>
      <x:c r="K323" s="32" t="n">
        <x:v>830000</x:v>
      </x:c>
      <x:c r="L323" s="32"/>
      <x:c r="M323" s="24" t="str"/>
      <x:c r="N323" s="24" t="str">
        <x:v>30</x:v>
      </x:c>
      <x:c r="O323" s="24" t="str"/>
      <x:c r="P323" s="24" t="str">
        <x:v>하허호</x:v>
      </x:c>
      <x:c r="Q323" s="24" t="str">
        <x:v>있음</x:v>
      </x:c>
      <x:c r="R323" s="24" t="str"/>
      <x:c r="S323" s="31" t="n">
        <x:v>146</x:v>
      </x:c>
      <x:c r="T323" s="24" t="str"/>
      <x:c r="U323" s="24" t="str">
        <x:v>무보증</x:v>
      </x:c>
    </x:row>
    <x:row r="324" ht="17.25" customHeight="1">
      <x:c r="A324" s="24" t="str">
        <x:v>SW-C-806머7753-4-20240416-146</x:v>
      </x:c>
      <x:c r="B324" s="24" t="str">
        <x:v>스위치플랜</x:v>
      </x:c>
      <x:c r="C324" s="24" t="str">
        <x:v>806머7753</x:v>
      </x:c>
      <x:c r="D324" s="31" t="n">
        <x:v>4</x:v>
      </x:c>
      <x:c r="E324" s="24" t="str">
        <x:v>이력</x:v>
      </x:c>
      <x:c r="F324" s="24" t="str">
        <x:v>구독대여</x:v>
      </x:c>
      <x:c r="G324" s="24" t="str">
        <x:v>정해준</x:v>
      </x:c>
      <x:c r="H324" s="30" t="n">
        <x:v>45398</x:v>
      </x:c>
      <x:c r="I324" s="30" t="n">
        <x:v>46858</x:v>
      </x:c>
      <x:c r="J324" s="30" t="n">
        <x:v>45637</x:v>
      </x:c>
      <x:c r="K324" s="32" t="n">
        <x:v>1130000</x:v>
      </x:c>
      <x:c r="L324" s="32" t="n">
        <x:v>5370000</x:v>
      </x:c>
      <x:c r="M324" s="24" t="str"/>
      <x:c r="N324" s="24" t="str">
        <x:v>30</x:v>
      </x:c>
      <x:c r="O324" s="24" t="str"/>
      <x:c r="P324" s="24" t="str">
        <x:v>카랜(주)</x:v>
      </x:c>
      <x:c r="Q324" s="24" t="str">
        <x:v>있음</x:v>
      </x:c>
      <x:c r="R324" s="24" t="str"/>
      <x:c r="S324" s="31" t="n">
        <x:v>146</x:v>
      </x:c>
      <x:c r="T324" s="24" t="str"/>
      <x:c r="U324" s="24" t="str"/>
    </x:row>
    <x:row r="325" ht="17.25" customHeight="1">
      <x:c r="A325" s="24" t="str">
        <x:v>SW-C-397주6617-1-NA-147</x:v>
      </x:c>
      <x:c r="B325" s="24" t="str">
        <x:v>스위치플랜</x:v>
      </x:c>
      <x:c r="C325" s="24" t="str">
        <x:v>397주6617</x:v>
      </x:c>
      <x:c r="D325" s="31" t="n">
        <x:v>1</x:v>
      </x:c>
      <x:c r="E325" s="24" t="str">
        <x:v>이력</x:v>
      </x:c>
      <x:c r="F325" s="24" t="str"/>
      <x:c r="G325" s="24" t="str">
        <x:v>매각</x:v>
      </x:c>
      <x:c r="H325" s="30"/>
      <x:c r="I325" s="30"/>
      <x:c r="J325" s="30" t="n">
        <x:v>45953</x:v>
      </x:c>
      <x:c r="K325" s="32"/>
      <x:c r="L325" s="32"/>
      <x:c r="M325" s="24" t="str"/>
      <x:c r="N325" s="24" t="str">
        <x:v>21</x:v>
      </x:c>
      <x:c r="O325" s="24" t="str">
        <x:v>DB</x:v>
      </x:c>
      <x:c r="P325" s="24" t="str"/>
      <x:c r="Q325" s="24" t="str">
        <x:v>있음</x:v>
      </x:c>
      <x:c r="R325" s="24" t="str"/>
      <x:c r="S325" s="31" t="n">
        <x:v>147</x:v>
      </x:c>
      <x:c r="T325" s="24" t="str">
        <x:v>필수값 확인</x:v>
      </x:c>
      <x:c r="U325" s="24" t="str"/>
    </x:row>
    <x:row r="326" ht="17.25" customHeight="1">
      <x:c r="A326" s="24" t="str">
        <x:v>SW-C-397주6617-2-20241023-147</x:v>
      </x:c>
      <x:c r="B326" s="24" t="str">
        <x:v>스위치플랜</x:v>
      </x:c>
      <x:c r="C326" s="24" t="str">
        <x:v>397주6617</x:v>
      </x:c>
      <x:c r="D326" s="31" t="n">
        <x:v>2</x:v>
      </x:c>
      <x:c r="E326" s="24" t="str">
        <x:v>이력</x:v>
      </x:c>
      <x:c r="F326" s="24" t="str">
        <x:v>구독대여</x:v>
      </x:c>
      <x:c r="G326" s="24" t="str">
        <x:v>김선길</x:v>
      </x:c>
      <x:c r="H326" s="30" t="n">
        <x:v>45588</x:v>
      </x:c>
      <x:c r="I326" s="30" t="n">
        <x:v>47048</x:v>
      </x:c>
      <x:c r="J326" s="30" t="n">
        <x:v>45649</x:v>
      </x:c>
      <x:c r="K326" s="32" t="n">
        <x:v>1000000</x:v>
      </x:c>
      <x:c r="L326" s="32" t="n">
        <x:v>2500000</x:v>
      </x:c>
      <x:c r="M326" s="24" t="str"/>
      <x:c r="N326" s="24" t="str">
        <x:v>21</x:v>
      </x:c>
      <x:c r="O326" s="24" t="str"/>
      <x:c r="P326" s="24" t="str">
        <x:v>모빌앤카</x:v>
      </x:c>
      <x:c r="Q326" s="24" t="str">
        <x:v>있음</x:v>
      </x:c>
      <x:c r="R326" s="24" t="str"/>
      <x:c r="S326" s="31" t="n">
        <x:v>147</x:v>
      </x:c>
      <x:c r="T326" s="24" t="str"/>
      <x:c r="U326" s="24" t="str"/>
    </x:row>
    <x:row r="327" ht="17.25" customHeight="1">
      <x:c r="A327" s="24" t="str">
        <x:v>SW-C-397주6617-3-20240607-147</x:v>
      </x:c>
      <x:c r="B327" s="24" t="str">
        <x:v>스위치플랜</x:v>
      </x:c>
      <x:c r="C327" s="24" t="str">
        <x:v>397주6617</x:v>
      </x:c>
      <x:c r="D327" s="31" t="n">
        <x:v>3</x:v>
      </x:c>
      <x:c r="E327" s="24" t="str">
        <x:v>이력</x:v>
      </x:c>
      <x:c r="F327" s="24" t="str">
        <x:v>구독대여</x:v>
      </x:c>
      <x:c r="G327" s="24" t="str">
        <x:v>이중연</x:v>
      </x:c>
      <x:c r="H327" s="30" t="n">
        <x:v>45450</x:v>
      </x:c>
      <x:c r="I327" s="30" t="n">
        <x:v>45814</x:v>
      </x:c>
      <x:c r="J327" s="30" t="n">
        <x:v>45575</x:v>
      </x:c>
      <x:c r="K327" s="32" t="n">
        <x:v>1220000</x:v>
      </x:c>
      <x:c r="L327" s="32" t="n">
        <x:v>1220000</x:v>
      </x:c>
      <x:c r="M327" s="24" t="str"/>
      <x:c r="N327" s="24" t="str">
        <x:v>21</x:v>
      </x:c>
      <x:c r="O327" s="24" t="str"/>
      <x:c r="P327" s="24" t="str">
        <x:v>카랜(주)</x:v>
      </x:c>
      <x:c r="Q327" s="24" t="str">
        <x:v>있음</x:v>
      </x:c>
      <x:c r="R327" s="24" t="str"/>
      <x:c r="S327" s="31" t="n">
        <x:v>147</x:v>
      </x:c>
      <x:c r="T327" s="24" t="str"/>
      <x:c r="U327" s="24" t="str"/>
    </x:row>
    <x:row r="328" ht="17.25" customHeight="1">
      <x:c r="A328" s="24" t="str">
        <x:v>SW-C-21더9111-1-NA-148</x:v>
      </x:c>
      <x:c r="B328" s="24" t="str">
        <x:v>스위치플랜</x:v>
      </x:c>
      <x:c r="C328" s="24" t="str">
        <x:v>21더9111</x:v>
      </x:c>
      <x:c r="D328" s="31" t="n">
        <x:v>1</x:v>
      </x:c>
      <x:c r="E328" s="24" t="str">
        <x:v>이력</x:v>
      </x:c>
      <x:c r="F328" s="24" t="str"/>
      <x:c r="G328" s="24" t="str">
        <x:v>매각</x:v>
      </x:c>
      <x:c r="H328" s="30"/>
      <x:c r="I328" s="30"/>
      <x:c r="J328" s="30" t="n">
        <x:v>46051</x:v>
      </x:c>
      <x:c r="K328" s="32"/>
      <x:c r="L328" s="32"/>
      <x:c r="M328" s="24" t="str"/>
      <x:c r="N328" s="24" t="str">
        <x:v>35</x:v>
      </x:c>
      <x:c r="O328" s="24" t="str">
        <x:v>DB</x:v>
      </x:c>
      <x:c r="P328" s="24" t="str"/>
      <x:c r="Q328" s="24" t="str">
        <x:v>있음</x:v>
      </x:c>
      <x:c r="R328" s="24" t="str"/>
      <x:c r="S328" s="31" t="n">
        <x:v>148</x:v>
      </x:c>
      <x:c r="T328" s="24" t="str">
        <x:v>필수값 확인</x:v>
      </x:c>
      <x:c r="U328" s="24" t="str"/>
    </x:row>
    <x:row r="329" ht="17.25" customHeight="1">
      <x:c r="A329" s="24" t="str">
        <x:v>SW-C-21더9111-2-20250314-148</x:v>
      </x:c>
      <x:c r="B329" s="24" t="str">
        <x:v>스위치플랜</x:v>
      </x:c>
      <x:c r="C329" s="24" t="str">
        <x:v>21더9111</x:v>
      </x:c>
      <x:c r="D329" s="31" t="n">
        <x:v>2</x:v>
      </x:c>
      <x:c r="E329" s="24" t="str">
        <x:v>이력</x:v>
      </x:c>
      <x:c r="F329" s="24" t="str">
        <x:v>구독대여</x:v>
      </x:c>
      <x:c r="G329" s="24" t="str">
        <x:v>제이산업</x:v>
      </x:c>
      <x:c r="H329" s="30" t="n">
        <x:v>45730</x:v>
      </x:c>
      <x:c r="I329" s="30" t="n">
        <x:v>47190</x:v>
      </x:c>
      <x:c r="J329" s="30" t="n">
        <x:v>46041</x:v>
      </x:c>
      <x:c r="K329" s="32" t="n">
        <x:v>1150000</x:v>
      </x:c>
      <x:c r="L329" s="32"/>
      <x:c r="M329" s="24" t="str"/>
      <x:c r="N329" s="24" t="str">
        <x:v>35</x:v>
      </x:c>
      <x:c r="O329" s="24" t="str"/>
      <x:c r="P329" s="24" t="str">
        <x:v>오토원트</x:v>
      </x:c>
      <x:c r="Q329" s="24" t="str">
        <x:v>있음</x:v>
      </x:c>
      <x:c r="R329" s="24" t="str"/>
      <x:c r="S329" s="31" t="n">
        <x:v>148</x:v>
      </x:c>
      <x:c r="T329" s="24" t="str"/>
      <x:c r="U329" s="24" t="str">
        <x:v>무보증</x:v>
      </x:c>
    </x:row>
    <x:row r="330" ht="17.25" customHeight="1">
      <x:c r="A330" s="24" t="str">
        <x:v>SW-C-21더9111-3-20241224-148</x:v>
      </x:c>
      <x:c r="B330" s="24" t="str">
        <x:v>스위치플랜</x:v>
      </x:c>
      <x:c r="C330" s="24" t="str">
        <x:v>21더9111</x:v>
      </x:c>
      <x:c r="D330" s="31" t="n">
        <x:v>3</x:v>
      </x:c>
      <x:c r="E330" s="24" t="str">
        <x:v>이력</x:v>
      </x:c>
      <x:c r="F330" s="24" t="str">
        <x:v>구독대여</x:v>
      </x:c>
      <x:c r="G330" s="24" t="str">
        <x:v>안준범</x:v>
      </x:c>
      <x:c r="H330" s="30" t="n">
        <x:v>45650</x:v>
      </x:c>
      <x:c r="I330" s="30" t="n">
        <x:v>47110</x:v>
      </x:c>
      <x:c r="J330" s="30" t="n">
        <x:v>45722</x:v>
      </x:c>
      <x:c r="K330" s="32" t="n">
        <x:v>1150000</x:v>
      </x:c>
      <x:c r="L330" s="32" t="n">
        <x:v>2500000</x:v>
      </x:c>
      <x:c r="M330" s="24" t="str"/>
      <x:c r="N330" s="24" t="str">
        <x:v>35</x:v>
      </x:c>
      <x:c r="O330" s="24" t="str"/>
      <x:c r="P330" s="24" t="str">
        <x:v>하허호</x:v>
      </x:c>
      <x:c r="Q330" s="24" t="str">
        <x:v>있음</x:v>
      </x:c>
      <x:c r="R330" s="24" t="str"/>
      <x:c r="S330" s="31" t="n">
        <x:v>148</x:v>
      </x:c>
      <x:c r="T330" s="24" t="str"/>
      <x:c r="U330" s="24" t="str"/>
    </x:row>
    <x:row r="331" ht="17.25" customHeight="1">
      <x:c r="A331" s="24" t="str">
        <x:v>SW-C-21더9111-4-20241018-148</x:v>
      </x:c>
      <x:c r="B331" s="24" t="str">
        <x:v>스위치플랜</x:v>
      </x:c>
      <x:c r="C331" s="24" t="str">
        <x:v>21더9111</x:v>
      </x:c>
      <x:c r="D331" s="31" t="n">
        <x:v>4</x:v>
      </x:c>
      <x:c r="E331" s="24" t="str">
        <x:v>이력</x:v>
      </x:c>
      <x:c r="F331" s="24" t="str">
        <x:v>구독대여</x:v>
      </x:c>
      <x:c r="G331" s="24" t="str">
        <x:v>성지원</x:v>
      </x:c>
      <x:c r="H331" s="30" t="n">
        <x:v>45583</x:v>
      </x:c>
      <x:c r="I331" s="30" t="n">
        <x:v>45947</x:v>
      </x:c>
      <x:c r="J331" s="30" t="n">
        <x:v>45642</x:v>
      </x:c>
      <x:c r="K331" s="32" t="n">
        <x:v>1550000</x:v>
      </x:c>
      <x:c r="L331" s="32" t="n">
        <x:v>3100000</x:v>
      </x:c>
      <x:c r="M331" s="24" t="str"/>
      <x:c r="N331" s="24" t="str">
        <x:v>35</x:v>
      </x:c>
      <x:c r="O331" s="24" t="str"/>
      <x:c r="P331" s="24" t="str">
        <x:v>하허호</x:v>
      </x:c>
      <x:c r="Q331" s="24" t="str">
        <x:v>있음</x:v>
      </x:c>
      <x:c r="R331" s="24" t="str"/>
      <x:c r="S331" s="31" t="n">
        <x:v>148</x:v>
      </x:c>
      <x:c r="T331" s="24" t="str"/>
      <x:c r="U331" s="24" t="str"/>
    </x:row>
    <x:row r="332" ht="17.25" customHeight="1">
      <x:c r="A332" s="24" t="str">
        <x:v>SW-C-31러6568-1-NA-149</x:v>
      </x:c>
      <x:c r="B332" s="24" t="str">
        <x:v>스위치플랜</x:v>
      </x:c>
      <x:c r="C332" s="24" t="str">
        <x:v>31러6568</x:v>
      </x:c>
      <x:c r="D332" s="31" t="n">
        <x:v>1</x:v>
      </x:c>
      <x:c r="E332" s="24" t="str">
        <x:v>이력</x:v>
      </x:c>
      <x:c r="F332" s="24" t="str"/>
      <x:c r="G332" s="24" t="str">
        <x:v>매각</x:v>
      </x:c>
      <x:c r="H332" s="30"/>
      <x:c r="I332" s="30"/>
      <x:c r="J332" s="30" t="n">
        <x:v>46052</x:v>
      </x:c>
      <x:c r="K332" s="32"/>
      <x:c r="L332" s="32"/>
      <x:c r="M332" s="24" t="str"/>
      <x:c r="N332" s="24" t="str">
        <x:v>30</x:v>
      </x:c>
      <x:c r="O332" s="24" t="str">
        <x:v>DB</x:v>
      </x:c>
      <x:c r="P332" s="24" t="str"/>
      <x:c r="Q332" s="24" t="str">
        <x:v>있음</x:v>
      </x:c>
      <x:c r="R332" s="24" t="str"/>
      <x:c r="S332" s="31" t="n">
        <x:v>149</x:v>
      </x:c>
      <x:c r="T332" s="24" t="str">
        <x:v>필수값 확인</x:v>
      </x:c>
      <x:c r="U332" s="24" t="str"/>
    </x:row>
    <x:row r="333" ht="17.25" customHeight="1">
      <x:c r="A333" s="24" t="str">
        <x:v>SW-C-31러6568-2-20250805-149</x:v>
      </x:c>
      <x:c r="B333" s="24" t="str">
        <x:v>스위치플랜</x:v>
      </x:c>
      <x:c r="C333" s="24" t="str">
        <x:v>31러6568</x:v>
      </x:c>
      <x:c r="D333" s="31" t="n">
        <x:v>2</x:v>
      </x:c>
      <x:c r="E333" s="24" t="str">
        <x:v>이력</x:v>
      </x:c>
      <x:c r="F333" s="24" t="str">
        <x:v>구독대여</x:v>
      </x:c>
      <x:c r="G333" s="24" t="str">
        <x:v>한강수</x:v>
      </x:c>
      <x:c r="H333" s="30" t="n">
        <x:v>45874</x:v>
      </x:c>
      <x:c r="I333" s="30" t="n">
        <x:v>47334</x:v>
      </x:c>
      <x:c r="J333" s="30" t="n">
        <x:v>46018</x:v>
      </x:c>
      <x:c r="K333" s="32" t="n">
        <x:v>1050000</x:v>
      </x:c>
      <x:c r="L333" s="32"/>
      <x:c r="M333" s="24" t="str"/>
      <x:c r="N333" s="24" t="str">
        <x:v>30</x:v>
      </x:c>
      <x:c r="O333" s="24" t="str"/>
      <x:c r="P333" s="24" t="str"/>
      <x:c r="Q333" s="24" t="str">
        <x:v>있음</x:v>
      </x:c>
      <x:c r="R333" s="24" t="str"/>
      <x:c r="S333" s="31" t="n">
        <x:v>149</x:v>
      </x:c>
      <x:c r="T333" s="24" t="str"/>
      <x:c r="U333" s="24" t="str">
        <x:v>무보증</x:v>
      </x:c>
    </x:row>
    <x:row r="334" ht="17.25" customHeight="1">
      <x:c r="A334" s="24" t="str">
        <x:v>SW-C-31러6568-3-20250730-149</x:v>
      </x:c>
      <x:c r="B334" s="24" t="str">
        <x:v>스위치플랜</x:v>
      </x:c>
      <x:c r="C334" s="24" t="str">
        <x:v>31러6568</x:v>
      </x:c>
      <x:c r="D334" s="31" t="n">
        <x:v>3</x:v>
      </x:c>
      <x:c r="E334" s="24" t="str">
        <x:v>이력</x:v>
      </x:c>
      <x:c r="F334" s="24" t="str">
        <x:v>구독대여</x:v>
      </x:c>
      <x:c r="G334" s="24" t="str">
        <x:v>김대환</x:v>
      </x:c>
      <x:c r="H334" s="30" t="n">
        <x:v>45868</x:v>
      </x:c>
      <x:c r="I334" s="30" t="n">
        <x:v>47328</x:v>
      </x:c>
      <x:c r="J334" s="30" t="n">
        <x:v>45868</x:v>
      </x:c>
      <x:c r="K334" s="32" t="n">
        <x:v>1150000</x:v>
      </x:c>
      <x:c r="L334" s="32"/>
      <x:c r="M334" s="24" t="str"/>
      <x:c r="N334" s="24" t="str">
        <x:v>30</x:v>
      </x:c>
      <x:c r="O334" s="24" t="str"/>
      <x:c r="P334" s="24" t="str"/>
      <x:c r="Q334" s="24" t="str">
        <x:v>있음</x:v>
      </x:c>
      <x:c r="R334" s="24" t="str"/>
      <x:c r="S334" s="31" t="n">
        <x:v>149</x:v>
      </x:c>
      <x:c r="T334" s="24" t="str"/>
      <x:c r="U334" s="24" t="str">
        <x:v>무보증</x:v>
      </x:c>
    </x:row>
    <x:row r="335" ht="17.25" customHeight="1">
      <x:c r="A335" s="24" t="str">
        <x:v>SW-C-31러6568-4-20250613-149</x:v>
      </x:c>
      <x:c r="B335" s="24" t="str">
        <x:v>스위치플랜</x:v>
      </x:c>
      <x:c r="C335" s="24" t="str">
        <x:v>31러6568</x:v>
      </x:c>
      <x:c r="D335" s="31" t="n">
        <x:v>4</x:v>
      </x:c>
      <x:c r="E335" s="24" t="str">
        <x:v>이력</x:v>
      </x:c>
      <x:c r="F335" s="24" t="str">
        <x:v>구독대여</x:v>
      </x:c>
      <x:c r="G335" s="24" t="str">
        <x:v>김민석</x:v>
      </x:c>
      <x:c r="H335" s="30" t="n">
        <x:v>45821</x:v>
      </x:c>
      <x:c r="I335" s="30" t="n">
        <x:v>47281</x:v>
      </x:c>
      <x:c r="J335" s="30" t="n">
        <x:v>45861</x:v>
      </x:c>
      <x:c r="K335" s="32" t="n">
        <x:v>1050000</x:v>
      </x:c>
      <x:c r="L335" s="32" t="n">
        <x:v>3000000</x:v>
      </x:c>
      <x:c r="M335" s="24" t="str"/>
      <x:c r="N335" s="24" t="str">
        <x:v>30</x:v>
      </x:c>
      <x:c r="O335" s="24" t="str"/>
      <x:c r="P335" s="24" t="str">
        <x:v>하허호</x:v>
      </x:c>
      <x:c r="Q335" s="24" t="str">
        <x:v>있음</x:v>
      </x:c>
      <x:c r="R335" s="24" t="str"/>
      <x:c r="S335" s="31" t="n">
        <x:v>149</x:v>
      </x:c>
      <x:c r="T335" s="24" t="str"/>
      <x:c r="U335" s="24" t="str"/>
    </x:row>
    <x:row r="336" ht="17.25" customHeight="1">
      <x:c r="A336" s="24" t="str">
        <x:v>SW-C-31러6568-5-20280424-149</x:v>
      </x:c>
      <x:c r="B336" s="24" t="str">
        <x:v>스위치플랜</x:v>
      </x:c>
      <x:c r="C336" s="24" t="str">
        <x:v>31러6568</x:v>
      </x:c>
      <x:c r="D336" s="31" t="n">
        <x:v>5</x:v>
      </x:c>
      <x:c r="E336" s="24" t="str">
        <x:v>이력</x:v>
      </x:c>
      <x:c r="F336" s="24" t="str">
        <x:v>구독대여</x:v>
      </x:c>
      <x:c r="G336" s="24" t="str">
        <x:v>심기욱</x:v>
      </x:c>
      <x:c r="H336" s="30" t="n">
        <x:v>46867</x:v>
      </x:c>
      <x:c r="I336" s="30" t="n">
        <x:v>45796</x:v>
      </x:c>
      <x:c r="J336" s="30"/>
      <x:c r="K336" s="32" t="n">
        <x:v>45407</x:v>
      </x:c>
      <x:c r="L336" s="32" t="n">
        <x:v>3000000</x:v>
      </x:c>
      <x:c r="M336" s="24" t="str"/>
      <x:c r="N336" s="24" t="str">
        <x:v>30</x:v>
      </x:c>
      <x:c r="O336" s="24" t="str"/>
      <x:c r="P336" s="24" t="str">
        <x:v>카랜(주)</x:v>
      </x:c>
      <x:c r="Q336" s="24" t="str">
        <x:v>있음</x:v>
      </x:c>
      <x:c r="R336" s="24" t="str"/>
      <x:c r="S336" s="31" t="n">
        <x:v>149</x:v>
      </x:c>
      <x:c r="T336" s="24" t="str"/>
      <x:c r="U336" s="24" t="str"/>
    </x:row>
    <x:row r="337" ht="17.25" customHeight="1">
      <x:c r="A337" s="24" t="str">
        <x:v>SW-C-349수3116-1-NA-150</x:v>
      </x:c>
      <x:c r="B337" s="24" t="str">
        <x:v>스위치플랜</x:v>
      </x:c>
      <x:c r="C337" s="24" t="str">
        <x:v>349수3116</x:v>
      </x:c>
      <x:c r="D337" s="31" t="n">
        <x:v>1</x:v>
      </x:c>
      <x:c r="E337" s="24" t="str">
        <x:v>이력</x:v>
      </x:c>
      <x:c r="F337" s="24" t="str"/>
      <x:c r="G337" s="24" t="str">
        <x:v>매각</x:v>
      </x:c>
      <x:c r="H337" s="30"/>
      <x:c r="I337" s="30"/>
      <x:c r="J337" s="30" t="n">
        <x:v>46051</x:v>
      </x:c>
      <x:c r="K337" s="32"/>
      <x:c r="L337" s="32"/>
      <x:c r="M337" s="24" t="str"/>
      <x:c r="N337" s="24" t="str">
        <x:v>30</x:v>
      </x:c>
      <x:c r="O337" s="24" t="str">
        <x:v>DB</x:v>
      </x:c>
      <x:c r="P337" s="24" t="str"/>
      <x:c r="Q337" s="24" t="str">
        <x:v>있음</x:v>
      </x:c>
      <x:c r="R337" s="24" t="str"/>
      <x:c r="S337" s="31" t="n">
        <x:v>150</x:v>
      </x:c>
      <x:c r="T337" s="24" t="str">
        <x:v>필수값 확인</x:v>
      </x:c>
      <x:c r="U337" s="24" t="str"/>
    </x:row>
    <x:row r="338" ht="17.25" customHeight="1">
      <x:c r="A338" s="24" t="str">
        <x:v>SW-C-349수3116-2-20250207-150</x:v>
      </x:c>
      <x:c r="B338" s="24" t="str">
        <x:v>스위치플랜</x:v>
      </x:c>
      <x:c r="C338" s="24" t="str">
        <x:v>349수3116</x:v>
      </x:c>
      <x:c r="D338" s="31" t="n">
        <x:v>2</x:v>
      </x:c>
      <x:c r="E338" s="24" t="str">
        <x:v>이력</x:v>
      </x:c>
      <x:c r="F338" s="24" t="str">
        <x:v>구독대여</x:v>
      </x:c>
      <x:c r="G338" s="24" t="str">
        <x:v>복경석</x:v>
      </x:c>
      <x:c r="H338" s="30" t="n">
        <x:v>45695</x:v>
      </x:c>
      <x:c r="I338" s="30" t="n">
        <x:v>46059</x:v>
      </x:c>
      <x:c r="J338" s="30" t="n">
        <x:v>45957</x:v>
      </x:c>
      <x:c r="K338" s="32" t="n">
        <x:v>1060000</x:v>
      </x:c>
      <x:c r="L338" s="32" t="n">
        <x:v>500000</x:v>
      </x:c>
      <x:c r="M338" s="24" t="str"/>
      <x:c r="N338" s="24" t="str">
        <x:v>30</x:v>
      </x:c>
      <x:c r="O338" s="24" t="str"/>
      <x:c r="P338" s="24" t="str">
        <x:v>하허호</x:v>
      </x:c>
      <x:c r="Q338" s="24" t="str">
        <x:v>있음</x:v>
      </x:c>
      <x:c r="R338" s="24" t="str"/>
      <x:c r="S338" s="31" t="n">
        <x:v>150</x:v>
      </x:c>
      <x:c r="T338" s="24" t="str"/>
      <x:c r="U338" s="24" t="str"/>
    </x:row>
    <x:row r="339" ht="17.25" customHeight="1">
      <x:c r="A339" s="24" t="str">
        <x:v>SW-C-59가1616-1-NA-151</x:v>
      </x:c>
      <x:c r="B339" s="24" t="str">
        <x:v>스위치플랜</x:v>
      </x:c>
      <x:c r="C339" s="24" t="str">
        <x:v>59가1616</x:v>
      </x:c>
      <x:c r="D339" s="31" t="n">
        <x:v>1</x:v>
      </x:c>
      <x:c r="E339" s="24" t="str">
        <x:v>이력</x:v>
      </x:c>
      <x:c r="F339" s="24" t="str"/>
      <x:c r="G339" s="24" t="str">
        <x:v>매각</x:v>
      </x:c>
      <x:c r="H339" s="30"/>
      <x:c r="I339" s="30"/>
      <x:c r="J339" s="30" t="n">
        <x:v>46052</x:v>
      </x:c>
      <x:c r="K339" s="32"/>
      <x:c r="L339" s="32"/>
      <x:c r="M339" s="24" t="str"/>
      <x:c r="N339" s="24" t="str">
        <x:v>24</x:v>
      </x:c>
      <x:c r="O339" s="24" t="str">
        <x:v>DB</x:v>
      </x:c>
      <x:c r="P339" s="24" t="str"/>
      <x:c r="Q339" s="24" t="str">
        <x:v>있음</x:v>
      </x:c>
      <x:c r="R339" s="24" t="str"/>
      <x:c r="S339" s="31" t="n">
        <x:v>151</x:v>
      </x:c>
      <x:c r="T339" s="24" t="str">
        <x:v>필수값 확인</x:v>
      </x:c>
      <x:c r="U339" s="24" t="str"/>
    </x:row>
    <x:row r="340" ht="17.25" customHeight="1">
      <x:c r="A340" s="24" t="str">
        <x:v>SW-C-59가1616-2-20250930-151</x:v>
      </x:c>
      <x:c r="B340" s="24" t="str">
        <x:v>스위치플랜</x:v>
      </x:c>
      <x:c r="C340" s="24" t="str">
        <x:v>59가1616</x:v>
      </x:c>
      <x:c r="D340" s="31" t="n">
        <x:v>2</x:v>
      </x:c>
      <x:c r="E340" s="24" t="str">
        <x:v>이력</x:v>
      </x:c>
      <x:c r="F340" s="24" t="str">
        <x:v>구독대여</x:v>
      </x:c>
      <x:c r="G340" s="24" t="str">
        <x:v>김민재</x:v>
      </x:c>
      <x:c r="H340" s="30" t="n">
        <x:v>45930</x:v>
      </x:c>
      <x:c r="I340" s="30" t="n">
        <x:v>47390</x:v>
      </x:c>
      <x:c r="J340" s="30" t="n">
        <x:v>46045</x:v>
      </x:c>
      <x:c r="K340" s="32" t="n">
        <x:v>1160000</x:v>
      </x:c>
      <x:c r="L340" s="32" t="n">
        <x:v>2000000</x:v>
      </x:c>
      <x:c r="M340" s="24" t="str"/>
      <x:c r="N340" s="24" t="str">
        <x:v>24</x:v>
      </x:c>
      <x:c r="O340" s="24" t="str"/>
      <x:c r="P340" s="24" t="str">
        <x:v>하허호</x:v>
      </x:c>
      <x:c r="Q340" s="24" t="str">
        <x:v>있음</x:v>
      </x:c>
      <x:c r="R340" s="24" t="str"/>
      <x:c r="S340" s="31" t="n">
        <x:v>151</x:v>
      </x:c>
      <x:c r="T340" s="24" t="str"/>
      <x:c r="U340" s="24" t="str"/>
    </x:row>
    <x:row r="341" ht="17.25" customHeight="1">
      <x:c r="A341" s="24" t="str">
        <x:v>SW-C-59가1616-3-20241129-151</x:v>
      </x:c>
      <x:c r="B341" s="24" t="str">
        <x:v>스위치플랜</x:v>
      </x:c>
      <x:c r="C341" s="24" t="str">
        <x:v>59가1616</x:v>
      </x:c>
      <x:c r="D341" s="31" t="n">
        <x:v>3</x:v>
      </x:c>
      <x:c r="E341" s="24" t="str">
        <x:v>이력</x:v>
      </x:c>
      <x:c r="F341" s="24" t="str">
        <x:v>구독대여</x:v>
      </x:c>
      <x:c r="G341" s="24" t="str">
        <x:v>정진욱</x:v>
      </x:c>
      <x:c r="H341" s="30" t="n">
        <x:v>45625</x:v>
      </x:c>
      <x:c r="I341" s="30" t="n">
        <x:v>47085</x:v>
      </x:c>
      <x:c r="J341" s="30" t="n">
        <x:v>45827</x:v>
      </x:c>
      <x:c r="K341" s="32" t="n">
        <x:v>1060000</x:v>
      </x:c>
      <x:c r="L341" s="32" t="n">
        <x:v>2600000</x:v>
      </x:c>
      <x:c r="M341" s="24" t="str"/>
      <x:c r="N341" s="24" t="str">
        <x:v>24</x:v>
      </x:c>
      <x:c r="O341" s="24" t="str"/>
      <x:c r="P341" s="24" t="str">
        <x:v>김지호</x:v>
      </x:c>
      <x:c r="Q341" s="24" t="str">
        <x:v>있음</x:v>
      </x:c>
      <x:c r="R341" s="24" t="str"/>
      <x:c r="S341" s="31" t="n">
        <x:v>151</x:v>
      </x:c>
      <x:c r="T341" s="24" t="str"/>
      <x:c r="U341" s="24" t="str"/>
    </x:row>
    <x:row r="342" ht="17.25" customHeight="1">
      <x:c r="A342" s="24" t="str">
        <x:v>SW-C-134오2250-1-NA-152</x:v>
      </x:c>
      <x:c r="B342" s="24" t="str">
        <x:v>스위치플랜</x:v>
      </x:c>
      <x:c r="C342" s="24" t="str">
        <x:v>134오2250</x:v>
      </x:c>
      <x:c r="D342" s="31" t="n">
        <x:v>1</x:v>
      </x:c>
      <x:c r="E342" s="24" t="str">
        <x:v>이력</x:v>
      </x:c>
      <x:c r="F342" s="24" t="str"/>
      <x:c r="G342" s="24" t="str">
        <x:v>매각</x:v>
      </x:c>
      <x:c r="H342" s="30"/>
      <x:c r="I342" s="30"/>
      <x:c r="J342" s="30" t="n">
        <x:v>46052</x:v>
      </x:c>
      <x:c r="K342" s="32"/>
      <x:c r="L342" s="32"/>
      <x:c r="M342" s="24" t="str"/>
      <x:c r="N342" s="24" t="str">
        <x:v>26</x:v>
      </x:c>
      <x:c r="O342" s="24" t="str">
        <x:v>DB</x:v>
      </x:c>
      <x:c r="P342" s="24" t="str"/>
      <x:c r="Q342" s="24" t="str">
        <x:v>있음</x:v>
      </x:c>
      <x:c r="R342" s="24" t="str"/>
      <x:c r="S342" s="31" t="n">
        <x:v>152</x:v>
      </x:c>
      <x:c r="T342" s="24" t="str">
        <x:v>필수값 확인</x:v>
      </x:c>
      <x:c r="U342" s="24" t="str"/>
    </x:row>
    <x:row r="343" ht="17.25" customHeight="1">
      <x:c r="A343" s="24" t="str">
        <x:v>SW-C-134오2250-2-20251027-152</x:v>
      </x:c>
      <x:c r="B343" s="24" t="str">
        <x:v>스위치플랜</x:v>
      </x:c>
      <x:c r="C343" s="24" t="str">
        <x:v>134오2250</x:v>
      </x:c>
      <x:c r="D343" s="31" t="n">
        <x:v>2</x:v>
      </x:c>
      <x:c r="E343" s="24" t="str">
        <x:v>이력</x:v>
      </x:c>
      <x:c r="F343" s="24" t="str">
        <x:v>구독대여</x:v>
      </x:c>
      <x:c r="G343" s="24" t="str">
        <x:v>임진수</x:v>
      </x:c>
      <x:c r="H343" s="30" t="n">
        <x:v>45957</x:v>
      </x:c>
      <x:c r="I343" s="30" t="n">
        <x:v>47417</x:v>
      </x:c>
      <x:c r="J343" s="30" t="n">
        <x:v>46002</x:v>
      </x:c>
      <x:c r="K343" s="32" t="n">
        <x:v>990000</x:v>
      </x:c>
      <x:c r="L343" s="32" t="n">
        <x:v>2400000</x:v>
      </x:c>
      <x:c r="M343" s="24" t="str"/>
      <x:c r="N343" s="24" t="str">
        <x:v>26</x:v>
      </x:c>
      <x:c r="O343" s="24" t="str"/>
      <x:c r="P343" s="24" t="str">
        <x:v>하허호</x:v>
      </x:c>
      <x:c r="Q343" s="24" t="str">
        <x:v>있음</x:v>
      </x:c>
      <x:c r="R343" s="24" t="str"/>
      <x:c r="S343" s="31" t="n">
        <x:v>152</x:v>
      </x:c>
      <x:c r="T343" s="24" t="str"/>
      <x:c r="U343" s="24" t="str"/>
    </x:row>
    <x:row r="344" ht="17.25" customHeight="1">
      <x:c r="A344" s="24" t="str">
        <x:v>SW-C-134오2250-3-20250729-152</x:v>
      </x:c>
      <x:c r="B344" s="24" t="str">
        <x:v>스위치플랜</x:v>
      </x:c>
      <x:c r="C344" s="24" t="str">
        <x:v>134오2250</x:v>
      </x:c>
      <x:c r="D344" s="31" t="n">
        <x:v>3</x:v>
      </x:c>
      <x:c r="E344" s="24" t="str">
        <x:v>이력</x:v>
      </x:c>
      <x:c r="F344" s="24" t="str">
        <x:v>구독대여</x:v>
      </x:c>
      <x:c r="G344" s="24" t="str">
        <x:v>김현일</x:v>
      </x:c>
      <x:c r="H344" s="30" t="n">
        <x:v>45867</x:v>
      </x:c>
      <x:c r="I344" s="30" t="n">
        <x:v>47137</x:v>
      </x:c>
      <x:c r="J344" s="30" t="n">
        <x:v>45930</x:v>
      </x:c>
      <x:c r="K344" s="32" t="n">
        <x:v>990000</x:v>
      </x:c>
      <x:c r="L344" s="32" t="n">
        <x:v>2400000</x:v>
      </x:c>
      <x:c r="M344" s="24" t="str"/>
      <x:c r="N344" s="24" t="str">
        <x:v>26</x:v>
      </x:c>
      <x:c r="O344" s="24" t="str"/>
      <x:c r="P344" s="24" t="str">
        <x:v>하허호</x:v>
      </x:c>
      <x:c r="Q344" s="24" t="str">
        <x:v>있음</x:v>
      </x:c>
      <x:c r="R344" s="24" t="str"/>
      <x:c r="S344" s="31" t="n">
        <x:v>152</x:v>
      </x:c>
      <x:c r="T344" s="24" t="str"/>
      <x:c r="U344" s="24" t="str"/>
    </x:row>
    <x:row r="345" ht="17.25" customHeight="1">
      <x:c r="A345" s="24" t="str">
        <x:v>SW-C-134오2250-4-20250120-152</x:v>
      </x:c>
      <x:c r="B345" s="24" t="str">
        <x:v>스위치플랜</x:v>
      </x:c>
      <x:c r="C345" s="24" t="str">
        <x:v>134오2250</x:v>
      </x:c>
      <x:c r="D345" s="31" t="n">
        <x:v>4</x:v>
      </x:c>
      <x:c r="E345" s="24" t="str">
        <x:v>이력</x:v>
      </x:c>
      <x:c r="F345" s="24" t="str">
        <x:v>구독대여</x:v>
      </x:c>
      <x:c r="G345" s="24" t="str">
        <x:v>공수빈</x:v>
      </x:c>
      <x:c r="H345" s="30" t="n">
        <x:v>45677</x:v>
      </x:c>
      <x:c r="I345" s="30" t="n">
        <x:v>47137</x:v>
      </x:c>
      <x:c r="J345" s="30"/>
      <x:c r="K345" s="32" t="n">
        <x:v>990000</x:v>
      </x:c>
      <x:c r="L345" s="32" t="n">
        <x:v>2400000</x:v>
      </x:c>
      <x:c r="M345" s="24" t="str"/>
      <x:c r="N345" s="24" t="str">
        <x:v>26</x:v>
      </x:c>
      <x:c r="O345" s="24" t="str"/>
      <x:c r="P345" s="24" t="str">
        <x:v>하허호</x:v>
      </x:c>
      <x:c r="Q345" s="24" t="str">
        <x:v>있음</x:v>
      </x:c>
      <x:c r="R345" s="24" t="str"/>
      <x:c r="S345" s="31" t="n">
        <x:v>152</x:v>
      </x:c>
      <x:c r="T345" s="24" t="str"/>
      <x:c r="U345" s="24" t="str"/>
    </x:row>
    <x:row r="346" ht="17.25" customHeight="1">
      <x:c r="A346" s="24" t="str">
        <x:v>SW-C-134오2250-5-20251204-152</x:v>
      </x:c>
      <x:c r="B346" s="24" t="str">
        <x:v>스위치플랜</x:v>
      </x:c>
      <x:c r="C346" s="24" t="str">
        <x:v>134오2250</x:v>
      </x:c>
      <x:c r="D346" s="31" t="n">
        <x:v>5</x:v>
      </x:c>
      <x:c r="E346" s="24" t="str">
        <x:v>이력</x:v>
      </x:c>
      <x:c r="F346" s="24" t="str">
        <x:v>구독대여</x:v>
      </x:c>
      <x:c r="G346" s="24" t="str">
        <x:v>나희은</x:v>
      </x:c>
      <x:c r="H346" s="30" t="n">
        <x:v>45995</x:v>
      </x:c>
      <x:c r="I346" s="30" t="n">
        <x:v>45635</x:v>
      </x:c>
      <x:c r="J346" s="30"/>
      <x:c r="K346" s="32" t="n">
        <x:v>45265</x:v>
      </x:c>
      <x:c r="L346" s="32" t="n">
        <x:v>2840000</x:v>
      </x:c>
      <x:c r="M346" s="24" t="str"/>
      <x:c r="N346" s="24" t="str">
        <x:v>26</x:v>
      </x:c>
      <x:c r="O346" s="24" t="str"/>
      <x:c r="P346" s="24" t="str">
        <x:v>하허호</x:v>
      </x:c>
      <x:c r="Q346" s="24" t="str">
        <x:v>있음</x:v>
      </x:c>
      <x:c r="R346" s="24" t="str"/>
      <x:c r="S346" s="31" t="n">
        <x:v>152</x:v>
      </x:c>
      <x:c r="T346" s="24" t="str"/>
      <x:c r="U346" s="24" t="str"/>
    </x:row>
    <x:row r="347" ht="17.25" customHeight="1">
      <x:c r="A347" s="24" t="str">
        <x:v>SW-C-34더3234-1-NA-153</x:v>
      </x:c>
      <x:c r="B347" s="24" t="str">
        <x:v>스위치플랜</x:v>
      </x:c>
      <x:c r="C347" s="24" t="str">
        <x:v>34더3234</x:v>
      </x:c>
      <x:c r="D347" s="31" t="n">
        <x:v>1</x:v>
      </x:c>
      <x:c r="E347" s="24" t="str">
        <x:v>이력</x:v>
      </x:c>
      <x:c r="F347" s="24" t="str"/>
      <x:c r="G347" s="24" t="str">
        <x:v>매각</x:v>
      </x:c>
      <x:c r="H347" s="30"/>
      <x:c r="I347" s="30"/>
      <x:c r="J347" s="30" t="n">
        <x:v>46059</x:v>
      </x:c>
      <x:c r="K347" s="32"/>
      <x:c r="L347" s="32"/>
      <x:c r="M347" s="24" t="str"/>
      <x:c r="N347" s="24" t="str">
        <x:v>21</x:v>
      </x:c>
      <x:c r="O347" s="24" t="str">
        <x:v>DB</x:v>
      </x:c>
      <x:c r="P347" s="24" t="str"/>
      <x:c r="Q347" s="24" t="str">
        <x:v>있음</x:v>
      </x:c>
      <x:c r="R347" s="24" t="str"/>
      <x:c r="S347" s="31" t="n">
        <x:v>153</x:v>
      </x:c>
      <x:c r="T347" s="24" t="str">
        <x:v>필수값 확인</x:v>
      </x:c>
      <x:c r="U347" s="24" t="str"/>
    </x:row>
    <x:row r="348" ht="17.25" customHeight="1">
      <x:c r="A348" s="24" t="str">
        <x:v>SW-C-34더3234-2-20260102-153</x:v>
      </x:c>
      <x:c r="B348" s="24" t="str">
        <x:v>스위치플랜</x:v>
      </x:c>
      <x:c r="C348" s="24" t="str">
        <x:v>34더3234</x:v>
      </x:c>
      <x:c r="D348" s="31" t="n">
        <x:v>2</x:v>
      </x:c>
      <x:c r="E348" s="24" t="str">
        <x:v>이력</x:v>
      </x:c>
      <x:c r="F348" s="24" t="str">
        <x:v>구독대여</x:v>
      </x:c>
      <x:c r="G348" s="24" t="str">
        <x:v>신경준</x:v>
      </x:c>
      <x:c r="H348" s="30" t="n">
        <x:v>46024</x:v>
      </x:c>
      <x:c r="I348" s="30" t="n">
        <x:v>47372</x:v>
      </x:c>
      <x:c r="J348" s="30" t="n">
        <x:v>46044</x:v>
      </x:c>
      <x:c r="K348" s="32" t="n">
        <x:v>1100000</x:v>
      </x:c>
      <x:c r="L348" s="32" t="n">
        <x:v>2500000</x:v>
      </x:c>
      <x:c r="M348" s="24" t="str"/>
      <x:c r="N348" s="24" t="str">
        <x:v>21</x:v>
      </x:c>
      <x:c r="O348" s="24" t="str"/>
      <x:c r="P348" s="24" t="str">
        <x:v>하허호</x:v>
      </x:c>
      <x:c r="Q348" s="24" t="str">
        <x:v>있음</x:v>
      </x:c>
      <x:c r="R348" s="24" t="str"/>
      <x:c r="S348" s="31" t="n">
        <x:v>153</x:v>
      </x:c>
      <x:c r="T348" s="24" t="str"/>
      <x:c r="U348" s="24" t="str"/>
    </x:row>
    <x:row r="349" ht="17.25" customHeight="1">
      <x:c r="A349" s="24" t="str">
        <x:v>SW-C-34더3234-3-20250912-153</x:v>
      </x:c>
      <x:c r="B349" s="24" t="str">
        <x:v>스위치플랜</x:v>
      </x:c>
      <x:c r="C349" s="24" t="str">
        <x:v>34더3234</x:v>
      </x:c>
      <x:c r="D349" s="31" t="n">
        <x:v>3</x:v>
      </x:c>
      <x:c r="E349" s="24" t="str">
        <x:v>이력</x:v>
      </x:c>
      <x:c r="F349" s="24" t="str">
        <x:v>구독대여</x:v>
      </x:c>
      <x:c r="G349" s="24" t="str">
        <x:v>신성민</x:v>
      </x:c>
      <x:c r="H349" s="30" t="n">
        <x:v>45912</x:v>
      </x:c>
      <x:c r="I349" s="30" t="n">
        <x:v>47372</x:v>
      </x:c>
      <x:c r="J349" s="30"/>
      <x:c r="K349" s="32" t="n">
        <x:v>1100000</x:v>
      </x:c>
      <x:c r="L349" s="32" t="n">
        <x:v>2500000</x:v>
      </x:c>
      <x:c r="M349" s="24" t="str"/>
      <x:c r="N349" s="24" t="str">
        <x:v>21</x:v>
      </x:c>
      <x:c r="O349" s="24" t="str"/>
      <x:c r="P349" s="24" t="str">
        <x:v>하허호</x:v>
      </x:c>
      <x:c r="Q349" s="24" t="str">
        <x:v>있음</x:v>
      </x:c>
      <x:c r="R349" s="24" t="str"/>
      <x:c r="S349" s="31" t="n">
        <x:v>153</x:v>
      </x:c>
      <x:c r="T349" s="24" t="str"/>
      <x:c r="U349" s="24" t="str"/>
    </x:row>
    <x:row r="350" ht="17.25" customHeight="1">
      <x:c r="A350" s="24" t="str">
        <x:v>SW-C-34더3234-4-20240822-153</x:v>
      </x:c>
      <x:c r="B350" s="24" t="str">
        <x:v>스위치플랜</x:v>
      </x:c>
      <x:c r="C350" s="24" t="str">
        <x:v>34더3234</x:v>
      </x:c>
      <x:c r="D350" s="31" t="n">
        <x:v>4</x:v>
      </x:c>
      <x:c r="E350" s="24" t="str">
        <x:v>이력</x:v>
      </x:c>
      <x:c r="F350" s="24" t="str">
        <x:v>구독대여</x:v>
      </x:c>
      <x:c r="G350" s="24" t="str">
        <x:v>이상권</x:v>
      </x:c>
      <x:c r="H350" s="30" t="n">
        <x:v>45526</x:v>
      </x:c>
      <x:c r="I350" s="30" t="n">
        <x:v>45890</x:v>
      </x:c>
      <x:c r="J350" s="30" t="n">
        <x:v>45892</x:v>
      </x:c>
      <x:c r="K350" s="32" t="n">
        <x:v>1300000</x:v>
      </x:c>
      <x:c r="L350" s="32" t="n">
        <x:v>1300000</x:v>
      </x:c>
      <x:c r="M350" s="24" t="str"/>
      <x:c r="N350" s="24" t="str">
        <x:v>21</x:v>
      </x:c>
      <x:c r="O350" s="24" t="str"/>
      <x:c r="P350" s="24" t="str">
        <x:v>하허호</x:v>
      </x:c>
      <x:c r="Q350" s="24" t="str">
        <x:v>있음</x:v>
      </x:c>
      <x:c r="R350" s="24" t="str"/>
      <x:c r="S350" s="31" t="n">
        <x:v>153</x:v>
      </x:c>
      <x:c r="T350" s="24" t="str"/>
      <x:c r="U350" s="24" t="str"/>
    </x:row>
    <x:row r="351" ht="17.25" customHeight="1">
      <x:c r="A351" s="24" t="str">
        <x:v>SW-C-34더3234-5-20280606-153</x:v>
      </x:c>
      <x:c r="B351" s="24" t="str">
        <x:v>스위치플랜</x:v>
      </x:c>
      <x:c r="C351" s="24" t="str">
        <x:v>34더3234</x:v>
      </x:c>
      <x:c r="D351" s="31" t="n">
        <x:v>5</x:v>
      </x:c>
      <x:c r="E351" s="24" t="str">
        <x:v>이력</x:v>
      </x:c>
      <x:c r="F351" s="24" t="str">
        <x:v>구독대여</x:v>
      </x:c>
      <x:c r="G351" s="24" t="str">
        <x:v>문진욱</x:v>
      </x:c>
      <x:c r="H351" s="30" t="n">
        <x:v>46910</x:v>
      </x:c>
      <x:c r="I351" s="30"/>
      <x:c r="J351" s="30"/>
      <x:c r="K351" s="32" t="n">
        <x:v>45450</x:v>
      </x:c>
      <x:c r="L351" s="32" t="n">
        <x:v>2500000</x:v>
      </x:c>
      <x:c r="M351" s="24" t="str"/>
      <x:c r="N351" s="24" t="str">
        <x:v>21</x:v>
      </x:c>
      <x:c r="O351" s="24" t="str"/>
      <x:c r="P351" s="24" t="str">
        <x:v>카랜(주)</x:v>
      </x:c>
      <x:c r="Q351" s="24" t="str">
        <x:v>있음</x:v>
      </x:c>
      <x:c r="R351" s="24" t="str"/>
      <x:c r="S351" s="31" t="n">
        <x:v>153</x:v>
      </x:c>
      <x:c r="T351" s="24" t="str"/>
      <x:c r="U351" s="24" t="str"/>
    </x:row>
    <x:row r="352" ht="17.25" customHeight="1">
      <x:c r="A352" s="24" t="str">
        <x:v>SW-C-374보1113-1-NA-154</x:v>
      </x:c>
      <x:c r="B352" s="24" t="str">
        <x:v>스위치플랜</x:v>
      </x:c>
      <x:c r="C352" s="24" t="str">
        <x:v>374보1113</x:v>
      </x:c>
      <x:c r="D352" s="31" t="n">
        <x:v>1</x:v>
      </x:c>
      <x:c r="E352" s="24" t="str">
        <x:v>이력</x:v>
      </x:c>
      <x:c r="F352" s="24" t="str"/>
      <x:c r="G352" s="24" t="str">
        <x:v>매각</x:v>
      </x:c>
      <x:c r="H352" s="30"/>
      <x:c r="I352" s="30"/>
      <x:c r="J352" s="30" t="n">
        <x:v>46059</x:v>
      </x:c>
      <x:c r="K352" s="32"/>
      <x:c r="L352" s="32"/>
      <x:c r="M352" s="24" t="str"/>
      <x:c r="N352" s="24" t="str">
        <x:v>책임</x:v>
      </x:c>
      <x:c r="O352" s="24" t="str">
        <x:v>DB</x:v>
      </x:c>
      <x:c r="P352" s="24" t="str"/>
      <x:c r="Q352" s="24" t="str">
        <x:v>있음</x:v>
      </x:c>
      <x:c r="R352" s="24" t="str"/>
      <x:c r="S352" s="31" t="n">
        <x:v>154</x:v>
      </x:c>
      <x:c r="T352" s="24" t="str">
        <x:v>연령 확인</x:v>
      </x:c>
      <x:c r="U352" s="24" t="str"/>
    </x:row>
    <x:row r="353" ht="17.25" customHeight="1">
      <x:c r="A353" s="24" t="str">
        <x:v>SW-C-374보1113-2-20251128-154</x:v>
      </x:c>
      <x:c r="B353" s="24" t="str">
        <x:v>스위치플랜</x:v>
      </x:c>
      <x:c r="C353" s="24" t="str">
        <x:v>374보1113</x:v>
      </x:c>
      <x:c r="D353" s="31" t="n">
        <x:v>2</x:v>
      </x:c>
      <x:c r="E353" s="24" t="str">
        <x:v>이력</x:v>
      </x:c>
      <x:c r="F353" s="24" t="str">
        <x:v>구독대여</x:v>
      </x:c>
      <x:c r="G353" s="24" t="str">
        <x:v>강진우</x:v>
      </x:c>
      <x:c r="H353" s="30" t="n">
        <x:v>45989</x:v>
      </x:c>
      <x:c r="I353" s="30" t="n">
        <x:v>46718</x:v>
      </x:c>
      <x:c r="J353" s="30" t="n">
        <x:v>46053</x:v>
      </x:c>
      <x:c r="K353" s="32" t="n">
        <x:v>1270000</x:v>
      </x:c>
      <x:c r="L353" s="32" t="n">
        <x:v>3000000</x:v>
      </x:c>
      <x:c r="M353" s="24" t="str"/>
      <x:c r="N353" s="24" t="str">
        <x:v>책임</x:v>
      </x:c>
      <x:c r="O353" s="24" t="str"/>
      <x:c r="P353" s="24" t="str">
        <x:v>하허호</x:v>
      </x:c>
      <x:c r="Q353" s="24" t="str">
        <x:v>있음</x:v>
      </x:c>
      <x:c r="R353" s="24" t="str"/>
      <x:c r="S353" s="31" t="n">
        <x:v>154</x:v>
      </x:c>
      <x:c r="T353" s="24" t="str">
        <x:v>연령 확인</x:v>
      </x:c>
      <x:c r="U353" s="24" t="str"/>
    </x:row>
    <x:row r="354" ht="17.25" customHeight="1">
      <x:c r="A354" s="24" t="str">
        <x:v>SW-C-374보1113-3-20240520-154</x:v>
      </x:c>
      <x:c r="B354" s="24" t="str">
        <x:v>스위치플랜</x:v>
      </x:c>
      <x:c r="C354" s="24" t="str">
        <x:v>374보1113</x:v>
      </x:c>
      <x:c r="D354" s="31" t="n">
        <x:v>3</x:v>
      </x:c>
      <x:c r="E354" s="24" t="str">
        <x:v>이력</x:v>
      </x:c>
      <x:c r="F354" s="24" t="str">
        <x:v>구독대여</x:v>
      </x:c>
      <x:c r="G354" s="24" t="str">
        <x:v>조아랑</x:v>
      </x:c>
      <x:c r="H354" s="30" t="n">
        <x:v>45432</x:v>
      </x:c>
      <x:c r="I354" s="30" t="n">
        <x:v>46892</x:v>
      </x:c>
      <x:c r="J354" s="30" t="n">
        <x:v>45974</x:v>
      </x:c>
      <x:c r="K354" s="32" t="n">
        <x:v>990000</x:v>
      </x:c>
      <x:c r="L354" s="32" t="n">
        <x:v>2000000</x:v>
      </x:c>
      <x:c r="M354" s="24" t="str"/>
      <x:c r="N354" s="24" t="str">
        <x:v>책임</x:v>
      </x:c>
      <x:c r="O354" s="24" t="str"/>
      <x:c r="P354" s="24" t="str">
        <x:v>카랜(주)</x:v>
      </x:c>
      <x:c r="Q354" s="24" t="str">
        <x:v>있음</x:v>
      </x:c>
      <x:c r="R354" s="24" t="str"/>
      <x:c r="S354" s="31" t="n">
        <x:v>154</x:v>
      </x:c>
      <x:c r="T354" s="24" t="str">
        <x:v>연령 확인</x:v>
      </x:c>
      <x:c r="U354" s="24" t="str"/>
    </x:row>
    <x:row r="355" ht="17.25" customHeight="1">
      <x:c r="A355" s="24" t="str">
        <x:v>SW-C-374보1113-4-20240409-154</x:v>
      </x:c>
      <x:c r="B355" s="24" t="str">
        <x:v>스위치플랜</x:v>
      </x:c>
      <x:c r="C355" s="24" t="str">
        <x:v>374보1113</x:v>
      </x:c>
      <x:c r="D355" s="31" t="n">
        <x:v>4</x:v>
      </x:c>
      <x:c r="E355" s="24" t="str">
        <x:v>이력</x:v>
      </x:c>
      <x:c r="F355" s="24" t="str">
        <x:v>구독대여</x:v>
      </x:c>
      <x:c r="G355" s="24" t="str">
        <x:v>범진광</x:v>
      </x:c>
      <x:c r="H355" s="30" t="n">
        <x:v>45391</x:v>
      </x:c>
      <x:c r="I355" s="30" t="n">
        <x:v>46851</x:v>
      </x:c>
      <x:c r="J355" s="30" t="n">
        <x:v>45428</x:v>
      </x:c>
      <x:c r="K355" s="32" t="n">
        <x:v>1250000</x:v>
      </x:c>
      <x:c r="L355" s="32" t="n">
        <x:v>2500000</x:v>
      </x:c>
      <x:c r="M355" s="24" t="str"/>
      <x:c r="N355" s="24" t="str">
        <x:v>책임</x:v>
      </x:c>
      <x:c r="O355" s="24" t="str"/>
      <x:c r="P355" s="24" t="str">
        <x:v>하허호</x:v>
      </x:c>
      <x:c r="Q355" s="24" t="str">
        <x:v>있음</x:v>
      </x:c>
      <x:c r="R355" s="24" t="str"/>
      <x:c r="S355" s="31" t="n">
        <x:v>154</x:v>
      </x:c>
      <x:c r="T355" s="24" t="str">
        <x:v>연령 확인</x:v>
      </x:c>
      <x:c r="U355" s="24" t="str"/>
    </x:row>
    <x:row r="356" ht="17.25" customHeight="1">
      <x:c r="A356" s="24" t="str">
        <x:v>SW-C-374보1113-5-20251214-154</x:v>
      </x:c>
      <x:c r="B356" s="24" t="str">
        <x:v>스위치플랜</x:v>
      </x:c>
      <x:c r="C356" s="24" t="str">
        <x:v>374보1113</x:v>
      </x:c>
      <x:c r="D356" s="31" t="n">
        <x:v>5</x:v>
      </x:c>
      <x:c r="E356" s="24" t="str">
        <x:v>이력</x:v>
      </x:c>
      <x:c r="F356" s="24" t="str">
        <x:v>구독대여</x:v>
      </x:c>
      <x:c r="G356" s="24" t="str">
        <x:v>최하현</x:v>
      </x:c>
      <x:c r="H356" s="30" t="n">
        <x:v>46005</x:v>
      </x:c>
      <x:c r="I356" s="30"/>
      <x:c r="J356" s="30"/>
      <x:c r="K356" s="32" t="n">
        <x:v>45275</x:v>
      </x:c>
      <x:c r="L356" s="32" t="n">
        <x:v>2590000</x:v>
      </x:c>
      <x:c r="M356" s="24" t="str"/>
      <x:c r="N356" s="24" t="str">
        <x:v>책임</x:v>
      </x:c>
      <x:c r="O356" s="24" t="str"/>
      <x:c r="P356" s="24" t="str">
        <x:v>하허호</x:v>
      </x:c>
      <x:c r="Q356" s="24" t="str">
        <x:v>있음</x:v>
      </x:c>
      <x:c r="R356" s="24" t="str"/>
      <x:c r="S356" s="31" t="n">
        <x:v>154</x:v>
      </x:c>
      <x:c r="T356" s="24" t="str">
        <x:v>연령 확인</x:v>
      </x:c>
      <x:c r="U356" s="24" t="str"/>
    </x:row>
    <x:row r="357" ht="17.25" customHeight="1">
      <x:c r="A357" s="24" t="str">
        <x:v>SW-C-34저3600-1-NA-155</x:v>
      </x:c>
      <x:c r="B357" s="24" t="str">
        <x:v>스위치플랜</x:v>
      </x:c>
      <x:c r="C357" s="24" t="str">
        <x:v>34저3600</x:v>
      </x:c>
      <x:c r="D357" s="31" t="n">
        <x:v>1</x:v>
      </x:c>
      <x:c r="E357" s="24" t="str">
        <x:v>이력</x:v>
      </x:c>
      <x:c r="F357" s="24" t="str"/>
      <x:c r="G357" s="24" t="str">
        <x:v>매각</x:v>
      </x:c>
      <x:c r="H357" s="30"/>
      <x:c r="I357" s="30"/>
      <x:c r="J357" s="30" t="n">
        <x:v>46078</x:v>
      </x:c>
      <x:c r="K357" s="32"/>
      <x:c r="L357" s="32"/>
      <x:c r="M357" s="24" t="str"/>
      <x:c r="N357" s="24" t="str">
        <x:v>21</x:v>
      </x:c>
      <x:c r="O357" s="24" t="str">
        <x:v>DB</x:v>
      </x:c>
      <x:c r="P357" s="24" t="str"/>
      <x:c r="Q357" s="24" t="str">
        <x:v>있음</x:v>
      </x:c>
      <x:c r="R357" s="24" t="str"/>
      <x:c r="S357" s="31" t="n">
        <x:v>155</x:v>
      </x:c>
      <x:c r="T357" s="24" t="str">
        <x:v>필수값 확인</x:v>
      </x:c>
      <x:c r="U357" s="24" t="str"/>
    </x:row>
    <x:row r="358" ht="17.25" customHeight="1">
      <x:c r="A358" s="24" t="str">
        <x:v>SW-C-34저3600-2-20250922-155</x:v>
      </x:c>
      <x:c r="B358" s="24" t="str">
        <x:v>스위치플랜</x:v>
      </x:c>
      <x:c r="C358" s="24" t="str">
        <x:v>34저3600</x:v>
      </x:c>
      <x:c r="D358" s="31" t="n">
        <x:v>2</x:v>
      </x:c>
      <x:c r="E358" s="24" t="str">
        <x:v>이력</x:v>
      </x:c>
      <x:c r="F358" s="24" t="str">
        <x:v>구독대여</x:v>
      </x:c>
      <x:c r="G358" s="24" t="str">
        <x:v>이규민</x:v>
      </x:c>
      <x:c r="H358" s="30" t="n">
        <x:v>45922</x:v>
      </x:c>
      <x:c r="I358" s="30" t="n">
        <x:v>47382</x:v>
      </x:c>
      <x:c r="J358" s="30" t="n">
        <x:v>45972</x:v>
      </x:c>
      <x:c r="K358" s="32" t="n">
        <x:v>970000</x:v>
      </x:c>
      <x:c r="L358" s="32" t="n">
        <x:v>3000000</x:v>
      </x:c>
      <x:c r="M358" s="24" t="str"/>
      <x:c r="N358" s="24" t="str">
        <x:v>21</x:v>
      </x:c>
      <x:c r="O358" s="24" t="str"/>
      <x:c r="P358" s="24" t="str">
        <x:v>하허호</x:v>
      </x:c>
      <x:c r="Q358" s="24" t="str">
        <x:v>있음</x:v>
      </x:c>
      <x:c r="R358" s="24" t="str"/>
      <x:c r="S358" s="31" t="n">
        <x:v>155</x:v>
      </x:c>
      <x:c r="T358" s="24" t="str"/>
      <x:c r="U358" s="24" t="str"/>
    </x:row>
    <x:row r="359" ht="17.25" customHeight="1">
      <x:c r="A359" s="24" t="str">
        <x:v>SW-C-34저3600-3-20250607-155</x:v>
      </x:c>
      <x:c r="B359" s="24" t="str">
        <x:v>스위치플랜</x:v>
      </x:c>
      <x:c r="C359" s="24" t="str">
        <x:v>34저3600</x:v>
      </x:c>
      <x:c r="D359" s="31" t="n">
        <x:v>3</x:v>
      </x:c>
      <x:c r="E359" s="24" t="str">
        <x:v>이력</x:v>
      </x:c>
      <x:c r="F359" s="24" t="str">
        <x:v>구독대여</x:v>
      </x:c>
      <x:c r="G359" s="24" t="str">
        <x:v>김태리3600</x:v>
      </x:c>
      <x:c r="H359" s="30" t="n">
        <x:v>45815</x:v>
      </x:c>
      <x:c r="I359" s="30" t="n">
        <x:v>46179</x:v>
      </x:c>
      <x:c r="J359" s="30" t="n">
        <x:v>45905</x:v>
      </x:c>
      <x:c r="K359" s="32" t="n">
        <x:v>1050000</x:v>
      </x:c>
      <x:c r="L359" s="32" t="n">
        <x:v>1100000</x:v>
      </x:c>
      <x:c r="M359" s="24" t="str"/>
      <x:c r="N359" s="24" t="str">
        <x:v>21</x:v>
      </x:c>
      <x:c r="O359" s="24" t="str"/>
      <x:c r="P359" s="24" t="str">
        <x:v>카랜(주)</x:v>
      </x:c>
      <x:c r="Q359" s="24" t="str">
        <x:v>있음</x:v>
      </x:c>
      <x:c r="R359" s="24" t="str"/>
      <x:c r="S359" s="31" t="n">
        <x:v>155</x:v>
      </x:c>
      <x:c r="T359" s="24" t="str"/>
      <x:c r="U359" s="24" t="str"/>
    </x:row>
    <x:row r="360" ht="17.25" customHeight="1">
      <x:c r="A360" s="24" t="str">
        <x:v>SW-C-334다4851-1-NA-156</x:v>
      </x:c>
      <x:c r="B360" s="24" t="str">
        <x:v>스위치플랜</x:v>
      </x:c>
      <x:c r="C360" s="24" t="str">
        <x:v>334다4851</x:v>
      </x:c>
      <x:c r="D360" s="31" t="n">
        <x:v>1</x:v>
      </x:c>
      <x:c r="E360" s="24" t="str">
        <x:v>이력</x:v>
      </x:c>
      <x:c r="F360" s="24" t="str"/>
      <x:c r="G360" s="24" t="str">
        <x:v>매각</x:v>
      </x:c>
      <x:c r="H360" s="30"/>
      <x:c r="I360" s="30"/>
      <x:c r="J360" s="30" t="n">
        <x:v>46104</x:v>
      </x:c>
      <x:c r="K360" s="32"/>
      <x:c r="L360" s="32"/>
      <x:c r="M360" s="24" t="str"/>
      <x:c r="N360" s="24" t="str">
        <x:v>35</x:v>
      </x:c>
      <x:c r="O360" s="24" t="str">
        <x:v>DB</x:v>
      </x:c>
      <x:c r="P360" s="24" t="str"/>
      <x:c r="Q360" s="24" t="str">
        <x:v>있음</x:v>
      </x:c>
      <x:c r="R360" s="24" t="str"/>
      <x:c r="S360" s="31" t="n">
        <x:v>156</x:v>
      </x:c>
      <x:c r="T360" s="24" t="str">
        <x:v>필수값 확인</x:v>
      </x:c>
      <x:c r="U360" s="24" t="str"/>
    </x:row>
    <x:row r="361" ht="17.25" customHeight="1">
      <x:c r="A361" s="24" t="str">
        <x:v>SW-C-334다4851-2-20240214-156</x:v>
      </x:c>
      <x:c r="B361" s="24" t="str">
        <x:v>스위치플랜</x:v>
      </x:c>
      <x:c r="C361" s="24" t="str">
        <x:v>334다4851</x:v>
      </x:c>
      <x:c r="D361" s="31" t="n">
        <x:v>2</x:v>
      </x:c>
      <x:c r="E361" s="24" t="str">
        <x:v>이력</x:v>
      </x:c>
      <x:c r="F361" s="24" t="str">
        <x:v>구독대여</x:v>
      </x:c>
      <x:c r="G361" s="24" t="str">
        <x:v>김건기</x:v>
      </x:c>
      <x:c r="H361" s="30" t="n">
        <x:v>45336</x:v>
      </x:c>
      <x:c r="I361" s="30" t="n">
        <x:v>46066</x:v>
      </x:c>
      <x:c r="J361" s="30" t="n">
        <x:v>45995</x:v>
      </x:c>
      <x:c r="K361" s="32" t="n">
        <x:v>1220000</x:v>
      </x:c>
      <x:c r="L361" s="32" t="n">
        <x:v>2450000</x:v>
      </x:c>
      <x:c r="M361" s="24" t="str"/>
      <x:c r="N361" s="24" t="str">
        <x:v>35</x:v>
      </x:c>
      <x:c r="O361" s="24" t="str"/>
      <x:c r="P361" s="24" t="str">
        <x:v>카랜(주)</x:v>
      </x:c>
      <x:c r="Q361" s="24" t="str">
        <x:v>있음</x:v>
      </x:c>
      <x:c r="R361" s="24" t="str"/>
      <x:c r="S361" s="31" t="n">
        <x:v>156</x:v>
      </x:c>
      <x:c r="T361" s="24" t="str"/>
      <x:c r="U361" s="24" t="str"/>
    </x:row>
    <x:row r="362" ht="17.25" customHeight="1">
      <x:c r="A362" s="24" t="str">
        <x:v>SW-C-02무0357-1-NA-157</x:v>
      </x:c>
      <x:c r="B362" s="24" t="str">
        <x:v>스위치플랜</x:v>
      </x:c>
      <x:c r="C362" s="24" t="str">
        <x:v>02무0357</x:v>
      </x:c>
      <x:c r="D362" s="31" t="n">
        <x:v>1</x:v>
      </x:c>
      <x:c r="E362" s="24" t="str">
        <x:v>이력</x:v>
      </x:c>
      <x:c r="F362" s="24" t="str"/>
      <x:c r="G362" s="24" t="str">
        <x:v>매각</x:v>
      </x:c>
      <x:c r="H362" s="30"/>
      <x:c r="I362" s="30"/>
      <x:c r="J362" s="30" t="n">
        <x:v>46127</x:v>
      </x:c>
      <x:c r="K362" s="32"/>
      <x:c r="L362" s="32"/>
      <x:c r="M362" s="24" t="str"/>
      <x:c r="N362" s="24" t="str">
        <x:v>30</x:v>
      </x:c>
      <x:c r="O362" s="24" t="str">
        <x:v>DB</x:v>
      </x:c>
      <x:c r="P362" s="24" t="str"/>
      <x:c r="Q362" s="24" t="str">
        <x:v>있음</x:v>
      </x:c>
      <x:c r="R362" s="24" t="str"/>
      <x:c r="S362" s="31" t="n">
        <x:v>157</x:v>
      </x:c>
      <x:c r="T362" s="24" t="str">
        <x:v>필수값 확인</x:v>
      </x:c>
      <x:c r="U362" s="24" t="str"/>
    </x:row>
    <x:row r="363" ht="17.25" customHeight="1">
      <x:c r="A363" s="24" t="str">
        <x:v>SW-C-02무0357-2-20250711-157</x:v>
      </x:c>
      <x:c r="B363" s="24" t="str">
        <x:v>스위치플랜</x:v>
      </x:c>
      <x:c r="C363" s="24" t="str">
        <x:v>02무0357</x:v>
      </x:c>
      <x:c r="D363" s="31" t="n">
        <x:v>2</x:v>
      </x:c>
      <x:c r="E363" s="24" t="str">
        <x:v>이력</x:v>
      </x:c>
      <x:c r="F363" s="24" t="str">
        <x:v>구독대여</x:v>
      </x:c>
      <x:c r="G363" s="24" t="str">
        <x:v>김재훈</x:v>
      </x:c>
      <x:c r="H363" s="30" t="n">
        <x:v>45849</x:v>
      </x:c>
      <x:c r="I363" s="30" t="n">
        <x:v>47309</x:v>
      </x:c>
      <x:c r="J363" s="30" t="n">
        <x:v>46106</x:v>
      </x:c>
      <x:c r="K363" s="32" t="n">
        <x:v>470000</x:v>
      </x:c>
      <x:c r="L363" s="32"/>
      <x:c r="M363" s="24" t="str"/>
      <x:c r="N363" s="24" t="str">
        <x:v>30</x:v>
      </x:c>
      <x:c r="O363" s="24" t="str"/>
      <x:c r="P363" s="24" t="str">
        <x:v>하허호</x:v>
      </x:c>
      <x:c r="Q363" s="24" t="str">
        <x:v>있음</x:v>
      </x:c>
      <x:c r="R363" s="24" t="str"/>
      <x:c r="S363" s="31" t="n">
        <x:v>157</x:v>
      </x:c>
      <x:c r="T363" s="24" t="str"/>
      <x:c r="U363" s="24" t="str">
        <x:v>무보증</x:v>
      </x:c>
    </x:row>
    <x:row r="364" ht="17.25" customHeight="1">
      <x:c r="A364" s="24" t="str">
        <x:v>SW-C-02무0357-3-20240123-157</x:v>
      </x:c>
      <x:c r="B364" s="24" t="str">
        <x:v>스위치플랜</x:v>
      </x:c>
      <x:c r="C364" s="24" t="str">
        <x:v>02무0357</x:v>
      </x:c>
      <x:c r="D364" s="31" t="n">
        <x:v>3</x:v>
      </x:c>
      <x:c r="E364" s="24" t="str">
        <x:v>이력</x:v>
      </x:c>
      <x:c r="F364" s="24" t="str">
        <x:v>구독대여</x:v>
      </x:c>
      <x:c r="G364" s="24" t="str">
        <x:v>전순덕</x:v>
      </x:c>
      <x:c r="H364" s="30" t="n">
        <x:v>45314</x:v>
      </x:c>
      <x:c r="I364" s="30" t="n">
        <x:v>46409</x:v>
      </x:c>
      <x:c r="J364" s="30" t="n">
        <x:v>45751</x:v>
      </x:c>
      <x:c r="K364" s="32" t="n">
        <x:v>550000</x:v>
      </x:c>
      <x:c r="L364" s="32" t="n">
        <x:v>1280000</x:v>
      </x:c>
      <x:c r="M364" s="24" t="str"/>
      <x:c r="N364" s="24" t="str">
        <x:v>30</x:v>
      </x:c>
      <x:c r="O364" s="24" t="str"/>
      <x:c r="P364" s="24" t="str">
        <x:v>하허호</x:v>
      </x:c>
      <x:c r="Q364" s="24" t="str">
        <x:v>있음</x:v>
      </x:c>
      <x:c r="R364" s="24" t="str"/>
      <x:c r="S364" s="31" t="n">
        <x:v>157</x:v>
      </x:c>
      <x:c r="T364" s="24" t="str"/>
      <x:c r="U364" s="24" t="str"/>
    </x:row>
    <x:row r="365" ht="17.25" customHeight="1">
      <x:c r="A365" s="24" t="str">
        <x:v>SW-C-02무0357-4-20240123-157</x:v>
      </x:c>
      <x:c r="B365" s="24" t="str">
        <x:v>스위치플랜</x:v>
      </x:c>
      <x:c r="C365" s="24" t="str">
        <x:v>02무0357</x:v>
      </x:c>
      <x:c r="D365" s="31" t="n">
        <x:v>4</x:v>
      </x:c>
      <x:c r="E365" s="24" t="str">
        <x:v>이력</x:v>
      </x:c>
      <x:c r="F365" s="24" t="str">
        <x:v>구독대여</x:v>
      </x:c>
      <x:c r="G365" s="24" t="str">
        <x:v>박세도</x:v>
      </x:c>
      <x:c r="H365" s="30" t="n">
        <x:v>45314</x:v>
      </x:c>
      <x:c r="I365" s="30" t="n">
        <x:v>46409</x:v>
      </x:c>
      <x:c r="J365" s="30"/>
      <x:c r="K365" s="32" t="n">
        <x:v>620000</x:v>
      </x:c>
      <x:c r="L365" s="32" t="n">
        <x:v>1280000</x:v>
      </x:c>
      <x:c r="M365" s="24" t="str"/>
      <x:c r="N365" s="24" t="str">
        <x:v>30</x:v>
      </x:c>
      <x:c r="O365" s="24" t="str"/>
      <x:c r="P365" s="24" t="str">
        <x:v>하허호</x:v>
      </x:c>
      <x:c r="Q365" s="24" t="str">
        <x:v>있음</x:v>
      </x:c>
      <x:c r="R365" s="24" t="str"/>
      <x:c r="S365" s="31" t="n">
        <x:v>157</x:v>
      </x:c>
      <x:c r="T365" s="24" t="str"/>
      <x:c r="U365" s="24" t="str"/>
    </x:row>
    <x:row r="366" ht="17.25" customHeight="1">
      <x:c r="A366" s="24" t="str">
        <x:v>SW-C-20더8094-1-NA-158</x:v>
      </x:c>
      <x:c r="B366" s="24" t="str">
        <x:v>스위치플랜</x:v>
      </x:c>
      <x:c r="C366" s="24" t="str">
        <x:v>20더8094</x:v>
      </x:c>
      <x:c r="D366" s="31" t="n">
        <x:v>1</x:v>
      </x:c>
      <x:c r="E366" s="24" t="str">
        <x:v>현재칸</x:v>
      </x:c>
      <x:c r="F366" s="24" t="str"/>
      <x:c r="G366" s="24" t="str">
        <x:v>매각(리버모터스)</x:v>
      </x:c>
      <x:c r="H366" s="30"/>
      <x:c r="I366" s="30"/>
      <x:c r="J366" s="30"/>
      <x:c r="K366" s="32"/>
      <x:c r="L366" s="32"/>
      <x:c r="M366" s="24" t="str"/>
      <x:c r="N366" s="24" t="str">
        <x:v>전연령</x:v>
      </x:c>
      <x:c r="O366" s="24" t="str">
        <x:v>DB</x:v>
      </x:c>
      <x:c r="P366" s="24" t="str"/>
      <x:c r="Q366" s="24" t="str">
        <x:v>있음</x:v>
      </x:c>
      <x:c r="R366" s="24" t="str"/>
      <x:c r="S366" s="31" t="n">
        <x:v>158</x:v>
      </x:c>
      <x:c r="T366" s="24" t="str">
        <x:v>연령 확인</x:v>
      </x:c>
      <x:c r="U366" s="24" t="str"/>
    </x:row>
    <x:row r="367" ht="17.25" customHeight="1">
      <x:c r="A367" s="24" t="str">
        <x:v>SW-C-20더8094-2-20251114-158</x:v>
      </x:c>
      <x:c r="B367" s="24" t="str">
        <x:v>스위치플랜</x:v>
      </x:c>
      <x:c r="C367" s="24" t="str">
        <x:v>20더8094</x:v>
      </x:c>
      <x:c r="D367" s="31" t="n">
        <x:v>2</x:v>
      </x:c>
      <x:c r="E367" s="24" t="str">
        <x:v>이력</x:v>
      </x:c>
      <x:c r="F367" s="24" t="str">
        <x:v>구독대여</x:v>
      </x:c>
      <x:c r="G367" s="24" t="str">
        <x:v>이기복</x:v>
      </x:c>
      <x:c r="H367" s="30" t="n">
        <x:v>45975</x:v>
      </x:c>
      <x:c r="I367" s="30" t="n">
        <x:v>47435</x:v>
      </x:c>
      <x:c r="J367" s="30" t="n">
        <x:v>46061</x:v>
      </x:c>
      <x:c r="K367" s="32" t="n">
        <x:v>1090000</x:v>
      </x:c>
      <x:c r="L367" s="32" t="n">
        <x:v>2000000</x:v>
      </x:c>
      <x:c r="M367" s="24" t="str"/>
      <x:c r="N367" s="24" t="str">
        <x:v>전연령</x:v>
      </x:c>
      <x:c r="O367" s="24" t="str"/>
      <x:c r="P367" s="24" t="str">
        <x:v>하허호</x:v>
      </x:c>
      <x:c r="Q367" s="24" t="str">
        <x:v>있음</x:v>
      </x:c>
      <x:c r="R367" s="24" t="str"/>
      <x:c r="S367" s="31" t="n">
        <x:v>158</x:v>
      </x:c>
      <x:c r="T367" s="24" t="str">
        <x:v>연령 확인</x:v>
      </x:c>
      <x:c r="U367" s="24" t="str"/>
    </x:row>
    <x:row r="368" ht="17.25" customHeight="1">
      <x:c r="A368" s="24" t="str">
        <x:v>SW-C-20더8094-3-20240215-158</x:v>
      </x:c>
      <x:c r="B368" s="24" t="str">
        <x:v>스위치플랜</x:v>
      </x:c>
      <x:c r="C368" s="24" t="str">
        <x:v>20더8094</x:v>
      </x:c>
      <x:c r="D368" s="31" t="n">
        <x:v>3</x:v>
      </x:c>
      <x:c r="E368" s="24" t="str">
        <x:v>이력</x:v>
      </x:c>
      <x:c r="F368" s="24" t="str">
        <x:v>구독대여</x:v>
      </x:c>
      <x:c r="G368" s="24" t="str">
        <x:v>김주한</x:v>
      </x:c>
      <x:c r="H368" s="30" t="n">
        <x:v>45337</x:v>
      </x:c>
      <x:c r="I368" s="30" t="n">
        <x:v>46797</x:v>
      </x:c>
      <x:c r="J368" s="30" t="n">
        <x:v>45948</x:v>
      </x:c>
      <x:c r="K368" s="32" t="n">
        <x:v>1060000</x:v>
      </x:c>
      <x:c r="L368" s="32" t="n">
        <x:v>4125000</x:v>
      </x:c>
      <x:c r="M368" s="24" t="str"/>
      <x:c r="N368" s="24" t="str">
        <x:v>전연령</x:v>
      </x:c>
      <x:c r="O368" s="24" t="str"/>
      <x:c r="P368" s="24" t="str">
        <x:v>카랜(주)</x:v>
      </x:c>
      <x:c r="Q368" s="24" t="str">
        <x:v>있음</x:v>
      </x:c>
      <x:c r="R368" s="24" t="str"/>
      <x:c r="S368" s="31" t="n">
        <x:v>158</x:v>
      </x:c>
      <x:c r="T368" s="24" t="str">
        <x:v>연령 확인</x:v>
      </x:c>
      <x:c r="U368" s="24" t="str"/>
    </x:row>
    <x:row r="369" ht="17.25" customHeight="1">
      <x:c r="A369" s="24" t="str">
        <x:v>SW-C-103주3484-1-NA-159</x:v>
      </x:c>
      <x:c r="B369" s="24" t="str">
        <x:v>스위치플랜</x:v>
      </x:c>
      <x:c r="C369" s="24" t="str">
        <x:v>103주3484</x:v>
      </x:c>
      <x:c r="D369" s="31" t="n">
        <x:v>1</x:v>
      </x:c>
      <x:c r="E369" s="24" t="str">
        <x:v>이력</x:v>
      </x:c>
      <x:c r="F369" s="24" t="str"/>
      <x:c r="G369" s="24" t="str">
        <x:v>매각</x:v>
      </x:c>
      <x:c r="H369" s="30"/>
      <x:c r="I369" s="30"/>
      <x:c r="J369" s="30" t="n">
        <x:v>46182</x:v>
      </x:c>
      <x:c r="K369" s="32"/>
      <x:c r="L369" s="32"/>
      <x:c r="M369" s="24" t="str"/>
      <x:c r="N369" s="24" t="str">
        <x:v>26</x:v>
      </x:c>
      <x:c r="O369" s="24" t="str">
        <x:v>DB</x:v>
      </x:c>
      <x:c r="P369" s="24" t="str"/>
      <x:c r="Q369" s="24" t="str">
        <x:v>있음</x:v>
      </x:c>
      <x:c r="R369" s="24" t="str"/>
      <x:c r="S369" s="31" t="n">
        <x:v>159</x:v>
      </x:c>
      <x:c r="T369" s="24" t="str">
        <x:v>필수값 확인</x:v>
      </x:c>
      <x:c r="U369" s="24" t="str"/>
    </x:row>
    <x:row r="370" ht="17.25" customHeight="1">
      <x:c r="A370" s="24" t="str">
        <x:v>SW-C-103주3484-2-20250415-159</x:v>
      </x:c>
      <x:c r="B370" s="24" t="str">
        <x:v>스위치플랜</x:v>
      </x:c>
      <x:c r="C370" s="24" t="str">
        <x:v>103주3484</x:v>
      </x:c>
      <x:c r="D370" s="31" t="n">
        <x:v>2</x:v>
      </x:c>
      <x:c r="E370" s="24" t="str">
        <x:v>이력</x:v>
      </x:c>
      <x:c r="F370" s="24" t="str">
        <x:v>구독대여</x:v>
      </x:c>
      <x:c r="G370" s="24" t="str">
        <x:v>이근호</x:v>
      </x:c>
      <x:c r="H370" s="30" t="n">
        <x:v>45762</x:v>
      </x:c>
      <x:c r="I370" s="30" t="n">
        <x:v>46857</x:v>
      </x:c>
      <x:c r="J370" s="30" t="n">
        <x:v>46126</x:v>
      </x:c>
      <x:c r="K370" s="32" t="n">
        <x:v>1200000</x:v>
      </x:c>
      <x:c r="L370" s="32" t="n">
        <x:v>3740000</x:v>
      </x:c>
      <x:c r="M370" s="24" t="str"/>
      <x:c r="N370" s="24" t="str">
        <x:v>26</x:v>
      </x:c>
      <x:c r="O370" s="24" t="str"/>
      <x:c r="P370" s="24" t="str">
        <x:v>하허호</x:v>
      </x:c>
      <x:c r="Q370" s="24" t="str">
        <x:v>있음</x:v>
      </x:c>
      <x:c r="R370" s="24" t="str"/>
      <x:c r="S370" s="31" t="n">
        <x:v>159</x:v>
      </x:c>
      <x:c r="T370" s="24" t="str"/>
      <x:c r="U370" s="24" t="str"/>
    </x:row>
    <x:row r="371" ht="17.25" customHeight="1">
      <x:c r="A371" s="24" t="str">
        <x:v>SW-C-197너8600-1-NA-160</x:v>
      </x:c>
      <x:c r="B371" s="24" t="str">
        <x:v>스위치플랜</x:v>
      </x:c>
      <x:c r="C371" s="24" t="str">
        <x:v>197너8600</x:v>
      </x:c>
      <x:c r="D371" s="31" t="n">
        <x:v>1</x:v>
      </x:c>
      <x:c r="E371" s="24" t="str">
        <x:v>이력</x:v>
      </x:c>
      <x:c r="F371" s="24" t="str"/>
      <x:c r="G371" s="24" t="str">
        <x:v>매각</x:v>
      </x:c>
      <x:c r="H371" s="30"/>
      <x:c r="I371" s="30"/>
      <x:c r="J371" s="30" t="n">
        <x:v>46182</x:v>
      </x:c>
      <x:c r="K371" s="32"/>
      <x:c r="L371" s="32"/>
      <x:c r="M371" s="24" t="str"/>
      <x:c r="N371" s="24" t="str">
        <x:v>35</x:v>
      </x:c>
      <x:c r="O371" s="24" t="str">
        <x:v>DB</x:v>
      </x:c>
      <x:c r="P371" s="24" t="str"/>
      <x:c r="Q371" s="24" t="str">
        <x:v>있음</x:v>
      </x:c>
      <x:c r="R371" s="24" t="str"/>
      <x:c r="S371" s="31" t="n">
        <x:v>160</x:v>
      </x:c>
      <x:c r="T371" s="24" t="str">
        <x:v>필수값 확인</x:v>
      </x:c>
      <x:c r="U371" s="24" t="str"/>
    </x:row>
    <x:row r="372" ht="17.25" customHeight="1">
      <x:c r="A372" s="24" t="str">
        <x:v>SW-C-197너8600-2-20231229-160</x:v>
      </x:c>
      <x:c r="B372" s="24" t="str">
        <x:v>스위치플랜</x:v>
      </x:c>
      <x:c r="C372" s="24" t="str">
        <x:v>197너8600</x:v>
      </x:c>
      <x:c r="D372" s="31" t="n">
        <x:v>2</x:v>
      </x:c>
      <x:c r="E372" s="24" t="str">
        <x:v>이력</x:v>
      </x:c>
      <x:c r="F372" s="24" t="str">
        <x:v>구독대여</x:v>
      </x:c>
      <x:c r="G372" s="24" t="str">
        <x:v>감창훈</x:v>
      </x:c>
      <x:c r="H372" s="30" t="n">
        <x:v>45289</x:v>
      </x:c>
      <x:c r="I372" s="30" t="n">
        <x:v>46749</x:v>
      </x:c>
      <x:c r="J372" s="30" t="n">
        <x:v>46125</x:v>
      </x:c>
      <x:c r="K372" s="32" t="n">
        <x:v>770000</x:v>
      </x:c>
      <x:c r="L372" s="32" t="n">
        <x:v>2200000</x:v>
      </x:c>
      <x:c r="M372" s="24" t="str"/>
      <x:c r="N372" s="24" t="str">
        <x:v>35</x:v>
      </x:c>
      <x:c r="O372" s="24" t="str"/>
      <x:c r="P372" s="24" t="str">
        <x:v>SI</x:v>
      </x:c>
      <x:c r="Q372" s="24" t="str">
        <x:v>있음</x:v>
      </x:c>
      <x:c r="R372" s="24" t="str"/>
      <x:c r="S372" s="31" t="n">
        <x:v>160</x:v>
      </x:c>
      <x:c r="T372" s="24" t="str"/>
      <x:c r="U372" s="24" t="str"/>
    </x:row>
    <x:row r="373" ht="17.25" customHeight="1">
      <x:c r="A373" s="24" t="str">
        <x:v>SW-C-166마2517-1-NA-161</x:v>
      </x:c>
      <x:c r="B373" s="24" t="str">
        <x:v>스위치플랜</x:v>
      </x:c>
      <x:c r="C373" s="24" t="str">
        <x:v>166마2517</x:v>
      </x:c>
      <x:c r="D373" s="31" t="n">
        <x:v>1</x:v>
      </x:c>
      <x:c r="E373" s="24" t="str">
        <x:v>이력</x:v>
      </x:c>
      <x:c r="F373" s="24" t="str"/>
      <x:c r="G373" s="24" t="str">
        <x:v>매각</x:v>
      </x:c>
      <x:c r="H373" s="30"/>
      <x:c r="I373" s="30"/>
      <x:c r="J373" s="30" t="n">
        <x:v>46188</x:v>
      </x:c>
      <x:c r="K373" s="32"/>
      <x:c r="L373" s="32"/>
      <x:c r="M373" s="24" t="str"/>
      <x:c r="N373" s="24" t="str">
        <x:v>책임</x:v>
      </x:c>
      <x:c r="O373" s="24" t="str">
        <x:v>DB</x:v>
      </x:c>
      <x:c r="P373" s="24" t="str"/>
      <x:c r="Q373" s="24" t="str">
        <x:v>있음</x:v>
      </x:c>
      <x:c r="R373" s="24" t="str"/>
      <x:c r="S373" s="31" t="n">
        <x:v>161</x:v>
      </x:c>
      <x:c r="T373" s="24" t="str">
        <x:v>연령 확인</x:v>
      </x:c>
      <x:c r="U373" s="24" t="str"/>
    </x:row>
    <x:row r="374" ht="17.25" customHeight="1">
      <x:c r="A374" s="24" t="str">
        <x:v>SW-C-166마2517-2-20250516-161</x:v>
      </x:c>
      <x:c r="B374" s="24" t="str">
        <x:v>스위치플랜</x:v>
      </x:c>
      <x:c r="C374" s="24" t="str">
        <x:v>166마2517</x:v>
      </x:c>
      <x:c r="D374" s="31" t="n">
        <x:v>2</x:v>
      </x:c>
      <x:c r="E374" s="24" t="str">
        <x:v>이력</x:v>
      </x:c>
      <x:c r="F374" s="24" t="str">
        <x:v>구독대여</x:v>
      </x:c>
      <x:c r="G374" s="24" t="str">
        <x:v>김동욱</x:v>
      </x:c>
      <x:c r="H374" s="30" t="n">
        <x:v>45793</x:v>
      </x:c>
      <x:c r="I374" s="30"/>
      <x:c r="J374" s="30" t="n">
        <x:v>45962</x:v>
      </x:c>
      <x:c r="K374" s="32" t="n">
        <x:v>950000</x:v>
      </x:c>
      <x:c r="L374" s="32" t="n">
        <x:v>2000000</x:v>
      </x:c>
      <x:c r="M374" s="24" t="str"/>
      <x:c r="N374" s="24" t="str">
        <x:v>책임</x:v>
      </x:c>
      <x:c r="O374" s="24" t="str"/>
      <x:c r="P374" s="24" t="str"/>
      <x:c r="Q374" s="24" t="str">
        <x:v>있음</x:v>
      </x:c>
      <x:c r="R374" s="24" t="str"/>
      <x:c r="S374" s="31" t="n">
        <x:v>161</x:v>
      </x:c>
      <x:c r="T374" s="24" t="str">
        <x:v>연령 확인</x:v>
      </x:c>
      <x:c r="U374" s="24" t="str"/>
    </x:row>
    <x:row r="375" ht="17.25" customHeight="1">
      <x:c r="A375" s="24" t="str">
        <x:v>SW-C-28누9894-1-NA-162</x:v>
      </x:c>
      <x:c r="B375" s="24" t="str">
        <x:v>스위치플랜</x:v>
      </x:c>
      <x:c r="C375" s="24" t="str">
        <x:v>28누9894</x:v>
      </x:c>
      <x:c r="D375" s="31" t="n">
        <x:v>1</x:v>
      </x:c>
      <x:c r="E375" s="24" t="str">
        <x:v>현재칸</x:v>
      </x:c>
      <x:c r="F375" s="24" t="str"/>
      <x:c r="G375" s="24" t="str">
        <x:v>사고수리로고액수리로수리불가</x:v>
      </x:c>
      <x:c r="H375" s="30"/>
      <x:c r="I375" s="30"/>
      <x:c r="J375" s="30"/>
      <x:c r="K375" s="32"/>
      <x:c r="L375" s="32"/>
      <x:c r="M375" s="24" t="str"/>
      <x:c r="N375" s="24" t="str">
        <x:v>35</x:v>
      </x:c>
      <x:c r="O375" s="24" t="str">
        <x:v>DB</x:v>
      </x:c>
      <x:c r="P375" s="24" t="str"/>
      <x:c r="Q375" s="24" t="str">
        <x:v>있음</x:v>
      </x:c>
      <x:c r="R375" s="24" t="str"/>
      <x:c r="S375" s="31" t="n">
        <x:v>162</x:v>
      </x:c>
      <x:c r="T375" s="24" t="str">
        <x:v>필수값 확인</x:v>
      </x:c>
      <x:c r="U375" s="24" t="str"/>
    </x:row>
    <x:row r="376" ht="17.25" customHeight="1">
      <x:c r="A376" s="24" t="str">
        <x:v>SW-C-28누9894-2-20250212-162</x:v>
      </x:c>
      <x:c r="B376" s="24" t="str">
        <x:v>스위치플랜</x:v>
      </x:c>
      <x:c r="C376" s="24" t="str">
        <x:v>28누9894</x:v>
      </x:c>
      <x:c r="D376" s="31" t="n">
        <x:v>2</x:v>
      </x:c>
      <x:c r="E376" s="24" t="str">
        <x:v>이력</x:v>
      </x:c>
      <x:c r="F376" s="24" t="str">
        <x:v>구독대여</x:v>
      </x:c>
      <x:c r="G376" s="24" t="str">
        <x:v>최다희</x:v>
      </x:c>
      <x:c r="H376" s="30" t="n">
        <x:v>45700</x:v>
      </x:c>
      <x:c r="I376" s="30" t="n">
        <x:v>47160</x:v>
      </x:c>
      <x:c r="J376" s="30" t="n">
        <x:v>46121</x:v>
      </x:c>
      <x:c r="K376" s="32" t="n">
        <x:v>1270000</x:v>
      </x:c>
      <x:c r="L376" s="32" t="n">
        <x:v>3500000</x:v>
      </x:c>
      <x:c r="M376" s="24" t="str"/>
      <x:c r="N376" s="24" t="str">
        <x:v>35</x:v>
      </x:c>
      <x:c r="O376" s="24" t="str"/>
      <x:c r="P376" s="24" t="str">
        <x:v>하허호</x:v>
      </x:c>
      <x:c r="Q376" s="24" t="str">
        <x:v>있음</x:v>
      </x:c>
      <x:c r="R376" s="24" t="str"/>
      <x:c r="S376" s="31" t="n">
        <x:v>162</x:v>
      </x:c>
      <x:c r="T376" s="24" t="str"/>
      <x:c r="U376" s="24" t="str"/>
    </x:row>
    <x:row r="377" ht="17.25" customHeight="1">
      <x:c r="A377" s="24" t="str">
        <x:v>SW-C-174모9625-1-NA-163</x:v>
      </x:c>
      <x:c r="B377" s="24" t="str">
        <x:v>스위치플랜</x:v>
      </x:c>
      <x:c r="C377" s="24" t="str">
        <x:v>174모9625</x:v>
      </x:c>
      <x:c r="D377" s="31" t="n">
        <x:v>1</x:v>
      </x:c>
      <x:c r="E377" s="24" t="str">
        <x:v>이력</x:v>
      </x:c>
      <x:c r="F377" s="24" t="str"/>
      <x:c r="G377" s="24" t="str">
        <x:v>매각</x:v>
      </x:c>
      <x:c r="H377" s="30"/>
      <x:c r="I377" s="30"/>
      <x:c r="J377" s="30" t="n">
        <x:v>46209</x:v>
      </x:c>
      <x:c r="K377" s="32"/>
      <x:c r="L377" s="32"/>
      <x:c r="M377" s="24" t="str"/>
      <x:c r="N377" s="24" t="str">
        <x:v>35</x:v>
      </x:c>
      <x:c r="O377" s="24" t="str">
        <x:v>DB</x:v>
      </x:c>
      <x:c r="P377" s="24" t="str"/>
      <x:c r="Q377" s="24" t="str">
        <x:v>있음</x:v>
      </x:c>
      <x:c r="R377" s="24" t="str"/>
      <x:c r="S377" s="31" t="n">
        <x:v>163</x:v>
      </x:c>
      <x:c r="T377" s="24" t="str">
        <x:v>필수값 확인</x:v>
      </x:c>
      <x:c r="U377" s="24" t="str"/>
    </x:row>
    <x:row r="378" ht="17.25" customHeight="1">
      <x:c r="A378" s="24" t="str">
        <x:v>SW-C-174모9625-2-20260424-163</x:v>
      </x:c>
      <x:c r="B378" s="24" t="str">
        <x:v>스위치플랜</x:v>
      </x:c>
      <x:c r="C378" s="24" t="str">
        <x:v>174모9625</x:v>
      </x:c>
      <x:c r="D378" s="31" t="n">
        <x:v>2</x:v>
      </x:c>
      <x:c r="E378" s="24" t="str">
        <x:v>이력</x:v>
      </x:c>
      <x:c r="F378" s="24" t="str">
        <x:v>지인</x:v>
      </x:c>
      <x:c r="G378" s="24" t="str">
        <x:v>이경석</x:v>
      </x:c>
      <x:c r="H378" s="30" t="n">
        <x:v>46136</x:v>
      </x:c>
      <x:c r="I378" s="30"/>
      <x:c r="J378" s="30" t="n">
        <x:v>46195</x:v>
      </x:c>
      <x:c r="K378" s="32" t="n">
        <x:v>800000</x:v>
      </x:c>
      <x:c r="L378" s="32"/>
      <x:c r="M378" s="24" t="str"/>
      <x:c r="N378" s="24" t="str">
        <x:v>35</x:v>
      </x:c>
      <x:c r="O378" s="24" t="str"/>
      <x:c r="P378" s="24" t="str"/>
      <x:c r="Q378" s="24" t="str">
        <x:v>있음</x:v>
      </x:c>
      <x:c r="R378" s="24" t="str"/>
      <x:c r="S378" s="31" t="n">
        <x:v>163</x:v>
      </x:c>
      <x:c r="T378" s="24" t="str"/>
      <x:c r="U378" s="24" t="str">
        <x:v>무보증</x:v>
      </x:c>
    </x:row>
    <x:row r="379" ht="17.25" customHeight="1">
      <x:c r="A379" s="24" t="str">
        <x:v>SW-C-174모9625-3-20240328-163</x:v>
      </x:c>
      <x:c r="B379" s="24" t="str">
        <x:v>스위치플랜</x:v>
      </x:c>
      <x:c r="C379" s="24" t="str">
        <x:v>174모9625</x:v>
      </x:c>
      <x:c r="D379" s="31" t="n">
        <x:v>3</x:v>
      </x:c>
      <x:c r="E379" s="24" t="str">
        <x:v>이력</x:v>
      </x:c>
      <x:c r="F379" s="24" t="str">
        <x:v>구독대여</x:v>
      </x:c>
      <x:c r="G379" s="24" t="str">
        <x:v>통운김형기</x:v>
      </x:c>
      <x:c r="H379" s="30" t="n">
        <x:v>45379</x:v>
      </x:c>
      <x:c r="I379" s="30" t="n">
        <x:v>46839</x:v>
      </x:c>
      <x:c r="J379" s="30" t="n">
        <x:v>46104</x:v>
      </x:c>
      <x:c r="K379" s="32" t="n">
        <x:v>790000</x:v>
      </x:c>
      <x:c r="L379" s="32" t="n">
        <x:v>2000000</x:v>
      </x:c>
      <x:c r="M379" s="24" t="str"/>
      <x:c r="N379" s="24" t="str">
        <x:v>35</x:v>
      </x:c>
      <x:c r="O379" s="24" t="str"/>
      <x:c r="P379" s="24" t="str">
        <x:v>카랜(주)</x:v>
      </x:c>
      <x:c r="Q379" s="24" t="str">
        <x:v>있음</x:v>
      </x:c>
      <x:c r="R379" s="24" t="str"/>
      <x:c r="S379" s="31" t="n">
        <x:v>163</x:v>
      </x:c>
      <x:c r="T379" s="24" t="str"/>
      <x:c r="U379" s="24" t="str"/>
    </x:row>
    <x:row r="380" ht="17.25" customHeight="1">
      <x:c r="A380" s="24" t="str">
        <x:v>SW-C-125도3102-1-NA-164</x:v>
      </x:c>
      <x:c r="B380" s="24" t="str">
        <x:v>스위치플랜</x:v>
      </x:c>
      <x:c r="C380" s="24" t="str">
        <x:v>125도3102</x:v>
      </x:c>
      <x:c r="D380" s="31" t="n">
        <x:v>1</x:v>
      </x:c>
      <x:c r="E380" s="24" t="str">
        <x:v>이력</x:v>
      </x:c>
      <x:c r="F380" s="24" t="str"/>
      <x:c r="G380" s="24" t="str">
        <x:v>매각</x:v>
      </x:c>
      <x:c r="H380" s="30"/>
      <x:c r="I380" s="30"/>
      <x:c r="J380" s="30" t="n">
        <x:v>46209</x:v>
      </x:c>
      <x:c r="K380" s="32"/>
      <x:c r="L380" s="32"/>
      <x:c r="M380" s="24" t="str"/>
      <x:c r="N380" s="24" t="str">
        <x:v>35</x:v>
      </x:c>
      <x:c r="O380" s="24" t="str">
        <x:v>DB</x:v>
      </x:c>
      <x:c r="P380" s="24" t="str"/>
      <x:c r="Q380" s="24" t="str">
        <x:v>있음</x:v>
      </x:c>
      <x:c r="R380" s="24" t="str"/>
      <x:c r="S380" s="31" t="n">
        <x:v>164</x:v>
      </x:c>
      <x:c r="T380" s="24" t="str">
        <x:v>필수값 확인</x:v>
      </x:c>
      <x:c r="U380" s="24" t="str"/>
    </x:row>
    <x:row r="381" ht="17.25" customHeight="1">
      <x:c r="A381" s="24" t="str">
        <x:v>SW-C-125도3102-2-20251016-164</x:v>
      </x:c>
      <x:c r="B381" s="24" t="str">
        <x:v>스위치플랜</x:v>
      </x:c>
      <x:c r="C381" s="24" t="str">
        <x:v>125도3102</x:v>
      </x:c>
      <x:c r="D381" s="31" t="n">
        <x:v>2</x:v>
      </x:c>
      <x:c r="E381" s="24" t="str">
        <x:v>이력</x:v>
      </x:c>
      <x:c r="F381" s="24" t="str">
        <x:v>구독대여</x:v>
      </x:c>
      <x:c r="G381" s="24" t="str">
        <x:v>박대겸</x:v>
      </x:c>
      <x:c r="H381" s="30" t="n">
        <x:v>45946</x:v>
      </x:c>
      <x:c r="I381" s="30" t="n">
        <x:v>47406</x:v>
      </x:c>
      <x:c r="J381" s="30" t="n">
        <x:v>46177</x:v>
      </x:c>
      <x:c r="K381" s="32" t="n">
        <x:v>830000</x:v>
      </x:c>
      <x:c r="L381" s="32" t="n">
        <x:v>830000</x:v>
      </x:c>
      <x:c r="M381" s="24" t="str"/>
      <x:c r="N381" s="24" t="str">
        <x:v>35</x:v>
      </x:c>
      <x:c r="O381" s="24" t="str"/>
      <x:c r="P381" s="24" t="str">
        <x:v>하허호</x:v>
      </x:c>
      <x:c r="Q381" s="24" t="str">
        <x:v>있음</x:v>
      </x:c>
      <x:c r="R381" s="24" t="str"/>
      <x:c r="S381" s="31" t="n">
        <x:v>164</x:v>
      </x:c>
      <x:c r="T381" s="24" t="str"/>
      <x:c r="U381" s="24" t="str"/>
    </x:row>
    <x:row r="382" ht="17.25" customHeight="1">
      <x:c r="A382" s="24" t="str">
        <x:v>SW-C-125도3102-3-20250730-164</x:v>
      </x:c>
      <x:c r="B382" s="24" t="str">
        <x:v>스위치플랜</x:v>
      </x:c>
      <x:c r="C382" s="24" t="str">
        <x:v>125도3102</x:v>
      </x:c>
      <x:c r="D382" s="31" t="n">
        <x:v>3</x:v>
      </x:c>
      <x:c r="E382" s="24" t="str">
        <x:v>이력</x:v>
      </x:c>
      <x:c r="F382" s="24" t="str">
        <x:v>구독대여</x:v>
      </x:c>
      <x:c r="G382" s="24" t="str">
        <x:v>김민혁</x:v>
      </x:c>
      <x:c r="H382" s="30" t="n">
        <x:v>45868</x:v>
      </x:c>
      <x:c r="I382" s="30" t="n">
        <x:v>46924</x:v>
      </x:c>
      <x:c r="J382" s="30" t="n">
        <x:v>45910</x:v>
      </x:c>
      <x:c r="K382" s="32" t="n">
        <x:v>840000</x:v>
      </x:c>
      <x:c r="L382" s="32" t="n">
        <x:v>2120000</x:v>
      </x:c>
      <x:c r="M382" s="24" t="str"/>
      <x:c r="N382" s="24" t="str">
        <x:v>35</x:v>
      </x:c>
      <x:c r="O382" s="24" t="str"/>
      <x:c r="P382" s="24" t="str">
        <x:v>하허호</x:v>
      </x:c>
      <x:c r="Q382" s="24" t="str">
        <x:v>있음</x:v>
      </x:c>
      <x:c r="R382" s="24" t="str"/>
      <x:c r="S382" s="31" t="n">
        <x:v>164</x:v>
      </x:c>
      <x:c r="T382" s="24" t="str"/>
      <x:c r="U382" s="24" t="str"/>
    </x:row>
    <x:row r="383" ht="17.25" customHeight="1">
      <x:c r="A383" s="24" t="str">
        <x:v>SW-C-125도3102-4-20250529-164</x:v>
      </x:c>
      <x:c r="B383" s="24" t="str">
        <x:v>스위치플랜</x:v>
      </x:c>
      <x:c r="C383" s="24" t="str">
        <x:v>125도3102</x:v>
      </x:c>
      <x:c r="D383" s="31" t="n">
        <x:v>4</x:v>
      </x:c>
      <x:c r="E383" s="24" t="str">
        <x:v>이력</x:v>
      </x:c>
      <x:c r="F383" s="24" t="str">
        <x:v>구독대여</x:v>
      </x:c>
      <x:c r="G383" s="24" t="str">
        <x:v>이규민</x:v>
      </x:c>
      <x:c r="H383" s="30" t="n">
        <x:v>45806</x:v>
      </x:c>
      <x:c r="I383" s="30" t="n">
        <x:v>46924</x:v>
      </x:c>
      <x:c r="J383" s="30"/>
      <x:c r="K383" s="32" t="n">
        <x:v>840000</x:v>
      </x:c>
      <x:c r="L383" s="32" t="n">
        <x:v>2120000</x:v>
      </x:c>
      <x:c r="M383" s="24" t="str"/>
      <x:c r="N383" s="24" t="str">
        <x:v>35</x:v>
      </x:c>
      <x:c r="O383" s="24" t="str"/>
      <x:c r="P383" s="24" t="str">
        <x:v>하허호</x:v>
      </x:c>
      <x:c r="Q383" s="24" t="str">
        <x:v>있음</x:v>
      </x:c>
      <x:c r="R383" s="24" t="str"/>
      <x:c r="S383" s="31" t="n">
        <x:v>164</x:v>
      </x:c>
      <x:c r="T383" s="24" t="str"/>
      <x:c r="U383" s="24" t="str"/>
    </x:row>
    <x:row r="384" ht="17.25" customHeight="1">
      <x:c r="A384" s="24" t="str">
        <x:v>SW-C-125도3102-5-20280620-164</x:v>
      </x:c>
      <x:c r="B384" s="24" t="str">
        <x:v>스위치플랜</x:v>
      </x:c>
      <x:c r="C384" s="24" t="str">
        <x:v>125도3102</x:v>
      </x:c>
      <x:c r="D384" s="31" t="n">
        <x:v>5</x:v>
      </x:c>
      <x:c r="E384" s="24" t="str">
        <x:v>이력</x:v>
      </x:c>
      <x:c r="F384" s="24" t="str">
        <x:v>구독대여</x:v>
      </x:c>
      <x:c r="G384" s="24" t="str">
        <x:v>안준범</x:v>
      </x:c>
      <x:c r="H384" s="30" t="n">
        <x:v>46924</x:v>
      </x:c>
      <x:c r="I384" s="30"/>
      <x:c r="J384" s="30"/>
      <x:c r="K384" s="32" t="n">
        <x:v>45754</x:v>
      </x:c>
      <x:c r="L384" s="32" t="n">
        <x:v>2120000</x:v>
      </x:c>
      <x:c r="M384" s="24" t="str"/>
      <x:c r="N384" s="24" t="str">
        <x:v>35</x:v>
      </x:c>
      <x:c r="O384" s="24" t="str"/>
      <x:c r="P384" s="24" t="str">
        <x:v>하허호</x:v>
      </x:c>
      <x:c r="Q384" s="24" t="str">
        <x:v>있음</x:v>
      </x:c>
      <x:c r="R384" s="24" t="str"/>
      <x:c r="S384" s="31" t="n">
        <x:v>164</x:v>
      </x:c>
      <x:c r="T384" s="24" t="str"/>
      <x:c r="U384" s="24" t="str"/>
    </x:row>
    <x:row r="385" ht="17.25" customHeight="1">
      <x:c r="A385" s="24" t="str">
        <x:v>SW-C-125도3102-6-20280620-164</x:v>
      </x:c>
      <x:c r="B385" s="24" t="str">
        <x:v>스위치플랜</x:v>
      </x:c>
      <x:c r="C385" s="24" t="str">
        <x:v>125도3102</x:v>
      </x:c>
      <x:c r="D385" s="31" t="n">
        <x:v>6</x:v>
      </x:c>
      <x:c r="E385" s="24" t="str">
        <x:v>이력</x:v>
      </x:c>
      <x:c r="F385" s="24" t="str">
        <x:v>구독대여</x:v>
      </x:c>
      <x:c r="G385" s="24" t="str">
        <x:v>김영준</x:v>
      </x:c>
      <x:c r="H385" s="30" t="n">
        <x:v>46924</x:v>
      </x:c>
      <x:c r="I385" s="30"/>
      <x:c r="J385" s="30"/>
      <x:c r="K385" s="32" t="n">
        <x:v>45464</x:v>
      </x:c>
      <x:c r="L385" s="32" t="n">
        <x:v>2120000</x:v>
      </x:c>
      <x:c r="M385" s="24" t="str"/>
      <x:c r="N385" s="24" t="str">
        <x:v>35</x:v>
      </x:c>
      <x:c r="O385" s="24" t="str"/>
      <x:c r="P385" s="24" t="str">
        <x:v>하허호</x:v>
      </x:c>
      <x:c r="Q385" s="24" t="str">
        <x:v>있음</x:v>
      </x:c>
      <x:c r="R385" s="24" t="str"/>
      <x:c r="S385" s="31" t="n">
        <x:v>164</x:v>
      </x:c>
      <x:c r="T385" s="24" t="str"/>
      <x:c r="U385" s="24" t="str"/>
    </x:row>
    <x:row r="386" ht="17.25" customHeight="1">
      <x:c r="A386" s="24" t="str">
        <x:v>SW-C-48가9900-1-NA-165</x:v>
      </x:c>
      <x:c r="B386" s="24" t="str">
        <x:v>스위치플랜</x:v>
      </x:c>
      <x:c r="C386" s="24" t="str">
        <x:v>48가9900</x:v>
      </x:c>
      <x:c r="D386" s="31" t="n">
        <x:v>1</x:v>
      </x:c>
      <x:c r="E386" s="24" t="str">
        <x:v>이력</x:v>
      </x:c>
      <x:c r="F386" s="24" t="str"/>
      <x:c r="G386" s="24" t="str">
        <x:v>매각</x:v>
      </x:c>
      <x:c r="H386" s="30"/>
      <x:c r="I386" s="30"/>
      <x:c r="J386" s="30" t="n">
        <x:v>46210</x:v>
      </x:c>
      <x:c r="K386" s="32"/>
      <x:c r="L386" s="32"/>
      <x:c r="M386" s="24" t="str"/>
      <x:c r="N386" s="24" t="str">
        <x:v>35</x:v>
      </x:c>
      <x:c r="O386" s="24" t="str">
        <x:v>DB</x:v>
      </x:c>
      <x:c r="P386" s="24" t="str"/>
      <x:c r="Q386" s="24" t="str">
        <x:v>있음</x:v>
      </x:c>
      <x:c r="R386" s="24" t="str"/>
      <x:c r="S386" s="31" t="n">
        <x:v>165</x:v>
      </x:c>
      <x:c r="T386" s="24" t="str">
        <x:v>필수값 확인</x:v>
      </x:c>
      <x:c r="U386" s="24" t="str"/>
    </x:row>
    <x:row r="387" ht="17.25" customHeight="1">
      <x:c r="A387" s="24" t="str">
        <x:v>SW-C-48가9900-2-20251210-165</x:v>
      </x:c>
      <x:c r="B387" s="24" t="str">
        <x:v>스위치플랜</x:v>
      </x:c>
      <x:c r="C387" s="24" t="str">
        <x:v>48가9900</x:v>
      </x:c>
      <x:c r="D387" s="31" t="n">
        <x:v>2</x:v>
      </x:c>
      <x:c r="E387" s="24" t="str">
        <x:v>이력</x:v>
      </x:c>
      <x:c r="F387" s="24" t="str">
        <x:v>구독대여</x:v>
      </x:c>
      <x:c r="G387" s="24" t="str">
        <x:v>김동현9900</x:v>
      </x:c>
      <x:c r="H387" s="30" t="n">
        <x:v>46001</x:v>
      </x:c>
      <x:c r="I387" s="30" t="n">
        <x:v>47400</x:v>
      </x:c>
      <x:c r="J387" s="30" t="n">
        <x:v>46153</x:v>
      </x:c>
      <x:c r="K387" s="32" t="n">
        <x:v>860000</x:v>
      </x:c>
      <x:c r="L387" s="32"/>
      <x:c r="M387" s="24" t="str"/>
      <x:c r="N387" s="24" t="str">
        <x:v>35</x:v>
      </x:c>
      <x:c r="O387" s="24" t="str"/>
      <x:c r="P387" s="24" t="str">
        <x:v>하허호</x:v>
      </x:c>
      <x:c r="Q387" s="24" t="str">
        <x:v>있음</x:v>
      </x:c>
      <x:c r="R387" s="24" t="str"/>
      <x:c r="S387" s="31" t="n">
        <x:v>165</x:v>
      </x:c>
      <x:c r="T387" s="24" t="str"/>
      <x:c r="U387" s="24" t="str">
        <x:v>무보증</x:v>
      </x:c>
    </x:row>
    <x:row r="388" ht="17.25" customHeight="1">
      <x:c r="A388" s="24" t="str">
        <x:v>SW-C-48가9900-3-20250527-165</x:v>
      </x:c>
      <x:c r="B388" s="24" t="str">
        <x:v>스위치플랜</x:v>
      </x:c>
      <x:c r="C388" s="24" t="str">
        <x:v>48가9900</x:v>
      </x:c>
      <x:c r="D388" s="31" t="n">
        <x:v>3</x:v>
      </x:c>
      <x:c r="E388" s="24" t="str">
        <x:v>이력</x:v>
      </x:c>
      <x:c r="F388" s="24" t="str">
        <x:v>구독대여</x:v>
      </x:c>
      <x:c r="G388" s="24" t="str">
        <x:v>권태훈</x:v>
      </x:c>
      <x:c r="H388" s="30" t="n">
        <x:v>45804</x:v>
      </x:c>
      <x:c r="I388" s="30" t="n">
        <x:v>47232</x:v>
      </x:c>
      <x:c r="J388" s="30" t="n">
        <x:v>45898</x:v>
      </x:c>
      <x:c r="K388" s="32" t="n">
        <x:v>1010000</x:v>
      </x:c>
      <x:c r="L388" s="32" t="n">
        <x:v>2000000</x:v>
      </x:c>
      <x:c r="M388" s="24" t="str"/>
      <x:c r="N388" s="24" t="str">
        <x:v>35</x:v>
      </x:c>
      <x:c r="O388" s="24" t="str"/>
      <x:c r="P388" s="24" t="str">
        <x:v>하허호</x:v>
      </x:c>
      <x:c r="Q388" s="24" t="str">
        <x:v>있음</x:v>
      </x:c>
      <x:c r="R388" s="24" t="str"/>
      <x:c r="S388" s="31" t="n">
        <x:v>165</x:v>
      </x:c>
      <x:c r="T388" s="24" t="str"/>
      <x:c r="U388" s="24" t="str"/>
    </x:row>
    <x:row r="389" ht="17.25" customHeight="1">
      <x:c r="A389" s="24" t="str">
        <x:v>SW-C-48가9900-4-20250425-165</x:v>
      </x:c>
      <x:c r="B389" s="24" t="str">
        <x:v>스위치플랜</x:v>
      </x:c>
      <x:c r="C389" s="24" t="str">
        <x:v>48가9900</x:v>
      </x:c>
      <x:c r="D389" s="31" t="n">
        <x:v>4</x:v>
      </x:c>
      <x:c r="E389" s="24" t="str">
        <x:v>이력</x:v>
      </x:c>
      <x:c r="F389" s="24" t="str">
        <x:v>구독대여</x:v>
      </x:c>
      <x:c r="G389" s="24" t="str">
        <x:v>황우정</x:v>
      </x:c>
      <x:c r="H389" s="30" t="n">
        <x:v>45772</x:v>
      </x:c>
      <x:c r="I389" s="30" t="n">
        <x:v>47232</x:v>
      </x:c>
      <x:c r="J389" s="30"/>
      <x:c r="K389" s="32" t="n">
        <x:v>910000</x:v>
      </x:c>
      <x:c r="L389" s="32" t="n">
        <x:v>2000000</x:v>
      </x:c>
      <x:c r="M389" s="24" t="str"/>
      <x:c r="N389" s="24" t="str">
        <x:v>35</x:v>
      </x:c>
      <x:c r="O389" s="24" t="str"/>
      <x:c r="P389" s="24" t="str">
        <x:v>하허호</x:v>
      </x:c>
      <x:c r="Q389" s="24" t="str">
        <x:v>있음</x:v>
      </x:c>
      <x:c r="R389" s="24" t="str"/>
      <x:c r="S389" s="31" t="n">
        <x:v>165</x:v>
      </x:c>
      <x:c r="T389" s="24" t="str"/>
      <x:c r="U389" s="24" t="str"/>
    </x:row>
    <x:row r="390" ht="17.25" customHeight="1">
      <x:c r="A390" s="24" t="str">
        <x:v>SW-C-15마0724-1-NA-166</x:v>
      </x:c>
      <x:c r="B390" s="24" t="str">
        <x:v>스위치플랜</x:v>
      </x:c>
      <x:c r="C390" s="24" t="str">
        <x:v>15마0724</x:v>
      </x:c>
      <x:c r="D390" s="31" t="n">
        <x:v>1</x:v>
      </x:c>
      <x:c r="E390" s="24" t="str">
        <x:v>이력</x:v>
      </x:c>
      <x:c r="F390" s="24" t="str"/>
      <x:c r="G390" s="24" t="str">
        <x:v>매각</x:v>
      </x:c>
      <x:c r="H390" s="30"/>
      <x:c r="I390" s="30"/>
      <x:c r="J390" s="30" t="n">
        <x:v>46212</x:v>
      </x:c>
      <x:c r="K390" s="32"/>
      <x:c r="L390" s="32"/>
      <x:c r="M390" s="24" t="str"/>
      <x:c r="N390" s="24" t="str">
        <x:v>35</x:v>
      </x:c>
      <x:c r="O390" s="24" t="str">
        <x:v>DB</x:v>
      </x:c>
      <x:c r="P390" s="24" t="str"/>
      <x:c r="Q390" s="24" t="str">
        <x:v>있음</x:v>
      </x:c>
      <x:c r="R390" s="24" t="str"/>
      <x:c r="S390" s="31" t="n">
        <x:v>166</x:v>
      </x:c>
      <x:c r="T390" s="24" t="str">
        <x:v>필수값 확인</x:v>
      </x:c>
      <x:c r="U390" s="24" t="str"/>
    </x:row>
    <x:row r="391" ht="17.25" customHeight="1">
      <x:c r="A391" s="24" t="str">
        <x:v>SW-C-15마0724-2-20240403-166</x:v>
      </x:c>
      <x:c r="B391" s="24" t="str">
        <x:v>스위치플랜</x:v>
      </x:c>
      <x:c r="C391" s="24" t="str">
        <x:v>15마0724</x:v>
      </x:c>
      <x:c r="D391" s="31" t="n">
        <x:v>2</x:v>
      </x:c>
      <x:c r="E391" s="24" t="str">
        <x:v>이력</x:v>
      </x:c>
      <x:c r="F391" s="24" t="str">
        <x:v>구독대여</x:v>
      </x:c>
      <x:c r="G391" s="24" t="str">
        <x:v>김세빈</x:v>
      </x:c>
      <x:c r="H391" s="30" t="n">
        <x:v>45385</x:v>
      </x:c>
      <x:c r="I391" s="30" t="n">
        <x:v>46845</x:v>
      </x:c>
      <x:c r="J391" s="30" t="n">
        <x:v>46090</x:v>
      </x:c>
      <x:c r="K391" s="32" t="n">
        <x:v>650000</x:v>
      </x:c>
      <x:c r="L391" s="32" t="n">
        <x:v>1450000</x:v>
      </x:c>
      <x:c r="M391" s="24" t="str"/>
      <x:c r="N391" s="24" t="str">
        <x:v>35</x:v>
      </x:c>
      <x:c r="O391" s="24" t="str"/>
      <x:c r="P391" s="24" t="str">
        <x:v>카랜(주)</x:v>
      </x:c>
      <x:c r="Q391" s="24" t="str">
        <x:v>있음</x:v>
      </x:c>
      <x:c r="R391" s="24" t="str"/>
      <x:c r="S391" s="31" t="n">
        <x:v>166</x:v>
      </x:c>
      <x:c r="T391" s="24" t="str"/>
      <x:c r="U391" s="24" t="str"/>
    </x:row>
    <x:row r="392" ht="17.25" customHeight="1">
      <x:c r="A392" s="24" t="str">
        <x:v>SW-C-19무0235-1-NA-167</x:v>
      </x:c>
      <x:c r="B392" s="24" t="str">
        <x:v>스위치플랜</x:v>
      </x:c>
      <x:c r="C392" s="24" t="str">
        <x:v>19무0235</x:v>
      </x:c>
      <x:c r="D392" s="31" t="n">
        <x:v>1</x:v>
      </x:c>
      <x:c r="E392" s="24" t="str">
        <x:v>이력</x:v>
      </x:c>
      <x:c r="F392" s="24" t="str"/>
      <x:c r="G392" s="24" t="str">
        <x:v>매각</x:v>
      </x:c>
      <x:c r="H392" s="30"/>
      <x:c r="I392" s="30"/>
      <x:c r="J392" s="30" t="n">
        <x:v>46212</x:v>
      </x:c>
      <x:c r="K392" s="32"/>
      <x:c r="L392" s="32"/>
      <x:c r="M392" s="24" t="str"/>
      <x:c r="N392" s="24" t="str">
        <x:v>35</x:v>
      </x:c>
      <x:c r="O392" s="24" t="str">
        <x:v>DB</x:v>
      </x:c>
      <x:c r="P392" s="24" t="str"/>
      <x:c r="Q392" s="24" t="str">
        <x:v>있음</x:v>
      </x:c>
      <x:c r="R392" s="24" t="str"/>
      <x:c r="S392" s="31" t="n">
        <x:v>167</x:v>
      </x:c>
      <x:c r="T392" s="24" t="str">
        <x:v>필수값 확인</x:v>
      </x:c>
      <x:c r="U392" s="24" t="str"/>
    </x:row>
    <x:row r="393" ht="17.25" customHeight="1">
      <x:c r="A393" s="24" t="str">
        <x:v>SW-C-19무0235-2-20250414-167</x:v>
      </x:c>
      <x:c r="B393" s="24" t="str">
        <x:v>스위치플랜</x:v>
      </x:c>
      <x:c r="C393" s="24" t="str">
        <x:v>19무0235</x:v>
      </x:c>
      <x:c r="D393" s="31" t="n">
        <x:v>2</x:v>
      </x:c>
      <x:c r="E393" s="24" t="str">
        <x:v>이력</x:v>
      </x:c>
      <x:c r="F393" s="24" t="str">
        <x:v>구독대여</x:v>
      </x:c>
      <x:c r="G393" s="24" t="str">
        <x:v>임명수</x:v>
      </x:c>
      <x:c r="H393" s="30" t="n">
        <x:v>45761</x:v>
      </x:c>
      <x:c r="I393" s="30" t="n">
        <x:v>47221</x:v>
      </x:c>
      <x:c r="J393" s="30" t="n">
        <x:v>46099</x:v>
      </x:c>
      <x:c r="K393" s="32" t="n">
        <x:v>780000</x:v>
      </x:c>
      <x:c r="L393" s="32"/>
      <x:c r="M393" s="24" t="str"/>
      <x:c r="N393" s="24" t="str">
        <x:v>35</x:v>
      </x:c>
      <x:c r="O393" s="24" t="str"/>
      <x:c r="P393" s="24" t="str">
        <x:v>하허호</x:v>
      </x:c>
      <x:c r="Q393" s="24" t="str">
        <x:v>있음</x:v>
      </x:c>
      <x:c r="R393" s="24" t="str"/>
      <x:c r="S393" s="31" t="n">
        <x:v>167</x:v>
      </x:c>
      <x:c r="T393" s="24" t="str"/>
      <x:c r="U393" s="24" t="str">
        <x:v>무보증</x:v>
      </x:c>
    </x:row>
    <x:row r="394" ht="17.25" customHeight="1">
      <x:c r="A394" s="24" t="str">
        <x:v>SW-C-19무0235-3-20250220-167</x:v>
      </x:c>
      <x:c r="B394" s="24" t="str">
        <x:v>스위치플랜</x:v>
      </x:c>
      <x:c r="C394" s="24" t="str">
        <x:v>19무0235</x:v>
      </x:c>
      <x:c r="D394" s="31" t="n">
        <x:v>3</x:v>
      </x:c>
      <x:c r="E394" s="24" t="str">
        <x:v>이력</x:v>
      </x:c>
      <x:c r="F394" s="24" t="str">
        <x:v>구독대여</x:v>
      </x:c>
      <x:c r="G394" s="24" t="str">
        <x:v>유혁</x:v>
      </x:c>
      <x:c r="H394" s="30" t="n">
        <x:v>45708</x:v>
      </x:c>
      <x:c r="I394" s="30" t="n">
        <x:v>47168</x:v>
      </x:c>
      <x:c r="J394" s="30" t="n">
        <x:v>45744</x:v>
      </x:c>
      <x:c r="K394" s="32" t="n">
        <x:v>780000</x:v>
      </x:c>
      <x:c r="L394" s="32"/>
      <x:c r="M394" s="24" t="str"/>
      <x:c r="N394" s="24" t="str">
        <x:v>35</x:v>
      </x:c>
      <x:c r="O394" s="24" t="str"/>
      <x:c r="P394" s="24" t="str">
        <x:v>하허호</x:v>
      </x:c>
      <x:c r="Q394" s="24" t="str">
        <x:v>있음</x:v>
      </x:c>
      <x:c r="R394" s="24" t="str"/>
      <x:c r="S394" s="31" t="n">
        <x:v>167</x:v>
      </x:c>
      <x:c r="T394" s="24" t="str"/>
      <x:c r="U394" s="24" t="str">
        <x:v>무보증</x:v>
      </x:c>
    </x:row>
    <x:row r="395" ht="17.25" customHeight="1">
      <x:c r="A395" s="24" t="str">
        <x:v>SW-C-19무0235-4-20240830-167</x:v>
      </x:c>
      <x:c r="B395" s="24" t="str">
        <x:v>스위치플랜</x:v>
      </x:c>
      <x:c r="C395" s="24" t="str">
        <x:v>19무0235</x:v>
      </x:c>
      <x:c r="D395" s="31" t="n">
        <x:v>4</x:v>
      </x:c>
      <x:c r="E395" s="24" t="str">
        <x:v>이력</x:v>
      </x:c>
      <x:c r="F395" s="24" t="str">
        <x:v>구독대여</x:v>
      </x:c>
      <x:c r="G395" s="24" t="str">
        <x:v>정상윤</x:v>
      </x:c>
      <x:c r="H395" s="30" t="n">
        <x:v>45534</x:v>
      </x:c>
      <x:c r="I395" s="30" t="n">
        <x:v>46994</x:v>
      </x:c>
      <x:c r="J395" s="30" t="n">
        <x:v>45688</x:v>
      </x:c>
      <x:c r="K395" s="32" t="n">
        <x:v>820000</x:v>
      </x:c>
      <x:c r="L395" s="32" t="n">
        <x:v>2000000</x:v>
      </x:c>
      <x:c r="M395" s="24" t="str"/>
      <x:c r="N395" s="24" t="str">
        <x:v>35</x:v>
      </x:c>
      <x:c r="O395" s="24" t="str"/>
      <x:c r="P395" s="24" t="str">
        <x:v>하허호</x:v>
      </x:c>
      <x:c r="Q395" s="24" t="str">
        <x:v>있음</x:v>
      </x:c>
      <x:c r="R395" s="24" t="str"/>
      <x:c r="S395" s="31" t="n">
        <x:v>167</x:v>
      </x:c>
      <x:c r="T395" s="24" t="str"/>
      <x:c r="U395" s="24" t="str"/>
    </x:row>
    <x:row r="396" ht="17.25" customHeight="1">
      <x:c r="A396" s="24" t="str">
        <x:v>SW-C-19무0235-5-20250603-167</x:v>
      </x:c>
      <x:c r="B396" s="24" t="str">
        <x:v>스위치플랜</x:v>
      </x:c>
      <x:c r="C396" s="24" t="str">
        <x:v>19무0235</x:v>
      </x:c>
      <x:c r="D396" s="31" t="n">
        <x:v>5</x:v>
      </x:c>
      <x:c r="E396" s="24" t="str">
        <x:v>이력</x:v>
      </x:c>
      <x:c r="F396" s="24" t="str">
        <x:v>구독대여</x:v>
      </x:c>
      <x:c r="G396" s="24" t="str">
        <x:v>이지용</x:v>
      </x:c>
      <x:c r="H396" s="30" t="n">
        <x:v>45811</x:v>
      </x:c>
      <x:c r="I396" s="30" t="n">
        <x:v>45513</x:v>
      </x:c>
      <x:c r="J396" s="30"/>
      <x:c r="K396" s="32" t="n">
        <x:v>45447</x:v>
      </x:c>
      <x:c r="L396" s="32" t="n">
        <x:v>980000</x:v>
      </x:c>
      <x:c r="M396" s="24" t="str"/>
      <x:c r="N396" s="24" t="str">
        <x:v>35</x:v>
      </x:c>
      <x:c r="O396" s="24" t="str"/>
      <x:c r="P396" s="24" t="str">
        <x:v>카랜(주)</x:v>
      </x:c>
      <x:c r="Q396" s="24" t="str">
        <x:v>있음</x:v>
      </x:c>
      <x:c r="R396" s="24" t="str"/>
      <x:c r="S396" s="31" t="n">
        <x:v>167</x:v>
      </x:c>
      <x:c r="T396" s="24" t="str"/>
      <x:c r="U396" s="24" t="str"/>
    </x:row>
    <x:row r="397" ht="17.25" customHeight="1">
      <x:c r="A397" s="24" t="str">
        <x:v>SW-C-175부9961-1-NA-168</x:v>
      </x:c>
      <x:c r="B397" s="24" t="str">
        <x:v>스위치플랜</x:v>
      </x:c>
      <x:c r="C397" s="24" t="str">
        <x:v>175부9961</x:v>
      </x:c>
      <x:c r="D397" s="31" t="n">
        <x:v>1</x:v>
      </x:c>
      <x:c r="E397" s="24" t="str">
        <x:v>이력</x:v>
      </x:c>
      <x:c r="F397" s="24" t="str"/>
      <x:c r="G397" s="24" t="str">
        <x:v>매각</x:v>
      </x:c>
      <x:c r="H397" s="30"/>
      <x:c r="I397" s="30"/>
      <x:c r="J397" s="30" t="n">
        <x:v>46212</x:v>
      </x:c>
      <x:c r="K397" s="32"/>
      <x:c r="L397" s="32"/>
      <x:c r="M397" s="24" t="str"/>
      <x:c r="N397" s="24" t="str">
        <x:v>35</x:v>
      </x:c>
      <x:c r="O397" s="24" t="str">
        <x:v>DB</x:v>
      </x:c>
      <x:c r="P397" s="24" t="str"/>
      <x:c r="Q397" s="24" t="str">
        <x:v>있음</x:v>
      </x:c>
      <x:c r="R397" s="24" t="str"/>
      <x:c r="S397" s="31" t="n">
        <x:v>168</x:v>
      </x:c>
      <x:c r="T397" s="24" t="str">
        <x:v>필수값 확인</x:v>
      </x:c>
      <x:c r="U397" s="24" t="str"/>
    </x:row>
    <x:row r="398" ht="17.25" customHeight="1">
      <x:c r="A398" s="24" t="str">
        <x:v>SW-C-175부9961-2-20260114-168</x:v>
      </x:c>
      <x:c r="B398" s="24" t="str">
        <x:v>스위치플랜</x:v>
      </x:c>
      <x:c r="C398" s="24" t="str">
        <x:v>175부9961</x:v>
      </x:c>
      <x:c r="D398" s="31" t="n">
        <x:v>2</x:v>
      </x:c>
      <x:c r="E398" s="24" t="str">
        <x:v>이력</x:v>
      </x:c>
      <x:c r="F398" s="24" t="str">
        <x:v>구독대여</x:v>
      </x:c>
      <x:c r="G398" s="24" t="str">
        <x:v>전화춘</x:v>
      </x:c>
      <x:c r="H398" s="30" t="n">
        <x:v>46036</x:v>
      </x:c>
      <x:c r="I398" s="30" t="n">
        <x:v>47131</x:v>
      </x:c>
      <x:c r="J398" s="30" t="n">
        <x:v>46178</x:v>
      </x:c>
      <x:c r="K398" s="32" t="n">
        <x:v>680000</x:v>
      </x:c>
      <x:c r="L398" s="32" t="n">
        <x:v>1000000</x:v>
      </x:c>
      <x:c r="M398" s="24" t="str"/>
      <x:c r="N398" s="24" t="str">
        <x:v>35</x:v>
      </x:c>
      <x:c r="O398" s="24" t="str"/>
      <x:c r="P398" s="24" t="str">
        <x:v>하허호</x:v>
      </x:c>
      <x:c r="Q398" s="24" t="str">
        <x:v>있음</x:v>
      </x:c>
      <x:c r="R398" s="24" t="str"/>
      <x:c r="S398" s="31" t="n">
        <x:v>168</x:v>
      </x:c>
      <x:c r="T398" s="24" t="str"/>
      <x:c r="U398" s="24" t="str"/>
    </x:row>
    <x:row r="399" ht="17.25" customHeight="1">
      <x:c r="A399" s="24" t="str">
        <x:v>SW-C-175부9961-3-20251021-168</x:v>
      </x:c>
      <x:c r="B399" s="24" t="str">
        <x:v>스위치플랜</x:v>
      </x:c>
      <x:c r="C399" s="24" t="str">
        <x:v>175부9961</x:v>
      </x:c>
      <x:c r="D399" s="31" t="n">
        <x:v>3</x:v>
      </x:c>
      <x:c r="E399" s="24" t="str">
        <x:v>이력</x:v>
      </x:c>
      <x:c r="F399" s="24" t="str">
        <x:v>구독대여</x:v>
      </x:c>
      <x:c r="G399" s="24" t="str">
        <x:v>진수빈</x:v>
      </x:c>
      <x:c r="H399" s="30" t="n">
        <x:v>45951</x:v>
      </x:c>
      <x:c r="I399" s="30" t="n">
        <x:v>47411</x:v>
      </x:c>
      <x:c r="J399" s="30" t="n">
        <x:v>45992</x:v>
      </x:c>
      <x:c r="K399" s="32" t="n">
        <x:v>670000</x:v>
      </x:c>
      <x:c r="L399" s="32" t="n">
        <x:v>1000000</x:v>
      </x:c>
      <x:c r="M399" s="24" t="str"/>
      <x:c r="N399" s="24" t="str">
        <x:v>35</x:v>
      </x:c>
      <x:c r="O399" s="24" t="str"/>
      <x:c r="P399" s="24" t="str">
        <x:v>하허호</x:v>
      </x:c>
      <x:c r="Q399" s="24" t="str">
        <x:v>있음</x:v>
      </x:c>
      <x:c r="R399" s="24" t="str"/>
      <x:c r="S399" s="31" t="n">
        <x:v>168</x:v>
      </x:c>
      <x:c r="T399" s="24" t="str"/>
      <x:c r="U399" s="24" t="str"/>
    </x:row>
    <x:row r="400" ht="17.25" customHeight="1">
      <x:c r="A400" s="24" t="str">
        <x:v>SW-C-175부9961-4-20241030-168</x:v>
      </x:c>
      <x:c r="B400" s="24" t="str">
        <x:v>스위치플랜</x:v>
      </x:c>
      <x:c r="C400" s="24" t="str">
        <x:v>175부9961</x:v>
      </x:c>
      <x:c r="D400" s="31" t="n">
        <x:v>4</x:v>
      </x:c>
      <x:c r="E400" s="24" t="str">
        <x:v>이력</x:v>
      </x:c>
      <x:c r="F400" s="24" t="str">
        <x:v>구독대여</x:v>
      </x:c>
      <x:c r="G400" s="24" t="str">
        <x:v>김진수</x:v>
      </x:c>
      <x:c r="H400" s="30" t="n">
        <x:v>45595</x:v>
      </x:c>
      <x:c r="I400" s="30" t="n">
        <x:v>47055</x:v>
      </x:c>
      <x:c r="J400" s="30" t="n">
        <x:v>45908</x:v>
      </x:c>
      <x:c r="K400" s="32" t="n">
        <x:v>770000</x:v>
      </x:c>
      <x:c r="L400" s="32" t="n">
        <x:v>1500000</x:v>
      </x:c>
      <x:c r="M400" s="24" t="str"/>
      <x:c r="N400" s="24" t="str">
        <x:v>35</x:v>
      </x:c>
      <x:c r="O400" s="24" t="str"/>
      <x:c r="P400" s="24" t="str">
        <x:v>하허호</x:v>
      </x:c>
      <x:c r="Q400" s="24" t="str">
        <x:v>있음</x:v>
      </x:c>
      <x:c r="R400" s="24" t="str"/>
      <x:c r="S400" s="31" t="n">
        <x:v>168</x:v>
      </x:c>
      <x:c r="T400" s="24" t="str"/>
      <x:c r="U400" s="24" t="str"/>
    </x:row>
    <x:row r="401" ht="17.25" customHeight="1">
      <x:c r="A401" s="24" t="str">
        <x:v>SW-C-175부9961-5-20250617-168</x:v>
      </x:c>
      <x:c r="B401" s="24" t="str">
        <x:v>스위치플랜</x:v>
      </x:c>
      <x:c r="C401" s="24" t="str">
        <x:v>175부9961</x:v>
      </x:c>
      <x:c r="D401" s="31" t="n">
        <x:v>5</x:v>
      </x:c>
      <x:c r="E401" s="24" t="str">
        <x:v>이력</x:v>
      </x:c>
      <x:c r="F401" s="24" t="str">
        <x:v>구독대여</x:v>
      </x:c>
      <x:c r="G401" s="24" t="str">
        <x:v>문수영</x:v>
      </x:c>
      <x:c r="H401" s="30" t="n">
        <x:v>45825</x:v>
      </x:c>
      <x:c r="I401" s="30" t="n">
        <x:v>45579</x:v>
      </x:c>
      <x:c r="J401" s="30"/>
      <x:c r="K401" s="32" t="n">
        <x:v>45461</x:v>
      </x:c>
      <x:c r="L401" s="32" t="n">
        <x:v>1000000</x:v>
      </x:c>
      <x:c r="M401" s="24" t="str"/>
      <x:c r="N401" s="24" t="str">
        <x:v>35</x:v>
      </x:c>
      <x:c r="O401" s="24" t="str"/>
      <x:c r="P401" s="24" t="str">
        <x:v>하허호</x:v>
      </x:c>
      <x:c r="Q401" s="24" t="str">
        <x:v>있음</x:v>
      </x:c>
      <x:c r="R401" s="24" t="str"/>
      <x:c r="S401" s="31" t="n">
        <x:v>168</x:v>
      </x:c>
      <x:c r="T401" s="24" t="str"/>
      <x:c r="U401" s="24" t="str"/>
    </x:row>
    <x:row r="402" ht="17.25" customHeight="1">
      <x:c r="A402" s="24" t="str">
        <x:v>SW-C-369두9464-1-NA-169</x:v>
      </x:c>
      <x:c r="B402" s="24" t="str">
        <x:v>스위치플랜</x:v>
      </x:c>
      <x:c r="C402" s="24" t="str">
        <x:v>369두9464</x:v>
      </x:c>
      <x:c r="D402" s="31" t="n">
        <x:v>1</x:v>
      </x:c>
      <x:c r="E402" s="24" t="str">
        <x:v>이력</x:v>
      </x:c>
      <x:c r="F402" s="24" t="str"/>
      <x:c r="G402" s="24" t="str">
        <x:v>매각</x:v>
      </x:c>
      <x:c r="H402" s="30"/>
      <x:c r="I402" s="30"/>
      <x:c r="J402" s="30" t="n">
        <x:v>46216</x:v>
      </x:c>
      <x:c r="K402" s="32"/>
      <x:c r="L402" s="32"/>
      <x:c r="M402" s="24" t="str"/>
      <x:c r="N402" s="24" t="str">
        <x:v>35</x:v>
      </x:c>
      <x:c r="O402" s="24" t="str">
        <x:v>DB</x:v>
      </x:c>
      <x:c r="P402" s="24" t="str"/>
      <x:c r="Q402" s="24" t="str">
        <x:v>있음</x:v>
      </x:c>
      <x:c r="R402" s="24" t="str"/>
      <x:c r="S402" s="31" t="n">
        <x:v>169</x:v>
      </x:c>
      <x:c r="T402" s="24" t="str">
        <x:v>필수값 확인</x:v>
      </x:c>
      <x:c r="U402" s="24" t="str"/>
    </x:row>
    <x:row r="403" ht="17.25" customHeight="1">
      <x:c r="A403" s="24" t="str">
        <x:v>SW-C-369두9464-2-20250822-169</x:v>
      </x:c>
      <x:c r="B403" s="24" t="str">
        <x:v>스위치플랜</x:v>
      </x:c>
      <x:c r="C403" s="24" t="str">
        <x:v>369두9464</x:v>
      </x:c>
      <x:c r="D403" s="31" t="n">
        <x:v>2</x:v>
      </x:c>
      <x:c r="E403" s="24" t="str">
        <x:v>이력</x:v>
      </x:c>
      <x:c r="F403" s="24" t="str">
        <x:v>구독대여</x:v>
      </x:c>
      <x:c r="G403" s="24" t="str">
        <x:v>김민수</x:v>
      </x:c>
      <x:c r="H403" s="30" t="n">
        <x:v>45891</x:v>
      </x:c>
      <x:c r="I403" s="30" t="n">
        <x:v>47351</x:v>
      </x:c>
      <x:c r="J403" s="30" t="n">
        <x:v>46058</x:v>
      </x:c>
      <x:c r="K403" s="32" t="n">
        <x:v>850000</x:v>
      </x:c>
      <x:c r="L403" s="32"/>
      <x:c r="M403" s="24" t="str"/>
      <x:c r="N403" s="24" t="str">
        <x:v>35</x:v>
      </x:c>
      <x:c r="O403" s="24" t="str"/>
      <x:c r="P403" s="24" t="str">
        <x:v>하허호</x:v>
      </x:c>
      <x:c r="Q403" s="24" t="str">
        <x:v>있음</x:v>
      </x:c>
      <x:c r="R403" s="24" t="str"/>
      <x:c r="S403" s="31" t="n">
        <x:v>169</x:v>
      </x:c>
      <x:c r="T403" s="24" t="str"/>
      <x:c r="U403" s="24" t="str">
        <x:v>무보증</x:v>
      </x:c>
    </x:row>
    <x:row r="404" ht="17.25" customHeight="1">
      <x:c r="A404" s="24" t="str">
        <x:v>SW-C-369두9464-3-20240116-169</x:v>
      </x:c>
      <x:c r="B404" s="24" t="str">
        <x:v>스위치플랜</x:v>
      </x:c>
      <x:c r="C404" s="24" t="str">
        <x:v>369두9464</x:v>
      </x:c>
      <x:c r="D404" s="31" t="n">
        <x:v>3</x:v>
      </x:c>
      <x:c r="E404" s="24" t="str">
        <x:v>이력</x:v>
      </x:c>
      <x:c r="F404" s="24" t="str">
        <x:v>구독대여</x:v>
      </x:c>
      <x:c r="G404" s="24" t="str">
        <x:v>닷픽쳐스이엔엠</x:v>
      </x:c>
      <x:c r="H404" s="30" t="n">
        <x:v>45307</x:v>
      </x:c>
      <x:c r="I404" s="30" t="n">
        <x:v>46402</x:v>
      </x:c>
      <x:c r="J404" s="30" t="n">
        <x:v>45849</x:v>
      </x:c>
      <x:c r="K404" s="32" t="n">
        <x:v>1380000</x:v>
      </x:c>
      <x:c r="L404" s="32" t="n">
        <x:v>5900000</x:v>
      </x:c>
      <x:c r="M404" s="24" t="str"/>
      <x:c r="N404" s="24" t="str">
        <x:v>35</x:v>
      </x:c>
      <x:c r="O404" s="24" t="str"/>
      <x:c r="P404" s="24" t="str">
        <x:v>SI</x:v>
      </x:c>
      <x:c r="Q404" s="24" t="str">
        <x:v>있음</x:v>
      </x:c>
      <x:c r="R404" s="24" t="str"/>
      <x:c r="S404" s="31" t="n">
        <x:v>169</x:v>
      </x:c>
      <x:c r="T404" s="24" t="str"/>
      <x:c r="U404" s="24" t="str"/>
    </x:row>
    <x:row r="405" ht="17.25" customHeight="1">
      <x:c r="A405" s="24" t="str">
        <x:v>SW-C-20다0220-1-NA-170</x:v>
      </x:c>
      <x:c r="B405" s="24" t="str">
        <x:v>스위치플랜</x:v>
      </x:c>
      <x:c r="C405" s="24" t="str">
        <x:v>20다0220</x:v>
      </x:c>
      <x:c r="D405" s="31" t="n">
        <x:v>1</x:v>
      </x:c>
      <x:c r="E405" s="24" t="str">
        <x:v>이력</x:v>
      </x:c>
      <x:c r="F405" s="24" t="str"/>
      <x:c r="G405" s="24" t="str">
        <x:v>매각</x:v>
      </x:c>
      <x:c r="H405" s="30"/>
      <x:c r="I405" s="30"/>
      <x:c r="J405" s="30" t="n">
        <x:v>46216</x:v>
      </x:c>
      <x:c r="K405" s="32"/>
      <x:c r="L405" s="32"/>
      <x:c r="M405" s="24" t="str"/>
      <x:c r="N405" s="24" t="str">
        <x:v>35</x:v>
      </x:c>
      <x:c r="O405" s="24" t="str">
        <x:v>DB</x:v>
      </x:c>
      <x:c r="P405" s="24" t="str"/>
      <x:c r="Q405" s="24" t="str">
        <x:v>있음</x:v>
      </x:c>
      <x:c r="R405" s="24" t="str"/>
      <x:c r="S405" s="31" t="n">
        <x:v>170</x:v>
      </x:c>
      <x:c r="T405" s="24" t="str">
        <x:v>필수값 확인</x:v>
      </x:c>
      <x:c r="U405" s="24" t="str"/>
    </x:row>
    <x:row r="406" ht="17.25" customHeight="1">
      <x:c r="A406" s="24" t="str">
        <x:v>SW-C-20다0220-2-20251210-170</x:v>
      </x:c>
      <x:c r="B406" s="24" t="str">
        <x:v>스위치플랜</x:v>
      </x:c>
      <x:c r="C406" s="24" t="str">
        <x:v>20다0220</x:v>
      </x:c>
      <x:c r="D406" s="31" t="n">
        <x:v>2</x:v>
      </x:c>
      <x:c r="E406" s="24" t="str">
        <x:v>이력</x:v>
      </x:c>
      <x:c r="F406" s="24" t="str">
        <x:v>구독대여</x:v>
      </x:c>
      <x:c r="G406" s="24" t="str">
        <x:v>박수범</x:v>
      </x:c>
      <x:c r="H406" s="30" t="n">
        <x:v>46001</x:v>
      </x:c>
      <x:c r="I406" s="30" t="n">
        <x:v>47461</x:v>
      </x:c>
      <x:c r="J406" s="30" t="n">
        <x:v>46090</x:v>
      </x:c>
      <x:c r="K406" s="32" t="n">
        <x:v>970000</x:v>
      </x:c>
      <x:c r="L406" s="32" t="n">
        <x:v>3000000</x:v>
      </x:c>
      <x:c r="M406" s="24" t="str"/>
      <x:c r="N406" s="24" t="str">
        <x:v>35</x:v>
      </x:c>
      <x:c r="O406" s="24" t="str"/>
      <x:c r="P406" s="24" t="str">
        <x:v>하허호</x:v>
      </x:c>
      <x:c r="Q406" s="24" t="str">
        <x:v>있음</x:v>
      </x:c>
      <x:c r="R406" s="24" t="str"/>
      <x:c r="S406" s="31" t="n">
        <x:v>170</x:v>
      </x:c>
      <x:c r="T406" s="24" t="str"/>
      <x:c r="U406" s="24" t="str"/>
    </x:row>
    <x:row r="407" ht="17.25" customHeight="1">
      <x:c r="A407" s="24" t="str">
        <x:v>SW-C-20다0220-3-20251016-170</x:v>
      </x:c>
      <x:c r="B407" s="24" t="str">
        <x:v>스위치플랜</x:v>
      </x:c>
      <x:c r="C407" s="24" t="str">
        <x:v>20다0220</x:v>
      </x:c>
      <x:c r="D407" s="31" t="n">
        <x:v>3</x:v>
      </x:c>
      <x:c r="E407" s="24" t="str">
        <x:v>이력</x:v>
      </x:c>
      <x:c r="F407" s="24" t="str"/>
      <x:c r="G407" s="24" t="str">
        <x:v>김성진(조희선)</x:v>
      </x:c>
      <x:c r="H407" s="30" t="n">
        <x:v>45946</x:v>
      </x:c>
      <x:c r="I407" s="30"/>
      <x:c r="J407" s="30"/>
      <x:c r="K407" s="32"/>
      <x:c r="L407" s="32"/>
      <x:c r="M407" s="24" t="str"/>
      <x:c r="N407" s="24" t="str">
        <x:v>35</x:v>
      </x:c>
      <x:c r="O407" s="24" t="str"/>
      <x:c r="P407" s="24" t="str"/>
      <x:c r="Q407" s="24" t="str">
        <x:v>있음</x:v>
      </x:c>
      <x:c r="R407" s="24" t="str"/>
      <x:c r="S407" s="31" t="n">
        <x:v>170</x:v>
      </x:c>
      <x:c r="T407" s="24" t="str">
        <x:v>필수값 확인</x:v>
      </x:c>
      <x:c r="U407" s="24" t="str"/>
    </x:row>
    <x:row r="408" ht="17.25" customHeight="1">
      <x:c r="A408" s="24" t="str">
        <x:v>SW-C-20다0220-4-20250512-170</x:v>
      </x:c>
      <x:c r="B408" s="24" t="str">
        <x:v>스위치플랜</x:v>
      </x:c>
      <x:c r="C408" s="24" t="str">
        <x:v>20다0220</x:v>
      </x:c>
      <x:c r="D408" s="31" t="n">
        <x:v>4</x:v>
      </x:c>
      <x:c r="E408" s="24" t="str">
        <x:v>이력</x:v>
      </x:c>
      <x:c r="F408" s="24" t="str">
        <x:v>구독대여</x:v>
      </x:c>
      <x:c r="G408" s="24" t="str">
        <x:v>이승주</x:v>
      </x:c>
      <x:c r="H408" s="30" t="n">
        <x:v>45789</x:v>
      </x:c>
      <x:c r="I408" s="30" t="n">
        <x:v>47249</x:v>
      </x:c>
      <x:c r="J408" s="30" t="n">
        <x:v>45875</x:v>
      </x:c>
      <x:c r="K408" s="32" t="n">
        <x:v>1400000</x:v>
      </x:c>
      <x:c r="L408" s="32" t="n">
        <x:v>2500000</x:v>
      </x:c>
      <x:c r="M408" s="24" t="str"/>
      <x:c r="N408" s="24" t="str">
        <x:v>35</x:v>
      </x:c>
      <x:c r="O408" s="24" t="str"/>
      <x:c r="P408" s="24" t="str">
        <x:v>하허호</x:v>
      </x:c>
      <x:c r="Q408" s="24" t="str">
        <x:v>있음</x:v>
      </x:c>
      <x:c r="R408" s="24" t="str"/>
      <x:c r="S408" s="31" t="n">
        <x:v>170</x:v>
      </x:c>
      <x:c r="T408" s="24" t="str"/>
      <x:c r="U408" s="24" t="str"/>
    </x:row>
    <x:row r="409" ht="17.25" customHeight="1">
      <x:c r="A409" s="24" t="str">
        <x:v>SW-C-20다0220-5-20280723-170</x:v>
      </x:c>
      <x:c r="B409" s="24" t="str">
        <x:v>스위치플랜</x:v>
      </x:c>
      <x:c r="C409" s="24" t="str">
        <x:v>20다0220</x:v>
      </x:c>
      <x:c r="D409" s="31" t="n">
        <x:v>5</x:v>
      </x:c>
      <x:c r="E409" s="24" t="str">
        <x:v>이력</x:v>
      </x:c>
      <x:c r="F409" s="24" t="str">
        <x:v>구독대여</x:v>
      </x:c>
      <x:c r="G409" s="24" t="str">
        <x:v>조규현</x:v>
      </x:c>
      <x:c r="H409" s="30" t="n">
        <x:v>46957</x:v>
      </x:c>
      <x:c r="I409" s="30" t="n">
        <x:v>45730</x:v>
      </x:c>
      <x:c r="J409" s="30"/>
      <x:c r="K409" s="32" t="n">
        <x:v>45325</x:v>
      </x:c>
      <x:c r="L409" s="32" t="n">
        <x:v>3000000</x:v>
      </x:c>
      <x:c r="M409" s="24" t="str"/>
      <x:c r="N409" s="24" t="str">
        <x:v>35</x:v>
      </x:c>
      <x:c r="O409" s="24" t="str"/>
      <x:c r="P409" s="24" t="str">
        <x:v>하허호</x:v>
      </x:c>
      <x:c r="Q409" s="24" t="str">
        <x:v>있음</x:v>
      </x:c>
      <x:c r="R409" s="24" t="str"/>
      <x:c r="S409" s="31" t="n">
        <x:v>170</x:v>
      </x:c>
      <x:c r="T409" s="24" t="str"/>
      <x:c r="U409" s="24" t="str"/>
    </x:row>
    <x:row r="410" ht="17.25" customHeight="1">
      <x:c r="A410" s="24" t="str">
        <x:v>SW-C-20다0220-6-20280723-170</x:v>
      </x:c>
      <x:c r="B410" s="24" t="str">
        <x:v>스위치플랜</x:v>
      </x:c>
      <x:c r="C410" s="24" t="str">
        <x:v>20다0220</x:v>
      </x:c>
      <x:c r="D410" s="31" t="n">
        <x:v>6</x:v>
      </x:c>
      <x:c r="E410" s="24" t="str">
        <x:v>이력</x:v>
      </x:c>
      <x:c r="F410" s="24" t="str">
        <x:v>구독대여</x:v>
      </x:c>
      <x:c r="G410" s="24" t="str">
        <x:v>내셔널 스파이더</x:v>
      </x:c>
      <x:c r="H410" s="30" t="n">
        <x:v>46957</x:v>
      </x:c>
      <x:c r="I410" s="30"/>
      <x:c r="J410" s="30"/>
      <x:c r="K410" s="32" t="n">
        <x:v>45497</x:v>
      </x:c>
      <x:c r="L410" s="32" t="n">
        <x:v>3000000</x:v>
      </x:c>
      <x:c r="M410" s="24" t="str"/>
      <x:c r="N410" s="24" t="str">
        <x:v>35</x:v>
      </x:c>
      <x:c r="O410" s="24" t="str"/>
      <x:c r="P410" s="24" t="str">
        <x:v>하허호</x:v>
      </x:c>
      <x:c r="Q410" s="24" t="str">
        <x:v>있음</x:v>
      </x:c>
      <x:c r="R410" s="24" t="str"/>
      <x:c r="S410" s="31" t="n">
        <x:v>170</x:v>
      </x:c>
      <x:c r="T410" s="24" t="str"/>
      <x:c r="U410" s="24" t="str"/>
    </x:row>
    <x:row r="411" ht="17.25" customHeight="1">
      <x:c r="A411" s="24" t="str">
        <x:v>SW-C-46누4225-1-NA-171</x:v>
      </x:c>
      <x:c r="B411" s="24" t="str">
        <x:v>스위치플랜</x:v>
      </x:c>
      <x:c r="C411" s="24" t="str">
        <x:v>46누4225</x:v>
      </x:c>
      <x:c r="D411" s="31" t="n">
        <x:v>1</x:v>
      </x:c>
      <x:c r="E411" s="24" t="str">
        <x:v>이력</x:v>
      </x:c>
      <x:c r="F411" s="24" t="str"/>
      <x:c r="G411" s="24" t="str">
        <x:v>매각</x:v>
      </x:c>
      <x:c r="H411" s="30"/>
      <x:c r="I411" s="30"/>
      <x:c r="J411" s="30" t="n">
        <x:v>46217</x:v>
      </x:c>
      <x:c r="K411" s="32"/>
      <x:c r="L411" s="32"/>
      <x:c r="M411" s="24" t="str"/>
      <x:c r="N411" s="24" t="str">
        <x:v>30</x:v>
      </x:c>
      <x:c r="O411" s="24" t="str">
        <x:v>DB</x:v>
      </x:c>
      <x:c r="P411" s="24" t="str"/>
      <x:c r="Q411" s="24" t="str">
        <x:v>있음</x:v>
      </x:c>
      <x:c r="R411" s="24" t="str"/>
      <x:c r="S411" s="31" t="n">
        <x:v>171</x:v>
      </x:c>
      <x:c r="T411" s="24" t="str">
        <x:v>필수값 확인</x:v>
      </x:c>
      <x:c r="U411" s="24" t="str"/>
    </x:row>
    <x:row r="412" ht="17.25" customHeight="1">
      <x:c r="A412" s="24" t="str">
        <x:v>SW-C-46누4225-2-20260304-171</x:v>
      </x:c>
      <x:c r="B412" s="24" t="str">
        <x:v>스위치플랜</x:v>
      </x:c>
      <x:c r="C412" s="24" t="str">
        <x:v>46누4225</x:v>
      </x:c>
      <x:c r="D412" s="31" t="n">
        <x:v>2</x:v>
      </x:c>
      <x:c r="E412" s="24" t="str">
        <x:v>이력</x:v>
      </x:c>
      <x:c r="F412" s="24" t="str">
        <x:v>구독대여</x:v>
      </x:c>
      <x:c r="G412" s="24" t="str">
        <x:v>김태민</x:v>
      </x:c>
      <x:c r="H412" s="30" t="n">
        <x:v>46085</x:v>
      </x:c>
      <x:c r="I412" s="30" t="n">
        <x:v>47303</x:v>
      </x:c>
      <x:c r="J412" s="30" t="n">
        <x:v>46209</x:v>
      </x:c>
      <x:c r="K412" s="32" t="n">
        <x:v>1030000</x:v>
      </x:c>
      <x:c r="L412" s="32"/>
      <x:c r="M412" s="24" t="str"/>
      <x:c r="N412" s="24" t="str">
        <x:v>30</x:v>
      </x:c>
      <x:c r="O412" s="24" t="str"/>
      <x:c r="P412" s="24" t="str">
        <x:v>하허호</x:v>
      </x:c>
      <x:c r="Q412" s="24" t="str">
        <x:v>있음</x:v>
      </x:c>
      <x:c r="R412" s="24" t="str"/>
      <x:c r="S412" s="31" t="n">
        <x:v>171</x:v>
      </x:c>
      <x:c r="T412" s="24" t="str"/>
      <x:c r="U412" s="24" t="str">
        <x:v>무보증</x:v>
      </x:c>
    </x:row>
    <x:row r="413" ht="17.25" customHeight="1">
      <x:c r="A413" s="24" t="str">
        <x:v>SW-C-46누4225-3-20250705-171</x:v>
      </x:c>
      <x:c r="B413" s="24" t="str">
        <x:v>스위치플랜</x:v>
      </x:c>
      <x:c r="C413" s="24" t="str">
        <x:v>46누4225</x:v>
      </x:c>
      <x:c r="D413" s="31" t="n">
        <x:v>3</x:v>
      </x:c>
      <x:c r="E413" s="24" t="str">
        <x:v>이력</x:v>
      </x:c>
      <x:c r="F413" s="24" t="str">
        <x:v>구독대여</x:v>
      </x:c>
      <x:c r="G413" s="24" t="str">
        <x:v>나주영</x:v>
      </x:c>
      <x:c r="H413" s="30" t="n">
        <x:v>45843</x:v>
      </x:c>
      <x:c r="I413" s="30" t="n">
        <x:v>47303</x:v>
      </x:c>
      <x:c r="J413" s="30"/>
      <x:c r="K413" s="32" t="n">
        <x:v>1030000</x:v>
      </x:c>
      <x:c r="L413" s="32"/>
      <x:c r="M413" s="24" t="str"/>
      <x:c r="N413" s="24" t="str">
        <x:v>30</x:v>
      </x:c>
      <x:c r="O413" s="24" t="str"/>
      <x:c r="P413" s="24" t="str">
        <x:v>하허호</x:v>
      </x:c>
      <x:c r="Q413" s="24" t="str">
        <x:v>있음</x:v>
      </x:c>
      <x:c r="R413" s="24" t="str"/>
      <x:c r="S413" s="31" t="n">
        <x:v>171</x:v>
      </x:c>
      <x:c r="T413" s="24" t="str"/>
      <x:c r="U413" s="24" t="str">
        <x:v>무보증</x:v>
      </x:c>
    </x:row>
    <x:row r="414" ht="17.25" customHeight="1">
      <x:c r="A414" s="24" t="str">
        <x:v>SW-C-158수3389-1-NA-172</x:v>
      </x:c>
      <x:c r="B414" s="24" t="str">
        <x:v>스위치플랜</x:v>
      </x:c>
      <x:c r="C414" s="24" t="str">
        <x:v>158수3389</x:v>
      </x:c>
      <x:c r="D414" s="31" t="n">
        <x:v>1</x:v>
      </x:c>
      <x:c r="E414" s="24" t="str">
        <x:v>이력</x:v>
      </x:c>
      <x:c r="F414" s="24" t="str"/>
      <x:c r="G414" s="24" t="str">
        <x:v>매각</x:v>
      </x:c>
      <x:c r="H414" s="30"/>
      <x:c r="I414" s="30"/>
      <x:c r="J414" s="30" t="n">
        <x:v>46216</x:v>
      </x:c>
      <x:c r="K414" s="32"/>
      <x:c r="L414" s="32"/>
      <x:c r="M414" s="24" t="str"/>
      <x:c r="N414" s="24" t="str">
        <x:v>26</x:v>
      </x:c>
      <x:c r="O414" s="24" t="str">
        <x:v>DB</x:v>
      </x:c>
      <x:c r="P414" s="24" t="str"/>
      <x:c r="Q414" s="24" t="str">
        <x:v>있음</x:v>
      </x:c>
      <x:c r="R414" s="24" t="str"/>
      <x:c r="S414" s="31" t="n">
        <x:v>172</x:v>
      </x:c>
      <x:c r="T414" s="24" t="str">
        <x:v>필수값 확인</x:v>
      </x:c>
      <x:c r="U414" s="24" t="str"/>
    </x:row>
    <x:row r="415" ht="17.25" customHeight="1">
      <x:c r="A415" s="24" t="str">
        <x:v>SW-C-158수3389-2-20241004-172</x:v>
      </x:c>
      <x:c r="B415" s="24" t="str">
        <x:v>스위치플랜</x:v>
      </x:c>
      <x:c r="C415" s="24" t="str">
        <x:v>158수3389</x:v>
      </x:c>
      <x:c r="D415" s="31" t="n">
        <x:v>2</x:v>
      </x:c>
      <x:c r="E415" s="24" t="str">
        <x:v>이력</x:v>
      </x:c>
      <x:c r="F415" s="24" t="str">
        <x:v>구독대여</x:v>
      </x:c>
      <x:c r="G415" s="24" t="str">
        <x:v>안승현</x:v>
      </x:c>
      <x:c r="H415" s="30" t="n">
        <x:v>45569</x:v>
      </x:c>
      <x:c r="I415" s="30" t="n">
        <x:v>46297</x:v>
      </x:c>
      <x:c r="J415" s="30" t="n">
        <x:v>46188</x:v>
      </x:c>
      <x:c r="K415" s="32" t="n">
        <x:v>910000</x:v>
      </x:c>
      <x:c r="L415" s="32" t="n">
        <x:v>1050000</x:v>
      </x:c>
      <x:c r="M415" s="24" t="str"/>
      <x:c r="N415" s="24" t="str">
        <x:v>26</x:v>
      </x:c>
      <x:c r="O415" s="24" t="str"/>
      <x:c r="P415" s="24" t="str">
        <x:v>하허호</x:v>
      </x:c>
      <x:c r="Q415" s="24" t="str">
        <x:v>있음</x:v>
      </x:c>
      <x:c r="R415" s="24" t="str"/>
      <x:c r="S415" s="31" t="n">
        <x:v>172</x:v>
      </x:c>
      <x:c r="T415" s="24" t="str"/>
      <x:c r="U415" s="24" t="str"/>
    </x:row>
    <x:row r="416" ht="17.25" customHeight="1">
      <x:c r="A416" s="24" t="str">
        <x:v>SW-C-249구6262-1-NA-173</x:v>
      </x:c>
      <x:c r="B416" s="24" t="str">
        <x:v>스위치플랜</x:v>
      </x:c>
      <x:c r="C416" s="24" t="str">
        <x:v>249구6262</x:v>
      </x:c>
      <x:c r="D416" s="31" t="n">
        <x:v>1</x:v>
      </x:c>
      <x:c r="E416" s="24" t="str">
        <x:v>이력</x:v>
      </x:c>
      <x:c r="F416" s="24" t="str"/>
      <x:c r="G416" s="24" t="str">
        <x:v>매각</x:v>
      </x:c>
      <x:c r="H416" s="30"/>
      <x:c r="I416" s="30"/>
      <x:c r="J416" s="30" t="n">
        <x:v>46216</x:v>
      </x:c>
      <x:c r="K416" s="32"/>
      <x:c r="L416" s="32"/>
      <x:c r="M416" s="24" t="str"/>
      <x:c r="N416" s="24" t="str">
        <x:v>26</x:v>
      </x:c>
      <x:c r="O416" s="24" t="str">
        <x:v>DB</x:v>
      </x:c>
      <x:c r="P416" s="24" t="str"/>
      <x:c r="Q416" s="24" t="str">
        <x:v>있음</x:v>
      </x:c>
      <x:c r="R416" s="24" t="str"/>
      <x:c r="S416" s="31" t="n">
        <x:v>173</x:v>
      </x:c>
      <x:c r="T416" s="24" t="str">
        <x:v>필수값 확인</x:v>
      </x:c>
      <x:c r="U416" s="24" t="str"/>
    </x:row>
    <x:row r="417" ht="17.25" customHeight="1">
      <x:c r="A417" s="24" t="str">
        <x:v>SW-C-249구6262-2-20240920-173</x:v>
      </x:c>
      <x:c r="B417" s="24" t="str">
        <x:v>스위치플랜</x:v>
      </x:c>
      <x:c r="C417" s="24" t="str">
        <x:v>249구6262</x:v>
      </x:c>
      <x:c r="D417" s="31" t="n">
        <x:v>2</x:v>
      </x:c>
      <x:c r="E417" s="24" t="str">
        <x:v>이력</x:v>
      </x:c>
      <x:c r="F417" s="24" t="str">
        <x:v>구독대여</x:v>
      </x:c>
      <x:c r="G417" s="24" t="str">
        <x:v>임지용</x:v>
      </x:c>
      <x:c r="H417" s="30" t="n">
        <x:v>45555</x:v>
      </x:c>
      <x:c r="I417" s="30" t="n">
        <x:v>47015</x:v>
      </x:c>
      <x:c r="J417" s="30"/>
      <x:c r="K417" s="32" t="n">
        <x:v>1260000</x:v>
      </x:c>
      <x:c r="L417" s="32" t="n">
        <x:v>6140000</x:v>
      </x:c>
      <x:c r="M417" s="24" t="str"/>
      <x:c r="N417" s="24" t="str">
        <x:v>26</x:v>
      </x:c>
      <x:c r="O417" s="24" t="str"/>
      <x:c r="P417" s="24" t="str">
        <x:v>하허호</x:v>
      </x:c>
      <x:c r="Q417" s="24" t="str">
        <x:v>있음</x:v>
      </x:c>
      <x:c r="R417" s="24" t="str"/>
      <x:c r="S417" s="31" t="n">
        <x:v>173</x:v>
      </x:c>
      <x:c r="T417" s="24" t="str"/>
      <x:c r="U417" s="24" t="str"/>
    </x:row>
    <x:row r="418" ht="17.25" customHeight="1">
      <x:c r="A418" s="24" t="str">
        <x:v>SW-C-26구0535-1-NA-174</x:v>
      </x:c>
      <x:c r="B418" s="24" t="str">
        <x:v>스위치플랜</x:v>
      </x:c>
      <x:c r="C418" s="24" t="str">
        <x:v>26구0535</x:v>
      </x:c>
      <x:c r="D418" s="31" t="n">
        <x:v>1</x:v>
      </x:c>
      <x:c r="E418" s="24" t="str">
        <x:v>현재칸</x:v>
      </x:c>
      <x:c r="F418" s="24" t="str"/>
      <x:c r="G418" s="24" t="str">
        <x:v>매각</x:v>
      </x:c>
      <x:c r="H418" s="30"/>
      <x:c r="I418" s="30"/>
      <x:c r="J418" s="30"/>
      <x:c r="K418" s="32"/>
      <x:c r="L418" s="32"/>
      <x:c r="M418" s="24" t="str"/>
      <x:c r="N418" s="24" t="str">
        <x:v>35</x:v>
      </x:c>
      <x:c r="O418" s="24" t="str">
        <x:v>AXA</x:v>
      </x:c>
      <x:c r="P418" s="24" t="str">
        <x:v>박영협</x:v>
      </x:c>
      <x:c r="Q418" s="24" t="str">
        <x:v>있음</x:v>
      </x:c>
      <x:c r="R418" s="24" t="str"/>
      <x:c r="S418" s="31" t="n">
        <x:v>174</x:v>
      </x:c>
      <x:c r="T418" s="24" t="str">
        <x:v>필수값 확인</x:v>
      </x:c>
      <x:c r="U418" s="24" t="str"/>
    </x:row>
    <x:row r="419" ht="17.25" customHeight="1">
      <x:c r="A419" s="24" t="str">
        <x:v>SW-C-26구0535-2-20240429-174</x:v>
      </x:c>
      <x:c r="B419" s="24" t="str">
        <x:v>스위치플랜</x:v>
      </x:c>
      <x:c r="C419" s="24" t="str">
        <x:v>26구0535</x:v>
      </x:c>
      <x:c r="D419" s="31" t="n">
        <x:v>2</x:v>
      </x:c>
      <x:c r="E419" s="24" t="str">
        <x:v>이력</x:v>
      </x:c>
      <x:c r="F419" s="24" t="str">
        <x:v>구독대여</x:v>
      </x:c>
      <x:c r="G419" s="24" t="str">
        <x:v>김효빈</x:v>
      </x:c>
      <x:c r="H419" s="30" t="n">
        <x:v>45411</x:v>
      </x:c>
      <x:c r="I419" s="30" t="n">
        <x:v>46140</x:v>
      </x:c>
      <x:c r="J419" s="30" t="n">
        <x:v>45918</x:v>
      </x:c>
      <x:c r="K419" s="32" t="n">
        <x:v>730000</x:v>
      </x:c>
      <x:c r="L419" s="32" t="n">
        <x:v>730000</x:v>
      </x:c>
      <x:c r="M419" s="24" t="str"/>
      <x:c r="N419" s="24" t="str">
        <x:v>35</x:v>
      </x:c>
      <x:c r="O419" s="24" t="str"/>
      <x:c r="P419" s="24" t="str">
        <x:v>카랜(주)</x:v>
      </x:c>
      <x:c r="Q419" s="24" t="str">
        <x:v>있음</x:v>
      </x:c>
      <x:c r="R419" s="24" t="str"/>
      <x:c r="S419" s="31" t="n">
        <x:v>174</x:v>
      </x:c>
      <x:c r="T419" s="24" t="str"/>
      <x:c r="U419" s="24" t="str"/>
    </x:row>
    <x:row r="420" ht="17.25" customHeight="1">
      <x:c r="A420" s="24" t="str">
        <x:v>SW-C-379우2017-1-NA-175</x:v>
      </x:c>
      <x:c r="B420" s="24" t="str">
        <x:v>스위치플랜</x:v>
      </x:c>
      <x:c r="C420" s="24" t="str">
        <x:v>379우2017</x:v>
      </x:c>
      <x:c r="D420" s="31" t="n">
        <x:v>1</x:v>
      </x:c>
      <x:c r="E420" s="24" t="str">
        <x:v>현재칸</x:v>
      </x:c>
      <x:c r="F420" s="24" t="str"/>
      <x:c r="G420" s="24" t="str">
        <x:v>매각</x:v>
      </x:c>
      <x:c r="H420" s="30"/>
      <x:c r="I420" s="30"/>
      <x:c r="J420" s="30"/>
      <x:c r="K420" s="32"/>
      <x:c r="L420" s="32"/>
      <x:c r="M420" s="24" t="str"/>
      <x:c r="N420" s="24" t="str">
        <x:v>개인</x:v>
      </x:c>
      <x:c r="O420" s="24" t="str">
        <x:v>한화</x:v>
      </x:c>
      <x:c r="P420" s="24" t="str"/>
      <x:c r="Q420" s="24" t="str">
        <x:v>있음</x:v>
      </x:c>
      <x:c r="R420" s="24" t="str"/>
      <x:c r="S420" s="31" t="n">
        <x:v>175</x:v>
      </x:c>
      <x:c r="T420" s="24" t="str">
        <x:v>연령 확인</x:v>
      </x:c>
      <x:c r="U420" s="24" t="str"/>
    </x:row>
    <x:row r="421" ht="17.25" customHeight="1">
      <x:c r="A421" s="24" t="str">
        <x:v>SW-C-379우2017-2-20260604-175</x:v>
      </x:c>
      <x:c r="B421" s="24" t="str">
        <x:v>스위치플랜</x:v>
      </x:c>
      <x:c r="C421" s="24" t="str">
        <x:v>379우2017</x:v>
      </x:c>
      <x:c r="D421" s="31" t="n">
        <x:v>2</x:v>
      </x:c>
      <x:c r="E421" s="24" t="str">
        <x:v>이력</x:v>
      </x:c>
      <x:c r="F421" s="24" t="str">
        <x:v>구독대여</x:v>
      </x:c>
      <x:c r="G421" s="24" t="str">
        <x:v>박진학</x:v>
      </x:c>
      <x:c r="H421" s="30" t="n">
        <x:v>46177</x:v>
      </x:c>
      <x:c r="I421" s="30" t="n">
        <x:v>47637</x:v>
      </x:c>
      <x:c r="J421" s="30" t="n">
        <x:v>46223</x:v>
      </x:c>
      <x:c r="K421" s="32" t="n">
        <x:v>980000</x:v>
      </x:c>
      <x:c r="L421" s="32"/>
      <x:c r="M421" s="24" t="str"/>
      <x:c r="N421" s="24" t="str">
        <x:v>개인</x:v>
      </x:c>
      <x:c r="O421" s="24" t="str"/>
      <x:c r="P421" s="24" t="str">
        <x:v>하허호</x:v>
      </x:c>
      <x:c r="Q421" s="24" t="str">
        <x:v>있음</x:v>
      </x:c>
      <x:c r="R421" s="24" t="str"/>
      <x:c r="S421" s="31" t="n">
        <x:v>175</x:v>
      </x:c>
      <x:c r="T421" s="24" t="str">
        <x:v>연령 확인</x:v>
      </x:c>
      <x:c r="U421" s="24" t="str">
        <x:v>무보증</x:v>
      </x:c>
    </x:row>
    <x:row r="422" ht="17.25" customHeight="1">
      <x:c r="A422" s="24" t="str">
        <x:v>SW-C-379우2017-3-20250528-175</x:v>
      </x:c>
      <x:c r="B422" s="24" t="str">
        <x:v>스위치플랜</x:v>
      </x:c>
      <x:c r="C422" s="24" t="str">
        <x:v>379우2017</x:v>
      </x:c>
      <x:c r="D422" s="31" t="n">
        <x:v>3</x:v>
      </x:c>
      <x:c r="E422" s="24" t="str">
        <x:v>이력</x:v>
      </x:c>
      <x:c r="F422" s="24" t="str">
        <x:v>구독대여</x:v>
      </x:c>
      <x:c r="G422" s="24" t="str">
        <x:v>백준열</x:v>
      </x:c>
      <x:c r="H422" s="30" t="n">
        <x:v>45805</x:v>
      </x:c>
      <x:c r="I422" s="30" t="n">
        <x:v>46169</x:v>
      </x:c>
      <x:c r="J422" s="30" t="n">
        <x:v>45985</x:v>
      </x:c>
      <x:c r="K422" s="32" t="n">
        <x:v>1600000</x:v>
      </x:c>
      <x:c r="L422" s="32" t="n">
        <x:v>3200000</x:v>
      </x:c>
      <x:c r="M422" s="24" t="str"/>
      <x:c r="N422" s="24" t="str">
        <x:v>개인</x:v>
      </x:c>
      <x:c r="O422" s="24" t="str"/>
      <x:c r="P422" s="24" t="str">
        <x:v>하허호</x:v>
      </x:c>
      <x:c r="Q422" s="24" t="str">
        <x:v>있음</x:v>
      </x:c>
      <x:c r="R422" s="24" t="str"/>
      <x:c r="S422" s="31" t="n">
        <x:v>175</x:v>
      </x:c>
      <x:c r="T422" s="24" t="str">
        <x:v>연령 확인</x:v>
      </x:c>
      <x:c r="U422" s="24" t="str"/>
    </x:row>
    <x:row r="423" ht="17.25" customHeight="1">
      <x:c r="A423" s="24" t="str">
        <x:v>SW-C-163조9326-1-NA-176</x:v>
      </x:c>
      <x:c r="B423" s="24" t="str">
        <x:v>스위치플랜</x:v>
      </x:c>
      <x:c r="C423" s="24" t="str">
        <x:v>163조9326</x:v>
      </x:c>
      <x:c r="D423" s="31" t="n">
        <x:v>1</x:v>
      </x:c>
      <x:c r="E423" s="24" t="str">
        <x:v>현재칸</x:v>
      </x:c>
      <x:c r="F423" s="24" t="str"/>
      <x:c r="G423" s="24" t="str">
        <x:v>매각</x:v>
      </x:c>
      <x:c r="H423" s="30"/>
      <x:c r="I423" s="30"/>
      <x:c r="J423" s="30"/>
      <x:c r="K423" s="32"/>
      <x:c r="L423" s="32"/>
      <x:c r="M423" s="24" t="str"/>
      <x:c r="N423" s="24" t="str">
        <x:v>35</x:v>
      </x:c>
      <x:c r="O423" s="24" t="str">
        <x:v>DB</x:v>
      </x:c>
      <x:c r="P423" s="24" t="str"/>
      <x:c r="Q423" s="24" t="str">
        <x:v>있음</x:v>
      </x:c>
      <x:c r="R423" s="24" t="str"/>
      <x:c r="S423" s="31" t="n">
        <x:v>176</x:v>
      </x:c>
      <x:c r="T423" s="24" t="str">
        <x:v>필수값 확인</x:v>
      </x:c>
      <x:c r="U423" s="24" t="str"/>
    </x:row>
    <x:row r="424" ht="17.25" customHeight="1">
      <x:c r="A424" s="24" t="str">
        <x:v>SW-C-163조9326-2-20260507-176</x:v>
      </x:c>
      <x:c r="B424" s="24" t="str">
        <x:v>스위치플랜</x:v>
      </x:c>
      <x:c r="C424" s="24" t="str">
        <x:v>163조9326</x:v>
      </x:c>
      <x:c r="D424" s="31" t="n">
        <x:v>2</x:v>
      </x:c>
      <x:c r="E424" s="24" t="str">
        <x:v>이력</x:v>
      </x:c>
      <x:c r="F424" s="24" t="str">
        <x:v>구독대여</x:v>
      </x:c>
      <x:c r="G424" s="24" t="str">
        <x:v>유혁</x:v>
      </x:c>
      <x:c r="H424" s="30" t="n">
        <x:v>46149</x:v>
      </x:c>
      <x:c r="I424" s="30" t="n">
        <x:v>47609</x:v>
      </x:c>
      <x:c r="J424" s="30" t="n">
        <x:v>46212</x:v>
      </x:c>
      <x:c r="K424" s="32" t="n">
        <x:v>580000</x:v>
      </x:c>
      <x:c r="L424" s="32"/>
      <x:c r="M424" s="24" t="str"/>
      <x:c r="N424" s="24" t="str">
        <x:v>35</x:v>
      </x:c>
      <x:c r="O424" s="24" t="str"/>
      <x:c r="P424" s="24" t="str">
        <x:v>하허호</x:v>
      </x:c>
      <x:c r="Q424" s="24" t="str">
        <x:v>있음</x:v>
      </x:c>
      <x:c r="R424" s="24" t="str"/>
      <x:c r="S424" s="31" t="n">
        <x:v>176</x:v>
      </x:c>
      <x:c r="T424" s="24" t="str"/>
      <x:c r="U424" s="24" t="str">
        <x:v>무보증</x:v>
      </x:c>
    </x:row>
    <x:row r="425" ht="17.25" customHeight="1">
      <x:c r="A425" s="24" t="str">
        <x:v>SW-C-163조9326-3-20260115-176</x:v>
      </x:c>
      <x:c r="B425" s="24" t="str">
        <x:v>스위치플랜</x:v>
      </x:c>
      <x:c r="C425" s="24" t="str">
        <x:v>163조9326</x:v>
      </x:c>
      <x:c r="D425" s="31" t="n">
        <x:v>3</x:v>
      </x:c>
      <x:c r="E425" s="24" t="str">
        <x:v>이력</x:v>
      </x:c>
      <x:c r="F425" s="24" t="str">
        <x:v>구독대여</x:v>
      </x:c>
      <x:c r="G425" s="24" t="str">
        <x:v>김영환</x:v>
      </x:c>
      <x:c r="H425" s="30" t="n">
        <x:v>46037</x:v>
      </x:c>
      <x:c r="I425" s="30" t="n">
        <x:v>47497</x:v>
      </x:c>
      <x:c r="J425" s="30" t="n">
        <x:v>46125</x:v>
      </x:c>
      <x:c r="K425" s="32" t="n">
        <x:v>700000</x:v>
      </x:c>
      <x:c r="L425" s="32" t="n">
        <x:v>1000000</x:v>
      </x:c>
      <x:c r="M425" s="24" t="str"/>
      <x:c r="N425" s="24" t="str">
        <x:v>35</x:v>
      </x:c>
      <x:c r="O425" s="24" t="str"/>
      <x:c r="P425" s="24" t="str">
        <x:v>하허호</x:v>
      </x:c>
      <x:c r="Q425" s="24" t="str">
        <x:v>있음</x:v>
      </x:c>
      <x:c r="R425" s="24" t="str"/>
      <x:c r="S425" s="31" t="n">
        <x:v>176</x:v>
      </x:c>
      <x:c r="T425" s="24" t="str"/>
      <x:c r="U425" s="24" t="str"/>
    </x:row>
    <x:row r="426" ht="17.25" customHeight="1">
      <x:c r="A426" s="24" t="str">
        <x:v>SW-C-163조9326-4-20250912-176</x:v>
      </x:c>
      <x:c r="B426" s="24" t="str">
        <x:v>스위치플랜</x:v>
      </x:c>
      <x:c r="C426" s="24" t="str">
        <x:v>163조9326</x:v>
      </x:c>
      <x:c r="D426" s="31" t="n">
        <x:v>4</x:v>
      </x:c>
      <x:c r="E426" s="24" t="str">
        <x:v>이력</x:v>
      </x:c>
      <x:c r="F426" s="24" t="str">
        <x:v>구독대여</x:v>
      </x:c>
      <x:c r="G426" s="24" t="str">
        <x:v>이민혁9326</x:v>
      </x:c>
      <x:c r="H426" s="30" t="n">
        <x:v>45912</x:v>
      </x:c>
      <x:c r="I426" s="30" t="n">
        <x:v>47309</x:v>
      </x:c>
      <x:c r="J426" s="30" t="n">
        <x:v>46020</x:v>
      </x:c>
      <x:c r="K426" s="32" t="n">
        <x:v>700000</x:v>
      </x:c>
      <x:c r="L426" s="32"/>
      <x:c r="M426" s="24" t="str"/>
      <x:c r="N426" s="24" t="str">
        <x:v>35</x:v>
      </x:c>
      <x:c r="O426" s="24" t="str"/>
      <x:c r="P426" s="24" t="str">
        <x:v>하허호</x:v>
      </x:c>
      <x:c r="Q426" s="24" t="str">
        <x:v>있음</x:v>
      </x:c>
      <x:c r="R426" s="24" t="str"/>
      <x:c r="S426" s="31" t="n">
        <x:v>176</x:v>
      </x:c>
      <x:c r="T426" s="24" t="str"/>
      <x:c r="U426" s="24" t="str">
        <x:v>무보증</x:v>
      </x:c>
    </x:row>
    <x:row r="427" ht="17.25" customHeight="1">
      <x:c r="A427" s="24" t="str">
        <x:v>SW-C-163조9326-5-20290710-176</x:v>
      </x:c>
      <x:c r="B427" s="24" t="str">
        <x:v>스위치플랜</x:v>
      </x:c>
      <x:c r="C427" s="24" t="str">
        <x:v>163조9326</x:v>
      </x:c>
      <x:c r="D427" s="31" t="n">
        <x:v>5</x:v>
      </x:c>
      <x:c r="E427" s="24" t="str">
        <x:v>이력</x:v>
      </x:c>
      <x:c r="F427" s="24" t="str">
        <x:v>구독대여</x:v>
      </x:c>
      <x:c r="G427" s="24" t="str">
        <x:v>이규민9326</x:v>
      </x:c>
      <x:c r="H427" s="30" t="n">
        <x:v>47309</x:v>
      </x:c>
      <x:c r="I427" s="30"/>
      <x:c r="J427" s="30"/>
      <x:c r="K427" s="32" t="n">
        <x:v>45849</x:v>
      </x:c>
      <x:c r="L427" s="32"/>
      <x:c r="M427" s="24" t="str"/>
      <x:c r="N427" s="24" t="str">
        <x:v>35</x:v>
      </x:c>
      <x:c r="O427" s="24" t="str"/>
      <x:c r="P427" s="24" t="str">
        <x:v>하허호</x:v>
      </x:c>
      <x:c r="Q427" s="24" t="str">
        <x:v>있음</x:v>
      </x:c>
      <x:c r="R427" s="24" t="str"/>
      <x:c r="S427" s="31" t="n">
        <x:v>176</x:v>
      </x:c>
      <x:c r="T427" s="24" t="str"/>
      <x:c r="U427" s="24" t="str">
        <x:v>무보증</x:v>
      </x:c>
    </x:row>
    <x:row r="428" ht="17.25" customHeight="1">
      <x:c r="A428" s="24" t="str">
        <x:v>SW-C-163조9326-6-20250707-176</x:v>
      </x:c>
      <x:c r="B428" s="24" t="str">
        <x:v>스위치플랜</x:v>
      </x:c>
      <x:c r="C428" s="24" t="str">
        <x:v>163조9326</x:v>
      </x:c>
      <x:c r="D428" s="31" t="n">
        <x:v>6</x:v>
      </x:c>
      <x:c r="E428" s="24" t="str">
        <x:v>이력</x:v>
      </x:c>
      <x:c r="F428" s="24" t="str">
        <x:v>구독대여</x:v>
      </x:c>
      <x:c r="G428" s="24" t="str">
        <x:v>서강원</x:v>
      </x:c>
      <x:c r="H428" s="30" t="n">
        <x:v>45845</x:v>
      </x:c>
      <x:c r="I428" s="30" t="n">
        <x:v>45834</x:v>
      </x:c>
      <x:c r="J428" s="30"/>
      <x:c r="K428" s="32" t="n">
        <x:v>45530</x:v>
      </x:c>
      <x:c r="L428" s="32" t="n">
        <x:v>1000000</x:v>
      </x:c>
      <x:c r="M428" s="24" t="str"/>
      <x:c r="N428" s="24" t="str">
        <x:v>35</x:v>
      </x:c>
      <x:c r="O428" s="24" t="str"/>
      <x:c r="P428" s="24" t="str">
        <x:v>하허호</x:v>
      </x:c>
      <x:c r="Q428" s="24" t="str">
        <x:v>있음</x:v>
      </x:c>
      <x:c r="R428" s="24" t="str"/>
      <x:c r="S428" s="31" t="n">
        <x:v>176</x:v>
      </x:c>
      <x:c r="T428" s="24" t="str"/>
      <x:c r="U428" s="24" t="str"/>
    </x:row>
    <x:row r="429" ht="17.25" customHeight="1">
      <x:c r="A429" s="24" t="str">
        <x:v>SW-C-163조9326-7-20250707-176</x:v>
      </x:c>
      <x:c r="B429" s="24" t="str">
        <x:v>스위치플랜</x:v>
      </x:c>
      <x:c r="C429" s="24" t="str">
        <x:v>163조9326</x:v>
      </x:c>
      <x:c r="D429" s="31" t="n">
        <x:v>7</x:v>
      </x:c>
      <x:c r="E429" s="24" t="str">
        <x:v>이력</x:v>
      </x:c>
      <x:c r="F429" s="24" t="str">
        <x:v>구독대여</x:v>
      </x:c>
      <x:c r="G429" s="24" t="str">
        <x:v>김재원</x:v>
      </x:c>
      <x:c r="H429" s="30" t="n">
        <x:v>45845</x:v>
      </x:c>
      <x:c r="I429" s="30"/>
      <x:c r="J429" s="30"/>
      <x:c r="K429" s="32" t="n">
        <x:v>45481</x:v>
      </x:c>
      <x:c r="L429" s="32" t="n">
        <x:v>1000000</x:v>
      </x:c>
      <x:c r="M429" s="24" t="str"/>
      <x:c r="N429" s="24" t="str">
        <x:v>35</x:v>
      </x:c>
      <x:c r="O429" s="24" t="str"/>
      <x:c r="P429" s="24" t="str">
        <x:v>하허호</x:v>
      </x:c>
      <x:c r="Q429" s="24" t="str">
        <x:v>있음</x:v>
      </x:c>
      <x:c r="R429" s="24" t="str"/>
      <x:c r="S429" s="31" t="n">
        <x:v>176</x:v>
      </x:c>
      <x:c r="T429" s="24" t="str"/>
      <x:c r="U429" s="24" t="str"/>
    </x:row>
    <x:row r="430" ht="17.25" customHeight="1">
      <x:c r="A430" s="24" t="str">
        <x:v>SW-C-252나8761-2-20240118-177</x:v>
      </x:c>
      <x:c r="B430" s="24" t="str">
        <x:v>스위치플랜</x:v>
      </x:c>
      <x:c r="C430" s="24" t="str">
        <x:v>252나8761</x:v>
      </x:c>
      <x:c r="D430" s="31" t="n">
        <x:v>2</x:v>
      </x:c>
      <x:c r="E430" s="24" t="str">
        <x:v>이력</x:v>
      </x:c>
      <x:c r="F430" s="24" t="str">
        <x:v>구독대여</x:v>
      </x:c>
      <x:c r="G430" s="24" t="str">
        <x:v>성호중</x:v>
      </x:c>
      <x:c r="H430" s="30" t="n">
        <x:v>45309</x:v>
      </x:c>
      <x:c r="I430" s="30" t="n">
        <x:v>46769</x:v>
      </x:c>
      <x:c r="J430" s="30" t="n">
        <x:v>46219</x:v>
      </x:c>
      <x:c r="K430" s="32" t="n">
        <x:v>770000</x:v>
      </x:c>
      <x:c r="L430" s="32" t="n">
        <x:v>2000000</x:v>
      </x:c>
      <x:c r="M430" s="24" t="str"/>
      <x:c r="N430" s="24" t="str">
        <x:v>35</x:v>
      </x:c>
      <x:c r="O430" s="24" t="str"/>
      <x:c r="P430" s="24" t="str">
        <x:v>하허호</x:v>
      </x:c>
      <x:c r="Q430" s="24" t="str">
        <x:v>있음</x:v>
      </x:c>
      <x:c r="R430" s="24" t="str"/>
      <x:c r="S430" s="31" t="n">
        <x:v>177</x:v>
      </x:c>
      <x:c r="T430" s="24" t="str"/>
      <x:c r="U430" s="24" t="str"/>
    </x:row>
    <x:row r="431" ht="17.25" customHeight="1">
      <x:c r="A431" s="24" t="str">
        <x:v>PR-C-01도2340-1-20230105-3</x:v>
      </x:c>
      <x:c r="B431" s="24" t="str">
        <x:v>프라임구독</x:v>
      </x:c>
      <x:c r="C431" s="24" t="str">
        <x:v>01도2340</x:v>
      </x:c>
      <x:c r="D431" s="31" t="n">
        <x:v>1</x:v>
      </x:c>
      <x:c r="E431" s="24" t="str">
        <x:v>현재칸</x:v>
      </x:c>
      <x:c r="F431" s="24" t="str">
        <x:v>구독</x:v>
      </x:c>
      <x:c r="G431" s="24" t="str">
        <x:v>이광용</x:v>
      </x:c>
      <x:c r="H431" s="30" t="n">
        <x:v>44931</x:v>
      </x:c>
      <x:c r="I431" s="30" t="n">
        <x:v>46073</x:v>
      </x:c>
      <x:c r="J431" s="30"/>
      <x:c r="K431" s="32" t="n">
        <x:v>640000</x:v>
      </x:c>
      <x:c r="L431" s="32" t="n">
        <x:v>1400000</x:v>
      </x:c>
      <x:c r="M431" s="24" t="str">
        <x:v>20</x:v>
      </x:c>
      <x:c r="N431" s="24" t="str"/>
      <x:c r="O431" s="24" t="str"/>
      <x:c r="P431" s="24" t="str"/>
      <x:c r="Q431" s="24" t="str">
        <x:v>있음</x:v>
      </x:c>
      <x:c r="R431" s="24" t="str"/>
      <x:c r="S431" s="31" t="n">
        <x:v>3</x:v>
      </x:c>
      <x:c r="T431" s="24" t="str">
        <x:v>연령 확인</x:v>
      </x:c>
      <x:c r="U431" s="24" t="str"/>
    </x:row>
    <x:row r="432" ht="17.25" customHeight="1">
      <x:c r="A432" s="24" t="str">
        <x:v>PR-C-01두1601-2-20220323-4</x:v>
      </x:c>
      <x:c r="B432" s="24" t="str">
        <x:v>프라임구독</x:v>
      </x:c>
      <x:c r="C432" s="24" t="str">
        <x:v>01두1601</x:v>
      </x:c>
      <x:c r="D432" s="31" t="n">
        <x:v>2</x:v>
      </x:c>
      <x:c r="E432" s="24" t="str">
        <x:v>이력</x:v>
      </x:c>
      <x:c r="F432" s="24" t="str">
        <x:v>종료</x:v>
      </x:c>
      <x:c r="G432" s="24" t="str">
        <x:v>이성민2</x:v>
      </x:c>
      <x:c r="H432" s="30" t="n">
        <x:v>44643</x:v>
      </x:c>
      <x:c r="I432" s="30" t="n">
        <x:v>45748</x:v>
      </x:c>
      <x:c r="J432" s="30" t="n">
        <x:v>45748</x:v>
      </x:c>
      <x:c r="K432" s="32" t="n">
        <x:v>683000</x:v>
      </x:c>
      <x:c r="L432" s="32"/>
      <x:c r="M432" s="24" t="str"/>
      <x:c r="N432" s="24" t="str"/>
      <x:c r="O432" s="24" t="str"/>
      <x:c r="P432" s="24" t="str"/>
      <x:c r="Q432" s="24" t="str">
        <x:v>있음</x:v>
      </x:c>
      <x:c r="R432" s="24" t="str"/>
      <x:c r="S432" s="31" t="n">
        <x:v>4</x:v>
      </x:c>
      <x:c r="T432" s="24" t="str">
        <x:v>연령 확인</x:v>
      </x:c>
      <x:c r="U432" s="24" t="str">
        <x:v>-</x:v>
      </x:c>
    </x:row>
    <x:row r="433" ht="17.25" customHeight="1">
      <x:c r="A433" s="24" t="str">
        <x:v>PR-C-01무1615-2-20230201-5</x:v>
      </x:c>
      <x:c r="B433" s="24" t="str">
        <x:v>프라임구독</x:v>
      </x:c>
      <x:c r="C433" s="24" t="str">
        <x:v>01무1615</x:v>
      </x:c>
      <x:c r="D433" s="31" t="n">
        <x:v>2</x:v>
      </x:c>
      <x:c r="E433" s="24" t="str">
        <x:v>이력</x:v>
      </x:c>
      <x:c r="F433" s="24" t="str">
        <x:v>종료</x:v>
      </x:c>
      <x:c r="G433" s="24" t="str">
        <x:v>박창열</x:v>
      </x:c>
      <x:c r="H433" s="30" t="n">
        <x:v>44958</x:v>
      </x:c>
      <x:c r="I433" s="30" t="n">
        <x:v>46037</x:v>
      </x:c>
      <x:c r="J433" s="30" t="n">
        <x:v>46037</x:v>
      </x:c>
      <x:c r="K433" s="32" t="n">
        <x:v>882000</x:v>
      </x:c>
      <x:c r="L433" s="32" t="n">
        <x:v>1910000</x:v>
      </x:c>
      <x:c r="M433" s="24" t="str"/>
      <x:c r="N433" s="24" t="str"/>
      <x:c r="O433" s="24" t="str"/>
      <x:c r="P433" s="24" t="str"/>
      <x:c r="Q433" s="24" t="str">
        <x:v>있음</x:v>
      </x:c>
      <x:c r="R433" s="24" t="str"/>
      <x:c r="S433" s="31" t="n">
        <x:v>5</x:v>
      </x:c>
      <x:c r="T433" s="24" t="str">
        <x:v>연령 확인</x:v>
      </x:c>
      <x:c r="U433" s="24" t="str"/>
    </x:row>
    <x:row r="434" ht="17.25" customHeight="1">
      <x:c r="A434" s="24" t="str">
        <x:v>PR-C-01부3634-1-20230821-6</x:v>
      </x:c>
      <x:c r="B434" s="24" t="str">
        <x:v>프라임구독</x:v>
      </x:c>
      <x:c r="C434" s="24" t="str">
        <x:v>01부3634</x:v>
      </x:c>
      <x:c r="D434" s="31" t="n">
        <x:v>1</x:v>
      </x:c>
      <x:c r="E434" s="24" t="str">
        <x:v>현재칸</x:v>
      </x:c>
      <x:c r="F434" s="24" t="str">
        <x:v>구독</x:v>
      </x:c>
      <x:c r="G434" s="24" t="str">
        <x:v>김창준b</x:v>
      </x:c>
      <x:c r="H434" s="30" t="n">
        <x:v>45159</x:v>
      </x:c>
      <x:c r="I434" s="30" t="n">
        <x:v>46624</x:v>
      </x:c>
      <x:c r="J434" s="30"/>
      <x:c r="K434" s="32" t="n">
        <x:v>412000</x:v>
      </x:c>
      <x:c r="L434" s="32" t="n">
        <x:v>1100000</x:v>
      </x:c>
      <x:c r="M434" s="24" t="str">
        <x:v>25</x:v>
      </x:c>
      <x:c r="N434" s="24" t="str"/>
      <x:c r="O434" s="24" t="str"/>
      <x:c r="P434" s="24" t="str"/>
      <x:c r="Q434" s="24" t="str">
        <x:v>있음</x:v>
      </x:c>
      <x:c r="R434" s="24" t="str"/>
      <x:c r="S434" s="31" t="n">
        <x:v>6</x:v>
      </x:c>
      <x:c r="T434" s="24" t="str">
        <x:v>연령 확인</x:v>
      </x:c>
      <x:c r="U434" s="24" t="str"/>
    </x:row>
    <x:row r="435" ht="17.25" customHeight="1">
      <x:c r="A435" s="24" t="str">
        <x:v>PR-C-02노0857-1-20230308-7</x:v>
      </x:c>
      <x:c r="B435" s="24" t="str">
        <x:v>프라임구독</x:v>
      </x:c>
      <x:c r="C435" s="24" t="str">
        <x:v>02노0857</x:v>
      </x:c>
      <x:c r="D435" s="31" t="n">
        <x:v>1</x:v>
      </x:c>
      <x:c r="E435" s="24" t="str">
        <x:v>현재칸</x:v>
      </x:c>
      <x:c r="F435" s="24" t="str">
        <x:v>구독</x:v>
      </x:c>
      <x:c r="G435" s="24" t="str">
        <x:v>박이석</x:v>
      </x:c>
      <x:c r="H435" s="30" t="n">
        <x:v>44993</x:v>
      </x:c>
      <x:c r="I435" s="30" t="n">
        <x:v>46091</x:v>
      </x:c>
      <x:c r="J435" s="30"/>
      <x:c r="K435" s="32" t="n">
        <x:v>573000</x:v>
      </x:c>
      <x:c r="L435" s="32"/>
      <x:c r="M435" s="24" t="str">
        <x:v>10</x:v>
      </x:c>
      <x:c r="N435" s="24" t="str"/>
      <x:c r="O435" s="24" t="str"/>
      <x:c r="P435" s="24" t="str"/>
      <x:c r="Q435" s="24" t="str">
        <x:v>있음</x:v>
      </x:c>
      <x:c r="R435" s="24" t="str"/>
      <x:c r="S435" s="31" t="n">
        <x:v>7</x:v>
      </x:c>
      <x:c r="T435" s="24" t="str">
        <x:v>연령 확인</x:v>
      </x:c>
      <x:c r="U435" s="24" t="str">
        <x:v>-</x:v>
      </x:c>
    </x:row>
    <x:row r="436" ht="17.25" customHeight="1">
      <x:c r="A436" s="24" t="str">
        <x:v>PR-C-02어5437-2-20220523-8</x:v>
      </x:c>
      <x:c r="B436" s="24" t="str">
        <x:v>프라임구독</x:v>
      </x:c>
      <x:c r="C436" s="24" t="str">
        <x:v>02어5437</x:v>
      </x:c>
      <x:c r="D436" s="31" t="n">
        <x:v>2</x:v>
      </x:c>
      <x:c r="E436" s="24" t="str">
        <x:v>이력</x:v>
      </x:c>
      <x:c r="F436" s="24" t="str">
        <x:v>종료</x:v>
      </x:c>
      <x:c r="G436" s="24" t="str">
        <x:v>이명진</x:v>
      </x:c>
      <x:c r="H436" s="30" t="n">
        <x:v>44704</x:v>
      </x:c>
      <x:c r="I436" s="30" t="n">
        <x:v>45797</x:v>
      </x:c>
      <x:c r="J436" s="30" t="n">
        <x:v>45797</x:v>
      </x:c>
      <x:c r="K436" s="32" t="n">
        <x:v>579000</x:v>
      </x:c>
      <x:c r="L436" s="32" t="n">
        <x:v>1270000</x:v>
      </x:c>
      <x:c r="M436" s="24" t="str"/>
      <x:c r="N436" s="24" t="str"/>
      <x:c r="O436" s="24" t="str"/>
      <x:c r="P436" s="24" t="str"/>
      <x:c r="Q436" s="24" t="str">
        <x:v>있음</x:v>
      </x:c>
      <x:c r="R436" s="24" t="str"/>
      <x:c r="S436" s="31" t="n">
        <x:v>8</x:v>
      </x:c>
      <x:c r="T436" s="24" t="str">
        <x:v>연령 확인</x:v>
      </x:c>
      <x:c r="U436" s="24" t="str"/>
    </x:row>
    <x:row r="437" ht="17.25" customHeight="1">
      <x:c r="A437" s="24" t="str">
        <x:v>PR-C-03고7687-2-20221202-9</x:v>
      </x:c>
      <x:c r="B437" s="24" t="str">
        <x:v>프라임구독</x:v>
      </x:c>
      <x:c r="C437" s="24" t="str">
        <x:v>03고7687</x:v>
      </x:c>
      <x:c r="D437" s="31" t="n">
        <x:v>2</x:v>
      </x:c>
      <x:c r="E437" s="24" t="str">
        <x:v>이력</x:v>
      </x:c>
      <x:c r="F437" s="24" t="str">
        <x:v>종료</x:v>
      </x:c>
      <x:c r="G437" s="24" t="str">
        <x:v>이종민</x:v>
      </x:c>
      <x:c r="H437" s="30" t="n">
        <x:v>44897</x:v>
      </x:c>
      <x:c r="I437" s="30" t="n">
        <x:v>46407</x:v>
      </x:c>
      <x:c r="J437" s="30" t="n">
        <x:v>46407</x:v>
      </x:c>
      <x:c r="K437" s="32" t="n">
        <x:v>1100000</x:v>
      </x:c>
      <x:c r="L437" s="32" t="n">
        <x:v>8000000</x:v>
      </x:c>
      <x:c r="M437" s="24" t="str"/>
      <x:c r="N437" s="24" t="str"/>
      <x:c r="O437" s="24" t="str"/>
      <x:c r="P437" s="24" t="str"/>
      <x:c r="Q437" s="24" t="str">
        <x:v>없음</x:v>
      </x:c>
      <x:c r="R437" s="24" t="str"/>
      <x:c r="S437" s="31" t="n">
        <x:v>9</x:v>
      </x:c>
      <x:c r="T437" s="24" t="str">
        <x:v>연령 확인</x:v>
      </x:c>
      <x:c r="U437" s="24" t="str"/>
    </x:row>
    <x:row r="438" ht="17.25" customHeight="1">
      <x:c r="A438" s="24" t="str">
        <x:v>PR-C-03러8697-2-20230811-10</x:v>
      </x:c>
      <x:c r="B438" s="24" t="str">
        <x:v>프라임구독</x:v>
      </x:c>
      <x:c r="C438" s="24" t="str">
        <x:v>03러8697</x:v>
      </x:c>
      <x:c r="D438" s="31" t="n">
        <x:v>2</x:v>
      </x:c>
      <x:c r="E438" s="24" t="str">
        <x:v>이력</x:v>
      </x:c>
      <x:c r="F438" s="24" t="str">
        <x:v>종료</x:v>
      </x:c>
      <x:c r="G438" s="24" t="str">
        <x:v>노윤덕</x:v>
      </x:c>
      <x:c r="H438" s="30" t="n">
        <x:v>45149</x:v>
      </x:c>
      <x:c r="I438" s="30" t="n">
        <x:v>46604</x:v>
      </x:c>
      <x:c r="J438" s="30" t="n">
        <x:v>46604</x:v>
      </x:c>
      <x:c r="K438" s="32" t="n">
        <x:v>503000</x:v>
      </x:c>
      <x:c r="L438" s="32" t="n">
        <x:v>1350000</x:v>
      </x:c>
      <x:c r="M438" s="24" t="str"/>
      <x:c r="N438" s="24" t="str"/>
      <x:c r="O438" s="24" t="str"/>
      <x:c r="P438" s="24" t="str"/>
      <x:c r="Q438" s="24" t="str">
        <x:v>있음</x:v>
      </x:c>
      <x:c r="R438" s="24" t="str"/>
      <x:c r="S438" s="31" t="n">
        <x:v>10</x:v>
      </x:c>
      <x:c r="T438" s="24" t="str">
        <x:v>연령 확인</x:v>
      </x:c>
      <x:c r="U438" s="24" t="str"/>
    </x:row>
    <x:row r="439" ht="17.25" customHeight="1">
      <x:c r="A439" s="24" t="str">
        <x:v>PR-C-04모0665-2-20211119-11</x:v>
      </x:c>
      <x:c r="B439" s="24" t="str">
        <x:v>프라임구독</x:v>
      </x:c>
      <x:c r="C439" s="24" t="str">
        <x:v>04모0665</x:v>
      </x:c>
      <x:c r="D439" s="31" t="n">
        <x:v>2</x:v>
      </x:c>
      <x:c r="E439" s="24" t="str">
        <x:v>이력</x:v>
      </x:c>
      <x:c r="F439" s="24" t="str">
        <x:v>종료</x:v>
      </x:c>
      <x:c r="G439" s="24" t="str">
        <x:v>김재훈b</x:v>
      </x:c>
      <x:c r="H439" s="30" t="n">
        <x:v>44519</x:v>
      </x:c>
      <x:c r="I439" s="30" t="n">
        <x:v>45621</x:v>
      </x:c>
      <x:c r="J439" s="30" t="n">
        <x:v>45621</x:v>
      </x:c>
      <x:c r="K439" s="32" t="n">
        <x:v>388000</x:v>
      </x:c>
      <x:c r="L439" s="32" t="n">
        <x:v>900000</x:v>
      </x:c>
      <x:c r="M439" s="24" t="str"/>
      <x:c r="N439" s="24" t="str"/>
      <x:c r="O439" s="24" t="str"/>
      <x:c r="P439" s="24" t="str"/>
      <x:c r="Q439" s="24" t="str">
        <x:v>있음</x:v>
      </x:c>
      <x:c r="R439" s="24" t="str"/>
      <x:c r="S439" s="31" t="n">
        <x:v>11</x:v>
      </x:c>
      <x:c r="T439" s="24" t="str">
        <x:v>연령 확인</x:v>
      </x:c>
      <x:c r="U439" s="24" t="str"/>
    </x:row>
    <x:row r="440" ht="17.25" customHeight="1">
      <x:c r="A440" s="24" t="str">
        <x:v>PR-C-06오8368-2-20221130-12</x:v>
      </x:c>
      <x:c r="B440" s="24" t="str">
        <x:v>프라임구독</x:v>
      </x:c>
      <x:c r="C440" s="24" t="str">
        <x:v>06오8368</x:v>
      </x:c>
      <x:c r="D440" s="31" t="n">
        <x:v>2</x:v>
      </x:c>
      <x:c r="E440" s="24" t="str">
        <x:v>이력</x:v>
      </x:c>
      <x:c r="F440" s="24" t="str">
        <x:v>종료</x:v>
      </x:c>
      <x:c r="G440" s="24" t="str">
        <x:v>전민수</x:v>
      </x:c>
      <x:c r="H440" s="30" t="n">
        <x:v>44895</x:v>
      </x:c>
      <x:c r="I440" s="30" t="n">
        <x:v>45986</x:v>
      </x:c>
      <x:c r="J440" s="30" t="n">
        <x:v>45986</x:v>
      </x:c>
      <x:c r="K440" s="32" t="n">
        <x:v>1135000</x:v>
      </x:c>
      <x:c r="L440" s="32" t="n">
        <x:v>2500000</x:v>
      </x:c>
      <x:c r="M440" s="24" t="str"/>
      <x:c r="N440" s="24" t="str"/>
      <x:c r="O440" s="24" t="str"/>
      <x:c r="P440" s="24" t="str"/>
      <x:c r="Q440" s="24" t="str">
        <x:v>있음</x:v>
      </x:c>
      <x:c r="R440" s="24" t="str"/>
      <x:c r="S440" s="31" t="n">
        <x:v>12</x:v>
      </x:c>
      <x:c r="T440" s="24" t="str">
        <x:v>연령 확인</x:v>
      </x:c>
      <x:c r="U440" s="24" t="str"/>
    </x:row>
    <x:row r="441" ht="17.25" customHeight="1">
      <x:c r="A441" s="24" t="str">
        <x:v>PR-C-07로0775-2-20221115-13</x:v>
      </x:c>
      <x:c r="B441" s="24" t="str">
        <x:v>프라임구독</x:v>
      </x:c>
      <x:c r="C441" s="24" t="str">
        <x:v>07로0775</x:v>
      </x:c>
      <x:c r="D441" s="31" t="n">
        <x:v>2</x:v>
      </x:c>
      <x:c r="E441" s="24" t="str">
        <x:v>이력</x:v>
      </x:c>
      <x:c r="F441" s="24" t="str">
        <x:v>종료</x:v>
      </x:c>
      <x:c r="G441" s="24" t="str">
        <x:v>문석빈</x:v>
      </x:c>
      <x:c r="H441" s="30" t="n">
        <x:v>44880</x:v>
      </x:c>
      <x:c r="I441" s="30" t="n">
        <x:v>45971</x:v>
      </x:c>
      <x:c r="J441" s="30" t="n">
        <x:v>45971</x:v>
      </x:c>
      <x:c r="K441" s="32" t="n">
        <x:v>1795000</x:v>
      </x:c>
      <x:c r="L441" s="32" t="n">
        <x:v>3950000</x:v>
      </x:c>
      <x:c r="M441" s="24" t="str"/>
      <x:c r="N441" s="24" t="str"/>
      <x:c r="O441" s="24" t="str"/>
      <x:c r="P441" s="24" t="str"/>
      <x:c r="Q441" s="24" t="str">
        <x:v>있음</x:v>
      </x:c>
      <x:c r="R441" s="24" t="str"/>
      <x:c r="S441" s="31" t="n">
        <x:v>13</x:v>
      </x:c>
      <x:c r="T441" s="24" t="str">
        <x:v>연령 확인</x:v>
      </x:c>
      <x:c r="U441" s="24" t="str"/>
    </x:row>
    <x:row r="442" ht="17.25" customHeight="1">
      <x:c r="A442" s="24" t="str">
        <x:v>PR-C-08모1646-2-20230307-14</x:v>
      </x:c>
      <x:c r="B442" s="24" t="str">
        <x:v>프라임구독</x:v>
      </x:c>
      <x:c r="C442" s="24" t="str">
        <x:v>08모1646</x:v>
      </x:c>
      <x:c r="D442" s="31" t="n">
        <x:v>2</x:v>
      </x:c>
      <x:c r="E442" s="24" t="str">
        <x:v>이력</x:v>
      </x:c>
      <x:c r="F442" s="24" t="str">
        <x:v>종료</x:v>
      </x:c>
      <x:c r="G442" s="24" t="str">
        <x:v>최천규</x:v>
      </x:c>
      <x:c r="H442" s="30" t="n">
        <x:v>44992</x:v>
      </x:c>
      <x:c r="I442" s="30" t="n">
        <x:v>46091</x:v>
      </x:c>
      <x:c r="J442" s="30" t="n">
        <x:v>46091</x:v>
      </x:c>
      <x:c r="K442" s="32" t="n">
        <x:v>691000</x:v>
      </x:c>
      <x:c r="L442" s="32" t="n">
        <x:v>1490000</x:v>
      </x:c>
      <x:c r="M442" s="24" t="str"/>
      <x:c r="N442" s="24" t="str"/>
      <x:c r="O442" s="24" t="str"/>
      <x:c r="P442" s="24" t="str"/>
      <x:c r="Q442" s="24" t="str">
        <x:v>있음</x:v>
      </x:c>
      <x:c r="R442" s="24" t="str"/>
      <x:c r="S442" s="31" t="n">
        <x:v>14</x:v>
      </x:c>
      <x:c r="T442" s="24" t="str">
        <x:v>연령 확인</x:v>
      </x:c>
      <x:c r="U442" s="24" t="str"/>
    </x:row>
    <x:row r="443" ht="17.25" customHeight="1">
      <x:c r="A443" s="24" t="str">
        <x:v>PR-C-09누4209-2-20240509-15</x:v>
      </x:c>
      <x:c r="B443" s="24" t="str">
        <x:v>프라임구독</x:v>
      </x:c>
      <x:c r="C443" s="24" t="str">
        <x:v>09누4209</x:v>
      </x:c>
      <x:c r="D443" s="31" t="n">
        <x:v>2</x:v>
      </x:c>
      <x:c r="E443" s="24" t="str">
        <x:v>이력</x:v>
      </x:c>
      <x:c r="F443" s="24" t="str">
        <x:v>종료</x:v>
      </x:c>
      <x:c r="G443" s="24" t="str">
        <x:v>박현우</x:v>
      </x:c>
      <x:c r="H443" s="30" t="n">
        <x:v>45421</x:v>
      </x:c>
      <x:c r="I443" s="30" t="n">
        <x:v>46868</x:v>
      </x:c>
      <x:c r="J443" s="30" t="n">
        <x:v>46868</x:v>
      </x:c>
      <x:c r="K443" s="32" t="n">
        <x:v>551000</x:v>
      </x:c>
      <x:c r="L443" s="32" t="n">
        <x:v>1550000</x:v>
      </x:c>
      <x:c r="M443" s="24" t="str"/>
      <x:c r="N443" s="24" t="str"/>
      <x:c r="O443" s="24" t="str"/>
      <x:c r="P443" s="24" t="str"/>
      <x:c r="Q443" s="24" t="str">
        <x:v>있음</x:v>
      </x:c>
      <x:c r="R443" s="24" t="str"/>
      <x:c r="S443" s="31" t="n">
        <x:v>15</x:v>
      </x:c>
      <x:c r="T443" s="24" t="str">
        <x:v>연령 확인</x:v>
      </x:c>
      <x:c r="U443" s="24" t="str"/>
    </x:row>
    <x:row r="444" ht="17.25" customHeight="1">
      <x:c r="A444" s="24" t="str">
        <x:v>PR-C-103너3604-2-20221209-16</x:v>
      </x:c>
      <x:c r="B444" s="24" t="str">
        <x:v>프라임구독</x:v>
      </x:c>
      <x:c r="C444" s="24" t="str">
        <x:v>103너3604</x:v>
      </x:c>
      <x:c r="D444" s="31" t="n">
        <x:v>2</x:v>
      </x:c>
      <x:c r="E444" s="24" t="str">
        <x:v>이력</x:v>
      </x:c>
      <x:c r="F444" s="24" t="str">
        <x:v>종료</x:v>
      </x:c>
      <x:c r="G444" s="24" t="str">
        <x:v>이영남</x:v>
      </x:c>
      <x:c r="H444" s="30" t="n">
        <x:v>44904</x:v>
      </x:c>
      <x:c r="I444" s="30" t="n">
        <x:v>45996</x:v>
      </x:c>
      <x:c r="J444" s="30" t="n">
        <x:v>45996</x:v>
      </x:c>
      <x:c r="K444" s="32" t="n">
        <x:v>550000</x:v>
      </x:c>
      <x:c r="L444" s="32" t="n">
        <x:v>1500000</x:v>
      </x:c>
      <x:c r="M444" s="24" t="str"/>
      <x:c r="N444" s="24" t="str"/>
      <x:c r="O444" s="24" t="str"/>
      <x:c r="P444" s="24" t="str"/>
      <x:c r="Q444" s="24" t="str">
        <x:v>있음</x:v>
      </x:c>
      <x:c r="R444" s="24" t="str"/>
      <x:c r="S444" s="31" t="n">
        <x:v>16</x:v>
      </x:c>
      <x:c r="T444" s="24" t="str">
        <x:v>연령 확인</x:v>
      </x:c>
      <x:c r="U444" s="24" t="str"/>
    </x:row>
    <x:row r="445" ht="17.25" customHeight="1">
      <x:c r="A445" s="24" t="str">
        <x:v>PR-C-107고5687-2-20220510-17</x:v>
      </x:c>
      <x:c r="B445" s="24" t="str">
        <x:v>프라임구독</x:v>
      </x:c>
      <x:c r="C445" s="24" t="str">
        <x:v>107고5687</x:v>
      </x:c>
      <x:c r="D445" s="31" t="n">
        <x:v>2</x:v>
      </x:c>
      <x:c r="E445" s="24" t="str">
        <x:v>이력</x:v>
      </x:c>
      <x:c r="F445" s="24" t="str">
        <x:v>종료</x:v>
      </x:c>
      <x:c r="G445" s="24" t="str">
        <x:v>박지현2</x:v>
      </x:c>
      <x:c r="H445" s="30" t="n">
        <x:v>44691</x:v>
      </x:c>
      <x:c r="I445" s="30" t="n">
        <x:v>45797</x:v>
      </x:c>
      <x:c r="J445" s="30" t="n">
        <x:v>45797</x:v>
      </x:c>
      <x:c r="K445" s="32" t="n">
        <x:v>335000</x:v>
      </x:c>
      <x:c r="L445" s="32" t="n">
        <x:v>700000</x:v>
      </x:c>
      <x:c r="M445" s="24" t="str"/>
      <x:c r="N445" s="24" t="str"/>
      <x:c r="O445" s="24" t="str"/>
      <x:c r="P445" s="24" t="str"/>
      <x:c r="Q445" s="24" t="str">
        <x:v>있음</x:v>
      </x:c>
      <x:c r="R445" s="24" t="str"/>
      <x:c r="S445" s="31" t="n">
        <x:v>17</x:v>
      </x:c>
      <x:c r="T445" s="24" t="str">
        <x:v>연령 확인</x:v>
      </x:c>
      <x:c r="U445" s="24" t="str"/>
    </x:row>
    <x:row r="446" ht="17.25" customHeight="1">
      <x:c r="A446" s="24" t="str">
        <x:v>PR-C-107보9912-2-20211231-18</x:v>
      </x:c>
      <x:c r="B446" s="24" t="str">
        <x:v>프라임구독</x:v>
      </x:c>
      <x:c r="C446" s="24" t="str">
        <x:v>107보9912</x:v>
      </x:c>
      <x:c r="D446" s="31" t="n">
        <x:v>2</x:v>
      </x:c>
      <x:c r="E446" s="24" t="str">
        <x:v>이력</x:v>
      </x:c>
      <x:c r="F446" s="24" t="str">
        <x:v>종료</x:v>
      </x:c>
      <x:c r="G446" s="24" t="str">
        <x:v>정재식</x:v>
      </x:c>
      <x:c r="H446" s="30" t="n">
        <x:v>44561</x:v>
      </x:c>
      <x:c r="I446" s="30" t="n">
        <x:v>45646</x:v>
      </x:c>
      <x:c r="J446" s="30" t="n">
        <x:v>45646</x:v>
      </x:c>
      <x:c r="K446" s="32" t="n">
        <x:v>647000</x:v>
      </x:c>
      <x:c r="L446" s="32" t="n">
        <x:v>1400000</x:v>
      </x:c>
      <x:c r="M446" s="24" t="str"/>
      <x:c r="N446" s="24" t="str"/>
      <x:c r="O446" s="24" t="str"/>
      <x:c r="P446" s="24" t="str"/>
      <x:c r="Q446" s="24" t="str">
        <x:v>있음</x:v>
      </x:c>
      <x:c r="R446" s="24" t="str"/>
      <x:c r="S446" s="31" t="n">
        <x:v>18</x:v>
      </x:c>
      <x:c r="T446" s="24" t="str">
        <x:v>연령 확인</x:v>
      </x:c>
      <x:c r="U446" s="24" t="str"/>
    </x:row>
    <x:row r="447" ht="17.25" customHeight="1">
      <x:c r="A447" s="24" t="str">
        <x:v>PR-C-10고0707-2-20220329-19</x:v>
      </x:c>
      <x:c r="B447" s="24" t="str">
        <x:v>프라임구독</x:v>
      </x:c>
      <x:c r="C447" s="24" t="str">
        <x:v>10고0707</x:v>
      </x:c>
      <x:c r="D447" s="31" t="n">
        <x:v>2</x:v>
      </x:c>
      <x:c r="E447" s="24" t="str">
        <x:v>이력</x:v>
      </x:c>
      <x:c r="F447" s="24" t="str">
        <x:v>종료</x:v>
      </x:c>
      <x:c r="G447" s="24" t="str">
        <x:v>정성민</x:v>
      </x:c>
      <x:c r="H447" s="30" t="n">
        <x:v>44649</x:v>
      </x:c>
      <x:c r="I447" s="30" t="n">
        <x:v>45746</x:v>
      </x:c>
      <x:c r="J447" s="30" t="n">
        <x:v>45746</x:v>
      </x:c>
      <x:c r="K447" s="32" t="n">
        <x:v>594000</x:v>
      </x:c>
      <x:c r="L447" s="32" t="n">
        <x:v>1300000</x:v>
      </x:c>
      <x:c r="M447" s="24" t="str"/>
      <x:c r="N447" s="24" t="str"/>
      <x:c r="O447" s="24" t="str"/>
      <x:c r="P447" s="24" t="str"/>
      <x:c r="Q447" s="24" t="str">
        <x:v>있음</x:v>
      </x:c>
      <x:c r="R447" s="24" t="str"/>
      <x:c r="S447" s="31" t="n">
        <x:v>19</x:v>
      </x:c>
      <x:c r="T447" s="24" t="str">
        <x:v>연령 확인</x:v>
      </x:c>
      <x:c r="U447" s="24" t="str"/>
    </x:row>
    <x:row r="448" ht="17.25" customHeight="1">
      <x:c r="A448" s="24" t="str">
        <x:v>PR-C-10루8404-2-20220209-20</x:v>
      </x:c>
      <x:c r="B448" s="24" t="str">
        <x:v>프라임구독</x:v>
      </x:c>
      <x:c r="C448" s="24" t="str">
        <x:v>10루8404</x:v>
      </x:c>
      <x:c r="D448" s="31" t="n">
        <x:v>2</x:v>
      </x:c>
      <x:c r="E448" s="24" t="str">
        <x:v>이력</x:v>
      </x:c>
      <x:c r="F448" s="24" t="str">
        <x:v>종료</x:v>
      </x:c>
      <x:c r="G448" s="24" t="str">
        <x:v>유햇님</x:v>
      </x:c>
      <x:c r="H448" s="30" t="n">
        <x:v>44601</x:v>
      </x:c>
      <x:c r="I448" s="30" t="n">
        <x:v>45708</x:v>
      </x:c>
      <x:c r="J448" s="30" t="n">
        <x:v>45708</x:v>
      </x:c>
      <x:c r="K448" s="32" t="n">
        <x:v>430000</x:v>
      </x:c>
      <x:c r="L448" s="32" t="n">
        <x:v>930000</x:v>
      </x:c>
      <x:c r="M448" s="24" t="str"/>
      <x:c r="N448" s="24" t="str"/>
      <x:c r="O448" s="24" t="str"/>
      <x:c r="P448" s="24" t="str"/>
      <x:c r="Q448" s="24" t="str">
        <x:v>있음</x:v>
      </x:c>
      <x:c r="R448" s="24" t="str"/>
      <x:c r="S448" s="31" t="n">
        <x:v>20</x:v>
      </x:c>
      <x:c r="T448" s="24" t="str">
        <x:v>연령 확인</x:v>
      </x:c>
      <x:c r="U448" s="24" t="str"/>
    </x:row>
    <x:row r="449" ht="17.25" customHeight="1">
      <x:c r="A449" s="24" t="str">
        <x:v>PR-C-10버7680-2-20230616-21</x:v>
      </x:c>
      <x:c r="B449" s="24" t="str">
        <x:v>프라임구독</x:v>
      </x:c>
      <x:c r="C449" s="24" t="str">
        <x:v>10버7680</x:v>
      </x:c>
      <x:c r="D449" s="31" t="n">
        <x:v>2</x:v>
      </x:c>
      <x:c r="E449" s="24" t="str">
        <x:v>이력</x:v>
      </x:c>
      <x:c r="F449" s="24" t="str">
        <x:v>종료</x:v>
      </x:c>
      <x:c r="G449" s="24" t="str">
        <x:v>정재욱</x:v>
      </x:c>
      <x:c r="H449" s="30" t="n">
        <x:v>45093</x:v>
      </x:c>
      <x:c r="I449" s="30" t="n">
        <x:v>46254</x:v>
      </x:c>
      <x:c r="J449" s="30" t="n">
        <x:v>46254</x:v>
      </x:c>
      <x:c r="K449" s="32" t="n">
        <x:v>1160000</x:v>
      </x:c>
      <x:c r="L449" s="32" t="n">
        <x:v>3240000</x:v>
      </x:c>
      <x:c r="M449" s="24" t="str"/>
      <x:c r="N449" s="24" t="str"/>
      <x:c r="O449" s="24" t="str"/>
      <x:c r="P449" s="24" t="str"/>
      <x:c r="Q449" s="24" t="str">
        <x:v>있음</x:v>
      </x:c>
      <x:c r="R449" s="24" t="str"/>
      <x:c r="S449" s="31" t="n">
        <x:v>21</x:v>
      </x:c>
      <x:c r="T449" s="24" t="str">
        <x:v>연령 확인</x:v>
      </x:c>
      <x:c r="U449" s="24" t="str"/>
    </x:row>
    <x:row r="450" ht="17.25" customHeight="1">
      <x:c r="A450" s="24" t="str">
        <x:v>PR-C-110오3731-2-20220110-22</x:v>
      </x:c>
      <x:c r="B450" s="24" t="str">
        <x:v>프라임구독</x:v>
      </x:c>
      <x:c r="C450" s="24" t="str">
        <x:v>110오3731</x:v>
      </x:c>
      <x:c r="D450" s="31" t="n">
        <x:v>2</x:v>
      </x:c>
      <x:c r="E450" s="24" t="str">
        <x:v>이력</x:v>
      </x:c>
      <x:c r="F450" s="24" t="str">
        <x:v>종료</x:v>
      </x:c>
      <x:c r="G450" s="24" t="str">
        <x:v>하준</x:v>
      </x:c>
      <x:c r="H450" s="30" t="n">
        <x:v>44571</x:v>
      </x:c>
      <x:c r="I450" s="30" t="n">
        <x:v>45687</x:v>
      </x:c>
      <x:c r="J450" s="30" t="n">
        <x:v>45687</x:v>
      </x:c>
      <x:c r="K450" s="32" t="n">
        <x:v>393000</x:v>
      </x:c>
      <x:c r="L450" s="32" t="n">
        <x:v>830000</x:v>
      </x:c>
      <x:c r="M450" s="24" t="str"/>
      <x:c r="N450" s="24" t="str"/>
      <x:c r="O450" s="24" t="str"/>
      <x:c r="P450" s="24" t="str"/>
      <x:c r="Q450" s="24" t="str">
        <x:v>있음</x:v>
      </x:c>
      <x:c r="R450" s="24" t="str"/>
      <x:c r="S450" s="31" t="n">
        <x:v>22</x:v>
      </x:c>
      <x:c r="T450" s="24" t="str">
        <x:v>연령 확인</x:v>
      </x:c>
      <x:c r="U450" s="24" t="str"/>
    </x:row>
    <x:row r="451" ht="17.25" customHeight="1">
      <x:c r="A451" s="24" t="str">
        <x:v>PR-C-110오3787-2-20220118-23</x:v>
      </x:c>
      <x:c r="B451" s="24" t="str">
        <x:v>프라임구독</x:v>
      </x:c>
      <x:c r="C451" s="24" t="str">
        <x:v>110오3787</x:v>
      </x:c>
      <x:c r="D451" s="31" t="n">
        <x:v>2</x:v>
      </x:c>
      <x:c r="E451" s="24" t="str">
        <x:v>이력</x:v>
      </x:c>
      <x:c r="F451" s="24" t="str">
        <x:v>종료</x:v>
      </x:c>
      <x:c r="G451" s="24" t="str">
        <x:v>임상현</x:v>
      </x:c>
      <x:c r="H451" s="30" t="n">
        <x:v>44579</x:v>
      </x:c>
      <x:c r="I451" s="30" t="n">
        <x:v>45682</x:v>
      </x:c>
      <x:c r="J451" s="30" t="n">
        <x:v>45682</x:v>
      </x:c>
      <x:c r="K451" s="32" t="n">
        <x:v>430000</x:v>
      </x:c>
      <x:c r="L451" s="32" t="n">
        <x:v>920000</x:v>
      </x:c>
      <x:c r="M451" s="24" t="str"/>
      <x:c r="N451" s="24" t="str"/>
      <x:c r="O451" s="24" t="str"/>
      <x:c r="P451" s="24" t="str"/>
      <x:c r="Q451" s="24" t="str">
        <x:v>있음</x:v>
      </x:c>
      <x:c r="R451" s="24" t="str"/>
      <x:c r="S451" s="31" t="n">
        <x:v>23</x:v>
      </x:c>
      <x:c r="T451" s="24" t="str">
        <x:v>연령 확인</x:v>
      </x:c>
      <x:c r="U451" s="24" t="str"/>
    </x:row>
    <x:row r="452" ht="17.25" customHeight="1">
      <x:c r="A452" s="24" t="str">
        <x:v>PR-C-111로8548-2-20231017-24</x:v>
      </x:c>
      <x:c r="B452" s="24" t="str">
        <x:v>프라임구독</x:v>
      </x:c>
      <x:c r="C452" s="24" t="str">
        <x:v>111로8548</x:v>
      </x:c>
      <x:c r="D452" s="31" t="n">
        <x:v>2</x:v>
      </x:c>
      <x:c r="E452" s="24" t="str">
        <x:v>이력</x:v>
      </x:c>
      <x:c r="F452" s="24" t="str">
        <x:v>종료</x:v>
      </x:c>
      <x:c r="G452" s="24" t="str">
        <x:v>조유진</x:v>
      </x:c>
      <x:c r="H452" s="30" t="n">
        <x:v>45216</x:v>
      </x:c>
      <x:c r="I452" s="30" t="n">
        <x:v>46680</x:v>
      </x:c>
      <x:c r="J452" s="30" t="n">
        <x:v>46680</x:v>
      </x:c>
      <x:c r="K452" s="32" t="n">
        <x:v>718000</x:v>
      </x:c>
      <x:c r="L452" s="32" t="n">
        <x:v>2000000</x:v>
      </x:c>
      <x:c r="M452" s="24" t="str"/>
      <x:c r="N452" s="24" t="str"/>
      <x:c r="O452" s="24" t="str"/>
      <x:c r="P452" s="24" t="str"/>
      <x:c r="Q452" s="24" t="str">
        <x:v>있음</x:v>
      </x:c>
      <x:c r="R452" s="24" t="str"/>
      <x:c r="S452" s="31" t="n">
        <x:v>24</x:v>
      </x:c>
      <x:c r="T452" s="24" t="str">
        <x:v>연령 확인</x:v>
      </x:c>
      <x:c r="U452" s="24" t="str"/>
    </x:row>
    <x:row r="453" ht="17.25" customHeight="1">
      <x:c r="A453" s="24" t="str">
        <x:v>PR-C-112가8342-2-20220506-25</x:v>
      </x:c>
      <x:c r="B453" s="24" t="str">
        <x:v>프라임구독</x:v>
      </x:c>
      <x:c r="C453" s="24" t="str">
        <x:v>112가8342</x:v>
      </x:c>
      <x:c r="D453" s="31" t="n">
        <x:v>2</x:v>
      </x:c>
      <x:c r="E453" s="24" t="str">
        <x:v>이력</x:v>
      </x:c>
      <x:c r="F453" s="24" t="str">
        <x:v>종료</x:v>
      </x:c>
      <x:c r="G453" s="24" t="str">
        <x:v>성석훈</x:v>
      </x:c>
      <x:c r="H453" s="30" t="n">
        <x:v>44687</x:v>
      </x:c>
      <x:c r="I453" s="30" t="n">
        <x:v>45797</x:v>
      </x:c>
      <x:c r="J453" s="30" t="n">
        <x:v>45797</x:v>
      </x:c>
      <x:c r="K453" s="32" t="n">
        <x:v>828000</x:v>
      </x:c>
      <x:c r="L453" s="32" t="n">
        <x:v>1800000</x:v>
      </x:c>
      <x:c r="M453" s="24" t="str"/>
      <x:c r="N453" s="24" t="str"/>
      <x:c r="O453" s="24" t="str"/>
      <x:c r="P453" s="24" t="str"/>
      <x:c r="Q453" s="24" t="str">
        <x:v>있음</x:v>
      </x:c>
      <x:c r="R453" s="24" t="str"/>
      <x:c r="S453" s="31" t="n">
        <x:v>25</x:v>
      </x:c>
      <x:c r="T453" s="24" t="str">
        <x:v>연령 확인</x:v>
      </x:c>
      <x:c r="U453" s="24" t="str"/>
    </x:row>
    <x:row r="454" ht="17.25" customHeight="1">
      <x:c r="A454" s="24" t="str">
        <x:v>PR-C-112수8932-2-20221114-26</x:v>
      </x:c>
      <x:c r="B454" s="24" t="str">
        <x:v>프라임구독</x:v>
      </x:c>
      <x:c r="C454" s="24" t="str">
        <x:v>112수8932</x:v>
      </x:c>
      <x:c r="D454" s="31" t="n">
        <x:v>2</x:v>
      </x:c>
      <x:c r="E454" s="24" t="str">
        <x:v>이력</x:v>
      </x:c>
      <x:c r="F454" s="24" t="str">
        <x:v>종료</x:v>
      </x:c>
      <x:c r="G454" s="24" t="str">
        <x:v>정대교</x:v>
      </x:c>
      <x:c r="H454" s="30" t="n">
        <x:v>44879</x:v>
      </x:c>
      <x:c r="I454" s="30" t="n">
        <x:v>45991</x:v>
      </x:c>
      <x:c r="J454" s="30" t="n">
        <x:v>45991</x:v>
      </x:c>
      <x:c r="K454" s="32" t="n">
        <x:v>599000</x:v>
      </x:c>
      <x:c r="L454" s="32" t="n">
        <x:v>1300000</x:v>
      </x:c>
      <x:c r="M454" s="24" t="str"/>
      <x:c r="N454" s="24" t="str"/>
      <x:c r="O454" s="24" t="str"/>
      <x:c r="P454" s="24" t="str"/>
      <x:c r="Q454" s="24" t="str">
        <x:v>있음</x:v>
      </x:c>
      <x:c r="R454" s="24" t="str"/>
      <x:c r="S454" s="31" t="n">
        <x:v>26</x:v>
      </x:c>
      <x:c r="T454" s="24" t="str">
        <x:v>연령 확인</x:v>
      </x:c>
      <x:c r="U454" s="24" t="str"/>
    </x:row>
    <x:row r="455" ht="17.25" customHeight="1">
      <x:c r="A455" s="24" t="str">
        <x:v>PR-C-113더8112-1-20230817-27</x:v>
      </x:c>
      <x:c r="B455" s="24" t="str">
        <x:v>프라임구독</x:v>
      </x:c>
      <x:c r="C455" s="24" t="str">
        <x:v>113더8112</x:v>
      </x:c>
      <x:c r="D455" s="31" t="n">
        <x:v>1</x:v>
      </x:c>
      <x:c r="E455" s="24" t="str">
        <x:v>현재칸</x:v>
      </x:c>
      <x:c r="F455" s="24" t="str">
        <x:v>구독</x:v>
      </x:c>
      <x:c r="G455" s="24" t="str">
        <x:v>곽현중</x:v>
      </x:c>
      <x:c r="H455" s="30" t="n">
        <x:v>45155</x:v>
      </x:c>
      <x:c r="I455" s="30" t="n">
        <x:v>46624</x:v>
      </x:c>
      <x:c r="J455" s="30"/>
      <x:c r="K455" s="32" t="n">
        <x:v>781000</x:v>
      </x:c>
      <x:c r="L455" s="32" t="n">
        <x:v>2100000</x:v>
      </x:c>
      <x:c r="M455" s="24" t="str">
        <x:v>25</x:v>
      </x:c>
      <x:c r="N455" s="24" t="str"/>
      <x:c r="O455" s="24" t="str"/>
      <x:c r="P455" s="24" t="str"/>
      <x:c r="Q455" s="24" t="str">
        <x:v>있음</x:v>
      </x:c>
      <x:c r="R455" s="24" t="str"/>
      <x:c r="S455" s="31" t="n">
        <x:v>27</x:v>
      </x:c>
      <x:c r="T455" s="24" t="str">
        <x:v>연령 확인</x:v>
      </x:c>
      <x:c r="U455" s="24" t="str"/>
    </x:row>
    <x:row r="456" ht="17.25" customHeight="1">
      <x:c r="A456" s="24" t="str">
        <x:v>PR-C-114루8423-2-20221101-28</x:v>
      </x:c>
      <x:c r="B456" s="24" t="str">
        <x:v>프라임구독</x:v>
      </x:c>
      <x:c r="C456" s="24" t="str">
        <x:v>114루8423</x:v>
      </x:c>
      <x:c r="D456" s="31" t="n">
        <x:v>2</x:v>
      </x:c>
      <x:c r="E456" s="24" t="str">
        <x:v>이력</x:v>
      </x:c>
      <x:c r="F456" s="24" t="str">
        <x:v>종료</x:v>
      </x:c>
      <x:c r="G456" s="24" t="str">
        <x:v>문광순</x:v>
      </x:c>
      <x:c r="H456" s="30" t="n">
        <x:v>44866</x:v>
      </x:c>
      <x:c r="I456" s="30" t="n">
        <x:v>45950</x:v>
      </x:c>
      <x:c r="J456" s="30" t="n">
        <x:v>45950</x:v>
      </x:c>
      <x:c r="K456" s="32" t="n">
        <x:v>764000</x:v>
      </x:c>
      <x:c r="L456" s="32" t="n">
        <x:v>2286070</x:v>
      </x:c>
      <x:c r="M456" s="24" t="str"/>
      <x:c r="N456" s="24" t="str"/>
      <x:c r="O456" s="24" t="str"/>
      <x:c r="P456" s="24" t="str"/>
      <x:c r="Q456" s="24" t="str">
        <x:v>있음</x:v>
      </x:c>
      <x:c r="R456" s="24" t="str"/>
      <x:c r="S456" s="31" t="n">
        <x:v>28</x:v>
      </x:c>
      <x:c r="T456" s="24" t="str">
        <x:v>연령 확인</x:v>
      </x:c>
      <x:c r="U456" s="24" t="str"/>
    </x:row>
    <x:row r="457" ht="17.25" customHeight="1">
      <x:c r="A457" s="24" t="str">
        <x:v>PR-C-119두7903-1-20230113-29</x:v>
      </x:c>
      <x:c r="B457" s="24" t="str">
        <x:v>프라임구독</x:v>
      </x:c>
      <x:c r="C457" s="24" t="str">
        <x:v>119두7903</x:v>
      </x:c>
      <x:c r="D457" s="31" t="n">
        <x:v>1</x:v>
      </x:c>
      <x:c r="E457" s="24" t="str">
        <x:v>현재칸</x:v>
      </x:c>
      <x:c r="F457" s="24" t="str">
        <x:v>구독</x:v>
      </x:c>
      <x:c r="G457" s="24" t="str">
        <x:v>이보영</x:v>
      </x:c>
      <x:c r="H457" s="30" t="n">
        <x:v>44939</x:v>
      </x:c>
      <x:c r="I457" s="30" t="n">
        <x:v>46042</x:v>
      </x:c>
      <x:c r="J457" s="30"/>
      <x:c r="K457" s="32" t="n">
        <x:v>685000</x:v>
      </x:c>
      <x:c r="L457" s="32" t="n">
        <x:v>1460000</x:v>
      </x:c>
      <x:c r="M457" s="24" t="str">
        <x:v>20</x:v>
      </x:c>
      <x:c r="N457" s="24" t="str"/>
      <x:c r="O457" s="24" t="str"/>
      <x:c r="P457" s="24" t="str"/>
      <x:c r="Q457" s="24" t="str">
        <x:v>있음</x:v>
      </x:c>
      <x:c r="R457" s="24" t="str"/>
      <x:c r="S457" s="31" t="n">
        <x:v>29</x:v>
      </x:c>
      <x:c r="T457" s="24" t="str">
        <x:v>연령 확인</x:v>
      </x:c>
      <x:c r="U457" s="24" t="str"/>
    </x:row>
    <x:row r="458" ht="17.25" customHeight="1">
      <x:c r="A458" s="24" t="str">
        <x:v>PR-C-119라1440-2-20230215-30</x:v>
      </x:c>
      <x:c r="B458" s="24" t="str">
        <x:v>프라임구독</x:v>
      </x:c>
      <x:c r="C458" s="24" t="str">
        <x:v>119라1440</x:v>
      </x:c>
      <x:c r="D458" s="31" t="n">
        <x:v>2</x:v>
      </x:c>
      <x:c r="E458" s="24" t="str">
        <x:v>이력</x:v>
      </x:c>
      <x:c r="F458" s="24" t="str">
        <x:v>종료</x:v>
      </x:c>
      <x:c r="G458" s="24" t="str">
        <x:v>서동구</x:v>
      </x:c>
      <x:c r="H458" s="30" t="n">
        <x:v>44972</x:v>
      </x:c>
      <x:c r="I458" s="30" t="n">
        <x:v>46078</x:v>
      </x:c>
      <x:c r="J458" s="30" t="n">
        <x:v>46078</x:v>
      </x:c>
      <x:c r="K458" s="32" t="n">
        <x:v>781000</x:v>
      </x:c>
      <x:c r="L458" s="32" t="n">
        <x:v>1710000</x:v>
      </x:c>
      <x:c r="M458" s="24" t="str"/>
      <x:c r="N458" s="24" t="str"/>
      <x:c r="O458" s="24" t="str"/>
      <x:c r="P458" s="24" t="str"/>
      <x:c r="Q458" s="24" t="str">
        <x:v>있음</x:v>
      </x:c>
      <x:c r="R458" s="24" t="str"/>
      <x:c r="S458" s="31" t="n">
        <x:v>30</x:v>
      </x:c>
      <x:c r="T458" s="24" t="str">
        <x:v>연령 확인</x:v>
      </x:c>
      <x:c r="U458" s="24" t="str"/>
    </x:row>
    <x:row r="459" ht="17.25" customHeight="1">
      <x:c r="A459" s="24" t="str">
        <x:v>PR-C-11구5844-2-20220804-31</x:v>
      </x:c>
      <x:c r="B459" s="24" t="str">
        <x:v>프라임구독</x:v>
      </x:c>
      <x:c r="C459" s="24" t="str">
        <x:v>11구5844</x:v>
      </x:c>
      <x:c r="D459" s="31" t="n">
        <x:v>2</x:v>
      </x:c>
      <x:c r="E459" s="24" t="str">
        <x:v>이력</x:v>
      </x:c>
      <x:c r="F459" s="24" t="str">
        <x:v>종료</x:v>
      </x:c>
      <x:c r="G459" s="24" t="str">
        <x:v>전인탁</x:v>
      </x:c>
      <x:c r="H459" s="30" t="n">
        <x:v>44777</x:v>
      </x:c>
      <x:c r="I459" s="30" t="n">
        <x:v>45848</x:v>
      </x:c>
      <x:c r="J459" s="30" t="n">
        <x:v>45848</x:v>
      </x:c>
      <x:c r="K459" s="32" t="n">
        <x:v>608000</x:v>
      </x:c>
      <x:c r="L459" s="32" t="n">
        <x:v>1350000</x:v>
      </x:c>
      <x:c r="M459" s="24" t="str"/>
      <x:c r="N459" s="24" t="str"/>
      <x:c r="O459" s="24" t="str"/>
      <x:c r="P459" s="24" t="str"/>
      <x:c r="Q459" s="24" t="str">
        <x:v>있음</x:v>
      </x:c>
      <x:c r="R459" s="24" t="str"/>
      <x:c r="S459" s="31" t="n">
        <x:v>31</x:v>
      </x:c>
      <x:c r="T459" s="24" t="str">
        <x:v>연령 확인</x:v>
      </x:c>
      <x:c r="U459" s="24" t="str"/>
    </x:row>
    <x:row r="460" ht="17.25" customHeight="1">
      <x:c r="A460" s="24" t="str">
        <x:v>PR-C-11머0509-2-20220818-32</x:v>
      </x:c>
      <x:c r="B460" s="24" t="str">
        <x:v>프라임구독</x:v>
      </x:c>
      <x:c r="C460" s="24" t="str">
        <x:v>11머0509</x:v>
      </x:c>
      <x:c r="D460" s="31" t="n">
        <x:v>2</x:v>
      </x:c>
      <x:c r="E460" s="24" t="str">
        <x:v>이력</x:v>
      </x:c>
      <x:c r="F460" s="24" t="str">
        <x:v>종료</x:v>
      </x:c>
      <x:c r="G460" s="24" t="str">
        <x:v>정영교</x:v>
      </x:c>
      <x:c r="H460" s="30" t="n">
        <x:v>44791</x:v>
      </x:c>
      <x:c r="I460" s="30" t="n">
        <x:v>45894</x:v>
      </x:c>
      <x:c r="J460" s="30" t="n">
        <x:v>45894</x:v>
      </x:c>
      <x:c r="K460" s="32" t="n">
        <x:v>818000</x:v>
      </x:c>
      <x:c r="L460" s="32" t="n">
        <x:v>1800000</x:v>
      </x:c>
      <x:c r="M460" s="24" t="str"/>
      <x:c r="N460" s="24" t="str"/>
      <x:c r="O460" s="24" t="str"/>
      <x:c r="P460" s="24" t="str"/>
      <x:c r="Q460" s="24" t="str">
        <x:v>있음</x:v>
      </x:c>
      <x:c r="R460" s="24" t="str"/>
      <x:c r="S460" s="31" t="n">
        <x:v>32</x:v>
      </x:c>
      <x:c r="T460" s="24" t="str">
        <x:v>연령 확인</x:v>
      </x:c>
      <x:c r="U460" s="24" t="str"/>
    </x:row>
    <x:row r="461" ht="17.25" customHeight="1">
      <x:c r="A461" s="24" t="str">
        <x:v>PR-C-11서5986-2-20210908-33</x:v>
      </x:c>
      <x:c r="B461" s="24" t="str">
        <x:v>프라임구독</x:v>
      </x:c>
      <x:c r="C461" s="24" t="str">
        <x:v>11서5986</x:v>
      </x:c>
      <x:c r="D461" s="31" t="n">
        <x:v>2</x:v>
      </x:c>
      <x:c r="E461" s="24" t="str">
        <x:v>이력</x:v>
      </x:c>
      <x:c r="F461" s="24" t="str">
        <x:v>종료</x:v>
      </x:c>
      <x:c r="G461" s="24" t="str">
        <x:v>한상열</x:v>
      </x:c>
      <x:c r="H461" s="30" t="n">
        <x:v>44447</x:v>
      </x:c>
      <x:c r="I461" s="30" t="n">
        <x:v>45555</x:v>
      </x:c>
      <x:c r="J461" s="30" t="n">
        <x:v>45555</x:v>
      </x:c>
      <x:c r="K461" s="32" t="n">
        <x:v>650000</x:v>
      </x:c>
      <x:c r="L461" s="32" t="n">
        <x:v>1400000</x:v>
      </x:c>
      <x:c r="M461" s="24" t="str"/>
      <x:c r="N461" s="24" t="str"/>
      <x:c r="O461" s="24" t="str"/>
      <x:c r="P461" s="24" t="str"/>
      <x:c r="Q461" s="24" t="str">
        <x:v>있음</x:v>
      </x:c>
      <x:c r="R461" s="24" t="str"/>
      <x:c r="S461" s="31" t="n">
        <x:v>33</x:v>
      </x:c>
      <x:c r="T461" s="24" t="str">
        <x:v>연령 확인</x:v>
      </x:c>
      <x:c r="U461" s="24" t="str"/>
    </x:row>
    <x:row r="462" ht="17.25" customHeight="1">
      <x:c r="A462" s="24" t="str">
        <x:v>PR-C-129수4096-2-20221202-34</x:v>
      </x:c>
      <x:c r="B462" s="24" t="str">
        <x:v>프라임구독</x:v>
      </x:c>
      <x:c r="C462" s="24" t="str">
        <x:v>129수4096</x:v>
      </x:c>
      <x:c r="D462" s="31" t="n">
        <x:v>2</x:v>
      </x:c>
      <x:c r="E462" s="24" t="str">
        <x:v>이력</x:v>
      </x:c>
      <x:c r="F462" s="24" t="str">
        <x:v>종료</x:v>
      </x:c>
      <x:c r="G462" s="24" t="str">
        <x:v>이대우</x:v>
      </x:c>
      <x:c r="H462" s="30" t="n">
        <x:v>44897</x:v>
      </x:c>
      <x:c r="I462" s="30" t="n">
        <x:v>45976</x:v>
      </x:c>
      <x:c r="J462" s="30" t="n">
        <x:v>45976</x:v>
      </x:c>
      <x:c r="K462" s="32" t="n">
        <x:v>519000</x:v>
      </x:c>
      <x:c r="L462" s="32"/>
      <x:c r="M462" s="24" t="str"/>
      <x:c r="N462" s="24" t="str"/>
      <x:c r="O462" s="24" t="str"/>
      <x:c r="P462" s="24" t="str"/>
      <x:c r="Q462" s="24" t="str">
        <x:v>있음</x:v>
      </x:c>
      <x:c r="R462" s="24" t="str"/>
      <x:c r="S462" s="31" t="n">
        <x:v>34</x:v>
      </x:c>
      <x:c r="T462" s="24" t="str">
        <x:v>연령 확인</x:v>
      </x:c>
      <x:c r="U462" s="24" t="str">
        <x:v>-</x:v>
      </x:c>
    </x:row>
    <x:row r="463" ht="17.25" customHeight="1">
      <x:c r="A463" s="24" t="str">
        <x:v>PR-C-12구3819-2-20230926-35</x:v>
      </x:c>
      <x:c r="B463" s="24" t="str">
        <x:v>프라임구독</x:v>
      </x:c>
      <x:c r="C463" s="24" t="str">
        <x:v>12구3819</x:v>
      </x:c>
      <x:c r="D463" s="31" t="n">
        <x:v>2</x:v>
      </x:c>
      <x:c r="E463" s="24" t="str">
        <x:v>이력</x:v>
      </x:c>
      <x:c r="F463" s="24" t="str">
        <x:v>종료</x:v>
      </x:c>
      <x:c r="G463" s="24" t="str">
        <x:v>김경보</x:v>
      </x:c>
      <x:c r="H463" s="30" t="n">
        <x:v>45195</x:v>
      </x:c>
      <x:c r="I463" s="30" t="n">
        <x:v>46290</x:v>
      </x:c>
      <x:c r="J463" s="30" t="n">
        <x:v>46290</x:v>
      </x:c>
      <x:c r="K463" s="32" t="n">
        <x:v>447000</x:v>
      </x:c>
      <x:c r="L463" s="32" t="n">
        <x:v>1020000</x:v>
      </x:c>
      <x:c r="M463" s="24" t="str"/>
      <x:c r="N463" s="24" t="str"/>
      <x:c r="O463" s="24" t="str"/>
      <x:c r="P463" s="24" t="str"/>
      <x:c r="Q463" s="24" t="str">
        <x:v>있음</x:v>
      </x:c>
      <x:c r="R463" s="24" t="str"/>
      <x:c r="S463" s="31" t="n">
        <x:v>35</x:v>
      </x:c>
      <x:c r="T463" s="24" t="str">
        <x:v>연령 확인</x:v>
      </x:c>
      <x:c r="U463" s="24" t="str"/>
    </x:row>
    <x:row r="464" ht="17.25" customHeight="1">
      <x:c r="A464" s="24" t="str">
        <x:v>PR-C-136저9431-1-20240307-36</x:v>
      </x:c>
      <x:c r="B464" s="24" t="str">
        <x:v>프라임구독</x:v>
      </x:c>
      <x:c r="C464" s="24" t="str">
        <x:v>136저9431</x:v>
      </x:c>
      <x:c r="D464" s="31" t="n">
        <x:v>1</x:v>
      </x:c>
      <x:c r="E464" s="24" t="str">
        <x:v>현재칸</x:v>
      </x:c>
      <x:c r="F464" s="24" t="str">
        <x:v>구독</x:v>
      </x:c>
      <x:c r="G464" s="24" t="str">
        <x:v>김태윤</x:v>
      </x:c>
      <x:c r="H464" s="30" t="n">
        <x:v>45358</x:v>
      </x:c>
      <x:c r="I464" s="30" t="n">
        <x:v>46827</x:v>
      </x:c>
      <x:c r="J464" s="30"/>
      <x:c r="K464" s="32" t="n">
        <x:v>627000</x:v>
      </x:c>
      <x:c r="L464" s="32" t="n">
        <x:v>1650000</x:v>
      </x:c>
      <x:c r="M464" s="24" t="str">
        <x:v>15</x:v>
      </x:c>
      <x:c r="N464" s="24" t="str"/>
      <x:c r="O464" s="24" t="str"/>
      <x:c r="P464" s="24" t="str"/>
      <x:c r="Q464" s="24" t="str">
        <x:v>있음</x:v>
      </x:c>
      <x:c r="R464" s="24" t="str"/>
      <x:c r="S464" s="31" t="n">
        <x:v>36</x:v>
      </x:c>
      <x:c r="T464" s="24" t="str">
        <x:v>연령 확인</x:v>
      </x:c>
      <x:c r="U464" s="24" t="str"/>
    </x:row>
    <x:row r="465" ht="17.25" customHeight="1">
      <x:c r="A465" s="24" t="str">
        <x:v>PR-C-13누7578-2-20220811-37</x:v>
      </x:c>
      <x:c r="B465" s="24" t="str">
        <x:v>프라임구독</x:v>
      </x:c>
      <x:c r="C465" s="24" t="str">
        <x:v>13누7578</x:v>
      </x:c>
      <x:c r="D465" s="31" t="n">
        <x:v>2</x:v>
      </x:c>
      <x:c r="E465" s="24" t="str">
        <x:v>이력</x:v>
      </x:c>
      <x:c r="F465" s="24" t="str">
        <x:v>종료</x:v>
      </x:c>
      <x:c r="G465" s="24" t="str">
        <x:v>정창훈</x:v>
      </x:c>
      <x:c r="H465" s="30" t="n">
        <x:v>44784</x:v>
      </x:c>
      <x:c r="I465" s="30" t="n">
        <x:v>45894</x:v>
      </x:c>
      <x:c r="J465" s="30" t="n">
        <x:v>45894</x:v>
      </x:c>
      <x:c r="K465" s="32" t="n">
        <x:v>518000</x:v>
      </x:c>
      <x:c r="L465" s="32" t="n">
        <x:v>1130000</x:v>
      </x:c>
      <x:c r="M465" s="24" t="str"/>
      <x:c r="N465" s="24" t="str"/>
      <x:c r="O465" s="24" t="str"/>
      <x:c r="P465" s="24" t="str"/>
      <x:c r="Q465" s="24" t="str">
        <x:v>있음</x:v>
      </x:c>
      <x:c r="R465" s="24" t="str"/>
      <x:c r="S465" s="31" t="n">
        <x:v>37</x:v>
      </x:c>
      <x:c r="T465" s="24" t="str">
        <x:v>연령 확인</x:v>
      </x:c>
      <x:c r="U465" s="24" t="str"/>
    </x:row>
    <x:row r="466" ht="17.25" customHeight="1">
      <x:c r="A466" s="24" t="str">
        <x:v>PR-C-13보6078-2-20231027-38</x:v>
      </x:c>
      <x:c r="B466" s="24" t="str">
        <x:v>프라임구독</x:v>
      </x:c>
      <x:c r="C466" s="24" t="str">
        <x:v>13보6078</x:v>
      </x:c>
      <x:c r="D466" s="31" t="n">
        <x:v>2</x:v>
      </x:c>
      <x:c r="E466" s="24" t="str">
        <x:v>이력</x:v>
      </x:c>
      <x:c r="F466" s="24" t="str">
        <x:v>종료</x:v>
      </x:c>
      <x:c r="G466" s="24" t="str">
        <x:v>김정희</x:v>
      </x:c>
      <x:c r="H466" s="30" t="n">
        <x:v>45226</x:v>
      </x:c>
      <x:c r="I466" s="30" t="n">
        <x:v>46696</x:v>
      </x:c>
      <x:c r="J466" s="30" t="n">
        <x:v>46696</x:v>
      </x:c>
      <x:c r="K466" s="32" t="n">
        <x:v>910000</x:v>
      </x:c>
      <x:c r="L466" s="32" t="n">
        <x:v>2200000</x:v>
      </x:c>
      <x:c r="M466" s="24" t="str"/>
      <x:c r="N466" s="24" t="str"/>
      <x:c r="O466" s="24" t="str"/>
      <x:c r="P466" s="24" t="str"/>
      <x:c r="Q466" s="24" t="str">
        <x:v>있음</x:v>
      </x:c>
      <x:c r="R466" s="24" t="str"/>
      <x:c r="S466" s="31" t="n">
        <x:v>38</x:v>
      </x:c>
      <x:c r="T466" s="24" t="str">
        <x:v>연령 확인</x:v>
      </x:c>
      <x:c r="U466" s="24" t="str"/>
    </x:row>
    <x:row r="467" ht="17.25" customHeight="1">
      <x:c r="A467" s="24" t="str">
        <x:v>PR-C-13서8926-2-20211020-39</x:v>
      </x:c>
      <x:c r="B467" s="24" t="str">
        <x:v>프라임구독</x:v>
      </x:c>
      <x:c r="C467" s="24" t="str">
        <x:v>13서8926</x:v>
      </x:c>
      <x:c r="D467" s="31" t="n">
        <x:v>2</x:v>
      </x:c>
      <x:c r="E467" s="24" t="str">
        <x:v>이력</x:v>
      </x:c>
      <x:c r="F467" s="24" t="str">
        <x:v>종료</x:v>
      </x:c>
      <x:c r="G467" s="24" t="str">
        <x:v>강병철</x:v>
      </x:c>
      <x:c r="H467" s="30" t="n">
        <x:v>44489</x:v>
      </x:c>
      <x:c r="I467" s="30" t="n">
        <x:v>45585</x:v>
      </x:c>
      <x:c r="J467" s="30" t="n">
        <x:v>45585</x:v>
      </x:c>
      <x:c r="K467" s="32" t="n">
        <x:v>780000</x:v>
      </x:c>
      <x:c r="L467" s="32" t="n">
        <x:v>1700000</x:v>
      </x:c>
      <x:c r="M467" s="24" t="str"/>
      <x:c r="N467" s="24" t="str"/>
      <x:c r="O467" s="24" t="str"/>
      <x:c r="P467" s="24" t="str"/>
      <x:c r="Q467" s="24" t="str">
        <x:v>있음</x:v>
      </x:c>
      <x:c r="R467" s="24" t="str"/>
      <x:c r="S467" s="31" t="n">
        <x:v>39</x:v>
      </x:c>
      <x:c r="T467" s="24" t="str">
        <x:v>연령 확인</x:v>
      </x:c>
      <x:c r="U467" s="24" t="str"/>
    </x:row>
    <x:row r="468" ht="17.25" customHeight="1">
      <x:c r="A468" s="24" t="str">
        <x:v>PR-C-141라3003-2-20230904-40</x:v>
      </x:c>
      <x:c r="B468" s="24" t="str">
        <x:v>프라임구독</x:v>
      </x:c>
      <x:c r="C468" s="24" t="str">
        <x:v>141라3003</x:v>
      </x:c>
      <x:c r="D468" s="31" t="n">
        <x:v>2</x:v>
      </x:c>
      <x:c r="E468" s="24" t="str">
        <x:v>이력</x:v>
      </x:c>
      <x:c r="F468" s="24" t="str">
        <x:v>종료</x:v>
      </x:c>
      <x:c r="G468" s="24" t="str">
        <x:v>김대원</x:v>
      </x:c>
      <x:c r="H468" s="30" t="n">
        <x:v>45173</x:v>
      </x:c>
      <x:c r="I468" s="30" t="n">
        <x:v>46624</x:v>
      </x:c>
      <x:c r="J468" s="30" t="n">
        <x:v>46624</x:v>
      </x:c>
      <x:c r="K468" s="32" t="n">
        <x:v>1762000</x:v>
      </x:c>
      <x:c r="L468" s="32" t="n">
        <x:v>4930000</x:v>
      </x:c>
      <x:c r="M468" s="24" t="str"/>
      <x:c r="N468" s="24" t="str"/>
      <x:c r="O468" s="24" t="str"/>
      <x:c r="P468" s="24" t="str"/>
      <x:c r="Q468" s="24" t="str">
        <x:v>없음</x:v>
      </x:c>
      <x:c r="R468" s="24" t="str"/>
      <x:c r="S468" s="31" t="n">
        <x:v>40</x:v>
      </x:c>
      <x:c r="T468" s="24" t="str">
        <x:v>연령 확인</x:v>
      </x:c>
      <x:c r="U468" s="24" t="str"/>
    </x:row>
    <x:row r="469" ht="17.25" customHeight="1">
      <x:c r="A469" s="24" t="str">
        <x:v>PR-C-141로3689-2-20221212-41</x:v>
      </x:c>
      <x:c r="B469" s="24" t="str">
        <x:v>프라임구독</x:v>
      </x:c>
      <x:c r="C469" s="24" t="str">
        <x:v>141로3689</x:v>
      </x:c>
      <x:c r="D469" s="31" t="n">
        <x:v>2</x:v>
      </x:c>
      <x:c r="E469" s="24" t="str">
        <x:v>이력</x:v>
      </x:c>
      <x:c r="F469" s="24" t="str">
        <x:v>종료</x:v>
      </x:c>
      <x:c r="G469" s="24" t="str">
        <x:v>최다희</x:v>
      </x:c>
      <x:c r="H469" s="30" t="n">
        <x:v>44907</x:v>
      </x:c>
      <x:c r="I469" s="30" t="n">
        <x:v>46001</x:v>
      </x:c>
      <x:c r="J469" s="30" t="n">
        <x:v>46001</x:v>
      </x:c>
      <x:c r="K469" s="32" t="n">
        <x:v>1017000</x:v>
      </x:c>
      <x:c r="L469" s="32" t="n">
        <x:v>2300000</x:v>
      </x:c>
      <x:c r="M469" s="24" t="str"/>
      <x:c r="N469" s="24" t="str"/>
      <x:c r="O469" s="24" t="str"/>
      <x:c r="P469" s="24" t="str"/>
      <x:c r="Q469" s="24" t="str">
        <x:v>있음</x:v>
      </x:c>
      <x:c r="R469" s="24" t="str"/>
      <x:c r="S469" s="31" t="n">
        <x:v>41</x:v>
      </x:c>
      <x:c r="T469" s="24" t="str">
        <x:v>연령 확인</x:v>
      </x:c>
      <x:c r="U469" s="24" t="str"/>
    </x:row>
    <x:row r="470" ht="17.25" customHeight="1">
      <x:c r="A470" s="24" t="str">
        <x:v>PR-C-145부9300-2-20230222-42</x:v>
      </x:c>
      <x:c r="B470" s="24" t="str">
        <x:v>프라임구독</x:v>
      </x:c>
      <x:c r="C470" s="24" t="str">
        <x:v>145부9300</x:v>
      </x:c>
      <x:c r="D470" s="31" t="n">
        <x:v>2</x:v>
      </x:c>
      <x:c r="E470" s="24" t="str">
        <x:v>이력</x:v>
      </x:c>
      <x:c r="F470" s="24" t="str">
        <x:v>종료</x:v>
      </x:c>
      <x:c r="G470" s="24" t="str">
        <x:v>임병헌</x:v>
      </x:c>
      <x:c r="H470" s="30" t="n">
        <x:v>44979</x:v>
      </x:c>
      <x:c r="I470" s="30" t="n">
        <x:v>46073</x:v>
      </x:c>
      <x:c r="J470" s="30" t="n">
        <x:v>46073</x:v>
      </x:c>
      <x:c r="K470" s="32" t="n">
        <x:v>879000</x:v>
      </x:c>
      <x:c r="L470" s="32" t="n">
        <x:v>3780000</x:v>
      </x:c>
      <x:c r="M470" s="24" t="str"/>
      <x:c r="N470" s="24" t="str"/>
      <x:c r="O470" s="24" t="str"/>
      <x:c r="P470" s="24" t="str"/>
      <x:c r="Q470" s="24" t="str">
        <x:v>있음</x:v>
      </x:c>
      <x:c r="R470" s="24" t="str"/>
      <x:c r="S470" s="31" t="n">
        <x:v>42</x:v>
      </x:c>
      <x:c r="T470" s="24" t="str">
        <x:v>연령 확인</x:v>
      </x:c>
      <x:c r="U470" s="24" t="str"/>
    </x:row>
    <x:row r="471" ht="17.25" customHeight="1">
      <x:c r="A471" s="24" t="str">
        <x:v>PR-C-149마1752-2-20221129-43</x:v>
      </x:c>
      <x:c r="B471" s="24" t="str">
        <x:v>프라임구독</x:v>
      </x:c>
      <x:c r="C471" s="24" t="str">
        <x:v>149마1752</x:v>
      </x:c>
      <x:c r="D471" s="31" t="n">
        <x:v>2</x:v>
      </x:c>
      <x:c r="E471" s="24" t="str">
        <x:v>이력</x:v>
      </x:c>
      <x:c r="F471" s="24" t="str">
        <x:v>종료</x:v>
      </x:c>
      <x:c r="G471" s="24" t="str">
        <x:v>이숙희</x:v>
      </x:c>
      <x:c r="H471" s="30" t="n">
        <x:v>44894</x:v>
      </x:c>
      <x:c r="I471" s="30" t="n">
        <x:v>45981</x:v>
      </x:c>
      <x:c r="J471" s="30" t="n">
        <x:v>45981</x:v>
      </x:c>
      <x:c r="K471" s="32" t="n">
        <x:v>1026000</x:v>
      </x:c>
      <x:c r="L471" s="32" t="n">
        <x:v>2250000</x:v>
      </x:c>
      <x:c r="M471" s="24" t="str"/>
      <x:c r="N471" s="24" t="str"/>
      <x:c r="O471" s="24" t="str"/>
      <x:c r="P471" s="24" t="str"/>
      <x:c r="Q471" s="24" t="str">
        <x:v>있음</x:v>
      </x:c>
      <x:c r="R471" s="24" t="str"/>
      <x:c r="S471" s="31" t="n">
        <x:v>43</x:v>
      </x:c>
      <x:c r="T471" s="24" t="str">
        <x:v>연령 확인</x:v>
      </x:c>
      <x:c r="U471" s="24" t="str"/>
    </x:row>
    <x:row r="472" ht="17.25" customHeight="1">
      <x:c r="A472" s="24" t="str">
        <x:v>PR-C-149머3346-2-20230718-44</x:v>
      </x:c>
      <x:c r="B472" s="24" t="str">
        <x:v>프라임구독</x:v>
      </x:c>
      <x:c r="C472" s="24" t="str">
        <x:v>149머3346</x:v>
      </x:c>
      <x:c r="D472" s="31" t="n">
        <x:v>2</x:v>
      </x:c>
      <x:c r="E472" s="24" t="str">
        <x:v>이력</x:v>
      </x:c>
      <x:c r="F472" s="24" t="str">
        <x:v>종료</x:v>
      </x:c>
      <x:c r="G472" s="24" t="str">
        <x:v>송명진</x:v>
      </x:c>
      <x:c r="H472" s="30" t="n">
        <x:v>45125</x:v>
      </x:c>
      <x:c r="I472" s="30" t="n">
        <x:v>46583</x:v>
      </x:c>
      <x:c r="J472" s="30" t="n">
        <x:v>46583</x:v>
      </x:c>
      <x:c r="K472" s="32" t="n">
        <x:v>371000</x:v>
      </x:c>
      <x:c r="L472" s="32" t="n">
        <x:v>1050000</x:v>
      </x:c>
      <x:c r="M472" s="24" t="str"/>
      <x:c r="N472" s="24" t="str"/>
      <x:c r="O472" s="24" t="str"/>
      <x:c r="P472" s="24" t="str"/>
      <x:c r="Q472" s="24" t="str">
        <x:v>있음</x:v>
      </x:c>
      <x:c r="R472" s="24" t="str"/>
      <x:c r="S472" s="31" t="n">
        <x:v>44</x:v>
      </x:c>
      <x:c r="T472" s="24" t="str">
        <x:v>연령 확인</x:v>
      </x:c>
      <x:c r="U472" s="24" t="str"/>
    </x:row>
    <x:row r="473" ht="17.25" customHeight="1">
      <x:c r="A473" s="24" t="str">
        <x:v>PR-C-14누0912-1-20240223-45</x:v>
      </x:c>
      <x:c r="B473" s="24" t="str">
        <x:v>프라임구독</x:v>
      </x:c>
      <x:c r="C473" s="24" t="str">
        <x:v>14누0912</x:v>
      </x:c>
      <x:c r="D473" s="31" t="n">
        <x:v>1</x:v>
      </x:c>
      <x:c r="E473" s="24" t="str">
        <x:v>현재칸</x:v>
      </x:c>
      <x:c r="F473" s="24" t="str">
        <x:v>구독</x:v>
      </x:c>
      <x:c r="G473" s="24" t="str">
        <x:v>정준영3</x:v>
      </x:c>
      <x:c r="H473" s="30" t="n">
        <x:v>45345</x:v>
      </x:c>
      <x:c r="I473" s="30" t="n">
        <x:v>46808</x:v>
      </x:c>
      <x:c r="J473" s="30"/>
      <x:c r="K473" s="32" t="n">
        <x:v>408000</x:v>
      </x:c>
      <x:c r="L473" s="32" t="n">
        <x:v>1080000</x:v>
      </x:c>
      <x:c r="M473" s="24" t="str">
        <x:v>25</x:v>
      </x:c>
      <x:c r="N473" s="24" t="str"/>
      <x:c r="O473" s="24" t="str"/>
      <x:c r="P473" s="24" t="str"/>
      <x:c r="Q473" s="24" t="str">
        <x:v>있음</x:v>
      </x:c>
      <x:c r="R473" s="24" t="str"/>
      <x:c r="S473" s="31" t="n">
        <x:v>45</x:v>
      </x:c>
      <x:c r="T473" s="24" t="str">
        <x:v>연령 확인</x:v>
      </x:c>
      <x:c r="U473" s="24" t="str"/>
    </x:row>
    <x:row r="474" ht="17.25" customHeight="1">
      <x:c r="A474" s="24" t="str">
        <x:v>PR-C-14도4653-1-20240221-46</x:v>
      </x:c>
      <x:c r="B474" s="24" t="str">
        <x:v>프라임구독</x:v>
      </x:c>
      <x:c r="C474" s="24" t="str">
        <x:v>14도4653</x:v>
      </x:c>
      <x:c r="D474" s="31" t="n">
        <x:v>1</x:v>
      </x:c>
      <x:c r="E474" s="24" t="str">
        <x:v>현재칸</x:v>
      </x:c>
      <x:c r="F474" s="24" t="str">
        <x:v>구독</x:v>
      </x:c>
      <x:c r="G474" s="24" t="str">
        <x:v>백혜리</x:v>
      </x:c>
      <x:c r="H474" s="30" t="n">
        <x:v>45343</x:v>
      </x:c>
      <x:c r="I474" s="30" t="n">
        <x:v>46788</x:v>
      </x:c>
      <x:c r="J474" s="30"/>
      <x:c r="K474" s="32" t="n">
        <x:v>381000</x:v>
      </x:c>
      <x:c r="L474" s="32" t="n">
        <x:v>864000</x:v>
      </x:c>
      <x:c r="M474" s="24" t="str">
        <x:v>5</x:v>
      </x:c>
      <x:c r="N474" s="24" t="str"/>
      <x:c r="O474" s="24" t="str"/>
      <x:c r="P474" s="24" t="str"/>
      <x:c r="Q474" s="24" t="str">
        <x:v>있음</x:v>
      </x:c>
      <x:c r="R474" s="24" t="str"/>
      <x:c r="S474" s="31" t="n">
        <x:v>46</x:v>
      </x:c>
      <x:c r="T474" s="24" t="str">
        <x:v>연령 확인</x:v>
      </x:c>
      <x:c r="U474" s="24" t="str"/>
    </x:row>
    <x:row r="475" ht="17.25" customHeight="1">
      <x:c r="A475" s="24" t="str">
        <x:v>PR-C-14두9128-1-20230906-47</x:v>
      </x:c>
      <x:c r="B475" s="24" t="str">
        <x:v>프라임구독</x:v>
      </x:c>
      <x:c r="C475" s="24" t="str">
        <x:v>14두9128</x:v>
      </x:c>
      <x:c r="D475" s="31" t="n">
        <x:v>1</x:v>
      </x:c>
      <x:c r="E475" s="24" t="str">
        <x:v>현재칸</x:v>
      </x:c>
      <x:c r="F475" s="24" t="str">
        <x:v>구독</x:v>
      </x:c>
      <x:c r="G475" s="24" t="str">
        <x:v>권소아</x:v>
      </x:c>
      <x:c r="H475" s="30" t="n">
        <x:v>45175</x:v>
      </x:c>
      <x:c r="I475" s="30" t="n">
        <x:v>46624</x:v>
      </x:c>
      <x:c r="J475" s="30"/>
      <x:c r="K475" s="32" t="n">
        <x:v>911000</x:v>
      </x:c>
      <x:c r="L475" s="32" t="n">
        <x:v>2550000</x:v>
      </x:c>
      <x:c r="M475" s="24" t="str">
        <x:v>25</x:v>
      </x:c>
      <x:c r="N475" s="24" t="str"/>
      <x:c r="O475" s="24" t="str"/>
      <x:c r="P475" s="24" t="str"/>
      <x:c r="Q475" s="24" t="str">
        <x:v>있음</x:v>
      </x:c>
      <x:c r="R475" s="24" t="str"/>
      <x:c r="S475" s="31" t="n">
        <x:v>47</x:v>
      </x:c>
      <x:c r="T475" s="24" t="str">
        <x:v>연령 확인</x:v>
      </x:c>
      <x:c r="U475" s="24" t="str"/>
    </x:row>
    <x:row r="476" ht="17.25" customHeight="1">
      <x:c r="A476" s="24" t="str">
        <x:v>PR-C-14소0456-1-20230317-48</x:v>
      </x:c>
      <x:c r="B476" s="24" t="str">
        <x:v>프라임구독</x:v>
      </x:c>
      <x:c r="C476" s="24" t="str">
        <x:v>14소0456</x:v>
      </x:c>
      <x:c r="D476" s="31" t="n">
        <x:v>1</x:v>
      </x:c>
      <x:c r="E476" s="24" t="str">
        <x:v>현재칸</x:v>
      </x:c>
      <x:c r="F476" s="24" t="str">
        <x:v>구독</x:v>
      </x:c>
      <x:c r="G476" s="24" t="str">
        <x:v>양두식</x:v>
      </x:c>
      <x:c r="H476" s="30" t="n">
        <x:v>45002</x:v>
      </x:c>
      <x:c r="I476" s="30" t="n">
        <x:v>46091</x:v>
      </x:c>
      <x:c r="J476" s="30"/>
      <x:c r="K476" s="32" t="n">
        <x:v>769000</x:v>
      </x:c>
      <x:c r="L476" s="32" t="n">
        <x:v>1660000</x:v>
      </x:c>
      <x:c r="M476" s="24" t="str">
        <x:v>10</x:v>
      </x:c>
      <x:c r="N476" s="24" t="str"/>
      <x:c r="O476" s="24" t="str"/>
      <x:c r="P476" s="24" t="str"/>
      <x:c r="Q476" s="24" t="str">
        <x:v>있음</x:v>
      </x:c>
      <x:c r="R476" s="24" t="str"/>
      <x:c r="S476" s="31" t="n">
        <x:v>48</x:v>
      </x:c>
      <x:c r="T476" s="24" t="str">
        <x:v>연령 확인</x:v>
      </x:c>
      <x:c r="U476" s="24" t="str"/>
    </x:row>
    <x:row r="477" ht="17.25" customHeight="1">
      <x:c r="A477" s="24" t="str">
        <x:v>PR-C-14어6490-2-20220715-49</x:v>
      </x:c>
      <x:c r="B477" s="24" t="str">
        <x:v>프라임구독</x:v>
      </x:c>
      <x:c r="C477" s="24" t="str">
        <x:v>14어6490</x:v>
      </x:c>
      <x:c r="D477" s="31" t="n">
        <x:v>2</x:v>
      </x:c>
      <x:c r="E477" s="24" t="str">
        <x:v>이력</x:v>
      </x:c>
      <x:c r="F477" s="24" t="str">
        <x:v>종료</x:v>
      </x:c>
      <x:c r="G477" s="24" t="str">
        <x:v>문용득</x:v>
      </x:c>
      <x:c r="H477" s="30" t="n">
        <x:v>44757</x:v>
      </x:c>
      <x:c r="I477" s="30" t="n">
        <x:v>45848</x:v>
      </x:c>
      <x:c r="J477" s="30" t="n">
        <x:v>45848</x:v>
      </x:c>
      <x:c r="K477" s="32" t="n">
        <x:v>710000</x:v>
      </x:c>
      <x:c r="L477" s="32" t="n">
        <x:v>1575000</x:v>
      </x:c>
      <x:c r="M477" s="24" t="str"/>
      <x:c r="N477" s="24" t="str"/>
      <x:c r="O477" s="24" t="str"/>
      <x:c r="P477" s="24" t="str"/>
      <x:c r="Q477" s="24" t="str">
        <x:v>있음</x:v>
      </x:c>
      <x:c r="R477" s="24" t="str"/>
      <x:c r="S477" s="31" t="n">
        <x:v>49</x:v>
      </x:c>
      <x:c r="T477" s="24" t="str">
        <x:v>연령 확인</x:v>
      </x:c>
      <x:c r="U477" s="24" t="str"/>
    </x:row>
    <x:row r="478" ht="17.25" customHeight="1">
      <x:c r="A478" s="24" t="str">
        <x:v>PR-C-152거6619-2-20221117-50</x:v>
      </x:c>
      <x:c r="B478" s="24" t="str">
        <x:v>프라임구독</x:v>
      </x:c>
      <x:c r="C478" s="24" t="str">
        <x:v>152거6619</x:v>
      </x:c>
      <x:c r="D478" s="31" t="n">
        <x:v>2</x:v>
      </x:c>
      <x:c r="E478" s="24" t="str">
        <x:v>이력</x:v>
      </x:c>
      <x:c r="F478" s="24" t="str">
        <x:v>종료</x:v>
      </x:c>
      <x:c r="G478" s="24" t="str">
        <x:v>최종직</x:v>
      </x:c>
      <x:c r="H478" s="30" t="n">
        <x:v>44882</x:v>
      </x:c>
      <x:c r="I478" s="30" t="n">
        <x:v>45971</x:v>
      </x:c>
      <x:c r="J478" s="30" t="n">
        <x:v>45971</x:v>
      </x:c>
      <x:c r="K478" s="32" t="n">
        <x:v>418000</x:v>
      </x:c>
      <x:c r="L478" s="32" t="n">
        <x:v>950000</x:v>
      </x:c>
      <x:c r="M478" s="24" t="str"/>
      <x:c r="N478" s="24" t="str"/>
      <x:c r="O478" s="24" t="str"/>
      <x:c r="P478" s="24" t="str"/>
      <x:c r="Q478" s="24" t="str">
        <x:v>있음</x:v>
      </x:c>
      <x:c r="R478" s="24" t="str"/>
      <x:c r="S478" s="31" t="n">
        <x:v>50</x:v>
      </x:c>
      <x:c r="T478" s="24" t="str">
        <x:v>연령 확인</x:v>
      </x:c>
      <x:c r="U478" s="24" t="str"/>
    </x:row>
    <x:row r="479" ht="17.25" customHeight="1">
      <x:c r="A479" s="24" t="str">
        <x:v>PR-C-157구9550-2-20240109-51</x:v>
      </x:c>
      <x:c r="B479" s="24" t="str">
        <x:v>프라임구독</x:v>
      </x:c>
      <x:c r="C479" s="24" t="str">
        <x:v>157구9550</x:v>
      </x:c>
      <x:c r="D479" s="31" t="n">
        <x:v>2</x:v>
      </x:c>
      <x:c r="E479" s="24" t="str">
        <x:v>이력</x:v>
      </x:c>
      <x:c r="F479" s="24" t="str">
        <x:v>종료</x:v>
      </x:c>
      <x:c r="G479" s="24" t="str">
        <x:v>탁진모</x:v>
      </x:c>
      <x:c r="H479" s="30" t="n">
        <x:v>45300</x:v>
      </x:c>
      <x:c r="I479" s="30" t="n">
        <x:v>46772</x:v>
      </x:c>
      <x:c r="J479" s="30" t="n">
        <x:v>46772</x:v>
      </x:c>
      <x:c r="K479" s="32" t="n">
        <x:v>986000</x:v>
      </x:c>
      <x:c r="L479" s="32" t="n">
        <x:v>2750000</x:v>
      </x:c>
      <x:c r="M479" s="24" t="str"/>
      <x:c r="N479" s="24" t="str"/>
      <x:c r="O479" s="24" t="str"/>
      <x:c r="P479" s="24" t="str"/>
      <x:c r="Q479" s="24" t="str">
        <x:v>있음</x:v>
      </x:c>
      <x:c r="R479" s="24" t="str"/>
      <x:c r="S479" s="31" t="n">
        <x:v>51</x:v>
      </x:c>
      <x:c r="T479" s="24" t="str">
        <x:v>연령 확인</x:v>
      </x:c>
      <x:c r="U479" s="24" t="str"/>
    </x:row>
    <x:row r="480" ht="17.25" customHeight="1">
      <x:c r="A480" s="24" t="str">
        <x:v>PR-C-15도5239-2-20230117-52</x:v>
      </x:c>
      <x:c r="B480" s="24" t="str">
        <x:v>프라임구독</x:v>
      </x:c>
      <x:c r="C480" s="24" t="str">
        <x:v>15도5239</x:v>
      </x:c>
      <x:c r="D480" s="31" t="n">
        <x:v>2</x:v>
      </x:c>
      <x:c r="E480" s="24" t="str">
        <x:v>이력</x:v>
      </x:c>
      <x:c r="F480" s="24" t="str">
        <x:v>종료</x:v>
      </x:c>
      <x:c r="G480" s="24" t="str">
        <x:v>김성엽2</x:v>
      </x:c>
      <x:c r="H480" s="30" t="n">
        <x:v>44943</x:v>
      </x:c>
      <x:c r="I480" s="30" t="n">
        <x:v>46032</x:v>
      </x:c>
      <x:c r="J480" s="30" t="n">
        <x:v>46032</x:v>
      </x:c>
      <x:c r="K480" s="32" t="n">
        <x:v>500000</x:v>
      </x:c>
      <x:c r="L480" s="32" t="n">
        <x:v>1080000</x:v>
      </x:c>
      <x:c r="M480" s="24" t="str"/>
      <x:c r="N480" s="24" t="str"/>
      <x:c r="O480" s="24" t="str"/>
      <x:c r="P480" s="24" t="str"/>
      <x:c r="Q480" s="24" t="str">
        <x:v>있음</x:v>
      </x:c>
      <x:c r="R480" s="24" t="str"/>
      <x:c r="S480" s="31" t="n">
        <x:v>52</x:v>
      </x:c>
      <x:c r="T480" s="24" t="str">
        <x:v>연령 확인</x:v>
      </x:c>
      <x:c r="U480" s="24" t="str"/>
    </x:row>
    <x:row r="481" ht="17.25" customHeight="1">
      <x:c r="A481" s="24" t="str">
        <x:v>PR-C-15마0652-2-20231117-53</x:v>
      </x:c>
      <x:c r="B481" s="24" t="str">
        <x:v>프라임구독</x:v>
      </x:c>
      <x:c r="C481" s="24" t="str">
        <x:v>15마0652</x:v>
      </x:c>
      <x:c r="D481" s="31" t="n">
        <x:v>2</x:v>
      </x:c>
      <x:c r="E481" s="24" t="str">
        <x:v>이력</x:v>
      </x:c>
      <x:c r="F481" s="24" t="str">
        <x:v>종료</x:v>
      </x:c>
      <x:c r="G481" s="24" t="str">
        <x:v>최현규</x:v>
      </x:c>
      <x:c r="H481" s="30" t="n">
        <x:v>45247</x:v>
      </x:c>
      <x:c r="I481" s="30" t="n">
        <x:v>46351</x:v>
      </x:c>
      <x:c r="J481" s="30" t="n">
        <x:v>46351</x:v>
      </x:c>
      <x:c r="K481" s="32" t="n">
        <x:v>299000</x:v>
      </x:c>
      <x:c r="L481" s="32" t="n">
        <x:v>660000</x:v>
      </x:c>
      <x:c r="M481" s="24" t="str"/>
      <x:c r="N481" s="24" t="str"/>
      <x:c r="O481" s="24" t="str"/>
      <x:c r="P481" s="24" t="str"/>
      <x:c r="Q481" s="24" t="str">
        <x:v>있음</x:v>
      </x:c>
      <x:c r="R481" s="24" t="str"/>
      <x:c r="S481" s="31" t="n">
        <x:v>53</x:v>
      </x:c>
      <x:c r="T481" s="24" t="str">
        <x:v>연령 확인</x:v>
      </x:c>
      <x:c r="U481" s="24" t="str"/>
    </x:row>
    <x:row r="482" ht="17.25" customHeight="1">
      <x:c r="A482" s="24" t="str">
        <x:v>PR-C-15머9092-2-20211222-54</x:v>
      </x:c>
      <x:c r="B482" s="24" t="str">
        <x:v>프라임구독</x:v>
      </x:c>
      <x:c r="C482" s="24" t="str">
        <x:v>15머9092</x:v>
      </x:c>
      <x:c r="D482" s="31" t="n">
        <x:v>2</x:v>
      </x:c>
      <x:c r="E482" s="24" t="str">
        <x:v>이력</x:v>
      </x:c>
      <x:c r="F482" s="24" t="str">
        <x:v>종료</x:v>
      </x:c>
      <x:c r="G482" s="24" t="str">
        <x:v>조향래</x:v>
      </x:c>
      <x:c r="H482" s="30" t="n">
        <x:v>44552</x:v>
      </x:c>
      <x:c r="I482" s="30" t="n">
        <x:v>45646</x:v>
      </x:c>
      <x:c r="J482" s="30" t="n">
        <x:v>45646</x:v>
      </x:c>
      <x:c r="K482" s="32" t="n">
        <x:v>390000</x:v>
      </x:c>
      <x:c r="L482" s="32" t="n">
        <x:v>900000</x:v>
      </x:c>
      <x:c r="M482" s="24" t="str"/>
      <x:c r="N482" s="24" t="str"/>
      <x:c r="O482" s="24" t="str"/>
      <x:c r="P482" s="24" t="str"/>
      <x:c r="Q482" s="24" t="str">
        <x:v>있음</x:v>
      </x:c>
      <x:c r="R482" s="24" t="str"/>
      <x:c r="S482" s="31" t="n">
        <x:v>54</x:v>
      </x:c>
      <x:c r="T482" s="24" t="str">
        <x:v>연령 확인</x:v>
      </x:c>
      <x:c r="U482" s="24" t="str"/>
    </x:row>
    <x:row r="483" ht="17.25" customHeight="1">
      <x:c r="A483" s="24" t="str">
        <x:v>PR-C-163부8390-2-20220506-55</x:v>
      </x:c>
      <x:c r="B483" s="24" t="str">
        <x:v>프라임구독</x:v>
      </x:c>
      <x:c r="C483" s="24" t="str">
        <x:v>163부8390</x:v>
      </x:c>
      <x:c r="D483" s="31" t="n">
        <x:v>2</x:v>
      </x:c>
      <x:c r="E483" s="24" t="str">
        <x:v>이력</x:v>
      </x:c>
      <x:c r="F483" s="24" t="str">
        <x:v>종료</x:v>
      </x:c>
      <x:c r="G483" s="24" t="str">
        <x:v>김상운</x:v>
      </x:c>
      <x:c r="H483" s="30" t="n">
        <x:v>44687</x:v>
      </x:c>
      <x:c r="I483" s="30" t="n">
        <x:v>45767</x:v>
      </x:c>
      <x:c r="J483" s="30" t="n">
        <x:v>45767</x:v>
      </x:c>
      <x:c r="K483" s="32" t="n">
        <x:v>341000</x:v>
      </x:c>
      <x:c r="L483" s="32" t="n">
        <x:v>750000</x:v>
      </x:c>
      <x:c r="M483" s="24" t="str"/>
      <x:c r="N483" s="24" t="str"/>
      <x:c r="O483" s="24" t="str"/>
      <x:c r="P483" s="24" t="str"/>
      <x:c r="Q483" s="24" t="str">
        <x:v>있음</x:v>
      </x:c>
      <x:c r="R483" s="24" t="str"/>
      <x:c r="S483" s="31" t="n">
        <x:v>55</x:v>
      </x:c>
      <x:c r="T483" s="24" t="str">
        <x:v>연령 확인</x:v>
      </x:c>
      <x:c r="U483" s="24" t="str"/>
    </x:row>
    <x:row r="484" ht="17.25" customHeight="1">
      <x:c r="A484" s="24" t="str">
        <x:v>PR-C-164노9379-1-20230814-56</x:v>
      </x:c>
      <x:c r="B484" s="24" t="str">
        <x:v>프라임구독</x:v>
      </x:c>
      <x:c r="C484" s="24" t="str">
        <x:v>164노9379</x:v>
      </x:c>
      <x:c r="D484" s="31" t="n">
        <x:v>1</x:v>
      </x:c>
      <x:c r="E484" s="24" t="str">
        <x:v>현재칸</x:v>
      </x:c>
      <x:c r="F484" s="24" t="str">
        <x:v>구독</x:v>
      </x:c>
      <x:c r="G484" s="24" t="str">
        <x:v>강민규</x:v>
      </x:c>
      <x:c r="H484" s="30" t="n">
        <x:v>45152</x:v>
      </x:c>
      <x:c r="I484" s="30" t="n">
        <x:v>46624</x:v>
      </x:c>
      <x:c r="J484" s="30"/>
      <x:c r="K484" s="32" t="n">
        <x:v>492000</x:v>
      </x:c>
      <x:c r="L484" s="32" t="n">
        <x:v>1310000</x:v>
      </x:c>
      <x:c r="M484" s="24" t="str">
        <x:v>25</x:v>
      </x:c>
      <x:c r="N484" s="24" t="str"/>
      <x:c r="O484" s="24" t="str"/>
      <x:c r="P484" s="24" t="str"/>
      <x:c r="Q484" s="24" t="str">
        <x:v>있음</x:v>
      </x:c>
      <x:c r="R484" s="24" t="str"/>
      <x:c r="S484" s="31" t="n">
        <x:v>56</x:v>
      </x:c>
      <x:c r="T484" s="24" t="str">
        <x:v>연령 확인</x:v>
      </x:c>
      <x:c r="U484" s="24" t="str"/>
    </x:row>
    <x:row r="485" ht="17.25" customHeight="1">
      <x:c r="A485" s="24" t="str">
        <x:v>PR-C-169버5426-2-20230914-57</x:v>
      </x:c>
      <x:c r="B485" s="24" t="str">
        <x:v>프라임구독</x:v>
      </x:c>
      <x:c r="C485" s="24" t="str">
        <x:v>169버5426</x:v>
      </x:c>
      <x:c r="D485" s="31" t="n">
        <x:v>2</x:v>
      </x:c>
      <x:c r="E485" s="24" t="str">
        <x:v>이력</x:v>
      </x:c>
      <x:c r="F485" s="24" t="str">
        <x:v>종료</x:v>
      </x:c>
      <x:c r="G485" s="24" t="str">
        <x:v>박원</x:v>
      </x:c>
      <x:c r="H485" s="30" t="n">
        <x:v>45183</x:v>
      </x:c>
      <x:c r="I485" s="30" t="n">
        <x:v>46645</x:v>
      </x:c>
      <x:c r="J485" s="30" t="n">
        <x:v>46645</x:v>
      </x:c>
      <x:c r="K485" s="32" t="n">
        <x:v>1102000</x:v>
      </x:c>
      <x:c r="L485" s="32" t="n">
        <x:v>3220000</x:v>
      </x:c>
      <x:c r="M485" s="24" t="str"/>
      <x:c r="N485" s="24" t="str"/>
      <x:c r="O485" s="24" t="str"/>
      <x:c r="P485" s="24" t="str"/>
      <x:c r="Q485" s="24" t="str">
        <x:v>있음</x:v>
      </x:c>
      <x:c r="R485" s="24" t="str"/>
      <x:c r="S485" s="31" t="n">
        <x:v>57</x:v>
      </x:c>
      <x:c r="T485" s="24" t="str">
        <x:v>연령 확인</x:v>
      </x:c>
      <x:c r="U485" s="24" t="str"/>
    </x:row>
    <x:row r="486" ht="17.25" customHeight="1">
      <x:c r="A486" s="24" t="str">
        <x:v>PR-C-16다6556-2-20240219-58</x:v>
      </x:c>
      <x:c r="B486" s="24" t="str">
        <x:v>프라임구독</x:v>
      </x:c>
      <x:c r="C486" s="24" t="str">
        <x:v>16다6556</x:v>
      </x:c>
      <x:c r="D486" s="31" t="n">
        <x:v>2</x:v>
      </x:c>
      <x:c r="E486" s="24" t="str">
        <x:v>이력</x:v>
      </x:c>
      <x:c r="F486" s="24" t="str">
        <x:v>종료</x:v>
      </x:c>
      <x:c r="G486" s="24" t="str">
        <x:v>이준호</x:v>
      </x:c>
      <x:c r="H486" s="30" t="n">
        <x:v>45341</x:v>
      </x:c>
      <x:c r="I486" s="30" t="n">
        <x:v>46433</x:v>
      </x:c>
      <x:c r="J486" s="30" t="n">
        <x:v>46433</x:v>
      </x:c>
      <x:c r="K486" s="32" t="n">
        <x:v>645000</x:v>
      </x:c>
      <x:c r="L486" s="32" t="n">
        <x:v>1500000</x:v>
      </x:c>
      <x:c r="M486" s="24" t="str"/>
      <x:c r="N486" s="24" t="str"/>
      <x:c r="O486" s="24" t="str"/>
      <x:c r="P486" s="24" t="str"/>
      <x:c r="Q486" s="24" t="str">
        <x:v>있음</x:v>
      </x:c>
      <x:c r="R486" s="24" t="str"/>
      <x:c r="S486" s="31" t="n">
        <x:v>58</x:v>
      </x:c>
      <x:c r="T486" s="24" t="str">
        <x:v>연령 확인</x:v>
      </x:c>
      <x:c r="U486" s="24" t="str"/>
    </x:row>
    <x:row r="487" ht="17.25" customHeight="1">
      <x:c r="A487" s="24" t="str">
        <x:v>PR-C-16다6556-3-20240219-58</x:v>
      </x:c>
      <x:c r="B487" s="24" t="str">
        <x:v>프라임구독</x:v>
      </x:c>
      <x:c r="C487" s="24" t="str">
        <x:v>16다6556</x:v>
      </x:c>
      <x:c r="D487" s="31" t="n">
        <x:v>3</x:v>
      </x:c>
      <x:c r="E487" s="24" t="str">
        <x:v>이력</x:v>
      </x:c>
      <x:c r="F487" s="24" t="str">
        <x:v>종료</x:v>
      </x:c>
      <x:c r="G487" s="24" t="str">
        <x:v>이준호</x:v>
      </x:c>
      <x:c r="H487" s="30" t="n">
        <x:v>45341</x:v>
      </x:c>
      <x:c r="I487" s="30" t="n">
        <x:v>46433</x:v>
      </x:c>
      <x:c r="J487" s="30" t="n">
        <x:v>46433</x:v>
      </x:c>
      <x:c r="K487" s="32" t="n">
        <x:v>645000</x:v>
      </x:c>
      <x:c r="L487" s="32" t="n">
        <x:v>1500000</x:v>
      </x:c>
      <x:c r="M487" s="24" t="str"/>
      <x:c r="N487" s="24" t="str"/>
      <x:c r="O487" s="24" t="str"/>
      <x:c r="P487" s="24" t="str"/>
      <x:c r="Q487" s="24" t="str">
        <x:v>있음</x:v>
      </x:c>
      <x:c r="R487" s="24" t="str"/>
      <x:c r="S487" s="31" t="n">
        <x:v>58</x:v>
      </x:c>
      <x:c r="T487" s="24" t="str">
        <x:v>연령 확인</x:v>
      </x:c>
      <x:c r="U487" s="24" t="str"/>
    </x:row>
    <x:row r="488" ht="17.25" customHeight="1">
      <x:c r="A488" s="24" t="str">
        <x:v>PR-C-16소0356-2-20230102-59</x:v>
      </x:c>
      <x:c r="B488" s="24" t="str">
        <x:v>프라임구독</x:v>
      </x:c>
      <x:c r="C488" s="24" t="str">
        <x:v>16소0356</x:v>
      </x:c>
      <x:c r="D488" s="31" t="n">
        <x:v>2</x:v>
      </x:c>
      <x:c r="E488" s="24" t="str">
        <x:v>이력</x:v>
      </x:c>
      <x:c r="F488" s="24" t="str">
        <x:v>종료</x:v>
      </x:c>
      <x:c r="G488" s="24" t="str">
        <x:v>정이남</x:v>
      </x:c>
      <x:c r="H488" s="30" t="n">
        <x:v>44928</x:v>
      </x:c>
      <x:c r="I488" s="30" t="n">
        <x:v>46032</x:v>
      </x:c>
      <x:c r="J488" s="30" t="n">
        <x:v>46032</x:v>
      </x:c>
      <x:c r="K488" s="32" t="n">
        <x:v>654000</x:v>
      </x:c>
      <x:c r="L488" s="32" t="n">
        <x:v>1450000</x:v>
      </x:c>
      <x:c r="M488" s="24" t="str"/>
      <x:c r="N488" s="24" t="str"/>
      <x:c r="O488" s="24" t="str"/>
      <x:c r="P488" s="24" t="str"/>
      <x:c r="Q488" s="24" t="str">
        <x:v>있음</x:v>
      </x:c>
      <x:c r="R488" s="24" t="str"/>
      <x:c r="S488" s="31" t="n">
        <x:v>59</x:v>
      </x:c>
      <x:c r="T488" s="24" t="str">
        <x:v>연령 확인</x:v>
      </x:c>
      <x:c r="U488" s="24" t="str"/>
    </x:row>
    <x:row r="489" ht="17.25" customHeight="1">
      <x:c r="A489" s="24" t="str">
        <x:v>PR-C-16소0356-3-20230102-59</x:v>
      </x:c>
      <x:c r="B489" s="24" t="str">
        <x:v>프라임구독</x:v>
      </x:c>
      <x:c r="C489" s="24" t="str">
        <x:v>16소0356</x:v>
      </x:c>
      <x:c r="D489" s="31" t="n">
        <x:v>3</x:v>
      </x:c>
      <x:c r="E489" s="24" t="str">
        <x:v>이력</x:v>
      </x:c>
      <x:c r="F489" s="24" t="str">
        <x:v>종료</x:v>
      </x:c>
      <x:c r="G489" s="24" t="str">
        <x:v>정이남</x:v>
      </x:c>
      <x:c r="H489" s="30" t="n">
        <x:v>44928</x:v>
      </x:c>
      <x:c r="I489" s="30" t="n">
        <x:v>46032</x:v>
      </x:c>
      <x:c r="J489" s="30" t="n">
        <x:v>46032</x:v>
      </x:c>
      <x:c r="K489" s="32" t="n">
        <x:v>654000</x:v>
      </x:c>
      <x:c r="L489" s="32" t="n">
        <x:v>1450000</x:v>
      </x:c>
      <x:c r="M489" s="24" t="str"/>
      <x:c r="N489" s="24" t="str"/>
      <x:c r="O489" s="24" t="str"/>
      <x:c r="P489" s="24" t="str"/>
      <x:c r="Q489" s="24" t="str">
        <x:v>있음</x:v>
      </x:c>
      <x:c r="R489" s="24" t="str"/>
      <x:c r="S489" s="31" t="n">
        <x:v>59</x:v>
      </x:c>
      <x:c r="T489" s="24" t="str">
        <x:v>연령 확인</x:v>
      </x:c>
      <x:c r="U489" s="24" t="str"/>
    </x:row>
    <x:row r="490" ht="17.25" customHeight="1">
      <x:c r="A490" s="24" t="str">
        <x:v>PR-C-16어0497-2-20230911-60</x:v>
      </x:c>
      <x:c r="B490" s="24" t="str">
        <x:v>프라임구독</x:v>
      </x:c>
      <x:c r="C490" s="24" t="str">
        <x:v>16어0497</x:v>
      </x:c>
      <x:c r="D490" s="31" t="n">
        <x:v>2</x:v>
      </x:c>
      <x:c r="E490" s="24" t="str">
        <x:v>이력</x:v>
      </x:c>
      <x:c r="F490" s="24" t="str">
        <x:v>종료</x:v>
      </x:c>
      <x:c r="G490" s="24" t="str">
        <x:v>한성욱</x:v>
      </x:c>
      <x:c r="H490" s="30" t="n">
        <x:v>45180</x:v>
      </x:c>
      <x:c r="I490" s="30" t="n">
        <x:v>46645</x:v>
      </x:c>
      <x:c r="J490" s="30" t="n">
        <x:v>46645</x:v>
      </x:c>
      <x:c r="K490" s="32" t="n">
        <x:v>613000</x:v>
      </x:c>
      <x:c r="L490" s="32" t="n">
        <x:v>1720000</x:v>
      </x:c>
      <x:c r="M490" s="24" t="str"/>
      <x:c r="N490" s="24" t="str"/>
      <x:c r="O490" s="24" t="str"/>
      <x:c r="P490" s="24" t="str"/>
      <x:c r="Q490" s="24" t="str">
        <x:v>있음</x:v>
      </x:c>
      <x:c r="R490" s="24" t="str"/>
      <x:c r="S490" s="31" t="n">
        <x:v>60</x:v>
      </x:c>
      <x:c r="T490" s="24" t="str">
        <x:v>연령 확인</x:v>
      </x:c>
      <x:c r="U490" s="24" t="str"/>
    </x:row>
    <x:row r="491" ht="17.25" customHeight="1">
      <x:c r="A491" s="24" t="str">
        <x:v>PR-C-179다2644-2-20230621-61</x:v>
      </x:c>
      <x:c r="B491" s="24" t="str">
        <x:v>프라임구독</x:v>
      </x:c>
      <x:c r="C491" s="24" t="str">
        <x:v>179다2644</x:v>
      </x:c>
      <x:c r="D491" s="31" t="n">
        <x:v>2</x:v>
      </x:c>
      <x:c r="E491" s="24" t="str">
        <x:v>이력</x:v>
      </x:c>
      <x:c r="F491" s="24" t="str">
        <x:v>종료</x:v>
      </x:c>
      <x:c r="G491" s="24" t="str">
        <x:v>장유진2</x:v>
      </x:c>
      <x:c r="H491" s="30" t="n">
        <x:v>45098</x:v>
      </x:c>
      <x:c r="I491" s="30" t="n">
        <x:v>46198</x:v>
      </x:c>
      <x:c r="J491" s="30" t="n">
        <x:v>46198</x:v>
      </x:c>
      <x:c r="K491" s="32" t="n">
        <x:v>848000</x:v>
      </x:c>
      <x:c r="L491" s="32" t="n">
        <x:v>1980000</x:v>
      </x:c>
      <x:c r="M491" s="24" t="str"/>
      <x:c r="N491" s="24" t="str"/>
      <x:c r="O491" s="24" t="str"/>
      <x:c r="P491" s="24" t="str"/>
      <x:c r="Q491" s="24" t="str">
        <x:v>있음</x:v>
      </x:c>
      <x:c r="R491" s="24" t="str"/>
      <x:c r="S491" s="31" t="n">
        <x:v>61</x:v>
      </x:c>
      <x:c r="T491" s="24" t="str">
        <x:v>연령 확인</x:v>
      </x:c>
      <x:c r="U491" s="24" t="str"/>
    </x:row>
    <x:row r="492" ht="17.25" customHeight="1">
      <x:c r="A492" s="24" t="str">
        <x:v>PR-C-179다2681-1-20230605-62</x:v>
      </x:c>
      <x:c r="B492" s="24" t="str">
        <x:v>프라임구독</x:v>
      </x:c>
      <x:c r="C492" s="24" t="str">
        <x:v>179다2681</x:v>
      </x:c>
      <x:c r="D492" s="31" t="n">
        <x:v>1</x:v>
      </x:c>
      <x:c r="E492" s="24" t="str">
        <x:v>현재칸</x:v>
      </x:c>
      <x:c r="F492" s="24" t="str">
        <x:v>구독</x:v>
      </x:c>
      <x:c r="G492" s="24" t="str">
        <x:v>이미옥</x:v>
      </x:c>
      <x:c r="H492" s="30" t="n">
        <x:v>45082</x:v>
      </x:c>
      <x:c r="I492" s="30" t="n">
        <x:v>46548</x:v>
      </x:c>
      <x:c r="J492" s="30"/>
      <x:c r="K492" s="32" t="n">
        <x:v>767000</x:v>
      </x:c>
      <x:c r="L492" s="32" t="n">
        <x:v>2100000</x:v>
      </x:c>
      <x:c r="M492" s="24" t="str">
        <x:v>10</x:v>
      </x:c>
      <x:c r="N492" s="24" t="str"/>
      <x:c r="O492" s="24" t="str"/>
      <x:c r="P492" s="24" t="str"/>
      <x:c r="Q492" s="24" t="str">
        <x:v>있음</x:v>
      </x:c>
      <x:c r="R492" s="24" t="str"/>
      <x:c r="S492" s="31" t="n">
        <x:v>62</x:v>
      </x:c>
      <x:c r="T492" s="24" t="str">
        <x:v>연령 확인</x:v>
      </x:c>
      <x:c r="U492" s="24" t="str"/>
    </x:row>
    <x:row r="493" ht="17.25" customHeight="1">
      <x:c r="A493" s="24" t="str">
        <x:v>PR-C-17구6905-2-20220413-63</x:v>
      </x:c>
      <x:c r="B493" s="24" t="str">
        <x:v>프라임구독</x:v>
      </x:c>
      <x:c r="C493" s="24" t="str">
        <x:v>17구6905</x:v>
      </x:c>
      <x:c r="D493" s="31" t="n">
        <x:v>2</x:v>
      </x:c>
      <x:c r="E493" s="24" t="str">
        <x:v>이력</x:v>
      </x:c>
      <x:c r="F493" s="24" t="str">
        <x:v>종료</x:v>
      </x:c>
      <x:c r="G493" s="24" t="str">
        <x:v>이은술</x:v>
      </x:c>
      <x:c r="H493" s="30" t="n">
        <x:v>44664</x:v>
      </x:c>
      <x:c r="I493" s="30" t="n">
        <x:v>45767</x:v>
      </x:c>
      <x:c r="J493" s="30" t="n">
        <x:v>45767</x:v>
      </x:c>
      <x:c r="K493" s="32" t="n">
        <x:v>781000</x:v>
      </x:c>
      <x:c r="L493" s="32" t="n">
        <x:v>1700000</x:v>
      </x:c>
      <x:c r="M493" s="24" t="str"/>
      <x:c r="N493" s="24" t="str"/>
      <x:c r="O493" s="24" t="str"/>
      <x:c r="P493" s="24" t="str"/>
      <x:c r="Q493" s="24" t="str">
        <x:v>있음</x:v>
      </x:c>
      <x:c r="R493" s="24" t="str"/>
      <x:c r="S493" s="31" t="n">
        <x:v>63</x:v>
      </x:c>
      <x:c r="T493" s="24" t="str">
        <x:v>연령 확인</x:v>
      </x:c>
      <x:c r="U493" s="24" t="str"/>
    </x:row>
    <x:row r="494" ht="17.25" customHeight="1">
      <x:c r="A494" s="24" t="str">
        <x:v>PR-C-181수7351-2-20220315-64</x:v>
      </x:c>
      <x:c r="B494" s="24" t="str">
        <x:v>프라임구독</x:v>
      </x:c>
      <x:c r="C494" s="24" t="str">
        <x:v>181수7351</x:v>
      </x:c>
      <x:c r="D494" s="31" t="n">
        <x:v>2</x:v>
      </x:c>
      <x:c r="E494" s="24" t="str">
        <x:v>이력</x:v>
      </x:c>
      <x:c r="F494" s="24" t="str">
        <x:v>종료</x:v>
      </x:c>
      <x:c r="G494" s="24" t="str">
        <x:v>송하늘</x:v>
      </x:c>
      <x:c r="H494" s="30" t="n">
        <x:v>44635</x:v>
      </x:c>
      <x:c r="I494" s="30" t="n">
        <x:v>45736</x:v>
      </x:c>
      <x:c r="J494" s="30" t="n">
        <x:v>45736</x:v>
      </x:c>
      <x:c r="K494" s="32" t="n">
        <x:v>660000</x:v>
      </x:c>
      <x:c r="L494" s="32" t="n">
        <x:v>1480000</x:v>
      </x:c>
      <x:c r="M494" s="24" t="str"/>
      <x:c r="N494" s="24" t="str"/>
      <x:c r="O494" s="24" t="str"/>
      <x:c r="P494" s="24" t="str"/>
      <x:c r="Q494" s="24" t="str">
        <x:v>있음</x:v>
      </x:c>
      <x:c r="R494" s="24" t="str"/>
      <x:c r="S494" s="31" t="n">
        <x:v>64</x:v>
      </x:c>
      <x:c r="T494" s="24" t="str">
        <x:v>연령 확인</x:v>
      </x:c>
      <x:c r="U494" s="24" t="str"/>
    </x:row>
    <x:row r="495" ht="17.25" customHeight="1">
      <x:c r="A495" s="24" t="str">
        <x:v>PR-C-184더7470-1-20230217-65</x:v>
      </x:c>
      <x:c r="B495" s="24" t="str">
        <x:v>프라임구독</x:v>
      </x:c>
      <x:c r="C495" s="24" t="str">
        <x:v>184더7470</x:v>
      </x:c>
      <x:c r="D495" s="31" t="n">
        <x:v>1</x:v>
      </x:c>
      <x:c r="E495" s="24" t="str">
        <x:v>현재칸</x:v>
      </x:c>
      <x:c r="F495" s="24" t="str">
        <x:v>구독</x:v>
      </x:c>
      <x:c r="G495" s="24" t="str">
        <x:v>진하정</x:v>
      </x:c>
      <x:c r="H495" s="30" t="n">
        <x:v>44974</x:v>
      </x:c>
      <x:c r="I495" s="30" t="n">
        <x:v>46081</x:v>
      </x:c>
      <x:c r="J495" s="30"/>
      <x:c r="K495" s="32" t="n">
        <x:v>473000</x:v>
      </x:c>
      <x:c r="L495" s="32" t="n">
        <x:v>1030000</x:v>
      </x:c>
      <x:c r="M495" s="24" t="str"/>
      <x:c r="N495" s="24" t="str"/>
      <x:c r="O495" s="24" t="str"/>
      <x:c r="P495" s="24" t="str"/>
      <x:c r="Q495" s="24" t="str">
        <x:v>없음</x:v>
      </x:c>
      <x:c r="R495" s="24" t="str"/>
      <x:c r="S495" s="31" t="n">
        <x:v>65</x:v>
      </x:c>
      <x:c r="T495" s="24" t="str">
        <x:v>연령 확인</x:v>
      </x:c>
      <x:c r="U495" s="24" t="str"/>
    </x:row>
    <x:row r="496" ht="17.25" customHeight="1">
      <x:c r="A496" s="24" t="str">
        <x:v>PR-C-184주9892-2-20240510-66</x:v>
      </x:c>
      <x:c r="B496" s="24" t="str">
        <x:v>프라임구독</x:v>
      </x:c>
      <x:c r="C496" s="24" t="str">
        <x:v>184주9892</x:v>
      </x:c>
      <x:c r="D496" s="31" t="n">
        <x:v>2</x:v>
      </x:c>
      <x:c r="E496" s="24" t="str">
        <x:v>이력</x:v>
      </x:c>
      <x:c r="F496" s="24" t="str">
        <x:v>종료</x:v>
      </x:c>
      <x:c r="G496" s="24" t="str">
        <x:v>이만희2</x:v>
      </x:c>
      <x:c r="H496" s="30" t="n">
        <x:v>45422</x:v>
      </x:c>
      <x:c r="I496" s="30" t="n">
        <x:v>46893</x:v>
      </x:c>
      <x:c r="J496" s="30" t="n">
        <x:v>46893</x:v>
      </x:c>
      <x:c r="K496" s="32" t="n">
        <x:v>2000000</x:v>
      </x:c>
      <x:c r="L496" s="32" t="n">
        <x:v>8140000</x:v>
      </x:c>
      <x:c r="M496" s="24" t="str"/>
      <x:c r="N496" s="24" t="str"/>
      <x:c r="O496" s="24" t="str"/>
      <x:c r="P496" s="24" t="str"/>
      <x:c r="Q496" s="24" t="str">
        <x:v>있음</x:v>
      </x:c>
      <x:c r="R496" s="24" t="str"/>
      <x:c r="S496" s="31" t="n">
        <x:v>66</x:v>
      </x:c>
      <x:c r="T496" s="24" t="str">
        <x:v>연령 확인</x:v>
      </x:c>
      <x:c r="U496" s="24" t="str"/>
    </x:row>
    <x:row r="497" ht="17.25" customHeight="1">
      <x:c r="A497" s="24" t="str">
        <x:v>PR-C-18서7100-2-20220406-67</x:v>
      </x:c>
      <x:c r="B497" s="24" t="str">
        <x:v>프라임구독</x:v>
      </x:c>
      <x:c r="C497" s="24" t="str">
        <x:v>18서7100</x:v>
      </x:c>
      <x:c r="D497" s="31" t="n">
        <x:v>2</x:v>
      </x:c>
      <x:c r="E497" s="24" t="str">
        <x:v>이력</x:v>
      </x:c>
      <x:c r="F497" s="24" t="str">
        <x:v>종료</x:v>
      </x:c>
      <x:c r="G497" s="24" t="str">
        <x:v>임경택</x:v>
      </x:c>
      <x:c r="H497" s="30" t="n">
        <x:v>44657</x:v>
      </x:c>
      <x:c r="I497" s="30" t="n">
        <x:v>45736</x:v>
      </x:c>
      <x:c r="J497" s="30" t="n">
        <x:v>45736</x:v>
      </x:c>
      <x:c r="K497" s="32" t="n">
        <x:v>930000</x:v>
      </x:c>
      <x:c r="L497" s="32" t="n">
        <x:v>2050000</x:v>
      </x:c>
      <x:c r="M497" s="24" t="str"/>
      <x:c r="N497" s="24" t="str"/>
      <x:c r="O497" s="24" t="str"/>
      <x:c r="P497" s="24" t="str"/>
      <x:c r="Q497" s="24" t="str">
        <x:v>있음</x:v>
      </x:c>
      <x:c r="R497" s="24" t="str"/>
      <x:c r="S497" s="31" t="n">
        <x:v>67</x:v>
      </x:c>
      <x:c r="T497" s="24" t="str">
        <x:v>연령 확인</x:v>
      </x:c>
      <x:c r="U497" s="24" t="str"/>
    </x:row>
    <x:row r="498" ht="17.25" customHeight="1">
      <x:c r="A498" s="24" t="str">
        <x:v>PR-C-18오6133-2-20230912-68</x:v>
      </x:c>
      <x:c r="B498" s="24" t="str">
        <x:v>프라임구독</x:v>
      </x:c>
      <x:c r="C498" s="24" t="str">
        <x:v>18오6133</x:v>
      </x:c>
      <x:c r="D498" s="31" t="n">
        <x:v>2</x:v>
      </x:c>
      <x:c r="E498" s="24" t="str">
        <x:v>이력</x:v>
      </x:c>
      <x:c r="F498" s="24" t="str">
        <x:v>종료</x:v>
      </x:c>
      <x:c r="G498" s="24" t="str">
        <x:v>원준희</x:v>
      </x:c>
      <x:c r="H498" s="30" t="n">
        <x:v>45181</x:v>
      </x:c>
      <x:c r="I498" s="30" t="n">
        <x:v>46650</x:v>
      </x:c>
      <x:c r="J498" s="30" t="n">
        <x:v>46650</x:v>
      </x:c>
      <x:c r="K498" s="32" t="n">
        <x:v>740000</x:v>
      </x:c>
      <x:c r="L498" s="32" t="n">
        <x:v>2040000</x:v>
      </x:c>
      <x:c r="M498" s="24" t="str"/>
      <x:c r="N498" s="24" t="str"/>
      <x:c r="O498" s="24" t="str"/>
      <x:c r="P498" s="24" t="str"/>
      <x:c r="Q498" s="24" t="str">
        <x:v>있음</x:v>
      </x:c>
      <x:c r="R498" s="24" t="str"/>
      <x:c r="S498" s="31" t="n">
        <x:v>68</x:v>
      </x:c>
      <x:c r="T498" s="24" t="str">
        <x:v>연령 확인</x:v>
      </x:c>
      <x:c r="U498" s="24" t="str"/>
    </x:row>
    <x:row r="499" ht="17.25" customHeight="1">
      <x:c r="A499" s="24" t="str">
        <x:v>PR-C-190모5683-2-20230619-69</x:v>
      </x:c>
      <x:c r="B499" s="24" t="str">
        <x:v>프라임구독</x:v>
      </x:c>
      <x:c r="C499" s="24" t="str">
        <x:v>190모5683</x:v>
      </x:c>
      <x:c r="D499" s="31" t="n">
        <x:v>2</x:v>
      </x:c>
      <x:c r="E499" s="24" t="str">
        <x:v>이력</x:v>
      </x:c>
      <x:c r="F499" s="24" t="str">
        <x:v>종료</x:v>
      </x:c>
      <x:c r="G499" s="24" t="str">
        <x:v>장유진1</x:v>
      </x:c>
      <x:c r="H499" s="30" t="n">
        <x:v>45096</x:v>
      </x:c>
      <x:c r="I499" s="30" t="n">
        <x:v>46198</x:v>
      </x:c>
      <x:c r="J499" s="30" t="n">
        <x:v>46198</x:v>
      </x:c>
      <x:c r="K499" s="32" t="n">
        <x:v>852000</x:v>
      </x:c>
      <x:c r="L499" s="32" t="n">
        <x:v>2000000</x:v>
      </x:c>
      <x:c r="M499" s="24" t="str"/>
      <x:c r="N499" s="24" t="str"/>
      <x:c r="O499" s="24" t="str"/>
      <x:c r="P499" s="24" t="str"/>
      <x:c r="Q499" s="24" t="str">
        <x:v>있음</x:v>
      </x:c>
      <x:c r="R499" s="24" t="str"/>
      <x:c r="S499" s="31" t="n">
        <x:v>69</x:v>
      </x:c>
      <x:c r="T499" s="24" t="str">
        <x:v>연령 확인</x:v>
      </x:c>
      <x:c r="U499" s="24" t="str"/>
    </x:row>
    <x:row r="500" ht="17.25" customHeight="1">
      <x:c r="A500" s="24" t="str">
        <x:v>PR-C-193저7763-2-20231113-70</x:v>
      </x:c>
      <x:c r="B500" s="24" t="str">
        <x:v>프라임구독</x:v>
      </x:c>
      <x:c r="C500" s="24" t="str">
        <x:v>193저7763</x:v>
      </x:c>
      <x:c r="D500" s="31" t="n">
        <x:v>2</x:v>
      </x:c>
      <x:c r="E500" s="24" t="str">
        <x:v>이력</x:v>
      </x:c>
      <x:c r="F500" s="24" t="str">
        <x:v>종료</x:v>
      </x:c>
      <x:c r="G500" s="24" t="str">
        <x:v>조준일</x:v>
      </x:c>
      <x:c r="H500" s="30" t="n">
        <x:v>45243</x:v>
      </x:c>
      <x:c r="I500" s="30" t="n">
        <x:v>46706</x:v>
      </x:c>
      <x:c r="J500" s="30" t="n">
        <x:v>46706</x:v>
      </x:c>
      <x:c r="K500" s="32" t="n">
        <x:v>677000</x:v>
      </x:c>
      <x:c r="L500" s="32" t="n">
        <x:v>1860000</x:v>
      </x:c>
      <x:c r="M500" s="24" t="str"/>
      <x:c r="N500" s="24" t="str"/>
      <x:c r="O500" s="24" t="str"/>
      <x:c r="P500" s="24" t="str"/>
      <x:c r="Q500" s="24" t="str">
        <x:v>있음</x:v>
      </x:c>
      <x:c r="R500" s="24" t="str"/>
      <x:c r="S500" s="31" t="n">
        <x:v>70</x:v>
      </x:c>
      <x:c r="T500" s="24" t="str">
        <x:v>연령 확인</x:v>
      </x:c>
      <x:c r="U500" s="24" t="str"/>
    </x:row>
    <x:row r="501" ht="17.25" customHeight="1">
      <x:c r="A501" s="24" t="str">
        <x:v>PR-C-198조2892-2-20230103-71</x:v>
      </x:c>
      <x:c r="B501" s="24" t="str">
        <x:v>프라임구독</x:v>
      </x:c>
      <x:c r="C501" s="24" t="str">
        <x:v>198조2892</x:v>
      </x:c>
      <x:c r="D501" s="31" t="n">
        <x:v>2</x:v>
      </x:c>
      <x:c r="E501" s="24" t="str">
        <x:v>이력</x:v>
      </x:c>
      <x:c r="F501" s="24" t="str">
        <x:v>종료</x:v>
      </x:c>
      <x:c r="G501" s="24" t="str">
        <x:v>서승현</x:v>
      </x:c>
      <x:c r="H501" s="30" t="n">
        <x:v>44929</x:v>
      </x:c>
      <x:c r="I501" s="30" t="n">
        <x:v>46011</x:v>
      </x:c>
      <x:c r="J501" s="30" t="n">
        <x:v>46011</x:v>
      </x:c>
      <x:c r="K501" s="32" t="n">
        <x:v>925000</x:v>
      </x:c>
      <x:c r="L501" s="32" t="n">
        <x:v>1800000</x:v>
      </x:c>
      <x:c r="M501" s="24" t="str"/>
      <x:c r="N501" s="24" t="str"/>
      <x:c r="O501" s="24" t="str"/>
      <x:c r="P501" s="24" t="str"/>
      <x:c r="Q501" s="24" t="str">
        <x:v>있음</x:v>
      </x:c>
      <x:c r="R501" s="24" t="str"/>
      <x:c r="S501" s="31" t="n">
        <x:v>71</x:v>
      </x:c>
      <x:c r="T501" s="24" t="str">
        <x:v>연령 확인</x:v>
      </x:c>
      <x:c r="U501" s="24" t="str"/>
    </x:row>
    <x:row r="502" ht="17.25" customHeight="1">
      <x:c r="A502" s="24" t="str">
        <x:v>PR-C-19너5699-1-20240423-72</x:v>
      </x:c>
      <x:c r="B502" s="24" t="str">
        <x:v>프라임구독</x:v>
      </x:c>
      <x:c r="C502" s="24" t="str">
        <x:v>19너5699</x:v>
      </x:c>
      <x:c r="D502" s="31" t="n">
        <x:v>1</x:v>
      </x:c>
      <x:c r="E502" s="24" t="str">
        <x:v>현재칸</x:v>
      </x:c>
      <x:c r="F502" s="24" t="str">
        <x:v>구독</x:v>
      </x:c>
      <x:c r="G502" s="24" t="str">
        <x:v>김수연</x:v>
      </x:c>
      <x:c r="H502" s="30" t="n">
        <x:v>45405</x:v>
      </x:c>
      <x:c r="I502" s="30" t="n">
        <x:v>46502</x:v>
      </x:c>
      <x:c r="J502" s="30"/>
      <x:c r="K502" s="32" t="n">
        <x:v>435000</x:v>
      </x:c>
      <x:c r="L502" s="32" t="n">
        <x:v>1050000</x:v>
      </x:c>
      <x:c r="M502" s="24" t="str">
        <x:v>25</x:v>
      </x:c>
      <x:c r="N502" s="24" t="str"/>
      <x:c r="O502" s="24" t="str"/>
      <x:c r="P502" s="24" t="str"/>
      <x:c r="Q502" s="24" t="str">
        <x:v>있음</x:v>
      </x:c>
      <x:c r="R502" s="24" t="str"/>
      <x:c r="S502" s="31" t="n">
        <x:v>72</x:v>
      </x:c>
      <x:c r="T502" s="24" t="str">
        <x:v>연령 확인</x:v>
      </x:c>
      <x:c r="U502" s="24" t="str"/>
    </x:row>
    <x:row r="503" ht="17.25" customHeight="1">
      <x:c r="A503" s="24" t="str">
        <x:v>PR-C-19모8971-2-20230427-73</x:v>
      </x:c>
      <x:c r="B503" s="24" t="str">
        <x:v>프라임구독</x:v>
      </x:c>
      <x:c r="C503" s="24" t="str">
        <x:v>19모8971</x:v>
      </x:c>
      <x:c r="D503" s="31" t="n">
        <x:v>2</x:v>
      </x:c>
      <x:c r="E503" s="24" t="str">
        <x:v>이력</x:v>
      </x:c>
      <x:c r="F503" s="24" t="str">
        <x:v>종료</x:v>
      </x:c>
      <x:c r="G503" s="24" t="str">
        <x:v>장은미</x:v>
      </x:c>
      <x:c r="H503" s="30" t="n">
        <x:v>45043</x:v>
      </x:c>
      <x:c r="I503" s="30" t="n">
        <x:v>46137</x:v>
      </x:c>
      <x:c r="J503" s="30" t="n">
        <x:v>46137</x:v>
      </x:c>
      <x:c r="K503" s="32" t="n">
        <x:v>425000</x:v>
      </x:c>
      <x:c r="L503" s="32"/>
      <x:c r="M503" s="24" t="str"/>
      <x:c r="N503" s="24" t="str"/>
      <x:c r="O503" s="24" t="str"/>
      <x:c r="P503" s="24" t="str"/>
      <x:c r="Q503" s="24" t="str">
        <x:v>있음</x:v>
      </x:c>
      <x:c r="R503" s="24" t="str"/>
      <x:c r="S503" s="31" t="n">
        <x:v>73</x:v>
      </x:c>
      <x:c r="T503" s="24" t="str">
        <x:v>연령 확인</x:v>
      </x:c>
      <x:c r="U503" s="24" t="str">
        <x:v>-</x:v>
      </x:c>
    </x:row>
    <x:row r="504" ht="17.25" customHeight="1">
      <x:c r="A504" s="24" t="str">
        <x:v>PR-C-19보9990-2-20230510-74</x:v>
      </x:c>
      <x:c r="B504" s="24" t="str">
        <x:v>프라임구독</x:v>
      </x:c>
      <x:c r="C504" s="24" t="str">
        <x:v>19보9990</x:v>
      </x:c>
      <x:c r="D504" s="31" t="n">
        <x:v>2</x:v>
      </x:c>
      <x:c r="E504" s="24" t="str">
        <x:v>이력</x:v>
      </x:c>
      <x:c r="F504" s="24" t="str">
        <x:v>종료</x:v>
      </x:c>
      <x:c r="G504" s="24" t="str">
        <x:v>박상서</x:v>
      </x:c>
      <x:c r="H504" s="30" t="n">
        <x:v>45056</x:v>
      </x:c>
      <x:c r="I504" s="30" t="n">
        <x:v>46527</x:v>
      </x:c>
      <x:c r="J504" s="30" t="n">
        <x:v>46527</x:v>
      </x:c>
      <x:c r="K504" s="32" t="n">
        <x:v>621000</x:v>
      </x:c>
      <x:c r="L504" s="32"/>
      <x:c r="M504" s="24" t="str"/>
      <x:c r="N504" s="24" t="str"/>
      <x:c r="O504" s="24" t="str"/>
      <x:c r="P504" s="24" t="str"/>
      <x:c r="Q504" s="24" t="str">
        <x:v>있음</x:v>
      </x:c>
      <x:c r="R504" s="24" t="str"/>
      <x:c r="S504" s="31" t="n">
        <x:v>74</x:v>
      </x:c>
      <x:c r="T504" s="24" t="str">
        <x:v>연령 확인</x:v>
      </x:c>
      <x:c r="U504" s="24" t="str">
        <x:v>-</x:v>
      </x:c>
    </x:row>
    <x:row r="505" ht="17.25" customHeight="1">
      <x:c r="A505" s="24" t="str">
        <x:v>PR-C-200나9556-2-20221027-75</x:v>
      </x:c>
      <x:c r="B505" s="24" t="str">
        <x:v>프라임구독</x:v>
      </x:c>
      <x:c r="C505" s="24" t="str">
        <x:v>200나9556</x:v>
      </x:c>
      <x:c r="D505" s="31" t="n">
        <x:v>2</x:v>
      </x:c>
      <x:c r="E505" s="24" t="str">
        <x:v>이력</x:v>
      </x:c>
      <x:c r="F505" s="24" t="str">
        <x:v>종료</x:v>
      </x:c>
      <x:c r="G505" s="24" t="str">
        <x:v>박신국</x:v>
      </x:c>
      <x:c r="H505" s="30" t="n">
        <x:v>44861</x:v>
      </x:c>
      <x:c r="I505" s="30" t="n">
        <x:v>45955</x:v>
      </x:c>
      <x:c r="J505" s="30" t="n">
        <x:v>45955</x:v>
      </x:c>
      <x:c r="K505" s="32" t="n">
        <x:v>1050000</x:v>
      </x:c>
      <x:c r="L505" s="32" t="n">
        <x:v>2300000</x:v>
      </x:c>
      <x:c r="M505" s="24" t="str"/>
      <x:c r="N505" s="24" t="str"/>
      <x:c r="O505" s="24" t="str"/>
      <x:c r="P505" s="24" t="str"/>
      <x:c r="Q505" s="24" t="str">
        <x:v>있음</x:v>
      </x:c>
      <x:c r="R505" s="24" t="str"/>
      <x:c r="S505" s="31" t="n">
        <x:v>75</x:v>
      </x:c>
      <x:c r="T505" s="24" t="str">
        <x:v>연령 확인</x:v>
      </x:c>
      <x:c r="U505" s="24" t="str"/>
    </x:row>
    <x:row r="506" ht="17.25" customHeight="1">
      <x:c r="A506" s="24" t="str">
        <x:v>PR-C-20가6992-2-20220602-76</x:v>
      </x:c>
      <x:c r="B506" s="24" t="str">
        <x:v>프라임구독</x:v>
      </x:c>
      <x:c r="C506" s="24" t="str">
        <x:v>20가6992</x:v>
      </x:c>
      <x:c r="D506" s="31" t="n">
        <x:v>2</x:v>
      </x:c>
      <x:c r="E506" s="24" t="str">
        <x:v>이력</x:v>
      </x:c>
      <x:c r="F506" s="24" t="str">
        <x:v>종료</x:v>
      </x:c>
      <x:c r="G506" s="24" t="str">
        <x:v>정제현</x:v>
      </x:c>
      <x:c r="H506" s="30" t="n">
        <x:v>44714</x:v>
      </x:c>
      <x:c r="I506" s="30" t="n">
        <x:v>45797</x:v>
      </x:c>
      <x:c r="J506" s="30" t="n">
        <x:v>45797</x:v>
      </x:c>
      <x:c r="K506" s="32" t="n">
        <x:v>635000</x:v>
      </x:c>
      <x:c r="L506" s="32" t="n">
        <x:v>1400000</x:v>
      </x:c>
      <x:c r="M506" s="24" t="str"/>
      <x:c r="N506" s="24" t="str"/>
      <x:c r="O506" s="24" t="str"/>
      <x:c r="P506" s="24" t="str"/>
      <x:c r="Q506" s="24" t="str">
        <x:v>있음</x:v>
      </x:c>
      <x:c r="R506" s="24" t="str"/>
      <x:c r="S506" s="31" t="n">
        <x:v>76</x:v>
      </x:c>
      <x:c r="T506" s="24" t="str">
        <x:v>연령 확인</x:v>
      </x:c>
      <x:c r="U506" s="24" t="str"/>
    </x:row>
    <x:row r="507" ht="17.25" customHeight="1">
      <x:c r="A507" s="24" t="str">
        <x:v>PR-C-20누1882-2-20220503-77</x:v>
      </x:c>
      <x:c r="B507" s="24" t="str">
        <x:v>프라임구독</x:v>
      </x:c>
      <x:c r="C507" s="24" t="str">
        <x:v>20누1882</x:v>
      </x:c>
      <x:c r="D507" s="31" t="n">
        <x:v>2</x:v>
      </x:c>
      <x:c r="E507" s="24" t="str">
        <x:v>이력</x:v>
      </x:c>
      <x:c r="F507" s="24" t="str">
        <x:v>종료</x:v>
      </x:c>
      <x:c r="G507" s="24" t="str">
        <x:v>박재연</x:v>
      </x:c>
      <x:c r="H507" s="30" t="n">
        <x:v>44684</x:v>
      </x:c>
      <x:c r="I507" s="30" t="n">
        <x:v>45807</x:v>
      </x:c>
      <x:c r="J507" s="30" t="n">
        <x:v>45807</x:v>
      </x:c>
      <x:c r="K507" s="32" t="n">
        <x:v>909000</x:v>
      </x:c>
      <x:c r="L507" s="32" t="n">
        <x:v>2000000</x:v>
      </x:c>
      <x:c r="M507" s="24" t="str"/>
      <x:c r="N507" s="24" t="str"/>
      <x:c r="O507" s="24" t="str"/>
      <x:c r="P507" s="24" t="str"/>
      <x:c r="Q507" s="24" t="str">
        <x:v>있음</x:v>
      </x:c>
      <x:c r="R507" s="24" t="str"/>
      <x:c r="S507" s="31" t="n">
        <x:v>77</x:v>
      </x:c>
      <x:c r="T507" s="24" t="str">
        <x:v>연령 확인</x:v>
      </x:c>
      <x:c r="U507" s="24" t="str"/>
    </x:row>
    <x:row r="508" ht="17.25" customHeight="1">
      <x:c r="A508" s="24" t="str">
        <x:v>PR-C-20부2787-2-20230609-78</x:v>
      </x:c>
      <x:c r="B508" s="24" t="str">
        <x:v>프라임구독</x:v>
      </x:c>
      <x:c r="C508" s="24" t="str">
        <x:v>20부2787</x:v>
      </x:c>
      <x:c r="D508" s="31" t="n">
        <x:v>2</x:v>
      </x:c>
      <x:c r="E508" s="24" t="str">
        <x:v>이력</x:v>
      </x:c>
      <x:c r="F508" s="24" t="str">
        <x:v>종료</x:v>
      </x:c>
      <x:c r="G508" s="24" t="str">
        <x:v>박명철2</x:v>
      </x:c>
      <x:c r="H508" s="30" t="n">
        <x:v>45086</x:v>
      </x:c>
      <x:c r="I508" s="30" t="n">
        <x:v>46183</x:v>
      </x:c>
      <x:c r="J508" s="30" t="n">
        <x:v>46183</x:v>
      </x:c>
      <x:c r="K508" s="32" t="n">
        <x:v>1073000</x:v>
      </x:c>
      <x:c r="L508" s="32" t="n">
        <x:v>2530000</x:v>
      </x:c>
      <x:c r="M508" s="24" t="str"/>
      <x:c r="N508" s="24" t="str"/>
      <x:c r="O508" s="24" t="str"/>
      <x:c r="P508" s="24" t="str"/>
      <x:c r="Q508" s="24" t="str">
        <x:v>있음</x:v>
      </x:c>
      <x:c r="R508" s="24" t="str"/>
      <x:c r="S508" s="31" t="n">
        <x:v>78</x:v>
      </x:c>
      <x:c r="T508" s="24" t="str">
        <x:v>연령 확인</x:v>
      </x:c>
      <x:c r="U508" s="24" t="str"/>
    </x:row>
    <x:row r="509" ht="17.25" customHeight="1">
      <x:c r="A509" s="24" t="str">
        <x:v>PR-C-20서8159-2-20221206-79</x:v>
      </x:c>
      <x:c r="B509" s="24" t="str">
        <x:v>프라임구독</x:v>
      </x:c>
      <x:c r="C509" s="24" t="str">
        <x:v>20서8159</x:v>
      </x:c>
      <x:c r="D509" s="31" t="n">
        <x:v>2</x:v>
      </x:c>
      <x:c r="E509" s="24" t="str">
        <x:v>이력</x:v>
      </x:c>
      <x:c r="F509" s="24" t="str">
        <x:v>종료</x:v>
      </x:c>
      <x:c r="G509" s="24" t="str">
        <x:v>박중원</x:v>
      </x:c>
      <x:c r="H509" s="30" t="n">
        <x:v>44901</x:v>
      </x:c>
      <x:c r="I509" s="30" t="n">
        <x:v>46016</x:v>
      </x:c>
      <x:c r="J509" s="30" t="n">
        <x:v>46016</x:v>
      </x:c>
      <x:c r="K509" s="32" t="n">
        <x:v>544000</x:v>
      </x:c>
      <x:c r="L509" s="32"/>
      <x:c r="M509" s="24" t="str"/>
      <x:c r="N509" s="24" t="str"/>
      <x:c r="O509" s="24" t="str"/>
      <x:c r="P509" s="24" t="str"/>
      <x:c r="Q509" s="24" t="str">
        <x:v>있음</x:v>
      </x:c>
      <x:c r="R509" s="24" t="str"/>
      <x:c r="S509" s="31" t="n">
        <x:v>79</x:v>
      </x:c>
      <x:c r="T509" s="24" t="str">
        <x:v>연령 확인</x:v>
      </x:c>
      <x:c r="U509" s="24" t="str">
        <x:v>-</x:v>
      </x:c>
    </x:row>
    <x:row r="510" ht="17.25" customHeight="1">
      <x:c r="A510" s="24" t="str">
        <x:v>PR-C-21고4882-1-20231117-80</x:v>
      </x:c>
      <x:c r="B510" s="24" t="str">
        <x:v>프라임구독</x:v>
      </x:c>
      <x:c r="C510" s="24" t="str">
        <x:v>21고4882</x:v>
      </x:c>
      <x:c r="D510" s="31" t="n">
        <x:v>1</x:v>
      </x:c>
      <x:c r="E510" s="24" t="str">
        <x:v>현재칸</x:v>
      </x:c>
      <x:c r="F510" s="24" t="str">
        <x:v>구독</x:v>
      </x:c>
      <x:c r="G510" s="24" t="str">
        <x:v>김윤정</x:v>
      </x:c>
      <x:c r="H510" s="30" t="n">
        <x:v>45247</x:v>
      </x:c>
      <x:c r="I510" s="30" t="n">
        <x:v>46341</x:v>
      </x:c>
      <x:c r="J510" s="30"/>
      <x:c r="K510" s="32" t="n">
        <x:v>447000</x:v>
      </x:c>
      <x:c r="L510" s="32" t="n">
        <x:v>1045000</x:v>
      </x:c>
      <x:c r="M510" s="24" t="str">
        <x:v>15</x:v>
      </x:c>
      <x:c r="N510" s="24" t="str"/>
      <x:c r="O510" s="24" t="str"/>
      <x:c r="P510" s="24" t="str"/>
      <x:c r="Q510" s="24" t="str">
        <x:v>있음</x:v>
      </x:c>
      <x:c r="R510" s="24" t="str"/>
      <x:c r="S510" s="31" t="n">
        <x:v>80</x:v>
      </x:c>
      <x:c r="T510" s="24" t="str">
        <x:v>연령 확인</x:v>
      </x:c>
      <x:c r="U510" s="24" t="str"/>
    </x:row>
    <x:row r="511" ht="17.25" customHeight="1">
      <x:c r="A511" s="24" t="str">
        <x:v>PR-C-227서8291-2-20221123-81</x:v>
      </x:c>
      <x:c r="B511" s="24" t="str">
        <x:v>프라임구독</x:v>
      </x:c>
      <x:c r="C511" s="24" t="str">
        <x:v>227서8291</x:v>
      </x:c>
      <x:c r="D511" s="31" t="n">
        <x:v>2</x:v>
      </x:c>
      <x:c r="E511" s="24" t="str">
        <x:v>이력</x:v>
      </x:c>
      <x:c r="F511" s="24" t="str">
        <x:v>종료</x:v>
      </x:c>
      <x:c r="G511" s="24" t="str">
        <x:v>추명서</x:v>
      </x:c>
      <x:c r="H511" s="30" t="n">
        <x:v>44888</x:v>
      </x:c>
      <x:c r="I511" s="30" t="n">
        <x:v>45971</x:v>
      </x:c>
      <x:c r="J511" s="30" t="n">
        <x:v>45971</x:v>
      </x:c>
      <x:c r="K511" s="32" t="n">
        <x:v>426000</x:v>
      </x:c>
      <x:c r="L511" s="32" t="n">
        <x:v>900000</x:v>
      </x:c>
      <x:c r="M511" s="24" t="str"/>
      <x:c r="N511" s="24" t="str"/>
      <x:c r="O511" s="24" t="str"/>
      <x:c r="P511" s="24" t="str"/>
      <x:c r="Q511" s="24" t="str">
        <x:v>있음</x:v>
      </x:c>
      <x:c r="R511" s="24" t="str"/>
      <x:c r="S511" s="31" t="n">
        <x:v>81</x:v>
      </x:c>
      <x:c r="T511" s="24" t="str">
        <x:v>연령 확인</x:v>
      </x:c>
      <x:c r="U511" s="24" t="str"/>
    </x:row>
    <x:row r="512" ht="17.25" customHeight="1">
      <x:c r="A512" s="24" t="str">
        <x:v>PR-C-22거1063-2-20230215-82</x:v>
      </x:c>
      <x:c r="B512" s="24" t="str">
        <x:v>프라임구독</x:v>
      </x:c>
      <x:c r="C512" s="24" t="str">
        <x:v>22거1063</x:v>
      </x:c>
      <x:c r="D512" s="31" t="n">
        <x:v>2</x:v>
      </x:c>
      <x:c r="E512" s="24" t="str">
        <x:v>이력</x:v>
      </x:c>
      <x:c r="F512" s="24" t="str">
        <x:v>종료</x:v>
      </x:c>
      <x:c r="G512" s="24" t="str">
        <x:v>김민석</x:v>
      </x:c>
      <x:c r="H512" s="30" t="n">
        <x:v>44972</x:v>
      </x:c>
      <x:c r="I512" s="30" t="n">
        <x:v>46096</x:v>
      </x:c>
      <x:c r="J512" s="30" t="n">
        <x:v>46096</x:v>
      </x:c>
      <x:c r="K512" s="32" t="n">
        <x:v>656000</x:v>
      </x:c>
      <x:c r="L512" s="32" t="n">
        <x:v>1400000</x:v>
      </x:c>
      <x:c r="M512" s="24" t="str"/>
      <x:c r="N512" s="24" t="str"/>
      <x:c r="O512" s="24" t="str"/>
      <x:c r="P512" s="24" t="str"/>
      <x:c r="Q512" s="24" t="str">
        <x:v>있음</x:v>
      </x:c>
      <x:c r="R512" s="24" t="str"/>
      <x:c r="S512" s="31" t="n">
        <x:v>82</x:v>
      </x:c>
      <x:c r="T512" s="24" t="str">
        <x:v>연령 확인</x:v>
      </x:c>
      <x:c r="U512" s="24" t="str"/>
    </x:row>
    <x:row r="513" ht="17.25" customHeight="1">
      <x:c r="A513" s="24" t="str">
        <x:v>PR-C-231더7227-2-20230802-83</x:v>
      </x:c>
      <x:c r="B513" s="24" t="str">
        <x:v>프라임구독</x:v>
      </x:c>
      <x:c r="C513" s="24" t="str">
        <x:v>231더7227</x:v>
      </x:c>
      <x:c r="D513" s="31" t="n">
        <x:v>2</x:v>
      </x:c>
      <x:c r="E513" s="24" t="str">
        <x:v>이력</x:v>
      </x:c>
      <x:c r="F513" s="24" t="str">
        <x:v>종료</x:v>
      </x:c>
      <x:c r="G513" s="24" t="str">
        <x:v>최호성</x:v>
      </x:c>
      <x:c r="H513" s="30" t="n">
        <x:v>45140</x:v>
      </x:c>
      <x:c r="I513" s="30" t="n">
        <x:v>46604</x:v>
      </x:c>
      <x:c r="J513" s="30" t="n">
        <x:v>46604</x:v>
      </x:c>
      <x:c r="K513" s="32" t="n">
        <x:v>710000</x:v>
      </x:c>
      <x:c r="L513" s="32" t="n">
        <x:v>2100000</x:v>
      </x:c>
      <x:c r="M513" s="24" t="str"/>
      <x:c r="N513" s="24" t="str"/>
      <x:c r="O513" s="24" t="str"/>
      <x:c r="P513" s="24" t="str"/>
      <x:c r="Q513" s="24" t="str">
        <x:v>있음</x:v>
      </x:c>
      <x:c r="R513" s="24" t="str"/>
      <x:c r="S513" s="31" t="n">
        <x:v>83</x:v>
      </x:c>
      <x:c r="T513" s="24" t="str">
        <x:v>연령 확인</x:v>
      </x:c>
      <x:c r="U513" s="24" t="str"/>
    </x:row>
    <x:row r="514" ht="17.25" customHeight="1">
      <x:c r="A514" s="24" t="str">
        <x:v>PR-C-236가3220-2-20220826-84</x:v>
      </x:c>
      <x:c r="B514" s="24" t="str">
        <x:v>프라임구독</x:v>
      </x:c>
      <x:c r="C514" s="24" t="str">
        <x:v>236가3220</x:v>
      </x:c>
      <x:c r="D514" s="31" t="n">
        <x:v>2</x:v>
      </x:c>
      <x:c r="E514" s="24" t="str">
        <x:v>이력</x:v>
      </x:c>
      <x:c r="F514" s="24" t="str">
        <x:v>종료</x:v>
      </x:c>
      <x:c r="G514" s="24" t="str">
        <x:v>박진흠</x:v>
      </x:c>
      <x:c r="H514" s="30" t="n">
        <x:v>44799</x:v>
      </x:c>
      <x:c r="I514" s="30" t="n">
        <x:v>45879</x:v>
      </x:c>
      <x:c r="J514" s="30" t="n">
        <x:v>45879</x:v>
      </x:c>
      <x:c r="K514" s="32" t="n">
        <x:v>809000</x:v>
      </x:c>
      <x:c r="L514" s="32" t="n">
        <x:v>1790000</x:v>
      </x:c>
      <x:c r="M514" s="24" t="str"/>
      <x:c r="N514" s="24" t="str"/>
      <x:c r="O514" s="24" t="str"/>
      <x:c r="P514" s="24" t="str"/>
      <x:c r="Q514" s="24" t="str">
        <x:v>있음</x:v>
      </x:c>
      <x:c r="R514" s="24" t="str"/>
      <x:c r="S514" s="31" t="n">
        <x:v>84</x:v>
      </x:c>
      <x:c r="T514" s="24" t="str">
        <x:v>연령 확인</x:v>
      </x:c>
      <x:c r="U514" s="24" t="str"/>
    </x:row>
    <x:row r="515" ht="17.25" customHeight="1">
      <x:c r="A515" s="24" t="str">
        <x:v>PR-C-236보1364-1-20240313-85</x:v>
      </x:c>
      <x:c r="B515" s="24" t="str">
        <x:v>프라임구독</x:v>
      </x:c>
      <x:c r="C515" s="24" t="str">
        <x:v>236보1364</x:v>
      </x:c>
      <x:c r="D515" s="31" t="n">
        <x:v>1</x:v>
      </x:c>
      <x:c r="E515" s="24" t="str">
        <x:v>현재칸</x:v>
      </x:c>
      <x:c r="F515" s="24" t="str">
        <x:v>구독</x:v>
      </x:c>
      <x:c r="G515" s="24" t="str">
        <x:v>조영훈b</x:v>
      </x:c>
      <x:c r="H515" s="30" t="n">
        <x:v>45364</x:v>
      </x:c>
      <x:c r="I515" s="30" t="n">
        <x:v>46837</x:v>
      </x:c>
      <x:c r="J515" s="30"/>
      <x:c r="K515" s="32" t="n">
        <x:v>399000</x:v>
      </x:c>
      <x:c r="L515" s="32" t="n">
        <x:v>1100000</x:v>
      </x:c>
      <x:c r="M515" s="24" t="str">
        <x:v>25</x:v>
      </x:c>
      <x:c r="N515" s="24" t="str"/>
      <x:c r="O515" s="24" t="str"/>
      <x:c r="P515" s="24" t="str"/>
      <x:c r="Q515" s="24" t="str">
        <x:v>있음</x:v>
      </x:c>
      <x:c r="R515" s="24" t="str"/>
      <x:c r="S515" s="31" t="n">
        <x:v>85</x:v>
      </x:c>
      <x:c r="T515" s="24" t="str">
        <x:v>연령 확인</x:v>
      </x:c>
      <x:c r="U515" s="24" t="str"/>
    </x:row>
    <x:row r="516" ht="17.25" customHeight="1">
      <x:c r="A516" s="24" t="str">
        <x:v>PR-C-239버3661-2-20230327-86</x:v>
      </x:c>
      <x:c r="B516" s="24" t="str">
        <x:v>프라임구독</x:v>
      </x:c>
      <x:c r="C516" s="24" t="str">
        <x:v>239버3661</x:v>
      </x:c>
      <x:c r="D516" s="31" t="n">
        <x:v>2</x:v>
      </x:c>
      <x:c r="E516" s="24" t="str">
        <x:v>이력</x:v>
      </x:c>
      <x:c r="F516" s="24" t="str">
        <x:v>종료</x:v>
      </x:c>
      <x:c r="G516" s="24" t="str">
        <x:v>윤영미</x:v>
      </x:c>
      <x:c r="H516" s="30" t="n">
        <x:v>45012</x:v>
      </x:c>
      <x:c r="I516" s="30" t="n">
        <x:v>46101</x:v>
      </x:c>
      <x:c r="J516" s="30" t="n">
        <x:v>46101</x:v>
      </x:c>
      <x:c r="K516" s="32" t="n">
        <x:v>784000</x:v>
      </x:c>
      <x:c r="L516" s="32" t="n">
        <x:v>1650000</x:v>
      </x:c>
      <x:c r="M516" s="24" t="str"/>
      <x:c r="N516" s="24" t="str"/>
      <x:c r="O516" s="24" t="str"/>
      <x:c r="P516" s="24" t="str"/>
      <x:c r="Q516" s="24" t="str">
        <x:v>있음</x:v>
      </x:c>
      <x:c r="R516" s="24" t="str"/>
      <x:c r="S516" s="31" t="n">
        <x:v>86</x:v>
      </x:c>
      <x:c r="T516" s="24" t="str">
        <x:v>연령 확인</x:v>
      </x:c>
      <x:c r="U516" s="24" t="str"/>
    </x:row>
    <x:row r="517" ht="17.25" customHeight="1">
      <x:c r="A517" s="24" t="str">
        <x:v>PR-C-23더7974-2-20220707-87</x:v>
      </x:c>
      <x:c r="B517" s="24" t="str">
        <x:v>프라임구독</x:v>
      </x:c>
      <x:c r="C517" s="24" t="str">
        <x:v>23더7974</x:v>
      </x:c>
      <x:c r="D517" s="31" t="n">
        <x:v>2</x:v>
      </x:c>
      <x:c r="E517" s="24" t="str">
        <x:v>이력</x:v>
      </x:c>
      <x:c r="F517" s="24" t="str">
        <x:v>종료</x:v>
      </x:c>
      <x:c r="G517" s="24" t="str">
        <x:v>김윤수</x:v>
      </x:c>
      <x:c r="H517" s="30" t="n">
        <x:v>44749</x:v>
      </x:c>
      <x:c r="I517" s="30" t="n">
        <x:v>45848</x:v>
      </x:c>
      <x:c r="J517" s="30" t="n">
        <x:v>45848</x:v>
      </x:c>
      <x:c r="K517" s="32" t="n">
        <x:v>457000</x:v>
      </x:c>
      <x:c r="L517" s="32" t="n">
        <x:v>1000000</x:v>
      </x:c>
      <x:c r="M517" s="24" t="str"/>
      <x:c r="N517" s="24" t="str"/>
      <x:c r="O517" s="24" t="str"/>
      <x:c r="P517" s="24" t="str"/>
      <x:c r="Q517" s="24" t="str">
        <x:v>있음</x:v>
      </x:c>
      <x:c r="R517" s="24" t="str"/>
      <x:c r="S517" s="31" t="n">
        <x:v>87</x:v>
      </x:c>
      <x:c r="T517" s="24" t="str">
        <x:v>연령 확인</x:v>
      </x:c>
      <x:c r="U517" s="24" t="str"/>
    </x:row>
    <x:row r="518" ht="17.25" customHeight="1">
      <x:c r="A518" s="24" t="str">
        <x:v>PR-C-240보1114-2-20230103-88</x:v>
      </x:c>
      <x:c r="B518" s="24" t="str">
        <x:v>프라임구독</x:v>
      </x:c>
      <x:c r="C518" s="24" t="str">
        <x:v>240보1114</x:v>
      </x:c>
      <x:c r="D518" s="31" t="n">
        <x:v>2</x:v>
      </x:c>
      <x:c r="E518" s="24" t="str">
        <x:v>이력</x:v>
      </x:c>
      <x:c r="F518" s="24" t="str">
        <x:v>종료</x:v>
      </x:c>
      <x:c r="G518" s="24" t="str">
        <x:v>표인수</x:v>
      </x:c>
      <x:c r="H518" s="30" t="n">
        <x:v>44929</x:v>
      </x:c>
      <x:c r="I518" s="30" t="n">
        <x:v>46021</x:v>
      </x:c>
      <x:c r="J518" s="30" t="n">
        <x:v>46021</x:v>
      </x:c>
      <x:c r="K518" s="32" t="n">
        <x:v>938000</x:v>
      </x:c>
      <x:c r="L518" s="32" t="n">
        <x:v>2030000</x:v>
      </x:c>
      <x:c r="M518" s="24" t="str"/>
      <x:c r="N518" s="24" t="str"/>
      <x:c r="O518" s="24" t="str"/>
      <x:c r="P518" s="24" t="str"/>
      <x:c r="Q518" s="24" t="str">
        <x:v>있음</x:v>
      </x:c>
      <x:c r="R518" s="24" t="str"/>
      <x:c r="S518" s="31" t="n">
        <x:v>88</x:v>
      </x:c>
      <x:c r="T518" s="24" t="str">
        <x:v>연령 확인</x:v>
      </x:c>
      <x:c r="U518" s="24" t="str"/>
    </x:row>
    <x:row r="519" ht="17.25" customHeight="1">
      <x:c r="A519" s="24" t="str">
        <x:v>PR-C-24고7227-2-20220503-89</x:v>
      </x:c>
      <x:c r="B519" s="24" t="str">
        <x:v>프라임구독</x:v>
      </x:c>
      <x:c r="C519" s="24" t="str">
        <x:v>24고7227</x:v>
      </x:c>
      <x:c r="D519" s="31" t="n">
        <x:v>2</x:v>
      </x:c>
      <x:c r="E519" s="24" t="str">
        <x:v>이력</x:v>
      </x:c>
      <x:c r="F519" s="24" t="str">
        <x:v>종료</x:v>
      </x:c>
      <x:c r="G519" s="24" t="str">
        <x:v>김민우</x:v>
      </x:c>
      <x:c r="H519" s="30" t="n">
        <x:v>44684</x:v>
      </x:c>
      <x:c r="I519" s="30" t="n">
        <x:v>45787</x:v>
      </x:c>
      <x:c r="J519" s="30" t="n">
        <x:v>45787</x:v>
      </x:c>
      <x:c r="K519" s="32" t="n">
        <x:v>710000</x:v>
      </x:c>
      <x:c r="L519" s="32" t="n">
        <x:v>1500000</x:v>
      </x:c>
      <x:c r="M519" s="24" t="str"/>
      <x:c r="N519" s="24" t="str"/>
      <x:c r="O519" s="24" t="str"/>
      <x:c r="P519" s="24" t="str"/>
      <x:c r="Q519" s="24" t="str">
        <x:v>있음</x:v>
      </x:c>
      <x:c r="R519" s="24" t="str"/>
      <x:c r="S519" s="31" t="n">
        <x:v>89</x:v>
      </x:c>
      <x:c r="T519" s="24" t="str">
        <x:v>연령 확인</x:v>
      </x:c>
      <x:c r="U519" s="24" t="str"/>
    </x:row>
    <x:row r="520" ht="17.25" customHeight="1">
      <x:c r="A520" s="24" t="str">
        <x:v>PR-C-250서5013-2-20220823-90</x:v>
      </x:c>
      <x:c r="B520" s="24" t="str">
        <x:v>프라임구독</x:v>
      </x:c>
      <x:c r="C520" s="24" t="str">
        <x:v>250서5013</x:v>
      </x:c>
      <x:c r="D520" s="31" t="n">
        <x:v>2</x:v>
      </x:c>
      <x:c r="E520" s="24" t="str">
        <x:v>이력</x:v>
      </x:c>
      <x:c r="F520" s="24" t="str">
        <x:v>종료</x:v>
      </x:c>
      <x:c r="G520" s="24" t="str">
        <x:v>배광일</x:v>
      </x:c>
      <x:c r="H520" s="30" t="n">
        <x:v>44796</x:v>
      </x:c>
      <x:c r="I520" s="30" t="n">
        <x:v>45889</x:v>
      </x:c>
      <x:c r="J520" s="30" t="n">
        <x:v>45889</x:v>
      </x:c>
      <x:c r="K520" s="32" t="n">
        <x:v>690000</x:v>
      </x:c>
      <x:c r="L520" s="32" t="n">
        <x:v>1500000</x:v>
      </x:c>
      <x:c r="M520" s="24" t="str"/>
      <x:c r="N520" s="24" t="str"/>
      <x:c r="O520" s="24" t="str"/>
      <x:c r="P520" s="24" t="str"/>
      <x:c r="Q520" s="24" t="str">
        <x:v>있음</x:v>
      </x:c>
      <x:c r="R520" s="24" t="str"/>
      <x:c r="S520" s="31" t="n">
        <x:v>90</x:v>
      </x:c>
      <x:c r="T520" s="24" t="str">
        <x:v>연령 확인</x:v>
      </x:c>
      <x:c r="U520" s="24" t="str"/>
    </x:row>
    <x:row r="521" ht="17.25" customHeight="1">
      <x:c r="A521" s="24" t="str">
        <x:v>PR-C-255로9949-2-20220728-91</x:v>
      </x:c>
      <x:c r="B521" s="24" t="str">
        <x:v>프라임구독</x:v>
      </x:c>
      <x:c r="C521" s="24" t="str">
        <x:v>255로9949</x:v>
      </x:c>
      <x:c r="D521" s="31" t="n">
        <x:v>2</x:v>
      </x:c>
      <x:c r="E521" s="24" t="str">
        <x:v>이력</x:v>
      </x:c>
      <x:c r="F521" s="24" t="str">
        <x:v>종료</x:v>
      </x:c>
      <x:c r="G521" s="24" t="str">
        <x:v>배성진</x:v>
      </x:c>
      <x:c r="H521" s="30" t="n">
        <x:v>44770</x:v>
      </x:c>
      <x:c r="I521" s="30" t="n">
        <x:v>45930</x:v>
      </x:c>
      <x:c r="J521" s="30" t="n">
        <x:v>45930</x:v>
      </x:c>
      <x:c r="K521" s="32" t="n">
        <x:v>900000</x:v>
      </x:c>
      <x:c r="L521" s="32" t="n">
        <x:v>3000000</x:v>
      </x:c>
      <x:c r="M521" s="24" t="str"/>
      <x:c r="N521" s="24" t="str"/>
      <x:c r="O521" s="24" t="str"/>
      <x:c r="P521" s="24" t="str"/>
      <x:c r="Q521" s="24" t="str">
        <x:v>있음</x:v>
      </x:c>
      <x:c r="R521" s="24" t="str"/>
      <x:c r="S521" s="31" t="n">
        <x:v>91</x:v>
      </x:c>
      <x:c r="T521" s="24" t="str">
        <x:v>연령 확인</x:v>
      </x:c>
      <x:c r="U521" s="24" t="str"/>
    </x:row>
    <x:row r="522" ht="17.25" customHeight="1">
      <x:c r="A522" s="24" t="str">
        <x:v>PR-C-255오1360-1-20231115-92</x:v>
      </x:c>
      <x:c r="B522" s="24" t="str">
        <x:v>프라임구독</x:v>
      </x:c>
      <x:c r="C522" s="24" t="str">
        <x:v>255오1360</x:v>
      </x:c>
      <x:c r="D522" s="31" t="n">
        <x:v>1</x:v>
      </x:c>
      <x:c r="E522" s="24" t="str">
        <x:v>현재칸</x:v>
      </x:c>
      <x:c r="F522" s="24" t="str">
        <x:v>구독</x:v>
      </x:c>
      <x:c r="G522" s="24" t="str">
        <x:v>이문구</x:v>
      </x:c>
      <x:c r="H522" s="30" t="n">
        <x:v>45245</x:v>
      </x:c>
      <x:c r="I522" s="30" t="n">
        <x:v>46696</x:v>
      </x:c>
      <x:c r="J522" s="30"/>
      <x:c r="K522" s="32" t="n">
        <x:v>565000</x:v>
      </x:c>
      <x:c r="L522" s="32" t="n">
        <x:v>1470000</x:v>
      </x:c>
      <x:c r="M522" s="24" t="str">
        <x:v>5</x:v>
      </x:c>
      <x:c r="N522" s="24" t="str"/>
      <x:c r="O522" s="24" t="str"/>
      <x:c r="P522" s="24" t="str"/>
      <x:c r="Q522" s="24" t="str">
        <x:v>있음</x:v>
      </x:c>
      <x:c r="R522" s="24" t="str"/>
      <x:c r="S522" s="31" t="n">
        <x:v>92</x:v>
      </x:c>
      <x:c r="T522" s="24" t="str">
        <x:v>연령 확인</x:v>
      </x:c>
      <x:c r="U522" s="24" t="str"/>
    </x:row>
    <x:row r="523" ht="17.25" customHeight="1">
      <x:c r="A523" s="24" t="str">
        <x:v>PR-C-255우2089-2-20220513-93</x:v>
      </x:c>
      <x:c r="B523" s="24" t="str">
        <x:v>프라임구독</x:v>
      </x:c>
      <x:c r="C523" s="24" t="str">
        <x:v>255우2089</x:v>
      </x:c>
      <x:c r="D523" s="31" t="n">
        <x:v>2</x:v>
      </x:c>
      <x:c r="E523" s="24" t="str">
        <x:v>이력</x:v>
      </x:c>
      <x:c r="F523" s="24" t="str">
        <x:v>종료</x:v>
      </x:c>
      <x:c r="G523" s="24" t="str">
        <x:v>김미진2</x:v>
      </x:c>
      <x:c r="H523" s="30" t="n">
        <x:v>44694</x:v>
      </x:c>
      <x:c r="I523" s="30" t="n">
        <x:v>45797</x:v>
      </x:c>
      <x:c r="J523" s="30" t="n">
        <x:v>45797</x:v>
      </x:c>
      <x:c r="K523" s="32" t="n">
        <x:v>450000</x:v>
      </x:c>
      <x:c r="L523" s="32" t="n">
        <x:v>1000000</x:v>
      </x:c>
      <x:c r="M523" s="24" t="str"/>
      <x:c r="N523" s="24" t="str"/>
      <x:c r="O523" s="24" t="str"/>
      <x:c r="P523" s="24" t="str"/>
      <x:c r="Q523" s="24" t="str">
        <x:v>있음</x:v>
      </x:c>
      <x:c r="R523" s="24" t="str"/>
      <x:c r="S523" s="31" t="n">
        <x:v>93</x:v>
      </x:c>
      <x:c r="T523" s="24" t="str">
        <x:v>연령 확인</x:v>
      </x:c>
      <x:c r="U523" s="24" t="str"/>
    </x:row>
    <x:row r="524" ht="17.25" customHeight="1">
      <x:c r="A524" s="24" t="str">
        <x:v>PR-C-25머4399-2-20220804-94</x:v>
      </x:c>
      <x:c r="B524" s="24" t="str">
        <x:v>프라임구독</x:v>
      </x:c>
      <x:c r="C524" s="24" t="str">
        <x:v>25머4399</x:v>
      </x:c>
      <x:c r="D524" s="31" t="n">
        <x:v>2</x:v>
      </x:c>
      <x:c r="E524" s="24" t="str">
        <x:v>이력</x:v>
      </x:c>
      <x:c r="F524" s="24" t="str">
        <x:v>종료</x:v>
      </x:c>
      <x:c r="G524" s="24" t="str">
        <x:v>이봉운</x:v>
      </x:c>
      <x:c r="H524" s="30" t="n">
        <x:v>44777</x:v>
      </x:c>
      <x:c r="I524" s="30" t="n">
        <x:v>45858</x:v>
      </x:c>
      <x:c r="J524" s="30" t="n">
        <x:v>45858</x:v>
      </x:c>
      <x:c r="K524" s="32" t="n">
        <x:v>371000</x:v>
      </x:c>
      <x:c r="L524" s="32" t="n">
        <x:v>800000</x:v>
      </x:c>
      <x:c r="M524" s="24" t="str"/>
      <x:c r="N524" s="24" t="str"/>
      <x:c r="O524" s="24" t="str"/>
      <x:c r="P524" s="24" t="str"/>
      <x:c r="Q524" s="24" t="str">
        <x:v>있음</x:v>
      </x:c>
      <x:c r="R524" s="24" t="str"/>
      <x:c r="S524" s="31" t="n">
        <x:v>94</x:v>
      </x:c>
      <x:c r="T524" s="24" t="str">
        <x:v>연령 확인</x:v>
      </x:c>
      <x:c r="U524" s="24" t="str"/>
    </x:row>
    <x:row r="525" ht="17.25" customHeight="1">
      <x:c r="A525" s="24" t="str">
        <x:v>PR-C-25부0580-2-20220324-95</x:v>
      </x:c>
      <x:c r="B525" s="24" t="str">
        <x:v>프라임구독</x:v>
      </x:c>
      <x:c r="C525" s="24" t="str">
        <x:v>25부0580</x:v>
      </x:c>
      <x:c r="D525" s="31" t="n">
        <x:v>2</x:v>
      </x:c>
      <x:c r="E525" s="24" t="str">
        <x:v>이력</x:v>
      </x:c>
      <x:c r="F525" s="24" t="str">
        <x:v>종료</x:v>
      </x:c>
      <x:c r="G525" s="24" t="str">
        <x:v>ALEKSEY</x:v>
      </x:c>
      <x:c r="H525" s="30" t="n">
        <x:v>44644</x:v>
      </x:c>
      <x:c r="I525" s="30" t="n">
        <x:v>45746</x:v>
      </x:c>
      <x:c r="J525" s="30" t="n">
        <x:v>45746</x:v>
      </x:c>
      <x:c r="K525" s="32" t="n">
        <x:v>810000</x:v>
      </x:c>
      <x:c r="L525" s="32" t="n">
        <x:v>1800000</x:v>
      </x:c>
      <x:c r="M525" s="24" t="str"/>
      <x:c r="N525" s="24" t="str"/>
      <x:c r="O525" s="24" t="str"/>
      <x:c r="P525" s="24" t="str"/>
      <x:c r="Q525" s="24" t="str">
        <x:v>있음</x:v>
      </x:c>
      <x:c r="R525" s="24" t="str"/>
      <x:c r="S525" s="31" t="n">
        <x:v>95</x:v>
      </x:c>
      <x:c r="T525" s="24" t="str">
        <x:v>연령 확인</x:v>
      </x:c>
      <x:c r="U525" s="24" t="str"/>
    </x:row>
    <x:row r="526" ht="17.25" customHeight="1">
      <x:c r="A526" s="24" t="str">
        <x:v>PR-C-25오7995-2-20220829-96</x:v>
      </x:c>
      <x:c r="B526" s="24" t="str">
        <x:v>프라임구독</x:v>
      </x:c>
      <x:c r="C526" s="24" t="str">
        <x:v>25오7995</x:v>
      </x:c>
      <x:c r="D526" s="31" t="n">
        <x:v>2</x:v>
      </x:c>
      <x:c r="E526" s="24" t="str">
        <x:v>이력</x:v>
      </x:c>
      <x:c r="F526" s="24" t="str">
        <x:v>종료</x:v>
      </x:c>
      <x:c r="G526" s="24" t="str">
        <x:v>정금미</x:v>
      </x:c>
      <x:c r="H526" s="30" t="n">
        <x:v>44802</x:v>
      </x:c>
      <x:c r="I526" s="30" t="n">
        <x:v>45910</x:v>
      </x:c>
      <x:c r="J526" s="30" t="n">
        <x:v>45910</x:v>
      </x:c>
      <x:c r="K526" s="32" t="n">
        <x:v>675000</x:v>
      </x:c>
      <x:c r="L526" s="32" t="n">
        <x:v>1500000</x:v>
      </x:c>
      <x:c r="M526" s="24" t="str"/>
      <x:c r="N526" s="24" t="str"/>
      <x:c r="O526" s="24" t="str"/>
      <x:c r="P526" s="24" t="str"/>
      <x:c r="Q526" s="24" t="str">
        <x:v>있음</x:v>
      </x:c>
      <x:c r="R526" s="24" t="str"/>
      <x:c r="S526" s="31" t="n">
        <x:v>96</x:v>
      </x:c>
      <x:c r="T526" s="24" t="str">
        <x:v>연령 확인</x:v>
      </x:c>
      <x:c r="U526" s="24" t="str"/>
    </x:row>
    <x:row r="527" ht="17.25" customHeight="1">
      <x:c r="A527" s="24" t="str">
        <x:v>PR-C-263오7836-2-20220420-97</x:v>
      </x:c>
      <x:c r="B527" s="24" t="str">
        <x:v>프라임구독</x:v>
      </x:c>
      <x:c r="C527" s="24" t="str">
        <x:v>263오7836</x:v>
      </x:c>
      <x:c r="D527" s="31" t="n">
        <x:v>2</x:v>
      </x:c>
      <x:c r="E527" s="24" t="str">
        <x:v>이력</x:v>
      </x:c>
      <x:c r="F527" s="24" t="str">
        <x:v>종료</x:v>
      </x:c>
      <x:c r="G527" s="24" t="str">
        <x:v>이정우</x:v>
      </x:c>
      <x:c r="H527" s="30" t="n">
        <x:v>44671</x:v>
      </x:c>
      <x:c r="I527" s="30" t="n">
        <x:v>45767</x:v>
      </x:c>
      <x:c r="J527" s="30" t="n">
        <x:v>45767</x:v>
      </x:c>
      <x:c r="K527" s="32" t="n">
        <x:v>608000</x:v>
      </x:c>
      <x:c r="L527" s="32" t="n">
        <x:v>1320000</x:v>
      </x:c>
      <x:c r="M527" s="24" t="str"/>
      <x:c r="N527" s="24" t="str"/>
      <x:c r="O527" s="24" t="str"/>
      <x:c r="P527" s="24" t="str"/>
      <x:c r="Q527" s="24" t="str">
        <x:v>있음</x:v>
      </x:c>
      <x:c r="R527" s="24" t="str"/>
      <x:c r="S527" s="31" t="n">
        <x:v>97</x:v>
      </x:c>
      <x:c r="T527" s="24" t="str">
        <x:v>연령 확인</x:v>
      </x:c>
      <x:c r="U527" s="24" t="str"/>
    </x:row>
    <x:row r="528" ht="17.25" customHeight="1">
      <x:c r="A528" s="24" t="str">
        <x:v>PR-C-266버3645-2-20220705-98</x:v>
      </x:c>
      <x:c r="B528" s="24" t="str">
        <x:v>프라임구독</x:v>
      </x:c>
      <x:c r="C528" s="24" t="str">
        <x:v>266버3645</x:v>
      </x:c>
      <x:c r="D528" s="31" t="n">
        <x:v>2</x:v>
      </x:c>
      <x:c r="E528" s="24" t="str">
        <x:v>이력</x:v>
      </x:c>
      <x:c r="F528" s="24" t="str">
        <x:v>종료</x:v>
      </x:c>
      <x:c r="G528" s="24" t="str">
        <x:v>황보훈</x:v>
      </x:c>
      <x:c r="H528" s="30" t="n">
        <x:v>44747</x:v>
      </x:c>
      <x:c r="I528" s="30" t="n">
        <x:v>45828</x:v>
      </x:c>
      <x:c r="J528" s="30" t="n">
        <x:v>45828</x:v>
      </x:c>
      <x:c r="K528" s="32" t="n">
        <x:v>599000</x:v>
      </x:c>
      <x:c r="L528" s="32" t="n">
        <x:v>1300000</x:v>
      </x:c>
      <x:c r="M528" s="24" t="str"/>
      <x:c r="N528" s="24" t="str"/>
      <x:c r="O528" s="24" t="str"/>
      <x:c r="P528" s="24" t="str"/>
      <x:c r="Q528" s="24" t="str">
        <x:v>있음</x:v>
      </x:c>
      <x:c r="R528" s="24" t="str"/>
      <x:c r="S528" s="31" t="n">
        <x:v>98</x:v>
      </x:c>
      <x:c r="T528" s="24" t="str">
        <x:v>연령 확인</x:v>
      </x:c>
      <x:c r="U528" s="24" t="str"/>
    </x:row>
    <x:row r="529" ht="17.25" customHeight="1">
      <x:c r="A529" s="24" t="str">
        <x:v>PR-C-26너0333-2-20221115-99</x:v>
      </x:c>
      <x:c r="B529" s="24" t="str">
        <x:v>프라임구독</x:v>
      </x:c>
      <x:c r="C529" s="24" t="str">
        <x:v>26너0333</x:v>
      </x:c>
      <x:c r="D529" s="31" t="n">
        <x:v>2</x:v>
      </x:c>
      <x:c r="E529" s="24" t="str">
        <x:v>이력</x:v>
      </x:c>
      <x:c r="F529" s="24" t="str">
        <x:v>종료</x:v>
      </x:c>
      <x:c r="G529" s="24" t="str">
        <x:v>이은정</x:v>
      </x:c>
      <x:c r="H529" s="30" t="n">
        <x:v>44880</x:v>
      </x:c>
      <x:c r="I529" s="30" t="n">
        <x:v>45981</x:v>
      </x:c>
      <x:c r="J529" s="30" t="n">
        <x:v>45981</x:v>
      </x:c>
      <x:c r="K529" s="32" t="n">
        <x:v>514000</x:v>
      </x:c>
      <x:c r="L529" s="32" t="n">
        <x:v>1150000</x:v>
      </x:c>
      <x:c r="M529" s="24" t="str"/>
      <x:c r="N529" s="24" t="str"/>
      <x:c r="O529" s="24" t="str"/>
      <x:c r="P529" s="24" t="str"/>
      <x:c r="Q529" s="24" t="str">
        <x:v>있음</x:v>
      </x:c>
      <x:c r="R529" s="24" t="str"/>
      <x:c r="S529" s="31" t="n">
        <x:v>99</x:v>
      </x:c>
      <x:c r="T529" s="24" t="str">
        <x:v>연령 확인</x:v>
      </x:c>
      <x:c r="U529" s="24" t="str"/>
    </x:row>
    <x:row r="530" ht="17.25" customHeight="1">
      <x:c r="A530" s="24" t="str">
        <x:v>PR-C-26수4134-2-20221013-100</x:v>
      </x:c>
      <x:c r="B530" s="24" t="str">
        <x:v>프라임구독</x:v>
      </x:c>
      <x:c r="C530" s="24" t="str">
        <x:v>26수4134</x:v>
      </x:c>
      <x:c r="D530" s="31" t="n">
        <x:v>2</x:v>
      </x:c>
      <x:c r="E530" s="24" t="str">
        <x:v>이력</x:v>
      </x:c>
      <x:c r="F530" s="24" t="str">
        <x:v>종료</x:v>
      </x:c>
      <x:c r="G530" s="24" t="str">
        <x:v>박성용</x:v>
      </x:c>
      <x:c r="H530" s="30" t="n">
        <x:v>44847</x:v>
      </x:c>
      <x:c r="I530" s="30" t="n">
        <x:v>45940</x:v>
      </x:c>
      <x:c r="J530" s="30" t="n">
        <x:v>45940</x:v>
      </x:c>
      <x:c r="K530" s="32" t="n">
        <x:v>492000</x:v>
      </x:c>
      <x:c r="L530" s="32" t="n">
        <x:v>1050000</x:v>
      </x:c>
      <x:c r="M530" s="24" t="str"/>
      <x:c r="N530" s="24" t="str"/>
      <x:c r="O530" s="24" t="str"/>
      <x:c r="P530" s="24" t="str"/>
      <x:c r="Q530" s="24" t="str">
        <x:v>있음</x:v>
      </x:c>
      <x:c r="R530" s="24" t="str"/>
      <x:c r="S530" s="31" t="n">
        <x:v>100</x:v>
      </x:c>
      <x:c r="T530" s="24" t="str">
        <x:v>연령 확인</x:v>
      </x:c>
      <x:c r="U530" s="24" t="str"/>
    </x:row>
    <x:row r="531" ht="17.25" customHeight="1">
      <x:c r="A531" s="24" t="str">
        <x:v>PR-C-272오2150-2-20210903-101</x:v>
      </x:c>
      <x:c r="B531" s="24" t="str">
        <x:v>프라임구독</x:v>
      </x:c>
      <x:c r="C531" s="24" t="str">
        <x:v>272오2150</x:v>
      </x:c>
      <x:c r="D531" s="31" t="n">
        <x:v>2</x:v>
      </x:c>
      <x:c r="E531" s="24" t="str">
        <x:v>이력</x:v>
      </x:c>
      <x:c r="F531" s="24" t="str">
        <x:v>종료</x:v>
      </x:c>
      <x:c r="G531" s="24" t="str">
        <x:v>강지민</x:v>
      </x:c>
      <x:c r="H531" s="30" t="n">
        <x:v>44442</x:v>
      </x:c>
      <x:c r="I531" s="30" t="n">
        <x:v>45565</x:v>
      </x:c>
      <x:c r="J531" s="30" t="n">
        <x:v>45565</x:v>
      </x:c>
      <x:c r="K531" s="32" t="n">
        <x:v>800000</x:v>
      </x:c>
      <x:c r="L531" s="32" t="n">
        <x:v>1880000</x:v>
      </x:c>
      <x:c r="M531" s="24" t="str"/>
      <x:c r="N531" s="24" t="str"/>
      <x:c r="O531" s="24" t="str"/>
      <x:c r="P531" s="24" t="str"/>
      <x:c r="Q531" s="24" t="str">
        <x:v>있음</x:v>
      </x:c>
      <x:c r="R531" s="24" t="str"/>
      <x:c r="S531" s="31" t="n">
        <x:v>101</x:v>
      </x:c>
      <x:c r="T531" s="24" t="str">
        <x:v>연령 확인</x:v>
      </x:c>
      <x:c r="U531" s="24" t="str"/>
    </x:row>
    <x:row r="532" ht="17.25" customHeight="1">
      <x:c r="A532" s="24" t="str">
        <x:v>PR-C-27로0765-2-20220404-102</x:v>
      </x:c>
      <x:c r="B532" s="24" t="str">
        <x:v>프라임구독</x:v>
      </x:c>
      <x:c r="C532" s="24" t="str">
        <x:v>27로0765</x:v>
      </x:c>
      <x:c r="D532" s="31" t="n">
        <x:v>2</x:v>
      </x:c>
      <x:c r="E532" s="24" t="str">
        <x:v>이력</x:v>
      </x:c>
      <x:c r="F532" s="24" t="str">
        <x:v>종료</x:v>
      </x:c>
      <x:c r="G532" s="24" t="str">
        <x:v>하갑영2</x:v>
      </x:c>
      <x:c r="H532" s="30" t="n">
        <x:v>44655</x:v>
      </x:c>
      <x:c r="I532" s="30" t="n">
        <x:v>45736</x:v>
      </x:c>
      <x:c r="J532" s="30" t="n">
        <x:v>45736</x:v>
      </x:c>
      <x:c r="K532" s="32" t="n">
        <x:v>289000</x:v>
      </x:c>
      <x:c r="L532" s="32" t="n">
        <x:v>600000</x:v>
      </x:c>
      <x:c r="M532" s="24" t="str"/>
      <x:c r="N532" s="24" t="str"/>
      <x:c r="O532" s="24" t="str"/>
      <x:c r="P532" s="24" t="str"/>
      <x:c r="Q532" s="24" t="str">
        <x:v>있음</x:v>
      </x:c>
      <x:c r="R532" s="24" t="str"/>
      <x:c r="S532" s="31" t="n">
        <x:v>102</x:v>
      </x:c>
      <x:c r="T532" s="24" t="str">
        <x:v>연령 확인</x:v>
      </x:c>
      <x:c r="U532" s="24" t="str"/>
    </x:row>
    <x:row r="533" ht="17.25" customHeight="1">
      <x:c r="A533" s="24" t="str">
        <x:v>PR-C-27무0874-2-20211201-103</x:v>
      </x:c>
      <x:c r="B533" s="24" t="str">
        <x:v>프라임구독</x:v>
      </x:c>
      <x:c r="C533" s="24" t="str">
        <x:v>27무0874</x:v>
      </x:c>
      <x:c r="D533" s="31" t="n">
        <x:v>2</x:v>
      </x:c>
      <x:c r="E533" s="24" t="str">
        <x:v>이력</x:v>
      </x:c>
      <x:c r="F533" s="24" t="str">
        <x:v>종료</x:v>
      </x:c>
      <x:c r="G533" s="24" t="str">
        <x:v>신진하</x:v>
      </x:c>
      <x:c r="H533" s="30" t="n">
        <x:v>44531</x:v>
      </x:c>
      <x:c r="I533" s="30" t="n">
        <x:v>45646</x:v>
      </x:c>
      <x:c r="J533" s="30" t="n">
        <x:v>45646</x:v>
      </x:c>
      <x:c r="K533" s="32" t="n">
        <x:v>376000</x:v>
      </x:c>
      <x:c r="L533" s="32" t="n">
        <x:v>800000</x:v>
      </x:c>
      <x:c r="M533" s="24" t="str"/>
      <x:c r="N533" s="24" t="str"/>
      <x:c r="O533" s="24" t="str"/>
      <x:c r="P533" s="24" t="str"/>
      <x:c r="Q533" s="24" t="str">
        <x:v>있음</x:v>
      </x:c>
      <x:c r="R533" s="24" t="str"/>
      <x:c r="S533" s="31" t="n">
        <x:v>103</x:v>
      </x:c>
      <x:c r="T533" s="24" t="str">
        <x:v>연령 확인</x:v>
      </x:c>
      <x:c r="U533" s="24" t="str"/>
    </x:row>
    <x:row r="534" ht="17.25" customHeight="1">
      <x:c r="A534" s="24" t="str">
        <x:v>PR-C-27오1144-1-20220708-104</x:v>
      </x:c>
      <x:c r="B534" s="24" t="str">
        <x:v>프라임구독</x:v>
      </x:c>
      <x:c r="C534" s="24" t="str">
        <x:v>27오1144</x:v>
      </x:c>
      <x:c r="D534" s="31" t="n">
        <x:v>1</x:v>
      </x:c>
      <x:c r="E534" s="24" t="str">
        <x:v>현재칸</x:v>
      </x:c>
      <x:c r="F534" s="24" t="str">
        <x:v>구독</x:v>
      </x:c>
      <x:c r="G534" s="24" t="str">
        <x:v>김현규</x:v>
      </x:c>
      <x:c r="H534" s="30" t="n">
        <x:v>44750</x:v>
      </x:c>
      <x:c r="I534" s="30" t="n">
        <x:v>45858</x:v>
      </x:c>
      <x:c r="J534" s="30"/>
      <x:c r="K534" s="32" t="n">
        <x:v>750000</x:v>
      </x:c>
      <x:c r="L534" s="32" t="n">
        <x:v>1650000</x:v>
      </x:c>
      <x:c r="M534" s="24" t="str">
        <x:v>20</x:v>
      </x:c>
      <x:c r="N534" s="24" t="str"/>
      <x:c r="O534" s="24" t="str"/>
      <x:c r="P534" s="24" t="str"/>
      <x:c r="Q534" s="24" t="str">
        <x:v>있음</x:v>
      </x:c>
      <x:c r="R534" s="24" t="str"/>
      <x:c r="S534" s="31" t="n">
        <x:v>104</x:v>
      </x:c>
      <x:c r="T534" s="24" t="str">
        <x:v>연령 확인</x:v>
      </x:c>
      <x:c r="U534" s="24" t="str"/>
    </x:row>
    <x:row r="535" ht="17.25" customHeight="1">
      <x:c r="A535" s="24" t="str">
        <x:v>PR-C-28마6730-2-20221020-105</x:v>
      </x:c>
      <x:c r="B535" s="24" t="str">
        <x:v>프라임구독</x:v>
      </x:c>
      <x:c r="C535" s="24" t="str">
        <x:v>28마6730</x:v>
      </x:c>
      <x:c r="D535" s="31" t="n">
        <x:v>2</x:v>
      </x:c>
      <x:c r="E535" s="24" t="str">
        <x:v>이력</x:v>
      </x:c>
      <x:c r="F535" s="24" t="str">
        <x:v>종료</x:v>
      </x:c>
      <x:c r="G535" s="24" t="str">
        <x:v>최주희</x:v>
      </x:c>
      <x:c r="H535" s="30" t="n">
        <x:v>44854</x:v>
      </x:c>
      <x:c r="I535" s="30" t="n">
        <x:v>45960</x:v>
      </x:c>
      <x:c r="J535" s="30" t="n">
        <x:v>45960</x:v>
      </x:c>
      <x:c r="K535" s="32" t="n">
        <x:v>2550000</x:v>
      </x:c>
      <x:c r="L535" s="32" t="n">
        <x:v>5200000</x:v>
      </x:c>
      <x:c r="M535" s="24" t="str"/>
      <x:c r="N535" s="24" t="str"/>
      <x:c r="O535" s="24" t="str"/>
      <x:c r="P535" s="24" t="str"/>
      <x:c r="Q535" s="24" t="str">
        <x:v>있음</x:v>
      </x:c>
      <x:c r="R535" s="24" t="str"/>
      <x:c r="S535" s="31" t="n">
        <x:v>105</x:v>
      </x:c>
      <x:c r="T535" s="24" t="str">
        <x:v>연령 확인</x:v>
      </x:c>
      <x:c r="U535" s="24" t="str"/>
    </x:row>
    <x:row r="536" ht="17.25" customHeight="1">
      <x:c r="A536" s="24" t="str">
        <x:v>PR-C-28머4792-2-20230321-106</x:v>
      </x:c>
      <x:c r="B536" s="24" t="str">
        <x:v>프라임구독</x:v>
      </x:c>
      <x:c r="C536" s="24" t="str">
        <x:v>28머4792</x:v>
      </x:c>
      <x:c r="D536" s="31" t="n">
        <x:v>2</x:v>
      </x:c>
      <x:c r="E536" s="24" t="str">
        <x:v>이력</x:v>
      </x:c>
      <x:c r="F536" s="24" t="str">
        <x:v>종료</x:v>
      </x:c>
      <x:c r="G536" s="24" t="str">
        <x:v>김용건</x:v>
      </x:c>
      <x:c r="H536" s="30" t="n">
        <x:v>45006</x:v>
      </x:c>
      <x:c r="I536" s="30" t="n">
        <x:v>46101</x:v>
      </x:c>
      <x:c r="J536" s="30" t="n">
        <x:v>46101</x:v>
      </x:c>
      <x:c r="K536" s="32" t="n">
        <x:v>818000</x:v>
      </x:c>
      <x:c r="L536" s="32" t="n">
        <x:v>1800000</x:v>
      </x:c>
      <x:c r="M536" s="24" t="str"/>
      <x:c r="N536" s="24" t="str"/>
      <x:c r="O536" s="24" t="str"/>
      <x:c r="P536" s="24" t="str"/>
      <x:c r="Q536" s="24" t="str">
        <x:v>있음</x:v>
      </x:c>
      <x:c r="R536" s="24" t="str"/>
      <x:c r="S536" s="31" t="n">
        <x:v>106</x:v>
      </x:c>
      <x:c r="T536" s="24" t="str">
        <x:v>연령 확인</x:v>
      </x:c>
      <x:c r="U536" s="24" t="str"/>
    </x:row>
    <x:row r="537" ht="17.25" customHeight="1">
      <x:c r="A537" s="24" t="str">
        <x:v>PR-C-290주5804-1-20240422-107</x:v>
      </x:c>
      <x:c r="B537" s="24" t="str">
        <x:v>프라임구독</x:v>
      </x:c>
      <x:c r="C537" s="24" t="str">
        <x:v>290주5804</x:v>
      </x:c>
      <x:c r="D537" s="31" t="n">
        <x:v>1</x:v>
      </x:c>
      <x:c r="E537" s="24" t="str">
        <x:v>현재칸</x:v>
      </x:c>
      <x:c r="F537" s="24" t="str">
        <x:v>구독</x:v>
      </x:c>
      <x:c r="G537" s="24" t="str">
        <x:v>김순용</x:v>
      </x:c>
      <x:c r="H537" s="30" t="n">
        <x:v>45404</x:v>
      </x:c>
      <x:c r="I537" s="30" t="n">
        <x:v>46848</x:v>
      </x:c>
      <x:c r="J537" s="30"/>
      <x:c r="K537" s="32" t="n">
        <x:v>533000</x:v>
      </x:c>
      <x:c r="L537" s="32" t="n">
        <x:v>1160000</x:v>
      </x:c>
      <x:c r="M537" s="24" t="str">
        <x:v>5</x:v>
      </x:c>
      <x:c r="N537" s="24" t="str"/>
      <x:c r="O537" s="24" t="str"/>
      <x:c r="P537" s="24" t="str"/>
      <x:c r="Q537" s="24" t="str">
        <x:v>있음</x:v>
      </x:c>
      <x:c r="R537" s="24" t="str"/>
      <x:c r="S537" s="31" t="n">
        <x:v>107</x:v>
      </x:c>
      <x:c r="T537" s="24" t="str">
        <x:v>연령 확인</x:v>
      </x:c>
      <x:c r="U537" s="24" t="str"/>
    </x:row>
    <x:row r="538" ht="17.25" customHeight="1">
      <x:c r="A538" s="24" t="str">
        <x:v>PR-C-29마4743-1-20231113-108</x:v>
      </x:c>
      <x:c r="B538" s="24" t="str">
        <x:v>프라임구독</x:v>
      </x:c>
      <x:c r="C538" s="24" t="str">
        <x:v>29마4743</x:v>
      </x:c>
      <x:c r="D538" s="31" t="n">
        <x:v>1</x:v>
      </x:c>
      <x:c r="E538" s="24" t="str">
        <x:v>현재칸</x:v>
      </x:c>
      <x:c r="F538" s="24" t="str">
        <x:v>구독</x:v>
      </x:c>
      <x:c r="G538" s="24" t="str">
        <x:v>변재영</x:v>
      </x:c>
      <x:c r="H538" s="30" t="n">
        <x:v>45243</x:v>
      </x:c>
      <x:c r="I538" s="30" t="n">
        <x:v>46716</x:v>
      </x:c>
      <x:c r="J538" s="30"/>
      <x:c r="K538" s="32" t="n">
        <x:v>1109000</x:v>
      </x:c>
      <x:c r="L538" s="32" t="n">
        <x:v>3100000</x:v>
      </x:c>
      <x:c r="M538" s="24" t="str">
        <x:v>25</x:v>
      </x:c>
      <x:c r="N538" s="24" t="str"/>
      <x:c r="O538" s="24" t="str"/>
      <x:c r="P538" s="24" t="str"/>
      <x:c r="Q538" s="24" t="str">
        <x:v>있음</x:v>
      </x:c>
      <x:c r="R538" s="24" t="str"/>
      <x:c r="S538" s="31" t="n">
        <x:v>108</x:v>
      </x:c>
      <x:c r="T538" s="24" t="str">
        <x:v>연령 확인</x:v>
      </x:c>
      <x:c r="U538" s="24" t="str"/>
    </x:row>
    <x:row r="539" ht="17.25" customHeight="1">
      <x:c r="A539" s="24" t="str">
        <x:v>PR-C-302보9212-2-20211201-109</x:v>
      </x:c>
      <x:c r="B539" s="24" t="str">
        <x:v>프라임구독</x:v>
      </x:c>
      <x:c r="C539" s="24" t="str">
        <x:v>302보9212</x:v>
      </x:c>
      <x:c r="D539" s="31" t="n">
        <x:v>2</x:v>
      </x:c>
      <x:c r="E539" s="24" t="str">
        <x:v>이력</x:v>
      </x:c>
      <x:c r="F539" s="24" t="str">
        <x:v>종료</x:v>
      </x:c>
      <x:c r="G539" s="24" t="str">
        <x:v>최대규</x:v>
      </x:c>
      <x:c r="H539" s="30" t="n">
        <x:v>44531</x:v>
      </x:c>
      <x:c r="I539" s="30" t="n">
        <x:v>45616</x:v>
      </x:c>
      <x:c r="J539" s="30" t="n">
        <x:v>45616</x:v>
      </x:c>
      <x:c r="K539" s="32" t="n">
        <x:v>499000</x:v>
      </x:c>
      <x:c r="L539" s="32" t="n">
        <x:v>1150000</x:v>
      </x:c>
      <x:c r="M539" s="24" t="str"/>
      <x:c r="N539" s="24" t="str"/>
      <x:c r="O539" s="24" t="str"/>
      <x:c r="P539" s="24" t="str"/>
      <x:c r="Q539" s="24" t="str">
        <x:v>있음</x:v>
      </x:c>
      <x:c r="R539" s="24" t="str"/>
      <x:c r="S539" s="31" t="n">
        <x:v>109</x:v>
      </x:c>
      <x:c r="T539" s="24" t="str">
        <x:v>연령 확인</x:v>
      </x:c>
      <x:c r="U539" s="24" t="str"/>
    </x:row>
    <x:row r="540" ht="17.25" customHeight="1">
      <x:c r="A540" s="24" t="str">
        <x:v>PR-C-309무3799-1-20240618-110</x:v>
      </x:c>
      <x:c r="B540" s="24" t="str">
        <x:v>프라임구독</x:v>
      </x:c>
      <x:c r="C540" s="24" t="str">
        <x:v>309무3799</x:v>
      </x:c>
      <x:c r="D540" s="31" t="n">
        <x:v>1</x:v>
      </x:c>
      <x:c r="E540" s="24" t="str">
        <x:v>현재칸</x:v>
      </x:c>
      <x:c r="F540" s="24" t="str">
        <x:v>구독</x:v>
      </x:c>
      <x:c r="G540" s="24" t="str">
        <x:v>신용엽</x:v>
      </x:c>
      <x:c r="H540" s="30" t="n">
        <x:v>45461</x:v>
      </x:c>
      <x:c r="I540" s="30" t="n">
        <x:v>46929</x:v>
      </x:c>
      <x:c r="J540" s="30"/>
      <x:c r="K540" s="32" t="n">
        <x:v>559000</x:v>
      </x:c>
      <x:c r="L540" s="32" t="n">
        <x:v>1200000</x:v>
      </x:c>
      <x:c r="M540" s="24" t="str">
        <x:v>25</x:v>
      </x:c>
      <x:c r="N540" s="24" t="str"/>
      <x:c r="O540" s="24" t="str"/>
      <x:c r="P540" s="24" t="str"/>
      <x:c r="Q540" s="24" t="str">
        <x:v>있음</x:v>
      </x:c>
      <x:c r="R540" s="24" t="str"/>
      <x:c r="S540" s="31" t="n">
        <x:v>110</x:v>
      </x:c>
      <x:c r="T540" s="24" t="str">
        <x:v>연령 확인</x:v>
      </x:c>
      <x:c r="U540" s="24" t="str"/>
    </x:row>
    <x:row r="541" ht="17.25" customHeight="1">
      <x:c r="A541" s="24" t="str">
        <x:v>PR-C-30고0596-2-20230102-111</x:v>
      </x:c>
      <x:c r="B541" s="24" t="str">
        <x:v>프라임구독</x:v>
      </x:c>
      <x:c r="C541" s="24" t="str">
        <x:v>30고0596</x:v>
      </x:c>
      <x:c r="D541" s="31" t="n">
        <x:v>2</x:v>
      </x:c>
      <x:c r="E541" s="24" t="str">
        <x:v>이력</x:v>
      </x:c>
      <x:c r="F541" s="24" t="str">
        <x:v>종료</x:v>
      </x:c>
      <x:c r="G541" s="24" t="str">
        <x:v>서희철2</x:v>
      </x:c>
      <x:c r="H541" s="30" t="n">
        <x:v>44928</x:v>
      </x:c>
      <x:c r="I541" s="30" t="n">
        <x:v>46006</x:v>
      </x:c>
      <x:c r="J541" s="30" t="n">
        <x:v>46006</x:v>
      </x:c>
      <x:c r="K541" s="32" t="n">
        <x:v>919000</x:v>
      </x:c>
      <x:c r="L541" s="32" t="n">
        <x:v>2000000</x:v>
      </x:c>
      <x:c r="M541" s="24" t="str"/>
      <x:c r="N541" s="24" t="str"/>
      <x:c r="O541" s="24" t="str"/>
      <x:c r="P541" s="24" t="str"/>
      <x:c r="Q541" s="24" t="str">
        <x:v>없음</x:v>
      </x:c>
      <x:c r="R541" s="24" t="str"/>
      <x:c r="S541" s="31" t="n">
        <x:v>111</x:v>
      </x:c>
      <x:c r="T541" s="24" t="str">
        <x:v>연령 확인</x:v>
      </x:c>
      <x:c r="U541" s="24" t="str"/>
    </x:row>
    <x:row r="542" ht="17.25" customHeight="1">
      <x:c r="A542" s="24" t="str">
        <x:v>PR-C-31저0628-2-20230130-112</x:v>
      </x:c>
      <x:c r="B542" s="24" t="str">
        <x:v>프라임구독</x:v>
      </x:c>
      <x:c r="C542" s="24" t="str">
        <x:v>31저0628</x:v>
      </x:c>
      <x:c r="D542" s="31" t="n">
        <x:v>2</x:v>
      </x:c>
      <x:c r="E542" s="24" t="str">
        <x:v>이력</x:v>
      </x:c>
      <x:c r="F542" s="24" t="str">
        <x:v>종료</x:v>
      </x:c>
      <x:c r="G542" s="24" t="str">
        <x:v>박정우</x:v>
      </x:c>
      <x:c r="H542" s="30" t="n">
        <x:v>44956</x:v>
      </x:c>
      <x:c r="I542" s="30" t="n">
        <x:v>46068</x:v>
      </x:c>
      <x:c r="J542" s="30" t="n">
        <x:v>46068</x:v>
      </x:c>
      <x:c r="K542" s="32" t="n">
        <x:v>1141000</x:v>
      </x:c>
      <x:c r="L542" s="32" t="n">
        <x:v>2450000</x:v>
      </x:c>
      <x:c r="M542" s="24" t="str"/>
      <x:c r="N542" s="24" t="str"/>
      <x:c r="O542" s="24" t="str"/>
      <x:c r="P542" s="24" t="str"/>
      <x:c r="Q542" s="24" t="str">
        <x:v>있음</x:v>
      </x:c>
      <x:c r="R542" s="24" t="str"/>
      <x:c r="S542" s="31" t="n">
        <x:v>112</x:v>
      </x:c>
      <x:c r="T542" s="24" t="str">
        <x:v>연령 확인</x:v>
      </x:c>
      <x:c r="U542" s="24" t="str"/>
    </x:row>
    <x:row r="543" ht="17.25" customHeight="1">
      <x:c r="A543" s="24" t="str">
        <x:v>PR-C-322주8288-2-20230203-113</x:v>
      </x:c>
      <x:c r="B543" s="24" t="str">
        <x:v>프라임구독</x:v>
      </x:c>
      <x:c r="C543" s="24" t="str">
        <x:v>322주8288</x:v>
      </x:c>
      <x:c r="D543" s="31" t="n">
        <x:v>2</x:v>
      </x:c>
      <x:c r="E543" s="24" t="str">
        <x:v>이력</x:v>
      </x:c>
      <x:c r="F543" s="24" t="str">
        <x:v>종료</x:v>
      </x:c>
      <x:c r="G543" s="24" t="str"/>
      <x:c r="H543" s="30" t="n">
        <x:v>44960</x:v>
      </x:c>
      <x:c r="I543" s="30" t="n">
        <x:v>46068</x:v>
      </x:c>
      <x:c r="J543" s="30" t="n">
        <x:v>46068</x:v>
      </x:c>
      <x:c r="K543" s="32" t="n">
        <x:v>868000</x:v>
      </x:c>
      <x:c r="L543" s="32" t="n">
        <x:v>1830000</x:v>
      </x:c>
      <x:c r="M543" s="24" t="str"/>
      <x:c r="N543" s="24" t="str"/>
      <x:c r="O543" s="24" t="str"/>
      <x:c r="P543" s="24" t="str"/>
      <x:c r="Q543" s="24" t="str">
        <x:v>없음</x:v>
      </x:c>
      <x:c r="R543" s="24" t="str"/>
      <x:c r="S543" s="31" t="n">
        <x:v>113</x:v>
      </x:c>
      <x:c r="T543" s="24" t="str">
        <x:v>연령 확인</x:v>
      </x:c>
      <x:c r="U543" s="24" t="str"/>
    </x:row>
    <x:row r="544" ht="17.25" customHeight="1">
      <x:c r="A544" s="24" t="str">
        <x:v>PR-C-32오3869-2-20220510-114</x:v>
      </x:c>
      <x:c r="B544" s="24" t="str">
        <x:v>프라임구독</x:v>
      </x:c>
      <x:c r="C544" s="24" t="str">
        <x:v>32오3869</x:v>
      </x:c>
      <x:c r="D544" s="31" t="n">
        <x:v>2</x:v>
      </x:c>
      <x:c r="E544" s="24" t="str">
        <x:v>이력</x:v>
      </x:c>
      <x:c r="F544" s="24" t="str">
        <x:v>종료</x:v>
      </x:c>
      <x:c r="G544" s="24" t="str">
        <x:v>피은수</x:v>
      </x:c>
      <x:c r="H544" s="30" t="n">
        <x:v>44691</x:v>
      </x:c>
      <x:c r="I544" s="30" t="n">
        <x:v>45802</x:v>
      </x:c>
      <x:c r="J544" s="30" t="n">
        <x:v>45802</x:v>
      </x:c>
      <x:c r="K544" s="32" t="n">
        <x:v>783000</x:v>
      </x:c>
      <x:c r="L544" s="32" t="n">
        <x:v>1690000</x:v>
      </x:c>
      <x:c r="M544" s="24" t="str"/>
      <x:c r="N544" s="24" t="str"/>
      <x:c r="O544" s="24" t="str"/>
      <x:c r="P544" s="24" t="str"/>
      <x:c r="Q544" s="24" t="str">
        <x:v>있음</x:v>
      </x:c>
      <x:c r="R544" s="24" t="str"/>
      <x:c r="S544" s="31" t="n">
        <x:v>114</x:v>
      </x:c>
      <x:c r="T544" s="24" t="str">
        <x:v>연령 확인</x:v>
      </x:c>
      <x:c r="U544" s="24" t="str"/>
    </x:row>
    <x:row r="545" ht="17.25" customHeight="1">
      <x:c r="A545" s="24" t="str">
        <x:v>PR-C-338우2810-2-20230213-115</x:v>
      </x:c>
      <x:c r="B545" s="24" t="str">
        <x:v>프라임구독</x:v>
      </x:c>
      <x:c r="C545" s="24" t="str">
        <x:v>338우2810</x:v>
      </x:c>
      <x:c r="D545" s="31" t="n">
        <x:v>2</x:v>
      </x:c>
      <x:c r="E545" s="24" t="str">
        <x:v>이력</x:v>
      </x:c>
      <x:c r="F545" s="24" t="str">
        <x:v>종료</x:v>
      </x:c>
      <x:c r="G545" s="24" t="str">
        <x:v>김성희</x:v>
      </x:c>
      <x:c r="H545" s="30" t="n">
        <x:v>44970</x:v>
      </x:c>
      <x:c r="I545" s="30" t="n">
        <x:v>46073</x:v>
      </x:c>
      <x:c r="J545" s="30" t="n">
        <x:v>46073</x:v>
      </x:c>
      <x:c r="K545" s="32" t="n">
        <x:v>769000</x:v>
      </x:c>
      <x:c r="L545" s="32" t="n">
        <x:v>1660000</x:v>
      </x:c>
      <x:c r="M545" s="24" t="str"/>
      <x:c r="N545" s="24" t="str"/>
      <x:c r="O545" s="24" t="str"/>
      <x:c r="P545" s="24" t="str"/>
      <x:c r="Q545" s="24" t="str">
        <x:v>있음</x:v>
      </x:c>
      <x:c r="R545" s="24" t="str"/>
      <x:c r="S545" s="31" t="n">
        <x:v>115</x:v>
      </x:c>
      <x:c r="T545" s="24" t="str">
        <x:v>연령 확인</x:v>
      </x:c>
      <x:c r="U545" s="24" t="str"/>
    </x:row>
    <x:row r="546" ht="17.25" customHeight="1">
      <x:c r="A546" s="24" t="str">
        <x:v>PR-C-33모8923-2-20221027-116</x:v>
      </x:c>
      <x:c r="B546" s="24" t="str">
        <x:v>프라임구독</x:v>
      </x:c>
      <x:c r="C546" s="24" t="str">
        <x:v>33모8923</x:v>
      </x:c>
      <x:c r="D546" s="31" t="n">
        <x:v>2</x:v>
      </x:c>
      <x:c r="E546" s="24" t="str">
        <x:v>이력</x:v>
      </x:c>
      <x:c r="F546" s="24" t="str">
        <x:v>종료</x:v>
      </x:c>
      <x:c r="G546" s="24" t="str">
        <x:v>박찬호</x:v>
      </x:c>
      <x:c r="H546" s="30" t="n">
        <x:v>44861</x:v>
      </x:c>
      <x:c r="I546" s="30" t="n">
        <x:v>45950</x:v>
      </x:c>
      <x:c r="J546" s="30" t="n">
        <x:v>45950</x:v>
      </x:c>
      <x:c r="K546" s="32" t="n">
        <x:v>593000</x:v>
      </x:c>
      <x:c r="L546" s="32" t="n">
        <x:v>1300000</x:v>
      </x:c>
      <x:c r="M546" s="24" t="str"/>
      <x:c r="N546" s="24" t="str"/>
      <x:c r="O546" s="24" t="str"/>
      <x:c r="P546" s="24" t="str"/>
      <x:c r="Q546" s="24" t="str">
        <x:v>있음</x:v>
      </x:c>
      <x:c r="R546" s="24" t="str"/>
      <x:c r="S546" s="31" t="n">
        <x:v>116</x:v>
      </x:c>
      <x:c r="T546" s="24" t="str">
        <x:v>연령 확인</x:v>
      </x:c>
      <x:c r="U546" s="24" t="str"/>
    </x:row>
    <x:row r="547" ht="17.25" customHeight="1">
      <x:c r="A547" s="24" t="str">
        <x:v>PR-C-340고3084-2-20220705-117</x:v>
      </x:c>
      <x:c r="B547" s="24" t="str">
        <x:v>프라임구독</x:v>
      </x:c>
      <x:c r="C547" s="24" t="str">
        <x:v>340고3084</x:v>
      </x:c>
      <x:c r="D547" s="31" t="n">
        <x:v>2</x:v>
      </x:c>
      <x:c r="E547" s="24" t="str">
        <x:v>이력</x:v>
      </x:c>
      <x:c r="F547" s="24" t="str">
        <x:v>종료</x:v>
      </x:c>
      <x:c r="G547" s="24" t="str">
        <x:v>한다혜</x:v>
      </x:c>
      <x:c r="H547" s="30" t="n">
        <x:v>44747</x:v>
      </x:c>
      <x:c r="I547" s="30" t="n">
        <x:v>46198</x:v>
      </x:c>
      <x:c r="J547" s="30" t="n">
        <x:v>46198</x:v>
      </x:c>
      <x:c r="K547" s="32" t="n">
        <x:v>370000</x:v>
      </x:c>
      <x:c r="L547" s="32" t="n">
        <x:v>2445000</x:v>
      </x:c>
      <x:c r="M547" s="24" t="str"/>
      <x:c r="N547" s="24" t="str"/>
      <x:c r="O547" s="24" t="str"/>
      <x:c r="P547" s="24" t="str"/>
      <x:c r="Q547" s="24" t="str">
        <x:v>있음</x:v>
      </x:c>
      <x:c r="R547" s="24" t="str"/>
      <x:c r="S547" s="31" t="n">
        <x:v>117</x:v>
      </x:c>
      <x:c r="T547" s="24" t="str">
        <x:v>연령 확인</x:v>
      </x:c>
      <x:c r="U547" s="24" t="str"/>
    </x:row>
    <x:row r="548" ht="17.25" customHeight="1">
      <x:c r="A548" s="24" t="str">
        <x:v>PR-C-343거1533-2-20230605-118</x:v>
      </x:c>
      <x:c r="B548" s="24" t="str">
        <x:v>프라임구독</x:v>
      </x:c>
      <x:c r="C548" s="24" t="str">
        <x:v>343거1533</x:v>
      </x:c>
      <x:c r="D548" s="31" t="n">
        <x:v>2</x:v>
      </x:c>
      <x:c r="E548" s="24" t="str">
        <x:v>이력</x:v>
      </x:c>
      <x:c r="F548" s="24" t="str">
        <x:v>종료</x:v>
      </x:c>
      <x:c r="G548" s="24" t="str">
        <x:v>신기윤</x:v>
      </x:c>
      <x:c r="H548" s="30" t="n">
        <x:v>45082</x:v>
      </x:c>
      <x:c r="I548" s="30" t="n">
        <x:v>46558</x:v>
      </x:c>
      <x:c r="J548" s="30" t="n">
        <x:v>46558</x:v>
      </x:c>
      <x:c r="K548" s="32" t="n">
        <x:v>604000</x:v>
      </x:c>
      <x:c r="L548" s="32" t="n">
        <x:v>1600000</x:v>
      </x:c>
      <x:c r="M548" s="24" t="str"/>
      <x:c r="N548" s="24" t="str"/>
      <x:c r="O548" s="24" t="str"/>
      <x:c r="P548" s="24" t="str"/>
      <x:c r="Q548" s="24" t="str">
        <x:v>있음</x:v>
      </x:c>
      <x:c r="R548" s="24" t="str"/>
      <x:c r="S548" s="31" t="n">
        <x:v>118</x:v>
      </x:c>
      <x:c r="T548" s="24" t="str">
        <x:v>연령 확인</x:v>
      </x:c>
      <x:c r="U548" s="24" t="str"/>
    </x:row>
    <x:row r="549" ht="17.25" customHeight="1">
      <x:c r="A549" s="24" t="str">
        <x:v>PR-C-34구0251-1-20240415-119</x:v>
      </x:c>
      <x:c r="B549" s="24" t="str">
        <x:v>프라임구독</x:v>
      </x:c>
      <x:c r="C549" s="24" t="str">
        <x:v>34구0251</x:v>
      </x:c>
      <x:c r="D549" s="31" t="n">
        <x:v>1</x:v>
      </x:c>
      <x:c r="E549" s="24" t="str">
        <x:v>현재칸</x:v>
      </x:c>
      <x:c r="F549" s="24" t="str">
        <x:v>구독</x:v>
      </x:c>
      <x:c r="G549" s="24" t="str">
        <x:v>김진성2</x:v>
      </x:c>
      <x:c r="H549" s="30" t="n">
        <x:v>45397</x:v>
      </x:c>
      <x:c r="I549" s="30" t="n">
        <x:v>46863</x:v>
      </x:c>
      <x:c r="J549" s="30"/>
      <x:c r="K549" s="32" t="n">
        <x:v>550000</x:v>
      </x:c>
      <x:c r="L549" s="32" t="n">
        <x:v>1200000</x:v>
      </x:c>
      <x:c r="M549" s="24" t="str">
        <x:v>20</x:v>
      </x:c>
      <x:c r="N549" s="24" t="str"/>
      <x:c r="O549" s="24" t="str"/>
      <x:c r="P549" s="24" t="str"/>
      <x:c r="Q549" s="24" t="str">
        <x:v>있음</x:v>
      </x:c>
      <x:c r="R549" s="24" t="str"/>
      <x:c r="S549" s="31" t="n">
        <x:v>119</x:v>
      </x:c>
      <x:c r="T549" s="24" t="str">
        <x:v>연령 확인</x:v>
      </x:c>
      <x:c r="U549" s="24" t="str"/>
    </x:row>
    <x:row r="550" ht="17.25" customHeight="1">
      <x:c r="A550" s="24" t="str">
        <x:v>PR-C-34우4050-2-20221130-120</x:v>
      </x:c>
      <x:c r="B550" s="24" t="str">
        <x:v>프라임구독</x:v>
      </x:c>
      <x:c r="C550" s="24" t="str">
        <x:v>34우4050</x:v>
      </x:c>
      <x:c r="D550" s="31" t="n">
        <x:v>2</x:v>
      </x:c>
      <x:c r="E550" s="24" t="str">
        <x:v>이력</x:v>
      </x:c>
      <x:c r="F550" s="24" t="str">
        <x:v>종료</x:v>
      </x:c>
      <x:c r="G550" s="24" t="str">
        <x:v>박현수</x:v>
      </x:c>
      <x:c r="H550" s="30" t="n">
        <x:v>44895</x:v>
      </x:c>
      <x:c r="I550" s="30" t="n">
        <x:v>45991</x:v>
      </x:c>
      <x:c r="J550" s="30" t="n">
        <x:v>45991</x:v>
      </x:c>
      <x:c r="K550" s="32" t="n">
        <x:v>515000</x:v>
      </x:c>
      <x:c r="L550" s="32" t="n">
        <x:v>1100000</x:v>
      </x:c>
      <x:c r="M550" s="24" t="str"/>
      <x:c r="N550" s="24" t="str"/>
      <x:c r="O550" s="24" t="str"/>
      <x:c r="P550" s="24" t="str"/>
      <x:c r="Q550" s="24" t="str">
        <x:v>있음</x:v>
      </x:c>
      <x:c r="R550" s="24" t="str"/>
      <x:c r="S550" s="31" t="n">
        <x:v>120</x:v>
      </x:c>
      <x:c r="T550" s="24" t="str">
        <x:v>연령 확인</x:v>
      </x:c>
      <x:c r="U550" s="24" t="str"/>
    </x:row>
    <x:row r="551" ht="17.25" customHeight="1">
      <x:c r="A551" s="24" t="str">
        <x:v>PR-C-355루1724-2-20221118-121</x:v>
      </x:c>
      <x:c r="B551" s="24" t="str">
        <x:v>프라임구독</x:v>
      </x:c>
      <x:c r="C551" s="24" t="str">
        <x:v>355루1724</x:v>
      </x:c>
      <x:c r="D551" s="31" t="n">
        <x:v>2</x:v>
      </x:c>
      <x:c r="E551" s="24" t="str">
        <x:v>이력</x:v>
      </x:c>
      <x:c r="F551" s="24" t="str">
        <x:v>종료</x:v>
      </x:c>
      <x:c r="G551" s="24" t="str">
        <x:v>강만석</x:v>
      </x:c>
      <x:c r="H551" s="30" t="n">
        <x:v>44883</x:v>
      </x:c>
      <x:c r="I551" s="30" t="n">
        <x:v>45971</x:v>
      </x:c>
      <x:c r="J551" s="30" t="n">
        <x:v>45971</x:v>
      </x:c>
      <x:c r="K551" s="32" t="n">
        <x:v>1379000</x:v>
      </x:c>
      <x:c r="L551" s="32" t="n">
        <x:v>3000000</x:v>
      </x:c>
      <x:c r="M551" s="24" t="str"/>
      <x:c r="N551" s="24" t="str"/>
      <x:c r="O551" s="24" t="str"/>
      <x:c r="P551" s="24" t="str"/>
      <x:c r="Q551" s="24" t="str">
        <x:v>있음</x:v>
      </x:c>
      <x:c r="R551" s="24" t="str"/>
      <x:c r="S551" s="31" t="n">
        <x:v>121</x:v>
      </x:c>
      <x:c r="T551" s="24" t="str">
        <x:v>연령 확인</x:v>
      </x:c>
      <x:c r="U551" s="24" t="str"/>
    </x:row>
    <x:row r="552" ht="17.25" customHeight="1">
      <x:c r="A552" s="24" t="str">
        <x:v>PR-C-358다8942-1-20230112-122</x:v>
      </x:c>
      <x:c r="B552" s="24" t="str">
        <x:v>프라임구독</x:v>
      </x:c>
      <x:c r="C552" s="24" t="str">
        <x:v>358다8942</x:v>
      </x:c>
      <x:c r="D552" s="31" t="n">
        <x:v>1</x:v>
      </x:c>
      <x:c r="E552" s="24" t="str">
        <x:v>현재칸</x:v>
      </x:c>
      <x:c r="F552" s="24" t="str">
        <x:v>구독</x:v>
      </x:c>
      <x:c r="G552" s="24" t="str">
        <x:v>김종범</x:v>
      </x:c>
      <x:c r="H552" s="30" t="n">
        <x:v>44938</x:v>
      </x:c>
      <x:c r="I552" s="30" t="n">
        <x:v>46032</x:v>
      </x:c>
      <x:c r="J552" s="30"/>
      <x:c r="K552" s="32" t="n">
        <x:v>736000</x:v>
      </x:c>
      <x:c r="L552" s="32" t="n">
        <x:v>1580000</x:v>
      </x:c>
      <x:c r="M552" s="24" t="str">
        <x:v>10</x:v>
      </x:c>
      <x:c r="N552" s="24" t="str"/>
      <x:c r="O552" s="24" t="str"/>
      <x:c r="P552" s="24" t="str"/>
      <x:c r="Q552" s="24" t="str">
        <x:v>있음</x:v>
      </x:c>
      <x:c r="R552" s="24" t="str"/>
      <x:c r="S552" s="31" t="n">
        <x:v>122</x:v>
      </x:c>
      <x:c r="T552" s="24" t="str">
        <x:v>연령 확인</x:v>
      </x:c>
      <x:c r="U552" s="24" t="str"/>
    </x:row>
    <x:row r="553" ht="17.25" customHeight="1">
      <x:c r="A553" s="24" t="str">
        <x:v>PR-C-35라3486-2-20230201-123</x:v>
      </x:c>
      <x:c r="B553" s="24" t="str">
        <x:v>프라임구독</x:v>
      </x:c>
      <x:c r="C553" s="24" t="str">
        <x:v>35라3486</x:v>
      </x:c>
      <x:c r="D553" s="31" t="n">
        <x:v>2</x:v>
      </x:c>
      <x:c r="E553" s="24" t="str">
        <x:v>이력</x:v>
      </x:c>
      <x:c r="F553" s="24" t="str">
        <x:v>종료</x:v>
      </x:c>
      <x:c r="G553" s="24" t="str">
        <x:v>안정호</x:v>
      </x:c>
      <x:c r="H553" s="30" t="n">
        <x:v>44958</x:v>
      </x:c>
      <x:c r="I553" s="30" t="n">
        <x:v>46042</x:v>
      </x:c>
      <x:c r="J553" s="30" t="n">
        <x:v>46042</x:v>
      </x:c>
      <x:c r="K553" s="32" t="n">
        <x:v>772000</x:v>
      </x:c>
      <x:c r="L553" s="32" t="n">
        <x:v>1650000</x:v>
      </x:c>
      <x:c r="M553" s="24" t="str"/>
      <x:c r="N553" s="24" t="str"/>
      <x:c r="O553" s="24" t="str"/>
      <x:c r="P553" s="24" t="str"/>
      <x:c r="Q553" s="24" t="str">
        <x:v>있음</x:v>
      </x:c>
      <x:c r="R553" s="24" t="str"/>
      <x:c r="S553" s="31" t="n">
        <x:v>123</x:v>
      </x:c>
      <x:c r="T553" s="24" t="str">
        <x:v>연령 확인</x:v>
      </x:c>
      <x:c r="U553" s="24" t="str"/>
    </x:row>
    <x:row r="554" ht="17.25" customHeight="1">
      <x:c r="A554" s="24" t="str">
        <x:v>PR-C-35조0980-1-20230811-124</x:v>
      </x:c>
      <x:c r="B554" s="24" t="str">
        <x:v>프라임구독</x:v>
      </x:c>
      <x:c r="C554" s="24" t="str">
        <x:v>35조0980</x:v>
      </x:c>
      <x:c r="D554" s="31" t="n">
        <x:v>1</x:v>
      </x:c>
      <x:c r="E554" s="24" t="str">
        <x:v>현재칸</x:v>
      </x:c>
      <x:c r="F554" s="24" t="str">
        <x:v>구독</x:v>
      </x:c>
      <x:c r="G554" s="24" t="str">
        <x:v>김진성1</x:v>
      </x:c>
      <x:c r="H554" s="30" t="n">
        <x:v>45149</x:v>
      </x:c>
      <x:c r="I554" s="30" t="n">
        <x:v>46619</x:v>
      </x:c>
      <x:c r="J554" s="30"/>
      <x:c r="K554" s="32" t="n">
        <x:v>856000</x:v>
      </x:c>
      <x:c r="L554" s="32" t="n">
        <x:v>2300000</x:v>
      </x:c>
      <x:c r="M554" s="24" t="str">
        <x:v>20</x:v>
      </x:c>
      <x:c r="N554" s="24" t="str"/>
      <x:c r="O554" s="24" t="str"/>
      <x:c r="P554" s="24" t="str"/>
      <x:c r="Q554" s="24" t="str">
        <x:v>있음</x:v>
      </x:c>
      <x:c r="R554" s="24" t="str"/>
      <x:c r="S554" s="31" t="n">
        <x:v>124</x:v>
      </x:c>
      <x:c r="T554" s="24" t="str">
        <x:v>연령 확인</x:v>
      </x:c>
      <x:c r="U554" s="24" t="str"/>
    </x:row>
    <x:row r="555" ht="17.25" customHeight="1">
      <x:c r="A555" s="24" t="str">
        <x:v>PR-C-366버2054-2-20211209-125</x:v>
      </x:c>
      <x:c r="B555" s="24" t="str">
        <x:v>프라임구독</x:v>
      </x:c>
      <x:c r="C555" s="24" t="str">
        <x:v>366버2054</x:v>
      </x:c>
      <x:c r="D555" s="31" t="n">
        <x:v>2</x:v>
      </x:c>
      <x:c r="E555" s="24" t="str">
        <x:v>이력</x:v>
      </x:c>
      <x:c r="F555" s="24" t="str">
        <x:v>종료</x:v>
      </x:c>
      <x:c r="G555" s="24" t="str">
        <x:v>박영균1</x:v>
      </x:c>
      <x:c r="H555" s="30" t="n">
        <x:v>44539</x:v>
      </x:c>
      <x:c r="I555" s="30" t="n">
        <x:v>45636</x:v>
      </x:c>
      <x:c r="J555" s="30" t="n">
        <x:v>45636</x:v>
      </x:c>
      <x:c r="K555" s="32" t="n">
        <x:v>324000</x:v>
      </x:c>
      <x:c r="L555" s="32" t="n">
        <x:v>750000</x:v>
      </x:c>
      <x:c r="M555" s="24" t="str"/>
      <x:c r="N555" s="24" t="str"/>
      <x:c r="O555" s="24" t="str"/>
      <x:c r="P555" s="24" t="str"/>
      <x:c r="Q555" s="24" t="str">
        <x:v>있음</x:v>
      </x:c>
      <x:c r="R555" s="24" t="str"/>
      <x:c r="S555" s="31" t="n">
        <x:v>125</x:v>
      </x:c>
      <x:c r="T555" s="24" t="str">
        <x:v>연령 확인</x:v>
      </x:c>
      <x:c r="U555" s="24" t="str"/>
    </x:row>
    <x:row r="556" ht="17.25" customHeight="1">
      <x:c r="A556" s="24" t="str">
        <x:v>PR-C-36너9100-2-20220830-126</x:v>
      </x:c>
      <x:c r="B556" s="24" t="str">
        <x:v>프라임구독</x:v>
      </x:c>
      <x:c r="C556" s="24" t="str">
        <x:v>36너9100</x:v>
      </x:c>
      <x:c r="D556" s="31" t="n">
        <x:v>2</x:v>
      </x:c>
      <x:c r="E556" s="24" t="str">
        <x:v>이력</x:v>
      </x:c>
      <x:c r="F556" s="24" t="str">
        <x:v>종료</x:v>
      </x:c>
      <x:c r="G556" s="24" t="str">
        <x:v>장명수</x:v>
      </x:c>
      <x:c r="H556" s="30" t="n">
        <x:v>44803</x:v>
      </x:c>
      <x:c r="I556" s="30" t="n">
        <x:v>45915</x:v>
      </x:c>
      <x:c r="J556" s="30" t="n">
        <x:v>45915</x:v>
      </x:c>
      <x:c r="K556" s="32" t="n">
        <x:v>858000</x:v>
      </x:c>
      <x:c r="L556" s="32" t="n">
        <x:v>1900000</x:v>
      </x:c>
      <x:c r="M556" s="24" t="str"/>
      <x:c r="N556" s="24" t="str"/>
      <x:c r="O556" s="24" t="str"/>
      <x:c r="P556" s="24" t="str"/>
      <x:c r="Q556" s="24" t="str">
        <x:v>있음</x:v>
      </x:c>
      <x:c r="R556" s="24" t="str"/>
      <x:c r="S556" s="31" t="n">
        <x:v>126</x:v>
      </x:c>
      <x:c r="T556" s="24" t="str">
        <x:v>연령 확인</x:v>
      </x:c>
      <x:c r="U556" s="24" t="str"/>
    </x:row>
    <x:row r="557" ht="17.25" customHeight="1">
      <x:c r="A557" s="24" t="str">
        <x:v>PR-C-36조8835-2-20220822-127</x:v>
      </x:c>
      <x:c r="B557" s="24" t="str">
        <x:v>프라임구독</x:v>
      </x:c>
      <x:c r="C557" s="24" t="str">
        <x:v>36조8835</x:v>
      </x:c>
      <x:c r="D557" s="31" t="n">
        <x:v>2</x:v>
      </x:c>
      <x:c r="E557" s="24" t="str">
        <x:v>이력</x:v>
      </x:c>
      <x:c r="F557" s="24" t="str">
        <x:v>종료</x:v>
      </x:c>
      <x:c r="G557" s="24" t="str">
        <x:v>이상진</x:v>
      </x:c>
      <x:c r="H557" s="30" t="n">
        <x:v>44795</x:v>
      </x:c>
      <x:c r="I557" s="30" t="n">
        <x:v>45894</x:v>
      </x:c>
      <x:c r="J557" s="30" t="n">
        <x:v>45894</x:v>
      </x:c>
      <x:c r="K557" s="32" t="n">
        <x:v>593000</x:v>
      </x:c>
      <x:c r="L557" s="32" t="n">
        <x:v>1300000</x:v>
      </x:c>
      <x:c r="M557" s="24" t="str"/>
      <x:c r="N557" s="24" t="str"/>
      <x:c r="O557" s="24" t="str"/>
      <x:c r="P557" s="24" t="str"/>
      <x:c r="Q557" s="24" t="str">
        <x:v>있음</x:v>
      </x:c>
      <x:c r="R557" s="24" t="str"/>
      <x:c r="S557" s="31" t="n">
        <x:v>127</x:v>
      </x:c>
      <x:c r="T557" s="24" t="str">
        <x:v>연령 확인</x:v>
      </x:c>
      <x:c r="U557" s="24" t="str"/>
    </x:row>
    <x:row r="558" ht="17.25" customHeight="1">
      <x:c r="A558" s="24" t="str">
        <x:v>PR-C-372너6080-2-20221209-128</x:v>
      </x:c>
      <x:c r="B558" s="24" t="str">
        <x:v>프라임구독</x:v>
      </x:c>
      <x:c r="C558" s="24" t="str">
        <x:v>372너6080</x:v>
      </x:c>
      <x:c r="D558" s="31" t="n">
        <x:v>2</x:v>
      </x:c>
      <x:c r="E558" s="24" t="str">
        <x:v>이력</x:v>
      </x:c>
      <x:c r="F558" s="24" t="str">
        <x:v>종료</x:v>
      </x:c>
      <x:c r="G558" s="24" t="str">
        <x:v>허야긴</x:v>
      </x:c>
      <x:c r="H558" s="30" t="n">
        <x:v>44904</x:v>
      </x:c>
      <x:c r="I558" s="30" t="n">
        <x:v>46001</x:v>
      </x:c>
      <x:c r="J558" s="30" t="n">
        <x:v>46001</x:v>
      </x:c>
      <x:c r="K558" s="32" t="n">
        <x:v>585000</x:v>
      </x:c>
      <x:c r="L558" s="32"/>
      <x:c r="M558" s="24" t="str"/>
      <x:c r="N558" s="24" t="str"/>
      <x:c r="O558" s="24" t="str"/>
      <x:c r="P558" s="24" t="str"/>
      <x:c r="Q558" s="24" t="str">
        <x:v>있음</x:v>
      </x:c>
      <x:c r="R558" s="24" t="str"/>
      <x:c r="S558" s="31" t="n">
        <x:v>128</x:v>
      </x:c>
      <x:c r="T558" s="24" t="str">
        <x:v>연령 확인</x:v>
      </x:c>
      <x:c r="U558" s="24" t="str">
        <x:v>-</x:v>
      </x:c>
    </x:row>
    <x:row r="559" ht="17.25" customHeight="1">
      <x:c r="A559" s="24" t="str">
        <x:v>PR-C-375노8331-2-20221213-129</x:v>
      </x:c>
      <x:c r="B559" s="24" t="str">
        <x:v>프라임구독</x:v>
      </x:c>
      <x:c r="C559" s="24" t="str">
        <x:v>375노8331</x:v>
      </x:c>
      <x:c r="D559" s="31" t="n">
        <x:v>2</x:v>
      </x:c>
      <x:c r="E559" s="24" t="str">
        <x:v>이력</x:v>
      </x:c>
      <x:c r="F559" s="24" t="str">
        <x:v>종료</x:v>
      </x:c>
      <x:c r="G559" s="24" t="str">
        <x:v>황주영</x:v>
      </x:c>
      <x:c r="H559" s="30" t="n">
        <x:v>44908</x:v>
      </x:c>
      <x:c r="I559" s="30" t="n">
        <x:v>46001</x:v>
      </x:c>
      <x:c r="J559" s="30" t="n">
        <x:v>46001</x:v>
      </x:c>
      <x:c r="K559" s="32" t="n">
        <x:v>448000</x:v>
      </x:c>
      <x:c r="L559" s="32" t="n">
        <x:v>1000000</x:v>
      </x:c>
      <x:c r="M559" s="24" t="str"/>
      <x:c r="N559" s="24" t="str"/>
      <x:c r="O559" s="24" t="str"/>
      <x:c r="P559" s="24" t="str"/>
      <x:c r="Q559" s="24" t="str">
        <x:v>있음</x:v>
      </x:c>
      <x:c r="R559" s="24" t="str"/>
      <x:c r="S559" s="31" t="n">
        <x:v>129</x:v>
      </x:c>
      <x:c r="T559" s="24" t="str">
        <x:v>연령 확인</x:v>
      </x:c>
      <x:c r="U559" s="24" t="str"/>
    </x:row>
    <x:row r="560" ht="17.25" customHeight="1">
      <x:c r="A560" s="24" t="str">
        <x:v>PR-C-375어9516-2-20221125-130</x:v>
      </x:c>
      <x:c r="B560" s="24" t="str">
        <x:v>프라임구독</x:v>
      </x:c>
      <x:c r="C560" s="24" t="str">
        <x:v>375어9516</x:v>
      </x:c>
      <x:c r="D560" s="31" t="n">
        <x:v>2</x:v>
      </x:c>
      <x:c r="E560" s="24" t="str">
        <x:v>이력</x:v>
      </x:c>
      <x:c r="F560" s="24" t="str">
        <x:v>종료</x:v>
      </x:c>
      <x:c r="G560" s="24" t="str">
        <x:v>서정빈</x:v>
      </x:c>
      <x:c r="H560" s="30" t="n">
        <x:v>44890</x:v>
      </x:c>
      <x:c r="I560" s="30" t="n">
        <x:v>45971</x:v>
      </x:c>
      <x:c r="J560" s="30" t="n">
        <x:v>45971</x:v>
      </x:c>
      <x:c r="K560" s="32" t="n">
        <x:v>699000</x:v>
      </x:c>
      <x:c r="L560" s="32" t="n">
        <x:v>1600000</x:v>
      </x:c>
      <x:c r="M560" s="24" t="str"/>
      <x:c r="N560" s="24" t="str"/>
      <x:c r="O560" s="24" t="str"/>
      <x:c r="P560" s="24" t="str"/>
      <x:c r="Q560" s="24" t="str">
        <x:v>있음</x:v>
      </x:c>
      <x:c r="R560" s="24" t="str"/>
      <x:c r="S560" s="31" t="n">
        <x:v>130</x:v>
      </x:c>
      <x:c r="T560" s="24" t="str">
        <x:v>연령 확인</x:v>
      </x:c>
      <x:c r="U560" s="24" t="str"/>
    </x:row>
    <x:row r="561" ht="17.25" customHeight="1">
      <x:c r="A561" s="24" t="str">
        <x:v>PR-C-37가6818-2-20220624-131</x:v>
      </x:c>
      <x:c r="B561" s="24" t="str">
        <x:v>프라임구독</x:v>
      </x:c>
      <x:c r="C561" s="24" t="str">
        <x:v>37가6818</x:v>
      </x:c>
      <x:c r="D561" s="31" t="n">
        <x:v>2</x:v>
      </x:c>
      <x:c r="E561" s="24" t="str">
        <x:v>이력</x:v>
      </x:c>
      <x:c r="F561" s="24" t="str">
        <x:v>종료</x:v>
      </x:c>
      <x:c r="G561" s="24" t="str">
        <x:v>김진덕</x:v>
      </x:c>
      <x:c r="H561" s="30" t="n">
        <x:v>44736</x:v>
      </x:c>
      <x:c r="I561" s="30" t="n">
        <x:v>45833</x:v>
      </x:c>
      <x:c r="J561" s="30" t="n">
        <x:v>45833</x:v>
      </x:c>
      <x:c r="K561" s="32" t="n">
        <x:v>448000</x:v>
      </x:c>
      <x:c r="L561" s="32" t="n">
        <x:v>1000000</x:v>
      </x:c>
      <x:c r="M561" s="24" t="str"/>
      <x:c r="N561" s="24" t="str"/>
      <x:c r="O561" s="24" t="str"/>
      <x:c r="P561" s="24" t="str"/>
      <x:c r="Q561" s="24" t="str">
        <x:v>있음</x:v>
      </x:c>
      <x:c r="R561" s="24" t="str"/>
      <x:c r="S561" s="31" t="n">
        <x:v>131</x:v>
      </x:c>
      <x:c r="T561" s="24" t="str">
        <x:v>연령 확인</x:v>
      </x:c>
      <x:c r="U561" s="24" t="str"/>
    </x:row>
    <x:row r="562" ht="17.25" customHeight="1">
      <x:c r="A562" s="24" t="str">
        <x:v>PR-C-37루0709-2-20211029-132</x:v>
      </x:c>
      <x:c r="B562" s="24" t="str">
        <x:v>프라임구독</x:v>
      </x:c>
      <x:c r="C562" s="24" t="str">
        <x:v>37루0709</x:v>
      </x:c>
      <x:c r="D562" s="31" t="n">
        <x:v>2</x:v>
      </x:c>
      <x:c r="E562" s="24" t="str">
        <x:v>이력</x:v>
      </x:c>
      <x:c r="F562" s="24" t="str">
        <x:v>종료</x:v>
      </x:c>
      <x:c r="G562" s="24" t="str">
        <x:v>김용수</x:v>
      </x:c>
      <x:c r="H562" s="30" t="n">
        <x:v>44498</x:v>
      </x:c>
      <x:c r="I562" s="30" t="n">
        <x:v>45585</x:v>
      </x:c>
      <x:c r="J562" s="30" t="n">
        <x:v>45585</x:v>
      </x:c>
      <x:c r="K562" s="32" t="n">
        <x:v>835000</x:v>
      </x:c>
      <x:c r="L562" s="32" t="n">
        <x:v>1800000</x:v>
      </x:c>
      <x:c r="M562" s="24" t="str"/>
      <x:c r="N562" s="24" t="str"/>
      <x:c r="O562" s="24" t="str"/>
      <x:c r="P562" s="24" t="str"/>
      <x:c r="Q562" s="24" t="str">
        <x:v>있음</x:v>
      </x:c>
      <x:c r="R562" s="24" t="str"/>
      <x:c r="S562" s="31" t="n">
        <x:v>132</x:v>
      </x:c>
      <x:c r="T562" s="24" t="str">
        <x:v>연령 확인</x:v>
      </x:c>
      <x:c r="U562" s="24" t="str"/>
    </x:row>
    <x:row r="563" ht="17.25" customHeight="1">
      <x:c r="A563" s="24" t="str">
        <x:v>PR-C-37무0235-2-20230314-133</x:v>
      </x:c>
      <x:c r="B563" s="24" t="str">
        <x:v>프라임구독</x:v>
      </x:c>
      <x:c r="C563" s="24" t="str">
        <x:v>37무0235</x:v>
      </x:c>
      <x:c r="D563" s="31" t="n">
        <x:v>2</x:v>
      </x:c>
      <x:c r="E563" s="24" t="str">
        <x:v>이력</x:v>
      </x:c>
      <x:c r="F563" s="24" t="str">
        <x:v>종료</x:v>
      </x:c>
      <x:c r="G563" s="24" t="str">
        <x:v>박창섭</x:v>
      </x:c>
      <x:c r="H563" s="30" t="n">
        <x:v>44999</x:v>
      </x:c>
      <x:c r="I563" s="30" t="n">
        <x:v>46091</x:v>
      </x:c>
      <x:c r="J563" s="30" t="n">
        <x:v>46091</x:v>
      </x:c>
      <x:c r="K563" s="32" t="n">
        <x:v>759000</x:v>
      </x:c>
      <x:c r="L563" s="32" t="n">
        <x:v>1000000</x:v>
      </x:c>
      <x:c r="M563" s="24" t="str"/>
      <x:c r="N563" s="24" t="str"/>
      <x:c r="O563" s="24" t="str"/>
      <x:c r="P563" s="24" t="str"/>
      <x:c r="Q563" s="24" t="str">
        <x:v>있음</x:v>
      </x:c>
      <x:c r="R563" s="24" t="str"/>
      <x:c r="S563" s="31" t="n">
        <x:v>133</x:v>
      </x:c>
      <x:c r="T563" s="24" t="str">
        <x:v>연령 확인</x:v>
      </x:c>
      <x:c r="U563" s="24" t="str"/>
    </x:row>
    <x:row r="564" ht="17.25" customHeight="1">
      <x:c r="A564" s="24" t="str">
        <x:v>PR-C-37부6628-1-20231031-134</x:v>
      </x:c>
      <x:c r="B564" s="24" t="str">
        <x:v>프라임구독</x:v>
      </x:c>
      <x:c r="C564" s="24" t="str">
        <x:v>37부6628</x:v>
      </x:c>
      <x:c r="D564" s="31" t="n">
        <x:v>1</x:v>
      </x:c>
      <x:c r="E564" s="24" t="str">
        <x:v>현재칸</x:v>
      </x:c>
      <x:c r="F564" s="24" t="str">
        <x:v>구독</x:v>
      </x:c>
      <x:c r="G564" s="24" t="str">
        <x:v>배초롱</x:v>
      </x:c>
      <x:c r="H564" s="30" t="n">
        <x:v>45230</x:v>
      </x:c>
      <x:c r="I564" s="30" t="n">
        <x:v>46680</x:v>
      </x:c>
      <x:c r="J564" s="30"/>
      <x:c r="K564" s="32" t="n">
        <x:v>770000</x:v>
      </x:c>
      <x:c r="L564" s="32" t="n">
        <x:v>2120000</x:v>
      </x:c>
      <x:c r="M564" s="24" t="str">
        <x:v>20</x:v>
      </x:c>
      <x:c r="N564" s="24" t="str"/>
      <x:c r="O564" s="24" t="str"/>
      <x:c r="P564" s="24" t="str"/>
      <x:c r="Q564" s="24" t="str">
        <x:v>있음</x:v>
      </x:c>
      <x:c r="R564" s="24" t="str"/>
      <x:c r="S564" s="31" t="n">
        <x:v>134</x:v>
      </x:c>
      <x:c r="T564" s="24" t="str">
        <x:v>연령 확인</x:v>
      </x:c>
      <x:c r="U564" s="24" t="str"/>
    </x:row>
    <x:row r="565" ht="17.25" customHeight="1">
      <x:c r="A565" s="24" t="str">
        <x:v>PR-C-383고5530-2-20230102-135</x:v>
      </x:c>
      <x:c r="B565" s="24" t="str">
        <x:v>프라임구독</x:v>
      </x:c>
      <x:c r="C565" s="24" t="str">
        <x:v>383고5530</x:v>
      </x:c>
      <x:c r="D565" s="31" t="n">
        <x:v>2</x:v>
      </x:c>
      <x:c r="E565" s="24" t="str">
        <x:v>이력</x:v>
      </x:c>
      <x:c r="F565" s="24" t="str">
        <x:v>종료</x:v>
      </x:c>
      <x:c r="G565" s="24" t="str">
        <x:v>최창석</x:v>
      </x:c>
      <x:c r="H565" s="30" t="n">
        <x:v>44928</x:v>
      </x:c>
      <x:c r="I565" s="30" t="n">
        <x:v>46021</x:v>
      </x:c>
      <x:c r="J565" s="30" t="n">
        <x:v>46021</x:v>
      </x:c>
      <x:c r="K565" s="32" t="n">
        <x:v>1103000</x:v>
      </x:c>
      <x:c r="L565" s="32" t="n">
        <x:v>2000000</x:v>
      </x:c>
      <x:c r="M565" s="24" t="str"/>
      <x:c r="N565" s="24" t="str"/>
      <x:c r="O565" s="24" t="str"/>
      <x:c r="P565" s="24" t="str"/>
      <x:c r="Q565" s="24" t="str">
        <x:v>있음</x:v>
      </x:c>
      <x:c r="R565" s="24" t="str"/>
      <x:c r="S565" s="31" t="n">
        <x:v>135</x:v>
      </x:c>
      <x:c r="T565" s="24" t="str">
        <x:v>연령 확인</x:v>
      </x:c>
      <x:c r="U565" s="24" t="str"/>
    </x:row>
    <x:row r="566" ht="17.25" customHeight="1">
      <x:c r="A566" s="24" t="str">
        <x:v>PR-C-385두9468-2-20220810-136</x:v>
      </x:c>
      <x:c r="B566" s="24" t="str">
        <x:v>프라임구독</x:v>
      </x:c>
      <x:c r="C566" s="24" t="str">
        <x:v>385두9468</x:v>
      </x:c>
      <x:c r="D566" s="31" t="n">
        <x:v>2</x:v>
      </x:c>
      <x:c r="E566" s="24" t="str">
        <x:v>이력</x:v>
      </x:c>
      <x:c r="F566" s="24" t="str">
        <x:v>종료</x:v>
      </x:c>
      <x:c r="G566" s="24" t="str">
        <x:v>신철호</x:v>
      </x:c>
      <x:c r="H566" s="30" t="n">
        <x:v>44783</x:v>
      </x:c>
      <x:c r="I566" s="30" t="n">
        <x:v>45889</x:v>
      </x:c>
      <x:c r="J566" s="30" t="n">
        <x:v>45889</x:v>
      </x:c>
      <x:c r="K566" s="32" t="n">
        <x:v>486000</x:v>
      </x:c>
      <x:c r="L566" s="32"/>
      <x:c r="M566" s="24" t="str"/>
      <x:c r="N566" s="24" t="str"/>
      <x:c r="O566" s="24" t="str"/>
      <x:c r="P566" s="24" t="str"/>
      <x:c r="Q566" s="24" t="str">
        <x:v>있음</x:v>
      </x:c>
      <x:c r="R566" s="24" t="str"/>
      <x:c r="S566" s="31" t="n">
        <x:v>136</x:v>
      </x:c>
      <x:c r="T566" s="24" t="str">
        <x:v>연령 확인</x:v>
      </x:c>
      <x:c r="U566" s="24" t="str">
        <x:v>-</x:v>
      </x:c>
    </x:row>
    <x:row r="567" ht="17.25" customHeight="1">
      <x:c r="A567" s="24" t="str">
        <x:v>PR-C-38거0839-1-20240130-137</x:v>
      </x:c>
      <x:c r="B567" s="24" t="str">
        <x:v>프라임구독</x:v>
      </x:c>
      <x:c r="C567" s="24" t="str">
        <x:v>38거0839</x:v>
      </x:c>
      <x:c r="D567" s="31" t="n">
        <x:v>1</x:v>
      </x:c>
      <x:c r="E567" s="24" t="str">
        <x:v>현재칸</x:v>
      </x:c>
      <x:c r="F567" s="24" t="str">
        <x:v>구독</x:v>
      </x:c>
      <x:c r="G567" s="24" t="str">
        <x:v>김준모</x:v>
      </x:c>
      <x:c r="H567" s="30" t="n">
        <x:v>45321</x:v>
      </x:c>
      <x:c r="I567" s="30" t="n">
        <x:v>46788</x:v>
      </x:c>
      <x:c r="J567" s="30"/>
      <x:c r="K567" s="32" t="n">
        <x:v>573000</x:v>
      </x:c>
      <x:c r="L567" s="32" t="n">
        <x:v>1550000</x:v>
      </x:c>
      <x:c r="M567" s="24" t="str">
        <x:v>5</x:v>
      </x:c>
      <x:c r="N567" s="24" t="str"/>
      <x:c r="O567" s="24" t="str"/>
      <x:c r="P567" s="24" t="str"/>
      <x:c r="Q567" s="24" t="str">
        <x:v>없음</x:v>
      </x:c>
      <x:c r="R567" s="24" t="str"/>
      <x:c r="S567" s="31" t="n">
        <x:v>137</x:v>
      </x:c>
      <x:c r="T567" s="24" t="str">
        <x:v>연령 확인</x:v>
      </x:c>
      <x:c r="U567" s="24" t="str"/>
    </x:row>
    <x:row r="568" ht="17.25" customHeight="1">
      <x:c r="A568" s="24" t="str">
        <x:v>PR-C-38나0980-2-20221212-138</x:v>
      </x:c>
      <x:c r="B568" s="24" t="str">
        <x:v>프라임구독</x:v>
      </x:c>
      <x:c r="C568" s="24" t="str">
        <x:v>38나0980</x:v>
      </x:c>
      <x:c r="D568" s="31" t="n">
        <x:v>2</x:v>
      </x:c>
      <x:c r="E568" s="24" t="str">
        <x:v>이력</x:v>
      </x:c>
      <x:c r="F568" s="24" t="str">
        <x:v>종료</x:v>
      </x:c>
      <x:c r="G568" s="24" t="str">
        <x:v>박재한</x:v>
      </x:c>
      <x:c r="H568" s="30" t="n">
        <x:v>44907</x:v>
      </x:c>
      <x:c r="I568" s="30" t="n">
        <x:v>46021</x:v>
      </x:c>
      <x:c r="J568" s="30" t="n">
        <x:v>46021</x:v>
      </x:c>
      <x:c r="K568" s="32" t="n">
        <x:v>493000</x:v>
      </x:c>
      <x:c r="L568" s="32" t="n">
        <x:v>1100000</x:v>
      </x:c>
      <x:c r="M568" s="24" t="str"/>
      <x:c r="N568" s="24" t="str"/>
      <x:c r="O568" s="24" t="str"/>
      <x:c r="P568" s="24" t="str"/>
      <x:c r="Q568" s="24" t="str">
        <x:v>있음</x:v>
      </x:c>
      <x:c r="R568" s="24" t="str"/>
      <x:c r="S568" s="31" t="n">
        <x:v>138</x:v>
      </x:c>
      <x:c r="T568" s="24" t="str">
        <x:v>연령 확인</x:v>
      </x:c>
      <x:c r="U568" s="24" t="str"/>
    </x:row>
    <x:row r="569" ht="17.25" customHeight="1">
      <x:c r="A569" s="24" t="str">
        <x:v>PR-C-38모0931-2-20220923-139</x:v>
      </x:c>
      <x:c r="B569" s="24" t="str">
        <x:v>프라임구독</x:v>
      </x:c>
      <x:c r="C569" s="24" t="str">
        <x:v>38모0931</x:v>
      </x:c>
      <x:c r="D569" s="31" t="n">
        <x:v>2</x:v>
      </x:c>
      <x:c r="E569" s="24" t="str">
        <x:v>이력</x:v>
      </x:c>
      <x:c r="F569" s="24" t="str">
        <x:v>종료</x:v>
      </x:c>
      <x:c r="G569" s="24" t="str">
        <x:v>우경희</x:v>
      </x:c>
      <x:c r="H569" s="30" t="n">
        <x:v>44827</x:v>
      </x:c>
      <x:c r="I569" s="30" t="n">
        <x:v>45935</x:v>
      </x:c>
      <x:c r="J569" s="30" t="n">
        <x:v>45935</x:v>
      </x:c>
      <x:c r="K569" s="32" t="n">
        <x:v>710000</x:v>
      </x:c>
      <x:c r="L569" s="32" t="n">
        <x:v>1600000</x:v>
      </x:c>
      <x:c r="M569" s="24" t="str"/>
      <x:c r="N569" s="24" t="str"/>
      <x:c r="O569" s="24" t="str"/>
      <x:c r="P569" s="24" t="str"/>
      <x:c r="Q569" s="24" t="str">
        <x:v>있음</x:v>
      </x:c>
      <x:c r="R569" s="24" t="str"/>
      <x:c r="S569" s="31" t="n">
        <x:v>139</x:v>
      </x:c>
      <x:c r="T569" s="24" t="str">
        <x:v>연령 확인</x:v>
      </x:c>
      <x:c r="U569" s="24" t="str"/>
    </x:row>
    <x:row r="570" ht="17.25" customHeight="1">
      <x:c r="A570" s="24" t="str">
        <x:v>PR-C-392주8214-2-20220323-140</x:v>
      </x:c>
      <x:c r="B570" s="24" t="str">
        <x:v>프라임구독</x:v>
      </x:c>
      <x:c r="C570" s="24" t="str">
        <x:v>392주8214</x:v>
      </x:c>
      <x:c r="D570" s="31" t="n">
        <x:v>2</x:v>
      </x:c>
      <x:c r="E570" s="24" t="str">
        <x:v>이력</x:v>
      </x:c>
      <x:c r="F570" s="24" t="str">
        <x:v>종료</x:v>
      </x:c>
      <x:c r="G570" s="24" t="str">
        <x:v>하갑영1</x:v>
      </x:c>
      <x:c r="H570" s="30" t="n">
        <x:v>44643</x:v>
      </x:c>
      <x:c r="I570" s="30" t="n">
        <x:v>45736</x:v>
      </x:c>
      <x:c r="J570" s="30" t="n">
        <x:v>45736</x:v>
      </x:c>
      <x:c r="K570" s="32" t="n">
        <x:v>500000</x:v>
      </x:c>
      <x:c r="L570" s="32" t="n">
        <x:v>1450000</x:v>
      </x:c>
      <x:c r="M570" s="24" t="str"/>
      <x:c r="N570" s="24" t="str"/>
      <x:c r="O570" s="24" t="str"/>
      <x:c r="P570" s="24" t="str"/>
      <x:c r="Q570" s="24" t="str">
        <x:v>있음</x:v>
      </x:c>
      <x:c r="R570" s="24" t="str"/>
      <x:c r="S570" s="31" t="n">
        <x:v>140</x:v>
      </x:c>
      <x:c r="T570" s="24" t="str">
        <x:v>연령 확인</x:v>
      </x:c>
      <x:c r="U570" s="24" t="str"/>
    </x:row>
    <x:row r="571" ht="17.25" customHeight="1">
      <x:c r="A571" s="24" t="str">
        <x:v>PR-C-392주8214-3-20220323-140</x:v>
      </x:c>
      <x:c r="B571" s="24" t="str">
        <x:v>프라임구독</x:v>
      </x:c>
      <x:c r="C571" s="24" t="str">
        <x:v>392주8214</x:v>
      </x:c>
      <x:c r="D571" s="31" t="n">
        <x:v>3</x:v>
      </x:c>
      <x:c r="E571" s="24" t="str">
        <x:v>이력</x:v>
      </x:c>
      <x:c r="F571" s="24" t="str">
        <x:v>종료</x:v>
      </x:c>
      <x:c r="G571" s="24" t="str">
        <x:v>하갑영1</x:v>
      </x:c>
      <x:c r="H571" s="30" t="n">
        <x:v>44643</x:v>
      </x:c>
      <x:c r="I571" s="30" t="n">
        <x:v>45736</x:v>
      </x:c>
      <x:c r="J571" s="30" t="n">
        <x:v>45736</x:v>
      </x:c>
      <x:c r="K571" s="32" t="n">
        <x:v>500000</x:v>
      </x:c>
      <x:c r="L571" s="32" t="n">
        <x:v>1450000</x:v>
      </x:c>
      <x:c r="M571" s="24" t="str"/>
      <x:c r="N571" s="24" t="str"/>
      <x:c r="O571" s="24" t="str"/>
      <x:c r="P571" s="24" t="str"/>
      <x:c r="Q571" s="24" t="str">
        <x:v>있음</x:v>
      </x:c>
      <x:c r="R571" s="24" t="str"/>
      <x:c r="S571" s="31" t="n">
        <x:v>140</x:v>
      </x:c>
      <x:c r="T571" s="24" t="str">
        <x:v>연령 확인</x:v>
      </x:c>
      <x:c r="U571" s="24" t="str"/>
    </x:row>
    <x:row r="572" ht="17.25" customHeight="1">
      <x:c r="A572" s="24" t="str">
        <x:v>PR-C-399저1006-2-20221121-141</x:v>
      </x:c>
      <x:c r="B572" s="24" t="str">
        <x:v>프라임구독</x:v>
      </x:c>
      <x:c r="C572" s="24" t="str">
        <x:v>399저1006</x:v>
      </x:c>
      <x:c r="D572" s="31" t="n">
        <x:v>2</x:v>
      </x:c>
      <x:c r="E572" s="24" t="str">
        <x:v>이력</x:v>
      </x:c>
      <x:c r="F572" s="24" t="str">
        <x:v>종료</x:v>
      </x:c>
      <x:c r="G572" s="24" t="str">
        <x:v>이종혁</x:v>
      </x:c>
      <x:c r="H572" s="30" t="n">
        <x:v>44886</x:v>
      </x:c>
      <x:c r="I572" s="30" t="n">
        <x:v>45981</x:v>
      </x:c>
      <x:c r="J572" s="30" t="n">
        <x:v>45981</x:v>
      </x:c>
      <x:c r="K572" s="32" t="n">
        <x:v>618000</x:v>
      </x:c>
      <x:c r="L572" s="32" t="n">
        <x:v>1350000</x:v>
      </x:c>
      <x:c r="M572" s="24" t="str"/>
      <x:c r="N572" s="24" t="str"/>
      <x:c r="O572" s="24" t="str"/>
      <x:c r="P572" s="24" t="str"/>
      <x:c r="Q572" s="24" t="str">
        <x:v>없음</x:v>
      </x:c>
      <x:c r="R572" s="24" t="str"/>
      <x:c r="S572" s="31" t="n">
        <x:v>141</x:v>
      </x:c>
      <x:c r="T572" s="24" t="str">
        <x:v>연령 확인</x:v>
      </x:c>
      <x:c r="U572" s="24" t="str"/>
    </x:row>
    <x:row r="573" ht="17.25" customHeight="1">
      <x:c r="A573" s="24" t="str">
        <x:v>PR-C-40가4998-2-20221115-142</x:v>
      </x:c>
      <x:c r="B573" s="24" t="str">
        <x:v>프라임구독</x:v>
      </x:c>
      <x:c r="C573" s="24" t="str">
        <x:v>40가4998</x:v>
      </x:c>
      <x:c r="D573" s="31" t="n">
        <x:v>2</x:v>
      </x:c>
      <x:c r="E573" s="24" t="str">
        <x:v>이력</x:v>
      </x:c>
      <x:c r="F573" s="24" t="str">
        <x:v>종료</x:v>
      </x:c>
      <x:c r="G573" s="24" t="str">
        <x:v>이한나</x:v>
      </x:c>
      <x:c r="H573" s="30" t="n">
        <x:v>44880</x:v>
      </x:c>
      <x:c r="I573" s="30" t="n">
        <x:v>45971</x:v>
      </x:c>
      <x:c r="J573" s="30" t="n">
        <x:v>45971</x:v>
      </x:c>
      <x:c r="K573" s="32" t="n">
        <x:v>1033000</x:v>
      </x:c>
      <x:c r="L573" s="32" t="n">
        <x:v>2300000</x:v>
      </x:c>
      <x:c r="M573" s="24" t="str"/>
      <x:c r="N573" s="24" t="str"/>
      <x:c r="O573" s="24" t="str"/>
      <x:c r="P573" s="24" t="str"/>
      <x:c r="Q573" s="24" t="str">
        <x:v>있음</x:v>
      </x:c>
      <x:c r="R573" s="24" t="str"/>
      <x:c r="S573" s="31" t="n">
        <x:v>142</x:v>
      </x:c>
      <x:c r="T573" s="24" t="str">
        <x:v>연령 확인</x:v>
      </x:c>
      <x:c r="U573" s="24" t="str"/>
    </x:row>
    <x:row r="574" ht="17.25" customHeight="1">
      <x:c r="A574" s="24" t="str">
        <x:v>PR-C-41누0758-1-20221125-143</x:v>
      </x:c>
      <x:c r="B574" s="24" t="str">
        <x:v>프라임구독</x:v>
      </x:c>
      <x:c r="C574" s="24" t="str">
        <x:v>41누0758</x:v>
      </x:c>
      <x:c r="D574" s="31" t="n">
        <x:v>1</x:v>
      </x:c>
      <x:c r="E574" s="24" t="str">
        <x:v>현재칸</x:v>
      </x:c>
      <x:c r="F574" s="24" t="str">
        <x:v>구독</x:v>
      </x:c>
      <x:c r="G574" s="24" t="str">
        <x:v>장두식</x:v>
      </x:c>
      <x:c r="H574" s="30" t="n">
        <x:v>44890</x:v>
      </x:c>
      <x:c r="I574" s="30" t="n">
        <x:v>45981</x:v>
      </x:c>
      <x:c r="J574" s="30"/>
      <x:c r="K574" s="32" t="n">
        <x:v>421000</x:v>
      </x:c>
      <x:c r="L574" s="32" t="n">
        <x:v>900000</x:v>
      </x:c>
      <x:c r="M574" s="24" t="str">
        <x:v>20</x:v>
      </x:c>
      <x:c r="N574" s="24" t="str"/>
      <x:c r="O574" s="24" t="str"/>
      <x:c r="P574" s="24" t="str"/>
      <x:c r="Q574" s="24" t="str">
        <x:v>있음</x:v>
      </x:c>
      <x:c r="R574" s="24" t="str"/>
      <x:c r="S574" s="31" t="n">
        <x:v>143</x:v>
      </x:c>
      <x:c r="T574" s="24" t="str">
        <x:v>연령 확인</x:v>
      </x:c>
      <x:c r="U574" s="24" t="str"/>
    </x:row>
    <x:row r="575" ht="17.25" customHeight="1">
      <x:c r="A575" s="24" t="str">
        <x:v>PR-C-45구5908-2-20221214-144</x:v>
      </x:c>
      <x:c r="B575" s="24" t="str">
        <x:v>프라임구독</x:v>
      </x:c>
      <x:c r="C575" s="24" t="str">
        <x:v>45구5908</x:v>
      </x:c>
      <x:c r="D575" s="31" t="n">
        <x:v>2</x:v>
      </x:c>
      <x:c r="E575" s="24" t="str">
        <x:v>이력</x:v>
      </x:c>
      <x:c r="F575" s="24" t="str">
        <x:v>종료</x:v>
      </x:c>
      <x:c r="G575" s="24" t="str">
        <x:v>윤자민</x:v>
      </x:c>
      <x:c r="H575" s="30" t="n">
        <x:v>44909</x:v>
      </x:c>
      <x:c r="I575" s="30" t="n">
        <x:v>46011</x:v>
      </x:c>
      <x:c r="J575" s="30" t="n">
        <x:v>46011</x:v>
      </x:c>
      <x:c r="K575" s="32" t="n">
        <x:v>1102000</x:v>
      </x:c>
      <x:c r="L575" s="32" t="n">
        <x:v>2470000</x:v>
      </x:c>
      <x:c r="M575" s="24" t="str"/>
      <x:c r="N575" s="24" t="str"/>
      <x:c r="O575" s="24" t="str"/>
      <x:c r="P575" s="24" t="str"/>
      <x:c r="Q575" s="24" t="str">
        <x:v>있음</x:v>
      </x:c>
      <x:c r="R575" s="24" t="str"/>
      <x:c r="S575" s="31" t="n">
        <x:v>144</x:v>
      </x:c>
      <x:c r="T575" s="24" t="str">
        <x:v>연령 확인</x:v>
      </x:c>
      <x:c r="U575" s="24" t="str"/>
    </x:row>
    <x:row r="576" ht="17.25" customHeight="1">
      <x:c r="A576" s="24" t="str">
        <x:v>PR-C-45도3628-2-20240206-145</x:v>
      </x:c>
      <x:c r="B576" s="24" t="str">
        <x:v>프라임구독</x:v>
      </x:c>
      <x:c r="C576" s="24" t="str">
        <x:v>45도3628</x:v>
      </x:c>
      <x:c r="D576" s="31" t="n">
        <x:v>2</x:v>
      </x:c>
      <x:c r="E576" s="24" t="str">
        <x:v>이력</x:v>
      </x:c>
      <x:c r="F576" s="24" t="str">
        <x:v>종료</x:v>
      </x:c>
      <x:c r="G576" s="24" t="str">
        <x:v>이지연b2</x:v>
      </x:c>
      <x:c r="H576" s="30" t="n">
        <x:v>45328</x:v>
      </x:c>
      <x:c r="I576" s="30" t="n">
        <x:v>45703</x:v>
      </x:c>
      <x:c r="J576" s="30" t="n">
        <x:v>45703</x:v>
      </x:c>
      <x:c r="K576" s="32" t="n">
        <x:v>320000</x:v>
      </x:c>
      <x:c r="L576" s="32" t="n">
        <x:v>670000</x:v>
      </x:c>
      <x:c r="M576" s="24" t="str"/>
      <x:c r="N576" s="24" t="str"/>
      <x:c r="O576" s="24" t="str"/>
      <x:c r="P576" s="24" t="str"/>
      <x:c r="Q576" s="24" t="str">
        <x:v>있음</x:v>
      </x:c>
      <x:c r="R576" s="24" t="str"/>
      <x:c r="S576" s="31" t="n">
        <x:v>145</x:v>
      </x:c>
      <x:c r="T576" s="24" t="str">
        <x:v>연령 확인</x:v>
      </x:c>
      <x:c r="U576" s="24" t="str"/>
    </x:row>
    <x:row r="577" ht="17.25" customHeight="1">
      <x:c r="A577" s="24" t="str">
        <x:v>PR-C-46누5796-2-20220725-146</x:v>
      </x:c>
      <x:c r="B577" s="24" t="str">
        <x:v>프라임구독</x:v>
      </x:c>
      <x:c r="C577" s="24" t="str">
        <x:v>46누5796</x:v>
      </x:c>
      <x:c r="D577" s="31" t="n">
        <x:v>2</x:v>
      </x:c>
      <x:c r="E577" s="24" t="str">
        <x:v>이력</x:v>
      </x:c>
      <x:c r="F577" s="24" t="str">
        <x:v>종료</x:v>
      </x:c>
      <x:c r="G577" s="24" t="str">
        <x:v>박희진</x:v>
      </x:c>
      <x:c r="H577" s="30" t="n">
        <x:v>44767</x:v>
      </x:c>
      <x:c r="I577" s="30" t="n">
        <x:v>45858</x:v>
      </x:c>
      <x:c r="J577" s="30" t="n">
        <x:v>45858</x:v>
      </x:c>
      <x:c r="K577" s="32" t="n">
        <x:v>632000</x:v>
      </x:c>
      <x:c r="L577" s="32" t="n">
        <x:v>1400000</x:v>
      </x:c>
      <x:c r="M577" s="24" t="str"/>
      <x:c r="N577" s="24" t="str"/>
      <x:c r="O577" s="24" t="str"/>
      <x:c r="P577" s="24" t="str"/>
      <x:c r="Q577" s="24" t="str">
        <x:v>있음</x:v>
      </x:c>
      <x:c r="R577" s="24" t="str"/>
      <x:c r="S577" s="31" t="n">
        <x:v>146</x:v>
      </x:c>
      <x:c r="T577" s="24" t="str">
        <x:v>연령 확인</x:v>
      </x:c>
      <x:c r="U577" s="24" t="str"/>
    </x:row>
    <x:row r="578" ht="17.25" customHeight="1">
      <x:c r="A578" s="24" t="str">
        <x:v>PR-C-46루1950-2-20220303-147</x:v>
      </x:c>
      <x:c r="B578" s="24" t="str">
        <x:v>프라임구독</x:v>
      </x:c>
      <x:c r="C578" s="24" t="str">
        <x:v>46루1950</x:v>
      </x:c>
      <x:c r="D578" s="31" t="n">
        <x:v>2</x:v>
      </x:c>
      <x:c r="E578" s="24" t="str">
        <x:v>이력</x:v>
      </x:c>
      <x:c r="F578" s="24" t="str">
        <x:v>종료</x:v>
      </x:c>
      <x:c r="G578" s="24" t="str">
        <x:v>김난주</x:v>
      </x:c>
      <x:c r="H578" s="30" t="n">
        <x:v>44623</x:v>
      </x:c>
      <x:c r="I578" s="30" t="n">
        <x:v>45731</x:v>
      </x:c>
      <x:c r="J578" s="30" t="n">
        <x:v>45731</x:v>
      </x:c>
      <x:c r="K578" s="32" t="n">
        <x:v>580000</x:v>
      </x:c>
      <x:c r="L578" s="32" t="n">
        <x:v>1280000</x:v>
      </x:c>
      <x:c r="M578" s="24" t="str"/>
      <x:c r="N578" s="24" t="str"/>
      <x:c r="O578" s="24" t="str"/>
      <x:c r="P578" s="24" t="str"/>
      <x:c r="Q578" s="24" t="str">
        <x:v>있음</x:v>
      </x:c>
      <x:c r="R578" s="24" t="str"/>
      <x:c r="S578" s="31" t="n">
        <x:v>147</x:v>
      </x:c>
      <x:c r="T578" s="24" t="str">
        <x:v>연령 확인</x:v>
      </x:c>
      <x:c r="U578" s="24" t="str"/>
    </x:row>
    <x:row r="579" ht="17.25" customHeight="1">
      <x:c r="A579" s="24" t="str">
        <x:v>PR-C-47너7301-2-20220607-148</x:v>
      </x:c>
      <x:c r="B579" s="24" t="str">
        <x:v>프라임구독</x:v>
      </x:c>
      <x:c r="C579" s="24" t="str">
        <x:v>47너7301</x:v>
      </x:c>
      <x:c r="D579" s="31" t="n">
        <x:v>2</x:v>
      </x:c>
      <x:c r="E579" s="24" t="str">
        <x:v>이력</x:v>
      </x:c>
      <x:c r="F579" s="24" t="str">
        <x:v>종료</x:v>
      </x:c>
      <x:c r="G579" s="24" t="str">
        <x:v>김세훈</x:v>
      </x:c>
      <x:c r="H579" s="30" t="n">
        <x:v>44719</x:v>
      </x:c>
      <x:c r="I579" s="30" t="n">
        <x:v>45797</x:v>
      </x:c>
      <x:c r="J579" s="30" t="n">
        <x:v>45797</x:v>
      </x:c>
      <x:c r="K579" s="32" t="n">
        <x:v>640000</x:v>
      </x:c>
      <x:c r="L579" s="32" t="n">
        <x:v>1400000</x:v>
      </x:c>
      <x:c r="M579" s="24" t="str"/>
      <x:c r="N579" s="24" t="str"/>
      <x:c r="O579" s="24" t="str"/>
      <x:c r="P579" s="24" t="str"/>
      <x:c r="Q579" s="24" t="str">
        <x:v>있음</x:v>
      </x:c>
      <x:c r="R579" s="24" t="str"/>
      <x:c r="S579" s="31" t="n">
        <x:v>148</x:v>
      </x:c>
      <x:c r="T579" s="24" t="str">
        <x:v>연령 확인</x:v>
      </x:c>
      <x:c r="U579" s="24" t="str"/>
    </x:row>
    <x:row r="580" ht="17.25" customHeight="1">
      <x:c r="A580" s="24" t="str">
        <x:v>PR-C-47마0220-2-20230109-149</x:v>
      </x:c>
      <x:c r="B580" s="24" t="str">
        <x:v>프라임구독</x:v>
      </x:c>
      <x:c r="C580" s="24" t="str">
        <x:v>47마0220</x:v>
      </x:c>
      <x:c r="D580" s="31" t="n">
        <x:v>2</x:v>
      </x:c>
      <x:c r="E580" s="24" t="str">
        <x:v>이력</x:v>
      </x:c>
      <x:c r="F580" s="24" t="str">
        <x:v>종료</x:v>
      </x:c>
      <x:c r="G580" s="24" t="str">
        <x:v>심기섭</x:v>
      </x:c>
      <x:c r="H580" s="30" t="n">
        <x:v>44935</x:v>
      </x:c>
      <x:c r="I580" s="30" t="n">
        <x:v>46042</x:v>
      </x:c>
      <x:c r="J580" s="30" t="n">
        <x:v>46042</x:v>
      </x:c>
      <x:c r="K580" s="32" t="n">
        <x:v>887000</x:v>
      </x:c>
      <x:c r="L580" s="32" t="n">
        <x:v>1894938</x:v>
      </x:c>
      <x:c r="M580" s="24" t="str"/>
      <x:c r="N580" s="24" t="str"/>
      <x:c r="O580" s="24" t="str"/>
      <x:c r="P580" s="24" t="str"/>
      <x:c r="Q580" s="24" t="str">
        <x:v>있음</x:v>
      </x:c>
      <x:c r="R580" s="24" t="str"/>
      <x:c r="S580" s="31" t="n">
        <x:v>149</x:v>
      </x:c>
      <x:c r="T580" s="24" t="str">
        <x:v>연령 확인</x:v>
      </x:c>
      <x:c r="U580" s="24" t="str"/>
    </x:row>
    <x:row r="581" ht="17.25" customHeight="1">
      <x:c r="A581" s="24" t="str">
        <x:v>PR-C-47어0249-2-20230130-150</x:v>
      </x:c>
      <x:c r="B581" s="24" t="str">
        <x:v>프라임구독</x:v>
      </x:c>
      <x:c r="C581" s="24" t="str">
        <x:v>47어0249</x:v>
      </x:c>
      <x:c r="D581" s="31" t="n">
        <x:v>2</x:v>
      </x:c>
      <x:c r="E581" s="24" t="str">
        <x:v>이력</x:v>
      </x:c>
      <x:c r="F581" s="24" t="str">
        <x:v>종료</x:v>
      </x:c>
      <x:c r="G581" s="24" t="str">
        <x:v>정재민</x:v>
      </x:c>
      <x:c r="H581" s="30" t="n">
        <x:v>44956</x:v>
      </x:c>
      <x:c r="I581" s="30" t="n">
        <x:v>46037</x:v>
      </x:c>
      <x:c r="J581" s="30" t="n">
        <x:v>46037</x:v>
      </x:c>
      <x:c r="K581" s="32" t="n">
        <x:v>667000</x:v>
      </x:c>
      <x:c r="L581" s="32"/>
      <x:c r="M581" s="24" t="str"/>
      <x:c r="N581" s="24" t="str"/>
      <x:c r="O581" s="24" t="str"/>
      <x:c r="P581" s="24" t="str"/>
      <x:c r="Q581" s="24" t="str">
        <x:v>있음</x:v>
      </x:c>
      <x:c r="R581" s="24" t="str"/>
      <x:c r="S581" s="31" t="n">
        <x:v>150</x:v>
      </x:c>
      <x:c r="T581" s="24" t="str">
        <x:v>연령 확인</x:v>
      </x:c>
      <x:c r="U581" s="24" t="str">
        <x:v>-</x:v>
      </x:c>
    </x:row>
    <x:row r="582" ht="17.25" customHeight="1">
      <x:c r="A582" s="24" t="str">
        <x:v>PR-C-48라0691-2-20230119-151</x:v>
      </x:c>
      <x:c r="B582" s="24" t="str">
        <x:v>프라임구독</x:v>
      </x:c>
      <x:c r="C582" s="24" t="str">
        <x:v>48라0691</x:v>
      </x:c>
      <x:c r="D582" s="31" t="n">
        <x:v>2</x:v>
      </x:c>
      <x:c r="E582" s="24" t="str">
        <x:v>이력</x:v>
      </x:c>
      <x:c r="F582" s="24" t="str">
        <x:v>종료</x:v>
      </x:c>
      <x:c r="G582" s="24" t="str">
        <x:v>성시향</x:v>
      </x:c>
      <x:c r="H582" s="30" t="n">
        <x:v>44945</x:v>
      </x:c>
      <x:c r="I582" s="30" t="n">
        <x:v>46050</x:v>
      </x:c>
      <x:c r="J582" s="30" t="n">
        <x:v>46050</x:v>
      </x:c>
      <x:c r="K582" s="32" t="n">
        <x:v>672000</x:v>
      </x:c>
      <x:c r="L582" s="32" t="n">
        <x:v>1450000</x:v>
      </x:c>
      <x:c r="M582" s="24" t="str"/>
      <x:c r="N582" s="24" t="str"/>
      <x:c r="O582" s="24" t="str"/>
      <x:c r="P582" s="24" t="str"/>
      <x:c r="Q582" s="24" t="str">
        <x:v>있음</x:v>
      </x:c>
      <x:c r="R582" s="24" t="str"/>
      <x:c r="S582" s="31" t="n">
        <x:v>151</x:v>
      </x:c>
      <x:c r="T582" s="24" t="str">
        <x:v>연령 확인</x:v>
      </x:c>
      <x:c r="U582" s="24" t="str"/>
    </x:row>
    <x:row r="583" ht="17.25" customHeight="1">
      <x:c r="A583" s="24" t="str">
        <x:v>PR-C-48저0234-2-20230209-152</x:v>
      </x:c>
      <x:c r="B583" s="24" t="str">
        <x:v>프라임구독</x:v>
      </x:c>
      <x:c r="C583" s="24" t="str">
        <x:v>48저0234</x:v>
      </x:c>
      <x:c r="D583" s="31" t="n">
        <x:v>2</x:v>
      </x:c>
      <x:c r="E583" s="24" t="str">
        <x:v>이력</x:v>
      </x:c>
      <x:c r="F583" s="24" t="str">
        <x:v>종료</x:v>
      </x:c>
      <x:c r="G583" s="24" t="str">
        <x:v>김준</x:v>
      </x:c>
      <x:c r="H583" s="30" t="n">
        <x:v>44966</x:v>
      </x:c>
      <x:c r="I583" s="30" t="n">
        <x:v>46063</x:v>
      </x:c>
      <x:c r="J583" s="30" t="n">
        <x:v>46063</x:v>
      </x:c>
      <x:c r="K583" s="32" t="n">
        <x:v>815000</x:v>
      </x:c>
      <x:c r="L583" s="32"/>
      <x:c r="M583" s="24" t="str"/>
      <x:c r="N583" s="24" t="str"/>
      <x:c r="O583" s="24" t="str"/>
      <x:c r="P583" s="24" t="str"/>
      <x:c r="Q583" s="24" t="str">
        <x:v>있음</x:v>
      </x:c>
      <x:c r="R583" s="24" t="str"/>
      <x:c r="S583" s="31" t="n">
        <x:v>152</x:v>
      </x:c>
      <x:c r="T583" s="24" t="str">
        <x:v>연령 확인</x:v>
      </x:c>
      <x:c r="U583" s="24" t="str">
        <x:v>-</x:v>
      </x:c>
    </x:row>
    <x:row r="584" ht="17.25" customHeight="1">
      <x:c r="A584" s="24" t="str">
        <x:v>PR-C-49노4773-2-20220104-153</x:v>
      </x:c>
      <x:c r="B584" s="24" t="str">
        <x:v>프라임구독</x:v>
      </x:c>
      <x:c r="C584" s="24" t="str">
        <x:v>49노4773</x:v>
      </x:c>
      <x:c r="D584" s="31" t="n">
        <x:v>2</x:v>
      </x:c>
      <x:c r="E584" s="24" t="str">
        <x:v>이력</x:v>
      </x:c>
      <x:c r="F584" s="24" t="str">
        <x:v>종료</x:v>
      </x:c>
      <x:c r="G584" s="24" t="str">
        <x:v>이수범2</x:v>
      </x:c>
      <x:c r="H584" s="30" t="n">
        <x:v>44565</x:v>
      </x:c>
      <x:c r="I584" s="30" t="n">
        <x:v>45646</x:v>
      </x:c>
      <x:c r="J584" s="30" t="n">
        <x:v>45646</x:v>
      </x:c>
      <x:c r="K584" s="32" t="n">
        <x:v>550000</x:v>
      </x:c>
      <x:c r="L584" s="32" t="n">
        <x:v>1200000</x:v>
      </x:c>
      <x:c r="M584" s="24" t="str"/>
      <x:c r="N584" s="24" t="str"/>
      <x:c r="O584" s="24" t="str"/>
      <x:c r="P584" s="24" t="str"/>
      <x:c r="Q584" s="24" t="str">
        <x:v>있음</x:v>
      </x:c>
      <x:c r="R584" s="24" t="str"/>
      <x:c r="S584" s="31" t="n">
        <x:v>153</x:v>
      </x:c>
      <x:c r="T584" s="24" t="str">
        <x:v>연령 확인</x:v>
      </x:c>
      <x:c r="U584" s="24" t="str"/>
    </x:row>
    <x:row r="585" ht="17.25" customHeight="1">
      <x:c r="A585" s="24" t="str">
        <x:v>PR-C-49누4194-2-20220427-154</x:v>
      </x:c>
      <x:c r="B585" s="24" t="str">
        <x:v>프라임구독</x:v>
      </x:c>
      <x:c r="C585" s="24" t="str">
        <x:v>49누4194</x:v>
      </x:c>
      <x:c r="D585" s="31" t="n">
        <x:v>2</x:v>
      </x:c>
      <x:c r="E585" s="24" t="str">
        <x:v>이력</x:v>
      </x:c>
      <x:c r="F585" s="24" t="str">
        <x:v>종료</x:v>
      </x:c>
      <x:c r="G585" s="24" t="str">
        <x:v>임정은</x:v>
      </x:c>
      <x:c r="H585" s="30" t="n">
        <x:v>44678</x:v>
      </x:c>
      <x:c r="I585" s="30" t="n">
        <x:v>45757</x:v>
      </x:c>
      <x:c r="J585" s="30" t="n">
        <x:v>45757</x:v>
      </x:c>
      <x:c r="K585" s="32" t="n">
        <x:v>565000</x:v>
      </x:c>
      <x:c r="L585" s="32" t="n">
        <x:v>1200000</x:v>
      </x:c>
      <x:c r="M585" s="24" t="str"/>
      <x:c r="N585" s="24" t="str"/>
      <x:c r="O585" s="24" t="str"/>
      <x:c r="P585" s="24" t="str"/>
      <x:c r="Q585" s="24" t="str">
        <x:v>있음</x:v>
      </x:c>
      <x:c r="R585" s="24" t="str"/>
      <x:c r="S585" s="31" t="n">
        <x:v>154</x:v>
      </x:c>
      <x:c r="T585" s="24" t="str">
        <x:v>연령 확인</x:v>
      </x:c>
      <x:c r="U585" s="24" t="str"/>
    </x:row>
    <x:row r="586" ht="17.25" customHeight="1">
      <x:c r="A586" s="24" t="str">
        <x:v>PR-C-49더0163-1-20230705-155</x:v>
      </x:c>
      <x:c r="B586" s="24" t="str">
        <x:v>프라임구독</x:v>
      </x:c>
      <x:c r="C586" s="24" t="str">
        <x:v>49더0163</x:v>
      </x:c>
      <x:c r="D586" s="31" t="n">
        <x:v>1</x:v>
      </x:c>
      <x:c r="E586" s="24" t="str">
        <x:v>현재칸</x:v>
      </x:c>
      <x:c r="F586" s="24" t="str">
        <x:v>구독</x:v>
      </x:c>
      <x:c r="G586" s="24" t="str">
        <x:v>김정웅</x:v>
      </x:c>
      <x:c r="H586" s="30" t="n">
        <x:v>45112</x:v>
      </x:c>
      <x:c r="I586" s="30" t="n">
        <x:v>46583</x:v>
      </x:c>
      <x:c r="J586" s="30"/>
      <x:c r="K586" s="32" t="n">
        <x:v>351000</x:v>
      </x:c>
      <x:c r="L586" s="32"/>
      <x:c r="M586" s="24" t="str">
        <x:v>15</x:v>
      </x:c>
      <x:c r="N586" s="24" t="str"/>
      <x:c r="O586" s="24" t="str"/>
      <x:c r="P586" s="24" t="str"/>
      <x:c r="Q586" s="24" t="str">
        <x:v>있음</x:v>
      </x:c>
      <x:c r="R586" s="24" t="str"/>
      <x:c r="S586" s="31" t="n">
        <x:v>155</x:v>
      </x:c>
      <x:c r="T586" s="24" t="str">
        <x:v>연령 확인</x:v>
      </x:c>
      <x:c r="U586" s="24" t="str">
        <x:v>-</x:v>
      </x:c>
    </x:row>
    <x:row r="587" ht="17.25" customHeight="1">
      <x:c r="A587" s="24" t="str">
        <x:v>PR-C-49두5388-2-20220630-156</x:v>
      </x:c>
      <x:c r="B587" s="24" t="str">
        <x:v>프라임구독</x:v>
      </x:c>
      <x:c r="C587" s="24" t="str">
        <x:v>49두5388</x:v>
      </x:c>
      <x:c r="D587" s="31" t="n">
        <x:v>2</x:v>
      </x:c>
      <x:c r="E587" s="24" t="str">
        <x:v>이력</x:v>
      </x:c>
      <x:c r="F587" s="24" t="str">
        <x:v>종료</x:v>
      </x:c>
      <x:c r="G587" s="24" t="str">
        <x:v>석선영</x:v>
      </x:c>
      <x:c r="H587" s="30" t="n">
        <x:v>44742</x:v>
      </x:c>
      <x:c r="I587" s="30" t="n">
        <x:v>45853</x:v>
      </x:c>
      <x:c r="J587" s="30" t="n">
        <x:v>45853</x:v>
      </x:c>
      <x:c r="K587" s="32" t="n">
        <x:v>457000</x:v>
      </x:c>
      <x:c r="L587" s="32" t="n">
        <x:v>1000000</x:v>
      </x:c>
      <x:c r="M587" s="24" t="str"/>
      <x:c r="N587" s="24" t="str"/>
      <x:c r="O587" s="24" t="str"/>
      <x:c r="P587" s="24" t="str"/>
      <x:c r="Q587" s="24" t="str">
        <x:v>있음</x:v>
      </x:c>
      <x:c r="R587" s="24" t="str"/>
      <x:c r="S587" s="31" t="n">
        <x:v>156</x:v>
      </x:c>
      <x:c r="T587" s="24" t="str">
        <x:v>연령 확인</x:v>
      </x:c>
      <x:c r="U587" s="24" t="str"/>
    </x:row>
    <x:row r="588" ht="17.25" customHeight="1">
      <x:c r="A588" s="24" t="str">
        <x:v>PR-C-49부7248-2-20220926-157</x:v>
      </x:c>
      <x:c r="B588" s="24" t="str">
        <x:v>프라임구독</x:v>
      </x:c>
      <x:c r="C588" s="24" t="str">
        <x:v>49부7248</x:v>
      </x:c>
      <x:c r="D588" s="31" t="n">
        <x:v>2</x:v>
      </x:c>
      <x:c r="E588" s="24" t="str">
        <x:v>이력</x:v>
      </x:c>
      <x:c r="F588" s="24" t="str">
        <x:v>종료</x:v>
      </x:c>
      <x:c r="G588" s="24" t="str">
        <x:v>김인숙</x:v>
      </x:c>
      <x:c r="H588" s="30" t="n">
        <x:v>44830</x:v>
      </x:c>
      <x:c r="I588" s="30" t="n">
        <x:v>45915</x:v>
      </x:c>
      <x:c r="J588" s="30" t="n">
        <x:v>45915</x:v>
      </x:c>
      <x:c r="K588" s="32" t="n">
        <x:v>460000</x:v>
      </x:c>
      <x:c r="L588" s="32" t="n">
        <x:v>1000000</x:v>
      </x:c>
      <x:c r="M588" s="24" t="str"/>
      <x:c r="N588" s="24" t="str"/>
      <x:c r="O588" s="24" t="str"/>
      <x:c r="P588" s="24" t="str"/>
      <x:c r="Q588" s="24" t="str">
        <x:v>있음</x:v>
      </x:c>
      <x:c r="R588" s="24" t="str"/>
      <x:c r="S588" s="31" t="n">
        <x:v>157</x:v>
      </x:c>
      <x:c r="T588" s="24" t="str">
        <x:v>연령 확인</x:v>
      </x:c>
      <x:c r="U588" s="24" t="str"/>
    </x:row>
    <x:row r="589" ht="17.25" customHeight="1">
      <x:c r="A589" s="24" t="str">
        <x:v>PR-C-49수2445-2-20230103-158</x:v>
      </x:c>
      <x:c r="B589" s="24" t="str">
        <x:v>프라임구독</x:v>
      </x:c>
      <x:c r="C589" s="24" t="str">
        <x:v>49수2445</x:v>
      </x:c>
      <x:c r="D589" s="31" t="n">
        <x:v>2</x:v>
      </x:c>
      <x:c r="E589" s="24" t="str">
        <x:v>이력</x:v>
      </x:c>
      <x:c r="F589" s="24" t="str">
        <x:v>종료</x:v>
      </x:c>
      <x:c r="G589" s="24" t="str">
        <x:v>김관배</x:v>
      </x:c>
      <x:c r="H589" s="30" t="n">
        <x:v>44929</x:v>
      </x:c>
      <x:c r="I589" s="30" t="n">
        <x:v>46047</x:v>
      </x:c>
      <x:c r="J589" s="30" t="n">
        <x:v>46047</x:v>
      </x:c>
      <x:c r="K589" s="32" t="n">
        <x:v>787000</x:v>
      </x:c>
      <x:c r="L589" s="32" t="n">
        <x:v>1700000</x:v>
      </x:c>
      <x:c r="M589" s="24" t="str"/>
      <x:c r="N589" s="24" t="str"/>
      <x:c r="O589" s="24" t="str"/>
      <x:c r="P589" s="24" t="str"/>
      <x:c r="Q589" s="24" t="str">
        <x:v>있음</x:v>
      </x:c>
      <x:c r="R589" s="24" t="str"/>
      <x:c r="S589" s="31" t="n">
        <x:v>158</x:v>
      </x:c>
      <x:c r="T589" s="24" t="str">
        <x:v>연령 확인</x:v>
      </x:c>
      <x:c r="U589" s="24" t="str"/>
    </x:row>
    <x:row r="590" ht="17.25" customHeight="1">
      <x:c r="A590" s="24" t="str">
        <x:v>PR-C-49어2497-1-20240403-159</x:v>
      </x:c>
      <x:c r="B590" s="24" t="str">
        <x:v>프라임구독</x:v>
      </x:c>
      <x:c r="C590" s="24" t="str">
        <x:v>49어2497</x:v>
      </x:c>
      <x:c r="D590" s="31" t="n">
        <x:v>1</x:v>
      </x:c>
      <x:c r="E590" s="24" t="str">
        <x:v>현재칸</x:v>
      </x:c>
      <x:c r="F590" s="24" t="str">
        <x:v>구독</x:v>
      </x:c>
      <x:c r="G590" s="24" t="str">
        <x:v>양원호</x:v>
      </x:c>
      <x:c r="H590" s="30" t="n">
        <x:v>45385</x:v>
      </x:c>
      <x:c r="I590" s="30" t="n">
        <x:v>46848</x:v>
      </x:c>
      <x:c r="J590" s="30"/>
      <x:c r="K590" s="32" t="n">
        <x:v>559000</x:v>
      </x:c>
      <x:c r="L590" s="32" t="n">
        <x:v>1200000</x:v>
      </x:c>
      <x:c r="M590" s="24" t="str">
        <x:v>5</x:v>
      </x:c>
      <x:c r="N590" s="24" t="str"/>
      <x:c r="O590" s="24" t="str"/>
      <x:c r="P590" s="24" t="str"/>
      <x:c r="Q590" s="24" t="str">
        <x:v>있음</x:v>
      </x:c>
      <x:c r="R590" s="24" t="str"/>
      <x:c r="S590" s="31" t="n">
        <x:v>159</x:v>
      </x:c>
      <x:c r="T590" s="24" t="str">
        <x:v>연령 확인</x:v>
      </x:c>
      <x:c r="U590" s="24" t="str"/>
    </x:row>
    <x:row r="591" ht="17.25" customHeight="1">
      <x:c r="A591" s="24" t="str">
        <x:v>PR-C-50다0352-2-20240305-160</x:v>
      </x:c>
      <x:c r="B591" s="24" t="str">
        <x:v>프라임구독</x:v>
      </x:c>
      <x:c r="C591" s="24" t="str">
        <x:v>50다0352</x:v>
      </x:c>
      <x:c r="D591" s="31" t="n">
        <x:v>2</x:v>
      </x:c>
      <x:c r="E591" s="24" t="str">
        <x:v>이력</x:v>
      </x:c>
      <x:c r="F591" s="24" t="str">
        <x:v>종료</x:v>
      </x:c>
      <x:c r="G591" s="24" t="str">
        <x:v>서의석</x:v>
      </x:c>
      <x:c r="H591" s="30" t="n">
        <x:v>45356</x:v>
      </x:c>
      <x:c r="I591" s="30" t="n">
        <x:v>46822</x:v>
      </x:c>
      <x:c r="J591" s="30" t="n">
        <x:v>46822</x:v>
      </x:c>
      <x:c r="K591" s="32" t="n">
        <x:v>543000</x:v>
      </x:c>
      <x:c r="L591" s="32" t="n">
        <x:v>1420000</x:v>
      </x:c>
      <x:c r="M591" s="24" t="str"/>
      <x:c r="N591" s="24" t="str"/>
      <x:c r="O591" s="24" t="str"/>
      <x:c r="P591" s="24" t="str"/>
      <x:c r="Q591" s="24" t="str">
        <x:v>있음</x:v>
      </x:c>
      <x:c r="R591" s="24" t="str"/>
      <x:c r="S591" s="31" t="n">
        <x:v>160</x:v>
      </x:c>
      <x:c r="T591" s="24" t="str">
        <x:v>연령 확인</x:v>
      </x:c>
      <x:c r="U591" s="24" t="str"/>
    </x:row>
    <x:row r="592" ht="17.25" customHeight="1">
      <x:c r="A592" s="24" t="str">
        <x:v>PR-C-50마3675-2-20211203-161</x:v>
      </x:c>
      <x:c r="B592" s="24" t="str">
        <x:v>프라임구독</x:v>
      </x:c>
      <x:c r="C592" s="24" t="str">
        <x:v>50마3675</x:v>
      </x:c>
      <x:c r="D592" s="31" t="n">
        <x:v>2</x:v>
      </x:c>
      <x:c r="E592" s="24" t="str">
        <x:v>이력</x:v>
      </x:c>
      <x:c r="F592" s="24" t="str">
        <x:v>종료</x:v>
      </x:c>
      <x:c r="G592" s="24" t="str">
        <x:v>김예준</x:v>
      </x:c>
      <x:c r="H592" s="30" t="n">
        <x:v>44533</x:v>
      </x:c>
      <x:c r="I592" s="30" t="n">
        <x:v>45636</x:v>
      </x:c>
      <x:c r="J592" s="30" t="n">
        <x:v>45636</x:v>
      </x:c>
      <x:c r="K592" s="32" t="n">
        <x:v>690000</x:v>
      </x:c>
      <x:c r="L592" s="32" t="n">
        <x:v>1500000</x:v>
      </x:c>
      <x:c r="M592" s="24" t="str"/>
      <x:c r="N592" s="24" t="str"/>
      <x:c r="O592" s="24" t="str"/>
      <x:c r="P592" s="24" t="str"/>
      <x:c r="Q592" s="24" t="str">
        <x:v>있음</x:v>
      </x:c>
      <x:c r="R592" s="24" t="str"/>
      <x:c r="S592" s="31" t="n">
        <x:v>161</x:v>
      </x:c>
      <x:c r="T592" s="24" t="str">
        <x:v>연령 확인</x:v>
      </x:c>
      <x:c r="U592" s="24" t="str"/>
    </x:row>
    <x:row r="593" ht="17.25" customHeight="1">
      <x:c r="A593" s="24" t="str">
        <x:v>PR-C-51누9585-2-20211124-162</x:v>
      </x:c>
      <x:c r="B593" s="24" t="str">
        <x:v>프라임구독</x:v>
      </x:c>
      <x:c r="C593" s="24" t="str">
        <x:v>51누9585</x:v>
      </x:c>
      <x:c r="D593" s="31" t="n">
        <x:v>2</x:v>
      </x:c>
      <x:c r="E593" s="24" t="str">
        <x:v>이력</x:v>
      </x:c>
      <x:c r="F593" s="24" t="str">
        <x:v>종료</x:v>
      </x:c>
      <x:c r="G593" s="24" t="str">
        <x:v>박경학</x:v>
      </x:c>
      <x:c r="H593" s="30" t="n">
        <x:v>44524</x:v>
      </x:c>
      <x:c r="I593" s="30" t="n">
        <x:v>45622</x:v>
      </x:c>
      <x:c r="J593" s="30" t="n">
        <x:v>45622</x:v>
      </x:c>
      <x:c r="K593" s="32" t="n">
        <x:v>643000</x:v>
      </x:c>
      <x:c r="L593" s="32" t="n">
        <x:v>1390000</x:v>
      </x:c>
      <x:c r="M593" s="24" t="str"/>
      <x:c r="N593" s="24" t="str"/>
      <x:c r="O593" s="24" t="str"/>
      <x:c r="P593" s="24" t="str"/>
      <x:c r="Q593" s="24" t="str">
        <x:v>있음</x:v>
      </x:c>
      <x:c r="R593" s="24" t="str"/>
      <x:c r="S593" s="31" t="n">
        <x:v>162</x:v>
      </x:c>
      <x:c r="T593" s="24" t="str">
        <x:v>연령 확인</x:v>
      </x:c>
      <x:c r="U593" s="24" t="str"/>
    </x:row>
    <x:row r="594" ht="17.25" customHeight="1">
      <x:c r="A594" s="24" t="str">
        <x:v>PR-C-51주4315-2-20221005-163</x:v>
      </x:c>
      <x:c r="B594" s="24" t="str">
        <x:v>프라임구독</x:v>
      </x:c>
      <x:c r="C594" s="24" t="str">
        <x:v>51주4315</x:v>
      </x:c>
      <x:c r="D594" s="31" t="n">
        <x:v>2</x:v>
      </x:c>
      <x:c r="E594" s="24" t="str">
        <x:v>이력</x:v>
      </x:c>
      <x:c r="F594" s="24" t="str">
        <x:v>종료</x:v>
      </x:c>
      <x:c r="G594" s="24" t="str">
        <x:v>문병욱</x:v>
      </x:c>
      <x:c r="H594" s="30" t="n">
        <x:v>44839</x:v>
      </x:c>
      <x:c r="I594" s="30" t="n">
        <x:v>45920</x:v>
      </x:c>
      <x:c r="J594" s="30" t="n">
        <x:v>45920</x:v>
      </x:c>
      <x:c r="K594" s="32" t="n">
        <x:v>427000</x:v>
      </x:c>
      <x:c r="L594" s="32" t="n">
        <x:v>950000</x:v>
      </x:c>
      <x:c r="M594" s="24" t="str"/>
      <x:c r="N594" s="24" t="str"/>
      <x:c r="O594" s="24" t="str"/>
      <x:c r="P594" s="24" t="str"/>
      <x:c r="Q594" s="24" t="str">
        <x:v>있음</x:v>
      </x:c>
      <x:c r="R594" s="24" t="str"/>
      <x:c r="S594" s="31" t="n">
        <x:v>163</x:v>
      </x:c>
      <x:c r="T594" s="24" t="str">
        <x:v>연령 확인</x:v>
      </x:c>
      <x:c r="U594" s="24" t="str"/>
    </x:row>
    <x:row r="595" ht="17.25" customHeight="1">
      <x:c r="A595" s="24" t="str">
        <x:v>PR-C-52우0228-1-20230704-164</x:v>
      </x:c>
      <x:c r="B595" s="24" t="str">
        <x:v>프라임구독</x:v>
      </x:c>
      <x:c r="C595" s="24" t="str">
        <x:v>52우0228</x:v>
      </x:c>
      <x:c r="D595" s="31" t="n">
        <x:v>1</x:v>
      </x:c>
      <x:c r="E595" s="24" t="str">
        <x:v>현재칸</x:v>
      </x:c>
      <x:c r="F595" s="24" t="str">
        <x:v>구독</x:v>
      </x:c>
      <x:c r="G595" s="24" t="str">
        <x:v>서기열</x:v>
      </x:c>
      <x:c r="H595" s="30" t="n">
        <x:v>45111</x:v>
      </x:c>
      <x:c r="I595" s="30" t="n">
        <x:v>46193</x:v>
      </x:c>
      <x:c r="J595" s="30"/>
      <x:c r="K595" s="32" t="n">
        <x:v>353000</x:v>
      </x:c>
      <x:c r="L595" s="32" t="n">
        <x:v>850000</x:v>
      </x:c>
      <x:c r="M595" s="24" t="str">
        <x:v>20</x:v>
      </x:c>
      <x:c r="N595" s="24" t="str"/>
      <x:c r="O595" s="24" t="str"/>
      <x:c r="P595" s="24" t="str"/>
      <x:c r="Q595" s="24" t="str">
        <x:v>있음</x:v>
      </x:c>
      <x:c r="R595" s="24" t="str"/>
      <x:c r="S595" s="31" t="n">
        <x:v>164</x:v>
      </x:c>
      <x:c r="T595" s="24" t="str">
        <x:v>연령 확인</x:v>
      </x:c>
      <x:c r="U595" s="24" t="str"/>
    </x:row>
    <x:row r="596" ht="17.25" customHeight="1">
      <x:c r="A596" s="24" t="str">
        <x:v>PR-C-53더9725-2-20221108-165</x:v>
      </x:c>
      <x:c r="B596" s="24" t="str">
        <x:v>프라임구독</x:v>
      </x:c>
      <x:c r="C596" s="24" t="str">
        <x:v>53더9725</x:v>
      </x:c>
      <x:c r="D596" s="31" t="n">
        <x:v>2</x:v>
      </x:c>
      <x:c r="E596" s="24" t="str">
        <x:v>이력</x:v>
      </x:c>
      <x:c r="F596" s="24" t="str">
        <x:v>종료</x:v>
      </x:c>
      <x:c r="G596" s="24" t="str">
        <x:v>이승조</x:v>
      </x:c>
      <x:c r="H596" s="30" t="n">
        <x:v>44873</x:v>
      </x:c>
      <x:c r="I596" s="30" t="n">
        <x:v>45971</x:v>
      </x:c>
      <x:c r="J596" s="30" t="n">
        <x:v>45971</x:v>
      </x:c>
      <x:c r="K596" s="32" t="n">
        <x:v>481000</x:v>
      </x:c>
      <x:c r="L596" s="32" t="n">
        <x:v>1100000</x:v>
      </x:c>
      <x:c r="M596" s="24" t="str"/>
      <x:c r="N596" s="24" t="str"/>
      <x:c r="O596" s="24" t="str"/>
      <x:c r="P596" s="24" t="str"/>
      <x:c r="Q596" s="24" t="str">
        <x:v>있음</x:v>
      </x:c>
      <x:c r="R596" s="24" t="str"/>
      <x:c r="S596" s="31" t="n">
        <x:v>165</x:v>
      </x:c>
      <x:c r="T596" s="24" t="str">
        <x:v>연령 확인</x:v>
      </x:c>
      <x:c r="U596" s="24" t="str"/>
    </x:row>
    <x:row r="597" ht="17.25" customHeight="1">
      <x:c r="A597" s="24" t="str">
        <x:v>PR-C-53보5644-2-20220818-166</x:v>
      </x:c>
      <x:c r="B597" s="24" t="str">
        <x:v>프라임구독</x:v>
      </x:c>
      <x:c r="C597" s="24" t="str">
        <x:v>53보5644</x:v>
      </x:c>
      <x:c r="D597" s="31" t="n">
        <x:v>2</x:v>
      </x:c>
      <x:c r="E597" s="24" t="str">
        <x:v>이력</x:v>
      </x:c>
      <x:c r="F597" s="24" t="str">
        <x:v>종료</x:v>
      </x:c>
      <x:c r="G597" s="24" t="str">
        <x:v>이정기3</x:v>
      </x:c>
      <x:c r="H597" s="30" t="n">
        <x:v>44791</x:v>
      </x:c>
      <x:c r="I597" s="30" t="n">
        <x:v>45889</x:v>
      </x:c>
      <x:c r="J597" s="30" t="n">
        <x:v>45889</x:v>
      </x:c>
      <x:c r="K597" s="32" t="n">
        <x:v>1198000</x:v>
      </x:c>
      <x:c r="L597" s="32" t="n">
        <x:v>2300000</x:v>
      </x:c>
      <x:c r="M597" s="24" t="str"/>
      <x:c r="N597" s="24" t="str"/>
      <x:c r="O597" s="24" t="str"/>
      <x:c r="P597" s="24" t="str"/>
      <x:c r="Q597" s="24" t="str">
        <x:v>없음</x:v>
      </x:c>
      <x:c r="R597" s="24" t="str"/>
      <x:c r="S597" s="31" t="n">
        <x:v>166</x:v>
      </x:c>
      <x:c r="T597" s="24" t="str">
        <x:v>연령 확인</x:v>
      </x:c>
      <x:c r="U597" s="24" t="str"/>
    </x:row>
    <x:row r="598" ht="17.25" customHeight="1">
      <x:c r="A598" s="24" t="str">
        <x:v>PR-C-54라8654-2-20230323-167</x:v>
      </x:c>
      <x:c r="B598" s="24" t="str">
        <x:v>프라임구독</x:v>
      </x:c>
      <x:c r="C598" s="24" t="str">
        <x:v>54라8654</x:v>
      </x:c>
      <x:c r="D598" s="31" t="n">
        <x:v>2</x:v>
      </x:c>
      <x:c r="E598" s="24" t="str">
        <x:v>이력</x:v>
      </x:c>
      <x:c r="F598" s="24" t="str">
        <x:v>종료</x:v>
      </x:c>
      <x:c r="G598" s="24" t="str">
        <x:v>한주석</x:v>
      </x:c>
      <x:c r="H598" s="30" t="n">
        <x:v>45008</x:v>
      </x:c>
      <x:c r="I598" s="30" t="n">
        <x:v>46106</x:v>
      </x:c>
      <x:c r="J598" s="30" t="n">
        <x:v>46106</x:v>
      </x:c>
      <x:c r="K598" s="32" t="n">
        <x:v>880000</x:v>
      </x:c>
      <x:c r="L598" s="32" t="n">
        <x:v>1900000</x:v>
      </x:c>
      <x:c r="M598" s="24" t="str"/>
      <x:c r="N598" s="24" t="str"/>
      <x:c r="O598" s="24" t="str"/>
      <x:c r="P598" s="24" t="str"/>
      <x:c r="Q598" s="24" t="str">
        <x:v>있음</x:v>
      </x:c>
      <x:c r="R598" s="24" t="str"/>
      <x:c r="S598" s="31" t="n">
        <x:v>167</x:v>
      </x:c>
      <x:c r="T598" s="24" t="str">
        <x:v>연령 확인</x:v>
      </x:c>
      <x:c r="U598" s="24" t="str"/>
    </x:row>
    <x:row r="599" ht="17.25" customHeight="1">
      <x:c r="A599" s="24" t="str">
        <x:v>PR-C-55두2701-2-20240304-168</x:v>
      </x:c>
      <x:c r="B599" s="24" t="str">
        <x:v>프라임구독</x:v>
      </x:c>
      <x:c r="C599" s="24" t="str">
        <x:v>55두2701</x:v>
      </x:c>
      <x:c r="D599" s="31" t="n">
        <x:v>2</x:v>
      </x:c>
      <x:c r="E599" s="24" t="str">
        <x:v>이력</x:v>
      </x:c>
      <x:c r="F599" s="24" t="str">
        <x:v>종료</x:v>
      </x:c>
      <x:c r="G599" s="24" t="str">
        <x:v>정재복</x:v>
      </x:c>
      <x:c r="H599" s="30" t="n">
        <x:v>45355</x:v>
      </x:c>
      <x:c r="I599" s="30" t="n">
        <x:v>46827</x:v>
      </x:c>
      <x:c r="J599" s="30" t="n">
        <x:v>46827</x:v>
      </x:c>
      <x:c r="K599" s="32" t="n">
        <x:v>654000</x:v>
      </x:c>
      <x:c r="L599" s="32" t="n">
        <x:v>2340000</x:v>
      </x:c>
      <x:c r="M599" s="24" t="str"/>
      <x:c r="N599" s="24" t="str"/>
      <x:c r="O599" s="24" t="str"/>
      <x:c r="P599" s="24" t="str"/>
      <x:c r="Q599" s="24" t="str">
        <x:v>있음</x:v>
      </x:c>
      <x:c r="R599" s="24" t="str"/>
      <x:c r="S599" s="31" t="n">
        <x:v>168</x:v>
      </x:c>
      <x:c r="T599" s="24" t="str">
        <x:v>연령 확인</x:v>
      </x:c>
      <x:c r="U599" s="24" t="str"/>
    </x:row>
    <x:row r="600" ht="17.25" customHeight="1">
      <x:c r="A600" s="24" t="str">
        <x:v>PR-C-55소3876-2-20220525-169</x:v>
      </x:c>
      <x:c r="B600" s="24" t="str">
        <x:v>프라임구독</x:v>
      </x:c>
      <x:c r="C600" s="24" t="str">
        <x:v>55소3876</x:v>
      </x:c>
      <x:c r="D600" s="31" t="n">
        <x:v>2</x:v>
      </x:c>
      <x:c r="E600" s="24" t="str">
        <x:v>이력</x:v>
      </x:c>
      <x:c r="F600" s="24" t="str">
        <x:v>종료</x:v>
      </x:c>
      <x:c r="G600" s="24" t="str">
        <x:v>조정민</x:v>
      </x:c>
      <x:c r="H600" s="30" t="n">
        <x:v>44706</x:v>
      </x:c>
      <x:c r="I600" s="30" t="n">
        <x:v>45802</x:v>
      </x:c>
      <x:c r="J600" s="30" t="n">
        <x:v>45802</x:v>
      </x:c>
      <x:c r="K600" s="32" t="n">
        <x:v>381000</x:v>
      </x:c>
      <x:c r="L600" s="32" t="n">
        <x:v>850000</x:v>
      </x:c>
      <x:c r="M600" s="24" t="str"/>
      <x:c r="N600" s="24" t="str"/>
      <x:c r="O600" s="24" t="str"/>
      <x:c r="P600" s="24" t="str"/>
      <x:c r="Q600" s="24" t="str">
        <x:v>있음</x:v>
      </x:c>
      <x:c r="R600" s="24" t="str"/>
      <x:c r="S600" s="31" t="n">
        <x:v>169</x:v>
      </x:c>
      <x:c r="T600" s="24" t="str">
        <x:v>연령 확인</x:v>
      </x:c>
      <x:c r="U600" s="24" t="str"/>
    </x:row>
    <x:row r="601" ht="17.25" customHeight="1">
      <x:c r="A601" s="24" t="str">
        <x:v>PR-C-56마2851-1-20230925-170</x:v>
      </x:c>
      <x:c r="B601" s="24" t="str">
        <x:v>프라임구독</x:v>
      </x:c>
      <x:c r="C601" s="24" t="str">
        <x:v>56마2851</x:v>
      </x:c>
      <x:c r="D601" s="31" t="n">
        <x:v>1</x:v>
      </x:c>
      <x:c r="E601" s="24" t="str">
        <x:v>현재칸</x:v>
      </x:c>
      <x:c r="F601" s="24" t="str">
        <x:v>구독</x:v>
      </x:c>
      <x:c r="G601" s="24" t="str">
        <x:v>윤성민</x:v>
      </x:c>
      <x:c r="H601" s="30" t="n">
        <x:v>45194</x:v>
      </x:c>
      <x:c r="I601" s="30" t="n">
        <x:v>46655</x:v>
      </x:c>
      <x:c r="J601" s="30"/>
      <x:c r="K601" s="32" t="n">
        <x:v>515000</x:v>
      </x:c>
      <x:c r="L601" s="32" t="n">
        <x:v>1350000</x:v>
      </x:c>
      <x:c r="M601" s="24" t="str">
        <x:v>25</x:v>
      </x:c>
      <x:c r="N601" s="24" t="str"/>
      <x:c r="O601" s="24" t="str"/>
      <x:c r="P601" s="24" t="str"/>
      <x:c r="Q601" s="24" t="str">
        <x:v>있음</x:v>
      </x:c>
      <x:c r="R601" s="24" t="str"/>
      <x:c r="S601" s="31" t="n">
        <x:v>170</x:v>
      </x:c>
      <x:c r="T601" s="24" t="str">
        <x:v>연령 확인</x:v>
      </x:c>
      <x:c r="U601" s="24" t="str"/>
    </x:row>
    <x:row r="602" ht="17.25" customHeight="1">
      <x:c r="A602" s="24" t="str">
        <x:v>PR-C-56보8997-2-20220526-171</x:v>
      </x:c>
      <x:c r="B602" s="24" t="str">
        <x:v>프라임구독</x:v>
      </x:c>
      <x:c r="C602" s="24" t="str">
        <x:v>56보8997</x:v>
      </x:c>
      <x:c r="D602" s="31" t="n">
        <x:v>2</x:v>
      </x:c>
      <x:c r="E602" s="24" t="str">
        <x:v>이력</x:v>
      </x:c>
      <x:c r="F602" s="24" t="str">
        <x:v>종료</x:v>
      </x:c>
      <x:c r="G602" s="24" t="str">
        <x:v>손미란</x:v>
      </x:c>
      <x:c r="H602" s="30" t="n">
        <x:v>44707</x:v>
      </x:c>
      <x:c r="I602" s="30" t="n">
        <x:v>45787</x:v>
      </x:c>
      <x:c r="J602" s="30" t="n">
        <x:v>45787</x:v>
      </x:c>
      <x:c r="K602" s="32" t="n">
        <x:v>412000</x:v>
      </x:c>
      <x:c r="L602" s="32" t="n">
        <x:v>900000</x:v>
      </x:c>
      <x:c r="M602" s="24" t="str"/>
      <x:c r="N602" s="24" t="str"/>
      <x:c r="O602" s="24" t="str"/>
      <x:c r="P602" s="24" t="str"/>
      <x:c r="Q602" s="24" t="str">
        <x:v>있음</x:v>
      </x:c>
      <x:c r="R602" s="24" t="str"/>
      <x:c r="S602" s="31" t="n">
        <x:v>171</x:v>
      </x:c>
      <x:c r="T602" s="24" t="str">
        <x:v>연령 확인</x:v>
      </x:c>
      <x:c r="U602" s="24" t="str"/>
    </x:row>
    <x:row r="603" ht="17.25" customHeight="1">
      <x:c r="A603" s="24" t="str">
        <x:v>PR-C-57두7690-2-20221222-172</x:v>
      </x:c>
      <x:c r="B603" s="24" t="str">
        <x:v>프라임구독</x:v>
      </x:c>
      <x:c r="C603" s="24" t="str">
        <x:v>57두7690</x:v>
      </x:c>
      <x:c r="D603" s="31" t="n">
        <x:v>2</x:v>
      </x:c>
      <x:c r="E603" s="24" t="str">
        <x:v>이력</x:v>
      </x:c>
      <x:c r="F603" s="24" t="str">
        <x:v>종료</x:v>
      </x:c>
      <x:c r="G603" s="24" t="str">
        <x:v>이정순</x:v>
      </x:c>
      <x:c r="H603" s="30" t="n">
        <x:v>44917</x:v>
      </x:c>
      <x:c r="I603" s="30" t="n">
        <x:v>46058</x:v>
      </x:c>
      <x:c r="J603" s="30" t="n">
        <x:v>46058</x:v>
      </x:c>
      <x:c r="K603" s="32" t="n">
        <x:v>615000</x:v>
      </x:c>
      <x:c r="L603" s="32" t="n">
        <x:v>1350000</x:v>
      </x:c>
      <x:c r="M603" s="24" t="str"/>
      <x:c r="N603" s="24" t="str"/>
      <x:c r="O603" s="24" t="str"/>
      <x:c r="P603" s="24" t="str"/>
      <x:c r="Q603" s="24" t="str">
        <x:v>있음</x:v>
      </x:c>
      <x:c r="R603" s="24" t="str"/>
      <x:c r="S603" s="31" t="n">
        <x:v>172</x:v>
      </x:c>
      <x:c r="T603" s="24" t="str">
        <x:v>연령 확인</x:v>
      </x:c>
      <x:c r="U603" s="24" t="str"/>
    </x:row>
    <x:row r="604" ht="17.25" customHeight="1">
      <x:c r="A604" s="24" t="str">
        <x:v>PR-C-59보0161-2-20230120-173</x:v>
      </x:c>
      <x:c r="B604" s="24" t="str">
        <x:v>프라임구독</x:v>
      </x:c>
      <x:c r="C604" s="24" t="str">
        <x:v>59보0161</x:v>
      </x:c>
      <x:c r="D604" s="31" t="n">
        <x:v>2</x:v>
      </x:c>
      <x:c r="E604" s="24" t="str">
        <x:v>이력</x:v>
      </x:c>
      <x:c r="F604" s="24" t="str">
        <x:v>종료</x:v>
      </x:c>
      <x:c r="G604" s="24" t="str">
        <x:v>한윤미</x:v>
      </x:c>
      <x:c r="H604" s="30" t="n">
        <x:v>44946</x:v>
      </x:c>
      <x:c r="I604" s="30" t="n">
        <x:v>46032</x:v>
      </x:c>
      <x:c r="J604" s="30" t="n">
        <x:v>46032</x:v>
      </x:c>
      <x:c r="K604" s="32" t="n">
        <x:v>831000</x:v>
      </x:c>
      <x:c r="L604" s="32" t="n">
        <x:v>1800000</x:v>
      </x:c>
      <x:c r="M604" s="24" t="str"/>
      <x:c r="N604" s="24" t="str"/>
      <x:c r="O604" s="24" t="str"/>
      <x:c r="P604" s="24" t="str"/>
      <x:c r="Q604" s="24" t="str">
        <x:v>있음</x:v>
      </x:c>
      <x:c r="R604" s="24" t="str"/>
      <x:c r="S604" s="31" t="n">
        <x:v>173</x:v>
      </x:c>
      <x:c r="T604" s="24" t="str">
        <x:v>연령 확인</x:v>
      </x:c>
      <x:c r="U604" s="24" t="str"/>
    </x:row>
    <x:row r="605" ht="17.25" customHeight="1">
      <x:c r="A605" s="24" t="str">
        <x:v>PR-C-59보0907-2-20211229-174</x:v>
      </x:c>
      <x:c r="B605" s="24" t="str">
        <x:v>프라임구독</x:v>
      </x:c>
      <x:c r="C605" s="24" t="str">
        <x:v>59보0907</x:v>
      </x:c>
      <x:c r="D605" s="31" t="n">
        <x:v>2</x:v>
      </x:c>
      <x:c r="E605" s="24" t="str">
        <x:v>이력</x:v>
      </x:c>
      <x:c r="F605" s="24" t="str">
        <x:v>종료</x:v>
      </x:c>
      <x:c r="G605" s="24" t="str">
        <x:v>이진홍</x:v>
      </x:c>
      <x:c r="H605" s="30" t="n">
        <x:v>44559</x:v>
      </x:c>
      <x:c r="I605" s="30" t="n">
        <x:v>45677</x:v>
      </x:c>
      <x:c r="J605" s="30" t="n">
        <x:v>45677</x:v>
      </x:c>
      <x:c r="K605" s="32" t="n">
        <x:v>845000</x:v>
      </x:c>
      <x:c r="L605" s="32" t="n">
        <x:v>1870000</x:v>
      </x:c>
      <x:c r="M605" s="24" t="str"/>
      <x:c r="N605" s="24" t="str"/>
      <x:c r="O605" s="24" t="str"/>
      <x:c r="P605" s="24" t="str"/>
      <x:c r="Q605" s="24" t="str">
        <x:v>있음</x:v>
      </x:c>
      <x:c r="R605" s="24" t="str"/>
      <x:c r="S605" s="31" t="n">
        <x:v>174</x:v>
      </x:c>
      <x:c r="T605" s="24" t="str">
        <x:v>연령 확인</x:v>
      </x:c>
      <x:c r="U605" s="24" t="str"/>
    </x:row>
    <x:row r="606" ht="17.25" customHeight="1">
      <x:c r="A606" s="24" t="str">
        <x:v>PR-C-60조0437-1-20230418-175</x:v>
      </x:c>
      <x:c r="B606" s="24" t="str">
        <x:v>프라임구독</x:v>
      </x:c>
      <x:c r="C606" s="24" t="str">
        <x:v>60조0437</x:v>
      </x:c>
      <x:c r="D606" s="31" t="n">
        <x:v>1</x:v>
      </x:c>
      <x:c r="E606" s="24" t="str">
        <x:v>현재칸</x:v>
      </x:c>
      <x:c r="F606" s="24" t="str">
        <x:v>구독</x:v>
      </x:c>
      <x:c r="G606" s="24" t="str">
        <x:v>우창식</x:v>
      </x:c>
      <x:c r="H606" s="30" t="n">
        <x:v>45034</x:v>
      </x:c>
      <x:c r="I606" s="30" t="n">
        <x:v>46132</x:v>
      </x:c>
      <x:c r="J606" s="30"/>
      <x:c r="K606" s="32" t="n">
        <x:v>343000</x:v>
      </x:c>
      <x:c r="L606" s="32" t="n">
        <x:v>760000</x:v>
      </x:c>
      <x:c r="M606" s="24" t="str">
        <x:v>20</x:v>
      </x:c>
      <x:c r="N606" s="24" t="str"/>
      <x:c r="O606" s="24" t="str"/>
      <x:c r="P606" s="24" t="str"/>
      <x:c r="Q606" s="24" t="str">
        <x:v>있음</x:v>
      </x:c>
      <x:c r="R606" s="24" t="str"/>
      <x:c r="S606" s="31" t="n">
        <x:v>175</x:v>
      </x:c>
      <x:c r="T606" s="24" t="str">
        <x:v>연령 확인</x:v>
      </x:c>
      <x:c r="U606" s="24" t="str"/>
    </x:row>
    <x:row r="607" ht="17.25" customHeight="1">
      <x:c r="A607" s="24" t="str">
        <x:v>PR-C-61너2749-2-20221116-176</x:v>
      </x:c>
      <x:c r="B607" s="24" t="str">
        <x:v>프라임구독</x:v>
      </x:c>
      <x:c r="C607" s="24" t="str">
        <x:v>61너2749</x:v>
      </x:c>
      <x:c r="D607" s="31" t="n">
        <x:v>2</x:v>
      </x:c>
      <x:c r="E607" s="24" t="str">
        <x:v>이력</x:v>
      </x:c>
      <x:c r="F607" s="24" t="str">
        <x:v>종료</x:v>
      </x:c>
      <x:c r="G607" s="24" t="str">
        <x:v>이은숙</x:v>
      </x:c>
      <x:c r="H607" s="30" t="n">
        <x:v>44881</x:v>
      </x:c>
      <x:c r="I607" s="30" t="n">
        <x:v>45971</x:v>
      </x:c>
      <x:c r="J607" s="30" t="n">
        <x:v>45971</x:v>
      </x:c>
      <x:c r="K607" s="32" t="n">
        <x:v>486000</x:v>
      </x:c>
      <x:c r="L607" s="32" t="n">
        <x:v>1050000</x:v>
      </x:c>
      <x:c r="M607" s="24" t="str"/>
      <x:c r="N607" s="24" t="str"/>
      <x:c r="O607" s="24" t="str"/>
      <x:c r="P607" s="24" t="str"/>
      <x:c r="Q607" s="24" t="str">
        <x:v>있음</x:v>
      </x:c>
      <x:c r="R607" s="24" t="str"/>
      <x:c r="S607" s="31" t="n">
        <x:v>176</x:v>
      </x:c>
      <x:c r="T607" s="24" t="str">
        <x:v>연령 확인</x:v>
      </x:c>
      <x:c r="U607" s="24" t="str"/>
    </x:row>
    <x:row r="608" ht="17.25" customHeight="1">
      <x:c r="A608" s="24" t="str">
        <x:v>PR-C-61너5024-1-20230629-177</x:v>
      </x:c>
      <x:c r="B608" s="24" t="str">
        <x:v>프라임구독</x:v>
      </x:c>
      <x:c r="C608" s="24" t="str">
        <x:v>61너5024</x:v>
      </x:c>
      <x:c r="D608" s="31" t="n">
        <x:v>1</x:v>
      </x:c>
      <x:c r="E608" s="24" t="str">
        <x:v>현재칸</x:v>
      </x:c>
      <x:c r="F608" s="24" t="str">
        <x:v>구독</x:v>
      </x:c>
      <x:c r="G608" s="24" t="str">
        <x:v>안미숙</x:v>
      </x:c>
      <x:c r="H608" s="30" t="n">
        <x:v>45106</x:v>
      </x:c>
      <x:c r="I608" s="30" t="n">
        <x:v>46193</x:v>
      </x:c>
      <x:c r="J608" s="30"/>
      <x:c r="K608" s="32" t="n">
        <x:v>493000</x:v>
      </x:c>
      <x:c r="L608" s="32" t="n">
        <x:v>1320000</x:v>
      </x:c>
      <x:c r="M608" s="24" t="str">
        <x:v>20</x:v>
      </x:c>
      <x:c r="N608" s="24" t="str"/>
      <x:c r="O608" s="24" t="str"/>
      <x:c r="P608" s="24" t="str"/>
      <x:c r="Q608" s="24" t="str">
        <x:v>있음</x:v>
      </x:c>
      <x:c r="R608" s="24" t="str"/>
      <x:c r="S608" s="31" t="n">
        <x:v>177</x:v>
      </x:c>
      <x:c r="T608" s="24" t="str">
        <x:v>연령 확인</x:v>
      </x:c>
      <x:c r="U608" s="24" t="str"/>
    </x:row>
    <x:row r="609" ht="17.25" customHeight="1">
      <x:c r="A609" s="24" t="str">
        <x:v>PR-C-61루2328-1-20230705-178</x:v>
      </x:c>
      <x:c r="B609" s="24" t="str">
        <x:v>프라임구독</x:v>
      </x:c>
      <x:c r="C609" s="24" t="str">
        <x:v>61루2328</x:v>
      </x:c>
      <x:c r="D609" s="31" t="n">
        <x:v>1</x:v>
      </x:c>
      <x:c r="E609" s="24" t="str">
        <x:v>현재칸</x:v>
      </x:c>
      <x:c r="F609" s="24" t="str">
        <x:v>구독</x:v>
      </x:c>
      <x:c r="G609" s="24" t="str">
        <x:v>권오중</x:v>
      </x:c>
      <x:c r="H609" s="30" t="n">
        <x:v>45112</x:v>
      </x:c>
      <x:c r="I609" s="30" t="n">
        <x:v>46558</x:v>
      </x:c>
      <x:c r="J609" s="30"/>
      <x:c r="K609" s="32" t="n">
        <x:v>448000</x:v>
      </x:c>
      <x:c r="L609" s="32" t="n">
        <x:v>1180000</x:v>
      </x:c>
      <x:c r="M609" s="24" t="str">
        <x:v>20</x:v>
      </x:c>
      <x:c r="N609" s="24" t="str"/>
      <x:c r="O609" s="24" t="str"/>
      <x:c r="P609" s="24" t="str"/>
      <x:c r="Q609" s="24" t="str">
        <x:v>있음</x:v>
      </x:c>
      <x:c r="R609" s="24" t="str"/>
      <x:c r="S609" s="31" t="n">
        <x:v>178</x:v>
      </x:c>
      <x:c r="T609" s="24" t="str">
        <x:v>연령 확인</x:v>
      </x:c>
      <x:c r="U609" s="24" t="str"/>
    </x:row>
    <x:row r="610" ht="17.25" customHeight="1">
      <x:c r="A610" s="24" t="str">
        <x:v>PR-C-61마9264-2-20220216-179</x:v>
      </x:c>
      <x:c r="B610" s="24" t="str">
        <x:v>프라임구독</x:v>
      </x:c>
      <x:c r="C610" s="24" t="str">
        <x:v>61마9264</x:v>
      </x:c>
      <x:c r="D610" s="31" t="n">
        <x:v>2</x:v>
      </x:c>
      <x:c r="E610" s="24" t="str">
        <x:v>이력</x:v>
      </x:c>
      <x:c r="F610" s="24" t="str">
        <x:v>종료</x:v>
      </x:c>
      <x:c r="G610" s="24" t="str">
        <x:v>곽순홍</x:v>
      </x:c>
      <x:c r="H610" s="30" t="n">
        <x:v>44608</x:v>
      </x:c>
      <x:c r="I610" s="30" t="n">
        <x:v>45716</x:v>
      </x:c>
      <x:c r="J610" s="30" t="n">
        <x:v>45716</x:v>
      </x:c>
      <x:c r="K610" s="32" t="n">
        <x:v>660000</x:v>
      </x:c>
      <x:c r="L610" s="32" t="n">
        <x:v>1400000</x:v>
      </x:c>
      <x:c r="M610" s="24" t="str"/>
      <x:c r="N610" s="24" t="str"/>
      <x:c r="O610" s="24" t="str"/>
      <x:c r="P610" s="24" t="str"/>
      <x:c r="Q610" s="24" t="str">
        <x:v>있음</x:v>
      </x:c>
      <x:c r="R610" s="24" t="str"/>
      <x:c r="S610" s="31" t="n">
        <x:v>179</x:v>
      </x:c>
      <x:c r="T610" s="24" t="str">
        <x:v>연령 확인</x:v>
      </x:c>
      <x:c r="U610" s="24" t="str"/>
    </x:row>
    <x:row r="611" ht="17.25" customHeight="1">
      <x:c r="A611" s="24" t="str">
        <x:v>PR-C-64고6351-2-20221209-180</x:v>
      </x:c>
      <x:c r="B611" s="24" t="str">
        <x:v>프라임구독</x:v>
      </x:c>
      <x:c r="C611" s="24" t="str">
        <x:v>64고6351</x:v>
      </x:c>
      <x:c r="D611" s="31" t="n">
        <x:v>2</x:v>
      </x:c>
      <x:c r="E611" s="24" t="str">
        <x:v>이력</x:v>
      </x:c>
      <x:c r="F611" s="24" t="str">
        <x:v>종료</x:v>
      </x:c>
      <x:c r="G611" s="24" t="str">
        <x:v>김광심</x:v>
      </x:c>
      <x:c r="H611" s="30" t="n">
        <x:v>44904</x:v>
      </x:c>
      <x:c r="I611" s="30" t="n">
        <x:v>46011</x:v>
      </x:c>
      <x:c r="J611" s="30" t="n">
        <x:v>46011</x:v>
      </x:c>
      <x:c r="K611" s="32" t="n">
        <x:v>1264000</x:v>
      </x:c>
      <x:c r="L611" s="32" t="n">
        <x:v>2770000</x:v>
      </x:c>
      <x:c r="M611" s="24" t="str"/>
      <x:c r="N611" s="24" t="str"/>
      <x:c r="O611" s="24" t="str"/>
      <x:c r="P611" s="24" t="str"/>
      <x:c r="Q611" s="24" t="str">
        <x:v>있음</x:v>
      </x:c>
      <x:c r="R611" s="24" t="str"/>
      <x:c r="S611" s="31" t="n">
        <x:v>180</x:v>
      </x:c>
      <x:c r="T611" s="24" t="str">
        <x:v>연령 확인</x:v>
      </x:c>
      <x:c r="U611" s="24" t="str"/>
    </x:row>
    <x:row r="612" ht="17.25" customHeight="1">
      <x:c r="A612" s="24" t="str">
        <x:v>PR-C-64로0269-1-20230623-181</x:v>
      </x:c>
      <x:c r="B612" s="24" t="str">
        <x:v>프라임구독</x:v>
      </x:c>
      <x:c r="C612" s="24" t="str">
        <x:v>64로0269</x:v>
      </x:c>
      <x:c r="D612" s="31" t="n">
        <x:v>1</x:v>
      </x:c>
      <x:c r="E612" s="24" t="str">
        <x:v>현재칸</x:v>
      </x:c>
      <x:c r="F612" s="24" t="str">
        <x:v>구독</x:v>
      </x:c>
      <x:c r="G612" s="24" t="str">
        <x:v>배미주</x:v>
      </x:c>
      <x:c r="H612" s="30" t="n">
        <x:v>45100</x:v>
      </x:c>
      <x:c r="I612" s="30" t="n">
        <x:v>46558</x:v>
      </x:c>
      <x:c r="J612" s="30"/>
      <x:c r="K612" s="32" t="n">
        <x:v>639000</x:v>
      </x:c>
      <x:c r="L612" s="32" t="n">
        <x:v>1750000</x:v>
      </x:c>
      <x:c r="M612" s="24" t="str">
        <x:v>20</x:v>
      </x:c>
      <x:c r="N612" s="24" t="str"/>
      <x:c r="O612" s="24" t="str"/>
      <x:c r="P612" s="24" t="str"/>
      <x:c r="Q612" s="24" t="str">
        <x:v>있음</x:v>
      </x:c>
      <x:c r="R612" s="24" t="str"/>
      <x:c r="S612" s="31" t="n">
        <x:v>181</x:v>
      </x:c>
      <x:c r="T612" s="24" t="str">
        <x:v>연령 확인</x:v>
      </x:c>
      <x:c r="U612" s="24" t="str"/>
    </x:row>
    <x:row r="613" ht="17.25" customHeight="1">
      <x:c r="A613" s="24" t="str">
        <x:v>PR-C-65서0911-2-20220708-182</x:v>
      </x:c>
      <x:c r="B613" s="24" t="str">
        <x:v>프라임구독</x:v>
      </x:c>
      <x:c r="C613" s="24" t="str">
        <x:v>65서0911</x:v>
      </x:c>
      <x:c r="D613" s="31" t="n">
        <x:v>2</x:v>
      </x:c>
      <x:c r="E613" s="24" t="str">
        <x:v>이력</x:v>
      </x:c>
      <x:c r="F613" s="24" t="str">
        <x:v>종료</x:v>
      </x:c>
      <x:c r="G613" s="24" t="str">
        <x:v>박준호b</x:v>
      </x:c>
      <x:c r="H613" s="30" t="n">
        <x:v>44750</x:v>
      </x:c>
      <x:c r="I613" s="30" t="n">
        <x:v>45853</x:v>
      </x:c>
      <x:c r="J613" s="30" t="n">
        <x:v>45853</x:v>
      </x:c>
      <x:c r="K613" s="32" t="n">
        <x:v>457000</x:v>
      </x:c>
      <x:c r="L613" s="32" t="n">
        <x:v>1000000</x:v>
      </x:c>
      <x:c r="M613" s="24" t="str"/>
      <x:c r="N613" s="24" t="str"/>
      <x:c r="O613" s="24" t="str"/>
      <x:c r="P613" s="24" t="str"/>
      <x:c r="Q613" s="24" t="str">
        <x:v>있음</x:v>
      </x:c>
      <x:c r="R613" s="24" t="str"/>
      <x:c r="S613" s="31" t="n">
        <x:v>182</x:v>
      </x:c>
      <x:c r="T613" s="24" t="str">
        <x:v>연령 확인</x:v>
      </x:c>
      <x:c r="U613" s="24" t="str"/>
    </x:row>
    <x:row r="614" ht="17.25" customHeight="1">
      <x:c r="A614" s="24" t="str">
        <x:v>PR-C-66어1934-1-20220526-183</x:v>
      </x:c>
      <x:c r="B614" s="24" t="str">
        <x:v>프라임구독</x:v>
      </x:c>
      <x:c r="C614" s="24" t="str">
        <x:v>66어1934</x:v>
      </x:c>
      <x:c r="D614" s="31" t="n">
        <x:v>1</x:v>
      </x:c>
      <x:c r="E614" s="24" t="str">
        <x:v>현재칸</x:v>
      </x:c>
      <x:c r="F614" s="24" t="str">
        <x:v>구독</x:v>
      </x:c>
      <x:c r="G614" s="24" t="str">
        <x:v>박진훈</x:v>
      </x:c>
      <x:c r="H614" s="30" t="n">
        <x:v>44707</x:v>
      </x:c>
      <x:c r="I614" s="30" t="n">
        <x:v>45802</x:v>
      </x:c>
      <x:c r="J614" s="30"/>
      <x:c r="K614" s="32" t="n">
        <x:v>350000</x:v>
      </x:c>
      <x:c r="L614" s="32" t="n">
        <x:v>800000</x:v>
      </x:c>
      <x:c r="M614" s="24" t="str">
        <x:v>25</x:v>
      </x:c>
      <x:c r="N614" s="24" t="str"/>
      <x:c r="O614" s="24" t="str"/>
      <x:c r="P614" s="24" t="str"/>
      <x:c r="Q614" s="24" t="str">
        <x:v>있음</x:v>
      </x:c>
      <x:c r="R614" s="24" t="str"/>
      <x:c r="S614" s="31" t="n">
        <x:v>183</x:v>
      </x:c>
      <x:c r="T614" s="24" t="str">
        <x:v>연령 확인</x:v>
      </x:c>
      <x:c r="U614" s="24" t="str"/>
    </x:row>
    <x:row r="615" ht="17.25" customHeight="1">
      <x:c r="A615" s="24" t="str">
        <x:v>PR-C-66오8575-2-20231219-184</x:v>
      </x:c>
      <x:c r="B615" s="24" t="str">
        <x:v>프라임구독</x:v>
      </x:c>
      <x:c r="C615" s="24" t="str">
        <x:v>66오8575</x:v>
      </x:c>
      <x:c r="D615" s="31" t="n">
        <x:v>2</x:v>
      </x:c>
      <x:c r="E615" s="24" t="str">
        <x:v>이력</x:v>
      </x:c>
      <x:c r="F615" s="24" t="str">
        <x:v>종료</x:v>
      </x:c>
      <x:c r="G615" s="24" t="str">
        <x:v>유만상2</x:v>
      </x:c>
      <x:c r="H615" s="30" t="n">
        <x:v>45279</x:v>
      </x:c>
      <x:c r="I615" s="30" t="n">
        <x:v>46203</x:v>
      </x:c>
      <x:c r="J615" s="30" t="n">
        <x:v>46203</x:v>
      </x:c>
      <x:c r="K615" s="32" t="n">
        <x:v>250000</x:v>
      </x:c>
      <x:c r="L615" s="32" t="n">
        <x:v>800000</x:v>
      </x:c>
      <x:c r="M615" s="24" t="str"/>
      <x:c r="N615" s="24" t="str"/>
      <x:c r="O615" s="24" t="str"/>
      <x:c r="P615" s="24" t="str"/>
      <x:c r="Q615" s="24" t="str">
        <x:v>있음</x:v>
      </x:c>
      <x:c r="R615" s="24" t="str"/>
      <x:c r="S615" s="31" t="n">
        <x:v>184</x:v>
      </x:c>
      <x:c r="T615" s="24" t="str">
        <x:v>연령 확인</x:v>
      </x:c>
      <x:c r="U615" s="24" t="str"/>
    </x:row>
    <x:row r="616" ht="17.25" customHeight="1">
      <x:c r="A616" s="24" t="str">
        <x:v>PR-C-67거4224-2-20230214-185</x:v>
      </x:c>
      <x:c r="B616" s="24" t="str">
        <x:v>프라임구독</x:v>
      </x:c>
      <x:c r="C616" s="24" t="str">
        <x:v>67거4224</x:v>
      </x:c>
      <x:c r="D616" s="31" t="n">
        <x:v>2</x:v>
      </x:c>
      <x:c r="E616" s="24" t="str">
        <x:v>이력</x:v>
      </x:c>
      <x:c r="F616" s="24" t="str">
        <x:v>종료</x:v>
      </x:c>
      <x:c r="G616" s="24" t="str">
        <x:v>이철민</x:v>
      </x:c>
      <x:c r="H616" s="30" t="n">
        <x:v>44971</x:v>
      </x:c>
      <x:c r="I616" s="30" t="n">
        <x:v>46086</x:v>
      </x:c>
      <x:c r="J616" s="30" t="n">
        <x:v>46086</x:v>
      </x:c>
      <x:c r="K616" s="32" t="n">
        <x:v>1096000</x:v>
      </x:c>
      <x:c r="L616" s="32" t="n">
        <x:v>2400000</x:v>
      </x:c>
      <x:c r="M616" s="24" t="str"/>
      <x:c r="N616" s="24" t="str"/>
      <x:c r="O616" s="24" t="str"/>
      <x:c r="P616" s="24" t="str"/>
      <x:c r="Q616" s="24" t="str">
        <x:v>있음</x:v>
      </x:c>
      <x:c r="R616" s="24" t="str"/>
      <x:c r="S616" s="31" t="n">
        <x:v>185</x:v>
      </x:c>
      <x:c r="T616" s="24" t="str">
        <x:v>연령 확인</x:v>
      </x:c>
      <x:c r="U616" s="24" t="str"/>
    </x:row>
    <x:row r="617" ht="17.25" customHeight="1">
      <x:c r="A617" s="24" t="str">
        <x:v>PR-C-67구7368-1-20230103-186</x:v>
      </x:c>
      <x:c r="B617" s="24" t="str">
        <x:v>프라임구독</x:v>
      </x:c>
      <x:c r="C617" s="24" t="str">
        <x:v>67구7368</x:v>
      </x:c>
      <x:c r="D617" s="31" t="n">
        <x:v>1</x:v>
      </x:c>
      <x:c r="E617" s="24" t="str">
        <x:v>현재칸</x:v>
      </x:c>
      <x:c r="F617" s="24" t="str">
        <x:v>구독</x:v>
      </x:c>
      <x:c r="G617" s="24" t="str">
        <x:v>드림하우징</x:v>
      </x:c>
      <x:c r="H617" s="30" t="n">
        <x:v>44929</x:v>
      </x:c>
      <x:c r="I617" s="30" t="n">
        <x:v>46021</x:v>
      </x:c>
      <x:c r="J617" s="30"/>
      <x:c r="K617" s="32" t="n">
        <x:v>1054000</x:v>
      </x:c>
      <x:c r="L617" s="32" t="n">
        <x:v>2000000</x:v>
      </x:c>
      <x:c r="M617" s="24" t="str">
        <x:v>30</x:v>
      </x:c>
      <x:c r="N617" s="24" t="str"/>
      <x:c r="O617" s="24" t="str"/>
      <x:c r="P617" s="24" t="str"/>
      <x:c r="Q617" s="24" t="str">
        <x:v>없음</x:v>
      </x:c>
      <x:c r="R617" s="24" t="str"/>
      <x:c r="S617" s="31" t="n">
        <x:v>186</x:v>
      </x:c>
      <x:c r="T617" s="24" t="str">
        <x:v>연령 확인</x:v>
      </x:c>
      <x:c r="U617" s="24" t="str"/>
    </x:row>
    <x:row r="618" ht="17.25" customHeight="1">
      <x:c r="A618" s="24" t="str">
        <x:v>PR-C-67어3004-2-20220322-187</x:v>
      </x:c>
      <x:c r="B618" s="24" t="str">
        <x:v>프라임구독</x:v>
      </x:c>
      <x:c r="C618" s="24" t="str">
        <x:v>67어3004</x:v>
      </x:c>
      <x:c r="D618" s="31" t="n">
        <x:v>2</x:v>
      </x:c>
      <x:c r="E618" s="24" t="str">
        <x:v>이력</x:v>
      </x:c>
      <x:c r="F618" s="24" t="str">
        <x:v>종료</x:v>
      </x:c>
      <x:c r="G618" s="24" t="str">
        <x:v>한갑수</x:v>
      </x:c>
      <x:c r="H618" s="30" t="n">
        <x:v>44642</x:v>
      </x:c>
      <x:c r="I618" s="30" t="n">
        <x:v>45746</x:v>
      </x:c>
      <x:c r="J618" s="30" t="n">
        <x:v>45746</x:v>
      </x:c>
      <x:c r="K618" s="32" t="n">
        <x:v>359000</x:v>
      </x:c>
      <x:c r="L618" s="32" t="n">
        <x:v>810000</x:v>
      </x:c>
      <x:c r="M618" s="24" t="str"/>
      <x:c r="N618" s="24" t="str"/>
      <x:c r="O618" s="24" t="str"/>
      <x:c r="P618" s="24" t="str"/>
      <x:c r="Q618" s="24" t="str">
        <x:v>있음</x:v>
      </x:c>
      <x:c r="R618" s="24" t="str"/>
      <x:c r="S618" s="31" t="n">
        <x:v>187</x:v>
      </x:c>
      <x:c r="T618" s="24" t="str">
        <x:v>연령 확인</x:v>
      </x:c>
      <x:c r="U618" s="24" t="str"/>
    </x:row>
    <x:row r="619" ht="17.25" customHeight="1">
      <x:c r="A619" s="24" t="str">
        <x:v>PR-C-68수7744-2-20220608-188</x:v>
      </x:c>
      <x:c r="B619" s="24" t="str">
        <x:v>프라임구독</x:v>
      </x:c>
      <x:c r="C619" s="24" t="str">
        <x:v>68수7744</x:v>
      </x:c>
      <x:c r="D619" s="31" t="n">
        <x:v>2</x:v>
      </x:c>
      <x:c r="E619" s="24" t="str">
        <x:v>이력</x:v>
      </x:c>
      <x:c r="F619" s="24" t="str">
        <x:v>종료</x:v>
      </x:c>
      <x:c r="G619" s="24" t="str">
        <x:v>김승래</x:v>
      </x:c>
      <x:c r="H619" s="30" t="n">
        <x:v>44720</x:v>
      </x:c>
      <x:c r="I619" s="30" t="n">
        <x:v>45818</x:v>
      </x:c>
      <x:c r="J619" s="30" t="n">
        <x:v>45818</x:v>
      </x:c>
      <x:c r="K619" s="32" t="n">
        <x:v>374000</x:v>
      </x:c>
      <x:c r="L619" s="32" t="n">
        <x:v>800000</x:v>
      </x:c>
      <x:c r="M619" s="24" t="str"/>
      <x:c r="N619" s="24" t="str"/>
      <x:c r="O619" s="24" t="str"/>
      <x:c r="P619" s="24" t="str"/>
      <x:c r="Q619" s="24" t="str">
        <x:v>있음</x:v>
      </x:c>
      <x:c r="R619" s="24" t="str"/>
      <x:c r="S619" s="31" t="n">
        <x:v>188</x:v>
      </x:c>
      <x:c r="T619" s="24" t="str">
        <x:v>연령 확인</x:v>
      </x:c>
      <x:c r="U619" s="24" t="str"/>
    </x:row>
    <x:row r="620" ht="17.25" customHeight="1">
      <x:c r="A620" s="24" t="str">
        <x:v>PR-C-69나9074-2-20210816-189</x:v>
      </x:c>
      <x:c r="B620" s="24" t="str">
        <x:v>프라임구독</x:v>
      </x:c>
      <x:c r="C620" s="24" t="str">
        <x:v>69나9074</x:v>
      </x:c>
      <x:c r="D620" s="31" t="n">
        <x:v>2</x:v>
      </x:c>
      <x:c r="E620" s="24" t="str">
        <x:v>이력</x:v>
      </x:c>
      <x:c r="F620" s="24" t="str">
        <x:v>종료</x:v>
      </x:c>
      <x:c r="G620" s="24" t="str">
        <x:v>김하은</x:v>
      </x:c>
      <x:c r="H620" s="30" t="n">
        <x:v>44424</x:v>
      </x:c>
      <x:c r="I620" s="30" t="n">
        <x:v>45524</x:v>
      </x:c>
      <x:c r="J620" s="30" t="n">
        <x:v>45524</x:v>
      </x:c>
      <x:c r="K620" s="32" t="n">
        <x:v>365000</x:v>
      </x:c>
      <x:c r="L620" s="32" t="n">
        <x:v>800000</x:v>
      </x:c>
      <x:c r="M620" s="24" t="str"/>
      <x:c r="N620" s="24" t="str"/>
      <x:c r="O620" s="24" t="str"/>
      <x:c r="P620" s="24" t="str"/>
      <x:c r="Q620" s="24" t="str">
        <x:v>있음</x:v>
      </x:c>
      <x:c r="R620" s="24" t="str"/>
      <x:c r="S620" s="31" t="n">
        <x:v>189</x:v>
      </x:c>
      <x:c r="T620" s="24" t="str">
        <x:v>연령 확인</x:v>
      </x:c>
      <x:c r="U620" s="24" t="str"/>
    </x:row>
    <x:row r="621" ht="17.25" customHeight="1">
      <x:c r="A621" s="24" t="str">
        <x:v>PR-C-69모6244-2-20230531-190</x:v>
      </x:c>
      <x:c r="B621" s="24" t="str">
        <x:v>프라임구독</x:v>
      </x:c>
      <x:c r="C621" s="24" t="str">
        <x:v>69모6244</x:v>
      </x:c>
      <x:c r="D621" s="31" t="n">
        <x:v>2</x:v>
      </x:c>
      <x:c r="E621" s="24" t="str">
        <x:v>이력</x:v>
      </x:c>
      <x:c r="F621" s="24" t="str">
        <x:v>종료</x:v>
      </x:c>
      <x:c r="G621" s="24" t="str">
        <x:v>이지수</x:v>
      </x:c>
      <x:c r="H621" s="30" t="n">
        <x:v>45077</x:v>
      </x:c>
      <x:c r="I621" s="30" t="n">
        <x:v>46167</x:v>
      </x:c>
      <x:c r="J621" s="30" t="n">
        <x:v>46167</x:v>
      </x:c>
      <x:c r="K621" s="32" t="n">
        <x:v>1475000</x:v>
      </x:c>
      <x:c r="L621" s="32" t="n">
        <x:v>4150000</x:v>
      </x:c>
      <x:c r="M621" s="24" t="str"/>
      <x:c r="N621" s="24" t="str"/>
      <x:c r="O621" s="24" t="str"/>
      <x:c r="P621" s="24" t="str"/>
      <x:c r="Q621" s="24" t="str">
        <x:v>있음</x:v>
      </x:c>
      <x:c r="R621" s="24" t="str"/>
      <x:c r="S621" s="31" t="n">
        <x:v>190</x:v>
      </x:c>
      <x:c r="T621" s="24" t="str">
        <x:v>연령 확인</x:v>
      </x:c>
      <x:c r="U621" s="24" t="str"/>
    </x:row>
    <x:row r="622" ht="17.25" customHeight="1">
      <x:c r="A622" s="24" t="str">
        <x:v>PR-C-69버0299-1-20240305-191</x:v>
      </x:c>
      <x:c r="B622" s="24" t="str">
        <x:v>프라임구독</x:v>
      </x:c>
      <x:c r="C622" s="24" t="str">
        <x:v>69버0299</x:v>
      </x:c>
      <x:c r="D622" s="31" t="n">
        <x:v>1</x:v>
      </x:c>
      <x:c r="E622" s="24" t="str">
        <x:v>현재칸</x:v>
      </x:c>
      <x:c r="F622" s="24" t="str">
        <x:v>구독</x:v>
      </x:c>
      <x:c r="G622" s="24" t="str">
        <x:v>이준영</x:v>
      </x:c>
      <x:c r="H622" s="30" t="n">
        <x:v>45356</x:v>
      </x:c>
      <x:c r="I622" s="30" t="n">
        <x:v>46808</x:v>
      </x:c>
      <x:c r="J622" s="30"/>
      <x:c r="K622" s="32" t="n">
        <x:v>550000</x:v>
      </x:c>
      <x:c r="L622" s="32" t="n">
        <x:v>1200000</x:v>
      </x:c>
      <x:c r="M622" s="24" t="str">
        <x:v>25</x:v>
      </x:c>
      <x:c r="N622" s="24" t="str"/>
      <x:c r="O622" s="24" t="str"/>
      <x:c r="P622" s="24" t="str"/>
      <x:c r="Q622" s="24" t="str">
        <x:v>있음</x:v>
      </x:c>
      <x:c r="R622" s="24" t="str"/>
      <x:c r="S622" s="31" t="n">
        <x:v>191</x:v>
      </x:c>
      <x:c r="T622" s="24" t="str">
        <x:v>연령 확인</x:v>
      </x:c>
      <x:c r="U622" s="24" t="str"/>
    </x:row>
    <x:row r="623" ht="17.25" customHeight="1">
      <x:c r="A623" s="24" t="str">
        <x:v>PR-C-69오7954-2-20220527-192</x:v>
      </x:c>
      <x:c r="B623" s="24" t="str">
        <x:v>프라임구독</x:v>
      </x:c>
      <x:c r="C623" s="24" t="str">
        <x:v>69오7954</x:v>
      </x:c>
      <x:c r="D623" s="31" t="n">
        <x:v>2</x:v>
      </x:c>
      <x:c r="E623" s="24" t="str">
        <x:v>이력</x:v>
      </x:c>
      <x:c r="F623" s="24" t="str">
        <x:v>종료</x:v>
      </x:c>
      <x:c r="G623" s="24" t="str">
        <x:v>OLGA</x:v>
      </x:c>
      <x:c r="H623" s="30" t="n">
        <x:v>44708</x:v>
      </x:c>
      <x:c r="I623" s="30" t="n">
        <x:v>45797</x:v>
      </x:c>
      <x:c r="J623" s="30" t="n">
        <x:v>45797</x:v>
      </x:c>
      <x:c r="K623" s="32" t="n">
        <x:v>621000</x:v>
      </x:c>
      <x:c r="L623" s="32" t="n">
        <x:v>1400000</x:v>
      </x:c>
      <x:c r="M623" s="24" t="str"/>
      <x:c r="N623" s="24" t="str"/>
      <x:c r="O623" s="24" t="str"/>
      <x:c r="P623" s="24" t="str"/>
      <x:c r="Q623" s="24" t="str">
        <x:v>있음</x:v>
      </x:c>
      <x:c r="R623" s="24" t="str"/>
      <x:c r="S623" s="31" t="n">
        <x:v>192</x:v>
      </x:c>
      <x:c r="T623" s="24" t="str">
        <x:v>연령 확인</x:v>
      </x:c>
      <x:c r="U623" s="24" t="str"/>
    </x:row>
    <x:row r="624" ht="17.25" customHeight="1">
      <x:c r="A624" s="24" t="str">
        <x:v>PR-C-72러4490-2-20211101-193</x:v>
      </x:c>
      <x:c r="B624" s="24" t="str">
        <x:v>프라임구독</x:v>
      </x:c>
      <x:c r="C624" s="24" t="str">
        <x:v>72러4490</x:v>
      </x:c>
      <x:c r="D624" s="31" t="n">
        <x:v>2</x:v>
      </x:c>
      <x:c r="E624" s="24" t="str">
        <x:v>이력</x:v>
      </x:c>
      <x:c r="F624" s="24" t="str">
        <x:v>종료</x:v>
      </x:c>
      <x:c r="G624" s="24" t="str">
        <x:v>김종훈</x:v>
      </x:c>
      <x:c r="H624" s="30" t="n">
        <x:v>44501</x:v>
      </x:c>
      <x:c r="I624" s="30" t="n">
        <x:v>45606</x:v>
      </x:c>
      <x:c r="J624" s="30" t="n">
        <x:v>45606</x:v>
      </x:c>
      <x:c r="K624" s="32" t="n">
        <x:v>674000</x:v>
      </x:c>
      <x:c r="L624" s="32" t="n">
        <x:v>1550000</x:v>
      </x:c>
      <x:c r="M624" s="24" t="str"/>
      <x:c r="N624" s="24" t="str"/>
      <x:c r="O624" s="24" t="str"/>
      <x:c r="P624" s="24" t="str"/>
      <x:c r="Q624" s="24" t="str">
        <x:v>있음</x:v>
      </x:c>
      <x:c r="R624" s="24" t="str"/>
      <x:c r="S624" s="31" t="n">
        <x:v>193</x:v>
      </x:c>
      <x:c r="T624" s="24" t="str">
        <x:v>연령 확인</x:v>
      </x:c>
      <x:c r="U624" s="24" t="str"/>
    </x:row>
    <x:row r="625" ht="17.25" customHeight="1">
      <x:c r="A625" s="24" t="str">
        <x:v>PR-C-76버5489-1-20220816-194</x:v>
      </x:c>
      <x:c r="B625" s="24" t="str">
        <x:v>프라임구독</x:v>
      </x:c>
      <x:c r="C625" s="24" t="str">
        <x:v>76버5489</x:v>
      </x:c>
      <x:c r="D625" s="31" t="n">
        <x:v>1</x:v>
      </x:c>
      <x:c r="E625" s="24" t="str">
        <x:v>현재칸</x:v>
      </x:c>
      <x:c r="F625" s="24" t="str">
        <x:v>구독</x:v>
      </x:c>
      <x:c r="G625" s="24" t="str">
        <x:v>한샘</x:v>
      </x:c>
      <x:c r="H625" s="30" t="n">
        <x:v>44789</x:v>
      </x:c>
      <x:c r="I625" s="30" t="n">
        <x:v>45889</x:v>
      </x:c>
      <x:c r="J625" s="30"/>
      <x:c r="K625" s="32" t="n">
        <x:v>545000</x:v>
      </x:c>
      <x:c r="L625" s="32" t="n">
        <x:v>1250000</x:v>
      </x:c>
      <x:c r="M625" s="24" t="str">
        <x:v>20</x:v>
      </x:c>
      <x:c r="N625" s="24" t="str"/>
      <x:c r="O625" s="24" t="str"/>
      <x:c r="P625" s="24" t="str"/>
      <x:c r="Q625" s="24" t="str">
        <x:v>있음</x:v>
      </x:c>
      <x:c r="R625" s="24" t="str"/>
      <x:c r="S625" s="31" t="n">
        <x:v>194</x:v>
      </x:c>
      <x:c r="T625" s="24" t="str">
        <x:v>연령 확인</x:v>
      </x:c>
      <x:c r="U625" s="24" t="str"/>
    </x:row>
    <x:row r="626" ht="17.25" customHeight="1">
      <x:c r="A626" s="24" t="str">
        <x:v>PR-C-78고8923-2-20220803-195</x:v>
      </x:c>
      <x:c r="B626" s="24" t="str">
        <x:v>프라임구독</x:v>
      </x:c>
      <x:c r="C626" s="24" t="str">
        <x:v>78고8923</x:v>
      </x:c>
      <x:c r="D626" s="31" t="n">
        <x:v>2</x:v>
      </x:c>
      <x:c r="E626" s="24" t="str">
        <x:v>이력</x:v>
      </x:c>
      <x:c r="F626" s="24" t="str">
        <x:v>종료</x:v>
      </x:c>
      <x:c r="G626" s="24" t="str">
        <x:v>김창곤2</x:v>
      </x:c>
      <x:c r="H626" s="30" t="n">
        <x:v>44776</x:v>
      </x:c>
      <x:c r="I626" s="30" t="n">
        <x:v>45868</x:v>
      </x:c>
      <x:c r="J626" s="30" t="n">
        <x:v>45868</x:v>
      </x:c>
      <x:c r="K626" s="32" t="n">
        <x:v>478000</x:v>
      </x:c>
      <x:c r="L626" s="32" t="n">
        <x:v>1100000</x:v>
      </x:c>
      <x:c r="M626" s="24" t="str"/>
      <x:c r="N626" s="24" t="str"/>
      <x:c r="O626" s="24" t="str"/>
      <x:c r="P626" s="24" t="str"/>
      <x:c r="Q626" s="24" t="str">
        <x:v>있음</x:v>
      </x:c>
      <x:c r="R626" s="24" t="str"/>
      <x:c r="S626" s="31" t="n">
        <x:v>195</x:v>
      </x:c>
      <x:c r="T626" s="24" t="str">
        <x:v>연령 확인</x:v>
      </x:c>
      <x:c r="U626" s="24" t="str"/>
    </x:row>
    <x:row r="627" ht="17.25" customHeight="1">
      <x:c r="A627" s="24" t="str">
        <x:v>PR-C-79도2997-2-20240418-196</x:v>
      </x:c>
      <x:c r="B627" s="24" t="str">
        <x:v>프라임구독</x:v>
      </x:c>
      <x:c r="C627" s="24" t="str">
        <x:v>79도2997</x:v>
      </x:c>
      <x:c r="D627" s="31" t="n">
        <x:v>2</x:v>
      </x:c>
      <x:c r="E627" s="24" t="str">
        <x:v>이력</x:v>
      </x:c>
      <x:c r="F627" s="24" t="str">
        <x:v>종료</x:v>
      </x:c>
      <x:c r="G627" s="24" t="str">
        <x:v>옥경숙</x:v>
      </x:c>
      <x:c r="H627" s="30" t="n">
        <x:v>45400</x:v>
      </x:c>
      <x:c r="I627" s="30" t="n">
        <x:v>46868</x:v>
      </x:c>
      <x:c r="J627" s="30" t="n">
        <x:v>46868</x:v>
      </x:c>
      <x:c r="K627" s="32" t="n">
        <x:v>515000</x:v>
      </x:c>
      <x:c r="L627" s="32" t="n">
        <x:v>1176000</x:v>
      </x:c>
      <x:c r="M627" s="24" t="str"/>
      <x:c r="N627" s="24" t="str"/>
      <x:c r="O627" s="24" t="str"/>
      <x:c r="P627" s="24" t="str"/>
      <x:c r="Q627" s="24" t="str">
        <x:v>있음</x:v>
      </x:c>
      <x:c r="R627" s="24" t="str"/>
      <x:c r="S627" s="31" t="n">
        <x:v>196</x:v>
      </x:c>
      <x:c r="T627" s="24" t="str">
        <x:v>연령 확인</x:v>
      </x:c>
      <x:c r="U627" s="24" t="str"/>
    </x:row>
    <x:row r="628" ht="17.25" customHeight="1">
      <x:c r="A628" s="24" t="str">
        <x:v>PR-C-824도7383-2-20240426-197</x:v>
      </x:c>
      <x:c r="B628" s="24" t="str">
        <x:v>프라임구독</x:v>
      </x:c>
      <x:c r="C628" s="24" t="str">
        <x:v>824도7383</x:v>
      </x:c>
      <x:c r="D628" s="31" t="n">
        <x:v>2</x:v>
      </x:c>
      <x:c r="E628" s="24" t="str">
        <x:v>이력</x:v>
      </x:c>
      <x:c r="F628" s="24" t="str">
        <x:v>종료</x:v>
      </x:c>
      <x:c r="G628" s="24" t="str">
        <x:v>강필성</x:v>
      </x:c>
      <x:c r="H628" s="30" t="n">
        <x:v>45408</x:v>
      </x:c>
      <x:c r="I628" s="30" t="n">
        <x:v>46853</x:v>
      </x:c>
      <x:c r="J628" s="30" t="n">
        <x:v>46853</x:v>
      </x:c>
      <x:c r="K628" s="32" t="n">
        <x:v>493000</x:v>
      </x:c>
      <x:c r="L628" s="32" t="n">
        <x:v>1470000</x:v>
      </x:c>
      <x:c r="M628" s="24" t="str"/>
      <x:c r="N628" s="24" t="str"/>
      <x:c r="O628" s="24" t="str"/>
      <x:c r="P628" s="24" t="str"/>
      <x:c r="Q628" s="24" t="str">
        <x:v>있음</x:v>
      </x:c>
      <x:c r="R628" s="24" t="str"/>
      <x:c r="S628" s="31" t="n">
        <x:v>197</x:v>
      </x:c>
      <x:c r="T628" s="24" t="str">
        <x:v>연령 확인</x:v>
      </x:c>
      <x:c r="U628" s="24" t="str"/>
    </x:row>
    <x:row r="629" ht="17.25" customHeight="1">
      <x:c r="A629" s="24" t="str">
        <x:v>PR-C-82고7047-2-20230130-198</x:v>
      </x:c>
      <x:c r="B629" s="24" t="str">
        <x:v>프라임구독</x:v>
      </x:c>
      <x:c r="C629" s="24" t="str">
        <x:v>82고7047</x:v>
      </x:c>
      <x:c r="D629" s="31" t="n">
        <x:v>2</x:v>
      </x:c>
      <x:c r="E629" s="24" t="str">
        <x:v>이력</x:v>
      </x:c>
      <x:c r="F629" s="24" t="str">
        <x:v>종료</x:v>
      </x:c>
      <x:c r="G629" s="24" t="str">
        <x:v>신동아</x:v>
      </x:c>
      <x:c r="H629" s="30" t="n">
        <x:v>44956</x:v>
      </x:c>
      <x:c r="I629" s="30" t="n">
        <x:v>46042</x:v>
      </x:c>
      <x:c r="J629" s="30" t="n">
        <x:v>46042</x:v>
      </x:c>
      <x:c r="K629" s="32" t="n">
        <x:v>877000</x:v>
      </x:c>
      <x:c r="L629" s="32" t="n">
        <x:v>1975000</x:v>
      </x:c>
      <x:c r="M629" s="24" t="str"/>
      <x:c r="N629" s="24" t="str"/>
      <x:c r="O629" s="24" t="str"/>
      <x:c r="P629" s="24" t="str"/>
      <x:c r="Q629" s="24" t="str">
        <x:v>있음</x:v>
      </x:c>
      <x:c r="R629" s="24" t="str"/>
      <x:c r="S629" s="31" t="n">
        <x:v>198</x:v>
      </x:c>
      <x:c r="T629" s="24" t="str">
        <x:v>연령 확인</x:v>
      </x:c>
      <x:c r="U629" s="24" t="str"/>
    </x:row>
    <x:row r="630" ht="17.25" customHeight="1">
      <x:c r="A630" s="24" t="str">
        <x:v>PR-C-84고8297-2-20240320-199</x:v>
      </x:c>
      <x:c r="B630" s="24" t="str">
        <x:v>프라임구독</x:v>
      </x:c>
      <x:c r="C630" s="24" t="str">
        <x:v>84고8297</x:v>
      </x:c>
      <x:c r="D630" s="31" t="n">
        <x:v>2</x:v>
      </x:c>
      <x:c r="E630" s="24" t="str">
        <x:v>이력</x:v>
      </x:c>
      <x:c r="F630" s="24" t="str">
        <x:v>종료</x:v>
      </x:c>
      <x:c r="G630" s="24" t="str">
        <x:v>백종하</x:v>
      </x:c>
      <x:c r="H630" s="30" t="n">
        <x:v>45371</x:v>
      </x:c>
      <x:c r="I630" s="30" t="n">
        <x:v>46466</x:v>
      </x:c>
      <x:c r="J630" s="30" t="n">
        <x:v>46466</x:v>
      </x:c>
      <x:c r="K630" s="32" t="n">
        <x:v>508000</x:v>
      </x:c>
      <x:c r="L630" s="32" t="n">
        <x:v>1240000</x:v>
      </x:c>
      <x:c r="M630" s="24" t="str"/>
      <x:c r="N630" s="24" t="str"/>
      <x:c r="O630" s="24" t="str"/>
      <x:c r="P630" s="24" t="str"/>
      <x:c r="Q630" s="24" t="str">
        <x:v>있음</x:v>
      </x:c>
      <x:c r="R630" s="24" t="str"/>
      <x:c r="S630" s="31" t="n">
        <x:v>199</x:v>
      </x:c>
      <x:c r="T630" s="24" t="str">
        <x:v>연령 확인</x:v>
      </x:c>
      <x:c r="U630" s="24" t="str"/>
    </x:row>
    <x:row r="631" ht="17.25" customHeight="1">
      <x:c r="A631" s="24" t="str">
        <x:v>PR-C-84모5364-1-20231122-200</x:v>
      </x:c>
      <x:c r="B631" s="24" t="str">
        <x:v>프라임구독</x:v>
      </x:c>
      <x:c r="C631" s="24" t="str">
        <x:v>84모5364</x:v>
      </x:c>
      <x:c r="D631" s="31" t="n">
        <x:v>1</x:v>
      </x:c>
      <x:c r="E631" s="24" t="str">
        <x:v>현재칸</x:v>
      </x:c>
      <x:c r="F631" s="24" t="str">
        <x:v>구독</x:v>
      </x:c>
      <x:c r="G631" s="24" t="str">
        <x:v>권용구</x:v>
      </x:c>
      <x:c r="H631" s="30" t="n">
        <x:v>45252</x:v>
      </x:c>
      <x:c r="I631" s="30" t="n">
        <x:v>47077</x:v>
      </x:c>
      <x:c r="J631" s="30"/>
      <x:c r="K631" s="32" t="n">
        <x:v>521405</x:v>
      </x:c>
      <x:c r="L631" s="32"/>
      <x:c r="M631" s="24" t="str">
        <x:v>20</x:v>
      </x:c>
      <x:c r="N631" s="24" t="str"/>
      <x:c r="O631" s="24" t="str"/>
      <x:c r="P631" s="24" t="str"/>
      <x:c r="Q631" s="24" t="str">
        <x:v>있음</x:v>
      </x:c>
      <x:c r="R631" s="24" t="str"/>
      <x:c r="S631" s="31" t="n">
        <x:v>200</x:v>
      </x:c>
      <x:c r="T631" s="24" t="str">
        <x:v>연령 확인</x:v>
      </x:c>
      <x:c r="U631" s="24" t="str">
        <x:v>무보증</x:v>
      </x:c>
    </x:row>
    <x:row r="632" ht="17.25" customHeight="1">
      <x:c r="A632" s="24" t="str">
        <x:v>PR-C-84모5456-2-20231114-201</x:v>
      </x:c>
      <x:c r="B632" s="24" t="str">
        <x:v>프라임구독</x:v>
      </x:c>
      <x:c r="C632" s="24" t="str">
        <x:v>84모5456</x:v>
      </x:c>
      <x:c r="D632" s="31" t="n">
        <x:v>2</x:v>
      </x:c>
      <x:c r="E632" s="24" t="str">
        <x:v>이력</x:v>
      </x:c>
      <x:c r="F632" s="24" t="str">
        <x:v>종료</x:v>
      </x:c>
      <x:c r="G632" s="24" t="str">
        <x:v>정세규</x:v>
      </x:c>
      <x:c r="H632" s="30" t="n">
        <x:v>45244</x:v>
      </x:c>
      <x:c r="I632" s="30" t="n">
        <x:v>47077</x:v>
      </x:c>
      <x:c r="J632" s="30" t="n">
        <x:v>47077</x:v>
      </x:c>
      <x:c r="K632" s="32" t="n">
        <x:v>447113</x:v>
      </x:c>
      <x:c r="L632" s="32"/>
      <x:c r="M632" s="24" t="str"/>
      <x:c r="N632" s="24" t="str"/>
      <x:c r="O632" s="24" t="str"/>
      <x:c r="P632" s="24" t="str"/>
      <x:c r="Q632" s="24" t="str">
        <x:v>있음</x:v>
      </x:c>
      <x:c r="R632" s="24" t="str"/>
      <x:c r="S632" s="31" t="n">
        <x:v>201</x:v>
      </x:c>
      <x:c r="T632" s="24" t="str">
        <x:v>연령 확인</x:v>
      </x:c>
      <x:c r="U632" s="24" t="str"/>
    </x:row>
    <x:row r="633" ht="17.25" customHeight="1">
      <x:c r="A633" s="24" t="str">
        <x:v>PR-C-84우6793-2-20220808-202</x:v>
      </x:c>
      <x:c r="B633" s="24" t="str">
        <x:v>프라임구독</x:v>
      </x:c>
      <x:c r="C633" s="24" t="str">
        <x:v>84우6793</x:v>
      </x:c>
      <x:c r="D633" s="31" t="n">
        <x:v>2</x:v>
      </x:c>
      <x:c r="E633" s="24" t="str">
        <x:v>이력</x:v>
      </x:c>
      <x:c r="F633" s="24" t="str">
        <x:v>종료</x:v>
      </x:c>
      <x:c r="G633" s="24" t="str">
        <x:v>이래준</x:v>
      </x:c>
      <x:c r="H633" s="30" t="n">
        <x:v>44781</x:v>
      </x:c>
      <x:c r="I633" s="30" t="n">
        <x:v>45879</x:v>
      </x:c>
      <x:c r="J633" s="30" t="n">
        <x:v>45879</x:v>
      </x:c>
      <x:c r="K633" s="32" t="n">
        <x:v>769000</x:v>
      </x:c>
      <x:c r="L633" s="32" t="n">
        <x:v>1680000</x:v>
      </x:c>
      <x:c r="M633" s="24" t="str"/>
      <x:c r="N633" s="24" t="str"/>
      <x:c r="O633" s="24" t="str"/>
      <x:c r="P633" s="24" t="str"/>
      <x:c r="Q633" s="24" t="str">
        <x:v>있음</x:v>
      </x:c>
      <x:c r="R633" s="24" t="str"/>
      <x:c r="S633" s="31" t="n">
        <x:v>202</x:v>
      </x:c>
      <x:c r="T633" s="24" t="str">
        <x:v>연령 확인</x:v>
      </x:c>
      <x:c r="U633" s="24" t="str"/>
    </x:row>
    <x:row r="634" ht="17.25" customHeight="1">
      <x:c r="A634" s="24" t="str">
        <x:v>PR-C-86어0692-2-20230213-203</x:v>
      </x:c>
      <x:c r="B634" s="24" t="str">
        <x:v>프라임구독</x:v>
      </x:c>
      <x:c r="C634" s="24" t="str">
        <x:v>86어0692</x:v>
      </x:c>
      <x:c r="D634" s="31" t="n">
        <x:v>2</x:v>
      </x:c>
      <x:c r="E634" s="24" t="str">
        <x:v>이력</x:v>
      </x:c>
      <x:c r="F634" s="24" t="str">
        <x:v>종료</x:v>
      </x:c>
      <x:c r="G634" s="24" t="str">
        <x:v>김주원</x:v>
      </x:c>
      <x:c r="H634" s="30" t="n">
        <x:v>44970</x:v>
      </x:c>
      <x:c r="I634" s="30" t="n">
        <x:v>46068</x:v>
      </x:c>
      <x:c r="J634" s="30" t="n">
        <x:v>46068</x:v>
      </x:c>
      <x:c r="K634" s="32" t="n">
        <x:v>1221000</x:v>
      </x:c>
      <x:c r="L634" s="32" t="n">
        <x:v>2750000</x:v>
      </x:c>
      <x:c r="M634" s="24" t="str"/>
      <x:c r="N634" s="24" t="str"/>
      <x:c r="O634" s="24" t="str"/>
      <x:c r="P634" s="24" t="str"/>
      <x:c r="Q634" s="24" t="str">
        <x:v>있음</x:v>
      </x:c>
      <x:c r="R634" s="24" t="str"/>
      <x:c r="S634" s="31" t="n">
        <x:v>203</x:v>
      </x:c>
      <x:c r="T634" s="24" t="str">
        <x:v>연령 확인</x:v>
      </x:c>
      <x:c r="U634" s="24" t="str"/>
    </x:row>
    <x:row r="635" ht="17.25" customHeight="1">
      <x:c r="A635" s="24" t="str">
        <x:v>PR-C-88더7125-2-20230102-204</x:v>
      </x:c>
      <x:c r="B635" s="24" t="str">
        <x:v>프라임구독</x:v>
      </x:c>
      <x:c r="C635" s="24" t="str">
        <x:v>88더7125</x:v>
      </x:c>
      <x:c r="D635" s="31" t="n">
        <x:v>2</x:v>
      </x:c>
      <x:c r="E635" s="24" t="str">
        <x:v>이력</x:v>
      </x:c>
      <x:c r="F635" s="24" t="str">
        <x:v>종료</x:v>
      </x:c>
      <x:c r="G635" s="24" t="str">
        <x:v>여동석</x:v>
      </x:c>
      <x:c r="H635" s="30" t="n">
        <x:v>44928</x:v>
      </x:c>
      <x:c r="I635" s="30" t="n">
        <x:v>46011</x:v>
      </x:c>
      <x:c r="J635" s="30" t="n">
        <x:v>46011</x:v>
      </x:c>
      <x:c r="K635" s="32" t="n">
        <x:v>764000</x:v>
      </x:c>
      <x:c r="L635" s="32" t="n">
        <x:v>1720000</x:v>
      </x:c>
      <x:c r="M635" s="24" t="str"/>
      <x:c r="N635" s="24" t="str"/>
      <x:c r="O635" s="24" t="str"/>
      <x:c r="P635" s="24" t="str"/>
      <x:c r="Q635" s="24" t="str">
        <x:v>있음</x:v>
      </x:c>
      <x:c r="R635" s="24" t="str"/>
      <x:c r="S635" s="31" t="n">
        <x:v>204</x:v>
      </x:c>
      <x:c r="T635" s="24" t="str">
        <x:v>연령 확인</x:v>
      </x:c>
      <x:c r="U635" s="24" t="str"/>
    </x:row>
    <x:row r="636" ht="17.25" customHeight="1">
      <x:c r="A636" s="24" t="str">
        <x:v>PR-C-88오9333-2-20230302-205</x:v>
      </x:c>
      <x:c r="B636" s="24" t="str">
        <x:v>프라임구독</x:v>
      </x:c>
      <x:c r="C636" s="24" t="str">
        <x:v>88오9333</x:v>
      </x:c>
      <x:c r="D636" s="31" t="n">
        <x:v>2</x:v>
      </x:c>
      <x:c r="E636" s="24" t="str">
        <x:v>이력</x:v>
      </x:c>
      <x:c r="F636" s="24" t="str">
        <x:v>종료</x:v>
      </x:c>
      <x:c r="G636" s="24" t="str">
        <x:v>안석모</x:v>
      </x:c>
      <x:c r="H636" s="30" t="n">
        <x:v>44987</x:v>
      </x:c>
      <x:c r="I636" s="30" t="n">
        <x:v>46096</x:v>
      </x:c>
      <x:c r="J636" s="30" t="n">
        <x:v>46096</x:v>
      </x:c>
      <x:c r="K636" s="32" t="n">
        <x:v>512000</x:v>
      </x:c>
      <x:c r="L636" s="32" t="n">
        <x:v>1150000</x:v>
      </x:c>
      <x:c r="M636" s="24" t="str"/>
      <x:c r="N636" s="24" t="str"/>
      <x:c r="O636" s="24" t="str"/>
      <x:c r="P636" s="24" t="str"/>
      <x:c r="Q636" s="24" t="str">
        <x:v>있음</x:v>
      </x:c>
      <x:c r="R636" s="24" t="str"/>
      <x:c r="S636" s="31" t="n">
        <x:v>205</x:v>
      </x:c>
      <x:c r="T636" s="24" t="str">
        <x:v>연령 확인</x:v>
      </x:c>
      <x:c r="U636" s="24" t="str"/>
    </x:row>
    <x:row r="637" ht="17.25" customHeight="1">
      <x:c r="A637" s="24" t="str">
        <x:v>PR-C-89누6882-2-20221028-206</x:v>
      </x:c>
      <x:c r="B637" s="24" t="str">
        <x:v>프라임구독</x:v>
      </x:c>
      <x:c r="C637" s="24" t="str">
        <x:v>89누6882</x:v>
      </x:c>
      <x:c r="D637" s="31" t="n">
        <x:v>2</x:v>
      </x:c>
      <x:c r="E637" s="24" t="str">
        <x:v>이력</x:v>
      </x:c>
      <x:c r="F637" s="24" t="str">
        <x:v>종료</x:v>
      </x:c>
      <x:c r="G637" s="24" t="str">
        <x:v>제이에스인더</x:v>
      </x:c>
      <x:c r="H637" s="30" t="n">
        <x:v>44862</x:v>
      </x:c>
      <x:c r="I637" s="30" t="n">
        <x:v>45960</x:v>
      </x:c>
      <x:c r="J637" s="30" t="n">
        <x:v>45960</x:v>
      </x:c>
      <x:c r="K637" s="32" t="n">
        <x:v>918000</x:v>
      </x:c>
      <x:c r="L637" s="32" t="n">
        <x:v>2100000</x:v>
      </x:c>
      <x:c r="M637" s="24" t="str"/>
      <x:c r="N637" s="24" t="str"/>
      <x:c r="O637" s="24" t="str"/>
      <x:c r="P637" s="24" t="str"/>
      <x:c r="Q637" s="24" t="str">
        <x:v>있음</x:v>
      </x:c>
      <x:c r="R637" s="24" t="str"/>
      <x:c r="S637" s="31" t="n">
        <x:v>206</x:v>
      </x:c>
      <x:c r="T637" s="24" t="str">
        <x:v>연령 확인</x:v>
      </x:c>
      <x:c r="U637" s="24" t="str"/>
    </x:row>
    <x:row r="638" ht="17.25" customHeight="1">
      <x:c r="A638" s="24" t="str">
        <x:v>PR-C-89더0565-2-20231117-207</x:v>
      </x:c>
      <x:c r="B638" s="24" t="str">
        <x:v>프라임구독</x:v>
      </x:c>
      <x:c r="C638" s="24" t="str">
        <x:v>89더0565</x:v>
      </x:c>
      <x:c r="D638" s="31" t="n">
        <x:v>2</x:v>
      </x:c>
      <x:c r="E638" s="24" t="str">
        <x:v>이력</x:v>
      </x:c>
      <x:c r="F638" s="24" t="str">
        <x:v>종료</x:v>
      </x:c>
      <x:c r="G638" s="24" t="str">
        <x:v>차상만</x:v>
      </x:c>
      <x:c r="H638" s="30" t="n">
        <x:v>45247</x:v>
      </x:c>
      <x:c r="I638" s="30" t="n">
        <x:v>46711</x:v>
      </x:c>
      <x:c r="J638" s="30" t="n">
        <x:v>46711</x:v>
      </x:c>
      <x:c r="K638" s="32" t="n">
        <x:v>501000</x:v>
      </x:c>
      <x:c r="L638" s="32" t="n">
        <x:v>1440000</x:v>
      </x:c>
      <x:c r="M638" s="24" t="str"/>
      <x:c r="N638" s="24" t="str"/>
      <x:c r="O638" s="24" t="str"/>
      <x:c r="P638" s="24" t="str"/>
      <x:c r="Q638" s="24" t="str">
        <x:v>있음</x:v>
      </x:c>
      <x:c r="R638" s="24" t="str"/>
      <x:c r="S638" s="31" t="n">
        <x:v>207</x:v>
      </x:c>
      <x:c r="T638" s="24" t="str">
        <x:v>연령 확인</x:v>
      </x:c>
      <x:c r="U638" s="24" t="str"/>
    </x:row>
    <x:row r="639" ht="17.25" customHeight="1">
      <x:c r="A639" s="24" t="str">
        <x:v>PR-C-91구1898-2-20220314-208</x:v>
      </x:c>
      <x:c r="B639" s="24" t="str">
        <x:v>프라임구독</x:v>
      </x:c>
      <x:c r="C639" s="24" t="str">
        <x:v>91구1898</x:v>
      </x:c>
      <x:c r="D639" s="31" t="n">
        <x:v>2</x:v>
      </x:c>
      <x:c r="E639" s="24" t="str">
        <x:v>이력</x:v>
      </x:c>
      <x:c r="F639" s="24" t="str">
        <x:v>종료</x:v>
      </x:c>
      <x:c r="G639" s="24" t="str">
        <x:v>오주희</x:v>
      </x:c>
      <x:c r="H639" s="30" t="n">
        <x:v>44634</x:v>
      </x:c>
      <x:c r="I639" s="30" t="n">
        <x:v>45731</x:v>
      </x:c>
      <x:c r="J639" s="30" t="n">
        <x:v>45731</x:v>
      </x:c>
      <x:c r="K639" s="32" t="n">
        <x:v>474000</x:v>
      </x:c>
      <x:c r="L639" s="32" t="n">
        <x:v>1100000</x:v>
      </x:c>
      <x:c r="M639" s="24" t="str"/>
      <x:c r="N639" s="24" t="str"/>
      <x:c r="O639" s="24" t="str"/>
      <x:c r="P639" s="24" t="str"/>
      <x:c r="Q639" s="24" t="str">
        <x:v>있음</x:v>
      </x:c>
      <x:c r="R639" s="24" t="str"/>
      <x:c r="S639" s="31" t="n">
        <x:v>208</x:v>
      </x:c>
      <x:c r="T639" s="24" t="str">
        <x:v>연령 확인</x:v>
      </x:c>
      <x:c r="U639" s="24" t="str"/>
    </x:row>
    <x:row r="640" ht="17.25" customHeight="1">
      <x:c r="A640" s="24" t="str">
        <x:v>PR-C-93너4019-1-20231024-209</x:v>
      </x:c>
      <x:c r="B640" s="24" t="str">
        <x:v>프라임구독</x:v>
      </x:c>
      <x:c r="C640" s="24" t="str">
        <x:v>93너4019</x:v>
      </x:c>
      <x:c r="D640" s="31" t="n">
        <x:v>1</x:v>
      </x:c>
      <x:c r="E640" s="24" t="str">
        <x:v>현재칸</x:v>
      </x:c>
      <x:c r="F640" s="24" t="str">
        <x:v>구독</x:v>
      </x:c>
      <x:c r="G640" s="24" t="str">
        <x:v>최유미</x:v>
      </x:c>
      <x:c r="H640" s="30" t="n">
        <x:v>45223</x:v>
      </x:c>
      <x:c r="I640" s="30" t="n">
        <x:v>47051</x:v>
      </x:c>
      <x:c r="J640" s="30"/>
      <x:c r="K640" s="32" t="n">
        <x:v>554212</x:v>
      </x:c>
      <x:c r="L640" s="32"/>
      <x:c r="M640" s="24" t="str">
        <x:v>25</x:v>
      </x:c>
      <x:c r="N640" s="24" t="str"/>
      <x:c r="O640" s="24" t="str"/>
      <x:c r="P640" s="24" t="str"/>
      <x:c r="Q640" s="24" t="str">
        <x:v>있음</x:v>
      </x:c>
      <x:c r="R640" s="24" t="str"/>
      <x:c r="S640" s="31" t="n">
        <x:v>209</x:v>
      </x:c>
      <x:c r="T640" s="24" t="str">
        <x:v>연령 확인</x:v>
      </x:c>
      <x:c r="U640" s="24" t="str">
        <x:v>무보증</x:v>
      </x:c>
    </x:row>
    <x:row r="641" ht="17.25" customHeight="1">
      <x:c r="A641" s="24" t="str">
        <x:v>PR-C-93너4040-1-20231012-210</x:v>
      </x:c>
      <x:c r="B641" s="24" t="str">
        <x:v>프라임구독</x:v>
      </x:c>
      <x:c r="C641" s="24" t="str">
        <x:v>93너4040</x:v>
      </x:c>
      <x:c r="D641" s="31" t="n">
        <x:v>1</x:v>
      </x:c>
      <x:c r="E641" s="24" t="str">
        <x:v>현재칸</x:v>
      </x:c>
      <x:c r="F641" s="24" t="str">
        <x:v>구독</x:v>
      </x:c>
      <x:c r="G641" s="24" t="str">
        <x:v>이효기</x:v>
      </x:c>
      <x:c r="H641" s="30" t="n">
        <x:v>45211</x:v>
      </x:c>
      <x:c r="I641" s="30" t="n">
        <x:v>47046</x:v>
      </x:c>
      <x:c r="J641" s="30"/>
      <x:c r="K641" s="32" t="n">
        <x:v>561668</x:v>
      </x:c>
      <x:c r="L641" s="32"/>
      <x:c r="M641" s="24" t="str"/>
      <x:c r="N641" s="24" t="str"/>
      <x:c r="O641" s="24" t="str"/>
      <x:c r="P641" s="24" t="str"/>
      <x:c r="Q641" s="24" t="str">
        <x:v>없음</x:v>
      </x:c>
      <x:c r="R641" s="24" t="str"/>
      <x:c r="S641" s="31" t="n">
        <x:v>210</x:v>
      </x:c>
      <x:c r="T641" s="24" t="str">
        <x:v>연령 확인</x:v>
      </x:c>
      <x:c r="U641" s="24" t="str">
        <x:v>무보증</x:v>
      </x:c>
    </x:row>
    <x:row r="642" ht="17.25" customHeight="1">
      <x:c r="A642" s="24" t="str">
        <x:v>PR-C-93오0716-1-20230712-211</x:v>
      </x:c>
      <x:c r="B642" s="24" t="str">
        <x:v>프라임구독</x:v>
      </x:c>
      <x:c r="C642" s="24" t="str">
        <x:v>93오0716</x:v>
      </x:c>
      <x:c r="D642" s="31" t="n">
        <x:v>1</x:v>
      </x:c>
      <x:c r="E642" s="24" t="str">
        <x:v>현재칸</x:v>
      </x:c>
      <x:c r="F642" s="24" t="str">
        <x:v>구독</x:v>
      </x:c>
      <x:c r="G642" s="24" t="str">
        <x:v>김성룡</x:v>
      </x:c>
      <x:c r="H642" s="30" t="n">
        <x:v>45119</x:v>
      </x:c>
      <x:c r="I642" s="30" t="n">
        <x:v>46218</x:v>
      </x:c>
      <x:c r="J642" s="30"/>
      <x:c r="K642" s="32" t="n">
        <x:v>708000</x:v>
      </x:c>
      <x:c r="L642" s="32" t="n">
        <x:v>1730000</x:v>
      </x:c>
      <x:c r="M642" s="24" t="str">
        <x:v>15</x:v>
      </x:c>
      <x:c r="N642" s="24" t="str"/>
      <x:c r="O642" s="24" t="str"/>
      <x:c r="P642" s="24" t="str"/>
      <x:c r="Q642" s="24" t="str">
        <x:v>있음</x:v>
      </x:c>
      <x:c r="R642" s="24" t="str"/>
      <x:c r="S642" s="31" t="n">
        <x:v>211</x:v>
      </x:c>
      <x:c r="T642" s="24" t="str">
        <x:v>연령 확인</x:v>
      </x:c>
      <x:c r="U642" s="24" t="str"/>
    </x:row>
    <x:row r="643" ht="17.25" customHeight="1">
      <x:c r="A643" s="24" t="str">
        <x:v>PR-C-95서4126-1-20231128-212</x:v>
      </x:c>
      <x:c r="B643" s="24" t="str">
        <x:v>프라임구독</x:v>
      </x:c>
      <x:c r="C643" s="24" t="str">
        <x:v>95서4126</x:v>
      </x:c>
      <x:c r="D643" s="31" t="n">
        <x:v>1</x:v>
      </x:c>
      <x:c r="E643" s="24" t="str">
        <x:v>현재칸</x:v>
      </x:c>
      <x:c r="F643" s="24" t="str">
        <x:v>구독</x:v>
      </x:c>
      <x:c r="G643" s="24" t="str">
        <x:v>임은희</x:v>
      </x:c>
      <x:c r="H643" s="30" t="n">
        <x:v>45258</x:v>
      </x:c>
      <x:c r="I643" s="30" t="n">
        <x:v>47097</x:v>
      </x:c>
      <x:c r="J643" s="30"/>
      <x:c r="K643" s="32" t="n">
        <x:v>529000</x:v>
      </x:c>
      <x:c r="L643" s="32"/>
      <x:c r="M643" s="24" t="str"/>
      <x:c r="N643" s="24" t="str"/>
      <x:c r="O643" s="24" t="str"/>
      <x:c r="P643" s="24" t="str"/>
      <x:c r="Q643" s="24" t="str">
        <x:v>없음</x:v>
      </x:c>
      <x:c r="R643" s="24" t="str"/>
      <x:c r="S643" s="31" t="n">
        <x:v>212</x:v>
      </x:c>
      <x:c r="T643" s="24" t="str">
        <x:v>연령 확인</x:v>
      </x:c>
      <x:c r="U643" s="24" t="str">
        <x:v>무보증</x:v>
      </x:c>
    </x:row>
    <x:row r="644" ht="17.25" customHeight="1">
      <x:c r="A644" s="24" t="str">
        <x:v>PR-C-95서4167-2-20231120-213</x:v>
      </x:c>
      <x:c r="B644" s="24" t="str">
        <x:v>프라임구독</x:v>
      </x:c>
      <x:c r="C644" s="24" t="str">
        <x:v>95서4167</x:v>
      </x:c>
      <x:c r="D644" s="31" t="n">
        <x:v>2</x:v>
      </x:c>
      <x:c r="E644" s="24" t="str">
        <x:v>이력</x:v>
      </x:c>
      <x:c r="F644" s="24" t="str">
        <x:v>종료</x:v>
      </x:c>
      <x:c r="G644" s="24" t="str">
        <x:v>이봉안</x:v>
      </x:c>
      <x:c r="H644" s="30" t="n">
        <x:v>45250</x:v>
      </x:c>
      <x:c r="I644" s="30" t="n">
        <x:v>47082</x:v>
      </x:c>
      <x:c r="J644" s="30" t="n">
        <x:v>47082</x:v>
      </x:c>
      <x:c r="K644" s="32" t="n">
        <x:v>440989</x:v>
      </x:c>
      <x:c r="L644" s="32"/>
      <x:c r="M644" s="24" t="str"/>
      <x:c r="N644" s="24" t="str"/>
      <x:c r="O644" s="24" t="str"/>
      <x:c r="P644" s="24" t="str"/>
      <x:c r="Q644" s="24" t="str">
        <x:v>있음</x:v>
      </x:c>
      <x:c r="R644" s="24" t="str"/>
      <x:c r="S644" s="31" t="n">
        <x:v>213</x:v>
      </x:c>
      <x:c r="T644" s="24" t="str">
        <x:v>연령 확인</x:v>
      </x:c>
      <x:c r="U644" s="24" t="str"/>
    </x:row>
    <x:row r="645" ht="17.25" customHeight="1">
      <x:c r="A645" s="24" t="str">
        <x:v>PR-C-96머7474-1-20230131-214</x:v>
      </x:c>
      <x:c r="B645" s="24" t="str">
        <x:v>프라임구독</x:v>
      </x:c>
      <x:c r="C645" s="24" t="str">
        <x:v>96머7474</x:v>
      </x:c>
      <x:c r="D645" s="31" t="n">
        <x:v>1</x:v>
      </x:c>
      <x:c r="E645" s="24" t="str">
        <x:v>현재칸</x:v>
      </x:c>
      <x:c r="F645" s="24" t="str">
        <x:v>구독</x:v>
      </x:c>
      <x:c r="G645" s="24" t="str">
        <x:v>김동석</x:v>
      </x:c>
      <x:c r="H645" s="30" t="n">
        <x:v>44957</x:v>
      </x:c>
      <x:c r="I645" s="30" t="n">
        <x:v>46042</x:v>
      </x:c>
      <x:c r="J645" s="30"/>
      <x:c r="K645" s="32" t="n">
        <x:v>662000</x:v>
      </x:c>
      <x:c r="L645" s="32" t="n">
        <x:v>1490000</x:v>
      </x:c>
      <x:c r="M645" s="24" t="str">
        <x:v>20</x:v>
      </x:c>
      <x:c r="N645" s="24" t="str"/>
      <x:c r="O645" s="24" t="str"/>
      <x:c r="P645" s="24" t="str"/>
      <x:c r="Q645" s="24" t="str">
        <x:v>있음</x:v>
      </x:c>
      <x:c r="R645" s="24" t="str"/>
      <x:c r="S645" s="31" t="n">
        <x:v>214</x:v>
      </x:c>
      <x:c r="T645" s="24" t="str">
        <x:v>연령 확인</x:v>
      </x:c>
      <x:c r="U645" s="24" t="str"/>
    </x:row>
    <x:row r="646" ht="17.25" customHeight="1">
      <x:c r="A646" s="24" t="str">
        <x:v>PR-C-96서1502-2-20230612-215</x:v>
      </x:c>
      <x:c r="B646" s="24" t="str">
        <x:v>프라임구독</x:v>
      </x:c>
      <x:c r="C646" s="24" t="str">
        <x:v>96서1502</x:v>
      </x:c>
      <x:c r="D646" s="31" t="n">
        <x:v>2</x:v>
      </x:c>
      <x:c r="E646" s="24" t="str">
        <x:v>이력</x:v>
      </x:c>
      <x:c r="F646" s="24" t="str">
        <x:v>종료</x:v>
      </x:c>
      <x:c r="G646" s="24" t="str">
        <x:v>박희성</x:v>
      </x:c>
      <x:c r="H646" s="30" t="n">
        <x:v>45089</x:v>
      </x:c>
      <x:c r="I646" s="30" t="n">
        <x:v>46183</x:v>
      </x:c>
      <x:c r="J646" s="30" t="n">
        <x:v>46183</x:v>
      </x:c>
      <x:c r="K646" s="32" t="n">
        <x:v>986000</x:v>
      </x:c>
      <x:c r="L646" s="32" t="n">
        <x:v>2840000</x:v>
      </x:c>
      <x:c r="M646" s="24" t="str"/>
      <x:c r="N646" s="24" t="str"/>
      <x:c r="O646" s="24" t="str"/>
      <x:c r="P646" s="24" t="str"/>
      <x:c r="Q646" s="24" t="str">
        <x:v>있음</x:v>
      </x:c>
      <x:c r="R646" s="24" t="str"/>
      <x:c r="S646" s="31" t="n">
        <x:v>215</x:v>
      </x:c>
      <x:c r="T646" s="24" t="str">
        <x:v>연령 확인</x:v>
      </x:c>
      <x:c r="U646" s="24" t="str"/>
    </x:row>
  </x:sheetData>
  <x:conditionalFormatting sqref="T2:T646">
    <x:cfRule type="containsText" dxfId="5" priority="1" operator="containsText" text="확인"/>
  </x:conditionalFormatting>
  <x:pageMargins left="0.7" right="0.7" top="0.75" bottom="0.75" header="0.3" footer="0.3"/>
  <x:tableParts count="1">
    <x:tablePart xmlns:r="http://schemas.openxmlformats.org/officeDocument/2006/relationships" r:id="R4092e73dea9946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13.130000114440918" hidden="0" customWidth="1"/>
    <x:col min="3" max="3" width="22.5" hidden="0" customWidth="1"/>
    <x:col min="4" max="4" width="11.25" hidden="0" customWidth="1"/>
    <x:col min="5" max="5" width="11.880000114440918" hidden="0" customWidth="1"/>
    <x:col min="6" max="6" width="9.380000114440918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0" hidden="0" customWidth="1"/>
    <x:col min="13" max="13" width="9.380000114440918" hidden="0" customWidth="1"/>
    <x:col min="14" max="14" width="8.75" hidden="0" customWidth="1"/>
    <x:col min="15" max="15" width="8.130000114440918" hidden="0" customWidth="1"/>
  </x:cols>
  <x:sheetData>
    <x:row r="1" ht="25.5" customHeight="1">
      <x:c r="A1" s="29" t="str">
        <x:v>청구ID</x:v>
      </x:c>
      <x:c r="B1" s="29" t="str">
        <x:v>법인</x:v>
      </x:c>
      <x:c r="C1" s="29" t="str">
        <x:v>계약ID</x:v>
      </x:c>
      <x:c r="D1" s="29" t="str">
        <x:v>차량번호</x:v>
      </x:c>
      <x:c r="E1" s="29" t="str">
        <x:v>고객명</x:v>
      </x:c>
      <x:c r="F1" s="29" t="str">
        <x:v>청구월</x:v>
      </x:c>
      <x:c r="G1" s="29" t="str">
        <x:v>납기일</x:v>
      </x:c>
      <x:c r="H1" s="29" t="str">
        <x:v>청구금액</x:v>
      </x:c>
      <x:c r="I1" s="29" t="str">
        <x:v>결제금액</x:v>
      </x:c>
      <x:c r="J1" s="29" t="str">
        <x:v>미납금액</x:v>
      </x:c>
      <x:c r="K1" s="29" t="str">
        <x:v>결제일자</x:v>
      </x:c>
      <x:c r="L1" s="29" t="str">
        <x:v>결제수단</x:v>
      </x:c>
      <x:c r="M1" s="29" t="str">
        <x:v>연체일수</x:v>
      </x:c>
      <x:c r="N1" s="29" t="str">
        <x:v>상태</x:v>
      </x:c>
      <x:c r="O1" s="29" t="str">
        <x:v>원본행</x:v>
      </x:c>
    </x:row>
    <x:row r="2" ht="17.25" customHeight="1">
      <x:c r="A2" s="24" t="str">
        <x:v>SW-B-16부2718-202608</x:v>
      </x:c>
      <x:c r="B2" s="24" t="str">
        <x:v>스위치플랜</x:v>
      </x:c>
      <x:c r="C2" s="24" t="str">
        <x:v>SW-C-16부2718-1-20260211-3</x:v>
      </x:c>
      <x:c r="D2" s="24" t="str">
        <x:v>16부2718</x:v>
      </x:c>
      <x:c r="E2" s="24" t="str">
        <x:v>김근하</x:v>
      </x:c>
      <x:c r="F2" s="24" t="str">
        <x:v>2026-08</x:v>
      </x:c>
      <x:c r="G2" s="30" t="n">
        <x:v>46244</x:v>
      </x:c>
      <x:c r="H2" s="32" t="n">
        <x:v>390000</x:v>
      </x:c>
      <x:c r="I2" s="32" t="n">
        <x:v>390000</x:v>
      </x:c>
      <x:c r="J2" s="32" t="n">
        <x:v>0</x:v>
      </x:c>
      <x:c r="K2" s="30" t="n">
        <x:v>46244</x:v>
      </x:c>
      <x:c r="L2" s="24" t="str">
        <x:v>입금</x:v>
      </x:c>
      <x:c r="M2" s="31" t="n">
        <x:f>IF(AND(N2="미수",G2&lt;&gt;"",TODAY()&gt;G2),TODAY()-G2,0)</x:f>
        <x:v>0</x:v>
      </x:c>
      <x:c r="N2" s="24" t="str">
        <x:f>IF(J2&gt;0,"미수",IF(AND(H2&gt;0,I2&gt;=H2),"완납","미확인"))</x:f>
        <x:v>완납</x:v>
      </x:c>
      <x:c r="O2" s="31" t="n">
        <x:v>3</x:v>
      </x:c>
    </x:row>
    <x:row r="3" ht="17.25" customHeight="1">
      <x:c r="A3" s="24" t="str">
        <x:v>SW-B-16부2718-202607</x:v>
      </x:c>
      <x:c r="B3" s="24" t="str">
        <x:v>스위치플랜</x:v>
      </x:c>
      <x:c r="C3" s="24" t="str">
        <x:v>SW-C-16부2718-1-20260211-3</x:v>
      </x:c>
      <x:c r="D3" s="24" t="str">
        <x:v>16부2718</x:v>
      </x:c>
      <x:c r="E3" s="24" t="str">
        <x:v>김근하</x:v>
      </x:c>
      <x:c r="F3" s="24" t="str">
        <x:v>2026-07</x:v>
      </x:c>
      <x:c r="G3" s="30" t="n">
        <x:v>46213</x:v>
      </x:c>
      <x:c r="H3" s="32" t="n">
        <x:v>390000</x:v>
      </x:c>
      <x:c r="I3" s="32" t="n">
        <x:v>390000</x:v>
      </x:c>
      <x:c r="J3" s="32" t="n">
        <x:v>0</x:v>
      </x:c>
      <x:c r="K3" s="30" t="n">
        <x:v>46215</x:v>
      </x:c>
      <x:c r="L3" s="24" t="str">
        <x:v>입금</x:v>
      </x:c>
      <x:c r="M3" s="31" t="n">
        <x:f>IF(AND(N3="미수",G3&lt;&gt;"",TODAY()&gt;G3),TODAY()-G3,0)</x:f>
        <x:v>0</x:v>
      </x:c>
      <x:c r="N3" s="24" t="str">
        <x:f>IF(J3&gt;0,"미수",IF(AND(H3&gt;0,I3&gt;=H3),"완납","미확인"))</x:f>
        <x:v>완납</x:v>
      </x:c>
      <x:c r="O3" s="31" t="n">
        <x:v>3</x:v>
      </x:c>
    </x:row>
    <x:row r="4" ht="17.25" customHeight="1">
      <x:c r="A4" s="24" t="str">
        <x:v>SW-B-16부2718-202606</x:v>
      </x:c>
      <x:c r="B4" s="24" t="str">
        <x:v>스위치플랜</x:v>
      </x:c>
      <x:c r="C4" s="24" t="str">
        <x:v>SW-C-16부2718-1-20260211-3</x:v>
      </x:c>
      <x:c r="D4" s="24" t="str">
        <x:v>16부2718</x:v>
      </x:c>
      <x:c r="E4" s="24" t="str">
        <x:v>김근하</x:v>
      </x:c>
      <x:c r="F4" s="24" t="str">
        <x:v>2026-06</x:v>
      </x:c>
      <x:c r="G4" s="30" t="n">
        <x:v>46183</x:v>
      </x:c>
      <x:c r="H4" s="32" t="n">
        <x:v>390000</x:v>
      </x:c>
      <x:c r="I4" s="32" t="n">
        <x:v>390000</x:v>
      </x:c>
      <x:c r="J4" s="32" t="n">
        <x:v>0</x:v>
      </x:c>
      <x:c r="K4" s="30" t="n">
        <x:v>46183</x:v>
      </x:c>
      <x:c r="L4" s="24" t="str">
        <x:v>자동</x:v>
      </x:c>
      <x:c r="M4" s="31" t="n">
        <x:f>IF(AND(N4="미수",G4&lt;&gt;"",TODAY()&gt;G4),TODAY()-G4,0)</x:f>
        <x:v>0</x:v>
      </x:c>
      <x:c r="N4" s="24" t="str">
        <x:f>IF(J4&gt;0,"미수",IF(AND(H4&gt;0,I4&gt;=H4),"완납","미확인"))</x:f>
        <x:v>완납</x:v>
      </x:c>
      <x:c r="O4" s="31" t="n">
        <x:v>3</x:v>
      </x:c>
    </x:row>
    <x:row r="5" ht="17.25" customHeight="1">
      <x:c r="A5" s="24" t="str">
        <x:v>SW-B-16부2718-202605</x:v>
      </x:c>
      <x:c r="B5" s="24" t="str">
        <x:v>스위치플랜</x:v>
      </x:c>
      <x:c r="C5" s="24" t="str">
        <x:v>SW-C-16부2718-1-20260211-3</x:v>
      </x:c>
      <x:c r="D5" s="24" t="str">
        <x:v>16부2718</x:v>
      </x:c>
      <x:c r="E5" s="24" t="str">
        <x:v>김근하</x:v>
      </x:c>
      <x:c r="F5" s="24" t="str">
        <x:v>2026-05</x:v>
      </x:c>
      <x:c r="G5" s="30" t="n">
        <x:v>46152</x:v>
      </x:c>
      <x:c r="H5" s="32" t="n">
        <x:v>390000</x:v>
      </x:c>
      <x:c r="I5" s="32" t="n">
        <x:v>390000</x:v>
      </x:c>
      <x:c r="J5" s="32" t="n">
        <x:v>0</x:v>
      </x:c>
      <x:c r="K5" s="30" t="n">
        <x:v>46153</x:v>
      </x:c>
      <x:c r="L5" s="24" t="str">
        <x:v>자동</x:v>
      </x:c>
      <x:c r="M5" s="31" t="n">
        <x:f>IF(AND(N5="미수",G5&lt;&gt;"",TODAY()&gt;G5),TODAY()-G5,0)</x:f>
        <x:v>0</x:v>
      </x:c>
      <x:c r="N5" s="24" t="str">
        <x:f>IF(J5&gt;0,"미수",IF(AND(H5&gt;0,I5&gt;=H5),"완납","미확인"))</x:f>
        <x:v>완납</x:v>
      </x:c>
      <x:c r="O5" s="31" t="n">
        <x:v>3</x:v>
      </x:c>
    </x:row>
    <x:row r="6" ht="17.25" customHeight="1">
      <x:c r="A6" s="24" t="str">
        <x:v>SW-B-16부2718-202604</x:v>
      </x:c>
      <x:c r="B6" s="24" t="str">
        <x:v>스위치플랜</x:v>
      </x:c>
      <x:c r="C6" s="24" t="str">
        <x:v>SW-C-16부2718-1-20260211-3</x:v>
      </x:c>
      <x:c r="D6" s="24" t="str">
        <x:v>16부2718</x:v>
      </x:c>
      <x:c r="E6" s="24" t="str">
        <x:v>김근하</x:v>
      </x:c>
      <x:c r="F6" s="24" t="str">
        <x:v>2026-04</x:v>
      </x:c>
      <x:c r="G6" s="30" t="n">
        <x:v>46122</x:v>
      </x:c>
      <x:c r="H6" s="32" t="n">
        <x:v>390000</x:v>
      </x:c>
      <x:c r="I6" s="32" t="n">
        <x:v>390000</x:v>
      </x:c>
      <x:c r="J6" s="32" t="n">
        <x:v>0</x:v>
      </x:c>
      <x:c r="K6" s="30" t="n">
        <x:v>46122</x:v>
      </x:c>
      <x:c r="L6" s="24" t="str">
        <x:v>자동</x:v>
      </x:c>
      <x:c r="M6" s="31" t="n">
        <x:f>IF(AND(N6="미수",G6&lt;&gt;"",TODAY()&gt;G6),TODAY()-G6,0)</x:f>
        <x:v>0</x:v>
      </x:c>
      <x:c r="N6" s="24" t="str">
        <x:f>IF(J6&gt;0,"미수",IF(AND(H6&gt;0,I6&gt;=H6),"완납","미확인"))</x:f>
        <x:v>완납</x:v>
      </x:c>
      <x:c r="O6" s="31" t="n">
        <x:v>3</x:v>
      </x:c>
    </x:row>
    <x:row r="7" ht="17.25" customHeight="1">
      <x:c r="A7" s="24" t="str">
        <x:v>SW-B-16부2718-202603</x:v>
      </x:c>
      <x:c r="B7" s="24" t="str">
        <x:v>스위치플랜</x:v>
      </x:c>
      <x:c r="C7" s="24" t="str">
        <x:v>SW-C-16부2718-1-20260211-3</x:v>
      </x:c>
      <x:c r="D7" s="24" t="str">
        <x:v>16부2718</x:v>
      </x:c>
      <x:c r="E7" s="24" t="str">
        <x:v>김근하</x:v>
      </x:c>
      <x:c r="F7" s="24" t="str">
        <x:v>2026-03</x:v>
      </x:c>
      <x:c r="G7" s="30" t="n">
        <x:v>46091</x:v>
      </x:c>
      <x:c r="H7" s="32" t="n">
        <x:v>390000</x:v>
      </x:c>
      <x:c r="I7" s="32" t="n">
        <x:v>390000</x:v>
      </x:c>
      <x:c r="J7" s="32" t="n">
        <x:v>0</x:v>
      </x:c>
      <x:c r="K7" s="30" t="n">
        <x:v>46098</x:v>
      </x:c>
      <x:c r="L7" s="24" t="str">
        <x:v>입금</x:v>
      </x:c>
      <x:c r="M7" s="31" t="n">
        <x:f>IF(AND(N7="미수",G7&lt;&gt;"",TODAY()&gt;G7),TODAY()-G7,0)</x:f>
        <x:v>0</x:v>
      </x:c>
      <x:c r="N7" s="24" t="str">
        <x:f>IF(J7&gt;0,"미수",IF(AND(H7&gt;0,I7&gt;=H7),"완납","미확인"))</x:f>
        <x:v>완납</x:v>
      </x:c>
      <x:c r="O7" s="31" t="n">
        <x:v>3</x:v>
      </x:c>
    </x:row>
    <x:row r="8" ht="17.25" customHeight="1">
      <x:c r="A8" s="24" t="str">
        <x:v>SW-B-16부2718-202506</x:v>
      </x:c>
      <x:c r="B8" s="24" t="str">
        <x:v>스위치플랜</x:v>
      </x:c>
      <x:c r="C8" s="24" t="str">
        <x:v>SW-C-16부2718-2-NA-3</x:v>
      </x:c>
      <x:c r="D8" s="24" t="str">
        <x:v>16부2718</x:v>
      </x:c>
      <x:c r="E8" s="24" t="str">
        <x:v>김근하</x:v>
      </x:c>
      <x:c r="F8" s="24" t="str">
        <x:v>2025-06</x:v>
      </x:c>
      <x:c r="G8" s="30" t="n">
        <x:v>45818</x:v>
      </x:c>
      <x:c r="H8" s="32" t="n">
        <x:v>490000</x:v>
      </x:c>
      <x:c r="I8" s="32" t="n">
        <x:v>490000</x:v>
      </x:c>
      <x:c r="J8" s="32" t="n">
        <x:v>0</x:v>
      </x:c>
      <x:c r="K8" s="30" t="n">
        <x:v>45830</x:v>
      </x:c>
      <x:c r="L8" s="24" t="str">
        <x:v>입금</x:v>
      </x:c>
      <x:c r="M8" s="31" t="n">
        <x:f>IF(AND(N8="미수",G8&lt;&gt;"",TODAY()&gt;G8),TODAY()-G8,0)</x:f>
        <x:v>0</x:v>
      </x:c>
      <x:c r="N8" s="24" t="str">
        <x:f>IF(J8&gt;0,"미수",IF(AND(H8&gt;0,I8&gt;=H8),"완납","미확인"))</x:f>
        <x:v>완납</x:v>
      </x:c>
      <x:c r="O8" s="31" t="n">
        <x:v>3</x:v>
      </x:c>
    </x:row>
    <x:row r="9" ht="17.25" customHeight="1">
      <x:c r="A9" s="24" t="str">
        <x:v>SW-B-16부2718-202505</x:v>
      </x:c>
      <x:c r="B9" s="24" t="str">
        <x:v>스위치플랜</x:v>
      </x:c>
      <x:c r="C9" s="24" t="str">
        <x:v>SW-C-16부2718-2-NA-3</x:v>
      </x:c>
      <x:c r="D9" s="24" t="str">
        <x:v>16부2718</x:v>
      </x:c>
      <x:c r="E9" s="24" t="str">
        <x:v>김근하</x:v>
      </x:c>
      <x:c r="F9" s="24" t="str">
        <x:v>2025-05</x:v>
      </x:c>
      <x:c r="G9" s="30" t="n">
        <x:v>45787</x:v>
      </x:c>
      <x:c r="H9" s="32" t="n">
        <x:v>490000</x:v>
      </x:c>
      <x:c r="I9" s="32" t="n">
        <x:v>490000</x:v>
      </x:c>
      <x:c r="J9" s="32" t="n">
        <x:v>0</x:v>
      </x:c>
      <x:c r="K9" s="30" t="n">
        <x:v>45789</x:v>
      </x:c>
      <x:c r="L9" s="24" t="str">
        <x:v>자동</x:v>
      </x:c>
      <x:c r="M9" s="31" t="n">
        <x:f>IF(AND(N9="미수",G9&lt;&gt;"",TODAY()&gt;G9),TODAY()-G9,0)</x:f>
        <x:v>0</x:v>
      </x:c>
      <x:c r="N9" s="24" t="str">
        <x:f>IF(J9&gt;0,"미수",IF(AND(H9&gt;0,I9&gt;=H9),"완납","미확인"))</x:f>
        <x:v>완납</x:v>
      </x:c>
      <x:c r="O9" s="31" t="n">
        <x:v>3</x:v>
      </x:c>
    </x:row>
    <x:row r="10" ht="17.25" customHeight="1">
      <x:c r="A10" s="24" t="str">
        <x:v>SW-B-16부2718-202504</x:v>
      </x:c>
      <x:c r="B10" s="24" t="str">
        <x:v>스위치플랜</x:v>
      </x:c>
      <x:c r="C10" s="24" t="str">
        <x:v>SW-C-16부2718-2-NA-3</x:v>
      </x:c>
      <x:c r="D10" s="24" t="str">
        <x:v>16부2718</x:v>
      </x:c>
      <x:c r="E10" s="24" t="str">
        <x:v>김근하</x:v>
      </x:c>
      <x:c r="F10" s="24" t="str">
        <x:v>2025-04</x:v>
      </x:c>
      <x:c r="G10" s="30" t="n">
        <x:v>45757</x:v>
      </x:c>
      <x:c r="H10" s="32" t="n">
        <x:v>490000</x:v>
      </x:c>
      <x:c r="I10" s="32" t="n">
        <x:v>490000</x:v>
      </x:c>
      <x:c r="J10" s="32" t="n">
        <x:v>0</x:v>
      </x:c>
      <x:c r="K10" s="30" t="n">
        <x:v>45755</x:v>
      </x:c>
      <x:c r="L10" s="24" t="str">
        <x:v>입금</x:v>
      </x:c>
      <x:c r="M10" s="31" t="n">
        <x:f>IF(AND(N10="미수",G10&lt;&gt;"",TODAY()&gt;G10),TODAY()-G10,0)</x:f>
        <x:v>0</x:v>
      </x:c>
      <x:c r="N10" s="24" t="str">
        <x:f>IF(J10&gt;0,"미수",IF(AND(H10&gt;0,I10&gt;=H10),"완납","미확인"))</x:f>
        <x:v>완납</x:v>
      </x:c>
      <x:c r="O10" s="31" t="n">
        <x:v>3</x:v>
      </x:c>
    </x:row>
    <x:row r="11" ht="17.25" customHeight="1">
      <x:c r="A11" s="24" t="str">
        <x:v>SW-B-181로2705-202608</x:v>
      </x:c>
      <x:c r="B11" s="24" t="str">
        <x:v>스위치플랜</x:v>
      </x:c>
      <x:c r="C11" s="24" t="str">
        <x:v>SW-C-181로2705-1-20241209-4</x:v>
      </x:c>
      <x:c r="D11" s="24" t="str">
        <x:v>181로2705</x:v>
      </x:c>
      <x:c r="E11" s="24" t="str">
        <x:v>김현우</x:v>
      </x:c>
      <x:c r="F11" s="24" t="str">
        <x:v>2026-08</x:v>
      </x:c>
      <x:c r="G11" s="30" t="n">
        <x:v>46244</x:v>
      </x:c>
      <x:c r="H11" s="32" t="n">
        <x:v>1360000</x:v>
      </x:c>
      <x:c r="I11" s="32" t="n">
        <x:v>900000</x:v>
      </x:c>
      <x:c r="J11" s="32" t="n">
        <x:v>810000</x:v>
      </x:c>
      <x:c r="K11" s="30" t="n">
        <x:v>46246</x:v>
      </x:c>
      <x:c r="L11" s="24" t="str">
        <x:v>카드</x:v>
      </x:c>
      <x:c r="M11" s="31" t="n">
        <x:f>IF(AND(N11="미수",G11&lt;&gt;"",TODAY()&gt;G11),TODAY()-G11,0)</x:f>
        <x:v>5</x:v>
      </x:c>
      <x:c r="N11" s="24" t="str">
        <x:f>IF(J11&gt;0,"미수",IF(AND(H11&gt;0,I11&gt;=H11),"완납","미확인"))</x:f>
        <x:v>미수</x:v>
      </x:c>
      <x:c r="O11" s="31" t="n">
        <x:v>4</x:v>
      </x:c>
    </x:row>
    <x:row r="12" ht="17.25" customHeight="1">
      <x:c r="A12" s="24" t="str">
        <x:v>SW-B-181로2705-202607</x:v>
      </x:c>
      <x:c r="B12" s="24" t="str">
        <x:v>스위치플랜</x:v>
      </x:c>
      <x:c r="C12" s="24" t="str">
        <x:v>SW-C-181로2705-1-20241209-4</x:v>
      </x:c>
      <x:c r="D12" s="24" t="str">
        <x:v>181로2705</x:v>
      </x:c>
      <x:c r="E12" s="24" t="str">
        <x:v>김현우</x:v>
      </x:c>
      <x:c r="F12" s="24" t="str">
        <x:v>2026-07</x:v>
      </x:c>
      <x:c r="G12" s="30" t="n">
        <x:v>46213</x:v>
      </x:c>
      <x:c r="H12" s="32" t="n">
        <x:v>1360000</x:v>
      </x:c>
      <x:c r="I12" s="32" t="n">
        <x:v>1360000</x:v>
      </x:c>
      <x:c r="J12" s="32" t="n">
        <x:v>350000</x:v>
      </x:c>
      <x:c r="K12" s="30" t="n">
        <x:v>46216</x:v>
      </x:c>
      <x:c r="L12" s="24" t="str">
        <x:v>입금</x:v>
      </x:c>
      <x:c r="M12" s="31" t="n">
        <x:f>IF(AND(N12="미수",G12&lt;&gt;"",TODAY()&gt;G12),TODAY()-G12,0)</x:f>
        <x:v>36</x:v>
      </x:c>
      <x:c r="N12" s="24" t="str">
        <x:f>IF(J12&gt;0,"미수",IF(AND(H12&gt;0,I12&gt;=H12),"완납","미확인"))</x:f>
        <x:v>미수</x:v>
      </x:c>
      <x:c r="O12" s="31" t="n">
        <x:v>4</x:v>
      </x:c>
    </x:row>
    <x:row r="13" ht="17.25" customHeight="1">
      <x:c r="A13" s="24" t="str">
        <x:v>SW-B-181로2705-202606</x:v>
      </x:c>
      <x:c r="B13" s="24" t="str">
        <x:v>스위치플랜</x:v>
      </x:c>
      <x:c r="C13" s="24" t="str">
        <x:v>SW-C-181로2705-1-20241209-4</x:v>
      </x:c>
      <x:c r="D13" s="24" t="str">
        <x:v>181로2705</x:v>
      </x:c>
      <x:c r="E13" s="24" t="str">
        <x:v>김현우</x:v>
      </x:c>
      <x:c r="F13" s="24" t="str">
        <x:v>2026-06</x:v>
      </x:c>
      <x:c r="G13" s="30" t="n">
        <x:v>46183</x:v>
      </x:c>
      <x:c r="H13" s="32" t="n">
        <x:v>1360000</x:v>
      </x:c>
      <x:c r="I13" s="32" t="n">
        <x:v>1360000</x:v>
      </x:c>
      <x:c r="J13" s="32" t="n">
        <x:v>350000</x:v>
      </x:c>
      <x:c r="K13" s="30" t="n">
        <x:v>46189</x:v>
      </x:c>
      <x:c r="L13" s="24" t="str">
        <x:v>입금</x:v>
      </x:c>
      <x:c r="M13" s="31" t="n">
        <x:f>IF(AND(N13="미수",G13&lt;&gt;"",TODAY()&gt;G13),TODAY()-G13,0)</x:f>
        <x:v>66</x:v>
      </x:c>
      <x:c r="N13" s="24" t="str">
        <x:f>IF(J13&gt;0,"미수",IF(AND(H13&gt;0,I13&gt;=H13),"완납","미확인"))</x:f>
        <x:v>미수</x:v>
      </x:c>
      <x:c r="O13" s="31" t="n">
        <x:v>4</x:v>
      </x:c>
    </x:row>
    <x:row r="14" ht="17.25" customHeight="1">
      <x:c r="A14" s="24" t="str">
        <x:v>SW-B-181로2705-202605</x:v>
      </x:c>
      <x:c r="B14" s="24" t="str">
        <x:v>스위치플랜</x:v>
      </x:c>
      <x:c r="C14" s="24" t="str">
        <x:v>SW-C-181로2705-1-20241209-4</x:v>
      </x:c>
      <x:c r="D14" s="24" t="str">
        <x:v>181로2705</x:v>
      </x:c>
      <x:c r="E14" s="24" t="str">
        <x:v>김현우</x:v>
      </x:c>
      <x:c r="F14" s="24" t="str">
        <x:v>2026-05</x:v>
      </x:c>
      <x:c r="G14" s="30" t="n">
        <x:v>46152</x:v>
      </x:c>
      <x:c r="H14" s="32" t="n">
        <x:v>1360000</x:v>
      </x:c>
      <x:c r="I14" s="32" t="n">
        <x:v>1360000</x:v>
      </x:c>
      <x:c r="J14" s="32" t="n">
        <x:v>350000</x:v>
      </x:c>
      <x:c r="K14" s="30" t="n">
        <x:v>46154</x:v>
      </x:c>
      <x:c r="L14" s="24" t="str">
        <x:v>입금</x:v>
      </x:c>
      <x:c r="M14" s="31" t="n">
        <x:f>IF(AND(N14="미수",G14&lt;&gt;"",TODAY()&gt;G14),TODAY()-G14,0)</x:f>
        <x:v>97</x:v>
      </x:c>
      <x:c r="N14" s="24" t="str">
        <x:f>IF(J14&gt;0,"미수",IF(AND(H14&gt;0,I14&gt;=H14),"완납","미확인"))</x:f>
        <x:v>미수</x:v>
      </x:c>
      <x:c r="O14" s="31" t="n">
        <x:v>4</x:v>
      </x:c>
    </x:row>
    <x:row r="15" ht="17.25" customHeight="1">
      <x:c r="A15" s="24" t="str">
        <x:v>SW-B-181로2705-202604</x:v>
      </x:c>
      <x:c r="B15" s="24" t="str">
        <x:v>스위치플랜</x:v>
      </x:c>
      <x:c r="C15" s="24" t="str">
        <x:v>SW-C-181로2705-1-20241209-4</x:v>
      </x:c>
      <x:c r="D15" s="24" t="str">
        <x:v>181로2705</x:v>
      </x:c>
      <x:c r="E15" s="24" t="str">
        <x:v>김현우</x:v>
      </x:c>
      <x:c r="F15" s="24" t="str">
        <x:v>2026-04</x:v>
      </x:c>
      <x:c r="G15" s="30" t="n">
        <x:v>46122</x:v>
      </x:c>
      <x:c r="H15" s="32" t="n">
        <x:v>1360000</x:v>
      </x:c>
      <x:c r="I15" s="32" t="n">
        <x:v>1360000</x:v>
      </x:c>
      <x:c r="J15" s="32" t="n">
        <x:v>350000</x:v>
      </x:c>
      <x:c r="K15" s="30" t="n">
        <x:v>46127</x:v>
      </x:c>
      <x:c r="L15" s="24" t="str">
        <x:v>입금</x:v>
      </x:c>
      <x:c r="M15" s="31" t="n">
        <x:f>IF(AND(N15="미수",G15&lt;&gt;"",TODAY()&gt;G15),TODAY()-G15,0)</x:f>
        <x:v>127</x:v>
      </x:c>
      <x:c r="N15" s="24" t="str">
        <x:f>IF(J15&gt;0,"미수",IF(AND(H15&gt;0,I15&gt;=H15),"완납","미확인"))</x:f>
        <x:v>미수</x:v>
      </x:c>
      <x:c r="O15" s="31" t="n">
        <x:v>4</x:v>
      </x:c>
    </x:row>
    <x:row r="16" ht="17.25" customHeight="1">
      <x:c r="A16" s="24" t="str">
        <x:v>SW-B-181로2705-202603</x:v>
      </x:c>
      <x:c r="B16" s="24" t="str">
        <x:v>스위치플랜</x:v>
      </x:c>
      <x:c r="C16" s="24" t="str">
        <x:v>SW-C-181로2705-1-20241209-4</x:v>
      </x:c>
      <x:c r="D16" s="24" t="str">
        <x:v>181로2705</x:v>
      </x:c>
      <x:c r="E16" s="24" t="str">
        <x:v>김현우</x:v>
      </x:c>
      <x:c r="F16" s="24" t="str">
        <x:v>2026-03</x:v>
      </x:c>
      <x:c r="G16" s="30" t="n">
        <x:v>46091</x:v>
      </x:c>
      <x:c r="H16" s="32" t="n">
        <x:v>1360000</x:v>
      </x:c>
      <x:c r="I16" s="32" t="n">
        <x:v>1110000</x:v>
      </x:c>
      <x:c r="J16" s="32" t="n">
        <x:v>350000</x:v>
      </x:c>
      <x:c r="K16" s="30" t="n">
        <x:v>46111</x:v>
      </x:c>
      <x:c r="L16" s="24" t="str">
        <x:v>입금</x:v>
      </x:c>
      <x:c r="M16" s="31" t="n">
        <x:f>IF(AND(N16="미수",G16&lt;&gt;"",TODAY()&gt;G16),TODAY()-G16,0)</x:f>
        <x:v>158</x:v>
      </x:c>
      <x:c r="N16" s="24" t="str">
        <x:f>IF(J16&gt;0,"미수",IF(AND(H16&gt;0,I16&gt;=H16),"완납","미확인"))</x:f>
        <x:v>미수</x:v>
      </x:c>
      <x:c r="O16" s="31" t="n">
        <x:v>4</x:v>
      </x:c>
    </x:row>
    <x:row r="17" ht="17.25" customHeight="1">
      <x:c r="A17" s="24" t="str">
        <x:v>SW-B-181로2705-202602</x:v>
      </x:c>
      <x:c r="B17" s="24" t="str">
        <x:v>스위치플랜</x:v>
      </x:c>
      <x:c r="C17" s="24" t="str">
        <x:v>SW-C-181로2705-1-20241209-4</x:v>
      </x:c>
      <x:c r="D17" s="24" t="str">
        <x:v>181로2705</x:v>
      </x:c>
      <x:c r="E17" s="24" t="str">
        <x:v>김현우</x:v>
      </x:c>
      <x:c r="F17" s="24" t="str">
        <x:v>2026-02</x:v>
      </x:c>
      <x:c r="G17" s="30" t="n">
        <x:v>46063</x:v>
      </x:c>
      <x:c r="H17" s="32" t="n">
        <x:v>1360000</x:v>
      </x:c>
      <x:c r="I17" s="32" t="n">
        <x:v>1260000</x:v>
      </x:c>
      <x:c r="J17" s="32" t="n">
        <x:v>100000</x:v>
      </x:c>
      <x:c r="K17" s="30" t="n">
        <x:v>46065</x:v>
      </x:c>
      <x:c r="L17" s="24" t="str">
        <x:v>입금</x:v>
      </x:c>
      <x:c r="M17" s="31" t="n">
        <x:f>IF(AND(N17="미수",G17&lt;&gt;"",TODAY()&gt;G17),TODAY()-G17,0)</x:f>
        <x:v>186</x:v>
      </x:c>
      <x:c r="N17" s="24" t="str">
        <x:f>IF(J17&gt;0,"미수",IF(AND(H17&gt;0,I17&gt;=H17),"완납","미확인"))</x:f>
        <x:v>미수</x:v>
      </x:c>
      <x:c r="O17" s="31" t="n">
        <x:v>4</x:v>
      </x:c>
    </x:row>
    <x:row r="18" ht="17.25" customHeight="1">
      <x:c r="A18" s="24" t="str">
        <x:v>SW-B-181로2705-202601</x:v>
      </x:c>
      <x:c r="B18" s="24" t="str">
        <x:v>스위치플랜</x:v>
      </x:c>
      <x:c r="C18" s="24" t="str">
        <x:v>SW-C-181로2705-1-20241209-4</x:v>
      </x:c>
      <x:c r="D18" s="24" t="str">
        <x:v>181로2705</x:v>
      </x:c>
      <x:c r="E18" s="24" t="str">
        <x:v>김현우</x:v>
      </x:c>
      <x:c r="F18" s="24" t="str">
        <x:v>2026-01</x:v>
      </x:c>
      <x:c r="G18" s="30" t="n">
        <x:v>46032</x:v>
      </x:c>
      <x:c r="H18" s="32" t="n">
        <x:v>1360000</x:v>
      </x:c>
      <x:c r="I18" s="32" t="n">
        <x:v>1360000</x:v>
      </x:c>
      <x:c r="J18" s="32" t="n">
        <x:v>0</x:v>
      </x:c>
      <x:c r="K18" s="30" t="n">
        <x:v>46036</x:v>
      </x:c>
      <x:c r="L18" s="24" t="str">
        <x:v>입금</x:v>
      </x:c>
      <x:c r="M18" s="31" t="n">
        <x:f>IF(AND(N18="미수",G18&lt;&gt;"",TODAY()&gt;G18),TODAY()-G18,0)</x:f>
        <x:v>0</x:v>
      </x:c>
      <x:c r="N18" s="24" t="str">
        <x:f>IF(J18&gt;0,"미수",IF(AND(H18&gt;0,I18&gt;=H18),"완납","미확인"))</x:f>
        <x:v>완납</x:v>
      </x:c>
      <x:c r="O18" s="31" t="n">
        <x:v>4</x:v>
      </x:c>
    </x:row>
    <x:row r="19" ht="17.25" customHeight="1">
      <x:c r="A19" s="24" t="str">
        <x:v>SW-B-181로2705-202512</x:v>
      </x:c>
      <x:c r="B19" s="24" t="str">
        <x:v>스위치플랜</x:v>
      </x:c>
      <x:c r="C19" s="24" t="str">
        <x:v>SW-C-181로2705-1-20241209-4</x:v>
      </x:c>
      <x:c r="D19" s="24" t="str">
        <x:v>181로2705</x:v>
      </x:c>
      <x:c r="E19" s="24" t="str">
        <x:v>김현우</x:v>
      </x:c>
      <x:c r="F19" s="24" t="str">
        <x:v>2025-12</x:v>
      </x:c>
      <x:c r="G19" s="30" t="n">
        <x:v>46001</x:v>
      </x:c>
      <x:c r="H19" s="32" t="n">
        <x:v>1360000</x:v>
      </x:c>
      <x:c r="I19" s="32" t="n">
        <x:v>1360000</x:v>
      </x:c>
      <x:c r="J19" s="32" t="n">
        <x:v>0</x:v>
      </x:c>
      <x:c r="K19" s="30" t="n">
        <x:v>46007</x:v>
      </x:c>
      <x:c r="L19" s="24" t="str">
        <x:v>입금</x:v>
      </x:c>
      <x:c r="M19" s="31" t="n">
        <x:f>IF(AND(N19="미수",G19&lt;&gt;"",TODAY()&gt;G19),TODAY()-G19,0)</x:f>
        <x:v>0</x:v>
      </x:c>
      <x:c r="N19" s="24" t="str">
        <x:f>IF(J19&gt;0,"미수",IF(AND(H19&gt;0,I19&gt;=H19),"완납","미확인"))</x:f>
        <x:v>완납</x:v>
      </x:c>
      <x:c r="O19" s="31" t="n">
        <x:v>4</x:v>
      </x:c>
    </x:row>
    <x:row r="20" ht="17.25" customHeight="1">
      <x:c r="A20" s="24" t="str">
        <x:v>SW-B-181로2705-202511</x:v>
      </x:c>
      <x:c r="B20" s="24" t="str">
        <x:v>스위치플랜</x:v>
      </x:c>
      <x:c r="C20" s="24" t="str">
        <x:v>SW-C-181로2705-1-20241209-4</x:v>
      </x:c>
      <x:c r="D20" s="24" t="str">
        <x:v>181로2705</x:v>
      </x:c>
      <x:c r="E20" s="24" t="str">
        <x:v>김현우</x:v>
      </x:c>
      <x:c r="F20" s="24" t="str">
        <x:v>2025-11</x:v>
      </x:c>
      <x:c r="G20" s="30" t="n">
        <x:v>45971</x:v>
      </x:c>
      <x:c r="H20" s="32" t="n">
        <x:v>1360000</x:v>
      </x:c>
      <x:c r="I20" s="32" t="n">
        <x:v>1360000</x:v>
      </x:c>
      <x:c r="J20" s="32" t="n">
        <x:v>0</x:v>
      </x:c>
      <x:c r="K20" s="30" t="n">
        <x:v>45974</x:v>
      </x:c>
      <x:c r="L20" s="24" t="str">
        <x:v>입금</x:v>
      </x:c>
      <x:c r="M20" s="31" t="n">
        <x:f>IF(AND(N20="미수",G20&lt;&gt;"",TODAY()&gt;G20),TODAY()-G20,0)</x:f>
        <x:v>0</x:v>
      </x:c>
      <x:c r="N20" s="24" t="str">
        <x:f>IF(J20&gt;0,"미수",IF(AND(H20&gt;0,I20&gt;=H20),"완납","미확인"))</x:f>
        <x:v>완납</x:v>
      </x:c>
      <x:c r="O20" s="31" t="n">
        <x:v>4</x:v>
      </x:c>
    </x:row>
    <x:row r="21" ht="17.25" customHeight="1">
      <x:c r="A21" s="24" t="str">
        <x:v>SW-B-181로2705-202510</x:v>
      </x:c>
      <x:c r="B21" s="24" t="str">
        <x:v>스위치플랜</x:v>
      </x:c>
      <x:c r="C21" s="24" t="str">
        <x:v>SW-C-181로2705-1-20241209-4</x:v>
      </x:c>
      <x:c r="D21" s="24" t="str">
        <x:v>181로2705</x:v>
      </x:c>
      <x:c r="E21" s="24" t="str">
        <x:v>김현우</x:v>
      </x:c>
      <x:c r="F21" s="24" t="str">
        <x:v>2025-10</x:v>
      </x:c>
      <x:c r="G21" s="30" t="n">
        <x:v>45940</x:v>
      </x:c>
      <x:c r="H21" s="32" t="n">
        <x:v>1360000</x:v>
      </x:c>
      <x:c r="I21" s="32" t="n">
        <x:v>1360000</x:v>
      </x:c>
      <x:c r="J21" s="32" t="n">
        <x:v>0</x:v>
      </x:c>
      <x:c r="K21" s="30" t="n">
        <x:v>45945</x:v>
      </x:c>
      <x:c r="L21" s="24" t="str">
        <x:v>카드</x:v>
      </x:c>
      <x:c r="M21" s="31" t="n">
        <x:f>IF(AND(N21="미수",G21&lt;&gt;"",TODAY()&gt;G21),TODAY()-G21,0)</x:f>
        <x:v>0</x:v>
      </x:c>
      <x:c r="N21" s="24" t="str">
        <x:f>IF(J21&gt;0,"미수",IF(AND(H21&gt;0,I21&gt;=H21),"완납","미확인"))</x:f>
        <x:v>완납</x:v>
      </x:c>
      <x:c r="O21" s="31" t="n">
        <x:v>4</x:v>
      </x:c>
    </x:row>
    <x:row r="22" ht="17.25" customHeight="1">
      <x:c r="A22" s="24" t="str">
        <x:v>SW-B-181로2705-202509</x:v>
      </x:c>
      <x:c r="B22" s="24" t="str">
        <x:v>스위치플랜</x:v>
      </x:c>
      <x:c r="C22" s="24" t="str">
        <x:v>SW-C-181로2705-1-20241209-4</x:v>
      </x:c>
      <x:c r="D22" s="24" t="str">
        <x:v>181로2705</x:v>
      </x:c>
      <x:c r="E22" s="24" t="str">
        <x:v>김현우</x:v>
      </x:c>
      <x:c r="F22" s="24" t="str">
        <x:v>2025-09</x:v>
      </x:c>
      <x:c r="G22" s="30" t="n">
        <x:v>45910</x:v>
      </x:c>
      <x:c r="H22" s="32" t="n">
        <x:v>1360000</x:v>
      </x:c>
      <x:c r="I22" s="32" t="n">
        <x:v>1360000</x:v>
      </x:c>
      <x:c r="J22" s="32" t="n">
        <x:v>0</x:v>
      </x:c>
      <x:c r="K22" s="30" t="n">
        <x:v>45917</x:v>
      </x:c>
      <x:c r="L22" s="24" t="str">
        <x:v>입금</x:v>
      </x:c>
      <x:c r="M22" s="31" t="n">
        <x:f>IF(AND(N22="미수",G22&lt;&gt;"",TODAY()&gt;G22),TODAY()-G22,0)</x:f>
        <x:v>0</x:v>
      </x:c>
      <x:c r="N22" s="24" t="str">
        <x:f>IF(J22&gt;0,"미수",IF(AND(H22&gt;0,I22&gt;=H22),"완납","미확인"))</x:f>
        <x:v>완납</x:v>
      </x:c>
      <x:c r="O22" s="31" t="n">
        <x:v>4</x:v>
      </x:c>
    </x:row>
    <x:row r="23" ht="17.25" customHeight="1">
      <x:c r="A23" s="24" t="str">
        <x:v>SW-B-181로2705-202508</x:v>
      </x:c>
      <x:c r="B23" s="24" t="str">
        <x:v>스위치플랜</x:v>
      </x:c>
      <x:c r="C23" s="24" t="str">
        <x:v>SW-C-181로2705-1-20241209-4</x:v>
      </x:c>
      <x:c r="D23" s="24" t="str">
        <x:v>181로2705</x:v>
      </x:c>
      <x:c r="E23" s="24" t="str">
        <x:v>김현우</x:v>
      </x:c>
      <x:c r="F23" s="24" t="str">
        <x:v>2025-08</x:v>
      </x:c>
      <x:c r="G23" s="30" t="n">
        <x:v>45879</x:v>
      </x:c>
      <x:c r="H23" s="32" t="n">
        <x:v>1360000</x:v>
      </x:c>
      <x:c r="I23" s="32" t="n">
        <x:v>1360000</x:v>
      </x:c>
      <x:c r="J23" s="32" t="n">
        <x:v>0</x:v>
      </x:c>
      <x:c r="K23" s="30" t="n">
        <x:v>45883</x:v>
      </x:c>
      <x:c r="L23" s="24" t="str">
        <x:v>입금</x:v>
      </x:c>
      <x:c r="M23" s="31" t="n">
        <x:f>IF(AND(N23="미수",G23&lt;&gt;"",TODAY()&gt;G23),TODAY()-G23,0)</x:f>
        <x:v>0</x:v>
      </x:c>
      <x:c r="N23" s="24" t="str">
        <x:f>IF(J23&gt;0,"미수",IF(AND(H23&gt;0,I23&gt;=H23),"완납","미확인"))</x:f>
        <x:v>완납</x:v>
      </x:c>
      <x:c r="O23" s="31" t="n">
        <x:v>4</x:v>
      </x:c>
    </x:row>
    <x:row r="24" ht="17.25" customHeight="1">
      <x:c r="A24" s="24" t="str">
        <x:v>SW-B-181로2705-202507</x:v>
      </x:c>
      <x:c r="B24" s="24" t="str">
        <x:v>스위치플랜</x:v>
      </x:c>
      <x:c r="C24" s="24" t="str">
        <x:v>SW-C-181로2705-1-20241209-4</x:v>
      </x:c>
      <x:c r="D24" s="24" t="str">
        <x:v>181로2705</x:v>
      </x:c>
      <x:c r="E24" s="24" t="str">
        <x:v>김현우</x:v>
      </x:c>
      <x:c r="F24" s="24" t="str">
        <x:v>2025-07</x:v>
      </x:c>
      <x:c r="G24" s="30" t="n">
        <x:v>45848</x:v>
      </x:c>
      <x:c r="H24" s="32" t="n">
        <x:v>1360000</x:v>
      </x:c>
      <x:c r="I24" s="32" t="n">
        <x:v>1360000</x:v>
      </x:c>
      <x:c r="J24" s="32" t="n">
        <x:v>0</x:v>
      </x:c>
      <x:c r="K24" s="30" t="n">
        <x:v>45851</x:v>
      </x:c>
      <x:c r="L24" s="24" t="str">
        <x:v>입금</x:v>
      </x:c>
      <x:c r="M24" s="31" t="n">
        <x:f>IF(AND(N24="미수",G24&lt;&gt;"",TODAY()&gt;G24),TODAY()-G24,0)</x:f>
        <x:v>0</x:v>
      </x:c>
      <x:c r="N24" s="24" t="str">
        <x:f>IF(J24&gt;0,"미수",IF(AND(H24&gt;0,I24&gt;=H24),"완납","미확인"))</x:f>
        <x:v>완납</x:v>
      </x:c>
      <x:c r="O24" s="31" t="n">
        <x:v>4</x:v>
      </x:c>
    </x:row>
    <x:row r="25" ht="17.25" customHeight="1">
      <x:c r="A25" s="24" t="str">
        <x:v>SW-B-181로2705-202506</x:v>
      </x:c>
      <x:c r="B25" s="24" t="str">
        <x:v>스위치플랜</x:v>
      </x:c>
      <x:c r="C25" s="24" t="str">
        <x:v>SW-C-181로2705-1-20241209-4</x:v>
      </x:c>
      <x:c r="D25" s="24" t="str">
        <x:v>181로2705</x:v>
      </x:c>
      <x:c r="E25" s="24" t="str">
        <x:v>김현우</x:v>
      </x:c>
      <x:c r="F25" s="24" t="str">
        <x:v>2025-06</x:v>
      </x:c>
      <x:c r="G25" s="30" t="n">
        <x:v>45818</x:v>
      </x:c>
      <x:c r="H25" s="32" t="n">
        <x:v>1360000</x:v>
      </x:c>
      <x:c r="I25" s="32" t="n">
        <x:v>1360000</x:v>
      </x:c>
      <x:c r="J25" s="32" t="n">
        <x:v>0</x:v>
      </x:c>
      <x:c r="K25" s="30" t="n">
        <x:v>45818</x:v>
      </x:c>
      <x:c r="L25" s="24" t="str">
        <x:v>입금</x:v>
      </x:c>
      <x:c r="M25" s="31" t="n">
        <x:f>IF(AND(N25="미수",G25&lt;&gt;"",TODAY()&gt;G25),TODAY()-G25,0)</x:f>
        <x:v>0</x:v>
      </x:c>
      <x:c r="N25" s="24" t="str">
        <x:f>IF(J25&gt;0,"미수",IF(AND(H25&gt;0,I25&gt;=H25),"완납","미확인"))</x:f>
        <x:v>완납</x:v>
      </x:c>
      <x:c r="O25" s="31" t="n">
        <x:v>4</x:v>
      </x:c>
    </x:row>
    <x:row r="26" ht="17.25" customHeight="1">
      <x:c r="A26" s="24" t="str">
        <x:v>SW-B-181로2705-202505</x:v>
      </x:c>
      <x:c r="B26" s="24" t="str">
        <x:v>스위치플랜</x:v>
      </x:c>
      <x:c r="C26" s="24" t="str">
        <x:v>SW-C-181로2705-1-20241209-4</x:v>
      </x:c>
      <x:c r="D26" s="24" t="str">
        <x:v>181로2705</x:v>
      </x:c>
      <x:c r="E26" s="24" t="str">
        <x:v>김현우</x:v>
      </x:c>
      <x:c r="F26" s="24" t="str">
        <x:v>2025-05</x:v>
      </x:c>
      <x:c r="G26" s="30" t="n">
        <x:v>45787</x:v>
      </x:c>
      <x:c r="H26" s="32" t="n">
        <x:v>1360000</x:v>
      </x:c>
      <x:c r="I26" s="32" t="n">
        <x:v>1360000</x:v>
      </x:c>
      <x:c r="J26" s="32" t="n">
        <x:v>0</x:v>
      </x:c>
      <x:c r="K26" s="30" t="n">
        <x:v>45792</x:v>
      </x:c>
      <x:c r="L26" s="24" t="str">
        <x:v>입금</x:v>
      </x:c>
      <x:c r="M26" s="31" t="n">
        <x:f>IF(AND(N26="미수",G26&lt;&gt;"",TODAY()&gt;G26),TODAY()-G26,0)</x:f>
        <x:v>0</x:v>
      </x:c>
      <x:c r="N26" s="24" t="str">
        <x:f>IF(J26&gt;0,"미수",IF(AND(H26&gt;0,I26&gt;=H26),"완납","미확인"))</x:f>
        <x:v>완납</x:v>
      </x:c>
      <x:c r="O26" s="31" t="n">
        <x:v>4</x:v>
      </x:c>
    </x:row>
    <x:row r="27" ht="17.25" customHeight="1">
      <x:c r="A27" s="24" t="str">
        <x:v>SW-B-181로2705-202504</x:v>
      </x:c>
      <x:c r="B27" s="24" t="str">
        <x:v>스위치플랜</x:v>
      </x:c>
      <x:c r="C27" s="24" t="str">
        <x:v>SW-C-181로2705-1-20241209-4</x:v>
      </x:c>
      <x:c r="D27" s="24" t="str">
        <x:v>181로2705</x:v>
      </x:c>
      <x:c r="E27" s="24" t="str">
        <x:v>김현우</x:v>
      </x:c>
      <x:c r="F27" s="24" t="str">
        <x:v>2025-04</x:v>
      </x:c>
      <x:c r="G27" s="30" t="n">
        <x:v>45757</x:v>
      </x:c>
      <x:c r="H27" s="32" t="n">
        <x:v>1360000</x:v>
      </x:c>
      <x:c r="I27" s="32" t="n">
        <x:v>1360000</x:v>
      </x:c>
      <x:c r="J27" s="32" t="n">
        <x:v>0</x:v>
      </x:c>
      <x:c r="K27" s="30" t="n">
        <x:v>45765</x:v>
      </x:c>
      <x:c r="L27" s="24" t="str">
        <x:v>카드</x:v>
      </x:c>
      <x:c r="M27" s="31" t="n">
        <x:f>IF(AND(N27="미수",G27&lt;&gt;"",TODAY()&gt;G27),TODAY()-G27,0)</x:f>
        <x:v>0</x:v>
      </x:c>
      <x:c r="N27" s="24" t="str">
        <x:f>IF(J27&gt;0,"미수",IF(AND(H27&gt;0,I27&gt;=H27),"완납","미확인"))</x:f>
        <x:v>완납</x:v>
      </x:c>
      <x:c r="O27" s="31" t="n">
        <x:v>4</x:v>
      </x:c>
    </x:row>
    <x:row r="28" ht="17.25" customHeight="1">
      <x:c r="A28" s="24" t="str">
        <x:v>SW-B-181로2705-202503</x:v>
      </x:c>
      <x:c r="B28" s="24" t="str">
        <x:v>스위치플랜</x:v>
      </x:c>
      <x:c r="C28" s="24" t="str">
        <x:v>SW-C-181로2705-1-20241209-4</x:v>
      </x:c>
      <x:c r="D28" s="24" t="str">
        <x:v>181로2705</x:v>
      </x:c>
      <x:c r="E28" s="24" t="str">
        <x:v>김현우</x:v>
      </x:c>
      <x:c r="F28" s="24" t="str">
        <x:v>2025-03</x:v>
      </x:c>
      <x:c r="G28" s="30" t="n">
        <x:v>45726</x:v>
      </x:c>
      <x:c r="H28" s="32" t="n">
        <x:v>1360000</x:v>
      </x:c>
      <x:c r="I28" s="32" t="n">
        <x:v>1360000</x:v>
      </x:c>
      <x:c r="J28" s="32" t="n">
        <x:v>0</x:v>
      </x:c>
      <x:c r="K28" s="30" t="n">
        <x:v>45730</x:v>
      </x:c>
      <x:c r="L28" s="24" t="str">
        <x:v>카드</x:v>
      </x:c>
      <x:c r="M28" s="31" t="n">
        <x:f>IF(AND(N28="미수",G28&lt;&gt;"",TODAY()&gt;G28),TODAY()-G28,0)</x:f>
        <x:v>0</x:v>
      </x:c>
      <x:c r="N28" s="24" t="str">
        <x:f>IF(J28&gt;0,"미수",IF(AND(H28&gt;0,I28&gt;=H28),"완납","미확인"))</x:f>
        <x:v>완납</x:v>
      </x:c>
      <x:c r="O28" s="31" t="n">
        <x:v>4</x:v>
      </x:c>
    </x:row>
    <x:row r="29" ht="17.25" customHeight="1">
      <x:c r="A29" s="24" t="str">
        <x:v>SW-B-181로2705-202502</x:v>
      </x:c>
      <x:c r="B29" s="24" t="str">
        <x:v>스위치플랜</x:v>
      </x:c>
      <x:c r="C29" s="24" t="str">
        <x:v>SW-C-181로2705-1-20241209-4</x:v>
      </x:c>
      <x:c r="D29" s="24" t="str">
        <x:v>181로2705</x:v>
      </x:c>
      <x:c r="E29" s="24" t="str">
        <x:v>김현우</x:v>
      </x:c>
      <x:c r="F29" s="24" t="str">
        <x:v>2025-02</x:v>
      </x:c>
      <x:c r="G29" s="30" t="n">
        <x:v>45698</x:v>
      </x:c>
      <x:c r="H29" s="32" t="n">
        <x:v>1360000</x:v>
      </x:c>
      <x:c r="I29" s="32" t="n">
        <x:v>1360000</x:v>
      </x:c>
      <x:c r="J29" s="32" t="n">
        <x:v>0</x:v>
      </x:c>
      <x:c r="K29" s="30" t="n">
        <x:v>45705</x:v>
      </x:c>
      <x:c r="L29" s="24" t="str">
        <x:v>카드</x:v>
      </x:c>
      <x:c r="M29" s="31" t="n">
        <x:f>IF(AND(N29="미수",G29&lt;&gt;"",TODAY()&gt;G29),TODAY()-G29,0)</x:f>
        <x:v>0</x:v>
      </x:c>
      <x:c r="N29" s="24" t="str">
        <x:f>IF(J29&gt;0,"미수",IF(AND(H29&gt;0,I29&gt;=H29),"완납","미확인"))</x:f>
        <x:v>완납</x:v>
      </x:c>
      <x:c r="O29" s="31" t="n">
        <x:v>4</x:v>
      </x:c>
    </x:row>
    <x:row r="30" ht="17.25" customHeight="1">
      <x:c r="A30" s="24" t="str">
        <x:v>SW-B-181로2705-202501</x:v>
      </x:c>
      <x:c r="B30" s="24" t="str">
        <x:v>스위치플랜</x:v>
      </x:c>
      <x:c r="C30" s="24" t="str">
        <x:v>SW-C-181로2705-1-20241209-4</x:v>
      </x:c>
      <x:c r="D30" s="24" t="str">
        <x:v>181로2705</x:v>
      </x:c>
      <x:c r="E30" s="24" t="str">
        <x:v>김현우</x:v>
      </x:c>
      <x:c r="F30" s="24" t="str">
        <x:v>2025-01</x:v>
      </x:c>
      <x:c r="G30" s="30" t="n">
        <x:v>45667</x:v>
      </x:c>
      <x:c r="H30" s="32" t="n">
        <x:v>1360000</x:v>
      </x:c>
      <x:c r="I30" s="32" t="n">
        <x:v>1360000</x:v>
      </x:c>
      <x:c r="J30" s="32" t="n">
        <x:v>0</x:v>
      </x:c>
      <x:c r="K30" s="30" t="n">
        <x:v>45671</x:v>
      </x:c>
      <x:c r="L30" s="24" t="str">
        <x:v>입금</x:v>
      </x:c>
      <x:c r="M30" s="31" t="n">
        <x:f>IF(AND(N30="미수",G30&lt;&gt;"",TODAY()&gt;G30),TODAY()-G30,0)</x:f>
        <x:v>0</x:v>
      </x:c>
      <x:c r="N30" s="24" t="str">
        <x:f>IF(J30&gt;0,"미수",IF(AND(H30&gt;0,I30&gt;=H30),"완납","미확인"))</x:f>
        <x:v>완납</x:v>
      </x:c>
      <x:c r="O30" s="31" t="n">
        <x:v>4</x:v>
      </x:c>
    </x:row>
    <x:row r="31" ht="17.25" customHeight="1">
      <x:c r="A31" s="24" t="str">
        <x:v>SW-B-181로2705-202412</x:v>
      </x:c>
      <x:c r="B31" s="24" t="str">
        <x:v>스위치플랜</x:v>
      </x:c>
      <x:c r="C31" s="24" t="str">
        <x:v>SW-C-181로2705-1-20241209-4</x:v>
      </x:c>
      <x:c r="D31" s="24" t="str">
        <x:v>181로2705</x:v>
      </x:c>
      <x:c r="E31" s="24" t="str">
        <x:v>김현우</x:v>
      </x:c>
      <x:c r="F31" s="24" t="str">
        <x:v>2024-12</x:v>
      </x:c>
      <x:c r="G31" s="30" t="n">
        <x:v>45636</x:v>
      </x:c>
      <x:c r="H31" s="32" t="n">
        <x:v>1360000</x:v>
      </x:c>
      <x:c r="I31" s="32" t="n">
        <x:v>1360000</x:v>
      </x:c>
      <x:c r="J31" s="32" t="n">
        <x:v>0</x:v>
      </x:c>
      <x:c r="K31" s="30" t="n">
        <x:v>45635</x:v>
      </x:c>
      <x:c r="L31" s="24" t="str">
        <x:v>입금</x:v>
      </x:c>
      <x:c r="M31" s="31" t="n">
        <x:f>IF(AND(N31="미수",G31&lt;&gt;"",TODAY()&gt;G31),TODAY()-G31,0)</x:f>
        <x:v>0</x:v>
      </x:c>
      <x:c r="N31" s="24" t="str">
        <x:f>IF(J31&gt;0,"미수",IF(AND(H31&gt;0,I31&gt;=H31),"완납","미확인"))</x:f>
        <x:v>완납</x:v>
      </x:c>
      <x:c r="O31" s="31" t="n">
        <x:v>4</x:v>
      </x:c>
    </x:row>
    <x:row r="32" ht="17.25" customHeight="1">
      <x:c r="A32" s="24" t="str">
        <x:v>SW-B-03머0389-202608</x:v>
      </x:c>
      <x:c r="B32" s="24" t="str">
        <x:v>스위치플랜</x:v>
      </x:c>
      <x:c r="C32" s="24" t="str">
        <x:v>SW-C-03머0389-1-20240104-5</x:v>
      </x:c>
      <x:c r="D32" s="24" t="str">
        <x:v>03머0389</x:v>
      </x:c>
      <x:c r="E32" s="24" t="str">
        <x:v>고욱</x:v>
      </x:c>
      <x:c r="F32" s="24" t="str">
        <x:v>2026-08</x:v>
      </x:c>
      <x:c r="G32" s="30" t="n">
        <x:v>46239</x:v>
      </x:c>
      <x:c r="H32" s="32" t="n">
        <x:v>1030000</x:v>
      </x:c>
      <x:c r="I32" s="32"/>
      <x:c r="J32" s="32" t="n">
        <x:v>2060000</x:v>
      </x:c>
      <x:c r="K32" s="30"/>
      <x:c r="L32" s="24" t="str"/>
      <x:c r="M32" s="31" t="n">
        <x:f>IF(AND(N32="미수",G32&lt;&gt;"",TODAY()&gt;G32),TODAY()-G32,0)</x:f>
        <x:v>10</x:v>
      </x:c>
      <x:c r="N32" s="24" t="str">
        <x:f>IF(J32&gt;0,"미수",IF(AND(H32&gt;0,I32&gt;=H32),"완납","미확인"))</x:f>
        <x:v>미수</x:v>
      </x:c>
      <x:c r="O32" s="31" t="n">
        <x:v>5</x:v>
      </x:c>
    </x:row>
    <x:row r="33" ht="17.25" customHeight="1">
      <x:c r="A33" s="24" t="str">
        <x:v>SW-B-03머0389-202607</x:v>
      </x:c>
      <x:c r="B33" s="24" t="str">
        <x:v>스위치플랜</x:v>
      </x:c>
      <x:c r="C33" s="24" t="str">
        <x:v>SW-C-03머0389-1-20240104-5</x:v>
      </x:c>
      <x:c r="D33" s="24" t="str">
        <x:v>03머0389</x:v>
      </x:c>
      <x:c r="E33" s="24" t="str">
        <x:v>고욱</x:v>
      </x:c>
      <x:c r="F33" s="24" t="str">
        <x:v>2026-07</x:v>
      </x:c>
      <x:c r="G33" s="30" t="n">
        <x:v>46208</x:v>
      </x:c>
      <x:c r="H33" s="32" t="n">
        <x:v>1030000</x:v>
      </x:c>
      <x:c r="I33" s="32"/>
      <x:c r="J33" s="32" t="n">
        <x:v>1030000</x:v>
      </x:c>
      <x:c r="K33" s="30"/>
      <x:c r="L33" s="24" t="str"/>
      <x:c r="M33" s="31" t="n">
        <x:f>IF(AND(N33="미수",G33&lt;&gt;"",TODAY()&gt;G33),TODAY()-G33,0)</x:f>
        <x:v>41</x:v>
      </x:c>
      <x:c r="N33" s="24" t="str">
        <x:f>IF(J33&gt;0,"미수",IF(AND(H33&gt;0,I33&gt;=H33),"완납","미확인"))</x:f>
        <x:v>미수</x:v>
      </x:c>
      <x:c r="O33" s="31" t="n">
        <x:v>5</x:v>
      </x:c>
    </x:row>
    <x:row r="34" ht="17.25" customHeight="1">
      <x:c r="A34" s="24" t="str">
        <x:v>SW-B-03머0389-202606</x:v>
      </x:c>
      <x:c r="B34" s="24" t="str">
        <x:v>스위치플랜</x:v>
      </x:c>
      <x:c r="C34" s="24" t="str">
        <x:v>SW-C-03머0389-1-20240104-5</x:v>
      </x:c>
      <x:c r="D34" s="24" t="str">
        <x:v>03머0389</x:v>
      </x:c>
      <x:c r="E34" s="24" t="str">
        <x:v>고욱</x:v>
      </x:c>
      <x:c r="F34" s="24" t="str">
        <x:v>2026-06</x:v>
      </x:c>
      <x:c r="G34" s="30" t="n">
        <x:v>46178</x:v>
      </x:c>
      <x:c r="H34" s="32" t="n">
        <x:v>1030000</x:v>
      </x:c>
      <x:c r="I34" s="32" t="n">
        <x:v>1480000</x:v>
      </x:c>
      <x:c r="J34" s="32" t="n">
        <x:v>0</x:v>
      </x:c>
      <x:c r="K34" s="30" t="n">
        <x:v>46190</x:v>
      </x:c>
      <x:c r="L34" s="24" t="str">
        <x:v>입금</x:v>
      </x:c>
      <x:c r="M34" s="31" t="n">
        <x:f>IF(AND(N34="미수",G34&lt;&gt;"",TODAY()&gt;G34),TODAY()-G34,0)</x:f>
        <x:v>0</x:v>
      </x:c>
      <x:c r="N34" s="24" t="str">
        <x:f>IF(J34&gt;0,"미수",IF(AND(H34&gt;0,I34&gt;=H34),"완납","미확인"))</x:f>
        <x:v>완납</x:v>
      </x:c>
      <x:c r="O34" s="31" t="n">
        <x:v>5</x:v>
      </x:c>
    </x:row>
    <x:row r="35" ht="17.25" customHeight="1">
      <x:c r="A35" s="24" t="str">
        <x:v>SW-B-03머0389-202605</x:v>
      </x:c>
      <x:c r="B35" s="24" t="str">
        <x:v>스위치플랜</x:v>
      </x:c>
      <x:c r="C35" s="24" t="str">
        <x:v>SW-C-03머0389-1-20240104-5</x:v>
      </x:c>
      <x:c r="D35" s="24" t="str">
        <x:v>03머0389</x:v>
      </x:c>
      <x:c r="E35" s="24" t="str">
        <x:v>고욱</x:v>
      </x:c>
      <x:c r="F35" s="24" t="str">
        <x:v>2026-05</x:v>
      </x:c>
      <x:c r="G35" s="30" t="n">
        <x:v>46147</x:v>
      </x:c>
      <x:c r="H35" s="32" t="n">
        <x:v>1030000</x:v>
      </x:c>
      <x:c r="I35" s="32" t="n">
        <x:v>630000</x:v>
      </x:c>
      <x:c r="J35" s="32" t="n">
        <x:v>450000</x:v>
      </x:c>
      <x:c r="K35" s="30" t="n">
        <x:v>46154</x:v>
      </x:c>
      <x:c r="L35" s="24" t="str">
        <x:v>입금</x:v>
      </x:c>
      <x:c r="M35" s="31" t="n">
        <x:f>IF(AND(N35="미수",G35&lt;&gt;"",TODAY()&gt;G35),TODAY()-G35,0)</x:f>
        <x:v>102</x:v>
      </x:c>
      <x:c r="N35" s="24" t="str">
        <x:f>IF(J35&gt;0,"미수",IF(AND(H35&gt;0,I35&gt;=H35),"완납","미확인"))</x:f>
        <x:v>미수</x:v>
      </x:c>
      <x:c r="O35" s="31" t="n">
        <x:v>5</x:v>
      </x:c>
    </x:row>
    <x:row r="36" ht="17.25" customHeight="1">
      <x:c r="A36" s="24" t="str">
        <x:v>SW-B-03머0389-202604</x:v>
      </x:c>
      <x:c r="B36" s="24" t="str">
        <x:v>스위치플랜</x:v>
      </x:c>
      <x:c r="C36" s="24" t="str">
        <x:v>SW-C-03머0389-1-20240104-5</x:v>
      </x:c>
      <x:c r="D36" s="24" t="str">
        <x:v>03머0389</x:v>
      </x:c>
      <x:c r="E36" s="24" t="str">
        <x:v>고욱</x:v>
      </x:c>
      <x:c r="F36" s="24" t="str">
        <x:v>2026-04</x:v>
      </x:c>
      <x:c r="G36" s="30" t="n">
        <x:v>46117</x:v>
      </x:c>
      <x:c r="H36" s="32" t="n">
        <x:v>1050000</x:v>
      </x:c>
      <x:c r="I36" s="32" t="n">
        <x:v>1000000</x:v>
      </x:c>
      <x:c r="J36" s="32" t="n">
        <x:v>50000</x:v>
      </x:c>
      <x:c r="K36" s="30" t="n">
        <x:v>46121</x:v>
      </x:c>
      <x:c r="L36" s="24" t="str">
        <x:v>입금</x:v>
      </x:c>
      <x:c r="M36" s="31" t="n">
        <x:f>IF(AND(N36="미수",G36&lt;&gt;"",TODAY()&gt;G36),TODAY()-G36,0)</x:f>
        <x:v>132</x:v>
      </x:c>
      <x:c r="N36" s="24" t="str">
        <x:f>IF(J36&gt;0,"미수",IF(AND(H36&gt;0,I36&gt;=H36),"완납","미확인"))</x:f>
        <x:v>미수</x:v>
      </x:c>
      <x:c r="O36" s="31" t="n">
        <x:v>5</x:v>
      </x:c>
    </x:row>
    <x:row r="37" ht="17.25" customHeight="1">
      <x:c r="A37" s="24" t="str">
        <x:v>SW-B-03머0389-202603</x:v>
      </x:c>
      <x:c r="B37" s="24" t="str">
        <x:v>스위치플랜</x:v>
      </x:c>
      <x:c r="C37" s="24" t="str">
        <x:v>SW-C-03머0389-1-20240104-5</x:v>
      </x:c>
      <x:c r="D37" s="24" t="str">
        <x:v>03머0389</x:v>
      </x:c>
      <x:c r="E37" s="24" t="str">
        <x:v>고욱</x:v>
      </x:c>
      <x:c r="F37" s="24" t="str">
        <x:v>2026-03</x:v>
      </x:c>
      <x:c r="G37" s="30" t="n">
        <x:v>46086</x:v>
      </x:c>
      <x:c r="H37" s="32" t="n">
        <x:v>1150000</x:v>
      </x:c>
      <x:c r="I37" s="32" t="n">
        <x:v>1150000</x:v>
      </x:c>
      <x:c r="J37" s="32" t="n">
        <x:v>0</x:v>
      </x:c>
      <x:c r="K37" s="30" t="n">
        <x:v>46106</x:v>
      </x:c>
      <x:c r="L37" s="24" t="str">
        <x:v>입금</x:v>
      </x:c>
      <x:c r="M37" s="31" t="n">
        <x:f>IF(AND(N37="미수",G37&lt;&gt;"",TODAY()&gt;G37),TODAY()-G37,0)</x:f>
        <x:v>0</x:v>
      </x:c>
      <x:c r="N37" s="24" t="str">
        <x:f>IF(J37&gt;0,"미수",IF(AND(H37&gt;0,I37&gt;=H37),"완납","미확인"))</x:f>
        <x:v>완납</x:v>
      </x:c>
      <x:c r="O37" s="31" t="n">
        <x:v>5</x:v>
      </x:c>
    </x:row>
    <x:row r="38" ht="17.25" customHeight="1">
      <x:c r="A38" s="24" t="str">
        <x:v>SW-B-03머0389-202602</x:v>
      </x:c>
      <x:c r="B38" s="24" t="str">
        <x:v>스위치플랜</x:v>
      </x:c>
      <x:c r="C38" s="24" t="str">
        <x:v>SW-C-03머0389-1-20240104-5</x:v>
      </x:c>
      <x:c r="D38" s="24" t="str">
        <x:v>03머0389</x:v>
      </x:c>
      <x:c r="E38" s="24" t="str">
        <x:v>고욱</x:v>
      </x:c>
      <x:c r="F38" s="24" t="str">
        <x:v>2026-02</x:v>
      </x:c>
      <x:c r="G38" s="30" t="n">
        <x:v>46058</x:v>
      </x:c>
      <x:c r="H38" s="32" t="n">
        <x:v>1150000</x:v>
      </x:c>
      <x:c r="I38" s="32" t="n">
        <x:v>1150000</x:v>
      </x:c>
      <x:c r="J38" s="32" t="n">
        <x:v>0</x:v>
      </x:c>
      <x:c r="K38" s="30" t="n">
        <x:v>46064</x:v>
      </x:c>
      <x:c r="L38" s="24" t="str">
        <x:v>입금</x:v>
      </x:c>
      <x:c r="M38" s="31" t="n">
        <x:f>IF(AND(N38="미수",G38&lt;&gt;"",TODAY()&gt;G38),TODAY()-G38,0)</x:f>
        <x:v>0</x:v>
      </x:c>
      <x:c r="N38" s="24" t="str">
        <x:f>IF(J38&gt;0,"미수",IF(AND(H38&gt;0,I38&gt;=H38),"완납","미확인"))</x:f>
        <x:v>완납</x:v>
      </x:c>
      <x:c r="O38" s="31" t="n">
        <x:v>5</x:v>
      </x:c>
    </x:row>
    <x:row r="39" ht="17.25" customHeight="1">
      <x:c r="A39" s="24" t="str">
        <x:v>SW-B-03머0389-202601</x:v>
      </x:c>
      <x:c r="B39" s="24" t="str">
        <x:v>스위치플랜</x:v>
      </x:c>
      <x:c r="C39" s="24" t="str">
        <x:v>SW-C-03머0389-1-20240104-5</x:v>
      </x:c>
      <x:c r="D39" s="24" t="str">
        <x:v>03머0389</x:v>
      </x:c>
      <x:c r="E39" s="24" t="str">
        <x:v>고욱</x:v>
      </x:c>
      <x:c r="F39" s="24" t="str">
        <x:v>2026-01</x:v>
      </x:c>
      <x:c r="G39" s="30" t="n">
        <x:v>46027</x:v>
      </x:c>
      <x:c r="H39" s="32" t="n">
        <x:v>1150000</x:v>
      </x:c>
      <x:c r="I39" s="32" t="n">
        <x:v>1150000</x:v>
      </x:c>
      <x:c r="J39" s="32" t="n">
        <x:v>0</x:v>
      </x:c>
      <x:c r="K39" s="30" t="n">
        <x:v>46042</x:v>
      </x:c>
      <x:c r="L39" s="24" t="str">
        <x:v>입금</x:v>
      </x:c>
      <x:c r="M39" s="31" t="n">
        <x:f>IF(AND(N39="미수",G39&lt;&gt;"",TODAY()&gt;G39),TODAY()-G39,0)</x:f>
        <x:v>0</x:v>
      </x:c>
      <x:c r="N39" s="24" t="str">
        <x:f>IF(J39&gt;0,"미수",IF(AND(H39&gt;0,I39&gt;=H39),"완납","미확인"))</x:f>
        <x:v>완납</x:v>
      </x:c>
      <x:c r="O39" s="31" t="n">
        <x:v>5</x:v>
      </x:c>
    </x:row>
    <x:row r="40" ht="17.25" customHeight="1">
      <x:c r="A40" s="24" t="str">
        <x:v>SW-B-03머0389-202512</x:v>
      </x:c>
      <x:c r="B40" s="24" t="str">
        <x:v>스위치플랜</x:v>
      </x:c>
      <x:c r="C40" s="24" t="str">
        <x:v>SW-C-03머0389-1-20240104-5</x:v>
      </x:c>
      <x:c r="D40" s="24" t="str">
        <x:v>03머0389</x:v>
      </x:c>
      <x:c r="E40" s="24" t="str">
        <x:v>고욱</x:v>
      </x:c>
      <x:c r="F40" s="24" t="str">
        <x:v>2025-12</x:v>
      </x:c>
      <x:c r="G40" s="30" t="n">
        <x:v>45996</x:v>
      </x:c>
      <x:c r="H40" s="32" t="n">
        <x:v>1150000</x:v>
      </x:c>
      <x:c r="I40" s="32" t="n">
        <x:v>1150000</x:v>
      </x:c>
      <x:c r="J40" s="32" t="n">
        <x:v>0</x:v>
      </x:c>
      <x:c r="K40" s="30" t="n">
        <x:v>46000</x:v>
      </x:c>
      <x:c r="L40" s="24" t="str">
        <x:v>입금</x:v>
      </x:c>
      <x:c r="M40" s="31" t="n">
        <x:f>IF(AND(N40="미수",G40&lt;&gt;"",TODAY()&gt;G40),TODAY()-G40,0)</x:f>
        <x:v>0</x:v>
      </x:c>
      <x:c r="N40" s="24" t="str">
        <x:f>IF(J40&gt;0,"미수",IF(AND(H40&gt;0,I40&gt;=H40),"완납","미확인"))</x:f>
        <x:v>완납</x:v>
      </x:c>
      <x:c r="O40" s="31" t="n">
        <x:v>5</x:v>
      </x:c>
    </x:row>
    <x:row r="41" ht="17.25" customHeight="1">
      <x:c r="A41" s="24" t="str">
        <x:v>SW-B-03머0389-202511</x:v>
      </x:c>
      <x:c r="B41" s="24" t="str">
        <x:v>스위치플랜</x:v>
      </x:c>
      <x:c r="C41" s="24" t="str">
        <x:v>SW-C-03머0389-1-20240104-5</x:v>
      </x:c>
      <x:c r="D41" s="24" t="str">
        <x:v>03머0389</x:v>
      </x:c>
      <x:c r="E41" s="24" t="str">
        <x:v>고욱</x:v>
      </x:c>
      <x:c r="F41" s="24" t="str">
        <x:v>2025-11</x:v>
      </x:c>
      <x:c r="G41" s="30" t="n">
        <x:v>45966</x:v>
      </x:c>
      <x:c r="H41" s="32" t="n">
        <x:v>1150000</x:v>
      </x:c>
      <x:c r="I41" s="32" t="n">
        <x:v>1150000</x:v>
      </x:c>
      <x:c r="J41" s="32" t="n">
        <x:v>0</x:v>
      </x:c>
      <x:c r="K41" s="30" t="n">
        <x:v>45968</x:v>
      </x:c>
      <x:c r="L41" s="24" t="str">
        <x:v>입금</x:v>
      </x:c>
      <x:c r="M41" s="31" t="n">
        <x:f>IF(AND(N41="미수",G41&lt;&gt;"",TODAY()&gt;G41),TODAY()-G41,0)</x:f>
        <x:v>0</x:v>
      </x:c>
      <x:c r="N41" s="24" t="str">
        <x:f>IF(J41&gt;0,"미수",IF(AND(H41&gt;0,I41&gt;=H41),"완납","미확인"))</x:f>
        <x:v>완납</x:v>
      </x:c>
      <x:c r="O41" s="31" t="n">
        <x:v>5</x:v>
      </x:c>
    </x:row>
    <x:row r="42" ht="17.25" customHeight="1">
      <x:c r="A42" s="24" t="str">
        <x:v>SW-B-03머0389-202510</x:v>
      </x:c>
      <x:c r="B42" s="24" t="str">
        <x:v>스위치플랜</x:v>
      </x:c>
      <x:c r="C42" s="24" t="str">
        <x:v>SW-C-03머0389-1-20240104-5</x:v>
      </x:c>
      <x:c r="D42" s="24" t="str">
        <x:v>03머0389</x:v>
      </x:c>
      <x:c r="E42" s="24" t="str">
        <x:v>고욱</x:v>
      </x:c>
      <x:c r="F42" s="24" t="str">
        <x:v>2025-10</x:v>
      </x:c>
      <x:c r="G42" s="30" t="n">
        <x:v>45935</x:v>
      </x:c>
      <x:c r="H42" s="32" t="n">
        <x:v>1150000</x:v>
      </x:c>
      <x:c r="I42" s="32" t="n">
        <x:v>1150000</x:v>
      </x:c>
      <x:c r="J42" s="32" t="n">
        <x:v>0</x:v>
      </x:c>
      <x:c r="K42" s="30" t="n">
        <x:v>45939</x:v>
      </x:c>
      <x:c r="L42" s="24" t="str">
        <x:v>입금</x:v>
      </x:c>
      <x:c r="M42" s="31" t="n">
        <x:f>IF(AND(N42="미수",G42&lt;&gt;"",TODAY()&gt;G42),TODAY()-G42,0)</x:f>
        <x:v>0</x:v>
      </x:c>
      <x:c r="N42" s="24" t="str">
        <x:f>IF(J42&gt;0,"미수",IF(AND(H42&gt;0,I42&gt;=H42),"완납","미확인"))</x:f>
        <x:v>완납</x:v>
      </x:c>
      <x:c r="O42" s="31" t="n">
        <x:v>5</x:v>
      </x:c>
    </x:row>
    <x:row r="43" ht="17.25" customHeight="1">
      <x:c r="A43" s="24" t="str">
        <x:v>SW-B-03머0389-202509</x:v>
      </x:c>
      <x:c r="B43" s="24" t="str">
        <x:v>스위치플랜</x:v>
      </x:c>
      <x:c r="C43" s="24" t="str">
        <x:v>SW-C-03머0389-1-20240104-5</x:v>
      </x:c>
      <x:c r="D43" s="24" t="str">
        <x:v>03머0389</x:v>
      </x:c>
      <x:c r="E43" s="24" t="str">
        <x:v>고욱</x:v>
      </x:c>
      <x:c r="F43" s="24" t="str">
        <x:v>2025-09</x:v>
      </x:c>
      <x:c r="G43" s="30" t="n">
        <x:v>45905</x:v>
      </x:c>
      <x:c r="H43" s="32" t="n">
        <x:v>1150000</x:v>
      </x:c>
      <x:c r="I43" s="32" t="n">
        <x:v>1150000</x:v>
      </x:c>
      <x:c r="J43" s="32" t="n">
        <x:v>0</x:v>
      </x:c>
      <x:c r="K43" s="30" t="n">
        <x:v>45911</x:v>
      </x:c>
      <x:c r="L43" s="24" t="str">
        <x:v>카드</x:v>
      </x:c>
      <x:c r="M43" s="31" t="n">
        <x:f>IF(AND(N43="미수",G43&lt;&gt;"",TODAY()&gt;G43),TODAY()-G43,0)</x:f>
        <x:v>0</x:v>
      </x:c>
      <x:c r="N43" s="24" t="str">
        <x:f>IF(J43&gt;0,"미수",IF(AND(H43&gt;0,I43&gt;=H43),"완납","미확인"))</x:f>
        <x:v>완납</x:v>
      </x:c>
      <x:c r="O43" s="31" t="n">
        <x:v>5</x:v>
      </x:c>
    </x:row>
    <x:row r="44" ht="17.25" customHeight="1">
      <x:c r="A44" s="24" t="str">
        <x:v>SW-B-03머0389-202508</x:v>
      </x:c>
      <x:c r="B44" s="24" t="str">
        <x:v>스위치플랜</x:v>
      </x:c>
      <x:c r="C44" s="24" t="str">
        <x:v>SW-C-03머0389-1-20240104-5</x:v>
      </x:c>
      <x:c r="D44" s="24" t="str">
        <x:v>03머0389</x:v>
      </x:c>
      <x:c r="E44" s="24" t="str">
        <x:v>고욱</x:v>
      </x:c>
      <x:c r="F44" s="24" t="str">
        <x:v>2025-08</x:v>
      </x:c>
      <x:c r="G44" s="30" t="n">
        <x:v>45874</x:v>
      </x:c>
      <x:c r="H44" s="32" t="n">
        <x:v>1150000</x:v>
      </x:c>
      <x:c r="I44" s="32" t="n">
        <x:v>1150000</x:v>
      </x:c>
      <x:c r="J44" s="32" t="n">
        <x:v>0</x:v>
      </x:c>
      <x:c r="K44" s="30" t="n">
        <x:v>45877</x:v>
      </x:c>
      <x:c r="L44" s="24" t="str">
        <x:v>입금</x:v>
      </x:c>
      <x:c r="M44" s="31" t="n">
        <x:f>IF(AND(N44="미수",G44&lt;&gt;"",TODAY()&gt;G44),TODAY()-G44,0)</x:f>
        <x:v>0</x:v>
      </x:c>
      <x:c r="N44" s="24" t="str">
        <x:f>IF(J44&gt;0,"미수",IF(AND(H44&gt;0,I44&gt;=H44),"완납","미확인"))</x:f>
        <x:v>완납</x:v>
      </x:c>
      <x:c r="O44" s="31" t="n">
        <x:v>5</x:v>
      </x:c>
    </x:row>
    <x:row r="45" ht="17.25" customHeight="1">
      <x:c r="A45" s="24" t="str">
        <x:v>SW-B-03머0389-202507</x:v>
      </x:c>
      <x:c r="B45" s="24" t="str">
        <x:v>스위치플랜</x:v>
      </x:c>
      <x:c r="C45" s="24" t="str">
        <x:v>SW-C-03머0389-1-20240104-5</x:v>
      </x:c>
      <x:c r="D45" s="24" t="str">
        <x:v>03머0389</x:v>
      </x:c>
      <x:c r="E45" s="24" t="str">
        <x:v>고욱</x:v>
      </x:c>
      <x:c r="F45" s="24" t="str">
        <x:v>2025-07</x:v>
      </x:c>
      <x:c r="G45" s="30" t="n">
        <x:v>45843</x:v>
      </x:c>
      <x:c r="H45" s="32" t="n">
        <x:v>1150000</x:v>
      </x:c>
      <x:c r="I45" s="32" t="n">
        <x:v>1150000</x:v>
      </x:c>
      <x:c r="J45" s="32" t="n">
        <x:v>0</x:v>
      </x:c>
      <x:c r="K45" s="30" t="n">
        <x:v>45844</x:v>
      </x:c>
      <x:c r="L45" s="24" t="str">
        <x:v>입금</x:v>
      </x:c>
      <x:c r="M45" s="31" t="n">
        <x:f>IF(AND(N45="미수",G45&lt;&gt;"",TODAY()&gt;G45),TODAY()-G45,0)</x:f>
        <x:v>0</x:v>
      </x:c>
      <x:c r="N45" s="24" t="str">
        <x:f>IF(J45&gt;0,"미수",IF(AND(H45&gt;0,I45&gt;=H45),"완납","미확인"))</x:f>
        <x:v>완납</x:v>
      </x:c>
      <x:c r="O45" s="31" t="n">
        <x:v>5</x:v>
      </x:c>
    </x:row>
    <x:row r="46" ht="17.25" customHeight="1">
      <x:c r="A46" s="24" t="str">
        <x:v>SW-B-03머0389-202506</x:v>
      </x:c>
      <x:c r="B46" s="24" t="str">
        <x:v>스위치플랜</x:v>
      </x:c>
      <x:c r="C46" s="24" t="str">
        <x:v>SW-C-03머0389-1-20240104-5</x:v>
      </x:c>
      <x:c r="D46" s="24" t="str">
        <x:v>03머0389</x:v>
      </x:c>
      <x:c r="E46" s="24" t="str">
        <x:v>고욱</x:v>
      </x:c>
      <x:c r="F46" s="24" t="str">
        <x:v>2025-06</x:v>
      </x:c>
      <x:c r="G46" s="30" t="n">
        <x:v>45813</x:v>
      </x:c>
      <x:c r="H46" s="32" t="n">
        <x:v>1150000</x:v>
      </x:c>
      <x:c r="I46" s="32" t="n">
        <x:v>1150000</x:v>
      </x:c>
      <x:c r="J46" s="32" t="n">
        <x:v>0</x:v>
      </x:c>
      <x:c r="K46" s="30" t="n">
        <x:v>45819</x:v>
      </x:c>
      <x:c r="L46" s="24" t="str">
        <x:v>입금</x:v>
      </x:c>
      <x:c r="M46" s="31" t="n">
        <x:f>IF(AND(N46="미수",G46&lt;&gt;"",TODAY()&gt;G46),TODAY()-G46,0)</x:f>
        <x:v>0</x:v>
      </x:c>
      <x:c r="N46" s="24" t="str">
        <x:f>IF(J46&gt;0,"미수",IF(AND(H46&gt;0,I46&gt;=H46),"완납","미확인"))</x:f>
        <x:v>완납</x:v>
      </x:c>
      <x:c r="O46" s="31" t="n">
        <x:v>5</x:v>
      </x:c>
    </x:row>
    <x:row r="47" ht="17.25" customHeight="1">
      <x:c r="A47" s="24" t="str">
        <x:v>SW-B-03머0389-202505</x:v>
      </x:c>
      <x:c r="B47" s="24" t="str">
        <x:v>스위치플랜</x:v>
      </x:c>
      <x:c r="C47" s="24" t="str">
        <x:v>SW-C-03머0389-1-20240104-5</x:v>
      </x:c>
      <x:c r="D47" s="24" t="str">
        <x:v>03머0389</x:v>
      </x:c>
      <x:c r="E47" s="24" t="str">
        <x:v>고욱</x:v>
      </x:c>
      <x:c r="F47" s="24" t="str">
        <x:v>2025-05</x:v>
      </x:c>
      <x:c r="G47" s="30" t="n">
        <x:v>45782</x:v>
      </x:c>
      <x:c r="H47" s="32" t="n">
        <x:v>1050000</x:v>
      </x:c>
      <x:c r="I47" s="32" t="n">
        <x:v>1050000</x:v>
      </x:c>
      <x:c r="J47" s="32" t="n">
        <x:v>0</x:v>
      </x:c>
      <x:c r="K47" s="30" t="n">
        <x:v>45792</x:v>
      </x:c>
      <x:c r="L47" s="24" t="str">
        <x:v>입금</x:v>
      </x:c>
      <x:c r="M47" s="31" t="n">
        <x:f>IF(AND(N47="미수",G47&lt;&gt;"",TODAY()&gt;G47),TODAY()-G47,0)</x:f>
        <x:v>0</x:v>
      </x:c>
      <x:c r="N47" s="24" t="str">
        <x:f>IF(J47&gt;0,"미수",IF(AND(H47&gt;0,I47&gt;=H47),"완납","미확인"))</x:f>
        <x:v>완납</x:v>
      </x:c>
      <x:c r="O47" s="31" t="n">
        <x:v>5</x:v>
      </x:c>
    </x:row>
    <x:row r="48" ht="17.25" customHeight="1">
      <x:c r="A48" s="24" t="str">
        <x:v>SW-B-03머0389-202504</x:v>
      </x:c>
      <x:c r="B48" s="24" t="str">
        <x:v>스위치플랜</x:v>
      </x:c>
      <x:c r="C48" s="24" t="str">
        <x:v>SW-C-03머0389-1-20240104-5</x:v>
      </x:c>
      <x:c r="D48" s="24" t="str">
        <x:v>03머0389</x:v>
      </x:c>
      <x:c r="E48" s="24" t="str">
        <x:v>고욱</x:v>
      </x:c>
      <x:c r="F48" s="24" t="str">
        <x:v>2025-04</x:v>
      </x:c>
      <x:c r="G48" s="30" t="n">
        <x:v>45752</x:v>
      </x:c>
      <x:c r="H48" s="32" t="n">
        <x:v>1150000</x:v>
      </x:c>
      <x:c r="I48" s="32" t="n">
        <x:v>1950000</x:v>
      </x:c>
      <x:c r="J48" s="32" t="n">
        <x:v>0</x:v>
      </x:c>
      <x:c r="K48" s="30" t="n">
        <x:v>45748</x:v>
      </x:c>
      <x:c r="L48" s="24" t="str">
        <x:v>입금</x:v>
      </x:c>
      <x:c r="M48" s="31" t="n">
        <x:f>IF(AND(N48="미수",G48&lt;&gt;"",TODAY()&gt;G48),TODAY()-G48,0)</x:f>
        <x:v>0</x:v>
      </x:c>
      <x:c r="N48" s="24" t="str">
        <x:f>IF(J48&gt;0,"미수",IF(AND(H48&gt;0,I48&gt;=H48),"완납","미확인"))</x:f>
        <x:v>완납</x:v>
      </x:c>
      <x:c r="O48" s="31" t="n">
        <x:v>5</x:v>
      </x:c>
    </x:row>
    <x:row r="49" ht="17.25" customHeight="1">
      <x:c r="A49" s="24" t="str">
        <x:v>SW-B-03머0389-202503</x:v>
      </x:c>
      <x:c r="B49" s="24" t="str">
        <x:v>스위치플랜</x:v>
      </x:c>
      <x:c r="C49" s="24" t="str">
        <x:v>SW-C-03머0389-1-20240104-5</x:v>
      </x:c>
      <x:c r="D49" s="24" t="str">
        <x:v>03머0389</x:v>
      </x:c>
      <x:c r="E49" s="24" t="str">
        <x:v>고욱</x:v>
      </x:c>
      <x:c r="F49" s="24" t="str">
        <x:v>2025-03</x:v>
      </x:c>
      <x:c r="G49" s="30" t="n">
        <x:v>45721</x:v>
      </x:c>
      <x:c r="H49" s="32" t="n">
        <x:v>1100000</x:v>
      </x:c>
      <x:c r="I49" s="32" t="n">
        <x:v>300000</x:v>
      </x:c>
      <x:c r="J49" s="32" t="n">
        <x:v>800000</x:v>
      </x:c>
      <x:c r="K49" s="30" t="n">
        <x:v>45744</x:v>
      </x:c>
      <x:c r="L49" s="24" t="str">
        <x:v>입금</x:v>
      </x:c>
      <x:c r="M49" s="31" t="n">
        <x:f>IF(AND(N49="미수",G49&lt;&gt;"",TODAY()&gt;G49),TODAY()-G49,0)</x:f>
        <x:v>528</x:v>
      </x:c>
      <x:c r="N49" s="24" t="str">
        <x:f>IF(J49&gt;0,"미수",IF(AND(H49&gt;0,I49&gt;=H49),"완납","미확인"))</x:f>
        <x:v>미수</x:v>
      </x:c>
      <x:c r="O49" s="31" t="n">
        <x:v>5</x:v>
      </x:c>
    </x:row>
    <x:row r="50" ht="17.25" customHeight="1">
      <x:c r="A50" s="24" t="str">
        <x:v>SW-B-03머0389-202502</x:v>
      </x:c>
      <x:c r="B50" s="24" t="str">
        <x:v>스위치플랜</x:v>
      </x:c>
      <x:c r="C50" s="24" t="str">
        <x:v>SW-C-03머0389-1-20240104-5</x:v>
      </x:c>
      <x:c r="D50" s="24" t="str">
        <x:v>03머0389</x:v>
      </x:c>
      <x:c r="E50" s="24" t="str">
        <x:v>고욱</x:v>
      </x:c>
      <x:c r="F50" s="24" t="str">
        <x:v>2025-02</x:v>
      </x:c>
      <x:c r="G50" s="30" t="n">
        <x:v>45693</x:v>
      </x:c>
      <x:c r="H50" s="32" t="n">
        <x:v>1100000</x:v>
      </x:c>
      <x:c r="I50" s="32" t="n">
        <x:v>1100000</x:v>
      </x:c>
      <x:c r="J50" s="32" t="n">
        <x:v>0</x:v>
      </x:c>
      <x:c r="K50" s="30" t="n">
        <x:v>45698</x:v>
      </x:c>
      <x:c r="L50" s="24" t="str">
        <x:v>입금</x:v>
      </x:c>
      <x:c r="M50" s="31" t="n">
        <x:f>IF(AND(N50="미수",G50&lt;&gt;"",TODAY()&gt;G50),TODAY()-G50,0)</x:f>
        <x:v>0</x:v>
      </x:c>
      <x:c r="N50" s="24" t="str">
        <x:f>IF(J50&gt;0,"미수",IF(AND(H50&gt;0,I50&gt;=H50),"완납","미확인"))</x:f>
        <x:v>완납</x:v>
      </x:c>
      <x:c r="O50" s="31" t="n">
        <x:v>5</x:v>
      </x:c>
    </x:row>
    <x:row r="51" ht="17.25" customHeight="1">
      <x:c r="A51" s="24" t="str">
        <x:v>SW-B-03머0389-202501</x:v>
      </x:c>
      <x:c r="B51" s="24" t="str">
        <x:v>스위치플랜</x:v>
      </x:c>
      <x:c r="C51" s="24" t="str">
        <x:v>SW-C-03머0389-1-20240104-5</x:v>
      </x:c>
      <x:c r="D51" s="24" t="str">
        <x:v>03머0389</x:v>
      </x:c>
      <x:c r="E51" s="24" t="str">
        <x:v>고욱</x:v>
      </x:c>
      <x:c r="F51" s="24" t="str">
        <x:v>2025-01</x:v>
      </x:c>
      <x:c r="G51" s="30" t="n">
        <x:v>45662</x:v>
      </x:c>
      <x:c r="H51" s="32" t="n">
        <x:v>600000</x:v>
      </x:c>
      <x:c r="I51" s="32" t="n">
        <x:v>600000</x:v>
      </x:c>
      <x:c r="J51" s="32" t="n">
        <x:v>0</x:v>
      </x:c>
      <x:c r="K51" s="30" t="n">
        <x:v>45667</x:v>
      </x:c>
      <x:c r="L51" s="24" t="str">
        <x:v>입금</x:v>
      </x:c>
      <x:c r="M51" s="31" t="n">
        <x:f>IF(AND(N51="미수",G51&lt;&gt;"",TODAY()&gt;G51),TODAY()-G51,0)</x:f>
        <x:v>0</x:v>
      </x:c>
      <x:c r="N51" s="24" t="str">
        <x:f>IF(J51&gt;0,"미수",IF(AND(H51&gt;0,I51&gt;=H51),"완납","미확인"))</x:f>
        <x:v>완납</x:v>
      </x:c>
      <x:c r="O51" s="31" t="n">
        <x:v>5</x:v>
      </x:c>
    </x:row>
    <x:row r="52" ht="17.25" customHeight="1">
      <x:c r="A52" s="24" t="str">
        <x:v>SW-B-03머0389-202412</x:v>
      </x:c>
      <x:c r="B52" s="24" t="str">
        <x:v>스위치플랜</x:v>
      </x:c>
      <x:c r="C52" s="24" t="str">
        <x:v>SW-C-03머0389-1-20240104-5</x:v>
      </x:c>
      <x:c r="D52" s="24" t="str">
        <x:v>03머0389</x:v>
      </x:c>
      <x:c r="E52" s="24" t="str">
        <x:v>고욱</x:v>
      </x:c>
      <x:c r="F52" s="24" t="str">
        <x:v>2024-12</x:v>
      </x:c>
      <x:c r="G52" s="30" t="n">
        <x:v>45631</x:v>
      </x:c>
      <x:c r="H52" s="32" t="n">
        <x:v>1100000</x:v>
      </x:c>
      <x:c r="I52" s="32" t="n">
        <x:v>1100000</x:v>
      </x:c>
      <x:c r="J52" s="32" t="n">
        <x:v>0</x:v>
      </x:c>
      <x:c r="K52" s="30" t="n">
        <x:v>45636</x:v>
      </x:c>
      <x:c r="L52" s="24" t="str">
        <x:v>입금</x:v>
      </x:c>
      <x:c r="M52" s="31" t="n">
        <x:f>IF(AND(N52="미수",G52&lt;&gt;"",TODAY()&gt;G52),TODAY()-G52,0)</x:f>
        <x:v>0</x:v>
      </x:c>
      <x:c r="N52" s="24" t="str">
        <x:f>IF(J52&gt;0,"미수",IF(AND(H52&gt;0,I52&gt;=H52),"완납","미확인"))</x:f>
        <x:v>완납</x:v>
      </x:c>
      <x:c r="O52" s="31" t="n">
        <x:v>5</x:v>
      </x:c>
    </x:row>
    <x:row r="53" ht="17.25" customHeight="1">
      <x:c r="A53" s="24" t="str">
        <x:v>SW-B-03머0389-202411</x:v>
      </x:c>
      <x:c r="B53" s="24" t="str">
        <x:v>스위치플랜</x:v>
      </x:c>
      <x:c r="C53" s="24" t="str">
        <x:v>SW-C-03머0389-1-20240104-5</x:v>
      </x:c>
      <x:c r="D53" s="24" t="str">
        <x:v>03머0389</x:v>
      </x:c>
      <x:c r="E53" s="24" t="str">
        <x:v>고욱</x:v>
      </x:c>
      <x:c r="F53" s="24" t="str">
        <x:v>2024-11</x:v>
      </x:c>
      <x:c r="G53" s="30" t="n">
        <x:v>45601</x:v>
      </x:c>
      <x:c r="H53" s="32" t="n">
        <x:v>950000</x:v>
      </x:c>
      <x:c r="I53" s="32" t="n">
        <x:v>950000</x:v>
      </x:c>
      <x:c r="J53" s="32" t="n">
        <x:v>0</x:v>
      </x:c>
      <x:c r="K53" s="30" t="n">
        <x:v>45607</x:v>
      </x:c>
      <x:c r="L53" s="24" t="str">
        <x:v>입금</x:v>
      </x:c>
      <x:c r="M53" s="31" t="n">
        <x:f>IF(AND(N53="미수",G53&lt;&gt;"",TODAY()&gt;G53),TODAY()-G53,0)</x:f>
        <x:v>0</x:v>
      </x:c>
      <x:c r="N53" s="24" t="str">
        <x:f>IF(J53&gt;0,"미수",IF(AND(H53&gt;0,I53&gt;=H53),"완납","미확인"))</x:f>
        <x:v>완납</x:v>
      </x:c>
      <x:c r="O53" s="31" t="n">
        <x:v>5</x:v>
      </x:c>
    </x:row>
    <x:row r="54" ht="17.25" customHeight="1">
      <x:c r="A54" s="24" t="str">
        <x:v>SW-B-117머4942-202608</x:v>
      </x:c>
      <x:c r="B54" s="24" t="str">
        <x:v>스위치플랜</x:v>
      </x:c>
      <x:c r="C54" s="24" t="str">
        <x:v>SW-C-117머4942-1-20250623-6</x:v>
      </x:c>
      <x:c r="D54" s="24" t="str">
        <x:v>117머4942</x:v>
      </x:c>
      <x:c r="E54" s="24" t="str">
        <x:v>김지원</x:v>
      </x:c>
      <x:c r="F54" s="24" t="str">
        <x:v>2026-08</x:v>
      </x:c>
      <x:c r="G54" s="30" t="n">
        <x:v>46259</x:v>
      </x:c>
      <x:c r="H54" s="32" t="n">
        <x:v>990000</x:v>
      </x:c>
      <x:c r="I54" s="32" t="n">
        <x:v>1980000</x:v>
      </x:c>
      <x:c r="J54" s="32" t="n">
        <x:v>990000</x:v>
      </x:c>
      <x:c r="K54" s="30" t="n">
        <x:v>46237</x:v>
      </x:c>
      <x:c r="L54" s="24" t="str">
        <x:v>입금</x:v>
      </x:c>
      <x:c r="M54" s="31" t="n">
        <x:f>IF(AND(N54="미수",G54&lt;&gt;"",TODAY()&gt;G54),TODAY()-G54,0)</x:f>
        <x:v>0</x:v>
      </x:c>
      <x:c r="N54" s="24" t="str">
        <x:f>IF(J54&gt;0,"미수",IF(AND(H54&gt;0,I54&gt;=H54),"완납","미확인"))</x:f>
        <x:v>미수</x:v>
      </x:c>
      <x:c r="O54" s="31" t="n">
        <x:v>6</x:v>
      </x:c>
    </x:row>
    <x:row r="55" ht="17.25" customHeight="1">
      <x:c r="A55" s="24" t="str">
        <x:v>SW-B-117머4942-202607</x:v>
      </x:c>
      <x:c r="B55" s="24" t="str">
        <x:v>스위치플랜</x:v>
      </x:c>
      <x:c r="C55" s="24" t="str">
        <x:v>SW-C-117머4942-1-20250623-6</x:v>
      </x:c>
      <x:c r="D55" s="24" t="str">
        <x:v>117머4942</x:v>
      </x:c>
      <x:c r="E55" s="24" t="str">
        <x:v>김지원</x:v>
      </x:c>
      <x:c r="F55" s="24" t="str">
        <x:v>2026-07</x:v>
      </x:c>
      <x:c r="G55" s="30" t="n">
        <x:v>46228</x:v>
      </x:c>
      <x:c r="H55" s="32" t="n">
        <x:v>990000</x:v>
      </x:c>
      <x:c r="I55" s="32"/>
      <x:c r="J55" s="32" t="n">
        <x:v>1980000</x:v>
      </x:c>
      <x:c r="K55" s="30"/>
      <x:c r="L55" s="24" t="str"/>
      <x:c r="M55" s="31" t="n">
        <x:f>IF(AND(N55="미수",G55&lt;&gt;"",TODAY()&gt;G55),TODAY()-G55,0)</x:f>
        <x:v>21</x:v>
      </x:c>
      <x:c r="N55" s="24" t="str">
        <x:f>IF(J55&gt;0,"미수",IF(AND(H55&gt;0,I55&gt;=H55),"완납","미확인"))</x:f>
        <x:v>미수</x:v>
      </x:c>
      <x:c r="O55" s="31" t="n">
        <x:v>6</x:v>
      </x:c>
    </x:row>
    <x:row r="56" ht="17.25" customHeight="1">
      <x:c r="A56" s="24" t="str">
        <x:v>SW-B-117머4942-202606</x:v>
      </x:c>
      <x:c r="B56" s="24" t="str">
        <x:v>스위치플랜</x:v>
      </x:c>
      <x:c r="C56" s="24" t="str">
        <x:v>SW-C-117머4942-1-20250623-6</x:v>
      </x:c>
      <x:c r="D56" s="24" t="str">
        <x:v>117머4942</x:v>
      </x:c>
      <x:c r="E56" s="24" t="str">
        <x:v>김지원</x:v>
      </x:c>
      <x:c r="F56" s="24" t="str">
        <x:v>2026-06</x:v>
      </x:c>
      <x:c r="G56" s="30" t="n">
        <x:v>46198</x:v>
      </x:c>
      <x:c r="H56" s="32" t="n">
        <x:v>990000</x:v>
      </x:c>
      <x:c r="I56" s="32" t="n">
        <x:v>990000</x:v>
      </x:c>
      <x:c r="J56" s="32" t="n">
        <x:v>990000</x:v>
      </x:c>
      <x:c r="K56" s="30" t="n">
        <x:v>46178</x:v>
      </x:c>
      <x:c r="L56" s="24" t="str">
        <x:v>입금</x:v>
      </x:c>
      <x:c r="M56" s="31" t="n">
        <x:f>IF(AND(N56="미수",G56&lt;&gt;"",TODAY()&gt;G56),TODAY()-G56,0)</x:f>
        <x:v>51</x:v>
      </x:c>
      <x:c r="N56" s="24" t="str">
        <x:f>IF(J56&gt;0,"미수",IF(AND(H56&gt;0,I56&gt;=H56),"완납","미확인"))</x:f>
        <x:v>미수</x:v>
      </x:c>
      <x:c r="O56" s="31" t="n">
        <x:v>6</x:v>
      </x:c>
    </x:row>
    <x:row r="57" ht="17.25" customHeight="1">
      <x:c r="A57" s="24" t="str">
        <x:v>SW-B-117머4942-202605</x:v>
      </x:c>
      <x:c r="B57" s="24" t="str">
        <x:v>스위치플랜</x:v>
      </x:c>
      <x:c r="C57" s="24" t="str">
        <x:v>SW-C-117머4942-1-20250623-6</x:v>
      </x:c>
      <x:c r="D57" s="24" t="str">
        <x:v>117머4942</x:v>
      </x:c>
      <x:c r="E57" s="24" t="str">
        <x:v>김지원</x:v>
      </x:c>
      <x:c r="F57" s="24" t="str">
        <x:v>2026-05</x:v>
      </x:c>
      <x:c r="G57" s="30" t="n">
        <x:v>46167</x:v>
      </x:c>
      <x:c r="H57" s="32" t="n">
        <x:v>990000</x:v>
      </x:c>
      <x:c r="I57" s="32" t="n">
        <x:v>990000</x:v>
      </x:c>
      <x:c r="J57" s="32" t="n">
        <x:v>990000</x:v>
      </x:c>
      <x:c r="K57" s="30" t="n">
        <x:v>46146</x:v>
      </x:c>
      <x:c r="L57" s="24" t="str">
        <x:v>입금</x:v>
      </x:c>
      <x:c r="M57" s="31" t="n">
        <x:f>IF(AND(N57="미수",G57&lt;&gt;"",TODAY()&gt;G57),TODAY()-G57,0)</x:f>
        <x:v>82</x:v>
      </x:c>
      <x:c r="N57" s="24" t="str">
        <x:f>IF(J57&gt;0,"미수",IF(AND(H57&gt;0,I57&gt;=H57),"완납","미확인"))</x:f>
        <x:v>미수</x:v>
      </x:c>
      <x:c r="O57" s="31" t="n">
        <x:v>6</x:v>
      </x:c>
    </x:row>
    <x:row r="58" ht="17.25" customHeight="1">
      <x:c r="A58" s="24" t="str">
        <x:v>SW-B-117머4942-202604</x:v>
      </x:c>
      <x:c r="B58" s="24" t="str">
        <x:v>스위치플랜</x:v>
      </x:c>
      <x:c r="C58" s="24" t="str">
        <x:v>SW-C-117머4942-1-20250623-6</x:v>
      </x:c>
      <x:c r="D58" s="24" t="str">
        <x:v>117머4942</x:v>
      </x:c>
      <x:c r="E58" s="24" t="str">
        <x:v>김지원</x:v>
      </x:c>
      <x:c r="F58" s="24" t="str">
        <x:v>2026-04</x:v>
      </x:c>
      <x:c r="G58" s="30" t="n">
        <x:v>46137</x:v>
      </x:c>
      <x:c r="H58" s="32" t="n">
        <x:v>990000</x:v>
      </x:c>
      <x:c r="I58" s="32"/>
      <x:c r="J58" s="32" t="n">
        <x:v>990000</x:v>
      </x:c>
      <x:c r="K58" s="30"/>
      <x:c r="L58" s="24" t="str"/>
      <x:c r="M58" s="31" t="n">
        <x:f>IF(AND(N58="미수",G58&lt;&gt;"",TODAY()&gt;G58),TODAY()-G58,0)</x:f>
        <x:v>112</x:v>
      </x:c>
      <x:c r="N58" s="24" t="str">
        <x:f>IF(J58&gt;0,"미수",IF(AND(H58&gt;0,I58&gt;=H58),"완납","미확인"))</x:f>
        <x:v>미수</x:v>
      </x:c>
      <x:c r="O58" s="31" t="n">
        <x:v>6</x:v>
      </x:c>
    </x:row>
    <x:row r="59" ht="17.25" customHeight="1">
      <x:c r="A59" s="24" t="str">
        <x:v>SW-B-117머4942-202603</x:v>
      </x:c>
      <x:c r="B59" s="24" t="str">
        <x:v>스위치플랜</x:v>
      </x:c>
      <x:c r="C59" s="24" t="str">
        <x:v>SW-C-117머4942-1-20250623-6</x:v>
      </x:c>
      <x:c r="D59" s="24" t="str">
        <x:v>117머4942</x:v>
      </x:c>
      <x:c r="E59" s="24" t="str">
        <x:v>김지원</x:v>
      </x:c>
      <x:c r="F59" s="24" t="str">
        <x:v>2026-03</x:v>
      </x:c>
      <x:c r="G59" s="30" t="n">
        <x:v>46106</x:v>
      </x:c>
      <x:c r="H59" s="32" t="n">
        <x:v>990000</x:v>
      </x:c>
      <x:c r="I59" s="32" t="n">
        <x:v>1980000</x:v>
      </x:c>
      <x:c r="J59" s="32" t="n">
        <x:v>0</x:v>
      </x:c>
      <x:c r="K59" s="30" t="n">
        <x:v>46111</x:v>
      </x:c>
      <x:c r="L59" s="24" t="str">
        <x:v>입금</x:v>
      </x:c>
      <x:c r="M59" s="31" t="n">
        <x:f>IF(AND(N59="미수",G59&lt;&gt;"",TODAY()&gt;G59),TODAY()-G59,0)</x:f>
        <x:v>0</x:v>
      </x:c>
      <x:c r="N59" s="24" t="str">
        <x:f>IF(J59&gt;0,"미수",IF(AND(H59&gt;0,I59&gt;=H59),"완납","미확인"))</x:f>
        <x:v>완납</x:v>
      </x:c>
      <x:c r="O59" s="31" t="n">
        <x:v>6</x:v>
      </x:c>
    </x:row>
    <x:row r="60" ht="17.25" customHeight="1">
      <x:c r="A60" s="24" t="str">
        <x:v>SW-B-117머4942-202602</x:v>
      </x:c>
      <x:c r="B60" s="24" t="str">
        <x:v>스위치플랜</x:v>
      </x:c>
      <x:c r="C60" s="24" t="str">
        <x:v>SW-C-117머4942-1-20250623-6</x:v>
      </x:c>
      <x:c r="D60" s="24" t="str">
        <x:v>117머4942</x:v>
      </x:c>
      <x:c r="E60" s="24" t="str">
        <x:v>김지원</x:v>
      </x:c>
      <x:c r="F60" s="24" t="str">
        <x:v>2026-02</x:v>
      </x:c>
      <x:c r="G60" s="30" t="n">
        <x:v>46078</x:v>
      </x:c>
      <x:c r="H60" s="32" t="n">
        <x:v>990000</x:v>
      </x:c>
      <x:c r="I60" s="32"/>
      <x:c r="J60" s="32" t="n">
        <x:v>990000</x:v>
      </x:c>
      <x:c r="K60" s="30"/>
      <x:c r="L60" s="24" t="str"/>
      <x:c r="M60" s="31" t="n">
        <x:f>IF(AND(N60="미수",G60&lt;&gt;"",TODAY()&gt;G60),TODAY()-G60,0)</x:f>
        <x:v>171</x:v>
      </x:c>
      <x:c r="N60" s="24" t="str">
        <x:f>IF(J60&gt;0,"미수",IF(AND(H60&gt;0,I60&gt;=H60),"완납","미확인"))</x:f>
        <x:v>미수</x:v>
      </x:c>
      <x:c r="O60" s="31" t="n">
        <x:v>6</x:v>
      </x:c>
    </x:row>
    <x:row r="61" ht="17.25" customHeight="1">
      <x:c r="A61" s="24" t="str">
        <x:v>SW-B-117머4942-202601</x:v>
      </x:c>
      <x:c r="B61" s="24" t="str">
        <x:v>스위치플랜</x:v>
      </x:c>
      <x:c r="C61" s="24" t="str">
        <x:v>SW-C-117머4942-1-20250623-6</x:v>
      </x:c>
      <x:c r="D61" s="24" t="str">
        <x:v>117머4942</x:v>
      </x:c>
      <x:c r="E61" s="24" t="str">
        <x:v>김지원</x:v>
      </x:c>
      <x:c r="F61" s="24" t="str">
        <x:v>2026-01</x:v>
      </x:c>
      <x:c r="G61" s="30" t="n">
        <x:v>46047</x:v>
      </x:c>
      <x:c r="H61" s="32" t="n">
        <x:v>990000</x:v>
      </x:c>
      <x:c r="I61" s="32" t="n">
        <x:v>1480000</x:v>
      </x:c>
      <x:c r="J61" s="32" t="n">
        <x:v>0</x:v>
      </x:c>
      <x:c r="K61" s="30" t="n">
        <x:v>46027</x:v>
      </x:c>
      <x:c r="L61" s="24" t="str">
        <x:v>입금</x:v>
      </x:c>
      <x:c r="M61" s="31" t="n">
        <x:f>IF(AND(N61="미수",G61&lt;&gt;"",TODAY()&gt;G61),TODAY()-G61,0)</x:f>
        <x:v>0</x:v>
      </x:c>
      <x:c r="N61" s="24" t="str">
        <x:f>IF(J61&gt;0,"미수",IF(AND(H61&gt;0,I61&gt;=H61),"완납","미확인"))</x:f>
        <x:v>완납</x:v>
      </x:c>
      <x:c r="O61" s="31" t="n">
        <x:v>6</x:v>
      </x:c>
    </x:row>
    <x:row r="62" ht="17.25" customHeight="1">
      <x:c r="A62" s="24" t="str">
        <x:v>SW-B-117머4942-202512</x:v>
      </x:c>
      <x:c r="B62" s="24" t="str">
        <x:v>스위치플랜</x:v>
      </x:c>
      <x:c r="C62" s="24" t="str">
        <x:v>SW-C-117머4942-1-20250623-6</x:v>
      </x:c>
      <x:c r="D62" s="24" t="str">
        <x:v>117머4942</x:v>
      </x:c>
      <x:c r="E62" s="24" t="str">
        <x:v>김지원</x:v>
      </x:c>
      <x:c r="F62" s="24" t="str">
        <x:v>2025-12</x:v>
      </x:c>
      <x:c r="G62" s="30" t="n">
        <x:v>46016</x:v>
      </x:c>
      <x:c r="H62" s="32" t="n">
        <x:v>990000</x:v>
      </x:c>
      <x:c r="I62" s="32" t="n">
        <x:v>500000</x:v>
      </x:c>
      <x:c r="J62" s="32" t="n">
        <x:v>490000</x:v>
      </x:c>
      <x:c r="K62" s="30" t="n">
        <x:v>46020</x:v>
      </x:c>
      <x:c r="L62" s="24" t="str">
        <x:v>입금</x:v>
      </x:c>
      <x:c r="M62" s="31" t="n">
        <x:f>IF(AND(N62="미수",G62&lt;&gt;"",TODAY()&gt;G62),TODAY()-G62,0)</x:f>
        <x:v>233</x:v>
      </x:c>
      <x:c r="N62" s="24" t="str">
        <x:f>IF(J62&gt;0,"미수",IF(AND(H62&gt;0,I62&gt;=H62),"완납","미확인"))</x:f>
        <x:v>미수</x:v>
      </x:c>
      <x:c r="O62" s="31" t="n">
        <x:v>6</x:v>
      </x:c>
    </x:row>
    <x:row r="63" ht="17.25" customHeight="1">
      <x:c r="A63" s="24" t="str">
        <x:v>SW-B-117머4942-202511</x:v>
      </x:c>
      <x:c r="B63" s="24" t="str">
        <x:v>스위치플랜</x:v>
      </x:c>
      <x:c r="C63" s="24" t="str">
        <x:v>SW-C-117머4942-1-20250623-6</x:v>
      </x:c>
      <x:c r="D63" s="24" t="str">
        <x:v>117머4942</x:v>
      </x:c>
      <x:c r="E63" s="24" t="str">
        <x:v>김지원</x:v>
      </x:c>
      <x:c r="F63" s="24" t="str">
        <x:v>2025-11</x:v>
      </x:c>
      <x:c r="G63" s="30" t="n">
        <x:v>45986</x:v>
      </x:c>
      <x:c r="H63" s="32" t="n">
        <x:v>990000</x:v>
      </x:c>
      <x:c r="I63" s="32" t="n">
        <x:v>990000</x:v>
      </x:c>
      <x:c r="J63" s="32" t="n">
        <x:v>0</x:v>
      </x:c>
      <x:c r="K63" s="30" t="n">
        <x:v>45987</x:v>
      </x:c>
      <x:c r="L63" s="24" t="str">
        <x:v>입금</x:v>
      </x:c>
      <x:c r="M63" s="31" t="n">
        <x:f>IF(AND(N63="미수",G63&lt;&gt;"",TODAY()&gt;G63),TODAY()-G63,0)</x:f>
        <x:v>0</x:v>
      </x:c>
      <x:c r="N63" s="24" t="str">
        <x:f>IF(J63&gt;0,"미수",IF(AND(H63&gt;0,I63&gt;=H63),"완납","미확인"))</x:f>
        <x:v>완납</x:v>
      </x:c>
      <x:c r="O63" s="31" t="n">
        <x:v>6</x:v>
      </x:c>
    </x:row>
    <x:row r="64" ht="17.25" customHeight="1">
      <x:c r="A64" s="24" t="str">
        <x:v>SW-B-117머4942-202510</x:v>
      </x:c>
      <x:c r="B64" s="24" t="str">
        <x:v>스위치플랜</x:v>
      </x:c>
      <x:c r="C64" s="24" t="str">
        <x:v>SW-C-117머4942-1-20250623-6</x:v>
      </x:c>
      <x:c r="D64" s="24" t="str">
        <x:v>117머4942</x:v>
      </x:c>
      <x:c r="E64" s="24" t="str">
        <x:v>김지원</x:v>
      </x:c>
      <x:c r="F64" s="24" t="str">
        <x:v>2025-10</x:v>
      </x:c>
      <x:c r="G64" s="30" t="n">
        <x:v>45955</x:v>
      </x:c>
      <x:c r="H64" s="32" t="n">
        <x:v>990000</x:v>
      </x:c>
      <x:c r="I64" s="32" t="n">
        <x:v>990000</x:v>
      </x:c>
      <x:c r="J64" s="32" t="n">
        <x:v>0</x:v>
      </x:c>
      <x:c r="K64" s="30" t="n">
        <x:v>45957</x:v>
      </x:c>
      <x:c r="L64" s="24" t="str">
        <x:v>자동</x:v>
      </x:c>
      <x:c r="M64" s="31" t="n">
        <x:f>IF(AND(N64="미수",G64&lt;&gt;"",TODAY()&gt;G64),TODAY()-G64,0)</x:f>
        <x:v>0</x:v>
      </x:c>
      <x:c r="N64" s="24" t="str">
        <x:f>IF(J64&gt;0,"미수",IF(AND(H64&gt;0,I64&gt;=H64),"완납","미확인"))</x:f>
        <x:v>완납</x:v>
      </x:c>
      <x:c r="O64" s="31" t="n">
        <x:v>6</x:v>
      </x:c>
    </x:row>
    <x:row r="65" ht="17.25" customHeight="1">
      <x:c r="A65" s="24" t="str">
        <x:v>SW-B-117머4942-202509</x:v>
      </x:c>
      <x:c r="B65" s="24" t="str">
        <x:v>스위치플랜</x:v>
      </x:c>
      <x:c r="C65" s="24" t="str">
        <x:v>SW-C-117머4942-1-20250623-6</x:v>
      </x:c>
      <x:c r="D65" s="24" t="str">
        <x:v>117머4942</x:v>
      </x:c>
      <x:c r="E65" s="24" t="str">
        <x:v>김지원</x:v>
      </x:c>
      <x:c r="F65" s="24" t="str">
        <x:v>2025-09</x:v>
      </x:c>
      <x:c r="G65" s="30" t="n">
        <x:v>45925</x:v>
      </x:c>
      <x:c r="H65" s="32" t="n">
        <x:v>990000</x:v>
      </x:c>
      <x:c r="I65" s="32" t="n">
        <x:v>990000</x:v>
      </x:c>
      <x:c r="J65" s="32" t="n">
        <x:v>0</x:v>
      </x:c>
      <x:c r="K65" s="30" t="n">
        <x:v>45925</x:v>
      </x:c>
      <x:c r="L65" s="24" t="str">
        <x:v>자동</x:v>
      </x:c>
      <x:c r="M65" s="31" t="n">
        <x:f>IF(AND(N65="미수",G65&lt;&gt;"",TODAY()&gt;G65),TODAY()-G65,0)</x:f>
        <x:v>0</x:v>
      </x:c>
      <x:c r="N65" s="24" t="str">
        <x:f>IF(J65&gt;0,"미수",IF(AND(H65&gt;0,I65&gt;=H65),"완납","미확인"))</x:f>
        <x:v>완납</x:v>
      </x:c>
      <x:c r="O65" s="31" t="n">
        <x:v>6</x:v>
      </x:c>
    </x:row>
    <x:row r="66" ht="17.25" customHeight="1">
      <x:c r="A66" s="24" t="str">
        <x:v>SW-B-117머4942-202508</x:v>
      </x:c>
      <x:c r="B66" s="24" t="str">
        <x:v>스위치플랜</x:v>
      </x:c>
      <x:c r="C66" s="24" t="str">
        <x:v>SW-C-117머4942-1-20250623-6</x:v>
      </x:c>
      <x:c r="D66" s="24" t="str">
        <x:v>117머4942</x:v>
      </x:c>
      <x:c r="E66" s="24" t="str">
        <x:v>김지원</x:v>
      </x:c>
      <x:c r="F66" s="24" t="str">
        <x:v>2025-08</x:v>
      </x:c>
      <x:c r="G66" s="30" t="n">
        <x:v>45894</x:v>
      </x:c>
      <x:c r="H66" s="32" t="n">
        <x:v>990000</x:v>
      </x:c>
      <x:c r="I66" s="32" t="n">
        <x:v>990000</x:v>
      </x:c>
      <x:c r="J66" s="32" t="n">
        <x:v>0</x:v>
      </x:c>
      <x:c r="K66" s="30" t="n">
        <x:v>45894</x:v>
      </x:c>
      <x:c r="L66" s="24" t="str">
        <x:v>입금</x:v>
      </x:c>
      <x:c r="M66" s="31" t="n">
        <x:f>IF(AND(N66="미수",G66&lt;&gt;"",TODAY()&gt;G66),TODAY()-G66,0)</x:f>
        <x:v>0</x:v>
      </x:c>
      <x:c r="N66" s="24" t="str">
        <x:f>IF(J66&gt;0,"미수",IF(AND(H66&gt;0,I66&gt;=H66),"완납","미확인"))</x:f>
        <x:v>완납</x:v>
      </x:c>
      <x:c r="O66" s="31" t="n">
        <x:v>6</x:v>
      </x:c>
    </x:row>
    <x:row r="67" ht="17.25" customHeight="1">
      <x:c r="A67" s="24" t="str">
        <x:v>SW-B-117머4942-202507</x:v>
      </x:c>
      <x:c r="B67" s="24" t="str">
        <x:v>스위치플랜</x:v>
      </x:c>
      <x:c r="C67" s="24" t="str">
        <x:v>SW-C-117머4942-1-20250623-6</x:v>
      </x:c>
      <x:c r="D67" s="24" t="str">
        <x:v>117머4942</x:v>
      </x:c>
      <x:c r="E67" s="24" t="str">
        <x:v>김지원</x:v>
      </x:c>
      <x:c r="F67" s="24" t="str">
        <x:v>2025-07</x:v>
      </x:c>
      <x:c r="G67" s="30" t="n">
        <x:v>45863</x:v>
      </x:c>
      <x:c r="H67" s="32" t="n">
        <x:v>990000</x:v>
      </x:c>
      <x:c r="I67" s="32" t="n">
        <x:v>990000</x:v>
      </x:c>
      <x:c r="J67" s="32" t="n">
        <x:v>0</x:v>
      </x:c>
      <x:c r="K67" s="30" t="n">
        <x:v>45863</x:v>
      </x:c>
      <x:c r="L67" s="24" t="str">
        <x:v>자동</x:v>
      </x:c>
      <x:c r="M67" s="31" t="n">
        <x:f>IF(AND(N67="미수",G67&lt;&gt;"",TODAY()&gt;G67),TODAY()-G67,0)</x:f>
        <x:v>0</x:v>
      </x:c>
      <x:c r="N67" s="24" t="str">
        <x:f>IF(J67&gt;0,"미수",IF(AND(H67&gt;0,I67&gt;=H67),"완납","미확인"))</x:f>
        <x:v>완납</x:v>
      </x:c>
      <x:c r="O67" s="31" t="n">
        <x:v>6</x:v>
      </x:c>
    </x:row>
    <x:row r="68" ht="17.25" customHeight="1">
      <x:c r="A68" s="24" t="str">
        <x:v>SW-B-117머4942-202506</x:v>
      </x:c>
      <x:c r="B68" s="24" t="str">
        <x:v>스위치플랜</x:v>
      </x:c>
      <x:c r="C68" s="24" t="str">
        <x:v>SW-C-117머4942-1-20250623-6</x:v>
      </x:c>
      <x:c r="D68" s="24" t="str">
        <x:v>117머4942</x:v>
      </x:c>
      <x:c r="E68" s="24" t="str">
        <x:v>김지원</x:v>
      </x:c>
      <x:c r="F68" s="24" t="str">
        <x:v>2025-06</x:v>
      </x:c>
      <x:c r="G68" s="30" t="n">
        <x:v>45833</x:v>
      </x:c>
      <x:c r="H68" s="32" t="n">
        <x:v>990000</x:v>
      </x:c>
      <x:c r="I68" s="32" t="n">
        <x:v>990000</x:v>
      </x:c>
      <x:c r="J68" s="32"/>
      <x:c r="K68" s="30" t="n">
        <x:v>45830</x:v>
      </x:c>
      <x:c r="L68" s="24" t="str">
        <x:v>입금</x:v>
      </x:c>
      <x:c r="M68" s="31" t="n">
        <x:f>IF(AND(N68="미수",G68&lt;&gt;"",TODAY()&gt;G68),TODAY()-G68,0)</x:f>
        <x:v>0</x:v>
      </x:c>
      <x:c r="N68" s="24" t="str">
        <x:f>IF(J68&gt;0,"미수",IF(AND(H68&gt;0,I68&gt;=H68),"완납","미확인"))</x:f>
        <x:v>완납</x:v>
      </x:c>
      <x:c r="O68" s="31" t="n">
        <x:v>6</x:v>
      </x:c>
    </x:row>
    <x:row r="69" ht="17.25" customHeight="1">
      <x:c r="A69" s="24" t="str">
        <x:v>SW-B-117머4942-202505</x:v>
      </x:c>
      <x:c r="B69" s="24" t="str">
        <x:v>스위치플랜</x:v>
      </x:c>
      <x:c r="C69" s="24" t="str">
        <x:v>SW-C-117머4942-2-20250312-6</x:v>
      </x:c>
      <x:c r="D69" s="24" t="str">
        <x:v>117머4942</x:v>
      </x:c>
      <x:c r="E69" s="24" t="str">
        <x:v>김지원</x:v>
      </x:c>
      <x:c r="F69" s="24" t="str">
        <x:v>2025-05</x:v>
      </x:c>
      <x:c r="G69" s="30" t="n">
        <x:v>45802</x:v>
      </x:c>
      <x:c r="H69" s="32" t="n">
        <x:v>1090000</x:v>
      </x:c>
      <x:c r="I69" s="32" t="n">
        <x:v>1000000</x:v>
      </x:c>
      <x:c r="J69" s="32" t="n">
        <x:v>90000</x:v>
      </x:c>
      <x:c r="K69" s="30" t="n">
        <x:v>45799</x:v>
      </x:c>
      <x:c r="L69" s="24" t="str">
        <x:v>입금</x:v>
      </x:c>
      <x:c r="M69" s="31" t="n">
        <x:f>IF(AND(N69="미수",G69&lt;&gt;"",TODAY()&gt;G69),TODAY()-G69,0)</x:f>
        <x:v>447</x:v>
      </x:c>
      <x:c r="N69" s="24" t="str">
        <x:f>IF(J69&gt;0,"미수",IF(AND(H69&gt;0,I69&gt;=H69),"완납","미확인"))</x:f>
        <x:v>미수</x:v>
      </x:c>
      <x:c r="O69" s="31" t="n">
        <x:v>6</x:v>
      </x:c>
    </x:row>
    <x:row r="70" ht="17.25" customHeight="1">
      <x:c r="A70" s="24" t="str">
        <x:v>SW-B-117머4942-202504</x:v>
      </x:c>
      <x:c r="B70" s="24" t="str">
        <x:v>스위치플랜</x:v>
      </x:c>
      <x:c r="C70" s="24" t="str">
        <x:v>SW-C-117머4942-2-20250312-6</x:v>
      </x:c>
      <x:c r="D70" s="24" t="str">
        <x:v>117머4942</x:v>
      </x:c>
      <x:c r="E70" s="24" t="str">
        <x:v>김지원</x:v>
      </x:c>
      <x:c r="F70" s="24" t="str">
        <x:v>2025-04</x:v>
      </x:c>
      <x:c r="G70" s="30" t="n">
        <x:v>45772</x:v>
      </x:c>
      <x:c r="H70" s="32" t="n">
        <x:v>1090000</x:v>
      </x:c>
      <x:c r="I70" s="32" t="n">
        <x:v>1090000</x:v>
      </x:c>
      <x:c r="J70" s="32" t="n">
        <x:v>0</x:v>
      </x:c>
      <x:c r="K70" s="30" t="n">
        <x:v>45765</x:v>
      </x:c>
      <x:c r="L70" s="24" t="str">
        <x:v>입금</x:v>
      </x:c>
      <x:c r="M70" s="31" t="n">
        <x:f>IF(AND(N70="미수",G70&lt;&gt;"",TODAY()&gt;G70),TODAY()-G70,0)</x:f>
        <x:v>0</x:v>
      </x:c>
      <x:c r="N70" s="24" t="str">
        <x:f>IF(J70&gt;0,"미수",IF(AND(H70&gt;0,I70&gt;=H70),"완납","미확인"))</x:f>
        <x:v>완납</x:v>
      </x:c>
      <x:c r="O70" s="31" t="n">
        <x:v>6</x:v>
      </x:c>
    </x:row>
    <x:row r="71" ht="17.25" customHeight="1">
      <x:c r="A71" s="24" t="str">
        <x:v>SW-B-117머4942-202503</x:v>
      </x:c>
      <x:c r="B71" s="24" t="str">
        <x:v>스위치플랜</x:v>
      </x:c>
      <x:c r="C71" s="24" t="str">
        <x:v>SW-C-117머4942-2-20250312-6</x:v>
      </x:c>
      <x:c r="D71" s="24" t="str">
        <x:v>117머4942</x:v>
      </x:c>
      <x:c r="E71" s="24" t="str">
        <x:v>김지원</x:v>
      </x:c>
      <x:c r="F71" s="24" t="str">
        <x:v>2025-03</x:v>
      </x:c>
      <x:c r="G71" s="30" t="n">
        <x:v>45741</x:v>
      </x:c>
      <x:c r="H71" s="32" t="n">
        <x:v>1090000</x:v>
      </x:c>
      <x:c r="I71" s="32" t="n">
        <x:v>1090000</x:v>
      </x:c>
      <x:c r="J71" s="32" t="n">
        <x:v>0</x:v>
      </x:c>
      <x:c r="K71" s="30" t="n">
        <x:v>45727</x:v>
      </x:c>
      <x:c r="L71" s="24" t="str">
        <x:v>입금</x:v>
      </x:c>
      <x:c r="M71" s="31" t="n">
        <x:f>IF(AND(N71="미수",G71&lt;&gt;"",TODAY()&gt;G71),TODAY()-G71,0)</x:f>
        <x:v>0</x:v>
      </x:c>
      <x:c r="N71" s="24" t="str">
        <x:f>IF(J71&gt;0,"미수",IF(AND(H71&gt;0,I71&gt;=H71),"완납","미확인"))</x:f>
        <x:v>완납</x:v>
      </x:c>
      <x:c r="O71" s="31" t="n">
        <x:v>6</x:v>
      </x:c>
    </x:row>
    <x:row r="72" ht="17.25" customHeight="1">
      <x:c r="A72" s="24" t="str">
        <x:v>SW-B-19마6497-202608</x:v>
      </x:c>
      <x:c r="B72" s="24" t="str">
        <x:v>스위치플랜</x:v>
      </x:c>
      <x:c r="C72" s="24" t="str">
        <x:v>SW-C-19마6497-1-20241211-7</x:v>
      </x:c>
      <x:c r="D72" s="24" t="str">
        <x:v>19마6497</x:v>
      </x:c>
      <x:c r="E72" s="24" t="str">
        <x:v>강권식</x:v>
      </x:c>
      <x:c r="F72" s="24" t="str">
        <x:v>2026-08</x:v>
      </x:c>
      <x:c r="G72" s="30" t="n">
        <x:v>46244</x:v>
      </x:c>
      <x:c r="H72" s="32" t="n">
        <x:v>1080000</x:v>
      </x:c>
      <x:c r="I72" s="32" t="n">
        <x:v>1080000</x:v>
      </x:c>
      <x:c r="J72" s="32" t="n">
        <x:v>0</x:v>
      </x:c>
      <x:c r="K72" s="30" t="n">
        <x:v>46244</x:v>
      </x:c>
      <x:c r="L72" s="24" t="str">
        <x:v>자동</x:v>
      </x:c>
      <x:c r="M72" s="31" t="n">
        <x:f>IF(AND(N72="미수",G72&lt;&gt;"",TODAY()&gt;G72),TODAY()-G72,0)</x:f>
        <x:v>0</x:v>
      </x:c>
      <x:c r="N72" s="24" t="str">
        <x:f>IF(J72&gt;0,"미수",IF(AND(H72&gt;0,I72&gt;=H72),"완납","미확인"))</x:f>
        <x:v>완납</x:v>
      </x:c>
      <x:c r="O72" s="31" t="n">
        <x:v>7</x:v>
      </x:c>
    </x:row>
    <x:row r="73" ht="17.25" customHeight="1">
      <x:c r="A73" s="24" t="str">
        <x:v>SW-B-19마6497-202607</x:v>
      </x:c>
      <x:c r="B73" s="24" t="str">
        <x:v>스위치플랜</x:v>
      </x:c>
      <x:c r="C73" s="24" t="str">
        <x:v>SW-C-19마6497-1-20241211-7</x:v>
      </x:c>
      <x:c r="D73" s="24" t="str">
        <x:v>19마6497</x:v>
      </x:c>
      <x:c r="E73" s="24" t="str">
        <x:v>강권식</x:v>
      </x:c>
      <x:c r="F73" s="24" t="str">
        <x:v>2026-07</x:v>
      </x:c>
      <x:c r="G73" s="30" t="n">
        <x:v>46213</x:v>
      </x:c>
      <x:c r="H73" s="32" t="n">
        <x:v>1080000</x:v>
      </x:c>
      <x:c r="I73" s="32" t="n">
        <x:v>1080000</x:v>
      </x:c>
      <x:c r="J73" s="32" t="n">
        <x:v>0</x:v>
      </x:c>
      <x:c r="K73" s="30" t="n">
        <x:v>46213</x:v>
      </x:c>
      <x:c r="L73" s="24" t="str">
        <x:v>자동</x:v>
      </x:c>
      <x:c r="M73" s="31" t="n">
        <x:f>IF(AND(N73="미수",G73&lt;&gt;"",TODAY()&gt;G73),TODAY()-G73,0)</x:f>
        <x:v>0</x:v>
      </x:c>
      <x:c r="N73" s="24" t="str">
        <x:f>IF(J73&gt;0,"미수",IF(AND(H73&gt;0,I73&gt;=H73),"완납","미확인"))</x:f>
        <x:v>완납</x:v>
      </x:c>
      <x:c r="O73" s="31" t="n">
        <x:v>7</x:v>
      </x:c>
    </x:row>
    <x:row r="74" ht="17.25" customHeight="1">
      <x:c r="A74" s="24" t="str">
        <x:v>SW-B-19마6497-202606</x:v>
      </x:c>
      <x:c r="B74" s="24" t="str">
        <x:v>스위치플랜</x:v>
      </x:c>
      <x:c r="C74" s="24" t="str">
        <x:v>SW-C-19마6497-1-20241211-7</x:v>
      </x:c>
      <x:c r="D74" s="24" t="str">
        <x:v>19마6497</x:v>
      </x:c>
      <x:c r="E74" s="24" t="str">
        <x:v>강권식</x:v>
      </x:c>
      <x:c r="F74" s="24" t="str">
        <x:v>2026-06</x:v>
      </x:c>
      <x:c r="G74" s="30" t="n">
        <x:v>46183</x:v>
      </x:c>
      <x:c r="H74" s="32" t="n">
        <x:v>1080000</x:v>
      </x:c>
      <x:c r="I74" s="32" t="n">
        <x:v>1080000</x:v>
      </x:c>
      <x:c r="J74" s="32" t="n">
        <x:v>0</x:v>
      </x:c>
      <x:c r="K74" s="30" t="n">
        <x:v>46183</x:v>
      </x:c>
      <x:c r="L74" s="24" t="str">
        <x:v>자동</x:v>
      </x:c>
      <x:c r="M74" s="31" t="n">
        <x:f>IF(AND(N74="미수",G74&lt;&gt;"",TODAY()&gt;G74),TODAY()-G74,0)</x:f>
        <x:v>0</x:v>
      </x:c>
      <x:c r="N74" s="24" t="str">
        <x:f>IF(J74&gt;0,"미수",IF(AND(H74&gt;0,I74&gt;=H74),"완납","미확인"))</x:f>
        <x:v>완납</x:v>
      </x:c>
      <x:c r="O74" s="31" t="n">
        <x:v>7</x:v>
      </x:c>
    </x:row>
    <x:row r="75" ht="17.25" customHeight="1">
      <x:c r="A75" s="24" t="str">
        <x:v>SW-B-19마6497-202605</x:v>
      </x:c>
      <x:c r="B75" s="24" t="str">
        <x:v>스위치플랜</x:v>
      </x:c>
      <x:c r="C75" s="24" t="str">
        <x:v>SW-C-19마6497-1-20241211-7</x:v>
      </x:c>
      <x:c r="D75" s="24" t="str">
        <x:v>19마6497</x:v>
      </x:c>
      <x:c r="E75" s="24" t="str">
        <x:v>강권식</x:v>
      </x:c>
      <x:c r="F75" s="24" t="str">
        <x:v>2026-05</x:v>
      </x:c>
      <x:c r="G75" s="30" t="n">
        <x:v>46152</x:v>
      </x:c>
      <x:c r="H75" s="32" t="n">
        <x:v>1080000</x:v>
      </x:c>
      <x:c r="I75" s="32" t="n">
        <x:v>1080000</x:v>
      </x:c>
      <x:c r="J75" s="32" t="n">
        <x:v>0</x:v>
      </x:c>
      <x:c r="K75" s="30" t="n">
        <x:v>46154</x:v>
      </x:c>
      <x:c r="L75" s="24" t="str">
        <x:v>입금</x:v>
      </x:c>
      <x:c r="M75" s="31" t="n">
        <x:f>IF(AND(N75="미수",G75&lt;&gt;"",TODAY()&gt;G75),TODAY()-G75,0)</x:f>
        <x:v>0</x:v>
      </x:c>
      <x:c r="N75" s="24" t="str">
        <x:f>IF(J75&gt;0,"미수",IF(AND(H75&gt;0,I75&gt;=H75),"완납","미확인"))</x:f>
        <x:v>완납</x:v>
      </x:c>
      <x:c r="O75" s="31" t="n">
        <x:v>7</x:v>
      </x:c>
    </x:row>
    <x:row r="76" ht="17.25" customHeight="1">
      <x:c r="A76" s="24" t="str">
        <x:v>SW-B-19마6497-202604</x:v>
      </x:c>
      <x:c r="B76" s="24" t="str">
        <x:v>스위치플랜</x:v>
      </x:c>
      <x:c r="C76" s="24" t="str">
        <x:v>SW-C-19마6497-1-20241211-7</x:v>
      </x:c>
      <x:c r="D76" s="24" t="str">
        <x:v>19마6497</x:v>
      </x:c>
      <x:c r="E76" s="24" t="str">
        <x:v>강권식</x:v>
      </x:c>
      <x:c r="F76" s="24" t="str">
        <x:v>2026-04</x:v>
      </x:c>
      <x:c r="G76" s="30" t="n">
        <x:v>46122</x:v>
      </x:c>
      <x:c r="H76" s="32" t="n">
        <x:v>1080000</x:v>
      </x:c>
      <x:c r="I76" s="32" t="n">
        <x:v>1080000</x:v>
      </x:c>
      <x:c r="J76" s="32" t="n">
        <x:v>0</x:v>
      </x:c>
      <x:c r="K76" s="30" t="n">
        <x:v>46122</x:v>
      </x:c>
      <x:c r="L76" s="24" t="str">
        <x:v>자동</x:v>
      </x:c>
      <x:c r="M76" s="31" t="n">
        <x:f>IF(AND(N76="미수",G76&lt;&gt;"",TODAY()&gt;G76),TODAY()-G76,0)</x:f>
        <x:v>0</x:v>
      </x:c>
      <x:c r="N76" s="24" t="str">
        <x:f>IF(J76&gt;0,"미수",IF(AND(H76&gt;0,I76&gt;=H76),"완납","미확인"))</x:f>
        <x:v>완납</x:v>
      </x:c>
      <x:c r="O76" s="31" t="n">
        <x:v>7</x:v>
      </x:c>
    </x:row>
    <x:row r="77" ht="17.25" customHeight="1">
      <x:c r="A77" s="24" t="str">
        <x:v>SW-B-19마6497-202603</x:v>
      </x:c>
      <x:c r="B77" s="24" t="str">
        <x:v>스위치플랜</x:v>
      </x:c>
      <x:c r="C77" s="24" t="str">
        <x:v>SW-C-19마6497-1-20241211-7</x:v>
      </x:c>
      <x:c r="D77" s="24" t="str">
        <x:v>19마6497</x:v>
      </x:c>
      <x:c r="E77" s="24" t="str">
        <x:v>강권식</x:v>
      </x:c>
      <x:c r="F77" s="24" t="str">
        <x:v>2026-03</x:v>
      </x:c>
      <x:c r="G77" s="30" t="n">
        <x:v>46091</x:v>
      </x:c>
      <x:c r="H77" s="32" t="n">
        <x:v>1080000</x:v>
      </x:c>
      <x:c r="I77" s="32" t="n">
        <x:v>1080000</x:v>
      </x:c>
      <x:c r="J77" s="32" t="n">
        <x:v>0</x:v>
      </x:c>
      <x:c r="K77" s="30" t="n">
        <x:v>46091</x:v>
      </x:c>
      <x:c r="L77" s="24" t="str">
        <x:v>자동</x:v>
      </x:c>
      <x:c r="M77" s="31" t="n">
        <x:f>IF(AND(N77="미수",G77&lt;&gt;"",TODAY()&gt;G77),TODAY()-G77,0)</x:f>
        <x:v>0</x:v>
      </x:c>
      <x:c r="N77" s="24" t="str">
        <x:f>IF(J77&gt;0,"미수",IF(AND(H77&gt;0,I77&gt;=H77),"완납","미확인"))</x:f>
        <x:v>완납</x:v>
      </x:c>
      <x:c r="O77" s="31" t="n">
        <x:v>7</x:v>
      </x:c>
    </x:row>
    <x:row r="78" ht="17.25" customHeight="1">
      <x:c r="A78" s="24" t="str">
        <x:v>SW-B-19마6497-202602</x:v>
      </x:c>
      <x:c r="B78" s="24" t="str">
        <x:v>스위치플랜</x:v>
      </x:c>
      <x:c r="C78" s="24" t="str">
        <x:v>SW-C-19마6497-1-20241211-7</x:v>
      </x:c>
      <x:c r="D78" s="24" t="str">
        <x:v>19마6497</x:v>
      </x:c>
      <x:c r="E78" s="24" t="str">
        <x:v>강권식</x:v>
      </x:c>
      <x:c r="F78" s="24" t="str">
        <x:v>2026-02</x:v>
      </x:c>
      <x:c r="G78" s="30" t="n">
        <x:v>46063</x:v>
      </x:c>
      <x:c r="H78" s="32" t="n">
        <x:v>1080000</x:v>
      </x:c>
      <x:c r="I78" s="32" t="n">
        <x:v>1080000</x:v>
      </x:c>
      <x:c r="J78" s="32" t="n">
        <x:v>0</x:v>
      </x:c>
      <x:c r="K78" s="30" t="n">
        <x:v>46064</x:v>
      </x:c>
      <x:c r="L78" s="24" t="str">
        <x:v>입금</x:v>
      </x:c>
      <x:c r="M78" s="31" t="n">
        <x:f>IF(AND(N78="미수",G78&lt;&gt;"",TODAY()&gt;G78),TODAY()-G78,0)</x:f>
        <x:v>0</x:v>
      </x:c>
      <x:c r="N78" s="24" t="str">
        <x:f>IF(J78&gt;0,"미수",IF(AND(H78&gt;0,I78&gt;=H78),"완납","미확인"))</x:f>
        <x:v>완납</x:v>
      </x:c>
      <x:c r="O78" s="31" t="n">
        <x:v>7</x:v>
      </x:c>
    </x:row>
    <x:row r="79" ht="17.25" customHeight="1">
      <x:c r="A79" s="24" t="str">
        <x:v>SW-B-19마6497-202601</x:v>
      </x:c>
      <x:c r="B79" s="24" t="str">
        <x:v>스위치플랜</x:v>
      </x:c>
      <x:c r="C79" s="24" t="str">
        <x:v>SW-C-19마6497-1-20241211-7</x:v>
      </x:c>
      <x:c r="D79" s="24" t="str">
        <x:v>19마6497</x:v>
      </x:c>
      <x:c r="E79" s="24" t="str">
        <x:v>강권식</x:v>
      </x:c>
      <x:c r="F79" s="24" t="str">
        <x:v>2026-01</x:v>
      </x:c>
      <x:c r="G79" s="30" t="n">
        <x:v>46032</x:v>
      </x:c>
      <x:c r="H79" s="32" t="n">
        <x:v>1080000</x:v>
      </x:c>
      <x:c r="I79" s="32" t="n">
        <x:v>1080000</x:v>
      </x:c>
      <x:c r="J79" s="32" t="n">
        <x:v>0</x:v>
      </x:c>
      <x:c r="K79" s="30" t="n">
        <x:v>46034</x:v>
      </x:c>
      <x:c r="L79" s="24" t="str">
        <x:v>자동</x:v>
      </x:c>
      <x:c r="M79" s="31" t="n">
        <x:f>IF(AND(N79="미수",G79&lt;&gt;"",TODAY()&gt;G79),TODAY()-G79,0)</x:f>
        <x:v>0</x:v>
      </x:c>
      <x:c r="N79" s="24" t="str">
        <x:f>IF(J79&gt;0,"미수",IF(AND(H79&gt;0,I79&gt;=H79),"완납","미확인"))</x:f>
        <x:v>완납</x:v>
      </x:c>
      <x:c r="O79" s="31" t="n">
        <x:v>7</x:v>
      </x:c>
    </x:row>
    <x:row r="80" ht="17.25" customHeight="1">
      <x:c r="A80" s="24" t="str">
        <x:v>SW-B-19마6497-202512</x:v>
      </x:c>
      <x:c r="B80" s="24" t="str">
        <x:v>스위치플랜</x:v>
      </x:c>
      <x:c r="C80" s="24" t="str">
        <x:v>SW-C-19마6497-1-20241211-7</x:v>
      </x:c>
      <x:c r="D80" s="24" t="str">
        <x:v>19마6497</x:v>
      </x:c>
      <x:c r="E80" s="24" t="str">
        <x:v>강권식</x:v>
      </x:c>
      <x:c r="F80" s="24" t="str">
        <x:v>2025-12</x:v>
      </x:c>
      <x:c r="G80" s="30" t="n">
        <x:v>46001</x:v>
      </x:c>
      <x:c r="H80" s="32" t="n">
        <x:v>1080000</x:v>
      </x:c>
      <x:c r="I80" s="32" t="n">
        <x:v>1080000</x:v>
      </x:c>
      <x:c r="J80" s="32" t="n">
        <x:v>0</x:v>
      </x:c>
      <x:c r="K80" s="30" t="n">
        <x:v>46002</x:v>
      </x:c>
      <x:c r="L80" s="24" t="str">
        <x:v>입금</x:v>
      </x:c>
      <x:c r="M80" s="31" t="n">
        <x:f>IF(AND(N80="미수",G80&lt;&gt;"",TODAY()&gt;G80),TODAY()-G80,0)</x:f>
        <x:v>0</x:v>
      </x:c>
      <x:c r="N80" s="24" t="str">
        <x:f>IF(J80&gt;0,"미수",IF(AND(H80&gt;0,I80&gt;=H80),"완납","미확인"))</x:f>
        <x:v>완납</x:v>
      </x:c>
      <x:c r="O80" s="31" t="n">
        <x:v>7</x:v>
      </x:c>
    </x:row>
    <x:row r="81" ht="17.25" customHeight="1">
      <x:c r="A81" s="24" t="str">
        <x:v>SW-B-19마6497-202511</x:v>
      </x:c>
      <x:c r="B81" s="24" t="str">
        <x:v>스위치플랜</x:v>
      </x:c>
      <x:c r="C81" s="24" t="str">
        <x:v>SW-C-19마6497-1-20241211-7</x:v>
      </x:c>
      <x:c r="D81" s="24" t="str">
        <x:v>19마6497</x:v>
      </x:c>
      <x:c r="E81" s="24" t="str">
        <x:v>강권식</x:v>
      </x:c>
      <x:c r="F81" s="24" t="str">
        <x:v>2025-11</x:v>
      </x:c>
      <x:c r="G81" s="30" t="n">
        <x:v>45971</x:v>
      </x:c>
      <x:c r="H81" s="32" t="n">
        <x:v>1080000</x:v>
      </x:c>
      <x:c r="I81" s="32" t="n">
        <x:v>1080000</x:v>
      </x:c>
      <x:c r="J81" s="32" t="n">
        <x:v>0</x:v>
      </x:c>
      <x:c r="K81" s="30" t="n">
        <x:v>45971</x:v>
      </x:c>
      <x:c r="L81" s="24" t="str">
        <x:v>자동</x:v>
      </x:c>
      <x:c r="M81" s="31" t="n">
        <x:f>IF(AND(N81="미수",G81&lt;&gt;"",TODAY()&gt;G81),TODAY()-G81,0)</x:f>
        <x:v>0</x:v>
      </x:c>
      <x:c r="N81" s="24" t="str">
        <x:f>IF(J81&gt;0,"미수",IF(AND(H81&gt;0,I81&gt;=H81),"완납","미확인"))</x:f>
        <x:v>완납</x:v>
      </x:c>
      <x:c r="O81" s="31" t="n">
        <x:v>7</x:v>
      </x:c>
    </x:row>
    <x:row r="82" ht="17.25" customHeight="1">
      <x:c r="A82" s="24" t="str">
        <x:v>SW-B-19마6497-202510</x:v>
      </x:c>
      <x:c r="B82" s="24" t="str">
        <x:v>스위치플랜</x:v>
      </x:c>
      <x:c r="C82" s="24" t="str">
        <x:v>SW-C-19마6497-1-20241211-7</x:v>
      </x:c>
      <x:c r="D82" s="24" t="str">
        <x:v>19마6497</x:v>
      </x:c>
      <x:c r="E82" s="24" t="str">
        <x:v>강권식</x:v>
      </x:c>
      <x:c r="F82" s="24" t="str">
        <x:v>2025-10</x:v>
      </x:c>
      <x:c r="G82" s="30" t="n">
        <x:v>45940</x:v>
      </x:c>
      <x:c r="H82" s="32" t="n">
        <x:v>1080000</x:v>
      </x:c>
      <x:c r="I82" s="32" t="n">
        <x:v>1080000</x:v>
      </x:c>
      <x:c r="J82" s="32" t="n">
        <x:v>0</x:v>
      </x:c>
      <x:c r="K82" s="30" t="n">
        <x:v>45943</x:v>
      </x:c>
      <x:c r="L82" s="24" t="str">
        <x:v>입금</x:v>
      </x:c>
      <x:c r="M82" s="31" t="n">
        <x:f>IF(AND(N82="미수",G82&lt;&gt;"",TODAY()&gt;G82),TODAY()-G82,0)</x:f>
        <x:v>0</x:v>
      </x:c>
      <x:c r="N82" s="24" t="str">
        <x:f>IF(J82&gt;0,"미수",IF(AND(H82&gt;0,I82&gt;=H82),"완납","미확인"))</x:f>
        <x:v>완납</x:v>
      </x:c>
      <x:c r="O82" s="31" t="n">
        <x:v>7</x:v>
      </x:c>
    </x:row>
    <x:row r="83" ht="17.25" customHeight="1">
      <x:c r="A83" s="24" t="str">
        <x:v>SW-B-19마6497-202509</x:v>
      </x:c>
      <x:c r="B83" s="24" t="str">
        <x:v>스위치플랜</x:v>
      </x:c>
      <x:c r="C83" s="24" t="str">
        <x:v>SW-C-19마6497-1-20241211-7</x:v>
      </x:c>
      <x:c r="D83" s="24" t="str">
        <x:v>19마6497</x:v>
      </x:c>
      <x:c r="E83" s="24" t="str">
        <x:v>강권식</x:v>
      </x:c>
      <x:c r="F83" s="24" t="str">
        <x:v>2025-09</x:v>
      </x:c>
      <x:c r="G83" s="30" t="n">
        <x:v>45910</x:v>
      </x:c>
      <x:c r="H83" s="32" t="n">
        <x:v>1080000</x:v>
      </x:c>
      <x:c r="I83" s="32" t="n">
        <x:v>1080000</x:v>
      </x:c>
      <x:c r="J83" s="32" t="n">
        <x:v>0</x:v>
      </x:c>
      <x:c r="K83" s="30" t="n">
        <x:v>45910</x:v>
      </x:c>
      <x:c r="L83" s="24" t="str">
        <x:v>자동</x:v>
      </x:c>
      <x:c r="M83" s="31" t="n">
        <x:f>IF(AND(N83="미수",G83&lt;&gt;"",TODAY()&gt;G83),TODAY()-G83,0)</x:f>
        <x:v>0</x:v>
      </x:c>
      <x:c r="N83" s="24" t="str">
        <x:f>IF(J83&gt;0,"미수",IF(AND(H83&gt;0,I83&gt;=H83),"완납","미확인"))</x:f>
        <x:v>완납</x:v>
      </x:c>
      <x:c r="O83" s="31" t="n">
        <x:v>7</x:v>
      </x:c>
    </x:row>
    <x:row r="84" ht="17.25" customHeight="1">
      <x:c r="A84" s="24" t="str">
        <x:v>SW-B-19마6497-202508</x:v>
      </x:c>
      <x:c r="B84" s="24" t="str">
        <x:v>스위치플랜</x:v>
      </x:c>
      <x:c r="C84" s="24" t="str">
        <x:v>SW-C-19마6497-1-20241211-7</x:v>
      </x:c>
      <x:c r="D84" s="24" t="str">
        <x:v>19마6497</x:v>
      </x:c>
      <x:c r="E84" s="24" t="str">
        <x:v>강권식</x:v>
      </x:c>
      <x:c r="F84" s="24" t="str">
        <x:v>2025-08</x:v>
      </x:c>
      <x:c r="G84" s="30" t="n">
        <x:v>45879</x:v>
      </x:c>
      <x:c r="H84" s="32" t="n">
        <x:v>1080000</x:v>
      </x:c>
      <x:c r="I84" s="32" t="n">
        <x:v>1080000</x:v>
      </x:c>
      <x:c r="J84" s="32" t="n">
        <x:v>0</x:v>
      </x:c>
      <x:c r="K84" s="30" t="n">
        <x:v>45880</x:v>
      </x:c>
      <x:c r="L84" s="24" t="str">
        <x:v>자동</x:v>
      </x:c>
      <x:c r="M84" s="31" t="n">
        <x:f>IF(AND(N84="미수",G84&lt;&gt;"",TODAY()&gt;G84),TODAY()-G84,0)</x:f>
        <x:v>0</x:v>
      </x:c>
      <x:c r="N84" s="24" t="str">
        <x:f>IF(J84&gt;0,"미수",IF(AND(H84&gt;0,I84&gt;=H84),"완납","미확인"))</x:f>
        <x:v>완납</x:v>
      </x:c>
      <x:c r="O84" s="31" t="n">
        <x:v>7</x:v>
      </x:c>
    </x:row>
    <x:row r="85" ht="17.25" customHeight="1">
      <x:c r="A85" s="24" t="str">
        <x:v>SW-B-19마6497-202507</x:v>
      </x:c>
      <x:c r="B85" s="24" t="str">
        <x:v>스위치플랜</x:v>
      </x:c>
      <x:c r="C85" s="24" t="str">
        <x:v>SW-C-19마6497-1-20241211-7</x:v>
      </x:c>
      <x:c r="D85" s="24" t="str">
        <x:v>19마6497</x:v>
      </x:c>
      <x:c r="E85" s="24" t="str">
        <x:v>강권식</x:v>
      </x:c>
      <x:c r="F85" s="24" t="str">
        <x:v>2025-07</x:v>
      </x:c>
      <x:c r="G85" s="30" t="n">
        <x:v>45848</x:v>
      </x:c>
      <x:c r="H85" s="32" t="n">
        <x:v>1080000</x:v>
      </x:c>
      <x:c r="I85" s="32" t="n">
        <x:v>1080000</x:v>
      </x:c>
      <x:c r="J85" s="32" t="n">
        <x:v>0</x:v>
      </x:c>
      <x:c r="K85" s="30" t="n">
        <x:v>45848</x:v>
      </x:c>
      <x:c r="L85" s="24" t="str">
        <x:v>자동</x:v>
      </x:c>
      <x:c r="M85" s="31" t="n">
        <x:f>IF(AND(N85="미수",G85&lt;&gt;"",TODAY()&gt;G85),TODAY()-G85,0)</x:f>
        <x:v>0</x:v>
      </x:c>
      <x:c r="N85" s="24" t="str">
        <x:f>IF(J85&gt;0,"미수",IF(AND(H85&gt;0,I85&gt;=H85),"완납","미확인"))</x:f>
        <x:v>완납</x:v>
      </x:c>
      <x:c r="O85" s="31" t="n">
        <x:v>7</x:v>
      </x:c>
    </x:row>
    <x:row r="86" ht="17.25" customHeight="1">
      <x:c r="A86" s="24" t="str">
        <x:v>SW-B-19마6497-202506</x:v>
      </x:c>
      <x:c r="B86" s="24" t="str">
        <x:v>스위치플랜</x:v>
      </x:c>
      <x:c r="C86" s="24" t="str">
        <x:v>SW-C-19마6497-1-20241211-7</x:v>
      </x:c>
      <x:c r="D86" s="24" t="str">
        <x:v>19마6497</x:v>
      </x:c>
      <x:c r="E86" s="24" t="str">
        <x:v>강권식</x:v>
      </x:c>
      <x:c r="F86" s="24" t="str">
        <x:v>2025-06</x:v>
      </x:c>
      <x:c r="G86" s="30" t="n">
        <x:v>45818</x:v>
      </x:c>
      <x:c r="H86" s="32" t="n">
        <x:v>1080000</x:v>
      </x:c>
      <x:c r="I86" s="32" t="n">
        <x:v>1080000</x:v>
      </x:c>
      <x:c r="J86" s="32" t="n">
        <x:v>0</x:v>
      </x:c>
      <x:c r="K86" s="30" t="n">
        <x:v>45818</x:v>
      </x:c>
      <x:c r="L86" s="24" t="str">
        <x:v>자동</x:v>
      </x:c>
      <x:c r="M86" s="31" t="n">
        <x:f>IF(AND(N86="미수",G86&lt;&gt;"",TODAY()&gt;G86),TODAY()-G86,0)</x:f>
        <x:v>0</x:v>
      </x:c>
      <x:c r="N86" s="24" t="str">
        <x:f>IF(J86&gt;0,"미수",IF(AND(H86&gt;0,I86&gt;=H86),"완납","미확인"))</x:f>
        <x:v>완납</x:v>
      </x:c>
      <x:c r="O86" s="31" t="n">
        <x:v>7</x:v>
      </x:c>
    </x:row>
    <x:row r="87" ht="17.25" customHeight="1">
      <x:c r="A87" s="24" t="str">
        <x:v>SW-B-19마6497-202505</x:v>
      </x:c>
      <x:c r="B87" s="24" t="str">
        <x:v>스위치플랜</x:v>
      </x:c>
      <x:c r="C87" s="24" t="str">
        <x:v>SW-C-19마6497-1-20241211-7</x:v>
      </x:c>
      <x:c r="D87" s="24" t="str">
        <x:v>19마6497</x:v>
      </x:c>
      <x:c r="E87" s="24" t="str">
        <x:v>강권식</x:v>
      </x:c>
      <x:c r="F87" s="24" t="str">
        <x:v>2025-05</x:v>
      </x:c>
      <x:c r="G87" s="30" t="n">
        <x:v>45787</x:v>
      </x:c>
      <x:c r="H87" s="32" t="n">
        <x:v>1080000</x:v>
      </x:c>
      <x:c r="I87" s="32" t="n">
        <x:v>1080000</x:v>
      </x:c>
      <x:c r="J87" s="32" t="n">
        <x:v>0</x:v>
      </x:c>
      <x:c r="K87" s="30" t="n">
        <x:v>45789</x:v>
      </x:c>
      <x:c r="L87" s="24" t="str">
        <x:v>자동</x:v>
      </x:c>
      <x:c r="M87" s="31" t="n">
        <x:f>IF(AND(N87="미수",G87&lt;&gt;"",TODAY()&gt;G87),TODAY()-G87,0)</x:f>
        <x:v>0</x:v>
      </x:c>
      <x:c r="N87" s="24" t="str">
        <x:f>IF(J87&gt;0,"미수",IF(AND(H87&gt;0,I87&gt;=H87),"완납","미확인"))</x:f>
        <x:v>완납</x:v>
      </x:c>
      <x:c r="O87" s="31" t="n">
        <x:v>7</x:v>
      </x:c>
    </x:row>
    <x:row r="88" ht="17.25" customHeight="1">
      <x:c r="A88" s="24" t="str">
        <x:v>SW-B-19마6497-202504</x:v>
      </x:c>
      <x:c r="B88" s="24" t="str">
        <x:v>스위치플랜</x:v>
      </x:c>
      <x:c r="C88" s="24" t="str">
        <x:v>SW-C-19마6497-1-20241211-7</x:v>
      </x:c>
      <x:c r="D88" s="24" t="str">
        <x:v>19마6497</x:v>
      </x:c>
      <x:c r="E88" s="24" t="str">
        <x:v>강권식</x:v>
      </x:c>
      <x:c r="F88" s="24" t="str">
        <x:v>2025-04</x:v>
      </x:c>
      <x:c r="G88" s="30" t="n">
        <x:v>45757</x:v>
      </x:c>
      <x:c r="H88" s="32" t="n">
        <x:v>1080000</x:v>
      </x:c>
      <x:c r="I88" s="32" t="n">
        <x:v>1080000</x:v>
      </x:c>
      <x:c r="J88" s="32" t="n">
        <x:v>0</x:v>
      </x:c>
      <x:c r="K88" s="30" t="n">
        <x:v>45757</x:v>
      </x:c>
      <x:c r="L88" s="24" t="str">
        <x:v>자동</x:v>
      </x:c>
      <x:c r="M88" s="31" t="n">
        <x:f>IF(AND(N88="미수",G88&lt;&gt;"",TODAY()&gt;G88),TODAY()-G88,0)</x:f>
        <x:v>0</x:v>
      </x:c>
      <x:c r="N88" s="24" t="str">
        <x:f>IF(J88&gt;0,"미수",IF(AND(H88&gt;0,I88&gt;=H88),"완납","미확인"))</x:f>
        <x:v>완납</x:v>
      </x:c>
      <x:c r="O88" s="31" t="n">
        <x:v>7</x:v>
      </x:c>
    </x:row>
    <x:row r="89" ht="17.25" customHeight="1">
      <x:c r="A89" s="24" t="str">
        <x:v>SW-B-19마6497-202503</x:v>
      </x:c>
      <x:c r="B89" s="24" t="str">
        <x:v>스위치플랜</x:v>
      </x:c>
      <x:c r="C89" s="24" t="str">
        <x:v>SW-C-19마6497-1-20241211-7</x:v>
      </x:c>
      <x:c r="D89" s="24" t="str">
        <x:v>19마6497</x:v>
      </x:c>
      <x:c r="E89" s="24" t="str">
        <x:v>강권식</x:v>
      </x:c>
      <x:c r="F89" s="24" t="str">
        <x:v>2025-03</x:v>
      </x:c>
      <x:c r="G89" s="30" t="n">
        <x:v>45726</x:v>
      </x:c>
      <x:c r="H89" s="32" t="n">
        <x:v>1080000</x:v>
      </x:c>
      <x:c r="I89" s="32" t="n">
        <x:v>1080000</x:v>
      </x:c>
      <x:c r="J89" s="32" t="n">
        <x:v>0</x:v>
      </x:c>
      <x:c r="K89" s="30" t="n">
        <x:v>45726</x:v>
      </x:c>
      <x:c r="L89" s="24" t="str">
        <x:v>자동</x:v>
      </x:c>
      <x:c r="M89" s="31" t="n">
        <x:f>IF(AND(N89="미수",G89&lt;&gt;"",TODAY()&gt;G89),TODAY()-G89,0)</x:f>
        <x:v>0</x:v>
      </x:c>
      <x:c r="N89" s="24" t="str">
        <x:f>IF(J89&gt;0,"미수",IF(AND(H89&gt;0,I89&gt;=H89),"완납","미확인"))</x:f>
        <x:v>완납</x:v>
      </x:c>
      <x:c r="O89" s="31" t="n">
        <x:v>7</x:v>
      </x:c>
    </x:row>
    <x:row r="90" ht="17.25" customHeight="1">
      <x:c r="A90" s="24" t="str">
        <x:v>SW-B-19마6497-202502</x:v>
      </x:c>
      <x:c r="B90" s="24" t="str">
        <x:v>스위치플랜</x:v>
      </x:c>
      <x:c r="C90" s="24" t="str">
        <x:v>SW-C-19마6497-1-20241211-7</x:v>
      </x:c>
      <x:c r="D90" s="24" t="str">
        <x:v>19마6497</x:v>
      </x:c>
      <x:c r="E90" s="24" t="str">
        <x:v>강권식</x:v>
      </x:c>
      <x:c r="F90" s="24" t="str">
        <x:v>2025-02</x:v>
      </x:c>
      <x:c r="G90" s="30" t="n">
        <x:v>45698</x:v>
      </x:c>
      <x:c r="H90" s="32" t="n">
        <x:v>1080000</x:v>
      </x:c>
      <x:c r="I90" s="32" t="n">
        <x:v>1080000</x:v>
      </x:c>
      <x:c r="J90" s="32" t="n">
        <x:v>0</x:v>
      </x:c>
      <x:c r="K90" s="30" t="n">
        <x:v>45698</x:v>
      </x:c>
      <x:c r="L90" s="24" t="str">
        <x:v>자동</x:v>
      </x:c>
      <x:c r="M90" s="31" t="n">
        <x:f>IF(AND(N90="미수",G90&lt;&gt;"",TODAY()&gt;G90),TODAY()-G90,0)</x:f>
        <x:v>0</x:v>
      </x:c>
      <x:c r="N90" s="24" t="str">
        <x:f>IF(J90&gt;0,"미수",IF(AND(H90&gt;0,I90&gt;=H90),"완납","미확인"))</x:f>
        <x:v>완납</x:v>
      </x:c>
      <x:c r="O90" s="31" t="n">
        <x:v>7</x:v>
      </x:c>
    </x:row>
    <x:row r="91" ht="17.25" customHeight="1">
      <x:c r="A91" s="24" t="str">
        <x:v>SW-B-19마6497-202501</x:v>
      </x:c>
      <x:c r="B91" s="24" t="str">
        <x:v>스위치플랜</x:v>
      </x:c>
      <x:c r="C91" s="24" t="str">
        <x:v>SW-C-19마6497-1-20241211-7</x:v>
      </x:c>
      <x:c r="D91" s="24" t="str">
        <x:v>19마6497</x:v>
      </x:c>
      <x:c r="E91" s="24" t="str">
        <x:v>강권식</x:v>
      </x:c>
      <x:c r="F91" s="24" t="str">
        <x:v>2025-01</x:v>
      </x:c>
      <x:c r="G91" s="30" t="n">
        <x:v>45667</x:v>
      </x:c>
      <x:c r="H91" s="32" t="n">
        <x:v>1080000</x:v>
      </x:c>
      <x:c r="I91" s="32" t="n">
        <x:v>1080000</x:v>
      </x:c>
      <x:c r="J91" s="32" t="n">
        <x:v>0</x:v>
      </x:c>
      <x:c r="K91" s="30" t="n">
        <x:v>45664</x:v>
      </x:c>
      <x:c r="L91" s="24" t="str">
        <x:v>입금</x:v>
      </x:c>
      <x:c r="M91" s="31" t="n">
        <x:f>IF(AND(N91="미수",G91&lt;&gt;"",TODAY()&gt;G91),TODAY()-G91,0)</x:f>
        <x:v>0</x:v>
      </x:c>
      <x:c r="N91" s="24" t="str">
        <x:f>IF(J91&gt;0,"미수",IF(AND(H91&gt;0,I91&gt;=H91),"완납","미확인"))</x:f>
        <x:v>완납</x:v>
      </x:c>
      <x:c r="O91" s="31" t="n">
        <x:v>7</x:v>
      </x:c>
    </x:row>
    <x:row r="92" ht="17.25" customHeight="1">
      <x:c r="A92" s="24" t="str">
        <x:v>SW-B-19마6497-202412</x:v>
      </x:c>
      <x:c r="B92" s="24" t="str">
        <x:v>스위치플랜</x:v>
      </x:c>
      <x:c r="C92" s="24" t="str">
        <x:v>SW-C-19마6497-1-20241211-7</x:v>
      </x:c>
      <x:c r="D92" s="24" t="str">
        <x:v>19마6497</x:v>
      </x:c>
      <x:c r="E92" s="24" t="str">
        <x:v>강권식</x:v>
      </x:c>
      <x:c r="F92" s="24" t="str">
        <x:v>2024-12</x:v>
      </x:c>
      <x:c r="G92" s="30" t="n">
        <x:v>45636</x:v>
      </x:c>
      <x:c r="H92" s="32" t="n">
        <x:v>1080000</x:v>
      </x:c>
      <x:c r="I92" s="32" t="n">
        <x:v>1080000</x:v>
      </x:c>
      <x:c r="J92" s="32" t="n">
        <x:v>0</x:v>
      </x:c>
      <x:c r="K92" s="30" t="n">
        <x:v>45631</x:v>
      </x:c>
      <x:c r="L92" s="24" t="str">
        <x:v>입금</x:v>
      </x:c>
      <x:c r="M92" s="31" t="n">
        <x:f>IF(AND(N92="미수",G92&lt;&gt;"",TODAY()&gt;G92),TODAY()-G92,0)</x:f>
        <x:v>0</x:v>
      </x:c>
      <x:c r="N92" s="24" t="str">
        <x:f>IF(J92&gt;0,"미수",IF(AND(H92&gt;0,I92&gt;=H92),"완납","미확인"))</x:f>
        <x:v>완납</x:v>
      </x:c>
      <x:c r="O92" s="31" t="n">
        <x:v>7</x:v>
      </x:c>
    </x:row>
    <x:row r="93" ht="17.25" customHeight="1">
      <x:c r="A93" s="24" t="str">
        <x:v>SW-B-62조4444-202608</x:v>
      </x:c>
      <x:c r="B93" s="24" t="str">
        <x:v>스위치플랜</x:v>
      </x:c>
      <x:c r="C93" s="24" t="str">
        <x:v>SW-C-62조4444-2-NA-8</x:v>
      </x:c>
      <x:c r="D93" s="24" t="str">
        <x:v>62조4444</x:v>
      </x:c>
      <x:c r="E93" s="24" t="str">
        <x:v>이경석4444</x:v>
      </x:c>
      <x:c r="F93" s="24" t="str">
        <x:v>2026-08</x:v>
      </x:c>
      <x:c r="G93" s="30" t="n">
        <x:v>46259</x:v>
      </x:c>
      <x:c r="H93" s="32" t="n">
        <x:v>1300000</x:v>
      </x:c>
      <x:c r="I93" s="32"/>
      <x:c r="J93" s="32" t="n">
        <x:v>5000000</x:v>
      </x:c>
      <x:c r="K93" s="30"/>
      <x:c r="L93" s="24" t="str"/>
      <x:c r="M93" s="31" t="n">
        <x:f>IF(AND(N93="미수",G93&lt;&gt;"",TODAY()&gt;G93),TODAY()-G93,0)</x:f>
        <x:v>0</x:v>
      </x:c>
      <x:c r="N93" s="24" t="str">
        <x:f>IF(J93&gt;0,"미수",IF(AND(H93&gt;0,I93&gt;=H93),"완납","미확인"))</x:f>
        <x:v>미수</x:v>
      </x:c>
      <x:c r="O93" s="31" t="n">
        <x:v>8</x:v>
      </x:c>
    </x:row>
    <x:row r="94" ht="17.25" customHeight="1">
      <x:c r="A94" s="24" t="str">
        <x:v>SW-B-62조4444-202607</x:v>
      </x:c>
      <x:c r="B94" s="24" t="str">
        <x:v>스위치플랜</x:v>
      </x:c>
      <x:c r="C94" s="24" t="str">
        <x:v>SW-C-62조4444-2-NA-8</x:v>
      </x:c>
      <x:c r="D94" s="24" t="str">
        <x:v>62조4444</x:v>
      </x:c>
      <x:c r="E94" s="24" t="str">
        <x:v>이경석4444</x:v>
      </x:c>
      <x:c r="F94" s="24" t="str">
        <x:v>2026-07</x:v>
      </x:c>
      <x:c r="G94" s="30" t="n">
        <x:v>46228</x:v>
      </x:c>
      <x:c r="H94" s="32" t="n">
        <x:v>1300000</x:v>
      </x:c>
      <x:c r="I94" s="32"/>
      <x:c r="J94" s="32" t="n">
        <x:v>3700000</x:v>
      </x:c>
      <x:c r="K94" s="30"/>
      <x:c r="L94" s="24" t="str"/>
      <x:c r="M94" s="31" t="n">
        <x:f>IF(AND(N94="미수",G94&lt;&gt;"",TODAY()&gt;G94),TODAY()-G94,0)</x:f>
        <x:v>21</x:v>
      </x:c>
      <x:c r="N94" s="24" t="str">
        <x:f>IF(J94&gt;0,"미수",IF(AND(H94&gt;0,I94&gt;=H94),"완납","미확인"))</x:f>
        <x:v>미수</x:v>
      </x:c>
      <x:c r="O94" s="31" t="n">
        <x:v>8</x:v>
      </x:c>
    </x:row>
    <x:row r="95" ht="17.25" customHeight="1">
      <x:c r="A95" s="24" t="str">
        <x:v>SW-B-62조4444-202606</x:v>
      </x:c>
      <x:c r="B95" s="24" t="str">
        <x:v>스위치플랜</x:v>
      </x:c>
      <x:c r="C95" s="24" t="str">
        <x:v>SW-C-62조4444-2-NA-8</x:v>
      </x:c>
      <x:c r="D95" s="24" t="str">
        <x:v>62조4444</x:v>
      </x:c>
      <x:c r="E95" s="24" t="str">
        <x:v>이경석4444</x:v>
      </x:c>
      <x:c r="F95" s="24" t="str">
        <x:v>2026-06</x:v>
      </x:c>
      <x:c r="G95" s="30" t="n">
        <x:v>46198</x:v>
      </x:c>
      <x:c r="H95" s="32" t="n">
        <x:v>1300000</x:v>
      </x:c>
      <x:c r="I95" s="32"/>
      <x:c r="J95" s="32" t="n">
        <x:v>2400000</x:v>
      </x:c>
      <x:c r="K95" s="30"/>
      <x:c r="L95" s="24" t="str"/>
      <x:c r="M95" s="31" t="n">
        <x:f>IF(AND(N95="미수",G95&lt;&gt;"",TODAY()&gt;G95),TODAY()-G95,0)</x:f>
        <x:v>51</x:v>
      </x:c>
      <x:c r="N95" s="24" t="str">
        <x:f>IF(J95&gt;0,"미수",IF(AND(H95&gt;0,I95&gt;=H95),"완납","미확인"))</x:f>
        <x:v>미수</x:v>
      </x:c>
      <x:c r="O95" s="31" t="n">
        <x:v>8</x:v>
      </x:c>
    </x:row>
    <x:row r="96" ht="17.25" customHeight="1">
      <x:c r="A96" s="24" t="str">
        <x:v>SW-B-62조4444-202605</x:v>
      </x:c>
      <x:c r="B96" s="24" t="str">
        <x:v>스위치플랜</x:v>
      </x:c>
      <x:c r="C96" s="24" t="str">
        <x:v>SW-C-62조4444-2-NA-8</x:v>
      </x:c>
      <x:c r="D96" s="24" t="str">
        <x:v>62조4444</x:v>
      </x:c>
      <x:c r="E96" s="24" t="str">
        <x:v>이경석4444</x:v>
      </x:c>
      <x:c r="F96" s="24" t="str">
        <x:v>2026-05</x:v>
      </x:c>
      <x:c r="G96" s="30" t="n">
        <x:v>46167</x:v>
      </x:c>
      <x:c r="H96" s="32" t="n">
        <x:v>1300000</x:v>
      </x:c>
      <x:c r="I96" s="32" t="n">
        <x:v>1000000</x:v>
      </x:c>
      <x:c r="J96" s="32" t="n">
        <x:v>1100000</x:v>
      </x:c>
      <x:c r="K96" s="30" t="n">
        <x:v>46160</x:v>
      </x:c>
      <x:c r="L96" s="24" t="str">
        <x:v>입금</x:v>
      </x:c>
      <x:c r="M96" s="31" t="n">
        <x:f>IF(AND(N96="미수",G96&lt;&gt;"",TODAY()&gt;G96),TODAY()-G96,0)</x:f>
        <x:v>82</x:v>
      </x:c>
      <x:c r="N96" s="24" t="str">
        <x:f>IF(J96&gt;0,"미수",IF(AND(H96&gt;0,I96&gt;=H96),"완납","미확인"))</x:f>
        <x:v>미수</x:v>
      </x:c>
      <x:c r="O96" s="31" t="n">
        <x:v>8</x:v>
      </x:c>
    </x:row>
    <x:row r="97" ht="17.25" customHeight="1">
      <x:c r="A97" s="24" t="str">
        <x:v>SW-B-62조4444-202604</x:v>
      </x:c>
      <x:c r="B97" s="24" t="str">
        <x:v>스위치플랜</x:v>
      </x:c>
      <x:c r="C97" s="24" t="str">
        <x:v>SW-C-62조4444-2-NA-8</x:v>
      </x:c>
      <x:c r="D97" s="24" t="str">
        <x:v>62조4444</x:v>
      </x:c>
      <x:c r="E97" s="24" t="str">
        <x:v>이경석4444</x:v>
      </x:c>
      <x:c r="F97" s="24" t="str">
        <x:v>2026-04</x:v>
      </x:c>
      <x:c r="G97" s="30" t="n">
        <x:v>46137</x:v>
      </x:c>
      <x:c r="H97" s="32" t="n">
        <x:v>1300000</x:v>
      </x:c>
      <x:c r="I97" s="32" t="n">
        <x:v>500000</x:v>
      </x:c>
      <x:c r="J97" s="32" t="n">
        <x:v>800000</x:v>
      </x:c>
      <x:c r="K97" s="30" t="n">
        <x:v>46142</x:v>
      </x:c>
      <x:c r="L97" s="24" t="str">
        <x:v>입금</x:v>
      </x:c>
      <x:c r="M97" s="31" t="n">
        <x:f>IF(AND(N97="미수",G97&lt;&gt;"",TODAY()&gt;G97),TODAY()-G97,0)</x:f>
        <x:v>112</x:v>
      </x:c>
      <x:c r="N97" s="24" t="str">
        <x:f>IF(J97&gt;0,"미수",IF(AND(H97&gt;0,I97&gt;=H97),"완납","미확인"))</x:f>
        <x:v>미수</x:v>
      </x:c>
      <x:c r="O97" s="31" t="n">
        <x:v>8</x:v>
      </x:c>
    </x:row>
    <x:row r="98" ht="17.25" customHeight="1">
      <x:c r="A98" s="24" t="str">
        <x:v>SW-B-62조4444-202603</x:v>
      </x:c>
      <x:c r="B98" s="24" t="str">
        <x:v>스위치플랜</x:v>
      </x:c>
      <x:c r="C98" s="24" t="str">
        <x:v>SW-C-62조4444-2-NA-8</x:v>
      </x:c>
      <x:c r="D98" s="24" t="str">
        <x:v>62조4444</x:v>
      </x:c>
      <x:c r="E98" s="24" t="str">
        <x:v>이경석4444</x:v>
      </x:c>
      <x:c r="F98" s="24" t="str">
        <x:v>2026-03</x:v>
      </x:c>
      <x:c r="G98" s="30" t="n">
        <x:v>46106</x:v>
      </x:c>
      <x:c r="H98" s="32" t="n">
        <x:v>0</x:v>
      </x:c>
      <x:c r="I98" s="32"/>
      <x:c r="J98" s="32" t="n">
        <x:v>0</x:v>
      </x:c>
      <x:c r="K98" s="30"/>
      <x:c r="L98" s="24" t="str"/>
      <x:c r="M98" s="31" t="n">
        <x:f>IF(AND(N98="미수",G98&lt;&gt;"",TODAY()&gt;G98),TODAY()-G98,0)</x:f>
        <x:v>0</x:v>
      </x:c>
      <x:c r="N98" s="24" t="str">
        <x:f>IF(J98&gt;0,"미수",IF(AND(H98&gt;0,I98&gt;=H98),"완납","미확인"))</x:f>
        <x:v>미확인</x:v>
      </x:c>
      <x:c r="O98" s="31" t="n">
        <x:v>8</x:v>
      </x:c>
    </x:row>
    <x:row r="99" ht="17.25" customHeight="1">
      <x:c r="A99" s="24" t="str">
        <x:v>SW-B-62조4444-202602</x:v>
      </x:c>
      <x:c r="B99" s="24" t="str">
        <x:v>스위치플랜</x:v>
      </x:c>
      <x:c r="C99" s="24" t="str">
        <x:v>SW-C-62조4444-2-NA-8</x:v>
      </x:c>
      <x:c r="D99" s="24" t="str">
        <x:v>62조4444</x:v>
      </x:c>
      <x:c r="E99" s="24" t="str">
        <x:v>이경석4444</x:v>
      </x:c>
      <x:c r="F99" s="24" t="str">
        <x:v>2026-02</x:v>
      </x:c>
      <x:c r="G99" s="30" t="n">
        <x:v>46078</x:v>
      </x:c>
      <x:c r="H99" s="32" t="n">
        <x:v>0</x:v>
      </x:c>
      <x:c r="I99" s="32"/>
      <x:c r="J99" s="32" t="n">
        <x:v>0</x:v>
      </x:c>
      <x:c r="K99" s="30"/>
      <x:c r="L99" s="24" t="str"/>
      <x:c r="M99" s="31" t="n">
        <x:f>IF(AND(N99="미수",G99&lt;&gt;"",TODAY()&gt;G99),TODAY()-G99,0)</x:f>
        <x:v>0</x:v>
      </x:c>
      <x:c r="N99" s="24" t="str">
        <x:f>IF(J99&gt;0,"미수",IF(AND(H99&gt;0,I99&gt;=H99),"완납","미확인"))</x:f>
        <x:v>미확인</x:v>
      </x:c>
      <x:c r="O99" s="31" t="n">
        <x:v>8</x:v>
      </x:c>
    </x:row>
    <x:row r="100" ht="17.25" customHeight="1">
      <x:c r="A100" s="24" t="str">
        <x:v>SW-B-62조4444-202509</x:v>
      </x:c>
      <x:c r="B100" s="24" t="str">
        <x:v>스위치플랜</x:v>
      </x:c>
      <x:c r="C100" s="24" t="str">
        <x:v>SW-C-62조4444-2-NA-8</x:v>
      </x:c>
      <x:c r="D100" s="24" t="str">
        <x:v>62조4444</x:v>
      </x:c>
      <x:c r="E100" s="24" t="str">
        <x:v>이경석4444</x:v>
      </x:c>
      <x:c r="F100" s="24" t="str">
        <x:v>2025-09</x:v>
      </x:c>
      <x:c r="G100" s="30" t="n">
        <x:v>45925</x:v>
      </x:c>
      <x:c r="H100" s="32"/>
      <x:c r="I100" s="32"/>
      <x:c r="J100" s="32" t="n">
        <x:v>0</x:v>
      </x:c>
      <x:c r="K100" s="30"/>
      <x:c r="L100" s="24" t="str"/>
      <x:c r="M100" s="31" t="n">
        <x:f>IF(AND(N100="미수",G100&lt;&gt;"",TODAY()&gt;G100),TODAY()-G100,0)</x:f>
        <x:v>0</x:v>
      </x:c>
      <x:c r="N100" s="24" t="str">
        <x:f>IF(J100&gt;0,"미수",IF(AND(H100&gt;0,I100&gt;=H100),"완납","미확인"))</x:f>
        <x:v>미확인</x:v>
      </x:c>
      <x:c r="O100" s="31" t="n">
        <x:v>8</x:v>
      </x:c>
    </x:row>
    <x:row r="101" ht="17.25" customHeight="1">
      <x:c r="A101" s="24" t="str">
        <x:v>SW-B-62조4444-202508</x:v>
      </x:c>
      <x:c r="B101" s="24" t="str">
        <x:v>스위치플랜</x:v>
      </x:c>
      <x:c r="C101" s="24" t="str">
        <x:v>SW-C-62조4444-2-NA-8</x:v>
      </x:c>
      <x:c r="D101" s="24" t="str">
        <x:v>62조4444</x:v>
      </x:c>
      <x:c r="E101" s="24" t="str">
        <x:v>이경석4444</x:v>
      </x:c>
      <x:c r="F101" s="24" t="str">
        <x:v>2025-08</x:v>
      </x:c>
      <x:c r="G101" s="30" t="n">
        <x:v>45894</x:v>
      </x:c>
      <x:c r="H101" s="32" t="n">
        <x:v>1550000</x:v>
      </x:c>
      <x:c r="I101" s="32"/>
      <x:c r="J101" s="32" t="n">
        <x:v>1550000</x:v>
      </x:c>
      <x:c r="K101" s="30"/>
      <x:c r="L101" s="24" t="str"/>
      <x:c r="M101" s="31" t="n">
        <x:f>IF(AND(N101="미수",G101&lt;&gt;"",TODAY()&gt;G101),TODAY()-G101,0)</x:f>
        <x:v>355</x:v>
      </x:c>
      <x:c r="N101" s="24" t="str">
        <x:f>IF(J101&gt;0,"미수",IF(AND(H101&gt;0,I101&gt;=H101),"완납","미확인"))</x:f>
        <x:v>미수</x:v>
      </x:c>
      <x:c r="O101" s="31" t="n">
        <x:v>8</x:v>
      </x:c>
    </x:row>
    <x:row r="102" ht="17.25" customHeight="1">
      <x:c r="A102" s="24" t="str">
        <x:v>SW-B-62조4444-202507</x:v>
      </x:c>
      <x:c r="B102" s="24" t="str">
        <x:v>스위치플랜</x:v>
      </x:c>
      <x:c r="C102" s="24" t="str">
        <x:v>SW-C-62조4444-2-NA-8</x:v>
      </x:c>
      <x:c r="D102" s="24" t="str">
        <x:v>62조4444</x:v>
      </x:c>
      <x:c r="E102" s="24" t="str">
        <x:v>이경석4444</x:v>
      </x:c>
      <x:c r="F102" s="24" t="str">
        <x:v>2025-07</x:v>
      </x:c>
      <x:c r="G102" s="30" t="n">
        <x:v>45863</x:v>
      </x:c>
      <x:c r="H102" s="32" t="n">
        <x:v>1550000</x:v>
      </x:c>
      <x:c r="I102" s="32" t="n">
        <x:v>1550000</x:v>
      </x:c>
      <x:c r="J102" s="32" t="n">
        <x:v>0</x:v>
      </x:c>
      <x:c r="K102" s="30" t="n">
        <x:v>45882</x:v>
      </x:c>
      <x:c r="L102" s="24" t="str">
        <x:v>입금</x:v>
      </x:c>
      <x:c r="M102" s="31" t="n">
        <x:f>IF(AND(N102="미수",G102&lt;&gt;"",TODAY()&gt;G102),TODAY()-G102,0)</x:f>
        <x:v>0</x:v>
      </x:c>
      <x:c r="N102" s="24" t="str">
        <x:f>IF(J102&gt;0,"미수",IF(AND(H102&gt;0,I102&gt;=H102),"완납","미확인"))</x:f>
        <x:v>완납</x:v>
      </x:c>
      <x:c r="O102" s="31" t="n">
        <x:v>8</x:v>
      </x:c>
    </x:row>
    <x:row r="103" ht="17.25" customHeight="1">
      <x:c r="A103" s="24" t="str">
        <x:v>SW-B-62조4444-202506</x:v>
      </x:c>
      <x:c r="B103" s="24" t="str">
        <x:v>스위치플랜</x:v>
      </x:c>
      <x:c r="C103" s="24" t="str">
        <x:v>SW-C-62조4444-2-NA-8</x:v>
      </x:c>
      <x:c r="D103" s="24" t="str">
        <x:v>62조4444</x:v>
      </x:c>
      <x:c r="E103" s="24" t="str">
        <x:v>이경석4444</x:v>
      </x:c>
      <x:c r="F103" s="24" t="str">
        <x:v>2025-06</x:v>
      </x:c>
      <x:c r="G103" s="30" t="n">
        <x:v>45833</x:v>
      </x:c>
      <x:c r="H103" s="32" t="n">
        <x:v>1550000</x:v>
      </x:c>
      <x:c r="I103" s="32" t="n">
        <x:v>1550000</x:v>
      </x:c>
      <x:c r="J103" s="32" t="n">
        <x:v>0</x:v>
      </x:c>
      <x:c r="K103" s="30" t="n">
        <x:v>45839</x:v>
      </x:c>
      <x:c r="L103" s="24" t="str">
        <x:v>입금</x:v>
      </x:c>
      <x:c r="M103" s="31" t="n">
        <x:f>IF(AND(N103="미수",G103&lt;&gt;"",TODAY()&gt;G103),TODAY()-G103,0)</x:f>
        <x:v>0</x:v>
      </x:c>
      <x:c r="N103" s="24" t="str">
        <x:f>IF(J103&gt;0,"미수",IF(AND(H103&gt;0,I103&gt;=H103),"완납","미확인"))</x:f>
        <x:v>완납</x:v>
      </x:c>
      <x:c r="O103" s="31" t="n">
        <x:v>8</x:v>
      </x:c>
    </x:row>
    <x:row r="104" ht="17.25" customHeight="1">
      <x:c r="A104" s="24" t="str">
        <x:v>SW-B-62조4444-202505</x:v>
      </x:c>
      <x:c r="B104" s="24" t="str">
        <x:v>스위치플랜</x:v>
      </x:c>
      <x:c r="C104" s="24" t="str">
        <x:v>SW-C-62조4444-2-NA-8</x:v>
      </x:c>
      <x:c r="D104" s="24" t="str">
        <x:v>62조4444</x:v>
      </x:c>
      <x:c r="E104" s="24" t="str">
        <x:v>이경석4444</x:v>
      </x:c>
      <x:c r="F104" s="24" t="str">
        <x:v>2025-05</x:v>
      </x:c>
      <x:c r="G104" s="30" t="n">
        <x:v>45802</x:v>
      </x:c>
      <x:c r="H104" s="32" t="n">
        <x:v>1550000</x:v>
      </x:c>
      <x:c r="I104" s="32" t="n">
        <x:v>1550000</x:v>
      </x:c>
      <x:c r="J104" s="32" t="n">
        <x:v>0</x:v>
      </x:c>
      <x:c r="K104" s="30" t="n">
        <x:v>45804</x:v>
      </x:c>
      <x:c r="L104" s="24" t="str">
        <x:v>입금</x:v>
      </x:c>
      <x:c r="M104" s="31" t="n">
        <x:f>IF(AND(N104="미수",G104&lt;&gt;"",TODAY()&gt;G104),TODAY()-G104,0)</x:f>
        <x:v>0</x:v>
      </x:c>
      <x:c r="N104" s="24" t="str">
        <x:f>IF(J104&gt;0,"미수",IF(AND(H104&gt;0,I104&gt;=H104),"완납","미확인"))</x:f>
        <x:v>완납</x:v>
      </x:c>
      <x:c r="O104" s="31" t="n">
        <x:v>8</x:v>
      </x:c>
    </x:row>
    <x:row r="105" ht="17.25" customHeight="1">
      <x:c r="A105" s="24" t="str">
        <x:v>SW-B-62조4444-202504</x:v>
      </x:c>
      <x:c r="B105" s="24" t="str">
        <x:v>스위치플랜</x:v>
      </x:c>
      <x:c r="C105" s="24" t="str">
        <x:v>SW-C-62조4444-2-NA-8</x:v>
      </x:c>
      <x:c r="D105" s="24" t="str">
        <x:v>62조4444</x:v>
      </x:c>
      <x:c r="E105" s="24" t="str">
        <x:v>이경석4444</x:v>
      </x:c>
      <x:c r="F105" s="24" t="str">
        <x:v>2025-04</x:v>
      </x:c>
      <x:c r="G105" s="30" t="n">
        <x:v>45772</x:v>
      </x:c>
      <x:c r="H105" s="32" t="n">
        <x:v>1550000</x:v>
      </x:c>
      <x:c r="I105" s="32" t="n">
        <x:v>1550000</x:v>
      </x:c>
      <x:c r="J105" s="32" t="n">
        <x:v>0</x:v>
      </x:c>
      <x:c r="K105" s="30" t="n">
        <x:v>45779</x:v>
      </x:c>
      <x:c r="L105" s="24" t="str">
        <x:v>입금</x:v>
      </x:c>
      <x:c r="M105" s="31" t="n">
        <x:f>IF(AND(N105="미수",G105&lt;&gt;"",TODAY()&gt;G105),TODAY()-G105,0)</x:f>
        <x:v>0</x:v>
      </x:c>
      <x:c r="N105" s="24" t="str">
        <x:f>IF(J105&gt;0,"미수",IF(AND(H105&gt;0,I105&gt;=H105),"완납","미확인"))</x:f>
        <x:v>완납</x:v>
      </x:c>
      <x:c r="O105" s="31" t="n">
        <x:v>8</x:v>
      </x:c>
    </x:row>
    <x:row r="106" ht="17.25" customHeight="1">
      <x:c r="A106" s="24" t="str">
        <x:v>SW-B-62조4444-202503</x:v>
      </x:c>
      <x:c r="B106" s="24" t="str">
        <x:v>스위치플랜</x:v>
      </x:c>
      <x:c r="C106" s="24" t="str">
        <x:v>SW-C-62조4444-2-NA-8</x:v>
      </x:c>
      <x:c r="D106" s="24" t="str">
        <x:v>62조4444</x:v>
      </x:c>
      <x:c r="E106" s="24" t="str">
        <x:v>이경석4444</x:v>
      </x:c>
      <x:c r="F106" s="24" t="str">
        <x:v>2025-03</x:v>
      </x:c>
      <x:c r="G106" s="30" t="n">
        <x:v>45741</x:v>
      </x:c>
      <x:c r="H106" s="32" t="n">
        <x:v>1550000</x:v>
      </x:c>
      <x:c r="I106" s="32" t="n">
        <x:v>3050000</x:v>
      </x:c>
      <x:c r="J106" s="32" t="n">
        <x:v>0</x:v>
      </x:c>
      <x:c r="K106" s="30" t="n">
        <x:v>45720</x:v>
      </x:c>
      <x:c r="L106" s="24" t="str">
        <x:v>입금</x:v>
      </x:c>
      <x:c r="M106" s="31" t="n">
        <x:f>IF(AND(N106="미수",G106&lt;&gt;"",TODAY()&gt;G106),TODAY()-G106,0)</x:f>
        <x:v>0</x:v>
      </x:c>
      <x:c r="N106" s="24" t="str">
        <x:f>IF(J106&gt;0,"미수",IF(AND(H106&gt;0,I106&gt;=H106),"완납","미확인"))</x:f>
        <x:v>완납</x:v>
      </x:c>
      <x:c r="O106" s="31" t="n">
        <x:v>8</x:v>
      </x:c>
    </x:row>
    <x:row r="107" ht="17.25" customHeight="1">
      <x:c r="A107" s="24" t="str">
        <x:v>SW-B-62조4444-202502</x:v>
      </x:c>
      <x:c r="B107" s="24" t="str">
        <x:v>스위치플랜</x:v>
      </x:c>
      <x:c r="C107" s="24" t="str">
        <x:v>SW-C-62조4444-2-NA-8</x:v>
      </x:c>
      <x:c r="D107" s="24" t="str">
        <x:v>62조4444</x:v>
      </x:c>
      <x:c r="E107" s="24" t="str">
        <x:v>이경석4444</x:v>
      </x:c>
      <x:c r="F107" s="24" t="str">
        <x:v>2025-02</x:v>
      </x:c>
      <x:c r="G107" s="30" t="n">
        <x:v>45713</x:v>
      </x:c>
      <x:c r="H107" s="32" t="n">
        <x:v>1500000</x:v>
      </x:c>
      <x:c r="I107" s="32"/>
      <x:c r="J107" s="32" t="n">
        <x:v>1500000</x:v>
      </x:c>
      <x:c r="K107" s="30"/>
      <x:c r="L107" s="24" t="str"/>
      <x:c r="M107" s="31" t="n">
        <x:f>IF(AND(N107="미수",G107&lt;&gt;"",TODAY()&gt;G107),TODAY()-G107,0)</x:f>
        <x:v>536</x:v>
      </x:c>
      <x:c r="N107" s="24" t="str">
        <x:f>IF(J107&gt;0,"미수",IF(AND(H107&gt;0,I107&gt;=H107),"완납","미확인"))</x:f>
        <x:v>미수</x:v>
      </x:c>
      <x:c r="O107" s="31" t="n">
        <x:v>8</x:v>
      </x:c>
    </x:row>
    <x:row r="108" ht="17.25" customHeight="1">
      <x:c r="A108" s="24" t="str">
        <x:v>SW-B-62조4444-202501</x:v>
      </x:c>
      <x:c r="B108" s="24" t="str">
        <x:v>스위치플랜</x:v>
      </x:c>
      <x:c r="C108" s="24" t="str">
        <x:v>SW-C-62조4444-2-NA-8</x:v>
      </x:c>
      <x:c r="D108" s="24" t="str">
        <x:v>62조4444</x:v>
      </x:c>
      <x:c r="E108" s="24" t="str">
        <x:v>이경석4444</x:v>
      </x:c>
      <x:c r="F108" s="24" t="str">
        <x:v>2025-01</x:v>
      </x:c>
      <x:c r="G108" s="30" t="n">
        <x:v>45682</x:v>
      </x:c>
      <x:c r="H108" s="32" t="n">
        <x:v>1500000</x:v>
      </x:c>
      <x:c r="I108" s="32" t="n">
        <x:v>1500000</x:v>
      </x:c>
      <x:c r="J108" s="32" t="n">
        <x:v>0</x:v>
      </x:c>
      <x:c r="K108" s="30" t="n">
        <x:v>45669</x:v>
      </x:c>
      <x:c r="L108" s="24" t="str">
        <x:v>입금</x:v>
      </x:c>
      <x:c r="M108" s="31" t="n">
        <x:f>IF(AND(N108="미수",G108&lt;&gt;"",TODAY()&gt;G108),TODAY()-G108,0)</x:f>
        <x:v>0</x:v>
      </x:c>
      <x:c r="N108" s="24" t="str">
        <x:f>IF(J108&gt;0,"미수",IF(AND(H108&gt;0,I108&gt;=H108),"완납","미확인"))</x:f>
        <x:v>완납</x:v>
      </x:c>
      <x:c r="O108" s="31" t="n">
        <x:v>8</x:v>
      </x:c>
    </x:row>
    <x:row r="109" ht="17.25" customHeight="1">
      <x:c r="A109" s="24" t="str">
        <x:v>SW-B-41구1614-202608</x:v>
      </x:c>
      <x:c r="B109" s="24" t="str">
        <x:v>스위치플랜</x:v>
      </x:c>
      <x:c r="C109" s="24" t="str">
        <x:v>SW-C-41구1614-1-20250422-9</x:v>
      </x:c>
      <x:c r="D109" s="24" t="str">
        <x:v>41구1614</x:v>
      </x:c>
      <x:c r="E109" s="24" t="str">
        <x:v>조해인</x:v>
      </x:c>
      <x:c r="F109" s="24" t="str">
        <x:v>2026-08</x:v>
      </x:c>
      <x:c r="G109" s="30" t="n">
        <x:v>46254</x:v>
      </x:c>
      <x:c r="H109" s="32" t="n">
        <x:v>330000</x:v>
      </x:c>
      <x:c r="I109" s="32"/>
      <x:c r="J109" s="32" t="n">
        <x:v>330000</x:v>
      </x:c>
      <x:c r="K109" s="30"/>
      <x:c r="L109" s="24" t="str"/>
      <x:c r="M109" s="31" t="n">
        <x:f>IF(AND(N109="미수",G109&lt;&gt;"",TODAY()&gt;G109),TODAY()-G109,0)</x:f>
        <x:v>0</x:v>
      </x:c>
      <x:c r="N109" s="24" t="str">
        <x:f>IF(J109&gt;0,"미수",IF(AND(H109&gt;0,I109&gt;=H109),"완납","미확인"))</x:f>
        <x:v>미수</x:v>
      </x:c>
      <x:c r="O109" s="31" t="n">
        <x:v>9</x:v>
      </x:c>
    </x:row>
    <x:row r="110" ht="17.25" customHeight="1">
      <x:c r="A110" s="24" t="str">
        <x:v>SW-B-41구1614-202607</x:v>
      </x:c>
      <x:c r="B110" s="24" t="str">
        <x:v>스위치플랜</x:v>
      </x:c>
      <x:c r="C110" s="24" t="str">
        <x:v>SW-C-41구1614-1-20250422-9</x:v>
      </x:c>
      <x:c r="D110" s="24" t="str">
        <x:v>41구1614</x:v>
      </x:c>
      <x:c r="E110" s="24" t="str">
        <x:v>조해인</x:v>
      </x:c>
      <x:c r="F110" s="24" t="str">
        <x:v>2026-07</x:v>
      </x:c>
      <x:c r="G110" s="30" t="n">
        <x:v>46223</x:v>
      </x:c>
      <x:c r="H110" s="32" t="n">
        <x:v>330000</x:v>
      </x:c>
      <x:c r="I110" s="32" t="n">
        <x:v>330000</x:v>
      </x:c>
      <x:c r="J110" s="32" t="n">
        <x:v>0</x:v>
      </x:c>
      <x:c r="K110" s="30" t="n">
        <x:v>46224</x:v>
      </x:c>
      <x:c r="L110" s="24" t="str">
        <x:v>입금</x:v>
      </x:c>
      <x:c r="M110" s="31" t="n">
        <x:f>IF(AND(N110="미수",G110&lt;&gt;"",TODAY()&gt;G110),TODAY()-G110,0)</x:f>
        <x:v>0</x:v>
      </x:c>
      <x:c r="N110" s="24" t="str">
        <x:f>IF(J110&gt;0,"미수",IF(AND(H110&gt;0,I110&gt;=H110),"완납","미확인"))</x:f>
        <x:v>완납</x:v>
      </x:c>
      <x:c r="O110" s="31" t="n">
        <x:v>9</x:v>
      </x:c>
    </x:row>
    <x:row r="111" ht="17.25" customHeight="1">
      <x:c r="A111" s="24" t="str">
        <x:v>SW-B-41구1614-202606</x:v>
      </x:c>
      <x:c r="B111" s="24" t="str">
        <x:v>스위치플랜</x:v>
      </x:c>
      <x:c r="C111" s="24" t="str">
        <x:v>SW-C-41구1614-1-20250422-9</x:v>
      </x:c>
      <x:c r="D111" s="24" t="str">
        <x:v>41구1614</x:v>
      </x:c>
      <x:c r="E111" s="24" t="str">
        <x:v>조해인</x:v>
      </x:c>
      <x:c r="F111" s="24" t="str">
        <x:v>2026-06</x:v>
      </x:c>
      <x:c r="G111" s="30" t="n">
        <x:v>46193</x:v>
      </x:c>
      <x:c r="H111" s="32" t="n">
        <x:v>330000</x:v>
      </x:c>
      <x:c r="I111" s="32" t="n">
        <x:v>330000</x:v>
      </x:c>
      <x:c r="J111" s="32" t="n">
        <x:v>0</x:v>
      </x:c>
      <x:c r="K111" s="30" t="n">
        <x:v>46196</x:v>
      </x:c>
      <x:c r="L111" s="24" t="str">
        <x:v>입금</x:v>
      </x:c>
      <x:c r="M111" s="31" t="n">
        <x:f>IF(AND(N111="미수",G111&lt;&gt;"",TODAY()&gt;G111),TODAY()-G111,0)</x:f>
        <x:v>0</x:v>
      </x:c>
      <x:c r="N111" s="24" t="str">
        <x:f>IF(J111&gt;0,"미수",IF(AND(H111&gt;0,I111&gt;=H111),"완납","미확인"))</x:f>
        <x:v>완납</x:v>
      </x:c>
      <x:c r="O111" s="31" t="n">
        <x:v>9</x:v>
      </x:c>
    </x:row>
    <x:row r="112" ht="17.25" customHeight="1">
      <x:c r="A112" s="24" t="str">
        <x:v>SW-B-41구1614-202605</x:v>
      </x:c>
      <x:c r="B112" s="24" t="str">
        <x:v>스위치플랜</x:v>
      </x:c>
      <x:c r="C112" s="24" t="str">
        <x:v>SW-C-41구1614-1-20250422-9</x:v>
      </x:c>
      <x:c r="D112" s="24" t="str">
        <x:v>41구1614</x:v>
      </x:c>
      <x:c r="E112" s="24" t="str">
        <x:v>조해인</x:v>
      </x:c>
      <x:c r="F112" s="24" t="str">
        <x:v>2026-05</x:v>
      </x:c>
      <x:c r="G112" s="30" t="n">
        <x:v>46162</x:v>
      </x:c>
      <x:c r="H112" s="32" t="n">
        <x:v>330000</x:v>
      </x:c>
      <x:c r="I112" s="32" t="n">
        <x:v>330000</x:v>
      </x:c>
      <x:c r="J112" s="32" t="n">
        <x:v>0</x:v>
      </x:c>
      <x:c r="K112" s="30" t="n">
        <x:v>46162</x:v>
      </x:c>
      <x:c r="L112" s="24" t="str">
        <x:v>입금</x:v>
      </x:c>
      <x:c r="M112" s="31" t="n">
        <x:f>IF(AND(N112="미수",G112&lt;&gt;"",TODAY()&gt;G112),TODAY()-G112,0)</x:f>
        <x:v>0</x:v>
      </x:c>
      <x:c r="N112" s="24" t="str">
        <x:f>IF(J112&gt;0,"미수",IF(AND(H112&gt;0,I112&gt;=H112),"완납","미확인"))</x:f>
        <x:v>완납</x:v>
      </x:c>
      <x:c r="O112" s="31" t="n">
        <x:v>9</x:v>
      </x:c>
    </x:row>
    <x:row r="113" ht="17.25" customHeight="1">
      <x:c r="A113" s="24" t="str">
        <x:v>SW-B-41구1614-202604</x:v>
      </x:c>
      <x:c r="B113" s="24" t="str">
        <x:v>스위치플랜</x:v>
      </x:c>
      <x:c r="C113" s="24" t="str">
        <x:v>SW-C-41구1614-1-20250422-9</x:v>
      </x:c>
      <x:c r="D113" s="24" t="str">
        <x:v>41구1614</x:v>
      </x:c>
      <x:c r="E113" s="24" t="str">
        <x:v>조해인</x:v>
      </x:c>
      <x:c r="F113" s="24" t="str">
        <x:v>2026-04</x:v>
      </x:c>
      <x:c r="G113" s="30" t="n">
        <x:v>46132</x:v>
      </x:c>
      <x:c r="H113" s="32" t="n">
        <x:v>330000</x:v>
      </x:c>
      <x:c r="I113" s="32" t="n">
        <x:v>330000</x:v>
      </x:c>
      <x:c r="J113" s="32" t="n">
        <x:v>0</x:v>
      </x:c>
      <x:c r="K113" s="30" t="n">
        <x:v>46137</x:v>
      </x:c>
      <x:c r="L113" s="24" t="str">
        <x:v>입금</x:v>
      </x:c>
      <x:c r="M113" s="31" t="n">
        <x:f>IF(AND(N113="미수",G113&lt;&gt;"",TODAY()&gt;G113),TODAY()-G113,0)</x:f>
        <x:v>0</x:v>
      </x:c>
      <x:c r="N113" s="24" t="str">
        <x:f>IF(J113&gt;0,"미수",IF(AND(H113&gt;0,I113&gt;=H113),"완납","미확인"))</x:f>
        <x:v>완납</x:v>
      </x:c>
      <x:c r="O113" s="31" t="n">
        <x:v>9</x:v>
      </x:c>
    </x:row>
    <x:row r="114" ht="17.25" customHeight="1">
      <x:c r="A114" s="24" t="str">
        <x:v>SW-B-41구1614-202603</x:v>
      </x:c>
      <x:c r="B114" s="24" t="str">
        <x:v>스위치플랜</x:v>
      </x:c>
      <x:c r="C114" s="24" t="str">
        <x:v>SW-C-41구1614-1-20250422-9</x:v>
      </x:c>
      <x:c r="D114" s="24" t="str">
        <x:v>41구1614</x:v>
      </x:c>
      <x:c r="E114" s="24" t="str">
        <x:v>조해인</x:v>
      </x:c>
      <x:c r="F114" s="24" t="str">
        <x:v>2026-03</x:v>
      </x:c>
      <x:c r="G114" s="30" t="n">
        <x:v>46101</x:v>
      </x:c>
      <x:c r="H114" s="32" t="n">
        <x:v>330000</x:v>
      </x:c>
      <x:c r="I114" s="32" t="n">
        <x:v>330000</x:v>
      </x:c>
      <x:c r="J114" s="32" t="n">
        <x:v>0</x:v>
      </x:c>
      <x:c r="K114" s="30" t="n">
        <x:v>46101</x:v>
      </x:c>
      <x:c r="L114" s="24" t="str">
        <x:v>입금</x:v>
      </x:c>
      <x:c r="M114" s="31" t="n">
        <x:f>IF(AND(N114="미수",G114&lt;&gt;"",TODAY()&gt;G114),TODAY()-G114,0)</x:f>
        <x:v>0</x:v>
      </x:c>
      <x:c r="N114" s="24" t="str">
        <x:f>IF(J114&gt;0,"미수",IF(AND(H114&gt;0,I114&gt;=H114),"완납","미확인"))</x:f>
        <x:v>완납</x:v>
      </x:c>
      <x:c r="O114" s="31" t="n">
        <x:v>9</x:v>
      </x:c>
    </x:row>
    <x:row r="115" ht="17.25" customHeight="1">
      <x:c r="A115" s="24" t="str">
        <x:v>SW-B-41구1614-202602</x:v>
      </x:c>
      <x:c r="B115" s="24" t="str">
        <x:v>스위치플랜</x:v>
      </x:c>
      <x:c r="C115" s="24" t="str">
        <x:v>SW-C-41구1614-1-20250422-9</x:v>
      </x:c>
      <x:c r="D115" s="24" t="str">
        <x:v>41구1614</x:v>
      </x:c>
      <x:c r="E115" s="24" t="str">
        <x:v>조해인</x:v>
      </x:c>
      <x:c r="F115" s="24" t="str">
        <x:v>2026-02</x:v>
      </x:c>
      <x:c r="G115" s="30" t="n">
        <x:v>46073</x:v>
      </x:c>
      <x:c r="H115" s="32" t="n">
        <x:v>330000</x:v>
      </x:c>
      <x:c r="I115" s="32" t="n">
        <x:v>330000</x:v>
      </x:c>
      <x:c r="J115" s="32" t="n">
        <x:v>0</x:v>
      </x:c>
      <x:c r="K115" s="30" t="n">
        <x:v>46073</x:v>
      </x:c>
      <x:c r="L115" s="24" t="str">
        <x:v>입금</x:v>
      </x:c>
      <x:c r="M115" s="31" t="n">
        <x:f>IF(AND(N115="미수",G115&lt;&gt;"",TODAY()&gt;G115),TODAY()-G115,0)</x:f>
        <x:v>0</x:v>
      </x:c>
      <x:c r="N115" s="24" t="str">
        <x:f>IF(J115&gt;0,"미수",IF(AND(H115&gt;0,I115&gt;=H115),"완납","미확인"))</x:f>
        <x:v>완납</x:v>
      </x:c>
      <x:c r="O115" s="31" t="n">
        <x:v>9</x:v>
      </x:c>
    </x:row>
    <x:row r="116" ht="17.25" customHeight="1">
      <x:c r="A116" s="24" t="str">
        <x:v>SW-B-41구1614-202601</x:v>
      </x:c>
      <x:c r="B116" s="24" t="str">
        <x:v>스위치플랜</x:v>
      </x:c>
      <x:c r="C116" s="24" t="str">
        <x:v>SW-C-41구1614-1-20250422-9</x:v>
      </x:c>
      <x:c r="D116" s="24" t="str">
        <x:v>41구1614</x:v>
      </x:c>
      <x:c r="E116" s="24" t="str">
        <x:v>조해인</x:v>
      </x:c>
      <x:c r="F116" s="24" t="str">
        <x:v>2026-01</x:v>
      </x:c>
      <x:c r="G116" s="30" t="n">
        <x:v>46042</x:v>
      </x:c>
      <x:c r="H116" s="32" t="n">
        <x:v>330000</x:v>
      </x:c>
      <x:c r="I116" s="32" t="n">
        <x:v>330000</x:v>
      </x:c>
      <x:c r="J116" s="32" t="n">
        <x:v>0</x:v>
      </x:c>
      <x:c r="K116" s="30" t="n">
        <x:v>46044</x:v>
      </x:c>
      <x:c r="L116" s="24" t="str">
        <x:v>입금</x:v>
      </x:c>
      <x:c r="M116" s="31" t="n">
        <x:f>IF(AND(N116="미수",G116&lt;&gt;"",TODAY()&gt;G116),TODAY()-G116,0)</x:f>
        <x:v>0</x:v>
      </x:c>
      <x:c r="N116" s="24" t="str">
        <x:f>IF(J116&gt;0,"미수",IF(AND(H116&gt;0,I116&gt;=H116),"완납","미확인"))</x:f>
        <x:v>완납</x:v>
      </x:c>
      <x:c r="O116" s="31" t="n">
        <x:v>9</x:v>
      </x:c>
    </x:row>
    <x:row r="117" ht="17.25" customHeight="1">
      <x:c r="A117" s="24" t="str">
        <x:v>SW-B-41구1614-202512</x:v>
      </x:c>
      <x:c r="B117" s="24" t="str">
        <x:v>스위치플랜</x:v>
      </x:c>
      <x:c r="C117" s="24" t="str">
        <x:v>SW-C-41구1614-1-20250422-9</x:v>
      </x:c>
      <x:c r="D117" s="24" t="str">
        <x:v>41구1614</x:v>
      </x:c>
      <x:c r="E117" s="24" t="str">
        <x:v>조해인</x:v>
      </x:c>
      <x:c r="F117" s="24" t="str">
        <x:v>2025-12</x:v>
      </x:c>
      <x:c r="G117" s="30" t="n">
        <x:v>46011</x:v>
      </x:c>
      <x:c r="H117" s="32" t="n">
        <x:v>330000</x:v>
      </x:c>
      <x:c r="I117" s="32" t="n">
        <x:v>330000</x:v>
      </x:c>
      <x:c r="J117" s="32" t="n">
        <x:v>0</x:v>
      </x:c>
      <x:c r="K117" s="30" t="n">
        <x:v>46011</x:v>
      </x:c>
      <x:c r="L117" s="24" t="str">
        <x:v>입금</x:v>
      </x:c>
      <x:c r="M117" s="31" t="n">
        <x:f>IF(AND(N117="미수",G117&lt;&gt;"",TODAY()&gt;G117),TODAY()-G117,0)</x:f>
        <x:v>0</x:v>
      </x:c>
      <x:c r="N117" s="24" t="str">
        <x:f>IF(J117&gt;0,"미수",IF(AND(H117&gt;0,I117&gt;=H117),"완납","미확인"))</x:f>
        <x:v>완납</x:v>
      </x:c>
      <x:c r="O117" s="31" t="n">
        <x:v>9</x:v>
      </x:c>
    </x:row>
    <x:row r="118" ht="17.25" customHeight="1">
      <x:c r="A118" s="24" t="str">
        <x:v>SW-B-41구1614-202511</x:v>
      </x:c>
      <x:c r="B118" s="24" t="str">
        <x:v>스위치플랜</x:v>
      </x:c>
      <x:c r="C118" s="24" t="str">
        <x:v>SW-C-41구1614-1-20250422-9</x:v>
      </x:c>
      <x:c r="D118" s="24" t="str">
        <x:v>41구1614</x:v>
      </x:c>
      <x:c r="E118" s="24" t="str">
        <x:v>조해인</x:v>
      </x:c>
      <x:c r="F118" s="24" t="str">
        <x:v>2025-11</x:v>
      </x:c>
      <x:c r="G118" s="30" t="n">
        <x:v>45981</x:v>
      </x:c>
      <x:c r="H118" s="32" t="n">
        <x:v>330000</x:v>
      </x:c>
      <x:c r="I118" s="32" t="n">
        <x:v>330000</x:v>
      </x:c>
      <x:c r="J118" s="32" t="n">
        <x:v>0</x:v>
      </x:c>
      <x:c r="K118" s="30" t="n">
        <x:v>45979</x:v>
      </x:c>
      <x:c r="L118" s="24" t="str">
        <x:v>입금</x:v>
      </x:c>
      <x:c r="M118" s="31" t="n">
        <x:f>IF(AND(N118="미수",G118&lt;&gt;"",TODAY()&gt;G118),TODAY()-G118,0)</x:f>
        <x:v>0</x:v>
      </x:c>
      <x:c r="N118" s="24" t="str">
        <x:f>IF(J118&gt;0,"미수",IF(AND(H118&gt;0,I118&gt;=H118),"완납","미확인"))</x:f>
        <x:v>완납</x:v>
      </x:c>
      <x:c r="O118" s="31" t="n">
        <x:v>9</x:v>
      </x:c>
    </x:row>
    <x:row r="119" ht="17.25" customHeight="1">
      <x:c r="A119" s="24" t="str">
        <x:v>SW-B-41구1614-202510</x:v>
      </x:c>
      <x:c r="B119" s="24" t="str">
        <x:v>스위치플랜</x:v>
      </x:c>
      <x:c r="C119" s="24" t="str">
        <x:v>SW-C-41구1614-1-20250422-9</x:v>
      </x:c>
      <x:c r="D119" s="24" t="str">
        <x:v>41구1614</x:v>
      </x:c>
      <x:c r="E119" s="24" t="str">
        <x:v>조해인</x:v>
      </x:c>
      <x:c r="F119" s="24" t="str">
        <x:v>2025-10</x:v>
      </x:c>
      <x:c r="G119" s="30" t="n">
        <x:v>45950</x:v>
      </x:c>
      <x:c r="H119" s="32" t="n">
        <x:v>330000</x:v>
      </x:c>
      <x:c r="I119" s="32" t="n">
        <x:v>330000</x:v>
      </x:c>
      <x:c r="J119" s="32" t="n">
        <x:v>0</x:v>
      </x:c>
      <x:c r="K119" s="30" t="n">
        <x:v>45948</x:v>
      </x:c>
      <x:c r="L119" s="24" t="str">
        <x:v>입금</x:v>
      </x:c>
      <x:c r="M119" s="31" t="n">
        <x:f>IF(AND(N119="미수",G119&lt;&gt;"",TODAY()&gt;G119),TODAY()-G119,0)</x:f>
        <x:v>0</x:v>
      </x:c>
      <x:c r="N119" s="24" t="str">
        <x:f>IF(J119&gt;0,"미수",IF(AND(H119&gt;0,I119&gt;=H119),"완납","미확인"))</x:f>
        <x:v>완납</x:v>
      </x:c>
      <x:c r="O119" s="31" t="n">
        <x:v>9</x:v>
      </x:c>
    </x:row>
    <x:row r="120" ht="17.25" customHeight="1">
      <x:c r="A120" s="24" t="str">
        <x:v>SW-B-41구1614-202509</x:v>
      </x:c>
      <x:c r="B120" s="24" t="str">
        <x:v>스위치플랜</x:v>
      </x:c>
      <x:c r="C120" s="24" t="str">
        <x:v>SW-C-41구1614-1-20250422-9</x:v>
      </x:c>
      <x:c r="D120" s="24" t="str">
        <x:v>41구1614</x:v>
      </x:c>
      <x:c r="E120" s="24" t="str">
        <x:v>조해인</x:v>
      </x:c>
      <x:c r="F120" s="24" t="str">
        <x:v>2025-09</x:v>
      </x:c>
      <x:c r="G120" s="30" t="n">
        <x:v>45920</x:v>
      </x:c>
      <x:c r="H120" s="32" t="n">
        <x:v>330000</x:v>
      </x:c>
      <x:c r="I120" s="32" t="n">
        <x:v>330000</x:v>
      </x:c>
      <x:c r="J120" s="32" t="n">
        <x:v>0</x:v>
      </x:c>
      <x:c r="K120" s="30" t="n">
        <x:v>45917</x:v>
      </x:c>
      <x:c r="L120" s="24" t="str">
        <x:v>입금</x:v>
      </x:c>
      <x:c r="M120" s="31" t="n">
        <x:f>IF(AND(N120="미수",G120&lt;&gt;"",TODAY()&gt;G120),TODAY()-G120,0)</x:f>
        <x:v>0</x:v>
      </x:c>
      <x:c r="N120" s="24" t="str">
        <x:f>IF(J120&gt;0,"미수",IF(AND(H120&gt;0,I120&gt;=H120),"완납","미확인"))</x:f>
        <x:v>완납</x:v>
      </x:c>
      <x:c r="O120" s="31" t="n">
        <x:v>9</x:v>
      </x:c>
    </x:row>
    <x:row r="121" ht="17.25" customHeight="1">
      <x:c r="A121" s="24" t="str">
        <x:v>SW-B-41구1614-202508</x:v>
      </x:c>
      <x:c r="B121" s="24" t="str">
        <x:v>스위치플랜</x:v>
      </x:c>
      <x:c r="C121" s="24" t="str">
        <x:v>SW-C-41구1614-1-20250422-9</x:v>
      </x:c>
      <x:c r="D121" s="24" t="str">
        <x:v>41구1614</x:v>
      </x:c>
      <x:c r="E121" s="24" t="str">
        <x:v>조해인</x:v>
      </x:c>
      <x:c r="F121" s="24" t="str">
        <x:v>2025-08</x:v>
      </x:c>
      <x:c r="G121" s="30" t="n">
        <x:v>45889</x:v>
      </x:c>
      <x:c r="H121" s="32" t="n">
        <x:v>330000</x:v>
      </x:c>
      <x:c r="I121" s="32" t="n">
        <x:v>330000</x:v>
      </x:c>
      <x:c r="J121" s="32" t="n">
        <x:v>0</x:v>
      </x:c>
      <x:c r="K121" s="30" t="n">
        <x:v>45887</x:v>
      </x:c>
      <x:c r="L121" s="24" t="str">
        <x:v>입금</x:v>
      </x:c>
      <x:c r="M121" s="31" t="n">
        <x:f>IF(AND(N121="미수",G121&lt;&gt;"",TODAY()&gt;G121),TODAY()-G121,0)</x:f>
        <x:v>0</x:v>
      </x:c>
      <x:c r="N121" s="24" t="str">
        <x:f>IF(J121&gt;0,"미수",IF(AND(H121&gt;0,I121&gt;=H121),"완납","미확인"))</x:f>
        <x:v>완납</x:v>
      </x:c>
      <x:c r="O121" s="31" t="n">
        <x:v>9</x:v>
      </x:c>
    </x:row>
    <x:row r="122" ht="17.25" customHeight="1">
      <x:c r="A122" s="24" t="str">
        <x:v>SW-B-41구1614-202507</x:v>
      </x:c>
      <x:c r="B122" s="24" t="str">
        <x:v>스위치플랜</x:v>
      </x:c>
      <x:c r="C122" s="24" t="str">
        <x:v>SW-C-41구1614-1-20250422-9</x:v>
      </x:c>
      <x:c r="D122" s="24" t="str">
        <x:v>41구1614</x:v>
      </x:c>
      <x:c r="E122" s="24" t="str">
        <x:v>조해인</x:v>
      </x:c>
      <x:c r="F122" s="24" t="str">
        <x:v>2025-07</x:v>
      </x:c>
      <x:c r="G122" s="30" t="n">
        <x:v>45858</x:v>
      </x:c>
      <x:c r="H122" s="32" t="n">
        <x:v>330000</x:v>
      </x:c>
      <x:c r="I122" s="32" t="n">
        <x:v>330000</x:v>
      </x:c>
      <x:c r="J122" s="32" t="n">
        <x:v>0</x:v>
      </x:c>
      <x:c r="K122" s="30" t="n">
        <x:v>45856</x:v>
      </x:c>
      <x:c r="L122" s="24" t="str">
        <x:v>입금</x:v>
      </x:c>
      <x:c r="M122" s="31" t="n">
        <x:f>IF(AND(N122="미수",G122&lt;&gt;"",TODAY()&gt;G122),TODAY()-G122,0)</x:f>
        <x:v>0</x:v>
      </x:c>
      <x:c r="N122" s="24" t="str">
        <x:f>IF(J122&gt;0,"미수",IF(AND(H122&gt;0,I122&gt;=H122),"완납","미확인"))</x:f>
        <x:v>완납</x:v>
      </x:c>
      <x:c r="O122" s="31" t="n">
        <x:v>9</x:v>
      </x:c>
    </x:row>
    <x:row r="123" ht="17.25" customHeight="1">
      <x:c r="A123" s="24" t="str">
        <x:v>SW-B-41구1614-202506</x:v>
      </x:c>
      <x:c r="B123" s="24" t="str">
        <x:v>스위치플랜</x:v>
      </x:c>
      <x:c r="C123" s="24" t="str">
        <x:v>SW-C-41구1614-1-20250422-9</x:v>
      </x:c>
      <x:c r="D123" s="24" t="str">
        <x:v>41구1614</x:v>
      </x:c>
      <x:c r="E123" s="24" t="str">
        <x:v>조해인</x:v>
      </x:c>
      <x:c r="F123" s="24" t="str">
        <x:v>2025-06</x:v>
      </x:c>
      <x:c r="G123" s="30" t="n">
        <x:v>45828</x:v>
      </x:c>
      <x:c r="H123" s="32" t="n">
        <x:v>330000</x:v>
      </x:c>
      <x:c r="I123" s="32" t="n">
        <x:v>330000</x:v>
      </x:c>
      <x:c r="J123" s="32" t="n">
        <x:v>0</x:v>
      </x:c>
      <x:c r="K123" s="30" t="n">
        <x:v>45826</x:v>
      </x:c>
      <x:c r="L123" s="24" t="str">
        <x:v>입금</x:v>
      </x:c>
      <x:c r="M123" s="31" t="n">
        <x:f>IF(AND(N123="미수",G123&lt;&gt;"",TODAY()&gt;G123),TODAY()-G123,0)</x:f>
        <x:v>0</x:v>
      </x:c>
      <x:c r="N123" s="24" t="str">
        <x:f>IF(J123&gt;0,"미수",IF(AND(H123&gt;0,I123&gt;=H123),"완납","미확인"))</x:f>
        <x:v>완납</x:v>
      </x:c>
      <x:c r="O123" s="31" t="n">
        <x:v>9</x:v>
      </x:c>
    </x:row>
    <x:row r="124" ht="17.25" customHeight="1">
      <x:c r="A124" s="24" t="str">
        <x:v>SW-B-41구1614-202505</x:v>
      </x:c>
      <x:c r="B124" s="24" t="str">
        <x:v>스위치플랜</x:v>
      </x:c>
      <x:c r="C124" s="24" t="str">
        <x:v>SW-C-41구1614-1-20250422-9</x:v>
      </x:c>
      <x:c r="D124" s="24" t="str">
        <x:v>41구1614</x:v>
      </x:c>
      <x:c r="E124" s="24" t="str">
        <x:v>조해인</x:v>
      </x:c>
      <x:c r="F124" s="24" t="str">
        <x:v>2025-05</x:v>
      </x:c>
      <x:c r="G124" s="30" t="n">
        <x:v>45797</x:v>
      </x:c>
      <x:c r="H124" s="32" t="n">
        <x:v>330000</x:v>
      </x:c>
      <x:c r="I124" s="32" t="n">
        <x:v>330000</x:v>
      </x:c>
      <x:c r="J124" s="32" t="n">
        <x:v>0</x:v>
      </x:c>
      <x:c r="K124" s="30" t="n">
        <x:v>45793</x:v>
      </x:c>
      <x:c r="L124" s="24" t="str">
        <x:v>입금</x:v>
      </x:c>
      <x:c r="M124" s="31" t="n">
        <x:f>IF(AND(N124="미수",G124&lt;&gt;"",TODAY()&gt;G124),TODAY()-G124,0)</x:f>
        <x:v>0</x:v>
      </x:c>
      <x:c r="N124" s="24" t="str">
        <x:f>IF(J124&gt;0,"미수",IF(AND(H124&gt;0,I124&gt;=H124),"완납","미확인"))</x:f>
        <x:v>완납</x:v>
      </x:c>
      <x:c r="O124" s="31" t="n">
        <x:v>9</x:v>
      </x:c>
    </x:row>
    <x:row r="125" ht="17.25" customHeight="1">
      <x:c r="A125" s="24" t="str">
        <x:v>SW-B-41구1614-202504</x:v>
      </x:c>
      <x:c r="B125" s="24" t="str">
        <x:v>스위치플랜</x:v>
      </x:c>
      <x:c r="C125" s="24" t="str">
        <x:v>SW-C-41구1614-1-20250422-9</x:v>
      </x:c>
      <x:c r="D125" s="24" t="str">
        <x:v>41구1614</x:v>
      </x:c>
      <x:c r="E125" s="24" t="str">
        <x:v>조해인</x:v>
      </x:c>
      <x:c r="F125" s="24" t="str">
        <x:v>2025-04</x:v>
      </x:c>
      <x:c r="G125" s="30" t="n">
        <x:v>45767</x:v>
      </x:c>
      <x:c r="H125" s="32" t="n">
        <x:v>330000</x:v>
      </x:c>
      <x:c r="I125" s="32" t="n">
        <x:v>330000</x:v>
      </x:c>
      <x:c r="J125" s="32" t="n">
        <x:v>0</x:v>
      </x:c>
      <x:c r="K125" s="30" t="n">
        <x:v>45768</x:v>
      </x:c>
      <x:c r="L125" s="24" t="str">
        <x:v>입금</x:v>
      </x:c>
      <x:c r="M125" s="31" t="n">
        <x:f>IF(AND(N125="미수",G125&lt;&gt;"",TODAY()&gt;G125),TODAY()-G125,0)</x:f>
        <x:v>0</x:v>
      </x:c>
      <x:c r="N125" s="24" t="str">
        <x:f>IF(J125&gt;0,"미수",IF(AND(H125&gt;0,I125&gt;=H125),"완납","미확인"))</x:f>
        <x:v>완납</x:v>
      </x:c>
      <x:c r="O125" s="31" t="n">
        <x:v>9</x:v>
      </x:c>
    </x:row>
    <x:row r="126" ht="17.25" customHeight="1">
      <x:c r="A126" s="24" t="str">
        <x:v>SW-B-52수7832-202608</x:v>
      </x:c>
      <x:c r="B126" s="24" t="str">
        <x:v>스위치플랜</x:v>
      </x:c>
      <x:c r="C126" s="24" t="str">
        <x:v>SW-C-52수7832-1-20260526-10</x:v>
      </x:c>
      <x:c r="D126" s="24" t="str">
        <x:v>52수7832</x:v>
      </x:c>
      <x:c r="E126" s="24" t="str">
        <x:v>손영태</x:v>
      </x:c>
      <x:c r="F126" s="24" t="str">
        <x:v>2026-08</x:v>
      </x:c>
      <x:c r="G126" s="30" t="n">
        <x:v>46259</x:v>
      </x:c>
      <x:c r="H126" s="32" t="n">
        <x:v>780000</x:v>
      </x:c>
      <x:c r="I126" s="32"/>
      <x:c r="J126" s="32" t="n">
        <x:v>1510000</x:v>
      </x:c>
      <x:c r="K126" s="30"/>
      <x:c r="L126" s="24" t="str"/>
      <x:c r="M126" s="31" t="n">
        <x:f>IF(AND(N126="미수",G126&lt;&gt;"",TODAY()&gt;G126),TODAY()-G126,0)</x:f>
        <x:v>0</x:v>
      </x:c>
      <x:c r="N126" s="24" t="str">
        <x:f>IF(J126&gt;0,"미수",IF(AND(H126&gt;0,I126&gt;=H126),"완납","미확인"))</x:f>
        <x:v>미수</x:v>
      </x:c>
      <x:c r="O126" s="31" t="n">
        <x:v>10</x:v>
      </x:c>
    </x:row>
    <x:row r="127" ht="17.25" customHeight="1">
      <x:c r="A127" s="24" t="str">
        <x:v>SW-B-52수7832-202607</x:v>
      </x:c>
      <x:c r="B127" s="24" t="str">
        <x:v>스위치플랜</x:v>
      </x:c>
      <x:c r="C127" s="24" t="str">
        <x:v>SW-C-52수7832-1-20260526-10</x:v>
      </x:c>
      <x:c r="D127" s="24" t="str">
        <x:v>52수7832</x:v>
      </x:c>
      <x:c r="E127" s="24" t="str">
        <x:v>손영태</x:v>
      </x:c>
      <x:c r="F127" s="24" t="str">
        <x:v>2026-07</x:v>
      </x:c>
      <x:c r="G127" s="30" t="n">
        <x:v>46228</x:v>
      </x:c>
      <x:c r="H127" s="32" t="n">
        <x:v>780000</x:v>
      </x:c>
      <x:c r="I127" s="32"/>
      <x:c r="J127" s="32" t="n">
        <x:v>730000</x:v>
      </x:c>
      <x:c r="K127" s="30"/>
      <x:c r="L127" s="24" t="str"/>
      <x:c r="M127" s="31" t="n">
        <x:f>IF(AND(N127="미수",G127&lt;&gt;"",TODAY()&gt;G127),TODAY()-G127,0)</x:f>
        <x:v>21</x:v>
      </x:c>
      <x:c r="N127" s="24" t="str">
        <x:f>IF(J127&gt;0,"미수",IF(AND(H127&gt;0,I127&gt;=H127),"완납","미확인"))</x:f>
        <x:v>미수</x:v>
      </x:c>
      <x:c r="O127" s="31" t="n">
        <x:v>10</x:v>
      </x:c>
    </x:row>
    <x:row r="128" ht="17.25" customHeight="1">
      <x:c r="A128" s="24" t="str">
        <x:v>SW-B-52수7832-202606</x:v>
      </x:c>
      <x:c r="B128" s="24" t="str">
        <x:v>스위치플랜</x:v>
      </x:c>
      <x:c r="C128" s="24" t="str">
        <x:v>SW-C-52수7832-1-20260526-10</x:v>
      </x:c>
      <x:c r="D128" s="24" t="str">
        <x:v>52수7832</x:v>
      </x:c>
      <x:c r="E128" s="24" t="str">
        <x:v>손영태</x:v>
      </x:c>
      <x:c r="F128" s="24" t="str">
        <x:v>2026-06</x:v>
      </x:c>
      <x:c r="G128" s="30" t="n">
        <x:v>46198</x:v>
      </x:c>
      <x:c r="H128" s="32" t="n">
        <x:v>780000</x:v>
      </x:c>
      <x:c r="I128" s="32" t="n">
        <x:v>830000</x:v>
      </x:c>
      <x:c r="J128" s="32" t="n">
        <x:v>-50000</x:v>
      </x:c>
      <x:c r="K128" s="30" t="n">
        <x:v>46200</x:v>
      </x:c>
      <x:c r="L128" s="24" t="str">
        <x:v>입금</x:v>
      </x:c>
      <x:c r="M128" s="31" t="n">
        <x:f>IF(AND(N128="미수",G128&lt;&gt;"",TODAY()&gt;G128),TODAY()-G128,0)</x:f>
        <x:v>0</x:v>
      </x:c>
      <x:c r="N128" s="24" t="str">
        <x:f>IF(J128&gt;0,"미수",IF(AND(H128&gt;0,I128&gt;=H128),"완납","미확인"))</x:f>
        <x:v>완납</x:v>
      </x:c>
      <x:c r="O128" s="31" t="n">
        <x:v>10</x:v>
      </x:c>
    </x:row>
    <x:row r="129" ht="17.25" customHeight="1">
      <x:c r="A129" s="24" t="str">
        <x:v>SW-B-52수7832-202605</x:v>
      </x:c>
      <x:c r="B129" s="24" t="str">
        <x:v>스위치플랜</x:v>
      </x:c>
      <x:c r="C129" s="24" t="str">
        <x:v>SW-C-52수7832-1-20260526-10</x:v>
      </x:c>
      <x:c r="D129" s="24" t="str">
        <x:v>52수7832</x:v>
      </x:c>
      <x:c r="E129" s="24" t="str">
        <x:v>손영태</x:v>
      </x:c>
      <x:c r="F129" s="24" t="str">
        <x:v>2026-05</x:v>
      </x:c>
      <x:c r="G129" s="30" t="n">
        <x:v>46167</x:v>
      </x:c>
      <x:c r="H129" s="32" t="n">
        <x:v>780000</x:v>
      </x:c>
      <x:c r="I129" s="32" t="n">
        <x:v>780000</x:v>
      </x:c>
      <x:c r="J129" s="32" t="n">
        <x:v>0</x:v>
      </x:c>
      <x:c r="K129" s="30" t="n">
        <x:v>46165</x:v>
      </x:c>
      <x:c r="L129" s="24" t="str">
        <x:v>입금</x:v>
      </x:c>
      <x:c r="M129" s="31" t="n">
        <x:f>IF(AND(N129="미수",G129&lt;&gt;"",TODAY()&gt;G129),TODAY()-G129,0)</x:f>
        <x:v>0</x:v>
      </x:c>
      <x:c r="N129" s="24" t="str">
        <x:f>IF(J129&gt;0,"미수",IF(AND(H129&gt;0,I129&gt;=H129),"완납","미확인"))</x:f>
        <x:v>완납</x:v>
      </x:c>
      <x:c r="O129" s="31" t="n">
        <x:v>10</x:v>
      </x:c>
    </x:row>
    <x:row r="130" ht="17.25" customHeight="1">
      <x:c r="A130" s="24" t="str">
        <x:v>SW-B-52수7832-202604</x:v>
      </x:c>
      <x:c r="B130" s="24" t="str">
        <x:v>스위치플랜</x:v>
      </x:c>
      <x:c r="C130" s="24" t="str">
        <x:v>SW-C-52수7832-2-20251121-10</x:v>
      </x:c>
      <x:c r="D130" s="24" t="str">
        <x:v>52수7832</x:v>
      </x:c>
      <x:c r="E130" s="24" t="str">
        <x:v>손영태</x:v>
      </x:c>
      <x:c r="F130" s="24" t="str">
        <x:v>2026-04</x:v>
      </x:c>
      <x:c r="G130" s="30" t="n">
        <x:v>46137</x:v>
      </x:c>
      <x:c r="H130" s="32" t="n">
        <x:v>0</x:v>
      </x:c>
      <x:c r="I130" s="32"/>
      <x:c r="J130" s="32" t="n">
        <x:v>0</x:v>
      </x:c>
      <x:c r="K130" s="30"/>
      <x:c r="L130" s="24" t="str"/>
      <x:c r="M130" s="31" t="n">
        <x:f>IF(AND(N130="미수",G130&lt;&gt;"",TODAY()&gt;G130),TODAY()-G130,0)</x:f>
        <x:v>0</x:v>
      </x:c>
      <x:c r="N130" s="24" t="str">
        <x:f>IF(J130&gt;0,"미수",IF(AND(H130&gt;0,I130&gt;=H130),"완납","미확인"))</x:f>
        <x:v>미확인</x:v>
      </x:c>
      <x:c r="O130" s="31" t="n">
        <x:v>10</x:v>
      </x:c>
    </x:row>
    <x:row r="131" ht="17.25" customHeight="1">
      <x:c r="A131" s="24" t="str">
        <x:v>SW-B-52수7832-202603</x:v>
      </x:c>
      <x:c r="B131" s="24" t="str">
        <x:v>스위치플랜</x:v>
      </x:c>
      <x:c r="C131" s="24" t="str">
        <x:v>SW-C-52수7832-2-20251121-10</x:v>
      </x:c>
      <x:c r="D131" s="24" t="str">
        <x:v>52수7832</x:v>
      </x:c>
      <x:c r="E131" s="24" t="str">
        <x:v>손영태</x:v>
      </x:c>
      <x:c r="F131" s="24" t="str">
        <x:v>2026-03</x:v>
      </x:c>
      <x:c r="G131" s="30" t="n">
        <x:v>46106</x:v>
      </x:c>
      <x:c r="H131" s="32" t="n">
        <x:v>990000</x:v>
      </x:c>
      <x:c r="I131" s="32" t="n">
        <x:v>990000</x:v>
      </x:c>
      <x:c r="J131" s="32" t="n">
        <x:v>0</x:v>
      </x:c>
      <x:c r="K131" s="30" t="n">
        <x:v>46111</x:v>
      </x:c>
      <x:c r="L131" s="24" t="str">
        <x:v>입금</x:v>
      </x:c>
      <x:c r="M131" s="31" t="n">
        <x:f>IF(AND(N131="미수",G131&lt;&gt;"",TODAY()&gt;G131),TODAY()-G131,0)</x:f>
        <x:v>0</x:v>
      </x:c>
      <x:c r="N131" s="24" t="str">
        <x:f>IF(J131&gt;0,"미수",IF(AND(H131&gt;0,I131&gt;=H131),"완납","미확인"))</x:f>
        <x:v>완납</x:v>
      </x:c>
      <x:c r="O131" s="31" t="n">
        <x:v>10</x:v>
      </x:c>
    </x:row>
    <x:row r="132" ht="17.25" customHeight="1">
      <x:c r="A132" s="24" t="str">
        <x:v>SW-B-52수7832-202602</x:v>
      </x:c>
      <x:c r="B132" s="24" t="str">
        <x:v>스위치플랜</x:v>
      </x:c>
      <x:c r="C132" s="24" t="str">
        <x:v>SW-C-52수7832-2-20251121-10</x:v>
      </x:c>
      <x:c r="D132" s="24" t="str">
        <x:v>52수7832</x:v>
      </x:c>
      <x:c r="E132" s="24" t="str">
        <x:v>손영태</x:v>
      </x:c>
      <x:c r="F132" s="24" t="str">
        <x:v>2026-02</x:v>
      </x:c>
      <x:c r="G132" s="30" t="n">
        <x:v>46078</x:v>
      </x:c>
      <x:c r="H132" s="32" t="n">
        <x:v>990000</x:v>
      </x:c>
      <x:c r="I132" s="32" t="n">
        <x:v>990000</x:v>
      </x:c>
      <x:c r="J132" s="32" t="n">
        <x:v>0</x:v>
      </x:c>
      <x:c r="K132" s="30" t="n">
        <x:v>46074</x:v>
      </x:c>
      <x:c r="L132" s="24" t="str">
        <x:v>입금</x:v>
      </x:c>
      <x:c r="M132" s="31" t="n">
        <x:f>IF(AND(N132="미수",G132&lt;&gt;"",TODAY()&gt;G132),TODAY()-G132,0)</x:f>
        <x:v>0</x:v>
      </x:c>
      <x:c r="N132" s="24" t="str">
        <x:f>IF(J132&gt;0,"미수",IF(AND(H132&gt;0,I132&gt;=H132),"완납","미확인"))</x:f>
        <x:v>완납</x:v>
      </x:c>
      <x:c r="O132" s="31" t="n">
        <x:v>10</x:v>
      </x:c>
    </x:row>
    <x:row r="133" ht="17.25" customHeight="1">
      <x:c r="A133" s="24" t="str">
        <x:v>SW-B-52수7832-202601</x:v>
      </x:c>
      <x:c r="B133" s="24" t="str">
        <x:v>스위치플랜</x:v>
      </x:c>
      <x:c r="C133" s="24" t="str">
        <x:v>SW-C-52수7832-2-20251121-10</x:v>
      </x:c>
      <x:c r="D133" s="24" t="str">
        <x:v>52수7832</x:v>
      </x:c>
      <x:c r="E133" s="24" t="str">
        <x:v>손영태</x:v>
      </x:c>
      <x:c r="F133" s="24" t="str">
        <x:v>2026-01</x:v>
      </x:c>
      <x:c r="G133" s="30" t="n">
        <x:v>46047</x:v>
      </x:c>
      <x:c r="H133" s="32" t="n">
        <x:v>990000</x:v>
      </x:c>
      <x:c r="I133" s="32" t="n">
        <x:v>990000</x:v>
      </x:c>
      <x:c r="J133" s="32" t="n">
        <x:v>0</x:v>
      </x:c>
      <x:c r="K133" s="30" t="n">
        <x:v>46052</x:v>
      </x:c>
      <x:c r="L133" s="24" t="str">
        <x:v>입금</x:v>
      </x:c>
      <x:c r="M133" s="31" t="n">
        <x:f>IF(AND(N133="미수",G133&lt;&gt;"",TODAY()&gt;G133),TODAY()-G133,0)</x:f>
        <x:v>0</x:v>
      </x:c>
      <x:c r="N133" s="24" t="str">
        <x:f>IF(J133&gt;0,"미수",IF(AND(H133&gt;0,I133&gt;=H133),"완납","미확인"))</x:f>
        <x:v>완납</x:v>
      </x:c>
      <x:c r="O133" s="31" t="n">
        <x:v>10</x:v>
      </x:c>
    </x:row>
    <x:row r="134" ht="17.25" customHeight="1">
      <x:c r="A134" s="24" t="str">
        <x:v>SW-B-52수7832-202512</x:v>
      </x:c>
      <x:c r="B134" s="24" t="str">
        <x:v>스위치플랜</x:v>
      </x:c>
      <x:c r="C134" s="24" t="str">
        <x:v>SW-C-52수7832-2-20251121-10</x:v>
      </x:c>
      <x:c r="D134" s="24" t="str">
        <x:v>52수7832</x:v>
      </x:c>
      <x:c r="E134" s="24" t="str">
        <x:v>손영태</x:v>
      </x:c>
      <x:c r="F134" s="24" t="str">
        <x:v>2025-12</x:v>
      </x:c>
      <x:c r="G134" s="30" t="n">
        <x:v>46016</x:v>
      </x:c>
      <x:c r="H134" s="32" t="n">
        <x:v>990000</x:v>
      </x:c>
      <x:c r="I134" s="32" t="n">
        <x:v>990000</x:v>
      </x:c>
      <x:c r="J134" s="32" t="n">
        <x:v>0</x:v>
      </x:c>
      <x:c r="K134" s="30" t="n">
        <x:v>46013</x:v>
      </x:c>
      <x:c r="L134" s="24" t="str">
        <x:v>입금</x:v>
      </x:c>
      <x:c r="M134" s="31" t="n">
        <x:f>IF(AND(N134="미수",G134&lt;&gt;"",TODAY()&gt;G134),TODAY()-G134,0)</x:f>
        <x:v>0</x:v>
      </x:c>
      <x:c r="N134" s="24" t="str">
        <x:f>IF(J134&gt;0,"미수",IF(AND(H134&gt;0,I134&gt;=H134),"완납","미확인"))</x:f>
        <x:v>완납</x:v>
      </x:c>
      <x:c r="O134" s="31" t="n">
        <x:v>10</x:v>
      </x:c>
    </x:row>
    <x:row r="135" ht="17.25" customHeight="1">
      <x:c r="A135" s="24" t="str">
        <x:v>SW-B-52수7832-202511</x:v>
      </x:c>
      <x:c r="B135" s="24" t="str">
        <x:v>스위치플랜</x:v>
      </x:c>
      <x:c r="C135" s="24" t="str">
        <x:v>SW-C-52수7832-2-20251121-10</x:v>
      </x:c>
      <x:c r="D135" s="24" t="str">
        <x:v>52수7832</x:v>
      </x:c>
      <x:c r="E135" s="24" t="str">
        <x:v>손영태</x:v>
      </x:c>
      <x:c r="F135" s="24" t="str">
        <x:v>2025-11</x:v>
      </x:c>
      <x:c r="G135" s="30" t="n">
        <x:v>45986</x:v>
      </x:c>
      <x:c r="H135" s="32" t="n">
        <x:v>990000</x:v>
      </x:c>
      <x:c r="I135" s="32" t="n">
        <x:v>990000</x:v>
      </x:c>
      <x:c r="J135" s="32" t="n">
        <x:v>0</x:v>
      </x:c>
      <x:c r="K135" s="30" t="n">
        <x:v>45981</x:v>
      </x:c>
      <x:c r="L135" s="24" t="str">
        <x:v>입금</x:v>
      </x:c>
      <x:c r="M135" s="31" t="n">
        <x:f>IF(AND(N135="미수",G135&lt;&gt;"",TODAY()&gt;G135),TODAY()-G135,0)</x:f>
        <x:v>0</x:v>
      </x:c>
      <x:c r="N135" s="24" t="str">
        <x:f>IF(J135&gt;0,"미수",IF(AND(H135&gt;0,I135&gt;=H135),"완납","미확인"))</x:f>
        <x:v>완납</x:v>
      </x:c>
      <x:c r="O135" s="31" t="n">
        <x:v>10</x:v>
      </x:c>
    </x:row>
    <x:row r="136" ht="17.25" customHeight="1">
      <x:c r="A136" s="24" t="str">
        <x:v>SW-B-52수7832-202510</x:v>
      </x:c>
      <x:c r="B136" s="24" t="str">
        <x:v>스위치플랜</x:v>
      </x:c>
      <x:c r="C136" s="24" t="str">
        <x:v>SW-C-52수7832-3-20250923-10</x:v>
      </x:c>
      <x:c r="D136" s="24" t="str">
        <x:v>52수7832</x:v>
      </x:c>
      <x:c r="E136" s="24" t="str">
        <x:v>손영태</x:v>
      </x:c>
      <x:c r="F136" s="24" t="str">
        <x:v>2025-10</x:v>
      </x:c>
      <x:c r="G136" s="30" t="n">
        <x:v>45955</x:v>
      </x:c>
      <x:c r="H136" s="32" t="n">
        <x:v>1030000</x:v>
      </x:c>
      <x:c r="I136" s="32"/>
      <x:c r="J136" s="32"/>
      <x:c r="K136" s="30"/>
      <x:c r="L136" s="24" t="str"/>
      <x:c r="M136" s="31" t="n">
        <x:f>IF(AND(N136="미수",G136&lt;&gt;"",TODAY()&gt;G136),TODAY()-G136,0)</x:f>
        <x:v>0</x:v>
      </x:c>
      <x:c r="N136" s="24" t="str">
        <x:f>IF(J136&gt;0,"미수",IF(AND(H136&gt;0,I136&gt;=H136),"완납","미확인"))</x:f>
        <x:v>미확인</x:v>
      </x:c>
      <x:c r="O136" s="31" t="n">
        <x:v>10</x:v>
      </x:c>
    </x:row>
    <x:row r="137" ht="17.25" customHeight="1">
      <x:c r="A137" s="24" t="str">
        <x:v>SW-B-52수7832-202509</x:v>
      </x:c>
      <x:c r="B137" s="24" t="str">
        <x:v>스위치플랜</x:v>
      </x:c>
      <x:c r="C137" s="24" t="str">
        <x:v>SW-C-52수7832-3-20250923-10</x:v>
      </x:c>
      <x:c r="D137" s="24" t="str">
        <x:v>52수7832</x:v>
      </x:c>
      <x:c r="E137" s="24" t="str">
        <x:v>손영태</x:v>
      </x:c>
      <x:c r="F137" s="24" t="str">
        <x:v>2025-09</x:v>
      </x:c>
      <x:c r="G137" s="30" t="n">
        <x:v>45925</x:v>
      </x:c>
      <x:c r="H137" s="32" t="n">
        <x:v>1130000</x:v>
      </x:c>
      <x:c r="I137" s="32" t="n">
        <x:v>1130000</x:v>
      </x:c>
      <x:c r="J137" s="32" t="n">
        <x:v>0</x:v>
      </x:c>
      <x:c r="K137" s="30" t="n">
        <x:v>45899</x:v>
      </x:c>
      <x:c r="L137" s="24" t="str">
        <x:v>입금</x:v>
      </x:c>
      <x:c r="M137" s="31" t="n">
        <x:f>IF(AND(N137="미수",G137&lt;&gt;"",TODAY()&gt;G137),TODAY()-G137,0)</x:f>
        <x:v>0</x:v>
      </x:c>
      <x:c r="N137" s="24" t="str">
        <x:f>IF(J137&gt;0,"미수",IF(AND(H137&gt;0,I137&gt;=H137),"완납","미확인"))</x:f>
        <x:v>완납</x:v>
      </x:c>
      <x:c r="O137" s="31" t="n">
        <x:v>10</x:v>
      </x:c>
    </x:row>
    <x:row r="138" ht="17.25" customHeight="1">
      <x:c r="A138" s="24" t="str">
        <x:v>SW-B-52수7832-202508</x:v>
      </x:c>
      <x:c r="B138" s="24" t="str">
        <x:v>스위치플랜</x:v>
      </x:c>
      <x:c r="C138" s="24" t="str">
        <x:v>SW-C-52수7832-4-20250604-10</x:v>
      </x:c>
      <x:c r="D138" s="24" t="str">
        <x:v>52수7832</x:v>
      </x:c>
      <x:c r="E138" s="24" t="str">
        <x:v>손영태</x:v>
      </x:c>
      <x:c r="F138" s="24" t="str">
        <x:v>2025-08</x:v>
      </x:c>
      <x:c r="G138" s="30" t="n">
        <x:v>45894</x:v>
      </x:c>
      <x:c r="H138" s="32" t="n">
        <x:v>1130000</x:v>
      </x:c>
      <x:c r="I138" s="32" t="n">
        <x:v>1130000</x:v>
      </x:c>
      <x:c r="J138" s="32" t="n">
        <x:v>0</x:v>
      </x:c>
      <x:c r="K138" s="30" t="n">
        <x:v>45874</x:v>
      </x:c>
      <x:c r="L138" s="24" t="str">
        <x:v>입금</x:v>
      </x:c>
      <x:c r="M138" s="31" t="n">
        <x:f>IF(AND(N138="미수",G138&lt;&gt;"",TODAY()&gt;G138),TODAY()-G138,0)</x:f>
        <x:v>0</x:v>
      </x:c>
      <x:c r="N138" s="24" t="str">
        <x:f>IF(J138&gt;0,"미수",IF(AND(H138&gt;0,I138&gt;=H138),"완납","미확인"))</x:f>
        <x:v>완납</x:v>
      </x:c>
      <x:c r="O138" s="31" t="n">
        <x:v>10</x:v>
      </x:c>
    </x:row>
    <x:row r="139" ht="17.25" customHeight="1">
      <x:c r="A139" s="24" t="str">
        <x:v>SW-B-52수7832-202507</x:v>
      </x:c>
      <x:c r="B139" s="24" t="str">
        <x:v>스위치플랜</x:v>
      </x:c>
      <x:c r="C139" s="24" t="str">
        <x:v>SW-C-52수7832-4-20250604-10</x:v>
      </x:c>
      <x:c r="D139" s="24" t="str">
        <x:v>52수7832</x:v>
      </x:c>
      <x:c r="E139" s="24" t="str">
        <x:v>손영태</x:v>
      </x:c>
      <x:c r="F139" s="24" t="str">
        <x:v>2025-07</x:v>
      </x:c>
      <x:c r="G139" s="30" t="n">
        <x:v>45863</x:v>
      </x:c>
      <x:c r="H139" s="32" t="n">
        <x:v>1130000</x:v>
      </x:c>
      <x:c r="I139" s="32" t="n">
        <x:v>1130000</x:v>
      </x:c>
      <x:c r="J139" s="32" t="n">
        <x:v>0</x:v>
      </x:c>
      <x:c r="K139" s="30" t="n">
        <x:v>45840</x:v>
      </x:c>
      <x:c r="L139" s="24" t="str">
        <x:v>입금</x:v>
      </x:c>
      <x:c r="M139" s="31" t="n">
        <x:f>IF(AND(N139="미수",G139&lt;&gt;"",TODAY()&gt;G139),TODAY()-G139,0)</x:f>
        <x:v>0</x:v>
      </x:c>
      <x:c r="N139" s="24" t="str">
        <x:f>IF(J139&gt;0,"미수",IF(AND(H139&gt;0,I139&gt;=H139),"완납","미확인"))</x:f>
        <x:v>완납</x:v>
      </x:c>
      <x:c r="O139" s="31" t="n">
        <x:v>10</x:v>
      </x:c>
    </x:row>
    <x:row r="140" ht="17.25" customHeight="1">
      <x:c r="A140" s="24" t="str">
        <x:v>SW-B-52수7832-202506</x:v>
      </x:c>
      <x:c r="B140" s="24" t="str">
        <x:v>스위치플랜</x:v>
      </x:c>
      <x:c r="C140" s="24" t="str">
        <x:v>SW-C-52수7832-4-20250604-10</x:v>
      </x:c>
      <x:c r="D140" s="24" t="str">
        <x:v>52수7832</x:v>
      </x:c>
      <x:c r="E140" s="24" t="str">
        <x:v>손영태</x:v>
      </x:c>
      <x:c r="F140" s="24" t="str">
        <x:v>2025-06</x:v>
      </x:c>
      <x:c r="G140" s="30" t="n">
        <x:v>45833</x:v>
      </x:c>
      <x:c r="H140" s="32" t="n">
        <x:v>1130000</x:v>
      </x:c>
      <x:c r="I140" s="32" t="n">
        <x:v>1130000</x:v>
      </x:c>
      <x:c r="J140" s="32" t="n">
        <x:v>0</x:v>
      </x:c>
      <x:c r="K140" s="30" t="n">
        <x:v>45807</x:v>
      </x:c>
      <x:c r="L140" s="24" t="str">
        <x:v>입금</x:v>
      </x:c>
      <x:c r="M140" s="31" t="n">
        <x:f>IF(AND(N140="미수",G140&lt;&gt;"",TODAY()&gt;G140),TODAY()-G140,0)</x:f>
        <x:v>0</x:v>
      </x:c>
      <x:c r="N140" s="24" t="str">
        <x:f>IF(J140&gt;0,"미수",IF(AND(H140&gt;0,I140&gt;=H140),"완납","미확인"))</x:f>
        <x:v>완납</x:v>
      </x:c>
      <x:c r="O140" s="31" t="n">
        <x:v>10</x:v>
      </x:c>
    </x:row>
    <x:row r="141" ht="17.25" customHeight="1">
      <x:c r="A141" s="24" t="str">
        <x:v>SW-B-36머9150-202608</x:v>
      </x:c>
      <x:c r="B141" s="24" t="str">
        <x:v>스위치플랜</x:v>
      </x:c>
      <x:c r="C141" s="24" t="str">
        <x:v>SW-C-36머9150-1-NA-11</x:v>
      </x:c>
      <x:c r="D141" s="24" t="str">
        <x:v>36머9150</x:v>
      </x:c>
      <x:c r="E141" s="24" t="str"/>
      <x:c r="F141" s="24" t="str">
        <x:v>2026-08</x:v>
      </x:c>
      <x:c r="G141" s="30"/>
      <x:c r="H141" s="32" t="n">
        <x:v>0</x:v>
      </x:c>
      <x:c r="I141" s="32"/>
      <x:c r="J141" s="32" t="n">
        <x:v>0</x:v>
      </x:c>
      <x:c r="K141" s="30"/>
      <x:c r="L141" s="24" t="str"/>
      <x:c r="M141" s="31" t="n">
        <x:f>IF(AND(N141="미수",G141&lt;&gt;"",TODAY()&gt;G141),TODAY()-G141,0)</x:f>
        <x:v>0</x:v>
      </x:c>
      <x:c r="N141" s="24" t="str">
        <x:f>IF(J141&gt;0,"미수",IF(AND(H141&gt;0,I141&gt;=H141),"완납","미확인"))</x:f>
        <x:v>미확인</x:v>
      </x:c>
      <x:c r="O141" s="31" t="n">
        <x:v>11</x:v>
      </x:c>
    </x:row>
    <x:row r="142" ht="17.25" customHeight="1">
      <x:c r="A142" s="24" t="str">
        <x:v>SW-B-36머9150-202607</x:v>
      </x:c>
      <x:c r="B142" s="24" t="str">
        <x:v>스위치플랜</x:v>
      </x:c>
      <x:c r="C142" s="24" t="str">
        <x:v>SW-C-36머9150-1-NA-11</x:v>
      </x:c>
      <x:c r="D142" s="24" t="str">
        <x:v>36머9150</x:v>
      </x:c>
      <x:c r="E142" s="24" t="str"/>
      <x:c r="F142" s="24" t="str">
        <x:v>2026-07</x:v>
      </x:c>
      <x:c r="G142" s="30"/>
      <x:c r="H142" s="32" t="n">
        <x:v>0</x:v>
      </x:c>
      <x:c r="I142" s="32"/>
      <x:c r="J142" s="32" t="n">
        <x:v>0</x:v>
      </x:c>
      <x:c r="K142" s="30"/>
      <x:c r="L142" s="24" t="str"/>
      <x:c r="M142" s="31" t="n">
        <x:f>IF(AND(N142="미수",G142&lt;&gt;"",TODAY()&gt;G142),TODAY()-G142,0)</x:f>
        <x:v>0</x:v>
      </x:c>
      <x:c r="N142" s="24" t="str">
        <x:f>IF(J142&gt;0,"미수",IF(AND(H142&gt;0,I142&gt;=H142),"완납","미확인"))</x:f>
        <x:v>미확인</x:v>
      </x:c>
      <x:c r="O142" s="31" t="n">
        <x:v>11</x:v>
      </x:c>
    </x:row>
    <x:row r="143" ht="17.25" customHeight="1">
      <x:c r="A143" s="24" t="str">
        <x:v>SW-B-36머9150-202606</x:v>
      </x:c>
      <x:c r="B143" s="24" t="str">
        <x:v>스위치플랜</x:v>
      </x:c>
      <x:c r="C143" s="24" t="str">
        <x:v>SW-C-36머9150-1-NA-11</x:v>
      </x:c>
      <x:c r="D143" s="24" t="str">
        <x:v>36머9150</x:v>
      </x:c>
      <x:c r="E143" s="24" t="str"/>
      <x:c r="F143" s="24" t="str">
        <x:v>2026-06</x:v>
      </x:c>
      <x:c r="G143" s="30"/>
      <x:c r="H143" s="32" t="n">
        <x:v>0</x:v>
      </x:c>
      <x:c r="I143" s="32"/>
      <x:c r="J143" s="32" t="n">
        <x:v>0</x:v>
      </x:c>
      <x:c r="K143" s="30"/>
      <x:c r="L143" s="24" t="str"/>
      <x:c r="M143" s="31" t="n">
        <x:f>IF(AND(N143="미수",G143&lt;&gt;"",TODAY()&gt;G143),TODAY()-G143,0)</x:f>
        <x:v>0</x:v>
      </x:c>
      <x:c r="N143" s="24" t="str">
        <x:f>IF(J143&gt;0,"미수",IF(AND(H143&gt;0,I143&gt;=H143),"완납","미확인"))</x:f>
        <x:v>미확인</x:v>
      </x:c>
      <x:c r="O143" s="31" t="n">
        <x:v>11</x:v>
      </x:c>
    </x:row>
    <x:row r="144" ht="17.25" customHeight="1">
      <x:c r="A144" s="24" t="str">
        <x:v>SW-B-36머9150-202605</x:v>
      </x:c>
      <x:c r="B144" s="24" t="str">
        <x:v>스위치플랜</x:v>
      </x:c>
      <x:c r="C144" s="24" t="str">
        <x:v>SW-C-36머9150-1-NA-11</x:v>
      </x:c>
      <x:c r="D144" s="24" t="str">
        <x:v>36머9150</x:v>
      </x:c>
      <x:c r="E144" s="24" t="str"/>
      <x:c r="F144" s="24" t="str">
        <x:v>2026-05</x:v>
      </x:c>
      <x:c r="G144" s="30"/>
      <x:c r="H144" s="32" t="n">
        <x:v>720000</x:v>
      </x:c>
      <x:c r="I144" s="32"/>
      <x:c r="J144" s="32" t="n">
        <x:v>720000</x:v>
      </x:c>
      <x:c r="K144" s="30"/>
      <x:c r="L144" s="24" t="str"/>
      <x:c r="M144" s="31" t="n">
        <x:f>IF(AND(N144="미수",G144&lt;&gt;"",TODAY()&gt;G144),TODAY()-G144,0)</x:f>
        <x:v>0</x:v>
      </x:c>
      <x:c r="N144" s="24" t="str">
        <x:f>IF(J144&gt;0,"미수",IF(AND(H144&gt;0,I144&gt;=H144),"완납","미확인"))</x:f>
        <x:v>미수</x:v>
      </x:c>
      <x:c r="O144" s="31" t="n">
        <x:v>11</x:v>
      </x:c>
    </x:row>
    <x:row r="145" ht="17.25" customHeight="1">
      <x:c r="A145" s="24" t="str">
        <x:v>SW-B-36머9150-202604</x:v>
      </x:c>
      <x:c r="B145" s="24" t="str">
        <x:v>스위치플랜</x:v>
      </x:c>
      <x:c r="C145" s="24" t="str">
        <x:v>SW-C-36머9150-1-NA-11</x:v>
      </x:c>
      <x:c r="D145" s="24" t="str">
        <x:v>36머9150</x:v>
      </x:c>
      <x:c r="E145" s="24" t="str"/>
      <x:c r="F145" s="24" t="str">
        <x:v>2026-04</x:v>
      </x:c>
      <x:c r="G145" s="30"/>
      <x:c r="H145" s="32" t="n">
        <x:v>0</x:v>
      </x:c>
      <x:c r="I145" s="32"/>
      <x:c r="J145" s="32" t="n">
        <x:v>0</x:v>
      </x:c>
      <x:c r="K145" s="30"/>
      <x:c r="L145" s="24" t="str"/>
      <x:c r="M145" s="31" t="n">
        <x:f>IF(AND(N145="미수",G145&lt;&gt;"",TODAY()&gt;G145),TODAY()-G145,0)</x:f>
        <x:v>0</x:v>
      </x:c>
      <x:c r="N145" s="24" t="str">
        <x:f>IF(J145&gt;0,"미수",IF(AND(H145&gt;0,I145&gt;=H145),"완납","미확인"))</x:f>
        <x:v>미확인</x:v>
      </x:c>
      <x:c r="O145" s="31" t="n">
        <x:v>11</x:v>
      </x:c>
    </x:row>
    <x:row r="146" ht="17.25" customHeight="1">
      <x:c r="A146" s="24" t="str">
        <x:v>SW-B-36머9150-202603</x:v>
      </x:c>
      <x:c r="B146" s="24" t="str">
        <x:v>스위치플랜</x:v>
      </x:c>
      <x:c r="C146" s="24" t="str">
        <x:v>SW-C-36머9150-1-NA-11</x:v>
      </x:c>
      <x:c r="D146" s="24" t="str">
        <x:v>36머9150</x:v>
      </x:c>
      <x:c r="E146" s="24" t="str"/>
      <x:c r="F146" s="24" t="str">
        <x:v>2026-03</x:v>
      </x:c>
      <x:c r="G146" s="30"/>
      <x:c r="H146" s="32" t="n">
        <x:v>730000</x:v>
      </x:c>
      <x:c r="I146" s="32" t="n">
        <x:v>730000</x:v>
      </x:c>
      <x:c r="J146" s="32" t="n">
        <x:v>0</x:v>
      </x:c>
      <x:c r="K146" s="30" t="n">
        <x:v>46089</x:v>
      </x:c>
      <x:c r="L146" s="24" t="str">
        <x:v>입금</x:v>
      </x:c>
      <x:c r="M146" s="31" t="n">
        <x:f>IF(AND(N146="미수",G146&lt;&gt;"",TODAY()&gt;G146),TODAY()-G146,0)</x:f>
        <x:v>0</x:v>
      </x:c>
      <x:c r="N146" s="24" t="str">
        <x:f>IF(J146&gt;0,"미수",IF(AND(H146&gt;0,I146&gt;=H146),"완납","미확인"))</x:f>
        <x:v>완납</x:v>
      </x:c>
      <x:c r="O146" s="31" t="n">
        <x:v>11</x:v>
      </x:c>
    </x:row>
    <x:row r="147" ht="17.25" customHeight="1">
      <x:c r="A147" s="24" t="str">
        <x:v>SW-B-36머9150-202602</x:v>
      </x:c>
      <x:c r="B147" s="24" t="str">
        <x:v>스위치플랜</x:v>
      </x:c>
      <x:c r="C147" s="24" t="str">
        <x:v>SW-C-36머9150-1-NA-11</x:v>
      </x:c>
      <x:c r="D147" s="24" t="str">
        <x:v>36머9150</x:v>
      </x:c>
      <x:c r="E147" s="24" t="str"/>
      <x:c r="F147" s="24" t="str">
        <x:v>2026-02</x:v>
      </x:c>
      <x:c r="G147" s="30"/>
      <x:c r="H147" s="32" t="n">
        <x:v>730000</x:v>
      </x:c>
      <x:c r="I147" s="32"/>
      <x:c r="J147" s="32" t="n">
        <x:v>730000</x:v>
      </x:c>
      <x:c r="K147" s="30"/>
      <x:c r="L147" s="24" t="str"/>
      <x:c r="M147" s="31" t="n">
        <x:f>IF(AND(N147="미수",G147&lt;&gt;"",TODAY()&gt;G147),TODAY()-G147,0)</x:f>
        <x:v>0</x:v>
      </x:c>
      <x:c r="N147" s="24" t="str">
        <x:f>IF(J147&gt;0,"미수",IF(AND(H147&gt;0,I147&gt;=H147),"완납","미확인"))</x:f>
        <x:v>미수</x:v>
      </x:c>
      <x:c r="O147" s="31" t="n">
        <x:v>11</x:v>
      </x:c>
    </x:row>
    <x:row r="148" ht="17.25" customHeight="1">
      <x:c r="A148" s="24" t="str">
        <x:v>SW-B-36머9150-202601</x:v>
      </x:c>
      <x:c r="B148" s="24" t="str">
        <x:v>스위치플랜</x:v>
      </x:c>
      <x:c r="C148" s="24" t="str">
        <x:v>SW-C-36머9150-1-NA-11</x:v>
      </x:c>
      <x:c r="D148" s="24" t="str">
        <x:v>36머9150</x:v>
      </x:c>
      <x:c r="E148" s="24" t="str"/>
      <x:c r="F148" s="24" t="str">
        <x:v>2026-01</x:v>
      </x:c>
      <x:c r="G148" s="30"/>
      <x:c r="H148" s="32" t="n">
        <x:v>730000</x:v>
      </x:c>
      <x:c r="I148" s="32" t="n">
        <x:v>730000</x:v>
      </x:c>
      <x:c r="J148" s="32" t="n">
        <x:v>0</x:v>
      </x:c>
      <x:c r="K148" s="30" t="n">
        <x:v>46034</x:v>
      </x:c>
      <x:c r="L148" s="24" t="str">
        <x:v>입금</x:v>
      </x:c>
      <x:c r="M148" s="31" t="n">
        <x:f>IF(AND(N148="미수",G148&lt;&gt;"",TODAY()&gt;G148),TODAY()-G148,0)</x:f>
        <x:v>0</x:v>
      </x:c>
      <x:c r="N148" s="24" t="str">
        <x:f>IF(J148&gt;0,"미수",IF(AND(H148&gt;0,I148&gt;=H148),"완납","미확인"))</x:f>
        <x:v>완납</x:v>
      </x:c>
      <x:c r="O148" s="31" t="n">
        <x:v>11</x:v>
      </x:c>
    </x:row>
    <x:row r="149" ht="17.25" customHeight="1">
      <x:c r="A149" s="24" t="str">
        <x:v>SW-B-36머9150-202512</x:v>
      </x:c>
      <x:c r="B149" s="24" t="str">
        <x:v>스위치플랜</x:v>
      </x:c>
      <x:c r="C149" s="24" t="str">
        <x:v>SW-C-36머9150-1-NA-11</x:v>
      </x:c>
      <x:c r="D149" s="24" t="str">
        <x:v>36머9150</x:v>
      </x:c>
      <x:c r="E149" s="24" t="str"/>
      <x:c r="F149" s="24" t="str">
        <x:v>2025-12</x:v>
      </x:c>
      <x:c r="G149" s="30"/>
      <x:c r="H149" s="32" t="n">
        <x:v>730000</x:v>
      </x:c>
      <x:c r="I149" s="32" t="n">
        <x:v>730000</x:v>
      </x:c>
      <x:c r="J149" s="32" t="n">
        <x:v>0</x:v>
      </x:c>
      <x:c r="K149" s="30" t="n">
        <x:v>46005</x:v>
      </x:c>
      <x:c r="L149" s="24" t="str">
        <x:v>입금</x:v>
      </x:c>
      <x:c r="M149" s="31" t="n">
        <x:f>IF(AND(N149="미수",G149&lt;&gt;"",TODAY()&gt;G149),TODAY()-G149,0)</x:f>
        <x:v>0</x:v>
      </x:c>
      <x:c r="N149" s="24" t="str">
        <x:f>IF(J149&gt;0,"미수",IF(AND(H149&gt;0,I149&gt;=H149),"완납","미확인"))</x:f>
        <x:v>완납</x:v>
      </x:c>
      <x:c r="O149" s="31" t="n">
        <x:v>11</x:v>
      </x:c>
    </x:row>
    <x:row r="150" ht="17.25" customHeight="1">
      <x:c r="A150" s="24" t="str">
        <x:v>SW-B-36머9150-202511</x:v>
      </x:c>
      <x:c r="B150" s="24" t="str">
        <x:v>스위치플랜</x:v>
      </x:c>
      <x:c r="C150" s="24" t="str">
        <x:v>SW-C-36머9150-1-NA-11</x:v>
      </x:c>
      <x:c r="D150" s="24" t="str">
        <x:v>36머9150</x:v>
      </x:c>
      <x:c r="E150" s="24" t="str"/>
      <x:c r="F150" s="24" t="str">
        <x:v>2025-11</x:v>
      </x:c>
      <x:c r="G150" s="30"/>
      <x:c r="H150" s="32" t="n">
        <x:v>730000</x:v>
      </x:c>
      <x:c r="I150" s="32" t="n">
        <x:v>730000</x:v>
      </x:c>
      <x:c r="J150" s="32" t="n">
        <x:v>0</x:v>
      </x:c>
      <x:c r="K150" s="30" t="n">
        <x:v>45975</x:v>
      </x:c>
      <x:c r="L150" s="24" t="str">
        <x:v>입금</x:v>
      </x:c>
      <x:c r="M150" s="31" t="n">
        <x:f>IF(AND(N150="미수",G150&lt;&gt;"",TODAY()&gt;G150),TODAY()-G150,0)</x:f>
        <x:v>0</x:v>
      </x:c>
      <x:c r="N150" s="24" t="str">
        <x:f>IF(J150&gt;0,"미수",IF(AND(H150&gt;0,I150&gt;=H150),"완납","미확인"))</x:f>
        <x:v>완납</x:v>
      </x:c>
      <x:c r="O150" s="31" t="n">
        <x:v>11</x:v>
      </x:c>
    </x:row>
    <x:row r="151" ht="17.25" customHeight="1">
      <x:c r="A151" s="24" t="str">
        <x:v>SW-B-36머9150-202510</x:v>
      </x:c>
      <x:c r="B151" s="24" t="str">
        <x:v>스위치플랜</x:v>
      </x:c>
      <x:c r="C151" s="24" t="str">
        <x:v>SW-C-36머9150-1-NA-11</x:v>
      </x:c>
      <x:c r="D151" s="24" t="str">
        <x:v>36머9150</x:v>
      </x:c>
      <x:c r="E151" s="24" t="str"/>
      <x:c r="F151" s="24" t="str">
        <x:v>2025-10</x:v>
      </x:c>
      <x:c r="G151" s="30"/>
      <x:c r="H151" s="32" t="n">
        <x:v>730000</x:v>
      </x:c>
      <x:c r="I151" s="32" t="n">
        <x:v>730000</x:v>
      </x:c>
      <x:c r="J151" s="32" t="n">
        <x:v>0</x:v>
      </x:c>
      <x:c r="K151" s="30" t="n">
        <x:v>45943</x:v>
      </x:c>
      <x:c r="L151" s="24" t="str">
        <x:v>입금</x:v>
      </x:c>
      <x:c r="M151" s="31" t="n">
        <x:f>IF(AND(N151="미수",G151&lt;&gt;"",TODAY()&gt;G151),TODAY()-G151,0)</x:f>
        <x:v>0</x:v>
      </x:c>
      <x:c r="N151" s="24" t="str">
        <x:f>IF(J151&gt;0,"미수",IF(AND(H151&gt;0,I151&gt;=H151),"완납","미확인"))</x:f>
        <x:v>완납</x:v>
      </x:c>
      <x:c r="O151" s="31" t="n">
        <x:v>11</x:v>
      </x:c>
    </x:row>
    <x:row r="152" ht="17.25" customHeight="1">
      <x:c r="A152" s="24" t="str">
        <x:v>SW-B-36머9150-202509</x:v>
      </x:c>
      <x:c r="B152" s="24" t="str">
        <x:v>스위치플랜</x:v>
      </x:c>
      <x:c r="C152" s="24" t="str">
        <x:v>SW-C-36머9150-1-NA-11</x:v>
      </x:c>
      <x:c r="D152" s="24" t="str">
        <x:v>36머9150</x:v>
      </x:c>
      <x:c r="E152" s="24" t="str"/>
      <x:c r="F152" s="24" t="str">
        <x:v>2025-09</x:v>
      </x:c>
      <x:c r="G152" s="30"/>
      <x:c r="H152" s="32" t="n">
        <x:v>730000</x:v>
      </x:c>
      <x:c r="I152" s="32" t="n">
        <x:v>730000</x:v>
      </x:c>
      <x:c r="J152" s="32" t="n">
        <x:v>0</x:v>
      </x:c>
      <x:c r="K152" s="30" t="n">
        <x:v>45912</x:v>
      </x:c>
      <x:c r="L152" s="24" t="str">
        <x:v>입금</x:v>
      </x:c>
      <x:c r="M152" s="31" t="n">
        <x:f>IF(AND(N152="미수",G152&lt;&gt;"",TODAY()&gt;G152),TODAY()-G152,0)</x:f>
        <x:v>0</x:v>
      </x:c>
      <x:c r="N152" s="24" t="str">
        <x:f>IF(J152&gt;0,"미수",IF(AND(H152&gt;0,I152&gt;=H152),"완납","미확인"))</x:f>
        <x:v>완납</x:v>
      </x:c>
      <x:c r="O152" s="31" t="n">
        <x:v>11</x:v>
      </x:c>
    </x:row>
    <x:row r="153" ht="17.25" customHeight="1">
      <x:c r="A153" s="24" t="str">
        <x:v>SW-B-36머9150-202508</x:v>
      </x:c>
      <x:c r="B153" s="24" t="str">
        <x:v>스위치플랜</x:v>
      </x:c>
      <x:c r="C153" s="24" t="str">
        <x:v>SW-C-36머9150-1-NA-11</x:v>
      </x:c>
      <x:c r="D153" s="24" t="str">
        <x:v>36머9150</x:v>
      </x:c>
      <x:c r="E153" s="24" t="str"/>
      <x:c r="F153" s="24" t="str">
        <x:v>2025-08</x:v>
      </x:c>
      <x:c r="G153" s="30"/>
      <x:c r="H153" s="32" t="n">
        <x:v>730000</x:v>
      </x:c>
      <x:c r="I153" s="32" t="n">
        <x:v>730000</x:v>
      </x:c>
      <x:c r="J153" s="32" t="n">
        <x:v>0</x:v>
      </x:c>
      <x:c r="K153" s="30" t="n">
        <x:v>45882</x:v>
      </x:c>
      <x:c r="L153" s="24" t="str">
        <x:v>입금</x:v>
      </x:c>
      <x:c r="M153" s="31" t="n">
        <x:f>IF(AND(N153="미수",G153&lt;&gt;"",TODAY()&gt;G153),TODAY()-G153,0)</x:f>
        <x:v>0</x:v>
      </x:c>
      <x:c r="N153" s="24" t="str">
        <x:f>IF(J153&gt;0,"미수",IF(AND(H153&gt;0,I153&gt;=H153),"완납","미확인"))</x:f>
        <x:v>완납</x:v>
      </x:c>
      <x:c r="O153" s="31" t="n">
        <x:v>11</x:v>
      </x:c>
    </x:row>
    <x:row r="154" ht="17.25" customHeight="1">
      <x:c r="A154" s="24" t="str">
        <x:v>SW-B-36머9150-202507</x:v>
      </x:c>
      <x:c r="B154" s="24" t="str">
        <x:v>스위치플랜</x:v>
      </x:c>
      <x:c r="C154" s="24" t="str">
        <x:v>SW-C-36머9150-1-NA-11</x:v>
      </x:c>
      <x:c r="D154" s="24" t="str">
        <x:v>36머9150</x:v>
      </x:c>
      <x:c r="E154" s="24" t="str"/>
      <x:c r="F154" s="24" t="str">
        <x:v>2025-07</x:v>
      </x:c>
      <x:c r="G154" s="30"/>
      <x:c r="H154" s="32" t="n">
        <x:v>730000</x:v>
      </x:c>
      <x:c r="I154" s="32" t="n">
        <x:v>730000</x:v>
      </x:c>
      <x:c r="J154" s="32" t="n">
        <x:v>0</x:v>
      </x:c>
      <x:c r="K154" s="30" t="n">
        <x:v>45852</x:v>
      </x:c>
      <x:c r="L154" s="24" t="str">
        <x:v>입금</x:v>
      </x:c>
      <x:c r="M154" s="31" t="n">
        <x:f>IF(AND(N154="미수",G154&lt;&gt;"",TODAY()&gt;G154),TODAY()-G154,0)</x:f>
        <x:v>0</x:v>
      </x:c>
      <x:c r="N154" s="24" t="str">
        <x:f>IF(J154&gt;0,"미수",IF(AND(H154&gt;0,I154&gt;=H154),"완납","미확인"))</x:f>
        <x:v>완납</x:v>
      </x:c>
      <x:c r="O154" s="31" t="n">
        <x:v>11</x:v>
      </x:c>
    </x:row>
    <x:row r="155" ht="17.25" customHeight="1">
      <x:c r="A155" s="24" t="str">
        <x:v>SW-B-36머9150-202506</x:v>
      </x:c>
      <x:c r="B155" s="24" t="str">
        <x:v>스위치플랜</x:v>
      </x:c>
      <x:c r="C155" s="24" t="str">
        <x:v>SW-C-36머9150-1-NA-11</x:v>
      </x:c>
      <x:c r="D155" s="24" t="str">
        <x:v>36머9150</x:v>
      </x:c>
      <x:c r="E155" s="24" t="str"/>
      <x:c r="F155" s="24" t="str">
        <x:v>2025-06</x:v>
      </x:c>
      <x:c r="G155" s="30"/>
      <x:c r="H155" s="32" t="n">
        <x:v>730000</x:v>
      </x:c>
      <x:c r="I155" s="32" t="n">
        <x:v>730000</x:v>
      </x:c>
      <x:c r="J155" s="32" t="n">
        <x:v>0</x:v>
      </x:c>
      <x:c r="K155" s="30" t="n">
        <x:v>45826</x:v>
      </x:c>
      <x:c r="L155" s="24" t="str">
        <x:v>입금</x:v>
      </x:c>
      <x:c r="M155" s="31" t="n">
        <x:f>IF(AND(N155="미수",G155&lt;&gt;"",TODAY()&gt;G155),TODAY()-G155,0)</x:f>
        <x:v>0</x:v>
      </x:c>
      <x:c r="N155" s="24" t="str">
        <x:f>IF(J155&gt;0,"미수",IF(AND(H155&gt;0,I155&gt;=H155),"완납","미확인"))</x:f>
        <x:v>완납</x:v>
      </x:c>
      <x:c r="O155" s="31" t="n">
        <x:v>11</x:v>
      </x:c>
    </x:row>
    <x:row r="156" ht="17.25" customHeight="1">
      <x:c r="A156" s="24" t="str">
        <x:v>SW-B-36머9150-202505</x:v>
      </x:c>
      <x:c r="B156" s="24" t="str">
        <x:v>스위치플랜</x:v>
      </x:c>
      <x:c r="C156" s="24" t="str">
        <x:v>SW-C-36머9150-1-NA-11</x:v>
      </x:c>
      <x:c r="D156" s="24" t="str">
        <x:v>36머9150</x:v>
      </x:c>
      <x:c r="E156" s="24" t="str"/>
      <x:c r="F156" s="24" t="str">
        <x:v>2025-05</x:v>
      </x:c>
      <x:c r="G156" s="30"/>
      <x:c r="H156" s="32" t="n">
        <x:v>730000</x:v>
      </x:c>
      <x:c r="I156" s="32" t="n">
        <x:v>730000</x:v>
      </x:c>
      <x:c r="J156" s="32" t="n">
        <x:v>0</x:v>
      </x:c>
      <x:c r="K156" s="30" t="n">
        <x:v>45784</x:v>
      </x:c>
      <x:c r="L156" s="24" t="str">
        <x:v>입금</x:v>
      </x:c>
      <x:c r="M156" s="31" t="n">
        <x:f>IF(AND(N156="미수",G156&lt;&gt;"",TODAY()&gt;G156),TODAY()-G156,0)</x:f>
        <x:v>0</x:v>
      </x:c>
      <x:c r="N156" s="24" t="str">
        <x:f>IF(J156&gt;0,"미수",IF(AND(H156&gt;0,I156&gt;=H156),"완납","미확인"))</x:f>
        <x:v>완납</x:v>
      </x:c>
      <x:c r="O156" s="31" t="n">
        <x:v>11</x:v>
      </x:c>
    </x:row>
    <x:row r="157" ht="17.25" customHeight="1">
      <x:c r="A157" s="24" t="str">
        <x:v>SW-B-36머9150-202504</x:v>
      </x:c>
      <x:c r="B157" s="24" t="str">
        <x:v>스위치플랜</x:v>
      </x:c>
      <x:c r="C157" s="24" t="str">
        <x:v>SW-C-36머9150-1-NA-11</x:v>
      </x:c>
      <x:c r="D157" s="24" t="str">
        <x:v>36머9150</x:v>
      </x:c>
      <x:c r="E157" s="24" t="str"/>
      <x:c r="F157" s="24" t="str">
        <x:v>2025-04</x:v>
      </x:c>
      <x:c r="G157" s="30"/>
      <x:c r="H157" s="32" t="n">
        <x:v>730000</x:v>
      </x:c>
      <x:c r="I157" s="32" t="n">
        <x:v>730000</x:v>
      </x:c>
      <x:c r="J157" s="32" t="n">
        <x:v>0</x:v>
      </x:c>
      <x:c r="K157" s="30" t="n">
        <x:v>45763</x:v>
      </x:c>
      <x:c r="L157" s="24" t="str">
        <x:v>입금</x:v>
      </x:c>
      <x:c r="M157" s="31" t="n">
        <x:f>IF(AND(N157="미수",G157&lt;&gt;"",TODAY()&gt;G157),TODAY()-G157,0)</x:f>
        <x:v>0</x:v>
      </x:c>
      <x:c r="N157" s="24" t="str">
        <x:f>IF(J157&gt;0,"미수",IF(AND(H157&gt;0,I157&gt;=H157),"완납","미확인"))</x:f>
        <x:v>완납</x:v>
      </x:c>
      <x:c r="O157" s="31" t="n">
        <x:v>11</x:v>
      </x:c>
    </x:row>
    <x:row r="158" ht="17.25" customHeight="1">
      <x:c r="A158" s="24" t="str">
        <x:v>SW-B-36머9150-202503</x:v>
      </x:c>
      <x:c r="B158" s="24" t="str">
        <x:v>스위치플랜</x:v>
      </x:c>
      <x:c r="C158" s="24" t="str">
        <x:v>SW-C-36머9150-1-NA-11</x:v>
      </x:c>
      <x:c r="D158" s="24" t="str">
        <x:v>36머9150</x:v>
      </x:c>
      <x:c r="E158" s="24" t="str"/>
      <x:c r="F158" s="24" t="str">
        <x:v>2025-03</x:v>
      </x:c>
      <x:c r="G158" s="30"/>
      <x:c r="H158" s="32" t="n">
        <x:v>730000</x:v>
      </x:c>
      <x:c r="I158" s="32" t="n">
        <x:v>730000</x:v>
      </x:c>
      <x:c r="J158" s="32" t="n">
        <x:v>0</x:v>
      </x:c>
      <x:c r="K158" s="30" t="n">
        <x:v>45735</x:v>
      </x:c>
      <x:c r="L158" s="24" t="str">
        <x:v>입금</x:v>
      </x:c>
      <x:c r="M158" s="31" t="n">
        <x:f>IF(AND(N158="미수",G158&lt;&gt;"",TODAY()&gt;G158),TODAY()-G158,0)</x:f>
        <x:v>0</x:v>
      </x:c>
      <x:c r="N158" s="24" t="str">
        <x:f>IF(J158&gt;0,"미수",IF(AND(H158&gt;0,I158&gt;=H158),"완납","미확인"))</x:f>
        <x:v>완납</x:v>
      </x:c>
      <x:c r="O158" s="31" t="n">
        <x:v>11</x:v>
      </x:c>
    </x:row>
    <x:row r="159" ht="17.25" customHeight="1">
      <x:c r="A159" s="24" t="str">
        <x:v>SW-B-36머9150-202502</x:v>
      </x:c>
      <x:c r="B159" s="24" t="str">
        <x:v>스위치플랜</x:v>
      </x:c>
      <x:c r="C159" s="24" t="str">
        <x:v>SW-C-36머9150-1-NA-11</x:v>
      </x:c>
      <x:c r="D159" s="24" t="str">
        <x:v>36머9150</x:v>
      </x:c>
      <x:c r="E159" s="24" t="str"/>
      <x:c r="F159" s="24" t="str">
        <x:v>2025-02</x:v>
      </x:c>
      <x:c r="G159" s="30"/>
      <x:c r="H159" s="32" t="n">
        <x:v>620000</x:v>
      </x:c>
      <x:c r="I159" s="32" t="n">
        <x:v>620000</x:v>
      </x:c>
      <x:c r="J159" s="32" t="n">
        <x:v>0</x:v>
      </x:c>
      <x:c r="K159" s="30" t="n">
        <x:v>45702</x:v>
      </x:c>
      <x:c r="L159" s="24" t="str">
        <x:v>입금</x:v>
      </x:c>
      <x:c r="M159" s="31" t="n">
        <x:f>IF(AND(N159="미수",G159&lt;&gt;"",TODAY()&gt;G159),TODAY()-G159,0)</x:f>
        <x:v>0</x:v>
      </x:c>
      <x:c r="N159" s="24" t="str">
        <x:f>IF(J159&gt;0,"미수",IF(AND(H159&gt;0,I159&gt;=H159),"완납","미확인"))</x:f>
        <x:v>완납</x:v>
      </x:c>
      <x:c r="O159" s="31" t="n">
        <x:v>11</x:v>
      </x:c>
    </x:row>
    <x:row r="160" ht="17.25" customHeight="1">
      <x:c r="A160" s="24" t="str">
        <x:v>SW-B-36머9150-202501</x:v>
      </x:c>
      <x:c r="B160" s="24" t="str">
        <x:v>스위치플랜</x:v>
      </x:c>
      <x:c r="C160" s="24" t="str">
        <x:v>SW-C-36머9150-1-NA-11</x:v>
      </x:c>
      <x:c r="D160" s="24" t="str">
        <x:v>36머9150</x:v>
      </x:c>
      <x:c r="E160" s="24" t="str"/>
      <x:c r="F160" s="24" t="str">
        <x:v>2025-01</x:v>
      </x:c>
      <x:c r="G160" s="30"/>
      <x:c r="H160" s="32" t="n">
        <x:v>0</x:v>
      </x:c>
      <x:c r="I160" s="32"/>
      <x:c r="J160" s="32" t="n">
        <x:v>0</x:v>
      </x:c>
      <x:c r="K160" s="30"/>
      <x:c r="L160" s="24" t="str"/>
      <x:c r="M160" s="31" t="n">
        <x:f>IF(AND(N160="미수",G160&lt;&gt;"",TODAY()&gt;G160),TODAY()-G160,0)</x:f>
        <x:v>0</x:v>
      </x:c>
      <x:c r="N160" s="24" t="str">
        <x:f>IF(J160&gt;0,"미수",IF(AND(H160&gt;0,I160&gt;=H160),"완납","미확인"))</x:f>
        <x:v>미확인</x:v>
      </x:c>
      <x:c r="O160" s="31" t="n">
        <x:v>11</x:v>
      </x:c>
    </x:row>
    <x:row r="161" ht="17.25" customHeight="1">
      <x:c r="A161" s="24" t="str">
        <x:v>SW-B-36머9150-202412</x:v>
      </x:c>
      <x:c r="B161" s="24" t="str">
        <x:v>스위치플랜</x:v>
      </x:c>
      <x:c r="C161" s="24" t="str">
        <x:v>SW-C-36머9150-1-NA-11</x:v>
      </x:c>
      <x:c r="D161" s="24" t="str">
        <x:v>36머9150</x:v>
      </x:c>
      <x:c r="E161" s="24" t="str"/>
      <x:c r="F161" s="24" t="str">
        <x:v>2024-12</x:v>
      </x:c>
      <x:c r="G161" s="30"/>
      <x:c r="H161" s="32" t="n">
        <x:v>730000</x:v>
      </x:c>
      <x:c r="I161" s="32" t="n">
        <x:v>730000</x:v>
      </x:c>
      <x:c r="J161" s="32" t="n">
        <x:v>0</x:v>
      </x:c>
      <x:c r="K161" s="30" t="n">
        <x:v>45624</x:v>
      </x:c>
      <x:c r="L161" s="24" t="str">
        <x:v>입금</x:v>
      </x:c>
      <x:c r="M161" s="31" t="n">
        <x:f>IF(AND(N161="미수",G161&lt;&gt;"",TODAY()&gt;G161),TODAY()-G161,0)</x:f>
        <x:v>0</x:v>
      </x:c>
      <x:c r="N161" s="24" t="str">
        <x:f>IF(J161&gt;0,"미수",IF(AND(H161&gt;0,I161&gt;=H161),"완납","미확인"))</x:f>
        <x:v>완납</x:v>
      </x:c>
      <x:c r="O161" s="31" t="n">
        <x:v>11</x:v>
      </x:c>
    </x:row>
    <x:row r="162" ht="17.25" customHeight="1">
      <x:c r="A162" s="24" t="str">
        <x:v>SW-B-07버3390-202608</x:v>
      </x:c>
      <x:c r="B162" s="24" t="str">
        <x:v>스위치플랜</x:v>
      </x:c>
      <x:c r="C162" s="24" t="str">
        <x:v>SW-C-07버3390-1-20250729-12</x:v>
      </x:c>
      <x:c r="D162" s="24" t="str">
        <x:v>07버3390</x:v>
      </x:c>
      <x:c r="E162" s="24" t="str">
        <x:v>유정란</x:v>
      </x:c>
      <x:c r="F162" s="24" t="str">
        <x:v>2026-08</x:v>
      </x:c>
      <x:c r="G162" s="30" t="n">
        <x:v>46259</x:v>
      </x:c>
      <x:c r="H162" s="32" t="n">
        <x:v>550000</x:v>
      </x:c>
      <x:c r="I162" s="32" t="n">
        <x:v>550000</x:v>
      </x:c>
      <x:c r="J162" s="32" t="n">
        <x:v>550000</x:v>
      </x:c>
      <x:c r="K162" s="30" t="n">
        <x:v>46237</x:v>
      </x:c>
      <x:c r="L162" s="24" t="str">
        <x:v>카드</x:v>
      </x:c>
      <x:c r="M162" s="31" t="n">
        <x:f>IF(AND(N162="미수",G162&lt;&gt;"",TODAY()&gt;G162),TODAY()-G162,0)</x:f>
        <x:v>0</x:v>
      </x:c>
      <x:c r="N162" s="24" t="str">
        <x:f>IF(J162&gt;0,"미수",IF(AND(H162&gt;0,I162&gt;=H162),"완납","미확인"))</x:f>
        <x:v>미수</x:v>
      </x:c>
      <x:c r="O162" s="31" t="n">
        <x:v>12</x:v>
      </x:c>
    </x:row>
    <x:row r="163" ht="17.25" customHeight="1">
      <x:c r="A163" s="24" t="str">
        <x:v>SW-B-07버3390-202607</x:v>
      </x:c>
      <x:c r="B163" s="24" t="str">
        <x:v>스위치플랜</x:v>
      </x:c>
      <x:c r="C163" s="24" t="str">
        <x:v>SW-C-07버3390-1-20250729-12</x:v>
      </x:c>
      <x:c r="D163" s="24" t="str">
        <x:v>07버3390</x:v>
      </x:c>
      <x:c r="E163" s="24" t="str">
        <x:v>유정란</x:v>
      </x:c>
      <x:c r="F163" s="24" t="str">
        <x:v>2026-07</x:v>
      </x:c>
      <x:c r="G163" s="30" t="n">
        <x:v>46228</x:v>
      </x:c>
      <x:c r="H163" s="32" t="n">
        <x:v>550000</x:v>
      </x:c>
      <x:c r="I163" s="32" t="n">
        <x:v>550000</x:v>
      </x:c>
      <x:c r="J163" s="32" t="n">
        <x:v>550000</x:v>
      </x:c>
      <x:c r="K163" s="30" t="n">
        <x:v>46204</x:v>
      </x:c>
      <x:c r="L163" s="24" t="str">
        <x:v>카드</x:v>
      </x:c>
      <x:c r="M163" s="31" t="n">
        <x:f>IF(AND(N163="미수",G163&lt;&gt;"",TODAY()&gt;G163),TODAY()-G163,0)</x:f>
        <x:v>21</x:v>
      </x:c>
      <x:c r="N163" s="24" t="str">
        <x:f>IF(J163&gt;0,"미수",IF(AND(H163&gt;0,I163&gt;=H163),"완납","미확인"))</x:f>
        <x:v>미수</x:v>
      </x:c>
      <x:c r="O163" s="31" t="n">
        <x:v>12</x:v>
      </x:c>
    </x:row>
    <x:row r="164" ht="17.25" customHeight="1">
      <x:c r="A164" s="24" t="str">
        <x:v>SW-B-07버3390-202606</x:v>
      </x:c>
      <x:c r="B164" s="24" t="str">
        <x:v>스위치플랜</x:v>
      </x:c>
      <x:c r="C164" s="24" t="str">
        <x:v>SW-C-07버3390-1-20250729-12</x:v>
      </x:c>
      <x:c r="D164" s="24" t="str">
        <x:v>07버3390</x:v>
      </x:c>
      <x:c r="E164" s="24" t="str">
        <x:v>유정란</x:v>
      </x:c>
      <x:c r="F164" s="24" t="str">
        <x:v>2026-06</x:v>
      </x:c>
      <x:c r="G164" s="30" t="n">
        <x:v>46198</x:v>
      </x:c>
      <x:c r="H164" s="32" t="n">
        <x:v>550000</x:v>
      </x:c>
      <x:c r="I164" s="32" t="n">
        <x:v>550000</x:v>
      </x:c>
      <x:c r="J164" s="32" t="n">
        <x:v>550000</x:v>
      </x:c>
      <x:c r="K164" s="30" t="n">
        <x:v>46174</x:v>
      </x:c>
      <x:c r="L164" s="24" t="str">
        <x:v>카드</x:v>
      </x:c>
      <x:c r="M164" s="31" t="n">
        <x:f>IF(AND(N164="미수",G164&lt;&gt;"",TODAY()&gt;G164),TODAY()-G164,0)</x:f>
        <x:v>51</x:v>
      </x:c>
      <x:c r="N164" s="24" t="str">
        <x:f>IF(J164&gt;0,"미수",IF(AND(H164&gt;0,I164&gt;=H164),"완납","미확인"))</x:f>
        <x:v>미수</x:v>
      </x:c>
      <x:c r="O164" s="31" t="n">
        <x:v>12</x:v>
      </x:c>
    </x:row>
    <x:row r="165" ht="17.25" customHeight="1">
      <x:c r="A165" s="24" t="str">
        <x:v>SW-B-07버3390-202605</x:v>
      </x:c>
      <x:c r="B165" s="24" t="str">
        <x:v>스위치플랜</x:v>
      </x:c>
      <x:c r="C165" s="24" t="str">
        <x:v>SW-C-07버3390-1-20250729-12</x:v>
      </x:c>
      <x:c r="D165" s="24" t="str">
        <x:v>07버3390</x:v>
      </x:c>
      <x:c r="E165" s="24" t="str">
        <x:v>유정란</x:v>
      </x:c>
      <x:c r="F165" s="24" t="str">
        <x:v>2026-05</x:v>
      </x:c>
      <x:c r="G165" s="30" t="n">
        <x:v>46167</x:v>
      </x:c>
      <x:c r="H165" s="32" t="n">
        <x:v>550000</x:v>
      </x:c>
      <x:c r="I165" s="32" t="n">
        <x:v>550000</x:v>
      </x:c>
      <x:c r="J165" s="32" t="n">
        <x:v>550000</x:v>
      </x:c>
      <x:c r="K165" s="30" t="n">
        <x:v>46150</x:v>
      </x:c>
      <x:c r="L165" s="24" t="str">
        <x:v>입금</x:v>
      </x:c>
      <x:c r="M165" s="31" t="n">
        <x:f>IF(AND(N165="미수",G165&lt;&gt;"",TODAY()&gt;G165),TODAY()-G165,0)</x:f>
        <x:v>82</x:v>
      </x:c>
      <x:c r="N165" s="24" t="str">
        <x:f>IF(J165&gt;0,"미수",IF(AND(H165&gt;0,I165&gt;=H165),"완납","미확인"))</x:f>
        <x:v>미수</x:v>
      </x:c>
      <x:c r="O165" s="31" t="n">
        <x:v>12</x:v>
      </x:c>
    </x:row>
    <x:row r="166" ht="17.25" customHeight="1">
      <x:c r="A166" s="24" t="str">
        <x:v>SW-B-07버3390-202604</x:v>
      </x:c>
      <x:c r="B166" s="24" t="str">
        <x:v>스위치플랜</x:v>
      </x:c>
      <x:c r="C166" s="24" t="str">
        <x:v>SW-C-07버3390-1-20250729-12</x:v>
      </x:c>
      <x:c r="D166" s="24" t="str">
        <x:v>07버3390</x:v>
      </x:c>
      <x:c r="E166" s="24" t="str">
        <x:v>유정란</x:v>
      </x:c>
      <x:c r="F166" s="24" t="str">
        <x:v>2026-04</x:v>
      </x:c>
      <x:c r="G166" s="30" t="n">
        <x:v>46137</x:v>
      </x:c>
      <x:c r="H166" s="32" t="n">
        <x:v>550000</x:v>
      </x:c>
      <x:c r="I166" s="32" t="n">
        <x:v>550000</x:v>
      </x:c>
      <x:c r="J166" s="32" t="n">
        <x:v>550000</x:v>
      </x:c>
      <x:c r="K166" s="30" t="n">
        <x:v>46120</x:v>
      </x:c>
      <x:c r="L166" s="24" t="str">
        <x:v>입금</x:v>
      </x:c>
      <x:c r="M166" s="31" t="n">
        <x:f>IF(AND(N166="미수",G166&lt;&gt;"",TODAY()&gt;G166),TODAY()-G166,0)</x:f>
        <x:v>112</x:v>
      </x:c>
      <x:c r="N166" s="24" t="str">
        <x:f>IF(J166&gt;0,"미수",IF(AND(H166&gt;0,I166&gt;=H166),"완납","미확인"))</x:f>
        <x:v>미수</x:v>
      </x:c>
      <x:c r="O166" s="31" t="n">
        <x:v>12</x:v>
      </x:c>
    </x:row>
    <x:row r="167" ht="17.25" customHeight="1">
      <x:c r="A167" s="24" t="str">
        <x:v>SW-B-07버3390-202603</x:v>
      </x:c>
      <x:c r="B167" s="24" t="str">
        <x:v>스위치플랜</x:v>
      </x:c>
      <x:c r="C167" s="24" t="str">
        <x:v>SW-C-07버3390-1-20250729-12</x:v>
      </x:c>
      <x:c r="D167" s="24" t="str">
        <x:v>07버3390</x:v>
      </x:c>
      <x:c r="E167" s="24" t="str">
        <x:v>유정란</x:v>
      </x:c>
      <x:c r="F167" s="24" t="str">
        <x:v>2026-03</x:v>
      </x:c>
      <x:c r="G167" s="30" t="n">
        <x:v>46106</x:v>
      </x:c>
      <x:c r="H167" s="32" t="n">
        <x:v>550000</x:v>
      </x:c>
      <x:c r="I167" s="32"/>
      <x:c r="J167" s="32" t="n">
        <x:v>550000</x:v>
      </x:c>
      <x:c r="K167" s="30"/>
      <x:c r="L167" s="24" t="str"/>
      <x:c r="M167" s="31" t="n">
        <x:f>IF(AND(N167="미수",G167&lt;&gt;"",TODAY()&gt;G167),TODAY()-G167,0)</x:f>
        <x:v>143</x:v>
      </x:c>
      <x:c r="N167" s="24" t="str">
        <x:f>IF(J167&gt;0,"미수",IF(AND(H167&gt;0,I167&gt;=H167),"완납","미확인"))</x:f>
        <x:v>미수</x:v>
      </x:c>
      <x:c r="O167" s="31" t="n">
        <x:v>12</x:v>
      </x:c>
    </x:row>
    <x:row r="168" ht="17.25" customHeight="1">
      <x:c r="A168" s="24" t="str">
        <x:v>SW-B-07버3390-202602</x:v>
      </x:c>
      <x:c r="B168" s="24" t="str">
        <x:v>스위치플랜</x:v>
      </x:c>
      <x:c r="C168" s="24" t="str">
        <x:v>SW-C-07버3390-1-20250729-12</x:v>
      </x:c>
      <x:c r="D168" s="24" t="str">
        <x:v>07버3390</x:v>
      </x:c>
      <x:c r="E168" s="24" t="str">
        <x:v>유정란</x:v>
      </x:c>
      <x:c r="F168" s="24" t="str">
        <x:v>2026-02</x:v>
      </x:c>
      <x:c r="G168" s="30" t="n">
        <x:v>46078</x:v>
      </x:c>
      <x:c r="H168" s="32" t="n">
        <x:v>550000</x:v>
      </x:c>
      <x:c r="I168" s="32"/>
      <x:c r="J168" s="32" t="n">
        <x:v>0</x:v>
      </x:c>
      <x:c r="K168" s="30"/>
      <x:c r="L168" s="24" t="str"/>
      <x:c r="M168" s="31" t="n">
        <x:f>IF(AND(N168="미수",G168&lt;&gt;"",TODAY()&gt;G168),TODAY()-G168,0)</x:f>
        <x:v>0</x:v>
      </x:c>
      <x:c r="N168" s="24" t="str">
        <x:f>IF(J168&gt;0,"미수",IF(AND(H168&gt;0,I168&gt;=H168),"완납","미확인"))</x:f>
        <x:v>미확인</x:v>
      </x:c>
      <x:c r="O168" s="31" t="n">
        <x:v>12</x:v>
      </x:c>
    </x:row>
    <x:row r="169" ht="17.25" customHeight="1">
      <x:c r="A169" s="24" t="str">
        <x:v>SW-B-07버3390-202601</x:v>
      </x:c>
      <x:c r="B169" s="24" t="str">
        <x:v>스위치플랜</x:v>
      </x:c>
      <x:c r="C169" s="24" t="str">
        <x:v>SW-C-07버3390-1-20250729-12</x:v>
      </x:c>
      <x:c r="D169" s="24" t="str">
        <x:v>07버3390</x:v>
      </x:c>
      <x:c r="E169" s="24" t="str">
        <x:v>유정란</x:v>
      </x:c>
      <x:c r="F169" s="24" t="str">
        <x:v>2026-01</x:v>
      </x:c>
      <x:c r="G169" s="30" t="n">
        <x:v>46047</x:v>
      </x:c>
      <x:c r="H169" s="32" t="n">
        <x:v>550000</x:v>
      </x:c>
      <x:c r="I169" s="32" t="n">
        <x:v>1100000</x:v>
      </x:c>
      <x:c r="J169" s="32" t="n">
        <x:v>-550000</x:v>
      </x:c>
      <x:c r="K169" s="30" t="n">
        <x:v>46031</x:v>
      </x:c>
      <x:c r="L169" s="24" t="str">
        <x:v>입금</x:v>
      </x:c>
      <x:c r="M169" s="31" t="n">
        <x:f>IF(AND(N169="미수",G169&lt;&gt;"",TODAY()&gt;G169),TODAY()-G169,0)</x:f>
        <x:v>0</x:v>
      </x:c>
      <x:c r="N169" s="24" t="str">
        <x:f>IF(J169&gt;0,"미수",IF(AND(H169&gt;0,I169&gt;=H169),"완납","미확인"))</x:f>
        <x:v>완납</x:v>
      </x:c>
      <x:c r="O169" s="31" t="n">
        <x:v>12</x:v>
      </x:c>
    </x:row>
    <x:row r="170" ht="17.25" customHeight="1">
      <x:c r="A170" s="24" t="str">
        <x:v>SW-B-07버3390-202512</x:v>
      </x:c>
      <x:c r="B170" s="24" t="str">
        <x:v>스위치플랜</x:v>
      </x:c>
      <x:c r="C170" s="24" t="str">
        <x:v>SW-C-07버3390-1-20250729-12</x:v>
      </x:c>
      <x:c r="D170" s="24" t="str">
        <x:v>07버3390</x:v>
      </x:c>
      <x:c r="E170" s="24" t="str">
        <x:v>유정란</x:v>
      </x:c>
      <x:c r="F170" s="24" t="str">
        <x:v>2025-12</x:v>
      </x:c>
      <x:c r="G170" s="30" t="n">
        <x:v>46016</x:v>
      </x:c>
      <x:c r="H170" s="32" t="n">
        <x:v>550000</x:v>
      </x:c>
      <x:c r="I170" s="32" t="n">
        <x:v>1100000</x:v>
      </x:c>
      <x:c r="J170" s="32" t="n">
        <x:v>0</x:v>
      </x:c>
      <x:c r="K170" s="30" t="n">
        <x:v>45992</x:v>
      </x:c>
      <x:c r="L170" s="24" t="str">
        <x:v>카드</x:v>
      </x:c>
      <x:c r="M170" s="31" t="n">
        <x:f>IF(AND(N170="미수",G170&lt;&gt;"",TODAY()&gt;G170),TODAY()-G170,0)</x:f>
        <x:v>0</x:v>
      </x:c>
      <x:c r="N170" s="24" t="str">
        <x:f>IF(J170&gt;0,"미수",IF(AND(H170&gt;0,I170&gt;=H170),"완납","미확인"))</x:f>
        <x:v>완납</x:v>
      </x:c>
      <x:c r="O170" s="31" t="n">
        <x:v>12</x:v>
      </x:c>
    </x:row>
    <x:row r="171" ht="17.25" customHeight="1">
      <x:c r="A171" s="24" t="str">
        <x:v>SW-B-07버3390-202511</x:v>
      </x:c>
      <x:c r="B171" s="24" t="str">
        <x:v>스위치플랜</x:v>
      </x:c>
      <x:c r="C171" s="24" t="str">
        <x:v>SW-C-07버3390-1-20250729-12</x:v>
      </x:c>
      <x:c r="D171" s="24" t="str">
        <x:v>07버3390</x:v>
      </x:c>
      <x:c r="E171" s="24" t="str">
        <x:v>유정란</x:v>
      </x:c>
      <x:c r="F171" s="24" t="str">
        <x:v>2025-11</x:v>
      </x:c>
      <x:c r="G171" s="30" t="n">
        <x:v>45986</x:v>
      </x:c>
      <x:c r="H171" s="32" t="n">
        <x:v>550000</x:v>
      </x:c>
      <x:c r="I171" s="32"/>
      <x:c r="J171" s="32" t="n">
        <x:v>550000</x:v>
      </x:c>
      <x:c r="K171" s="30"/>
      <x:c r="L171" s="24" t="str"/>
      <x:c r="M171" s="31" t="n">
        <x:f>IF(AND(N171="미수",G171&lt;&gt;"",TODAY()&gt;G171),TODAY()-G171,0)</x:f>
        <x:v>263</x:v>
      </x:c>
      <x:c r="N171" s="24" t="str">
        <x:f>IF(J171&gt;0,"미수",IF(AND(H171&gt;0,I171&gt;=H171),"완납","미확인"))</x:f>
        <x:v>미수</x:v>
      </x:c>
      <x:c r="O171" s="31" t="n">
        <x:v>12</x:v>
      </x:c>
    </x:row>
    <x:row r="172" ht="17.25" customHeight="1">
      <x:c r="A172" s="24" t="str">
        <x:v>SW-B-07버3390-202510</x:v>
      </x:c>
      <x:c r="B172" s="24" t="str">
        <x:v>스위치플랜</x:v>
      </x:c>
      <x:c r="C172" s="24" t="str">
        <x:v>SW-C-07버3390-1-20250729-12</x:v>
      </x:c>
      <x:c r="D172" s="24" t="str">
        <x:v>07버3390</x:v>
      </x:c>
      <x:c r="E172" s="24" t="str">
        <x:v>유정란</x:v>
      </x:c>
      <x:c r="F172" s="24" t="str">
        <x:v>2025-10</x:v>
      </x:c>
      <x:c r="G172" s="30" t="n">
        <x:v>45955</x:v>
      </x:c>
      <x:c r="H172" s="32" t="n">
        <x:v>550000</x:v>
      </x:c>
      <x:c r="I172" s="32" t="n">
        <x:v>550000</x:v>
      </x:c>
      <x:c r="J172" s="32" t="n">
        <x:v>0</x:v>
      </x:c>
      <x:c r="K172" s="30" t="n">
        <x:v>45958</x:v>
      </x:c>
      <x:c r="L172" s="24" t="str">
        <x:v>입금</x:v>
      </x:c>
      <x:c r="M172" s="31" t="n">
        <x:f>IF(AND(N172="미수",G172&lt;&gt;"",TODAY()&gt;G172),TODAY()-G172,0)</x:f>
        <x:v>0</x:v>
      </x:c>
      <x:c r="N172" s="24" t="str">
        <x:f>IF(J172&gt;0,"미수",IF(AND(H172&gt;0,I172&gt;=H172),"완납","미확인"))</x:f>
        <x:v>완납</x:v>
      </x:c>
      <x:c r="O172" s="31" t="n">
        <x:v>12</x:v>
      </x:c>
    </x:row>
    <x:row r="173" ht="17.25" customHeight="1">
      <x:c r="A173" s="24" t="str">
        <x:v>SW-B-07버3390-202509</x:v>
      </x:c>
      <x:c r="B173" s="24" t="str">
        <x:v>스위치플랜</x:v>
      </x:c>
      <x:c r="C173" s="24" t="str">
        <x:v>SW-C-07버3390-1-20250729-12</x:v>
      </x:c>
      <x:c r="D173" s="24" t="str">
        <x:v>07버3390</x:v>
      </x:c>
      <x:c r="E173" s="24" t="str">
        <x:v>유정란</x:v>
      </x:c>
      <x:c r="F173" s="24" t="str">
        <x:v>2025-09</x:v>
      </x:c>
      <x:c r="G173" s="30" t="n">
        <x:v>45925</x:v>
      </x:c>
      <x:c r="H173" s="32" t="n">
        <x:v>550000</x:v>
      </x:c>
      <x:c r="I173" s="32" t="n">
        <x:v>550000</x:v>
      </x:c>
      <x:c r="J173" s="32" t="n">
        <x:v>0</x:v>
      </x:c>
      <x:c r="K173" s="30" t="n">
        <x:v>45930</x:v>
      </x:c>
      <x:c r="L173" s="24" t="str">
        <x:v>카드</x:v>
      </x:c>
      <x:c r="M173" s="31" t="n">
        <x:f>IF(AND(N173="미수",G173&lt;&gt;"",TODAY()&gt;G173),TODAY()-G173,0)</x:f>
        <x:v>0</x:v>
      </x:c>
      <x:c r="N173" s="24" t="str">
        <x:f>IF(J173&gt;0,"미수",IF(AND(H173&gt;0,I173&gt;=H173),"완납","미확인"))</x:f>
        <x:v>완납</x:v>
      </x:c>
      <x:c r="O173" s="31" t="n">
        <x:v>12</x:v>
      </x:c>
    </x:row>
    <x:row r="174" ht="17.25" customHeight="1">
      <x:c r="A174" s="24" t="str">
        <x:v>SW-B-07버3390-202508</x:v>
      </x:c>
      <x:c r="B174" s="24" t="str">
        <x:v>스위치플랜</x:v>
      </x:c>
      <x:c r="C174" s="24" t="str">
        <x:v>SW-C-07버3390-1-20250729-12</x:v>
      </x:c>
      <x:c r="D174" s="24" t="str">
        <x:v>07버3390</x:v>
      </x:c>
      <x:c r="E174" s="24" t="str">
        <x:v>유정란</x:v>
      </x:c>
      <x:c r="F174" s="24" t="str">
        <x:v>2025-08</x:v>
      </x:c>
      <x:c r="G174" s="30" t="n">
        <x:v>45894</x:v>
      </x:c>
      <x:c r="H174" s="32" t="n">
        <x:v>550000</x:v>
      </x:c>
      <x:c r="I174" s="32" t="n">
        <x:v>550000</x:v>
      </x:c>
      <x:c r="J174" s="32" t="n">
        <x:v>0</x:v>
      </x:c>
      <x:c r="K174" s="30" t="n">
        <x:v>45897</x:v>
      </x:c>
      <x:c r="L174" s="24" t="str">
        <x:v>입금</x:v>
      </x:c>
      <x:c r="M174" s="31" t="n">
        <x:f>IF(AND(N174="미수",G174&lt;&gt;"",TODAY()&gt;G174),TODAY()-G174,0)</x:f>
        <x:v>0</x:v>
      </x:c>
      <x:c r="N174" s="24" t="str">
        <x:f>IF(J174&gt;0,"미수",IF(AND(H174&gt;0,I174&gt;=H174),"완납","미확인"))</x:f>
        <x:v>완납</x:v>
      </x:c>
      <x:c r="O174" s="31" t="n">
        <x:v>12</x:v>
      </x:c>
    </x:row>
    <x:row r="175" ht="17.25" customHeight="1">
      <x:c r="A175" s="24" t="str">
        <x:v>SW-B-07버3390-202507</x:v>
      </x:c>
      <x:c r="B175" s="24" t="str">
        <x:v>스위치플랜</x:v>
      </x:c>
      <x:c r="C175" s="24" t="str">
        <x:v>SW-C-07버3390-1-20250729-12</x:v>
      </x:c>
      <x:c r="D175" s="24" t="str">
        <x:v>07버3390</x:v>
      </x:c>
      <x:c r="E175" s="24" t="str">
        <x:v>유정란</x:v>
      </x:c>
      <x:c r="F175" s="24" t="str">
        <x:v>2025-07</x:v>
      </x:c>
      <x:c r="G175" s="30" t="n">
        <x:v>45863</x:v>
      </x:c>
      <x:c r="H175" s="32" t="n">
        <x:v>550000</x:v>
      </x:c>
      <x:c r="I175" s="32" t="n">
        <x:v>550000</x:v>
      </x:c>
      <x:c r="J175" s="32" t="n">
        <x:v>0</x:v>
      </x:c>
      <x:c r="K175" s="30" t="n">
        <x:v>45867</x:v>
      </x:c>
      <x:c r="L175" s="24" t="str">
        <x:v>입금</x:v>
      </x:c>
      <x:c r="M175" s="31" t="n">
        <x:f>IF(AND(N175="미수",G175&lt;&gt;"",TODAY()&gt;G175),TODAY()-G175,0)</x:f>
        <x:v>0</x:v>
      </x:c>
      <x:c r="N175" s="24" t="str">
        <x:f>IF(J175&gt;0,"미수",IF(AND(H175&gt;0,I175&gt;=H175),"완납","미확인"))</x:f>
        <x:v>완납</x:v>
      </x:c>
      <x:c r="O175" s="31" t="n">
        <x:v>12</x:v>
      </x:c>
    </x:row>
    <x:row r="176" ht="17.25" customHeight="1">
      <x:c r="A176" s="24" t="str">
        <x:v>SW-B-07버3390-202506</x:v>
      </x:c>
      <x:c r="B176" s="24" t="str">
        <x:v>스위치플랜</x:v>
      </x:c>
      <x:c r="C176" s="24" t="str">
        <x:v>SW-C-07버3390-2-20240718-12</x:v>
      </x:c>
      <x:c r="D176" s="24" t="str">
        <x:v>07버3390</x:v>
      </x:c>
      <x:c r="E176" s="24" t="str">
        <x:v>유정란</x:v>
      </x:c>
      <x:c r="F176" s="24" t="str">
        <x:v>2025-06</x:v>
      </x:c>
      <x:c r="G176" s="30" t="n">
        <x:v>45833</x:v>
      </x:c>
      <x:c r="H176" s="32" t="n">
        <x:v>740000</x:v>
      </x:c>
      <x:c r="I176" s="32" t="n">
        <x:v>740000</x:v>
      </x:c>
      <x:c r="J176" s="32" t="n">
        <x:v>0</x:v>
      </x:c>
      <x:c r="K176" s="30" t="n">
        <x:v>45818</x:v>
      </x:c>
      <x:c r="L176" s="24" t="str">
        <x:v>입금</x:v>
      </x:c>
      <x:c r="M176" s="31" t="n">
        <x:f>IF(AND(N176="미수",G176&lt;&gt;"",TODAY()&gt;G176),TODAY()-G176,0)</x:f>
        <x:v>0</x:v>
      </x:c>
      <x:c r="N176" s="24" t="str">
        <x:f>IF(J176&gt;0,"미수",IF(AND(H176&gt;0,I176&gt;=H176),"완납","미확인"))</x:f>
        <x:v>완납</x:v>
      </x:c>
      <x:c r="O176" s="31" t="n">
        <x:v>12</x:v>
      </x:c>
    </x:row>
    <x:row r="177" ht="17.25" customHeight="1">
      <x:c r="A177" s="24" t="str">
        <x:v>SW-B-07버3390-202505</x:v>
      </x:c>
      <x:c r="B177" s="24" t="str">
        <x:v>스위치플랜</x:v>
      </x:c>
      <x:c r="C177" s="24" t="str">
        <x:v>SW-C-07버3390-2-20240718-12</x:v>
      </x:c>
      <x:c r="D177" s="24" t="str">
        <x:v>07버3390</x:v>
      </x:c>
      <x:c r="E177" s="24" t="str">
        <x:v>유정란</x:v>
      </x:c>
      <x:c r="F177" s="24" t="str">
        <x:v>2025-05</x:v>
      </x:c>
      <x:c r="G177" s="30" t="n">
        <x:v>45802</x:v>
      </x:c>
      <x:c r="H177" s="32" t="n">
        <x:v>740000</x:v>
      </x:c>
      <x:c r="I177" s="32" t="n">
        <x:v>740000</x:v>
      </x:c>
      <x:c r="J177" s="32" t="n">
        <x:v>0</x:v>
      </x:c>
      <x:c r="K177" s="30" t="n">
        <x:v>45797</x:v>
      </x:c>
      <x:c r="L177" s="24" t="str">
        <x:v>입금</x:v>
      </x:c>
      <x:c r="M177" s="31" t="n">
        <x:f>IF(AND(N177="미수",G177&lt;&gt;"",TODAY()&gt;G177),TODAY()-G177,0)</x:f>
        <x:v>0</x:v>
      </x:c>
      <x:c r="N177" s="24" t="str">
        <x:f>IF(J177&gt;0,"미수",IF(AND(H177&gt;0,I177&gt;=H177),"완납","미확인"))</x:f>
        <x:v>완납</x:v>
      </x:c>
      <x:c r="O177" s="31" t="n">
        <x:v>12</x:v>
      </x:c>
    </x:row>
    <x:row r="178" ht="17.25" customHeight="1">
      <x:c r="A178" s="24" t="str">
        <x:v>SW-B-07버3390-202504</x:v>
      </x:c>
      <x:c r="B178" s="24" t="str">
        <x:v>스위치플랜</x:v>
      </x:c>
      <x:c r="C178" s="24" t="str">
        <x:v>SW-C-07버3390-2-20240718-12</x:v>
      </x:c>
      <x:c r="D178" s="24" t="str">
        <x:v>07버3390</x:v>
      </x:c>
      <x:c r="E178" s="24" t="str">
        <x:v>유정란</x:v>
      </x:c>
      <x:c r="F178" s="24" t="str">
        <x:v>2025-04</x:v>
      </x:c>
      <x:c r="G178" s="30" t="n">
        <x:v>45772</x:v>
      </x:c>
      <x:c r="H178" s="32" t="n">
        <x:v>740000</x:v>
      </x:c>
      <x:c r="I178" s="32" t="n">
        <x:v>740000</x:v>
      </x:c>
      <x:c r="J178" s="32" t="n">
        <x:v>0</x:v>
      </x:c>
      <x:c r="K178" s="30" t="n">
        <x:v>45764</x:v>
      </x:c>
      <x:c r="L178" s="24" t="str"/>
      <x:c r="M178" s="31" t="n">
        <x:f>IF(AND(N178="미수",G178&lt;&gt;"",TODAY()&gt;G178),TODAY()-G178,0)</x:f>
        <x:v>0</x:v>
      </x:c>
      <x:c r="N178" s="24" t="str">
        <x:f>IF(J178&gt;0,"미수",IF(AND(H178&gt;0,I178&gt;=H178),"완납","미확인"))</x:f>
        <x:v>완납</x:v>
      </x:c>
      <x:c r="O178" s="31" t="n">
        <x:v>12</x:v>
      </x:c>
    </x:row>
    <x:row r="179" ht="17.25" customHeight="1">
      <x:c r="A179" s="24" t="str">
        <x:v>SW-B-07버3390-202503</x:v>
      </x:c>
      <x:c r="B179" s="24" t="str">
        <x:v>스위치플랜</x:v>
      </x:c>
      <x:c r="C179" s="24" t="str">
        <x:v>SW-C-07버3390-2-20240718-12</x:v>
      </x:c>
      <x:c r="D179" s="24" t="str">
        <x:v>07버3390</x:v>
      </x:c>
      <x:c r="E179" s="24" t="str">
        <x:v>유정란</x:v>
      </x:c>
      <x:c r="F179" s="24" t="str">
        <x:v>2025-03</x:v>
      </x:c>
      <x:c r="G179" s="30" t="n">
        <x:v>45741</x:v>
      </x:c>
      <x:c r="H179" s="32" t="n">
        <x:v>740000</x:v>
      </x:c>
      <x:c r="I179" s="32" t="n">
        <x:v>740000</x:v>
      </x:c>
      <x:c r="J179" s="32" t="n">
        <x:v>0</x:v>
      </x:c>
      <x:c r="K179" s="30" t="n">
        <x:v>45736</x:v>
      </x:c>
      <x:c r="L179" s="24" t="str">
        <x:v>입금</x:v>
      </x:c>
      <x:c r="M179" s="31" t="n">
        <x:f>IF(AND(N179="미수",G179&lt;&gt;"",TODAY()&gt;G179),TODAY()-G179,0)</x:f>
        <x:v>0</x:v>
      </x:c>
      <x:c r="N179" s="24" t="str">
        <x:f>IF(J179&gt;0,"미수",IF(AND(H179&gt;0,I179&gt;=H179),"완납","미확인"))</x:f>
        <x:v>완납</x:v>
      </x:c>
      <x:c r="O179" s="31" t="n">
        <x:v>12</x:v>
      </x:c>
    </x:row>
    <x:row r="180" ht="17.25" customHeight="1">
      <x:c r="A180" s="24" t="str">
        <x:v>SW-B-07버3390-202502</x:v>
      </x:c>
      <x:c r="B180" s="24" t="str">
        <x:v>스위치플랜</x:v>
      </x:c>
      <x:c r="C180" s="24" t="str">
        <x:v>SW-C-07버3390-2-20240718-12</x:v>
      </x:c>
      <x:c r="D180" s="24" t="str">
        <x:v>07버3390</x:v>
      </x:c>
      <x:c r="E180" s="24" t="str">
        <x:v>유정란</x:v>
      </x:c>
      <x:c r="F180" s="24" t="str">
        <x:v>2025-02</x:v>
      </x:c>
      <x:c r="G180" s="30" t="n">
        <x:v>45713</x:v>
      </x:c>
      <x:c r="H180" s="32" t="n">
        <x:v>740000</x:v>
      </x:c>
      <x:c r="I180" s="32" t="n">
        <x:v>740000</x:v>
      </x:c>
      <x:c r="J180" s="32" t="n">
        <x:v>0</x:v>
      </x:c>
      <x:c r="K180" s="30" t="n">
        <x:v>45707</x:v>
      </x:c>
      <x:c r="L180" s="24" t="str">
        <x:v>입금</x:v>
      </x:c>
      <x:c r="M180" s="31" t="n">
        <x:f>IF(AND(N180="미수",G180&lt;&gt;"",TODAY()&gt;G180),TODAY()-G180,0)</x:f>
        <x:v>0</x:v>
      </x:c>
      <x:c r="N180" s="24" t="str">
        <x:f>IF(J180&gt;0,"미수",IF(AND(H180&gt;0,I180&gt;=H180),"완납","미확인"))</x:f>
        <x:v>완납</x:v>
      </x:c>
      <x:c r="O180" s="31" t="n">
        <x:v>12</x:v>
      </x:c>
    </x:row>
    <x:row r="181" ht="17.25" customHeight="1">
      <x:c r="A181" s="24" t="str">
        <x:v>SW-B-07버3390-202501</x:v>
      </x:c>
      <x:c r="B181" s="24" t="str">
        <x:v>스위치플랜</x:v>
      </x:c>
      <x:c r="C181" s="24" t="str">
        <x:v>SW-C-07버3390-2-20240718-12</x:v>
      </x:c>
      <x:c r="D181" s="24" t="str">
        <x:v>07버3390</x:v>
      </x:c>
      <x:c r="E181" s="24" t="str">
        <x:v>유정란</x:v>
      </x:c>
      <x:c r="F181" s="24" t="str">
        <x:v>2025-01</x:v>
      </x:c>
      <x:c r="G181" s="30" t="n">
        <x:v>45682</x:v>
      </x:c>
      <x:c r="H181" s="32" t="n">
        <x:v>740000</x:v>
      </x:c>
      <x:c r="I181" s="32" t="n">
        <x:v>740000</x:v>
      </x:c>
      <x:c r="J181" s="32" t="n">
        <x:v>0</x:v>
      </x:c>
      <x:c r="K181" s="30" t="n">
        <x:v>45677</x:v>
      </x:c>
      <x:c r="L181" s="24" t="str">
        <x:v>입금</x:v>
      </x:c>
      <x:c r="M181" s="31" t="n">
        <x:f>IF(AND(N181="미수",G181&lt;&gt;"",TODAY()&gt;G181),TODAY()-G181,0)</x:f>
        <x:v>0</x:v>
      </x:c>
      <x:c r="N181" s="24" t="str">
        <x:f>IF(J181&gt;0,"미수",IF(AND(H181&gt;0,I181&gt;=H181),"완납","미확인"))</x:f>
        <x:v>완납</x:v>
      </x:c>
      <x:c r="O181" s="31" t="n">
        <x:v>12</x:v>
      </x:c>
    </x:row>
    <x:row r="182" ht="17.25" customHeight="1">
      <x:c r="A182" s="24" t="str">
        <x:v>SW-B-07버3390-202412</x:v>
      </x:c>
      <x:c r="B182" s="24" t="str">
        <x:v>스위치플랜</x:v>
      </x:c>
      <x:c r="C182" s="24" t="str">
        <x:v>SW-C-07버3390-2-20240718-12</x:v>
      </x:c>
      <x:c r="D182" s="24" t="str">
        <x:v>07버3390</x:v>
      </x:c>
      <x:c r="E182" s="24" t="str">
        <x:v>유정란</x:v>
      </x:c>
      <x:c r="F182" s="24" t="str">
        <x:v>2024-12</x:v>
      </x:c>
      <x:c r="G182" s="30" t="n">
        <x:v>45651</x:v>
      </x:c>
      <x:c r="H182" s="32" t="n">
        <x:v>740000</x:v>
      </x:c>
      <x:c r="I182" s="32" t="n">
        <x:v>740000</x:v>
      </x:c>
      <x:c r="J182" s="32" t="n">
        <x:v>0</x:v>
      </x:c>
      <x:c r="K182" s="30" t="n">
        <x:v>45646</x:v>
      </x:c>
      <x:c r="L182" s="24" t="str">
        <x:v>입금</x:v>
      </x:c>
      <x:c r="M182" s="31" t="n">
        <x:f>IF(AND(N182="미수",G182&lt;&gt;"",TODAY()&gt;G182),TODAY()-G182,0)</x:f>
        <x:v>0</x:v>
      </x:c>
      <x:c r="N182" s="24" t="str">
        <x:f>IF(J182&gt;0,"미수",IF(AND(H182&gt;0,I182&gt;=H182),"완납","미확인"))</x:f>
        <x:v>완납</x:v>
      </x:c>
      <x:c r="O182" s="31" t="n">
        <x:v>12</x:v>
      </x:c>
    </x:row>
    <x:row r="183" ht="17.25" customHeight="1">
      <x:c r="A183" s="24" t="str">
        <x:v>SW-B-07버3390-202411</x:v>
      </x:c>
      <x:c r="B183" s="24" t="str">
        <x:v>스위치플랜</x:v>
      </x:c>
      <x:c r="C183" s="24" t="str">
        <x:v>SW-C-07버3390-2-20240718-12</x:v>
      </x:c>
      <x:c r="D183" s="24" t="str">
        <x:v>07버3390</x:v>
      </x:c>
      <x:c r="E183" s="24" t="str">
        <x:v>유정란</x:v>
      </x:c>
      <x:c r="F183" s="24" t="str">
        <x:v>2024-11</x:v>
      </x:c>
      <x:c r="G183" s="30" t="n">
        <x:v>45621</x:v>
      </x:c>
      <x:c r="H183" s="32" t="n">
        <x:v>740000</x:v>
      </x:c>
      <x:c r="I183" s="32" t="n">
        <x:v>740000</x:v>
      </x:c>
      <x:c r="J183" s="32" t="n">
        <x:v>0</x:v>
      </x:c>
      <x:c r="K183" s="30" t="n">
        <x:v>45616</x:v>
      </x:c>
      <x:c r="L183" s="24" t="str">
        <x:v>입금</x:v>
      </x:c>
      <x:c r="M183" s="31" t="n">
        <x:f>IF(AND(N183="미수",G183&lt;&gt;"",TODAY()&gt;G183),TODAY()-G183,0)</x:f>
        <x:v>0</x:v>
      </x:c>
      <x:c r="N183" s="24" t="str">
        <x:f>IF(J183&gt;0,"미수",IF(AND(H183&gt;0,I183&gt;=H183),"완납","미확인"))</x:f>
        <x:v>완납</x:v>
      </x:c>
      <x:c r="O183" s="31" t="n">
        <x:v>12</x:v>
      </x:c>
    </x:row>
    <x:row r="184" ht="17.25" customHeight="1">
      <x:c r="A184" s="24" t="str">
        <x:v>SW-B-07버3390-202410</x:v>
      </x:c>
      <x:c r="B184" s="24" t="str">
        <x:v>스위치플랜</x:v>
      </x:c>
      <x:c r="C184" s="24" t="str">
        <x:v>SW-C-07버3390-2-20240718-12</x:v>
      </x:c>
      <x:c r="D184" s="24" t="str">
        <x:v>07버3390</x:v>
      </x:c>
      <x:c r="E184" s="24" t="str">
        <x:v>유정란</x:v>
      </x:c>
      <x:c r="F184" s="24" t="str">
        <x:v>2024-10</x:v>
      </x:c>
      <x:c r="G184" s="30" t="n">
        <x:v>45590</x:v>
      </x:c>
      <x:c r="H184" s="32" t="n">
        <x:v>740000</x:v>
      </x:c>
      <x:c r="I184" s="32" t="n">
        <x:v>740000</x:v>
      </x:c>
      <x:c r="J184" s="32" t="n">
        <x:v>0</x:v>
      </x:c>
      <x:c r="K184" s="30" t="n">
        <x:v>45576</x:v>
      </x:c>
      <x:c r="L184" s="24" t="str">
        <x:v>카드</x:v>
      </x:c>
      <x:c r="M184" s="31" t="n">
        <x:f>IF(AND(N184="미수",G184&lt;&gt;"",TODAY()&gt;G184),TODAY()-G184,0)</x:f>
        <x:v>0</x:v>
      </x:c>
      <x:c r="N184" s="24" t="str">
        <x:f>IF(J184&gt;0,"미수",IF(AND(H184&gt;0,I184&gt;=H184),"완납","미확인"))</x:f>
        <x:v>완납</x:v>
      </x:c>
      <x:c r="O184" s="31" t="n">
        <x:v>12</x:v>
      </x:c>
    </x:row>
    <x:row r="185" ht="17.25" customHeight="1">
      <x:c r="A185" s="24" t="str">
        <x:v>SW-B-07버3390-202409</x:v>
      </x:c>
      <x:c r="B185" s="24" t="str">
        <x:v>스위치플랜</x:v>
      </x:c>
      <x:c r="C185" s="24" t="str">
        <x:v>SW-C-07버3390-2-20240718-12</x:v>
      </x:c>
      <x:c r="D185" s="24" t="str">
        <x:v>07버3390</x:v>
      </x:c>
      <x:c r="E185" s="24" t="str">
        <x:v>유정란</x:v>
      </x:c>
      <x:c r="F185" s="24" t="str">
        <x:v>2024-09</x:v>
      </x:c>
      <x:c r="G185" s="30" t="n">
        <x:v>45560</x:v>
      </x:c>
      <x:c r="H185" s="32" t="n">
        <x:v>740000</x:v>
      </x:c>
      <x:c r="I185" s="32" t="n">
        <x:v>740000</x:v>
      </x:c>
      <x:c r="J185" s="32" t="n">
        <x:v>0</x:v>
      </x:c>
      <x:c r="K185" s="30" t="n">
        <x:v>45555</x:v>
      </x:c>
      <x:c r="L185" s="24" t="str">
        <x:v>카드</x:v>
      </x:c>
      <x:c r="M185" s="31" t="n">
        <x:f>IF(AND(N185="미수",G185&lt;&gt;"",TODAY()&gt;G185),TODAY()-G185,0)</x:f>
        <x:v>0</x:v>
      </x:c>
      <x:c r="N185" s="24" t="str">
        <x:f>IF(J185&gt;0,"미수",IF(AND(H185&gt;0,I185&gt;=H185),"완납","미확인"))</x:f>
        <x:v>완납</x:v>
      </x:c>
      <x:c r="O185" s="31" t="n">
        <x:v>12</x:v>
      </x:c>
    </x:row>
    <x:row r="186" ht="17.25" customHeight="1">
      <x:c r="A186" s="24" t="str">
        <x:v>SW-B-07버3390-202408</x:v>
      </x:c>
      <x:c r="B186" s="24" t="str">
        <x:v>스위치플랜</x:v>
      </x:c>
      <x:c r="C186" s="24" t="str">
        <x:v>SW-C-07버3390-2-20240718-12</x:v>
      </x:c>
      <x:c r="D186" s="24" t="str">
        <x:v>07버3390</x:v>
      </x:c>
      <x:c r="E186" s="24" t="str">
        <x:v>유정란</x:v>
      </x:c>
      <x:c r="F186" s="24" t="str">
        <x:v>2024-08</x:v>
      </x:c>
      <x:c r="G186" s="30" t="n">
        <x:v>45529</x:v>
      </x:c>
      <x:c r="H186" s="32" t="n">
        <x:v>740000</x:v>
      </x:c>
      <x:c r="I186" s="32" t="n">
        <x:v>740000</x:v>
      </x:c>
      <x:c r="J186" s="32" t="n">
        <x:v>0</x:v>
      </x:c>
      <x:c r="K186" s="30" t="n">
        <x:v>45524</x:v>
      </x:c>
      <x:c r="L186" s="24" t="str">
        <x:v>카드</x:v>
      </x:c>
      <x:c r="M186" s="31" t="n">
        <x:f>IF(AND(N186="미수",G186&lt;&gt;"",TODAY()&gt;G186),TODAY()-G186,0)</x:f>
        <x:v>0</x:v>
      </x:c>
      <x:c r="N186" s="24" t="str">
        <x:f>IF(J186&gt;0,"미수",IF(AND(H186&gt;0,I186&gt;=H186),"완납","미확인"))</x:f>
        <x:v>완납</x:v>
      </x:c>
      <x:c r="O186" s="31" t="n">
        <x:v>12</x:v>
      </x:c>
    </x:row>
    <x:row r="187" ht="17.25" customHeight="1">
      <x:c r="A187" s="24" t="str">
        <x:v>SW-B-07버3390-202407</x:v>
      </x:c>
      <x:c r="B187" s="24" t="str">
        <x:v>스위치플랜</x:v>
      </x:c>
      <x:c r="C187" s="24" t="str">
        <x:v>SW-C-07버3390-2-20240718-12</x:v>
      </x:c>
      <x:c r="D187" s="24" t="str">
        <x:v>07버3390</x:v>
      </x:c>
      <x:c r="E187" s="24" t="str">
        <x:v>유정란</x:v>
      </x:c>
      <x:c r="F187" s="24" t="str">
        <x:v>2024-07</x:v>
      </x:c>
      <x:c r="G187" s="30" t="n">
        <x:v>45498</x:v>
      </x:c>
      <x:c r="H187" s="32" t="n">
        <x:v>740000</x:v>
      </x:c>
      <x:c r="I187" s="32" t="n">
        <x:v>740000</x:v>
      </x:c>
      <x:c r="J187" s="32" t="n">
        <x:v>0</x:v>
      </x:c>
      <x:c r="K187" s="30" t="n">
        <x:v>45478</x:v>
      </x:c>
      <x:c r="L187" s="24" t="str">
        <x:v>카드</x:v>
      </x:c>
      <x:c r="M187" s="31" t="n">
        <x:f>IF(AND(N187="미수",G187&lt;&gt;"",TODAY()&gt;G187),TODAY()-G187,0)</x:f>
        <x:v>0</x:v>
      </x:c>
      <x:c r="N187" s="24" t="str">
        <x:f>IF(J187&gt;0,"미수",IF(AND(H187&gt;0,I187&gt;=H187),"완납","미확인"))</x:f>
        <x:v>완납</x:v>
      </x:c>
      <x:c r="O187" s="31" t="n">
        <x:v>12</x:v>
      </x:c>
    </x:row>
    <x:row r="188" ht="17.25" customHeight="1">
      <x:c r="A188" s="24" t="str">
        <x:v>SW-B-12다2400-202608</x:v>
      </x:c>
      <x:c r="B188" s="24" t="str">
        <x:v>스위치플랜</x:v>
      </x:c>
      <x:c r="C188" s="24" t="str">
        <x:v>SW-C-12다2400-1-20240921-13</x:v>
      </x:c>
      <x:c r="D188" s="24" t="str">
        <x:v>12다2400</x:v>
      </x:c>
      <x:c r="E188" s="24" t="str">
        <x:v>배준호</x:v>
      </x:c>
      <x:c r="F188" s="24" t="str">
        <x:v>2026-08</x:v>
      </x:c>
      <x:c r="G188" s="30" t="n">
        <x:v>46254</x:v>
      </x:c>
      <x:c r="H188" s="32" t="n">
        <x:v>900000</x:v>
      </x:c>
      <x:c r="I188" s="32"/>
      <x:c r="J188" s="32" t="n">
        <x:v>1800000</x:v>
      </x:c>
      <x:c r="K188" s="30"/>
      <x:c r="L188" s="24" t="str"/>
      <x:c r="M188" s="31" t="n">
        <x:f>IF(AND(N188="미수",G188&lt;&gt;"",TODAY()&gt;G188),TODAY()-G188,0)</x:f>
        <x:v>0</x:v>
      </x:c>
      <x:c r="N188" s="24" t="str">
        <x:f>IF(J188&gt;0,"미수",IF(AND(H188&gt;0,I188&gt;=H188),"완납","미확인"))</x:f>
        <x:v>미수</x:v>
      </x:c>
      <x:c r="O188" s="31" t="n">
        <x:v>13</x:v>
      </x:c>
    </x:row>
    <x:row r="189" ht="17.25" customHeight="1">
      <x:c r="A189" s="24" t="str">
        <x:v>SW-B-12다2400-202607</x:v>
      </x:c>
      <x:c r="B189" s="24" t="str">
        <x:v>스위치플랜</x:v>
      </x:c>
      <x:c r="C189" s="24" t="str">
        <x:v>SW-C-12다2400-1-20240921-13</x:v>
      </x:c>
      <x:c r="D189" s="24" t="str">
        <x:v>12다2400</x:v>
      </x:c>
      <x:c r="E189" s="24" t="str">
        <x:v>배준호</x:v>
      </x:c>
      <x:c r="F189" s="24" t="str">
        <x:v>2026-07</x:v>
      </x:c>
      <x:c r="G189" s="30" t="n">
        <x:v>46223</x:v>
      </x:c>
      <x:c r="H189" s="32" t="n">
        <x:v>900000</x:v>
      </x:c>
      <x:c r="I189" s="32"/>
      <x:c r="J189" s="32" t="n">
        <x:v>900000</x:v>
      </x:c>
      <x:c r="K189" s="30"/>
      <x:c r="L189" s="24" t="str"/>
      <x:c r="M189" s="31" t="n">
        <x:f>IF(AND(N189="미수",G189&lt;&gt;"",TODAY()&gt;G189),TODAY()-G189,0)</x:f>
        <x:v>26</x:v>
      </x:c>
      <x:c r="N189" s="24" t="str">
        <x:f>IF(J189&gt;0,"미수",IF(AND(H189&gt;0,I189&gt;=H189),"완납","미확인"))</x:f>
        <x:v>미수</x:v>
      </x:c>
      <x:c r="O189" s="31" t="n">
        <x:v>13</x:v>
      </x:c>
    </x:row>
    <x:row r="190" ht="17.25" customHeight="1">
      <x:c r="A190" s="24" t="str">
        <x:v>SW-B-12다2400-202606</x:v>
      </x:c>
      <x:c r="B190" s="24" t="str">
        <x:v>스위치플랜</x:v>
      </x:c>
      <x:c r="C190" s="24" t="str">
        <x:v>SW-C-12다2400-1-20240921-13</x:v>
      </x:c>
      <x:c r="D190" s="24" t="str">
        <x:v>12다2400</x:v>
      </x:c>
      <x:c r="E190" s="24" t="str">
        <x:v>배준호</x:v>
      </x:c>
      <x:c r="F190" s="24" t="str">
        <x:v>2026-06</x:v>
      </x:c>
      <x:c r="G190" s="30" t="n">
        <x:v>46193</x:v>
      </x:c>
      <x:c r="H190" s="32" t="n">
        <x:v>900000</x:v>
      </x:c>
      <x:c r="I190" s="32" t="n">
        <x:v>900000</x:v>
      </x:c>
      <x:c r="J190" s="32" t="n">
        <x:v>0</x:v>
      </x:c>
      <x:c r="K190" s="30" t="n">
        <x:v>46195</x:v>
      </x:c>
      <x:c r="L190" s="24" t="str">
        <x:v>입금</x:v>
      </x:c>
      <x:c r="M190" s="31" t="n">
        <x:f>IF(AND(N190="미수",G190&lt;&gt;"",TODAY()&gt;G190),TODAY()-G190,0)</x:f>
        <x:v>0</x:v>
      </x:c>
      <x:c r="N190" s="24" t="str">
        <x:f>IF(J190&gt;0,"미수",IF(AND(H190&gt;0,I190&gt;=H190),"완납","미확인"))</x:f>
        <x:v>완납</x:v>
      </x:c>
      <x:c r="O190" s="31" t="n">
        <x:v>13</x:v>
      </x:c>
    </x:row>
    <x:row r="191" ht="17.25" customHeight="1">
      <x:c r="A191" s="24" t="str">
        <x:v>SW-B-12다2400-202605</x:v>
      </x:c>
      <x:c r="B191" s="24" t="str">
        <x:v>스위치플랜</x:v>
      </x:c>
      <x:c r="C191" s="24" t="str">
        <x:v>SW-C-12다2400-1-20240921-13</x:v>
      </x:c>
      <x:c r="D191" s="24" t="str">
        <x:v>12다2400</x:v>
      </x:c>
      <x:c r="E191" s="24" t="str">
        <x:v>배준호</x:v>
      </x:c>
      <x:c r="F191" s="24" t="str">
        <x:v>2026-05</x:v>
      </x:c>
      <x:c r="G191" s="30" t="n">
        <x:v>46162</x:v>
      </x:c>
      <x:c r="H191" s="32" t="n">
        <x:v>900000</x:v>
      </x:c>
      <x:c r="I191" s="32" t="n">
        <x:v>900000</x:v>
      </x:c>
      <x:c r="J191" s="32" t="n">
        <x:v>0</x:v>
      </x:c>
      <x:c r="K191" s="30" t="n">
        <x:v>46163</x:v>
      </x:c>
      <x:c r="L191" s="24" t="str">
        <x:v>입금</x:v>
      </x:c>
      <x:c r="M191" s="31" t="n">
        <x:f>IF(AND(N191="미수",G191&lt;&gt;"",TODAY()&gt;G191),TODAY()-G191,0)</x:f>
        <x:v>0</x:v>
      </x:c>
      <x:c r="N191" s="24" t="str">
        <x:f>IF(J191&gt;0,"미수",IF(AND(H191&gt;0,I191&gt;=H191),"완납","미확인"))</x:f>
        <x:v>완납</x:v>
      </x:c>
      <x:c r="O191" s="31" t="n">
        <x:v>13</x:v>
      </x:c>
    </x:row>
    <x:row r="192" ht="17.25" customHeight="1">
      <x:c r="A192" s="24" t="str">
        <x:v>SW-B-12다2400-202604</x:v>
      </x:c>
      <x:c r="B192" s="24" t="str">
        <x:v>스위치플랜</x:v>
      </x:c>
      <x:c r="C192" s="24" t="str">
        <x:v>SW-C-12다2400-1-20240921-13</x:v>
      </x:c>
      <x:c r="D192" s="24" t="str">
        <x:v>12다2400</x:v>
      </x:c>
      <x:c r="E192" s="24" t="str">
        <x:v>배준호</x:v>
      </x:c>
      <x:c r="F192" s="24" t="str">
        <x:v>2026-04</x:v>
      </x:c>
      <x:c r="G192" s="30" t="n">
        <x:v>46132</x:v>
      </x:c>
      <x:c r="H192" s="32" t="n">
        <x:v>900000</x:v>
      </x:c>
      <x:c r="I192" s="32" t="n">
        <x:v>900000</x:v>
      </x:c>
      <x:c r="J192" s="32" t="n">
        <x:v>0</x:v>
      </x:c>
      <x:c r="K192" s="30" t="n">
        <x:v>46133</x:v>
      </x:c>
      <x:c r="L192" s="24" t="str">
        <x:v>입금</x:v>
      </x:c>
      <x:c r="M192" s="31" t="n">
        <x:f>IF(AND(N192="미수",G192&lt;&gt;"",TODAY()&gt;G192),TODAY()-G192,0)</x:f>
        <x:v>0</x:v>
      </x:c>
      <x:c r="N192" s="24" t="str">
        <x:f>IF(J192&gt;0,"미수",IF(AND(H192&gt;0,I192&gt;=H192),"완납","미확인"))</x:f>
        <x:v>완납</x:v>
      </x:c>
      <x:c r="O192" s="31" t="n">
        <x:v>13</x:v>
      </x:c>
    </x:row>
    <x:row r="193" ht="17.25" customHeight="1">
      <x:c r="A193" s="24" t="str">
        <x:v>SW-B-12다2400-202603</x:v>
      </x:c>
      <x:c r="B193" s="24" t="str">
        <x:v>스위치플랜</x:v>
      </x:c>
      <x:c r="C193" s="24" t="str">
        <x:v>SW-C-12다2400-1-20240921-13</x:v>
      </x:c>
      <x:c r="D193" s="24" t="str">
        <x:v>12다2400</x:v>
      </x:c>
      <x:c r="E193" s="24" t="str">
        <x:v>배준호</x:v>
      </x:c>
      <x:c r="F193" s="24" t="str">
        <x:v>2026-03</x:v>
      </x:c>
      <x:c r="G193" s="30" t="n">
        <x:v>46101</x:v>
      </x:c>
      <x:c r="H193" s="32" t="n">
        <x:v>900000</x:v>
      </x:c>
      <x:c r="I193" s="32" t="n">
        <x:v>900000</x:v>
      </x:c>
      <x:c r="J193" s="32" t="n">
        <x:v>0</x:v>
      </x:c>
      <x:c r="K193" s="30" t="n">
        <x:v>46103</x:v>
      </x:c>
      <x:c r="L193" s="24" t="str">
        <x:v>입금</x:v>
      </x:c>
      <x:c r="M193" s="31" t="n">
        <x:f>IF(AND(N193="미수",G193&lt;&gt;"",TODAY()&gt;G193),TODAY()-G193,0)</x:f>
        <x:v>0</x:v>
      </x:c>
      <x:c r="N193" s="24" t="str">
        <x:f>IF(J193&gt;0,"미수",IF(AND(H193&gt;0,I193&gt;=H193),"완납","미확인"))</x:f>
        <x:v>완납</x:v>
      </x:c>
      <x:c r="O193" s="31" t="n">
        <x:v>13</x:v>
      </x:c>
    </x:row>
    <x:row r="194" ht="17.25" customHeight="1">
      <x:c r="A194" s="24" t="str">
        <x:v>SW-B-12다2400-202602</x:v>
      </x:c>
      <x:c r="B194" s="24" t="str">
        <x:v>스위치플랜</x:v>
      </x:c>
      <x:c r="C194" s="24" t="str">
        <x:v>SW-C-12다2400-1-20240921-13</x:v>
      </x:c>
      <x:c r="D194" s="24" t="str">
        <x:v>12다2400</x:v>
      </x:c>
      <x:c r="E194" s="24" t="str">
        <x:v>배준호</x:v>
      </x:c>
      <x:c r="F194" s="24" t="str">
        <x:v>2026-02</x:v>
      </x:c>
      <x:c r="G194" s="30" t="n">
        <x:v>46073</x:v>
      </x:c>
      <x:c r="H194" s="32" t="n">
        <x:v>900000</x:v>
      </x:c>
      <x:c r="I194" s="32" t="n">
        <x:v>900000</x:v>
      </x:c>
      <x:c r="J194" s="32" t="n">
        <x:v>0</x:v>
      </x:c>
      <x:c r="K194" s="30" t="n">
        <x:v>46076</x:v>
      </x:c>
      <x:c r="L194" s="24" t="str">
        <x:v>입금</x:v>
      </x:c>
      <x:c r="M194" s="31" t="n">
        <x:f>IF(AND(N194="미수",G194&lt;&gt;"",TODAY()&gt;G194),TODAY()-G194,0)</x:f>
        <x:v>0</x:v>
      </x:c>
      <x:c r="N194" s="24" t="str">
        <x:f>IF(J194&gt;0,"미수",IF(AND(H194&gt;0,I194&gt;=H194),"완납","미확인"))</x:f>
        <x:v>완납</x:v>
      </x:c>
      <x:c r="O194" s="31" t="n">
        <x:v>13</x:v>
      </x:c>
    </x:row>
    <x:row r="195" ht="17.25" customHeight="1">
      <x:c r="A195" s="24" t="str">
        <x:v>SW-B-12다2400-202601</x:v>
      </x:c>
      <x:c r="B195" s="24" t="str">
        <x:v>스위치플랜</x:v>
      </x:c>
      <x:c r="C195" s="24" t="str">
        <x:v>SW-C-12다2400-1-20240921-13</x:v>
      </x:c>
      <x:c r="D195" s="24" t="str">
        <x:v>12다2400</x:v>
      </x:c>
      <x:c r="E195" s="24" t="str">
        <x:v>배준호</x:v>
      </x:c>
      <x:c r="F195" s="24" t="str">
        <x:v>2026-01</x:v>
      </x:c>
      <x:c r="G195" s="30" t="n">
        <x:v>46042</x:v>
      </x:c>
      <x:c r="H195" s="32" t="n">
        <x:v>900000</x:v>
      </x:c>
      <x:c r="I195" s="32" t="n">
        <x:v>900000</x:v>
      </x:c>
      <x:c r="J195" s="32" t="n">
        <x:v>0</x:v>
      </x:c>
      <x:c r="K195" s="30" t="n">
        <x:v>46042</x:v>
      </x:c>
      <x:c r="L195" s="24" t="str">
        <x:v>입금</x:v>
      </x:c>
      <x:c r="M195" s="31" t="n">
        <x:f>IF(AND(N195="미수",G195&lt;&gt;"",TODAY()&gt;G195),TODAY()-G195,0)</x:f>
        <x:v>0</x:v>
      </x:c>
      <x:c r="N195" s="24" t="str">
        <x:f>IF(J195&gt;0,"미수",IF(AND(H195&gt;0,I195&gt;=H195),"완납","미확인"))</x:f>
        <x:v>완납</x:v>
      </x:c>
      <x:c r="O195" s="31" t="n">
        <x:v>13</x:v>
      </x:c>
    </x:row>
    <x:row r="196" ht="17.25" customHeight="1">
      <x:c r="A196" s="24" t="str">
        <x:v>SW-B-12다2400-202512</x:v>
      </x:c>
      <x:c r="B196" s="24" t="str">
        <x:v>스위치플랜</x:v>
      </x:c>
      <x:c r="C196" s="24" t="str">
        <x:v>SW-C-12다2400-1-20240921-13</x:v>
      </x:c>
      <x:c r="D196" s="24" t="str">
        <x:v>12다2400</x:v>
      </x:c>
      <x:c r="E196" s="24" t="str">
        <x:v>배준호</x:v>
      </x:c>
      <x:c r="F196" s="24" t="str">
        <x:v>2025-12</x:v>
      </x:c>
      <x:c r="G196" s="30" t="n">
        <x:v>46011</x:v>
      </x:c>
      <x:c r="H196" s="32" t="n">
        <x:v>900000</x:v>
      </x:c>
      <x:c r="I196" s="32" t="n">
        <x:v>900000</x:v>
      </x:c>
      <x:c r="J196" s="32" t="n">
        <x:v>0</x:v>
      </x:c>
      <x:c r="K196" s="30" t="n">
        <x:v>46013</x:v>
      </x:c>
      <x:c r="L196" s="24" t="str">
        <x:v>입금</x:v>
      </x:c>
      <x:c r="M196" s="31" t="n">
        <x:f>IF(AND(N196="미수",G196&lt;&gt;"",TODAY()&gt;G196),TODAY()-G196,0)</x:f>
        <x:v>0</x:v>
      </x:c>
      <x:c r="N196" s="24" t="str">
        <x:f>IF(J196&gt;0,"미수",IF(AND(H196&gt;0,I196&gt;=H196),"완납","미확인"))</x:f>
        <x:v>완납</x:v>
      </x:c>
      <x:c r="O196" s="31" t="n">
        <x:v>13</x:v>
      </x:c>
    </x:row>
    <x:row r="197" ht="17.25" customHeight="1">
      <x:c r="A197" s="24" t="str">
        <x:v>SW-B-12다2400-202511</x:v>
      </x:c>
      <x:c r="B197" s="24" t="str">
        <x:v>스위치플랜</x:v>
      </x:c>
      <x:c r="C197" s="24" t="str">
        <x:v>SW-C-12다2400-1-20240921-13</x:v>
      </x:c>
      <x:c r="D197" s="24" t="str">
        <x:v>12다2400</x:v>
      </x:c>
      <x:c r="E197" s="24" t="str">
        <x:v>배준호</x:v>
      </x:c>
      <x:c r="F197" s="24" t="str">
        <x:v>2025-11</x:v>
      </x:c>
      <x:c r="G197" s="30" t="n">
        <x:v>45981</x:v>
      </x:c>
      <x:c r="H197" s="32" t="n">
        <x:v>900000</x:v>
      </x:c>
      <x:c r="I197" s="32" t="n">
        <x:v>900000</x:v>
      </x:c>
      <x:c r="J197" s="32" t="n">
        <x:v>0</x:v>
      </x:c>
      <x:c r="K197" s="30" t="n">
        <x:v>45981</x:v>
      </x:c>
      <x:c r="L197" s="24" t="str">
        <x:v>입금</x:v>
      </x:c>
      <x:c r="M197" s="31" t="n">
        <x:f>IF(AND(N197="미수",G197&lt;&gt;"",TODAY()&gt;G197),TODAY()-G197,0)</x:f>
        <x:v>0</x:v>
      </x:c>
      <x:c r="N197" s="24" t="str">
        <x:f>IF(J197&gt;0,"미수",IF(AND(H197&gt;0,I197&gt;=H197),"완납","미확인"))</x:f>
        <x:v>완납</x:v>
      </x:c>
      <x:c r="O197" s="31" t="n">
        <x:v>13</x:v>
      </x:c>
    </x:row>
    <x:row r="198" ht="17.25" customHeight="1">
      <x:c r="A198" s="24" t="str">
        <x:v>SW-B-12다2400-202510</x:v>
      </x:c>
      <x:c r="B198" s="24" t="str">
        <x:v>스위치플랜</x:v>
      </x:c>
      <x:c r="C198" s="24" t="str">
        <x:v>SW-C-12다2400-1-20240921-13</x:v>
      </x:c>
      <x:c r="D198" s="24" t="str">
        <x:v>12다2400</x:v>
      </x:c>
      <x:c r="E198" s="24" t="str">
        <x:v>배준호</x:v>
      </x:c>
      <x:c r="F198" s="24" t="str">
        <x:v>2025-10</x:v>
      </x:c>
      <x:c r="G198" s="30" t="n">
        <x:v>45950</x:v>
      </x:c>
      <x:c r="H198" s="32" t="n">
        <x:v>900000</x:v>
      </x:c>
      <x:c r="I198" s="32" t="n">
        <x:v>900000</x:v>
      </x:c>
      <x:c r="J198" s="32" t="n">
        <x:v>0</x:v>
      </x:c>
      <x:c r="K198" s="30" t="n">
        <x:v>45951</x:v>
      </x:c>
      <x:c r="L198" s="24" t="str">
        <x:v>입금</x:v>
      </x:c>
      <x:c r="M198" s="31" t="n">
        <x:f>IF(AND(N198="미수",G198&lt;&gt;"",TODAY()&gt;G198),TODAY()-G198,0)</x:f>
        <x:v>0</x:v>
      </x:c>
      <x:c r="N198" s="24" t="str">
        <x:f>IF(J198&gt;0,"미수",IF(AND(H198&gt;0,I198&gt;=H198),"완납","미확인"))</x:f>
        <x:v>완납</x:v>
      </x:c>
      <x:c r="O198" s="31" t="n">
        <x:v>13</x:v>
      </x:c>
    </x:row>
    <x:row r="199" ht="17.25" customHeight="1">
      <x:c r="A199" s="24" t="str">
        <x:v>SW-B-12다2400-202509</x:v>
      </x:c>
      <x:c r="B199" s="24" t="str">
        <x:v>스위치플랜</x:v>
      </x:c>
      <x:c r="C199" s="24" t="str">
        <x:v>SW-C-12다2400-1-20240921-13</x:v>
      </x:c>
      <x:c r="D199" s="24" t="str">
        <x:v>12다2400</x:v>
      </x:c>
      <x:c r="E199" s="24" t="str">
        <x:v>배준호</x:v>
      </x:c>
      <x:c r="F199" s="24" t="str">
        <x:v>2025-09</x:v>
      </x:c>
      <x:c r="G199" s="30" t="n">
        <x:v>45920</x:v>
      </x:c>
      <x:c r="H199" s="32" t="n">
        <x:v>900000</x:v>
      </x:c>
      <x:c r="I199" s="32" t="n">
        <x:v>900000</x:v>
      </x:c>
      <x:c r="J199" s="32" t="n">
        <x:v>0</x:v>
      </x:c>
      <x:c r="K199" s="30" t="n">
        <x:v>45923</x:v>
      </x:c>
      <x:c r="L199" s="24" t="str">
        <x:v>입금</x:v>
      </x:c>
      <x:c r="M199" s="31" t="n">
        <x:f>IF(AND(N199="미수",G199&lt;&gt;"",TODAY()&gt;G199),TODAY()-G199,0)</x:f>
        <x:v>0</x:v>
      </x:c>
      <x:c r="N199" s="24" t="str">
        <x:f>IF(J199&gt;0,"미수",IF(AND(H199&gt;0,I199&gt;=H199),"완납","미확인"))</x:f>
        <x:v>완납</x:v>
      </x:c>
      <x:c r="O199" s="31" t="n">
        <x:v>13</x:v>
      </x:c>
    </x:row>
    <x:row r="200" ht="17.25" customHeight="1">
      <x:c r="A200" s="24" t="str">
        <x:v>SW-B-12다2400-202508</x:v>
      </x:c>
      <x:c r="B200" s="24" t="str">
        <x:v>스위치플랜</x:v>
      </x:c>
      <x:c r="C200" s="24" t="str">
        <x:v>SW-C-12다2400-1-20240921-13</x:v>
      </x:c>
      <x:c r="D200" s="24" t="str">
        <x:v>12다2400</x:v>
      </x:c>
      <x:c r="E200" s="24" t="str">
        <x:v>배준호</x:v>
      </x:c>
      <x:c r="F200" s="24" t="str">
        <x:v>2025-08</x:v>
      </x:c>
      <x:c r="G200" s="30" t="n">
        <x:v>45889</x:v>
      </x:c>
      <x:c r="H200" s="32" t="n">
        <x:v>900000</x:v>
      </x:c>
      <x:c r="I200" s="32" t="n">
        <x:v>900000</x:v>
      </x:c>
      <x:c r="J200" s="32" t="n">
        <x:v>0</x:v>
      </x:c>
      <x:c r="K200" s="30" t="n">
        <x:v>45890</x:v>
      </x:c>
      <x:c r="L200" s="24" t="str">
        <x:v>입금</x:v>
      </x:c>
      <x:c r="M200" s="31" t="n">
        <x:f>IF(AND(N200="미수",G200&lt;&gt;"",TODAY()&gt;G200),TODAY()-G200,0)</x:f>
        <x:v>0</x:v>
      </x:c>
      <x:c r="N200" s="24" t="str">
        <x:f>IF(J200&gt;0,"미수",IF(AND(H200&gt;0,I200&gt;=H200),"완납","미확인"))</x:f>
        <x:v>완납</x:v>
      </x:c>
      <x:c r="O200" s="31" t="n">
        <x:v>13</x:v>
      </x:c>
    </x:row>
    <x:row r="201" ht="17.25" customHeight="1">
      <x:c r="A201" s="24" t="str">
        <x:v>SW-B-12다2400-202507</x:v>
      </x:c>
      <x:c r="B201" s="24" t="str">
        <x:v>스위치플랜</x:v>
      </x:c>
      <x:c r="C201" s="24" t="str">
        <x:v>SW-C-12다2400-1-20240921-13</x:v>
      </x:c>
      <x:c r="D201" s="24" t="str">
        <x:v>12다2400</x:v>
      </x:c>
      <x:c r="E201" s="24" t="str">
        <x:v>배준호</x:v>
      </x:c>
      <x:c r="F201" s="24" t="str">
        <x:v>2025-07</x:v>
      </x:c>
      <x:c r="G201" s="30" t="n">
        <x:v>45858</x:v>
      </x:c>
      <x:c r="H201" s="32" t="n">
        <x:v>900000</x:v>
      </x:c>
      <x:c r="I201" s="32" t="n">
        <x:v>900000</x:v>
      </x:c>
      <x:c r="J201" s="32" t="n">
        <x:v>0</x:v>
      </x:c>
      <x:c r="K201" s="30" t="n">
        <x:v>45864</x:v>
      </x:c>
      <x:c r="L201" s="24" t="str">
        <x:v>입금</x:v>
      </x:c>
      <x:c r="M201" s="31" t="n">
        <x:f>IF(AND(N201="미수",G201&lt;&gt;"",TODAY()&gt;G201),TODAY()-G201,0)</x:f>
        <x:v>0</x:v>
      </x:c>
      <x:c r="N201" s="24" t="str">
        <x:f>IF(J201&gt;0,"미수",IF(AND(H201&gt;0,I201&gt;=H201),"완납","미확인"))</x:f>
        <x:v>완납</x:v>
      </x:c>
      <x:c r="O201" s="31" t="n">
        <x:v>13</x:v>
      </x:c>
    </x:row>
    <x:row r="202" ht="17.25" customHeight="1">
      <x:c r="A202" s="24" t="str">
        <x:v>SW-B-12다2400-202506</x:v>
      </x:c>
      <x:c r="B202" s="24" t="str">
        <x:v>스위치플랜</x:v>
      </x:c>
      <x:c r="C202" s="24" t="str">
        <x:v>SW-C-12다2400-1-20240921-13</x:v>
      </x:c>
      <x:c r="D202" s="24" t="str">
        <x:v>12다2400</x:v>
      </x:c>
      <x:c r="E202" s="24" t="str">
        <x:v>배준호</x:v>
      </x:c>
      <x:c r="F202" s="24" t="str">
        <x:v>2025-06</x:v>
      </x:c>
      <x:c r="G202" s="30" t="n">
        <x:v>45828</x:v>
      </x:c>
      <x:c r="H202" s="32" t="n">
        <x:v>900000</x:v>
      </x:c>
      <x:c r="I202" s="32" t="n">
        <x:v>900000</x:v>
      </x:c>
      <x:c r="J202" s="32" t="n">
        <x:v>0</x:v>
      </x:c>
      <x:c r="K202" s="30" t="n">
        <x:v>45833</x:v>
      </x:c>
      <x:c r="L202" s="24" t="str">
        <x:v>입금</x:v>
      </x:c>
      <x:c r="M202" s="31" t="n">
        <x:f>IF(AND(N202="미수",G202&lt;&gt;"",TODAY()&gt;G202),TODAY()-G202,0)</x:f>
        <x:v>0</x:v>
      </x:c>
      <x:c r="N202" s="24" t="str">
        <x:f>IF(J202&gt;0,"미수",IF(AND(H202&gt;0,I202&gt;=H202),"완납","미확인"))</x:f>
        <x:v>완납</x:v>
      </x:c>
      <x:c r="O202" s="31" t="n">
        <x:v>13</x:v>
      </x:c>
    </x:row>
    <x:row r="203" ht="17.25" customHeight="1">
      <x:c r="A203" s="24" t="str">
        <x:v>SW-B-12다2400-202505</x:v>
      </x:c>
      <x:c r="B203" s="24" t="str">
        <x:v>스위치플랜</x:v>
      </x:c>
      <x:c r="C203" s="24" t="str">
        <x:v>SW-C-12다2400-1-20240921-13</x:v>
      </x:c>
      <x:c r="D203" s="24" t="str">
        <x:v>12다2400</x:v>
      </x:c>
      <x:c r="E203" s="24" t="str">
        <x:v>배준호</x:v>
      </x:c>
      <x:c r="F203" s="24" t="str">
        <x:v>2025-05</x:v>
      </x:c>
      <x:c r="G203" s="30" t="n">
        <x:v>45797</x:v>
      </x:c>
      <x:c r="H203" s="32" t="n">
        <x:v>900000</x:v>
      </x:c>
      <x:c r="I203" s="32" t="n">
        <x:v>900000</x:v>
      </x:c>
      <x:c r="J203" s="32" t="n">
        <x:v>0</x:v>
      </x:c>
      <x:c r="K203" s="30" t="n">
        <x:v>45798</x:v>
      </x:c>
      <x:c r="L203" s="24" t="str">
        <x:v>입금</x:v>
      </x:c>
      <x:c r="M203" s="31" t="n">
        <x:f>IF(AND(N203="미수",G203&lt;&gt;"",TODAY()&gt;G203),TODAY()-G203,0)</x:f>
        <x:v>0</x:v>
      </x:c>
      <x:c r="N203" s="24" t="str">
        <x:f>IF(J203&gt;0,"미수",IF(AND(H203&gt;0,I203&gt;=H203),"완납","미확인"))</x:f>
        <x:v>완납</x:v>
      </x:c>
      <x:c r="O203" s="31" t="n">
        <x:v>13</x:v>
      </x:c>
    </x:row>
    <x:row r="204" ht="17.25" customHeight="1">
      <x:c r="A204" s="24" t="str">
        <x:v>SW-B-12다2400-202504</x:v>
      </x:c>
      <x:c r="B204" s="24" t="str">
        <x:v>스위치플랜</x:v>
      </x:c>
      <x:c r="C204" s="24" t="str">
        <x:v>SW-C-12다2400-1-20240921-13</x:v>
      </x:c>
      <x:c r="D204" s="24" t="str">
        <x:v>12다2400</x:v>
      </x:c>
      <x:c r="E204" s="24" t="str">
        <x:v>배준호</x:v>
      </x:c>
      <x:c r="F204" s="24" t="str">
        <x:v>2025-04</x:v>
      </x:c>
      <x:c r="G204" s="30" t="n">
        <x:v>45767</x:v>
      </x:c>
      <x:c r="H204" s="32" t="n">
        <x:v>900000</x:v>
      </x:c>
      <x:c r="I204" s="32" t="n">
        <x:v>900000</x:v>
      </x:c>
      <x:c r="J204" s="32" t="n">
        <x:v>0</x:v>
      </x:c>
      <x:c r="K204" s="30" t="n">
        <x:v>45768</x:v>
      </x:c>
      <x:c r="L204" s="24" t="str">
        <x:v>입금</x:v>
      </x:c>
      <x:c r="M204" s="31" t="n">
        <x:f>IF(AND(N204="미수",G204&lt;&gt;"",TODAY()&gt;G204),TODAY()-G204,0)</x:f>
        <x:v>0</x:v>
      </x:c>
      <x:c r="N204" s="24" t="str">
        <x:f>IF(J204&gt;0,"미수",IF(AND(H204&gt;0,I204&gt;=H204),"완납","미확인"))</x:f>
        <x:v>완납</x:v>
      </x:c>
      <x:c r="O204" s="31" t="n">
        <x:v>13</x:v>
      </x:c>
    </x:row>
    <x:row r="205" ht="17.25" customHeight="1">
      <x:c r="A205" s="24" t="str">
        <x:v>SW-B-12다2400-202503</x:v>
      </x:c>
      <x:c r="B205" s="24" t="str">
        <x:v>스위치플랜</x:v>
      </x:c>
      <x:c r="C205" s="24" t="str">
        <x:v>SW-C-12다2400-1-20240921-13</x:v>
      </x:c>
      <x:c r="D205" s="24" t="str">
        <x:v>12다2400</x:v>
      </x:c>
      <x:c r="E205" s="24" t="str">
        <x:v>배준호</x:v>
      </x:c>
      <x:c r="F205" s="24" t="str">
        <x:v>2025-03</x:v>
      </x:c>
      <x:c r="G205" s="30" t="n">
        <x:v>45736</x:v>
      </x:c>
      <x:c r="H205" s="32" t="n">
        <x:v>900000</x:v>
      </x:c>
      <x:c r="I205" s="32" t="n">
        <x:v>900000</x:v>
      </x:c>
      <x:c r="J205" s="32" t="n">
        <x:v>0</x:v>
      </x:c>
      <x:c r="K205" s="30" t="n">
        <x:v>45737</x:v>
      </x:c>
      <x:c r="L205" s="24" t="str">
        <x:v>입금</x:v>
      </x:c>
      <x:c r="M205" s="31" t="n">
        <x:f>IF(AND(N205="미수",G205&lt;&gt;"",TODAY()&gt;G205),TODAY()-G205,0)</x:f>
        <x:v>0</x:v>
      </x:c>
      <x:c r="N205" s="24" t="str">
        <x:f>IF(J205&gt;0,"미수",IF(AND(H205&gt;0,I205&gt;=H205),"완납","미확인"))</x:f>
        <x:v>완납</x:v>
      </x:c>
      <x:c r="O205" s="31" t="n">
        <x:v>13</x:v>
      </x:c>
    </x:row>
    <x:row r="206" ht="17.25" customHeight="1">
      <x:c r="A206" s="24" t="str">
        <x:v>SW-B-12다2400-202502</x:v>
      </x:c>
      <x:c r="B206" s="24" t="str">
        <x:v>스위치플랜</x:v>
      </x:c>
      <x:c r="C206" s="24" t="str">
        <x:v>SW-C-12다2400-1-20240921-13</x:v>
      </x:c>
      <x:c r="D206" s="24" t="str">
        <x:v>12다2400</x:v>
      </x:c>
      <x:c r="E206" s="24" t="str">
        <x:v>배준호</x:v>
      </x:c>
      <x:c r="F206" s="24" t="str">
        <x:v>2025-02</x:v>
      </x:c>
      <x:c r="G206" s="30" t="n">
        <x:v>45708</x:v>
      </x:c>
      <x:c r="H206" s="32" t="n">
        <x:v>900000</x:v>
      </x:c>
      <x:c r="I206" s="32" t="n">
        <x:v>900000</x:v>
      </x:c>
      <x:c r="J206" s="32" t="n">
        <x:v>0</x:v>
      </x:c>
      <x:c r="K206" s="30" t="n">
        <x:v>45709</x:v>
      </x:c>
      <x:c r="L206" s="24" t="str">
        <x:v>입금</x:v>
      </x:c>
      <x:c r="M206" s="31" t="n">
        <x:f>IF(AND(N206="미수",G206&lt;&gt;"",TODAY()&gt;G206),TODAY()-G206,0)</x:f>
        <x:v>0</x:v>
      </x:c>
      <x:c r="N206" s="24" t="str">
        <x:f>IF(J206&gt;0,"미수",IF(AND(H206&gt;0,I206&gt;=H206),"완납","미확인"))</x:f>
        <x:v>완납</x:v>
      </x:c>
      <x:c r="O206" s="31" t="n">
        <x:v>13</x:v>
      </x:c>
    </x:row>
    <x:row r="207" ht="17.25" customHeight="1">
      <x:c r="A207" s="24" t="str">
        <x:v>SW-B-12다2400-202501</x:v>
      </x:c>
      <x:c r="B207" s="24" t="str">
        <x:v>스위치플랜</x:v>
      </x:c>
      <x:c r="C207" s="24" t="str">
        <x:v>SW-C-12다2400-1-20240921-13</x:v>
      </x:c>
      <x:c r="D207" s="24" t="str">
        <x:v>12다2400</x:v>
      </x:c>
      <x:c r="E207" s="24" t="str">
        <x:v>배준호</x:v>
      </x:c>
      <x:c r="F207" s="24" t="str">
        <x:v>2025-01</x:v>
      </x:c>
      <x:c r="G207" s="30" t="n">
        <x:v>45677</x:v>
      </x:c>
      <x:c r="H207" s="32" t="n">
        <x:v>900000</x:v>
      </x:c>
      <x:c r="I207" s="32" t="n">
        <x:v>899000</x:v>
      </x:c>
      <x:c r="J207" s="32" t="n">
        <x:v>0</x:v>
      </x:c>
      <x:c r="K207" s="30" t="n">
        <x:v>45679</x:v>
      </x:c>
      <x:c r="L207" s="24" t="str">
        <x:v>입금</x:v>
      </x:c>
      <x:c r="M207" s="31" t="n">
        <x:f>IF(AND(N207="미수",G207&lt;&gt;"",TODAY()&gt;G207),TODAY()-G207,0)</x:f>
        <x:v>0</x:v>
      </x:c>
      <x:c r="N207" s="24" t="str">
        <x:f>IF(J207&gt;0,"미수",IF(AND(H207&gt;0,I207&gt;=H207),"완납","미확인"))</x:f>
        <x:v>미확인</x:v>
      </x:c>
      <x:c r="O207" s="31" t="n">
        <x:v>13</x:v>
      </x:c>
    </x:row>
    <x:row r="208" ht="17.25" customHeight="1">
      <x:c r="A208" s="24" t="str">
        <x:v>SW-B-12다2400-202412</x:v>
      </x:c>
      <x:c r="B208" s="24" t="str">
        <x:v>스위치플랜</x:v>
      </x:c>
      <x:c r="C208" s="24" t="str">
        <x:v>SW-C-12다2400-1-20240921-13</x:v>
      </x:c>
      <x:c r="D208" s="24" t="str">
        <x:v>12다2400</x:v>
      </x:c>
      <x:c r="E208" s="24" t="str">
        <x:v>배준호</x:v>
      </x:c>
      <x:c r="F208" s="24" t="str">
        <x:v>2024-12</x:v>
      </x:c>
      <x:c r="G208" s="30" t="n">
        <x:v>45646</x:v>
      </x:c>
      <x:c r="H208" s="32" t="n">
        <x:v>900000</x:v>
      </x:c>
      <x:c r="I208" s="32" t="n">
        <x:v>901000</x:v>
      </x:c>
      <x:c r="J208" s="32" t="n">
        <x:v>-1000</x:v>
      </x:c>
      <x:c r="K208" s="30" t="n">
        <x:v>45646</x:v>
      </x:c>
      <x:c r="L208" s="24" t="str">
        <x:v>자동</x:v>
      </x:c>
      <x:c r="M208" s="31" t="n">
        <x:f>IF(AND(N208="미수",G208&lt;&gt;"",TODAY()&gt;G208),TODAY()-G208,0)</x:f>
        <x:v>0</x:v>
      </x:c>
      <x:c r="N208" s="24" t="str">
        <x:f>IF(J208&gt;0,"미수",IF(AND(H208&gt;0,I208&gt;=H208),"완납","미확인"))</x:f>
        <x:v>완납</x:v>
      </x:c>
      <x:c r="O208" s="31" t="n">
        <x:v>13</x:v>
      </x:c>
    </x:row>
    <x:row r="209" ht="17.25" customHeight="1">
      <x:c r="A209" s="24" t="str">
        <x:v>SW-B-12다2400-202411</x:v>
      </x:c>
      <x:c r="B209" s="24" t="str">
        <x:v>스위치플랜</x:v>
      </x:c>
      <x:c r="C209" s="24" t="str">
        <x:v>SW-C-12다2400-1-20240921-13</x:v>
      </x:c>
      <x:c r="D209" s="24" t="str">
        <x:v>12다2400</x:v>
      </x:c>
      <x:c r="E209" s="24" t="str">
        <x:v>배준호</x:v>
      </x:c>
      <x:c r="F209" s="24" t="str">
        <x:v>2024-11</x:v>
      </x:c>
      <x:c r="G209" s="30" t="n">
        <x:v>45616</x:v>
      </x:c>
      <x:c r="H209" s="32" t="n">
        <x:v>900000</x:v>
      </x:c>
      <x:c r="I209" s="32" t="n">
        <x:v>900000</x:v>
      </x:c>
      <x:c r="J209" s="32" t="n">
        <x:v>0</x:v>
      </x:c>
      <x:c r="K209" s="30" t="n">
        <x:v>45618</x:v>
      </x:c>
      <x:c r="L209" s="24" t="str">
        <x:v>입금</x:v>
      </x:c>
      <x:c r="M209" s="31" t="n">
        <x:f>IF(AND(N209="미수",G209&lt;&gt;"",TODAY()&gt;G209),TODAY()-G209,0)</x:f>
        <x:v>0</x:v>
      </x:c>
      <x:c r="N209" s="24" t="str">
        <x:f>IF(J209&gt;0,"미수",IF(AND(H209&gt;0,I209&gt;=H209),"완납","미확인"))</x:f>
        <x:v>완납</x:v>
      </x:c>
      <x:c r="O209" s="31" t="n">
        <x:v>13</x:v>
      </x:c>
    </x:row>
    <x:row r="210" ht="17.25" customHeight="1">
      <x:c r="A210" s="24" t="str">
        <x:v>SW-B-12다2400-202410</x:v>
      </x:c>
      <x:c r="B210" s="24" t="str">
        <x:v>스위치플랜</x:v>
      </x:c>
      <x:c r="C210" s="24" t="str">
        <x:v>SW-C-12다2400-1-20240921-13</x:v>
      </x:c>
      <x:c r="D210" s="24" t="str">
        <x:v>12다2400</x:v>
      </x:c>
      <x:c r="E210" s="24" t="str">
        <x:v>배준호</x:v>
      </x:c>
      <x:c r="F210" s="24" t="str">
        <x:v>2024-10</x:v>
      </x:c>
      <x:c r="G210" s="30" t="n">
        <x:v>45585</x:v>
      </x:c>
      <x:c r="H210" s="32" t="n">
        <x:v>500000</x:v>
      </x:c>
      <x:c r="I210" s="32" t="n">
        <x:v>500000</x:v>
      </x:c>
      <x:c r="J210" s="32" t="n">
        <x:v>0</x:v>
      </x:c>
      <x:c r="K210" s="30" t="n">
        <x:v>45587</x:v>
      </x:c>
      <x:c r="L210" s="24" t="str">
        <x:v>입금</x:v>
      </x:c>
      <x:c r="M210" s="31" t="n">
        <x:f>IF(AND(N210="미수",G210&lt;&gt;"",TODAY()&gt;G210),TODAY()-G210,0)</x:f>
        <x:v>0</x:v>
      </x:c>
      <x:c r="N210" s="24" t="str">
        <x:f>IF(J210&gt;0,"미수",IF(AND(H210&gt;0,I210&gt;=H210),"완납","미확인"))</x:f>
        <x:v>완납</x:v>
      </x:c>
      <x:c r="O210" s="31" t="n">
        <x:v>13</x:v>
      </x:c>
    </x:row>
    <x:row r="211" ht="17.25" customHeight="1">
      <x:c r="A211" s="24" t="str">
        <x:v>SW-B-12다2400-202409</x:v>
      </x:c>
      <x:c r="B211" s="24" t="str">
        <x:v>스위치플랜</x:v>
      </x:c>
      <x:c r="C211" s="24" t="str">
        <x:v>SW-C-12다2400-1-20240921-13</x:v>
      </x:c>
      <x:c r="D211" s="24" t="str">
        <x:v>12다2400</x:v>
      </x:c>
      <x:c r="E211" s="24" t="str">
        <x:v>배준호</x:v>
      </x:c>
      <x:c r="F211" s="24" t="str">
        <x:v>2024-09</x:v>
      </x:c>
      <x:c r="G211" s="30" t="n">
        <x:v>45555</x:v>
      </x:c>
      <x:c r="H211" s="32" t="n">
        <x:v>900000</x:v>
      </x:c>
      <x:c r="I211" s="32" t="n">
        <x:v>900000</x:v>
      </x:c>
      <x:c r="J211" s="32" t="n">
        <x:v>0</x:v>
      </x:c>
      <x:c r="K211" s="30" t="n">
        <x:v>45540</x:v>
      </x:c>
      <x:c r="L211" s="24" t="str">
        <x:v>입금</x:v>
      </x:c>
      <x:c r="M211" s="31" t="n">
        <x:f>IF(AND(N211="미수",G211&lt;&gt;"",TODAY()&gt;G211),TODAY()-G211,0)</x:f>
        <x:v>0</x:v>
      </x:c>
      <x:c r="N211" s="24" t="str">
        <x:f>IF(J211&gt;0,"미수",IF(AND(H211&gt;0,I211&gt;=H211),"완납","미확인"))</x:f>
        <x:v>완납</x:v>
      </x:c>
      <x:c r="O211" s="31" t="n">
        <x:v>13</x:v>
      </x:c>
    </x:row>
    <x:row r="212" ht="17.25" customHeight="1">
      <x:c r="A212" s="24" t="str">
        <x:v>SW-B-54무1552-202608</x:v>
      </x:c>
      <x:c r="B212" s="24" t="str">
        <x:v>스위치플랜</x:v>
      </x:c>
      <x:c r="C212" s="24" t="str">
        <x:v>SW-C-54무1552-1-20250102-14</x:v>
      </x:c>
      <x:c r="D212" s="24" t="str">
        <x:v>54무1552</x:v>
      </x:c>
      <x:c r="E212" s="24" t="str">
        <x:v>정현묵</x:v>
      </x:c>
      <x:c r="F212" s="24" t="str">
        <x:v>2026-08</x:v>
      </x:c>
      <x:c r="G212" s="30" t="n">
        <x:v>46239</x:v>
      </x:c>
      <x:c r="H212" s="32" t="n">
        <x:v>330000</x:v>
      </x:c>
      <x:c r="I212" s="32" t="n">
        <x:v>330000</x:v>
      </x:c>
      <x:c r="J212" s="32" t="n">
        <x:v>0</x:v>
      </x:c>
      <x:c r="K212" s="30" t="n">
        <x:v>46244</x:v>
      </x:c>
      <x:c r="L212" s="24" t="str">
        <x:v>입금</x:v>
      </x:c>
      <x:c r="M212" s="31" t="n">
        <x:f>IF(AND(N212="미수",G212&lt;&gt;"",TODAY()&gt;G212),TODAY()-G212,0)</x:f>
        <x:v>0</x:v>
      </x:c>
      <x:c r="N212" s="24" t="str">
        <x:f>IF(J212&gt;0,"미수",IF(AND(H212&gt;0,I212&gt;=H212),"완납","미확인"))</x:f>
        <x:v>완납</x:v>
      </x:c>
      <x:c r="O212" s="31" t="n">
        <x:v>14</x:v>
      </x:c>
    </x:row>
    <x:row r="213" ht="17.25" customHeight="1">
      <x:c r="A213" s="24" t="str">
        <x:v>SW-B-54무1552-202607</x:v>
      </x:c>
      <x:c r="B213" s="24" t="str">
        <x:v>스위치플랜</x:v>
      </x:c>
      <x:c r="C213" s="24" t="str">
        <x:v>SW-C-54무1552-1-20250102-14</x:v>
      </x:c>
      <x:c r="D213" s="24" t="str">
        <x:v>54무1552</x:v>
      </x:c>
      <x:c r="E213" s="24" t="str">
        <x:v>정현묵</x:v>
      </x:c>
      <x:c r="F213" s="24" t="str">
        <x:v>2026-07</x:v>
      </x:c>
      <x:c r="G213" s="30" t="n">
        <x:v>46208</x:v>
      </x:c>
      <x:c r="H213" s="32" t="n">
        <x:v>330000</x:v>
      </x:c>
      <x:c r="I213" s="32" t="n">
        <x:v>330000</x:v>
      </x:c>
      <x:c r="J213" s="32" t="n">
        <x:v>0</x:v>
      </x:c>
      <x:c r="K213" s="30" t="n">
        <x:v>46209</x:v>
      </x:c>
      <x:c r="L213" s="24" t="str">
        <x:v>자동</x:v>
      </x:c>
      <x:c r="M213" s="31" t="n">
        <x:f>IF(AND(N213="미수",G213&lt;&gt;"",TODAY()&gt;G213),TODAY()-G213,0)</x:f>
        <x:v>0</x:v>
      </x:c>
      <x:c r="N213" s="24" t="str">
        <x:f>IF(J213&gt;0,"미수",IF(AND(H213&gt;0,I213&gt;=H213),"완납","미확인"))</x:f>
        <x:v>완납</x:v>
      </x:c>
      <x:c r="O213" s="31" t="n">
        <x:v>14</x:v>
      </x:c>
    </x:row>
    <x:row r="214" ht="17.25" customHeight="1">
      <x:c r="A214" s="24" t="str">
        <x:v>SW-B-54무1552-202606</x:v>
      </x:c>
      <x:c r="B214" s="24" t="str">
        <x:v>스위치플랜</x:v>
      </x:c>
      <x:c r="C214" s="24" t="str">
        <x:v>SW-C-54무1552-1-20250102-14</x:v>
      </x:c>
      <x:c r="D214" s="24" t="str">
        <x:v>54무1552</x:v>
      </x:c>
      <x:c r="E214" s="24" t="str">
        <x:v>정현묵</x:v>
      </x:c>
      <x:c r="F214" s="24" t="str">
        <x:v>2026-06</x:v>
      </x:c>
      <x:c r="G214" s="30" t="n">
        <x:v>46178</x:v>
      </x:c>
      <x:c r="H214" s="32" t="n">
        <x:v>330000</x:v>
      </x:c>
      <x:c r="I214" s="32" t="n">
        <x:v>330000</x:v>
      </x:c>
      <x:c r="J214" s="32" t="n">
        <x:v>0</x:v>
      </x:c>
      <x:c r="K214" s="30" t="n">
        <x:v>46183</x:v>
      </x:c>
      <x:c r="L214" s="24" t="str">
        <x:v>입금</x:v>
      </x:c>
      <x:c r="M214" s="31" t="n">
        <x:f>IF(AND(N214="미수",G214&lt;&gt;"",TODAY()&gt;G214),TODAY()-G214,0)</x:f>
        <x:v>0</x:v>
      </x:c>
      <x:c r="N214" s="24" t="str">
        <x:f>IF(J214&gt;0,"미수",IF(AND(H214&gt;0,I214&gt;=H214),"완납","미확인"))</x:f>
        <x:v>완납</x:v>
      </x:c>
      <x:c r="O214" s="31" t="n">
        <x:v>14</x:v>
      </x:c>
    </x:row>
    <x:row r="215" ht="17.25" customHeight="1">
      <x:c r="A215" s="24" t="str">
        <x:v>SW-B-54무1552-202605</x:v>
      </x:c>
      <x:c r="B215" s="24" t="str">
        <x:v>스위치플랜</x:v>
      </x:c>
      <x:c r="C215" s="24" t="str">
        <x:v>SW-C-54무1552-1-20250102-14</x:v>
      </x:c>
      <x:c r="D215" s="24" t="str">
        <x:v>54무1552</x:v>
      </x:c>
      <x:c r="E215" s="24" t="str">
        <x:v>정현묵</x:v>
      </x:c>
      <x:c r="F215" s="24" t="str">
        <x:v>2026-05</x:v>
      </x:c>
      <x:c r="G215" s="30" t="n">
        <x:v>46147</x:v>
      </x:c>
      <x:c r="H215" s="32" t="n">
        <x:v>330000</x:v>
      </x:c>
      <x:c r="I215" s="32" t="n">
        <x:v>330000</x:v>
      </x:c>
      <x:c r="J215" s="32" t="n">
        <x:v>0</x:v>
      </x:c>
      <x:c r="K215" s="30" t="n">
        <x:v>46148</x:v>
      </x:c>
      <x:c r="L215" s="24" t="str">
        <x:v>자동</x:v>
      </x:c>
      <x:c r="M215" s="31" t="n">
        <x:f>IF(AND(N215="미수",G215&lt;&gt;"",TODAY()&gt;G215),TODAY()-G215,0)</x:f>
        <x:v>0</x:v>
      </x:c>
      <x:c r="N215" s="24" t="str">
        <x:f>IF(J215&gt;0,"미수",IF(AND(H215&gt;0,I215&gt;=H215),"완납","미확인"))</x:f>
        <x:v>완납</x:v>
      </x:c>
      <x:c r="O215" s="31" t="n">
        <x:v>14</x:v>
      </x:c>
    </x:row>
    <x:row r="216" ht="17.25" customHeight="1">
      <x:c r="A216" s="24" t="str">
        <x:v>SW-B-54무1552-202604</x:v>
      </x:c>
      <x:c r="B216" s="24" t="str">
        <x:v>스위치플랜</x:v>
      </x:c>
      <x:c r="C216" s="24" t="str">
        <x:v>SW-C-54무1552-1-20250102-14</x:v>
      </x:c>
      <x:c r="D216" s="24" t="str">
        <x:v>54무1552</x:v>
      </x:c>
      <x:c r="E216" s="24" t="str">
        <x:v>정현묵</x:v>
      </x:c>
      <x:c r="F216" s="24" t="str">
        <x:v>2026-04</x:v>
      </x:c>
      <x:c r="G216" s="30" t="n">
        <x:v>46117</x:v>
      </x:c>
      <x:c r="H216" s="32" t="n">
        <x:v>330000</x:v>
      </x:c>
      <x:c r="I216" s="32" t="n">
        <x:v>330000</x:v>
      </x:c>
      <x:c r="J216" s="32" t="n">
        <x:v>0</x:v>
      </x:c>
      <x:c r="K216" s="30" t="n">
        <x:v>46120</x:v>
      </x:c>
      <x:c r="L216" s="24" t="str">
        <x:v>입금</x:v>
      </x:c>
      <x:c r="M216" s="31" t="n">
        <x:f>IF(AND(N216="미수",G216&lt;&gt;"",TODAY()&gt;G216),TODAY()-G216,0)</x:f>
        <x:v>0</x:v>
      </x:c>
      <x:c r="N216" s="24" t="str">
        <x:f>IF(J216&gt;0,"미수",IF(AND(H216&gt;0,I216&gt;=H216),"완납","미확인"))</x:f>
        <x:v>완납</x:v>
      </x:c>
      <x:c r="O216" s="31" t="n">
        <x:v>14</x:v>
      </x:c>
    </x:row>
    <x:row r="217" ht="17.25" customHeight="1">
      <x:c r="A217" s="24" t="str">
        <x:v>SW-B-54무1552-202603</x:v>
      </x:c>
      <x:c r="B217" s="24" t="str">
        <x:v>스위치플랜</x:v>
      </x:c>
      <x:c r="C217" s="24" t="str">
        <x:v>SW-C-54무1552-1-20250102-14</x:v>
      </x:c>
      <x:c r="D217" s="24" t="str">
        <x:v>54무1552</x:v>
      </x:c>
      <x:c r="E217" s="24" t="str">
        <x:v>정현묵</x:v>
      </x:c>
      <x:c r="F217" s="24" t="str">
        <x:v>2026-03</x:v>
      </x:c>
      <x:c r="G217" s="30" t="n">
        <x:v>46086</x:v>
      </x:c>
      <x:c r="H217" s="32" t="n">
        <x:v>330000</x:v>
      </x:c>
      <x:c r="I217" s="32" t="n">
        <x:v>330000</x:v>
      </x:c>
      <x:c r="J217" s="32" t="n">
        <x:v>0</x:v>
      </x:c>
      <x:c r="K217" s="30" t="n">
        <x:v>46086</x:v>
      </x:c>
      <x:c r="L217" s="24" t="str">
        <x:v>자동</x:v>
      </x:c>
      <x:c r="M217" s="31" t="n">
        <x:f>IF(AND(N217="미수",G217&lt;&gt;"",TODAY()&gt;G217),TODAY()-G217,0)</x:f>
        <x:v>0</x:v>
      </x:c>
      <x:c r="N217" s="24" t="str">
        <x:f>IF(J217&gt;0,"미수",IF(AND(H217&gt;0,I217&gt;=H217),"완납","미확인"))</x:f>
        <x:v>완납</x:v>
      </x:c>
      <x:c r="O217" s="31" t="n">
        <x:v>14</x:v>
      </x:c>
    </x:row>
    <x:row r="218" ht="17.25" customHeight="1">
      <x:c r="A218" s="24" t="str">
        <x:v>SW-B-54무1552-202602</x:v>
      </x:c>
      <x:c r="B218" s="24" t="str">
        <x:v>스위치플랜</x:v>
      </x:c>
      <x:c r="C218" s="24" t="str">
        <x:v>SW-C-54무1552-1-20250102-14</x:v>
      </x:c>
      <x:c r="D218" s="24" t="str">
        <x:v>54무1552</x:v>
      </x:c>
      <x:c r="E218" s="24" t="str">
        <x:v>정현묵</x:v>
      </x:c>
      <x:c r="F218" s="24" t="str">
        <x:v>2026-02</x:v>
      </x:c>
      <x:c r="G218" s="30" t="n">
        <x:v>46058</x:v>
      </x:c>
      <x:c r="H218" s="32" t="n">
        <x:v>330000</x:v>
      </x:c>
      <x:c r="I218" s="32" t="n">
        <x:v>330000</x:v>
      </x:c>
      <x:c r="J218" s="32" t="n">
        <x:v>0</x:v>
      </x:c>
      <x:c r="K218" s="30" t="n">
        <x:v>46059</x:v>
      </x:c>
      <x:c r="L218" s="24" t="str">
        <x:v>입금</x:v>
      </x:c>
      <x:c r="M218" s="31" t="n">
        <x:f>IF(AND(N218="미수",G218&lt;&gt;"",TODAY()&gt;G218),TODAY()-G218,0)</x:f>
        <x:v>0</x:v>
      </x:c>
      <x:c r="N218" s="24" t="str">
        <x:f>IF(J218&gt;0,"미수",IF(AND(H218&gt;0,I218&gt;=H218),"완납","미확인"))</x:f>
        <x:v>완납</x:v>
      </x:c>
      <x:c r="O218" s="31" t="n">
        <x:v>14</x:v>
      </x:c>
    </x:row>
    <x:row r="219" ht="17.25" customHeight="1">
      <x:c r="A219" s="24" t="str">
        <x:v>SW-B-54무1552-202601</x:v>
      </x:c>
      <x:c r="B219" s="24" t="str">
        <x:v>스위치플랜</x:v>
      </x:c>
      <x:c r="C219" s="24" t="str">
        <x:v>SW-C-54무1552-1-20250102-14</x:v>
      </x:c>
      <x:c r="D219" s="24" t="str">
        <x:v>54무1552</x:v>
      </x:c>
      <x:c r="E219" s="24" t="str">
        <x:v>정현묵</x:v>
      </x:c>
      <x:c r="F219" s="24" t="str">
        <x:v>2026-01</x:v>
      </x:c>
      <x:c r="G219" s="30" t="n">
        <x:v>46027</x:v>
      </x:c>
      <x:c r="H219" s="32" t="n">
        <x:v>330000</x:v>
      </x:c>
      <x:c r="I219" s="32" t="n">
        <x:v>330000</x:v>
      </x:c>
      <x:c r="J219" s="32" t="n">
        <x:v>0</x:v>
      </x:c>
      <x:c r="K219" s="30" t="n">
        <x:v>46024</x:v>
      </x:c>
      <x:c r="L219" s="24" t="str">
        <x:v>입금</x:v>
      </x:c>
      <x:c r="M219" s="31" t="n">
        <x:f>IF(AND(N219="미수",G219&lt;&gt;"",TODAY()&gt;G219),TODAY()-G219,0)</x:f>
        <x:v>0</x:v>
      </x:c>
      <x:c r="N219" s="24" t="str">
        <x:f>IF(J219&gt;0,"미수",IF(AND(H219&gt;0,I219&gt;=H219),"완납","미확인"))</x:f>
        <x:v>완납</x:v>
      </x:c>
      <x:c r="O219" s="31" t="n">
        <x:v>14</x:v>
      </x:c>
    </x:row>
    <x:row r="220" ht="17.25" customHeight="1">
      <x:c r="A220" s="24" t="str">
        <x:v>SW-B-54무1552-202512</x:v>
      </x:c>
      <x:c r="B220" s="24" t="str">
        <x:v>스위치플랜</x:v>
      </x:c>
      <x:c r="C220" s="24" t="str">
        <x:v>SW-C-54무1552-1-20250102-14</x:v>
      </x:c>
      <x:c r="D220" s="24" t="str">
        <x:v>54무1552</x:v>
      </x:c>
      <x:c r="E220" s="24" t="str">
        <x:v>정현묵</x:v>
      </x:c>
      <x:c r="F220" s="24" t="str">
        <x:v>2025-12</x:v>
      </x:c>
      <x:c r="G220" s="30" t="n">
        <x:v>45996</x:v>
      </x:c>
      <x:c r="H220" s="32" t="n">
        <x:v>340000</x:v>
      </x:c>
      <x:c r="I220" s="32"/>
      <x:c r="J220" s="32" t="n">
        <x:v>0</x:v>
      </x:c>
      <x:c r="K220" s="30"/>
      <x:c r="L220" s="24" t="str"/>
      <x:c r="M220" s="31" t="n">
        <x:f>IF(AND(N220="미수",G220&lt;&gt;"",TODAY()&gt;G220),TODAY()-G220,0)</x:f>
        <x:v>0</x:v>
      </x:c>
      <x:c r="N220" s="24" t="str">
        <x:f>IF(J220&gt;0,"미수",IF(AND(H220&gt;0,I220&gt;=H220),"완납","미확인"))</x:f>
        <x:v>미확인</x:v>
      </x:c>
      <x:c r="O220" s="31" t="n">
        <x:v>14</x:v>
      </x:c>
    </x:row>
    <x:row r="221" ht="17.25" customHeight="1">
      <x:c r="A221" s="24" t="str">
        <x:v>SW-B-54무1552-202511</x:v>
      </x:c>
      <x:c r="B221" s="24" t="str">
        <x:v>스위치플랜</x:v>
      </x:c>
      <x:c r="C221" s="24" t="str">
        <x:v>SW-C-54무1552-1-20250102-14</x:v>
      </x:c>
      <x:c r="D221" s="24" t="str">
        <x:v>54무1552</x:v>
      </x:c>
      <x:c r="E221" s="24" t="str">
        <x:v>정현묵</x:v>
      </x:c>
      <x:c r="F221" s="24" t="str">
        <x:v>2025-11</x:v>
      </x:c>
      <x:c r="G221" s="30" t="n">
        <x:v>45966</x:v>
      </x:c>
      <x:c r="H221" s="32" t="n">
        <x:v>340000</x:v>
      </x:c>
      <x:c r="I221" s="32" t="n">
        <x:v>340000</x:v>
      </x:c>
      <x:c r="J221" s="32" t="n">
        <x:v>-340000</x:v>
      </x:c>
      <x:c r="K221" s="30" t="n">
        <x:v>45989</x:v>
      </x:c>
      <x:c r="L221" s="24" t="str">
        <x:v>자동</x:v>
      </x:c>
      <x:c r="M221" s="31" t="n">
        <x:f>IF(AND(N221="미수",G221&lt;&gt;"",TODAY()&gt;G221),TODAY()-G221,0)</x:f>
        <x:v>0</x:v>
      </x:c>
      <x:c r="N221" s="24" t="str">
        <x:f>IF(J221&gt;0,"미수",IF(AND(H221&gt;0,I221&gt;=H221),"완납","미확인"))</x:f>
        <x:v>완납</x:v>
      </x:c>
      <x:c r="O221" s="31" t="n">
        <x:v>14</x:v>
      </x:c>
    </x:row>
    <x:row r="222" ht="17.25" customHeight="1">
      <x:c r="A222" s="24" t="str">
        <x:v>SW-B-54무1552-202510</x:v>
      </x:c>
      <x:c r="B222" s="24" t="str">
        <x:v>스위치플랜</x:v>
      </x:c>
      <x:c r="C222" s="24" t="str">
        <x:v>SW-C-54무1552-1-20250102-14</x:v>
      </x:c>
      <x:c r="D222" s="24" t="str">
        <x:v>54무1552</x:v>
      </x:c>
      <x:c r="E222" s="24" t="str">
        <x:v>정현묵</x:v>
      </x:c>
      <x:c r="F222" s="24" t="str">
        <x:v>2025-10</x:v>
      </x:c>
      <x:c r="G222" s="30" t="n">
        <x:v>45935</x:v>
      </x:c>
      <x:c r="H222" s="32" t="n">
        <x:v>340000</x:v>
      </x:c>
      <x:c r="I222" s="32" t="n">
        <x:v>680000</x:v>
      </x:c>
      <x:c r="J222" s="32" t="n">
        <x:v>-340000</x:v>
      </x:c>
      <x:c r="K222" s="30" t="n">
        <x:v>45930</x:v>
      </x:c>
      <x:c r="L222" s="24" t="str">
        <x:v>자동</x:v>
      </x:c>
      <x:c r="M222" s="31" t="n">
        <x:f>IF(AND(N222="미수",G222&lt;&gt;"",TODAY()&gt;G222),TODAY()-G222,0)</x:f>
        <x:v>0</x:v>
      </x:c>
      <x:c r="N222" s="24" t="str">
        <x:f>IF(J222&gt;0,"미수",IF(AND(H222&gt;0,I222&gt;=H222),"완납","미확인"))</x:f>
        <x:v>완납</x:v>
      </x:c>
      <x:c r="O222" s="31" t="n">
        <x:v>14</x:v>
      </x:c>
    </x:row>
    <x:row r="223" ht="17.25" customHeight="1">
      <x:c r="A223" s="24" t="str">
        <x:v>SW-B-54무1552-202509</x:v>
      </x:c>
      <x:c r="B223" s="24" t="str">
        <x:v>스위치플랜</x:v>
      </x:c>
      <x:c r="C223" s="24" t="str">
        <x:v>SW-C-54무1552-1-20250102-14</x:v>
      </x:c>
      <x:c r="D223" s="24" t="str">
        <x:v>54무1552</x:v>
      </x:c>
      <x:c r="E223" s="24" t="str">
        <x:v>정현묵</x:v>
      </x:c>
      <x:c r="F223" s="24" t="str">
        <x:v>2025-09</x:v>
      </x:c>
      <x:c r="G223" s="30" t="n">
        <x:v>45905</x:v>
      </x:c>
      <x:c r="H223" s="32" t="n">
        <x:v>340000</x:v>
      </x:c>
      <x:c r="I223" s="32" t="n">
        <x:v>340000</x:v>
      </x:c>
      <x:c r="J223" s="32" t="n">
        <x:v>0</x:v>
      </x:c>
      <x:c r="K223" s="30" t="n">
        <x:v>45901</x:v>
      </x:c>
      <x:c r="L223" s="24" t="str">
        <x:v>자동</x:v>
      </x:c>
      <x:c r="M223" s="31" t="n">
        <x:f>IF(AND(N223="미수",G223&lt;&gt;"",TODAY()&gt;G223),TODAY()-G223,0)</x:f>
        <x:v>0</x:v>
      </x:c>
      <x:c r="N223" s="24" t="str">
        <x:f>IF(J223&gt;0,"미수",IF(AND(H223&gt;0,I223&gt;=H223),"완납","미확인"))</x:f>
        <x:v>완납</x:v>
      </x:c>
      <x:c r="O223" s="31" t="n">
        <x:v>14</x:v>
      </x:c>
    </x:row>
    <x:row r="224" ht="17.25" customHeight="1">
      <x:c r="A224" s="24" t="str">
        <x:v>SW-B-54무1552-202508</x:v>
      </x:c>
      <x:c r="B224" s="24" t="str">
        <x:v>스위치플랜</x:v>
      </x:c>
      <x:c r="C224" s="24" t="str">
        <x:v>SW-C-54무1552-1-20250102-14</x:v>
      </x:c>
      <x:c r="D224" s="24" t="str">
        <x:v>54무1552</x:v>
      </x:c>
      <x:c r="E224" s="24" t="str">
        <x:v>정현묵</x:v>
      </x:c>
      <x:c r="F224" s="24" t="str">
        <x:v>2025-08</x:v>
      </x:c>
      <x:c r="G224" s="30" t="n">
        <x:v>45874</x:v>
      </x:c>
      <x:c r="H224" s="32" t="n">
        <x:v>340000</x:v>
      </x:c>
      <x:c r="I224" s="32" t="n">
        <x:v>340000</x:v>
      </x:c>
      <x:c r="J224" s="32" t="n">
        <x:v>0</x:v>
      </x:c>
      <x:c r="K224" s="30" t="n">
        <x:v>45869</x:v>
      </x:c>
      <x:c r="L224" s="24" t="str">
        <x:v>자동</x:v>
      </x:c>
      <x:c r="M224" s="31" t="n">
        <x:f>IF(AND(N224="미수",G224&lt;&gt;"",TODAY()&gt;G224),TODAY()-G224,0)</x:f>
        <x:v>0</x:v>
      </x:c>
      <x:c r="N224" s="24" t="str">
        <x:f>IF(J224&gt;0,"미수",IF(AND(H224&gt;0,I224&gt;=H224),"완납","미확인"))</x:f>
        <x:v>완납</x:v>
      </x:c>
      <x:c r="O224" s="31" t="n">
        <x:v>14</x:v>
      </x:c>
    </x:row>
    <x:row r="225" ht="17.25" customHeight="1">
      <x:c r="A225" s="24" t="str">
        <x:v>SW-B-54무1552-202507</x:v>
      </x:c>
      <x:c r="B225" s="24" t="str">
        <x:v>스위치플랜</x:v>
      </x:c>
      <x:c r="C225" s="24" t="str">
        <x:v>SW-C-54무1552-1-20250102-14</x:v>
      </x:c>
      <x:c r="D225" s="24" t="str">
        <x:v>54무1552</x:v>
      </x:c>
      <x:c r="E225" s="24" t="str">
        <x:v>정현묵</x:v>
      </x:c>
      <x:c r="F225" s="24" t="str">
        <x:v>2025-07</x:v>
      </x:c>
      <x:c r="G225" s="30" t="n">
        <x:v>45843</x:v>
      </x:c>
      <x:c r="H225" s="32" t="n">
        <x:v>340000</x:v>
      </x:c>
      <x:c r="I225" s="32" t="n">
        <x:v>340000</x:v>
      </x:c>
      <x:c r="J225" s="32" t="n">
        <x:v>0</x:v>
      </x:c>
      <x:c r="K225" s="30" t="n">
        <x:v>45838</x:v>
      </x:c>
      <x:c r="L225" s="24" t="str">
        <x:v>자동</x:v>
      </x:c>
      <x:c r="M225" s="31" t="n">
        <x:f>IF(AND(N225="미수",G225&lt;&gt;"",TODAY()&gt;G225),TODAY()-G225,0)</x:f>
        <x:v>0</x:v>
      </x:c>
      <x:c r="N225" s="24" t="str">
        <x:f>IF(J225&gt;0,"미수",IF(AND(H225&gt;0,I225&gt;=H225),"완납","미확인"))</x:f>
        <x:v>완납</x:v>
      </x:c>
      <x:c r="O225" s="31" t="n">
        <x:v>14</x:v>
      </x:c>
    </x:row>
    <x:row r="226" ht="17.25" customHeight="1">
      <x:c r="A226" s="24" t="str">
        <x:v>SW-B-54무1552-202506</x:v>
      </x:c>
      <x:c r="B226" s="24" t="str">
        <x:v>스위치플랜</x:v>
      </x:c>
      <x:c r="C226" s="24" t="str">
        <x:v>SW-C-54무1552-1-20250102-14</x:v>
      </x:c>
      <x:c r="D226" s="24" t="str">
        <x:v>54무1552</x:v>
      </x:c>
      <x:c r="E226" s="24" t="str">
        <x:v>정현묵</x:v>
      </x:c>
      <x:c r="F226" s="24" t="str">
        <x:v>2025-06</x:v>
      </x:c>
      <x:c r="G226" s="30" t="n">
        <x:v>45813</x:v>
      </x:c>
      <x:c r="H226" s="32" t="n">
        <x:v>340000</x:v>
      </x:c>
      <x:c r="I226" s="32" t="n">
        <x:v>340000</x:v>
      </x:c>
      <x:c r="J226" s="32" t="n">
        <x:v>0</x:v>
      </x:c>
      <x:c r="K226" s="30" t="n">
        <x:v>45807</x:v>
      </x:c>
      <x:c r="L226" s="24" t="str">
        <x:v>자동</x:v>
      </x:c>
      <x:c r="M226" s="31" t="n">
        <x:f>IF(AND(N226="미수",G226&lt;&gt;"",TODAY()&gt;G226),TODAY()-G226,0)</x:f>
        <x:v>0</x:v>
      </x:c>
      <x:c r="N226" s="24" t="str">
        <x:f>IF(J226&gt;0,"미수",IF(AND(H226&gt;0,I226&gt;=H226),"완납","미확인"))</x:f>
        <x:v>완납</x:v>
      </x:c>
      <x:c r="O226" s="31" t="n">
        <x:v>14</x:v>
      </x:c>
    </x:row>
    <x:row r="227" ht="17.25" customHeight="1">
      <x:c r="A227" s="24" t="str">
        <x:v>SW-B-54무1552-202505</x:v>
      </x:c>
      <x:c r="B227" s="24" t="str">
        <x:v>스위치플랜</x:v>
      </x:c>
      <x:c r="C227" s="24" t="str">
        <x:v>SW-C-54무1552-1-20250102-14</x:v>
      </x:c>
      <x:c r="D227" s="24" t="str">
        <x:v>54무1552</x:v>
      </x:c>
      <x:c r="E227" s="24" t="str">
        <x:v>정현묵</x:v>
      </x:c>
      <x:c r="F227" s="24" t="str">
        <x:v>2025-05</x:v>
      </x:c>
      <x:c r="G227" s="30" t="n">
        <x:v>45782</x:v>
      </x:c>
      <x:c r="H227" s="32" t="n">
        <x:v>340000</x:v>
      </x:c>
      <x:c r="I227" s="32" t="n">
        <x:v>340000</x:v>
      </x:c>
      <x:c r="J227" s="32" t="n">
        <x:v>0</x:v>
      </x:c>
      <x:c r="K227" s="30" t="n">
        <x:v>45777</x:v>
      </x:c>
      <x:c r="L227" s="24" t="str">
        <x:v>자동</x:v>
      </x:c>
      <x:c r="M227" s="31" t="n">
        <x:f>IF(AND(N227="미수",G227&lt;&gt;"",TODAY()&gt;G227),TODAY()-G227,0)</x:f>
        <x:v>0</x:v>
      </x:c>
      <x:c r="N227" s="24" t="str">
        <x:f>IF(J227&gt;0,"미수",IF(AND(H227&gt;0,I227&gt;=H227),"완납","미확인"))</x:f>
        <x:v>완납</x:v>
      </x:c>
      <x:c r="O227" s="31" t="n">
        <x:v>14</x:v>
      </x:c>
    </x:row>
    <x:row r="228" ht="17.25" customHeight="1">
      <x:c r="A228" s="24" t="str">
        <x:v>SW-B-54무1552-202504</x:v>
      </x:c>
      <x:c r="B228" s="24" t="str">
        <x:v>스위치플랜</x:v>
      </x:c>
      <x:c r="C228" s="24" t="str">
        <x:v>SW-C-54무1552-1-20250102-14</x:v>
      </x:c>
      <x:c r="D228" s="24" t="str">
        <x:v>54무1552</x:v>
      </x:c>
      <x:c r="E228" s="24" t="str">
        <x:v>정현묵</x:v>
      </x:c>
      <x:c r="F228" s="24" t="str">
        <x:v>2025-04</x:v>
      </x:c>
      <x:c r="G228" s="30" t="n">
        <x:v>45752</x:v>
      </x:c>
      <x:c r="H228" s="32" t="n">
        <x:v>340000</x:v>
      </x:c>
      <x:c r="I228" s="32" t="n">
        <x:v>340000</x:v>
      </x:c>
      <x:c r="J228" s="32" t="n">
        <x:v>0</x:v>
      </x:c>
      <x:c r="K228" s="30" t="n">
        <x:v>45747</x:v>
      </x:c>
      <x:c r="L228" s="24" t="str">
        <x:v>자동</x:v>
      </x:c>
      <x:c r="M228" s="31" t="n">
        <x:f>IF(AND(N228="미수",G228&lt;&gt;"",TODAY()&gt;G228),TODAY()-G228,0)</x:f>
        <x:v>0</x:v>
      </x:c>
      <x:c r="N228" s="24" t="str">
        <x:f>IF(J228&gt;0,"미수",IF(AND(H228&gt;0,I228&gt;=H228),"완납","미확인"))</x:f>
        <x:v>완납</x:v>
      </x:c>
      <x:c r="O228" s="31" t="n">
        <x:v>14</x:v>
      </x:c>
    </x:row>
    <x:row r="229" ht="17.25" customHeight="1">
      <x:c r="A229" s="24" t="str">
        <x:v>SW-B-54무1552-202503</x:v>
      </x:c>
      <x:c r="B229" s="24" t="str">
        <x:v>스위치플랜</x:v>
      </x:c>
      <x:c r="C229" s="24" t="str">
        <x:v>SW-C-54무1552-1-20250102-14</x:v>
      </x:c>
      <x:c r="D229" s="24" t="str">
        <x:v>54무1552</x:v>
      </x:c>
      <x:c r="E229" s="24" t="str">
        <x:v>정현묵</x:v>
      </x:c>
      <x:c r="F229" s="24" t="str">
        <x:v>2025-03</x:v>
      </x:c>
      <x:c r="G229" s="30" t="n">
        <x:v>45721</x:v>
      </x:c>
      <x:c r="H229" s="32" t="n">
        <x:v>340000</x:v>
      </x:c>
      <x:c r="I229" s="32" t="n">
        <x:v>340000</x:v>
      </x:c>
      <x:c r="J229" s="32" t="n">
        <x:v>0</x:v>
      </x:c>
      <x:c r="K229" s="30" t="n">
        <x:v>45716</x:v>
      </x:c>
      <x:c r="L229" s="24" t="str">
        <x:v>자동</x:v>
      </x:c>
      <x:c r="M229" s="31" t="n">
        <x:f>IF(AND(N229="미수",G229&lt;&gt;"",TODAY()&gt;G229),TODAY()-G229,0)</x:f>
        <x:v>0</x:v>
      </x:c>
      <x:c r="N229" s="24" t="str">
        <x:f>IF(J229&gt;0,"미수",IF(AND(H229&gt;0,I229&gt;=H229),"완납","미확인"))</x:f>
        <x:v>완납</x:v>
      </x:c>
      <x:c r="O229" s="31" t="n">
        <x:v>14</x:v>
      </x:c>
    </x:row>
    <x:row r="230" ht="17.25" customHeight="1">
      <x:c r="A230" s="24" t="str">
        <x:v>SW-B-54무1552-202502</x:v>
      </x:c>
      <x:c r="B230" s="24" t="str">
        <x:v>스위치플랜</x:v>
      </x:c>
      <x:c r="C230" s="24" t="str">
        <x:v>SW-C-54무1552-1-20250102-14</x:v>
      </x:c>
      <x:c r="D230" s="24" t="str">
        <x:v>54무1552</x:v>
      </x:c>
      <x:c r="E230" s="24" t="str">
        <x:v>정현묵</x:v>
      </x:c>
      <x:c r="F230" s="24" t="str">
        <x:v>2025-02</x:v>
      </x:c>
      <x:c r="G230" s="30" t="n">
        <x:v>45693</x:v>
      </x:c>
      <x:c r="H230" s="32" t="n">
        <x:v>340000</x:v>
      </x:c>
      <x:c r="I230" s="32" t="n">
        <x:v>340000</x:v>
      </x:c>
      <x:c r="J230" s="32" t="n">
        <x:v>0</x:v>
      </x:c>
      <x:c r="K230" s="30" t="n">
        <x:v>45691</x:v>
      </x:c>
      <x:c r="L230" s="24" t="str">
        <x:v>입금</x:v>
      </x:c>
      <x:c r="M230" s="31" t="n">
        <x:f>IF(AND(N230="미수",G230&lt;&gt;"",TODAY()&gt;G230),TODAY()-G230,0)</x:f>
        <x:v>0</x:v>
      </x:c>
      <x:c r="N230" s="24" t="str">
        <x:f>IF(J230&gt;0,"미수",IF(AND(H230&gt;0,I230&gt;=H230),"완납","미확인"))</x:f>
        <x:v>완납</x:v>
      </x:c>
      <x:c r="O230" s="31" t="n">
        <x:v>14</x:v>
      </x:c>
    </x:row>
    <x:row r="231" ht="17.25" customHeight="1">
      <x:c r="A231" s="24" t="str">
        <x:v>SW-B-54무1552-202501</x:v>
      </x:c>
      <x:c r="B231" s="24" t="str">
        <x:v>스위치플랜</x:v>
      </x:c>
      <x:c r="C231" s="24" t="str">
        <x:v>SW-C-54무1552-1-20250102-14</x:v>
      </x:c>
      <x:c r="D231" s="24" t="str">
        <x:v>54무1552</x:v>
      </x:c>
      <x:c r="E231" s="24" t="str">
        <x:v>정현묵</x:v>
      </x:c>
      <x:c r="F231" s="24" t="str">
        <x:v>2025-01</x:v>
      </x:c>
      <x:c r="G231" s="30" t="n">
        <x:v>45662</x:v>
      </x:c>
      <x:c r="H231" s="32" t="n">
        <x:v>340000</x:v>
      </x:c>
      <x:c r="I231" s="32" t="n">
        <x:v>340000</x:v>
      </x:c>
      <x:c r="J231" s="32" t="n">
        <x:v>0</x:v>
      </x:c>
      <x:c r="K231" s="30" t="n">
        <x:v>45649</x:v>
      </x:c>
      <x:c r="L231" s="24" t="str">
        <x:v>입금</x:v>
      </x:c>
      <x:c r="M231" s="31" t="n">
        <x:f>IF(AND(N231="미수",G231&lt;&gt;"",TODAY()&gt;G231),TODAY()-G231,0)</x:f>
        <x:v>0</x:v>
      </x:c>
      <x:c r="N231" s="24" t="str">
        <x:f>IF(J231&gt;0,"미수",IF(AND(H231&gt;0,I231&gt;=H231),"완납","미확인"))</x:f>
        <x:v>완납</x:v>
      </x:c>
      <x:c r="O231" s="31" t="n">
        <x:v>14</x:v>
      </x:c>
    </x:row>
    <x:row r="232" ht="17.25" customHeight="1">
      <x:c r="A232" s="24" t="str">
        <x:v>SW-B-24부3251-202608</x:v>
      </x:c>
      <x:c r="B232" s="24" t="str">
        <x:v>스위치플랜</x:v>
      </x:c>
      <x:c r="C232" s="24" t="str">
        <x:v>SW-C-24부3251-1-20250808-15</x:v>
      </x:c>
      <x:c r="D232" s="24" t="str">
        <x:v>24부3251</x:v>
      </x:c>
      <x:c r="E232" s="24" t="str">
        <x:v>이정원</x:v>
      </x:c>
      <x:c r="F232" s="24" t="str">
        <x:v>2026-08</x:v>
      </x:c>
      <x:c r="G232" s="30" t="n">
        <x:v>46244</x:v>
      </x:c>
      <x:c r="H232" s="32" t="n">
        <x:v>780000</x:v>
      </x:c>
      <x:c r="I232" s="32" t="n">
        <x:v>780000</x:v>
      </x:c>
      <x:c r="J232" s="32" t="n">
        <x:v>0</x:v>
      </x:c>
      <x:c r="K232" s="30" t="n">
        <x:v>46244</x:v>
      </x:c>
      <x:c r="L232" s="24" t="str">
        <x:v>입금</x:v>
      </x:c>
      <x:c r="M232" s="31" t="n">
        <x:f>IF(AND(N232="미수",G232&lt;&gt;"",TODAY()&gt;G232),TODAY()-G232,0)</x:f>
        <x:v>0</x:v>
      </x:c>
      <x:c r="N232" s="24" t="str">
        <x:f>IF(J232&gt;0,"미수",IF(AND(H232&gt;0,I232&gt;=H232),"완납","미확인"))</x:f>
        <x:v>완납</x:v>
      </x:c>
      <x:c r="O232" s="31" t="n">
        <x:v>15</x:v>
      </x:c>
    </x:row>
    <x:row r="233" ht="17.25" customHeight="1">
      <x:c r="A233" s="24" t="str">
        <x:v>SW-B-24부3251-202607</x:v>
      </x:c>
      <x:c r="B233" s="24" t="str">
        <x:v>스위치플랜</x:v>
      </x:c>
      <x:c r="C233" s="24" t="str">
        <x:v>SW-C-24부3251-1-20250808-15</x:v>
      </x:c>
      <x:c r="D233" s="24" t="str">
        <x:v>24부3251</x:v>
      </x:c>
      <x:c r="E233" s="24" t="str">
        <x:v>이정원</x:v>
      </x:c>
      <x:c r="F233" s="24" t="str">
        <x:v>2026-07</x:v>
      </x:c>
      <x:c r="G233" s="30" t="n">
        <x:v>46213</x:v>
      </x:c>
      <x:c r="H233" s="32" t="n">
        <x:v>780000</x:v>
      </x:c>
      <x:c r="I233" s="32" t="n">
        <x:v>780000</x:v>
      </x:c>
      <x:c r="J233" s="32" t="n">
        <x:v>0</x:v>
      </x:c>
      <x:c r="K233" s="30" t="n">
        <x:v>46214</x:v>
      </x:c>
      <x:c r="L233" s="24" t="str">
        <x:v>입금</x:v>
      </x:c>
      <x:c r="M233" s="31" t="n">
        <x:f>IF(AND(N233="미수",G233&lt;&gt;"",TODAY()&gt;G233),TODAY()-G233,0)</x:f>
        <x:v>0</x:v>
      </x:c>
      <x:c r="N233" s="24" t="str">
        <x:f>IF(J233&gt;0,"미수",IF(AND(H233&gt;0,I233&gt;=H233),"완납","미확인"))</x:f>
        <x:v>완납</x:v>
      </x:c>
      <x:c r="O233" s="31" t="n">
        <x:v>15</x:v>
      </x:c>
    </x:row>
    <x:row r="234" ht="17.25" customHeight="1">
      <x:c r="A234" s="24" t="str">
        <x:v>SW-B-24부3251-202606</x:v>
      </x:c>
      <x:c r="B234" s="24" t="str">
        <x:v>스위치플랜</x:v>
      </x:c>
      <x:c r="C234" s="24" t="str">
        <x:v>SW-C-24부3251-1-20250808-15</x:v>
      </x:c>
      <x:c r="D234" s="24" t="str">
        <x:v>24부3251</x:v>
      </x:c>
      <x:c r="E234" s="24" t="str">
        <x:v>이정원</x:v>
      </x:c>
      <x:c r="F234" s="24" t="str">
        <x:v>2026-06</x:v>
      </x:c>
      <x:c r="G234" s="30" t="n">
        <x:v>46183</x:v>
      </x:c>
      <x:c r="H234" s="32" t="n">
        <x:v>780000</x:v>
      </x:c>
      <x:c r="I234" s="32" t="n">
        <x:v>780000</x:v>
      </x:c>
      <x:c r="J234" s="32" t="n">
        <x:v>0</x:v>
      </x:c>
      <x:c r="K234" s="30" t="n">
        <x:v>46183</x:v>
      </x:c>
      <x:c r="L234" s="24" t="str">
        <x:v>입금</x:v>
      </x:c>
      <x:c r="M234" s="31" t="n">
        <x:f>IF(AND(N234="미수",G234&lt;&gt;"",TODAY()&gt;G234),TODAY()-G234,0)</x:f>
        <x:v>0</x:v>
      </x:c>
      <x:c r="N234" s="24" t="str">
        <x:f>IF(J234&gt;0,"미수",IF(AND(H234&gt;0,I234&gt;=H234),"완납","미확인"))</x:f>
        <x:v>완납</x:v>
      </x:c>
      <x:c r="O234" s="31" t="n">
        <x:v>15</x:v>
      </x:c>
    </x:row>
    <x:row r="235" ht="17.25" customHeight="1">
      <x:c r="A235" s="24" t="str">
        <x:v>SW-B-24부3251-202605</x:v>
      </x:c>
      <x:c r="B235" s="24" t="str">
        <x:v>스위치플랜</x:v>
      </x:c>
      <x:c r="C235" s="24" t="str">
        <x:v>SW-C-24부3251-1-20250808-15</x:v>
      </x:c>
      <x:c r="D235" s="24" t="str">
        <x:v>24부3251</x:v>
      </x:c>
      <x:c r="E235" s="24" t="str">
        <x:v>이정원</x:v>
      </x:c>
      <x:c r="F235" s="24" t="str">
        <x:v>2026-05</x:v>
      </x:c>
      <x:c r="G235" s="30" t="n">
        <x:v>46152</x:v>
      </x:c>
      <x:c r="H235" s="32" t="n">
        <x:v>780000</x:v>
      </x:c>
      <x:c r="I235" s="32" t="n">
        <x:v>780000</x:v>
      </x:c>
      <x:c r="J235" s="32" t="n">
        <x:v>0</x:v>
      </x:c>
      <x:c r="K235" s="30" t="n">
        <x:v>46154</x:v>
      </x:c>
      <x:c r="L235" s="24" t="str">
        <x:v>입금</x:v>
      </x:c>
      <x:c r="M235" s="31" t="n">
        <x:f>IF(AND(N235="미수",G235&lt;&gt;"",TODAY()&gt;G235),TODAY()-G235,0)</x:f>
        <x:v>0</x:v>
      </x:c>
      <x:c r="N235" s="24" t="str">
        <x:f>IF(J235&gt;0,"미수",IF(AND(H235&gt;0,I235&gt;=H235),"완납","미확인"))</x:f>
        <x:v>완납</x:v>
      </x:c>
      <x:c r="O235" s="31" t="n">
        <x:v>15</x:v>
      </x:c>
    </x:row>
    <x:row r="236" ht="17.25" customHeight="1">
      <x:c r="A236" s="24" t="str">
        <x:v>SW-B-24부3251-202604</x:v>
      </x:c>
      <x:c r="B236" s="24" t="str">
        <x:v>스위치플랜</x:v>
      </x:c>
      <x:c r="C236" s="24" t="str">
        <x:v>SW-C-24부3251-1-20250808-15</x:v>
      </x:c>
      <x:c r="D236" s="24" t="str">
        <x:v>24부3251</x:v>
      </x:c>
      <x:c r="E236" s="24" t="str">
        <x:v>이정원</x:v>
      </x:c>
      <x:c r="F236" s="24" t="str">
        <x:v>2026-04</x:v>
      </x:c>
      <x:c r="G236" s="30" t="n">
        <x:v>46122</x:v>
      </x:c>
      <x:c r="H236" s="32" t="n">
        <x:v>780000</x:v>
      </x:c>
      <x:c r="I236" s="32" t="n">
        <x:v>780000</x:v>
      </x:c>
      <x:c r="J236" s="32" t="n">
        <x:v>0</x:v>
      </x:c>
      <x:c r="K236" s="30" t="n">
        <x:v>46124</x:v>
      </x:c>
      <x:c r="L236" s="24" t="str">
        <x:v>입금</x:v>
      </x:c>
      <x:c r="M236" s="31" t="n">
        <x:f>IF(AND(N236="미수",G236&lt;&gt;"",TODAY()&gt;G236),TODAY()-G236,0)</x:f>
        <x:v>0</x:v>
      </x:c>
      <x:c r="N236" s="24" t="str">
        <x:f>IF(J236&gt;0,"미수",IF(AND(H236&gt;0,I236&gt;=H236),"완납","미확인"))</x:f>
        <x:v>완납</x:v>
      </x:c>
      <x:c r="O236" s="31" t="n">
        <x:v>15</x:v>
      </x:c>
    </x:row>
    <x:row r="237" ht="17.25" customHeight="1">
      <x:c r="A237" s="24" t="str">
        <x:v>SW-B-24부3251-202603</x:v>
      </x:c>
      <x:c r="B237" s="24" t="str">
        <x:v>스위치플랜</x:v>
      </x:c>
      <x:c r="C237" s="24" t="str">
        <x:v>SW-C-24부3251-1-20250808-15</x:v>
      </x:c>
      <x:c r="D237" s="24" t="str">
        <x:v>24부3251</x:v>
      </x:c>
      <x:c r="E237" s="24" t="str">
        <x:v>이정원</x:v>
      </x:c>
      <x:c r="F237" s="24" t="str">
        <x:v>2026-03</x:v>
      </x:c>
      <x:c r="G237" s="30" t="n">
        <x:v>46091</x:v>
      </x:c>
      <x:c r="H237" s="32" t="n">
        <x:v>780000</x:v>
      </x:c>
      <x:c r="I237" s="32" t="n">
        <x:v>780000</x:v>
      </x:c>
      <x:c r="J237" s="32" t="n">
        <x:v>0</x:v>
      </x:c>
      <x:c r="K237" s="30" t="n">
        <x:v>46097</x:v>
      </x:c>
      <x:c r="L237" s="24" t="str">
        <x:v>입금</x:v>
      </x:c>
      <x:c r="M237" s="31" t="n">
        <x:f>IF(AND(N237="미수",G237&lt;&gt;"",TODAY()&gt;G237),TODAY()-G237,0)</x:f>
        <x:v>0</x:v>
      </x:c>
      <x:c r="N237" s="24" t="str">
        <x:f>IF(J237&gt;0,"미수",IF(AND(H237&gt;0,I237&gt;=H237),"완납","미확인"))</x:f>
        <x:v>완납</x:v>
      </x:c>
      <x:c r="O237" s="31" t="n">
        <x:v>15</x:v>
      </x:c>
    </x:row>
    <x:row r="238" ht="17.25" customHeight="1">
      <x:c r="A238" s="24" t="str">
        <x:v>SW-B-24부3251-202602</x:v>
      </x:c>
      <x:c r="B238" s="24" t="str">
        <x:v>스위치플랜</x:v>
      </x:c>
      <x:c r="C238" s="24" t="str">
        <x:v>SW-C-24부3251-1-20250808-15</x:v>
      </x:c>
      <x:c r="D238" s="24" t="str">
        <x:v>24부3251</x:v>
      </x:c>
      <x:c r="E238" s="24" t="str">
        <x:v>이정원</x:v>
      </x:c>
      <x:c r="F238" s="24" t="str">
        <x:v>2026-02</x:v>
      </x:c>
      <x:c r="G238" s="30" t="n">
        <x:v>46063</x:v>
      </x:c>
      <x:c r="H238" s="32" t="n">
        <x:v>780000</x:v>
      </x:c>
      <x:c r="I238" s="32" t="n">
        <x:v>780000</x:v>
      </x:c>
      <x:c r="J238" s="32" t="n">
        <x:v>0</x:v>
      </x:c>
      <x:c r="K238" s="30" t="n">
        <x:v>46064</x:v>
      </x:c>
      <x:c r="L238" s="24" t="str">
        <x:v>입금</x:v>
      </x:c>
      <x:c r="M238" s="31" t="n">
        <x:f>IF(AND(N238="미수",G238&lt;&gt;"",TODAY()&gt;G238),TODAY()-G238,0)</x:f>
        <x:v>0</x:v>
      </x:c>
      <x:c r="N238" s="24" t="str">
        <x:f>IF(J238&gt;0,"미수",IF(AND(H238&gt;0,I238&gt;=H238),"완납","미확인"))</x:f>
        <x:v>완납</x:v>
      </x:c>
      <x:c r="O238" s="31" t="n">
        <x:v>15</x:v>
      </x:c>
    </x:row>
    <x:row r="239" ht="17.25" customHeight="1">
      <x:c r="A239" s="24" t="str">
        <x:v>SW-B-24부3251-202601</x:v>
      </x:c>
      <x:c r="B239" s="24" t="str">
        <x:v>스위치플랜</x:v>
      </x:c>
      <x:c r="C239" s="24" t="str">
        <x:v>SW-C-24부3251-1-20250808-15</x:v>
      </x:c>
      <x:c r="D239" s="24" t="str">
        <x:v>24부3251</x:v>
      </x:c>
      <x:c r="E239" s="24" t="str">
        <x:v>이정원</x:v>
      </x:c>
      <x:c r="F239" s="24" t="str">
        <x:v>2026-01</x:v>
      </x:c>
      <x:c r="G239" s="30" t="n">
        <x:v>46032</x:v>
      </x:c>
      <x:c r="H239" s="32" t="n">
        <x:v>780000</x:v>
      </x:c>
      <x:c r="I239" s="32" t="n">
        <x:v>780000</x:v>
      </x:c>
      <x:c r="J239" s="32" t="n">
        <x:v>0</x:v>
      </x:c>
      <x:c r="K239" s="30" t="n">
        <x:v>46034</x:v>
      </x:c>
      <x:c r="L239" s="24" t="str">
        <x:v>입금</x:v>
      </x:c>
      <x:c r="M239" s="31" t="n">
        <x:f>IF(AND(N239="미수",G239&lt;&gt;"",TODAY()&gt;G239),TODAY()-G239,0)</x:f>
        <x:v>0</x:v>
      </x:c>
      <x:c r="N239" s="24" t="str">
        <x:f>IF(J239&gt;0,"미수",IF(AND(H239&gt;0,I239&gt;=H239),"완납","미확인"))</x:f>
        <x:v>완납</x:v>
      </x:c>
      <x:c r="O239" s="31" t="n">
        <x:v>15</x:v>
      </x:c>
    </x:row>
    <x:row r="240" ht="17.25" customHeight="1">
      <x:c r="A240" s="24" t="str">
        <x:v>SW-B-24부3251-202512</x:v>
      </x:c>
      <x:c r="B240" s="24" t="str">
        <x:v>스위치플랜</x:v>
      </x:c>
      <x:c r="C240" s="24" t="str">
        <x:v>SW-C-24부3251-1-20250808-15</x:v>
      </x:c>
      <x:c r="D240" s="24" t="str">
        <x:v>24부3251</x:v>
      </x:c>
      <x:c r="E240" s="24" t="str">
        <x:v>이정원</x:v>
      </x:c>
      <x:c r="F240" s="24" t="str">
        <x:v>2025-12</x:v>
      </x:c>
      <x:c r="G240" s="30" t="n">
        <x:v>46001</x:v>
      </x:c>
      <x:c r="H240" s="32" t="n">
        <x:v>780000</x:v>
      </x:c>
      <x:c r="I240" s="32" t="n">
        <x:v>780000</x:v>
      </x:c>
      <x:c r="J240" s="32" t="n">
        <x:v>0</x:v>
      </x:c>
      <x:c r="K240" s="30" t="n">
        <x:v>46002</x:v>
      </x:c>
      <x:c r="L240" s="24" t="str">
        <x:v>입금</x:v>
      </x:c>
      <x:c r="M240" s="31" t="n">
        <x:f>IF(AND(N240="미수",G240&lt;&gt;"",TODAY()&gt;G240),TODAY()-G240,0)</x:f>
        <x:v>0</x:v>
      </x:c>
      <x:c r="N240" s="24" t="str">
        <x:f>IF(J240&gt;0,"미수",IF(AND(H240&gt;0,I240&gt;=H240),"완납","미확인"))</x:f>
        <x:v>완납</x:v>
      </x:c>
      <x:c r="O240" s="31" t="n">
        <x:v>15</x:v>
      </x:c>
    </x:row>
    <x:row r="241" ht="17.25" customHeight="1">
      <x:c r="A241" s="24" t="str">
        <x:v>SW-B-24부3251-202511</x:v>
      </x:c>
      <x:c r="B241" s="24" t="str">
        <x:v>스위치플랜</x:v>
      </x:c>
      <x:c r="C241" s="24" t="str">
        <x:v>SW-C-24부3251-1-20250808-15</x:v>
      </x:c>
      <x:c r="D241" s="24" t="str">
        <x:v>24부3251</x:v>
      </x:c>
      <x:c r="E241" s="24" t="str">
        <x:v>이정원</x:v>
      </x:c>
      <x:c r="F241" s="24" t="str">
        <x:v>2025-11</x:v>
      </x:c>
      <x:c r="G241" s="30" t="n">
        <x:v>45971</x:v>
      </x:c>
      <x:c r="H241" s="32" t="n">
        <x:v>780000</x:v>
      </x:c>
      <x:c r="I241" s="32" t="n">
        <x:v>780000</x:v>
      </x:c>
      <x:c r="J241" s="32" t="n">
        <x:v>0</x:v>
      </x:c>
      <x:c r="K241" s="30" t="n">
        <x:v>45972</x:v>
      </x:c>
      <x:c r="L241" s="24" t="str">
        <x:v>입금</x:v>
      </x:c>
      <x:c r="M241" s="31" t="n">
        <x:f>IF(AND(N241="미수",G241&lt;&gt;"",TODAY()&gt;G241),TODAY()-G241,0)</x:f>
        <x:v>0</x:v>
      </x:c>
      <x:c r="N241" s="24" t="str">
        <x:f>IF(J241&gt;0,"미수",IF(AND(H241&gt;0,I241&gt;=H241),"완납","미확인"))</x:f>
        <x:v>완납</x:v>
      </x:c>
      <x:c r="O241" s="31" t="n">
        <x:v>15</x:v>
      </x:c>
    </x:row>
    <x:row r="242" ht="17.25" customHeight="1">
      <x:c r="A242" s="24" t="str">
        <x:v>SW-B-24부3251-202510</x:v>
      </x:c>
      <x:c r="B242" s="24" t="str">
        <x:v>스위치플랜</x:v>
      </x:c>
      <x:c r="C242" s="24" t="str">
        <x:v>SW-C-24부3251-1-20250808-15</x:v>
      </x:c>
      <x:c r="D242" s="24" t="str">
        <x:v>24부3251</x:v>
      </x:c>
      <x:c r="E242" s="24" t="str">
        <x:v>이정원</x:v>
      </x:c>
      <x:c r="F242" s="24" t="str">
        <x:v>2025-10</x:v>
      </x:c>
      <x:c r="G242" s="30" t="n">
        <x:v>45940</x:v>
      </x:c>
      <x:c r="H242" s="32" t="n">
        <x:v>780000</x:v>
      </x:c>
      <x:c r="I242" s="32" t="n">
        <x:v>780000</x:v>
      </x:c>
      <x:c r="J242" s="32" t="n">
        <x:v>0</x:v>
      </x:c>
      <x:c r="K242" s="30" t="n">
        <x:v>45942</x:v>
      </x:c>
      <x:c r="L242" s="24" t="str">
        <x:v>입금</x:v>
      </x:c>
      <x:c r="M242" s="31" t="n">
        <x:f>IF(AND(N242="미수",G242&lt;&gt;"",TODAY()&gt;G242),TODAY()-G242,0)</x:f>
        <x:v>0</x:v>
      </x:c>
      <x:c r="N242" s="24" t="str">
        <x:f>IF(J242&gt;0,"미수",IF(AND(H242&gt;0,I242&gt;=H242),"완납","미확인"))</x:f>
        <x:v>완납</x:v>
      </x:c>
      <x:c r="O242" s="31" t="n">
        <x:v>15</x:v>
      </x:c>
    </x:row>
    <x:row r="243" ht="17.25" customHeight="1">
      <x:c r="A243" s="24" t="str">
        <x:v>SW-B-24부3251-202509</x:v>
      </x:c>
      <x:c r="B243" s="24" t="str">
        <x:v>스위치플랜</x:v>
      </x:c>
      <x:c r="C243" s="24" t="str">
        <x:v>SW-C-24부3251-1-20250808-15</x:v>
      </x:c>
      <x:c r="D243" s="24" t="str">
        <x:v>24부3251</x:v>
      </x:c>
      <x:c r="E243" s="24" t="str">
        <x:v>이정원</x:v>
      </x:c>
      <x:c r="F243" s="24" t="str">
        <x:v>2025-09</x:v>
      </x:c>
      <x:c r="G243" s="30" t="n">
        <x:v>45910</x:v>
      </x:c>
      <x:c r="H243" s="32" t="n">
        <x:v>780000</x:v>
      </x:c>
      <x:c r="I243" s="32" t="n">
        <x:v>780000</x:v>
      </x:c>
      <x:c r="J243" s="32" t="n">
        <x:v>0</x:v>
      </x:c>
      <x:c r="K243" s="30" t="n">
        <x:v>45912</x:v>
      </x:c>
      <x:c r="L243" s="24" t="str">
        <x:v>입금</x:v>
      </x:c>
      <x:c r="M243" s="31" t="n">
        <x:f>IF(AND(N243="미수",G243&lt;&gt;"",TODAY()&gt;G243),TODAY()-G243,0)</x:f>
        <x:v>0</x:v>
      </x:c>
      <x:c r="N243" s="24" t="str">
        <x:f>IF(J243&gt;0,"미수",IF(AND(H243&gt;0,I243&gt;=H243),"완납","미확인"))</x:f>
        <x:v>완납</x:v>
      </x:c>
      <x:c r="O243" s="31" t="n">
        <x:v>15</x:v>
      </x:c>
    </x:row>
    <x:row r="244" ht="17.25" customHeight="1">
      <x:c r="A244" s="24" t="str">
        <x:v>SW-B-24부3251-202508</x:v>
      </x:c>
      <x:c r="B244" s="24" t="str">
        <x:v>스위치플랜</x:v>
      </x:c>
      <x:c r="C244" s="24" t="str">
        <x:v>SW-C-24부3251-1-20250808-15</x:v>
      </x:c>
      <x:c r="D244" s="24" t="str">
        <x:v>24부3251</x:v>
      </x:c>
      <x:c r="E244" s="24" t="str">
        <x:v>이정원</x:v>
      </x:c>
      <x:c r="F244" s="24" t="str">
        <x:v>2025-08</x:v>
      </x:c>
      <x:c r="G244" s="30" t="n">
        <x:v>45879</x:v>
      </x:c>
      <x:c r="H244" s="32" t="n">
        <x:v>780000</x:v>
      </x:c>
      <x:c r="I244" s="32" t="n">
        <x:v>780000</x:v>
      </x:c>
      <x:c r="J244" s="32" t="n">
        <x:v>0</x:v>
      </x:c>
      <x:c r="K244" s="30" t="n">
        <x:v>45877</x:v>
      </x:c>
      <x:c r="L244" s="24" t="str">
        <x:v>입금</x:v>
      </x:c>
      <x:c r="M244" s="31" t="n">
        <x:f>IF(AND(N244="미수",G244&lt;&gt;"",TODAY()&gt;G244),TODAY()-G244,0)</x:f>
        <x:v>0</x:v>
      </x:c>
      <x:c r="N244" s="24" t="str">
        <x:f>IF(J244&gt;0,"미수",IF(AND(H244&gt;0,I244&gt;=H244),"완납","미확인"))</x:f>
        <x:v>완납</x:v>
      </x:c>
      <x:c r="O244" s="31" t="n">
        <x:v>15</x:v>
      </x:c>
    </x:row>
    <x:row r="245" ht="17.25" customHeight="1">
      <x:c r="A245" s="24" t="str">
        <x:v>SW-B-24부3251-202506</x:v>
      </x:c>
      <x:c r="B245" s="24" t="str">
        <x:v>스위치플랜</x:v>
      </x:c>
      <x:c r="C245" s="24" t="str">
        <x:v>SW-C-24부3251-2-20241204-15</x:v>
      </x:c>
      <x:c r="D245" s="24" t="str">
        <x:v>24부3251</x:v>
      </x:c>
      <x:c r="E245" s="24" t="str">
        <x:v>이정원</x:v>
      </x:c>
      <x:c r="F245" s="24" t="str">
        <x:v>2025-06</x:v>
      </x:c>
      <x:c r="G245" s="30" t="n">
        <x:v>45818</x:v>
      </x:c>
      <x:c r="H245" s="32" t="n">
        <x:v>780000</x:v>
      </x:c>
      <x:c r="I245" s="32" t="n">
        <x:v>780000</x:v>
      </x:c>
      <x:c r="J245" s="32" t="n">
        <x:v>0</x:v>
      </x:c>
      <x:c r="K245" s="30" t="n">
        <x:v>45810</x:v>
      </x:c>
      <x:c r="L245" s="24" t="str">
        <x:v>입금</x:v>
      </x:c>
      <x:c r="M245" s="31" t="n">
        <x:f>IF(AND(N245="미수",G245&lt;&gt;"",TODAY()&gt;G245),TODAY()-G245,0)</x:f>
        <x:v>0</x:v>
      </x:c>
      <x:c r="N245" s="24" t="str">
        <x:f>IF(J245&gt;0,"미수",IF(AND(H245&gt;0,I245&gt;=H245),"완납","미확인"))</x:f>
        <x:v>완납</x:v>
      </x:c>
      <x:c r="O245" s="31" t="n">
        <x:v>15</x:v>
      </x:c>
    </x:row>
    <x:row r="246" ht="17.25" customHeight="1">
      <x:c r="A246" s="24" t="str">
        <x:v>SW-B-24부3251-202505</x:v>
      </x:c>
      <x:c r="B246" s="24" t="str">
        <x:v>스위치플랜</x:v>
      </x:c>
      <x:c r="C246" s="24" t="str">
        <x:v>SW-C-24부3251-2-20241204-15</x:v>
      </x:c>
      <x:c r="D246" s="24" t="str">
        <x:v>24부3251</x:v>
      </x:c>
      <x:c r="E246" s="24" t="str">
        <x:v>이정원</x:v>
      </x:c>
      <x:c r="F246" s="24" t="str">
        <x:v>2025-05</x:v>
      </x:c>
      <x:c r="G246" s="30" t="n">
        <x:v>45787</x:v>
      </x:c>
      <x:c r="H246" s="32" t="n">
        <x:v>780000</x:v>
      </x:c>
      <x:c r="I246" s="32" t="n">
        <x:v>780000</x:v>
      </x:c>
      <x:c r="J246" s="32" t="n">
        <x:v>0</x:v>
      </x:c>
      <x:c r="K246" s="30" t="n">
        <x:v>45780</x:v>
      </x:c>
      <x:c r="L246" s="24" t="str">
        <x:v>입금</x:v>
      </x:c>
      <x:c r="M246" s="31" t="n">
        <x:f>IF(AND(N246="미수",G246&lt;&gt;"",TODAY()&gt;G246),TODAY()-G246,0)</x:f>
        <x:v>0</x:v>
      </x:c>
      <x:c r="N246" s="24" t="str">
        <x:f>IF(J246&gt;0,"미수",IF(AND(H246&gt;0,I246&gt;=H246),"완납","미확인"))</x:f>
        <x:v>완납</x:v>
      </x:c>
      <x:c r="O246" s="31" t="n">
        <x:v>15</x:v>
      </x:c>
    </x:row>
    <x:row r="247" ht="17.25" customHeight="1">
      <x:c r="A247" s="24" t="str">
        <x:v>SW-B-24부3251-202504</x:v>
      </x:c>
      <x:c r="B247" s="24" t="str">
        <x:v>스위치플랜</x:v>
      </x:c>
      <x:c r="C247" s="24" t="str">
        <x:v>SW-C-24부3251-2-20241204-15</x:v>
      </x:c>
      <x:c r="D247" s="24" t="str">
        <x:v>24부3251</x:v>
      </x:c>
      <x:c r="E247" s="24" t="str">
        <x:v>이정원</x:v>
      </x:c>
      <x:c r="F247" s="24" t="str">
        <x:v>2025-04</x:v>
      </x:c>
      <x:c r="G247" s="30" t="n">
        <x:v>45757</x:v>
      </x:c>
      <x:c r="H247" s="32" t="n">
        <x:v>780000</x:v>
      </x:c>
      <x:c r="I247" s="32" t="n">
        <x:v>780000</x:v>
      </x:c>
      <x:c r="J247" s="32" t="n">
        <x:v>0</x:v>
      </x:c>
      <x:c r="K247" s="30" t="n">
        <x:v>45746</x:v>
      </x:c>
      <x:c r="L247" s="24" t="str">
        <x:v>입금</x:v>
      </x:c>
      <x:c r="M247" s="31" t="n">
        <x:f>IF(AND(N247="미수",G247&lt;&gt;"",TODAY()&gt;G247),TODAY()-G247,0)</x:f>
        <x:v>0</x:v>
      </x:c>
      <x:c r="N247" s="24" t="str">
        <x:f>IF(J247&gt;0,"미수",IF(AND(H247&gt;0,I247&gt;=H247),"완납","미확인"))</x:f>
        <x:v>완납</x:v>
      </x:c>
      <x:c r="O247" s="31" t="n">
        <x:v>15</x:v>
      </x:c>
    </x:row>
    <x:row r="248" ht="17.25" customHeight="1">
      <x:c r="A248" s="24" t="str">
        <x:v>SW-B-24부3251-202503</x:v>
      </x:c>
      <x:c r="B248" s="24" t="str">
        <x:v>스위치플랜</x:v>
      </x:c>
      <x:c r="C248" s="24" t="str">
        <x:v>SW-C-24부3251-2-20241204-15</x:v>
      </x:c>
      <x:c r="D248" s="24" t="str">
        <x:v>24부3251</x:v>
      </x:c>
      <x:c r="E248" s="24" t="str">
        <x:v>이정원</x:v>
      </x:c>
      <x:c r="F248" s="24" t="str">
        <x:v>2025-03</x:v>
      </x:c>
      <x:c r="G248" s="30" t="n">
        <x:v>45726</x:v>
      </x:c>
      <x:c r="H248" s="32" t="n">
        <x:v>780000</x:v>
      </x:c>
      <x:c r="I248" s="32" t="n">
        <x:v>780000</x:v>
      </x:c>
      <x:c r="J248" s="32" t="n">
        <x:v>0</x:v>
      </x:c>
      <x:c r="K248" s="30" t="n">
        <x:v>45717</x:v>
      </x:c>
      <x:c r="L248" s="24" t="str">
        <x:v>입금</x:v>
      </x:c>
      <x:c r="M248" s="31" t="n">
        <x:f>IF(AND(N248="미수",G248&lt;&gt;"",TODAY()&gt;G248),TODAY()-G248,0)</x:f>
        <x:v>0</x:v>
      </x:c>
      <x:c r="N248" s="24" t="str">
        <x:f>IF(J248&gt;0,"미수",IF(AND(H248&gt;0,I248&gt;=H248),"완납","미확인"))</x:f>
        <x:v>완납</x:v>
      </x:c>
      <x:c r="O248" s="31" t="n">
        <x:v>15</x:v>
      </x:c>
    </x:row>
    <x:row r="249" ht="17.25" customHeight="1">
      <x:c r="A249" s="24" t="str">
        <x:v>SW-B-24부3251-202502</x:v>
      </x:c>
      <x:c r="B249" s="24" t="str">
        <x:v>스위치플랜</x:v>
      </x:c>
      <x:c r="C249" s="24" t="str">
        <x:v>SW-C-24부3251-2-20241204-15</x:v>
      </x:c>
      <x:c r="D249" s="24" t="str">
        <x:v>24부3251</x:v>
      </x:c>
      <x:c r="E249" s="24" t="str">
        <x:v>이정원</x:v>
      </x:c>
      <x:c r="F249" s="24" t="str">
        <x:v>2025-02</x:v>
      </x:c>
      <x:c r="G249" s="30" t="n">
        <x:v>45698</x:v>
      </x:c>
      <x:c r="H249" s="32" t="n">
        <x:v>0</x:v>
      </x:c>
      <x:c r="I249" s="32"/>
      <x:c r="J249" s="32" t="n">
        <x:v>0</x:v>
      </x:c>
      <x:c r="K249" s="30"/>
      <x:c r="L249" s="24" t="str"/>
      <x:c r="M249" s="31" t="n">
        <x:f>IF(AND(N249="미수",G249&lt;&gt;"",TODAY()&gt;G249),TODAY()-G249,0)</x:f>
        <x:v>0</x:v>
      </x:c>
      <x:c r="N249" s="24" t="str">
        <x:f>IF(J249&gt;0,"미수",IF(AND(H249&gt;0,I249&gt;=H249),"완납","미확인"))</x:f>
        <x:v>미확인</x:v>
      </x:c>
      <x:c r="O249" s="31" t="n">
        <x:v>15</x:v>
      </x:c>
    </x:row>
    <x:row r="250" ht="17.25" customHeight="1">
      <x:c r="A250" s="24" t="str">
        <x:v>SW-B-24부3251-202501</x:v>
      </x:c>
      <x:c r="B250" s="24" t="str">
        <x:v>스위치플랜</x:v>
      </x:c>
      <x:c r="C250" s="24" t="str">
        <x:v>SW-C-24부3251-2-20241204-15</x:v>
      </x:c>
      <x:c r="D250" s="24" t="str">
        <x:v>24부3251</x:v>
      </x:c>
      <x:c r="E250" s="24" t="str">
        <x:v>이정원</x:v>
      </x:c>
      <x:c r="F250" s="24" t="str">
        <x:v>2025-01</x:v>
      </x:c>
      <x:c r="G250" s="30" t="n">
        <x:v>45667</x:v>
      </x:c>
      <x:c r="H250" s="32" t="n">
        <x:v>780000</x:v>
      </x:c>
      <x:c r="I250" s="32" t="n">
        <x:v>780000</x:v>
      </x:c>
      <x:c r="J250" s="32" t="n">
        <x:v>0</x:v>
      </x:c>
      <x:c r="K250" s="30" t="n">
        <x:v>45686</x:v>
      </x:c>
      <x:c r="L250" s="24" t="str">
        <x:v>입금</x:v>
      </x:c>
      <x:c r="M250" s="31" t="n">
        <x:f>IF(AND(N250="미수",G250&lt;&gt;"",TODAY()&gt;G250),TODAY()-G250,0)</x:f>
        <x:v>0</x:v>
      </x:c>
      <x:c r="N250" s="24" t="str">
        <x:f>IF(J250&gt;0,"미수",IF(AND(H250&gt;0,I250&gt;=H250),"완납","미확인"))</x:f>
        <x:v>완납</x:v>
      </x:c>
      <x:c r="O250" s="31" t="n">
        <x:v>15</x:v>
      </x:c>
    </x:row>
    <x:row r="251" ht="17.25" customHeight="1">
      <x:c r="A251" s="24" t="str">
        <x:v>SW-B-297거4892-202608</x:v>
      </x:c>
      <x:c r="B251" s="24" t="str">
        <x:v>스위치플랜</x:v>
      </x:c>
      <x:c r="C251" s="24" t="str">
        <x:v>SW-C-297거4892-1-20251017-16</x:v>
      </x:c>
      <x:c r="D251" s="24" t="str">
        <x:v>297거4892</x:v>
      </x:c>
      <x:c r="E251" s="24" t="str">
        <x:v>김선우</x:v>
      </x:c>
      <x:c r="F251" s="24" t="str">
        <x:v>2026-08</x:v>
      </x:c>
      <x:c r="G251" s="30" t="n">
        <x:v>46244</x:v>
      </x:c>
      <x:c r="H251" s="32" t="n">
        <x:v>930000</x:v>
      </x:c>
      <x:c r="I251" s="32"/>
      <x:c r="J251" s="32" t="n">
        <x:v>1860000</x:v>
      </x:c>
      <x:c r="K251" s="30"/>
      <x:c r="L251" s="24" t="str"/>
      <x:c r="M251" s="31" t="n">
        <x:f>IF(AND(N251="미수",G251&lt;&gt;"",TODAY()&gt;G251),TODAY()-G251,0)</x:f>
        <x:v>5</x:v>
      </x:c>
      <x:c r="N251" s="24" t="str">
        <x:f>IF(J251&gt;0,"미수",IF(AND(H251&gt;0,I251&gt;=H251),"완납","미확인"))</x:f>
        <x:v>미수</x:v>
      </x:c>
      <x:c r="O251" s="31" t="n">
        <x:v>16</x:v>
      </x:c>
    </x:row>
    <x:row r="252" ht="17.25" customHeight="1">
      <x:c r="A252" s="24" t="str">
        <x:v>SW-B-297거4892-202607</x:v>
      </x:c>
      <x:c r="B252" s="24" t="str">
        <x:v>스위치플랜</x:v>
      </x:c>
      <x:c r="C252" s="24" t="str">
        <x:v>SW-C-297거4892-1-20251017-16</x:v>
      </x:c>
      <x:c r="D252" s="24" t="str">
        <x:v>297거4892</x:v>
      </x:c>
      <x:c r="E252" s="24" t="str">
        <x:v>김선우</x:v>
      </x:c>
      <x:c r="F252" s="24" t="str">
        <x:v>2026-07</x:v>
      </x:c>
      <x:c r="G252" s="30" t="n">
        <x:v>46213</x:v>
      </x:c>
      <x:c r="H252" s="32" t="n">
        <x:v>930000</x:v>
      </x:c>
      <x:c r="I252" s="32"/>
      <x:c r="J252" s="32" t="n">
        <x:v>930000</x:v>
      </x:c>
      <x:c r="K252" s="30"/>
      <x:c r="L252" s="24" t="str"/>
      <x:c r="M252" s="31" t="n">
        <x:f>IF(AND(N252="미수",G252&lt;&gt;"",TODAY()&gt;G252),TODAY()-G252,0)</x:f>
        <x:v>36</x:v>
      </x:c>
      <x:c r="N252" s="24" t="str">
        <x:f>IF(J252&gt;0,"미수",IF(AND(H252&gt;0,I252&gt;=H252),"완납","미확인"))</x:f>
        <x:v>미수</x:v>
      </x:c>
      <x:c r="O252" s="31" t="n">
        <x:v>16</x:v>
      </x:c>
    </x:row>
    <x:row r="253" ht="17.25" customHeight="1">
      <x:c r="A253" s="24" t="str">
        <x:v>SW-B-297거4892-202606</x:v>
      </x:c>
      <x:c r="B253" s="24" t="str">
        <x:v>스위치플랜</x:v>
      </x:c>
      <x:c r="C253" s="24" t="str">
        <x:v>SW-C-297거4892-1-20251017-16</x:v>
      </x:c>
      <x:c r="D253" s="24" t="str">
        <x:v>297거4892</x:v>
      </x:c>
      <x:c r="E253" s="24" t="str">
        <x:v>김선우</x:v>
      </x:c>
      <x:c r="F253" s="24" t="str">
        <x:v>2026-06</x:v>
      </x:c>
      <x:c r="G253" s="30" t="n">
        <x:v>46183</x:v>
      </x:c>
      <x:c r="H253" s="32" t="n">
        <x:v>930000</x:v>
      </x:c>
      <x:c r="I253" s="32" t="n">
        <x:v>930000</x:v>
      </x:c>
      <x:c r="J253" s="32" t="n">
        <x:v>0</x:v>
      </x:c>
      <x:c r="K253" s="30" t="n">
        <x:v>46188</x:v>
      </x:c>
      <x:c r="L253" s="24" t="str">
        <x:v>입금</x:v>
      </x:c>
      <x:c r="M253" s="31" t="n">
        <x:f>IF(AND(N253="미수",G253&lt;&gt;"",TODAY()&gt;G253),TODAY()-G253,0)</x:f>
        <x:v>0</x:v>
      </x:c>
      <x:c r="N253" s="24" t="str">
        <x:f>IF(J253&gt;0,"미수",IF(AND(H253&gt;0,I253&gt;=H253),"완납","미확인"))</x:f>
        <x:v>완납</x:v>
      </x:c>
      <x:c r="O253" s="31" t="n">
        <x:v>16</x:v>
      </x:c>
    </x:row>
    <x:row r="254" ht="17.25" customHeight="1">
      <x:c r="A254" s="24" t="str">
        <x:v>SW-B-297거4892-202605</x:v>
      </x:c>
      <x:c r="B254" s="24" t="str">
        <x:v>스위치플랜</x:v>
      </x:c>
      <x:c r="C254" s="24" t="str">
        <x:v>SW-C-297거4892-1-20251017-16</x:v>
      </x:c>
      <x:c r="D254" s="24" t="str">
        <x:v>297거4892</x:v>
      </x:c>
      <x:c r="E254" s="24" t="str">
        <x:v>김선우</x:v>
      </x:c>
      <x:c r="F254" s="24" t="str">
        <x:v>2026-05</x:v>
      </x:c>
      <x:c r="G254" s="30" t="n">
        <x:v>46152</x:v>
      </x:c>
      <x:c r="H254" s="32" t="n">
        <x:v>930000</x:v>
      </x:c>
      <x:c r="I254" s="32" t="n">
        <x:v>930000</x:v>
      </x:c>
      <x:c r="J254" s="32" t="n">
        <x:v>0</x:v>
      </x:c>
      <x:c r="K254" s="30" t="n">
        <x:v>46155</x:v>
      </x:c>
      <x:c r="L254" s="24" t="str">
        <x:v>입금</x:v>
      </x:c>
      <x:c r="M254" s="31" t="n">
        <x:f>IF(AND(N254="미수",G254&lt;&gt;"",TODAY()&gt;G254),TODAY()-G254,0)</x:f>
        <x:v>0</x:v>
      </x:c>
      <x:c r="N254" s="24" t="str">
        <x:f>IF(J254&gt;0,"미수",IF(AND(H254&gt;0,I254&gt;=H254),"완납","미확인"))</x:f>
        <x:v>완납</x:v>
      </x:c>
      <x:c r="O254" s="31" t="n">
        <x:v>16</x:v>
      </x:c>
    </x:row>
    <x:row r="255" ht="17.25" customHeight="1">
      <x:c r="A255" s="24" t="str">
        <x:v>SW-B-297거4892-202604</x:v>
      </x:c>
      <x:c r="B255" s="24" t="str">
        <x:v>스위치플랜</x:v>
      </x:c>
      <x:c r="C255" s="24" t="str">
        <x:v>SW-C-297거4892-1-20251017-16</x:v>
      </x:c>
      <x:c r="D255" s="24" t="str">
        <x:v>297거4892</x:v>
      </x:c>
      <x:c r="E255" s="24" t="str">
        <x:v>김선우</x:v>
      </x:c>
      <x:c r="F255" s="24" t="str">
        <x:v>2026-04</x:v>
      </x:c>
      <x:c r="G255" s="30" t="n">
        <x:v>46122</x:v>
      </x:c>
      <x:c r="H255" s="32" t="n">
        <x:v>930000</x:v>
      </x:c>
      <x:c r="I255" s="32" t="n">
        <x:v>930000</x:v>
      </x:c>
      <x:c r="J255" s="32" t="n">
        <x:v>0</x:v>
      </x:c>
      <x:c r="K255" s="30" t="n">
        <x:v>46126</x:v>
      </x:c>
      <x:c r="L255" s="24" t="str">
        <x:v>입금</x:v>
      </x:c>
      <x:c r="M255" s="31" t="n">
        <x:f>IF(AND(N255="미수",G255&lt;&gt;"",TODAY()&gt;G255),TODAY()-G255,0)</x:f>
        <x:v>0</x:v>
      </x:c>
      <x:c r="N255" s="24" t="str">
        <x:f>IF(J255&gt;0,"미수",IF(AND(H255&gt;0,I255&gt;=H255),"완납","미확인"))</x:f>
        <x:v>완납</x:v>
      </x:c>
      <x:c r="O255" s="31" t="n">
        <x:v>16</x:v>
      </x:c>
    </x:row>
    <x:row r="256" ht="17.25" customHeight="1">
      <x:c r="A256" s="24" t="str">
        <x:v>SW-B-297거4892-202603</x:v>
      </x:c>
      <x:c r="B256" s="24" t="str">
        <x:v>스위치플랜</x:v>
      </x:c>
      <x:c r="C256" s="24" t="str">
        <x:v>SW-C-297거4892-1-20251017-16</x:v>
      </x:c>
      <x:c r="D256" s="24" t="str">
        <x:v>297거4892</x:v>
      </x:c>
      <x:c r="E256" s="24" t="str">
        <x:v>김선우</x:v>
      </x:c>
      <x:c r="F256" s="24" t="str">
        <x:v>2026-03</x:v>
      </x:c>
      <x:c r="G256" s="30" t="n">
        <x:v>46091</x:v>
      </x:c>
      <x:c r="H256" s="32" t="n">
        <x:v>930000</x:v>
      </x:c>
      <x:c r="I256" s="32" t="n">
        <x:v>930000</x:v>
      </x:c>
      <x:c r="J256" s="32" t="n">
        <x:v>0</x:v>
      </x:c>
      <x:c r="K256" s="30" t="n">
        <x:v>46098</x:v>
      </x:c>
      <x:c r="L256" s="24" t="str">
        <x:v>입금</x:v>
      </x:c>
      <x:c r="M256" s="31" t="n">
        <x:f>IF(AND(N256="미수",G256&lt;&gt;"",TODAY()&gt;G256),TODAY()-G256,0)</x:f>
        <x:v>0</x:v>
      </x:c>
      <x:c r="N256" s="24" t="str">
        <x:f>IF(J256&gt;0,"미수",IF(AND(H256&gt;0,I256&gt;=H256),"완납","미확인"))</x:f>
        <x:v>완납</x:v>
      </x:c>
      <x:c r="O256" s="31" t="n">
        <x:v>16</x:v>
      </x:c>
    </x:row>
    <x:row r="257" ht="17.25" customHeight="1">
      <x:c r="A257" s="24" t="str">
        <x:v>SW-B-297거4892-202602</x:v>
      </x:c>
      <x:c r="B257" s="24" t="str">
        <x:v>스위치플랜</x:v>
      </x:c>
      <x:c r="C257" s="24" t="str">
        <x:v>SW-C-297거4892-1-20251017-16</x:v>
      </x:c>
      <x:c r="D257" s="24" t="str">
        <x:v>297거4892</x:v>
      </x:c>
      <x:c r="E257" s="24" t="str">
        <x:v>김선우</x:v>
      </x:c>
      <x:c r="F257" s="24" t="str">
        <x:v>2026-02</x:v>
      </x:c>
      <x:c r="G257" s="30" t="n">
        <x:v>46063</x:v>
      </x:c>
      <x:c r="H257" s="32" t="n">
        <x:v>930000</x:v>
      </x:c>
      <x:c r="I257" s="32" t="n">
        <x:v>930000</x:v>
      </x:c>
      <x:c r="J257" s="32" t="n">
        <x:v>0</x:v>
      </x:c>
      <x:c r="K257" s="30" t="n">
        <x:v>46071</x:v>
      </x:c>
      <x:c r="L257" s="24" t="str">
        <x:v>입금</x:v>
      </x:c>
      <x:c r="M257" s="31" t="n">
        <x:f>IF(AND(N257="미수",G257&lt;&gt;"",TODAY()&gt;G257),TODAY()-G257,0)</x:f>
        <x:v>0</x:v>
      </x:c>
      <x:c r="N257" s="24" t="str">
        <x:f>IF(J257&gt;0,"미수",IF(AND(H257&gt;0,I257&gt;=H257),"완납","미확인"))</x:f>
        <x:v>완납</x:v>
      </x:c>
      <x:c r="O257" s="31" t="n">
        <x:v>16</x:v>
      </x:c>
    </x:row>
    <x:row r="258" ht="17.25" customHeight="1">
      <x:c r="A258" s="24" t="str">
        <x:v>SW-B-297거4892-202601</x:v>
      </x:c>
      <x:c r="B258" s="24" t="str">
        <x:v>스위치플랜</x:v>
      </x:c>
      <x:c r="C258" s="24" t="str">
        <x:v>SW-C-297거4892-1-20251017-16</x:v>
      </x:c>
      <x:c r="D258" s="24" t="str">
        <x:v>297거4892</x:v>
      </x:c>
      <x:c r="E258" s="24" t="str">
        <x:v>김선우</x:v>
      </x:c>
      <x:c r="F258" s="24" t="str">
        <x:v>2026-01</x:v>
      </x:c>
      <x:c r="G258" s="30" t="n">
        <x:v>46032</x:v>
      </x:c>
      <x:c r="H258" s="32" t="n">
        <x:v>930000</x:v>
      </x:c>
      <x:c r="I258" s="32" t="n">
        <x:v>930000</x:v>
      </x:c>
      <x:c r="J258" s="32" t="n">
        <x:v>0</x:v>
      </x:c>
      <x:c r="K258" s="30" t="n">
        <x:v>46035</x:v>
      </x:c>
      <x:c r="L258" s="24" t="str">
        <x:v>입금</x:v>
      </x:c>
      <x:c r="M258" s="31" t="n">
        <x:f>IF(AND(N258="미수",G258&lt;&gt;"",TODAY()&gt;G258),TODAY()-G258,0)</x:f>
        <x:v>0</x:v>
      </x:c>
      <x:c r="N258" s="24" t="str">
        <x:f>IF(J258&gt;0,"미수",IF(AND(H258&gt;0,I258&gt;=H258),"완납","미확인"))</x:f>
        <x:v>완납</x:v>
      </x:c>
      <x:c r="O258" s="31" t="n">
        <x:v>16</x:v>
      </x:c>
    </x:row>
    <x:row r="259" ht="17.25" customHeight="1">
      <x:c r="A259" s="24" t="str">
        <x:v>SW-B-297거4892-202512</x:v>
      </x:c>
      <x:c r="B259" s="24" t="str">
        <x:v>스위치플랜</x:v>
      </x:c>
      <x:c r="C259" s="24" t="str">
        <x:v>SW-C-297거4892-1-20251017-16</x:v>
      </x:c>
      <x:c r="D259" s="24" t="str">
        <x:v>297거4892</x:v>
      </x:c>
      <x:c r="E259" s="24" t="str">
        <x:v>김선우</x:v>
      </x:c>
      <x:c r="F259" s="24" t="str">
        <x:v>2025-12</x:v>
      </x:c>
      <x:c r="G259" s="30" t="n">
        <x:v>46001</x:v>
      </x:c>
      <x:c r="H259" s="32" t="n">
        <x:v>930000</x:v>
      </x:c>
      <x:c r="I259" s="32" t="n">
        <x:v>930000</x:v>
      </x:c>
      <x:c r="J259" s="32" t="n">
        <x:v>0</x:v>
      </x:c>
      <x:c r="K259" s="30" t="n">
        <x:v>46005</x:v>
      </x:c>
      <x:c r="L259" s="24" t="str">
        <x:v>입금</x:v>
      </x:c>
      <x:c r="M259" s="31" t="n">
        <x:f>IF(AND(N259="미수",G259&lt;&gt;"",TODAY()&gt;G259),TODAY()-G259,0)</x:f>
        <x:v>0</x:v>
      </x:c>
      <x:c r="N259" s="24" t="str">
        <x:f>IF(J259&gt;0,"미수",IF(AND(H259&gt;0,I259&gt;=H259),"완납","미확인"))</x:f>
        <x:v>완납</x:v>
      </x:c>
      <x:c r="O259" s="31" t="n">
        <x:v>16</x:v>
      </x:c>
    </x:row>
    <x:row r="260" ht="17.25" customHeight="1">
      <x:c r="A260" s="24" t="str">
        <x:v>SW-B-297거4892-202511</x:v>
      </x:c>
      <x:c r="B260" s="24" t="str">
        <x:v>스위치플랜</x:v>
      </x:c>
      <x:c r="C260" s="24" t="str">
        <x:v>SW-C-297거4892-1-20251017-16</x:v>
      </x:c>
      <x:c r="D260" s="24" t="str">
        <x:v>297거4892</x:v>
      </x:c>
      <x:c r="E260" s="24" t="str">
        <x:v>김선우</x:v>
      </x:c>
      <x:c r="F260" s="24" t="str">
        <x:v>2025-11</x:v>
      </x:c>
      <x:c r="G260" s="30" t="n">
        <x:v>45971</x:v>
      </x:c>
      <x:c r="H260" s="32" t="n">
        <x:v>930000</x:v>
      </x:c>
      <x:c r="I260" s="32" t="n">
        <x:v>930000</x:v>
      </x:c>
      <x:c r="J260" s="32" t="n">
        <x:v>0</x:v>
      </x:c>
      <x:c r="K260" s="30" t="n">
        <x:v>45974</x:v>
      </x:c>
      <x:c r="L260" s="24" t="str">
        <x:v>입금</x:v>
      </x:c>
      <x:c r="M260" s="31" t="n">
        <x:f>IF(AND(N260="미수",G260&lt;&gt;"",TODAY()&gt;G260),TODAY()-G260,0)</x:f>
        <x:v>0</x:v>
      </x:c>
      <x:c r="N260" s="24" t="str">
        <x:f>IF(J260&gt;0,"미수",IF(AND(H260&gt;0,I260&gt;=H260),"완납","미확인"))</x:f>
        <x:v>완납</x:v>
      </x:c>
      <x:c r="O260" s="31" t="n">
        <x:v>16</x:v>
      </x:c>
    </x:row>
    <x:row r="261" ht="17.25" customHeight="1">
      <x:c r="A261" s="24" t="str">
        <x:v>SW-B-297거4892-202510</x:v>
      </x:c>
      <x:c r="B261" s="24" t="str">
        <x:v>스위치플랜</x:v>
      </x:c>
      <x:c r="C261" s="24" t="str">
        <x:v>SW-C-297거4892-1-20251017-16</x:v>
      </x:c>
      <x:c r="D261" s="24" t="str">
        <x:v>297거4892</x:v>
      </x:c>
      <x:c r="E261" s="24" t="str">
        <x:v>김선우</x:v>
      </x:c>
      <x:c r="F261" s="24" t="str">
        <x:v>2025-10</x:v>
      </x:c>
      <x:c r="G261" s="30" t="n">
        <x:v>45940</x:v>
      </x:c>
      <x:c r="H261" s="32" t="n">
        <x:v>930000</x:v>
      </x:c>
      <x:c r="I261" s="32" t="n">
        <x:v>930000</x:v>
      </x:c>
      <x:c r="J261" s="32" t="n">
        <x:v>0</x:v>
      </x:c>
      <x:c r="K261" s="30" t="n">
        <x:v>45946</x:v>
      </x:c>
      <x:c r="L261" s="24" t="str">
        <x:v>입금</x:v>
      </x:c>
      <x:c r="M261" s="31" t="n">
        <x:f>IF(AND(N261="미수",G261&lt;&gt;"",TODAY()&gt;G261),TODAY()-G261,0)</x:f>
        <x:v>0</x:v>
      </x:c>
      <x:c r="N261" s="24" t="str">
        <x:f>IF(J261&gt;0,"미수",IF(AND(H261&gt;0,I261&gt;=H261),"완납","미확인"))</x:f>
        <x:v>완납</x:v>
      </x:c>
      <x:c r="O261" s="31" t="n">
        <x:v>16</x:v>
      </x:c>
    </x:row>
    <x:row r="262" ht="17.25" customHeight="1">
      <x:c r="A262" s="24" t="str">
        <x:v>SW-B-297거4892-202509</x:v>
      </x:c>
      <x:c r="B262" s="24" t="str">
        <x:v>스위치플랜</x:v>
      </x:c>
      <x:c r="C262" s="24" t="str">
        <x:v>SW-C-297거4892-2-20250711-16</x:v>
      </x:c>
      <x:c r="D262" s="24" t="str">
        <x:v>297거4892</x:v>
      </x:c>
      <x:c r="E262" s="24" t="str">
        <x:v>김선우</x:v>
      </x:c>
      <x:c r="F262" s="24" t="str">
        <x:v>2025-09</x:v>
      </x:c>
      <x:c r="G262" s="30" t="n">
        <x:v>45910</x:v>
      </x:c>
      <x:c r="H262" s="32" t="n">
        <x:v>930000</x:v>
      </x:c>
      <x:c r="I262" s="32" t="n">
        <x:v>930000</x:v>
      </x:c>
      <x:c r="J262" s="32" t="n">
        <x:v>0</x:v>
      </x:c>
      <x:c r="K262" s="30" t="n">
        <x:v>45910</x:v>
      </x:c>
      <x:c r="L262" s="24" t="str">
        <x:v>입금</x:v>
      </x:c>
      <x:c r="M262" s="31" t="n">
        <x:f>IF(AND(N262="미수",G262&lt;&gt;"",TODAY()&gt;G262),TODAY()-G262,0)</x:f>
        <x:v>0</x:v>
      </x:c>
      <x:c r="N262" s="24" t="str">
        <x:f>IF(J262&gt;0,"미수",IF(AND(H262&gt;0,I262&gt;=H262),"완납","미확인"))</x:f>
        <x:v>완납</x:v>
      </x:c>
      <x:c r="O262" s="31" t="n">
        <x:v>16</x:v>
      </x:c>
    </x:row>
    <x:row r="263" ht="17.25" customHeight="1">
      <x:c r="A263" s="24" t="str">
        <x:v>SW-B-297거4892-202508</x:v>
      </x:c>
      <x:c r="B263" s="24" t="str">
        <x:v>스위치플랜</x:v>
      </x:c>
      <x:c r="C263" s="24" t="str">
        <x:v>SW-C-297거4892-2-20250711-16</x:v>
      </x:c>
      <x:c r="D263" s="24" t="str">
        <x:v>297거4892</x:v>
      </x:c>
      <x:c r="E263" s="24" t="str">
        <x:v>김선우</x:v>
      </x:c>
      <x:c r="F263" s="24" t="str">
        <x:v>2025-08</x:v>
      </x:c>
      <x:c r="G263" s="30" t="n">
        <x:v>45879</x:v>
      </x:c>
      <x:c r="H263" s="32" t="n">
        <x:v>930000</x:v>
      </x:c>
      <x:c r="I263" s="32" t="n">
        <x:v>930000</x:v>
      </x:c>
      <x:c r="J263" s="32" t="n">
        <x:v>0</x:v>
      </x:c>
      <x:c r="K263" s="30" t="n">
        <x:v>45877</x:v>
      </x:c>
      <x:c r="L263" s="24" t="str">
        <x:v>입금</x:v>
      </x:c>
      <x:c r="M263" s="31" t="n">
        <x:f>IF(AND(N263="미수",G263&lt;&gt;"",TODAY()&gt;G263),TODAY()-G263,0)</x:f>
        <x:v>0</x:v>
      </x:c>
      <x:c r="N263" s="24" t="str">
        <x:f>IF(J263&gt;0,"미수",IF(AND(H263&gt;0,I263&gt;=H263),"완납","미확인"))</x:f>
        <x:v>완납</x:v>
      </x:c>
      <x:c r="O263" s="31" t="n">
        <x:v>16</x:v>
      </x:c>
    </x:row>
    <x:row r="264" ht="17.25" customHeight="1">
      <x:c r="A264" s="24" t="str">
        <x:v>SW-B-297거4892-202507</x:v>
      </x:c>
      <x:c r="B264" s="24" t="str">
        <x:v>스위치플랜</x:v>
      </x:c>
      <x:c r="C264" s="24" t="str">
        <x:v>SW-C-297거4892-2-20250711-16</x:v>
      </x:c>
      <x:c r="D264" s="24" t="str">
        <x:v>297거4892</x:v>
      </x:c>
      <x:c r="E264" s="24" t="str">
        <x:v>김선우</x:v>
      </x:c>
      <x:c r="F264" s="24" t="str">
        <x:v>2025-07</x:v>
      </x:c>
      <x:c r="G264" s="30" t="n">
        <x:v>45848</x:v>
      </x:c>
      <x:c r="H264" s="32" t="n">
        <x:v>930000</x:v>
      </x:c>
      <x:c r="I264" s="32" t="n">
        <x:v>930000</x:v>
      </x:c>
      <x:c r="J264" s="32" t="n">
        <x:v>0</x:v>
      </x:c>
      <x:c r="K264" s="30" t="n">
        <x:v>45848</x:v>
      </x:c>
      <x:c r="L264" s="24" t="str">
        <x:v>입금</x:v>
      </x:c>
      <x:c r="M264" s="31" t="n">
        <x:f>IF(AND(N264="미수",G264&lt;&gt;"",TODAY()&gt;G264),TODAY()-G264,0)</x:f>
        <x:v>0</x:v>
      </x:c>
      <x:c r="N264" s="24" t="str">
        <x:f>IF(J264&gt;0,"미수",IF(AND(H264&gt;0,I264&gt;=H264),"완납","미확인"))</x:f>
        <x:v>완납</x:v>
      </x:c>
      <x:c r="O264" s="31" t="n">
        <x:v>16</x:v>
      </x:c>
    </x:row>
    <x:row r="265" ht="17.25" customHeight="1">
      <x:c r="A265" s="24" t="str">
        <x:v>SW-B-297거4892-202506</x:v>
      </x:c>
      <x:c r="B265" s="24" t="str">
        <x:v>스위치플랜</x:v>
      </x:c>
      <x:c r="C265" s="24" t="str">
        <x:v>SW-C-297거4892-3-20250210-16</x:v>
      </x:c>
      <x:c r="D265" s="24" t="str">
        <x:v>297거4892</x:v>
      </x:c>
      <x:c r="E265" s="24" t="str">
        <x:v>김선우</x:v>
      </x:c>
      <x:c r="F265" s="24" t="str">
        <x:v>2025-06</x:v>
      </x:c>
      <x:c r="G265" s="30" t="n">
        <x:v>45818</x:v>
      </x:c>
      <x:c r="H265" s="32" t="n">
        <x:v>830000</x:v>
      </x:c>
      <x:c r="I265" s="32" t="n">
        <x:v>830000</x:v>
      </x:c>
      <x:c r="J265" s="32" t="n">
        <x:v>0</x:v>
      </x:c>
      <x:c r="K265" s="30" t="n">
        <x:v>45818</x:v>
      </x:c>
      <x:c r="L265" s="24" t="str">
        <x:v>자동</x:v>
      </x:c>
      <x:c r="M265" s="31" t="n">
        <x:f>IF(AND(N265="미수",G265&lt;&gt;"",TODAY()&gt;G265),TODAY()-G265,0)</x:f>
        <x:v>0</x:v>
      </x:c>
      <x:c r="N265" s="24" t="str">
        <x:f>IF(J265&gt;0,"미수",IF(AND(H265&gt;0,I265&gt;=H265),"완납","미확인"))</x:f>
        <x:v>완납</x:v>
      </x:c>
      <x:c r="O265" s="31" t="n">
        <x:v>16</x:v>
      </x:c>
    </x:row>
    <x:row r="266" ht="17.25" customHeight="1">
      <x:c r="A266" s="24" t="str">
        <x:v>SW-B-297거4892-202505</x:v>
      </x:c>
      <x:c r="B266" s="24" t="str">
        <x:v>스위치플랜</x:v>
      </x:c>
      <x:c r="C266" s="24" t="str">
        <x:v>SW-C-297거4892-3-20250210-16</x:v>
      </x:c>
      <x:c r="D266" s="24" t="str">
        <x:v>297거4892</x:v>
      </x:c>
      <x:c r="E266" s="24" t="str">
        <x:v>김선우</x:v>
      </x:c>
      <x:c r="F266" s="24" t="str">
        <x:v>2025-05</x:v>
      </x:c>
      <x:c r="G266" s="30" t="n">
        <x:v>45787</x:v>
      </x:c>
      <x:c r="H266" s="32" t="n">
        <x:v>830000</x:v>
      </x:c>
      <x:c r="I266" s="32" t="n">
        <x:v>830000</x:v>
      </x:c>
      <x:c r="J266" s="32" t="n">
        <x:v>0</x:v>
      </x:c>
      <x:c r="K266" s="30" t="n">
        <x:v>45789</x:v>
      </x:c>
      <x:c r="L266" s="24" t="str">
        <x:v>자동</x:v>
      </x:c>
      <x:c r="M266" s="31" t="n">
        <x:f>IF(AND(N266="미수",G266&lt;&gt;"",TODAY()&gt;G266),TODAY()-G266,0)</x:f>
        <x:v>0</x:v>
      </x:c>
      <x:c r="N266" s="24" t="str">
        <x:f>IF(J266&gt;0,"미수",IF(AND(H266&gt;0,I266&gt;=H266),"완납","미확인"))</x:f>
        <x:v>완납</x:v>
      </x:c>
      <x:c r="O266" s="31" t="n">
        <x:v>16</x:v>
      </x:c>
    </x:row>
    <x:row r="267" ht="17.25" customHeight="1">
      <x:c r="A267" s="24" t="str">
        <x:v>SW-B-297거4892-202504</x:v>
      </x:c>
      <x:c r="B267" s="24" t="str">
        <x:v>스위치플랜</x:v>
      </x:c>
      <x:c r="C267" s="24" t="str">
        <x:v>SW-C-297거4892-3-20250210-16</x:v>
      </x:c>
      <x:c r="D267" s="24" t="str">
        <x:v>297거4892</x:v>
      </x:c>
      <x:c r="E267" s="24" t="str">
        <x:v>김선우</x:v>
      </x:c>
      <x:c r="F267" s="24" t="str">
        <x:v>2025-04</x:v>
      </x:c>
      <x:c r="G267" s="30" t="n">
        <x:v>45757</x:v>
      </x:c>
      <x:c r="H267" s="32" t="n">
        <x:v>830000</x:v>
      </x:c>
      <x:c r="I267" s="32" t="n">
        <x:v>830000</x:v>
      </x:c>
      <x:c r="J267" s="32" t="n">
        <x:v>0</x:v>
      </x:c>
      <x:c r="K267" s="30" t="n">
        <x:v>45757</x:v>
      </x:c>
      <x:c r="L267" s="24" t="str">
        <x:v>자동</x:v>
      </x:c>
      <x:c r="M267" s="31" t="n">
        <x:f>IF(AND(N267="미수",G267&lt;&gt;"",TODAY()&gt;G267),TODAY()-G267,0)</x:f>
        <x:v>0</x:v>
      </x:c>
      <x:c r="N267" s="24" t="str">
        <x:f>IF(J267&gt;0,"미수",IF(AND(H267&gt;0,I267&gt;=H267),"완납","미확인"))</x:f>
        <x:v>완납</x:v>
      </x:c>
      <x:c r="O267" s="31" t="n">
        <x:v>16</x:v>
      </x:c>
    </x:row>
    <x:row r="268" ht="17.25" customHeight="1">
      <x:c r="A268" s="24" t="str">
        <x:v>SW-B-297거4892-202503</x:v>
      </x:c>
      <x:c r="B268" s="24" t="str">
        <x:v>스위치플랜</x:v>
      </x:c>
      <x:c r="C268" s="24" t="str">
        <x:v>SW-C-297거4892-3-20250210-16</x:v>
      </x:c>
      <x:c r="D268" s="24" t="str">
        <x:v>297거4892</x:v>
      </x:c>
      <x:c r="E268" s="24" t="str">
        <x:v>김선우</x:v>
      </x:c>
      <x:c r="F268" s="24" t="str">
        <x:v>2025-03</x:v>
      </x:c>
      <x:c r="G268" s="30" t="n">
        <x:v>45726</x:v>
      </x:c>
      <x:c r="H268" s="32" t="n">
        <x:v>830000</x:v>
      </x:c>
      <x:c r="I268" s="32" t="n">
        <x:v>830000</x:v>
      </x:c>
      <x:c r="J268" s="32" t="n">
        <x:v>0</x:v>
      </x:c>
      <x:c r="K268" s="30" t="n">
        <x:v>45726</x:v>
      </x:c>
      <x:c r="L268" s="24" t="str">
        <x:v>자동</x:v>
      </x:c>
      <x:c r="M268" s="31" t="n">
        <x:f>IF(AND(N268="미수",G268&lt;&gt;"",TODAY()&gt;G268),TODAY()-G268,0)</x:f>
        <x:v>0</x:v>
      </x:c>
      <x:c r="N268" s="24" t="str">
        <x:f>IF(J268&gt;0,"미수",IF(AND(H268&gt;0,I268&gt;=H268),"완납","미확인"))</x:f>
        <x:v>완납</x:v>
      </x:c>
      <x:c r="O268" s="31" t="n">
        <x:v>16</x:v>
      </x:c>
    </x:row>
    <x:row r="269" ht="17.25" customHeight="1">
      <x:c r="A269" s="24" t="str">
        <x:v>SW-B-297거4892-202502</x:v>
      </x:c>
      <x:c r="B269" s="24" t="str">
        <x:v>스위치플랜</x:v>
      </x:c>
      <x:c r="C269" s="24" t="str">
        <x:v>SW-C-297거4892-3-20250210-16</x:v>
      </x:c>
      <x:c r="D269" s="24" t="str">
        <x:v>297거4892</x:v>
      </x:c>
      <x:c r="E269" s="24" t="str">
        <x:v>김선우</x:v>
      </x:c>
      <x:c r="F269" s="24" t="str">
        <x:v>2025-02</x:v>
      </x:c>
      <x:c r="G269" s="30" t="n">
        <x:v>45698</x:v>
      </x:c>
      <x:c r="H269" s="32" t="n">
        <x:v>830000</x:v>
      </x:c>
      <x:c r="I269" s="32" t="n">
        <x:v>830000</x:v>
      </x:c>
      <x:c r="J269" s="32" t="n">
        <x:v>0</x:v>
      </x:c>
      <x:c r="K269" s="30" t="n">
        <x:v>45695</x:v>
      </x:c>
      <x:c r="L269" s="24" t="str">
        <x:v>입금</x:v>
      </x:c>
      <x:c r="M269" s="31" t="n">
        <x:f>IF(AND(N269="미수",G269&lt;&gt;"",TODAY()&gt;G269),TODAY()-G269,0)</x:f>
        <x:v>0</x:v>
      </x:c>
      <x:c r="N269" s="24" t="str">
        <x:f>IF(J269&gt;0,"미수",IF(AND(H269&gt;0,I269&gt;=H269),"완납","미확인"))</x:f>
        <x:v>완납</x:v>
      </x:c>
      <x:c r="O269" s="31" t="n">
        <x:v>16</x:v>
      </x:c>
    </x:row>
    <x:row r="270" ht="17.25" customHeight="1">
      <x:c r="A270" s="24" t="str">
        <x:v>SW-B-263모3889-202608</x:v>
      </x:c>
      <x:c r="B270" s="24" t="str">
        <x:v>스위치플랜</x:v>
      </x:c>
      <x:c r="C270" s="24" t="str">
        <x:v>SW-C-263모3889-1-20250422-17</x:v>
      </x:c>
      <x:c r="D270" s="24" t="str">
        <x:v>263모3889</x:v>
      </x:c>
      <x:c r="E270" s="24" t="str">
        <x:v>박진경</x:v>
      </x:c>
      <x:c r="F270" s="24" t="str">
        <x:v>2026-08</x:v>
      </x:c>
      <x:c r="G270" s="30" t="n">
        <x:v>46259</x:v>
      </x:c>
      <x:c r="H270" s="32" t="n">
        <x:v>1290000</x:v>
      </x:c>
      <x:c r="I270" s="32"/>
      <x:c r="J270" s="32" t="n">
        <x:v>2580000</x:v>
      </x:c>
      <x:c r="K270" s="30"/>
      <x:c r="L270" s="24" t="str"/>
      <x:c r="M270" s="31" t="n">
        <x:f>IF(AND(N270="미수",G270&lt;&gt;"",TODAY()&gt;G270),TODAY()-G270,0)</x:f>
        <x:v>0</x:v>
      </x:c>
      <x:c r="N270" s="24" t="str">
        <x:f>IF(J270&gt;0,"미수",IF(AND(H270&gt;0,I270&gt;=H270),"완납","미확인"))</x:f>
        <x:v>미수</x:v>
      </x:c>
      <x:c r="O270" s="31" t="n">
        <x:v>17</x:v>
      </x:c>
    </x:row>
    <x:row r="271" ht="17.25" customHeight="1">
      <x:c r="A271" s="24" t="str">
        <x:v>SW-B-263모3889-202607</x:v>
      </x:c>
      <x:c r="B271" s="24" t="str">
        <x:v>스위치플랜</x:v>
      </x:c>
      <x:c r="C271" s="24" t="str">
        <x:v>SW-C-263모3889-1-20250422-17</x:v>
      </x:c>
      <x:c r="D271" s="24" t="str">
        <x:v>263모3889</x:v>
      </x:c>
      <x:c r="E271" s="24" t="str">
        <x:v>박진경</x:v>
      </x:c>
      <x:c r="F271" s="24" t="str">
        <x:v>2026-07</x:v>
      </x:c>
      <x:c r="G271" s="30" t="n">
        <x:v>46228</x:v>
      </x:c>
      <x:c r="H271" s="32" t="n">
        <x:v>1290000</x:v>
      </x:c>
      <x:c r="I271" s="32"/>
      <x:c r="J271" s="32" t="n">
        <x:v>1290000</x:v>
      </x:c>
      <x:c r="K271" s="30"/>
      <x:c r="L271" s="24" t="str"/>
      <x:c r="M271" s="31" t="n">
        <x:f>IF(AND(N271="미수",G271&lt;&gt;"",TODAY()&gt;G271),TODAY()-G271,0)</x:f>
        <x:v>21</x:v>
      </x:c>
      <x:c r="N271" s="24" t="str">
        <x:f>IF(J271&gt;0,"미수",IF(AND(H271&gt;0,I271&gt;=H271),"완납","미확인"))</x:f>
        <x:v>미수</x:v>
      </x:c>
      <x:c r="O271" s="31" t="n">
        <x:v>17</x:v>
      </x:c>
    </x:row>
    <x:row r="272" ht="17.25" customHeight="1">
      <x:c r="A272" s="24" t="str">
        <x:v>SW-B-263모3889-202606</x:v>
      </x:c>
      <x:c r="B272" s="24" t="str">
        <x:v>스위치플랜</x:v>
      </x:c>
      <x:c r="C272" s="24" t="str">
        <x:v>SW-C-263모3889-1-20250422-17</x:v>
      </x:c>
      <x:c r="D272" s="24" t="str">
        <x:v>263모3889</x:v>
      </x:c>
      <x:c r="E272" s="24" t="str">
        <x:v>박진경</x:v>
      </x:c>
      <x:c r="F272" s="24" t="str">
        <x:v>2026-06</x:v>
      </x:c>
      <x:c r="G272" s="30" t="n">
        <x:v>46198</x:v>
      </x:c>
      <x:c r="H272" s="32" t="n">
        <x:v>0</x:v>
      </x:c>
      <x:c r="I272" s="32" t="n">
        <x:v>1290000</x:v>
      </x:c>
      <x:c r="J272" s="32" t="n">
        <x:v>0</x:v>
      </x:c>
      <x:c r="K272" s="30" t="n">
        <x:v>46183</x:v>
      </x:c>
      <x:c r="L272" s="24" t="str">
        <x:v>입금</x:v>
      </x:c>
      <x:c r="M272" s="31" t="n">
        <x:f>IF(AND(N272="미수",G272&lt;&gt;"",TODAY()&gt;G272),TODAY()-G272,0)</x:f>
        <x:v>0</x:v>
      </x:c>
      <x:c r="N272" s="24" t="str">
        <x:f>IF(J272&gt;0,"미수",IF(AND(H272&gt;0,I272&gt;=H272),"완납","미확인"))</x:f>
        <x:v>미확인</x:v>
      </x:c>
      <x:c r="O272" s="31" t="n">
        <x:v>17</x:v>
      </x:c>
    </x:row>
    <x:row r="273" ht="17.25" customHeight="1">
      <x:c r="A273" s="24" t="str">
        <x:v>SW-B-263모3889-202605</x:v>
      </x:c>
      <x:c r="B273" s="24" t="str">
        <x:v>스위치플랜</x:v>
      </x:c>
      <x:c r="C273" s="24" t="str">
        <x:v>SW-C-263모3889-1-20250422-17</x:v>
      </x:c>
      <x:c r="D273" s="24" t="str">
        <x:v>263모3889</x:v>
      </x:c>
      <x:c r="E273" s="24" t="str">
        <x:v>박진경</x:v>
      </x:c>
      <x:c r="F273" s="24" t="str">
        <x:v>2026-05</x:v>
      </x:c>
      <x:c r="G273" s="30" t="n">
        <x:v>46167</x:v>
      </x:c>
      <x:c r="H273" s="32" t="n">
        <x:v>1290000</x:v>
      </x:c>
      <x:c r="I273" s="32" t="n">
        <x:v>1290000</x:v>
      </x:c>
      <x:c r="J273" s="32" t="n">
        <x:v>1290000</x:v>
      </x:c>
      <x:c r="K273" s="30" t="n">
        <x:v>46147</x:v>
      </x:c>
      <x:c r="L273" s="24" t="str">
        <x:v>입금</x:v>
      </x:c>
      <x:c r="M273" s="31" t="n">
        <x:f>IF(AND(N273="미수",G273&lt;&gt;"",TODAY()&gt;G273),TODAY()-G273,0)</x:f>
        <x:v>82</x:v>
      </x:c>
      <x:c r="N273" s="24" t="str">
        <x:f>IF(J273&gt;0,"미수",IF(AND(H273&gt;0,I273&gt;=H273),"완납","미확인"))</x:f>
        <x:v>미수</x:v>
      </x:c>
      <x:c r="O273" s="31" t="n">
        <x:v>17</x:v>
      </x:c>
    </x:row>
    <x:row r="274" ht="17.25" customHeight="1">
      <x:c r="A274" s="24" t="str">
        <x:v>SW-B-263모3889-202604</x:v>
      </x:c>
      <x:c r="B274" s="24" t="str">
        <x:v>스위치플랜</x:v>
      </x:c>
      <x:c r="C274" s="24" t="str">
        <x:v>SW-C-263모3889-1-20250422-17</x:v>
      </x:c>
      <x:c r="D274" s="24" t="str">
        <x:v>263모3889</x:v>
      </x:c>
      <x:c r="E274" s="24" t="str">
        <x:v>박진경</x:v>
      </x:c>
      <x:c r="F274" s="24" t="str">
        <x:v>2026-04</x:v>
      </x:c>
      <x:c r="G274" s="30" t="n">
        <x:v>46137</x:v>
      </x:c>
      <x:c r="H274" s="32" t="n">
        <x:v>1290000</x:v>
      </x:c>
      <x:c r="I274" s="32" t="n">
        <x:v>1290000</x:v>
      </x:c>
      <x:c r="J274" s="32" t="n">
        <x:v>1290000</x:v>
      </x:c>
      <x:c r="K274" s="30" t="n">
        <x:v>46114</x:v>
      </x:c>
      <x:c r="L274" s="24" t="str">
        <x:v>입금</x:v>
      </x:c>
      <x:c r="M274" s="31" t="n">
        <x:f>IF(AND(N274="미수",G274&lt;&gt;"",TODAY()&gt;G274),TODAY()-G274,0)</x:f>
        <x:v>112</x:v>
      </x:c>
      <x:c r="N274" s="24" t="str">
        <x:f>IF(J274&gt;0,"미수",IF(AND(H274&gt;0,I274&gt;=H274),"완납","미확인"))</x:f>
        <x:v>미수</x:v>
      </x:c>
      <x:c r="O274" s="31" t="n">
        <x:v>17</x:v>
      </x:c>
    </x:row>
    <x:row r="275" ht="17.25" customHeight="1">
      <x:c r="A275" s="24" t="str">
        <x:v>SW-B-263모3889-202603</x:v>
      </x:c>
      <x:c r="B275" s="24" t="str">
        <x:v>스위치플랜</x:v>
      </x:c>
      <x:c r="C275" s="24" t="str">
        <x:v>SW-C-263모3889-1-20250422-17</x:v>
      </x:c>
      <x:c r="D275" s="24" t="str">
        <x:v>263모3889</x:v>
      </x:c>
      <x:c r="E275" s="24" t="str">
        <x:v>박진경</x:v>
      </x:c>
      <x:c r="F275" s="24" t="str">
        <x:v>2026-03</x:v>
      </x:c>
      <x:c r="G275" s="30" t="n">
        <x:v>46106</x:v>
      </x:c>
      <x:c r="H275" s="32" t="n">
        <x:v>1290000</x:v>
      </x:c>
      <x:c r="I275" s="32" t="n">
        <x:v>1290000</x:v>
      </x:c>
      <x:c r="J275" s="32" t="n">
        <x:v>1290000</x:v>
      </x:c>
      <x:c r="K275" s="30" t="n">
        <x:v>46088</x:v>
      </x:c>
      <x:c r="L275" s="24" t="str">
        <x:v>입금</x:v>
      </x:c>
      <x:c r="M275" s="31" t="n">
        <x:f>IF(AND(N275="미수",G275&lt;&gt;"",TODAY()&gt;G275),TODAY()-G275,0)</x:f>
        <x:v>143</x:v>
      </x:c>
      <x:c r="N275" s="24" t="str">
        <x:f>IF(J275&gt;0,"미수",IF(AND(H275&gt;0,I275&gt;=H275),"완납","미확인"))</x:f>
        <x:v>미수</x:v>
      </x:c>
      <x:c r="O275" s="31" t="n">
        <x:v>17</x:v>
      </x:c>
    </x:row>
    <x:row r="276" ht="17.25" customHeight="1">
      <x:c r="A276" s="24" t="str">
        <x:v>SW-B-263모3889-202602</x:v>
      </x:c>
      <x:c r="B276" s="24" t="str">
        <x:v>스위치플랜</x:v>
      </x:c>
      <x:c r="C276" s="24" t="str">
        <x:v>SW-C-263모3889-1-20250422-17</x:v>
      </x:c>
      <x:c r="D276" s="24" t="str">
        <x:v>263모3889</x:v>
      </x:c>
      <x:c r="E276" s="24" t="str">
        <x:v>박진경</x:v>
      </x:c>
      <x:c r="F276" s="24" t="str">
        <x:v>2026-02</x:v>
      </x:c>
      <x:c r="G276" s="30" t="n">
        <x:v>46078</x:v>
      </x:c>
      <x:c r="H276" s="32" t="n">
        <x:v>1290000</x:v>
      </x:c>
      <x:c r="I276" s="32" t="n">
        <x:v>1290000</x:v>
      </x:c>
      <x:c r="J276" s="32" t="n">
        <x:v>1290000</x:v>
      </x:c>
      <x:c r="K276" s="30" t="n">
        <x:v>46054</x:v>
      </x:c>
      <x:c r="L276" s="24" t="str">
        <x:v>입금</x:v>
      </x:c>
      <x:c r="M276" s="31" t="n">
        <x:f>IF(AND(N276="미수",G276&lt;&gt;"",TODAY()&gt;G276),TODAY()-G276,0)</x:f>
        <x:v>171</x:v>
      </x:c>
      <x:c r="N276" s="24" t="str">
        <x:f>IF(J276&gt;0,"미수",IF(AND(H276&gt;0,I276&gt;=H276),"완납","미확인"))</x:f>
        <x:v>미수</x:v>
      </x:c>
      <x:c r="O276" s="31" t="n">
        <x:v>17</x:v>
      </x:c>
    </x:row>
    <x:row r="277" ht="17.25" customHeight="1">
      <x:c r="A277" s="24" t="str">
        <x:v>SW-B-263모3889-202601</x:v>
      </x:c>
      <x:c r="B277" s="24" t="str">
        <x:v>스위치플랜</x:v>
      </x:c>
      <x:c r="C277" s="24" t="str">
        <x:v>SW-C-263모3889-1-20250422-17</x:v>
      </x:c>
      <x:c r="D277" s="24" t="str">
        <x:v>263모3889</x:v>
      </x:c>
      <x:c r="E277" s="24" t="str">
        <x:v>박진경</x:v>
      </x:c>
      <x:c r="F277" s="24" t="str">
        <x:v>2026-01</x:v>
      </x:c>
      <x:c r="G277" s="30" t="n">
        <x:v>46047</x:v>
      </x:c>
      <x:c r="H277" s="32" t="n">
        <x:v>1290000</x:v>
      </x:c>
      <x:c r="I277" s="32"/>
      <x:c r="J277" s="32" t="n">
        <x:v>1290000</x:v>
      </x:c>
      <x:c r="K277" s="30"/>
      <x:c r="L277" s="24" t="str"/>
      <x:c r="M277" s="31" t="n">
        <x:f>IF(AND(N277="미수",G277&lt;&gt;"",TODAY()&gt;G277),TODAY()-G277,0)</x:f>
        <x:v>202</x:v>
      </x:c>
      <x:c r="N277" s="24" t="str">
        <x:f>IF(J277&gt;0,"미수",IF(AND(H277&gt;0,I277&gt;=H277),"완납","미확인"))</x:f>
        <x:v>미수</x:v>
      </x:c>
      <x:c r="O277" s="31" t="n">
        <x:v>17</x:v>
      </x:c>
    </x:row>
    <x:row r="278" ht="17.25" customHeight="1">
      <x:c r="A278" s="24" t="str">
        <x:v>SW-B-263모3889-202512</x:v>
      </x:c>
      <x:c r="B278" s="24" t="str">
        <x:v>스위치플랜</x:v>
      </x:c>
      <x:c r="C278" s="24" t="str">
        <x:v>SW-C-263모3889-1-20250422-17</x:v>
      </x:c>
      <x:c r="D278" s="24" t="str">
        <x:v>263모3889</x:v>
      </x:c>
      <x:c r="E278" s="24" t="str">
        <x:v>박진경</x:v>
      </x:c>
      <x:c r="F278" s="24" t="str">
        <x:v>2025-12</x:v>
      </x:c>
      <x:c r="G278" s="30" t="n">
        <x:v>46016</x:v>
      </x:c>
      <x:c r="H278" s="32" t="n">
        <x:v>1290000</x:v>
      </x:c>
      <x:c r="I278" s="32" t="n">
        <x:v>1290000</x:v>
      </x:c>
      <x:c r="J278" s="32" t="n">
        <x:v>0</x:v>
      </x:c>
      <x:c r="K278" s="30" t="n">
        <x:v>46022</x:v>
      </x:c>
      <x:c r="L278" s="24" t="str">
        <x:v>입금</x:v>
      </x:c>
      <x:c r="M278" s="31" t="n">
        <x:f>IF(AND(N278="미수",G278&lt;&gt;"",TODAY()&gt;G278),TODAY()-G278,0)</x:f>
        <x:v>0</x:v>
      </x:c>
      <x:c r="N278" s="24" t="str">
        <x:f>IF(J278&gt;0,"미수",IF(AND(H278&gt;0,I278&gt;=H278),"완납","미확인"))</x:f>
        <x:v>완납</x:v>
      </x:c>
      <x:c r="O278" s="31" t="n">
        <x:v>17</x:v>
      </x:c>
    </x:row>
    <x:row r="279" ht="17.25" customHeight="1">
      <x:c r="A279" s="24" t="str">
        <x:v>SW-B-263모3889-202511</x:v>
      </x:c>
      <x:c r="B279" s="24" t="str">
        <x:v>스위치플랜</x:v>
      </x:c>
      <x:c r="C279" s="24" t="str">
        <x:v>SW-C-263모3889-1-20250422-17</x:v>
      </x:c>
      <x:c r="D279" s="24" t="str">
        <x:v>263모3889</x:v>
      </x:c>
      <x:c r="E279" s="24" t="str">
        <x:v>박진경</x:v>
      </x:c>
      <x:c r="F279" s="24" t="str">
        <x:v>2025-11</x:v>
      </x:c>
      <x:c r="G279" s="30" t="n">
        <x:v>45986</x:v>
      </x:c>
      <x:c r="H279" s="32" t="n">
        <x:v>1290000</x:v>
      </x:c>
      <x:c r="I279" s="32" t="n">
        <x:v>1290000</x:v>
      </x:c>
      <x:c r="J279" s="32" t="n">
        <x:v>0</x:v>
      </x:c>
      <x:c r="K279" s="30" t="n">
        <x:v>45987</x:v>
      </x:c>
      <x:c r="L279" s="24" t="str">
        <x:v>입금</x:v>
      </x:c>
      <x:c r="M279" s="31" t="n">
        <x:f>IF(AND(N279="미수",G279&lt;&gt;"",TODAY()&gt;G279),TODAY()-G279,0)</x:f>
        <x:v>0</x:v>
      </x:c>
      <x:c r="N279" s="24" t="str">
        <x:f>IF(J279&gt;0,"미수",IF(AND(H279&gt;0,I279&gt;=H279),"완납","미확인"))</x:f>
        <x:v>완납</x:v>
      </x:c>
      <x:c r="O279" s="31" t="n">
        <x:v>17</x:v>
      </x:c>
    </x:row>
    <x:row r="280" ht="17.25" customHeight="1">
      <x:c r="A280" s="24" t="str">
        <x:v>SW-B-263모3889-202510</x:v>
      </x:c>
      <x:c r="B280" s="24" t="str">
        <x:v>스위치플랜</x:v>
      </x:c>
      <x:c r="C280" s="24" t="str">
        <x:v>SW-C-263모3889-1-20250422-17</x:v>
      </x:c>
      <x:c r="D280" s="24" t="str">
        <x:v>263모3889</x:v>
      </x:c>
      <x:c r="E280" s="24" t="str">
        <x:v>박진경</x:v>
      </x:c>
      <x:c r="F280" s="24" t="str">
        <x:v>2025-10</x:v>
      </x:c>
      <x:c r="G280" s="30" t="n">
        <x:v>45955</x:v>
      </x:c>
      <x:c r="H280" s="32" t="n">
        <x:v>0</x:v>
      </x:c>
      <x:c r="I280" s="32"/>
      <x:c r="J280" s="32" t="n">
        <x:v>0</x:v>
      </x:c>
      <x:c r="K280" s="30"/>
      <x:c r="L280" s="24" t="str"/>
      <x:c r="M280" s="31" t="n">
        <x:f>IF(AND(N280="미수",G280&lt;&gt;"",TODAY()&gt;G280),TODAY()-G280,0)</x:f>
        <x:v>0</x:v>
      </x:c>
      <x:c r="N280" s="24" t="str">
        <x:f>IF(J280&gt;0,"미수",IF(AND(H280&gt;0,I280&gt;=H280),"완납","미확인"))</x:f>
        <x:v>미확인</x:v>
      </x:c>
      <x:c r="O280" s="31" t="n">
        <x:v>17</x:v>
      </x:c>
    </x:row>
    <x:row r="281" ht="17.25" customHeight="1">
      <x:c r="A281" s="24" t="str">
        <x:v>SW-B-263모3889-202509</x:v>
      </x:c>
      <x:c r="B281" s="24" t="str">
        <x:v>스위치플랜</x:v>
      </x:c>
      <x:c r="C281" s="24" t="str">
        <x:v>SW-C-263모3889-1-20250422-17</x:v>
      </x:c>
      <x:c r="D281" s="24" t="str">
        <x:v>263모3889</x:v>
      </x:c>
      <x:c r="E281" s="24" t="str">
        <x:v>박진경</x:v>
      </x:c>
      <x:c r="F281" s="24" t="str">
        <x:v>2025-09</x:v>
      </x:c>
      <x:c r="G281" s="30" t="n">
        <x:v>45925</x:v>
      </x:c>
      <x:c r="H281" s="32" t="n">
        <x:v>1140000</x:v>
      </x:c>
      <x:c r="I281" s="32" t="n">
        <x:v>1140000</x:v>
      </x:c>
      <x:c r="J281" s="32" t="n">
        <x:v>0</x:v>
      </x:c>
      <x:c r="K281" s="30" t="n">
        <x:v>45930</x:v>
      </x:c>
      <x:c r="L281" s="24" t="str">
        <x:v>입금</x:v>
      </x:c>
      <x:c r="M281" s="31" t="n">
        <x:f>IF(AND(N281="미수",G281&lt;&gt;"",TODAY()&gt;G281),TODAY()-G281,0)</x:f>
        <x:v>0</x:v>
      </x:c>
      <x:c r="N281" s="24" t="str">
        <x:f>IF(J281&gt;0,"미수",IF(AND(H281&gt;0,I281&gt;=H281),"완납","미확인"))</x:f>
        <x:v>완납</x:v>
      </x:c>
      <x:c r="O281" s="31" t="n">
        <x:v>17</x:v>
      </x:c>
    </x:row>
    <x:row r="282" ht="17.25" customHeight="1">
      <x:c r="A282" s="24" t="str">
        <x:v>SW-B-263모3889-202508</x:v>
      </x:c>
      <x:c r="B282" s="24" t="str">
        <x:v>스위치플랜</x:v>
      </x:c>
      <x:c r="C282" s="24" t="str">
        <x:v>SW-C-263모3889-1-20250422-17</x:v>
      </x:c>
      <x:c r="D282" s="24" t="str">
        <x:v>263모3889</x:v>
      </x:c>
      <x:c r="E282" s="24" t="str">
        <x:v>박진경</x:v>
      </x:c>
      <x:c r="F282" s="24" t="str">
        <x:v>2025-08</x:v>
      </x:c>
      <x:c r="G282" s="30" t="n">
        <x:v>45894</x:v>
      </x:c>
      <x:c r="H282" s="32" t="n">
        <x:v>1290000</x:v>
      </x:c>
      <x:c r="I282" s="32" t="n">
        <x:v>1290000</x:v>
      </x:c>
      <x:c r="J282" s="32" t="n">
        <x:v>0</x:v>
      </x:c>
      <x:c r="K282" s="30" t="n">
        <x:v>45896</x:v>
      </x:c>
      <x:c r="L282" s="24" t="str">
        <x:v>입금</x:v>
      </x:c>
      <x:c r="M282" s="31" t="n">
        <x:f>IF(AND(N282="미수",G282&lt;&gt;"",TODAY()&gt;G282),TODAY()-G282,0)</x:f>
        <x:v>0</x:v>
      </x:c>
      <x:c r="N282" s="24" t="str">
        <x:f>IF(J282&gt;0,"미수",IF(AND(H282&gt;0,I282&gt;=H282),"완납","미확인"))</x:f>
        <x:v>완납</x:v>
      </x:c>
      <x:c r="O282" s="31" t="n">
        <x:v>17</x:v>
      </x:c>
    </x:row>
    <x:row r="283" ht="17.25" customHeight="1">
      <x:c r="A283" s="24" t="str">
        <x:v>SW-B-263모3889-202507</x:v>
      </x:c>
      <x:c r="B283" s="24" t="str">
        <x:v>스위치플랜</x:v>
      </x:c>
      <x:c r="C283" s="24" t="str">
        <x:v>SW-C-263모3889-1-20250422-17</x:v>
      </x:c>
      <x:c r="D283" s="24" t="str">
        <x:v>263모3889</x:v>
      </x:c>
      <x:c r="E283" s="24" t="str">
        <x:v>박진경</x:v>
      </x:c>
      <x:c r="F283" s="24" t="str">
        <x:v>2025-07</x:v>
      </x:c>
      <x:c r="G283" s="30" t="n">
        <x:v>45863</x:v>
      </x:c>
      <x:c r="H283" s="32" t="n">
        <x:v>1290000</x:v>
      </x:c>
      <x:c r="I283" s="32" t="n">
        <x:v>1290000</x:v>
      </x:c>
      <x:c r="J283" s="32" t="n">
        <x:v>0</x:v>
      </x:c>
      <x:c r="K283" s="30" t="n">
        <x:v>45865</x:v>
      </x:c>
      <x:c r="L283" s="24" t="str">
        <x:v>입금</x:v>
      </x:c>
      <x:c r="M283" s="31" t="n">
        <x:f>IF(AND(N283="미수",G283&lt;&gt;"",TODAY()&gt;G283),TODAY()-G283,0)</x:f>
        <x:v>0</x:v>
      </x:c>
      <x:c r="N283" s="24" t="str">
        <x:f>IF(J283&gt;0,"미수",IF(AND(H283&gt;0,I283&gt;=H283),"완납","미확인"))</x:f>
        <x:v>완납</x:v>
      </x:c>
      <x:c r="O283" s="31" t="n">
        <x:v>17</x:v>
      </x:c>
    </x:row>
    <x:row r="284" ht="17.25" customHeight="1">
      <x:c r="A284" s="24" t="str">
        <x:v>SW-B-263모3889-202506</x:v>
      </x:c>
      <x:c r="B284" s="24" t="str">
        <x:v>스위치플랜</x:v>
      </x:c>
      <x:c r="C284" s="24" t="str">
        <x:v>SW-C-263모3889-1-20250422-17</x:v>
      </x:c>
      <x:c r="D284" s="24" t="str">
        <x:v>263모3889</x:v>
      </x:c>
      <x:c r="E284" s="24" t="str">
        <x:v>박진경</x:v>
      </x:c>
      <x:c r="F284" s="24" t="str">
        <x:v>2025-06</x:v>
      </x:c>
      <x:c r="G284" s="30" t="n">
        <x:v>45833</x:v>
      </x:c>
      <x:c r="H284" s="32" t="n">
        <x:v>1290000</x:v>
      </x:c>
      <x:c r="I284" s="32" t="n">
        <x:v>1290000</x:v>
      </x:c>
      <x:c r="J284" s="32" t="n">
        <x:v>0</x:v>
      </x:c>
      <x:c r="K284" s="30" t="n">
        <x:v>45846</x:v>
      </x:c>
      <x:c r="L284" s="24" t="str">
        <x:v>입금</x:v>
      </x:c>
      <x:c r="M284" s="31" t="n">
        <x:f>IF(AND(N284="미수",G284&lt;&gt;"",TODAY()&gt;G284),TODAY()-G284,0)</x:f>
        <x:v>0</x:v>
      </x:c>
      <x:c r="N284" s="24" t="str">
        <x:f>IF(J284&gt;0,"미수",IF(AND(H284&gt;0,I284&gt;=H284),"완납","미확인"))</x:f>
        <x:v>완납</x:v>
      </x:c>
      <x:c r="O284" s="31" t="n">
        <x:v>17</x:v>
      </x:c>
    </x:row>
    <x:row r="285" ht="17.25" customHeight="1">
      <x:c r="A285" s="24" t="str">
        <x:v>SW-B-263모3889-202505</x:v>
      </x:c>
      <x:c r="B285" s="24" t="str">
        <x:v>스위치플랜</x:v>
      </x:c>
      <x:c r="C285" s="24" t="str">
        <x:v>SW-C-263모3889-1-20250422-17</x:v>
      </x:c>
      <x:c r="D285" s="24" t="str">
        <x:v>263모3889</x:v>
      </x:c>
      <x:c r="E285" s="24" t="str">
        <x:v>박진경</x:v>
      </x:c>
      <x:c r="F285" s="24" t="str">
        <x:v>2025-05</x:v>
      </x:c>
      <x:c r="G285" s="30" t="n">
        <x:v>45802</x:v>
      </x:c>
      <x:c r="H285" s="32" t="n">
        <x:v>1290000</x:v>
      </x:c>
      <x:c r="I285" s="32" t="n">
        <x:v>1290000</x:v>
      </x:c>
      <x:c r="J285" s="32" t="n">
        <x:v>0</x:v>
      </x:c>
      <x:c r="K285" s="30" t="n">
        <x:v>45803</x:v>
      </x:c>
      <x:c r="L285" s="24" t="str">
        <x:v>입금</x:v>
      </x:c>
      <x:c r="M285" s="31" t="n">
        <x:f>IF(AND(N285="미수",G285&lt;&gt;"",TODAY()&gt;G285),TODAY()-G285,0)</x:f>
        <x:v>0</x:v>
      </x:c>
      <x:c r="N285" s="24" t="str">
        <x:f>IF(J285&gt;0,"미수",IF(AND(H285&gt;0,I285&gt;=H285),"완납","미확인"))</x:f>
        <x:v>완납</x:v>
      </x:c>
      <x:c r="O285" s="31" t="n">
        <x:v>17</x:v>
      </x:c>
    </x:row>
    <x:row r="286" ht="17.25" customHeight="1">
      <x:c r="A286" s="24" t="str">
        <x:v>SW-B-263모3889-202504</x:v>
      </x:c>
      <x:c r="B286" s="24" t="str">
        <x:v>스위치플랜</x:v>
      </x:c>
      <x:c r="C286" s="24" t="str">
        <x:v>SW-C-263모3889-1-20250422-17</x:v>
      </x:c>
      <x:c r="D286" s="24" t="str">
        <x:v>263모3889</x:v>
      </x:c>
      <x:c r="E286" s="24" t="str">
        <x:v>박진경</x:v>
      </x:c>
      <x:c r="F286" s="24" t="str">
        <x:v>2025-04</x:v>
      </x:c>
      <x:c r="G286" s="30" t="n">
        <x:v>45772</x:v>
      </x:c>
      <x:c r="H286" s="32" t="n">
        <x:v>1290000</x:v>
      </x:c>
      <x:c r="I286" s="32" t="n">
        <x:v>1290000</x:v>
      </x:c>
      <x:c r="J286" s="32" t="n">
        <x:v>0</x:v>
      </x:c>
      <x:c r="K286" s="30" t="n">
        <x:v>45765</x:v>
      </x:c>
      <x:c r="L286" s="24" t="str">
        <x:v>입금</x:v>
      </x:c>
      <x:c r="M286" s="31" t="n">
        <x:f>IF(AND(N286="미수",G286&lt;&gt;"",TODAY()&gt;G286),TODAY()-G286,0)</x:f>
        <x:v>0</x:v>
      </x:c>
      <x:c r="N286" s="24" t="str">
        <x:f>IF(J286&gt;0,"미수",IF(AND(H286&gt;0,I286&gt;=H286),"완납","미확인"))</x:f>
        <x:v>완납</x:v>
      </x:c>
      <x:c r="O286" s="31" t="n">
        <x:v>17</x:v>
      </x:c>
    </x:row>
    <x:row r="287" ht="17.25" customHeight="1">
      <x:c r="A287" s="24" t="str">
        <x:v>SW-B-01도9893-202608</x:v>
      </x:c>
      <x:c r="B287" s="24" t="str">
        <x:v>스위치플랜</x:v>
      </x:c>
      <x:c r="C287" s="24" t="str">
        <x:v>SW-C-01도9893-1-20241014-18</x:v>
      </x:c>
      <x:c r="D287" s="24" t="str">
        <x:v>01도9893</x:v>
      </x:c>
      <x:c r="E287" s="24" t="str">
        <x:v>김효은</x:v>
      </x:c>
      <x:c r="F287" s="24" t="str">
        <x:v>2026-08</x:v>
      </x:c>
      <x:c r="G287" s="30" t="n">
        <x:v>46249</x:v>
      </x:c>
      <x:c r="H287" s="32" t="n">
        <x:v>450000</x:v>
      </x:c>
      <x:c r="I287" s="32"/>
      <x:c r="J287" s="32" t="n">
        <x:v>450000</x:v>
      </x:c>
      <x:c r="K287" s="30"/>
      <x:c r="L287" s="24" t="str"/>
      <x:c r="M287" s="31" t="n">
        <x:f>IF(AND(N287="미수",G287&lt;&gt;"",TODAY()&gt;G287),TODAY()-G287,0)</x:f>
        <x:v>0</x:v>
      </x:c>
      <x:c r="N287" s="24" t="str">
        <x:f>IF(J287&gt;0,"미수",IF(AND(H287&gt;0,I287&gt;=H287),"완납","미확인"))</x:f>
        <x:v>미수</x:v>
      </x:c>
      <x:c r="O287" s="31" t="n">
        <x:v>18</x:v>
      </x:c>
    </x:row>
    <x:row r="288" ht="17.25" customHeight="1">
      <x:c r="A288" s="24" t="str">
        <x:v>SW-B-01도9893-202607</x:v>
      </x:c>
      <x:c r="B288" s="24" t="str">
        <x:v>스위치플랜</x:v>
      </x:c>
      <x:c r="C288" s="24" t="str">
        <x:v>SW-C-01도9893-1-20241014-18</x:v>
      </x:c>
      <x:c r="D288" s="24" t="str">
        <x:v>01도9893</x:v>
      </x:c>
      <x:c r="E288" s="24" t="str">
        <x:v>김효은</x:v>
      </x:c>
      <x:c r="F288" s="24" t="str">
        <x:v>2026-07</x:v>
      </x:c>
      <x:c r="G288" s="30" t="n">
        <x:v>46218</x:v>
      </x:c>
      <x:c r="H288" s="32" t="n">
        <x:v>450000</x:v>
      </x:c>
      <x:c r="I288" s="32" t="n">
        <x:v>450000</x:v>
      </x:c>
      <x:c r="J288" s="32" t="n">
        <x:v>0</x:v>
      </x:c>
      <x:c r="K288" s="30" t="n">
        <x:v>46219</x:v>
      </x:c>
      <x:c r="L288" s="24" t="str">
        <x:v>입금</x:v>
      </x:c>
      <x:c r="M288" s="31" t="n">
        <x:f>IF(AND(N288="미수",G288&lt;&gt;"",TODAY()&gt;G288),TODAY()-G288,0)</x:f>
        <x:v>0</x:v>
      </x:c>
      <x:c r="N288" s="24" t="str">
        <x:f>IF(J288&gt;0,"미수",IF(AND(H288&gt;0,I288&gt;=H288),"완납","미확인"))</x:f>
        <x:v>완납</x:v>
      </x:c>
      <x:c r="O288" s="31" t="n">
        <x:v>18</x:v>
      </x:c>
    </x:row>
    <x:row r="289" ht="17.25" customHeight="1">
      <x:c r="A289" s="24" t="str">
        <x:v>SW-B-01도9893-202606</x:v>
      </x:c>
      <x:c r="B289" s="24" t="str">
        <x:v>스위치플랜</x:v>
      </x:c>
      <x:c r="C289" s="24" t="str">
        <x:v>SW-C-01도9893-1-20241014-18</x:v>
      </x:c>
      <x:c r="D289" s="24" t="str">
        <x:v>01도9893</x:v>
      </x:c>
      <x:c r="E289" s="24" t="str">
        <x:v>김효은</x:v>
      </x:c>
      <x:c r="F289" s="24" t="str">
        <x:v>2026-06</x:v>
      </x:c>
      <x:c r="G289" s="30" t="n">
        <x:v>46188</x:v>
      </x:c>
      <x:c r="H289" s="32" t="n">
        <x:v>450000</x:v>
      </x:c>
      <x:c r="I289" s="32" t="n">
        <x:v>450000</x:v>
      </x:c>
      <x:c r="J289" s="32" t="n">
        <x:v>0</x:v>
      </x:c>
      <x:c r="K289" s="30" t="n">
        <x:v>46190</x:v>
      </x:c>
      <x:c r="L289" s="24" t="str">
        <x:v>입금</x:v>
      </x:c>
      <x:c r="M289" s="31" t="n">
        <x:f>IF(AND(N289="미수",G289&lt;&gt;"",TODAY()&gt;G289),TODAY()-G289,0)</x:f>
        <x:v>0</x:v>
      </x:c>
      <x:c r="N289" s="24" t="str">
        <x:f>IF(J289&gt;0,"미수",IF(AND(H289&gt;0,I289&gt;=H289),"완납","미확인"))</x:f>
        <x:v>완납</x:v>
      </x:c>
      <x:c r="O289" s="31" t="n">
        <x:v>18</x:v>
      </x:c>
    </x:row>
    <x:row r="290" ht="17.25" customHeight="1">
      <x:c r="A290" s="24" t="str">
        <x:v>SW-B-01도9893-202605</x:v>
      </x:c>
      <x:c r="B290" s="24" t="str">
        <x:v>스위치플랜</x:v>
      </x:c>
      <x:c r="C290" s="24" t="str">
        <x:v>SW-C-01도9893-1-20241014-18</x:v>
      </x:c>
      <x:c r="D290" s="24" t="str">
        <x:v>01도9893</x:v>
      </x:c>
      <x:c r="E290" s="24" t="str">
        <x:v>김효은</x:v>
      </x:c>
      <x:c r="F290" s="24" t="str">
        <x:v>2026-05</x:v>
      </x:c>
      <x:c r="G290" s="30" t="n">
        <x:v>46157</x:v>
      </x:c>
      <x:c r="H290" s="32" t="n">
        <x:v>450000</x:v>
      </x:c>
      <x:c r="I290" s="32" t="n">
        <x:v>450000</x:v>
      </x:c>
      <x:c r="J290" s="32" t="n">
        <x:v>0</x:v>
      </x:c>
      <x:c r="K290" s="30" t="n">
        <x:v>46160</x:v>
      </x:c>
      <x:c r="L290" s="24" t="str">
        <x:v>입금</x:v>
      </x:c>
      <x:c r="M290" s="31" t="n">
        <x:f>IF(AND(N290="미수",G290&lt;&gt;"",TODAY()&gt;G290),TODAY()-G290,0)</x:f>
        <x:v>0</x:v>
      </x:c>
      <x:c r="N290" s="24" t="str">
        <x:f>IF(J290&gt;0,"미수",IF(AND(H290&gt;0,I290&gt;=H290),"완납","미확인"))</x:f>
        <x:v>완납</x:v>
      </x:c>
      <x:c r="O290" s="31" t="n">
        <x:v>18</x:v>
      </x:c>
    </x:row>
    <x:row r="291" ht="17.25" customHeight="1">
      <x:c r="A291" s="24" t="str">
        <x:v>SW-B-01도9893-202604</x:v>
      </x:c>
      <x:c r="B291" s="24" t="str">
        <x:v>스위치플랜</x:v>
      </x:c>
      <x:c r="C291" s="24" t="str">
        <x:v>SW-C-01도9893-1-20241014-18</x:v>
      </x:c>
      <x:c r="D291" s="24" t="str">
        <x:v>01도9893</x:v>
      </x:c>
      <x:c r="E291" s="24" t="str">
        <x:v>김효은</x:v>
      </x:c>
      <x:c r="F291" s="24" t="str">
        <x:v>2026-04</x:v>
      </x:c>
      <x:c r="G291" s="30" t="n">
        <x:v>46127</x:v>
      </x:c>
      <x:c r="H291" s="32" t="n">
        <x:v>450000</x:v>
      </x:c>
      <x:c r="I291" s="32" t="n">
        <x:v>450000</x:v>
      </x:c>
      <x:c r="J291" s="32" t="n">
        <x:v>0</x:v>
      </x:c>
      <x:c r="K291" s="30" t="n">
        <x:v>46131</x:v>
      </x:c>
      <x:c r="L291" s="24" t="str">
        <x:v>입금</x:v>
      </x:c>
      <x:c r="M291" s="31" t="n">
        <x:f>IF(AND(N291="미수",G291&lt;&gt;"",TODAY()&gt;G291),TODAY()-G291,0)</x:f>
        <x:v>0</x:v>
      </x:c>
      <x:c r="N291" s="24" t="str">
        <x:f>IF(J291&gt;0,"미수",IF(AND(H291&gt;0,I291&gt;=H291),"완납","미확인"))</x:f>
        <x:v>완납</x:v>
      </x:c>
      <x:c r="O291" s="31" t="n">
        <x:v>18</x:v>
      </x:c>
    </x:row>
    <x:row r="292" ht="17.25" customHeight="1">
      <x:c r="A292" s="24" t="str">
        <x:v>SW-B-01도9893-202603</x:v>
      </x:c>
      <x:c r="B292" s="24" t="str">
        <x:v>스위치플랜</x:v>
      </x:c>
      <x:c r="C292" s="24" t="str">
        <x:v>SW-C-01도9893-1-20241014-18</x:v>
      </x:c>
      <x:c r="D292" s="24" t="str">
        <x:v>01도9893</x:v>
      </x:c>
      <x:c r="E292" s="24" t="str">
        <x:v>김효은</x:v>
      </x:c>
      <x:c r="F292" s="24" t="str">
        <x:v>2026-03</x:v>
      </x:c>
      <x:c r="G292" s="30" t="n">
        <x:v>46096</x:v>
      </x:c>
      <x:c r="H292" s="32" t="n">
        <x:v>450000</x:v>
      </x:c>
      <x:c r="I292" s="32" t="n">
        <x:v>450000</x:v>
      </x:c>
      <x:c r="J292" s="32" t="n">
        <x:v>0</x:v>
      </x:c>
      <x:c r="K292" s="30" t="n">
        <x:v>46097</x:v>
      </x:c>
      <x:c r="L292" s="24" t="str">
        <x:v>입금</x:v>
      </x:c>
      <x:c r="M292" s="31" t="n">
        <x:f>IF(AND(N292="미수",G292&lt;&gt;"",TODAY()&gt;G292),TODAY()-G292,0)</x:f>
        <x:v>0</x:v>
      </x:c>
      <x:c r="N292" s="24" t="str">
        <x:f>IF(J292&gt;0,"미수",IF(AND(H292&gt;0,I292&gt;=H292),"완납","미확인"))</x:f>
        <x:v>완납</x:v>
      </x:c>
      <x:c r="O292" s="31" t="n">
        <x:v>18</x:v>
      </x:c>
    </x:row>
    <x:row r="293" ht="17.25" customHeight="1">
      <x:c r="A293" s="24" t="str">
        <x:v>SW-B-01도9893-202602</x:v>
      </x:c>
      <x:c r="B293" s="24" t="str">
        <x:v>스위치플랜</x:v>
      </x:c>
      <x:c r="C293" s="24" t="str">
        <x:v>SW-C-01도9893-1-20241014-18</x:v>
      </x:c>
      <x:c r="D293" s="24" t="str">
        <x:v>01도9893</x:v>
      </x:c>
      <x:c r="E293" s="24" t="str">
        <x:v>김효은</x:v>
      </x:c>
      <x:c r="F293" s="24" t="str">
        <x:v>2026-02</x:v>
      </x:c>
      <x:c r="G293" s="30" t="n">
        <x:v>46068</x:v>
      </x:c>
      <x:c r="H293" s="32" t="n">
        <x:v>450000</x:v>
      </x:c>
      <x:c r="I293" s="32" t="n">
        <x:v>450000</x:v>
      </x:c>
      <x:c r="J293" s="32" t="n">
        <x:v>0</x:v>
      </x:c>
      <x:c r="K293" s="30" t="n">
        <x:v>46077</x:v>
      </x:c>
      <x:c r="L293" s="24" t="str">
        <x:v>입금</x:v>
      </x:c>
      <x:c r="M293" s="31" t="n">
        <x:f>IF(AND(N293="미수",G293&lt;&gt;"",TODAY()&gt;G293),TODAY()-G293,0)</x:f>
        <x:v>0</x:v>
      </x:c>
      <x:c r="N293" s="24" t="str">
        <x:f>IF(J293&gt;0,"미수",IF(AND(H293&gt;0,I293&gt;=H293),"완납","미확인"))</x:f>
        <x:v>완납</x:v>
      </x:c>
      <x:c r="O293" s="31" t="n">
        <x:v>18</x:v>
      </x:c>
    </x:row>
    <x:row r="294" ht="17.25" customHeight="1">
      <x:c r="A294" s="24" t="str">
        <x:v>SW-B-01도9893-202601</x:v>
      </x:c>
      <x:c r="B294" s="24" t="str">
        <x:v>스위치플랜</x:v>
      </x:c>
      <x:c r="C294" s="24" t="str">
        <x:v>SW-C-01도9893-1-20241014-18</x:v>
      </x:c>
      <x:c r="D294" s="24" t="str">
        <x:v>01도9893</x:v>
      </x:c>
      <x:c r="E294" s="24" t="str">
        <x:v>김효은</x:v>
      </x:c>
      <x:c r="F294" s="24" t="str">
        <x:v>2026-01</x:v>
      </x:c>
      <x:c r="G294" s="30" t="n">
        <x:v>46037</x:v>
      </x:c>
      <x:c r="H294" s="32" t="n">
        <x:v>450000</x:v>
      </x:c>
      <x:c r="I294" s="32" t="n">
        <x:v>450000</x:v>
      </x:c>
      <x:c r="J294" s="32" t="n">
        <x:v>0</x:v>
      </x:c>
      <x:c r="K294" s="30" t="n">
        <x:v>46040</x:v>
      </x:c>
      <x:c r="L294" s="24" t="str">
        <x:v>입금</x:v>
      </x:c>
      <x:c r="M294" s="31" t="n">
        <x:f>IF(AND(N294="미수",G294&lt;&gt;"",TODAY()&gt;G294),TODAY()-G294,0)</x:f>
        <x:v>0</x:v>
      </x:c>
      <x:c r="N294" s="24" t="str">
        <x:f>IF(J294&gt;0,"미수",IF(AND(H294&gt;0,I294&gt;=H294),"완납","미확인"))</x:f>
        <x:v>완납</x:v>
      </x:c>
      <x:c r="O294" s="31" t="n">
        <x:v>18</x:v>
      </x:c>
    </x:row>
    <x:row r="295" ht="17.25" customHeight="1">
      <x:c r="A295" s="24" t="str">
        <x:v>SW-B-01도9893-202512</x:v>
      </x:c>
      <x:c r="B295" s="24" t="str">
        <x:v>스위치플랜</x:v>
      </x:c>
      <x:c r="C295" s="24" t="str">
        <x:v>SW-C-01도9893-1-20241014-18</x:v>
      </x:c>
      <x:c r="D295" s="24" t="str">
        <x:v>01도9893</x:v>
      </x:c>
      <x:c r="E295" s="24" t="str">
        <x:v>김효은</x:v>
      </x:c>
      <x:c r="F295" s="24" t="str">
        <x:v>2025-12</x:v>
      </x:c>
      <x:c r="G295" s="30" t="n">
        <x:v>46006</x:v>
      </x:c>
      <x:c r="H295" s="32" t="n">
        <x:v>450000</x:v>
      </x:c>
      <x:c r="I295" s="32" t="n">
        <x:v>450000</x:v>
      </x:c>
      <x:c r="J295" s="32" t="n">
        <x:v>0</x:v>
      </x:c>
      <x:c r="K295" s="30" t="n">
        <x:v>46010</x:v>
      </x:c>
      <x:c r="L295" s="24" t="str">
        <x:v>입금</x:v>
      </x:c>
      <x:c r="M295" s="31" t="n">
        <x:f>IF(AND(N295="미수",G295&lt;&gt;"",TODAY()&gt;G295),TODAY()-G295,0)</x:f>
        <x:v>0</x:v>
      </x:c>
      <x:c r="N295" s="24" t="str">
        <x:f>IF(J295&gt;0,"미수",IF(AND(H295&gt;0,I295&gt;=H295),"완납","미확인"))</x:f>
        <x:v>완납</x:v>
      </x:c>
      <x:c r="O295" s="31" t="n">
        <x:v>18</x:v>
      </x:c>
    </x:row>
    <x:row r="296" ht="17.25" customHeight="1">
      <x:c r="A296" s="24" t="str">
        <x:v>SW-B-01도9893-202511</x:v>
      </x:c>
      <x:c r="B296" s="24" t="str">
        <x:v>스위치플랜</x:v>
      </x:c>
      <x:c r="C296" s="24" t="str">
        <x:v>SW-C-01도9893-1-20241014-18</x:v>
      </x:c>
      <x:c r="D296" s="24" t="str">
        <x:v>01도9893</x:v>
      </x:c>
      <x:c r="E296" s="24" t="str">
        <x:v>김효은</x:v>
      </x:c>
      <x:c r="F296" s="24" t="str">
        <x:v>2025-11</x:v>
      </x:c>
      <x:c r="G296" s="30" t="n">
        <x:v>45976</x:v>
      </x:c>
      <x:c r="H296" s="32" t="n">
        <x:v>450000</x:v>
      </x:c>
      <x:c r="I296" s="32" t="n">
        <x:v>450000</x:v>
      </x:c>
      <x:c r="J296" s="32" t="n">
        <x:v>0</x:v>
      </x:c>
      <x:c r="K296" s="30" t="n">
        <x:v>45979</x:v>
      </x:c>
      <x:c r="L296" s="24" t="str">
        <x:v>입금</x:v>
      </x:c>
      <x:c r="M296" s="31" t="n">
        <x:f>IF(AND(N296="미수",G296&lt;&gt;"",TODAY()&gt;G296),TODAY()-G296,0)</x:f>
        <x:v>0</x:v>
      </x:c>
      <x:c r="N296" s="24" t="str">
        <x:f>IF(J296&gt;0,"미수",IF(AND(H296&gt;0,I296&gt;=H296),"완납","미확인"))</x:f>
        <x:v>완납</x:v>
      </x:c>
      <x:c r="O296" s="31" t="n">
        <x:v>18</x:v>
      </x:c>
    </x:row>
    <x:row r="297" ht="17.25" customHeight="1">
      <x:c r="A297" s="24" t="str">
        <x:v>SW-B-01도9893-202510</x:v>
      </x:c>
      <x:c r="B297" s="24" t="str">
        <x:v>스위치플랜</x:v>
      </x:c>
      <x:c r="C297" s="24" t="str">
        <x:v>SW-C-01도9893-1-20241014-18</x:v>
      </x:c>
      <x:c r="D297" s="24" t="str">
        <x:v>01도9893</x:v>
      </x:c>
      <x:c r="E297" s="24" t="str">
        <x:v>김효은</x:v>
      </x:c>
      <x:c r="F297" s="24" t="str">
        <x:v>2025-10</x:v>
      </x:c>
      <x:c r="G297" s="30" t="n">
        <x:v>45945</x:v>
      </x:c>
      <x:c r="H297" s="32" t="n">
        <x:v>450000</x:v>
      </x:c>
      <x:c r="I297" s="32" t="n">
        <x:v>450000</x:v>
      </x:c>
      <x:c r="J297" s="32" t="n">
        <x:v>0</x:v>
      </x:c>
      <x:c r="K297" s="30" t="n">
        <x:v>45947</x:v>
      </x:c>
      <x:c r="L297" s="24" t="str">
        <x:v>입금</x:v>
      </x:c>
      <x:c r="M297" s="31" t="n">
        <x:f>IF(AND(N297="미수",G297&lt;&gt;"",TODAY()&gt;G297),TODAY()-G297,0)</x:f>
        <x:v>0</x:v>
      </x:c>
      <x:c r="N297" s="24" t="str">
        <x:f>IF(J297&gt;0,"미수",IF(AND(H297&gt;0,I297&gt;=H297),"완납","미확인"))</x:f>
        <x:v>완납</x:v>
      </x:c>
      <x:c r="O297" s="31" t="n">
        <x:v>18</x:v>
      </x:c>
    </x:row>
    <x:row r="298" ht="17.25" customHeight="1">
      <x:c r="A298" s="24" t="str">
        <x:v>SW-B-01도9893-202509</x:v>
      </x:c>
      <x:c r="B298" s="24" t="str">
        <x:v>스위치플랜</x:v>
      </x:c>
      <x:c r="C298" s="24" t="str">
        <x:v>SW-C-01도9893-1-20241014-18</x:v>
      </x:c>
      <x:c r="D298" s="24" t="str">
        <x:v>01도9893</x:v>
      </x:c>
      <x:c r="E298" s="24" t="str">
        <x:v>김효은</x:v>
      </x:c>
      <x:c r="F298" s="24" t="str">
        <x:v>2025-09</x:v>
      </x:c>
      <x:c r="G298" s="30" t="n">
        <x:v>45915</x:v>
      </x:c>
      <x:c r="H298" s="32" t="n">
        <x:v>480000</x:v>
      </x:c>
      <x:c r="I298" s="32" t="n">
        <x:v>480000</x:v>
      </x:c>
      <x:c r="J298" s="32" t="n">
        <x:v>0</x:v>
      </x:c>
      <x:c r="K298" s="30" t="n">
        <x:v>45915</x:v>
      </x:c>
      <x:c r="L298" s="24" t="str">
        <x:v>입금</x:v>
      </x:c>
      <x:c r="M298" s="31" t="n">
        <x:f>IF(AND(N298="미수",G298&lt;&gt;"",TODAY()&gt;G298),TODAY()-G298,0)</x:f>
        <x:v>0</x:v>
      </x:c>
      <x:c r="N298" s="24" t="str">
        <x:f>IF(J298&gt;0,"미수",IF(AND(H298&gt;0,I298&gt;=H298),"완납","미확인"))</x:f>
        <x:v>완납</x:v>
      </x:c>
      <x:c r="O298" s="31" t="n">
        <x:v>18</x:v>
      </x:c>
    </x:row>
    <x:row r="299" ht="17.25" customHeight="1">
      <x:c r="A299" s="24" t="str">
        <x:v>SW-B-01도9893-202508</x:v>
      </x:c>
      <x:c r="B299" s="24" t="str">
        <x:v>스위치플랜</x:v>
      </x:c>
      <x:c r="C299" s="24" t="str">
        <x:v>SW-C-01도9893-1-20241014-18</x:v>
      </x:c>
      <x:c r="D299" s="24" t="str">
        <x:v>01도9893</x:v>
      </x:c>
      <x:c r="E299" s="24" t="str">
        <x:v>김효은</x:v>
      </x:c>
      <x:c r="F299" s="24" t="str">
        <x:v>2025-08</x:v>
      </x:c>
      <x:c r="G299" s="30" t="n">
        <x:v>45884</x:v>
      </x:c>
      <x:c r="H299" s="32" t="n">
        <x:v>480000</x:v>
      </x:c>
      <x:c r="I299" s="32" t="n">
        <x:v>480000</x:v>
      </x:c>
      <x:c r="J299" s="32" t="n">
        <x:v>0</x:v>
      </x:c>
      <x:c r="K299" s="30" t="n">
        <x:v>45888</x:v>
      </x:c>
      <x:c r="L299" s="24" t="str">
        <x:v>입금</x:v>
      </x:c>
      <x:c r="M299" s="31" t="n">
        <x:f>IF(AND(N299="미수",G299&lt;&gt;"",TODAY()&gt;G299),TODAY()-G299,0)</x:f>
        <x:v>0</x:v>
      </x:c>
      <x:c r="N299" s="24" t="str">
        <x:f>IF(J299&gt;0,"미수",IF(AND(H299&gt;0,I299&gt;=H299),"완납","미확인"))</x:f>
        <x:v>완납</x:v>
      </x:c>
      <x:c r="O299" s="31" t="n">
        <x:v>18</x:v>
      </x:c>
    </x:row>
    <x:row r="300" ht="17.25" customHeight="1">
      <x:c r="A300" s="24" t="str">
        <x:v>SW-B-01도9893-202507</x:v>
      </x:c>
      <x:c r="B300" s="24" t="str">
        <x:v>스위치플랜</x:v>
      </x:c>
      <x:c r="C300" s="24" t="str">
        <x:v>SW-C-01도9893-1-20241014-18</x:v>
      </x:c>
      <x:c r="D300" s="24" t="str">
        <x:v>01도9893</x:v>
      </x:c>
      <x:c r="E300" s="24" t="str">
        <x:v>김효은</x:v>
      </x:c>
      <x:c r="F300" s="24" t="str">
        <x:v>2025-07</x:v>
      </x:c>
      <x:c r="G300" s="30" t="n">
        <x:v>45853</x:v>
      </x:c>
      <x:c r="H300" s="32" t="n">
        <x:v>480000</x:v>
      </x:c>
      <x:c r="I300" s="32" t="n">
        <x:v>480000</x:v>
      </x:c>
      <x:c r="J300" s="32" t="n">
        <x:v>0</x:v>
      </x:c>
      <x:c r="K300" s="30" t="n">
        <x:v>45855</x:v>
      </x:c>
      <x:c r="L300" s="24" t="str">
        <x:v>입금</x:v>
      </x:c>
      <x:c r="M300" s="31" t="n">
        <x:f>IF(AND(N300="미수",G300&lt;&gt;"",TODAY()&gt;G300),TODAY()-G300,0)</x:f>
        <x:v>0</x:v>
      </x:c>
      <x:c r="N300" s="24" t="str">
        <x:f>IF(J300&gt;0,"미수",IF(AND(H300&gt;0,I300&gt;=H300),"완납","미확인"))</x:f>
        <x:v>완납</x:v>
      </x:c>
      <x:c r="O300" s="31" t="n">
        <x:v>18</x:v>
      </x:c>
    </x:row>
    <x:row r="301" ht="17.25" customHeight="1">
      <x:c r="A301" s="24" t="str">
        <x:v>SW-B-01도9893-202506</x:v>
      </x:c>
      <x:c r="B301" s="24" t="str">
        <x:v>스위치플랜</x:v>
      </x:c>
      <x:c r="C301" s="24" t="str">
        <x:v>SW-C-01도9893-1-20241014-18</x:v>
      </x:c>
      <x:c r="D301" s="24" t="str">
        <x:v>01도9893</x:v>
      </x:c>
      <x:c r="E301" s="24" t="str">
        <x:v>김효은</x:v>
      </x:c>
      <x:c r="F301" s="24" t="str">
        <x:v>2025-06</x:v>
      </x:c>
      <x:c r="G301" s="30" t="n">
        <x:v>45823</x:v>
      </x:c>
      <x:c r="H301" s="32" t="n">
        <x:v>480000</x:v>
      </x:c>
      <x:c r="I301" s="32" t="n">
        <x:v>480000</x:v>
      </x:c>
      <x:c r="J301" s="32" t="n">
        <x:v>0</x:v>
      </x:c>
      <x:c r="K301" s="30" t="n">
        <x:v>45825</x:v>
      </x:c>
      <x:c r="L301" s="24" t="str">
        <x:v>입금</x:v>
      </x:c>
      <x:c r="M301" s="31" t="n">
        <x:f>IF(AND(N301="미수",G301&lt;&gt;"",TODAY()&gt;G301),TODAY()-G301,0)</x:f>
        <x:v>0</x:v>
      </x:c>
      <x:c r="N301" s="24" t="str">
        <x:f>IF(J301&gt;0,"미수",IF(AND(H301&gt;0,I301&gt;=H301),"완납","미확인"))</x:f>
        <x:v>완납</x:v>
      </x:c>
      <x:c r="O301" s="31" t="n">
        <x:v>18</x:v>
      </x:c>
    </x:row>
    <x:row r="302" ht="17.25" customHeight="1">
      <x:c r="A302" s="24" t="str">
        <x:v>SW-B-01도9893-202505</x:v>
      </x:c>
      <x:c r="B302" s="24" t="str">
        <x:v>스위치플랜</x:v>
      </x:c>
      <x:c r="C302" s="24" t="str">
        <x:v>SW-C-01도9893-1-20241014-18</x:v>
      </x:c>
      <x:c r="D302" s="24" t="str">
        <x:v>01도9893</x:v>
      </x:c>
      <x:c r="E302" s="24" t="str">
        <x:v>김효은</x:v>
      </x:c>
      <x:c r="F302" s="24" t="str">
        <x:v>2025-05</x:v>
      </x:c>
      <x:c r="G302" s="30" t="n">
        <x:v>45792</x:v>
      </x:c>
      <x:c r="H302" s="32" t="n">
        <x:v>480000</x:v>
      </x:c>
      <x:c r="I302" s="32" t="n">
        <x:v>480000</x:v>
      </x:c>
      <x:c r="J302" s="32" t="n">
        <x:v>0</x:v>
      </x:c>
      <x:c r="K302" s="30" t="n">
        <x:v>45793</x:v>
      </x:c>
      <x:c r="L302" s="24" t="str">
        <x:v>입금</x:v>
      </x:c>
      <x:c r="M302" s="31" t="n">
        <x:f>IF(AND(N302="미수",G302&lt;&gt;"",TODAY()&gt;G302),TODAY()-G302,0)</x:f>
        <x:v>0</x:v>
      </x:c>
      <x:c r="N302" s="24" t="str">
        <x:f>IF(J302&gt;0,"미수",IF(AND(H302&gt;0,I302&gt;=H302),"완납","미확인"))</x:f>
        <x:v>완납</x:v>
      </x:c>
      <x:c r="O302" s="31" t="n">
        <x:v>18</x:v>
      </x:c>
    </x:row>
    <x:row r="303" ht="17.25" customHeight="1">
      <x:c r="A303" s="24" t="str">
        <x:v>SW-B-01도9893-202504</x:v>
      </x:c>
      <x:c r="B303" s="24" t="str">
        <x:v>스위치플랜</x:v>
      </x:c>
      <x:c r="C303" s="24" t="str">
        <x:v>SW-C-01도9893-1-20241014-18</x:v>
      </x:c>
      <x:c r="D303" s="24" t="str">
        <x:v>01도9893</x:v>
      </x:c>
      <x:c r="E303" s="24" t="str">
        <x:v>김효은</x:v>
      </x:c>
      <x:c r="F303" s="24" t="str">
        <x:v>2025-04</x:v>
      </x:c>
      <x:c r="G303" s="30" t="n">
        <x:v>45762</x:v>
      </x:c>
      <x:c r="H303" s="32" t="n">
        <x:v>480000</x:v>
      </x:c>
      <x:c r="I303" s="32" t="n">
        <x:v>480000</x:v>
      </x:c>
      <x:c r="J303" s="32" t="n">
        <x:v>0</x:v>
      </x:c>
      <x:c r="K303" s="30" t="n">
        <x:v>45763</x:v>
      </x:c>
      <x:c r="L303" s="24" t="str">
        <x:v>입금</x:v>
      </x:c>
      <x:c r="M303" s="31" t="n">
        <x:f>IF(AND(N303="미수",G303&lt;&gt;"",TODAY()&gt;G303),TODAY()-G303,0)</x:f>
        <x:v>0</x:v>
      </x:c>
      <x:c r="N303" s="24" t="str">
        <x:f>IF(J303&gt;0,"미수",IF(AND(H303&gt;0,I303&gt;=H303),"완납","미확인"))</x:f>
        <x:v>완납</x:v>
      </x:c>
      <x:c r="O303" s="31" t="n">
        <x:v>18</x:v>
      </x:c>
    </x:row>
    <x:row r="304" ht="17.25" customHeight="1">
      <x:c r="A304" s="24" t="str">
        <x:v>SW-B-01도9893-202503</x:v>
      </x:c>
      <x:c r="B304" s="24" t="str">
        <x:v>스위치플랜</x:v>
      </x:c>
      <x:c r="C304" s="24" t="str">
        <x:v>SW-C-01도9893-1-20241014-18</x:v>
      </x:c>
      <x:c r="D304" s="24" t="str">
        <x:v>01도9893</x:v>
      </x:c>
      <x:c r="E304" s="24" t="str">
        <x:v>김효은</x:v>
      </x:c>
      <x:c r="F304" s="24" t="str">
        <x:v>2025-03</x:v>
      </x:c>
      <x:c r="G304" s="30" t="n">
        <x:v>45731</x:v>
      </x:c>
      <x:c r="H304" s="32" t="n">
        <x:v>480000</x:v>
      </x:c>
      <x:c r="I304" s="32" t="n">
        <x:v>480000</x:v>
      </x:c>
      <x:c r="J304" s="32" t="n">
        <x:v>0</x:v>
      </x:c>
      <x:c r="K304" s="30" t="n">
        <x:v>45733</x:v>
      </x:c>
      <x:c r="L304" s="24" t="str">
        <x:v>자동</x:v>
      </x:c>
      <x:c r="M304" s="31" t="n">
        <x:f>IF(AND(N304="미수",G304&lt;&gt;"",TODAY()&gt;G304),TODAY()-G304,0)</x:f>
        <x:v>0</x:v>
      </x:c>
      <x:c r="N304" s="24" t="str">
        <x:f>IF(J304&gt;0,"미수",IF(AND(H304&gt;0,I304&gt;=H304),"완납","미확인"))</x:f>
        <x:v>완납</x:v>
      </x:c>
      <x:c r="O304" s="31" t="n">
        <x:v>18</x:v>
      </x:c>
    </x:row>
    <x:row r="305" ht="17.25" customHeight="1">
      <x:c r="A305" s="24" t="str">
        <x:v>SW-B-01도9893-202502</x:v>
      </x:c>
      <x:c r="B305" s="24" t="str">
        <x:v>스위치플랜</x:v>
      </x:c>
      <x:c r="C305" s="24" t="str">
        <x:v>SW-C-01도9893-1-20241014-18</x:v>
      </x:c>
      <x:c r="D305" s="24" t="str">
        <x:v>01도9893</x:v>
      </x:c>
      <x:c r="E305" s="24" t="str">
        <x:v>김효은</x:v>
      </x:c>
      <x:c r="F305" s="24" t="str">
        <x:v>2025-02</x:v>
      </x:c>
      <x:c r="G305" s="30" t="n">
        <x:v>45703</x:v>
      </x:c>
      <x:c r="H305" s="32" t="n">
        <x:v>480000</x:v>
      </x:c>
      <x:c r="I305" s="32" t="n">
        <x:v>480000</x:v>
      </x:c>
      <x:c r="J305" s="32" t="n">
        <x:v>0</x:v>
      </x:c>
      <x:c r="K305" s="30" t="n">
        <x:v>45707</x:v>
      </x:c>
      <x:c r="L305" s="24" t="str">
        <x:v>입금</x:v>
      </x:c>
      <x:c r="M305" s="31" t="n">
        <x:f>IF(AND(N305="미수",G305&lt;&gt;"",TODAY()&gt;G305),TODAY()-G305,0)</x:f>
        <x:v>0</x:v>
      </x:c>
      <x:c r="N305" s="24" t="str">
        <x:f>IF(J305&gt;0,"미수",IF(AND(H305&gt;0,I305&gt;=H305),"완납","미확인"))</x:f>
        <x:v>완납</x:v>
      </x:c>
      <x:c r="O305" s="31" t="n">
        <x:v>18</x:v>
      </x:c>
    </x:row>
    <x:row r="306" ht="17.25" customHeight="1">
      <x:c r="A306" s="24" t="str">
        <x:v>SW-B-01도9893-202501</x:v>
      </x:c>
      <x:c r="B306" s="24" t="str">
        <x:v>스위치플랜</x:v>
      </x:c>
      <x:c r="C306" s="24" t="str">
        <x:v>SW-C-01도9893-1-20241014-18</x:v>
      </x:c>
      <x:c r="D306" s="24" t="str">
        <x:v>01도9893</x:v>
      </x:c>
      <x:c r="E306" s="24" t="str">
        <x:v>김효은</x:v>
      </x:c>
      <x:c r="F306" s="24" t="str">
        <x:v>2025-01</x:v>
      </x:c>
      <x:c r="G306" s="30" t="n">
        <x:v>45672</x:v>
      </x:c>
      <x:c r="H306" s="32" t="n">
        <x:v>480000</x:v>
      </x:c>
      <x:c r="I306" s="32" t="n">
        <x:v>480000</x:v>
      </x:c>
      <x:c r="J306" s="32" t="n">
        <x:v>0</x:v>
      </x:c>
      <x:c r="K306" s="30" t="n">
        <x:v>45676</x:v>
      </x:c>
      <x:c r="L306" s="24" t="str">
        <x:v>입금</x:v>
      </x:c>
      <x:c r="M306" s="31" t="n">
        <x:f>IF(AND(N306="미수",G306&lt;&gt;"",TODAY()&gt;G306),TODAY()-G306,0)</x:f>
        <x:v>0</x:v>
      </x:c>
      <x:c r="N306" s="24" t="str">
        <x:f>IF(J306&gt;0,"미수",IF(AND(H306&gt;0,I306&gt;=H306),"완납","미확인"))</x:f>
        <x:v>완납</x:v>
      </x:c>
      <x:c r="O306" s="31" t="n">
        <x:v>18</x:v>
      </x:c>
    </x:row>
    <x:row r="307" ht="17.25" customHeight="1">
      <x:c r="A307" s="24" t="str">
        <x:v>SW-B-01도9893-202412</x:v>
      </x:c>
      <x:c r="B307" s="24" t="str">
        <x:v>스위치플랜</x:v>
      </x:c>
      <x:c r="C307" s="24" t="str">
        <x:v>SW-C-01도9893-1-20241014-18</x:v>
      </x:c>
      <x:c r="D307" s="24" t="str">
        <x:v>01도9893</x:v>
      </x:c>
      <x:c r="E307" s="24" t="str">
        <x:v>김효은</x:v>
      </x:c>
      <x:c r="F307" s="24" t="str">
        <x:v>2024-12</x:v>
      </x:c>
      <x:c r="G307" s="30" t="n">
        <x:v>45641</x:v>
      </x:c>
      <x:c r="H307" s="32" t="n">
        <x:v>480000</x:v>
      </x:c>
      <x:c r="I307" s="32" t="n">
        <x:v>480000</x:v>
      </x:c>
      <x:c r="J307" s="32" t="n">
        <x:v>0</x:v>
      </x:c>
      <x:c r="K307" s="30" t="n">
        <x:v>45642</x:v>
      </x:c>
      <x:c r="L307" s="24" t="str">
        <x:v>입금</x:v>
      </x:c>
      <x:c r="M307" s="31" t="n">
        <x:f>IF(AND(N307="미수",G307&lt;&gt;"",TODAY()&gt;G307),TODAY()-G307,0)</x:f>
        <x:v>0</x:v>
      </x:c>
      <x:c r="N307" s="24" t="str">
        <x:f>IF(J307&gt;0,"미수",IF(AND(H307&gt;0,I307&gt;=H307),"완납","미확인"))</x:f>
        <x:v>완납</x:v>
      </x:c>
      <x:c r="O307" s="31" t="n">
        <x:v>18</x:v>
      </x:c>
    </x:row>
    <x:row r="308" ht="17.25" customHeight="1">
      <x:c r="A308" s="24" t="str">
        <x:v>SW-B-01도9893-202411</x:v>
      </x:c>
      <x:c r="B308" s="24" t="str">
        <x:v>스위치플랜</x:v>
      </x:c>
      <x:c r="C308" s="24" t="str">
        <x:v>SW-C-01도9893-1-20241014-18</x:v>
      </x:c>
      <x:c r="D308" s="24" t="str">
        <x:v>01도9893</x:v>
      </x:c>
      <x:c r="E308" s="24" t="str">
        <x:v>김효은</x:v>
      </x:c>
      <x:c r="F308" s="24" t="str">
        <x:v>2024-11</x:v>
      </x:c>
      <x:c r="G308" s="30" t="n">
        <x:v>45611</x:v>
      </x:c>
      <x:c r="H308" s="32" t="n">
        <x:v>480000</x:v>
      </x:c>
      <x:c r="I308" s="32" t="n">
        <x:v>480000</x:v>
      </x:c>
      <x:c r="J308" s="32" t="n">
        <x:v>0</x:v>
      </x:c>
      <x:c r="K308" s="30" t="n">
        <x:v>45614</x:v>
      </x:c>
      <x:c r="L308" s="24" t="str">
        <x:v>입금</x:v>
      </x:c>
      <x:c r="M308" s="31" t="n">
        <x:f>IF(AND(N308="미수",G308&lt;&gt;"",TODAY()&gt;G308),TODAY()-G308,0)</x:f>
        <x:v>0</x:v>
      </x:c>
      <x:c r="N308" s="24" t="str">
        <x:f>IF(J308&gt;0,"미수",IF(AND(H308&gt;0,I308&gt;=H308),"완납","미확인"))</x:f>
        <x:v>완납</x:v>
      </x:c>
      <x:c r="O308" s="31" t="n">
        <x:v>18</x:v>
      </x:c>
    </x:row>
    <x:row r="309" ht="17.25" customHeight="1">
      <x:c r="A309" s="24" t="str">
        <x:v>SW-B-01도9893-202410</x:v>
      </x:c>
      <x:c r="B309" s="24" t="str">
        <x:v>스위치플랜</x:v>
      </x:c>
      <x:c r="C309" s="24" t="str">
        <x:v>SW-C-01도9893-1-20241014-18</x:v>
      </x:c>
      <x:c r="D309" s="24" t="str">
        <x:v>01도9893</x:v>
      </x:c>
      <x:c r="E309" s="24" t="str">
        <x:v>김효은</x:v>
      </x:c>
      <x:c r="F309" s="24" t="str">
        <x:v>2024-10</x:v>
      </x:c>
      <x:c r="G309" s="30" t="n">
        <x:v>45580</x:v>
      </x:c>
      <x:c r="H309" s="32" t="n">
        <x:v>480000</x:v>
      </x:c>
      <x:c r="I309" s="32" t="n">
        <x:v>480000</x:v>
      </x:c>
      <x:c r="J309" s="32" t="n">
        <x:v>0</x:v>
      </x:c>
      <x:c r="K309" s="30" t="n">
        <x:v>45565</x:v>
      </x:c>
      <x:c r="L309" s="24" t="str">
        <x:v>입금</x:v>
      </x:c>
      <x:c r="M309" s="31" t="n">
        <x:f>IF(AND(N309="미수",G309&lt;&gt;"",TODAY()&gt;G309),TODAY()-G309,0)</x:f>
        <x:v>0</x:v>
      </x:c>
      <x:c r="N309" s="24" t="str">
        <x:f>IF(J309&gt;0,"미수",IF(AND(H309&gt;0,I309&gt;=H309),"완납","미확인"))</x:f>
        <x:v>완납</x:v>
      </x:c>
      <x:c r="O309" s="31" t="n">
        <x:v>18</x:v>
      </x:c>
    </x:row>
    <x:row r="310" ht="17.25" customHeight="1">
      <x:c r="A310" s="24" t="str">
        <x:v>SW-B-02마4731-202608</x:v>
      </x:c>
      <x:c r="B310" s="24" t="str">
        <x:v>스위치플랜</x:v>
      </x:c>
      <x:c r="C310" s="24" t="str">
        <x:v>SW-C-02마4731-1-20250317-19</x:v>
      </x:c>
      <x:c r="D310" s="24" t="str">
        <x:v>02마4731</x:v>
      </x:c>
      <x:c r="E310" s="24" t="str">
        <x:v>하정만</x:v>
      </x:c>
      <x:c r="F310" s="24" t="str">
        <x:v>2026-08</x:v>
      </x:c>
      <x:c r="G310" s="30" t="n">
        <x:v>46249</x:v>
      </x:c>
      <x:c r="H310" s="32" t="n">
        <x:v>330000</x:v>
      </x:c>
      <x:c r="I310" s="32" t="n">
        <x:v>330000</x:v>
      </x:c>
      <x:c r="J310" s="32" t="n">
        <x:v>0</x:v>
      </x:c>
      <x:c r="K310" s="30" t="n">
        <x:v>46239</x:v>
      </x:c>
      <x:c r="L310" s="24" t="str">
        <x:v>입금</x:v>
      </x:c>
      <x:c r="M310" s="31" t="n">
        <x:f>IF(AND(N310="미수",G310&lt;&gt;"",TODAY()&gt;G310),TODAY()-G310,0)</x:f>
        <x:v>0</x:v>
      </x:c>
      <x:c r="N310" s="24" t="str">
        <x:f>IF(J310&gt;0,"미수",IF(AND(H310&gt;0,I310&gt;=H310),"완납","미확인"))</x:f>
        <x:v>완납</x:v>
      </x:c>
      <x:c r="O310" s="31" t="n">
        <x:v>19</x:v>
      </x:c>
    </x:row>
    <x:row r="311" ht="17.25" customHeight="1">
      <x:c r="A311" s="24" t="str">
        <x:v>SW-B-02마4731-202607</x:v>
      </x:c>
      <x:c r="B311" s="24" t="str">
        <x:v>스위치플랜</x:v>
      </x:c>
      <x:c r="C311" s="24" t="str">
        <x:v>SW-C-02마4731-1-20250317-19</x:v>
      </x:c>
      <x:c r="D311" s="24" t="str">
        <x:v>02마4731</x:v>
      </x:c>
      <x:c r="E311" s="24" t="str">
        <x:v>하정만</x:v>
      </x:c>
      <x:c r="F311" s="24" t="str">
        <x:v>2026-07</x:v>
      </x:c>
      <x:c r="G311" s="30" t="n">
        <x:v>46218</x:v>
      </x:c>
      <x:c r="H311" s="32" t="n">
        <x:v>330000</x:v>
      </x:c>
      <x:c r="I311" s="32" t="n">
        <x:v>330000</x:v>
      </x:c>
      <x:c r="J311" s="32" t="n">
        <x:v>0</x:v>
      </x:c>
      <x:c r="K311" s="30" t="n">
        <x:v>46204</x:v>
      </x:c>
      <x:c r="L311" s="24" t="str">
        <x:v>입금</x:v>
      </x:c>
      <x:c r="M311" s="31" t="n">
        <x:f>IF(AND(N311="미수",G311&lt;&gt;"",TODAY()&gt;G311),TODAY()-G311,0)</x:f>
        <x:v>0</x:v>
      </x:c>
      <x:c r="N311" s="24" t="str">
        <x:f>IF(J311&gt;0,"미수",IF(AND(H311&gt;0,I311&gt;=H311),"완납","미확인"))</x:f>
        <x:v>완납</x:v>
      </x:c>
      <x:c r="O311" s="31" t="n">
        <x:v>19</x:v>
      </x:c>
    </x:row>
    <x:row r="312" ht="17.25" customHeight="1">
      <x:c r="A312" s="24" t="str">
        <x:v>SW-B-02마4731-202606</x:v>
      </x:c>
      <x:c r="B312" s="24" t="str">
        <x:v>스위치플랜</x:v>
      </x:c>
      <x:c r="C312" s="24" t="str">
        <x:v>SW-C-02마4731-1-20250317-19</x:v>
      </x:c>
      <x:c r="D312" s="24" t="str">
        <x:v>02마4731</x:v>
      </x:c>
      <x:c r="E312" s="24" t="str">
        <x:v>하정만</x:v>
      </x:c>
      <x:c r="F312" s="24" t="str">
        <x:v>2026-06</x:v>
      </x:c>
      <x:c r="G312" s="30" t="n">
        <x:v>46188</x:v>
      </x:c>
      <x:c r="H312" s="32" t="n">
        <x:v>330000</x:v>
      </x:c>
      <x:c r="I312" s="32"/>
      <x:c r="J312" s="32" t="n">
        <x:v>0</x:v>
      </x:c>
      <x:c r="K312" s="30"/>
      <x:c r="L312" s="24" t="str"/>
      <x:c r="M312" s="31" t="n">
        <x:f>IF(AND(N312="미수",G312&lt;&gt;"",TODAY()&gt;G312),TODAY()-G312,0)</x:f>
        <x:v>0</x:v>
      </x:c>
      <x:c r="N312" s="24" t="str">
        <x:f>IF(J312&gt;0,"미수",IF(AND(H312&gt;0,I312&gt;=H312),"완납","미확인"))</x:f>
        <x:v>미확인</x:v>
      </x:c>
      <x:c r="O312" s="31" t="n">
        <x:v>19</x:v>
      </x:c>
    </x:row>
    <x:row r="313" ht="17.25" customHeight="1">
      <x:c r="A313" s="24" t="str">
        <x:v>SW-B-02마4731-202605</x:v>
      </x:c>
      <x:c r="B313" s="24" t="str">
        <x:v>스위치플랜</x:v>
      </x:c>
      <x:c r="C313" s="24" t="str">
        <x:v>SW-C-02마4731-1-20250317-19</x:v>
      </x:c>
      <x:c r="D313" s="24" t="str">
        <x:v>02마4731</x:v>
      </x:c>
      <x:c r="E313" s="24" t="str">
        <x:v>하정만</x:v>
      </x:c>
      <x:c r="F313" s="24" t="str">
        <x:v>2026-05</x:v>
      </x:c>
      <x:c r="G313" s="30" t="n">
        <x:v>46157</x:v>
      </x:c>
      <x:c r="H313" s="32" t="n">
        <x:v>330000</x:v>
      </x:c>
      <x:c r="I313" s="32" t="n">
        <x:v>660000</x:v>
      </x:c>
      <x:c r="J313" s="32" t="n">
        <x:v>-330000</x:v>
      </x:c>
      <x:c r="K313" s="30" t="n">
        <x:v>46160</x:v>
      </x:c>
      <x:c r="L313" s="24" t="str">
        <x:v>입금</x:v>
      </x:c>
      <x:c r="M313" s="31" t="n">
        <x:f>IF(AND(N313="미수",G313&lt;&gt;"",TODAY()&gt;G313),TODAY()-G313,0)</x:f>
        <x:v>0</x:v>
      </x:c>
      <x:c r="N313" s="24" t="str">
        <x:f>IF(J313&gt;0,"미수",IF(AND(H313&gt;0,I313&gt;=H313),"완납","미확인"))</x:f>
        <x:v>완납</x:v>
      </x:c>
      <x:c r="O313" s="31" t="n">
        <x:v>19</x:v>
      </x:c>
    </x:row>
    <x:row r="314" ht="17.25" customHeight="1">
      <x:c r="A314" s="24" t="str">
        <x:v>SW-B-02마4731-202604</x:v>
      </x:c>
      <x:c r="B314" s="24" t="str">
        <x:v>스위치플랜</x:v>
      </x:c>
      <x:c r="C314" s="24" t="str">
        <x:v>SW-C-02마4731-1-20250317-19</x:v>
      </x:c>
      <x:c r="D314" s="24" t="str">
        <x:v>02마4731</x:v>
      </x:c>
      <x:c r="E314" s="24" t="str">
        <x:v>하정만</x:v>
      </x:c>
      <x:c r="F314" s="24" t="str">
        <x:v>2026-04</x:v>
      </x:c>
      <x:c r="G314" s="30" t="n">
        <x:v>46127</x:v>
      </x:c>
      <x:c r="H314" s="32" t="n">
        <x:v>235000</x:v>
      </x:c>
      <x:c r="I314" s="32" t="n">
        <x:v>235000</x:v>
      </x:c>
      <x:c r="J314" s="32" t="n">
        <x:v>0</x:v>
      </x:c>
      <x:c r="K314" s="30" t="n">
        <x:v>46114</x:v>
      </x:c>
      <x:c r="L314" s="24" t="str">
        <x:v>입금</x:v>
      </x:c>
      <x:c r="M314" s="31" t="n">
        <x:f>IF(AND(N314="미수",G314&lt;&gt;"",TODAY()&gt;G314),TODAY()-G314,0)</x:f>
        <x:v>0</x:v>
      </x:c>
      <x:c r="N314" s="24" t="str">
        <x:f>IF(J314&gt;0,"미수",IF(AND(H314&gt;0,I314&gt;=H314),"완납","미확인"))</x:f>
        <x:v>완납</x:v>
      </x:c>
      <x:c r="O314" s="31" t="n">
        <x:v>19</x:v>
      </x:c>
    </x:row>
    <x:row r="315" ht="17.25" customHeight="1">
      <x:c r="A315" s="24" t="str">
        <x:v>SW-B-02마4731-202603</x:v>
      </x:c>
      <x:c r="B315" s="24" t="str">
        <x:v>스위치플랜</x:v>
      </x:c>
      <x:c r="C315" s="24" t="str">
        <x:v>SW-C-02마4731-1-20250317-19</x:v>
      </x:c>
      <x:c r="D315" s="24" t="str">
        <x:v>02마4731</x:v>
      </x:c>
      <x:c r="E315" s="24" t="str">
        <x:v>하정만</x:v>
      </x:c>
      <x:c r="F315" s="24" t="str">
        <x:v>2026-03</x:v>
      </x:c>
      <x:c r="G315" s="30" t="n">
        <x:v>46096</x:v>
      </x:c>
      <x:c r="H315" s="32" t="n">
        <x:v>330000</x:v>
      </x:c>
      <x:c r="I315" s="32" t="n">
        <x:v>330000</x:v>
      </x:c>
      <x:c r="J315" s="32" t="n">
        <x:v>0</x:v>
      </x:c>
      <x:c r="K315" s="30" t="n">
        <x:v>46091</x:v>
      </x:c>
      <x:c r="L315" s="24" t="str">
        <x:v>입금</x:v>
      </x:c>
      <x:c r="M315" s="31" t="n">
        <x:f>IF(AND(N315="미수",G315&lt;&gt;"",TODAY()&gt;G315),TODAY()-G315,0)</x:f>
        <x:v>0</x:v>
      </x:c>
      <x:c r="N315" s="24" t="str">
        <x:f>IF(J315&gt;0,"미수",IF(AND(H315&gt;0,I315&gt;=H315),"완납","미확인"))</x:f>
        <x:v>완납</x:v>
      </x:c>
      <x:c r="O315" s="31" t="n">
        <x:v>19</x:v>
      </x:c>
    </x:row>
    <x:row r="316" ht="17.25" customHeight="1">
      <x:c r="A316" s="24" t="str">
        <x:v>SW-B-02마4731-202602</x:v>
      </x:c>
      <x:c r="B316" s="24" t="str">
        <x:v>스위치플랜</x:v>
      </x:c>
      <x:c r="C316" s="24" t="str">
        <x:v>SW-C-02마4731-1-20250317-19</x:v>
      </x:c>
      <x:c r="D316" s="24" t="str">
        <x:v>02마4731</x:v>
      </x:c>
      <x:c r="E316" s="24" t="str">
        <x:v>하정만</x:v>
      </x:c>
      <x:c r="F316" s="24" t="str">
        <x:v>2026-02</x:v>
      </x:c>
      <x:c r="G316" s="30" t="n">
        <x:v>46068</x:v>
      </x:c>
      <x:c r="H316" s="32" t="n">
        <x:v>330000</x:v>
      </x:c>
      <x:c r="I316" s="32" t="n">
        <x:v>330000</x:v>
      </x:c>
      <x:c r="J316" s="32" t="n">
        <x:v>0</x:v>
      </x:c>
      <x:c r="K316" s="30" t="n">
        <x:v>46058</x:v>
      </x:c>
      <x:c r="L316" s="24" t="str">
        <x:v>입금</x:v>
      </x:c>
      <x:c r="M316" s="31" t="n">
        <x:f>IF(AND(N316="미수",G316&lt;&gt;"",TODAY()&gt;G316),TODAY()-G316,0)</x:f>
        <x:v>0</x:v>
      </x:c>
      <x:c r="N316" s="24" t="str">
        <x:f>IF(J316&gt;0,"미수",IF(AND(H316&gt;0,I316&gt;=H316),"완납","미확인"))</x:f>
        <x:v>완납</x:v>
      </x:c>
      <x:c r="O316" s="31" t="n">
        <x:v>19</x:v>
      </x:c>
    </x:row>
    <x:row r="317" ht="17.25" customHeight="1">
      <x:c r="A317" s="24" t="str">
        <x:v>SW-B-02마4731-202601</x:v>
      </x:c>
      <x:c r="B317" s="24" t="str">
        <x:v>스위치플랜</x:v>
      </x:c>
      <x:c r="C317" s="24" t="str">
        <x:v>SW-C-02마4731-1-20250317-19</x:v>
      </x:c>
      <x:c r="D317" s="24" t="str">
        <x:v>02마4731</x:v>
      </x:c>
      <x:c r="E317" s="24" t="str">
        <x:v>하정만</x:v>
      </x:c>
      <x:c r="F317" s="24" t="str">
        <x:v>2026-01</x:v>
      </x:c>
      <x:c r="G317" s="30" t="n">
        <x:v>46037</x:v>
      </x:c>
      <x:c r="H317" s="32" t="n">
        <x:v>330000</x:v>
      </x:c>
      <x:c r="I317" s="32" t="n">
        <x:v>330000</x:v>
      </x:c>
      <x:c r="J317" s="32" t="n">
        <x:v>0</x:v>
      </x:c>
      <x:c r="K317" s="30" t="n">
        <x:v>46035</x:v>
      </x:c>
      <x:c r="L317" s="24" t="str">
        <x:v>입금</x:v>
      </x:c>
      <x:c r="M317" s="31" t="n">
        <x:f>IF(AND(N317="미수",G317&lt;&gt;"",TODAY()&gt;G317),TODAY()-G317,0)</x:f>
        <x:v>0</x:v>
      </x:c>
      <x:c r="N317" s="24" t="str">
        <x:f>IF(J317&gt;0,"미수",IF(AND(H317&gt;0,I317&gt;=H317),"완납","미확인"))</x:f>
        <x:v>완납</x:v>
      </x:c>
      <x:c r="O317" s="31" t="n">
        <x:v>19</x:v>
      </x:c>
    </x:row>
    <x:row r="318" ht="17.25" customHeight="1">
      <x:c r="A318" s="24" t="str">
        <x:v>SW-B-02마4731-202512</x:v>
      </x:c>
      <x:c r="B318" s="24" t="str">
        <x:v>스위치플랜</x:v>
      </x:c>
      <x:c r="C318" s="24" t="str">
        <x:v>SW-C-02마4731-1-20250317-19</x:v>
      </x:c>
      <x:c r="D318" s="24" t="str">
        <x:v>02마4731</x:v>
      </x:c>
      <x:c r="E318" s="24" t="str">
        <x:v>하정만</x:v>
      </x:c>
      <x:c r="F318" s="24" t="str">
        <x:v>2025-12</x:v>
      </x:c>
      <x:c r="G318" s="30" t="n">
        <x:v>46006</x:v>
      </x:c>
      <x:c r="H318" s="32" t="n">
        <x:v>330000</x:v>
      </x:c>
      <x:c r="I318" s="32" t="n">
        <x:v>330000</x:v>
      </x:c>
      <x:c r="J318" s="32" t="n">
        <x:v>0</x:v>
      </x:c>
      <x:c r="K318" s="30" t="n">
        <x:v>46003</x:v>
      </x:c>
      <x:c r="L318" s="24" t="str">
        <x:v>입금</x:v>
      </x:c>
      <x:c r="M318" s="31" t="n">
        <x:f>IF(AND(N318="미수",G318&lt;&gt;"",TODAY()&gt;G318),TODAY()-G318,0)</x:f>
        <x:v>0</x:v>
      </x:c>
      <x:c r="N318" s="24" t="str">
        <x:f>IF(J318&gt;0,"미수",IF(AND(H318&gt;0,I318&gt;=H318),"완납","미확인"))</x:f>
        <x:v>완납</x:v>
      </x:c>
      <x:c r="O318" s="31" t="n">
        <x:v>19</x:v>
      </x:c>
    </x:row>
    <x:row r="319" ht="17.25" customHeight="1">
      <x:c r="A319" s="24" t="str">
        <x:v>SW-B-02마4731-202511</x:v>
      </x:c>
      <x:c r="B319" s="24" t="str">
        <x:v>스위치플랜</x:v>
      </x:c>
      <x:c r="C319" s="24" t="str">
        <x:v>SW-C-02마4731-1-20250317-19</x:v>
      </x:c>
      <x:c r="D319" s="24" t="str">
        <x:v>02마4731</x:v>
      </x:c>
      <x:c r="E319" s="24" t="str">
        <x:v>하정만</x:v>
      </x:c>
      <x:c r="F319" s="24" t="str">
        <x:v>2025-11</x:v>
      </x:c>
      <x:c r="G319" s="30" t="n">
        <x:v>45976</x:v>
      </x:c>
      <x:c r="H319" s="32" t="n">
        <x:v>330000</x:v>
      </x:c>
      <x:c r="I319" s="32" t="n">
        <x:v>330000</x:v>
      </x:c>
      <x:c r="J319" s="32" t="n">
        <x:v>0</x:v>
      </x:c>
      <x:c r="K319" s="30" t="n">
        <x:v>45974</x:v>
      </x:c>
      <x:c r="L319" s="24" t="str">
        <x:v>입금</x:v>
      </x:c>
      <x:c r="M319" s="31" t="n">
        <x:f>IF(AND(N319="미수",G319&lt;&gt;"",TODAY()&gt;G319),TODAY()-G319,0)</x:f>
        <x:v>0</x:v>
      </x:c>
      <x:c r="N319" s="24" t="str">
        <x:f>IF(J319&gt;0,"미수",IF(AND(H319&gt;0,I319&gt;=H319),"완납","미확인"))</x:f>
        <x:v>완납</x:v>
      </x:c>
      <x:c r="O319" s="31" t="n">
        <x:v>19</x:v>
      </x:c>
    </x:row>
    <x:row r="320" ht="17.25" customHeight="1">
      <x:c r="A320" s="24" t="str">
        <x:v>SW-B-02마4731-202510</x:v>
      </x:c>
      <x:c r="B320" s="24" t="str">
        <x:v>스위치플랜</x:v>
      </x:c>
      <x:c r="C320" s="24" t="str">
        <x:v>SW-C-02마4731-1-20250317-19</x:v>
      </x:c>
      <x:c r="D320" s="24" t="str">
        <x:v>02마4731</x:v>
      </x:c>
      <x:c r="E320" s="24" t="str">
        <x:v>하정만</x:v>
      </x:c>
      <x:c r="F320" s="24" t="str">
        <x:v>2025-10</x:v>
      </x:c>
      <x:c r="G320" s="30" t="n">
        <x:v>45945</x:v>
      </x:c>
      <x:c r="H320" s="32" t="n">
        <x:v>330000</x:v>
      </x:c>
      <x:c r="I320" s="32" t="n">
        <x:v>330000</x:v>
      </x:c>
      <x:c r="J320" s="32" t="n">
        <x:v>0</x:v>
      </x:c>
      <x:c r="K320" s="30" t="n">
        <x:v>45947</x:v>
      </x:c>
      <x:c r="L320" s="24" t="str">
        <x:v>입금</x:v>
      </x:c>
      <x:c r="M320" s="31" t="n">
        <x:f>IF(AND(N320="미수",G320&lt;&gt;"",TODAY()&gt;G320),TODAY()-G320,0)</x:f>
        <x:v>0</x:v>
      </x:c>
      <x:c r="N320" s="24" t="str">
        <x:f>IF(J320&gt;0,"미수",IF(AND(H320&gt;0,I320&gt;=H320),"완납","미확인"))</x:f>
        <x:v>완납</x:v>
      </x:c>
      <x:c r="O320" s="31" t="n">
        <x:v>19</x:v>
      </x:c>
    </x:row>
    <x:row r="321" ht="17.25" customHeight="1">
      <x:c r="A321" s="24" t="str">
        <x:v>SW-B-02마4731-202509</x:v>
      </x:c>
      <x:c r="B321" s="24" t="str">
        <x:v>스위치플랜</x:v>
      </x:c>
      <x:c r="C321" s="24" t="str">
        <x:v>SW-C-02마4731-1-20250317-19</x:v>
      </x:c>
      <x:c r="D321" s="24" t="str">
        <x:v>02마4731</x:v>
      </x:c>
      <x:c r="E321" s="24" t="str">
        <x:v>하정만</x:v>
      </x:c>
      <x:c r="F321" s="24" t="str">
        <x:v>2025-09</x:v>
      </x:c>
      <x:c r="G321" s="30" t="n">
        <x:v>45915</x:v>
      </x:c>
      <x:c r="H321" s="32" t="n">
        <x:v>330000</x:v>
      </x:c>
      <x:c r="I321" s="32" t="n">
        <x:v>330000</x:v>
      </x:c>
      <x:c r="J321" s="32" t="n">
        <x:v>0</x:v>
      </x:c>
      <x:c r="K321" s="30" t="n">
        <x:v>45911</x:v>
      </x:c>
      <x:c r="L321" s="24" t="str">
        <x:v>입금</x:v>
      </x:c>
      <x:c r="M321" s="31" t="n">
        <x:f>IF(AND(N321="미수",G321&lt;&gt;"",TODAY()&gt;G321),TODAY()-G321,0)</x:f>
        <x:v>0</x:v>
      </x:c>
      <x:c r="N321" s="24" t="str">
        <x:f>IF(J321&gt;0,"미수",IF(AND(H321&gt;0,I321&gt;=H321),"완납","미확인"))</x:f>
        <x:v>완납</x:v>
      </x:c>
      <x:c r="O321" s="31" t="n">
        <x:v>19</x:v>
      </x:c>
    </x:row>
    <x:row r="322" ht="17.25" customHeight="1">
      <x:c r="A322" s="24" t="str">
        <x:v>SW-B-02마4731-202508</x:v>
      </x:c>
      <x:c r="B322" s="24" t="str">
        <x:v>스위치플랜</x:v>
      </x:c>
      <x:c r="C322" s="24" t="str">
        <x:v>SW-C-02마4731-1-20250317-19</x:v>
      </x:c>
      <x:c r="D322" s="24" t="str">
        <x:v>02마4731</x:v>
      </x:c>
      <x:c r="E322" s="24" t="str">
        <x:v>하정만</x:v>
      </x:c>
      <x:c r="F322" s="24" t="str">
        <x:v>2025-08</x:v>
      </x:c>
      <x:c r="G322" s="30" t="n">
        <x:v>45884</x:v>
      </x:c>
      <x:c r="H322" s="32" t="n">
        <x:v>330000</x:v>
      </x:c>
      <x:c r="I322" s="32" t="n">
        <x:v>330000</x:v>
      </x:c>
      <x:c r="J322" s="32" t="n">
        <x:v>0</x:v>
      </x:c>
      <x:c r="K322" s="30" t="n">
        <x:v>45882</x:v>
      </x:c>
      <x:c r="L322" s="24" t="str">
        <x:v>입금</x:v>
      </x:c>
      <x:c r="M322" s="31" t="n">
        <x:f>IF(AND(N322="미수",G322&lt;&gt;"",TODAY()&gt;G322),TODAY()-G322,0)</x:f>
        <x:v>0</x:v>
      </x:c>
      <x:c r="N322" s="24" t="str">
        <x:f>IF(J322&gt;0,"미수",IF(AND(H322&gt;0,I322&gt;=H322),"완납","미확인"))</x:f>
        <x:v>완납</x:v>
      </x:c>
      <x:c r="O322" s="31" t="n">
        <x:v>19</x:v>
      </x:c>
    </x:row>
    <x:row r="323" ht="17.25" customHeight="1">
      <x:c r="A323" s="24" t="str">
        <x:v>SW-B-02마4731-202507</x:v>
      </x:c>
      <x:c r="B323" s="24" t="str">
        <x:v>스위치플랜</x:v>
      </x:c>
      <x:c r="C323" s="24" t="str">
        <x:v>SW-C-02마4731-1-20250317-19</x:v>
      </x:c>
      <x:c r="D323" s="24" t="str">
        <x:v>02마4731</x:v>
      </x:c>
      <x:c r="E323" s="24" t="str">
        <x:v>하정만</x:v>
      </x:c>
      <x:c r="F323" s="24" t="str">
        <x:v>2025-07</x:v>
      </x:c>
      <x:c r="G323" s="30" t="n">
        <x:v>45853</x:v>
      </x:c>
      <x:c r="H323" s="32" t="n">
        <x:v>330000</x:v>
      </x:c>
      <x:c r="I323" s="32" t="n">
        <x:v>330000</x:v>
      </x:c>
      <x:c r="J323" s="32" t="n">
        <x:v>0</x:v>
      </x:c>
      <x:c r="K323" s="30" t="n">
        <x:v>45852</x:v>
      </x:c>
      <x:c r="L323" s="24" t="str">
        <x:v>입금</x:v>
      </x:c>
      <x:c r="M323" s="31" t="n">
        <x:f>IF(AND(N323="미수",G323&lt;&gt;"",TODAY()&gt;G323),TODAY()-G323,0)</x:f>
        <x:v>0</x:v>
      </x:c>
      <x:c r="N323" s="24" t="str">
        <x:f>IF(J323&gt;0,"미수",IF(AND(H323&gt;0,I323&gt;=H323),"완납","미확인"))</x:f>
        <x:v>완납</x:v>
      </x:c>
      <x:c r="O323" s="31" t="n">
        <x:v>19</x:v>
      </x:c>
    </x:row>
    <x:row r="324" ht="17.25" customHeight="1">
      <x:c r="A324" s="24" t="str">
        <x:v>SW-B-02마4731-202506</x:v>
      </x:c>
      <x:c r="B324" s="24" t="str">
        <x:v>스위치플랜</x:v>
      </x:c>
      <x:c r="C324" s="24" t="str">
        <x:v>SW-C-02마4731-1-20250317-19</x:v>
      </x:c>
      <x:c r="D324" s="24" t="str">
        <x:v>02마4731</x:v>
      </x:c>
      <x:c r="E324" s="24" t="str">
        <x:v>하정만</x:v>
      </x:c>
      <x:c r="F324" s="24" t="str">
        <x:v>2025-06</x:v>
      </x:c>
      <x:c r="G324" s="30" t="n">
        <x:v>45823</x:v>
      </x:c>
      <x:c r="H324" s="32" t="n">
        <x:v>330000</x:v>
      </x:c>
      <x:c r="I324" s="32" t="n">
        <x:v>330000</x:v>
      </x:c>
      <x:c r="J324" s="32" t="n">
        <x:v>0</x:v>
      </x:c>
      <x:c r="K324" s="30" t="n">
        <x:v>45825</x:v>
      </x:c>
      <x:c r="L324" s="24" t="str">
        <x:v>입금</x:v>
      </x:c>
      <x:c r="M324" s="31" t="n">
        <x:f>IF(AND(N324="미수",G324&lt;&gt;"",TODAY()&gt;G324),TODAY()-G324,0)</x:f>
        <x:v>0</x:v>
      </x:c>
      <x:c r="N324" s="24" t="str">
        <x:f>IF(J324&gt;0,"미수",IF(AND(H324&gt;0,I324&gt;=H324),"완납","미확인"))</x:f>
        <x:v>완납</x:v>
      </x:c>
      <x:c r="O324" s="31" t="n">
        <x:v>19</x:v>
      </x:c>
    </x:row>
    <x:row r="325" ht="17.25" customHeight="1">
      <x:c r="A325" s="24" t="str">
        <x:v>SW-B-02마4731-202505</x:v>
      </x:c>
      <x:c r="B325" s="24" t="str">
        <x:v>스위치플랜</x:v>
      </x:c>
      <x:c r="C325" s="24" t="str">
        <x:v>SW-C-02마4731-1-20250317-19</x:v>
      </x:c>
      <x:c r="D325" s="24" t="str">
        <x:v>02마4731</x:v>
      </x:c>
      <x:c r="E325" s="24" t="str">
        <x:v>하정만</x:v>
      </x:c>
      <x:c r="F325" s="24" t="str">
        <x:v>2025-05</x:v>
      </x:c>
      <x:c r="G325" s="30" t="n">
        <x:v>45792</x:v>
      </x:c>
      <x:c r="H325" s="32" t="n">
        <x:v>330000</x:v>
      </x:c>
      <x:c r="I325" s="32" t="n">
        <x:v>330000</x:v>
      </x:c>
      <x:c r="J325" s="32" t="n">
        <x:v>0</x:v>
      </x:c>
      <x:c r="K325" s="30" t="n">
        <x:v>45793</x:v>
      </x:c>
      <x:c r="L325" s="24" t="str">
        <x:v>입금</x:v>
      </x:c>
      <x:c r="M325" s="31" t="n">
        <x:f>IF(AND(N325="미수",G325&lt;&gt;"",TODAY()&gt;G325),TODAY()-G325,0)</x:f>
        <x:v>0</x:v>
      </x:c>
      <x:c r="N325" s="24" t="str">
        <x:f>IF(J325&gt;0,"미수",IF(AND(H325&gt;0,I325&gt;=H325),"완납","미확인"))</x:f>
        <x:v>완납</x:v>
      </x:c>
      <x:c r="O325" s="31" t="n">
        <x:v>19</x:v>
      </x:c>
    </x:row>
    <x:row r="326" ht="17.25" customHeight="1">
      <x:c r="A326" s="24" t="str">
        <x:v>SW-B-02마4731-202504</x:v>
      </x:c>
      <x:c r="B326" s="24" t="str">
        <x:v>스위치플랜</x:v>
      </x:c>
      <x:c r="C326" s="24" t="str">
        <x:v>SW-C-02마4731-1-20250317-19</x:v>
      </x:c>
      <x:c r="D326" s="24" t="str">
        <x:v>02마4731</x:v>
      </x:c>
      <x:c r="E326" s="24" t="str">
        <x:v>하정만</x:v>
      </x:c>
      <x:c r="F326" s="24" t="str">
        <x:v>2025-04</x:v>
      </x:c>
      <x:c r="G326" s="30" t="n">
        <x:v>45762</x:v>
      </x:c>
      <x:c r="H326" s="32" t="n">
        <x:v>330000</x:v>
      </x:c>
      <x:c r="I326" s="32" t="n">
        <x:v>330000</x:v>
      </x:c>
      <x:c r="J326" s="32" t="n">
        <x:v>0</x:v>
      </x:c>
      <x:c r="K326" s="30" t="n">
        <x:v>45765</x:v>
      </x:c>
      <x:c r="L326" s="24" t="str">
        <x:v>입금</x:v>
      </x:c>
      <x:c r="M326" s="31" t="n">
        <x:f>IF(AND(N326="미수",G326&lt;&gt;"",TODAY()&gt;G326),TODAY()-G326,0)</x:f>
        <x:v>0</x:v>
      </x:c>
      <x:c r="N326" s="24" t="str">
        <x:f>IF(J326&gt;0,"미수",IF(AND(H326&gt;0,I326&gt;=H326),"완납","미확인"))</x:f>
        <x:v>완납</x:v>
      </x:c>
      <x:c r="O326" s="31" t="n">
        <x:v>19</x:v>
      </x:c>
    </x:row>
    <x:row r="327" ht="17.25" customHeight="1">
      <x:c r="A327" s="24" t="str">
        <x:v>SW-B-02마4731-202503</x:v>
      </x:c>
      <x:c r="B327" s="24" t="str">
        <x:v>스위치플랜</x:v>
      </x:c>
      <x:c r="C327" s="24" t="str">
        <x:v>SW-C-02마4731-1-20250317-19</x:v>
      </x:c>
      <x:c r="D327" s="24" t="str">
        <x:v>02마4731</x:v>
      </x:c>
      <x:c r="E327" s="24" t="str">
        <x:v>하정만</x:v>
      </x:c>
      <x:c r="F327" s="24" t="str">
        <x:v>2025-03</x:v>
      </x:c>
      <x:c r="G327" s="30" t="n">
        <x:v>45731</x:v>
      </x:c>
      <x:c r="H327" s="32" t="n">
        <x:v>330000</x:v>
      </x:c>
      <x:c r="I327" s="32" t="n">
        <x:v>330000</x:v>
      </x:c>
      <x:c r="J327" s="32" t="n">
        <x:v>0</x:v>
      </x:c>
      <x:c r="K327" s="30" t="n">
        <x:v>45733</x:v>
      </x:c>
      <x:c r="L327" s="24" t="str">
        <x:v>입금</x:v>
      </x:c>
      <x:c r="M327" s="31" t="n">
        <x:f>IF(AND(N327="미수",G327&lt;&gt;"",TODAY()&gt;G327),TODAY()-G327,0)</x:f>
        <x:v>0</x:v>
      </x:c>
      <x:c r="N327" s="24" t="str">
        <x:f>IF(J327&gt;0,"미수",IF(AND(H327&gt;0,I327&gt;=H327),"완납","미확인"))</x:f>
        <x:v>완납</x:v>
      </x:c>
      <x:c r="O327" s="31" t="n">
        <x:v>19</x:v>
      </x:c>
    </x:row>
    <x:row r="328" ht="17.25" customHeight="1">
      <x:c r="A328" s="24" t="str">
        <x:v>SW-B-306조9919-202608</x:v>
      </x:c>
      <x:c r="B328" s="24" t="str">
        <x:v>스위치플랜</x:v>
      </x:c>
      <x:c r="C328" s="24" t="str">
        <x:v>SW-C-306조9919-1-20260204-20</x:v>
      </x:c>
      <x:c r="D328" s="24" t="str">
        <x:v>306조9919</x:v>
      </x:c>
      <x:c r="E328" s="24" t="str">
        <x:v>김기영</x:v>
      </x:c>
      <x:c r="F328" s="24" t="str">
        <x:v>2026-08</x:v>
      </x:c>
      <x:c r="G328" s="30" t="n">
        <x:v>46239</x:v>
      </x:c>
      <x:c r="H328" s="32" t="n">
        <x:v>1070000</x:v>
      </x:c>
      <x:c r="I328" s="32"/>
      <x:c r="J328" s="32" t="n">
        <x:v>1070000</x:v>
      </x:c>
      <x:c r="K328" s="30"/>
      <x:c r="L328" s="24" t="str"/>
      <x:c r="M328" s="31" t="n">
        <x:f>IF(AND(N328="미수",G328&lt;&gt;"",TODAY()&gt;G328),TODAY()-G328,0)</x:f>
        <x:v>10</x:v>
      </x:c>
      <x:c r="N328" s="24" t="str">
        <x:f>IF(J328&gt;0,"미수",IF(AND(H328&gt;0,I328&gt;=H328),"완납","미확인"))</x:f>
        <x:v>미수</x:v>
      </x:c>
      <x:c r="O328" s="31" t="n">
        <x:v>20</x:v>
      </x:c>
    </x:row>
    <x:row r="329" ht="17.25" customHeight="1">
      <x:c r="A329" s="24" t="str">
        <x:v>SW-B-306조9919-202607</x:v>
      </x:c>
      <x:c r="B329" s="24" t="str">
        <x:v>스위치플랜</x:v>
      </x:c>
      <x:c r="C329" s="24" t="str">
        <x:v>SW-C-306조9919-1-20260204-20</x:v>
      </x:c>
      <x:c r="D329" s="24" t="str">
        <x:v>306조9919</x:v>
      </x:c>
      <x:c r="E329" s="24" t="str">
        <x:v>김기영</x:v>
      </x:c>
      <x:c r="F329" s="24" t="str">
        <x:v>2026-07</x:v>
      </x:c>
      <x:c r="G329" s="30" t="n">
        <x:v>46208</x:v>
      </x:c>
      <x:c r="H329" s="32" t="n">
        <x:v>1070000</x:v>
      </x:c>
      <x:c r="I329" s="32" t="n">
        <x:v>1070000</x:v>
      </x:c>
      <x:c r="J329" s="32" t="n">
        <x:v>0</x:v>
      </x:c>
      <x:c r="K329" s="30" t="n">
        <x:v>46219</x:v>
      </x:c>
      <x:c r="L329" s="24" t="str">
        <x:v>입금</x:v>
      </x:c>
      <x:c r="M329" s="31" t="n">
        <x:f>IF(AND(N329="미수",G329&lt;&gt;"",TODAY()&gt;G329),TODAY()-G329,0)</x:f>
        <x:v>0</x:v>
      </x:c>
      <x:c r="N329" s="24" t="str">
        <x:f>IF(J329&gt;0,"미수",IF(AND(H329&gt;0,I329&gt;=H329),"완납","미확인"))</x:f>
        <x:v>완납</x:v>
      </x:c>
      <x:c r="O329" s="31" t="n">
        <x:v>20</x:v>
      </x:c>
    </x:row>
    <x:row r="330" ht="17.25" customHeight="1">
      <x:c r="A330" s="24" t="str">
        <x:v>SW-B-306조9919-202606</x:v>
      </x:c>
      <x:c r="B330" s="24" t="str">
        <x:v>스위치플랜</x:v>
      </x:c>
      <x:c r="C330" s="24" t="str">
        <x:v>SW-C-306조9919-1-20260204-20</x:v>
      </x:c>
      <x:c r="D330" s="24" t="str">
        <x:v>306조9919</x:v>
      </x:c>
      <x:c r="E330" s="24" t="str">
        <x:v>김기영</x:v>
      </x:c>
      <x:c r="F330" s="24" t="str">
        <x:v>2026-06</x:v>
      </x:c>
      <x:c r="G330" s="30" t="n">
        <x:v>46178</x:v>
      </x:c>
      <x:c r="H330" s="32" t="n">
        <x:v>1070000</x:v>
      </x:c>
      <x:c r="I330" s="32"/>
      <x:c r="J330" s="32" t="n">
        <x:v>0</x:v>
      </x:c>
      <x:c r="K330" s="30"/>
      <x:c r="L330" s="24" t="str"/>
      <x:c r="M330" s="31" t="n">
        <x:f>IF(AND(N330="미수",G330&lt;&gt;"",TODAY()&gt;G330),TODAY()-G330,0)</x:f>
        <x:v>0</x:v>
      </x:c>
      <x:c r="N330" s="24" t="str">
        <x:f>IF(J330&gt;0,"미수",IF(AND(H330&gt;0,I330&gt;=H330),"완납","미확인"))</x:f>
        <x:v>미확인</x:v>
      </x:c>
      <x:c r="O330" s="31" t="n">
        <x:v>20</x:v>
      </x:c>
    </x:row>
    <x:row r="331" ht="17.25" customHeight="1">
      <x:c r="A331" s="24" t="str">
        <x:v>SW-B-306조9919-202605</x:v>
      </x:c>
      <x:c r="B331" s="24" t="str">
        <x:v>스위치플랜</x:v>
      </x:c>
      <x:c r="C331" s="24" t="str">
        <x:v>SW-C-306조9919-1-20260204-20</x:v>
      </x:c>
      <x:c r="D331" s="24" t="str">
        <x:v>306조9919</x:v>
      </x:c>
      <x:c r="E331" s="24" t="str">
        <x:v>김기영</x:v>
      </x:c>
      <x:c r="F331" s="24" t="str">
        <x:v>2026-05</x:v>
      </x:c>
      <x:c r="G331" s="30" t="n">
        <x:v>46147</x:v>
      </x:c>
      <x:c r="H331" s="32" t="n">
        <x:v>1070000</x:v>
      </x:c>
      <x:c r="I331" s="32" t="n">
        <x:v>2140000</x:v>
      </x:c>
      <x:c r="J331" s="32" t="n">
        <x:v>-1070000</x:v>
      </x:c>
      <x:c r="K331" s="30" t="n">
        <x:v>46151</x:v>
      </x:c>
      <x:c r="L331" s="24" t="str">
        <x:v>입금</x:v>
      </x:c>
      <x:c r="M331" s="31" t="n">
        <x:f>IF(AND(N331="미수",G331&lt;&gt;"",TODAY()&gt;G331),TODAY()-G331,0)</x:f>
        <x:v>0</x:v>
      </x:c>
      <x:c r="N331" s="24" t="str">
        <x:f>IF(J331&gt;0,"미수",IF(AND(H331&gt;0,I331&gt;=H331),"완납","미확인"))</x:f>
        <x:v>완납</x:v>
      </x:c>
      <x:c r="O331" s="31" t="n">
        <x:v>20</x:v>
      </x:c>
    </x:row>
    <x:row r="332" ht="17.25" customHeight="1">
      <x:c r="A332" s="24" t="str">
        <x:v>SW-B-306조9919-202604</x:v>
      </x:c>
      <x:c r="B332" s="24" t="str">
        <x:v>스위치플랜</x:v>
      </x:c>
      <x:c r="C332" s="24" t="str">
        <x:v>SW-C-306조9919-1-20260204-20</x:v>
      </x:c>
      <x:c r="D332" s="24" t="str">
        <x:v>306조9919</x:v>
      </x:c>
      <x:c r="E332" s="24" t="str">
        <x:v>김기영</x:v>
      </x:c>
      <x:c r="F332" s="24" t="str">
        <x:v>2026-04</x:v>
      </x:c>
      <x:c r="G332" s="30" t="n">
        <x:v>46117</x:v>
      </x:c>
      <x:c r="H332" s="32" t="n">
        <x:v>1070000</x:v>
      </x:c>
      <x:c r="I332" s="32" t="n">
        <x:v>1070000</x:v>
      </x:c>
      <x:c r="J332" s="32" t="n">
        <x:v>0</x:v>
      </x:c>
      <x:c r="K332" s="30" t="n">
        <x:v>46118</x:v>
      </x:c>
      <x:c r="L332" s="24" t="str">
        <x:v>입금</x:v>
      </x:c>
      <x:c r="M332" s="31" t="n">
        <x:f>IF(AND(N332="미수",G332&lt;&gt;"",TODAY()&gt;G332),TODAY()-G332,0)</x:f>
        <x:v>0</x:v>
      </x:c>
      <x:c r="N332" s="24" t="str">
        <x:f>IF(J332&gt;0,"미수",IF(AND(H332&gt;0,I332&gt;=H332),"완납","미확인"))</x:f>
        <x:v>완납</x:v>
      </x:c>
      <x:c r="O332" s="31" t="n">
        <x:v>20</x:v>
      </x:c>
    </x:row>
    <x:row r="333" ht="17.25" customHeight="1">
      <x:c r="A333" s="24" t="str">
        <x:v>SW-B-306조9919-202603</x:v>
      </x:c>
      <x:c r="B333" s="24" t="str">
        <x:v>스위치플랜</x:v>
      </x:c>
      <x:c r="C333" s="24" t="str">
        <x:v>SW-C-306조9919-1-20260204-20</x:v>
      </x:c>
      <x:c r="D333" s="24" t="str">
        <x:v>306조9919</x:v>
      </x:c>
      <x:c r="E333" s="24" t="str">
        <x:v>김기영</x:v>
      </x:c>
      <x:c r="F333" s="24" t="str">
        <x:v>2026-03</x:v>
      </x:c>
      <x:c r="G333" s="30" t="n">
        <x:v>46086</x:v>
      </x:c>
      <x:c r="H333" s="32" t="n">
        <x:v>1070000</x:v>
      </x:c>
      <x:c r="I333" s="32" t="n">
        <x:v>1070000</x:v>
      </x:c>
      <x:c r="J333" s="32" t="n">
        <x:v>0</x:v>
      </x:c>
      <x:c r="K333" s="30" t="n">
        <x:v>46086</x:v>
      </x:c>
      <x:c r="L333" s="24" t="str">
        <x:v>입금</x:v>
      </x:c>
      <x:c r="M333" s="31" t="n">
        <x:f>IF(AND(N333="미수",G333&lt;&gt;"",TODAY()&gt;G333),TODAY()-G333,0)</x:f>
        <x:v>0</x:v>
      </x:c>
      <x:c r="N333" s="24" t="str">
        <x:f>IF(J333&gt;0,"미수",IF(AND(H333&gt;0,I333&gt;=H333),"완납","미확인"))</x:f>
        <x:v>완납</x:v>
      </x:c>
      <x:c r="O333" s="31" t="n">
        <x:v>20</x:v>
      </x:c>
    </x:row>
    <x:row r="334" ht="17.25" customHeight="1">
      <x:c r="A334" s="24" t="str">
        <x:v>SW-B-306조9919-202602</x:v>
      </x:c>
      <x:c r="B334" s="24" t="str">
        <x:v>스위치플랜</x:v>
      </x:c>
      <x:c r="C334" s="24" t="str">
        <x:v>SW-C-306조9919-1-20260204-20</x:v>
      </x:c>
      <x:c r="D334" s="24" t="str">
        <x:v>306조9919</x:v>
      </x:c>
      <x:c r="E334" s="24" t="str">
        <x:v>김기영</x:v>
      </x:c>
      <x:c r="F334" s="24" t="str">
        <x:v>2026-02</x:v>
      </x:c>
      <x:c r="G334" s="30" t="n">
        <x:v>46058</x:v>
      </x:c>
      <x:c r="H334" s="32" t="n">
        <x:v>1070000</x:v>
      </x:c>
      <x:c r="I334" s="32" t="n">
        <x:v>770000</x:v>
      </x:c>
      <x:c r="J334" s="32" t="n">
        <x:v>0</x:v>
      </x:c>
      <x:c r="K334" s="30" t="n">
        <x:v>46057</x:v>
      </x:c>
      <x:c r="L334" s="24" t="str">
        <x:v>입금</x:v>
      </x:c>
      <x:c r="M334" s="31" t="n">
        <x:f>IF(AND(N334="미수",G334&lt;&gt;"",TODAY()&gt;G334),TODAY()-G334,0)</x:f>
        <x:v>0</x:v>
      </x:c>
      <x:c r="N334" s="24" t="str">
        <x:f>IF(J334&gt;0,"미수",IF(AND(H334&gt;0,I334&gt;=H334),"완납","미확인"))</x:f>
        <x:v>미확인</x:v>
      </x:c>
      <x:c r="O334" s="31" t="n">
        <x:v>20</x:v>
      </x:c>
    </x:row>
    <x:row r="335" ht="17.25" customHeight="1">
      <x:c r="A335" s="24" t="str">
        <x:v>SW-B-306조9919-202601</x:v>
      </x:c>
      <x:c r="B335" s="24" t="str">
        <x:v>스위치플랜</x:v>
      </x:c>
      <x:c r="C335" s="24" t="str">
        <x:v>SW-C-306조9919-2-20250828-20</x:v>
      </x:c>
      <x:c r="D335" s="24" t="str">
        <x:v>306조9919</x:v>
      </x:c>
      <x:c r="E335" s="24" t="str">
        <x:v>김기영</x:v>
      </x:c>
      <x:c r="F335" s="24" t="str">
        <x:v>2026-01</x:v>
      </x:c>
      <x:c r="G335" s="30" t="n">
        <x:v>46027</x:v>
      </x:c>
      <x:c r="H335" s="32"/>
      <x:c r="I335" s="32" t="n">
        <x:v>300000</x:v>
      </x:c>
      <x:c r="J335" s="32" t="n">
        <x:v>-300000</x:v>
      </x:c>
      <x:c r="K335" s="30" t="n">
        <x:v>46050</x:v>
      </x:c>
      <x:c r="L335" s="24" t="str">
        <x:v>입금</x:v>
      </x:c>
      <x:c r="M335" s="31" t="n">
        <x:f>IF(AND(N335="미수",G335&lt;&gt;"",TODAY()&gt;G335),TODAY()-G335,0)</x:f>
        <x:v>0</x:v>
      </x:c>
      <x:c r="N335" s="24" t="str">
        <x:f>IF(J335&gt;0,"미수",IF(AND(H335&gt;0,I335&gt;=H335),"완납","미확인"))</x:f>
        <x:v>미확인</x:v>
      </x:c>
      <x:c r="O335" s="31" t="n">
        <x:v>20</x:v>
      </x:c>
    </x:row>
    <x:row r="336" ht="17.25" customHeight="1">
      <x:c r="A336" s="24" t="str">
        <x:v>SW-B-306조9919-202509</x:v>
      </x:c>
      <x:c r="B336" s="24" t="str">
        <x:v>스위치플랜</x:v>
      </x:c>
      <x:c r="C336" s="24" t="str">
        <x:v>SW-C-306조9919-2-20250828-20</x:v>
      </x:c>
      <x:c r="D336" s="24" t="str">
        <x:v>306조9919</x:v>
      </x:c>
      <x:c r="E336" s="24" t="str">
        <x:v>김기영</x:v>
      </x:c>
      <x:c r="F336" s="24" t="str">
        <x:v>2025-09</x:v>
      </x:c>
      <x:c r="G336" s="30" t="n">
        <x:v>45905</x:v>
      </x:c>
      <x:c r="H336" s="32" t="n">
        <x:v>1150000</x:v>
      </x:c>
      <x:c r="I336" s="32" t="n">
        <x:v>1150000</x:v>
      </x:c>
      <x:c r="J336" s="32" t="n">
        <x:v>0</x:v>
      </x:c>
      <x:c r="K336" s="30" t="n">
        <x:v>45908</x:v>
      </x:c>
      <x:c r="L336" s="24" t="str">
        <x:v>입금</x:v>
      </x:c>
      <x:c r="M336" s="31" t="n">
        <x:f>IF(AND(N336="미수",G336&lt;&gt;"",TODAY()&gt;G336),TODAY()-G336,0)</x:f>
        <x:v>0</x:v>
      </x:c>
      <x:c r="N336" s="24" t="str">
        <x:f>IF(J336&gt;0,"미수",IF(AND(H336&gt;0,I336&gt;=H336),"완납","미확인"))</x:f>
        <x:v>완납</x:v>
      </x:c>
      <x:c r="O336" s="31" t="n">
        <x:v>20</x:v>
      </x:c>
    </x:row>
    <x:row r="337" ht="17.25" customHeight="1">
      <x:c r="A337" s="24" t="str">
        <x:v>SW-B-306조9919-202508</x:v>
      </x:c>
      <x:c r="B337" s="24" t="str">
        <x:v>스위치플랜</x:v>
      </x:c>
      <x:c r="C337" s="24" t="str">
        <x:v>SW-C-306조9919-2-20250828-20</x:v>
      </x:c>
      <x:c r="D337" s="24" t="str">
        <x:v>306조9919</x:v>
      </x:c>
      <x:c r="E337" s="24" t="str">
        <x:v>김기영</x:v>
      </x:c>
      <x:c r="F337" s="24" t="str">
        <x:v>2025-08</x:v>
      </x:c>
      <x:c r="G337" s="30" t="n">
        <x:v>45874</x:v>
      </x:c>
      <x:c r="H337" s="32" t="n">
        <x:v>1150000</x:v>
      </x:c>
      <x:c r="I337" s="32" t="n">
        <x:v>1150000</x:v>
      </x:c>
      <x:c r="J337" s="32" t="n">
        <x:v>0</x:v>
      </x:c>
      <x:c r="K337" s="30" t="n">
        <x:v>45877</x:v>
      </x:c>
      <x:c r="L337" s="24" t="str">
        <x:v>입금</x:v>
      </x:c>
      <x:c r="M337" s="31" t="n">
        <x:f>IF(AND(N337="미수",G337&lt;&gt;"",TODAY()&gt;G337),TODAY()-G337,0)</x:f>
        <x:v>0</x:v>
      </x:c>
      <x:c r="N337" s="24" t="str">
        <x:f>IF(J337&gt;0,"미수",IF(AND(H337&gt;0,I337&gt;=H337),"완납","미확인"))</x:f>
        <x:v>완납</x:v>
      </x:c>
      <x:c r="O337" s="31" t="n">
        <x:v>20</x:v>
      </x:c>
    </x:row>
    <x:row r="338" ht="17.25" customHeight="1">
      <x:c r="A338" s="24" t="str">
        <x:v>SW-B-306조9919-202507</x:v>
      </x:c>
      <x:c r="B338" s="24" t="str">
        <x:v>스위치플랜</x:v>
      </x:c>
      <x:c r="C338" s="24" t="str">
        <x:v>SW-C-306조9919-3-20250602-20</x:v>
      </x:c>
      <x:c r="D338" s="24" t="str">
        <x:v>306조9919</x:v>
      </x:c>
      <x:c r="E338" s="24" t="str">
        <x:v>김기영</x:v>
      </x:c>
      <x:c r="F338" s="24" t="str">
        <x:v>2025-07</x:v>
      </x:c>
      <x:c r="G338" s="30" t="n">
        <x:v>45843</x:v>
      </x:c>
      <x:c r="H338" s="32" t="n">
        <x:v>1030000</x:v>
      </x:c>
      <x:c r="I338" s="32" t="n">
        <x:v>1030000</x:v>
      </x:c>
      <x:c r="J338" s="32" t="n">
        <x:v>0</x:v>
      </x:c>
      <x:c r="K338" s="30" t="n">
        <x:v>45848</x:v>
      </x:c>
      <x:c r="L338" s="24" t="str">
        <x:v>입금</x:v>
      </x:c>
      <x:c r="M338" s="31" t="n">
        <x:f>IF(AND(N338="미수",G338&lt;&gt;"",TODAY()&gt;G338),TODAY()-G338,0)</x:f>
        <x:v>0</x:v>
      </x:c>
      <x:c r="N338" s="24" t="str">
        <x:f>IF(J338&gt;0,"미수",IF(AND(H338&gt;0,I338&gt;=H338),"완납","미확인"))</x:f>
        <x:v>완납</x:v>
      </x:c>
      <x:c r="O338" s="31" t="n">
        <x:v>20</x:v>
      </x:c>
    </x:row>
    <x:row r="339" ht="17.25" customHeight="1">
      <x:c r="A339" s="24" t="str">
        <x:v>SW-B-306조9919-202506</x:v>
      </x:c>
      <x:c r="B339" s="24" t="str">
        <x:v>스위치플랜</x:v>
      </x:c>
      <x:c r="C339" s="24" t="str">
        <x:v>SW-C-306조9919-3-20250602-20</x:v>
      </x:c>
      <x:c r="D339" s="24" t="str">
        <x:v>306조9919</x:v>
      </x:c>
      <x:c r="E339" s="24" t="str">
        <x:v>김기영</x:v>
      </x:c>
      <x:c r="F339" s="24" t="str">
        <x:v>2025-06</x:v>
      </x:c>
      <x:c r="G339" s="30" t="n">
        <x:v>45813</x:v>
      </x:c>
      <x:c r="H339" s="32" t="n">
        <x:v>1150000</x:v>
      </x:c>
      <x:c r="I339" s="32" t="n">
        <x:v>1150000</x:v>
      </x:c>
      <x:c r="J339" s="32" t="n">
        <x:v>0</x:v>
      </x:c>
      <x:c r="K339" s="30" t="n">
        <x:v>45800</x:v>
      </x:c>
      <x:c r="L339" s="24" t="str">
        <x:v>입금</x:v>
      </x:c>
      <x:c r="M339" s="31" t="n">
        <x:f>IF(AND(N339="미수",G339&lt;&gt;"",TODAY()&gt;G339),TODAY()-G339,0)</x:f>
        <x:v>0</x:v>
      </x:c>
      <x:c r="N339" s="24" t="str">
        <x:f>IF(J339&gt;0,"미수",IF(AND(H339&gt;0,I339&gt;=H339),"완납","미확인"))</x:f>
        <x:v>완납</x:v>
      </x:c>
      <x:c r="O339" s="31" t="n">
        <x:v>20</x:v>
      </x:c>
    </x:row>
    <x:row r="340" ht="17.25" customHeight="1">
      <x:c r="A340" s="24" t="str">
        <x:v>SW-B-109로1819-202608</x:v>
      </x:c>
      <x:c r="B340" s="24" t="str">
        <x:v>스위치플랜</x:v>
      </x:c>
      <x:c r="C340" s="24" t="str">
        <x:v>SW-C-109로1819-1-20250716-21</x:v>
      </x:c>
      <x:c r="D340" s="24" t="str">
        <x:v>109로1819</x:v>
      </x:c>
      <x:c r="E340" s="24" t="str">
        <x:v>박주신</x:v>
      </x:c>
      <x:c r="F340" s="24" t="str">
        <x:v>2026-08</x:v>
      </x:c>
      <x:c r="G340" s="30" t="n">
        <x:v>46249</x:v>
      </x:c>
      <x:c r="H340" s="32" t="n">
        <x:v>1800000</x:v>
      </x:c>
      <x:c r="I340" s="32" t="n">
        <x:v>1800000</x:v>
      </x:c>
      <x:c r="J340" s="32" t="n">
        <x:v>1800000</x:v>
      </x:c>
      <x:c r="K340" s="30" t="n">
        <x:v>46237</x:v>
      </x:c>
      <x:c r="L340" s="24" t="str">
        <x:v>입금</x:v>
      </x:c>
      <x:c r="M340" s="31" t="n">
        <x:f>IF(AND(N340="미수",G340&lt;&gt;"",TODAY()&gt;G340),TODAY()-G340,0)</x:f>
        <x:v>0</x:v>
      </x:c>
      <x:c r="N340" s="24" t="str">
        <x:f>IF(J340&gt;0,"미수",IF(AND(H340&gt;0,I340&gt;=H340),"완납","미확인"))</x:f>
        <x:v>미수</x:v>
      </x:c>
      <x:c r="O340" s="31" t="n">
        <x:v>21</x:v>
      </x:c>
    </x:row>
    <x:row r="341" ht="17.25" customHeight="1">
      <x:c r="A341" s="24" t="str">
        <x:v>SW-B-109로1819-202607</x:v>
      </x:c>
      <x:c r="B341" s="24" t="str">
        <x:v>스위치플랜</x:v>
      </x:c>
      <x:c r="C341" s="24" t="str">
        <x:v>SW-C-109로1819-1-20250716-21</x:v>
      </x:c>
      <x:c r="D341" s="24" t="str">
        <x:v>109로1819</x:v>
      </x:c>
      <x:c r="E341" s="24" t="str">
        <x:v>박주신</x:v>
      </x:c>
      <x:c r="F341" s="24" t="str">
        <x:v>2026-07</x:v>
      </x:c>
      <x:c r="G341" s="30" t="n">
        <x:v>46218</x:v>
      </x:c>
      <x:c r="H341" s="32" t="n">
        <x:v>1800000</x:v>
      </x:c>
      <x:c r="I341" s="32"/>
      <x:c r="J341" s="32" t="n">
        <x:v>1800000</x:v>
      </x:c>
      <x:c r="K341" s="30"/>
      <x:c r="L341" s="24" t="str"/>
      <x:c r="M341" s="31" t="n">
        <x:f>IF(AND(N341="미수",G341&lt;&gt;"",TODAY()&gt;G341),TODAY()-G341,0)</x:f>
        <x:v>31</x:v>
      </x:c>
      <x:c r="N341" s="24" t="str">
        <x:f>IF(J341&gt;0,"미수",IF(AND(H341&gt;0,I341&gt;=H341),"완납","미확인"))</x:f>
        <x:v>미수</x:v>
      </x:c>
      <x:c r="O341" s="31" t="n">
        <x:v>21</x:v>
      </x:c>
    </x:row>
    <x:row r="342" ht="17.25" customHeight="1">
      <x:c r="A342" s="24" t="str">
        <x:v>SW-B-109로1819-202606</x:v>
      </x:c>
      <x:c r="B342" s="24" t="str">
        <x:v>스위치플랜</x:v>
      </x:c>
      <x:c r="C342" s="24" t="str">
        <x:v>SW-C-109로1819-1-20250716-21</x:v>
      </x:c>
      <x:c r="D342" s="24" t="str">
        <x:v>109로1819</x:v>
      </x:c>
      <x:c r="E342" s="24" t="str">
        <x:v>박주신</x:v>
      </x:c>
      <x:c r="F342" s="24" t="str">
        <x:v>2026-06</x:v>
      </x:c>
      <x:c r="G342" s="30" t="n">
        <x:v>46188</x:v>
      </x:c>
      <x:c r="H342" s="32" t="n">
        <x:v>1800000</x:v>
      </x:c>
      <x:c r="I342" s="32" t="n">
        <x:v>1800000</x:v>
      </x:c>
      <x:c r="J342" s="32" t="n">
        <x:v>0</x:v>
      </x:c>
      <x:c r="K342" s="30" t="n">
        <x:v>46203</x:v>
      </x:c>
      <x:c r="L342" s="24" t="str">
        <x:v>입금</x:v>
      </x:c>
      <x:c r="M342" s="31" t="n">
        <x:f>IF(AND(N342="미수",G342&lt;&gt;"",TODAY()&gt;G342),TODAY()-G342,0)</x:f>
        <x:v>0</x:v>
      </x:c>
      <x:c r="N342" s="24" t="str">
        <x:f>IF(J342&gt;0,"미수",IF(AND(H342&gt;0,I342&gt;=H342),"완납","미확인"))</x:f>
        <x:v>완납</x:v>
      </x:c>
      <x:c r="O342" s="31" t="n">
        <x:v>21</x:v>
      </x:c>
    </x:row>
    <x:row r="343" ht="17.25" customHeight="1">
      <x:c r="A343" s="24" t="str">
        <x:v>SW-B-109로1819-202605</x:v>
      </x:c>
      <x:c r="B343" s="24" t="str">
        <x:v>스위치플랜</x:v>
      </x:c>
      <x:c r="C343" s="24" t="str">
        <x:v>SW-C-109로1819-1-20250716-21</x:v>
      </x:c>
      <x:c r="D343" s="24" t="str">
        <x:v>109로1819</x:v>
      </x:c>
      <x:c r="E343" s="24" t="str">
        <x:v>박주신</x:v>
      </x:c>
      <x:c r="F343" s="24" t="str">
        <x:v>2026-05</x:v>
      </x:c>
      <x:c r="G343" s="30" t="n">
        <x:v>46157</x:v>
      </x:c>
      <x:c r="H343" s="32" t="n">
        <x:v>1800000</x:v>
      </x:c>
      <x:c r="I343" s="32" t="n">
        <x:v>1800000</x:v>
      </x:c>
      <x:c r="J343" s="32" t="n">
        <x:v>0</x:v>
      </x:c>
      <x:c r="K343" s="30" t="n">
        <x:v>46169</x:v>
      </x:c>
      <x:c r="L343" s="24" t="str">
        <x:v>입금</x:v>
      </x:c>
      <x:c r="M343" s="31" t="n">
        <x:f>IF(AND(N343="미수",G343&lt;&gt;"",TODAY()&gt;G343),TODAY()-G343,0)</x:f>
        <x:v>0</x:v>
      </x:c>
      <x:c r="N343" s="24" t="str">
        <x:f>IF(J343&gt;0,"미수",IF(AND(H343&gt;0,I343&gt;=H343),"완납","미확인"))</x:f>
        <x:v>완납</x:v>
      </x:c>
      <x:c r="O343" s="31" t="n">
        <x:v>21</x:v>
      </x:c>
    </x:row>
    <x:row r="344" ht="17.25" customHeight="1">
      <x:c r="A344" s="24" t="str">
        <x:v>SW-B-109로1819-202604</x:v>
      </x:c>
      <x:c r="B344" s="24" t="str">
        <x:v>스위치플랜</x:v>
      </x:c>
      <x:c r="C344" s="24" t="str">
        <x:v>SW-C-109로1819-1-20250716-21</x:v>
      </x:c>
      <x:c r="D344" s="24" t="str">
        <x:v>109로1819</x:v>
      </x:c>
      <x:c r="E344" s="24" t="str">
        <x:v>박주신</x:v>
      </x:c>
      <x:c r="F344" s="24" t="str">
        <x:v>2026-04</x:v>
      </x:c>
      <x:c r="G344" s="30" t="n">
        <x:v>46127</x:v>
      </x:c>
      <x:c r="H344" s="32" t="n">
        <x:v>1800000</x:v>
      </x:c>
      <x:c r="I344" s="32" t="n">
        <x:v>1800000</x:v>
      </x:c>
      <x:c r="J344" s="32" t="n">
        <x:v>0</x:v>
      </x:c>
      <x:c r="K344" s="30" t="n">
        <x:v>46135</x:v>
      </x:c>
      <x:c r="L344" s="24" t="str">
        <x:v>입금</x:v>
      </x:c>
      <x:c r="M344" s="31" t="n">
        <x:f>IF(AND(N344="미수",G344&lt;&gt;"",TODAY()&gt;G344),TODAY()-G344,0)</x:f>
        <x:v>0</x:v>
      </x:c>
      <x:c r="N344" s="24" t="str">
        <x:f>IF(J344&gt;0,"미수",IF(AND(H344&gt;0,I344&gt;=H344),"완납","미확인"))</x:f>
        <x:v>완납</x:v>
      </x:c>
      <x:c r="O344" s="31" t="n">
        <x:v>21</x:v>
      </x:c>
    </x:row>
    <x:row r="345" ht="17.25" customHeight="1">
      <x:c r="A345" s="24" t="str">
        <x:v>SW-B-109로1819-202603</x:v>
      </x:c>
      <x:c r="B345" s="24" t="str">
        <x:v>스위치플랜</x:v>
      </x:c>
      <x:c r="C345" s="24" t="str">
        <x:v>SW-C-109로1819-1-20250716-21</x:v>
      </x:c>
      <x:c r="D345" s="24" t="str">
        <x:v>109로1819</x:v>
      </x:c>
      <x:c r="E345" s="24" t="str">
        <x:v>박주신</x:v>
      </x:c>
      <x:c r="F345" s="24" t="str">
        <x:v>2026-03</x:v>
      </x:c>
      <x:c r="G345" s="30" t="n">
        <x:v>46096</x:v>
      </x:c>
      <x:c r="H345" s="32" t="n">
        <x:v>1800000</x:v>
      </x:c>
      <x:c r="I345" s="32" t="n">
        <x:v>3400000</x:v>
      </x:c>
      <x:c r="J345" s="32" t="n">
        <x:v>0</x:v>
      </x:c>
      <x:c r="K345" s="30" t="n">
        <x:v>46098</x:v>
      </x:c>
      <x:c r="L345" s="24" t="str">
        <x:v>입금</x:v>
      </x:c>
      <x:c r="M345" s="31" t="n">
        <x:f>IF(AND(N345="미수",G345&lt;&gt;"",TODAY()&gt;G345),TODAY()-G345,0)</x:f>
        <x:v>0</x:v>
      </x:c>
      <x:c r="N345" s="24" t="str">
        <x:f>IF(J345&gt;0,"미수",IF(AND(H345&gt;0,I345&gt;=H345),"완납","미확인"))</x:f>
        <x:v>완납</x:v>
      </x:c>
      <x:c r="O345" s="31" t="n">
        <x:v>21</x:v>
      </x:c>
    </x:row>
    <x:row r="346" ht="17.25" customHeight="1">
      <x:c r="A346" s="24" t="str">
        <x:v>SW-B-109로1819-202602</x:v>
      </x:c>
      <x:c r="B346" s="24" t="str">
        <x:v>스위치플랜</x:v>
      </x:c>
      <x:c r="C346" s="24" t="str">
        <x:v>SW-C-109로1819-1-20250716-21</x:v>
      </x:c>
      <x:c r="D346" s="24" t="str">
        <x:v>109로1819</x:v>
      </x:c>
      <x:c r="E346" s="24" t="str">
        <x:v>박주신</x:v>
      </x:c>
      <x:c r="F346" s="24" t="str">
        <x:v>2026-02</x:v>
      </x:c>
      <x:c r="G346" s="30" t="n">
        <x:v>46068</x:v>
      </x:c>
      <x:c r="H346" s="32" t="n">
        <x:v>1800000</x:v>
      </x:c>
      <x:c r="I346" s="32" t="n">
        <x:v>2000000</x:v>
      </x:c>
      <x:c r="J346" s="32" t="n">
        <x:v>1600000</x:v>
      </x:c>
      <x:c r="K346" s="30" t="n">
        <x:v>46078</x:v>
      </x:c>
      <x:c r="L346" s="24" t="str">
        <x:v>입금</x:v>
      </x:c>
      <x:c r="M346" s="31" t="n">
        <x:f>IF(AND(N346="미수",G346&lt;&gt;"",TODAY()&gt;G346),TODAY()-G346,0)</x:f>
        <x:v>181</x:v>
      </x:c>
      <x:c r="N346" s="24" t="str">
        <x:f>IF(J346&gt;0,"미수",IF(AND(H346&gt;0,I346&gt;=H346),"완납","미확인"))</x:f>
        <x:v>미수</x:v>
      </x:c>
      <x:c r="O346" s="31" t="n">
        <x:v>21</x:v>
      </x:c>
    </x:row>
    <x:row r="347" ht="17.25" customHeight="1">
      <x:c r="A347" s="24" t="str">
        <x:v>SW-B-109로1819-202601</x:v>
      </x:c>
      <x:c r="B347" s="24" t="str">
        <x:v>스위치플랜</x:v>
      </x:c>
      <x:c r="C347" s="24" t="str">
        <x:v>SW-C-109로1819-1-20250716-21</x:v>
      </x:c>
      <x:c r="D347" s="24" t="str">
        <x:v>109로1819</x:v>
      </x:c>
      <x:c r="E347" s="24" t="str">
        <x:v>박주신</x:v>
      </x:c>
      <x:c r="F347" s="24" t="str">
        <x:v>2026-01</x:v>
      </x:c>
      <x:c r="G347" s="30" t="n">
        <x:v>46037</x:v>
      </x:c>
      <x:c r="H347" s="32" t="n">
        <x:v>1800000</x:v>
      </x:c>
      <x:c r="I347" s="32"/>
      <x:c r="J347" s="32" t="n">
        <x:v>1800000</x:v>
      </x:c>
      <x:c r="K347" s="30"/>
      <x:c r="L347" s="24" t="str"/>
      <x:c r="M347" s="31" t="n">
        <x:f>IF(AND(N347="미수",G347&lt;&gt;"",TODAY()&gt;G347),TODAY()-G347,0)</x:f>
        <x:v>212</x:v>
      </x:c>
      <x:c r="N347" s="24" t="str">
        <x:f>IF(J347&gt;0,"미수",IF(AND(H347&gt;0,I347&gt;=H347),"완납","미확인"))</x:f>
        <x:v>미수</x:v>
      </x:c>
      <x:c r="O347" s="31" t="n">
        <x:v>21</x:v>
      </x:c>
    </x:row>
    <x:row r="348" ht="17.25" customHeight="1">
      <x:c r="A348" s="24" t="str">
        <x:v>SW-B-109로1819-202512</x:v>
      </x:c>
      <x:c r="B348" s="24" t="str">
        <x:v>스위치플랜</x:v>
      </x:c>
      <x:c r="C348" s="24" t="str">
        <x:v>SW-C-109로1819-1-20250716-21</x:v>
      </x:c>
      <x:c r="D348" s="24" t="str">
        <x:v>109로1819</x:v>
      </x:c>
      <x:c r="E348" s="24" t="str">
        <x:v>박주신</x:v>
      </x:c>
      <x:c r="F348" s="24" t="str">
        <x:v>2025-12</x:v>
      </x:c>
      <x:c r="G348" s="30" t="n">
        <x:v>46006</x:v>
      </x:c>
      <x:c r="H348" s="32" t="n">
        <x:v>1800000</x:v>
      </x:c>
      <x:c r="I348" s="32" t="n">
        <x:v>1800000</x:v>
      </x:c>
      <x:c r="J348" s="32" t="n">
        <x:v>0</x:v>
      </x:c>
      <x:c r="K348" s="30" t="n">
        <x:v>46020</x:v>
      </x:c>
      <x:c r="L348" s="24" t="str">
        <x:v>입금</x:v>
      </x:c>
      <x:c r="M348" s="31" t="n">
        <x:f>IF(AND(N348="미수",G348&lt;&gt;"",TODAY()&gt;G348),TODAY()-G348,0)</x:f>
        <x:v>0</x:v>
      </x:c>
      <x:c r="N348" s="24" t="str">
        <x:f>IF(J348&gt;0,"미수",IF(AND(H348&gt;0,I348&gt;=H348),"완납","미확인"))</x:f>
        <x:v>완납</x:v>
      </x:c>
      <x:c r="O348" s="31" t="n">
        <x:v>21</x:v>
      </x:c>
    </x:row>
    <x:row r="349" ht="17.25" customHeight="1">
      <x:c r="A349" s="24" t="str">
        <x:v>SW-B-109로1819-202511</x:v>
      </x:c>
      <x:c r="B349" s="24" t="str">
        <x:v>스위치플랜</x:v>
      </x:c>
      <x:c r="C349" s="24" t="str">
        <x:v>SW-C-109로1819-1-20250716-21</x:v>
      </x:c>
      <x:c r="D349" s="24" t="str">
        <x:v>109로1819</x:v>
      </x:c>
      <x:c r="E349" s="24" t="str">
        <x:v>박주신</x:v>
      </x:c>
      <x:c r="F349" s="24" t="str">
        <x:v>2025-11</x:v>
      </x:c>
      <x:c r="G349" s="30" t="n">
        <x:v>45976</x:v>
      </x:c>
      <x:c r="H349" s="32" t="n">
        <x:v>1800000</x:v>
      </x:c>
      <x:c r="I349" s="32" t="n">
        <x:v>1800000</x:v>
      </x:c>
      <x:c r="J349" s="32" t="n">
        <x:v>0</x:v>
      </x:c>
      <x:c r="K349" s="30" t="n">
        <x:v>45983</x:v>
      </x:c>
      <x:c r="L349" s="24" t="str">
        <x:v>입금</x:v>
      </x:c>
      <x:c r="M349" s="31" t="n">
        <x:f>IF(AND(N349="미수",G349&lt;&gt;"",TODAY()&gt;G349),TODAY()-G349,0)</x:f>
        <x:v>0</x:v>
      </x:c>
      <x:c r="N349" s="24" t="str">
        <x:f>IF(J349&gt;0,"미수",IF(AND(H349&gt;0,I349&gt;=H349),"완납","미확인"))</x:f>
        <x:v>완납</x:v>
      </x:c>
      <x:c r="O349" s="31" t="n">
        <x:v>21</x:v>
      </x:c>
    </x:row>
    <x:row r="350" ht="17.25" customHeight="1">
      <x:c r="A350" s="24" t="str">
        <x:v>SW-B-109로1819-202510</x:v>
      </x:c>
      <x:c r="B350" s="24" t="str">
        <x:v>스위치플랜</x:v>
      </x:c>
      <x:c r="C350" s="24" t="str">
        <x:v>SW-C-109로1819-1-20250716-21</x:v>
      </x:c>
      <x:c r="D350" s="24" t="str">
        <x:v>109로1819</x:v>
      </x:c>
      <x:c r="E350" s="24" t="str">
        <x:v>박주신</x:v>
      </x:c>
      <x:c r="F350" s="24" t="str">
        <x:v>2025-10</x:v>
      </x:c>
      <x:c r="G350" s="30" t="n">
        <x:v>45945</x:v>
      </x:c>
      <x:c r="H350" s="32" t="n">
        <x:v>1800000</x:v>
      </x:c>
      <x:c r="I350" s="32" t="n">
        <x:v>1800000</x:v>
      </x:c>
      <x:c r="J350" s="32" t="n">
        <x:v>0</x:v>
      </x:c>
      <x:c r="K350" s="30" t="n">
        <x:v>45950</x:v>
      </x:c>
      <x:c r="L350" s="24" t="str">
        <x:v>입금</x:v>
      </x:c>
      <x:c r="M350" s="31" t="n">
        <x:f>IF(AND(N350="미수",G350&lt;&gt;"",TODAY()&gt;G350),TODAY()-G350,0)</x:f>
        <x:v>0</x:v>
      </x:c>
      <x:c r="N350" s="24" t="str">
        <x:f>IF(J350&gt;0,"미수",IF(AND(H350&gt;0,I350&gt;=H350),"완납","미확인"))</x:f>
        <x:v>완납</x:v>
      </x:c>
      <x:c r="O350" s="31" t="n">
        <x:v>21</x:v>
      </x:c>
    </x:row>
    <x:row r="351" ht="17.25" customHeight="1">
      <x:c r="A351" s="24" t="str">
        <x:v>SW-B-109로1819-202509</x:v>
      </x:c>
      <x:c r="B351" s="24" t="str">
        <x:v>스위치플랜</x:v>
      </x:c>
      <x:c r="C351" s="24" t="str">
        <x:v>SW-C-109로1819-1-20250716-21</x:v>
      </x:c>
      <x:c r="D351" s="24" t="str">
        <x:v>109로1819</x:v>
      </x:c>
      <x:c r="E351" s="24" t="str">
        <x:v>박주신</x:v>
      </x:c>
      <x:c r="F351" s="24" t="str">
        <x:v>2025-09</x:v>
      </x:c>
      <x:c r="G351" s="30" t="n">
        <x:v>45915</x:v>
      </x:c>
      <x:c r="H351" s="32" t="n">
        <x:v>1500000</x:v>
      </x:c>
      <x:c r="I351" s="32" t="n">
        <x:v>1500000</x:v>
      </x:c>
      <x:c r="J351" s="32" t="n">
        <x:v>0</x:v>
      </x:c>
      <x:c r="K351" s="30" t="n">
        <x:v>45919</x:v>
      </x:c>
      <x:c r="L351" s="24" t="str">
        <x:v>입금</x:v>
      </x:c>
      <x:c r="M351" s="31" t="n">
        <x:f>IF(AND(N351="미수",G351&lt;&gt;"",TODAY()&gt;G351),TODAY()-G351,0)</x:f>
        <x:v>0</x:v>
      </x:c>
      <x:c r="N351" s="24" t="str">
        <x:f>IF(J351&gt;0,"미수",IF(AND(H351&gt;0,I351&gt;=H351),"완납","미확인"))</x:f>
        <x:v>완납</x:v>
      </x:c>
      <x:c r="O351" s="31" t="n">
        <x:v>21</x:v>
      </x:c>
    </x:row>
    <x:row r="352" ht="17.25" customHeight="1">
      <x:c r="A352" s="24" t="str">
        <x:v>SW-B-109로1819-202508</x:v>
      </x:c>
      <x:c r="B352" s="24" t="str">
        <x:v>스위치플랜</x:v>
      </x:c>
      <x:c r="C352" s="24" t="str">
        <x:v>SW-C-109로1819-1-20250716-21</x:v>
      </x:c>
      <x:c r="D352" s="24" t="str">
        <x:v>109로1819</x:v>
      </x:c>
      <x:c r="E352" s="24" t="str">
        <x:v>박주신</x:v>
      </x:c>
      <x:c r="F352" s="24" t="str">
        <x:v>2025-08</x:v>
      </x:c>
      <x:c r="G352" s="30" t="n">
        <x:v>45884</x:v>
      </x:c>
      <x:c r="H352" s="32" t="n">
        <x:v>1800000</x:v>
      </x:c>
      <x:c r="I352" s="32" t="n">
        <x:v>1800000</x:v>
      </x:c>
      <x:c r="J352" s="32" t="n">
        <x:v>0</x:v>
      </x:c>
      <x:c r="K352" s="30" t="n">
        <x:v>45888</x:v>
      </x:c>
      <x:c r="L352" s="24" t="str">
        <x:v>입금</x:v>
      </x:c>
      <x:c r="M352" s="31" t="n">
        <x:f>IF(AND(N352="미수",G352&lt;&gt;"",TODAY()&gt;G352),TODAY()-G352,0)</x:f>
        <x:v>0</x:v>
      </x:c>
      <x:c r="N352" s="24" t="str">
        <x:f>IF(J352&gt;0,"미수",IF(AND(H352&gt;0,I352&gt;=H352),"완납","미확인"))</x:f>
        <x:v>완납</x:v>
      </x:c>
      <x:c r="O352" s="31" t="n">
        <x:v>21</x:v>
      </x:c>
    </x:row>
    <x:row r="353" ht="17.25" customHeight="1">
      <x:c r="A353" s="24" t="str">
        <x:v>SW-B-109로1819-202507</x:v>
      </x:c>
      <x:c r="B353" s="24" t="str">
        <x:v>스위치플랜</x:v>
      </x:c>
      <x:c r="C353" s="24" t="str">
        <x:v>SW-C-109로1819-1-20250716-21</x:v>
      </x:c>
      <x:c r="D353" s="24" t="str">
        <x:v>109로1819</x:v>
      </x:c>
      <x:c r="E353" s="24" t="str">
        <x:v>박주신</x:v>
      </x:c>
      <x:c r="F353" s="24" t="str">
        <x:v>2025-07</x:v>
      </x:c>
      <x:c r="G353" s="30" t="n">
        <x:v>45853</x:v>
      </x:c>
      <x:c r="H353" s="32" t="n">
        <x:v>1800000</x:v>
      </x:c>
      <x:c r="I353" s="32" t="n">
        <x:v>1800000</x:v>
      </x:c>
      <x:c r="J353" s="32" t="n">
        <x:v>0</x:v>
      </x:c>
      <x:c r="K353" s="30" t="n">
        <x:v>45854</x:v>
      </x:c>
      <x:c r="L353" s="24" t="str">
        <x:v>입금</x:v>
      </x:c>
      <x:c r="M353" s="31" t="n">
        <x:f>IF(AND(N353="미수",G353&lt;&gt;"",TODAY()&gt;G353),TODAY()-G353,0)</x:f>
        <x:v>0</x:v>
      </x:c>
      <x:c r="N353" s="24" t="str">
        <x:f>IF(J353&gt;0,"미수",IF(AND(H353&gt;0,I353&gt;=H353),"완납","미확인"))</x:f>
        <x:v>완납</x:v>
      </x:c>
      <x:c r="O353" s="31" t="n">
        <x:v>21</x:v>
      </x:c>
    </x:row>
    <x:row r="354" ht="17.25" customHeight="1">
      <x:c r="A354" s="24" t="str">
        <x:v>SW-B-109로1819-202505</x:v>
      </x:c>
      <x:c r="B354" s="24" t="str">
        <x:v>스위치플랜</x:v>
      </x:c>
      <x:c r="C354" s="24" t="str">
        <x:v>SW-C-109로1819-2-20241210-21</x:v>
      </x:c>
      <x:c r="D354" s="24" t="str">
        <x:v>109로1819</x:v>
      </x:c>
      <x:c r="E354" s="24" t="str">
        <x:v>박주신</x:v>
      </x:c>
      <x:c r="F354" s="24" t="str">
        <x:v>2025-05</x:v>
      </x:c>
      <x:c r="G354" s="30" t="n">
        <x:v>45792</x:v>
      </x:c>
      <x:c r="H354" s="32" t="n">
        <x:v>2190000</x:v>
      </x:c>
      <x:c r="I354" s="32" t="n">
        <x:v>2100000</x:v>
      </x:c>
      <x:c r="J354" s="32" t="n">
        <x:v>0</x:v>
      </x:c>
      <x:c r="K354" s="30" t="n">
        <x:v>45797</x:v>
      </x:c>
      <x:c r="L354" s="24" t="str">
        <x:v>입금</x:v>
      </x:c>
      <x:c r="M354" s="31" t="n">
        <x:f>IF(AND(N354="미수",G354&lt;&gt;"",TODAY()&gt;G354),TODAY()-G354,0)</x:f>
        <x:v>0</x:v>
      </x:c>
      <x:c r="N354" s="24" t="str">
        <x:f>IF(J354&gt;0,"미수",IF(AND(H354&gt;0,I354&gt;=H354),"완납","미확인"))</x:f>
        <x:v>미확인</x:v>
      </x:c>
      <x:c r="O354" s="31" t="n">
        <x:v>21</x:v>
      </x:c>
    </x:row>
    <x:row r="355" ht="17.25" customHeight="1">
      <x:c r="A355" s="24" t="str">
        <x:v>SW-B-109로1819-202504</x:v>
      </x:c>
      <x:c r="B355" s="24" t="str">
        <x:v>스위치플랜</x:v>
      </x:c>
      <x:c r="C355" s="24" t="str">
        <x:v>SW-C-109로1819-2-20241210-21</x:v>
      </x:c>
      <x:c r="D355" s="24" t="str">
        <x:v>109로1819</x:v>
      </x:c>
      <x:c r="E355" s="24" t="str">
        <x:v>박주신</x:v>
      </x:c>
      <x:c r="F355" s="24" t="str">
        <x:v>2025-04</x:v>
      </x:c>
      <x:c r="G355" s="30" t="n">
        <x:v>45762</x:v>
      </x:c>
      <x:c r="H355" s="32" t="n">
        <x:v>2190000</x:v>
      </x:c>
      <x:c r="I355" s="32" t="n">
        <x:v>2190000</x:v>
      </x:c>
      <x:c r="J355" s="32" t="n">
        <x:v>0</x:v>
      </x:c>
      <x:c r="K355" s="30" t="n">
        <x:v>45769</x:v>
      </x:c>
      <x:c r="L355" s="24" t="str">
        <x:v>입금</x:v>
      </x:c>
      <x:c r="M355" s="31" t="n">
        <x:f>IF(AND(N355="미수",G355&lt;&gt;"",TODAY()&gt;G355),TODAY()-G355,0)</x:f>
        <x:v>0</x:v>
      </x:c>
      <x:c r="N355" s="24" t="str">
        <x:f>IF(J355&gt;0,"미수",IF(AND(H355&gt;0,I355&gt;=H355),"완납","미확인"))</x:f>
        <x:v>완납</x:v>
      </x:c>
      <x:c r="O355" s="31" t="n">
        <x:v>21</x:v>
      </x:c>
    </x:row>
    <x:row r="356" ht="17.25" customHeight="1">
      <x:c r="A356" s="24" t="str">
        <x:v>SW-B-109로1819-202503</x:v>
      </x:c>
      <x:c r="B356" s="24" t="str">
        <x:v>스위치플랜</x:v>
      </x:c>
      <x:c r="C356" s="24" t="str">
        <x:v>SW-C-109로1819-2-20241210-21</x:v>
      </x:c>
      <x:c r="D356" s="24" t="str">
        <x:v>109로1819</x:v>
      </x:c>
      <x:c r="E356" s="24" t="str">
        <x:v>박주신</x:v>
      </x:c>
      <x:c r="F356" s="24" t="str">
        <x:v>2025-03</x:v>
      </x:c>
      <x:c r="G356" s="30" t="n">
        <x:v>45731</x:v>
      </x:c>
      <x:c r="H356" s="32" t="n">
        <x:v>2190000</x:v>
      </x:c>
      <x:c r="I356" s="32" t="n">
        <x:v>2190000</x:v>
      </x:c>
      <x:c r="J356" s="32" t="n">
        <x:v>0</x:v>
      </x:c>
      <x:c r="K356" s="30" t="n">
        <x:v>45733</x:v>
      </x:c>
      <x:c r="L356" s="24" t="str">
        <x:v>입금</x:v>
      </x:c>
      <x:c r="M356" s="31" t="n">
        <x:f>IF(AND(N356="미수",G356&lt;&gt;"",TODAY()&gt;G356),TODAY()-G356,0)</x:f>
        <x:v>0</x:v>
      </x:c>
      <x:c r="N356" s="24" t="str">
        <x:f>IF(J356&gt;0,"미수",IF(AND(H356&gt;0,I356&gt;=H356),"완납","미확인"))</x:f>
        <x:v>완납</x:v>
      </x:c>
      <x:c r="O356" s="31" t="n">
        <x:v>21</x:v>
      </x:c>
    </x:row>
    <x:row r="357" ht="17.25" customHeight="1">
      <x:c r="A357" s="24" t="str">
        <x:v>SW-B-109로1819-202502</x:v>
      </x:c>
      <x:c r="B357" s="24" t="str">
        <x:v>스위치플랜</x:v>
      </x:c>
      <x:c r="C357" s="24" t="str">
        <x:v>SW-C-109로1819-2-20241210-21</x:v>
      </x:c>
      <x:c r="D357" s="24" t="str">
        <x:v>109로1819</x:v>
      </x:c>
      <x:c r="E357" s="24" t="str">
        <x:v>박주신</x:v>
      </x:c>
      <x:c r="F357" s="24" t="str">
        <x:v>2025-02</x:v>
      </x:c>
      <x:c r="G357" s="30" t="n">
        <x:v>45703</x:v>
      </x:c>
      <x:c r="H357" s="32" t="n">
        <x:v>2190000</x:v>
      </x:c>
      <x:c r="I357" s="32" t="n">
        <x:v>2190000</x:v>
      </x:c>
      <x:c r="J357" s="32" t="n">
        <x:v>0</x:v>
      </x:c>
      <x:c r="K357" s="30" t="n">
        <x:v>45698</x:v>
      </x:c>
      <x:c r="L357" s="24" t="str">
        <x:v>입금</x:v>
      </x:c>
      <x:c r="M357" s="31" t="n">
        <x:f>IF(AND(N357="미수",G357&lt;&gt;"",TODAY()&gt;G357),TODAY()-G357,0)</x:f>
        <x:v>0</x:v>
      </x:c>
      <x:c r="N357" s="24" t="str">
        <x:f>IF(J357&gt;0,"미수",IF(AND(H357&gt;0,I357&gt;=H357),"완납","미확인"))</x:f>
        <x:v>완납</x:v>
      </x:c>
      <x:c r="O357" s="31" t="n">
        <x:v>21</x:v>
      </x:c>
    </x:row>
    <x:row r="358" ht="17.25" customHeight="1">
      <x:c r="A358" s="24" t="str">
        <x:v>SW-B-109로1819-202501</x:v>
      </x:c>
      <x:c r="B358" s="24" t="str">
        <x:v>스위치플랜</x:v>
      </x:c>
      <x:c r="C358" s="24" t="str">
        <x:v>SW-C-109로1819-2-20241210-21</x:v>
      </x:c>
      <x:c r="D358" s="24" t="str">
        <x:v>109로1819</x:v>
      </x:c>
      <x:c r="E358" s="24" t="str">
        <x:v>박주신</x:v>
      </x:c>
      <x:c r="F358" s="24" t="str">
        <x:v>2025-01</x:v>
      </x:c>
      <x:c r="G358" s="30" t="n">
        <x:v>45672</x:v>
      </x:c>
      <x:c r="H358" s="32" t="n">
        <x:v>1010000</x:v>
      </x:c>
      <x:c r="I358" s="32" t="n">
        <x:v>1010000</x:v>
      </x:c>
      <x:c r="J358" s="32" t="n">
        <x:v>0</x:v>
      </x:c>
      <x:c r="K358" s="30" t="n">
        <x:v>45667</x:v>
      </x:c>
      <x:c r="L358" s="24" t="str">
        <x:v>입금</x:v>
      </x:c>
      <x:c r="M358" s="31" t="n">
        <x:f>IF(AND(N358="미수",G358&lt;&gt;"",TODAY()&gt;G358),TODAY()-G358,0)</x:f>
        <x:v>0</x:v>
      </x:c>
      <x:c r="N358" s="24" t="str">
        <x:f>IF(J358&gt;0,"미수",IF(AND(H358&gt;0,I358&gt;=H358),"완납","미확인"))</x:f>
        <x:v>완납</x:v>
      </x:c>
      <x:c r="O358" s="31" t="n">
        <x:v>21</x:v>
      </x:c>
    </x:row>
    <x:row r="359" ht="17.25" customHeight="1">
      <x:c r="A359" s="24" t="str">
        <x:v>SW-B-109로1819-202412</x:v>
      </x:c>
      <x:c r="B359" s="24" t="str">
        <x:v>스위치플랜</x:v>
      </x:c>
      <x:c r="C359" s="24" t="str">
        <x:v>SW-C-109로1819-2-20241210-21</x:v>
      </x:c>
      <x:c r="D359" s="24" t="str">
        <x:v>109로1819</x:v>
      </x:c>
      <x:c r="E359" s="24" t="str">
        <x:v>박주신</x:v>
      </x:c>
      <x:c r="F359" s="24" t="str">
        <x:v>2024-12</x:v>
      </x:c>
      <x:c r="G359" s="30" t="n">
        <x:v>45641</x:v>
      </x:c>
      <x:c r="H359" s="32" t="n">
        <x:v>2190000</x:v>
      </x:c>
      <x:c r="I359" s="32" t="n">
        <x:v>2190000</x:v>
      </x:c>
      <x:c r="J359" s="32" t="n">
        <x:v>0</x:v>
      </x:c>
      <x:c r="K359" s="30" t="n">
        <x:v>45628</x:v>
      </x:c>
      <x:c r="L359" s="24" t="str">
        <x:v>입금</x:v>
      </x:c>
      <x:c r="M359" s="31" t="n">
        <x:f>IF(AND(N359="미수",G359&lt;&gt;"",TODAY()&gt;G359),TODAY()-G359,0)</x:f>
        <x:v>0</x:v>
      </x:c>
      <x:c r="N359" s="24" t="str">
        <x:f>IF(J359&gt;0,"미수",IF(AND(H359&gt;0,I359&gt;=H359),"완납","미확인"))</x:f>
        <x:v>완납</x:v>
      </x:c>
      <x:c r="O359" s="31" t="n">
        <x:v>21</x:v>
      </x:c>
    </x:row>
    <x:row r="360" ht="17.25" customHeight="1">
      <x:c r="A360" s="24" t="str">
        <x:v>SW-B-15두2255-202608</x:v>
      </x:c>
      <x:c r="B360" s="24" t="str">
        <x:v>스위치플랜</x:v>
      </x:c>
      <x:c r="C360" s="24" t="str">
        <x:v>SW-C-15두2255-1-20260325-23</x:v>
      </x:c>
      <x:c r="D360" s="24" t="str">
        <x:v>15두2255</x:v>
      </x:c>
      <x:c r="E360" s="24" t="str">
        <x:v>송대성</x:v>
      </x:c>
      <x:c r="F360" s="24" t="str">
        <x:v>2026-08</x:v>
      </x:c>
      <x:c r="G360" s="30" t="n">
        <x:v>46254</x:v>
      </x:c>
      <x:c r="H360" s="32" t="n">
        <x:v>850000</x:v>
      </x:c>
      <x:c r="I360" s="32"/>
      <x:c r="J360" s="32" t="n">
        <x:v>850000</x:v>
      </x:c>
      <x:c r="K360" s="30"/>
      <x:c r="L360" s="24" t="str"/>
      <x:c r="M360" s="31" t="n">
        <x:f>IF(AND(N360="미수",G360&lt;&gt;"",TODAY()&gt;G360),TODAY()-G360,0)</x:f>
        <x:v>0</x:v>
      </x:c>
      <x:c r="N360" s="24" t="str">
        <x:f>IF(J360&gt;0,"미수",IF(AND(H360&gt;0,I360&gt;=H360),"완납","미확인"))</x:f>
        <x:v>미수</x:v>
      </x:c>
      <x:c r="O360" s="31" t="n">
        <x:v>22</x:v>
      </x:c>
    </x:row>
    <x:row r="361" ht="17.25" customHeight="1">
      <x:c r="A361" s="24" t="str">
        <x:v>SW-B-15두2255-202607</x:v>
      </x:c>
      <x:c r="B361" s="24" t="str">
        <x:v>스위치플랜</x:v>
      </x:c>
      <x:c r="C361" s="24" t="str">
        <x:v>SW-C-15두2255-1-20260325-23</x:v>
      </x:c>
      <x:c r="D361" s="24" t="str">
        <x:v>15두2255</x:v>
      </x:c>
      <x:c r="E361" s="24" t="str">
        <x:v>송대성</x:v>
      </x:c>
      <x:c r="F361" s="24" t="str">
        <x:v>2026-07</x:v>
      </x:c>
      <x:c r="G361" s="30" t="n">
        <x:v>46223</x:v>
      </x:c>
      <x:c r="H361" s="32" t="n">
        <x:v>850000</x:v>
      </x:c>
      <x:c r="I361" s="32" t="n">
        <x:v>850000</x:v>
      </x:c>
      <x:c r="J361" s="32" t="n">
        <x:v>0</x:v>
      </x:c>
      <x:c r="K361" s="30" t="n">
        <x:v>46223</x:v>
      </x:c>
      <x:c r="L361" s="24" t="str">
        <x:v>입금</x:v>
      </x:c>
      <x:c r="M361" s="31" t="n">
        <x:f>IF(AND(N361="미수",G361&lt;&gt;"",TODAY()&gt;G361),TODAY()-G361,0)</x:f>
        <x:v>0</x:v>
      </x:c>
      <x:c r="N361" s="24" t="str">
        <x:f>IF(J361&gt;0,"미수",IF(AND(H361&gt;0,I361&gt;=H361),"완납","미확인"))</x:f>
        <x:v>완납</x:v>
      </x:c>
      <x:c r="O361" s="31" t="n">
        <x:v>22</x:v>
      </x:c>
    </x:row>
    <x:row r="362" ht="17.25" customHeight="1">
      <x:c r="A362" s="24" t="str">
        <x:v>SW-B-15두2255-202606</x:v>
      </x:c>
      <x:c r="B362" s="24" t="str">
        <x:v>스위치플랜</x:v>
      </x:c>
      <x:c r="C362" s="24" t="str">
        <x:v>SW-C-15두2255-1-20260325-23</x:v>
      </x:c>
      <x:c r="D362" s="24" t="str">
        <x:v>15두2255</x:v>
      </x:c>
      <x:c r="E362" s="24" t="str">
        <x:v>송대성</x:v>
      </x:c>
      <x:c r="F362" s="24" t="str">
        <x:v>2026-06</x:v>
      </x:c>
      <x:c r="G362" s="30" t="n">
        <x:v>46193</x:v>
      </x:c>
      <x:c r="H362" s="32" t="n">
        <x:v>850000</x:v>
      </x:c>
      <x:c r="I362" s="32" t="n">
        <x:v>850000</x:v>
      </x:c>
      <x:c r="J362" s="32" t="n">
        <x:v>0</x:v>
      </x:c>
      <x:c r="K362" s="30" t="n">
        <x:v>46195</x:v>
      </x:c>
      <x:c r="L362" s="24" t="str">
        <x:v>입금</x:v>
      </x:c>
      <x:c r="M362" s="31" t="n">
        <x:f>IF(AND(N362="미수",G362&lt;&gt;"",TODAY()&gt;G362),TODAY()-G362,0)</x:f>
        <x:v>0</x:v>
      </x:c>
      <x:c r="N362" s="24" t="str">
        <x:f>IF(J362&gt;0,"미수",IF(AND(H362&gt;0,I362&gt;=H362),"완납","미확인"))</x:f>
        <x:v>완납</x:v>
      </x:c>
      <x:c r="O362" s="31" t="n">
        <x:v>22</x:v>
      </x:c>
    </x:row>
    <x:row r="363" ht="17.25" customHeight="1">
      <x:c r="A363" s="24" t="str">
        <x:v>SW-B-15두2255-202605</x:v>
      </x:c>
      <x:c r="B363" s="24" t="str">
        <x:v>스위치플랜</x:v>
      </x:c>
      <x:c r="C363" s="24" t="str">
        <x:v>SW-C-15두2255-1-20260325-23</x:v>
      </x:c>
      <x:c r="D363" s="24" t="str">
        <x:v>15두2255</x:v>
      </x:c>
      <x:c r="E363" s="24" t="str">
        <x:v>송대성</x:v>
      </x:c>
      <x:c r="F363" s="24" t="str">
        <x:v>2026-05</x:v>
      </x:c>
      <x:c r="G363" s="30" t="n">
        <x:v>46162</x:v>
      </x:c>
      <x:c r="H363" s="32" t="n">
        <x:v>850000</x:v>
      </x:c>
      <x:c r="I363" s="32" t="n">
        <x:v>850000</x:v>
      </x:c>
      <x:c r="J363" s="32" t="n">
        <x:v>0</x:v>
      </x:c>
      <x:c r="K363" s="30" t="n">
        <x:v>46164</x:v>
      </x:c>
      <x:c r="L363" s="24" t="str">
        <x:v>입금</x:v>
      </x:c>
      <x:c r="M363" s="31" t="n">
        <x:f>IF(AND(N363="미수",G363&lt;&gt;"",TODAY()&gt;G363),TODAY()-G363,0)</x:f>
        <x:v>0</x:v>
      </x:c>
      <x:c r="N363" s="24" t="str">
        <x:f>IF(J363&gt;0,"미수",IF(AND(H363&gt;0,I363&gt;=H363),"완납","미확인"))</x:f>
        <x:v>완납</x:v>
      </x:c>
      <x:c r="O363" s="31" t="n">
        <x:v>22</x:v>
      </x:c>
    </x:row>
    <x:row r="364" ht="17.25" customHeight="1">
      <x:c r="A364" s="24" t="str">
        <x:v>SW-B-15두2255-202604</x:v>
      </x:c>
      <x:c r="B364" s="24" t="str">
        <x:v>스위치플랜</x:v>
      </x:c>
      <x:c r="C364" s="24" t="str">
        <x:v>SW-C-15두2255-1-20260325-23</x:v>
      </x:c>
      <x:c r="D364" s="24" t="str">
        <x:v>15두2255</x:v>
      </x:c>
      <x:c r="E364" s="24" t="str">
        <x:v>송대성</x:v>
      </x:c>
      <x:c r="F364" s="24" t="str">
        <x:v>2026-04</x:v>
      </x:c>
      <x:c r="G364" s="30" t="n">
        <x:v>46132</x:v>
      </x:c>
      <x:c r="H364" s="32" t="n">
        <x:v>850000</x:v>
      </x:c>
      <x:c r="I364" s="32" t="n">
        <x:v>850000</x:v>
      </x:c>
      <x:c r="J364" s="32" t="n">
        <x:v>0</x:v>
      </x:c>
      <x:c r="K364" s="30" t="n">
        <x:v>46131</x:v>
      </x:c>
      <x:c r="L364" s="24" t="str">
        <x:v>입금</x:v>
      </x:c>
      <x:c r="M364" s="31" t="n">
        <x:f>IF(AND(N364="미수",G364&lt;&gt;"",TODAY()&gt;G364),TODAY()-G364,0)</x:f>
        <x:v>0</x:v>
      </x:c>
      <x:c r="N364" s="24" t="str">
        <x:f>IF(J364&gt;0,"미수",IF(AND(H364&gt;0,I364&gt;=H364),"완납","미확인"))</x:f>
        <x:v>완납</x:v>
      </x:c>
      <x:c r="O364" s="31" t="n">
        <x:v>22</x:v>
      </x:c>
    </x:row>
    <x:row r="365" ht="17.25" customHeight="1">
      <x:c r="A365" s="24" t="str">
        <x:v>SW-B-15두2255-202603</x:v>
      </x:c>
      <x:c r="B365" s="24" t="str">
        <x:v>스위치플랜</x:v>
      </x:c>
      <x:c r="C365" s="24" t="str">
        <x:v>SW-C-15두2255-1-20260325-23</x:v>
      </x:c>
      <x:c r="D365" s="24" t="str">
        <x:v>15두2255</x:v>
      </x:c>
      <x:c r="E365" s="24" t="str">
        <x:v>송대성</x:v>
      </x:c>
      <x:c r="F365" s="24" t="str">
        <x:v>2026-03</x:v>
      </x:c>
      <x:c r="G365" s="30" t="n">
        <x:v>46101</x:v>
      </x:c>
      <x:c r="H365" s="32" t="n">
        <x:v>850000</x:v>
      </x:c>
      <x:c r="I365" s="32" t="n">
        <x:v>850000</x:v>
      </x:c>
      <x:c r="J365" s="32" t="n">
        <x:v>0</x:v>
      </x:c>
      <x:c r="K365" s="30" t="n">
        <x:v>46105</x:v>
      </x:c>
      <x:c r="L365" s="24" t="str">
        <x:v>입금</x:v>
      </x:c>
      <x:c r="M365" s="31" t="n">
        <x:f>IF(AND(N365="미수",G365&lt;&gt;"",TODAY()&gt;G365),TODAY()-G365,0)</x:f>
        <x:v>0</x:v>
      </x:c>
      <x:c r="N365" s="24" t="str">
        <x:f>IF(J365&gt;0,"미수",IF(AND(H365&gt;0,I365&gt;=H365),"완납","미확인"))</x:f>
        <x:v>완납</x:v>
      </x:c>
      <x:c r="O365" s="31" t="n">
        <x:v>22</x:v>
      </x:c>
    </x:row>
    <x:row r="366" ht="17.25" customHeight="1">
      <x:c r="A366" s="24" t="str">
        <x:v>SW-B-15두2255-202602</x:v>
      </x:c>
      <x:c r="B366" s="24" t="str">
        <x:v>스위치플랜</x:v>
      </x:c>
      <x:c r="C366" s="24" t="str">
        <x:v>SW-C-15두2255-2-20250324-23</x:v>
      </x:c>
      <x:c r="D366" s="24" t="str">
        <x:v>15두2255</x:v>
      </x:c>
      <x:c r="E366" s="24" t="str">
        <x:v>송대성</x:v>
      </x:c>
      <x:c r="F366" s="24" t="str">
        <x:v>2026-02</x:v>
      </x:c>
      <x:c r="G366" s="30" t="n">
        <x:v>46073</x:v>
      </x:c>
      <x:c r="H366" s="32" t="n">
        <x:v>850000</x:v>
      </x:c>
      <x:c r="I366" s="32" t="n">
        <x:v>850000</x:v>
      </x:c>
      <x:c r="J366" s="32" t="n">
        <x:v>0</x:v>
      </x:c>
      <x:c r="K366" s="30" t="n">
        <x:v>46076</x:v>
      </x:c>
      <x:c r="L366" s="24" t="str">
        <x:v>입금</x:v>
      </x:c>
      <x:c r="M366" s="31" t="n">
        <x:f>IF(AND(N366="미수",G366&lt;&gt;"",TODAY()&gt;G366),TODAY()-G366,0)</x:f>
        <x:v>0</x:v>
      </x:c>
      <x:c r="N366" s="24" t="str">
        <x:f>IF(J366&gt;0,"미수",IF(AND(H366&gt;0,I366&gt;=H366),"완납","미확인"))</x:f>
        <x:v>완납</x:v>
      </x:c>
      <x:c r="O366" s="31" t="n">
        <x:v>22</x:v>
      </x:c>
    </x:row>
    <x:row r="367" ht="17.25" customHeight="1">
      <x:c r="A367" s="24" t="str">
        <x:v>SW-B-15두2255-202601</x:v>
      </x:c>
      <x:c r="B367" s="24" t="str">
        <x:v>스위치플랜</x:v>
      </x:c>
      <x:c r="C367" s="24" t="str">
        <x:v>SW-C-15두2255-2-20250324-23</x:v>
      </x:c>
      <x:c r="D367" s="24" t="str">
        <x:v>15두2255</x:v>
      </x:c>
      <x:c r="E367" s="24" t="str">
        <x:v>송대성</x:v>
      </x:c>
      <x:c r="F367" s="24" t="str">
        <x:v>2026-01</x:v>
      </x:c>
      <x:c r="G367" s="30" t="n">
        <x:v>46042</x:v>
      </x:c>
      <x:c r="H367" s="32" t="n">
        <x:v>850000</x:v>
      </x:c>
      <x:c r="I367" s="32" t="n">
        <x:v>850000</x:v>
      </x:c>
      <x:c r="J367" s="32" t="n">
        <x:v>0</x:v>
      </x:c>
      <x:c r="K367" s="30" t="n">
        <x:v>46041</x:v>
      </x:c>
      <x:c r="L367" s="24" t="str">
        <x:v>입금</x:v>
      </x:c>
      <x:c r="M367" s="31" t="n">
        <x:f>IF(AND(N367="미수",G367&lt;&gt;"",TODAY()&gt;G367),TODAY()-G367,0)</x:f>
        <x:v>0</x:v>
      </x:c>
      <x:c r="N367" s="24" t="str">
        <x:f>IF(J367&gt;0,"미수",IF(AND(H367&gt;0,I367&gt;=H367),"완납","미확인"))</x:f>
        <x:v>완납</x:v>
      </x:c>
      <x:c r="O367" s="31" t="n">
        <x:v>22</x:v>
      </x:c>
    </x:row>
    <x:row r="368" ht="17.25" customHeight="1">
      <x:c r="A368" s="24" t="str">
        <x:v>SW-B-15두2255-202512</x:v>
      </x:c>
      <x:c r="B368" s="24" t="str">
        <x:v>스위치플랜</x:v>
      </x:c>
      <x:c r="C368" s="24" t="str">
        <x:v>SW-C-15두2255-2-20250324-23</x:v>
      </x:c>
      <x:c r="D368" s="24" t="str">
        <x:v>15두2255</x:v>
      </x:c>
      <x:c r="E368" s="24" t="str">
        <x:v>송대성</x:v>
      </x:c>
      <x:c r="F368" s="24" t="str">
        <x:v>2025-12</x:v>
      </x:c>
      <x:c r="G368" s="30" t="n">
        <x:v>46011</x:v>
      </x:c>
      <x:c r="H368" s="32" t="n">
        <x:v>850000</x:v>
      </x:c>
      <x:c r="I368" s="32" t="n">
        <x:v>850000</x:v>
      </x:c>
      <x:c r="J368" s="32" t="n">
        <x:v>0</x:v>
      </x:c>
      <x:c r="K368" s="30" t="n">
        <x:v>46009</x:v>
      </x:c>
      <x:c r="L368" s="24" t="str">
        <x:v>입금</x:v>
      </x:c>
      <x:c r="M368" s="31" t="n">
        <x:f>IF(AND(N368="미수",G368&lt;&gt;"",TODAY()&gt;G368),TODAY()-G368,0)</x:f>
        <x:v>0</x:v>
      </x:c>
      <x:c r="N368" s="24" t="str">
        <x:f>IF(J368&gt;0,"미수",IF(AND(H368&gt;0,I368&gt;=H368),"완납","미확인"))</x:f>
        <x:v>완납</x:v>
      </x:c>
      <x:c r="O368" s="31" t="n">
        <x:v>22</x:v>
      </x:c>
    </x:row>
    <x:row r="369" ht="17.25" customHeight="1">
      <x:c r="A369" s="24" t="str">
        <x:v>SW-B-15두2255-202511</x:v>
      </x:c>
      <x:c r="B369" s="24" t="str">
        <x:v>스위치플랜</x:v>
      </x:c>
      <x:c r="C369" s="24" t="str">
        <x:v>SW-C-15두2255-2-20250324-23</x:v>
      </x:c>
      <x:c r="D369" s="24" t="str">
        <x:v>15두2255</x:v>
      </x:c>
      <x:c r="E369" s="24" t="str">
        <x:v>송대성</x:v>
      </x:c>
      <x:c r="F369" s="24" t="str">
        <x:v>2025-11</x:v>
      </x:c>
      <x:c r="G369" s="30" t="n">
        <x:v>45981</x:v>
      </x:c>
      <x:c r="H369" s="32" t="n">
        <x:v>680000</x:v>
      </x:c>
      <x:c r="I369" s="32" t="n">
        <x:v>680000</x:v>
      </x:c>
      <x:c r="J369" s="32" t="n">
        <x:v>0</x:v>
      </x:c>
      <x:c r="K369" s="30" t="n">
        <x:v>45980</x:v>
      </x:c>
      <x:c r="L369" s="24" t="str">
        <x:v>입금</x:v>
      </x:c>
      <x:c r="M369" s="31" t="n">
        <x:f>IF(AND(N369="미수",G369&lt;&gt;"",TODAY()&gt;G369),TODAY()-G369,0)</x:f>
        <x:v>0</x:v>
      </x:c>
      <x:c r="N369" s="24" t="str">
        <x:f>IF(J369&gt;0,"미수",IF(AND(H369&gt;0,I369&gt;=H369),"완납","미확인"))</x:f>
        <x:v>완납</x:v>
      </x:c>
      <x:c r="O369" s="31" t="n">
        <x:v>22</x:v>
      </x:c>
    </x:row>
    <x:row r="370" ht="17.25" customHeight="1">
      <x:c r="A370" s="24" t="str">
        <x:v>SW-B-15두2255-202510</x:v>
      </x:c>
      <x:c r="B370" s="24" t="str">
        <x:v>스위치플랜</x:v>
      </x:c>
      <x:c r="C370" s="24" t="str">
        <x:v>SW-C-15두2255-2-20250324-23</x:v>
      </x:c>
      <x:c r="D370" s="24" t="str">
        <x:v>15두2255</x:v>
      </x:c>
      <x:c r="E370" s="24" t="str">
        <x:v>송대성</x:v>
      </x:c>
      <x:c r="F370" s="24" t="str">
        <x:v>2025-10</x:v>
      </x:c>
      <x:c r="G370" s="30" t="n">
        <x:v>45950</x:v>
      </x:c>
      <x:c r="H370" s="32" t="n">
        <x:v>850000</x:v>
      </x:c>
      <x:c r="I370" s="32" t="n">
        <x:v>850000</x:v>
      </x:c>
      <x:c r="J370" s="32" t="n">
        <x:v>0</x:v>
      </x:c>
      <x:c r="K370" s="30" t="n">
        <x:v>45950</x:v>
      </x:c>
      <x:c r="L370" s="24" t="str">
        <x:v>입금</x:v>
      </x:c>
      <x:c r="M370" s="31" t="n">
        <x:f>IF(AND(N370="미수",G370&lt;&gt;"",TODAY()&gt;G370),TODAY()-G370,0)</x:f>
        <x:v>0</x:v>
      </x:c>
      <x:c r="N370" s="24" t="str">
        <x:f>IF(J370&gt;0,"미수",IF(AND(H370&gt;0,I370&gt;=H370),"완납","미확인"))</x:f>
        <x:v>완납</x:v>
      </x:c>
      <x:c r="O370" s="31" t="n">
        <x:v>22</x:v>
      </x:c>
    </x:row>
    <x:row r="371" ht="17.25" customHeight="1">
      <x:c r="A371" s="24" t="str">
        <x:v>SW-B-15두2255-202509</x:v>
      </x:c>
      <x:c r="B371" s="24" t="str">
        <x:v>스위치플랜</x:v>
      </x:c>
      <x:c r="C371" s="24" t="str">
        <x:v>SW-C-15두2255-2-20250324-23</x:v>
      </x:c>
      <x:c r="D371" s="24" t="str">
        <x:v>15두2255</x:v>
      </x:c>
      <x:c r="E371" s="24" t="str">
        <x:v>송대성</x:v>
      </x:c>
      <x:c r="F371" s="24" t="str">
        <x:v>2025-09</x:v>
      </x:c>
      <x:c r="G371" s="30" t="n">
        <x:v>45920</x:v>
      </x:c>
      <x:c r="H371" s="32" t="n">
        <x:v>850000</x:v>
      </x:c>
      <x:c r="I371" s="32" t="n">
        <x:v>850000</x:v>
      </x:c>
      <x:c r="J371" s="32" t="n">
        <x:v>0</x:v>
      </x:c>
      <x:c r="K371" s="30" t="n">
        <x:v>45921</x:v>
      </x:c>
      <x:c r="L371" s="24" t="str">
        <x:v>입금</x:v>
      </x:c>
      <x:c r="M371" s="31" t="n">
        <x:f>IF(AND(N371="미수",G371&lt;&gt;"",TODAY()&gt;G371),TODAY()-G371,0)</x:f>
        <x:v>0</x:v>
      </x:c>
      <x:c r="N371" s="24" t="str">
        <x:f>IF(J371&gt;0,"미수",IF(AND(H371&gt;0,I371&gt;=H371),"완납","미확인"))</x:f>
        <x:v>완납</x:v>
      </x:c>
      <x:c r="O371" s="31" t="n">
        <x:v>22</x:v>
      </x:c>
    </x:row>
    <x:row r="372" ht="17.25" customHeight="1">
      <x:c r="A372" s="24" t="str">
        <x:v>SW-B-15두2255-202508</x:v>
      </x:c>
      <x:c r="B372" s="24" t="str">
        <x:v>스위치플랜</x:v>
      </x:c>
      <x:c r="C372" s="24" t="str">
        <x:v>SW-C-15두2255-2-20250324-23</x:v>
      </x:c>
      <x:c r="D372" s="24" t="str">
        <x:v>15두2255</x:v>
      </x:c>
      <x:c r="E372" s="24" t="str">
        <x:v>송대성</x:v>
      </x:c>
      <x:c r="F372" s="24" t="str">
        <x:v>2025-08</x:v>
      </x:c>
      <x:c r="G372" s="30" t="n">
        <x:v>45889</x:v>
      </x:c>
      <x:c r="H372" s="32" t="n">
        <x:v>850000</x:v>
      </x:c>
      <x:c r="I372" s="32" t="n">
        <x:v>850000</x:v>
      </x:c>
      <x:c r="J372" s="32" t="n">
        <x:v>0</x:v>
      </x:c>
      <x:c r="K372" s="30" t="n">
        <x:v>45889</x:v>
      </x:c>
      <x:c r="L372" s="24" t="str">
        <x:v>입금</x:v>
      </x:c>
      <x:c r="M372" s="31" t="n">
        <x:f>IF(AND(N372="미수",G372&lt;&gt;"",TODAY()&gt;G372),TODAY()-G372,0)</x:f>
        <x:v>0</x:v>
      </x:c>
      <x:c r="N372" s="24" t="str">
        <x:f>IF(J372&gt;0,"미수",IF(AND(H372&gt;0,I372&gt;=H372),"완납","미확인"))</x:f>
        <x:v>완납</x:v>
      </x:c>
      <x:c r="O372" s="31" t="n">
        <x:v>22</x:v>
      </x:c>
    </x:row>
    <x:row r="373" ht="17.25" customHeight="1">
      <x:c r="A373" s="24" t="str">
        <x:v>SW-B-15두2255-202507</x:v>
      </x:c>
      <x:c r="B373" s="24" t="str">
        <x:v>스위치플랜</x:v>
      </x:c>
      <x:c r="C373" s="24" t="str">
        <x:v>SW-C-15두2255-2-20250324-23</x:v>
      </x:c>
      <x:c r="D373" s="24" t="str">
        <x:v>15두2255</x:v>
      </x:c>
      <x:c r="E373" s="24" t="str">
        <x:v>송대성</x:v>
      </x:c>
      <x:c r="F373" s="24" t="str">
        <x:v>2025-07</x:v>
      </x:c>
      <x:c r="G373" s="30" t="n">
        <x:v>45858</x:v>
      </x:c>
      <x:c r="H373" s="32" t="n">
        <x:v>990000</x:v>
      </x:c>
      <x:c r="I373" s="32" t="n">
        <x:v>990000</x:v>
      </x:c>
      <x:c r="J373" s="32" t="n">
        <x:v>0</x:v>
      </x:c>
      <x:c r="K373" s="30" t="n">
        <x:v>45853</x:v>
      </x:c>
      <x:c r="L373" s="24" t="str">
        <x:v>입금</x:v>
      </x:c>
      <x:c r="M373" s="31" t="n">
        <x:f>IF(AND(N373="미수",G373&lt;&gt;"",TODAY()&gt;G373),TODAY()-G373,0)</x:f>
        <x:v>0</x:v>
      </x:c>
      <x:c r="N373" s="24" t="str">
        <x:f>IF(J373&gt;0,"미수",IF(AND(H373&gt;0,I373&gt;=H373),"완납","미확인"))</x:f>
        <x:v>완납</x:v>
      </x:c>
      <x:c r="O373" s="31" t="n">
        <x:v>22</x:v>
      </x:c>
    </x:row>
    <x:row r="374" ht="17.25" customHeight="1">
      <x:c r="A374" s="24" t="str">
        <x:v>SW-B-15두2255-202506</x:v>
      </x:c>
      <x:c r="B374" s="24" t="str">
        <x:v>스위치플랜</x:v>
      </x:c>
      <x:c r="C374" s="24" t="str">
        <x:v>SW-C-15두2255-2-20250324-23</x:v>
      </x:c>
      <x:c r="D374" s="24" t="str">
        <x:v>15두2255</x:v>
      </x:c>
      <x:c r="E374" s="24" t="str">
        <x:v>송대성</x:v>
      </x:c>
      <x:c r="F374" s="24" t="str">
        <x:v>2025-06</x:v>
      </x:c>
      <x:c r="G374" s="30" t="n">
        <x:v>45828</x:v>
      </x:c>
      <x:c r="H374" s="32" t="n">
        <x:v>850000</x:v>
      </x:c>
      <x:c r="I374" s="32" t="n">
        <x:v>850000</x:v>
      </x:c>
      <x:c r="J374" s="32" t="n">
        <x:v>0</x:v>
      </x:c>
      <x:c r="K374" s="30" t="n">
        <x:v>45821</x:v>
      </x:c>
      <x:c r="L374" s="24" t="str">
        <x:v>입금</x:v>
      </x:c>
      <x:c r="M374" s="31" t="n">
        <x:f>IF(AND(N374="미수",G374&lt;&gt;"",TODAY()&gt;G374),TODAY()-G374,0)</x:f>
        <x:v>0</x:v>
      </x:c>
      <x:c r="N374" s="24" t="str">
        <x:f>IF(J374&gt;0,"미수",IF(AND(H374&gt;0,I374&gt;=H374),"완납","미확인"))</x:f>
        <x:v>완납</x:v>
      </x:c>
      <x:c r="O374" s="31" t="n">
        <x:v>22</x:v>
      </x:c>
    </x:row>
    <x:row r="375" ht="17.25" customHeight="1">
      <x:c r="A375" s="24" t="str">
        <x:v>SW-B-15두2255-202505</x:v>
      </x:c>
      <x:c r="B375" s="24" t="str">
        <x:v>스위치플랜</x:v>
      </x:c>
      <x:c r="C375" s="24" t="str">
        <x:v>SW-C-15두2255-2-20250324-23</x:v>
      </x:c>
      <x:c r="D375" s="24" t="str">
        <x:v>15두2255</x:v>
      </x:c>
      <x:c r="E375" s="24" t="str">
        <x:v>송대성</x:v>
      </x:c>
      <x:c r="F375" s="24" t="str">
        <x:v>2025-05</x:v>
      </x:c>
      <x:c r="G375" s="30" t="n">
        <x:v>45797</x:v>
      </x:c>
      <x:c r="H375" s="32" t="n">
        <x:v>850000</x:v>
      </x:c>
      <x:c r="I375" s="32" t="n">
        <x:v>850000</x:v>
      </x:c>
      <x:c r="J375" s="32" t="n">
        <x:v>0</x:v>
      </x:c>
      <x:c r="K375" s="30" t="n">
        <x:v>45792</x:v>
      </x:c>
      <x:c r="L375" s="24" t="str">
        <x:v>자동</x:v>
      </x:c>
      <x:c r="M375" s="31" t="n">
        <x:f>IF(AND(N375="미수",G375&lt;&gt;"",TODAY()&gt;G375),TODAY()-G375,0)</x:f>
        <x:v>0</x:v>
      </x:c>
      <x:c r="N375" s="24" t="str">
        <x:f>IF(J375&gt;0,"미수",IF(AND(H375&gt;0,I375&gt;=H375),"완납","미확인"))</x:f>
        <x:v>완납</x:v>
      </x:c>
      <x:c r="O375" s="31" t="n">
        <x:v>22</x:v>
      </x:c>
    </x:row>
    <x:row r="376" ht="17.25" customHeight="1">
      <x:c r="A376" s="24" t="str">
        <x:v>SW-B-15두2255-202504</x:v>
      </x:c>
      <x:c r="B376" s="24" t="str">
        <x:v>스위치플랜</x:v>
      </x:c>
      <x:c r="C376" s="24" t="str">
        <x:v>SW-C-15두2255-2-20250324-23</x:v>
      </x:c>
      <x:c r="D376" s="24" t="str">
        <x:v>15두2255</x:v>
      </x:c>
      <x:c r="E376" s="24" t="str">
        <x:v>송대성</x:v>
      </x:c>
      <x:c r="F376" s="24" t="str">
        <x:v>2025-04</x:v>
      </x:c>
      <x:c r="G376" s="30" t="n">
        <x:v>45767</x:v>
      </x:c>
      <x:c r="H376" s="32" t="n">
        <x:v>1140000</x:v>
      </x:c>
      <x:c r="I376" s="32" t="n">
        <x:v>1140000</x:v>
      </x:c>
      <x:c r="J376" s="32" t="n">
        <x:v>0</x:v>
      </x:c>
      <x:c r="K376" s="30" t="n">
        <x:v>45752</x:v>
      </x:c>
      <x:c r="L376" s="24" t="str">
        <x:v>입금</x:v>
      </x:c>
      <x:c r="M376" s="31" t="n">
        <x:f>IF(AND(N376="미수",G376&lt;&gt;"",TODAY()&gt;G376),TODAY()-G376,0)</x:f>
        <x:v>0</x:v>
      </x:c>
      <x:c r="N376" s="24" t="str">
        <x:f>IF(J376&gt;0,"미수",IF(AND(H376&gt;0,I376&gt;=H376),"완납","미확인"))</x:f>
        <x:v>완납</x:v>
      </x:c>
      <x:c r="O376" s="31" t="n">
        <x:v>22</x:v>
      </x:c>
    </x:row>
    <x:row r="377" ht="17.25" customHeight="1">
      <x:c r="A377" s="24" t="str">
        <x:v>SW-B-15두2255-202503</x:v>
      </x:c>
      <x:c r="B377" s="24" t="str">
        <x:v>스위치플랜</x:v>
      </x:c>
      <x:c r="C377" s="24" t="str">
        <x:v>SW-C-15두2255-2-20250324-23</x:v>
      </x:c>
      <x:c r="D377" s="24" t="str">
        <x:v>15두2255</x:v>
      </x:c>
      <x:c r="E377" s="24" t="str">
        <x:v>송대성</x:v>
      </x:c>
      <x:c r="F377" s="24" t="str">
        <x:v>2025-03</x:v>
      </x:c>
      <x:c r="G377" s="30" t="n">
        <x:v>45736</x:v>
      </x:c>
      <x:c r="H377" s="32" t="n">
        <x:v>850000</x:v>
      </x:c>
      <x:c r="I377" s="32" t="n">
        <x:v>850000</x:v>
      </x:c>
      <x:c r="J377" s="32" t="n">
        <x:v>0</x:v>
      </x:c>
      <x:c r="K377" s="30" t="n">
        <x:v>45720</x:v>
      </x:c>
      <x:c r="L377" s="24" t="str">
        <x:v>입금</x:v>
      </x:c>
      <x:c r="M377" s="31" t="n">
        <x:f>IF(AND(N377="미수",G377&lt;&gt;"",TODAY()&gt;G377),TODAY()-G377,0)</x:f>
        <x:v>0</x:v>
      </x:c>
      <x:c r="N377" s="24" t="str">
        <x:f>IF(J377&gt;0,"미수",IF(AND(H377&gt;0,I377&gt;=H377),"완납","미확인"))</x:f>
        <x:v>완납</x:v>
      </x:c>
      <x:c r="O377" s="31" t="n">
        <x:v>22</x:v>
      </x:c>
    </x:row>
    <x:row r="378" ht="17.25" customHeight="1">
      <x:c r="A378" s="24" t="str">
        <x:v>SW-B-17수4278-202608</x:v>
      </x:c>
      <x:c r="B378" s="24" t="str">
        <x:v>스위치플랜</x:v>
      </x:c>
      <x:c r="C378" s="24" t="str">
        <x:v>SW-C-17수4278-1-20260303-22</x:v>
      </x:c>
      <x:c r="D378" s="24" t="str">
        <x:v>17수4278</x:v>
      </x:c>
      <x:c r="E378" s="24" t="str">
        <x:v>김은옥</x:v>
      </x:c>
      <x:c r="F378" s="24" t="str">
        <x:v>2026-08</x:v>
      </x:c>
      <x:c r="G378" s="30" t="n">
        <x:v>46259</x:v>
      </x:c>
      <x:c r="H378" s="32" t="n">
        <x:v>630000</x:v>
      </x:c>
      <x:c r="I378" s="32"/>
      <x:c r="J378" s="32" t="n">
        <x:v>630000</x:v>
      </x:c>
      <x:c r="K378" s="30"/>
      <x:c r="L378" s="24" t="str"/>
      <x:c r="M378" s="31" t="n">
        <x:f>IF(AND(N378="미수",G378&lt;&gt;"",TODAY()&gt;G378),TODAY()-G378,0)</x:f>
        <x:v>0</x:v>
      </x:c>
      <x:c r="N378" s="24" t="str">
        <x:f>IF(J378&gt;0,"미수",IF(AND(H378&gt;0,I378&gt;=H378),"완납","미확인"))</x:f>
        <x:v>미수</x:v>
      </x:c>
      <x:c r="O378" s="31" t="n">
        <x:v>23</x:v>
      </x:c>
    </x:row>
    <x:row r="379" ht="17.25" customHeight="1">
      <x:c r="A379" s="24" t="str">
        <x:v>SW-B-17수4278-202607</x:v>
      </x:c>
      <x:c r="B379" s="24" t="str">
        <x:v>스위치플랜</x:v>
      </x:c>
      <x:c r="C379" s="24" t="str">
        <x:v>SW-C-17수4278-1-20260303-22</x:v>
      </x:c>
      <x:c r="D379" s="24" t="str">
        <x:v>17수4278</x:v>
      </x:c>
      <x:c r="E379" s="24" t="str">
        <x:v>김은옥</x:v>
      </x:c>
      <x:c r="F379" s="24" t="str">
        <x:v>2026-07</x:v>
      </x:c>
      <x:c r="G379" s="30" t="n">
        <x:v>46228</x:v>
      </x:c>
      <x:c r="H379" s="32" t="n">
        <x:v>630000</x:v>
      </x:c>
      <x:c r="I379" s="32" t="n">
        <x:v>630000</x:v>
      </x:c>
      <x:c r="J379" s="32" t="n">
        <x:v>0</x:v>
      </x:c>
      <x:c r="K379" s="30" t="n">
        <x:v>46234</x:v>
      </x:c>
      <x:c r="L379" s="24" t="str">
        <x:v>입금</x:v>
      </x:c>
      <x:c r="M379" s="31" t="n">
        <x:f>IF(AND(N379="미수",G379&lt;&gt;"",TODAY()&gt;G379),TODAY()-G379,0)</x:f>
        <x:v>0</x:v>
      </x:c>
      <x:c r="N379" s="24" t="str">
        <x:f>IF(J379&gt;0,"미수",IF(AND(H379&gt;0,I379&gt;=H379),"완납","미확인"))</x:f>
        <x:v>완납</x:v>
      </x:c>
      <x:c r="O379" s="31" t="n">
        <x:v>23</x:v>
      </x:c>
    </x:row>
    <x:row r="380" ht="17.25" customHeight="1">
      <x:c r="A380" s="24" t="str">
        <x:v>SW-B-17수4278-202606</x:v>
      </x:c>
      <x:c r="B380" s="24" t="str">
        <x:v>스위치플랜</x:v>
      </x:c>
      <x:c r="C380" s="24" t="str">
        <x:v>SW-C-17수4278-1-20260303-22</x:v>
      </x:c>
      <x:c r="D380" s="24" t="str">
        <x:v>17수4278</x:v>
      </x:c>
      <x:c r="E380" s="24" t="str">
        <x:v>김은옥</x:v>
      </x:c>
      <x:c r="F380" s="24" t="str">
        <x:v>2026-06</x:v>
      </x:c>
      <x:c r="G380" s="30" t="n">
        <x:v>46198</x:v>
      </x:c>
      <x:c r="H380" s="32" t="n">
        <x:v>630000</x:v>
      </x:c>
      <x:c r="I380" s="32" t="n">
        <x:v>630000</x:v>
      </x:c>
      <x:c r="J380" s="32" t="n">
        <x:v>0</x:v>
      </x:c>
      <x:c r="K380" s="30" t="n">
        <x:v>46201</x:v>
      </x:c>
      <x:c r="L380" s="24" t="str">
        <x:v>입금</x:v>
      </x:c>
      <x:c r="M380" s="31" t="n">
        <x:f>IF(AND(N380="미수",G380&lt;&gt;"",TODAY()&gt;G380),TODAY()-G380,0)</x:f>
        <x:v>0</x:v>
      </x:c>
      <x:c r="N380" s="24" t="str">
        <x:f>IF(J380&gt;0,"미수",IF(AND(H380&gt;0,I380&gt;=H380),"완납","미확인"))</x:f>
        <x:v>완납</x:v>
      </x:c>
      <x:c r="O380" s="31" t="n">
        <x:v>23</x:v>
      </x:c>
    </x:row>
    <x:row r="381" ht="17.25" customHeight="1">
      <x:c r="A381" s="24" t="str">
        <x:v>SW-B-17수4278-202605</x:v>
      </x:c>
      <x:c r="B381" s="24" t="str">
        <x:v>스위치플랜</x:v>
      </x:c>
      <x:c r="C381" s="24" t="str">
        <x:v>SW-C-17수4278-1-20260303-22</x:v>
      </x:c>
      <x:c r="D381" s="24" t="str">
        <x:v>17수4278</x:v>
      </x:c>
      <x:c r="E381" s="24" t="str">
        <x:v>김은옥</x:v>
      </x:c>
      <x:c r="F381" s="24" t="str">
        <x:v>2026-05</x:v>
      </x:c>
      <x:c r="G381" s="30" t="n">
        <x:v>46167</x:v>
      </x:c>
      <x:c r="H381" s="32" t="n">
        <x:v>630000</x:v>
      </x:c>
      <x:c r="I381" s="32" t="n">
        <x:v>630000</x:v>
      </x:c>
      <x:c r="J381" s="32" t="n">
        <x:v>0</x:v>
      </x:c>
      <x:c r="K381" s="30" t="n">
        <x:v>46170</x:v>
      </x:c>
      <x:c r="L381" s="24" t="str">
        <x:v>입금</x:v>
      </x:c>
      <x:c r="M381" s="31" t="n">
        <x:f>IF(AND(N381="미수",G381&lt;&gt;"",TODAY()&gt;G381),TODAY()-G381,0)</x:f>
        <x:v>0</x:v>
      </x:c>
      <x:c r="N381" s="24" t="str">
        <x:f>IF(J381&gt;0,"미수",IF(AND(H381&gt;0,I381&gt;=H381),"완납","미확인"))</x:f>
        <x:v>완납</x:v>
      </x:c>
      <x:c r="O381" s="31" t="n">
        <x:v>23</x:v>
      </x:c>
    </x:row>
    <x:row r="382" ht="17.25" customHeight="1">
      <x:c r="A382" s="24" t="str">
        <x:v>SW-B-17수4278-202604</x:v>
      </x:c>
      <x:c r="B382" s="24" t="str">
        <x:v>스위치플랜</x:v>
      </x:c>
      <x:c r="C382" s="24" t="str">
        <x:v>SW-C-17수4278-1-20260303-22</x:v>
      </x:c>
      <x:c r="D382" s="24" t="str">
        <x:v>17수4278</x:v>
      </x:c>
      <x:c r="E382" s="24" t="str">
        <x:v>김은옥</x:v>
      </x:c>
      <x:c r="F382" s="24" t="str">
        <x:v>2026-04</x:v>
      </x:c>
      <x:c r="G382" s="30" t="n">
        <x:v>46137</x:v>
      </x:c>
      <x:c r="H382" s="32" t="n">
        <x:v>630000</x:v>
      </x:c>
      <x:c r="I382" s="32" t="n">
        <x:v>1260000</x:v>
      </x:c>
      <x:c r="J382" s="32" t="n">
        <x:v>0</x:v>
      </x:c>
      <x:c r="K382" s="30" t="n">
        <x:v>46118</x:v>
      </x:c>
      <x:c r="L382" s="24" t="str">
        <x:v>입금</x:v>
      </x:c>
      <x:c r="M382" s="31" t="n">
        <x:f>IF(AND(N382="미수",G382&lt;&gt;"",TODAY()&gt;G382),TODAY()-G382,0)</x:f>
        <x:v>0</x:v>
      </x:c>
      <x:c r="N382" s="24" t="str">
        <x:f>IF(J382&gt;0,"미수",IF(AND(H382&gt;0,I382&gt;=H382),"완납","미확인"))</x:f>
        <x:v>완납</x:v>
      </x:c>
      <x:c r="O382" s="31" t="n">
        <x:v>23</x:v>
      </x:c>
    </x:row>
    <x:row r="383" ht="17.25" customHeight="1">
      <x:c r="A383" s="24" t="str">
        <x:v>SW-B-17수4278-202603</x:v>
      </x:c>
      <x:c r="B383" s="24" t="str">
        <x:v>스위치플랜</x:v>
      </x:c>
      <x:c r="C383" s="24" t="str">
        <x:v>SW-C-17수4278-1-20260303-22</x:v>
      </x:c>
      <x:c r="D383" s="24" t="str">
        <x:v>17수4278</x:v>
      </x:c>
      <x:c r="E383" s="24" t="str">
        <x:v>김은옥</x:v>
      </x:c>
      <x:c r="F383" s="24" t="str">
        <x:v>2026-03</x:v>
      </x:c>
      <x:c r="G383" s="30" t="n">
        <x:v>46106</x:v>
      </x:c>
      <x:c r="H383" s="32" t="n">
        <x:v>630000</x:v>
      </x:c>
      <x:c r="I383" s="32" t="n">
        <x:v>630000</x:v>
      </x:c>
      <x:c r="J383" s="32" t="n">
        <x:v>630000</x:v>
      </x:c>
      <x:c r="K383" s="30" t="n">
        <x:v>46084</x:v>
      </x:c>
      <x:c r="L383" s="24" t="str">
        <x:v>입금</x:v>
      </x:c>
      <x:c r="M383" s="31" t="n">
        <x:f>IF(AND(N383="미수",G383&lt;&gt;"",TODAY()&gt;G383),TODAY()-G383,0)</x:f>
        <x:v>143</x:v>
      </x:c>
      <x:c r="N383" s="24" t="str">
        <x:f>IF(J383&gt;0,"미수",IF(AND(H383&gt;0,I383&gt;=H383),"완납","미확인"))</x:f>
        <x:v>미수</x:v>
      </x:c>
      <x:c r="O383" s="31" t="n">
        <x:v>23</x:v>
      </x:c>
    </x:row>
    <x:row r="384" ht="17.25" customHeight="1">
      <x:c r="A384" s="24" t="str">
        <x:v>SW-B-17수4278-202602</x:v>
      </x:c>
      <x:c r="B384" s="24" t="str">
        <x:v>스위치플랜</x:v>
      </x:c>
      <x:c r="C384" s="24" t="str">
        <x:v>SW-C-17수4278-2-20251129-22</x:v>
      </x:c>
      <x:c r="D384" s="24" t="str">
        <x:v>17수4278</x:v>
      </x:c>
      <x:c r="E384" s="24" t="str">
        <x:v>김은옥</x:v>
      </x:c>
      <x:c r="F384" s="24" t="str">
        <x:v>2026-02</x:v>
      </x:c>
      <x:c r="G384" s="30" t="n">
        <x:v>46078</x:v>
      </x:c>
      <x:c r="H384" s="32" t="n">
        <x:v>630000</x:v>
      </x:c>
      <x:c r="I384" s="32"/>
      <x:c r="J384" s="32" t="n">
        <x:v>630000</x:v>
      </x:c>
      <x:c r="K384" s="30"/>
      <x:c r="L384" s="24" t="str"/>
      <x:c r="M384" s="31" t="n">
        <x:f>IF(AND(N384="미수",G384&lt;&gt;"",TODAY()&gt;G384),TODAY()-G384,0)</x:f>
        <x:v>171</x:v>
      </x:c>
      <x:c r="N384" s="24" t="str">
        <x:f>IF(J384&gt;0,"미수",IF(AND(H384&gt;0,I384&gt;=H384),"완납","미확인"))</x:f>
        <x:v>미수</x:v>
      </x:c>
      <x:c r="O384" s="31" t="n">
        <x:v>23</x:v>
      </x:c>
    </x:row>
    <x:row r="385" ht="17.25" customHeight="1">
      <x:c r="A385" s="24" t="str">
        <x:v>SW-B-17수4278-202601</x:v>
      </x:c>
      <x:c r="B385" s="24" t="str">
        <x:v>스위치플랜</x:v>
      </x:c>
      <x:c r="C385" s="24" t="str">
        <x:v>SW-C-17수4278-2-20251129-22</x:v>
      </x:c>
      <x:c r="D385" s="24" t="str">
        <x:v>17수4278</x:v>
      </x:c>
      <x:c r="E385" s="24" t="str">
        <x:v>김은옥</x:v>
      </x:c>
      <x:c r="F385" s="24" t="str">
        <x:v>2026-01</x:v>
      </x:c>
      <x:c r="G385" s="30" t="n">
        <x:v>46047</x:v>
      </x:c>
      <x:c r="H385" s="32" t="n">
        <x:v>630000</x:v>
      </x:c>
      <x:c r="I385" s="32" t="n">
        <x:v>630000</x:v>
      </x:c>
      <x:c r="J385" s="32" t="n">
        <x:v>0</x:v>
      </x:c>
      <x:c r="K385" s="30" t="n">
        <x:v>46050</x:v>
      </x:c>
      <x:c r="L385" s="24" t="str">
        <x:v>입금</x:v>
      </x:c>
      <x:c r="M385" s="31" t="n">
        <x:f>IF(AND(N385="미수",G385&lt;&gt;"",TODAY()&gt;G385),TODAY()-G385,0)</x:f>
        <x:v>0</x:v>
      </x:c>
      <x:c r="N385" s="24" t="str">
        <x:f>IF(J385&gt;0,"미수",IF(AND(H385&gt;0,I385&gt;=H385),"완납","미확인"))</x:f>
        <x:v>완납</x:v>
      </x:c>
      <x:c r="O385" s="31" t="n">
        <x:v>23</x:v>
      </x:c>
    </x:row>
    <x:row r="386" ht="17.25" customHeight="1">
      <x:c r="A386" s="24" t="str">
        <x:v>SW-B-17수4278-202512</x:v>
      </x:c>
      <x:c r="B386" s="24" t="str">
        <x:v>스위치플랜</x:v>
      </x:c>
      <x:c r="C386" s="24" t="str">
        <x:v>SW-C-17수4278-2-20251129-22</x:v>
      </x:c>
      <x:c r="D386" s="24" t="str">
        <x:v>17수4278</x:v>
      </x:c>
      <x:c r="E386" s="24" t="str">
        <x:v>김은옥</x:v>
      </x:c>
      <x:c r="F386" s="24" t="str">
        <x:v>2025-12</x:v>
      </x:c>
      <x:c r="G386" s="30" t="n">
        <x:v>46016</x:v>
      </x:c>
      <x:c r="H386" s="32" t="n">
        <x:v>630000</x:v>
      </x:c>
      <x:c r="I386" s="32" t="n">
        <x:v>630000</x:v>
      </x:c>
      <x:c r="J386" s="32" t="n">
        <x:v>0</x:v>
      </x:c>
      <x:c r="K386" s="30" t="n">
        <x:v>46020</x:v>
      </x:c>
      <x:c r="L386" s="24" t="str">
        <x:v>입금</x:v>
      </x:c>
      <x:c r="M386" s="31" t="n">
        <x:f>IF(AND(N386="미수",G386&lt;&gt;"",TODAY()&gt;G386),TODAY()-G386,0)</x:f>
        <x:v>0</x:v>
      </x:c>
      <x:c r="N386" s="24" t="str">
        <x:f>IF(J386&gt;0,"미수",IF(AND(H386&gt;0,I386&gt;=H386),"완납","미확인"))</x:f>
        <x:v>완납</x:v>
      </x:c>
      <x:c r="O386" s="31" t="n">
        <x:v>23</x:v>
      </x:c>
    </x:row>
    <x:row r="387" ht="17.25" customHeight="1">
      <x:c r="A387" s="24" t="str">
        <x:v>SW-B-17수4278-202511</x:v>
      </x:c>
      <x:c r="B387" s="24" t="str">
        <x:v>스위치플랜</x:v>
      </x:c>
      <x:c r="C387" s="24" t="str">
        <x:v>SW-C-17수4278-2-20251129-22</x:v>
      </x:c>
      <x:c r="D387" s="24" t="str">
        <x:v>17수4278</x:v>
      </x:c>
      <x:c r="E387" s="24" t="str">
        <x:v>김은옥</x:v>
      </x:c>
      <x:c r="F387" s="24" t="str">
        <x:v>2025-11</x:v>
      </x:c>
      <x:c r="G387" s="30" t="n">
        <x:v>45986</x:v>
      </x:c>
      <x:c r="H387" s="32" t="n">
        <x:v>630000</x:v>
      </x:c>
      <x:c r="I387" s="32" t="n">
        <x:v>630000</x:v>
      </x:c>
      <x:c r="J387" s="32" t="n">
        <x:v>0</x:v>
      </x:c>
      <x:c r="K387" s="30" t="n">
        <x:v>45988</x:v>
      </x:c>
      <x:c r="L387" s="24" t="str">
        <x:v>입금</x:v>
      </x:c>
      <x:c r="M387" s="31" t="n">
        <x:f>IF(AND(N387="미수",G387&lt;&gt;"",TODAY()&gt;G387),TODAY()-G387,0)</x:f>
        <x:v>0</x:v>
      </x:c>
      <x:c r="N387" s="24" t="str">
        <x:f>IF(J387&gt;0,"미수",IF(AND(H387&gt;0,I387&gt;=H387),"완납","미확인"))</x:f>
        <x:v>완납</x:v>
      </x:c>
      <x:c r="O387" s="31" t="n">
        <x:v>23</x:v>
      </x:c>
    </x:row>
    <x:row r="388" ht="17.25" customHeight="1">
      <x:c r="A388" s="24" t="str">
        <x:v>SW-B-17수4278-202509</x:v>
      </x:c>
      <x:c r="B388" s="24" t="str">
        <x:v>스위치플랜</x:v>
      </x:c>
      <x:c r="C388" s="24" t="str">
        <x:v>SW-C-17수4278-3-20250906-22</x:v>
      </x:c>
      <x:c r="D388" s="24" t="str">
        <x:v>17수4278</x:v>
      </x:c>
      <x:c r="E388" s="24" t="str">
        <x:v>김은옥</x:v>
      </x:c>
      <x:c r="F388" s="24" t="str">
        <x:v>2025-09</x:v>
      </x:c>
      <x:c r="G388" s="30" t="n">
        <x:v>45925</x:v>
      </x:c>
      <x:c r="H388" s="32" t="n">
        <x:v>780000</x:v>
      </x:c>
      <x:c r="I388" s="32" t="n">
        <x:v>780000</x:v>
      </x:c>
      <x:c r="J388" s="32" t="n">
        <x:v>0</x:v>
      </x:c>
      <x:c r="K388" s="30" t="n">
        <x:v>45906</x:v>
      </x:c>
      <x:c r="L388" s="24" t="str">
        <x:v>입금</x:v>
      </x:c>
      <x:c r="M388" s="31" t="n">
        <x:f>IF(AND(N388="미수",G388&lt;&gt;"",TODAY()&gt;G388),TODAY()-G388,0)</x:f>
        <x:v>0</x:v>
      </x:c>
      <x:c r="N388" s="24" t="str">
        <x:f>IF(J388&gt;0,"미수",IF(AND(H388&gt;0,I388&gt;=H388),"완납","미확인"))</x:f>
        <x:v>완납</x:v>
      </x:c>
      <x:c r="O388" s="31" t="n">
        <x:v>23</x:v>
      </x:c>
    </x:row>
    <x:row r="389" ht="17.25" customHeight="1">
      <x:c r="A389" s="24" t="str">
        <x:v>SW-B-311마8929-202608</x:v>
      </x:c>
      <x:c r="B389" s="24" t="str">
        <x:v>스위치플랜</x:v>
      </x:c>
      <x:c r="C389" s="24" t="str">
        <x:v>SW-C-311마8929-1-20260504-24</x:v>
      </x:c>
      <x:c r="D389" s="24" t="str">
        <x:v>311마8929</x:v>
      </x:c>
      <x:c r="E389" s="24" t="str">
        <x:v>김태원</x:v>
      </x:c>
      <x:c r="F389" s="24" t="str">
        <x:v>2026-08</x:v>
      </x:c>
      <x:c r="G389" s="30" t="n">
        <x:v>46239</x:v>
      </x:c>
      <x:c r="H389" s="32" t="n">
        <x:v>880000</x:v>
      </x:c>
      <x:c r="I389" s="32" t="n">
        <x:v>880000</x:v>
      </x:c>
      <x:c r="J389" s="32" t="n">
        <x:v>0</x:v>
      </x:c>
      <x:c r="K389" s="30" t="n">
        <x:v>46239</x:v>
      </x:c>
      <x:c r="L389" s="24" t="str">
        <x:v>자동</x:v>
      </x:c>
      <x:c r="M389" s="31" t="n">
        <x:f>IF(AND(N389="미수",G389&lt;&gt;"",TODAY()&gt;G389),TODAY()-G389,0)</x:f>
        <x:v>0</x:v>
      </x:c>
      <x:c r="N389" s="24" t="str">
        <x:f>IF(J389&gt;0,"미수",IF(AND(H389&gt;0,I389&gt;=H389),"완납","미확인"))</x:f>
        <x:v>완납</x:v>
      </x:c>
      <x:c r="O389" s="31" t="n">
        <x:v>24</x:v>
      </x:c>
    </x:row>
    <x:row r="390" ht="17.25" customHeight="1">
      <x:c r="A390" s="24" t="str">
        <x:v>SW-B-311마8929-202607</x:v>
      </x:c>
      <x:c r="B390" s="24" t="str">
        <x:v>스위치플랜</x:v>
      </x:c>
      <x:c r="C390" s="24" t="str">
        <x:v>SW-C-311마8929-1-20260504-24</x:v>
      </x:c>
      <x:c r="D390" s="24" t="str">
        <x:v>311마8929</x:v>
      </x:c>
      <x:c r="E390" s="24" t="str">
        <x:v>김태원</x:v>
      </x:c>
      <x:c r="F390" s="24" t="str">
        <x:v>2026-07</x:v>
      </x:c>
      <x:c r="G390" s="30" t="n">
        <x:v>46208</x:v>
      </x:c>
      <x:c r="H390" s="32" t="n">
        <x:v>880000</x:v>
      </x:c>
      <x:c r="I390" s="32" t="n">
        <x:v>880000</x:v>
      </x:c>
      <x:c r="J390" s="32" t="n">
        <x:v>0</x:v>
      </x:c>
      <x:c r="K390" s="30" t="n">
        <x:v>46211</x:v>
      </x:c>
      <x:c r="L390" s="24" t="str">
        <x:v>입금</x:v>
      </x:c>
      <x:c r="M390" s="31" t="n">
        <x:f>IF(AND(N390="미수",G390&lt;&gt;"",TODAY()&gt;G390),TODAY()-G390,0)</x:f>
        <x:v>0</x:v>
      </x:c>
      <x:c r="N390" s="24" t="str">
        <x:f>IF(J390&gt;0,"미수",IF(AND(H390&gt;0,I390&gt;=H390),"완납","미확인"))</x:f>
        <x:v>완납</x:v>
      </x:c>
      <x:c r="O390" s="31" t="n">
        <x:v>24</x:v>
      </x:c>
    </x:row>
    <x:row r="391" ht="17.25" customHeight="1">
      <x:c r="A391" s="24" t="str">
        <x:v>SW-B-311마8929-202606</x:v>
      </x:c>
      <x:c r="B391" s="24" t="str">
        <x:v>스위치플랜</x:v>
      </x:c>
      <x:c r="C391" s="24" t="str">
        <x:v>SW-C-311마8929-1-20260504-24</x:v>
      </x:c>
      <x:c r="D391" s="24" t="str">
        <x:v>311마8929</x:v>
      </x:c>
      <x:c r="E391" s="24" t="str">
        <x:v>김태원</x:v>
      </x:c>
      <x:c r="F391" s="24" t="str">
        <x:v>2026-06</x:v>
      </x:c>
      <x:c r="G391" s="30" t="n">
        <x:v>46178</x:v>
      </x:c>
      <x:c r="H391" s="32" t="n">
        <x:v>850700</x:v>
      </x:c>
      <x:c r="I391" s="32" t="n">
        <x:v>750700</x:v>
      </x:c>
      <x:c r="J391" s="32" t="n">
        <x:v>0</x:v>
      </x:c>
      <x:c r="K391" s="30" t="n">
        <x:v>46183</x:v>
      </x:c>
      <x:c r="L391" s="24" t="str">
        <x:v>입금</x:v>
      </x:c>
      <x:c r="M391" s="31" t="n">
        <x:f>IF(AND(N391="미수",G391&lt;&gt;"",TODAY()&gt;G391),TODAY()-G391,0)</x:f>
        <x:v>0</x:v>
      </x:c>
      <x:c r="N391" s="24" t="str">
        <x:f>IF(J391&gt;0,"미수",IF(AND(H391&gt;0,I391&gt;=H391),"완납","미확인"))</x:f>
        <x:v>미확인</x:v>
      </x:c>
      <x:c r="O391" s="31" t="n">
        <x:v>24</x:v>
      </x:c>
    </x:row>
    <x:row r="392" ht="17.25" customHeight="1">
      <x:c r="A392" s="24" t="str">
        <x:v>SW-B-311마8929-202605</x:v>
      </x:c>
      <x:c r="B392" s="24" t="str">
        <x:v>스위치플랜</x:v>
      </x:c>
      <x:c r="C392" s="24" t="str">
        <x:v>SW-C-311마8929-1-20260504-24</x:v>
      </x:c>
      <x:c r="D392" s="24" t="str">
        <x:v>311마8929</x:v>
      </x:c>
      <x:c r="E392" s="24" t="str">
        <x:v>김태원</x:v>
      </x:c>
      <x:c r="F392" s="24" t="str">
        <x:v>2026-05</x:v>
      </x:c>
      <x:c r="G392" s="30" t="n">
        <x:v>46147</x:v>
      </x:c>
      <x:c r="H392" s="32" t="n">
        <x:v>0</x:v>
      </x:c>
      <x:c r="I392" s="32"/>
      <x:c r="J392" s="32" t="n">
        <x:v>-100000</x:v>
      </x:c>
      <x:c r="K392" s="30"/>
      <x:c r="L392" s="24" t="str"/>
      <x:c r="M392" s="31" t="n">
        <x:f>IF(AND(N392="미수",G392&lt;&gt;"",TODAY()&gt;G392),TODAY()-G392,0)</x:f>
        <x:v>0</x:v>
      </x:c>
      <x:c r="N392" s="24" t="str">
        <x:f>IF(J392&gt;0,"미수",IF(AND(H392&gt;0,I392&gt;=H392),"완납","미확인"))</x:f>
        <x:v>미확인</x:v>
      </x:c>
      <x:c r="O392" s="31" t="n">
        <x:v>24</x:v>
      </x:c>
    </x:row>
    <x:row r="393" ht="17.25" customHeight="1">
      <x:c r="A393" s="24" t="str">
        <x:v>SW-B-311마8929-202604</x:v>
      </x:c>
      <x:c r="B393" s="24" t="str">
        <x:v>스위치플랜</x:v>
      </x:c>
      <x:c r="C393" s="24" t="str">
        <x:v>SW-C-311마8929-2-20251201-24</x:v>
      </x:c>
      <x:c r="D393" s="24" t="str">
        <x:v>311마8929</x:v>
      </x:c>
      <x:c r="E393" s="24" t="str">
        <x:v>김태원</x:v>
      </x:c>
      <x:c r="F393" s="24" t="str">
        <x:v>2026-04</x:v>
      </x:c>
      <x:c r="G393" s="30" t="n">
        <x:v>46117</x:v>
      </x:c>
      <x:c r="H393" s="32" t="n">
        <x:v>0</x:v>
      </x:c>
      <x:c r="I393" s="32" t="n">
        <x:v>100000</x:v>
      </x:c>
      <x:c r="J393" s="32" t="n">
        <x:v>-100000</x:v>
      </x:c>
      <x:c r="K393" s="30" t="n">
        <x:v>46142</x:v>
      </x:c>
      <x:c r="L393" s="24" t="str">
        <x:v>입금</x:v>
      </x:c>
      <x:c r="M393" s="31" t="n">
        <x:f>IF(AND(N393="미수",G393&lt;&gt;"",TODAY()&gt;G393),TODAY()-G393,0)</x:f>
        <x:v>0</x:v>
      </x:c>
      <x:c r="N393" s="24" t="str">
        <x:f>IF(J393&gt;0,"미수",IF(AND(H393&gt;0,I393&gt;=H393),"완납","미확인"))</x:f>
        <x:v>미확인</x:v>
      </x:c>
      <x:c r="O393" s="31" t="n">
        <x:v>24</x:v>
      </x:c>
    </x:row>
    <x:row r="394" ht="17.25" customHeight="1">
      <x:c r="A394" s="24" t="str">
        <x:v>SW-B-311마8929-202603</x:v>
      </x:c>
      <x:c r="B394" s="24" t="str">
        <x:v>스위치플랜</x:v>
      </x:c>
      <x:c r="C394" s="24" t="str">
        <x:v>SW-C-311마8929-2-20251201-24</x:v>
      </x:c>
      <x:c r="D394" s="24" t="str">
        <x:v>311마8929</x:v>
      </x:c>
      <x:c r="E394" s="24" t="str">
        <x:v>김태원</x:v>
      </x:c>
      <x:c r="F394" s="24" t="str">
        <x:v>2026-03</x:v>
      </x:c>
      <x:c r="G394" s="30" t="n">
        <x:v>46086</x:v>
      </x:c>
      <x:c r="H394" s="32" t="n">
        <x:v>1280000</x:v>
      </x:c>
      <x:c r="I394" s="32"/>
      <x:c r="J394" s="32" t="n">
        <x:v>0</x:v>
      </x:c>
      <x:c r="K394" s="30"/>
      <x:c r="L394" s="24" t="str"/>
      <x:c r="M394" s="31" t="n">
        <x:f>IF(AND(N394="미수",G394&lt;&gt;"",TODAY()&gt;G394),TODAY()-G394,0)</x:f>
        <x:v>0</x:v>
      </x:c>
      <x:c r="N394" s="24" t="str">
        <x:f>IF(J394&gt;0,"미수",IF(AND(H394&gt;0,I394&gt;=H394),"완납","미확인"))</x:f>
        <x:v>미확인</x:v>
      </x:c>
      <x:c r="O394" s="31" t="n">
        <x:v>24</x:v>
      </x:c>
    </x:row>
    <x:row r="395" ht="17.25" customHeight="1">
      <x:c r="A395" s="24" t="str">
        <x:v>SW-B-311마8929-202602</x:v>
      </x:c>
      <x:c r="B395" s="24" t="str">
        <x:v>스위치플랜</x:v>
      </x:c>
      <x:c r="C395" s="24" t="str">
        <x:v>SW-C-311마8929-2-20251201-24</x:v>
      </x:c>
      <x:c r="D395" s="24" t="str">
        <x:v>311마8929</x:v>
      </x:c>
      <x:c r="E395" s="24" t="str">
        <x:v>김태원</x:v>
      </x:c>
      <x:c r="F395" s="24" t="str">
        <x:v>2026-02</x:v>
      </x:c>
      <x:c r="G395" s="30" t="n">
        <x:v>46058</x:v>
      </x:c>
      <x:c r="H395" s="32" t="n">
        <x:v>1280000</x:v>
      </x:c>
      <x:c r="I395" s="32" t="n">
        <x:v>2560000</x:v>
      </x:c>
      <x:c r="J395" s="32" t="n">
        <x:v>0</x:v>
      </x:c>
      <x:c r="K395" s="30" t="n">
        <x:v>46070</x:v>
      </x:c>
      <x:c r="L395" s="24" t="str">
        <x:v>입금</x:v>
      </x:c>
      <x:c r="M395" s="31" t="n">
        <x:f>IF(AND(N395="미수",G395&lt;&gt;"",TODAY()&gt;G395),TODAY()-G395,0)</x:f>
        <x:v>0</x:v>
      </x:c>
      <x:c r="N395" s="24" t="str">
        <x:f>IF(J395&gt;0,"미수",IF(AND(H395&gt;0,I395&gt;=H395),"완납","미확인"))</x:f>
        <x:v>완납</x:v>
      </x:c>
      <x:c r="O395" s="31" t="n">
        <x:v>24</x:v>
      </x:c>
    </x:row>
    <x:row r="396" ht="17.25" customHeight="1">
      <x:c r="A396" s="24" t="str">
        <x:v>SW-B-311마8929-202601</x:v>
      </x:c>
      <x:c r="B396" s="24" t="str">
        <x:v>스위치플랜</x:v>
      </x:c>
      <x:c r="C396" s="24" t="str">
        <x:v>SW-C-311마8929-2-20251201-24</x:v>
      </x:c>
      <x:c r="D396" s="24" t="str">
        <x:v>311마8929</x:v>
      </x:c>
      <x:c r="E396" s="24" t="str">
        <x:v>김태원</x:v>
      </x:c>
      <x:c r="F396" s="24" t="str">
        <x:v>2026-01</x:v>
      </x:c>
      <x:c r="G396" s="30" t="n">
        <x:v>46027</x:v>
      </x:c>
      <x:c r="H396" s="32" t="n">
        <x:v>1280000</x:v>
      </x:c>
      <x:c r="I396" s="32"/>
      <x:c r="J396" s="32" t="n">
        <x:v>1280000</x:v>
      </x:c>
      <x:c r="K396" s="30"/>
      <x:c r="L396" s="24" t="str"/>
      <x:c r="M396" s="31" t="n">
        <x:f>IF(AND(N396="미수",G396&lt;&gt;"",TODAY()&gt;G396),TODAY()-G396,0)</x:f>
        <x:v>222</x:v>
      </x:c>
      <x:c r="N396" s="24" t="str">
        <x:f>IF(J396&gt;0,"미수",IF(AND(H396&gt;0,I396&gt;=H396),"완납","미확인"))</x:f>
        <x:v>미수</x:v>
      </x:c>
      <x:c r="O396" s="31" t="n">
        <x:v>24</x:v>
      </x:c>
    </x:row>
    <x:row r="397" ht="17.25" customHeight="1">
      <x:c r="A397" s="24" t="str">
        <x:v>SW-B-311마8929-202512</x:v>
      </x:c>
      <x:c r="B397" s="24" t="str">
        <x:v>스위치플랜</x:v>
      </x:c>
      <x:c r="C397" s="24" t="str">
        <x:v>SW-C-311마8929-2-20251201-24</x:v>
      </x:c>
      <x:c r="D397" s="24" t="str">
        <x:v>311마8929</x:v>
      </x:c>
      <x:c r="E397" s="24" t="str">
        <x:v>김태원</x:v>
      </x:c>
      <x:c r="F397" s="24" t="str">
        <x:v>2025-12</x:v>
      </x:c>
      <x:c r="G397" s="30" t="n">
        <x:v>45996</x:v>
      </x:c>
      <x:c r="H397" s="32" t="n">
        <x:v>1280000</x:v>
      </x:c>
      <x:c r="I397" s="32" t="n">
        <x:v>1280000</x:v>
      </x:c>
      <x:c r="J397" s="32" t="n">
        <x:v>0</x:v>
      </x:c>
      <x:c r="K397" s="30"/>
      <x:c r="L397" s="24" t="str">
        <x:v>입금</x:v>
      </x:c>
      <x:c r="M397" s="31" t="n">
        <x:f>IF(AND(N397="미수",G397&lt;&gt;"",TODAY()&gt;G397),TODAY()-G397,0)</x:f>
        <x:v>0</x:v>
      </x:c>
      <x:c r="N397" s="24" t="str">
        <x:f>IF(J397&gt;0,"미수",IF(AND(H397&gt;0,I397&gt;=H397),"완납","미확인"))</x:f>
        <x:v>완납</x:v>
      </x:c>
      <x:c r="O397" s="31" t="n">
        <x:v>24</x:v>
      </x:c>
    </x:row>
    <x:row r="398" ht="17.25" customHeight="1">
      <x:c r="A398" s="24" t="str">
        <x:v>SW-B-311마8929-202511</x:v>
      </x:c>
      <x:c r="B398" s="24" t="str">
        <x:v>스위치플랜</x:v>
      </x:c>
      <x:c r="C398" s="24" t="str">
        <x:v>SW-C-311마8929-3-20250415-24</x:v>
      </x:c>
      <x:c r="D398" s="24" t="str">
        <x:v>311마8929</x:v>
      </x:c>
      <x:c r="E398" s="24" t="str">
        <x:v>김태원</x:v>
      </x:c>
      <x:c r="F398" s="24" t="str">
        <x:v>2025-11</x:v>
      </x:c>
      <x:c r="G398" s="30" t="n">
        <x:v>45966</x:v>
      </x:c>
      <x:c r="H398" s="32" t="n">
        <x:v>1280000</x:v>
      </x:c>
      <x:c r="I398" s="32" t="n">
        <x:v>1280000</x:v>
      </x:c>
      <x:c r="J398" s="32" t="n">
        <x:v>0</x:v>
      </x:c>
      <x:c r="K398" s="30" t="n">
        <x:v>45982</x:v>
      </x:c>
      <x:c r="L398" s="24" t="str">
        <x:v>입금</x:v>
      </x:c>
      <x:c r="M398" s="31" t="n">
        <x:f>IF(AND(N398="미수",G398&lt;&gt;"",TODAY()&gt;G398),TODAY()-G398,0)</x:f>
        <x:v>0</x:v>
      </x:c>
      <x:c r="N398" s="24" t="str">
        <x:f>IF(J398&gt;0,"미수",IF(AND(H398&gt;0,I398&gt;=H398),"완납","미확인"))</x:f>
        <x:v>완납</x:v>
      </x:c>
      <x:c r="O398" s="31" t="n">
        <x:v>24</x:v>
      </x:c>
    </x:row>
    <x:row r="399" ht="17.25" customHeight="1">
      <x:c r="A399" s="24" t="str">
        <x:v>SW-B-311마8929-202510</x:v>
      </x:c>
      <x:c r="B399" s="24" t="str">
        <x:v>스위치플랜</x:v>
      </x:c>
      <x:c r="C399" s="24" t="str">
        <x:v>SW-C-311마8929-3-20250415-24</x:v>
      </x:c>
      <x:c r="D399" s="24" t="str">
        <x:v>311마8929</x:v>
      </x:c>
      <x:c r="E399" s="24" t="str">
        <x:v>김태원</x:v>
      </x:c>
      <x:c r="F399" s="24" t="str">
        <x:v>2025-10</x:v>
      </x:c>
      <x:c r="G399" s="30" t="n">
        <x:v>45935</x:v>
      </x:c>
      <x:c r="H399" s="32" t="n">
        <x:v>1280000</x:v>
      </x:c>
      <x:c r="I399" s="32" t="n">
        <x:v>1280000</x:v>
      </x:c>
      <x:c r="J399" s="32" t="n">
        <x:v>0</x:v>
      </x:c>
      <x:c r="K399" s="30" t="n">
        <x:v>45950</x:v>
      </x:c>
      <x:c r="L399" s="24" t="str">
        <x:v>입금</x:v>
      </x:c>
      <x:c r="M399" s="31" t="n">
        <x:f>IF(AND(N399="미수",G399&lt;&gt;"",TODAY()&gt;G399),TODAY()-G399,0)</x:f>
        <x:v>0</x:v>
      </x:c>
      <x:c r="N399" s="24" t="str">
        <x:f>IF(J399&gt;0,"미수",IF(AND(H399&gt;0,I399&gt;=H399),"완납","미확인"))</x:f>
        <x:v>완납</x:v>
      </x:c>
      <x:c r="O399" s="31" t="n">
        <x:v>24</x:v>
      </x:c>
    </x:row>
    <x:row r="400" ht="17.25" customHeight="1">
      <x:c r="A400" s="24" t="str">
        <x:v>SW-B-311마8929-202509</x:v>
      </x:c>
      <x:c r="B400" s="24" t="str">
        <x:v>스위치플랜</x:v>
      </x:c>
      <x:c r="C400" s="24" t="str">
        <x:v>SW-C-311마8929-3-20250415-24</x:v>
      </x:c>
      <x:c r="D400" s="24" t="str">
        <x:v>311마8929</x:v>
      </x:c>
      <x:c r="E400" s="24" t="str">
        <x:v>김태원</x:v>
      </x:c>
      <x:c r="F400" s="24" t="str">
        <x:v>2025-09</x:v>
      </x:c>
      <x:c r="G400" s="30" t="n">
        <x:v>45905</x:v>
      </x:c>
      <x:c r="H400" s="32" t="n">
        <x:v>1280000</x:v>
      </x:c>
      <x:c r="I400" s="32" t="n">
        <x:v>1280000</x:v>
      </x:c>
      <x:c r="J400" s="32" t="n">
        <x:v>0</x:v>
      </x:c>
      <x:c r="K400" s="30" t="n">
        <x:v>45915</x:v>
      </x:c>
      <x:c r="L400" s="24" t="str">
        <x:v>입금</x:v>
      </x:c>
      <x:c r="M400" s="31" t="n">
        <x:f>IF(AND(N400="미수",G400&lt;&gt;"",TODAY()&gt;G400),TODAY()-G400,0)</x:f>
        <x:v>0</x:v>
      </x:c>
      <x:c r="N400" s="24" t="str">
        <x:f>IF(J400&gt;0,"미수",IF(AND(H400&gt;0,I400&gt;=H400),"완납","미확인"))</x:f>
        <x:v>완납</x:v>
      </x:c>
      <x:c r="O400" s="31" t="n">
        <x:v>24</x:v>
      </x:c>
    </x:row>
    <x:row r="401" ht="17.25" customHeight="1">
      <x:c r="A401" s="24" t="str">
        <x:v>SW-B-311마8929-202508</x:v>
      </x:c>
      <x:c r="B401" s="24" t="str">
        <x:v>스위치플랜</x:v>
      </x:c>
      <x:c r="C401" s="24" t="str">
        <x:v>SW-C-311마8929-3-20250415-24</x:v>
      </x:c>
      <x:c r="D401" s="24" t="str">
        <x:v>311마8929</x:v>
      </x:c>
      <x:c r="E401" s="24" t="str">
        <x:v>김태원</x:v>
      </x:c>
      <x:c r="F401" s="24" t="str">
        <x:v>2025-08</x:v>
      </x:c>
      <x:c r="G401" s="30" t="n">
        <x:v>45874</x:v>
      </x:c>
      <x:c r="H401" s="32" t="n">
        <x:v>1280000</x:v>
      </x:c>
      <x:c r="I401" s="32" t="n">
        <x:v>1280000</x:v>
      </x:c>
      <x:c r="J401" s="32" t="n">
        <x:v>0</x:v>
      </x:c>
      <x:c r="K401" s="30" t="n">
        <x:v>45888</x:v>
      </x:c>
      <x:c r="L401" s="24" t="str">
        <x:v>입금</x:v>
      </x:c>
      <x:c r="M401" s="31" t="n">
        <x:f>IF(AND(N401="미수",G401&lt;&gt;"",TODAY()&gt;G401),TODAY()-G401,0)</x:f>
        <x:v>0</x:v>
      </x:c>
      <x:c r="N401" s="24" t="str">
        <x:f>IF(J401&gt;0,"미수",IF(AND(H401&gt;0,I401&gt;=H401),"완납","미확인"))</x:f>
        <x:v>완납</x:v>
      </x:c>
      <x:c r="O401" s="31" t="n">
        <x:v>24</x:v>
      </x:c>
    </x:row>
    <x:row r="402" ht="17.25" customHeight="1">
      <x:c r="A402" s="24" t="str">
        <x:v>SW-B-311마8929-202507</x:v>
      </x:c>
      <x:c r="B402" s="24" t="str">
        <x:v>스위치플랜</x:v>
      </x:c>
      <x:c r="C402" s="24" t="str">
        <x:v>SW-C-311마8929-3-20250415-24</x:v>
      </x:c>
      <x:c r="D402" s="24" t="str">
        <x:v>311마8929</x:v>
      </x:c>
      <x:c r="E402" s="24" t="str">
        <x:v>김태원</x:v>
      </x:c>
      <x:c r="F402" s="24" t="str">
        <x:v>2025-07</x:v>
      </x:c>
      <x:c r="G402" s="30" t="n">
        <x:v>45843</x:v>
      </x:c>
      <x:c r="H402" s="32" t="n">
        <x:v>1280000</x:v>
      </x:c>
      <x:c r="I402" s="32" t="n">
        <x:v>1280000</x:v>
      </x:c>
      <x:c r="J402" s="32" t="n">
        <x:v>0</x:v>
      </x:c>
      <x:c r="K402" s="30" t="n">
        <x:v>45855</x:v>
      </x:c>
      <x:c r="L402" s="24" t="str">
        <x:v>입금</x:v>
      </x:c>
      <x:c r="M402" s="31" t="n">
        <x:f>IF(AND(N402="미수",G402&lt;&gt;"",TODAY()&gt;G402),TODAY()-G402,0)</x:f>
        <x:v>0</x:v>
      </x:c>
      <x:c r="N402" s="24" t="str">
        <x:f>IF(J402&gt;0,"미수",IF(AND(H402&gt;0,I402&gt;=H402),"완납","미확인"))</x:f>
        <x:v>완납</x:v>
      </x:c>
      <x:c r="O402" s="31" t="n">
        <x:v>24</x:v>
      </x:c>
    </x:row>
    <x:row r="403" ht="17.25" customHeight="1">
      <x:c r="A403" s="24" t="str">
        <x:v>SW-B-311마8929-202506</x:v>
      </x:c>
      <x:c r="B403" s="24" t="str">
        <x:v>스위치플랜</x:v>
      </x:c>
      <x:c r="C403" s="24" t="str">
        <x:v>SW-C-311마8929-3-20250415-24</x:v>
      </x:c>
      <x:c r="D403" s="24" t="str">
        <x:v>311마8929</x:v>
      </x:c>
      <x:c r="E403" s="24" t="str">
        <x:v>김태원</x:v>
      </x:c>
      <x:c r="F403" s="24" t="str">
        <x:v>2025-06</x:v>
      </x:c>
      <x:c r="G403" s="30" t="n">
        <x:v>45813</x:v>
      </x:c>
      <x:c r="H403" s="32" t="n">
        <x:v>1280000</x:v>
      </x:c>
      <x:c r="I403" s="32" t="n">
        <x:v>1280000</x:v>
      </x:c>
      <x:c r="J403" s="32" t="n">
        <x:v>0</x:v>
      </x:c>
      <x:c r="K403" s="30" t="n">
        <x:v>45825</x:v>
      </x:c>
      <x:c r="L403" s="24" t="str">
        <x:v>입금</x:v>
      </x:c>
      <x:c r="M403" s="31" t="n">
        <x:f>IF(AND(N403="미수",G403&lt;&gt;"",TODAY()&gt;G403),TODAY()-G403,0)</x:f>
        <x:v>0</x:v>
      </x:c>
      <x:c r="N403" s="24" t="str">
        <x:f>IF(J403&gt;0,"미수",IF(AND(H403&gt;0,I403&gt;=H403),"완납","미확인"))</x:f>
        <x:v>완납</x:v>
      </x:c>
      <x:c r="O403" s="31" t="n">
        <x:v>24</x:v>
      </x:c>
    </x:row>
    <x:row r="404" ht="17.25" customHeight="1">
      <x:c r="A404" s="24" t="str">
        <x:v>SW-B-311마8929-202505</x:v>
      </x:c>
      <x:c r="B404" s="24" t="str">
        <x:v>스위치플랜</x:v>
      </x:c>
      <x:c r="C404" s="24" t="str">
        <x:v>SW-C-311마8929-3-20250415-24</x:v>
      </x:c>
      <x:c r="D404" s="24" t="str">
        <x:v>311마8929</x:v>
      </x:c>
      <x:c r="E404" s="24" t="str">
        <x:v>김태원</x:v>
      </x:c>
      <x:c r="F404" s="24" t="str">
        <x:v>2025-05</x:v>
      </x:c>
      <x:c r="G404" s="30" t="n">
        <x:v>45782</x:v>
      </x:c>
      <x:c r="H404" s="32" t="n">
        <x:v>1280000</x:v>
      </x:c>
      <x:c r="I404" s="32" t="n">
        <x:v>1280000</x:v>
      </x:c>
      <x:c r="J404" s="32" t="n">
        <x:v>0</x:v>
      </x:c>
      <x:c r="K404" s="30" t="n">
        <x:v>45792</x:v>
      </x:c>
      <x:c r="L404" s="24" t="str">
        <x:v>자동</x:v>
      </x:c>
      <x:c r="M404" s="31" t="n">
        <x:f>IF(AND(N404="미수",G404&lt;&gt;"",TODAY()&gt;G404),TODAY()-G404,0)</x:f>
        <x:v>0</x:v>
      </x:c>
      <x:c r="N404" s="24" t="str">
        <x:f>IF(J404&gt;0,"미수",IF(AND(H404&gt;0,I404&gt;=H404),"완납","미확인"))</x:f>
        <x:v>완납</x:v>
      </x:c>
      <x:c r="O404" s="31" t="n">
        <x:v>24</x:v>
      </x:c>
    </x:row>
    <x:row r="405" ht="17.25" customHeight="1">
      <x:c r="A405" s="24" t="str">
        <x:v>SW-B-311마8929-202504</x:v>
      </x:c>
      <x:c r="B405" s="24" t="str">
        <x:v>스위치플랜</x:v>
      </x:c>
      <x:c r="C405" s="24" t="str">
        <x:v>SW-C-311마8929-3-20250415-24</x:v>
      </x:c>
      <x:c r="D405" s="24" t="str">
        <x:v>311마8929</x:v>
      </x:c>
      <x:c r="E405" s="24" t="str">
        <x:v>김태원</x:v>
      </x:c>
      <x:c r="F405" s="24" t="str">
        <x:v>2025-04</x:v>
      </x:c>
      <x:c r="G405" s="30" t="n">
        <x:v>45752</x:v>
      </x:c>
      <x:c r="H405" s="32" t="n">
        <x:v>1280000</x:v>
      </x:c>
      <x:c r="I405" s="32" t="n">
        <x:v>1280000</x:v>
      </x:c>
      <x:c r="J405" s="32" t="n">
        <x:v>0</x:v>
      </x:c>
      <x:c r="K405" s="30" t="n">
        <x:v>45756</x:v>
      </x:c>
      <x:c r="L405" s="24" t="str">
        <x:v>입금</x:v>
      </x:c>
      <x:c r="M405" s="31" t="n">
        <x:f>IF(AND(N405="미수",G405&lt;&gt;"",TODAY()&gt;G405),TODAY()-G405,0)</x:f>
        <x:v>0</x:v>
      </x:c>
      <x:c r="N405" s="24" t="str">
        <x:f>IF(J405&gt;0,"미수",IF(AND(H405&gt;0,I405&gt;=H405),"완납","미확인"))</x:f>
        <x:v>완납</x:v>
      </x:c>
      <x:c r="O405" s="31" t="n">
        <x:v>24</x:v>
      </x:c>
    </x:row>
    <x:row r="406" ht="17.25" customHeight="1">
      <x:c r="A406" s="24" t="str">
        <x:v>SW-B-10어7374-202608</x:v>
      </x:c>
      <x:c r="B406" s="24" t="str">
        <x:v>스위치플랜</x:v>
      </x:c>
      <x:c r="C406" s="24" t="str">
        <x:v>SW-C-10어7374-1-20241230-25</x:v>
      </x:c>
      <x:c r="D406" s="24" t="str">
        <x:v>10어7374</x:v>
      </x:c>
      <x:c r="E406" s="24" t="str">
        <x:v>오종석</x:v>
      </x:c>
      <x:c r="F406" s="24" t="str">
        <x:v>2026-08</x:v>
      </x:c>
      <x:c r="G406" s="30"/>
      <x:c r="H406" s="32" t="n">
        <x:v>580000</x:v>
      </x:c>
      <x:c r="I406" s="32" t="n">
        <x:v>580000</x:v>
      </x:c>
      <x:c r="J406" s="32" t="n">
        <x:v>-580000</x:v>
      </x:c>
      <x:c r="K406" s="30" t="n">
        <x:v>46244</x:v>
      </x:c>
      <x:c r="L406" s="24" t="str">
        <x:v>입금</x:v>
      </x:c>
      <x:c r="M406" s="31" t="n">
        <x:f>IF(AND(N406="미수",G406&lt;&gt;"",TODAY()&gt;G406),TODAY()-G406,0)</x:f>
        <x:v>0</x:v>
      </x:c>
      <x:c r="N406" s="24" t="str">
        <x:f>IF(J406&gt;0,"미수",IF(AND(H406&gt;0,I406&gt;=H406),"완납","미확인"))</x:f>
        <x:v>완납</x:v>
      </x:c>
      <x:c r="O406" s="31" t="n">
        <x:v>25</x:v>
      </x:c>
    </x:row>
    <x:row r="407" ht="17.25" customHeight="1">
      <x:c r="A407" s="24" t="str">
        <x:v>SW-B-10어7374-202607</x:v>
      </x:c>
      <x:c r="B407" s="24" t="str">
        <x:v>스위치플랜</x:v>
      </x:c>
      <x:c r="C407" s="24" t="str">
        <x:v>SW-C-10어7374-1-20241230-25</x:v>
      </x:c>
      <x:c r="D407" s="24" t="str">
        <x:v>10어7374</x:v>
      </x:c>
      <x:c r="E407" s="24" t="str">
        <x:v>오종석</x:v>
      </x:c>
      <x:c r="F407" s="24" t="str">
        <x:v>2026-07</x:v>
      </x:c>
      <x:c r="G407" s="30"/>
      <x:c r="H407" s="32" t="n">
        <x:v>580000</x:v>
      </x:c>
      <x:c r="I407" s="32" t="n">
        <x:v>580000</x:v>
      </x:c>
      <x:c r="J407" s="32" t="n">
        <x:v>-580000</x:v>
      </x:c>
      <x:c r="K407" s="30" t="n">
        <x:v>46213</x:v>
      </x:c>
      <x:c r="L407" s="24" t="str">
        <x:v>입금</x:v>
      </x:c>
      <x:c r="M407" s="31" t="n">
        <x:f>IF(AND(N407="미수",G407&lt;&gt;"",TODAY()&gt;G407),TODAY()-G407,0)</x:f>
        <x:v>0</x:v>
      </x:c>
      <x:c r="N407" s="24" t="str">
        <x:f>IF(J407&gt;0,"미수",IF(AND(H407&gt;0,I407&gt;=H407),"완납","미확인"))</x:f>
        <x:v>완납</x:v>
      </x:c>
      <x:c r="O407" s="31" t="n">
        <x:v>25</x:v>
      </x:c>
    </x:row>
    <x:row r="408" ht="17.25" customHeight="1">
      <x:c r="A408" s="24" t="str">
        <x:v>SW-B-10어7374-202606</x:v>
      </x:c>
      <x:c r="B408" s="24" t="str">
        <x:v>스위치플랜</x:v>
      </x:c>
      <x:c r="C408" s="24" t="str">
        <x:v>SW-C-10어7374-1-20241230-25</x:v>
      </x:c>
      <x:c r="D408" s="24" t="str">
        <x:v>10어7374</x:v>
      </x:c>
      <x:c r="E408" s="24" t="str">
        <x:v>오종석</x:v>
      </x:c>
      <x:c r="F408" s="24" t="str">
        <x:v>2026-06</x:v>
      </x:c>
      <x:c r="G408" s="30"/>
      <x:c r="H408" s="32" t="n">
        <x:v>580000</x:v>
      </x:c>
      <x:c r="I408" s="32" t="n">
        <x:v>580000</x:v>
      </x:c>
      <x:c r="J408" s="32" t="n">
        <x:v>-580000</x:v>
      </x:c>
      <x:c r="K408" s="30" t="n">
        <x:v>46183</x:v>
      </x:c>
      <x:c r="L408" s="24" t="str">
        <x:v>입금</x:v>
      </x:c>
      <x:c r="M408" s="31" t="n">
        <x:f>IF(AND(N408="미수",G408&lt;&gt;"",TODAY()&gt;G408),TODAY()-G408,0)</x:f>
        <x:v>0</x:v>
      </x:c>
      <x:c r="N408" s="24" t="str">
        <x:f>IF(J408&gt;0,"미수",IF(AND(H408&gt;0,I408&gt;=H408),"완납","미확인"))</x:f>
        <x:v>완납</x:v>
      </x:c>
      <x:c r="O408" s="31" t="n">
        <x:v>25</x:v>
      </x:c>
    </x:row>
    <x:row r="409" ht="17.25" customHeight="1">
      <x:c r="A409" s="24" t="str">
        <x:v>SW-B-10어7374-202605</x:v>
      </x:c>
      <x:c r="B409" s="24" t="str">
        <x:v>스위치플랜</x:v>
      </x:c>
      <x:c r="C409" s="24" t="str">
        <x:v>SW-C-10어7374-1-20241230-25</x:v>
      </x:c>
      <x:c r="D409" s="24" t="str">
        <x:v>10어7374</x:v>
      </x:c>
      <x:c r="E409" s="24" t="str">
        <x:v>오종석</x:v>
      </x:c>
      <x:c r="F409" s="24" t="str">
        <x:v>2026-05</x:v>
      </x:c>
      <x:c r="G409" s="30"/>
      <x:c r="H409" s="32" t="n">
        <x:v>580000</x:v>
      </x:c>
      <x:c r="I409" s="32" t="n">
        <x:v>580000</x:v>
      </x:c>
      <x:c r="J409" s="32" t="n">
        <x:v>-580000</x:v>
      </x:c>
      <x:c r="K409" s="30" t="n">
        <x:v>46150</x:v>
      </x:c>
      <x:c r="L409" s="24" t="str">
        <x:v>입금</x:v>
      </x:c>
      <x:c r="M409" s="31" t="n">
        <x:f>IF(AND(N409="미수",G409&lt;&gt;"",TODAY()&gt;G409),TODAY()-G409,0)</x:f>
        <x:v>0</x:v>
      </x:c>
      <x:c r="N409" s="24" t="str">
        <x:f>IF(J409&gt;0,"미수",IF(AND(H409&gt;0,I409&gt;=H409),"완납","미확인"))</x:f>
        <x:v>완납</x:v>
      </x:c>
      <x:c r="O409" s="31" t="n">
        <x:v>25</x:v>
      </x:c>
    </x:row>
    <x:row r="410" ht="17.25" customHeight="1">
      <x:c r="A410" s="24" t="str">
        <x:v>SW-B-10어7374-202604</x:v>
      </x:c>
      <x:c r="B410" s="24" t="str">
        <x:v>스위치플랜</x:v>
      </x:c>
      <x:c r="C410" s="24" t="str">
        <x:v>SW-C-10어7374-1-20241230-25</x:v>
      </x:c>
      <x:c r="D410" s="24" t="str">
        <x:v>10어7374</x:v>
      </x:c>
      <x:c r="E410" s="24" t="str">
        <x:v>오종석</x:v>
      </x:c>
      <x:c r="F410" s="24" t="str">
        <x:v>2026-04</x:v>
      </x:c>
      <x:c r="G410" s="30"/>
      <x:c r="H410" s="32" t="n">
        <x:v>580000</x:v>
      </x:c>
      <x:c r="I410" s="32" t="n">
        <x:v>580000</x:v>
      </x:c>
      <x:c r="J410" s="32" t="n">
        <x:v>-580000</x:v>
      </x:c>
      <x:c r="K410" s="30" t="n">
        <x:v>46122</x:v>
      </x:c>
      <x:c r="L410" s="24" t="str">
        <x:v>입금</x:v>
      </x:c>
      <x:c r="M410" s="31" t="n">
        <x:f>IF(AND(N410="미수",G410&lt;&gt;"",TODAY()&gt;G410),TODAY()-G410,0)</x:f>
        <x:v>0</x:v>
      </x:c>
      <x:c r="N410" s="24" t="str">
        <x:f>IF(J410&gt;0,"미수",IF(AND(H410&gt;0,I410&gt;=H410),"완납","미확인"))</x:f>
        <x:v>완납</x:v>
      </x:c>
      <x:c r="O410" s="31" t="n">
        <x:v>25</x:v>
      </x:c>
    </x:row>
    <x:row r="411" ht="17.25" customHeight="1">
      <x:c r="A411" s="24" t="str">
        <x:v>SW-B-10어7374-202603</x:v>
      </x:c>
      <x:c r="B411" s="24" t="str">
        <x:v>스위치플랜</x:v>
      </x:c>
      <x:c r="C411" s="24" t="str">
        <x:v>SW-C-10어7374-1-20241230-25</x:v>
      </x:c>
      <x:c r="D411" s="24" t="str">
        <x:v>10어7374</x:v>
      </x:c>
      <x:c r="E411" s="24" t="str">
        <x:v>오종석</x:v>
      </x:c>
      <x:c r="F411" s="24" t="str">
        <x:v>2026-03</x:v>
      </x:c>
      <x:c r="G411" s="30"/>
      <x:c r="H411" s="32" t="n">
        <x:v>580000</x:v>
      </x:c>
      <x:c r="I411" s="32" t="n">
        <x:v>580000</x:v>
      </x:c>
      <x:c r="J411" s="32" t="n">
        <x:v>-580000</x:v>
      </x:c>
      <x:c r="K411" s="30" t="n">
        <x:v>46091</x:v>
      </x:c>
      <x:c r="L411" s="24" t="str"/>
      <x:c r="M411" s="31" t="n">
        <x:f>IF(AND(N411="미수",G411&lt;&gt;"",TODAY()&gt;G411),TODAY()-G411,0)</x:f>
        <x:v>0</x:v>
      </x:c>
      <x:c r="N411" s="24" t="str">
        <x:f>IF(J411&gt;0,"미수",IF(AND(H411&gt;0,I411&gt;=H411),"완납","미확인"))</x:f>
        <x:v>완납</x:v>
      </x:c>
      <x:c r="O411" s="31" t="n">
        <x:v>25</x:v>
      </x:c>
    </x:row>
    <x:row r="412" ht="17.25" customHeight="1">
      <x:c r="A412" s="24" t="str">
        <x:v>SW-B-10어7374-202602</x:v>
      </x:c>
      <x:c r="B412" s="24" t="str">
        <x:v>스위치플랜</x:v>
      </x:c>
      <x:c r="C412" s="24" t="str">
        <x:v>SW-C-10어7374-1-20241230-25</x:v>
      </x:c>
      <x:c r="D412" s="24" t="str">
        <x:v>10어7374</x:v>
      </x:c>
      <x:c r="E412" s="24" t="str">
        <x:v>오종석</x:v>
      </x:c>
      <x:c r="F412" s="24" t="str">
        <x:v>2026-02</x:v>
      </x:c>
      <x:c r="G412" s="30"/>
      <x:c r="H412" s="32" t="n">
        <x:v>580000</x:v>
      </x:c>
      <x:c r="I412" s="32" t="n">
        <x:v>1160000</x:v>
      </x:c>
      <x:c r="J412" s="32" t="n">
        <x:v>-580000</x:v>
      </x:c>
      <x:c r="K412" s="30" t="n">
        <x:v>46063</x:v>
      </x:c>
      <x:c r="L412" s="24" t="str">
        <x:v>입금</x:v>
      </x:c>
      <x:c r="M412" s="31" t="n">
        <x:f>IF(AND(N412="미수",G412&lt;&gt;"",TODAY()&gt;G412),TODAY()-G412,0)</x:f>
        <x:v>0</x:v>
      </x:c>
      <x:c r="N412" s="24" t="str">
        <x:f>IF(J412&gt;0,"미수",IF(AND(H412&gt;0,I412&gt;=H412),"완납","미확인"))</x:f>
        <x:v>완납</x:v>
      </x:c>
      <x:c r="O412" s="31" t="n">
        <x:v>25</x:v>
      </x:c>
    </x:row>
    <x:row r="413" ht="17.25" customHeight="1">
      <x:c r="A413" s="24" t="str">
        <x:v>SW-B-10어7374-202601</x:v>
      </x:c>
      <x:c r="B413" s="24" t="str">
        <x:v>스위치플랜</x:v>
      </x:c>
      <x:c r="C413" s="24" t="str">
        <x:v>SW-C-10어7374-1-20241230-25</x:v>
      </x:c>
      <x:c r="D413" s="24" t="str">
        <x:v>10어7374</x:v>
      </x:c>
      <x:c r="E413" s="24" t="str">
        <x:v>오종석</x:v>
      </x:c>
      <x:c r="F413" s="24" t="str">
        <x:v>2026-01</x:v>
      </x:c>
      <x:c r="G413" s="30"/>
      <x:c r="H413" s="32" t="n">
        <x:v>580000</x:v>
      </x:c>
      <x:c r="I413" s="32" t="n">
        <x:v>580000</x:v>
      </x:c>
      <x:c r="J413" s="32" t="n">
        <x:v>0</x:v>
      </x:c>
      <x:c r="K413" s="30" t="n">
        <x:v>46052</x:v>
      </x:c>
      <x:c r="L413" s="24" t="str">
        <x:v>자동</x:v>
      </x:c>
      <x:c r="M413" s="31" t="n">
        <x:f>IF(AND(N413="미수",G413&lt;&gt;"",TODAY()&gt;G413),TODAY()-G413,0)</x:f>
        <x:v>0</x:v>
      </x:c>
      <x:c r="N413" s="24" t="str">
        <x:f>IF(J413&gt;0,"미수",IF(AND(H413&gt;0,I413&gt;=H413),"완납","미확인"))</x:f>
        <x:v>완납</x:v>
      </x:c>
      <x:c r="O413" s="31" t="n">
        <x:v>25</x:v>
      </x:c>
    </x:row>
    <x:row r="414" ht="17.25" customHeight="1">
      <x:c r="A414" s="24" t="str">
        <x:v>SW-B-10어7374-202512</x:v>
      </x:c>
      <x:c r="B414" s="24" t="str">
        <x:v>스위치플랜</x:v>
      </x:c>
      <x:c r="C414" s="24" t="str">
        <x:v>SW-C-10어7374-1-20241230-25</x:v>
      </x:c>
      <x:c r="D414" s="24" t="str">
        <x:v>10어7374</x:v>
      </x:c>
      <x:c r="E414" s="24" t="str">
        <x:v>오종석</x:v>
      </x:c>
      <x:c r="F414" s="24" t="str">
        <x:v>2025-12</x:v>
      </x:c>
      <x:c r="G414" s="30"/>
      <x:c r="H414" s="32" t="n">
        <x:v>580000</x:v>
      </x:c>
      <x:c r="I414" s="32" t="n">
        <x:v>580000</x:v>
      </x:c>
      <x:c r="J414" s="32" t="n">
        <x:v>0</x:v>
      </x:c>
      <x:c r="K414" s="30" t="n">
        <x:v>46006</x:v>
      </x:c>
      <x:c r="L414" s="24" t="str">
        <x:v>입금</x:v>
      </x:c>
      <x:c r="M414" s="31" t="n">
        <x:f>IF(AND(N414="미수",G414&lt;&gt;"",TODAY()&gt;G414),TODAY()-G414,0)</x:f>
        <x:v>0</x:v>
      </x:c>
      <x:c r="N414" s="24" t="str">
        <x:f>IF(J414&gt;0,"미수",IF(AND(H414&gt;0,I414&gt;=H414),"완납","미확인"))</x:f>
        <x:v>완납</x:v>
      </x:c>
      <x:c r="O414" s="31" t="n">
        <x:v>25</x:v>
      </x:c>
    </x:row>
    <x:row r="415" ht="17.25" customHeight="1">
      <x:c r="A415" s="24" t="str">
        <x:v>SW-B-10어7374-202511</x:v>
      </x:c>
      <x:c r="B415" s="24" t="str">
        <x:v>스위치플랜</x:v>
      </x:c>
      <x:c r="C415" s="24" t="str">
        <x:v>SW-C-10어7374-1-20241230-25</x:v>
      </x:c>
      <x:c r="D415" s="24" t="str">
        <x:v>10어7374</x:v>
      </x:c>
      <x:c r="E415" s="24" t="str">
        <x:v>오종석</x:v>
      </x:c>
      <x:c r="F415" s="24" t="str">
        <x:v>2025-11</x:v>
      </x:c>
      <x:c r="G415" s="30"/>
      <x:c r="H415" s="32" t="n">
        <x:v>580000</x:v>
      </x:c>
      <x:c r="I415" s="32" t="n">
        <x:v>580000</x:v>
      </x:c>
      <x:c r="J415" s="32" t="n">
        <x:v>0</x:v>
      </x:c>
      <x:c r="K415" s="30" t="n">
        <x:v>45975</x:v>
      </x:c>
      <x:c r="L415" s="24" t="str">
        <x:v>입금</x:v>
      </x:c>
      <x:c r="M415" s="31" t="n">
        <x:f>IF(AND(N415="미수",G415&lt;&gt;"",TODAY()&gt;G415),TODAY()-G415,0)</x:f>
        <x:v>0</x:v>
      </x:c>
      <x:c r="N415" s="24" t="str">
        <x:f>IF(J415&gt;0,"미수",IF(AND(H415&gt;0,I415&gt;=H415),"완납","미확인"))</x:f>
        <x:v>완납</x:v>
      </x:c>
      <x:c r="O415" s="31" t="n">
        <x:v>25</x:v>
      </x:c>
    </x:row>
    <x:row r="416" ht="17.25" customHeight="1">
      <x:c r="A416" s="24" t="str">
        <x:v>SW-B-10어7374-202510</x:v>
      </x:c>
      <x:c r="B416" s="24" t="str">
        <x:v>스위치플랜</x:v>
      </x:c>
      <x:c r="C416" s="24" t="str">
        <x:v>SW-C-10어7374-1-20241230-25</x:v>
      </x:c>
      <x:c r="D416" s="24" t="str">
        <x:v>10어7374</x:v>
      </x:c>
      <x:c r="E416" s="24" t="str">
        <x:v>오종석</x:v>
      </x:c>
      <x:c r="F416" s="24" t="str">
        <x:v>2025-10</x:v>
      </x:c>
      <x:c r="G416" s="30"/>
      <x:c r="H416" s="32" t="n">
        <x:v>580000</x:v>
      </x:c>
      <x:c r="I416" s="32" t="n">
        <x:v>580000</x:v>
      </x:c>
      <x:c r="J416" s="32" t="n">
        <x:v>0</x:v>
      </x:c>
      <x:c r="K416" s="30" t="n">
        <x:v>45945</x:v>
      </x:c>
      <x:c r="L416" s="24" t="str">
        <x:v>입금</x:v>
      </x:c>
      <x:c r="M416" s="31" t="n">
        <x:f>IF(AND(N416="미수",G416&lt;&gt;"",TODAY()&gt;G416),TODAY()-G416,0)</x:f>
        <x:v>0</x:v>
      </x:c>
      <x:c r="N416" s="24" t="str">
        <x:f>IF(J416&gt;0,"미수",IF(AND(H416&gt;0,I416&gt;=H416),"완납","미확인"))</x:f>
        <x:v>완납</x:v>
      </x:c>
      <x:c r="O416" s="31" t="n">
        <x:v>25</x:v>
      </x:c>
    </x:row>
    <x:row r="417" ht="17.25" customHeight="1">
      <x:c r="A417" s="24" t="str">
        <x:v>SW-B-10어7374-202509</x:v>
      </x:c>
      <x:c r="B417" s="24" t="str">
        <x:v>스위치플랜</x:v>
      </x:c>
      <x:c r="C417" s="24" t="str">
        <x:v>SW-C-10어7374-1-20241230-25</x:v>
      </x:c>
      <x:c r="D417" s="24" t="str">
        <x:v>10어7374</x:v>
      </x:c>
      <x:c r="E417" s="24" t="str">
        <x:v>오종석</x:v>
      </x:c>
      <x:c r="F417" s="24" t="str">
        <x:v>2025-09</x:v>
      </x:c>
      <x:c r="G417" s="30"/>
      <x:c r="H417" s="32" t="n">
        <x:v>580000</x:v>
      </x:c>
      <x:c r="I417" s="32" t="n">
        <x:v>580000</x:v>
      </x:c>
      <x:c r="J417" s="32" t="n">
        <x:v>0</x:v>
      </x:c>
      <x:c r="K417" s="30" t="n">
        <x:v>45915</x:v>
      </x:c>
      <x:c r="L417" s="24" t="str">
        <x:v>입금</x:v>
      </x:c>
      <x:c r="M417" s="31" t="n">
        <x:f>IF(AND(N417="미수",G417&lt;&gt;"",TODAY()&gt;G417),TODAY()-G417,0)</x:f>
        <x:v>0</x:v>
      </x:c>
      <x:c r="N417" s="24" t="str">
        <x:f>IF(J417&gt;0,"미수",IF(AND(H417&gt;0,I417&gt;=H417),"완납","미확인"))</x:f>
        <x:v>완납</x:v>
      </x:c>
      <x:c r="O417" s="31" t="n">
        <x:v>25</x:v>
      </x:c>
    </x:row>
    <x:row r="418" ht="17.25" customHeight="1">
      <x:c r="A418" s="24" t="str">
        <x:v>SW-B-10어7374-202508</x:v>
      </x:c>
      <x:c r="B418" s="24" t="str">
        <x:v>스위치플랜</x:v>
      </x:c>
      <x:c r="C418" s="24" t="str">
        <x:v>SW-C-10어7374-1-20241230-25</x:v>
      </x:c>
      <x:c r="D418" s="24" t="str">
        <x:v>10어7374</x:v>
      </x:c>
      <x:c r="E418" s="24" t="str">
        <x:v>오종석</x:v>
      </x:c>
      <x:c r="F418" s="24" t="str">
        <x:v>2025-08</x:v>
      </x:c>
      <x:c r="G418" s="30"/>
      <x:c r="H418" s="32" t="n">
        <x:v>580000</x:v>
      </x:c>
      <x:c r="I418" s="32" t="n">
        <x:v>580000</x:v>
      </x:c>
      <x:c r="J418" s="32" t="n">
        <x:v>0</x:v>
      </x:c>
      <x:c r="K418" s="30" t="n">
        <x:v>45883</x:v>
      </x:c>
      <x:c r="L418" s="24" t="str">
        <x:v>입금</x:v>
      </x:c>
      <x:c r="M418" s="31" t="n">
        <x:f>IF(AND(N418="미수",G418&lt;&gt;"",TODAY()&gt;G418),TODAY()-G418,0)</x:f>
        <x:v>0</x:v>
      </x:c>
      <x:c r="N418" s="24" t="str">
        <x:f>IF(J418&gt;0,"미수",IF(AND(H418&gt;0,I418&gt;=H418),"완납","미확인"))</x:f>
        <x:v>완납</x:v>
      </x:c>
      <x:c r="O418" s="31" t="n">
        <x:v>25</x:v>
      </x:c>
    </x:row>
    <x:row r="419" ht="17.25" customHeight="1">
      <x:c r="A419" s="24" t="str">
        <x:v>SW-B-10어7374-202507</x:v>
      </x:c>
      <x:c r="B419" s="24" t="str">
        <x:v>스위치플랜</x:v>
      </x:c>
      <x:c r="C419" s="24" t="str">
        <x:v>SW-C-10어7374-1-20241230-25</x:v>
      </x:c>
      <x:c r="D419" s="24" t="str">
        <x:v>10어7374</x:v>
      </x:c>
      <x:c r="E419" s="24" t="str">
        <x:v>오종석</x:v>
      </x:c>
      <x:c r="F419" s="24" t="str">
        <x:v>2025-07</x:v>
      </x:c>
      <x:c r="G419" s="30"/>
      <x:c r="H419" s="32" t="n">
        <x:v>580000</x:v>
      </x:c>
      <x:c r="I419" s="32" t="n">
        <x:v>580000</x:v>
      </x:c>
      <x:c r="J419" s="32" t="n">
        <x:v>0</x:v>
      </x:c>
      <x:c r="K419" s="30" t="n">
        <x:v>45853</x:v>
      </x:c>
      <x:c r="L419" s="24" t="str">
        <x:v>입금</x:v>
      </x:c>
      <x:c r="M419" s="31" t="n">
        <x:f>IF(AND(N419="미수",G419&lt;&gt;"",TODAY()&gt;G419),TODAY()-G419,0)</x:f>
        <x:v>0</x:v>
      </x:c>
      <x:c r="N419" s="24" t="str">
        <x:f>IF(J419&gt;0,"미수",IF(AND(H419&gt;0,I419&gt;=H419),"완납","미확인"))</x:f>
        <x:v>완납</x:v>
      </x:c>
      <x:c r="O419" s="31" t="n">
        <x:v>25</x:v>
      </x:c>
    </x:row>
    <x:row r="420" ht="17.25" customHeight="1">
      <x:c r="A420" s="24" t="str">
        <x:v>SW-B-10어7374-202506</x:v>
      </x:c>
      <x:c r="B420" s="24" t="str">
        <x:v>스위치플랜</x:v>
      </x:c>
      <x:c r="C420" s="24" t="str">
        <x:v>SW-C-10어7374-1-20241230-25</x:v>
      </x:c>
      <x:c r="D420" s="24" t="str">
        <x:v>10어7374</x:v>
      </x:c>
      <x:c r="E420" s="24" t="str">
        <x:v>오종석</x:v>
      </x:c>
      <x:c r="F420" s="24" t="str">
        <x:v>2025-06</x:v>
      </x:c>
      <x:c r="G420" s="30"/>
      <x:c r="H420" s="32" t="n">
        <x:v>580000</x:v>
      </x:c>
      <x:c r="I420" s="32" t="n">
        <x:v>580000</x:v>
      </x:c>
      <x:c r="J420" s="32" t="n">
        <x:v>0</x:v>
      </x:c>
      <x:c r="K420" s="30" t="n">
        <x:v>45820</x:v>
      </x:c>
      <x:c r="L420" s="24" t="str">
        <x:v>입금</x:v>
      </x:c>
      <x:c r="M420" s="31" t="n">
        <x:f>IF(AND(N420="미수",G420&lt;&gt;"",TODAY()&gt;G420),TODAY()-G420,0)</x:f>
        <x:v>0</x:v>
      </x:c>
      <x:c r="N420" s="24" t="str">
        <x:f>IF(J420&gt;0,"미수",IF(AND(H420&gt;0,I420&gt;=H420),"완납","미확인"))</x:f>
        <x:v>완납</x:v>
      </x:c>
      <x:c r="O420" s="31" t="n">
        <x:v>25</x:v>
      </x:c>
    </x:row>
    <x:row r="421" ht="17.25" customHeight="1">
      <x:c r="A421" s="24" t="str">
        <x:v>SW-B-10어7374-202505</x:v>
      </x:c>
      <x:c r="B421" s="24" t="str">
        <x:v>스위치플랜</x:v>
      </x:c>
      <x:c r="C421" s="24" t="str">
        <x:v>SW-C-10어7374-1-20241230-25</x:v>
      </x:c>
      <x:c r="D421" s="24" t="str">
        <x:v>10어7374</x:v>
      </x:c>
      <x:c r="E421" s="24" t="str">
        <x:v>오종석</x:v>
      </x:c>
      <x:c r="F421" s="24" t="str">
        <x:v>2025-05</x:v>
      </x:c>
      <x:c r="G421" s="30"/>
      <x:c r="H421" s="32" t="n">
        <x:v>580000</x:v>
      </x:c>
      <x:c r="I421" s="32" t="n">
        <x:v>580000</x:v>
      </x:c>
      <x:c r="J421" s="32" t="n">
        <x:v>0</x:v>
      </x:c>
      <x:c r="K421" s="30" t="n">
        <x:v>45792</x:v>
      </x:c>
      <x:c r="L421" s="24" t="str">
        <x:v>입금</x:v>
      </x:c>
      <x:c r="M421" s="31" t="n">
        <x:f>IF(AND(N421="미수",G421&lt;&gt;"",TODAY()&gt;G421),TODAY()-G421,0)</x:f>
        <x:v>0</x:v>
      </x:c>
      <x:c r="N421" s="24" t="str">
        <x:f>IF(J421&gt;0,"미수",IF(AND(H421&gt;0,I421&gt;=H421),"완납","미확인"))</x:f>
        <x:v>완납</x:v>
      </x:c>
      <x:c r="O421" s="31" t="n">
        <x:v>25</x:v>
      </x:c>
    </x:row>
    <x:row r="422" ht="17.25" customHeight="1">
      <x:c r="A422" s="24" t="str">
        <x:v>SW-B-10어7374-202504</x:v>
      </x:c>
      <x:c r="B422" s="24" t="str">
        <x:v>스위치플랜</x:v>
      </x:c>
      <x:c r="C422" s="24" t="str">
        <x:v>SW-C-10어7374-1-20241230-25</x:v>
      </x:c>
      <x:c r="D422" s="24" t="str">
        <x:v>10어7374</x:v>
      </x:c>
      <x:c r="E422" s="24" t="str">
        <x:v>오종석</x:v>
      </x:c>
      <x:c r="F422" s="24" t="str">
        <x:v>2025-04</x:v>
      </x:c>
      <x:c r="G422" s="30"/>
      <x:c r="H422" s="32" t="n">
        <x:v>580000</x:v>
      </x:c>
      <x:c r="I422" s="32" t="n">
        <x:v>580000</x:v>
      </x:c>
      <x:c r="J422" s="32" t="n">
        <x:v>0</x:v>
      </x:c>
      <x:c r="K422" s="30" t="n">
        <x:v>45762</x:v>
      </x:c>
      <x:c r="L422" s="24" t="str">
        <x:v>입금</x:v>
      </x:c>
      <x:c r="M422" s="31" t="n">
        <x:f>IF(AND(N422="미수",G422&lt;&gt;"",TODAY()&gt;G422),TODAY()-G422,0)</x:f>
        <x:v>0</x:v>
      </x:c>
      <x:c r="N422" s="24" t="str">
        <x:f>IF(J422&gt;0,"미수",IF(AND(H422&gt;0,I422&gt;=H422),"완납","미확인"))</x:f>
        <x:v>완납</x:v>
      </x:c>
      <x:c r="O422" s="31" t="n">
        <x:v>25</x:v>
      </x:c>
    </x:row>
    <x:row r="423" ht="17.25" customHeight="1">
      <x:c r="A423" s="24" t="str">
        <x:v>SW-B-10어7374-202503</x:v>
      </x:c>
      <x:c r="B423" s="24" t="str">
        <x:v>스위치플랜</x:v>
      </x:c>
      <x:c r="C423" s="24" t="str">
        <x:v>SW-C-10어7374-1-20241230-25</x:v>
      </x:c>
      <x:c r="D423" s="24" t="str">
        <x:v>10어7374</x:v>
      </x:c>
      <x:c r="E423" s="24" t="str">
        <x:v>오종석</x:v>
      </x:c>
      <x:c r="F423" s="24" t="str">
        <x:v>2025-03</x:v>
      </x:c>
      <x:c r="G423" s="30"/>
      <x:c r="H423" s="32" t="n">
        <x:v>580000</x:v>
      </x:c>
      <x:c r="I423" s="32" t="n">
        <x:v>580000</x:v>
      </x:c>
      <x:c r="J423" s="32" t="n">
        <x:v>0</x:v>
      </x:c>
      <x:c r="K423" s="30" t="n">
        <x:v>45730</x:v>
      </x:c>
      <x:c r="L423" s="24" t="str">
        <x:v>입금</x:v>
      </x:c>
      <x:c r="M423" s="31" t="n">
        <x:f>IF(AND(N423="미수",G423&lt;&gt;"",TODAY()&gt;G423),TODAY()-G423,0)</x:f>
        <x:v>0</x:v>
      </x:c>
      <x:c r="N423" s="24" t="str">
        <x:f>IF(J423&gt;0,"미수",IF(AND(H423&gt;0,I423&gt;=H423),"완납","미확인"))</x:f>
        <x:v>완납</x:v>
      </x:c>
      <x:c r="O423" s="31" t="n">
        <x:v>25</x:v>
      </x:c>
    </x:row>
    <x:row r="424" ht="17.25" customHeight="1">
      <x:c r="A424" s="24" t="str">
        <x:v>SW-B-10어7374-202502</x:v>
      </x:c>
      <x:c r="B424" s="24" t="str">
        <x:v>스위치플랜</x:v>
      </x:c>
      <x:c r="C424" s="24" t="str">
        <x:v>SW-C-10어7374-1-20241230-25</x:v>
      </x:c>
      <x:c r="D424" s="24" t="str">
        <x:v>10어7374</x:v>
      </x:c>
      <x:c r="E424" s="24" t="str">
        <x:v>오종석</x:v>
      </x:c>
      <x:c r="F424" s="24" t="str">
        <x:v>2025-02</x:v>
      </x:c>
      <x:c r="G424" s="30"/>
      <x:c r="H424" s="32" t="n">
        <x:v>580000</x:v>
      </x:c>
      <x:c r="I424" s="32" t="n">
        <x:v>580000</x:v>
      </x:c>
      <x:c r="J424" s="32" t="n">
        <x:v>0</x:v>
      </x:c>
      <x:c r="K424" s="30" t="n">
        <x:v>45709</x:v>
      </x:c>
      <x:c r="L424" s="24" t="str">
        <x:v>입금</x:v>
      </x:c>
      <x:c r="M424" s="31" t="n">
        <x:f>IF(AND(N424="미수",G424&lt;&gt;"",TODAY()&gt;G424),TODAY()-G424,0)</x:f>
        <x:v>0</x:v>
      </x:c>
      <x:c r="N424" s="24" t="str">
        <x:f>IF(J424&gt;0,"미수",IF(AND(H424&gt;0,I424&gt;=H424),"완납","미확인"))</x:f>
        <x:v>완납</x:v>
      </x:c>
      <x:c r="O424" s="31" t="n">
        <x:v>25</x:v>
      </x:c>
    </x:row>
    <x:row r="425" ht="17.25" customHeight="1">
      <x:c r="A425" s="24" t="str">
        <x:v>SW-B-10어7374-202501</x:v>
      </x:c>
      <x:c r="B425" s="24" t="str">
        <x:v>스위치플랜</x:v>
      </x:c>
      <x:c r="C425" s="24" t="str">
        <x:v>SW-C-10어7374-1-20241230-25</x:v>
      </x:c>
      <x:c r="D425" s="24" t="str">
        <x:v>10어7374</x:v>
      </x:c>
      <x:c r="E425" s="24" t="str">
        <x:v>오종석</x:v>
      </x:c>
      <x:c r="F425" s="24" t="str">
        <x:v>2025-01</x:v>
      </x:c>
      <x:c r="G425" s="30"/>
      <x:c r="H425" s="32" t="n">
        <x:v>380000</x:v>
      </x:c>
      <x:c r="I425" s="32" t="n">
        <x:v>380000</x:v>
      </x:c>
      <x:c r="J425" s="32" t="n">
        <x:v>0</x:v>
      </x:c>
      <x:c r="K425" s="30" t="n">
        <x:v>45688</x:v>
      </x:c>
      <x:c r="L425" s="24" t="str">
        <x:v>자동</x:v>
      </x:c>
      <x:c r="M425" s="31" t="n">
        <x:f>IF(AND(N425="미수",G425&lt;&gt;"",TODAY()&gt;G425),TODAY()-G425,0)</x:f>
        <x:v>0</x:v>
      </x:c>
      <x:c r="N425" s="24" t="str">
        <x:f>IF(J425&gt;0,"미수",IF(AND(H425&gt;0,I425&gt;=H425),"완납","미확인"))</x:f>
        <x:v>완납</x:v>
      </x:c>
      <x:c r="O425" s="31" t="n">
        <x:v>25</x:v>
      </x:c>
    </x:row>
    <x:row r="426" ht="17.25" customHeight="1">
      <x:c r="A426" s="24" t="str">
        <x:v>SW-B-10어7374-202412</x:v>
      </x:c>
      <x:c r="B426" s="24" t="str">
        <x:v>스위치플랜</x:v>
      </x:c>
      <x:c r="C426" s="24" t="str">
        <x:v>SW-C-10어7374-1-20241230-25</x:v>
      </x:c>
      <x:c r="D426" s="24" t="str">
        <x:v>10어7374</x:v>
      </x:c>
      <x:c r="E426" s="24" t="str">
        <x:v>오종석</x:v>
      </x:c>
      <x:c r="F426" s="24" t="str">
        <x:v>2024-12</x:v>
      </x:c>
      <x:c r="G426" s="30"/>
      <x:c r="H426" s="32" t="n">
        <x:v>580000</x:v>
      </x:c>
      <x:c r="I426" s="32" t="n">
        <x:v>580000</x:v>
      </x:c>
      <x:c r="J426" s="32" t="n">
        <x:v>0</x:v>
      </x:c>
      <x:c r="K426" s="30" t="n">
        <x:v>45639</x:v>
      </x:c>
      <x:c r="L426" s="24" t="str">
        <x:v>입금</x:v>
      </x:c>
      <x:c r="M426" s="31" t="n">
        <x:f>IF(AND(N426="미수",G426&lt;&gt;"",TODAY()&gt;G426),TODAY()-G426,0)</x:f>
        <x:v>0</x:v>
      </x:c>
      <x:c r="N426" s="24" t="str">
        <x:f>IF(J426&gt;0,"미수",IF(AND(H426&gt;0,I426&gt;=H426),"완납","미확인"))</x:f>
        <x:v>완납</x:v>
      </x:c>
      <x:c r="O426" s="31" t="n">
        <x:v>25</x:v>
      </x:c>
    </x:row>
    <x:row r="427" ht="17.25" customHeight="1">
      <x:c r="A427" s="24" t="str">
        <x:v>SW-B-252거3143-202608</x:v>
      </x:c>
      <x:c r="B427" s="24" t="str">
        <x:v>스위치플랜</x:v>
      </x:c>
      <x:c r="C427" s="24" t="str">
        <x:v>SW-C-252거3143-1-20240820-26</x:v>
      </x:c>
      <x:c r="D427" s="24" t="str">
        <x:v>252거3143</x:v>
      </x:c>
      <x:c r="E427" s="24" t="str">
        <x:v>김종원</x:v>
      </x:c>
      <x:c r="F427" s="24" t="str">
        <x:v>2026-08</x:v>
      </x:c>
      <x:c r="G427" s="30" t="n">
        <x:v>46254</x:v>
      </x:c>
      <x:c r="H427" s="32" t="n">
        <x:v>320000</x:v>
      </x:c>
      <x:c r="I427" s="32"/>
      <x:c r="J427" s="32" t="n">
        <x:v>320000</x:v>
      </x:c>
      <x:c r="K427" s="30"/>
      <x:c r="L427" s="24" t="str"/>
      <x:c r="M427" s="31" t="n">
        <x:f>IF(AND(N427="미수",G427&lt;&gt;"",TODAY()&gt;G427),TODAY()-G427,0)</x:f>
        <x:v>0</x:v>
      </x:c>
      <x:c r="N427" s="24" t="str">
        <x:f>IF(J427&gt;0,"미수",IF(AND(H427&gt;0,I427&gt;=H427),"완납","미확인"))</x:f>
        <x:v>미수</x:v>
      </x:c>
      <x:c r="O427" s="31" t="n">
        <x:v>26</x:v>
      </x:c>
    </x:row>
    <x:row r="428" ht="17.25" customHeight="1">
      <x:c r="A428" s="24" t="str">
        <x:v>SW-B-252거3143-202607</x:v>
      </x:c>
      <x:c r="B428" s="24" t="str">
        <x:v>스위치플랜</x:v>
      </x:c>
      <x:c r="C428" s="24" t="str">
        <x:v>SW-C-252거3143-1-20240820-26</x:v>
      </x:c>
      <x:c r="D428" s="24" t="str">
        <x:v>252거3143</x:v>
      </x:c>
      <x:c r="E428" s="24" t="str">
        <x:v>김종원</x:v>
      </x:c>
      <x:c r="F428" s="24" t="str">
        <x:v>2026-07</x:v>
      </x:c>
      <x:c r="G428" s="30" t="n">
        <x:v>46223</x:v>
      </x:c>
      <x:c r="H428" s="32" t="n">
        <x:v>320000</x:v>
      </x:c>
      <x:c r="I428" s="32" t="n">
        <x:v>320000</x:v>
      </x:c>
      <x:c r="J428" s="32" t="n">
        <x:v>0</x:v>
      </x:c>
      <x:c r="K428" s="30" t="n">
        <x:v>46223</x:v>
      </x:c>
      <x:c r="L428" s="24" t="str">
        <x:v>입금</x:v>
      </x:c>
      <x:c r="M428" s="31" t="n">
        <x:f>IF(AND(N428="미수",G428&lt;&gt;"",TODAY()&gt;G428),TODAY()-G428,0)</x:f>
        <x:v>0</x:v>
      </x:c>
      <x:c r="N428" s="24" t="str">
        <x:f>IF(J428&gt;0,"미수",IF(AND(H428&gt;0,I428&gt;=H428),"완납","미확인"))</x:f>
        <x:v>완납</x:v>
      </x:c>
      <x:c r="O428" s="31" t="n">
        <x:v>26</x:v>
      </x:c>
    </x:row>
    <x:row r="429" ht="17.25" customHeight="1">
      <x:c r="A429" s="24" t="str">
        <x:v>SW-B-252거3143-202606</x:v>
      </x:c>
      <x:c r="B429" s="24" t="str">
        <x:v>스위치플랜</x:v>
      </x:c>
      <x:c r="C429" s="24" t="str">
        <x:v>SW-C-252거3143-1-20240820-26</x:v>
      </x:c>
      <x:c r="D429" s="24" t="str">
        <x:v>252거3143</x:v>
      </x:c>
      <x:c r="E429" s="24" t="str">
        <x:v>김종원</x:v>
      </x:c>
      <x:c r="F429" s="24" t="str">
        <x:v>2026-06</x:v>
      </x:c>
      <x:c r="G429" s="30" t="n">
        <x:v>46193</x:v>
      </x:c>
      <x:c r="H429" s="32" t="n">
        <x:v>320000</x:v>
      </x:c>
      <x:c r="I429" s="32" t="n">
        <x:v>320000</x:v>
      </x:c>
      <x:c r="J429" s="32" t="n">
        <x:v>0</x:v>
      </x:c>
      <x:c r="K429" s="30" t="n">
        <x:v>46193</x:v>
      </x:c>
      <x:c r="L429" s="24" t="str">
        <x:v>입금</x:v>
      </x:c>
      <x:c r="M429" s="31" t="n">
        <x:f>IF(AND(N429="미수",G429&lt;&gt;"",TODAY()&gt;G429),TODAY()-G429,0)</x:f>
        <x:v>0</x:v>
      </x:c>
      <x:c r="N429" s="24" t="str">
        <x:f>IF(J429&gt;0,"미수",IF(AND(H429&gt;0,I429&gt;=H429),"완납","미확인"))</x:f>
        <x:v>완납</x:v>
      </x:c>
      <x:c r="O429" s="31" t="n">
        <x:v>26</x:v>
      </x:c>
    </x:row>
    <x:row r="430" ht="17.25" customHeight="1">
      <x:c r="A430" s="24" t="str">
        <x:v>SW-B-252거3143-202605</x:v>
      </x:c>
      <x:c r="B430" s="24" t="str">
        <x:v>스위치플랜</x:v>
      </x:c>
      <x:c r="C430" s="24" t="str">
        <x:v>SW-C-252거3143-1-20240820-26</x:v>
      </x:c>
      <x:c r="D430" s="24" t="str">
        <x:v>252거3143</x:v>
      </x:c>
      <x:c r="E430" s="24" t="str">
        <x:v>김종원</x:v>
      </x:c>
      <x:c r="F430" s="24" t="str">
        <x:v>2026-05</x:v>
      </x:c>
      <x:c r="G430" s="30" t="n">
        <x:v>46162</x:v>
      </x:c>
      <x:c r="H430" s="32" t="n">
        <x:v>320000</x:v>
      </x:c>
      <x:c r="I430" s="32" t="n">
        <x:v>320000</x:v>
      </x:c>
      <x:c r="J430" s="32" t="n">
        <x:v>0</x:v>
      </x:c>
      <x:c r="K430" s="30" t="n">
        <x:v>46162</x:v>
      </x:c>
      <x:c r="L430" s="24" t="str">
        <x:v>입금</x:v>
      </x:c>
      <x:c r="M430" s="31" t="n">
        <x:f>IF(AND(N430="미수",G430&lt;&gt;"",TODAY()&gt;G430),TODAY()-G430,0)</x:f>
        <x:v>0</x:v>
      </x:c>
      <x:c r="N430" s="24" t="str">
        <x:f>IF(J430&gt;0,"미수",IF(AND(H430&gt;0,I430&gt;=H430),"완납","미확인"))</x:f>
        <x:v>완납</x:v>
      </x:c>
      <x:c r="O430" s="31" t="n">
        <x:v>26</x:v>
      </x:c>
    </x:row>
    <x:row r="431" ht="17.25" customHeight="1">
      <x:c r="A431" s="24" t="str">
        <x:v>SW-B-252거3143-202604</x:v>
      </x:c>
      <x:c r="B431" s="24" t="str">
        <x:v>스위치플랜</x:v>
      </x:c>
      <x:c r="C431" s="24" t="str">
        <x:v>SW-C-252거3143-1-20240820-26</x:v>
      </x:c>
      <x:c r="D431" s="24" t="str">
        <x:v>252거3143</x:v>
      </x:c>
      <x:c r="E431" s="24" t="str">
        <x:v>김종원</x:v>
      </x:c>
      <x:c r="F431" s="24" t="str">
        <x:v>2026-04</x:v>
      </x:c>
      <x:c r="G431" s="30" t="n">
        <x:v>46132</x:v>
      </x:c>
      <x:c r="H431" s="32" t="n">
        <x:v>320000</x:v>
      </x:c>
      <x:c r="I431" s="32" t="n">
        <x:v>320000</x:v>
      </x:c>
      <x:c r="J431" s="32" t="n">
        <x:v>0</x:v>
      </x:c>
      <x:c r="K431" s="30" t="n">
        <x:v>46132</x:v>
      </x:c>
      <x:c r="L431" s="24" t="str">
        <x:v>입금</x:v>
      </x:c>
      <x:c r="M431" s="31" t="n">
        <x:f>IF(AND(N431="미수",G431&lt;&gt;"",TODAY()&gt;G431),TODAY()-G431,0)</x:f>
        <x:v>0</x:v>
      </x:c>
      <x:c r="N431" s="24" t="str">
        <x:f>IF(J431&gt;0,"미수",IF(AND(H431&gt;0,I431&gt;=H431),"완납","미확인"))</x:f>
        <x:v>완납</x:v>
      </x:c>
      <x:c r="O431" s="31" t="n">
        <x:v>26</x:v>
      </x:c>
    </x:row>
    <x:row r="432" ht="17.25" customHeight="1">
      <x:c r="A432" s="24" t="str">
        <x:v>SW-B-252거3143-202603</x:v>
      </x:c>
      <x:c r="B432" s="24" t="str">
        <x:v>스위치플랜</x:v>
      </x:c>
      <x:c r="C432" s="24" t="str">
        <x:v>SW-C-252거3143-1-20240820-26</x:v>
      </x:c>
      <x:c r="D432" s="24" t="str">
        <x:v>252거3143</x:v>
      </x:c>
      <x:c r="E432" s="24" t="str">
        <x:v>김종원</x:v>
      </x:c>
      <x:c r="F432" s="24" t="str">
        <x:v>2026-03</x:v>
      </x:c>
      <x:c r="G432" s="30" t="n">
        <x:v>46101</x:v>
      </x:c>
      <x:c r="H432" s="32" t="n">
        <x:v>320000</x:v>
      </x:c>
      <x:c r="I432" s="32" t="n">
        <x:v>320000</x:v>
      </x:c>
      <x:c r="J432" s="32" t="n">
        <x:v>0</x:v>
      </x:c>
      <x:c r="K432" s="30" t="n">
        <x:v>46101</x:v>
      </x:c>
      <x:c r="L432" s="24" t="str">
        <x:v>입금</x:v>
      </x:c>
      <x:c r="M432" s="31" t="n">
        <x:f>IF(AND(N432="미수",G432&lt;&gt;"",TODAY()&gt;G432),TODAY()-G432,0)</x:f>
        <x:v>0</x:v>
      </x:c>
      <x:c r="N432" s="24" t="str">
        <x:f>IF(J432&gt;0,"미수",IF(AND(H432&gt;0,I432&gt;=H432),"완납","미확인"))</x:f>
        <x:v>완납</x:v>
      </x:c>
      <x:c r="O432" s="31" t="n">
        <x:v>26</x:v>
      </x:c>
    </x:row>
    <x:row r="433" ht="17.25" customHeight="1">
      <x:c r="A433" s="24" t="str">
        <x:v>SW-B-252거3143-202602</x:v>
      </x:c>
      <x:c r="B433" s="24" t="str">
        <x:v>스위치플랜</x:v>
      </x:c>
      <x:c r="C433" s="24" t="str">
        <x:v>SW-C-252거3143-1-20240820-26</x:v>
      </x:c>
      <x:c r="D433" s="24" t="str">
        <x:v>252거3143</x:v>
      </x:c>
      <x:c r="E433" s="24" t="str">
        <x:v>김종원</x:v>
      </x:c>
      <x:c r="F433" s="24" t="str">
        <x:v>2026-02</x:v>
      </x:c>
      <x:c r="G433" s="30" t="n">
        <x:v>46073</x:v>
      </x:c>
      <x:c r="H433" s="32" t="n">
        <x:v>320000</x:v>
      </x:c>
      <x:c r="I433" s="32" t="n">
        <x:v>320000</x:v>
      </x:c>
      <x:c r="J433" s="32" t="n">
        <x:v>0</x:v>
      </x:c>
      <x:c r="K433" s="30" t="n">
        <x:v>46073</x:v>
      </x:c>
      <x:c r="L433" s="24" t="str">
        <x:v>입금</x:v>
      </x:c>
      <x:c r="M433" s="31" t="n">
        <x:f>IF(AND(N433="미수",G433&lt;&gt;"",TODAY()&gt;G433),TODAY()-G433,0)</x:f>
        <x:v>0</x:v>
      </x:c>
      <x:c r="N433" s="24" t="str">
        <x:f>IF(J433&gt;0,"미수",IF(AND(H433&gt;0,I433&gt;=H433),"완납","미확인"))</x:f>
        <x:v>완납</x:v>
      </x:c>
      <x:c r="O433" s="31" t="n">
        <x:v>26</x:v>
      </x:c>
    </x:row>
    <x:row r="434" ht="17.25" customHeight="1">
      <x:c r="A434" s="24" t="str">
        <x:v>SW-B-252거3143-202601</x:v>
      </x:c>
      <x:c r="B434" s="24" t="str">
        <x:v>스위치플랜</x:v>
      </x:c>
      <x:c r="C434" s="24" t="str">
        <x:v>SW-C-252거3143-1-20240820-26</x:v>
      </x:c>
      <x:c r="D434" s="24" t="str">
        <x:v>252거3143</x:v>
      </x:c>
      <x:c r="E434" s="24" t="str">
        <x:v>김종원</x:v>
      </x:c>
      <x:c r="F434" s="24" t="str">
        <x:v>2026-01</x:v>
      </x:c>
      <x:c r="G434" s="30" t="n">
        <x:v>46042</x:v>
      </x:c>
      <x:c r="H434" s="32" t="n">
        <x:v>320000</x:v>
      </x:c>
      <x:c r="I434" s="32" t="n">
        <x:v>320000</x:v>
      </x:c>
      <x:c r="J434" s="32" t="n">
        <x:v>0</x:v>
      </x:c>
      <x:c r="K434" s="30" t="n">
        <x:v>46042</x:v>
      </x:c>
      <x:c r="L434" s="24" t="str">
        <x:v>입금</x:v>
      </x:c>
      <x:c r="M434" s="31" t="n">
        <x:f>IF(AND(N434="미수",G434&lt;&gt;"",TODAY()&gt;G434),TODAY()-G434,0)</x:f>
        <x:v>0</x:v>
      </x:c>
      <x:c r="N434" s="24" t="str">
        <x:f>IF(J434&gt;0,"미수",IF(AND(H434&gt;0,I434&gt;=H434),"완납","미확인"))</x:f>
        <x:v>완납</x:v>
      </x:c>
      <x:c r="O434" s="31" t="n">
        <x:v>26</x:v>
      </x:c>
    </x:row>
    <x:row r="435" ht="17.25" customHeight="1">
      <x:c r="A435" s="24" t="str">
        <x:v>SW-B-252거3143-202512</x:v>
      </x:c>
      <x:c r="B435" s="24" t="str">
        <x:v>스위치플랜</x:v>
      </x:c>
      <x:c r="C435" s="24" t="str">
        <x:v>SW-C-252거3143-1-20240820-26</x:v>
      </x:c>
      <x:c r="D435" s="24" t="str">
        <x:v>252거3143</x:v>
      </x:c>
      <x:c r="E435" s="24" t="str">
        <x:v>김종원</x:v>
      </x:c>
      <x:c r="F435" s="24" t="str">
        <x:v>2025-12</x:v>
      </x:c>
      <x:c r="G435" s="30" t="n">
        <x:v>46011</x:v>
      </x:c>
      <x:c r="H435" s="32" t="n">
        <x:v>320000</x:v>
      </x:c>
      <x:c r="I435" s="32" t="n">
        <x:v>320000</x:v>
      </x:c>
      <x:c r="J435" s="32" t="n">
        <x:v>0</x:v>
      </x:c>
      <x:c r="K435" s="30" t="n">
        <x:v>46011</x:v>
      </x:c>
      <x:c r="L435" s="24" t="str">
        <x:v>입금</x:v>
      </x:c>
      <x:c r="M435" s="31" t="n">
        <x:f>IF(AND(N435="미수",G435&lt;&gt;"",TODAY()&gt;G435),TODAY()-G435,0)</x:f>
        <x:v>0</x:v>
      </x:c>
      <x:c r="N435" s="24" t="str">
        <x:f>IF(J435&gt;0,"미수",IF(AND(H435&gt;0,I435&gt;=H435),"완납","미확인"))</x:f>
        <x:v>완납</x:v>
      </x:c>
      <x:c r="O435" s="31" t="n">
        <x:v>26</x:v>
      </x:c>
    </x:row>
    <x:row r="436" ht="17.25" customHeight="1">
      <x:c r="A436" s="24" t="str">
        <x:v>SW-B-252거3143-202511</x:v>
      </x:c>
      <x:c r="B436" s="24" t="str">
        <x:v>스위치플랜</x:v>
      </x:c>
      <x:c r="C436" s="24" t="str">
        <x:v>SW-C-252거3143-1-20240820-26</x:v>
      </x:c>
      <x:c r="D436" s="24" t="str">
        <x:v>252거3143</x:v>
      </x:c>
      <x:c r="E436" s="24" t="str">
        <x:v>김종원</x:v>
      </x:c>
      <x:c r="F436" s="24" t="str">
        <x:v>2025-11</x:v>
      </x:c>
      <x:c r="G436" s="30" t="n">
        <x:v>45981</x:v>
      </x:c>
      <x:c r="H436" s="32" t="n">
        <x:v>320000</x:v>
      </x:c>
      <x:c r="I436" s="32" t="n">
        <x:v>320000</x:v>
      </x:c>
      <x:c r="J436" s="32" t="n">
        <x:v>0</x:v>
      </x:c>
      <x:c r="K436" s="30" t="n">
        <x:v>45981</x:v>
      </x:c>
      <x:c r="L436" s="24" t="str">
        <x:v>입금</x:v>
      </x:c>
      <x:c r="M436" s="31" t="n">
        <x:f>IF(AND(N436="미수",G436&lt;&gt;"",TODAY()&gt;G436),TODAY()-G436,0)</x:f>
        <x:v>0</x:v>
      </x:c>
      <x:c r="N436" s="24" t="str">
        <x:f>IF(J436&gt;0,"미수",IF(AND(H436&gt;0,I436&gt;=H436),"완납","미확인"))</x:f>
        <x:v>완납</x:v>
      </x:c>
      <x:c r="O436" s="31" t="n">
        <x:v>26</x:v>
      </x:c>
    </x:row>
    <x:row r="437" ht="17.25" customHeight="1">
      <x:c r="A437" s="24" t="str">
        <x:v>SW-B-252거3143-202510</x:v>
      </x:c>
      <x:c r="B437" s="24" t="str">
        <x:v>스위치플랜</x:v>
      </x:c>
      <x:c r="C437" s="24" t="str">
        <x:v>SW-C-252거3143-1-20240820-26</x:v>
      </x:c>
      <x:c r="D437" s="24" t="str">
        <x:v>252거3143</x:v>
      </x:c>
      <x:c r="E437" s="24" t="str">
        <x:v>김종원</x:v>
      </x:c>
      <x:c r="F437" s="24" t="str">
        <x:v>2025-10</x:v>
      </x:c>
      <x:c r="G437" s="30" t="n">
        <x:v>45950</x:v>
      </x:c>
      <x:c r="H437" s="32" t="n">
        <x:v>320000</x:v>
      </x:c>
      <x:c r="I437" s="32" t="n">
        <x:v>320000</x:v>
      </x:c>
      <x:c r="J437" s="32" t="n">
        <x:v>0</x:v>
      </x:c>
      <x:c r="K437" s="30" t="n">
        <x:v>45950</x:v>
      </x:c>
      <x:c r="L437" s="24" t="str">
        <x:v>입금</x:v>
      </x:c>
      <x:c r="M437" s="31" t="n">
        <x:f>IF(AND(N437="미수",G437&lt;&gt;"",TODAY()&gt;G437),TODAY()-G437,0)</x:f>
        <x:v>0</x:v>
      </x:c>
      <x:c r="N437" s="24" t="str">
        <x:f>IF(J437&gt;0,"미수",IF(AND(H437&gt;0,I437&gt;=H437),"완납","미확인"))</x:f>
        <x:v>완납</x:v>
      </x:c>
      <x:c r="O437" s="31" t="n">
        <x:v>26</x:v>
      </x:c>
    </x:row>
    <x:row r="438" ht="17.25" customHeight="1">
      <x:c r="A438" s="24" t="str">
        <x:v>SW-B-252거3143-202509</x:v>
      </x:c>
      <x:c r="B438" s="24" t="str">
        <x:v>스위치플랜</x:v>
      </x:c>
      <x:c r="C438" s="24" t="str">
        <x:v>SW-C-252거3143-1-20240820-26</x:v>
      </x:c>
      <x:c r="D438" s="24" t="str">
        <x:v>252거3143</x:v>
      </x:c>
      <x:c r="E438" s="24" t="str">
        <x:v>김종원</x:v>
      </x:c>
      <x:c r="F438" s="24" t="str">
        <x:v>2025-09</x:v>
      </x:c>
      <x:c r="G438" s="30" t="n">
        <x:v>45920</x:v>
      </x:c>
      <x:c r="H438" s="32" t="n">
        <x:v>320000</x:v>
      </x:c>
      <x:c r="I438" s="32" t="n">
        <x:v>320000</x:v>
      </x:c>
      <x:c r="J438" s="32" t="n">
        <x:v>0</x:v>
      </x:c>
      <x:c r="K438" s="30" t="n">
        <x:v>45920</x:v>
      </x:c>
      <x:c r="L438" s="24" t="str">
        <x:v>입금</x:v>
      </x:c>
      <x:c r="M438" s="31" t="n">
        <x:f>IF(AND(N438="미수",G438&lt;&gt;"",TODAY()&gt;G438),TODAY()-G438,0)</x:f>
        <x:v>0</x:v>
      </x:c>
      <x:c r="N438" s="24" t="str">
        <x:f>IF(J438&gt;0,"미수",IF(AND(H438&gt;0,I438&gt;=H438),"완납","미확인"))</x:f>
        <x:v>완납</x:v>
      </x:c>
      <x:c r="O438" s="31" t="n">
        <x:v>26</x:v>
      </x:c>
    </x:row>
    <x:row r="439" ht="17.25" customHeight="1">
      <x:c r="A439" s="24" t="str">
        <x:v>SW-B-252거3143-202508</x:v>
      </x:c>
      <x:c r="B439" s="24" t="str">
        <x:v>스위치플랜</x:v>
      </x:c>
      <x:c r="C439" s="24" t="str">
        <x:v>SW-C-252거3143-1-20240820-26</x:v>
      </x:c>
      <x:c r="D439" s="24" t="str">
        <x:v>252거3143</x:v>
      </x:c>
      <x:c r="E439" s="24" t="str">
        <x:v>김종원</x:v>
      </x:c>
      <x:c r="F439" s="24" t="str">
        <x:v>2025-08</x:v>
      </x:c>
      <x:c r="G439" s="30" t="n">
        <x:v>45889</x:v>
      </x:c>
      <x:c r="H439" s="32" t="n">
        <x:v>320000</x:v>
      </x:c>
      <x:c r="I439" s="32" t="n">
        <x:v>320000</x:v>
      </x:c>
      <x:c r="J439" s="32" t="n">
        <x:v>0</x:v>
      </x:c>
      <x:c r="K439" s="30" t="n">
        <x:v>45890</x:v>
      </x:c>
      <x:c r="L439" s="24" t="str">
        <x:v>입금</x:v>
      </x:c>
      <x:c r="M439" s="31" t="n">
        <x:f>IF(AND(N439="미수",G439&lt;&gt;"",TODAY()&gt;G439),TODAY()-G439,0)</x:f>
        <x:v>0</x:v>
      </x:c>
      <x:c r="N439" s="24" t="str">
        <x:f>IF(J439&gt;0,"미수",IF(AND(H439&gt;0,I439&gt;=H439),"완납","미확인"))</x:f>
        <x:v>완납</x:v>
      </x:c>
      <x:c r="O439" s="31" t="n">
        <x:v>26</x:v>
      </x:c>
    </x:row>
    <x:row r="440" ht="17.25" customHeight="1">
      <x:c r="A440" s="24" t="str">
        <x:v>SW-B-252거3143-202507</x:v>
      </x:c>
      <x:c r="B440" s="24" t="str">
        <x:v>스위치플랜</x:v>
      </x:c>
      <x:c r="C440" s="24" t="str">
        <x:v>SW-C-252거3143-1-20240820-26</x:v>
      </x:c>
      <x:c r="D440" s="24" t="str">
        <x:v>252거3143</x:v>
      </x:c>
      <x:c r="E440" s="24" t="str">
        <x:v>김종원</x:v>
      </x:c>
      <x:c r="F440" s="24" t="str">
        <x:v>2025-07</x:v>
      </x:c>
      <x:c r="G440" s="30" t="n">
        <x:v>45858</x:v>
      </x:c>
      <x:c r="H440" s="32" t="n">
        <x:v>320000</x:v>
      </x:c>
      <x:c r="I440" s="32" t="n">
        <x:v>320000</x:v>
      </x:c>
      <x:c r="J440" s="32" t="n">
        <x:v>0</x:v>
      </x:c>
      <x:c r="K440" s="30" t="n">
        <x:v>45859</x:v>
      </x:c>
      <x:c r="L440" s="24" t="str">
        <x:v>입금</x:v>
      </x:c>
      <x:c r="M440" s="31" t="n">
        <x:f>IF(AND(N440="미수",G440&lt;&gt;"",TODAY()&gt;G440),TODAY()-G440,0)</x:f>
        <x:v>0</x:v>
      </x:c>
      <x:c r="N440" s="24" t="str">
        <x:f>IF(J440&gt;0,"미수",IF(AND(H440&gt;0,I440&gt;=H440),"완납","미확인"))</x:f>
        <x:v>완납</x:v>
      </x:c>
      <x:c r="O440" s="31" t="n">
        <x:v>26</x:v>
      </x:c>
    </x:row>
    <x:row r="441" ht="17.25" customHeight="1">
      <x:c r="A441" s="24" t="str">
        <x:v>SW-B-252거3143-202506</x:v>
      </x:c>
      <x:c r="B441" s="24" t="str">
        <x:v>스위치플랜</x:v>
      </x:c>
      <x:c r="C441" s="24" t="str">
        <x:v>SW-C-252거3143-1-20240820-26</x:v>
      </x:c>
      <x:c r="D441" s="24" t="str">
        <x:v>252거3143</x:v>
      </x:c>
      <x:c r="E441" s="24" t="str">
        <x:v>김종원</x:v>
      </x:c>
      <x:c r="F441" s="24" t="str">
        <x:v>2025-06</x:v>
      </x:c>
      <x:c r="G441" s="30" t="n">
        <x:v>45828</x:v>
      </x:c>
      <x:c r="H441" s="32" t="n">
        <x:v>320000</x:v>
      </x:c>
      <x:c r="I441" s="32" t="n">
        <x:v>320000</x:v>
      </x:c>
      <x:c r="J441" s="32" t="n">
        <x:v>0</x:v>
      </x:c>
      <x:c r="K441" s="30" t="n">
        <x:v>45828</x:v>
      </x:c>
      <x:c r="L441" s="24" t="str">
        <x:v>입금</x:v>
      </x:c>
      <x:c r="M441" s="31" t="n">
        <x:f>IF(AND(N441="미수",G441&lt;&gt;"",TODAY()&gt;G441),TODAY()-G441,0)</x:f>
        <x:v>0</x:v>
      </x:c>
      <x:c r="N441" s="24" t="str">
        <x:f>IF(J441&gt;0,"미수",IF(AND(H441&gt;0,I441&gt;=H441),"완납","미확인"))</x:f>
        <x:v>완납</x:v>
      </x:c>
      <x:c r="O441" s="31" t="n">
        <x:v>26</x:v>
      </x:c>
    </x:row>
    <x:row r="442" ht="17.25" customHeight="1">
      <x:c r="A442" s="24" t="str">
        <x:v>SW-B-252거3143-202505</x:v>
      </x:c>
      <x:c r="B442" s="24" t="str">
        <x:v>스위치플랜</x:v>
      </x:c>
      <x:c r="C442" s="24" t="str">
        <x:v>SW-C-252거3143-1-20240820-26</x:v>
      </x:c>
      <x:c r="D442" s="24" t="str">
        <x:v>252거3143</x:v>
      </x:c>
      <x:c r="E442" s="24" t="str">
        <x:v>김종원</x:v>
      </x:c>
      <x:c r="F442" s="24" t="str">
        <x:v>2025-05</x:v>
      </x:c>
      <x:c r="G442" s="30" t="n">
        <x:v>45797</x:v>
      </x:c>
      <x:c r="H442" s="32" t="n">
        <x:v>320000</x:v>
      </x:c>
      <x:c r="I442" s="32" t="n">
        <x:v>320000</x:v>
      </x:c>
      <x:c r="J442" s="32" t="n">
        <x:v>0</x:v>
      </x:c>
      <x:c r="K442" s="30" t="n">
        <x:v>45797</x:v>
      </x:c>
      <x:c r="L442" s="24" t="str">
        <x:v>입금</x:v>
      </x:c>
      <x:c r="M442" s="31" t="n">
        <x:f>IF(AND(N442="미수",G442&lt;&gt;"",TODAY()&gt;G442),TODAY()-G442,0)</x:f>
        <x:v>0</x:v>
      </x:c>
      <x:c r="N442" s="24" t="str">
        <x:f>IF(J442&gt;0,"미수",IF(AND(H442&gt;0,I442&gt;=H442),"완납","미확인"))</x:f>
        <x:v>완납</x:v>
      </x:c>
      <x:c r="O442" s="31" t="n">
        <x:v>26</x:v>
      </x:c>
    </x:row>
    <x:row r="443" ht="17.25" customHeight="1">
      <x:c r="A443" s="24" t="str">
        <x:v>SW-B-252거3143-202504</x:v>
      </x:c>
      <x:c r="B443" s="24" t="str">
        <x:v>스위치플랜</x:v>
      </x:c>
      <x:c r="C443" s="24" t="str">
        <x:v>SW-C-252거3143-1-20240820-26</x:v>
      </x:c>
      <x:c r="D443" s="24" t="str">
        <x:v>252거3143</x:v>
      </x:c>
      <x:c r="E443" s="24" t="str">
        <x:v>김종원</x:v>
      </x:c>
      <x:c r="F443" s="24" t="str">
        <x:v>2025-04</x:v>
      </x:c>
      <x:c r="G443" s="30" t="n">
        <x:v>45767</x:v>
      </x:c>
      <x:c r="H443" s="32" t="n">
        <x:v>320000</x:v>
      </x:c>
      <x:c r="I443" s="32" t="n">
        <x:v>320000</x:v>
      </x:c>
      <x:c r="J443" s="32" t="n">
        <x:v>0</x:v>
      </x:c>
      <x:c r="K443" s="30" t="n">
        <x:v>45767</x:v>
      </x:c>
      <x:c r="L443" s="24" t="str">
        <x:v>입금</x:v>
      </x:c>
      <x:c r="M443" s="31" t="n">
        <x:f>IF(AND(N443="미수",G443&lt;&gt;"",TODAY()&gt;G443),TODAY()-G443,0)</x:f>
        <x:v>0</x:v>
      </x:c>
      <x:c r="N443" s="24" t="str">
        <x:f>IF(J443&gt;0,"미수",IF(AND(H443&gt;0,I443&gt;=H443),"완납","미확인"))</x:f>
        <x:v>완납</x:v>
      </x:c>
      <x:c r="O443" s="31" t="n">
        <x:v>26</x:v>
      </x:c>
    </x:row>
    <x:row r="444" ht="17.25" customHeight="1">
      <x:c r="A444" s="24" t="str">
        <x:v>SW-B-252거3143-202503</x:v>
      </x:c>
      <x:c r="B444" s="24" t="str">
        <x:v>스위치플랜</x:v>
      </x:c>
      <x:c r="C444" s="24" t="str">
        <x:v>SW-C-252거3143-1-20240820-26</x:v>
      </x:c>
      <x:c r="D444" s="24" t="str">
        <x:v>252거3143</x:v>
      </x:c>
      <x:c r="E444" s="24" t="str">
        <x:v>김종원</x:v>
      </x:c>
      <x:c r="F444" s="24" t="str">
        <x:v>2025-03</x:v>
      </x:c>
      <x:c r="G444" s="30" t="n">
        <x:v>45736</x:v>
      </x:c>
      <x:c r="H444" s="32" t="n">
        <x:v>320000</x:v>
      </x:c>
      <x:c r="I444" s="32" t="n">
        <x:v>320000</x:v>
      </x:c>
      <x:c r="J444" s="32" t="n">
        <x:v>0</x:v>
      </x:c>
      <x:c r="K444" s="30" t="n">
        <x:v>45736</x:v>
      </x:c>
      <x:c r="L444" s="24" t="str">
        <x:v>입금</x:v>
      </x:c>
      <x:c r="M444" s="31" t="n">
        <x:f>IF(AND(N444="미수",G444&lt;&gt;"",TODAY()&gt;G444),TODAY()-G444,0)</x:f>
        <x:v>0</x:v>
      </x:c>
      <x:c r="N444" s="24" t="str">
        <x:f>IF(J444&gt;0,"미수",IF(AND(H444&gt;0,I444&gt;=H444),"완납","미확인"))</x:f>
        <x:v>완납</x:v>
      </x:c>
      <x:c r="O444" s="31" t="n">
        <x:v>26</x:v>
      </x:c>
    </x:row>
    <x:row r="445" ht="17.25" customHeight="1">
      <x:c r="A445" s="24" t="str">
        <x:v>SW-B-252거3143-202502</x:v>
      </x:c>
      <x:c r="B445" s="24" t="str">
        <x:v>스위치플랜</x:v>
      </x:c>
      <x:c r="C445" s="24" t="str">
        <x:v>SW-C-252거3143-1-20240820-26</x:v>
      </x:c>
      <x:c r="D445" s="24" t="str">
        <x:v>252거3143</x:v>
      </x:c>
      <x:c r="E445" s="24" t="str">
        <x:v>김종원</x:v>
      </x:c>
      <x:c r="F445" s="24" t="str">
        <x:v>2025-02</x:v>
      </x:c>
      <x:c r="G445" s="30" t="n">
        <x:v>45708</x:v>
      </x:c>
      <x:c r="H445" s="32" t="n">
        <x:v>320000</x:v>
      </x:c>
      <x:c r="I445" s="32" t="n">
        <x:v>320000</x:v>
      </x:c>
      <x:c r="J445" s="32" t="n">
        <x:v>0</x:v>
      </x:c>
      <x:c r="K445" s="30" t="n">
        <x:v>45708</x:v>
      </x:c>
      <x:c r="L445" s="24" t="str">
        <x:v>입금</x:v>
      </x:c>
      <x:c r="M445" s="31" t="n">
        <x:f>IF(AND(N445="미수",G445&lt;&gt;"",TODAY()&gt;G445),TODAY()-G445,0)</x:f>
        <x:v>0</x:v>
      </x:c>
      <x:c r="N445" s="24" t="str">
        <x:f>IF(J445&gt;0,"미수",IF(AND(H445&gt;0,I445&gt;=H445),"완납","미확인"))</x:f>
        <x:v>완납</x:v>
      </x:c>
      <x:c r="O445" s="31" t="n">
        <x:v>26</x:v>
      </x:c>
    </x:row>
    <x:row r="446" ht="17.25" customHeight="1">
      <x:c r="A446" s="24" t="str">
        <x:v>SW-B-252거3143-202501</x:v>
      </x:c>
      <x:c r="B446" s="24" t="str">
        <x:v>스위치플랜</x:v>
      </x:c>
      <x:c r="C446" s="24" t="str">
        <x:v>SW-C-252거3143-1-20240820-26</x:v>
      </x:c>
      <x:c r="D446" s="24" t="str">
        <x:v>252거3143</x:v>
      </x:c>
      <x:c r="E446" s="24" t="str">
        <x:v>김종원</x:v>
      </x:c>
      <x:c r="F446" s="24" t="str">
        <x:v>2025-01</x:v>
      </x:c>
      <x:c r="G446" s="30" t="n">
        <x:v>45677</x:v>
      </x:c>
      <x:c r="H446" s="32" t="n">
        <x:v>320000</x:v>
      </x:c>
      <x:c r="I446" s="32" t="n">
        <x:v>320000</x:v>
      </x:c>
      <x:c r="J446" s="32" t="n">
        <x:v>0</x:v>
      </x:c>
      <x:c r="K446" s="30" t="n">
        <x:v>45677</x:v>
      </x:c>
      <x:c r="L446" s="24" t="str">
        <x:v>입금</x:v>
      </x:c>
      <x:c r="M446" s="31" t="n">
        <x:f>IF(AND(N446="미수",G446&lt;&gt;"",TODAY()&gt;G446),TODAY()-G446,0)</x:f>
        <x:v>0</x:v>
      </x:c>
      <x:c r="N446" s="24" t="str">
        <x:f>IF(J446&gt;0,"미수",IF(AND(H446&gt;0,I446&gt;=H446),"완납","미확인"))</x:f>
        <x:v>완납</x:v>
      </x:c>
      <x:c r="O446" s="31" t="n">
        <x:v>26</x:v>
      </x:c>
    </x:row>
    <x:row r="447" ht="17.25" customHeight="1">
      <x:c r="A447" s="24" t="str">
        <x:v>SW-B-252거3143-202412</x:v>
      </x:c>
      <x:c r="B447" s="24" t="str">
        <x:v>스위치플랜</x:v>
      </x:c>
      <x:c r="C447" s="24" t="str">
        <x:v>SW-C-252거3143-1-20240820-26</x:v>
      </x:c>
      <x:c r="D447" s="24" t="str">
        <x:v>252거3143</x:v>
      </x:c>
      <x:c r="E447" s="24" t="str">
        <x:v>김종원</x:v>
      </x:c>
      <x:c r="F447" s="24" t="str">
        <x:v>2024-12</x:v>
      </x:c>
      <x:c r="G447" s="30" t="n">
        <x:v>45646</x:v>
      </x:c>
      <x:c r="H447" s="32" t="n">
        <x:v>320000</x:v>
      </x:c>
      <x:c r="I447" s="32" t="n">
        <x:v>320000</x:v>
      </x:c>
      <x:c r="J447" s="32" t="n">
        <x:v>0</x:v>
      </x:c>
      <x:c r="K447" s="30" t="n">
        <x:v>45646</x:v>
      </x:c>
      <x:c r="L447" s="24" t="str">
        <x:v>입금</x:v>
      </x:c>
      <x:c r="M447" s="31" t="n">
        <x:f>IF(AND(N447="미수",G447&lt;&gt;"",TODAY()&gt;G447),TODAY()-G447,0)</x:f>
        <x:v>0</x:v>
      </x:c>
      <x:c r="N447" s="24" t="str">
        <x:f>IF(J447&gt;0,"미수",IF(AND(H447&gt;0,I447&gt;=H447),"완납","미확인"))</x:f>
        <x:v>완납</x:v>
      </x:c>
      <x:c r="O447" s="31" t="n">
        <x:v>26</x:v>
      </x:c>
    </x:row>
    <x:row r="448" ht="17.25" customHeight="1">
      <x:c r="A448" s="24" t="str">
        <x:v>SW-B-252거3143-202411</x:v>
      </x:c>
      <x:c r="B448" s="24" t="str">
        <x:v>스위치플랜</x:v>
      </x:c>
      <x:c r="C448" s="24" t="str">
        <x:v>SW-C-252거3143-1-20240820-26</x:v>
      </x:c>
      <x:c r="D448" s="24" t="str">
        <x:v>252거3143</x:v>
      </x:c>
      <x:c r="E448" s="24" t="str">
        <x:v>김종원</x:v>
      </x:c>
      <x:c r="F448" s="24" t="str">
        <x:v>2024-11</x:v>
      </x:c>
      <x:c r="G448" s="30" t="n">
        <x:v>45616</x:v>
      </x:c>
      <x:c r="H448" s="32" t="n">
        <x:v>320000</x:v>
      </x:c>
      <x:c r="I448" s="32" t="n">
        <x:v>320000</x:v>
      </x:c>
      <x:c r="J448" s="32" t="n">
        <x:v>0</x:v>
      </x:c>
      <x:c r="K448" s="30" t="n">
        <x:v>45616</x:v>
      </x:c>
      <x:c r="L448" s="24" t="str">
        <x:v>입금</x:v>
      </x:c>
      <x:c r="M448" s="31" t="n">
        <x:f>IF(AND(N448="미수",G448&lt;&gt;"",TODAY()&gt;G448),TODAY()-G448,0)</x:f>
        <x:v>0</x:v>
      </x:c>
      <x:c r="N448" s="24" t="str">
        <x:f>IF(J448&gt;0,"미수",IF(AND(H448&gt;0,I448&gt;=H448),"완납","미확인"))</x:f>
        <x:v>완납</x:v>
      </x:c>
      <x:c r="O448" s="31" t="n">
        <x:v>26</x:v>
      </x:c>
    </x:row>
    <x:row r="449" ht="17.25" customHeight="1">
      <x:c r="A449" s="24" t="str">
        <x:v>SW-B-252거3143-202410</x:v>
      </x:c>
      <x:c r="B449" s="24" t="str">
        <x:v>스위치플랜</x:v>
      </x:c>
      <x:c r="C449" s="24" t="str">
        <x:v>SW-C-252거3143-1-20240820-26</x:v>
      </x:c>
      <x:c r="D449" s="24" t="str">
        <x:v>252거3143</x:v>
      </x:c>
      <x:c r="E449" s="24" t="str">
        <x:v>김종원</x:v>
      </x:c>
      <x:c r="F449" s="24" t="str">
        <x:v>2024-10</x:v>
      </x:c>
      <x:c r="G449" s="30" t="n">
        <x:v>45585</x:v>
      </x:c>
      <x:c r="H449" s="32" t="n">
        <x:v>320000</x:v>
      </x:c>
      <x:c r="I449" s="32" t="n">
        <x:v>320000</x:v>
      </x:c>
      <x:c r="J449" s="32" t="n">
        <x:v>0</x:v>
      </x:c>
      <x:c r="K449" s="30" t="n">
        <x:v>45585</x:v>
      </x:c>
      <x:c r="L449" s="24" t="str">
        <x:v>입금</x:v>
      </x:c>
      <x:c r="M449" s="31" t="n">
        <x:f>IF(AND(N449="미수",G449&lt;&gt;"",TODAY()&gt;G449),TODAY()-G449,0)</x:f>
        <x:v>0</x:v>
      </x:c>
      <x:c r="N449" s="24" t="str">
        <x:f>IF(J449&gt;0,"미수",IF(AND(H449&gt;0,I449&gt;=H449),"완납","미확인"))</x:f>
        <x:v>완납</x:v>
      </x:c>
      <x:c r="O449" s="31" t="n">
        <x:v>26</x:v>
      </x:c>
    </x:row>
    <x:row r="450" ht="17.25" customHeight="1">
      <x:c r="A450" s="24" t="str">
        <x:v>SW-B-252거3143-202409</x:v>
      </x:c>
      <x:c r="B450" s="24" t="str">
        <x:v>스위치플랜</x:v>
      </x:c>
      <x:c r="C450" s="24" t="str">
        <x:v>SW-C-252거3143-1-20240820-26</x:v>
      </x:c>
      <x:c r="D450" s="24" t="str">
        <x:v>252거3143</x:v>
      </x:c>
      <x:c r="E450" s="24" t="str">
        <x:v>김종원</x:v>
      </x:c>
      <x:c r="F450" s="24" t="str">
        <x:v>2024-09</x:v>
      </x:c>
      <x:c r="G450" s="30" t="n">
        <x:v>45555</x:v>
      </x:c>
      <x:c r="H450" s="32" t="n">
        <x:v>320000</x:v>
      </x:c>
      <x:c r="I450" s="32" t="n">
        <x:v>320000</x:v>
      </x:c>
      <x:c r="J450" s="32" t="n">
        <x:v>0</x:v>
      </x:c>
      <x:c r="K450" s="30" t="n">
        <x:v>45559</x:v>
      </x:c>
      <x:c r="L450" s="24" t="str">
        <x:v>입금</x:v>
      </x:c>
      <x:c r="M450" s="31" t="n">
        <x:f>IF(AND(N450="미수",G450&lt;&gt;"",TODAY()&gt;G450),TODAY()-G450,0)</x:f>
        <x:v>0</x:v>
      </x:c>
      <x:c r="N450" s="24" t="str">
        <x:f>IF(J450&gt;0,"미수",IF(AND(H450&gt;0,I450&gt;=H450),"완납","미확인"))</x:f>
        <x:v>완납</x:v>
      </x:c>
      <x:c r="O450" s="31" t="n">
        <x:v>26</x:v>
      </x:c>
    </x:row>
    <x:row r="451" ht="17.25" customHeight="1">
      <x:c r="A451" s="24" t="str">
        <x:v>SW-B-252거3143-202408</x:v>
      </x:c>
      <x:c r="B451" s="24" t="str">
        <x:v>스위치플랜</x:v>
      </x:c>
      <x:c r="C451" s="24" t="str">
        <x:v>SW-C-252거3143-1-20240820-26</x:v>
      </x:c>
      <x:c r="D451" s="24" t="str">
        <x:v>252거3143</x:v>
      </x:c>
      <x:c r="E451" s="24" t="str">
        <x:v>김종원</x:v>
      </x:c>
      <x:c r="F451" s="24" t="str">
        <x:v>2024-08</x:v>
      </x:c>
      <x:c r="G451" s="30" t="n">
        <x:v>45524</x:v>
      </x:c>
      <x:c r="H451" s="32" t="n">
        <x:v>320000</x:v>
      </x:c>
      <x:c r="I451" s="32" t="n">
        <x:v>320000</x:v>
      </x:c>
      <x:c r="J451" s="32" t="n">
        <x:v>0</x:v>
      </x:c>
      <x:c r="K451" s="30" t="n">
        <x:v>45510</x:v>
      </x:c>
      <x:c r="L451" s="24" t="str">
        <x:v>입금</x:v>
      </x:c>
      <x:c r="M451" s="31" t="n">
        <x:f>IF(AND(N451="미수",G451&lt;&gt;"",TODAY()&gt;G451),TODAY()-G451,0)</x:f>
        <x:v>0</x:v>
      </x:c>
      <x:c r="N451" s="24" t="str">
        <x:f>IF(J451&gt;0,"미수",IF(AND(H451&gt;0,I451&gt;=H451),"완납","미확인"))</x:f>
        <x:v>완납</x:v>
      </x:c>
      <x:c r="O451" s="31" t="n">
        <x:v>26</x:v>
      </x:c>
    </x:row>
    <x:row r="452" ht="17.25" customHeight="1">
      <x:c r="A452" s="24" t="str">
        <x:v>SW-B-57나3382-202608</x:v>
      </x:c>
      <x:c r="B452" s="24" t="str">
        <x:v>스위치플랜</x:v>
      </x:c>
      <x:c r="C452" s="24" t="str">
        <x:v>SW-C-57나3382-1-20260520-27</x:v>
      </x:c>
      <x:c r="D452" s="24" t="str">
        <x:v>57나3382</x:v>
      </x:c>
      <x:c r="E452" s="24" t="str">
        <x:v>김대훈</x:v>
      </x:c>
      <x:c r="F452" s="24" t="str">
        <x:v>2026-08</x:v>
      </x:c>
      <x:c r="G452" s="30" t="n">
        <x:v>46254</x:v>
      </x:c>
      <x:c r="H452" s="32" t="n">
        <x:v>350000</x:v>
      </x:c>
      <x:c r="I452" s="32"/>
      <x:c r="J452" s="32" t="n">
        <x:v>350000</x:v>
      </x:c>
      <x:c r="K452" s="30"/>
      <x:c r="L452" s="24" t="str"/>
      <x:c r="M452" s="31" t="n">
        <x:f>IF(AND(N452="미수",G452&lt;&gt;"",TODAY()&gt;G452),TODAY()-G452,0)</x:f>
        <x:v>0</x:v>
      </x:c>
      <x:c r="N452" s="24" t="str">
        <x:f>IF(J452&gt;0,"미수",IF(AND(H452&gt;0,I452&gt;=H452),"완납","미확인"))</x:f>
        <x:v>미수</x:v>
      </x:c>
      <x:c r="O452" s="31" t="n">
        <x:v>27</x:v>
      </x:c>
    </x:row>
    <x:row r="453" ht="17.25" customHeight="1">
      <x:c r="A453" s="24" t="str">
        <x:v>SW-B-57나3382-202607</x:v>
      </x:c>
      <x:c r="B453" s="24" t="str">
        <x:v>스위치플랜</x:v>
      </x:c>
      <x:c r="C453" s="24" t="str">
        <x:v>SW-C-57나3382-1-20260520-27</x:v>
      </x:c>
      <x:c r="D453" s="24" t="str">
        <x:v>57나3382</x:v>
      </x:c>
      <x:c r="E453" s="24" t="str">
        <x:v>김대훈</x:v>
      </x:c>
      <x:c r="F453" s="24" t="str">
        <x:v>2026-07</x:v>
      </x:c>
      <x:c r="G453" s="30" t="n">
        <x:v>46223</x:v>
      </x:c>
      <x:c r="H453" s="32" t="n">
        <x:v>350000</x:v>
      </x:c>
      <x:c r="I453" s="32" t="n">
        <x:v>350000</x:v>
      </x:c>
      <x:c r="J453" s="32" t="n">
        <x:v>0</x:v>
      </x:c>
      <x:c r="K453" s="30" t="n">
        <x:v>46223</x:v>
      </x:c>
      <x:c r="L453" s="24" t="str">
        <x:v>입금</x:v>
      </x:c>
      <x:c r="M453" s="31" t="n">
        <x:f>IF(AND(N453="미수",G453&lt;&gt;"",TODAY()&gt;G453),TODAY()-G453,0)</x:f>
        <x:v>0</x:v>
      </x:c>
      <x:c r="N453" s="24" t="str">
        <x:f>IF(J453&gt;0,"미수",IF(AND(H453&gt;0,I453&gt;=H453),"완납","미확인"))</x:f>
        <x:v>완납</x:v>
      </x:c>
      <x:c r="O453" s="31" t="n">
        <x:v>27</x:v>
      </x:c>
    </x:row>
    <x:row r="454" ht="17.25" customHeight="1">
      <x:c r="A454" s="24" t="str">
        <x:v>SW-B-57나3382-202606</x:v>
      </x:c>
      <x:c r="B454" s="24" t="str">
        <x:v>스위치플랜</x:v>
      </x:c>
      <x:c r="C454" s="24" t="str">
        <x:v>SW-C-57나3382-1-20260520-27</x:v>
      </x:c>
      <x:c r="D454" s="24" t="str">
        <x:v>57나3382</x:v>
      </x:c>
      <x:c r="E454" s="24" t="str">
        <x:v>김대훈</x:v>
      </x:c>
      <x:c r="F454" s="24" t="str">
        <x:v>2026-06</x:v>
      </x:c>
      <x:c r="G454" s="30" t="n">
        <x:v>46193</x:v>
      </x:c>
      <x:c r="H454" s="32" t="n">
        <x:v>350000</x:v>
      </x:c>
      <x:c r="I454" s="32" t="n">
        <x:v>350000</x:v>
      </x:c>
      <x:c r="J454" s="32" t="n">
        <x:v>0</x:v>
      </x:c>
      <x:c r="K454" s="30" t="n">
        <x:v>46193</x:v>
      </x:c>
      <x:c r="L454" s="24" t="str">
        <x:v>입금</x:v>
      </x:c>
      <x:c r="M454" s="31" t="n">
        <x:f>IF(AND(N454="미수",G454&lt;&gt;"",TODAY()&gt;G454),TODAY()-G454,0)</x:f>
        <x:v>0</x:v>
      </x:c>
      <x:c r="N454" s="24" t="str">
        <x:f>IF(J454&gt;0,"미수",IF(AND(H454&gt;0,I454&gt;=H454),"완납","미확인"))</x:f>
        <x:v>완납</x:v>
      </x:c>
      <x:c r="O454" s="31" t="n">
        <x:v>27</x:v>
      </x:c>
    </x:row>
    <x:row r="455" ht="17.25" customHeight="1">
      <x:c r="A455" s="24" t="str">
        <x:v>SW-B-57나3382-202605</x:v>
      </x:c>
      <x:c r="B455" s="24" t="str">
        <x:v>스위치플랜</x:v>
      </x:c>
      <x:c r="C455" s="24" t="str">
        <x:v>SW-C-57나3382-1-20260520-27</x:v>
      </x:c>
      <x:c r="D455" s="24" t="str">
        <x:v>57나3382</x:v>
      </x:c>
      <x:c r="E455" s="24" t="str">
        <x:v>김대훈</x:v>
      </x:c>
      <x:c r="F455" s="24" t="str">
        <x:v>2026-05</x:v>
      </x:c>
      <x:c r="G455" s="30" t="n">
        <x:v>46162</x:v>
      </x:c>
      <x:c r="H455" s="32" t="n">
        <x:v>350000</x:v>
      </x:c>
      <x:c r="I455" s="32" t="n">
        <x:v>350000</x:v>
      </x:c>
      <x:c r="J455" s="32" t="n">
        <x:v>0</x:v>
      </x:c>
      <x:c r="K455" s="30" t="n">
        <x:v>46161</x:v>
      </x:c>
      <x:c r="L455" s="24" t="str">
        <x:v>입금</x:v>
      </x:c>
      <x:c r="M455" s="31" t="n">
        <x:f>IF(AND(N455="미수",G455&lt;&gt;"",TODAY()&gt;G455),TODAY()-G455,0)</x:f>
        <x:v>0</x:v>
      </x:c>
      <x:c r="N455" s="24" t="str">
        <x:f>IF(J455&gt;0,"미수",IF(AND(H455&gt;0,I455&gt;=H455),"완납","미확인"))</x:f>
        <x:v>완납</x:v>
      </x:c>
      <x:c r="O455" s="31" t="n">
        <x:v>27</x:v>
      </x:c>
    </x:row>
    <x:row r="456" ht="17.25" customHeight="1">
      <x:c r="A456" s="24" t="str">
        <x:v>SW-B-57나3382-202604</x:v>
      </x:c>
      <x:c r="B456" s="24" t="str">
        <x:v>스위치플랜</x:v>
      </x:c>
      <x:c r="C456" s="24" t="str">
        <x:v>SW-C-57나3382-2-20250428-27</x:v>
      </x:c>
      <x:c r="D456" s="24" t="str">
        <x:v>57나3382</x:v>
      </x:c>
      <x:c r="E456" s="24" t="str">
        <x:v>김대훈</x:v>
      </x:c>
      <x:c r="F456" s="24" t="str">
        <x:v>2026-04</x:v>
      </x:c>
      <x:c r="G456" s="30" t="n">
        <x:v>46132</x:v>
      </x:c>
      <x:c r="H456" s="32" t="n">
        <x:v>0</x:v>
      </x:c>
      <x:c r="I456" s="32"/>
      <x:c r="J456" s="32" t="n">
        <x:v>0</x:v>
      </x:c>
      <x:c r="K456" s="30"/>
      <x:c r="L456" s="24" t="str"/>
      <x:c r="M456" s="31" t="n">
        <x:f>IF(AND(N456="미수",G456&lt;&gt;"",TODAY()&gt;G456),TODAY()-G456,0)</x:f>
        <x:v>0</x:v>
      </x:c>
      <x:c r="N456" s="24" t="str">
        <x:f>IF(J456&gt;0,"미수",IF(AND(H456&gt;0,I456&gt;=H456),"완납","미확인"))</x:f>
        <x:v>미확인</x:v>
      </x:c>
      <x:c r="O456" s="31" t="n">
        <x:v>27</x:v>
      </x:c>
    </x:row>
    <x:row r="457" ht="17.25" customHeight="1">
      <x:c r="A457" s="24" t="str">
        <x:v>SW-B-57나3382-202603</x:v>
      </x:c>
      <x:c r="B457" s="24" t="str">
        <x:v>스위치플랜</x:v>
      </x:c>
      <x:c r="C457" s="24" t="str">
        <x:v>SW-C-57나3382-2-20250428-27</x:v>
      </x:c>
      <x:c r="D457" s="24" t="str">
        <x:v>57나3382</x:v>
      </x:c>
      <x:c r="E457" s="24" t="str">
        <x:v>김대훈</x:v>
      </x:c>
      <x:c r="F457" s="24" t="str">
        <x:v>2026-03</x:v>
      </x:c>
      <x:c r="G457" s="30" t="n">
        <x:v>46101</x:v>
      </x:c>
      <x:c r="H457" s="32" t="n">
        <x:v>370000</x:v>
      </x:c>
      <x:c r="I457" s="32" t="n">
        <x:v>370000</x:v>
      </x:c>
      <x:c r="J457" s="32" t="n">
        <x:v>370000</x:v>
      </x:c>
      <x:c r="K457" s="30" t="n">
        <x:v>46082</x:v>
      </x:c>
      <x:c r="L457" s="24" t="str">
        <x:v>입금</x:v>
      </x:c>
      <x:c r="M457" s="31" t="n">
        <x:f>IF(AND(N457="미수",G457&lt;&gt;"",TODAY()&gt;G457),TODAY()-G457,0)</x:f>
        <x:v>148</x:v>
      </x:c>
      <x:c r="N457" s="24" t="str">
        <x:f>IF(J457&gt;0,"미수",IF(AND(H457&gt;0,I457&gt;=H457),"완납","미확인"))</x:f>
        <x:v>미수</x:v>
      </x:c>
      <x:c r="O457" s="31" t="n">
        <x:v>27</x:v>
      </x:c>
    </x:row>
    <x:row r="458" ht="17.25" customHeight="1">
      <x:c r="A458" s="24" t="str">
        <x:v>SW-B-57나3382-202602</x:v>
      </x:c>
      <x:c r="B458" s="24" t="str">
        <x:v>스위치플랜</x:v>
      </x:c>
      <x:c r="C458" s="24" t="str">
        <x:v>SW-C-57나3382-2-20250428-27</x:v>
      </x:c>
      <x:c r="D458" s="24" t="str">
        <x:v>57나3382</x:v>
      </x:c>
      <x:c r="E458" s="24" t="str">
        <x:v>김대훈</x:v>
      </x:c>
      <x:c r="F458" s="24" t="str">
        <x:v>2026-02</x:v>
      </x:c>
      <x:c r="G458" s="30" t="n">
        <x:v>46073</x:v>
      </x:c>
      <x:c r="H458" s="32" t="n">
        <x:v>370000</x:v>
      </x:c>
      <x:c r="I458" s="32" t="n">
        <x:v>370000</x:v>
      </x:c>
      <x:c r="J458" s="32" t="n">
        <x:v>370000</x:v>
      </x:c>
      <x:c r="K458" s="30" t="n">
        <x:v>46072</x:v>
      </x:c>
      <x:c r="L458" s="24" t="str">
        <x:v>입금</x:v>
      </x:c>
      <x:c r="M458" s="31" t="n">
        <x:f>IF(AND(N458="미수",G458&lt;&gt;"",TODAY()&gt;G458),TODAY()-G458,0)</x:f>
        <x:v>176</x:v>
      </x:c>
      <x:c r="N458" s="24" t="str">
        <x:f>IF(J458&gt;0,"미수",IF(AND(H458&gt;0,I458&gt;=H458),"완납","미확인"))</x:f>
        <x:v>미수</x:v>
      </x:c>
      <x:c r="O458" s="31" t="n">
        <x:v>27</x:v>
      </x:c>
    </x:row>
    <x:row r="459" ht="17.25" customHeight="1">
      <x:c r="A459" s="24" t="str">
        <x:v>SW-B-57나3382-202601</x:v>
      </x:c>
      <x:c r="B459" s="24" t="str">
        <x:v>스위치플랜</x:v>
      </x:c>
      <x:c r="C459" s="24" t="str">
        <x:v>SW-C-57나3382-2-20250428-27</x:v>
      </x:c>
      <x:c r="D459" s="24" t="str">
        <x:v>57나3382</x:v>
      </x:c>
      <x:c r="E459" s="24" t="str">
        <x:v>김대훈</x:v>
      </x:c>
      <x:c r="F459" s="24" t="str">
        <x:v>2026-01</x:v>
      </x:c>
      <x:c r="G459" s="30" t="n">
        <x:v>46042</x:v>
      </x:c>
      <x:c r="H459" s="32" t="n">
        <x:v>370000</x:v>
      </x:c>
      <x:c r="I459" s="32" t="n">
        <x:v>370000</x:v>
      </x:c>
      <x:c r="J459" s="32" t="n">
        <x:v>370000</x:v>
      </x:c>
      <x:c r="K459" s="30" t="n">
        <x:v>46027</x:v>
      </x:c>
      <x:c r="L459" s="24" t="str">
        <x:v>입금</x:v>
      </x:c>
      <x:c r="M459" s="31" t="n">
        <x:f>IF(AND(N459="미수",G459&lt;&gt;"",TODAY()&gt;G459),TODAY()-G459,0)</x:f>
        <x:v>207</x:v>
      </x:c>
      <x:c r="N459" s="24" t="str">
        <x:f>IF(J459&gt;0,"미수",IF(AND(H459&gt;0,I459&gt;=H459),"완납","미확인"))</x:f>
        <x:v>미수</x:v>
      </x:c>
      <x:c r="O459" s="31" t="n">
        <x:v>27</x:v>
      </x:c>
    </x:row>
    <x:row r="460" ht="17.25" customHeight="1">
      <x:c r="A460" s="24" t="str">
        <x:v>SW-B-57나3382-202512</x:v>
      </x:c>
      <x:c r="B460" s="24" t="str">
        <x:v>스위치플랜</x:v>
      </x:c>
      <x:c r="C460" s="24" t="str">
        <x:v>SW-C-57나3382-2-20250428-27</x:v>
      </x:c>
      <x:c r="D460" s="24" t="str">
        <x:v>57나3382</x:v>
      </x:c>
      <x:c r="E460" s="24" t="str">
        <x:v>김대훈</x:v>
      </x:c>
      <x:c r="F460" s="24" t="str">
        <x:v>2025-12</x:v>
      </x:c>
      <x:c r="G460" s="30" t="n">
        <x:v>46011</x:v>
      </x:c>
      <x:c r="H460" s="32" t="n">
        <x:v>370000</x:v>
      </x:c>
      <x:c r="I460" s="32" t="n">
        <x:v>370000</x:v>
      </x:c>
      <x:c r="J460" s="32" t="n">
        <x:v>370000</x:v>
      </x:c>
      <x:c r="K460" s="30" t="n">
        <x:v>45992</x:v>
      </x:c>
      <x:c r="L460" s="24" t="str">
        <x:v>입금</x:v>
      </x:c>
      <x:c r="M460" s="31" t="n">
        <x:f>IF(AND(N460="미수",G460&lt;&gt;"",TODAY()&gt;G460),TODAY()-G460,0)</x:f>
        <x:v>238</x:v>
      </x:c>
      <x:c r="N460" s="24" t="str">
        <x:f>IF(J460&gt;0,"미수",IF(AND(H460&gt;0,I460&gt;=H460),"완납","미확인"))</x:f>
        <x:v>미수</x:v>
      </x:c>
      <x:c r="O460" s="31" t="n">
        <x:v>27</x:v>
      </x:c>
    </x:row>
    <x:row r="461" ht="17.25" customHeight="1">
      <x:c r="A461" s="24" t="str">
        <x:v>SW-B-57나3382-202511</x:v>
      </x:c>
      <x:c r="B461" s="24" t="str">
        <x:v>스위치플랜</x:v>
      </x:c>
      <x:c r="C461" s="24" t="str">
        <x:v>SW-C-57나3382-2-20250428-27</x:v>
      </x:c>
      <x:c r="D461" s="24" t="str">
        <x:v>57나3382</x:v>
      </x:c>
      <x:c r="E461" s="24" t="str">
        <x:v>김대훈</x:v>
      </x:c>
      <x:c r="F461" s="24" t="str">
        <x:v>2025-11</x:v>
      </x:c>
      <x:c r="G461" s="30" t="n">
        <x:v>45981</x:v>
      </x:c>
      <x:c r="H461" s="32" t="n">
        <x:v>370000</x:v>
      </x:c>
      <x:c r="I461" s="32" t="n">
        <x:v>370000</x:v>
      </x:c>
      <x:c r="J461" s="32" t="n">
        <x:v>370000</x:v>
      </x:c>
      <x:c r="K461" s="30" t="n">
        <x:v>45969</x:v>
      </x:c>
      <x:c r="L461" s="24" t="str">
        <x:v>입금</x:v>
      </x:c>
      <x:c r="M461" s="31" t="n">
        <x:f>IF(AND(N461="미수",G461&lt;&gt;"",TODAY()&gt;G461),TODAY()-G461,0)</x:f>
        <x:v>268</x:v>
      </x:c>
      <x:c r="N461" s="24" t="str">
        <x:f>IF(J461&gt;0,"미수",IF(AND(H461&gt;0,I461&gt;=H461),"완납","미확인"))</x:f>
        <x:v>미수</x:v>
      </x:c>
      <x:c r="O461" s="31" t="n">
        <x:v>27</x:v>
      </x:c>
    </x:row>
    <x:row r="462" ht="17.25" customHeight="1">
      <x:c r="A462" s="24" t="str">
        <x:v>SW-B-57나3382-202510</x:v>
      </x:c>
      <x:c r="B462" s="24" t="str">
        <x:v>스위치플랜</x:v>
      </x:c>
      <x:c r="C462" s="24" t="str">
        <x:v>SW-C-57나3382-2-20250428-27</x:v>
      </x:c>
      <x:c r="D462" s="24" t="str">
        <x:v>57나3382</x:v>
      </x:c>
      <x:c r="E462" s="24" t="str">
        <x:v>김대훈</x:v>
      </x:c>
      <x:c r="F462" s="24" t="str">
        <x:v>2025-10</x:v>
      </x:c>
      <x:c r="G462" s="30" t="n">
        <x:v>45950</x:v>
      </x:c>
      <x:c r="H462" s="32" t="n">
        <x:v>370000</x:v>
      </x:c>
      <x:c r="I462" s="32"/>
      <x:c r="J462" s="32" t="n">
        <x:v>370000</x:v>
      </x:c>
      <x:c r="K462" s="30"/>
      <x:c r="L462" s="24" t="str"/>
      <x:c r="M462" s="31" t="n">
        <x:f>IF(AND(N462="미수",G462&lt;&gt;"",TODAY()&gt;G462),TODAY()-G462,0)</x:f>
        <x:v>299</x:v>
      </x:c>
      <x:c r="N462" s="24" t="str">
        <x:f>IF(J462&gt;0,"미수",IF(AND(H462&gt;0,I462&gt;=H462),"완납","미확인"))</x:f>
        <x:v>미수</x:v>
      </x:c>
      <x:c r="O462" s="31" t="n">
        <x:v>27</x:v>
      </x:c>
    </x:row>
    <x:row r="463" ht="17.25" customHeight="1">
      <x:c r="A463" s="24" t="str">
        <x:v>SW-B-57나3382-202509</x:v>
      </x:c>
      <x:c r="B463" s="24" t="str">
        <x:v>스위치플랜</x:v>
      </x:c>
      <x:c r="C463" s="24" t="str">
        <x:v>SW-C-57나3382-2-20250428-27</x:v>
      </x:c>
      <x:c r="D463" s="24" t="str">
        <x:v>57나3382</x:v>
      </x:c>
      <x:c r="E463" s="24" t="str">
        <x:v>김대훈</x:v>
      </x:c>
      <x:c r="F463" s="24" t="str">
        <x:v>2025-09</x:v>
      </x:c>
      <x:c r="G463" s="30" t="n">
        <x:v>45920</x:v>
      </x:c>
      <x:c r="H463" s="32" t="n">
        <x:v>370000</x:v>
      </x:c>
      <x:c r="I463" s="32" t="n">
        <x:v>370000</x:v>
      </x:c>
      <x:c r="J463" s="32" t="n">
        <x:v>0</x:v>
      </x:c>
      <x:c r="K463" s="30" t="n">
        <x:v>45946</x:v>
      </x:c>
      <x:c r="L463" s="24" t="str">
        <x:v>입금</x:v>
      </x:c>
      <x:c r="M463" s="31" t="n">
        <x:f>IF(AND(N463="미수",G463&lt;&gt;"",TODAY()&gt;G463),TODAY()-G463,0)</x:f>
        <x:v>0</x:v>
      </x:c>
      <x:c r="N463" s="24" t="str">
        <x:f>IF(J463&gt;0,"미수",IF(AND(H463&gt;0,I463&gt;=H463),"완납","미확인"))</x:f>
        <x:v>완납</x:v>
      </x:c>
      <x:c r="O463" s="31" t="n">
        <x:v>27</x:v>
      </x:c>
    </x:row>
    <x:row r="464" ht="17.25" customHeight="1">
      <x:c r="A464" s="24" t="str">
        <x:v>SW-B-57나3382-202508</x:v>
      </x:c>
      <x:c r="B464" s="24" t="str">
        <x:v>스위치플랜</x:v>
      </x:c>
      <x:c r="C464" s="24" t="str">
        <x:v>SW-C-57나3382-2-20250428-27</x:v>
      </x:c>
      <x:c r="D464" s="24" t="str">
        <x:v>57나3382</x:v>
      </x:c>
      <x:c r="E464" s="24" t="str">
        <x:v>김대훈</x:v>
      </x:c>
      <x:c r="F464" s="24" t="str">
        <x:v>2025-08</x:v>
      </x:c>
      <x:c r="G464" s="30" t="n">
        <x:v>45889</x:v>
      </x:c>
      <x:c r="H464" s="32" t="n">
        <x:v>370000</x:v>
      </x:c>
      <x:c r="I464" s="32" t="n">
        <x:v>370000</x:v>
      </x:c>
      <x:c r="J464" s="32" t="n">
        <x:v>0</x:v>
      </x:c>
      <x:c r="K464" s="30" t="n">
        <x:v>45903</x:v>
      </x:c>
      <x:c r="L464" s="24" t="str">
        <x:v>입금</x:v>
      </x:c>
      <x:c r="M464" s="31" t="n">
        <x:f>IF(AND(N464="미수",G464&lt;&gt;"",TODAY()&gt;G464),TODAY()-G464,0)</x:f>
        <x:v>0</x:v>
      </x:c>
      <x:c r="N464" s="24" t="str">
        <x:f>IF(J464&gt;0,"미수",IF(AND(H464&gt;0,I464&gt;=H464),"완납","미확인"))</x:f>
        <x:v>완납</x:v>
      </x:c>
      <x:c r="O464" s="31" t="n">
        <x:v>27</x:v>
      </x:c>
    </x:row>
    <x:row r="465" ht="17.25" customHeight="1">
      <x:c r="A465" s="24" t="str">
        <x:v>SW-B-57나3382-202507</x:v>
      </x:c>
      <x:c r="B465" s="24" t="str">
        <x:v>스위치플랜</x:v>
      </x:c>
      <x:c r="C465" s="24" t="str">
        <x:v>SW-C-57나3382-2-20250428-27</x:v>
      </x:c>
      <x:c r="D465" s="24" t="str">
        <x:v>57나3382</x:v>
      </x:c>
      <x:c r="E465" s="24" t="str">
        <x:v>김대훈</x:v>
      </x:c>
      <x:c r="F465" s="24" t="str">
        <x:v>2025-07</x:v>
      </x:c>
      <x:c r="G465" s="30" t="n">
        <x:v>45858</x:v>
      </x:c>
      <x:c r="H465" s="32" t="n">
        <x:v>370000</x:v>
      </x:c>
      <x:c r="I465" s="32" t="n">
        <x:v>370000</x:v>
      </x:c>
      <x:c r="J465" s="32" t="n">
        <x:v>0</x:v>
      </x:c>
      <x:c r="K465" s="30" t="n">
        <x:v>45873</x:v>
      </x:c>
      <x:c r="L465" s="24" t="str">
        <x:v>입금</x:v>
      </x:c>
      <x:c r="M465" s="31" t="n">
        <x:f>IF(AND(N465="미수",G465&lt;&gt;"",TODAY()&gt;G465),TODAY()-G465,0)</x:f>
        <x:v>0</x:v>
      </x:c>
      <x:c r="N465" s="24" t="str">
        <x:f>IF(J465&gt;0,"미수",IF(AND(H465&gt;0,I465&gt;=H465),"완납","미확인"))</x:f>
        <x:v>완납</x:v>
      </x:c>
      <x:c r="O465" s="31" t="n">
        <x:v>27</x:v>
      </x:c>
    </x:row>
    <x:row r="466" ht="17.25" customHeight="1">
      <x:c r="A466" s="24" t="str">
        <x:v>SW-B-57나3382-202506</x:v>
      </x:c>
      <x:c r="B466" s="24" t="str">
        <x:v>스위치플랜</x:v>
      </x:c>
      <x:c r="C466" s="24" t="str">
        <x:v>SW-C-57나3382-2-20250428-27</x:v>
      </x:c>
      <x:c r="D466" s="24" t="str">
        <x:v>57나3382</x:v>
      </x:c>
      <x:c r="E466" s="24" t="str">
        <x:v>김대훈</x:v>
      </x:c>
      <x:c r="F466" s="24" t="str">
        <x:v>2025-06</x:v>
      </x:c>
      <x:c r="G466" s="30" t="n">
        <x:v>45828</x:v>
      </x:c>
      <x:c r="H466" s="32" t="n">
        <x:v>370000</x:v>
      </x:c>
      <x:c r="I466" s="32" t="n">
        <x:v>370000</x:v>
      </x:c>
      <x:c r="J466" s="32" t="n">
        <x:v>0</x:v>
      </x:c>
      <x:c r="K466" s="30" t="n">
        <x:v>45839</x:v>
      </x:c>
      <x:c r="L466" s="24" t="str">
        <x:v>입금</x:v>
      </x:c>
      <x:c r="M466" s="31" t="n">
        <x:f>IF(AND(N466="미수",G466&lt;&gt;"",TODAY()&gt;G466),TODAY()-G466,0)</x:f>
        <x:v>0</x:v>
      </x:c>
      <x:c r="N466" s="24" t="str">
        <x:f>IF(J466&gt;0,"미수",IF(AND(H466&gt;0,I466&gt;=H466),"완납","미확인"))</x:f>
        <x:v>완납</x:v>
      </x:c>
      <x:c r="O466" s="31" t="n">
        <x:v>27</x:v>
      </x:c>
    </x:row>
    <x:row r="467" ht="17.25" customHeight="1">
      <x:c r="A467" s="24" t="str">
        <x:v>SW-B-57나3382-202505</x:v>
      </x:c>
      <x:c r="B467" s="24" t="str">
        <x:v>스위치플랜</x:v>
      </x:c>
      <x:c r="C467" s="24" t="str">
        <x:v>SW-C-57나3382-2-20250428-27</x:v>
      </x:c>
      <x:c r="D467" s="24" t="str">
        <x:v>57나3382</x:v>
      </x:c>
      <x:c r="E467" s="24" t="str">
        <x:v>김대훈</x:v>
      </x:c>
      <x:c r="F467" s="24" t="str">
        <x:v>2025-05</x:v>
      </x:c>
      <x:c r="G467" s="30" t="n">
        <x:v>45797</x:v>
      </x:c>
      <x:c r="H467" s="32" t="n">
        <x:v>370000</x:v>
      </x:c>
      <x:c r="I467" s="32" t="n">
        <x:v>370000</x:v>
      </x:c>
      <x:c r="J467" s="32" t="n">
        <x:v>0</x:v>
      </x:c>
      <x:c r="K467" s="30" t="n">
        <x:v>45813</x:v>
      </x:c>
      <x:c r="L467" s="24" t="str">
        <x:v>입금</x:v>
      </x:c>
      <x:c r="M467" s="31" t="n">
        <x:f>IF(AND(N467="미수",G467&lt;&gt;"",TODAY()&gt;G467),TODAY()-G467,0)</x:f>
        <x:v>0</x:v>
      </x:c>
      <x:c r="N467" s="24" t="str">
        <x:f>IF(J467&gt;0,"미수",IF(AND(H467&gt;0,I467&gt;=H467),"완납","미확인"))</x:f>
        <x:v>완납</x:v>
      </x:c>
      <x:c r="O467" s="31" t="n">
        <x:v>27</x:v>
      </x:c>
    </x:row>
    <x:row r="468" ht="17.25" customHeight="1">
      <x:c r="A468" s="24" t="str">
        <x:v>SW-B-57나3382-202504</x:v>
      </x:c>
      <x:c r="B468" s="24" t="str">
        <x:v>스위치플랜</x:v>
      </x:c>
      <x:c r="C468" s="24" t="str">
        <x:v>SW-C-57나3382-2-20250428-27</x:v>
      </x:c>
      <x:c r="D468" s="24" t="str">
        <x:v>57나3382</x:v>
      </x:c>
      <x:c r="E468" s="24" t="str">
        <x:v>김대훈</x:v>
      </x:c>
      <x:c r="F468" s="24" t="str">
        <x:v>2025-04</x:v>
      </x:c>
      <x:c r="G468" s="30" t="n">
        <x:v>45767</x:v>
      </x:c>
      <x:c r="H468" s="32" t="n">
        <x:v>370000</x:v>
      </x:c>
      <x:c r="I468" s="32" t="n">
        <x:v>370000</x:v>
      </x:c>
      <x:c r="J468" s="32" t="n">
        <x:v>0</x:v>
      </x:c>
      <x:c r="K468" s="30" t="n">
        <x:v>45771</x:v>
      </x:c>
      <x:c r="L468" s="24" t="str">
        <x:v>입금</x:v>
      </x:c>
      <x:c r="M468" s="31" t="n">
        <x:f>IF(AND(N468="미수",G468&lt;&gt;"",TODAY()&gt;G468),TODAY()-G468,0)</x:f>
        <x:v>0</x:v>
      </x:c>
      <x:c r="N468" s="24" t="str">
        <x:f>IF(J468&gt;0,"미수",IF(AND(H468&gt;0,I468&gt;=H468),"완납","미확인"))</x:f>
        <x:v>완납</x:v>
      </x:c>
      <x:c r="O468" s="31" t="n">
        <x:v>27</x:v>
      </x:c>
    </x:row>
    <x:row r="469" ht="17.25" customHeight="1">
      <x:c r="A469" s="24" t="str">
        <x:v>SW-B-81너0984-202608</x:v>
      </x:c>
      <x:c r="B469" s="24" t="str">
        <x:v>스위치플랜</x:v>
      </x:c>
      <x:c r="C469" s="24" t="str">
        <x:v>SW-C-81너0984-1-20240118-28</x:v>
      </x:c>
      <x:c r="D469" s="24" t="str">
        <x:v>81너0984</x:v>
      </x:c>
      <x:c r="E469" s="24" t="str">
        <x:v>양인석</x:v>
      </x:c>
      <x:c r="F469" s="24" t="str">
        <x:v>2026-08</x:v>
      </x:c>
      <x:c r="G469" s="30" t="n">
        <x:v>46254</x:v>
      </x:c>
      <x:c r="H469" s="32" t="n">
        <x:v>720000</x:v>
      </x:c>
      <x:c r="I469" s="32" t="n">
        <x:v>720000</x:v>
      </x:c>
      <x:c r="J469" s="32" t="n">
        <x:v>720000</x:v>
      </x:c>
      <x:c r="K469" s="30" t="n">
        <x:v>46235</x:v>
      </x:c>
      <x:c r="L469" s="24" t="str">
        <x:v>입금</x:v>
      </x:c>
      <x:c r="M469" s="31" t="n">
        <x:f>IF(AND(N469="미수",G469&lt;&gt;"",TODAY()&gt;G469),TODAY()-G469,0)</x:f>
        <x:v>0</x:v>
      </x:c>
      <x:c r="N469" s="24" t="str">
        <x:f>IF(J469&gt;0,"미수",IF(AND(H469&gt;0,I469&gt;=H469),"완납","미확인"))</x:f>
        <x:v>미수</x:v>
      </x:c>
      <x:c r="O469" s="31" t="n">
        <x:v>28</x:v>
      </x:c>
    </x:row>
    <x:row r="470" ht="17.25" customHeight="1">
      <x:c r="A470" s="24" t="str">
        <x:v>SW-B-81너0984-202607</x:v>
      </x:c>
      <x:c r="B470" s="24" t="str">
        <x:v>스위치플랜</x:v>
      </x:c>
      <x:c r="C470" s="24" t="str">
        <x:v>SW-C-81너0984-1-20240118-28</x:v>
      </x:c>
      <x:c r="D470" s="24" t="str">
        <x:v>81너0984</x:v>
      </x:c>
      <x:c r="E470" s="24" t="str">
        <x:v>양인석</x:v>
      </x:c>
      <x:c r="F470" s="24" t="str">
        <x:v>2026-07</x:v>
      </x:c>
      <x:c r="G470" s="30" t="n">
        <x:v>46223</x:v>
      </x:c>
      <x:c r="H470" s="32" t="n">
        <x:v>720000</x:v>
      </x:c>
      <x:c r="I470" s="32"/>
      <x:c r="J470" s="32" t="n">
        <x:v>720000</x:v>
      </x:c>
      <x:c r="K470" s="30"/>
      <x:c r="L470" s="24" t="str"/>
      <x:c r="M470" s="31" t="n">
        <x:f>IF(AND(N470="미수",G470&lt;&gt;"",TODAY()&gt;G470),TODAY()-G470,0)</x:f>
        <x:v>26</x:v>
      </x:c>
      <x:c r="N470" s="24" t="str">
        <x:f>IF(J470&gt;0,"미수",IF(AND(H470&gt;0,I470&gt;=H470),"완납","미확인"))</x:f>
        <x:v>미수</x:v>
      </x:c>
      <x:c r="O470" s="31" t="n">
        <x:v>28</x:v>
      </x:c>
    </x:row>
    <x:row r="471" ht="17.25" customHeight="1">
      <x:c r="A471" s="24" t="str">
        <x:v>SW-B-81너0984-202606</x:v>
      </x:c>
      <x:c r="B471" s="24" t="str">
        <x:v>스위치플랜</x:v>
      </x:c>
      <x:c r="C471" s="24" t="str">
        <x:v>SW-C-81너0984-1-20240118-28</x:v>
      </x:c>
      <x:c r="D471" s="24" t="str">
        <x:v>81너0984</x:v>
      </x:c>
      <x:c r="E471" s="24" t="str">
        <x:v>양인석</x:v>
      </x:c>
      <x:c r="F471" s="24" t="str">
        <x:v>2026-06</x:v>
      </x:c>
      <x:c r="G471" s="30" t="n">
        <x:v>46193</x:v>
      </x:c>
      <x:c r="H471" s="32" t="n">
        <x:v>720000</x:v>
      </x:c>
      <x:c r="I471" s="32" t="n">
        <x:v>720000</x:v>
      </x:c>
      <x:c r="J471" s="32" t="n">
        <x:v>0</x:v>
      </x:c>
      <x:c r="K471" s="30" t="n">
        <x:v>46197</x:v>
      </x:c>
      <x:c r="L471" s="24" t="str">
        <x:v>입금</x:v>
      </x:c>
      <x:c r="M471" s="31" t="n">
        <x:f>IF(AND(N471="미수",G471&lt;&gt;"",TODAY()&gt;G471),TODAY()-G471,0)</x:f>
        <x:v>0</x:v>
      </x:c>
      <x:c r="N471" s="24" t="str">
        <x:f>IF(J471&gt;0,"미수",IF(AND(H471&gt;0,I471&gt;=H471),"완납","미확인"))</x:f>
        <x:v>완납</x:v>
      </x:c>
      <x:c r="O471" s="31" t="n">
        <x:v>28</x:v>
      </x:c>
    </x:row>
    <x:row r="472" ht="17.25" customHeight="1">
      <x:c r="A472" s="24" t="str">
        <x:v>SW-B-81너0984-202605</x:v>
      </x:c>
      <x:c r="B472" s="24" t="str">
        <x:v>스위치플랜</x:v>
      </x:c>
      <x:c r="C472" s="24" t="str">
        <x:v>SW-C-81너0984-1-20240118-28</x:v>
      </x:c>
      <x:c r="D472" s="24" t="str">
        <x:v>81너0984</x:v>
      </x:c>
      <x:c r="E472" s="24" t="str">
        <x:v>양인석</x:v>
      </x:c>
      <x:c r="F472" s="24" t="str">
        <x:v>2026-05</x:v>
      </x:c>
      <x:c r="G472" s="30" t="n">
        <x:v>46162</x:v>
      </x:c>
      <x:c r="H472" s="32" t="n">
        <x:v>720000</x:v>
      </x:c>
      <x:c r="I472" s="32" t="n">
        <x:v>720000</x:v>
      </x:c>
      <x:c r="J472" s="32" t="n">
        <x:v>0</x:v>
      </x:c>
      <x:c r="K472" s="30" t="n">
        <x:v>46163</x:v>
      </x:c>
      <x:c r="L472" s="24" t="str">
        <x:v>입금</x:v>
      </x:c>
      <x:c r="M472" s="31" t="n">
        <x:f>IF(AND(N472="미수",G472&lt;&gt;"",TODAY()&gt;G472),TODAY()-G472,0)</x:f>
        <x:v>0</x:v>
      </x:c>
      <x:c r="N472" s="24" t="str">
        <x:f>IF(J472&gt;0,"미수",IF(AND(H472&gt;0,I472&gt;=H472),"완납","미확인"))</x:f>
        <x:v>완납</x:v>
      </x:c>
      <x:c r="O472" s="31" t="n">
        <x:v>28</x:v>
      </x:c>
    </x:row>
    <x:row r="473" ht="17.25" customHeight="1">
      <x:c r="A473" s="24" t="str">
        <x:v>SW-B-81너0984-202604</x:v>
      </x:c>
      <x:c r="B473" s="24" t="str">
        <x:v>스위치플랜</x:v>
      </x:c>
      <x:c r="C473" s="24" t="str">
        <x:v>SW-C-81너0984-1-20240118-28</x:v>
      </x:c>
      <x:c r="D473" s="24" t="str">
        <x:v>81너0984</x:v>
      </x:c>
      <x:c r="E473" s="24" t="str">
        <x:v>양인석</x:v>
      </x:c>
      <x:c r="F473" s="24" t="str">
        <x:v>2026-04</x:v>
      </x:c>
      <x:c r="G473" s="30" t="n">
        <x:v>46132</x:v>
      </x:c>
      <x:c r="H473" s="32" t="n">
        <x:v>720000</x:v>
      </x:c>
      <x:c r="I473" s="32" t="n">
        <x:v>720000</x:v>
      </x:c>
      <x:c r="J473" s="32" t="n">
        <x:v>0</x:v>
      </x:c>
      <x:c r="K473" s="30" t="n">
        <x:v>46135</x:v>
      </x:c>
      <x:c r="L473" s="24" t="str">
        <x:v>입금</x:v>
      </x:c>
      <x:c r="M473" s="31" t="n">
        <x:f>IF(AND(N473="미수",G473&lt;&gt;"",TODAY()&gt;G473),TODAY()-G473,0)</x:f>
        <x:v>0</x:v>
      </x:c>
      <x:c r="N473" s="24" t="str">
        <x:f>IF(J473&gt;0,"미수",IF(AND(H473&gt;0,I473&gt;=H473),"완납","미확인"))</x:f>
        <x:v>완납</x:v>
      </x:c>
      <x:c r="O473" s="31" t="n">
        <x:v>28</x:v>
      </x:c>
    </x:row>
    <x:row r="474" ht="17.25" customHeight="1">
      <x:c r="A474" s="24" t="str">
        <x:v>SW-B-81너0984-202603</x:v>
      </x:c>
      <x:c r="B474" s="24" t="str">
        <x:v>스위치플랜</x:v>
      </x:c>
      <x:c r="C474" s="24" t="str">
        <x:v>SW-C-81너0984-1-20240118-28</x:v>
      </x:c>
      <x:c r="D474" s="24" t="str">
        <x:v>81너0984</x:v>
      </x:c>
      <x:c r="E474" s="24" t="str">
        <x:v>양인석</x:v>
      </x:c>
      <x:c r="F474" s="24" t="str">
        <x:v>2026-03</x:v>
      </x:c>
      <x:c r="G474" s="30" t="n">
        <x:v>46101</x:v>
      </x:c>
      <x:c r="H474" s="32" t="n">
        <x:v>720000</x:v>
      </x:c>
      <x:c r="I474" s="32" t="n">
        <x:v>720000</x:v>
      </x:c>
      <x:c r="J474" s="32" t="n">
        <x:v>0</x:v>
      </x:c>
      <x:c r="K474" s="30" t="n">
        <x:v>46104</x:v>
      </x:c>
      <x:c r="L474" s="24" t="str">
        <x:v>입금</x:v>
      </x:c>
      <x:c r="M474" s="31" t="n">
        <x:f>IF(AND(N474="미수",G474&lt;&gt;"",TODAY()&gt;G474),TODAY()-G474,0)</x:f>
        <x:v>0</x:v>
      </x:c>
      <x:c r="N474" s="24" t="str">
        <x:f>IF(J474&gt;0,"미수",IF(AND(H474&gt;0,I474&gt;=H474),"완납","미확인"))</x:f>
        <x:v>완납</x:v>
      </x:c>
      <x:c r="O474" s="31" t="n">
        <x:v>28</x:v>
      </x:c>
    </x:row>
    <x:row r="475" ht="17.25" customHeight="1">
      <x:c r="A475" s="24" t="str">
        <x:v>SW-B-81너0984-202602</x:v>
      </x:c>
      <x:c r="B475" s="24" t="str">
        <x:v>스위치플랜</x:v>
      </x:c>
      <x:c r="C475" s="24" t="str">
        <x:v>SW-C-81너0984-1-20240118-28</x:v>
      </x:c>
      <x:c r="D475" s="24" t="str">
        <x:v>81너0984</x:v>
      </x:c>
      <x:c r="E475" s="24" t="str">
        <x:v>양인석</x:v>
      </x:c>
      <x:c r="F475" s="24" t="str">
        <x:v>2026-02</x:v>
      </x:c>
      <x:c r="G475" s="30" t="n">
        <x:v>46073</x:v>
      </x:c>
      <x:c r="H475" s="32" t="n">
        <x:v>720000</x:v>
      </x:c>
      <x:c r="I475" s="32" t="n">
        <x:v>720000</x:v>
      </x:c>
      <x:c r="J475" s="32" t="n">
        <x:v>0</x:v>
      </x:c>
      <x:c r="K475" s="30" t="n">
        <x:v>46077</x:v>
      </x:c>
      <x:c r="L475" s="24" t="str">
        <x:v>입금</x:v>
      </x:c>
      <x:c r="M475" s="31" t="n">
        <x:f>IF(AND(N475="미수",G475&lt;&gt;"",TODAY()&gt;G475),TODAY()-G475,0)</x:f>
        <x:v>0</x:v>
      </x:c>
      <x:c r="N475" s="24" t="str">
        <x:f>IF(J475&gt;0,"미수",IF(AND(H475&gt;0,I475&gt;=H475),"완납","미확인"))</x:f>
        <x:v>완납</x:v>
      </x:c>
      <x:c r="O475" s="31" t="n">
        <x:v>28</x:v>
      </x:c>
    </x:row>
    <x:row r="476" ht="17.25" customHeight="1">
      <x:c r="A476" s="24" t="str">
        <x:v>SW-B-81너0984-202601</x:v>
      </x:c>
      <x:c r="B476" s="24" t="str">
        <x:v>스위치플랜</x:v>
      </x:c>
      <x:c r="C476" s="24" t="str">
        <x:v>SW-C-81너0984-1-20240118-28</x:v>
      </x:c>
      <x:c r="D476" s="24" t="str">
        <x:v>81너0984</x:v>
      </x:c>
      <x:c r="E476" s="24" t="str">
        <x:v>양인석</x:v>
      </x:c>
      <x:c r="F476" s="24" t="str">
        <x:v>2026-01</x:v>
      </x:c>
      <x:c r="G476" s="30" t="n">
        <x:v>46042</x:v>
      </x:c>
      <x:c r="H476" s="32" t="n">
        <x:v>720000</x:v>
      </x:c>
      <x:c r="I476" s="32" t="n">
        <x:v>720000</x:v>
      </x:c>
      <x:c r="J476" s="32" t="n">
        <x:v>0</x:v>
      </x:c>
      <x:c r="K476" s="30" t="n">
        <x:v>46046</x:v>
      </x:c>
      <x:c r="L476" s="24" t="str">
        <x:v>입금</x:v>
      </x:c>
      <x:c r="M476" s="31" t="n">
        <x:f>IF(AND(N476="미수",G476&lt;&gt;"",TODAY()&gt;G476),TODAY()-G476,0)</x:f>
        <x:v>0</x:v>
      </x:c>
      <x:c r="N476" s="24" t="str">
        <x:f>IF(J476&gt;0,"미수",IF(AND(H476&gt;0,I476&gt;=H476),"완납","미확인"))</x:f>
        <x:v>완납</x:v>
      </x:c>
      <x:c r="O476" s="31" t="n">
        <x:v>28</x:v>
      </x:c>
    </x:row>
    <x:row r="477" ht="17.25" customHeight="1">
      <x:c r="A477" s="24" t="str">
        <x:v>SW-B-81너0984-202512</x:v>
      </x:c>
      <x:c r="B477" s="24" t="str">
        <x:v>스위치플랜</x:v>
      </x:c>
      <x:c r="C477" s="24" t="str">
        <x:v>SW-C-81너0984-1-20240118-28</x:v>
      </x:c>
      <x:c r="D477" s="24" t="str">
        <x:v>81너0984</x:v>
      </x:c>
      <x:c r="E477" s="24" t="str">
        <x:v>양인석</x:v>
      </x:c>
      <x:c r="F477" s="24" t="str">
        <x:v>2025-12</x:v>
      </x:c>
      <x:c r="G477" s="30" t="n">
        <x:v>46011</x:v>
      </x:c>
      <x:c r="H477" s="32" t="n">
        <x:v>720000</x:v>
      </x:c>
      <x:c r="I477" s="32" t="n">
        <x:v>720000</x:v>
      </x:c>
      <x:c r="J477" s="32" t="n">
        <x:v>0</x:v>
      </x:c>
      <x:c r="K477" s="30" t="n">
        <x:v>46017</x:v>
      </x:c>
      <x:c r="L477" s="24" t="str">
        <x:v>입금</x:v>
      </x:c>
      <x:c r="M477" s="31" t="n">
        <x:f>IF(AND(N477="미수",G477&lt;&gt;"",TODAY()&gt;G477),TODAY()-G477,0)</x:f>
        <x:v>0</x:v>
      </x:c>
      <x:c r="N477" s="24" t="str">
        <x:f>IF(J477&gt;0,"미수",IF(AND(H477&gt;0,I477&gt;=H477),"완납","미확인"))</x:f>
        <x:v>완납</x:v>
      </x:c>
      <x:c r="O477" s="31" t="n">
        <x:v>28</x:v>
      </x:c>
    </x:row>
    <x:row r="478" ht="17.25" customHeight="1">
      <x:c r="A478" s="24" t="str">
        <x:v>SW-B-81너0984-202511</x:v>
      </x:c>
      <x:c r="B478" s="24" t="str">
        <x:v>스위치플랜</x:v>
      </x:c>
      <x:c r="C478" s="24" t="str">
        <x:v>SW-C-81너0984-1-20240118-28</x:v>
      </x:c>
      <x:c r="D478" s="24" t="str">
        <x:v>81너0984</x:v>
      </x:c>
      <x:c r="E478" s="24" t="str">
        <x:v>양인석</x:v>
      </x:c>
      <x:c r="F478" s="24" t="str">
        <x:v>2025-11</x:v>
      </x:c>
      <x:c r="G478" s="30" t="n">
        <x:v>45981</x:v>
      </x:c>
      <x:c r="H478" s="32" t="n">
        <x:v>720000</x:v>
      </x:c>
      <x:c r="I478" s="32" t="n">
        <x:v>720000</x:v>
      </x:c>
      <x:c r="J478" s="32" t="n">
        <x:v>0</x:v>
      </x:c>
      <x:c r="K478" s="30" t="n">
        <x:v>45985</x:v>
      </x:c>
      <x:c r="L478" s="24" t="str">
        <x:v>입금</x:v>
      </x:c>
      <x:c r="M478" s="31" t="n">
        <x:f>IF(AND(N478="미수",G478&lt;&gt;"",TODAY()&gt;G478),TODAY()-G478,0)</x:f>
        <x:v>0</x:v>
      </x:c>
      <x:c r="N478" s="24" t="str">
        <x:f>IF(J478&gt;0,"미수",IF(AND(H478&gt;0,I478&gt;=H478),"완납","미확인"))</x:f>
        <x:v>완납</x:v>
      </x:c>
      <x:c r="O478" s="31" t="n">
        <x:v>28</x:v>
      </x:c>
    </x:row>
    <x:row r="479" ht="17.25" customHeight="1">
      <x:c r="A479" s="24" t="str">
        <x:v>SW-B-81너0984-202510</x:v>
      </x:c>
      <x:c r="B479" s="24" t="str">
        <x:v>스위치플랜</x:v>
      </x:c>
      <x:c r="C479" s="24" t="str">
        <x:v>SW-C-81너0984-1-20240118-28</x:v>
      </x:c>
      <x:c r="D479" s="24" t="str">
        <x:v>81너0984</x:v>
      </x:c>
      <x:c r="E479" s="24" t="str">
        <x:v>양인석</x:v>
      </x:c>
      <x:c r="F479" s="24" t="str">
        <x:v>2025-10</x:v>
      </x:c>
      <x:c r="G479" s="30" t="n">
        <x:v>45950</x:v>
      </x:c>
      <x:c r="H479" s="32" t="n">
        <x:v>720000</x:v>
      </x:c>
      <x:c r="I479" s="32" t="n">
        <x:v>720000</x:v>
      </x:c>
      <x:c r="J479" s="32" t="n">
        <x:v>0</x:v>
      </x:c>
      <x:c r="K479" s="30" t="n">
        <x:v>45950</x:v>
      </x:c>
      <x:c r="L479" s="24" t="str">
        <x:v>자동</x:v>
      </x:c>
      <x:c r="M479" s="31" t="n">
        <x:f>IF(AND(N479="미수",G479&lt;&gt;"",TODAY()&gt;G479),TODAY()-G479,0)</x:f>
        <x:v>0</x:v>
      </x:c>
      <x:c r="N479" s="24" t="str">
        <x:f>IF(J479&gt;0,"미수",IF(AND(H479&gt;0,I479&gt;=H479),"완납","미확인"))</x:f>
        <x:v>완납</x:v>
      </x:c>
      <x:c r="O479" s="31" t="n">
        <x:v>28</x:v>
      </x:c>
    </x:row>
    <x:row r="480" ht="17.25" customHeight="1">
      <x:c r="A480" s="24" t="str">
        <x:v>SW-B-81너0984-202509</x:v>
      </x:c>
      <x:c r="B480" s="24" t="str">
        <x:v>스위치플랜</x:v>
      </x:c>
      <x:c r="C480" s="24" t="str">
        <x:v>SW-C-81너0984-1-20240118-28</x:v>
      </x:c>
      <x:c r="D480" s="24" t="str">
        <x:v>81너0984</x:v>
      </x:c>
      <x:c r="E480" s="24" t="str">
        <x:v>양인석</x:v>
      </x:c>
      <x:c r="F480" s="24" t="str">
        <x:v>2025-09</x:v>
      </x:c>
      <x:c r="G480" s="30" t="n">
        <x:v>45920</x:v>
      </x:c>
      <x:c r="H480" s="32" t="n">
        <x:v>720000</x:v>
      </x:c>
      <x:c r="I480" s="32" t="n">
        <x:v>720000</x:v>
      </x:c>
      <x:c r="J480" s="32" t="n">
        <x:v>0</x:v>
      </x:c>
      <x:c r="K480" s="30" t="n">
        <x:v>45923</x:v>
      </x:c>
      <x:c r="L480" s="24" t="str">
        <x:v>입금</x:v>
      </x:c>
      <x:c r="M480" s="31" t="n">
        <x:f>IF(AND(N480="미수",G480&lt;&gt;"",TODAY()&gt;G480),TODAY()-G480,0)</x:f>
        <x:v>0</x:v>
      </x:c>
      <x:c r="N480" s="24" t="str">
        <x:f>IF(J480&gt;0,"미수",IF(AND(H480&gt;0,I480&gt;=H480),"완납","미확인"))</x:f>
        <x:v>완납</x:v>
      </x:c>
      <x:c r="O480" s="31" t="n">
        <x:v>28</x:v>
      </x:c>
    </x:row>
    <x:row r="481" ht="17.25" customHeight="1">
      <x:c r="A481" s="24" t="str">
        <x:v>SW-B-81너0984-202508</x:v>
      </x:c>
      <x:c r="B481" s="24" t="str">
        <x:v>스위치플랜</x:v>
      </x:c>
      <x:c r="C481" s="24" t="str">
        <x:v>SW-C-81너0984-1-20240118-28</x:v>
      </x:c>
      <x:c r="D481" s="24" t="str">
        <x:v>81너0984</x:v>
      </x:c>
      <x:c r="E481" s="24" t="str">
        <x:v>양인석</x:v>
      </x:c>
      <x:c r="F481" s="24" t="str">
        <x:v>2025-08</x:v>
      </x:c>
      <x:c r="G481" s="30" t="n">
        <x:v>45889</x:v>
      </x:c>
      <x:c r="H481" s="32" t="n">
        <x:v>720000</x:v>
      </x:c>
      <x:c r="I481" s="32" t="n">
        <x:v>720000</x:v>
      </x:c>
      <x:c r="J481" s="32" t="n">
        <x:v>0</x:v>
      </x:c>
      <x:c r="K481" s="30" t="n">
        <x:v>45889</x:v>
      </x:c>
      <x:c r="L481" s="24" t="str">
        <x:v>자동</x:v>
      </x:c>
      <x:c r="M481" s="31" t="n">
        <x:f>IF(AND(N481="미수",G481&lt;&gt;"",TODAY()&gt;G481),TODAY()-G481,0)</x:f>
        <x:v>0</x:v>
      </x:c>
      <x:c r="N481" s="24" t="str">
        <x:f>IF(J481&gt;0,"미수",IF(AND(H481&gt;0,I481&gt;=H481),"완납","미확인"))</x:f>
        <x:v>완납</x:v>
      </x:c>
      <x:c r="O481" s="31" t="n">
        <x:v>28</x:v>
      </x:c>
    </x:row>
    <x:row r="482" ht="17.25" customHeight="1">
      <x:c r="A482" s="24" t="str">
        <x:v>SW-B-81너0984-202507</x:v>
      </x:c>
      <x:c r="B482" s="24" t="str">
        <x:v>스위치플랜</x:v>
      </x:c>
      <x:c r="C482" s="24" t="str">
        <x:v>SW-C-81너0984-1-20240118-28</x:v>
      </x:c>
      <x:c r="D482" s="24" t="str">
        <x:v>81너0984</x:v>
      </x:c>
      <x:c r="E482" s="24" t="str">
        <x:v>양인석</x:v>
      </x:c>
      <x:c r="F482" s="24" t="str">
        <x:v>2025-07</x:v>
      </x:c>
      <x:c r="G482" s="30" t="n">
        <x:v>45858</x:v>
      </x:c>
      <x:c r="H482" s="32" t="n">
        <x:v>720000</x:v>
      </x:c>
      <x:c r="I482" s="32" t="n">
        <x:v>720000</x:v>
      </x:c>
      <x:c r="J482" s="32" t="n">
        <x:v>0</x:v>
      </x:c>
      <x:c r="K482" s="30" t="n">
        <x:v>45859</x:v>
      </x:c>
      <x:c r="L482" s="24" t="str">
        <x:v>자동</x:v>
      </x:c>
      <x:c r="M482" s="31" t="n">
        <x:f>IF(AND(N482="미수",G482&lt;&gt;"",TODAY()&gt;G482),TODAY()-G482,0)</x:f>
        <x:v>0</x:v>
      </x:c>
      <x:c r="N482" s="24" t="str">
        <x:f>IF(J482&gt;0,"미수",IF(AND(H482&gt;0,I482&gt;=H482),"완납","미확인"))</x:f>
        <x:v>완납</x:v>
      </x:c>
      <x:c r="O482" s="31" t="n">
        <x:v>28</x:v>
      </x:c>
    </x:row>
    <x:row r="483" ht="17.25" customHeight="1">
      <x:c r="A483" s="24" t="str">
        <x:v>SW-B-81너0984-202506</x:v>
      </x:c>
      <x:c r="B483" s="24" t="str">
        <x:v>스위치플랜</x:v>
      </x:c>
      <x:c r="C483" s="24" t="str">
        <x:v>SW-C-81너0984-1-20240118-28</x:v>
      </x:c>
      <x:c r="D483" s="24" t="str">
        <x:v>81너0984</x:v>
      </x:c>
      <x:c r="E483" s="24" t="str">
        <x:v>양인석</x:v>
      </x:c>
      <x:c r="F483" s="24" t="str">
        <x:v>2025-06</x:v>
      </x:c>
      <x:c r="G483" s="30" t="n">
        <x:v>45828</x:v>
      </x:c>
      <x:c r="H483" s="32" t="n">
        <x:v>720000</x:v>
      </x:c>
      <x:c r="I483" s="32" t="n">
        <x:v>720000</x:v>
      </x:c>
      <x:c r="J483" s="32" t="n">
        <x:v>0</x:v>
      </x:c>
      <x:c r="K483" s="30" t="n">
        <x:v>45828</x:v>
      </x:c>
      <x:c r="L483" s="24" t="str">
        <x:v>자동</x:v>
      </x:c>
      <x:c r="M483" s="31" t="n">
        <x:f>IF(AND(N483="미수",G483&lt;&gt;"",TODAY()&gt;G483),TODAY()-G483,0)</x:f>
        <x:v>0</x:v>
      </x:c>
      <x:c r="N483" s="24" t="str">
        <x:f>IF(J483&gt;0,"미수",IF(AND(H483&gt;0,I483&gt;=H483),"완납","미확인"))</x:f>
        <x:v>완납</x:v>
      </x:c>
      <x:c r="O483" s="31" t="n">
        <x:v>28</x:v>
      </x:c>
    </x:row>
    <x:row r="484" ht="17.25" customHeight="1">
      <x:c r="A484" s="24" t="str">
        <x:v>SW-B-81너0984-202505</x:v>
      </x:c>
      <x:c r="B484" s="24" t="str">
        <x:v>스위치플랜</x:v>
      </x:c>
      <x:c r="C484" s="24" t="str">
        <x:v>SW-C-81너0984-1-20240118-28</x:v>
      </x:c>
      <x:c r="D484" s="24" t="str">
        <x:v>81너0984</x:v>
      </x:c>
      <x:c r="E484" s="24" t="str">
        <x:v>양인석</x:v>
      </x:c>
      <x:c r="F484" s="24" t="str">
        <x:v>2025-05</x:v>
      </x:c>
      <x:c r="G484" s="30" t="n">
        <x:v>45797</x:v>
      </x:c>
      <x:c r="H484" s="32" t="n">
        <x:v>720000</x:v>
      </x:c>
      <x:c r="I484" s="32" t="n">
        <x:v>720000</x:v>
      </x:c>
      <x:c r="J484" s="32" t="n">
        <x:v>0</x:v>
      </x:c>
      <x:c r="K484" s="30" t="n">
        <x:v>45797</x:v>
      </x:c>
      <x:c r="L484" s="24" t="str">
        <x:v>자동</x:v>
      </x:c>
      <x:c r="M484" s="31" t="n">
        <x:f>IF(AND(N484="미수",G484&lt;&gt;"",TODAY()&gt;G484),TODAY()-G484,0)</x:f>
        <x:v>0</x:v>
      </x:c>
      <x:c r="N484" s="24" t="str">
        <x:f>IF(J484&gt;0,"미수",IF(AND(H484&gt;0,I484&gt;=H484),"완납","미확인"))</x:f>
        <x:v>완납</x:v>
      </x:c>
      <x:c r="O484" s="31" t="n">
        <x:v>28</x:v>
      </x:c>
    </x:row>
    <x:row r="485" ht="17.25" customHeight="1">
      <x:c r="A485" s="24" t="str">
        <x:v>SW-B-81너0984-202504</x:v>
      </x:c>
      <x:c r="B485" s="24" t="str">
        <x:v>스위치플랜</x:v>
      </x:c>
      <x:c r="C485" s="24" t="str">
        <x:v>SW-C-81너0984-1-20240118-28</x:v>
      </x:c>
      <x:c r="D485" s="24" t="str">
        <x:v>81너0984</x:v>
      </x:c>
      <x:c r="E485" s="24" t="str">
        <x:v>양인석</x:v>
      </x:c>
      <x:c r="F485" s="24" t="str">
        <x:v>2025-04</x:v>
      </x:c>
      <x:c r="G485" s="30" t="n">
        <x:v>45767</x:v>
      </x:c>
      <x:c r="H485" s="32" t="n">
        <x:v>720000</x:v>
      </x:c>
      <x:c r="I485" s="32" t="n">
        <x:v>720000</x:v>
      </x:c>
      <x:c r="J485" s="32" t="n">
        <x:v>0</x:v>
      </x:c>
      <x:c r="K485" s="30" t="n">
        <x:v>45768</x:v>
      </x:c>
      <x:c r="L485" s="24" t="str">
        <x:v>자동</x:v>
      </x:c>
      <x:c r="M485" s="31" t="n">
        <x:f>IF(AND(N485="미수",G485&lt;&gt;"",TODAY()&gt;G485),TODAY()-G485,0)</x:f>
        <x:v>0</x:v>
      </x:c>
      <x:c r="N485" s="24" t="str">
        <x:f>IF(J485&gt;0,"미수",IF(AND(H485&gt;0,I485&gt;=H485),"완납","미확인"))</x:f>
        <x:v>완납</x:v>
      </x:c>
      <x:c r="O485" s="31" t="n">
        <x:v>28</x:v>
      </x:c>
    </x:row>
    <x:row r="486" ht="17.25" customHeight="1">
      <x:c r="A486" s="24" t="str">
        <x:v>SW-B-81너0984-202503</x:v>
      </x:c>
      <x:c r="B486" s="24" t="str">
        <x:v>스위치플랜</x:v>
      </x:c>
      <x:c r="C486" s="24" t="str">
        <x:v>SW-C-81너0984-1-20240118-28</x:v>
      </x:c>
      <x:c r="D486" s="24" t="str">
        <x:v>81너0984</x:v>
      </x:c>
      <x:c r="E486" s="24" t="str">
        <x:v>양인석</x:v>
      </x:c>
      <x:c r="F486" s="24" t="str">
        <x:v>2025-03</x:v>
      </x:c>
      <x:c r="G486" s="30" t="n">
        <x:v>45736</x:v>
      </x:c>
      <x:c r="H486" s="32" t="n">
        <x:v>720000</x:v>
      </x:c>
      <x:c r="I486" s="32" t="n">
        <x:v>720000</x:v>
      </x:c>
      <x:c r="J486" s="32" t="n">
        <x:v>0</x:v>
      </x:c>
      <x:c r="K486" s="30" t="n">
        <x:v>45736</x:v>
      </x:c>
      <x:c r="L486" s="24" t="str">
        <x:v>자동</x:v>
      </x:c>
      <x:c r="M486" s="31" t="n">
        <x:f>IF(AND(N486="미수",G486&lt;&gt;"",TODAY()&gt;G486),TODAY()-G486,0)</x:f>
        <x:v>0</x:v>
      </x:c>
      <x:c r="N486" s="24" t="str">
        <x:f>IF(J486&gt;0,"미수",IF(AND(H486&gt;0,I486&gt;=H486),"완납","미확인"))</x:f>
        <x:v>완납</x:v>
      </x:c>
      <x:c r="O486" s="31" t="n">
        <x:v>28</x:v>
      </x:c>
    </x:row>
    <x:row r="487" ht="17.25" customHeight="1">
      <x:c r="A487" s="24" t="str">
        <x:v>SW-B-81너0984-202502</x:v>
      </x:c>
      <x:c r="B487" s="24" t="str">
        <x:v>스위치플랜</x:v>
      </x:c>
      <x:c r="C487" s="24" t="str">
        <x:v>SW-C-81너0984-1-20240118-28</x:v>
      </x:c>
      <x:c r="D487" s="24" t="str">
        <x:v>81너0984</x:v>
      </x:c>
      <x:c r="E487" s="24" t="str">
        <x:v>양인석</x:v>
      </x:c>
      <x:c r="F487" s="24" t="str">
        <x:v>2025-02</x:v>
      </x:c>
      <x:c r="G487" s="30" t="n">
        <x:v>45708</x:v>
      </x:c>
      <x:c r="H487" s="32" t="n">
        <x:v>720000</x:v>
      </x:c>
      <x:c r="I487" s="32" t="n">
        <x:v>720000</x:v>
      </x:c>
      <x:c r="J487" s="32" t="n">
        <x:v>0</x:v>
      </x:c>
      <x:c r="K487" s="30" t="n">
        <x:v>45708</x:v>
      </x:c>
      <x:c r="L487" s="24" t="str">
        <x:v>자동</x:v>
      </x:c>
      <x:c r="M487" s="31" t="n">
        <x:f>IF(AND(N487="미수",G487&lt;&gt;"",TODAY()&gt;G487),TODAY()-G487,0)</x:f>
        <x:v>0</x:v>
      </x:c>
      <x:c r="N487" s="24" t="str">
        <x:f>IF(J487&gt;0,"미수",IF(AND(H487&gt;0,I487&gt;=H487),"완납","미확인"))</x:f>
        <x:v>완납</x:v>
      </x:c>
      <x:c r="O487" s="31" t="n">
        <x:v>28</x:v>
      </x:c>
    </x:row>
    <x:row r="488" ht="17.25" customHeight="1">
      <x:c r="A488" s="24" t="str">
        <x:v>SW-B-81너0984-202501</x:v>
      </x:c>
      <x:c r="B488" s="24" t="str">
        <x:v>스위치플랜</x:v>
      </x:c>
      <x:c r="C488" s="24" t="str">
        <x:v>SW-C-81너0984-1-20240118-28</x:v>
      </x:c>
      <x:c r="D488" s="24" t="str">
        <x:v>81너0984</x:v>
      </x:c>
      <x:c r="E488" s="24" t="str">
        <x:v>양인석</x:v>
      </x:c>
      <x:c r="F488" s="24" t="str">
        <x:v>2025-01</x:v>
      </x:c>
      <x:c r="G488" s="30" t="n">
        <x:v>45677</x:v>
      </x:c>
      <x:c r="H488" s="32" t="n">
        <x:v>720000</x:v>
      </x:c>
      <x:c r="I488" s="32" t="n">
        <x:v>720000</x:v>
      </x:c>
      <x:c r="J488" s="32" t="n">
        <x:v>0</x:v>
      </x:c>
      <x:c r="K488" s="30" t="n">
        <x:v>45677</x:v>
      </x:c>
      <x:c r="L488" s="24" t="str">
        <x:v>자동</x:v>
      </x:c>
      <x:c r="M488" s="31" t="n">
        <x:f>IF(AND(N488="미수",G488&lt;&gt;"",TODAY()&gt;G488),TODAY()-G488,0)</x:f>
        <x:v>0</x:v>
      </x:c>
      <x:c r="N488" s="24" t="str">
        <x:f>IF(J488&gt;0,"미수",IF(AND(H488&gt;0,I488&gt;=H488),"완납","미확인"))</x:f>
        <x:v>완납</x:v>
      </x:c>
      <x:c r="O488" s="31" t="n">
        <x:v>28</x:v>
      </x:c>
    </x:row>
    <x:row r="489" ht="17.25" customHeight="1">
      <x:c r="A489" s="24" t="str">
        <x:v>SW-B-81너0984-202412</x:v>
      </x:c>
      <x:c r="B489" s="24" t="str">
        <x:v>스위치플랜</x:v>
      </x:c>
      <x:c r="C489" s="24" t="str">
        <x:v>SW-C-81너0984-1-20240118-28</x:v>
      </x:c>
      <x:c r="D489" s="24" t="str">
        <x:v>81너0984</x:v>
      </x:c>
      <x:c r="E489" s="24" t="str">
        <x:v>양인석</x:v>
      </x:c>
      <x:c r="F489" s="24" t="str">
        <x:v>2024-12</x:v>
      </x:c>
      <x:c r="G489" s="30" t="n">
        <x:v>45646</x:v>
      </x:c>
      <x:c r="H489" s="32" t="n">
        <x:v>880000</x:v>
      </x:c>
      <x:c r="I489" s="32" t="n">
        <x:v>880000</x:v>
      </x:c>
      <x:c r="J489" s="32" t="n">
        <x:v>0</x:v>
      </x:c>
      <x:c r="K489" s="30" t="n">
        <x:v>45646</x:v>
      </x:c>
      <x:c r="L489" s="24" t="str">
        <x:v>자동</x:v>
      </x:c>
      <x:c r="M489" s="31" t="n">
        <x:f>IF(AND(N489="미수",G489&lt;&gt;"",TODAY()&gt;G489),TODAY()-G489,0)</x:f>
        <x:v>0</x:v>
      </x:c>
      <x:c r="N489" s="24" t="str">
        <x:f>IF(J489&gt;0,"미수",IF(AND(H489&gt;0,I489&gt;=H489),"완납","미확인"))</x:f>
        <x:v>완납</x:v>
      </x:c>
      <x:c r="O489" s="31" t="n">
        <x:v>28</x:v>
      </x:c>
    </x:row>
    <x:row r="490" ht="17.25" customHeight="1">
      <x:c r="A490" s="24" t="str">
        <x:v>SW-B-81너0984-202411</x:v>
      </x:c>
      <x:c r="B490" s="24" t="str">
        <x:v>스위치플랜</x:v>
      </x:c>
      <x:c r="C490" s="24" t="str">
        <x:v>SW-C-81너0984-1-20240118-28</x:v>
      </x:c>
      <x:c r="D490" s="24" t="str">
        <x:v>81너0984</x:v>
      </x:c>
      <x:c r="E490" s="24" t="str">
        <x:v>양인석</x:v>
      </x:c>
      <x:c r="F490" s="24" t="str">
        <x:v>2024-11</x:v>
      </x:c>
      <x:c r="G490" s="30" t="n">
        <x:v>45616</x:v>
      </x:c>
      <x:c r="H490" s="32" t="n">
        <x:v>880000</x:v>
      </x:c>
      <x:c r="I490" s="32" t="n">
        <x:v>880000</x:v>
      </x:c>
      <x:c r="J490" s="32" t="n">
        <x:v>0</x:v>
      </x:c>
      <x:c r="K490" s="30" t="n">
        <x:v>45616</x:v>
      </x:c>
      <x:c r="L490" s="24" t="str">
        <x:v>자동</x:v>
      </x:c>
      <x:c r="M490" s="31" t="n">
        <x:f>IF(AND(N490="미수",G490&lt;&gt;"",TODAY()&gt;G490),TODAY()-G490,0)</x:f>
        <x:v>0</x:v>
      </x:c>
      <x:c r="N490" s="24" t="str">
        <x:f>IF(J490&gt;0,"미수",IF(AND(H490&gt;0,I490&gt;=H490),"완납","미확인"))</x:f>
        <x:v>완납</x:v>
      </x:c>
      <x:c r="O490" s="31" t="n">
        <x:v>28</x:v>
      </x:c>
    </x:row>
    <x:row r="491" ht="17.25" customHeight="1">
      <x:c r="A491" s="24" t="str">
        <x:v>SW-B-81너0984-202410</x:v>
      </x:c>
      <x:c r="B491" s="24" t="str">
        <x:v>스위치플랜</x:v>
      </x:c>
      <x:c r="C491" s="24" t="str">
        <x:v>SW-C-81너0984-1-20240118-28</x:v>
      </x:c>
      <x:c r="D491" s="24" t="str">
        <x:v>81너0984</x:v>
      </x:c>
      <x:c r="E491" s="24" t="str">
        <x:v>양인석</x:v>
      </x:c>
      <x:c r="F491" s="24" t="str">
        <x:v>2024-10</x:v>
      </x:c>
      <x:c r="G491" s="30" t="n">
        <x:v>45585</x:v>
      </x:c>
      <x:c r="H491" s="32" t="n">
        <x:v>880000</x:v>
      </x:c>
      <x:c r="I491" s="32" t="n">
        <x:v>880000</x:v>
      </x:c>
      <x:c r="J491" s="32" t="n">
        <x:v>0</x:v>
      </x:c>
      <x:c r="K491" s="30" t="n">
        <x:v>45586</x:v>
      </x:c>
      <x:c r="L491" s="24" t="str">
        <x:v>자동</x:v>
      </x:c>
      <x:c r="M491" s="31" t="n">
        <x:f>IF(AND(N491="미수",G491&lt;&gt;"",TODAY()&gt;G491),TODAY()-G491,0)</x:f>
        <x:v>0</x:v>
      </x:c>
      <x:c r="N491" s="24" t="str">
        <x:f>IF(J491&gt;0,"미수",IF(AND(H491&gt;0,I491&gt;=H491),"완납","미확인"))</x:f>
        <x:v>완납</x:v>
      </x:c>
      <x:c r="O491" s="31" t="n">
        <x:v>28</x:v>
      </x:c>
    </x:row>
    <x:row r="492" ht="17.25" customHeight="1">
      <x:c r="A492" s="24" t="str">
        <x:v>SW-B-81너0984-202409</x:v>
      </x:c>
      <x:c r="B492" s="24" t="str">
        <x:v>스위치플랜</x:v>
      </x:c>
      <x:c r="C492" s="24" t="str">
        <x:v>SW-C-81너0984-1-20240118-28</x:v>
      </x:c>
      <x:c r="D492" s="24" t="str">
        <x:v>81너0984</x:v>
      </x:c>
      <x:c r="E492" s="24" t="str">
        <x:v>양인석</x:v>
      </x:c>
      <x:c r="F492" s="24" t="str">
        <x:v>2024-09</x:v>
      </x:c>
      <x:c r="G492" s="30" t="n">
        <x:v>45555</x:v>
      </x:c>
      <x:c r="H492" s="32" t="n">
        <x:v>880000</x:v>
      </x:c>
      <x:c r="I492" s="32" t="n">
        <x:v>880000</x:v>
      </x:c>
      <x:c r="J492" s="32" t="n">
        <x:v>0</x:v>
      </x:c>
      <x:c r="K492" s="30" t="n">
        <x:v>45555</x:v>
      </x:c>
      <x:c r="L492" s="24" t="str">
        <x:v>자동</x:v>
      </x:c>
      <x:c r="M492" s="31" t="n">
        <x:f>IF(AND(N492="미수",G492&lt;&gt;"",TODAY()&gt;G492),TODAY()-G492,0)</x:f>
        <x:v>0</x:v>
      </x:c>
      <x:c r="N492" s="24" t="str">
        <x:f>IF(J492&gt;0,"미수",IF(AND(H492&gt;0,I492&gt;=H492),"완납","미확인"))</x:f>
        <x:v>완납</x:v>
      </x:c>
      <x:c r="O492" s="31" t="n">
        <x:v>28</x:v>
      </x:c>
    </x:row>
    <x:row r="493" ht="17.25" customHeight="1">
      <x:c r="A493" s="24" t="str">
        <x:v>SW-B-81너0984-202408</x:v>
      </x:c>
      <x:c r="B493" s="24" t="str">
        <x:v>스위치플랜</x:v>
      </x:c>
      <x:c r="C493" s="24" t="str">
        <x:v>SW-C-81너0984-1-20240118-28</x:v>
      </x:c>
      <x:c r="D493" s="24" t="str">
        <x:v>81너0984</x:v>
      </x:c>
      <x:c r="E493" s="24" t="str">
        <x:v>양인석</x:v>
      </x:c>
      <x:c r="F493" s="24" t="str">
        <x:v>2024-08</x:v>
      </x:c>
      <x:c r="G493" s="30" t="n">
        <x:v>45524</x:v>
      </x:c>
      <x:c r="H493" s="32" t="n">
        <x:v>880000</x:v>
      </x:c>
      <x:c r="I493" s="32" t="n">
        <x:v>880000</x:v>
      </x:c>
      <x:c r="J493" s="32" t="n">
        <x:v>0</x:v>
      </x:c>
      <x:c r="K493" s="30" t="n">
        <x:v>45523</x:v>
      </x:c>
      <x:c r="L493" s="24" t="str">
        <x:v>입금</x:v>
      </x:c>
      <x:c r="M493" s="31" t="n">
        <x:f>IF(AND(N493="미수",G493&lt;&gt;"",TODAY()&gt;G493),TODAY()-G493,0)</x:f>
        <x:v>0</x:v>
      </x:c>
      <x:c r="N493" s="24" t="str">
        <x:f>IF(J493&gt;0,"미수",IF(AND(H493&gt;0,I493&gt;=H493),"완납","미확인"))</x:f>
        <x:v>완납</x:v>
      </x:c>
      <x:c r="O493" s="31" t="n">
        <x:v>28</x:v>
      </x:c>
    </x:row>
    <x:row r="494" ht="17.25" customHeight="1">
      <x:c r="A494" s="24" t="str">
        <x:v>SW-B-81너0984-202407</x:v>
      </x:c>
      <x:c r="B494" s="24" t="str">
        <x:v>스위치플랜</x:v>
      </x:c>
      <x:c r="C494" s="24" t="str">
        <x:v>SW-C-81너0984-1-20240118-28</x:v>
      </x:c>
      <x:c r="D494" s="24" t="str">
        <x:v>81너0984</x:v>
      </x:c>
      <x:c r="E494" s="24" t="str">
        <x:v>양인석</x:v>
      </x:c>
      <x:c r="F494" s="24" t="str">
        <x:v>2024-07</x:v>
      </x:c>
      <x:c r="G494" s="30" t="n">
        <x:v>45493</x:v>
      </x:c>
      <x:c r="H494" s="32" t="n">
        <x:v>880000</x:v>
      </x:c>
      <x:c r="I494" s="32" t="n">
        <x:v>880000</x:v>
      </x:c>
      <x:c r="J494" s="32" t="n">
        <x:v>0</x:v>
      </x:c>
      <x:c r="K494" s="30" t="n">
        <x:v>45495</x:v>
      </x:c>
      <x:c r="L494" s="24" t="str">
        <x:v>입금</x:v>
      </x:c>
      <x:c r="M494" s="31" t="n">
        <x:f>IF(AND(N494="미수",G494&lt;&gt;"",TODAY()&gt;G494),TODAY()-G494,0)</x:f>
        <x:v>0</x:v>
      </x:c>
      <x:c r="N494" s="24" t="str">
        <x:f>IF(J494&gt;0,"미수",IF(AND(H494&gt;0,I494&gt;=H494),"완납","미확인"))</x:f>
        <x:v>완납</x:v>
      </x:c>
      <x:c r="O494" s="31" t="n">
        <x:v>28</x:v>
      </x:c>
    </x:row>
    <x:row r="495" ht="17.25" customHeight="1">
      <x:c r="A495" s="24" t="str">
        <x:v>SW-B-81너0984-202406</x:v>
      </x:c>
      <x:c r="B495" s="24" t="str">
        <x:v>스위치플랜</x:v>
      </x:c>
      <x:c r="C495" s="24" t="str">
        <x:v>SW-C-81너0984-1-20240118-28</x:v>
      </x:c>
      <x:c r="D495" s="24" t="str">
        <x:v>81너0984</x:v>
      </x:c>
      <x:c r="E495" s="24" t="str">
        <x:v>양인석</x:v>
      </x:c>
      <x:c r="F495" s="24" t="str">
        <x:v>2024-06</x:v>
      </x:c>
      <x:c r="G495" s="30" t="n">
        <x:v>45463</x:v>
      </x:c>
      <x:c r="H495" s="32" t="n">
        <x:v>880000</x:v>
      </x:c>
      <x:c r="I495" s="32" t="n">
        <x:v>880000</x:v>
      </x:c>
      <x:c r="J495" s="32" t="n">
        <x:v>0</x:v>
      </x:c>
      <x:c r="K495" s="30" t="n">
        <x:v>45463</x:v>
      </x:c>
      <x:c r="L495" s="24" t="str">
        <x:v>자동</x:v>
      </x:c>
      <x:c r="M495" s="31" t="n">
        <x:f>IF(AND(N495="미수",G495&lt;&gt;"",TODAY()&gt;G495),TODAY()-G495,0)</x:f>
        <x:v>0</x:v>
      </x:c>
      <x:c r="N495" s="24" t="str">
        <x:f>IF(J495&gt;0,"미수",IF(AND(H495&gt;0,I495&gt;=H495),"완납","미확인"))</x:f>
        <x:v>완납</x:v>
      </x:c>
      <x:c r="O495" s="31" t="n">
        <x:v>28</x:v>
      </x:c>
    </x:row>
    <x:row r="496" ht="17.25" customHeight="1">
      <x:c r="A496" s="24" t="str">
        <x:v>SW-B-81너0984-202405</x:v>
      </x:c>
      <x:c r="B496" s="24" t="str">
        <x:v>스위치플랜</x:v>
      </x:c>
      <x:c r="C496" s="24" t="str">
        <x:v>SW-C-81너0984-1-20240118-28</x:v>
      </x:c>
      <x:c r="D496" s="24" t="str">
        <x:v>81너0984</x:v>
      </x:c>
      <x:c r="E496" s="24" t="str">
        <x:v>양인석</x:v>
      </x:c>
      <x:c r="F496" s="24" t="str">
        <x:v>2024-05</x:v>
      </x:c>
      <x:c r="G496" s="30" t="n">
        <x:v>45432</x:v>
      </x:c>
      <x:c r="H496" s="32" t="n">
        <x:v>880000</x:v>
      </x:c>
      <x:c r="I496" s="32" t="n">
        <x:v>880000</x:v>
      </x:c>
      <x:c r="J496" s="32" t="n">
        <x:v>0</x:v>
      </x:c>
      <x:c r="K496" s="30" t="n">
        <x:v>45431</x:v>
      </x:c>
      <x:c r="L496" s="24" t="str">
        <x:v>입금</x:v>
      </x:c>
      <x:c r="M496" s="31" t="n">
        <x:f>IF(AND(N496="미수",G496&lt;&gt;"",TODAY()&gt;G496),TODAY()-G496,0)</x:f>
        <x:v>0</x:v>
      </x:c>
      <x:c r="N496" s="24" t="str">
        <x:f>IF(J496&gt;0,"미수",IF(AND(H496&gt;0,I496&gt;=H496),"완납","미확인"))</x:f>
        <x:v>완납</x:v>
      </x:c>
      <x:c r="O496" s="31" t="n">
        <x:v>28</x:v>
      </x:c>
    </x:row>
    <x:row r="497" ht="17.25" customHeight="1">
      <x:c r="A497" s="24" t="str">
        <x:v>SW-B-81너0984-202404</x:v>
      </x:c>
      <x:c r="B497" s="24" t="str">
        <x:v>스위치플랜</x:v>
      </x:c>
      <x:c r="C497" s="24" t="str">
        <x:v>SW-C-81너0984-1-20240118-28</x:v>
      </x:c>
      <x:c r="D497" s="24" t="str">
        <x:v>81너0984</x:v>
      </x:c>
      <x:c r="E497" s="24" t="str">
        <x:v>양인석</x:v>
      </x:c>
      <x:c r="F497" s="24" t="str">
        <x:v>2024-04</x:v>
      </x:c>
      <x:c r="G497" s="30" t="n">
        <x:v>45402</x:v>
      </x:c>
      <x:c r="H497" s="32" t="n">
        <x:v>880000</x:v>
      </x:c>
      <x:c r="I497" s="32" t="n">
        <x:v>880000</x:v>
      </x:c>
      <x:c r="J497" s="32" t="n">
        <x:v>0</x:v>
      </x:c>
      <x:c r="K497" s="30" t="n">
        <x:v>45401</x:v>
      </x:c>
      <x:c r="L497" s="24" t="str">
        <x:v>입금</x:v>
      </x:c>
      <x:c r="M497" s="31" t="n">
        <x:f>IF(AND(N497="미수",G497&lt;&gt;"",TODAY()&gt;G497),TODAY()-G497,0)</x:f>
        <x:v>0</x:v>
      </x:c>
      <x:c r="N497" s="24" t="str">
        <x:f>IF(J497&gt;0,"미수",IF(AND(H497&gt;0,I497&gt;=H497),"완납","미확인"))</x:f>
        <x:v>완납</x:v>
      </x:c>
      <x:c r="O497" s="31" t="n">
        <x:v>28</x:v>
      </x:c>
    </x:row>
    <x:row r="498" ht="17.25" customHeight="1">
      <x:c r="A498" s="24" t="str">
        <x:v>SW-B-81너0984-202403</x:v>
      </x:c>
      <x:c r="B498" s="24" t="str">
        <x:v>스위치플랜</x:v>
      </x:c>
      <x:c r="C498" s="24" t="str">
        <x:v>SW-C-81너0984-1-20240118-28</x:v>
      </x:c>
      <x:c r="D498" s="24" t="str">
        <x:v>81너0984</x:v>
      </x:c>
      <x:c r="E498" s="24" t="str">
        <x:v>양인석</x:v>
      </x:c>
      <x:c r="F498" s="24" t="str">
        <x:v>2024-03</x:v>
      </x:c>
      <x:c r="G498" s="30" t="n">
        <x:v>45371</x:v>
      </x:c>
      <x:c r="H498" s="32" t="n">
        <x:v>880000</x:v>
      </x:c>
      <x:c r="I498" s="32" t="n">
        <x:v>880000</x:v>
      </x:c>
      <x:c r="J498" s="32" t="n">
        <x:v>0</x:v>
      </x:c>
      <x:c r="K498" s="30" t="n">
        <x:v>45370</x:v>
      </x:c>
      <x:c r="L498" s="24" t="str">
        <x:v>입금</x:v>
      </x:c>
      <x:c r="M498" s="31" t="n">
        <x:f>IF(AND(N498="미수",G498&lt;&gt;"",TODAY()&gt;G498),TODAY()-G498,0)</x:f>
        <x:v>0</x:v>
      </x:c>
      <x:c r="N498" s="24" t="str">
        <x:f>IF(J498&gt;0,"미수",IF(AND(H498&gt;0,I498&gt;=H498),"완납","미확인"))</x:f>
        <x:v>완납</x:v>
      </x:c>
      <x:c r="O498" s="31" t="n">
        <x:v>28</x:v>
      </x:c>
    </x:row>
    <x:row r="499" ht="17.25" customHeight="1">
      <x:c r="A499" s="24" t="str">
        <x:v>SW-B-81너0984-202402</x:v>
      </x:c>
      <x:c r="B499" s="24" t="str">
        <x:v>스위치플랜</x:v>
      </x:c>
      <x:c r="C499" s="24" t="str">
        <x:v>SW-C-81너0984-1-20240118-28</x:v>
      </x:c>
      <x:c r="D499" s="24" t="str">
        <x:v>81너0984</x:v>
      </x:c>
      <x:c r="E499" s="24" t="str">
        <x:v>양인석</x:v>
      </x:c>
      <x:c r="F499" s="24" t="str">
        <x:v>2024-02</x:v>
      </x:c>
      <x:c r="G499" s="30" t="n">
        <x:v>45342</x:v>
      </x:c>
      <x:c r="H499" s="32" t="n">
        <x:v>880000</x:v>
      </x:c>
      <x:c r="I499" s="32" t="n">
        <x:v>880000</x:v>
      </x:c>
      <x:c r="J499" s="32" t="n">
        <x:v>0</x:v>
      </x:c>
      <x:c r="K499" s="30" t="n">
        <x:v>45341</x:v>
      </x:c>
      <x:c r="L499" s="24" t="str">
        <x:v>입금</x:v>
      </x:c>
      <x:c r="M499" s="31" t="n">
        <x:f>IF(AND(N499="미수",G499&lt;&gt;"",TODAY()&gt;G499),TODAY()-G499,0)</x:f>
        <x:v>0</x:v>
      </x:c>
      <x:c r="N499" s="24" t="str">
        <x:f>IF(J499&gt;0,"미수",IF(AND(H499&gt;0,I499&gt;=H499),"완납","미확인"))</x:f>
        <x:v>완납</x:v>
      </x:c>
      <x:c r="O499" s="31" t="n">
        <x:v>28</x:v>
      </x:c>
    </x:row>
    <x:row r="500" ht="17.25" customHeight="1">
      <x:c r="A500" s="24" t="str">
        <x:v>SW-B-81너0984-202401</x:v>
      </x:c>
      <x:c r="B500" s="24" t="str">
        <x:v>스위치플랜</x:v>
      </x:c>
      <x:c r="C500" s="24" t="str">
        <x:v>SW-C-81너0984-1-20240118-28</x:v>
      </x:c>
      <x:c r="D500" s="24" t="str">
        <x:v>81너0984</x:v>
      </x:c>
      <x:c r="E500" s="24" t="str">
        <x:v>양인석</x:v>
      </x:c>
      <x:c r="F500" s="24" t="str">
        <x:v>2024-01</x:v>
      </x:c>
      <x:c r="G500" s="30" t="n">
        <x:v>45311</x:v>
      </x:c>
      <x:c r="H500" s="32" t="n">
        <x:v>880000</x:v>
      </x:c>
      <x:c r="I500" s="32" t="n">
        <x:v>880000</x:v>
      </x:c>
      <x:c r="J500" s="32" t="n">
        <x:v>0</x:v>
      </x:c>
      <x:c r="K500" s="30" t="n">
        <x:v>45301</x:v>
      </x:c>
      <x:c r="L500" s="24" t="str">
        <x:v>입금</x:v>
      </x:c>
      <x:c r="M500" s="31" t="n">
        <x:f>IF(AND(N500="미수",G500&lt;&gt;"",TODAY()&gt;G500),TODAY()-G500,0)</x:f>
        <x:v>0</x:v>
      </x:c>
      <x:c r="N500" s="24" t="str">
        <x:f>IF(J500&gt;0,"미수",IF(AND(H500&gt;0,I500&gt;=H500),"완납","미확인"))</x:f>
        <x:v>완납</x:v>
      </x:c>
      <x:c r="O500" s="31" t="n">
        <x:v>28</x:v>
      </x:c>
    </x:row>
    <x:row r="501" ht="17.25" customHeight="1">
      <x:c r="A501" s="24" t="str">
        <x:v>SW-B-133가8292-202608</x:v>
      </x:c>
      <x:c r="B501" s="24" t="str">
        <x:v>스위치플랜</x:v>
      </x:c>
      <x:c r="C501" s="24" t="str">
        <x:v>SW-C-133가8292-1-20240504-29</x:v>
      </x:c>
      <x:c r="D501" s="24" t="str">
        <x:v>133가8292</x:v>
      </x:c>
      <x:c r="E501" s="24" t="str">
        <x:v>김찬일</x:v>
      </x:c>
      <x:c r="F501" s="24" t="str">
        <x:v>2026-08</x:v>
      </x:c>
      <x:c r="G501" s="30" t="n">
        <x:v>46239</x:v>
      </x:c>
      <x:c r="H501" s="32" t="n">
        <x:v>840000</x:v>
      </x:c>
      <x:c r="I501" s="32" t="n">
        <x:v>840000</x:v>
      </x:c>
      <x:c r="J501" s="32" t="n">
        <x:v>0</x:v>
      </x:c>
      <x:c r="K501" s="30" t="n">
        <x:v>46239</x:v>
      </x:c>
      <x:c r="L501" s="24" t="str">
        <x:v>자동</x:v>
      </x:c>
      <x:c r="M501" s="31" t="n">
        <x:f>IF(AND(N501="미수",G501&lt;&gt;"",TODAY()&gt;G501),TODAY()-G501,0)</x:f>
        <x:v>0</x:v>
      </x:c>
      <x:c r="N501" s="24" t="str">
        <x:f>IF(J501&gt;0,"미수",IF(AND(H501&gt;0,I501&gt;=H501),"완납","미확인"))</x:f>
        <x:v>완납</x:v>
      </x:c>
      <x:c r="O501" s="31" t="n">
        <x:v>29</x:v>
      </x:c>
    </x:row>
    <x:row r="502" ht="17.25" customHeight="1">
      <x:c r="A502" s="24" t="str">
        <x:v>SW-B-133가8292-202607</x:v>
      </x:c>
      <x:c r="B502" s="24" t="str">
        <x:v>스위치플랜</x:v>
      </x:c>
      <x:c r="C502" s="24" t="str">
        <x:v>SW-C-133가8292-1-20240504-29</x:v>
      </x:c>
      <x:c r="D502" s="24" t="str">
        <x:v>133가8292</x:v>
      </x:c>
      <x:c r="E502" s="24" t="str">
        <x:v>김찬일</x:v>
      </x:c>
      <x:c r="F502" s="24" t="str">
        <x:v>2026-07</x:v>
      </x:c>
      <x:c r="G502" s="30" t="n">
        <x:v>46208</x:v>
      </x:c>
      <x:c r="H502" s="32" t="n">
        <x:v>840000</x:v>
      </x:c>
      <x:c r="I502" s="32" t="n">
        <x:v>840000</x:v>
      </x:c>
      <x:c r="J502" s="32" t="n">
        <x:v>0</x:v>
      </x:c>
      <x:c r="K502" s="30" t="n">
        <x:v>46216</x:v>
      </x:c>
      <x:c r="L502" s="24" t="str">
        <x:v>입금</x:v>
      </x:c>
      <x:c r="M502" s="31" t="n">
        <x:f>IF(AND(N502="미수",G502&lt;&gt;"",TODAY()&gt;G502),TODAY()-G502,0)</x:f>
        <x:v>0</x:v>
      </x:c>
      <x:c r="N502" s="24" t="str">
        <x:f>IF(J502&gt;0,"미수",IF(AND(H502&gt;0,I502&gt;=H502),"완납","미확인"))</x:f>
        <x:v>완납</x:v>
      </x:c>
      <x:c r="O502" s="31" t="n">
        <x:v>29</x:v>
      </x:c>
    </x:row>
    <x:row r="503" ht="17.25" customHeight="1">
      <x:c r="A503" s="24" t="str">
        <x:v>SW-B-133가8292-202606</x:v>
      </x:c>
      <x:c r="B503" s="24" t="str">
        <x:v>스위치플랜</x:v>
      </x:c>
      <x:c r="C503" s="24" t="str">
        <x:v>SW-C-133가8292-1-20240504-29</x:v>
      </x:c>
      <x:c r="D503" s="24" t="str">
        <x:v>133가8292</x:v>
      </x:c>
      <x:c r="E503" s="24" t="str">
        <x:v>김찬일</x:v>
      </x:c>
      <x:c r="F503" s="24" t="str">
        <x:v>2026-06</x:v>
      </x:c>
      <x:c r="G503" s="30" t="n">
        <x:v>46178</x:v>
      </x:c>
      <x:c r="H503" s="32" t="n">
        <x:v>840000</x:v>
      </x:c>
      <x:c r="I503" s="32" t="n">
        <x:v>840000</x:v>
      </x:c>
      <x:c r="J503" s="32" t="n">
        <x:v>0</x:v>
      </x:c>
      <x:c r="K503" s="30" t="n">
        <x:v>46184</x:v>
      </x:c>
      <x:c r="L503" s="24" t="str">
        <x:v>입금</x:v>
      </x:c>
      <x:c r="M503" s="31" t="n">
        <x:f>IF(AND(N503="미수",G503&lt;&gt;"",TODAY()&gt;G503),TODAY()-G503,0)</x:f>
        <x:v>0</x:v>
      </x:c>
      <x:c r="N503" s="24" t="str">
        <x:f>IF(J503&gt;0,"미수",IF(AND(H503&gt;0,I503&gt;=H503),"완납","미확인"))</x:f>
        <x:v>완납</x:v>
      </x:c>
      <x:c r="O503" s="31" t="n">
        <x:v>29</x:v>
      </x:c>
    </x:row>
    <x:row r="504" ht="17.25" customHeight="1">
      <x:c r="A504" s="24" t="str">
        <x:v>SW-B-133가8292-202605</x:v>
      </x:c>
      <x:c r="B504" s="24" t="str">
        <x:v>스위치플랜</x:v>
      </x:c>
      <x:c r="C504" s="24" t="str">
        <x:v>SW-C-133가8292-1-20240504-29</x:v>
      </x:c>
      <x:c r="D504" s="24" t="str">
        <x:v>133가8292</x:v>
      </x:c>
      <x:c r="E504" s="24" t="str">
        <x:v>김찬일</x:v>
      </x:c>
      <x:c r="F504" s="24" t="str">
        <x:v>2026-05</x:v>
      </x:c>
      <x:c r="G504" s="30" t="n">
        <x:v>46147</x:v>
      </x:c>
      <x:c r="H504" s="32" t="n">
        <x:v>840000</x:v>
      </x:c>
      <x:c r="I504" s="32" t="n">
        <x:v>840000</x:v>
      </x:c>
      <x:c r="J504" s="32" t="n">
        <x:v>0</x:v>
      </x:c>
      <x:c r="K504" s="30" t="n">
        <x:v>46157</x:v>
      </x:c>
      <x:c r="L504" s="24" t="str">
        <x:v>입금</x:v>
      </x:c>
      <x:c r="M504" s="31" t="n">
        <x:f>IF(AND(N504="미수",G504&lt;&gt;"",TODAY()&gt;G504),TODAY()-G504,0)</x:f>
        <x:v>0</x:v>
      </x:c>
      <x:c r="N504" s="24" t="str">
        <x:f>IF(J504&gt;0,"미수",IF(AND(H504&gt;0,I504&gt;=H504),"완납","미확인"))</x:f>
        <x:v>완납</x:v>
      </x:c>
      <x:c r="O504" s="31" t="n">
        <x:v>29</x:v>
      </x:c>
    </x:row>
    <x:row r="505" ht="17.25" customHeight="1">
      <x:c r="A505" s="24" t="str">
        <x:v>SW-B-133가8292-202604</x:v>
      </x:c>
      <x:c r="B505" s="24" t="str">
        <x:v>스위치플랜</x:v>
      </x:c>
      <x:c r="C505" s="24" t="str">
        <x:v>SW-C-133가8292-1-20240504-29</x:v>
      </x:c>
      <x:c r="D505" s="24" t="str">
        <x:v>133가8292</x:v>
      </x:c>
      <x:c r="E505" s="24" t="str">
        <x:v>김찬일</x:v>
      </x:c>
      <x:c r="F505" s="24" t="str">
        <x:v>2026-04</x:v>
      </x:c>
      <x:c r="G505" s="30" t="n">
        <x:v>46117</x:v>
      </x:c>
      <x:c r="H505" s="32" t="n">
        <x:v>840000</x:v>
      </x:c>
      <x:c r="I505" s="32" t="n">
        <x:v>840000</x:v>
      </x:c>
      <x:c r="J505" s="32" t="n">
        <x:v>0</x:v>
      </x:c>
      <x:c r="K505" s="30" t="n">
        <x:v>46122</x:v>
      </x:c>
      <x:c r="L505" s="24" t="str">
        <x:v>입금</x:v>
      </x:c>
      <x:c r="M505" s="31" t="n">
        <x:f>IF(AND(N505="미수",G505&lt;&gt;"",TODAY()&gt;G505),TODAY()-G505,0)</x:f>
        <x:v>0</x:v>
      </x:c>
      <x:c r="N505" s="24" t="str">
        <x:f>IF(J505&gt;0,"미수",IF(AND(H505&gt;0,I505&gt;=H505),"완납","미확인"))</x:f>
        <x:v>완납</x:v>
      </x:c>
      <x:c r="O505" s="31" t="n">
        <x:v>29</x:v>
      </x:c>
    </x:row>
    <x:row r="506" ht="17.25" customHeight="1">
      <x:c r="A506" s="24" t="str">
        <x:v>SW-B-133가8292-202603</x:v>
      </x:c>
      <x:c r="B506" s="24" t="str">
        <x:v>스위치플랜</x:v>
      </x:c>
      <x:c r="C506" s="24" t="str">
        <x:v>SW-C-133가8292-1-20240504-29</x:v>
      </x:c>
      <x:c r="D506" s="24" t="str">
        <x:v>133가8292</x:v>
      </x:c>
      <x:c r="E506" s="24" t="str">
        <x:v>김찬일</x:v>
      </x:c>
      <x:c r="F506" s="24" t="str">
        <x:v>2026-03</x:v>
      </x:c>
      <x:c r="G506" s="30" t="n">
        <x:v>46086</x:v>
      </x:c>
      <x:c r="H506" s="32" t="n">
        <x:v>840000</x:v>
      </x:c>
      <x:c r="I506" s="32" t="n">
        <x:v>840000</x:v>
      </x:c>
      <x:c r="J506" s="32" t="n">
        <x:v>0</x:v>
      </x:c>
      <x:c r="K506" s="30" t="n">
        <x:v>46089</x:v>
      </x:c>
      <x:c r="L506" s="24" t="str">
        <x:v>입금</x:v>
      </x:c>
      <x:c r="M506" s="31" t="n">
        <x:f>IF(AND(N506="미수",G506&lt;&gt;"",TODAY()&gt;G506),TODAY()-G506,0)</x:f>
        <x:v>0</x:v>
      </x:c>
      <x:c r="N506" s="24" t="str">
        <x:f>IF(J506&gt;0,"미수",IF(AND(H506&gt;0,I506&gt;=H506),"완납","미확인"))</x:f>
        <x:v>완납</x:v>
      </x:c>
      <x:c r="O506" s="31" t="n">
        <x:v>29</x:v>
      </x:c>
    </x:row>
    <x:row r="507" ht="17.25" customHeight="1">
      <x:c r="A507" s="24" t="str">
        <x:v>SW-B-133가8292-202602</x:v>
      </x:c>
      <x:c r="B507" s="24" t="str">
        <x:v>스위치플랜</x:v>
      </x:c>
      <x:c r="C507" s="24" t="str">
        <x:v>SW-C-133가8292-1-20240504-29</x:v>
      </x:c>
      <x:c r="D507" s="24" t="str">
        <x:v>133가8292</x:v>
      </x:c>
      <x:c r="E507" s="24" t="str">
        <x:v>김찬일</x:v>
      </x:c>
      <x:c r="F507" s="24" t="str">
        <x:v>2026-02</x:v>
      </x:c>
      <x:c r="G507" s="30" t="n">
        <x:v>46058</x:v>
      </x:c>
      <x:c r="H507" s="32" t="n">
        <x:v>840000</x:v>
      </x:c>
      <x:c r="I507" s="32" t="n">
        <x:v>840000</x:v>
      </x:c>
      <x:c r="J507" s="32" t="n">
        <x:v>0</x:v>
      </x:c>
      <x:c r="K507" s="30" t="n">
        <x:v>46062</x:v>
      </x:c>
      <x:c r="L507" s="24" t="str">
        <x:v>입금</x:v>
      </x:c>
      <x:c r="M507" s="31" t="n">
        <x:f>IF(AND(N507="미수",G507&lt;&gt;"",TODAY()&gt;G507),TODAY()-G507,0)</x:f>
        <x:v>0</x:v>
      </x:c>
      <x:c r="N507" s="24" t="str">
        <x:f>IF(J507&gt;0,"미수",IF(AND(H507&gt;0,I507&gt;=H507),"완납","미확인"))</x:f>
        <x:v>완납</x:v>
      </x:c>
      <x:c r="O507" s="31" t="n">
        <x:v>29</x:v>
      </x:c>
    </x:row>
    <x:row r="508" ht="17.25" customHeight="1">
      <x:c r="A508" s="24" t="str">
        <x:v>SW-B-133가8292-202601</x:v>
      </x:c>
      <x:c r="B508" s="24" t="str">
        <x:v>스위치플랜</x:v>
      </x:c>
      <x:c r="C508" s="24" t="str">
        <x:v>SW-C-133가8292-1-20240504-29</x:v>
      </x:c>
      <x:c r="D508" s="24" t="str">
        <x:v>133가8292</x:v>
      </x:c>
      <x:c r="E508" s="24" t="str">
        <x:v>김찬일</x:v>
      </x:c>
      <x:c r="F508" s="24" t="str">
        <x:v>2026-01</x:v>
      </x:c>
      <x:c r="G508" s="30" t="n">
        <x:v>46027</x:v>
      </x:c>
      <x:c r="H508" s="32" t="n">
        <x:v>840000</x:v>
      </x:c>
      <x:c r="I508" s="32" t="n">
        <x:v>840000</x:v>
      </x:c>
      <x:c r="J508" s="32" t="n">
        <x:v>0</x:v>
      </x:c>
      <x:c r="K508" s="30" t="n">
        <x:v>46028</x:v>
      </x:c>
      <x:c r="L508" s="24" t="str">
        <x:v>입금</x:v>
      </x:c>
      <x:c r="M508" s="31" t="n">
        <x:f>IF(AND(N508="미수",G508&lt;&gt;"",TODAY()&gt;G508),TODAY()-G508,0)</x:f>
        <x:v>0</x:v>
      </x:c>
      <x:c r="N508" s="24" t="str">
        <x:f>IF(J508&gt;0,"미수",IF(AND(H508&gt;0,I508&gt;=H508),"완납","미확인"))</x:f>
        <x:v>완납</x:v>
      </x:c>
      <x:c r="O508" s="31" t="n">
        <x:v>29</x:v>
      </x:c>
    </x:row>
    <x:row r="509" ht="17.25" customHeight="1">
      <x:c r="A509" s="24" t="str">
        <x:v>SW-B-133가8292-202512</x:v>
      </x:c>
      <x:c r="B509" s="24" t="str">
        <x:v>스위치플랜</x:v>
      </x:c>
      <x:c r="C509" s="24" t="str">
        <x:v>SW-C-133가8292-1-20240504-29</x:v>
      </x:c>
      <x:c r="D509" s="24" t="str">
        <x:v>133가8292</x:v>
      </x:c>
      <x:c r="E509" s="24" t="str">
        <x:v>김찬일</x:v>
      </x:c>
      <x:c r="F509" s="24" t="str">
        <x:v>2025-12</x:v>
      </x:c>
      <x:c r="G509" s="30" t="n">
        <x:v>45996</x:v>
      </x:c>
      <x:c r="H509" s="32" t="n">
        <x:v>840000</x:v>
      </x:c>
      <x:c r="I509" s="32" t="n">
        <x:v>840000</x:v>
      </x:c>
      <x:c r="J509" s="32" t="n">
        <x:v>0</x:v>
      </x:c>
      <x:c r="K509" s="30" t="n">
        <x:v>45999</x:v>
      </x:c>
      <x:c r="L509" s="24" t="str">
        <x:v>입금</x:v>
      </x:c>
      <x:c r="M509" s="31" t="n">
        <x:f>IF(AND(N509="미수",G509&lt;&gt;"",TODAY()&gt;G509),TODAY()-G509,0)</x:f>
        <x:v>0</x:v>
      </x:c>
      <x:c r="N509" s="24" t="str">
        <x:f>IF(J509&gt;0,"미수",IF(AND(H509&gt;0,I509&gt;=H509),"완납","미확인"))</x:f>
        <x:v>완납</x:v>
      </x:c>
      <x:c r="O509" s="31" t="n">
        <x:v>29</x:v>
      </x:c>
    </x:row>
    <x:row r="510" ht="17.25" customHeight="1">
      <x:c r="A510" s="24" t="str">
        <x:v>SW-B-133가8292-202511</x:v>
      </x:c>
      <x:c r="B510" s="24" t="str">
        <x:v>스위치플랜</x:v>
      </x:c>
      <x:c r="C510" s="24" t="str">
        <x:v>SW-C-133가8292-1-20240504-29</x:v>
      </x:c>
      <x:c r="D510" s="24" t="str">
        <x:v>133가8292</x:v>
      </x:c>
      <x:c r="E510" s="24" t="str">
        <x:v>김찬일</x:v>
      </x:c>
      <x:c r="F510" s="24" t="str">
        <x:v>2025-11</x:v>
      </x:c>
      <x:c r="G510" s="30" t="n">
        <x:v>45966</x:v>
      </x:c>
      <x:c r="H510" s="32" t="n">
        <x:v>840000</x:v>
      </x:c>
      <x:c r="I510" s="32" t="n">
        <x:v>840000</x:v>
      </x:c>
      <x:c r="J510" s="32" t="n">
        <x:v>0</x:v>
      </x:c>
      <x:c r="K510" s="30" t="n">
        <x:v>45966</x:v>
      </x:c>
      <x:c r="L510" s="24" t="str">
        <x:v>자동</x:v>
      </x:c>
      <x:c r="M510" s="31" t="n">
        <x:f>IF(AND(N510="미수",G510&lt;&gt;"",TODAY()&gt;G510),TODAY()-G510,0)</x:f>
        <x:v>0</x:v>
      </x:c>
      <x:c r="N510" s="24" t="str">
        <x:f>IF(J510&gt;0,"미수",IF(AND(H510&gt;0,I510&gt;=H510),"완납","미확인"))</x:f>
        <x:v>완납</x:v>
      </x:c>
      <x:c r="O510" s="31" t="n">
        <x:v>29</x:v>
      </x:c>
    </x:row>
    <x:row r="511" ht="17.25" customHeight="1">
      <x:c r="A511" s="24" t="str">
        <x:v>SW-B-133가8292-202510</x:v>
      </x:c>
      <x:c r="B511" s="24" t="str">
        <x:v>스위치플랜</x:v>
      </x:c>
      <x:c r="C511" s="24" t="str">
        <x:v>SW-C-133가8292-1-20240504-29</x:v>
      </x:c>
      <x:c r="D511" s="24" t="str">
        <x:v>133가8292</x:v>
      </x:c>
      <x:c r="E511" s="24" t="str">
        <x:v>김찬일</x:v>
      </x:c>
      <x:c r="F511" s="24" t="str">
        <x:v>2025-10</x:v>
      </x:c>
      <x:c r="G511" s="30" t="n">
        <x:v>45935</x:v>
      </x:c>
      <x:c r="H511" s="32" t="n">
        <x:v>840000</x:v>
      </x:c>
      <x:c r="I511" s="32" t="n">
        <x:v>840000</x:v>
      </x:c>
      <x:c r="J511" s="32" t="n">
        <x:v>0</x:v>
      </x:c>
      <x:c r="K511" s="30" t="n">
        <x:v>45944</x:v>
      </x:c>
      <x:c r="L511" s="24" t="str">
        <x:v>입금</x:v>
      </x:c>
      <x:c r="M511" s="31" t="n">
        <x:f>IF(AND(N511="미수",G511&lt;&gt;"",TODAY()&gt;G511),TODAY()-G511,0)</x:f>
        <x:v>0</x:v>
      </x:c>
      <x:c r="N511" s="24" t="str">
        <x:f>IF(J511&gt;0,"미수",IF(AND(H511&gt;0,I511&gt;=H511),"완납","미확인"))</x:f>
        <x:v>완납</x:v>
      </x:c>
      <x:c r="O511" s="31" t="n">
        <x:v>29</x:v>
      </x:c>
    </x:row>
    <x:row r="512" ht="17.25" customHeight="1">
      <x:c r="A512" s="24" t="str">
        <x:v>SW-B-133가8292-202509</x:v>
      </x:c>
      <x:c r="B512" s="24" t="str">
        <x:v>스위치플랜</x:v>
      </x:c>
      <x:c r="C512" s="24" t="str">
        <x:v>SW-C-133가8292-1-20240504-29</x:v>
      </x:c>
      <x:c r="D512" s="24" t="str">
        <x:v>133가8292</x:v>
      </x:c>
      <x:c r="E512" s="24" t="str">
        <x:v>김찬일</x:v>
      </x:c>
      <x:c r="F512" s="24" t="str">
        <x:v>2025-09</x:v>
      </x:c>
      <x:c r="G512" s="30" t="n">
        <x:v>45905</x:v>
      </x:c>
      <x:c r="H512" s="32" t="n">
        <x:v>840000</x:v>
      </x:c>
      <x:c r="I512" s="32" t="n">
        <x:v>840000</x:v>
      </x:c>
      <x:c r="J512" s="32" t="n">
        <x:v>0</x:v>
      </x:c>
      <x:c r="K512" s="30" t="n">
        <x:v>45908</x:v>
      </x:c>
      <x:c r="L512" s="24" t="str">
        <x:v>입금</x:v>
      </x:c>
      <x:c r="M512" s="31" t="n">
        <x:f>IF(AND(N512="미수",G512&lt;&gt;"",TODAY()&gt;G512),TODAY()-G512,0)</x:f>
        <x:v>0</x:v>
      </x:c>
      <x:c r="N512" s="24" t="str">
        <x:f>IF(J512&gt;0,"미수",IF(AND(H512&gt;0,I512&gt;=H512),"완납","미확인"))</x:f>
        <x:v>완납</x:v>
      </x:c>
      <x:c r="O512" s="31" t="n">
        <x:v>29</x:v>
      </x:c>
    </x:row>
    <x:row r="513" ht="17.25" customHeight="1">
      <x:c r="A513" s="24" t="str">
        <x:v>SW-B-133가8292-202508</x:v>
      </x:c>
      <x:c r="B513" s="24" t="str">
        <x:v>스위치플랜</x:v>
      </x:c>
      <x:c r="C513" s="24" t="str">
        <x:v>SW-C-133가8292-1-20240504-29</x:v>
      </x:c>
      <x:c r="D513" s="24" t="str">
        <x:v>133가8292</x:v>
      </x:c>
      <x:c r="E513" s="24" t="str">
        <x:v>김찬일</x:v>
      </x:c>
      <x:c r="F513" s="24" t="str">
        <x:v>2025-08</x:v>
      </x:c>
      <x:c r="G513" s="30" t="n">
        <x:v>45874</x:v>
      </x:c>
      <x:c r="H513" s="32" t="n">
        <x:v>840000</x:v>
      </x:c>
      <x:c r="I513" s="32" t="n">
        <x:v>840000</x:v>
      </x:c>
      <x:c r="J513" s="32" t="n">
        <x:v>0</x:v>
      </x:c>
      <x:c r="K513" s="30" t="n">
        <x:v>45874</x:v>
      </x:c>
      <x:c r="L513" s="24" t="str">
        <x:v>자동</x:v>
      </x:c>
      <x:c r="M513" s="31" t="n">
        <x:f>IF(AND(N513="미수",G513&lt;&gt;"",TODAY()&gt;G513),TODAY()-G513,0)</x:f>
        <x:v>0</x:v>
      </x:c>
      <x:c r="N513" s="24" t="str">
        <x:f>IF(J513&gt;0,"미수",IF(AND(H513&gt;0,I513&gt;=H513),"완납","미확인"))</x:f>
        <x:v>완납</x:v>
      </x:c>
      <x:c r="O513" s="31" t="n">
        <x:v>29</x:v>
      </x:c>
    </x:row>
    <x:row r="514" ht="17.25" customHeight="1">
      <x:c r="A514" s="24" t="str">
        <x:v>SW-B-133가8292-202507</x:v>
      </x:c>
      <x:c r="B514" s="24" t="str">
        <x:v>스위치플랜</x:v>
      </x:c>
      <x:c r="C514" s="24" t="str">
        <x:v>SW-C-133가8292-1-20240504-29</x:v>
      </x:c>
      <x:c r="D514" s="24" t="str">
        <x:v>133가8292</x:v>
      </x:c>
      <x:c r="E514" s="24" t="str">
        <x:v>김찬일</x:v>
      </x:c>
      <x:c r="F514" s="24" t="str">
        <x:v>2025-07</x:v>
      </x:c>
      <x:c r="G514" s="30" t="n">
        <x:v>45843</x:v>
      </x:c>
      <x:c r="H514" s="32" t="n">
        <x:v>840000</x:v>
      </x:c>
      <x:c r="I514" s="32" t="n">
        <x:v>840000</x:v>
      </x:c>
      <x:c r="J514" s="32" t="n">
        <x:v>0</x:v>
      </x:c>
      <x:c r="K514" s="30" t="n">
        <x:v>45846</x:v>
      </x:c>
      <x:c r="L514" s="24" t="str">
        <x:v>입금</x:v>
      </x:c>
      <x:c r="M514" s="31" t="n">
        <x:f>IF(AND(N514="미수",G514&lt;&gt;"",TODAY()&gt;G514),TODAY()-G514,0)</x:f>
        <x:v>0</x:v>
      </x:c>
      <x:c r="N514" s="24" t="str">
        <x:f>IF(J514&gt;0,"미수",IF(AND(H514&gt;0,I514&gt;=H514),"완납","미확인"))</x:f>
        <x:v>완납</x:v>
      </x:c>
      <x:c r="O514" s="31" t="n">
        <x:v>29</x:v>
      </x:c>
    </x:row>
    <x:row r="515" ht="17.25" customHeight="1">
      <x:c r="A515" s="24" t="str">
        <x:v>SW-B-133가8292-202506</x:v>
      </x:c>
      <x:c r="B515" s="24" t="str">
        <x:v>스위치플랜</x:v>
      </x:c>
      <x:c r="C515" s="24" t="str">
        <x:v>SW-C-133가8292-1-20240504-29</x:v>
      </x:c>
      <x:c r="D515" s="24" t="str">
        <x:v>133가8292</x:v>
      </x:c>
      <x:c r="E515" s="24" t="str">
        <x:v>김찬일</x:v>
      </x:c>
      <x:c r="F515" s="24" t="str">
        <x:v>2025-06</x:v>
      </x:c>
      <x:c r="G515" s="30" t="n">
        <x:v>45813</x:v>
      </x:c>
      <x:c r="H515" s="32" t="n">
        <x:v>840000</x:v>
      </x:c>
      <x:c r="I515" s="32" t="n">
        <x:v>840000</x:v>
      </x:c>
      <x:c r="J515" s="32" t="n">
        <x:v>0</x:v>
      </x:c>
      <x:c r="K515" s="30" t="n">
        <x:v>45813</x:v>
      </x:c>
      <x:c r="L515" s="24" t="str">
        <x:v>자동</x:v>
      </x:c>
      <x:c r="M515" s="31" t="n">
        <x:f>IF(AND(N515="미수",G515&lt;&gt;"",TODAY()&gt;G515),TODAY()-G515,0)</x:f>
        <x:v>0</x:v>
      </x:c>
      <x:c r="N515" s="24" t="str">
        <x:f>IF(J515&gt;0,"미수",IF(AND(H515&gt;0,I515&gt;=H515),"완납","미확인"))</x:f>
        <x:v>완납</x:v>
      </x:c>
      <x:c r="O515" s="31" t="n">
        <x:v>29</x:v>
      </x:c>
    </x:row>
    <x:row r="516" ht="17.25" customHeight="1">
      <x:c r="A516" s="24" t="str">
        <x:v>SW-B-133가8292-202505</x:v>
      </x:c>
      <x:c r="B516" s="24" t="str">
        <x:v>스위치플랜</x:v>
      </x:c>
      <x:c r="C516" s="24" t="str">
        <x:v>SW-C-133가8292-1-20240504-29</x:v>
      </x:c>
      <x:c r="D516" s="24" t="str">
        <x:v>133가8292</x:v>
      </x:c>
      <x:c r="E516" s="24" t="str">
        <x:v>김찬일</x:v>
      </x:c>
      <x:c r="F516" s="24" t="str">
        <x:v>2025-05</x:v>
      </x:c>
      <x:c r="G516" s="30" t="n">
        <x:v>45782</x:v>
      </x:c>
      <x:c r="H516" s="32" t="n">
        <x:v>840000</x:v>
      </x:c>
      <x:c r="I516" s="32" t="n">
        <x:v>840000</x:v>
      </x:c>
      <x:c r="J516" s="32" t="n">
        <x:v>0</x:v>
      </x:c>
      <x:c r="K516" s="30" t="n">
        <x:v>45784</x:v>
      </x:c>
      <x:c r="L516" s="24" t="str">
        <x:v>자동</x:v>
      </x:c>
      <x:c r="M516" s="31" t="n">
        <x:f>IF(AND(N516="미수",G516&lt;&gt;"",TODAY()&gt;G516),TODAY()-G516,0)</x:f>
        <x:v>0</x:v>
      </x:c>
      <x:c r="N516" s="24" t="str">
        <x:f>IF(J516&gt;0,"미수",IF(AND(H516&gt;0,I516&gt;=H516),"완납","미확인"))</x:f>
        <x:v>완납</x:v>
      </x:c>
      <x:c r="O516" s="31" t="n">
        <x:v>29</x:v>
      </x:c>
    </x:row>
    <x:row r="517" ht="17.25" customHeight="1">
      <x:c r="A517" s="24" t="str">
        <x:v>SW-B-133가8292-202504</x:v>
      </x:c>
      <x:c r="B517" s="24" t="str">
        <x:v>스위치플랜</x:v>
      </x:c>
      <x:c r="C517" s="24" t="str">
        <x:v>SW-C-133가8292-1-20240504-29</x:v>
      </x:c>
      <x:c r="D517" s="24" t="str">
        <x:v>133가8292</x:v>
      </x:c>
      <x:c r="E517" s="24" t="str">
        <x:v>김찬일</x:v>
      </x:c>
      <x:c r="F517" s="24" t="str">
        <x:v>2025-04</x:v>
      </x:c>
      <x:c r="G517" s="30" t="n">
        <x:v>45752</x:v>
      </x:c>
      <x:c r="H517" s="32" t="n">
        <x:v>840000</x:v>
      </x:c>
      <x:c r="I517" s="32" t="n">
        <x:v>840000</x:v>
      </x:c>
      <x:c r="J517" s="32" t="n">
        <x:v>0</x:v>
      </x:c>
      <x:c r="K517" s="30" t="n">
        <x:v>45757</x:v>
      </x:c>
      <x:c r="L517" s="24" t="str">
        <x:v>입금</x:v>
      </x:c>
      <x:c r="M517" s="31" t="n">
        <x:f>IF(AND(N517="미수",G517&lt;&gt;"",TODAY()&gt;G517),TODAY()-G517,0)</x:f>
        <x:v>0</x:v>
      </x:c>
      <x:c r="N517" s="24" t="str">
        <x:f>IF(J517&gt;0,"미수",IF(AND(H517&gt;0,I517&gt;=H517),"완납","미확인"))</x:f>
        <x:v>완납</x:v>
      </x:c>
      <x:c r="O517" s="31" t="n">
        <x:v>29</x:v>
      </x:c>
    </x:row>
    <x:row r="518" ht="17.25" customHeight="1">
      <x:c r="A518" s="24" t="str">
        <x:v>SW-B-133가8292-202503</x:v>
      </x:c>
      <x:c r="B518" s="24" t="str">
        <x:v>스위치플랜</x:v>
      </x:c>
      <x:c r="C518" s="24" t="str">
        <x:v>SW-C-133가8292-1-20240504-29</x:v>
      </x:c>
      <x:c r="D518" s="24" t="str">
        <x:v>133가8292</x:v>
      </x:c>
      <x:c r="E518" s="24" t="str">
        <x:v>김찬일</x:v>
      </x:c>
      <x:c r="F518" s="24" t="str">
        <x:v>2025-03</x:v>
      </x:c>
      <x:c r="G518" s="30" t="n">
        <x:v>45721</x:v>
      </x:c>
      <x:c r="H518" s="32" t="n">
        <x:v>840000</x:v>
      </x:c>
      <x:c r="I518" s="32" t="n">
        <x:v>840000</x:v>
      </x:c>
      <x:c r="J518" s="32" t="n">
        <x:v>0</x:v>
      </x:c>
      <x:c r="K518" s="30" t="n">
        <x:v>45721</x:v>
      </x:c>
      <x:c r="L518" s="24" t="str">
        <x:v>자동</x:v>
      </x:c>
      <x:c r="M518" s="31" t="n">
        <x:f>IF(AND(N518="미수",G518&lt;&gt;"",TODAY()&gt;G518),TODAY()-G518,0)</x:f>
        <x:v>0</x:v>
      </x:c>
      <x:c r="N518" s="24" t="str">
        <x:f>IF(J518&gt;0,"미수",IF(AND(H518&gt;0,I518&gt;=H518),"완납","미확인"))</x:f>
        <x:v>완납</x:v>
      </x:c>
      <x:c r="O518" s="31" t="n">
        <x:v>29</x:v>
      </x:c>
    </x:row>
    <x:row r="519" ht="17.25" customHeight="1">
      <x:c r="A519" s="24" t="str">
        <x:v>SW-B-133가8292-202502</x:v>
      </x:c>
      <x:c r="B519" s="24" t="str">
        <x:v>스위치플랜</x:v>
      </x:c>
      <x:c r="C519" s="24" t="str">
        <x:v>SW-C-133가8292-1-20240504-29</x:v>
      </x:c>
      <x:c r="D519" s="24" t="str">
        <x:v>133가8292</x:v>
      </x:c>
      <x:c r="E519" s="24" t="str">
        <x:v>김찬일</x:v>
      </x:c>
      <x:c r="F519" s="24" t="str">
        <x:v>2025-02</x:v>
      </x:c>
      <x:c r="G519" s="30" t="n">
        <x:v>45693</x:v>
      </x:c>
      <x:c r="H519" s="32" t="n">
        <x:v>840000</x:v>
      </x:c>
      <x:c r="I519" s="32" t="n">
        <x:v>840000</x:v>
      </x:c>
      <x:c r="J519" s="32" t="n">
        <x:v>0</x:v>
      </x:c>
      <x:c r="K519" s="30" t="n">
        <x:v>45699</x:v>
      </x:c>
      <x:c r="L519" s="24" t="str">
        <x:v>입금</x:v>
      </x:c>
      <x:c r="M519" s="31" t="n">
        <x:f>IF(AND(N519="미수",G519&lt;&gt;"",TODAY()&gt;G519),TODAY()-G519,0)</x:f>
        <x:v>0</x:v>
      </x:c>
      <x:c r="N519" s="24" t="str">
        <x:f>IF(J519&gt;0,"미수",IF(AND(H519&gt;0,I519&gt;=H519),"완납","미확인"))</x:f>
        <x:v>완납</x:v>
      </x:c>
      <x:c r="O519" s="31" t="n">
        <x:v>29</x:v>
      </x:c>
    </x:row>
    <x:row r="520" ht="17.25" customHeight="1">
      <x:c r="A520" s="24" t="str">
        <x:v>SW-B-133가8292-202501</x:v>
      </x:c>
      <x:c r="B520" s="24" t="str">
        <x:v>스위치플랜</x:v>
      </x:c>
      <x:c r="C520" s="24" t="str">
        <x:v>SW-C-133가8292-1-20240504-29</x:v>
      </x:c>
      <x:c r="D520" s="24" t="str">
        <x:v>133가8292</x:v>
      </x:c>
      <x:c r="E520" s="24" t="str">
        <x:v>김찬일</x:v>
      </x:c>
      <x:c r="F520" s="24" t="str">
        <x:v>2025-01</x:v>
      </x:c>
      <x:c r="G520" s="30" t="n">
        <x:v>45662</x:v>
      </x:c>
      <x:c r="H520" s="32" t="n">
        <x:v>840000</x:v>
      </x:c>
      <x:c r="I520" s="32" t="n">
        <x:v>840000</x:v>
      </x:c>
      <x:c r="J520" s="32" t="n">
        <x:v>0</x:v>
      </x:c>
      <x:c r="K520" s="30" t="n">
        <x:v>45663</x:v>
      </x:c>
      <x:c r="L520" s="24" t="str">
        <x:v>자동</x:v>
      </x:c>
      <x:c r="M520" s="31" t="n">
        <x:f>IF(AND(N520="미수",G520&lt;&gt;"",TODAY()&gt;G520),TODAY()-G520,0)</x:f>
        <x:v>0</x:v>
      </x:c>
      <x:c r="N520" s="24" t="str">
        <x:f>IF(J520&gt;0,"미수",IF(AND(H520&gt;0,I520&gt;=H520),"완납","미확인"))</x:f>
        <x:v>완납</x:v>
      </x:c>
      <x:c r="O520" s="31" t="n">
        <x:v>29</x:v>
      </x:c>
    </x:row>
    <x:row r="521" ht="17.25" customHeight="1">
      <x:c r="A521" s="24" t="str">
        <x:v>SW-B-133가8292-202412</x:v>
      </x:c>
      <x:c r="B521" s="24" t="str">
        <x:v>스위치플랜</x:v>
      </x:c>
      <x:c r="C521" s="24" t="str">
        <x:v>SW-C-133가8292-1-20240504-29</x:v>
      </x:c>
      <x:c r="D521" s="24" t="str">
        <x:v>133가8292</x:v>
      </x:c>
      <x:c r="E521" s="24" t="str">
        <x:v>김찬일</x:v>
      </x:c>
      <x:c r="F521" s="24" t="str">
        <x:v>2024-12</x:v>
      </x:c>
      <x:c r="G521" s="30" t="n">
        <x:v>45631</x:v>
      </x:c>
      <x:c r="H521" s="32" t="n">
        <x:v>840000</x:v>
      </x:c>
      <x:c r="I521" s="32" t="n">
        <x:v>840000</x:v>
      </x:c>
      <x:c r="J521" s="32" t="n">
        <x:v>0</x:v>
      </x:c>
      <x:c r="K521" s="30" t="n">
        <x:v>45635</x:v>
      </x:c>
      <x:c r="L521" s="24" t="str">
        <x:v>입금</x:v>
      </x:c>
      <x:c r="M521" s="31" t="n">
        <x:f>IF(AND(N521="미수",G521&lt;&gt;"",TODAY()&gt;G521),TODAY()-G521,0)</x:f>
        <x:v>0</x:v>
      </x:c>
      <x:c r="N521" s="24" t="str">
        <x:f>IF(J521&gt;0,"미수",IF(AND(H521&gt;0,I521&gt;=H521),"완납","미확인"))</x:f>
        <x:v>완납</x:v>
      </x:c>
      <x:c r="O521" s="31" t="n">
        <x:v>29</x:v>
      </x:c>
    </x:row>
    <x:row r="522" ht="17.25" customHeight="1">
      <x:c r="A522" s="24" t="str">
        <x:v>SW-B-133가8292-202411</x:v>
      </x:c>
      <x:c r="B522" s="24" t="str">
        <x:v>스위치플랜</x:v>
      </x:c>
      <x:c r="C522" s="24" t="str">
        <x:v>SW-C-133가8292-1-20240504-29</x:v>
      </x:c>
      <x:c r="D522" s="24" t="str">
        <x:v>133가8292</x:v>
      </x:c>
      <x:c r="E522" s="24" t="str">
        <x:v>김찬일</x:v>
      </x:c>
      <x:c r="F522" s="24" t="str">
        <x:v>2024-11</x:v>
      </x:c>
      <x:c r="G522" s="30" t="n">
        <x:v>45601</x:v>
      </x:c>
      <x:c r="H522" s="32" t="n">
        <x:v>840000</x:v>
      </x:c>
      <x:c r="I522" s="32" t="n">
        <x:v>840000</x:v>
      </x:c>
      <x:c r="J522" s="32" t="n">
        <x:v>0</x:v>
      </x:c>
      <x:c r="K522" s="30" t="n">
        <x:v>45601</x:v>
      </x:c>
      <x:c r="L522" s="24" t="str">
        <x:v>자동</x:v>
      </x:c>
      <x:c r="M522" s="31" t="n">
        <x:f>IF(AND(N522="미수",G522&lt;&gt;"",TODAY()&gt;G522),TODAY()-G522,0)</x:f>
        <x:v>0</x:v>
      </x:c>
      <x:c r="N522" s="24" t="str">
        <x:f>IF(J522&gt;0,"미수",IF(AND(H522&gt;0,I522&gt;=H522),"완납","미확인"))</x:f>
        <x:v>완납</x:v>
      </x:c>
      <x:c r="O522" s="31" t="n">
        <x:v>29</x:v>
      </x:c>
    </x:row>
    <x:row r="523" ht="17.25" customHeight="1">
      <x:c r="A523" s="24" t="str">
        <x:v>SW-B-133가8292-202410</x:v>
      </x:c>
      <x:c r="B523" s="24" t="str">
        <x:v>스위치플랜</x:v>
      </x:c>
      <x:c r="C523" s="24" t="str">
        <x:v>SW-C-133가8292-1-20240504-29</x:v>
      </x:c>
      <x:c r="D523" s="24" t="str">
        <x:v>133가8292</x:v>
      </x:c>
      <x:c r="E523" s="24" t="str">
        <x:v>김찬일</x:v>
      </x:c>
      <x:c r="F523" s="24" t="str">
        <x:v>2024-10</x:v>
      </x:c>
      <x:c r="G523" s="30" t="n">
        <x:v>45570</x:v>
      </x:c>
      <x:c r="H523" s="32" t="n">
        <x:v>840000</x:v>
      </x:c>
      <x:c r="I523" s="32" t="n">
        <x:v>840000</x:v>
      </x:c>
      <x:c r="J523" s="32" t="n">
        <x:v>0</x:v>
      </x:c>
      <x:c r="K523" s="30" t="n">
        <x:v>45574</x:v>
      </x:c>
      <x:c r="L523" s="24" t="str">
        <x:v>입금</x:v>
      </x:c>
      <x:c r="M523" s="31" t="n">
        <x:f>IF(AND(N523="미수",G523&lt;&gt;"",TODAY()&gt;G523),TODAY()-G523,0)</x:f>
        <x:v>0</x:v>
      </x:c>
      <x:c r="N523" s="24" t="str">
        <x:f>IF(J523&gt;0,"미수",IF(AND(H523&gt;0,I523&gt;=H523),"완납","미확인"))</x:f>
        <x:v>완납</x:v>
      </x:c>
      <x:c r="O523" s="31" t="n">
        <x:v>29</x:v>
      </x:c>
    </x:row>
    <x:row r="524" ht="17.25" customHeight="1">
      <x:c r="A524" s="24" t="str">
        <x:v>SW-B-133가8292-202409</x:v>
      </x:c>
      <x:c r="B524" s="24" t="str">
        <x:v>스위치플랜</x:v>
      </x:c>
      <x:c r="C524" s="24" t="str">
        <x:v>SW-C-133가8292-1-20240504-29</x:v>
      </x:c>
      <x:c r="D524" s="24" t="str">
        <x:v>133가8292</x:v>
      </x:c>
      <x:c r="E524" s="24" t="str">
        <x:v>김찬일</x:v>
      </x:c>
      <x:c r="F524" s="24" t="str">
        <x:v>2024-09</x:v>
      </x:c>
      <x:c r="G524" s="30" t="n">
        <x:v>45540</x:v>
      </x:c>
      <x:c r="H524" s="32" t="n">
        <x:v>840000</x:v>
      </x:c>
      <x:c r="I524" s="32" t="n">
        <x:v>840000</x:v>
      </x:c>
      <x:c r="J524" s="32" t="n">
        <x:v>0</x:v>
      </x:c>
      <x:c r="K524" s="30" t="n">
        <x:v>45541</x:v>
      </x:c>
      <x:c r="L524" s="24" t="str">
        <x:v>입금</x:v>
      </x:c>
      <x:c r="M524" s="31" t="n">
        <x:f>IF(AND(N524="미수",G524&lt;&gt;"",TODAY()&gt;G524),TODAY()-G524,0)</x:f>
        <x:v>0</x:v>
      </x:c>
      <x:c r="N524" s="24" t="str">
        <x:f>IF(J524&gt;0,"미수",IF(AND(H524&gt;0,I524&gt;=H524),"완납","미확인"))</x:f>
        <x:v>완납</x:v>
      </x:c>
      <x:c r="O524" s="31" t="n">
        <x:v>29</x:v>
      </x:c>
    </x:row>
    <x:row r="525" ht="17.25" customHeight="1">
      <x:c r="A525" s="24" t="str">
        <x:v>SW-B-133가8292-202408</x:v>
      </x:c>
      <x:c r="B525" s="24" t="str">
        <x:v>스위치플랜</x:v>
      </x:c>
      <x:c r="C525" s="24" t="str">
        <x:v>SW-C-133가8292-1-20240504-29</x:v>
      </x:c>
      <x:c r="D525" s="24" t="str">
        <x:v>133가8292</x:v>
      </x:c>
      <x:c r="E525" s="24" t="str">
        <x:v>김찬일</x:v>
      </x:c>
      <x:c r="F525" s="24" t="str">
        <x:v>2024-08</x:v>
      </x:c>
      <x:c r="G525" s="30" t="n">
        <x:v>45509</x:v>
      </x:c>
      <x:c r="H525" s="32" t="n">
        <x:v>840000</x:v>
      </x:c>
      <x:c r="I525" s="32" t="n">
        <x:v>840000</x:v>
      </x:c>
      <x:c r="J525" s="32" t="n">
        <x:v>0</x:v>
      </x:c>
      <x:c r="K525" s="30" t="n">
        <x:v>45511</x:v>
      </x:c>
      <x:c r="L525" s="24" t="str">
        <x:v>입금</x:v>
      </x:c>
      <x:c r="M525" s="31" t="n">
        <x:f>IF(AND(N525="미수",G525&lt;&gt;"",TODAY()&gt;G525),TODAY()-G525,0)</x:f>
        <x:v>0</x:v>
      </x:c>
      <x:c r="N525" s="24" t="str">
        <x:f>IF(J525&gt;0,"미수",IF(AND(H525&gt;0,I525&gt;=H525),"완납","미확인"))</x:f>
        <x:v>완납</x:v>
      </x:c>
      <x:c r="O525" s="31" t="n">
        <x:v>29</x:v>
      </x:c>
    </x:row>
    <x:row r="526" ht="17.25" customHeight="1">
      <x:c r="A526" s="24" t="str">
        <x:v>SW-B-133가8292-202407</x:v>
      </x:c>
      <x:c r="B526" s="24" t="str">
        <x:v>스위치플랜</x:v>
      </x:c>
      <x:c r="C526" s="24" t="str">
        <x:v>SW-C-133가8292-1-20240504-29</x:v>
      </x:c>
      <x:c r="D526" s="24" t="str">
        <x:v>133가8292</x:v>
      </x:c>
      <x:c r="E526" s="24" t="str">
        <x:v>김찬일</x:v>
      </x:c>
      <x:c r="F526" s="24" t="str">
        <x:v>2024-07</x:v>
      </x:c>
      <x:c r="G526" s="30" t="n">
        <x:v>45478</x:v>
      </x:c>
      <x:c r="H526" s="32" t="n">
        <x:v>840000</x:v>
      </x:c>
      <x:c r="I526" s="32" t="n">
        <x:v>840000</x:v>
      </x:c>
      <x:c r="J526" s="32" t="n">
        <x:v>0</x:v>
      </x:c>
      <x:c r="K526" s="30" t="n">
        <x:v>45479</x:v>
      </x:c>
      <x:c r="L526" s="24" t="str">
        <x:v>입금</x:v>
      </x:c>
      <x:c r="M526" s="31" t="n">
        <x:f>IF(AND(N526="미수",G526&lt;&gt;"",TODAY()&gt;G526),TODAY()-G526,0)</x:f>
        <x:v>0</x:v>
      </x:c>
      <x:c r="N526" s="24" t="str">
        <x:f>IF(J526&gt;0,"미수",IF(AND(H526&gt;0,I526&gt;=H526),"완납","미확인"))</x:f>
        <x:v>완납</x:v>
      </x:c>
      <x:c r="O526" s="31" t="n">
        <x:v>29</x:v>
      </x:c>
    </x:row>
    <x:row r="527" ht="17.25" customHeight="1">
      <x:c r="A527" s="24" t="str">
        <x:v>SW-B-133가8292-202406</x:v>
      </x:c>
      <x:c r="B527" s="24" t="str">
        <x:v>스위치플랜</x:v>
      </x:c>
      <x:c r="C527" s="24" t="str">
        <x:v>SW-C-133가8292-1-20240504-29</x:v>
      </x:c>
      <x:c r="D527" s="24" t="str">
        <x:v>133가8292</x:v>
      </x:c>
      <x:c r="E527" s="24" t="str">
        <x:v>김찬일</x:v>
      </x:c>
      <x:c r="F527" s="24" t="str">
        <x:v>2024-06</x:v>
      </x:c>
      <x:c r="G527" s="30" t="n">
        <x:v>45448</x:v>
      </x:c>
      <x:c r="H527" s="32" t="n">
        <x:v>840000</x:v>
      </x:c>
      <x:c r="I527" s="32" t="n">
        <x:v>840000</x:v>
      </x:c>
      <x:c r="J527" s="32" t="n">
        <x:v>0</x:v>
      </x:c>
      <x:c r="K527" s="30" t="n">
        <x:v>45448</x:v>
      </x:c>
      <x:c r="L527" s="24" t="str">
        <x:v>자동</x:v>
      </x:c>
      <x:c r="M527" s="31" t="n">
        <x:f>IF(AND(N527="미수",G527&lt;&gt;"",TODAY()&gt;G527),TODAY()-G527,0)</x:f>
        <x:v>0</x:v>
      </x:c>
      <x:c r="N527" s="24" t="str">
        <x:f>IF(J527&gt;0,"미수",IF(AND(H527&gt;0,I527&gt;=H527),"완납","미확인"))</x:f>
        <x:v>완납</x:v>
      </x:c>
      <x:c r="O527" s="31" t="n">
        <x:v>29</x:v>
      </x:c>
    </x:row>
    <x:row r="528" ht="17.25" customHeight="1">
      <x:c r="A528" s="24" t="str">
        <x:v>SW-B-133가8292-202405</x:v>
      </x:c>
      <x:c r="B528" s="24" t="str">
        <x:v>스위치플랜</x:v>
      </x:c>
      <x:c r="C528" s="24" t="str">
        <x:v>SW-C-133가8292-1-20240504-29</x:v>
      </x:c>
      <x:c r="D528" s="24" t="str">
        <x:v>133가8292</x:v>
      </x:c>
      <x:c r="E528" s="24" t="str">
        <x:v>김찬일</x:v>
      </x:c>
      <x:c r="F528" s="24" t="str">
        <x:v>2024-05</x:v>
      </x:c>
      <x:c r="G528" s="30" t="n">
        <x:v>45417</x:v>
      </x:c>
      <x:c r="H528" s="32" t="n">
        <x:v>840000</x:v>
      </x:c>
      <x:c r="I528" s="32" t="n">
        <x:v>840000</x:v>
      </x:c>
      <x:c r="J528" s="32" t="n">
        <x:v>0</x:v>
      </x:c>
      <x:c r="K528" s="30" t="n">
        <x:v>45399</x:v>
      </x:c>
      <x:c r="L528" s="24" t="str">
        <x:v>입금</x:v>
      </x:c>
      <x:c r="M528" s="31" t="n">
        <x:f>IF(AND(N528="미수",G528&lt;&gt;"",TODAY()&gt;G528),TODAY()-G528,0)</x:f>
        <x:v>0</x:v>
      </x:c>
      <x:c r="N528" s="24" t="str">
        <x:f>IF(J528&gt;0,"미수",IF(AND(H528&gt;0,I528&gt;=H528),"완납","미확인"))</x:f>
        <x:v>완납</x:v>
      </x:c>
      <x:c r="O528" s="31" t="n">
        <x:v>29</x:v>
      </x:c>
    </x:row>
    <x:row r="529" ht="17.25" customHeight="1">
      <x:c r="A529" s="24" t="str">
        <x:v>SW-B-51라1828-202608</x:v>
      </x:c>
      <x:c r="B529" s="24" t="str">
        <x:v>스위치플랜</x:v>
      </x:c>
      <x:c r="C529" s="24" t="str">
        <x:v>SW-C-51라1828-1-20240405-30</x:v>
      </x:c>
      <x:c r="D529" s="24" t="str">
        <x:v>51라1828</x:v>
      </x:c>
      <x:c r="E529" s="24" t="str">
        <x:v>안준우</x:v>
      </x:c>
      <x:c r="F529" s="24" t="str">
        <x:v>2026-08</x:v>
      </x:c>
      <x:c r="G529" s="30" t="n">
        <x:v>46244</x:v>
      </x:c>
      <x:c r="H529" s="32" t="n">
        <x:v>650000</x:v>
      </x:c>
      <x:c r="I529" s="32" t="n">
        <x:v>650000</x:v>
      </x:c>
      <x:c r="J529" s="32" t="n">
        <x:v>0</x:v>
      </x:c>
      <x:c r="K529" s="30" t="n">
        <x:v>46244</x:v>
      </x:c>
      <x:c r="L529" s="24" t="str">
        <x:v>입금</x:v>
      </x:c>
      <x:c r="M529" s="31" t="n">
        <x:f>IF(AND(N529="미수",G529&lt;&gt;"",TODAY()&gt;G529),TODAY()-G529,0)</x:f>
        <x:v>0</x:v>
      </x:c>
      <x:c r="N529" s="24" t="str">
        <x:f>IF(J529&gt;0,"미수",IF(AND(H529&gt;0,I529&gt;=H529),"완납","미확인"))</x:f>
        <x:v>완납</x:v>
      </x:c>
      <x:c r="O529" s="31" t="n">
        <x:v>30</x:v>
      </x:c>
    </x:row>
    <x:row r="530" ht="17.25" customHeight="1">
      <x:c r="A530" s="24" t="str">
        <x:v>SW-B-51라1828-202607</x:v>
      </x:c>
      <x:c r="B530" s="24" t="str">
        <x:v>스위치플랜</x:v>
      </x:c>
      <x:c r="C530" s="24" t="str">
        <x:v>SW-C-51라1828-1-20240405-30</x:v>
      </x:c>
      <x:c r="D530" s="24" t="str">
        <x:v>51라1828</x:v>
      </x:c>
      <x:c r="E530" s="24" t="str">
        <x:v>안준우</x:v>
      </x:c>
      <x:c r="F530" s="24" t="str">
        <x:v>2026-07</x:v>
      </x:c>
      <x:c r="G530" s="30" t="n">
        <x:v>46213</x:v>
      </x:c>
      <x:c r="H530" s="32" t="n">
        <x:v>650000</x:v>
      </x:c>
      <x:c r="I530" s="32" t="n">
        <x:v>650000</x:v>
      </x:c>
      <x:c r="J530" s="32" t="n">
        <x:v>0</x:v>
      </x:c>
      <x:c r="K530" s="30" t="n">
        <x:v>46213</x:v>
      </x:c>
      <x:c r="L530" s="24" t="str">
        <x:v>입금</x:v>
      </x:c>
      <x:c r="M530" s="31" t="n">
        <x:f>IF(AND(N530="미수",G530&lt;&gt;"",TODAY()&gt;G530),TODAY()-G530,0)</x:f>
        <x:v>0</x:v>
      </x:c>
      <x:c r="N530" s="24" t="str">
        <x:f>IF(J530&gt;0,"미수",IF(AND(H530&gt;0,I530&gt;=H530),"완납","미확인"))</x:f>
        <x:v>완납</x:v>
      </x:c>
      <x:c r="O530" s="31" t="n">
        <x:v>30</x:v>
      </x:c>
    </x:row>
    <x:row r="531" ht="17.25" customHeight="1">
      <x:c r="A531" s="24" t="str">
        <x:v>SW-B-51라1828-202606</x:v>
      </x:c>
      <x:c r="B531" s="24" t="str">
        <x:v>스위치플랜</x:v>
      </x:c>
      <x:c r="C531" s="24" t="str">
        <x:v>SW-C-51라1828-1-20240405-30</x:v>
      </x:c>
      <x:c r="D531" s="24" t="str">
        <x:v>51라1828</x:v>
      </x:c>
      <x:c r="E531" s="24" t="str">
        <x:v>안준우</x:v>
      </x:c>
      <x:c r="F531" s="24" t="str">
        <x:v>2026-06</x:v>
      </x:c>
      <x:c r="G531" s="30" t="n">
        <x:v>46183</x:v>
      </x:c>
      <x:c r="H531" s="32" t="n">
        <x:v>650000</x:v>
      </x:c>
      <x:c r="I531" s="32" t="n">
        <x:v>650000</x:v>
      </x:c>
      <x:c r="J531" s="32" t="n">
        <x:v>0</x:v>
      </x:c>
      <x:c r="K531" s="30" t="n">
        <x:v>46183</x:v>
      </x:c>
      <x:c r="L531" s="24" t="str">
        <x:v>입금</x:v>
      </x:c>
      <x:c r="M531" s="31" t="n">
        <x:f>IF(AND(N531="미수",G531&lt;&gt;"",TODAY()&gt;G531),TODAY()-G531,0)</x:f>
        <x:v>0</x:v>
      </x:c>
      <x:c r="N531" s="24" t="str">
        <x:f>IF(J531&gt;0,"미수",IF(AND(H531&gt;0,I531&gt;=H531),"완납","미확인"))</x:f>
        <x:v>완납</x:v>
      </x:c>
      <x:c r="O531" s="31" t="n">
        <x:v>30</x:v>
      </x:c>
    </x:row>
    <x:row r="532" ht="17.25" customHeight="1">
      <x:c r="A532" s="24" t="str">
        <x:v>SW-B-51라1828-202605</x:v>
      </x:c>
      <x:c r="B532" s="24" t="str">
        <x:v>스위치플랜</x:v>
      </x:c>
      <x:c r="C532" s="24" t="str">
        <x:v>SW-C-51라1828-1-20240405-30</x:v>
      </x:c>
      <x:c r="D532" s="24" t="str">
        <x:v>51라1828</x:v>
      </x:c>
      <x:c r="E532" s="24" t="str">
        <x:v>안준우</x:v>
      </x:c>
      <x:c r="F532" s="24" t="str">
        <x:v>2026-05</x:v>
      </x:c>
      <x:c r="G532" s="30" t="n">
        <x:v>46152</x:v>
      </x:c>
      <x:c r="H532" s="32" t="n">
        <x:v>650000</x:v>
      </x:c>
      <x:c r="I532" s="32" t="n">
        <x:v>650000</x:v>
      </x:c>
      <x:c r="J532" s="32" t="n">
        <x:v>0</x:v>
      </x:c>
      <x:c r="K532" s="30" t="n">
        <x:v>46150</x:v>
      </x:c>
      <x:c r="L532" s="24" t="str">
        <x:v>입금</x:v>
      </x:c>
      <x:c r="M532" s="31" t="n">
        <x:f>IF(AND(N532="미수",G532&lt;&gt;"",TODAY()&gt;G532),TODAY()-G532,0)</x:f>
        <x:v>0</x:v>
      </x:c>
      <x:c r="N532" s="24" t="str">
        <x:f>IF(J532&gt;0,"미수",IF(AND(H532&gt;0,I532&gt;=H532),"완납","미확인"))</x:f>
        <x:v>완납</x:v>
      </x:c>
      <x:c r="O532" s="31" t="n">
        <x:v>30</x:v>
      </x:c>
    </x:row>
    <x:row r="533" ht="17.25" customHeight="1">
      <x:c r="A533" s="24" t="str">
        <x:v>SW-B-51라1828-202604</x:v>
      </x:c>
      <x:c r="B533" s="24" t="str">
        <x:v>스위치플랜</x:v>
      </x:c>
      <x:c r="C533" s="24" t="str">
        <x:v>SW-C-51라1828-1-20240405-30</x:v>
      </x:c>
      <x:c r="D533" s="24" t="str">
        <x:v>51라1828</x:v>
      </x:c>
      <x:c r="E533" s="24" t="str">
        <x:v>안준우</x:v>
      </x:c>
      <x:c r="F533" s="24" t="str">
        <x:v>2026-04</x:v>
      </x:c>
      <x:c r="G533" s="30" t="n">
        <x:v>46122</x:v>
      </x:c>
      <x:c r="H533" s="32" t="n">
        <x:v>650000</x:v>
      </x:c>
      <x:c r="I533" s="32" t="n">
        <x:v>650000</x:v>
      </x:c>
      <x:c r="J533" s="32" t="n">
        <x:v>0</x:v>
      </x:c>
      <x:c r="K533" s="30" t="n">
        <x:v>46122</x:v>
      </x:c>
      <x:c r="L533" s="24" t="str">
        <x:v>입금</x:v>
      </x:c>
      <x:c r="M533" s="31" t="n">
        <x:f>IF(AND(N533="미수",G533&lt;&gt;"",TODAY()&gt;G533),TODAY()-G533,0)</x:f>
        <x:v>0</x:v>
      </x:c>
      <x:c r="N533" s="24" t="str">
        <x:f>IF(J533&gt;0,"미수",IF(AND(H533&gt;0,I533&gt;=H533),"완납","미확인"))</x:f>
        <x:v>완납</x:v>
      </x:c>
      <x:c r="O533" s="31" t="n">
        <x:v>30</x:v>
      </x:c>
    </x:row>
    <x:row r="534" ht="17.25" customHeight="1">
      <x:c r="A534" s="24" t="str">
        <x:v>SW-B-51라1828-202603</x:v>
      </x:c>
      <x:c r="B534" s="24" t="str">
        <x:v>스위치플랜</x:v>
      </x:c>
      <x:c r="C534" s="24" t="str">
        <x:v>SW-C-51라1828-1-20240405-30</x:v>
      </x:c>
      <x:c r="D534" s="24" t="str">
        <x:v>51라1828</x:v>
      </x:c>
      <x:c r="E534" s="24" t="str">
        <x:v>안준우</x:v>
      </x:c>
      <x:c r="F534" s="24" t="str">
        <x:v>2026-03</x:v>
      </x:c>
      <x:c r="G534" s="30" t="n">
        <x:v>46091</x:v>
      </x:c>
      <x:c r="H534" s="32" t="n">
        <x:v>650000</x:v>
      </x:c>
      <x:c r="I534" s="32" t="n">
        <x:v>650000</x:v>
      </x:c>
      <x:c r="J534" s="32" t="n">
        <x:v>0</x:v>
      </x:c>
      <x:c r="K534" s="30" t="n">
        <x:v>46091</x:v>
      </x:c>
      <x:c r="L534" s="24" t="str">
        <x:v>입금</x:v>
      </x:c>
      <x:c r="M534" s="31" t="n">
        <x:f>IF(AND(N534="미수",G534&lt;&gt;"",TODAY()&gt;G534),TODAY()-G534,0)</x:f>
        <x:v>0</x:v>
      </x:c>
      <x:c r="N534" s="24" t="str">
        <x:f>IF(J534&gt;0,"미수",IF(AND(H534&gt;0,I534&gt;=H534),"완납","미확인"))</x:f>
        <x:v>완납</x:v>
      </x:c>
      <x:c r="O534" s="31" t="n">
        <x:v>30</x:v>
      </x:c>
    </x:row>
    <x:row r="535" ht="17.25" customHeight="1">
      <x:c r="A535" s="24" t="str">
        <x:v>SW-B-51라1828-202602</x:v>
      </x:c>
      <x:c r="B535" s="24" t="str">
        <x:v>스위치플랜</x:v>
      </x:c>
      <x:c r="C535" s="24" t="str">
        <x:v>SW-C-51라1828-1-20240405-30</x:v>
      </x:c>
      <x:c r="D535" s="24" t="str">
        <x:v>51라1828</x:v>
      </x:c>
      <x:c r="E535" s="24" t="str">
        <x:v>안준우</x:v>
      </x:c>
      <x:c r="F535" s="24" t="str">
        <x:v>2026-02</x:v>
      </x:c>
      <x:c r="G535" s="30" t="n">
        <x:v>46063</x:v>
      </x:c>
      <x:c r="H535" s="32" t="n">
        <x:v>650000</x:v>
      </x:c>
      <x:c r="I535" s="32" t="n">
        <x:v>650000</x:v>
      </x:c>
      <x:c r="J535" s="32" t="n">
        <x:v>0</x:v>
      </x:c>
      <x:c r="K535" s="30" t="n">
        <x:v>46063</x:v>
      </x:c>
      <x:c r="L535" s="24" t="str">
        <x:v>입금</x:v>
      </x:c>
      <x:c r="M535" s="31" t="n">
        <x:f>IF(AND(N535="미수",G535&lt;&gt;"",TODAY()&gt;G535),TODAY()-G535,0)</x:f>
        <x:v>0</x:v>
      </x:c>
      <x:c r="N535" s="24" t="str">
        <x:f>IF(J535&gt;0,"미수",IF(AND(H535&gt;0,I535&gt;=H535),"완납","미확인"))</x:f>
        <x:v>완납</x:v>
      </x:c>
      <x:c r="O535" s="31" t="n">
        <x:v>30</x:v>
      </x:c>
    </x:row>
    <x:row r="536" ht="17.25" customHeight="1">
      <x:c r="A536" s="24" t="str">
        <x:v>SW-B-51라1828-202601</x:v>
      </x:c>
      <x:c r="B536" s="24" t="str">
        <x:v>스위치플랜</x:v>
      </x:c>
      <x:c r="C536" s="24" t="str">
        <x:v>SW-C-51라1828-1-20240405-30</x:v>
      </x:c>
      <x:c r="D536" s="24" t="str">
        <x:v>51라1828</x:v>
      </x:c>
      <x:c r="E536" s="24" t="str">
        <x:v>안준우</x:v>
      </x:c>
      <x:c r="F536" s="24" t="str">
        <x:v>2026-01</x:v>
      </x:c>
      <x:c r="G536" s="30" t="n">
        <x:v>46032</x:v>
      </x:c>
      <x:c r="H536" s="32" t="n">
        <x:v>650000</x:v>
      </x:c>
      <x:c r="I536" s="32" t="n">
        <x:v>650000</x:v>
      </x:c>
      <x:c r="J536" s="32" t="n">
        <x:v>0</x:v>
      </x:c>
      <x:c r="K536" s="30" t="n">
        <x:v>46031</x:v>
      </x:c>
      <x:c r="L536" s="24" t="str">
        <x:v>입금</x:v>
      </x:c>
      <x:c r="M536" s="31" t="n">
        <x:f>IF(AND(N536="미수",G536&lt;&gt;"",TODAY()&gt;G536),TODAY()-G536,0)</x:f>
        <x:v>0</x:v>
      </x:c>
      <x:c r="N536" s="24" t="str">
        <x:f>IF(J536&gt;0,"미수",IF(AND(H536&gt;0,I536&gt;=H536),"완납","미확인"))</x:f>
        <x:v>완납</x:v>
      </x:c>
      <x:c r="O536" s="31" t="n">
        <x:v>30</x:v>
      </x:c>
    </x:row>
    <x:row r="537" ht="17.25" customHeight="1">
      <x:c r="A537" s="24" t="str">
        <x:v>SW-B-51라1828-202512</x:v>
      </x:c>
      <x:c r="B537" s="24" t="str">
        <x:v>스위치플랜</x:v>
      </x:c>
      <x:c r="C537" s="24" t="str">
        <x:v>SW-C-51라1828-1-20240405-30</x:v>
      </x:c>
      <x:c r="D537" s="24" t="str">
        <x:v>51라1828</x:v>
      </x:c>
      <x:c r="E537" s="24" t="str">
        <x:v>안준우</x:v>
      </x:c>
      <x:c r="F537" s="24" t="str">
        <x:v>2025-12</x:v>
      </x:c>
      <x:c r="G537" s="30" t="n">
        <x:v>46001</x:v>
      </x:c>
      <x:c r="H537" s="32" t="n">
        <x:v>650000</x:v>
      </x:c>
      <x:c r="I537" s="32" t="n">
        <x:v>650000</x:v>
      </x:c>
      <x:c r="J537" s="32" t="n">
        <x:v>0</x:v>
      </x:c>
      <x:c r="K537" s="30" t="n">
        <x:v>46001</x:v>
      </x:c>
      <x:c r="L537" s="24" t="str">
        <x:v>입금</x:v>
      </x:c>
      <x:c r="M537" s="31" t="n">
        <x:f>IF(AND(N537="미수",G537&lt;&gt;"",TODAY()&gt;G537),TODAY()-G537,0)</x:f>
        <x:v>0</x:v>
      </x:c>
      <x:c r="N537" s="24" t="str">
        <x:f>IF(J537&gt;0,"미수",IF(AND(H537&gt;0,I537&gt;=H537),"완납","미확인"))</x:f>
        <x:v>완납</x:v>
      </x:c>
      <x:c r="O537" s="31" t="n">
        <x:v>30</x:v>
      </x:c>
    </x:row>
    <x:row r="538" ht="17.25" customHeight="1">
      <x:c r="A538" s="24" t="str">
        <x:v>SW-B-51라1828-202511</x:v>
      </x:c>
      <x:c r="B538" s="24" t="str">
        <x:v>스위치플랜</x:v>
      </x:c>
      <x:c r="C538" s="24" t="str">
        <x:v>SW-C-51라1828-1-20240405-30</x:v>
      </x:c>
      <x:c r="D538" s="24" t="str">
        <x:v>51라1828</x:v>
      </x:c>
      <x:c r="E538" s="24" t="str">
        <x:v>안준우</x:v>
      </x:c>
      <x:c r="F538" s="24" t="str">
        <x:v>2025-11</x:v>
      </x:c>
      <x:c r="G538" s="30" t="n">
        <x:v>45971</x:v>
      </x:c>
      <x:c r="H538" s="32" t="n">
        <x:v>650000</x:v>
      </x:c>
      <x:c r="I538" s="32" t="n">
        <x:v>650000</x:v>
      </x:c>
      <x:c r="J538" s="32" t="n">
        <x:v>0</x:v>
      </x:c>
      <x:c r="K538" s="30" t="n">
        <x:v>45971</x:v>
      </x:c>
      <x:c r="L538" s="24" t="str">
        <x:v>입금</x:v>
      </x:c>
      <x:c r="M538" s="31" t="n">
        <x:f>IF(AND(N538="미수",G538&lt;&gt;"",TODAY()&gt;G538),TODAY()-G538,0)</x:f>
        <x:v>0</x:v>
      </x:c>
      <x:c r="N538" s="24" t="str">
        <x:f>IF(J538&gt;0,"미수",IF(AND(H538&gt;0,I538&gt;=H538),"완납","미확인"))</x:f>
        <x:v>완납</x:v>
      </x:c>
      <x:c r="O538" s="31" t="n">
        <x:v>30</x:v>
      </x:c>
    </x:row>
    <x:row r="539" ht="17.25" customHeight="1">
      <x:c r="A539" s="24" t="str">
        <x:v>SW-B-51라1828-202510</x:v>
      </x:c>
      <x:c r="B539" s="24" t="str">
        <x:v>스위치플랜</x:v>
      </x:c>
      <x:c r="C539" s="24" t="str">
        <x:v>SW-C-51라1828-1-20240405-30</x:v>
      </x:c>
      <x:c r="D539" s="24" t="str">
        <x:v>51라1828</x:v>
      </x:c>
      <x:c r="E539" s="24" t="str">
        <x:v>안준우</x:v>
      </x:c>
      <x:c r="F539" s="24" t="str">
        <x:v>2025-10</x:v>
      </x:c>
      <x:c r="G539" s="30" t="n">
        <x:v>45940</x:v>
      </x:c>
      <x:c r="H539" s="32" t="n">
        <x:v>650000</x:v>
      </x:c>
      <x:c r="I539" s="32" t="n">
        <x:v>650000</x:v>
      </x:c>
      <x:c r="J539" s="32" t="n">
        <x:v>0</x:v>
      </x:c>
      <x:c r="K539" s="30" t="n">
        <x:v>45940</x:v>
      </x:c>
      <x:c r="L539" s="24" t="str">
        <x:v>입금</x:v>
      </x:c>
      <x:c r="M539" s="31" t="n">
        <x:f>IF(AND(N539="미수",G539&lt;&gt;"",TODAY()&gt;G539),TODAY()-G539,0)</x:f>
        <x:v>0</x:v>
      </x:c>
      <x:c r="N539" s="24" t="str">
        <x:f>IF(J539&gt;0,"미수",IF(AND(H539&gt;0,I539&gt;=H539),"완납","미확인"))</x:f>
        <x:v>완납</x:v>
      </x:c>
      <x:c r="O539" s="31" t="n">
        <x:v>30</x:v>
      </x:c>
    </x:row>
    <x:row r="540" ht="17.25" customHeight="1">
      <x:c r="A540" s="24" t="str">
        <x:v>SW-B-51라1828-202509</x:v>
      </x:c>
      <x:c r="B540" s="24" t="str">
        <x:v>스위치플랜</x:v>
      </x:c>
      <x:c r="C540" s="24" t="str">
        <x:v>SW-C-51라1828-1-20240405-30</x:v>
      </x:c>
      <x:c r="D540" s="24" t="str">
        <x:v>51라1828</x:v>
      </x:c>
      <x:c r="E540" s="24" t="str">
        <x:v>안준우</x:v>
      </x:c>
      <x:c r="F540" s="24" t="str">
        <x:v>2025-09</x:v>
      </x:c>
      <x:c r="G540" s="30" t="n">
        <x:v>45910</x:v>
      </x:c>
      <x:c r="H540" s="32" t="n">
        <x:v>650000</x:v>
      </x:c>
      <x:c r="I540" s="32" t="n">
        <x:v>650000</x:v>
      </x:c>
      <x:c r="J540" s="32" t="n">
        <x:v>0</x:v>
      </x:c>
      <x:c r="K540" s="30" t="n">
        <x:v>45910</x:v>
      </x:c>
      <x:c r="L540" s="24" t="str">
        <x:v>입금</x:v>
      </x:c>
      <x:c r="M540" s="31" t="n">
        <x:f>IF(AND(N540="미수",G540&lt;&gt;"",TODAY()&gt;G540),TODAY()-G540,0)</x:f>
        <x:v>0</x:v>
      </x:c>
      <x:c r="N540" s="24" t="str">
        <x:f>IF(J540&gt;0,"미수",IF(AND(H540&gt;0,I540&gt;=H540),"완납","미확인"))</x:f>
        <x:v>완납</x:v>
      </x:c>
      <x:c r="O540" s="31" t="n">
        <x:v>30</x:v>
      </x:c>
    </x:row>
    <x:row r="541" ht="17.25" customHeight="1">
      <x:c r="A541" s="24" t="str">
        <x:v>SW-B-51라1828-202508</x:v>
      </x:c>
      <x:c r="B541" s="24" t="str">
        <x:v>스위치플랜</x:v>
      </x:c>
      <x:c r="C541" s="24" t="str">
        <x:v>SW-C-51라1828-1-20240405-30</x:v>
      </x:c>
      <x:c r="D541" s="24" t="str">
        <x:v>51라1828</x:v>
      </x:c>
      <x:c r="E541" s="24" t="str">
        <x:v>안준우</x:v>
      </x:c>
      <x:c r="F541" s="24" t="str">
        <x:v>2025-08</x:v>
      </x:c>
      <x:c r="G541" s="30" t="n">
        <x:v>45879</x:v>
      </x:c>
      <x:c r="H541" s="32" t="n">
        <x:v>650000</x:v>
      </x:c>
      <x:c r="I541" s="32" t="n">
        <x:v>650000</x:v>
      </x:c>
      <x:c r="J541" s="32" t="n">
        <x:v>0</x:v>
      </x:c>
      <x:c r="K541" s="30" t="n">
        <x:v>45877</x:v>
      </x:c>
      <x:c r="L541" s="24" t="str">
        <x:v>입금</x:v>
      </x:c>
      <x:c r="M541" s="31" t="n">
        <x:f>IF(AND(N541="미수",G541&lt;&gt;"",TODAY()&gt;G541),TODAY()-G541,0)</x:f>
        <x:v>0</x:v>
      </x:c>
      <x:c r="N541" s="24" t="str">
        <x:f>IF(J541&gt;0,"미수",IF(AND(H541&gt;0,I541&gt;=H541),"완납","미확인"))</x:f>
        <x:v>완납</x:v>
      </x:c>
      <x:c r="O541" s="31" t="n">
        <x:v>30</x:v>
      </x:c>
    </x:row>
    <x:row r="542" ht="17.25" customHeight="1">
      <x:c r="A542" s="24" t="str">
        <x:v>SW-B-51라1828-202507</x:v>
      </x:c>
      <x:c r="B542" s="24" t="str">
        <x:v>스위치플랜</x:v>
      </x:c>
      <x:c r="C542" s="24" t="str">
        <x:v>SW-C-51라1828-1-20240405-30</x:v>
      </x:c>
      <x:c r="D542" s="24" t="str">
        <x:v>51라1828</x:v>
      </x:c>
      <x:c r="E542" s="24" t="str">
        <x:v>안준우</x:v>
      </x:c>
      <x:c r="F542" s="24" t="str">
        <x:v>2025-07</x:v>
      </x:c>
      <x:c r="G542" s="30" t="n">
        <x:v>45848</x:v>
      </x:c>
      <x:c r="H542" s="32" t="n">
        <x:v>760000</x:v>
      </x:c>
      <x:c r="I542" s="32" t="n">
        <x:v>760000</x:v>
      </x:c>
      <x:c r="J542" s="32" t="n">
        <x:v>0</x:v>
      </x:c>
      <x:c r="K542" s="30" t="n">
        <x:v>45848</x:v>
      </x:c>
      <x:c r="L542" s="24" t="str">
        <x:v>입금</x:v>
      </x:c>
      <x:c r="M542" s="31" t="n">
        <x:f>IF(AND(N542="미수",G542&lt;&gt;"",TODAY()&gt;G542),TODAY()-G542,0)</x:f>
        <x:v>0</x:v>
      </x:c>
      <x:c r="N542" s="24" t="str">
        <x:f>IF(J542&gt;0,"미수",IF(AND(H542&gt;0,I542&gt;=H542),"완납","미확인"))</x:f>
        <x:v>완납</x:v>
      </x:c>
      <x:c r="O542" s="31" t="n">
        <x:v>30</x:v>
      </x:c>
    </x:row>
    <x:row r="543" ht="17.25" customHeight="1">
      <x:c r="A543" s="24" t="str">
        <x:v>SW-B-51라1828-202506</x:v>
      </x:c>
      <x:c r="B543" s="24" t="str">
        <x:v>스위치플랜</x:v>
      </x:c>
      <x:c r="C543" s="24" t="str">
        <x:v>SW-C-51라1828-1-20240405-30</x:v>
      </x:c>
      <x:c r="D543" s="24" t="str">
        <x:v>51라1828</x:v>
      </x:c>
      <x:c r="E543" s="24" t="str">
        <x:v>안준우</x:v>
      </x:c>
      <x:c r="F543" s="24" t="str">
        <x:v>2025-06</x:v>
      </x:c>
      <x:c r="G543" s="30" t="n">
        <x:v>45818</x:v>
      </x:c>
      <x:c r="H543" s="32" t="n">
        <x:v>650000</x:v>
      </x:c>
      <x:c r="I543" s="32" t="n">
        <x:v>650000</x:v>
      </x:c>
      <x:c r="J543" s="32" t="n">
        <x:v>0</x:v>
      </x:c>
      <x:c r="K543" s="30" t="n">
        <x:v>45818</x:v>
      </x:c>
      <x:c r="L543" s="24" t="str">
        <x:v>입금</x:v>
      </x:c>
      <x:c r="M543" s="31" t="n">
        <x:f>IF(AND(N543="미수",G543&lt;&gt;"",TODAY()&gt;G543),TODAY()-G543,0)</x:f>
        <x:v>0</x:v>
      </x:c>
      <x:c r="N543" s="24" t="str">
        <x:f>IF(J543&gt;0,"미수",IF(AND(H543&gt;0,I543&gt;=H543),"완납","미확인"))</x:f>
        <x:v>완납</x:v>
      </x:c>
      <x:c r="O543" s="31" t="n">
        <x:v>30</x:v>
      </x:c>
    </x:row>
    <x:row r="544" ht="17.25" customHeight="1">
      <x:c r="A544" s="24" t="str">
        <x:v>SW-B-51라1828-202505</x:v>
      </x:c>
      <x:c r="B544" s="24" t="str">
        <x:v>스위치플랜</x:v>
      </x:c>
      <x:c r="C544" s="24" t="str">
        <x:v>SW-C-51라1828-1-20240405-30</x:v>
      </x:c>
      <x:c r="D544" s="24" t="str">
        <x:v>51라1828</x:v>
      </x:c>
      <x:c r="E544" s="24" t="str">
        <x:v>안준우</x:v>
      </x:c>
      <x:c r="F544" s="24" t="str">
        <x:v>2025-05</x:v>
      </x:c>
      <x:c r="G544" s="30" t="n">
        <x:v>45787</x:v>
      </x:c>
      <x:c r="H544" s="32" t="n">
        <x:v>650000</x:v>
      </x:c>
      <x:c r="I544" s="32" t="n">
        <x:v>650000</x:v>
      </x:c>
      <x:c r="J544" s="32" t="n">
        <x:v>0</x:v>
      </x:c>
      <x:c r="K544" s="30" t="n">
        <x:v>45786</x:v>
      </x:c>
      <x:c r="L544" s="24" t="str">
        <x:v>입금</x:v>
      </x:c>
      <x:c r="M544" s="31" t="n">
        <x:f>IF(AND(N544="미수",G544&lt;&gt;"",TODAY()&gt;G544),TODAY()-G544,0)</x:f>
        <x:v>0</x:v>
      </x:c>
      <x:c r="N544" s="24" t="str">
        <x:f>IF(J544&gt;0,"미수",IF(AND(H544&gt;0,I544&gt;=H544),"완납","미확인"))</x:f>
        <x:v>완납</x:v>
      </x:c>
      <x:c r="O544" s="31" t="n">
        <x:v>30</x:v>
      </x:c>
    </x:row>
    <x:row r="545" ht="17.25" customHeight="1">
      <x:c r="A545" s="24" t="str">
        <x:v>SW-B-51라1828-202504</x:v>
      </x:c>
      <x:c r="B545" s="24" t="str">
        <x:v>스위치플랜</x:v>
      </x:c>
      <x:c r="C545" s="24" t="str">
        <x:v>SW-C-51라1828-1-20240405-30</x:v>
      </x:c>
      <x:c r="D545" s="24" t="str">
        <x:v>51라1828</x:v>
      </x:c>
      <x:c r="E545" s="24" t="str">
        <x:v>안준우</x:v>
      </x:c>
      <x:c r="F545" s="24" t="str">
        <x:v>2025-04</x:v>
      </x:c>
      <x:c r="G545" s="30" t="n">
        <x:v>45757</x:v>
      </x:c>
      <x:c r="H545" s="32" t="n">
        <x:v>650000</x:v>
      </x:c>
      <x:c r="I545" s="32" t="n">
        <x:v>650000</x:v>
      </x:c>
      <x:c r="J545" s="32" t="n">
        <x:v>0</x:v>
      </x:c>
      <x:c r="K545" s="30" t="n">
        <x:v>45757</x:v>
      </x:c>
      <x:c r="L545" s="24" t="str">
        <x:v>입금</x:v>
      </x:c>
      <x:c r="M545" s="31" t="n">
        <x:f>IF(AND(N545="미수",G545&lt;&gt;"",TODAY()&gt;G545),TODAY()-G545,0)</x:f>
        <x:v>0</x:v>
      </x:c>
      <x:c r="N545" s="24" t="str">
        <x:f>IF(J545&gt;0,"미수",IF(AND(H545&gt;0,I545&gt;=H545),"완납","미확인"))</x:f>
        <x:v>완납</x:v>
      </x:c>
      <x:c r="O545" s="31" t="n">
        <x:v>30</x:v>
      </x:c>
    </x:row>
    <x:row r="546" ht="17.25" customHeight="1">
      <x:c r="A546" s="24" t="str">
        <x:v>SW-B-51라1828-202503</x:v>
      </x:c>
      <x:c r="B546" s="24" t="str">
        <x:v>스위치플랜</x:v>
      </x:c>
      <x:c r="C546" s="24" t="str">
        <x:v>SW-C-51라1828-1-20240405-30</x:v>
      </x:c>
      <x:c r="D546" s="24" t="str">
        <x:v>51라1828</x:v>
      </x:c>
      <x:c r="E546" s="24" t="str">
        <x:v>안준우</x:v>
      </x:c>
      <x:c r="F546" s="24" t="str">
        <x:v>2025-03</x:v>
      </x:c>
      <x:c r="G546" s="30" t="n">
        <x:v>45726</x:v>
      </x:c>
      <x:c r="H546" s="32" t="n">
        <x:v>650000</x:v>
      </x:c>
      <x:c r="I546" s="32" t="n">
        <x:v>650000</x:v>
      </x:c>
      <x:c r="J546" s="32" t="n">
        <x:v>0</x:v>
      </x:c>
      <x:c r="K546" s="30" t="n">
        <x:v>45726</x:v>
      </x:c>
      <x:c r="L546" s="24" t="str">
        <x:v>입금</x:v>
      </x:c>
      <x:c r="M546" s="31" t="n">
        <x:f>IF(AND(N546="미수",G546&lt;&gt;"",TODAY()&gt;G546),TODAY()-G546,0)</x:f>
        <x:v>0</x:v>
      </x:c>
      <x:c r="N546" s="24" t="str">
        <x:f>IF(J546&gt;0,"미수",IF(AND(H546&gt;0,I546&gt;=H546),"완납","미확인"))</x:f>
        <x:v>완납</x:v>
      </x:c>
      <x:c r="O546" s="31" t="n">
        <x:v>30</x:v>
      </x:c>
    </x:row>
    <x:row r="547" ht="17.25" customHeight="1">
      <x:c r="A547" s="24" t="str">
        <x:v>SW-B-51라1828-202502</x:v>
      </x:c>
      <x:c r="B547" s="24" t="str">
        <x:v>스위치플랜</x:v>
      </x:c>
      <x:c r="C547" s="24" t="str">
        <x:v>SW-C-51라1828-1-20240405-30</x:v>
      </x:c>
      <x:c r="D547" s="24" t="str">
        <x:v>51라1828</x:v>
      </x:c>
      <x:c r="E547" s="24" t="str">
        <x:v>안준우</x:v>
      </x:c>
      <x:c r="F547" s="24" t="str">
        <x:v>2025-02</x:v>
      </x:c>
      <x:c r="G547" s="30" t="n">
        <x:v>45698</x:v>
      </x:c>
      <x:c r="H547" s="32" t="n">
        <x:v>650000</x:v>
      </x:c>
      <x:c r="I547" s="32" t="n">
        <x:v>650000</x:v>
      </x:c>
      <x:c r="J547" s="32" t="n">
        <x:v>0</x:v>
      </x:c>
      <x:c r="K547" s="30" t="n">
        <x:v>45698</x:v>
      </x:c>
      <x:c r="L547" s="24" t="str">
        <x:v>입금</x:v>
      </x:c>
      <x:c r="M547" s="31" t="n">
        <x:f>IF(AND(N547="미수",G547&lt;&gt;"",TODAY()&gt;G547),TODAY()-G547,0)</x:f>
        <x:v>0</x:v>
      </x:c>
      <x:c r="N547" s="24" t="str">
        <x:f>IF(J547&gt;0,"미수",IF(AND(H547&gt;0,I547&gt;=H547),"완납","미확인"))</x:f>
        <x:v>완납</x:v>
      </x:c>
      <x:c r="O547" s="31" t="n">
        <x:v>30</x:v>
      </x:c>
    </x:row>
    <x:row r="548" ht="17.25" customHeight="1">
      <x:c r="A548" s="24" t="str">
        <x:v>SW-B-51라1828-202501</x:v>
      </x:c>
      <x:c r="B548" s="24" t="str">
        <x:v>스위치플랜</x:v>
      </x:c>
      <x:c r="C548" s="24" t="str">
        <x:v>SW-C-51라1828-1-20240405-30</x:v>
      </x:c>
      <x:c r="D548" s="24" t="str">
        <x:v>51라1828</x:v>
      </x:c>
      <x:c r="E548" s="24" t="str">
        <x:v>안준우</x:v>
      </x:c>
      <x:c r="F548" s="24" t="str">
        <x:v>2025-01</x:v>
      </x:c>
      <x:c r="G548" s="30" t="n">
        <x:v>45667</x:v>
      </x:c>
      <x:c r="H548" s="32" t="n">
        <x:v>650000</x:v>
      </x:c>
      <x:c r="I548" s="32" t="n">
        <x:v>650000</x:v>
      </x:c>
      <x:c r="J548" s="32" t="n">
        <x:v>0</x:v>
      </x:c>
      <x:c r="K548" s="30" t="n">
        <x:v>45667</x:v>
      </x:c>
      <x:c r="L548" s="24" t="str">
        <x:v>입금</x:v>
      </x:c>
      <x:c r="M548" s="31" t="n">
        <x:f>IF(AND(N548="미수",G548&lt;&gt;"",TODAY()&gt;G548),TODAY()-G548,0)</x:f>
        <x:v>0</x:v>
      </x:c>
      <x:c r="N548" s="24" t="str">
        <x:f>IF(J548&gt;0,"미수",IF(AND(H548&gt;0,I548&gt;=H548),"완납","미확인"))</x:f>
        <x:v>완납</x:v>
      </x:c>
      <x:c r="O548" s="31" t="n">
        <x:v>30</x:v>
      </x:c>
    </x:row>
    <x:row r="549" ht="17.25" customHeight="1">
      <x:c r="A549" s="24" t="str">
        <x:v>SW-B-51라1828-202412</x:v>
      </x:c>
      <x:c r="B549" s="24" t="str">
        <x:v>스위치플랜</x:v>
      </x:c>
      <x:c r="C549" s="24" t="str">
        <x:v>SW-C-51라1828-1-20240405-30</x:v>
      </x:c>
      <x:c r="D549" s="24" t="str">
        <x:v>51라1828</x:v>
      </x:c>
      <x:c r="E549" s="24" t="str">
        <x:v>안준우</x:v>
      </x:c>
      <x:c r="F549" s="24" t="str">
        <x:v>2024-12</x:v>
      </x:c>
      <x:c r="G549" s="30" t="n">
        <x:v>45636</x:v>
      </x:c>
      <x:c r="H549" s="32" t="n">
        <x:v>650000</x:v>
      </x:c>
      <x:c r="I549" s="32" t="n">
        <x:v>650000</x:v>
      </x:c>
      <x:c r="J549" s="32" t="n">
        <x:v>0</x:v>
      </x:c>
      <x:c r="K549" s="30" t="n">
        <x:v>45636</x:v>
      </x:c>
      <x:c r="L549" s="24" t="str">
        <x:v>입금</x:v>
      </x:c>
      <x:c r="M549" s="31" t="n">
        <x:f>IF(AND(N549="미수",G549&lt;&gt;"",TODAY()&gt;G549),TODAY()-G549,0)</x:f>
        <x:v>0</x:v>
      </x:c>
      <x:c r="N549" s="24" t="str">
        <x:f>IF(J549&gt;0,"미수",IF(AND(H549&gt;0,I549&gt;=H549),"완납","미확인"))</x:f>
        <x:v>완납</x:v>
      </x:c>
      <x:c r="O549" s="31" t="n">
        <x:v>30</x:v>
      </x:c>
    </x:row>
    <x:row r="550" ht="17.25" customHeight="1">
      <x:c r="A550" s="24" t="str">
        <x:v>SW-B-51라1828-202411</x:v>
      </x:c>
      <x:c r="B550" s="24" t="str">
        <x:v>스위치플랜</x:v>
      </x:c>
      <x:c r="C550" s="24" t="str">
        <x:v>SW-C-51라1828-1-20240405-30</x:v>
      </x:c>
      <x:c r="D550" s="24" t="str">
        <x:v>51라1828</x:v>
      </x:c>
      <x:c r="E550" s="24" t="str">
        <x:v>안준우</x:v>
      </x:c>
      <x:c r="F550" s="24" t="str">
        <x:v>2024-11</x:v>
      </x:c>
      <x:c r="G550" s="30" t="n">
        <x:v>45606</x:v>
      </x:c>
      <x:c r="H550" s="32" t="n">
        <x:v>650000</x:v>
      </x:c>
      <x:c r="I550" s="32" t="n">
        <x:v>650000</x:v>
      </x:c>
      <x:c r="J550" s="32" t="n">
        <x:v>0</x:v>
      </x:c>
      <x:c r="K550" s="30" t="n">
        <x:v>45604</x:v>
      </x:c>
      <x:c r="L550" s="24" t="str">
        <x:v>입금</x:v>
      </x:c>
      <x:c r="M550" s="31" t="n">
        <x:f>IF(AND(N550="미수",G550&lt;&gt;"",TODAY()&gt;G550),TODAY()-G550,0)</x:f>
        <x:v>0</x:v>
      </x:c>
      <x:c r="N550" s="24" t="str">
        <x:f>IF(J550&gt;0,"미수",IF(AND(H550&gt;0,I550&gt;=H550),"완납","미확인"))</x:f>
        <x:v>완납</x:v>
      </x:c>
      <x:c r="O550" s="31" t="n">
        <x:v>30</x:v>
      </x:c>
    </x:row>
    <x:row r="551" ht="17.25" customHeight="1">
      <x:c r="A551" s="24" t="str">
        <x:v>SW-B-51라1828-202410</x:v>
      </x:c>
      <x:c r="B551" s="24" t="str">
        <x:v>스위치플랜</x:v>
      </x:c>
      <x:c r="C551" s="24" t="str">
        <x:v>SW-C-51라1828-1-20240405-30</x:v>
      </x:c>
      <x:c r="D551" s="24" t="str">
        <x:v>51라1828</x:v>
      </x:c>
      <x:c r="E551" s="24" t="str">
        <x:v>안준우</x:v>
      </x:c>
      <x:c r="F551" s="24" t="str">
        <x:v>2024-10</x:v>
      </x:c>
      <x:c r="G551" s="30" t="n">
        <x:v>45575</x:v>
      </x:c>
      <x:c r="H551" s="32" t="n">
        <x:v>650000</x:v>
      </x:c>
      <x:c r="I551" s="32" t="n">
        <x:v>650000</x:v>
      </x:c>
      <x:c r="J551" s="32" t="n">
        <x:v>0</x:v>
      </x:c>
      <x:c r="K551" s="30" t="n">
        <x:v>45575</x:v>
      </x:c>
      <x:c r="L551" s="24" t="str">
        <x:v>입금</x:v>
      </x:c>
      <x:c r="M551" s="31" t="n">
        <x:f>IF(AND(N551="미수",G551&lt;&gt;"",TODAY()&gt;G551),TODAY()-G551,0)</x:f>
        <x:v>0</x:v>
      </x:c>
      <x:c r="N551" s="24" t="str">
        <x:f>IF(J551&gt;0,"미수",IF(AND(H551&gt;0,I551&gt;=H551),"완납","미확인"))</x:f>
        <x:v>완납</x:v>
      </x:c>
      <x:c r="O551" s="31" t="n">
        <x:v>30</x:v>
      </x:c>
    </x:row>
    <x:row r="552" ht="17.25" customHeight="1">
      <x:c r="A552" s="24" t="str">
        <x:v>SW-B-51라1828-202409</x:v>
      </x:c>
      <x:c r="B552" s="24" t="str">
        <x:v>스위치플랜</x:v>
      </x:c>
      <x:c r="C552" s="24" t="str">
        <x:v>SW-C-51라1828-1-20240405-30</x:v>
      </x:c>
      <x:c r="D552" s="24" t="str">
        <x:v>51라1828</x:v>
      </x:c>
      <x:c r="E552" s="24" t="str">
        <x:v>안준우</x:v>
      </x:c>
      <x:c r="F552" s="24" t="str">
        <x:v>2024-09</x:v>
      </x:c>
      <x:c r="G552" s="30" t="n">
        <x:v>45545</x:v>
      </x:c>
      <x:c r="H552" s="32" t="n">
        <x:v>650000</x:v>
      </x:c>
      <x:c r="I552" s="32" t="n">
        <x:v>650000</x:v>
      </x:c>
      <x:c r="J552" s="32" t="n">
        <x:v>0</x:v>
      </x:c>
      <x:c r="K552" s="30" t="n">
        <x:v>45545</x:v>
      </x:c>
      <x:c r="L552" s="24" t="str">
        <x:v>입금</x:v>
      </x:c>
      <x:c r="M552" s="31" t="n">
        <x:f>IF(AND(N552="미수",G552&lt;&gt;"",TODAY()&gt;G552),TODAY()-G552,0)</x:f>
        <x:v>0</x:v>
      </x:c>
      <x:c r="N552" s="24" t="str">
        <x:f>IF(J552&gt;0,"미수",IF(AND(H552&gt;0,I552&gt;=H552),"완납","미확인"))</x:f>
        <x:v>완납</x:v>
      </x:c>
      <x:c r="O552" s="31" t="n">
        <x:v>30</x:v>
      </x:c>
    </x:row>
    <x:row r="553" ht="17.25" customHeight="1">
      <x:c r="A553" s="24" t="str">
        <x:v>SW-B-51라1828-202408</x:v>
      </x:c>
      <x:c r="B553" s="24" t="str">
        <x:v>스위치플랜</x:v>
      </x:c>
      <x:c r="C553" s="24" t="str">
        <x:v>SW-C-51라1828-1-20240405-30</x:v>
      </x:c>
      <x:c r="D553" s="24" t="str">
        <x:v>51라1828</x:v>
      </x:c>
      <x:c r="E553" s="24" t="str">
        <x:v>안준우</x:v>
      </x:c>
      <x:c r="F553" s="24" t="str">
        <x:v>2024-08</x:v>
      </x:c>
      <x:c r="G553" s="30" t="n">
        <x:v>45514</x:v>
      </x:c>
      <x:c r="H553" s="32" t="n">
        <x:v>650000</x:v>
      </x:c>
      <x:c r="I553" s="32" t="n">
        <x:v>650000</x:v>
      </x:c>
      <x:c r="J553" s="32" t="n">
        <x:v>0</x:v>
      </x:c>
      <x:c r="K553" s="30" t="n">
        <x:v>45513</x:v>
      </x:c>
      <x:c r="L553" s="24" t="str">
        <x:v>입금</x:v>
      </x:c>
      <x:c r="M553" s="31" t="n">
        <x:f>IF(AND(N553="미수",G553&lt;&gt;"",TODAY()&gt;G553),TODAY()-G553,0)</x:f>
        <x:v>0</x:v>
      </x:c>
      <x:c r="N553" s="24" t="str">
        <x:f>IF(J553&gt;0,"미수",IF(AND(H553&gt;0,I553&gt;=H553),"완납","미확인"))</x:f>
        <x:v>완납</x:v>
      </x:c>
      <x:c r="O553" s="31" t="n">
        <x:v>30</x:v>
      </x:c>
    </x:row>
    <x:row r="554" ht="17.25" customHeight="1">
      <x:c r="A554" s="24" t="str">
        <x:v>SW-B-51라1828-202407</x:v>
      </x:c>
      <x:c r="B554" s="24" t="str">
        <x:v>스위치플랜</x:v>
      </x:c>
      <x:c r="C554" s="24" t="str">
        <x:v>SW-C-51라1828-1-20240405-30</x:v>
      </x:c>
      <x:c r="D554" s="24" t="str">
        <x:v>51라1828</x:v>
      </x:c>
      <x:c r="E554" s="24" t="str">
        <x:v>안준우</x:v>
      </x:c>
      <x:c r="F554" s="24" t="str">
        <x:v>2024-07</x:v>
      </x:c>
      <x:c r="G554" s="30" t="n">
        <x:v>45483</x:v>
      </x:c>
      <x:c r="H554" s="32" t="n">
        <x:v>650000</x:v>
      </x:c>
      <x:c r="I554" s="32" t="n">
        <x:v>650000</x:v>
      </x:c>
      <x:c r="J554" s="32" t="n">
        <x:v>0</x:v>
      </x:c>
      <x:c r="K554" s="30" t="n">
        <x:v>45483</x:v>
      </x:c>
      <x:c r="L554" s="24" t="str">
        <x:v>입금</x:v>
      </x:c>
      <x:c r="M554" s="31" t="n">
        <x:f>IF(AND(N554="미수",G554&lt;&gt;"",TODAY()&gt;G554),TODAY()-G554,0)</x:f>
        <x:v>0</x:v>
      </x:c>
      <x:c r="N554" s="24" t="str">
        <x:f>IF(J554&gt;0,"미수",IF(AND(H554&gt;0,I554&gt;=H554),"완납","미확인"))</x:f>
        <x:v>완납</x:v>
      </x:c>
      <x:c r="O554" s="31" t="n">
        <x:v>30</x:v>
      </x:c>
    </x:row>
    <x:row r="555" ht="17.25" customHeight="1">
      <x:c r="A555" s="24" t="str">
        <x:v>SW-B-51라1828-202406</x:v>
      </x:c>
      <x:c r="B555" s="24" t="str">
        <x:v>스위치플랜</x:v>
      </x:c>
      <x:c r="C555" s="24" t="str">
        <x:v>SW-C-51라1828-1-20240405-30</x:v>
      </x:c>
      <x:c r="D555" s="24" t="str">
        <x:v>51라1828</x:v>
      </x:c>
      <x:c r="E555" s="24" t="str">
        <x:v>안준우</x:v>
      </x:c>
      <x:c r="F555" s="24" t="str">
        <x:v>2024-06</x:v>
      </x:c>
      <x:c r="G555" s="30" t="n">
        <x:v>45453</x:v>
      </x:c>
      <x:c r="H555" s="32" t="n">
        <x:v>650000</x:v>
      </x:c>
      <x:c r="I555" s="32" t="n">
        <x:v>650000</x:v>
      </x:c>
      <x:c r="J555" s="32" t="n">
        <x:v>0</x:v>
      </x:c>
      <x:c r="K555" s="30" t="n">
        <x:v>45453</x:v>
      </x:c>
      <x:c r="L555" s="24" t="str">
        <x:v>입금</x:v>
      </x:c>
      <x:c r="M555" s="31" t="n">
        <x:f>IF(AND(N555="미수",G555&lt;&gt;"",TODAY()&gt;G555),TODAY()-G555,0)</x:f>
        <x:v>0</x:v>
      </x:c>
      <x:c r="N555" s="24" t="str">
        <x:f>IF(J555&gt;0,"미수",IF(AND(H555&gt;0,I555&gt;=H555),"완납","미확인"))</x:f>
        <x:v>완납</x:v>
      </x:c>
      <x:c r="O555" s="31" t="n">
        <x:v>30</x:v>
      </x:c>
    </x:row>
    <x:row r="556" ht="17.25" customHeight="1">
      <x:c r="A556" s="24" t="str">
        <x:v>SW-B-51라1828-202405</x:v>
      </x:c>
      <x:c r="B556" s="24" t="str">
        <x:v>스위치플랜</x:v>
      </x:c>
      <x:c r="C556" s="24" t="str">
        <x:v>SW-C-51라1828-1-20240405-30</x:v>
      </x:c>
      <x:c r="D556" s="24" t="str">
        <x:v>51라1828</x:v>
      </x:c>
      <x:c r="E556" s="24" t="str">
        <x:v>안준우</x:v>
      </x:c>
      <x:c r="F556" s="24" t="str">
        <x:v>2024-05</x:v>
      </x:c>
      <x:c r="G556" s="30" t="n">
        <x:v>45422</x:v>
      </x:c>
      <x:c r="H556" s="32" t="n">
        <x:v>650000</x:v>
      </x:c>
      <x:c r="I556" s="32" t="n">
        <x:v>650000</x:v>
      </x:c>
      <x:c r="J556" s="32" t="n">
        <x:v>0</x:v>
      </x:c>
      <x:c r="K556" s="30" t="n">
        <x:v>45417</x:v>
      </x:c>
      <x:c r="L556" s="24" t="str">
        <x:v>자동</x:v>
      </x:c>
      <x:c r="M556" s="31" t="n">
        <x:f>IF(AND(N556="미수",G556&lt;&gt;"",TODAY()&gt;G556),TODAY()-G556,0)</x:f>
        <x:v>0</x:v>
      </x:c>
      <x:c r="N556" s="24" t="str">
        <x:f>IF(J556&gt;0,"미수",IF(AND(H556&gt;0,I556&gt;=H556),"완납","미확인"))</x:f>
        <x:v>완납</x:v>
      </x:c>
      <x:c r="O556" s="31" t="n">
        <x:v>30</x:v>
      </x:c>
    </x:row>
    <x:row r="557" ht="17.25" customHeight="1">
      <x:c r="A557" s="24" t="str">
        <x:v>SW-B-51라1828-202404</x:v>
      </x:c>
      <x:c r="B557" s="24" t="str">
        <x:v>스위치플랜</x:v>
      </x:c>
      <x:c r="C557" s="24" t="str">
        <x:v>SW-C-51라1828-1-20240405-30</x:v>
      </x:c>
      <x:c r="D557" s="24" t="str">
        <x:v>51라1828</x:v>
      </x:c>
      <x:c r="E557" s="24" t="str">
        <x:v>안준우</x:v>
      </x:c>
      <x:c r="F557" s="24" t="str">
        <x:v>2024-04</x:v>
      </x:c>
      <x:c r="G557" s="30" t="n">
        <x:v>45392</x:v>
      </x:c>
      <x:c r="H557" s="32" t="n">
        <x:v>650000</x:v>
      </x:c>
      <x:c r="I557" s="32" t="n">
        <x:v>650000</x:v>
      </x:c>
      <x:c r="J557" s="32" t="n">
        <x:v>0</x:v>
      </x:c>
      <x:c r="K557" s="30" t="n">
        <x:v>45383</x:v>
      </x:c>
      <x:c r="L557" s="24" t="str">
        <x:v>입금</x:v>
      </x:c>
      <x:c r="M557" s="31" t="n">
        <x:f>IF(AND(N557="미수",G557&lt;&gt;"",TODAY()&gt;G557),TODAY()-G557,0)</x:f>
        <x:v>0</x:v>
      </x:c>
      <x:c r="N557" s="24" t="str">
        <x:f>IF(J557&gt;0,"미수",IF(AND(H557&gt;0,I557&gt;=H557),"완납","미확인"))</x:f>
        <x:v>완납</x:v>
      </x:c>
      <x:c r="O557" s="31" t="n">
        <x:v>30</x:v>
      </x:c>
    </x:row>
    <x:row r="558" ht="17.25" customHeight="1">
      <x:c r="A558" s="24" t="str">
        <x:v>SW-B-265가2481-202608</x:v>
      </x:c>
      <x:c r="B558" s="24" t="str">
        <x:v>스위치플랜</x:v>
      </x:c>
      <x:c r="C558" s="24" t="str">
        <x:v>SW-C-265가2481-1-20240718-31</x:v>
      </x:c>
      <x:c r="D558" s="24" t="str">
        <x:v>265가2481</x:v>
      </x:c>
      <x:c r="E558" s="24" t="str">
        <x:v>최희영</x:v>
      </x:c>
      <x:c r="F558" s="24" t="str">
        <x:v>2026-08</x:v>
      </x:c>
      <x:c r="G558" s="30" t="n">
        <x:v>46254</x:v>
      </x:c>
      <x:c r="H558" s="32" t="n">
        <x:v>990000</x:v>
      </x:c>
      <x:c r="I558" s="32"/>
      <x:c r="J558" s="32" t="n">
        <x:v>990000</x:v>
      </x:c>
      <x:c r="K558" s="30"/>
      <x:c r="L558" s="24" t="str"/>
      <x:c r="M558" s="31" t="n">
        <x:f>IF(AND(N558="미수",G558&lt;&gt;"",TODAY()&gt;G558),TODAY()-G558,0)</x:f>
        <x:v>0</x:v>
      </x:c>
      <x:c r="N558" s="24" t="str">
        <x:f>IF(J558&gt;0,"미수",IF(AND(H558&gt;0,I558&gt;=H558),"완납","미확인"))</x:f>
        <x:v>미수</x:v>
      </x:c>
      <x:c r="O558" s="31" t="n">
        <x:v>31</x:v>
      </x:c>
    </x:row>
    <x:row r="559" ht="17.25" customHeight="1">
      <x:c r="A559" s="24" t="str">
        <x:v>SW-B-265가2481-202607</x:v>
      </x:c>
      <x:c r="B559" s="24" t="str">
        <x:v>스위치플랜</x:v>
      </x:c>
      <x:c r="C559" s="24" t="str">
        <x:v>SW-C-265가2481-1-20240718-31</x:v>
      </x:c>
      <x:c r="D559" s="24" t="str">
        <x:v>265가2481</x:v>
      </x:c>
      <x:c r="E559" s="24" t="str">
        <x:v>최희영</x:v>
      </x:c>
      <x:c r="F559" s="24" t="str">
        <x:v>2026-07</x:v>
      </x:c>
      <x:c r="G559" s="30" t="n">
        <x:v>46223</x:v>
      </x:c>
      <x:c r="H559" s="32" t="n">
        <x:v>990000</x:v>
      </x:c>
      <x:c r="I559" s="32" t="n">
        <x:v>990000</x:v>
      </x:c>
      <x:c r="J559" s="32" t="n">
        <x:v>0</x:v>
      </x:c>
      <x:c r="K559" s="30" t="n">
        <x:v>46224</x:v>
      </x:c>
      <x:c r="L559" s="24" t="str">
        <x:v>입금</x:v>
      </x:c>
      <x:c r="M559" s="31" t="n">
        <x:f>IF(AND(N559="미수",G559&lt;&gt;"",TODAY()&gt;G559),TODAY()-G559,0)</x:f>
        <x:v>0</x:v>
      </x:c>
      <x:c r="N559" s="24" t="str">
        <x:f>IF(J559&gt;0,"미수",IF(AND(H559&gt;0,I559&gt;=H559),"완납","미확인"))</x:f>
        <x:v>완납</x:v>
      </x:c>
      <x:c r="O559" s="31" t="n">
        <x:v>31</x:v>
      </x:c>
    </x:row>
    <x:row r="560" ht="17.25" customHeight="1">
      <x:c r="A560" s="24" t="str">
        <x:v>SW-B-265가2481-202606</x:v>
      </x:c>
      <x:c r="B560" s="24" t="str">
        <x:v>스위치플랜</x:v>
      </x:c>
      <x:c r="C560" s="24" t="str">
        <x:v>SW-C-265가2481-1-20240718-31</x:v>
      </x:c>
      <x:c r="D560" s="24" t="str">
        <x:v>265가2481</x:v>
      </x:c>
      <x:c r="E560" s="24" t="str">
        <x:v>최희영</x:v>
      </x:c>
      <x:c r="F560" s="24" t="str">
        <x:v>2026-06</x:v>
      </x:c>
      <x:c r="G560" s="30" t="n">
        <x:v>46193</x:v>
      </x:c>
      <x:c r="H560" s="32" t="n">
        <x:v>990000</x:v>
      </x:c>
      <x:c r="I560" s="32" t="n">
        <x:v>990000</x:v>
      </x:c>
      <x:c r="J560" s="32" t="n">
        <x:v>0</x:v>
      </x:c>
      <x:c r="K560" s="30" t="n">
        <x:v>46195</x:v>
      </x:c>
      <x:c r="L560" s="24" t="str">
        <x:v>입금</x:v>
      </x:c>
      <x:c r="M560" s="31" t="n">
        <x:f>IF(AND(N560="미수",G560&lt;&gt;"",TODAY()&gt;G560),TODAY()-G560,0)</x:f>
        <x:v>0</x:v>
      </x:c>
      <x:c r="N560" s="24" t="str">
        <x:f>IF(J560&gt;0,"미수",IF(AND(H560&gt;0,I560&gt;=H560),"완납","미확인"))</x:f>
        <x:v>완납</x:v>
      </x:c>
      <x:c r="O560" s="31" t="n">
        <x:v>31</x:v>
      </x:c>
    </x:row>
    <x:row r="561" ht="17.25" customHeight="1">
      <x:c r="A561" s="24" t="str">
        <x:v>SW-B-265가2481-202605</x:v>
      </x:c>
      <x:c r="B561" s="24" t="str">
        <x:v>스위치플랜</x:v>
      </x:c>
      <x:c r="C561" s="24" t="str">
        <x:v>SW-C-265가2481-1-20240718-31</x:v>
      </x:c>
      <x:c r="D561" s="24" t="str">
        <x:v>265가2481</x:v>
      </x:c>
      <x:c r="E561" s="24" t="str">
        <x:v>최희영</x:v>
      </x:c>
      <x:c r="F561" s="24" t="str">
        <x:v>2026-05</x:v>
      </x:c>
      <x:c r="G561" s="30" t="n">
        <x:v>46162</x:v>
      </x:c>
      <x:c r="H561" s="32" t="n">
        <x:v>990000</x:v>
      </x:c>
      <x:c r="I561" s="32" t="n">
        <x:v>990000</x:v>
      </x:c>
      <x:c r="J561" s="32" t="n">
        <x:v>0</x:v>
      </x:c>
      <x:c r="K561" s="30" t="n">
        <x:v>46162</x:v>
      </x:c>
      <x:c r="L561" s="24" t="str">
        <x:v>입금</x:v>
      </x:c>
      <x:c r="M561" s="31" t="n">
        <x:f>IF(AND(N561="미수",G561&lt;&gt;"",TODAY()&gt;G561),TODAY()-G561,0)</x:f>
        <x:v>0</x:v>
      </x:c>
      <x:c r="N561" s="24" t="str">
        <x:f>IF(J561&gt;0,"미수",IF(AND(H561&gt;0,I561&gt;=H561),"완납","미확인"))</x:f>
        <x:v>완납</x:v>
      </x:c>
      <x:c r="O561" s="31" t="n">
        <x:v>31</x:v>
      </x:c>
    </x:row>
    <x:row r="562" ht="17.25" customHeight="1">
      <x:c r="A562" s="24" t="str">
        <x:v>SW-B-265가2481-202604</x:v>
      </x:c>
      <x:c r="B562" s="24" t="str">
        <x:v>스위치플랜</x:v>
      </x:c>
      <x:c r="C562" s="24" t="str">
        <x:v>SW-C-265가2481-1-20240718-31</x:v>
      </x:c>
      <x:c r="D562" s="24" t="str">
        <x:v>265가2481</x:v>
      </x:c>
      <x:c r="E562" s="24" t="str">
        <x:v>최희영</x:v>
      </x:c>
      <x:c r="F562" s="24" t="str">
        <x:v>2026-04</x:v>
      </x:c>
      <x:c r="G562" s="30" t="n">
        <x:v>46132</x:v>
      </x:c>
      <x:c r="H562" s="32" t="n">
        <x:v>990000</x:v>
      </x:c>
      <x:c r="I562" s="32" t="n">
        <x:v>990000</x:v>
      </x:c>
      <x:c r="J562" s="32" t="n">
        <x:v>0</x:v>
      </x:c>
      <x:c r="K562" s="30" t="n">
        <x:v>46132</x:v>
      </x:c>
      <x:c r="L562" s="24" t="str">
        <x:v>입금</x:v>
      </x:c>
      <x:c r="M562" s="31" t="n">
        <x:f>IF(AND(N562="미수",G562&lt;&gt;"",TODAY()&gt;G562),TODAY()-G562,0)</x:f>
        <x:v>0</x:v>
      </x:c>
      <x:c r="N562" s="24" t="str">
        <x:f>IF(J562&gt;0,"미수",IF(AND(H562&gt;0,I562&gt;=H562),"완납","미확인"))</x:f>
        <x:v>완납</x:v>
      </x:c>
      <x:c r="O562" s="31" t="n">
        <x:v>31</x:v>
      </x:c>
    </x:row>
    <x:row r="563" ht="17.25" customHeight="1">
      <x:c r="A563" s="24" t="str">
        <x:v>SW-B-265가2481-202603</x:v>
      </x:c>
      <x:c r="B563" s="24" t="str">
        <x:v>스위치플랜</x:v>
      </x:c>
      <x:c r="C563" s="24" t="str">
        <x:v>SW-C-265가2481-1-20240718-31</x:v>
      </x:c>
      <x:c r="D563" s="24" t="str">
        <x:v>265가2481</x:v>
      </x:c>
      <x:c r="E563" s="24" t="str">
        <x:v>최희영</x:v>
      </x:c>
      <x:c r="F563" s="24" t="str">
        <x:v>2026-03</x:v>
      </x:c>
      <x:c r="G563" s="30" t="n">
        <x:v>46101</x:v>
      </x:c>
      <x:c r="H563" s="32" t="n">
        <x:v>990000</x:v>
      </x:c>
      <x:c r="I563" s="32" t="n">
        <x:v>1800000</x:v>
      </x:c>
      <x:c r="J563" s="32" t="n">
        <x:v>0</x:v>
      </x:c>
      <x:c r="K563" s="30" t="n">
        <x:v>46091</x:v>
      </x:c>
      <x:c r="L563" s="24" t="str">
        <x:v>입금</x:v>
      </x:c>
      <x:c r="M563" s="31" t="n">
        <x:f>IF(AND(N563="미수",G563&lt;&gt;"",TODAY()&gt;G563),TODAY()-G563,0)</x:f>
        <x:v>0</x:v>
      </x:c>
      <x:c r="N563" s="24" t="str">
        <x:f>IF(J563&gt;0,"미수",IF(AND(H563&gt;0,I563&gt;=H563),"완납","미확인"))</x:f>
        <x:v>완납</x:v>
      </x:c>
      <x:c r="O563" s="31" t="n">
        <x:v>31</x:v>
      </x:c>
    </x:row>
    <x:row r="564" ht="17.25" customHeight="1">
      <x:c r="A564" s="24" t="str">
        <x:v>SW-B-265가2481-202602</x:v>
      </x:c>
      <x:c r="B564" s="24" t="str">
        <x:v>스위치플랜</x:v>
      </x:c>
      <x:c r="C564" s="24" t="str">
        <x:v>SW-C-265가2481-1-20240718-31</x:v>
      </x:c>
      <x:c r="D564" s="24" t="str">
        <x:v>265가2481</x:v>
      </x:c>
      <x:c r="E564" s="24" t="str">
        <x:v>최희영</x:v>
      </x:c>
      <x:c r="F564" s="24" t="str">
        <x:v>2026-02</x:v>
      </x:c>
      <x:c r="G564" s="30" t="n">
        <x:v>46073</x:v>
      </x:c>
      <x:c r="H564" s="32" t="n">
        <x:v>990000</x:v>
      </x:c>
      <x:c r="I564" s="32" t="n">
        <x:v>470000</x:v>
      </x:c>
      <x:c r="J564" s="32" t="n">
        <x:v>810000</x:v>
      </x:c>
      <x:c r="K564" s="30" t="n">
        <x:v>46076</x:v>
      </x:c>
      <x:c r="L564" s="24" t="str">
        <x:v>입금</x:v>
      </x:c>
      <x:c r="M564" s="31" t="n">
        <x:f>IF(AND(N564="미수",G564&lt;&gt;"",TODAY()&gt;G564),TODAY()-G564,0)</x:f>
        <x:v>176</x:v>
      </x:c>
      <x:c r="N564" s="24" t="str">
        <x:f>IF(J564&gt;0,"미수",IF(AND(H564&gt;0,I564&gt;=H564),"완납","미확인"))</x:f>
        <x:v>미수</x:v>
      </x:c>
      <x:c r="O564" s="31" t="n">
        <x:v>31</x:v>
      </x:c>
    </x:row>
    <x:row r="565" ht="17.25" customHeight="1">
      <x:c r="A565" s="24" t="str">
        <x:v>SW-B-265가2481-202601</x:v>
      </x:c>
      <x:c r="B565" s="24" t="str">
        <x:v>스위치플랜</x:v>
      </x:c>
      <x:c r="C565" s="24" t="str">
        <x:v>SW-C-265가2481-1-20240718-31</x:v>
      </x:c>
      <x:c r="D565" s="24" t="str">
        <x:v>265가2481</x:v>
      </x:c>
      <x:c r="E565" s="24" t="str">
        <x:v>최희영</x:v>
      </x:c>
      <x:c r="F565" s="24" t="str">
        <x:v>2026-01</x:v>
      </x:c>
      <x:c r="G565" s="30" t="n">
        <x:v>46042</x:v>
      </x:c>
      <x:c r="H565" s="32" t="n">
        <x:v>990000</x:v>
      </x:c>
      <x:c r="I565" s="32" t="n">
        <x:v>700000</x:v>
      </x:c>
      <x:c r="J565" s="32" t="n">
        <x:v>290000</x:v>
      </x:c>
      <x:c r="K565" s="30" t="n">
        <x:v>46043</x:v>
      </x:c>
      <x:c r="L565" s="24" t="str">
        <x:v>입금</x:v>
      </x:c>
      <x:c r="M565" s="31" t="n">
        <x:f>IF(AND(N565="미수",G565&lt;&gt;"",TODAY()&gt;G565),TODAY()-G565,0)</x:f>
        <x:v>207</x:v>
      </x:c>
      <x:c r="N565" s="24" t="str">
        <x:f>IF(J565&gt;0,"미수",IF(AND(H565&gt;0,I565&gt;=H565),"완납","미확인"))</x:f>
        <x:v>미수</x:v>
      </x:c>
      <x:c r="O565" s="31" t="n">
        <x:v>31</x:v>
      </x:c>
    </x:row>
    <x:row r="566" ht="17.25" customHeight="1">
      <x:c r="A566" s="24" t="str">
        <x:v>SW-B-265가2481-202512</x:v>
      </x:c>
      <x:c r="B566" s="24" t="str">
        <x:v>스위치플랜</x:v>
      </x:c>
      <x:c r="C566" s="24" t="str">
        <x:v>SW-C-265가2481-1-20240718-31</x:v>
      </x:c>
      <x:c r="D566" s="24" t="str">
        <x:v>265가2481</x:v>
      </x:c>
      <x:c r="E566" s="24" t="str">
        <x:v>최희영</x:v>
      </x:c>
      <x:c r="F566" s="24" t="str">
        <x:v>2025-12</x:v>
      </x:c>
      <x:c r="G566" s="30" t="n">
        <x:v>46011</x:v>
      </x:c>
      <x:c r="H566" s="32" t="n">
        <x:v>990000</x:v>
      </x:c>
      <x:c r="I566" s="32" t="n">
        <x:v>990000</x:v>
      </x:c>
      <x:c r="J566" s="32" t="n">
        <x:v>0</x:v>
      </x:c>
      <x:c r="K566" s="30" t="n">
        <x:v>46014</x:v>
      </x:c>
      <x:c r="L566" s="24" t="str">
        <x:v>입금</x:v>
      </x:c>
      <x:c r="M566" s="31" t="n">
        <x:f>IF(AND(N566="미수",G566&lt;&gt;"",TODAY()&gt;G566),TODAY()-G566,0)</x:f>
        <x:v>0</x:v>
      </x:c>
      <x:c r="N566" s="24" t="str">
        <x:f>IF(J566&gt;0,"미수",IF(AND(H566&gt;0,I566&gt;=H566),"완납","미확인"))</x:f>
        <x:v>완납</x:v>
      </x:c>
      <x:c r="O566" s="31" t="n">
        <x:v>31</x:v>
      </x:c>
    </x:row>
    <x:row r="567" ht="17.25" customHeight="1">
      <x:c r="A567" s="24" t="str">
        <x:v>SW-B-265가2481-202511</x:v>
      </x:c>
      <x:c r="B567" s="24" t="str">
        <x:v>스위치플랜</x:v>
      </x:c>
      <x:c r="C567" s="24" t="str">
        <x:v>SW-C-265가2481-1-20240718-31</x:v>
      </x:c>
      <x:c r="D567" s="24" t="str">
        <x:v>265가2481</x:v>
      </x:c>
      <x:c r="E567" s="24" t="str">
        <x:v>최희영</x:v>
      </x:c>
      <x:c r="F567" s="24" t="str">
        <x:v>2025-11</x:v>
      </x:c>
      <x:c r="G567" s="30" t="n">
        <x:v>45981</x:v>
      </x:c>
      <x:c r="H567" s="32" t="n">
        <x:v>990000</x:v>
      </x:c>
      <x:c r="I567" s="32" t="n">
        <x:v>990000</x:v>
      </x:c>
      <x:c r="J567" s="32" t="n">
        <x:v>0</x:v>
      </x:c>
      <x:c r="K567" s="30" t="n">
        <x:v>45981</x:v>
      </x:c>
      <x:c r="L567" s="24" t="str">
        <x:v>입금</x:v>
      </x:c>
      <x:c r="M567" s="31" t="n">
        <x:f>IF(AND(N567="미수",G567&lt;&gt;"",TODAY()&gt;G567),TODAY()-G567,0)</x:f>
        <x:v>0</x:v>
      </x:c>
      <x:c r="N567" s="24" t="str">
        <x:f>IF(J567&gt;0,"미수",IF(AND(H567&gt;0,I567&gt;=H567),"완납","미확인"))</x:f>
        <x:v>완납</x:v>
      </x:c>
      <x:c r="O567" s="31" t="n">
        <x:v>31</x:v>
      </x:c>
    </x:row>
    <x:row r="568" ht="17.25" customHeight="1">
      <x:c r="A568" s="24" t="str">
        <x:v>SW-B-265가2481-202510</x:v>
      </x:c>
      <x:c r="B568" s="24" t="str">
        <x:v>스위치플랜</x:v>
      </x:c>
      <x:c r="C568" s="24" t="str">
        <x:v>SW-C-265가2481-1-20240718-31</x:v>
      </x:c>
      <x:c r="D568" s="24" t="str">
        <x:v>265가2481</x:v>
      </x:c>
      <x:c r="E568" s="24" t="str">
        <x:v>최희영</x:v>
      </x:c>
      <x:c r="F568" s="24" t="str">
        <x:v>2025-10</x:v>
      </x:c>
      <x:c r="G568" s="30" t="n">
        <x:v>45950</x:v>
      </x:c>
      <x:c r="H568" s="32" t="n">
        <x:v>990000</x:v>
      </x:c>
      <x:c r="I568" s="32" t="n">
        <x:v>990000</x:v>
      </x:c>
      <x:c r="J568" s="32" t="n">
        <x:v>0</x:v>
      </x:c>
      <x:c r="K568" s="30" t="n">
        <x:v>45950</x:v>
      </x:c>
      <x:c r="L568" s="24" t="str">
        <x:v>입금</x:v>
      </x:c>
      <x:c r="M568" s="31" t="n">
        <x:f>IF(AND(N568="미수",G568&lt;&gt;"",TODAY()&gt;G568),TODAY()-G568,0)</x:f>
        <x:v>0</x:v>
      </x:c>
      <x:c r="N568" s="24" t="str">
        <x:f>IF(J568&gt;0,"미수",IF(AND(H568&gt;0,I568&gt;=H568),"완납","미확인"))</x:f>
        <x:v>완납</x:v>
      </x:c>
      <x:c r="O568" s="31" t="n">
        <x:v>31</x:v>
      </x:c>
    </x:row>
    <x:row r="569" ht="17.25" customHeight="1">
      <x:c r="A569" s="24" t="str">
        <x:v>SW-B-265가2481-202509</x:v>
      </x:c>
      <x:c r="B569" s="24" t="str">
        <x:v>스위치플랜</x:v>
      </x:c>
      <x:c r="C569" s="24" t="str">
        <x:v>SW-C-265가2481-1-20240718-31</x:v>
      </x:c>
      <x:c r="D569" s="24" t="str">
        <x:v>265가2481</x:v>
      </x:c>
      <x:c r="E569" s="24" t="str">
        <x:v>최희영</x:v>
      </x:c>
      <x:c r="F569" s="24" t="str">
        <x:v>2025-09</x:v>
      </x:c>
      <x:c r="G569" s="30" t="n">
        <x:v>45920</x:v>
      </x:c>
      <x:c r="H569" s="32" t="n">
        <x:v>990000</x:v>
      </x:c>
      <x:c r="I569" s="32" t="n">
        <x:v>990000</x:v>
      </x:c>
      <x:c r="J569" s="32" t="n">
        <x:v>0</x:v>
      </x:c>
      <x:c r="K569" s="30" t="n">
        <x:v>45922</x:v>
      </x:c>
      <x:c r="L569" s="24" t="str">
        <x:v>입금</x:v>
      </x:c>
      <x:c r="M569" s="31" t="n">
        <x:f>IF(AND(N569="미수",G569&lt;&gt;"",TODAY()&gt;G569),TODAY()-G569,0)</x:f>
        <x:v>0</x:v>
      </x:c>
      <x:c r="N569" s="24" t="str">
        <x:f>IF(J569&gt;0,"미수",IF(AND(H569&gt;0,I569&gt;=H569),"완납","미확인"))</x:f>
        <x:v>완납</x:v>
      </x:c>
      <x:c r="O569" s="31" t="n">
        <x:v>31</x:v>
      </x:c>
    </x:row>
    <x:row r="570" ht="17.25" customHeight="1">
      <x:c r="A570" s="24" t="str">
        <x:v>SW-B-265가2481-202508</x:v>
      </x:c>
      <x:c r="B570" s="24" t="str">
        <x:v>스위치플랜</x:v>
      </x:c>
      <x:c r="C570" s="24" t="str">
        <x:v>SW-C-265가2481-1-20240718-31</x:v>
      </x:c>
      <x:c r="D570" s="24" t="str">
        <x:v>265가2481</x:v>
      </x:c>
      <x:c r="E570" s="24" t="str">
        <x:v>최희영</x:v>
      </x:c>
      <x:c r="F570" s="24" t="str">
        <x:v>2025-08</x:v>
      </x:c>
      <x:c r="G570" s="30" t="n">
        <x:v>45889</x:v>
      </x:c>
      <x:c r="H570" s="32" t="n">
        <x:v>990000</x:v>
      </x:c>
      <x:c r="I570" s="32" t="n">
        <x:v>990000</x:v>
      </x:c>
      <x:c r="J570" s="32" t="n">
        <x:v>0</x:v>
      </x:c>
      <x:c r="K570" s="30" t="n">
        <x:v>45891</x:v>
      </x:c>
      <x:c r="L570" s="24" t="str">
        <x:v>입금</x:v>
      </x:c>
      <x:c r="M570" s="31" t="n">
        <x:f>IF(AND(N570="미수",G570&lt;&gt;"",TODAY()&gt;G570),TODAY()-G570,0)</x:f>
        <x:v>0</x:v>
      </x:c>
      <x:c r="N570" s="24" t="str">
        <x:f>IF(J570&gt;0,"미수",IF(AND(H570&gt;0,I570&gt;=H570),"완납","미확인"))</x:f>
        <x:v>완납</x:v>
      </x:c>
      <x:c r="O570" s="31" t="n">
        <x:v>31</x:v>
      </x:c>
    </x:row>
    <x:row r="571" ht="17.25" customHeight="1">
      <x:c r="A571" s="24" t="str">
        <x:v>SW-B-265가2481-202507</x:v>
      </x:c>
      <x:c r="B571" s="24" t="str">
        <x:v>스위치플랜</x:v>
      </x:c>
      <x:c r="C571" s="24" t="str">
        <x:v>SW-C-265가2481-1-20240718-31</x:v>
      </x:c>
      <x:c r="D571" s="24" t="str">
        <x:v>265가2481</x:v>
      </x:c>
      <x:c r="E571" s="24" t="str">
        <x:v>최희영</x:v>
      </x:c>
      <x:c r="F571" s="24" t="str">
        <x:v>2025-07</x:v>
      </x:c>
      <x:c r="G571" s="30" t="n">
        <x:v>45858</x:v>
      </x:c>
      <x:c r="H571" s="32" t="n">
        <x:v>990000</x:v>
      </x:c>
      <x:c r="I571" s="32" t="n">
        <x:v>990000</x:v>
      </x:c>
      <x:c r="J571" s="32" t="n">
        <x:v>0</x:v>
      </x:c>
      <x:c r="K571" s="30" t="n">
        <x:v>45861</x:v>
      </x:c>
      <x:c r="L571" s="24" t="str">
        <x:v>입금</x:v>
      </x:c>
      <x:c r="M571" s="31" t="n">
        <x:f>IF(AND(N571="미수",G571&lt;&gt;"",TODAY()&gt;G571),TODAY()-G571,0)</x:f>
        <x:v>0</x:v>
      </x:c>
      <x:c r="N571" s="24" t="str">
        <x:f>IF(J571&gt;0,"미수",IF(AND(H571&gt;0,I571&gt;=H571),"완납","미확인"))</x:f>
        <x:v>완납</x:v>
      </x:c>
      <x:c r="O571" s="31" t="n">
        <x:v>31</x:v>
      </x:c>
    </x:row>
    <x:row r="572" ht="17.25" customHeight="1">
      <x:c r="A572" s="24" t="str">
        <x:v>SW-B-265가2481-202506</x:v>
      </x:c>
      <x:c r="B572" s="24" t="str">
        <x:v>스위치플랜</x:v>
      </x:c>
      <x:c r="C572" s="24" t="str">
        <x:v>SW-C-265가2481-1-20240718-31</x:v>
      </x:c>
      <x:c r="D572" s="24" t="str">
        <x:v>265가2481</x:v>
      </x:c>
      <x:c r="E572" s="24" t="str">
        <x:v>최희영</x:v>
      </x:c>
      <x:c r="F572" s="24" t="str">
        <x:v>2025-06</x:v>
      </x:c>
      <x:c r="G572" s="30" t="n">
        <x:v>45828</x:v>
      </x:c>
      <x:c r="H572" s="32" t="n">
        <x:v>990000</x:v>
      </x:c>
      <x:c r="I572" s="32" t="n">
        <x:v>990000</x:v>
      </x:c>
      <x:c r="J572" s="32" t="n">
        <x:v>0</x:v>
      </x:c>
      <x:c r="K572" s="30" t="n">
        <x:v>45832</x:v>
      </x:c>
      <x:c r="L572" s="24" t="str">
        <x:v>입금</x:v>
      </x:c>
      <x:c r="M572" s="31" t="n">
        <x:f>IF(AND(N572="미수",G572&lt;&gt;"",TODAY()&gt;G572),TODAY()-G572,0)</x:f>
        <x:v>0</x:v>
      </x:c>
      <x:c r="N572" s="24" t="str">
        <x:f>IF(J572&gt;0,"미수",IF(AND(H572&gt;0,I572&gt;=H572),"완납","미확인"))</x:f>
        <x:v>완납</x:v>
      </x:c>
      <x:c r="O572" s="31" t="n">
        <x:v>31</x:v>
      </x:c>
    </x:row>
    <x:row r="573" ht="17.25" customHeight="1">
      <x:c r="A573" s="24" t="str">
        <x:v>SW-B-265가2481-202505</x:v>
      </x:c>
      <x:c r="B573" s="24" t="str">
        <x:v>스위치플랜</x:v>
      </x:c>
      <x:c r="C573" s="24" t="str">
        <x:v>SW-C-265가2481-1-20240718-31</x:v>
      </x:c>
      <x:c r="D573" s="24" t="str">
        <x:v>265가2481</x:v>
      </x:c>
      <x:c r="E573" s="24" t="str">
        <x:v>최희영</x:v>
      </x:c>
      <x:c r="F573" s="24" t="str">
        <x:v>2025-05</x:v>
      </x:c>
      <x:c r="G573" s="30" t="n">
        <x:v>45797</x:v>
      </x:c>
      <x:c r="H573" s="32" t="n">
        <x:v>990000</x:v>
      </x:c>
      <x:c r="I573" s="32" t="n">
        <x:v>1980000</x:v>
      </x:c>
      <x:c r="J573" s="32" t="n">
        <x:v>0</x:v>
      </x:c>
      <x:c r="K573" s="30" t="n">
        <x:v>45779</x:v>
      </x:c>
      <x:c r="L573" s="24" t="str">
        <x:v>입금</x:v>
      </x:c>
      <x:c r="M573" s="31" t="n">
        <x:f>IF(AND(N573="미수",G573&lt;&gt;"",TODAY()&gt;G573),TODAY()-G573,0)</x:f>
        <x:v>0</x:v>
      </x:c>
      <x:c r="N573" s="24" t="str">
        <x:f>IF(J573&gt;0,"미수",IF(AND(H573&gt;0,I573&gt;=H573),"완납","미확인"))</x:f>
        <x:v>완납</x:v>
      </x:c>
      <x:c r="O573" s="31" t="n">
        <x:v>31</x:v>
      </x:c>
    </x:row>
    <x:row r="574" ht="17.25" customHeight="1">
      <x:c r="A574" s="24" t="str">
        <x:v>SW-B-265가2481-202504</x:v>
      </x:c>
      <x:c r="B574" s="24" t="str">
        <x:v>스위치플랜</x:v>
      </x:c>
      <x:c r="C574" s="24" t="str">
        <x:v>SW-C-265가2481-1-20240718-31</x:v>
      </x:c>
      <x:c r="D574" s="24" t="str">
        <x:v>265가2481</x:v>
      </x:c>
      <x:c r="E574" s="24" t="str">
        <x:v>최희영</x:v>
      </x:c>
      <x:c r="F574" s="24" t="str">
        <x:v>2025-04</x:v>
      </x:c>
      <x:c r="G574" s="30" t="n">
        <x:v>45767</x:v>
      </x:c>
      <x:c r="H574" s="32" t="n">
        <x:v>990000</x:v>
      </x:c>
      <x:c r="I574" s="32"/>
      <x:c r="J574" s="32" t="n">
        <x:v>990000</x:v>
      </x:c>
      <x:c r="K574" s="30"/>
      <x:c r="L574" s="24" t="str"/>
      <x:c r="M574" s="31" t="n">
        <x:f>IF(AND(N574="미수",G574&lt;&gt;"",TODAY()&gt;G574),TODAY()-G574,0)</x:f>
        <x:v>482</x:v>
      </x:c>
      <x:c r="N574" s="24" t="str">
        <x:f>IF(J574&gt;0,"미수",IF(AND(H574&gt;0,I574&gt;=H574),"완납","미확인"))</x:f>
        <x:v>미수</x:v>
      </x:c>
      <x:c r="O574" s="31" t="n">
        <x:v>31</x:v>
      </x:c>
    </x:row>
    <x:row r="575" ht="17.25" customHeight="1">
      <x:c r="A575" s="24" t="str">
        <x:v>SW-B-265가2481-202503</x:v>
      </x:c>
      <x:c r="B575" s="24" t="str">
        <x:v>스위치플랜</x:v>
      </x:c>
      <x:c r="C575" s="24" t="str">
        <x:v>SW-C-265가2481-1-20240718-31</x:v>
      </x:c>
      <x:c r="D575" s="24" t="str">
        <x:v>265가2481</x:v>
      </x:c>
      <x:c r="E575" s="24" t="str">
        <x:v>최희영</x:v>
      </x:c>
      <x:c r="F575" s="24" t="str">
        <x:v>2025-03</x:v>
      </x:c>
      <x:c r="G575" s="30" t="n">
        <x:v>45736</x:v>
      </x:c>
      <x:c r="H575" s="32" t="n">
        <x:v>990000</x:v>
      </x:c>
      <x:c r="I575" s="32" t="n">
        <x:v>990000</x:v>
      </x:c>
      <x:c r="J575" s="32" t="n">
        <x:v>0</x:v>
      </x:c>
      <x:c r="K575" s="30" t="n">
        <x:v>45742</x:v>
      </x:c>
      <x:c r="L575" s="24" t="str">
        <x:v>입금</x:v>
      </x:c>
      <x:c r="M575" s="31" t="n">
        <x:f>IF(AND(N575="미수",G575&lt;&gt;"",TODAY()&gt;G575),TODAY()-G575,0)</x:f>
        <x:v>0</x:v>
      </x:c>
      <x:c r="N575" s="24" t="str">
        <x:f>IF(J575&gt;0,"미수",IF(AND(H575&gt;0,I575&gt;=H575),"완납","미확인"))</x:f>
        <x:v>완납</x:v>
      </x:c>
      <x:c r="O575" s="31" t="n">
        <x:v>31</x:v>
      </x:c>
    </x:row>
    <x:row r="576" ht="17.25" customHeight="1">
      <x:c r="A576" s="24" t="str">
        <x:v>SW-B-265가2481-202502</x:v>
      </x:c>
      <x:c r="B576" s="24" t="str">
        <x:v>스위치플랜</x:v>
      </x:c>
      <x:c r="C576" s="24" t="str">
        <x:v>SW-C-265가2481-1-20240718-31</x:v>
      </x:c>
      <x:c r="D576" s="24" t="str">
        <x:v>265가2481</x:v>
      </x:c>
      <x:c r="E576" s="24" t="str">
        <x:v>최희영</x:v>
      </x:c>
      <x:c r="F576" s="24" t="str">
        <x:v>2025-02</x:v>
      </x:c>
      <x:c r="G576" s="30" t="n">
        <x:v>45708</x:v>
      </x:c>
      <x:c r="H576" s="32" t="n">
        <x:v>990000</x:v>
      </x:c>
      <x:c r="I576" s="32" t="n">
        <x:v>990000</x:v>
      </x:c>
      <x:c r="J576" s="32" t="n">
        <x:v>0</x:v>
      </x:c>
      <x:c r="K576" s="30" t="n">
        <x:v>45713</x:v>
      </x:c>
      <x:c r="L576" s="24" t="str">
        <x:v>입금</x:v>
      </x:c>
      <x:c r="M576" s="31" t="n">
        <x:f>IF(AND(N576="미수",G576&lt;&gt;"",TODAY()&gt;G576),TODAY()-G576,0)</x:f>
        <x:v>0</x:v>
      </x:c>
      <x:c r="N576" s="24" t="str">
        <x:f>IF(J576&gt;0,"미수",IF(AND(H576&gt;0,I576&gt;=H576),"완납","미확인"))</x:f>
        <x:v>완납</x:v>
      </x:c>
      <x:c r="O576" s="31" t="n">
        <x:v>31</x:v>
      </x:c>
    </x:row>
    <x:row r="577" ht="17.25" customHeight="1">
      <x:c r="A577" s="24" t="str">
        <x:v>SW-B-265가2481-202501</x:v>
      </x:c>
      <x:c r="B577" s="24" t="str">
        <x:v>스위치플랜</x:v>
      </x:c>
      <x:c r="C577" s="24" t="str">
        <x:v>SW-C-265가2481-1-20240718-31</x:v>
      </x:c>
      <x:c r="D577" s="24" t="str">
        <x:v>265가2481</x:v>
      </x:c>
      <x:c r="E577" s="24" t="str">
        <x:v>최희영</x:v>
      </x:c>
      <x:c r="F577" s="24" t="str">
        <x:v>2025-01</x:v>
      </x:c>
      <x:c r="G577" s="30" t="n">
        <x:v>45677</x:v>
      </x:c>
      <x:c r="H577" s="32" t="n">
        <x:v>990000</x:v>
      </x:c>
      <x:c r="I577" s="32" t="n">
        <x:v>990000</x:v>
      </x:c>
      <x:c r="J577" s="32" t="n">
        <x:v>0</x:v>
      </x:c>
      <x:c r="K577" s="30" t="n">
        <x:v>45681</x:v>
      </x:c>
      <x:c r="L577" s="24" t="str">
        <x:v>입금</x:v>
      </x:c>
      <x:c r="M577" s="31" t="n">
        <x:f>IF(AND(N577="미수",G577&lt;&gt;"",TODAY()&gt;G577),TODAY()-G577,0)</x:f>
        <x:v>0</x:v>
      </x:c>
      <x:c r="N577" s="24" t="str">
        <x:f>IF(J577&gt;0,"미수",IF(AND(H577&gt;0,I577&gt;=H577),"완납","미확인"))</x:f>
        <x:v>완납</x:v>
      </x:c>
      <x:c r="O577" s="31" t="n">
        <x:v>31</x:v>
      </x:c>
    </x:row>
    <x:row r="578" ht="17.25" customHeight="1">
      <x:c r="A578" s="24" t="str">
        <x:v>SW-B-265가2481-202412</x:v>
      </x:c>
      <x:c r="B578" s="24" t="str">
        <x:v>스위치플랜</x:v>
      </x:c>
      <x:c r="C578" s="24" t="str">
        <x:v>SW-C-265가2481-1-20240718-31</x:v>
      </x:c>
      <x:c r="D578" s="24" t="str">
        <x:v>265가2481</x:v>
      </x:c>
      <x:c r="E578" s="24" t="str">
        <x:v>최희영</x:v>
      </x:c>
      <x:c r="F578" s="24" t="str">
        <x:v>2024-12</x:v>
      </x:c>
      <x:c r="G578" s="30" t="n">
        <x:v>45646</x:v>
      </x:c>
      <x:c r="H578" s="32" t="n">
        <x:v>990000</x:v>
      </x:c>
      <x:c r="I578" s="32" t="n">
        <x:v>990000</x:v>
      </x:c>
      <x:c r="J578" s="32" t="n">
        <x:v>0</x:v>
      </x:c>
      <x:c r="K578" s="30" t="n">
        <x:v>45650</x:v>
      </x:c>
      <x:c r="L578" s="24" t="str">
        <x:v>입금</x:v>
      </x:c>
      <x:c r="M578" s="31" t="n">
        <x:f>IF(AND(N578="미수",G578&lt;&gt;"",TODAY()&gt;G578),TODAY()-G578,0)</x:f>
        <x:v>0</x:v>
      </x:c>
      <x:c r="N578" s="24" t="str">
        <x:f>IF(J578&gt;0,"미수",IF(AND(H578&gt;0,I578&gt;=H578),"완납","미확인"))</x:f>
        <x:v>완납</x:v>
      </x:c>
      <x:c r="O578" s="31" t="n">
        <x:v>31</x:v>
      </x:c>
    </x:row>
    <x:row r="579" ht="17.25" customHeight="1">
      <x:c r="A579" s="24" t="str">
        <x:v>SW-B-265가2481-202411</x:v>
      </x:c>
      <x:c r="B579" s="24" t="str">
        <x:v>스위치플랜</x:v>
      </x:c>
      <x:c r="C579" s="24" t="str">
        <x:v>SW-C-265가2481-1-20240718-31</x:v>
      </x:c>
      <x:c r="D579" s="24" t="str">
        <x:v>265가2481</x:v>
      </x:c>
      <x:c r="E579" s="24" t="str">
        <x:v>최희영</x:v>
      </x:c>
      <x:c r="F579" s="24" t="str">
        <x:v>2024-11</x:v>
      </x:c>
      <x:c r="G579" s="30" t="n">
        <x:v>45616</x:v>
      </x:c>
      <x:c r="H579" s="32" t="n">
        <x:v>990000</x:v>
      </x:c>
      <x:c r="I579" s="32" t="n">
        <x:v>990000</x:v>
      </x:c>
      <x:c r="J579" s="32" t="n">
        <x:v>0</x:v>
      </x:c>
      <x:c r="K579" s="30" t="n">
        <x:v>45622</x:v>
      </x:c>
      <x:c r="L579" s="24" t="str">
        <x:v>입금</x:v>
      </x:c>
      <x:c r="M579" s="31" t="n">
        <x:f>IF(AND(N579="미수",G579&lt;&gt;"",TODAY()&gt;G579),TODAY()-G579,0)</x:f>
        <x:v>0</x:v>
      </x:c>
      <x:c r="N579" s="24" t="str">
        <x:f>IF(J579&gt;0,"미수",IF(AND(H579&gt;0,I579&gt;=H579),"완납","미확인"))</x:f>
        <x:v>완납</x:v>
      </x:c>
      <x:c r="O579" s="31" t="n">
        <x:v>31</x:v>
      </x:c>
    </x:row>
    <x:row r="580" ht="17.25" customHeight="1">
      <x:c r="A580" s="24" t="str">
        <x:v>SW-B-265가2481-202410</x:v>
      </x:c>
      <x:c r="B580" s="24" t="str">
        <x:v>스위치플랜</x:v>
      </x:c>
      <x:c r="C580" s="24" t="str">
        <x:v>SW-C-265가2481-1-20240718-31</x:v>
      </x:c>
      <x:c r="D580" s="24" t="str">
        <x:v>265가2481</x:v>
      </x:c>
      <x:c r="E580" s="24" t="str">
        <x:v>최희영</x:v>
      </x:c>
      <x:c r="F580" s="24" t="str">
        <x:v>2024-10</x:v>
      </x:c>
      <x:c r="G580" s="30" t="n">
        <x:v>45585</x:v>
      </x:c>
      <x:c r="H580" s="32" t="n">
        <x:v>990000</x:v>
      </x:c>
      <x:c r="I580" s="32" t="n">
        <x:v>990000</x:v>
      </x:c>
      <x:c r="J580" s="32" t="n">
        <x:v>0</x:v>
      </x:c>
      <x:c r="K580" s="30" t="n">
        <x:v>45586</x:v>
      </x:c>
      <x:c r="L580" s="24" t="str">
        <x:v>자동</x:v>
      </x:c>
      <x:c r="M580" s="31" t="n">
        <x:f>IF(AND(N580="미수",G580&lt;&gt;"",TODAY()&gt;G580),TODAY()-G580,0)</x:f>
        <x:v>0</x:v>
      </x:c>
      <x:c r="N580" s="24" t="str">
        <x:f>IF(J580&gt;0,"미수",IF(AND(H580&gt;0,I580&gt;=H580),"완납","미확인"))</x:f>
        <x:v>완납</x:v>
      </x:c>
      <x:c r="O580" s="31" t="n">
        <x:v>31</x:v>
      </x:c>
    </x:row>
    <x:row r="581" ht="17.25" customHeight="1">
      <x:c r="A581" s="24" t="str">
        <x:v>SW-B-265가2481-202409</x:v>
      </x:c>
      <x:c r="B581" s="24" t="str">
        <x:v>스위치플랜</x:v>
      </x:c>
      <x:c r="C581" s="24" t="str">
        <x:v>SW-C-265가2481-1-20240718-31</x:v>
      </x:c>
      <x:c r="D581" s="24" t="str">
        <x:v>265가2481</x:v>
      </x:c>
      <x:c r="E581" s="24" t="str">
        <x:v>최희영</x:v>
      </x:c>
      <x:c r="F581" s="24" t="str">
        <x:v>2024-09</x:v>
      </x:c>
      <x:c r="G581" s="30" t="n">
        <x:v>45555</x:v>
      </x:c>
      <x:c r="H581" s="32" t="n">
        <x:v>990000</x:v>
      </x:c>
      <x:c r="I581" s="32" t="n">
        <x:v>990000</x:v>
      </x:c>
      <x:c r="J581" s="32" t="n">
        <x:v>0</x:v>
      </x:c>
      <x:c r="K581" s="30" t="n">
        <x:v>45555</x:v>
      </x:c>
      <x:c r="L581" s="24" t="str">
        <x:v>자동</x:v>
      </x:c>
      <x:c r="M581" s="31" t="n">
        <x:f>IF(AND(N581="미수",G581&lt;&gt;"",TODAY()&gt;G581),TODAY()-G581,0)</x:f>
        <x:v>0</x:v>
      </x:c>
      <x:c r="N581" s="24" t="str">
        <x:f>IF(J581&gt;0,"미수",IF(AND(H581&gt;0,I581&gt;=H581),"완납","미확인"))</x:f>
        <x:v>완납</x:v>
      </x:c>
      <x:c r="O581" s="31" t="n">
        <x:v>31</x:v>
      </x:c>
    </x:row>
    <x:row r="582" ht="17.25" customHeight="1">
      <x:c r="A582" s="24" t="str">
        <x:v>SW-B-265가2481-202408</x:v>
      </x:c>
      <x:c r="B582" s="24" t="str">
        <x:v>스위치플랜</x:v>
      </x:c>
      <x:c r="C582" s="24" t="str">
        <x:v>SW-C-265가2481-1-20240718-31</x:v>
      </x:c>
      <x:c r="D582" s="24" t="str">
        <x:v>265가2481</x:v>
      </x:c>
      <x:c r="E582" s="24" t="str">
        <x:v>최희영</x:v>
      </x:c>
      <x:c r="F582" s="24" t="str">
        <x:v>2024-08</x:v>
      </x:c>
      <x:c r="G582" s="30" t="n">
        <x:v>45524</x:v>
      </x:c>
      <x:c r="H582" s="32" t="n">
        <x:v>990000</x:v>
      </x:c>
      <x:c r="I582" s="32" t="n">
        <x:v>990000</x:v>
      </x:c>
      <x:c r="J582" s="32" t="n">
        <x:v>0</x:v>
      </x:c>
      <x:c r="K582" s="30" t="n">
        <x:v>45524</x:v>
      </x:c>
      <x:c r="L582" s="24" t="str">
        <x:v>입금</x:v>
      </x:c>
      <x:c r="M582" s="31" t="n">
        <x:f>IF(AND(N582="미수",G582&lt;&gt;"",TODAY()&gt;G582),TODAY()-G582,0)</x:f>
        <x:v>0</x:v>
      </x:c>
      <x:c r="N582" s="24" t="str">
        <x:f>IF(J582&gt;0,"미수",IF(AND(H582&gt;0,I582&gt;=H582),"완납","미확인"))</x:f>
        <x:v>완납</x:v>
      </x:c>
      <x:c r="O582" s="31" t="n">
        <x:v>31</x:v>
      </x:c>
    </x:row>
    <x:row r="583" ht="17.25" customHeight="1">
      <x:c r="A583" s="24" t="str">
        <x:v>SW-B-265가2481-202407</x:v>
      </x:c>
      <x:c r="B583" s="24" t="str">
        <x:v>스위치플랜</x:v>
      </x:c>
      <x:c r="C583" s="24" t="str">
        <x:v>SW-C-265가2481-1-20240718-31</x:v>
      </x:c>
      <x:c r="D583" s="24" t="str">
        <x:v>265가2481</x:v>
      </x:c>
      <x:c r="E583" s="24" t="str">
        <x:v>최희영</x:v>
      </x:c>
      <x:c r="F583" s="24" t="str">
        <x:v>2024-07</x:v>
      </x:c>
      <x:c r="G583" s="30" t="n">
        <x:v>45493</x:v>
      </x:c>
      <x:c r="H583" s="32" t="n">
        <x:v>990000</x:v>
      </x:c>
      <x:c r="I583" s="32" t="n">
        <x:v>990000</x:v>
      </x:c>
      <x:c r="J583" s="32" t="n">
        <x:v>0</x:v>
      </x:c>
      <x:c r="K583" s="30" t="n">
        <x:v>45483</x:v>
      </x:c>
      <x:c r="L583" s="24" t="str">
        <x:v>입금</x:v>
      </x:c>
      <x:c r="M583" s="31" t="n">
        <x:f>IF(AND(N583="미수",G583&lt;&gt;"",TODAY()&gt;G583),TODAY()-G583,0)</x:f>
        <x:v>0</x:v>
      </x:c>
      <x:c r="N583" s="24" t="str">
        <x:f>IF(J583&gt;0,"미수",IF(AND(H583&gt;0,I583&gt;=H583),"완납","미확인"))</x:f>
        <x:v>완납</x:v>
      </x:c>
      <x:c r="O583" s="31" t="n">
        <x:v>31</x:v>
      </x:c>
    </x:row>
    <x:row r="584" ht="17.25" customHeight="1">
      <x:c r="A584" s="24" t="str">
        <x:v>SW-B-30어1926-202608</x:v>
      </x:c>
      <x:c r="B584" s="24" t="str">
        <x:v>스위치플랜</x:v>
      </x:c>
      <x:c r="C584" s="24" t="str">
        <x:v>SW-C-30어1926-1-20250804-32</x:v>
      </x:c>
      <x:c r="D584" s="24" t="str">
        <x:v>30어1926</x:v>
      </x:c>
      <x:c r="E584" s="24" t="str">
        <x:v>광명건설</x:v>
      </x:c>
      <x:c r="F584" s="24" t="str">
        <x:v>2026-08</x:v>
      </x:c>
      <x:c r="G584" s="30" t="n">
        <x:v>46249</x:v>
      </x:c>
      <x:c r="H584" s="32" t="n">
        <x:v>1080000</x:v>
      </x:c>
      <x:c r="I584" s="32"/>
      <x:c r="J584" s="32" t="n">
        <x:v>1080000</x:v>
      </x:c>
      <x:c r="K584" s="30"/>
      <x:c r="L584" s="24" t="str"/>
      <x:c r="M584" s="31" t="n">
        <x:f>IF(AND(N584="미수",G584&lt;&gt;"",TODAY()&gt;G584),TODAY()-G584,0)</x:f>
        <x:v>0</x:v>
      </x:c>
      <x:c r="N584" s="24" t="str">
        <x:f>IF(J584&gt;0,"미수",IF(AND(H584&gt;0,I584&gt;=H584),"완납","미확인"))</x:f>
        <x:v>미수</x:v>
      </x:c>
      <x:c r="O584" s="31" t="n">
        <x:v>32</x:v>
      </x:c>
    </x:row>
    <x:row r="585" ht="17.25" customHeight="1">
      <x:c r="A585" s="24" t="str">
        <x:v>SW-B-30어1926-202607</x:v>
      </x:c>
      <x:c r="B585" s="24" t="str">
        <x:v>스위치플랜</x:v>
      </x:c>
      <x:c r="C585" s="24" t="str">
        <x:v>SW-C-30어1926-1-20250804-32</x:v>
      </x:c>
      <x:c r="D585" s="24" t="str">
        <x:v>30어1926</x:v>
      </x:c>
      <x:c r="E585" s="24" t="str">
        <x:v>광명건설</x:v>
      </x:c>
      <x:c r="F585" s="24" t="str">
        <x:v>2026-07</x:v>
      </x:c>
      <x:c r="G585" s="30" t="n">
        <x:v>46218</x:v>
      </x:c>
      <x:c r="H585" s="32" t="n">
        <x:v>1080000</x:v>
      </x:c>
      <x:c r="I585" s="32" t="n">
        <x:v>1080000</x:v>
      </x:c>
      <x:c r="J585" s="32" t="n">
        <x:v>0</x:v>
      </x:c>
      <x:c r="K585" s="30" t="n">
        <x:v>46220</x:v>
      </x:c>
      <x:c r="L585" s="24" t="str">
        <x:v>입금</x:v>
      </x:c>
      <x:c r="M585" s="31" t="n">
        <x:f>IF(AND(N585="미수",G585&lt;&gt;"",TODAY()&gt;G585),TODAY()-G585,0)</x:f>
        <x:v>0</x:v>
      </x:c>
      <x:c r="N585" s="24" t="str">
        <x:f>IF(J585&gt;0,"미수",IF(AND(H585&gt;0,I585&gt;=H585),"완납","미확인"))</x:f>
        <x:v>완납</x:v>
      </x:c>
      <x:c r="O585" s="31" t="n">
        <x:v>32</x:v>
      </x:c>
    </x:row>
    <x:row r="586" ht="17.25" customHeight="1">
      <x:c r="A586" s="24" t="str">
        <x:v>SW-B-30어1926-202606</x:v>
      </x:c>
      <x:c r="B586" s="24" t="str">
        <x:v>스위치플랜</x:v>
      </x:c>
      <x:c r="C586" s="24" t="str">
        <x:v>SW-C-30어1926-1-20250804-32</x:v>
      </x:c>
      <x:c r="D586" s="24" t="str">
        <x:v>30어1926</x:v>
      </x:c>
      <x:c r="E586" s="24" t="str">
        <x:v>광명건설</x:v>
      </x:c>
      <x:c r="F586" s="24" t="str">
        <x:v>2026-06</x:v>
      </x:c>
      <x:c r="G586" s="30" t="n">
        <x:v>46188</x:v>
      </x:c>
      <x:c r="H586" s="32" t="n">
        <x:v>1080000</x:v>
      </x:c>
      <x:c r="I586" s="32" t="n">
        <x:v>1080000</x:v>
      </x:c>
      <x:c r="J586" s="32" t="n">
        <x:v>0</x:v>
      </x:c>
      <x:c r="K586" s="30" t="n">
        <x:v>46191</x:v>
      </x:c>
      <x:c r="L586" s="24" t="str">
        <x:v>입금</x:v>
      </x:c>
      <x:c r="M586" s="31" t="n">
        <x:f>IF(AND(N586="미수",G586&lt;&gt;"",TODAY()&gt;G586),TODAY()-G586,0)</x:f>
        <x:v>0</x:v>
      </x:c>
      <x:c r="N586" s="24" t="str">
        <x:f>IF(J586&gt;0,"미수",IF(AND(H586&gt;0,I586&gt;=H586),"완납","미확인"))</x:f>
        <x:v>완납</x:v>
      </x:c>
      <x:c r="O586" s="31" t="n">
        <x:v>32</x:v>
      </x:c>
    </x:row>
    <x:row r="587" ht="17.25" customHeight="1">
      <x:c r="A587" s="24" t="str">
        <x:v>SW-B-30어1926-202605</x:v>
      </x:c>
      <x:c r="B587" s="24" t="str">
        <x:v>스위치플랜</x:v>
      </x:c>
      <x:c r="C587" s="24" t="str">
        <x:v>SW-C-30어1926-1-20250804-32</x:v>
      </x:c>
      <x:c r="D587" s="24" t="str">
        <x:v>30어1926</x:v>
      </x:c>
      <x:c r="E587" s="24" t="str">
        <x:v>광명건설</x:v>
      </x:c>
      <x:c r="F587" s="24" t="str">
        <x:v>2026-05</x:v>
      </x:c>
      <x:c r="G587" s="30" t="n">
        <x:v>46157</x:v>
      </x:c>
      <x:c r="H587" s="32" t="n">
        <x:v>1080000</x:v>
      </x:c>
      <x:c r="I587" s="32" t="n">
        <x:v>1080000</x:v>
      </x:c>
      <x:c r="J587" s="32" t="n">
        <x:v>0</x:v>
      </x:c>
      <x:c r="K587" s="30" t="n">
        <x:v>46169</x:v>
      </x:c>
      <x:c r="L587" s="24" t="str">
        <x:v>입금</x:v>
      </x:c>
      <x:c r="M587" s="31" t="n">
        <x:f>IF(AND(N587="미수",G587&lt;&gt;"",TODAY()&gt;G587),TODAY()-G587,0)</x:f>
        <x:v>0</x:v>
      </x:c>
      <x:c r="N587" s="24" t="str">
        <x:f>IF(J587&gt;0,"미수",IF(AND(H587&gt;0,I587&gt;=H587),"완납","미확인"))</x:f>
        <x:v>완납</x:v>
      </x:c>
      <x:c r="O587" s="31" t="n">
        <x:v>32</x:v>
      </x:c>
    </x:row>
    <x:row r="588" ht="17.25" customHeight="1">
      <x:c r="A588" s="24" t="str">
        <x:v>SW-B-30어1926-202604</x:v>
      </x:c>
      <x:c r="B588" s="24" t="str">
        <x:v>스위치플랜</x:v>
      </x:c>
      <x:c r="C588" s="24" t="str">
        <x:v>SW-C-30어1926-1-20250804-32</x:v>
      </x:c>
      <x:c r="D588" s="24" t="str">
        <x:v>30어1926</x:v>
      </x:c>
      <x:c r="E588" s="24" t="str">
        <x:v>광명건설</x:v>
      </x:c>
      <x:c r="F588" s="24" t="str">
        <x:v>2026-04</x:v>
      </x:c>
      <x:c r="G588" s="30" t="n">
        <x:v>46127</x:v>
      </x:c>
      <x:c r="H588" s="32" t="n">
        <x:v>1080000</x:v>
      </x:c>
      <x:c r="I588" s="32" t="n">
        <x:v>1080000</x:v>
      </x:c>
      <x:c r="J588" s="32" t="n">
        <x:v>0</x:v>
      </x:c>
      <x:c r="K588" s="30" t="n">
        <x:v>46132</x:v>
      </x:c>
      <x:c r="L588" s="24" t="str">
        <x:v>입금</x:v>
      </x:c>
      <x:c r="M588" s="31" t="n">
        <x:f>IF(AND(N588="미수",G588&lt;&gt;"",TODAY()&gt;G588),TODAY()-G588,0)</x:f>
        <x:v>0</x:v>
      </x:c>
      <x:c r="N588" s="24" t="str">
        <x:f>IF(J588&gt;0,"미수",IF(AND(H588&gt;0,I588&gt;=H588),"완납","미확인"))</x:f>
        <x:v>완납</x:v>
      </x:c>
      <x:c r="O588" s="31" t="n">
        <x:v>32</x:v>
      </x:c>
    </x:row>
    <x:row r="589" ht="17.25" customHeight="1">
      <x:c r="A589" s="24" t="str">
        <x:v>SW-B-30어1926-202603</x:v>
      </x:c>
      <x:c r="B589" s="24" t="str">
        <x:v>스위치플랜</x:v>
      </x:c>
      <x:c r="C589" s="24" t="str">
        <x:v>SW-C-30어1926-1-20250804-32</x:v>
      </x:c>
      <x:c r="D589" s="24" t="str">
        <x:v>30어1926</x:v>
      </x:c>
      <x:c r="E589" s="24" t="str">
        <x:v>광명건설</x:v>
      </x:c>
      <x:c r="F589" s="24" t="str">
        <x:v>2026-03</x:v>
      </x:c>
      <x:c r="G589" s="30" t="n">
        <x:v>46096</x:v>
      </x:c>
      <x:c r="H589" s="32" t="n">
        <x:v>1080000</x:v>
      </x:c>
      <x:c r="I589" s="32" t="n">
        <x:v>1080000</x:v>
      </x:c>
      <x:c r="J589" s="32" t="n">
        <x:v>0</x:v>
      </x:c>
      <x:c r="K589" s="30" t="n">
        <x:v>46098</x:v>
      </x:c>
      <x:c r="L589" s="24" t="str">
        <x:v>입금</x:v>
      </x:c>
      <x:c r="M589" s="31" t="n">
        <x:f>IF(AND(N589="미수",G589&lt;&gt;"",TODAY()&gt;G589),TODAY()-G589,0)</x:f>
        <x:v>0</x:v>
      </x:c>
      <x:c r="N589" s="24" t="str">
        <x:f>IF(J589&gt;0,"미수",IF(AND(H589&gt;0,I589&gt;=H589),"완납","미확인"))</x:f>
        <x:v>완납</x:v>
      </x:c>
      <x:c r="O589" s="31" t="n">
        <x:v>32</x:v>
      </x:c>
    </x:row>
    <x:row r="590" ht="17.25" customHeight="1">
      <x:c r="A590" s="24" t="str">
        <x:v>SW-B-30어1926-202602</x:v>
      </x:c>
      <x:c r="B590" s="24" t="str">
        <x:v>스위치플랜</x:v>
      </x:c>
      <x:c r="C590" s="24" t="str">
        <x:v>SW-C-30어1926-1-20250804-32</x:v>
      </x:c>
      <x:c r="D590" s="24" t="str">
        <x:v>30어1926</x:v>
      </x:c>
      <x:c r="E590" s="24" t="str">
        <x:v>광명건설</x:v>
      </x:c>
      <x:c r="F590" s="24" t="str">
        <x:v>2026-02</x:v>
      </x:c>
      <x:c r="G590" s="30" t="n">
        <x:v>46068</x:v>
      </x:c>
      <x:c r="H590" s="32" t="n">
        <x:v>1080000</x:v>
      </x:c>
      <x:c r="I590" s="32" t="n">
        <x:v>1080000</x:v>
      </x:c>
      <x:c r="J590" s="32" t="n">
        <x:v>0</x:v>
      </x:c>
      <x:c r="K590" s="30" t="n">
        <x:v>46072</x:v>
      </x:c>
      <x:c r="L590" s="24" t="str">
        <x:v>입금</x:v>
      </x:c>
      <x:c r="M590" s="31" t="n">
        <x:f>IF(AND(N590="미수",G590&lt;&gt;"",TODAY()&gt;G590),TODAY()-G590,0)</x:f>
        <x:v>0</x:v>
      </x:c>
      <x:c r="N590" s="24" t="str">
        <x:f>IF(J590&gt;0,"미수",IF(AND(H590&gt;0,I590&gt;=H590),"완납","미확인"))</x:f>
        <x:v>완납</x:v>
      </x:c>
      <x:c r="O590" s="31" t="n">
        <x:v>32</x:v>
      </x:c>
    </x:row>
    <x:row r="591" ht="17.25" customHeight="1">
      <x:c r="A591" s="24" t="str">
        <x:v>SW-B-30어1926-202601</x:v>
      </x:c>
      <x:c r="B591" s="24" t="str">
        <x:v>스위치플랜</x:v>
      </x:c>
      <x:c r="C591" s="24" t="str">
        <x:v>SW-C-30어1926-1-20250804-32</x:v>
      </x:c>
      <x:c r="D591" s="24" t="str">
        <x:v>30어1926</x:v>
      </x:c>
      <x:c r="E591" s="24" t="str">
        <x:v>광명건설</x:v>
      </x:c>
      <x:c r="F591" s="24" t="str">
        <x:v>2026-01</x:v>
      </x:c>
      <x:c r="G591" s="30" t="n">
        <x:v>46037</x:v>
      </x:c>
      <x:c r="H591" s="32" t="n">
        <x:v>1080000</x:v>
      </x:c>
      <x:c r="I591" s="32" t="n">
        <x:v>1080000</x:v>
      </x:c>
      <x:c r="J591" s="32" t="n">
        <x:v>0</x:v>
      </x:c>
      <x:c r="K591" s="30" t="n">
        <x:v>46037</x:v>
      </x:c>
      <x:c r="L591" s="24" t="str">
        <x:v>입금</x:v>
      </x:c>
      <x:c r="M591" s="31" t="n">
        <x:f>IF(AND(N591="미수",G591&lt;&gt;"",TODAY()&gt;G591),TODAY()-G591,0)</x:f>
        <x:v>0</x:v>
      </x:c>
      <x:c r="N591" s="24" t="str">
        <x:f>IF(J591&gt;0,"미수",IF(AND(H591&gt;0,I591&gt;=H591),"완납","미확인"))</x:f>
        <x:v>완납</x:v>
      </x:c>
      <x:c r="O591" s="31" t="n">
        <x:v>32</x:v>
      </x:c>
    </x:row>
    <x:row r="592" ht="17.25" customHeight="1">
      <x:c r="A592" s="24" t="str">
        <x:v>SW-B-30어1926-202512</x:v>
      </x:c>
      <x:c r="B592" s="24" t="str">
        <x:v>스위치플랜</x:v>
      </x:c>
      <x:c r="C592" s="24" t="str">
        <x:v>SW-C-30어1926-1-20250804-32</x:v>
      </x:c>
      <x:c r="D592" s="24" t="str">
        <x:v>30어1926</x:v>
      </x:c>
      <x:c r="E592" s="24" t="str">
        <x:v>광명건설</x:v>
      </x:c>
      <x:c r="F592" s="24" t="str">
        <x:v>2025-12</x:v>
      </x:c>
      <x:c r="G592" s="30" t="n">
        <x:v>46006</x:v>
      </x:c>
      <x:c r="H592" s="32" t="n">
        <x:v>1260000</x:v>
      </x:c>
      <x:c r="I592" s="32" t="n">
        <x:v>1260000</x:v>
      </x:c>
      <x:c r="J592" s="32" t="n">
        <x:v>0</x:v>
      </x:c>
      <x:c r="K592" s="30" t="n">
        <x:v>46006</x:v>
      </x:c>
      <x:c r="L592" s="24" t="str">
        <x:v>입금</x:v>
      </x:c>
      <x:c r="M592" s="31" t="n">
        <x:f>IF(AND(N592="미수",G592&lt;&gt;"",TODAY()&gt;G592),TODAY()-G592,0)</x:f>
        <x:v>0</x:v>
      </x:c>
      <x:c r="N592" s="24" t="str">
        <x:f>IF(J592&gt;0,"미수",IF(AND(H592&gt;0,I592&gt;=H592),"완납","미확인"))</x:f>
        <x:v>완납</x:v>
      </x:c>
      <x:c r="O592" s="31" t="n">
        <x:v>32</x:v>
      </x:c>
    </x:row>
    <x:row r="593" ht="17.25" customHeight="1">
      <x:c r="A593" s="24" t="str">
        <x:v>SW-B-30어1926-202511</x:v>
      </x:c>
      <x:c r="B593" s="24" t="str">
        <x:v>스위치플랜</x:v>
      </x:c>
      <x:c r="C593" s="24" t="str">
        <x:v>SW-C-30어1926-1-20250804-32</x:v>
      </x:c>
      <x:c r="D593" s="24" t="str">
        <x:v>30어1926</x:v>
      </x:c>
      <x:c r="E593" s="24" t="str">
        <x:v>광명건설</x:v>
      </x:c>
      <x:c r="F593" s="24" t="str">
        <x:v>2025-11</x:v>
      </x:c>
      <x:c r="G593" s="30" t="n">
        <x:v>45976</x:v>
      </x:c>
      <x:c r="H593" s="32" t="n">
        <x:v>1080000</x:v>
      </x:c>
      <x:c r="I593" s="32" t="n">
        <x:v>1080000</x:v>
      </x:c>
      <x:c r="J593" s="32" t="n">
        <x:v>0</x:v>
      </x:c>
      <x:c r="K593" s="30" t="n">
        <x:v>45972</x:v>
      </x:c>
      <x:c r="L593" s="24" t="str">
        <x:v>입금</x:v>
      </x:c>
      <x:c r="M593" s="31" t="n">
        <x:f>IF(AND(N593="미수",G593&lt;&gt;"",TODAY()&gt;G593),TODAY()-G593,0)</x:f>
        <x:v>0</x:v>
      </x:c>
      <x:c r="N593" s="24" t="str">
        <x:f>IF(J593&gt;0,"미수",IF(AND(H593&gt;0,I593&gt;=H593),"완납","미확인"))</x:f>
        <x:v>완납</x:v>
      </x:c>
      <x:c r="O593" s="31" t="n">
        <x:v>32</x:v>
      </x:c>
    </x:row>
    <x:row r="594" ht="17.25" customHeight="1">
      <x:c r="A594" s="24" t="str">
        <x:v>SW-B-30어1926-202510</x:v>
      </x:c>
      <x:c r="B594" s="24" t="str">
        <x:v>스위치플랜</x:v>
      </x:c>
      <x:c r="C594" s="24" t="str">
        <x:v>SW-C-30어1926-1-20250804-32</x:v>
      </x:c>
      <x:c r="D594" s="24" t="str">
        <x:v>30어1926</x:v>
      </x:c>
      <x:c r="E594" s="24" t="str">
        <x:v>광명건설</x:v>
      </x:c>
      <x:c r="F594" s="24" t="str">
        <x:v>2025-10</x:v>
      </x:c>
      <x:c r="G594" s="30" t="n">
        <x:v>45945</x:v>
      </x:c>
      <x:c r="H594" s="32" t="n">
        <x:v>1080000</x:v>
      </x:c>
      <x:c r="I594" s="32" t="n">
        <x:v>1080000</x:v>
      </x:c>
      <x:c r="J594" s="32" t="n">
        <x:v>0</x:v>
      </x:c>
      <x:c r="K594" s="30" t="n">
        <x:v>45932</x:v>
      </x:c>
      <x:c r="L594" s="24" t="str">
        <x:v>입금</x:v>
      </x:c>
      <x:c r="M594" s="31" t="n">
        <x:f>IF(AND(N594="미수",G594&lt;&gt;"",TODAY()&gt;G594),TODAY()-G594,0)</x:f>
        <x:v>0</x:v>
      </x:c>
      <x:c r="N594" s="24" t="str">
        <x:f>IF(J594&gt;0,"미수",IF(AND(H594&gt;0,I594&gt;=H594),"완납","미확인"))</x:f>
        <x:v>완납</x:v>
      </x:c>
      <x:c r="O594" s="31" t="n">
        <x:v>32</x:v>
      </x:c>
    </x:row>
    <x:row r="595" ht="17.25" customHeight="1">
      <x:c r="A595" s="24" t="str">
        <x:v>SW-B-30어1926-202509</x:v>
      </x:c>
      <x:c r="B595" s="24" t="str">
        <x:v>스위치플랜</x:v>
      </x:c>
      <x:c r="C595" s="24" t="str">
        <x:v>SW-C-30어1926-1-20250804-32</x:v>
      </x:c>
      <x:c r="D595" s="24" t="str">
        <x:v>30어1926</x:v>
      </x:c>
      <x:c r="E595" s="24" t="str">
        <x:v>광명건설</x:v>
      </x:c>
      <x:c r="F595" s="24" t="str">
        <x:v>2025-09</x:v>
      </x:c>
      <x:c r="G595" s="30" t="n">
        <x:v>45915</x:v>
      </x:c>
      <x:c r="H595" s="32" t="n">
        <x:v>1080000</x:v>
      </x:c>
      <x:c r="I595" s="32" t="n">
        <x:v>1080000</x:v>
      </x:c>
      <x:c r="J595" s="32" t="n">
        <x:v>0</x:v>
      </x:c>
      <x:c r="K595" s="30" t="n">
        <x:v>45904</x:v>
      </x:c>
      <x:c r="L595" s="24" t="str">
        <x:v>입금</x:v>
      </x:c>
      <x:c r="M595" s="31" t="n">
        <x:f>IF(AND(N595="미수",G595&lt;&gt;"",TODAY()&gt;G595),TODAY()-G595,0)</x:f>
        <x:v>0</x:v>
      </x:c>
      <x:c r="N595" s="24" t="str">
        <x:f>IF(J595&gt;0,"미수",IF(AND(H595&gt;0,I595&gt;=H595),"완납","미확인"))</x:f>
        <x:v>완납</x:v>
      </x:c>
      <x:c r="O595" s="31" t="n">
        <x:v>32</x:v>
      </x:c>
    </x:row>
    <x:row r="596" ht="17.25" customHeight="1">
      <x:c r="A596" s="24" t="str">
        <x:v>SW-B-30어1926-202508</x:v>
      </x:c>
      <x:c r="B596" s="24" t="str">
        <x:v>스위치플랜</x:v>
      </x:c>
      <x:c r="C596" s="24" t="str">
        <x:v>SW-C-30어1926-1-20250804-32</x:v>
      </x:c>
      <x:c r="D596" s="24" t="str">
        <x:v>30어1926</x:v>
      </x:c>
      <x:c r="E596" s="24" t="str">
        <x:v>광명건설</x:v>
      </x:c>
      <x:c r="F596" s="24" t="str">
        <x:v>2025-08</x:v>
      </x:c>
      <x:c r="G596" s="30" t="n">
        <x:v>45884</x:v>
      </x:c>
      <x:c r="H596" s="32" t="n">
        <x:v>1080000</x:v>
      </x:c>
      <x:c r="I596" s="32" t="n">
        <x:v>1080000</x:v>
      </x:c>
      <x:c r="J596" s="32" t="n">
        <x:v>0</x:v>
      </x:c>
      <x:c r="K596" s="30" t="n">
        <x:v>45873</x:v>
      </x:c>
      <x:c r="L596" s="24" t="str">
        <x:v>입금</x:v>
      </x:c>
      <x:c r="M596" s="31" t="n">
        <x:f>IF(AND(N596="미수",G596&lt;&gt;"",TODAY()&gt;G596),TODAY()-G596,0)</x:f>
        <x:v>0</x:v>
      </x:c>
      <x:c r="N596" s="24" t="str">
        <x:f>IF(J596&gt;0,"미수",IF(AND(H596&gt;0,I596&gt;=H596),"완납","미확인"))</x:f>
        <x:v>완납</x:v>
      </x:c>
      <x:c r="O596" s="31" t="n">
        <x:v>32</x:v>
      </x:c>
    </x:row>
    <x:row r="597" ht="17.25" customHeight="1">
      <x:c r="A597" s="24" t="str">
        <x:v>SW-B-30어1926-202507</x:v>
      </x:c>
      <x:c r="B597" s="24" t="str">
        <x:v>스위치플랜</x:v>
      </x:c>
      <x:c r="C597" s="24" t="str">
        <x:v>SW-C-30어1926-2-20250212-32</x:v>
      </x:c>
      <x:c r="D597" s="24" t="str">
        <x:v>30어1926</x:v>
      </x:c>
      <x:c r="E597" s="24" t="str">
        <x:v>광명건설</x:v>
      </x:c>
      <x:c r="F597" s="24" t="str">
        <x:v>2025-07</x:v>
      </x:c>
      <x:c r="G597" s="30" t="n">
        <x:v>45853</x:v>
      </x:c>
      <x:c r="H597" s="32"/>
      <x:c r="I597" s="32"/>
      <x:c r="J597" s="32" t="n">
        <x:v>0</x:v>
      </x:c>
      <x:c r="K597" s="30"/>
      <x:c r="L597" s="24" t="str"/>
      <x:c r="M597" s="31" t="n">
        <x:f>IF(AND(N597="미수",G597&lt;&gt;"",TODAY()&gt;G597),TODAY()-G597,0)</x:f>
        <x:v>0</x:v>
      </x:c>
      <x:c r="N597" s="24" t="str">
        <x:f>IF(J597&gt;0,"미수",IF(AND(H597&gt;0,I597&gt;=H597),"완납","미확인"))</x:f>
        <x:v>미확인</x:v>
      </x:c>
      <x:c r="O597" s="31" t="n">
        <x:v>32</x:v>
      </x:c>
    </x:row>
    <x:row r="598" ht="17.25" customHeight="1">
      <x:c r="A598" s="24" t="str">
        <x:v>SW-B-30어1926-202506</x:v>
      </x:c>
      <x:c r="B598" s="24" t="str">
        <x:v>스위치플랜</x:v>
      </x:c>
      <x:c r="C598" s="24" t="str">
        <x:v>SW-C-30어1926-2-20250212-32</x:v>
      </x:c>
      <x:c r="D598" s="24" t="str">
        <x:v>30어1926</x:v>
      </x:c>
      <x:c r="E598" s="24" t="str">
        <x:v>광명건설</x:v>
      </x:c>
      <x:c r="F598" s="24" t="str">
        <x:v>2025-06</x:v>
      </x:c>
      <x:c r="G598" s="30" t="n">
        <x:v>45823</x:v>
      </x:c>
      <x:c r="H598" s="32" t="n">
        <x:v>980000</x:v>
      </x:c>
      <x:c r="I598" s="32" t="n">
        <x:v>980000</x:v>
      </x:c>
      <x:c r="J598" s="32" t="n">
        <x:v>-30000</x:v>
      </x:c>
      <x:c r="K598" s="30" t="n">
        <x:v>45823</x:v>
      </x:c>
      <x:c r="L598" s="24" t="str">
        <x:v>입금</x:v>
      </x:c>
      <x:c r="M598" s="31" t="n">
        <x:f>IF(AND(N598="미수",G598&lt;&gt;"",TODAY()&gt;G598),TODAY()-G598,0)</x:f>
        <x:v>0</x:v>
      </x:c>
      <x:c r="N598" s="24" t="str">
        <x:f>IF(J598&gt;0,"미수",IF(AND(H598&gt;0,I598&gt;=H598),"완납","미확인"))</x:f>
        <x:v>완납</x:v>
      </x:c>
      <x:c r="O598" s="31" t="n">
        <x:v>32</x:v>
      </x:c>
    </x:row>
    <x:row r="599" ht="17.25" customHeight="1">
      <x:c r="A599" s="24" t="str">
        <x:v>SW-B-30어1926-202505</x:v>
      </x:c>
      <x:c r="B599" s="24" t="str">
        <x:v>스위치플랜</x:v>
      </x:c>
      <x:c r="C599" s="24" t="str">
        <x:v>SW-C-30어1926-2-20250212-32</x:v>
      </x:c>
      <x:c r="D599" s="24" t="str">
        <x:v>30어1926</x:v>
      </x:c>
      <x:c r="E599" s="24" t="str">
        <x:v>광명건설</x:v>
      </x:c>
      <x:c r="F599" s="24" t="str">
        <x:v>2025-05</x:v>
      </x:c>
      <x:c r="G599" s="30" t="n">
        <x:v>45792</x:v>
      </x:c>
      <x:c r="H599" s="32" t="n">
        <x:v>950000</x:v>
      </x:c>
      <x:c r="I599" s="32" t="n">
        <x:v>980000</x:v>
      </x:c>
      <x:c r="J599" s="32" t="n">
        <x:v>-30000</x:v>
      </x:c>
      <x:c r="K599" s="30" t="n">
        <x:v>45792</x:v>
      </x:c>
      <x:c r="L599" s="24" t="str">
        <x:v>입금</x:v>
      </x:c>
      <x:c r="M599" s="31" t="n">
        <x:f>IF(AND(N599="미수",G599&lt;&gt;"",TODAY()&gt;G599),TODAY()-G599,0)</x:f>
        <x:v>0</x:v>
      </x:c>
      <x:c r="N599" s="24" t="str">
        <x:f>IF(J599&gt;0,"미수",IF(AND(H599&gt;0,I599&gt;=H599),"완납","미확인"))</x:f>
        <x:v>완납</x:v>
      </x:c>
      <x:c r="O599" s="31" t="n">
        <x:v>32</x:v>
      </x:c>
    </x:row>
    <x:row r="600" ht="17.25" customHeight="1">
      <x:c r="A600" s="24" t="str">
        <x:v>SW-B-30어1926-202504</x:v>
      </x:c>
      <x:c r="B600" s="24" t="str">
        <x:v>스위치플랜</x:v>
      </x:c>
      <x:c r="C600" s="24" t="str">
        <x:v>SW-C-30어1926-2-20250212-32</x:v>
      </x:c>
      <x:c r="D600" s="24" t="str">
        <x:v>30어1926</x:v>
      </x:c>
      <x:c r="E600" s="24" t="str">
        <x:v>광명건설</x:v>
      </x:c>
      <x:c r="F600" s="24" t="str">
        <x:v>2025-04</x:v>
      </x:c>
      <x:c r="G600" s="30" t="n">
        <x:v>45762</x:v>
      </x:c>
      <x:c r="H600" s="32" t="n">
        <x:v>980000</x:v>
      </x:c>
      <x:c r="I600" s="32" t="n">
        <x:v>980000</x:v>
      </x:c>
      <x:c r="J600" s="32" t="n">
        <x:v>0</x:v>
      </x:c>
      <x:c r="K600" s="30" t="n">
        <x:v>45777</x:v>
      </x:c>
      <x:c r="L600" s="24" t="str">
        <x:v>입금</x:v>
      </x:c>
      <x:c r="M600" s="31" t="n">
        <x:f>IF(AND(N600="미수",G600&lt;&gt;"",TODAY()&gt;G600),TODAY()-G600,0)</x:f>
        <x:v>0</x:v>
      </x:c>
      <x:c r="N600" s="24" t="str">
        <x:f>IF(J600&gt;0,"미수",IF(AND(H600&gt;0,I600&gt;=H600),"완납","미확인"))</x:f>
        <x:v>완납</x:v>
      </x:c>
      <x:c r="O600" s="31" t="n">
        <x:v>32</x:v>
      </x:c>
    </x:row>
    <x:row r="601" ht="17.25" customHeight="1">
      <x:c r="A601" s="24" t="str">
        <x:v>SW-B-30어1926-202503</x:v>
      </x:c>
      <x:c r="B601" s="24" t="str">
        <x:v>스위치플랜</x:v>
      </x:c>
      <x:c r="C601" s="24" t="str">
        <x:v>SW-C-30어1926-2-20250212-32</x:v>
      </x:c>
      <x:c r="D601" s="24" t="str">
        <x:v>30어1926</x:v>
      </x:c>
      <x:c r="E601" s="24" t="str">
        <x:v>광명건설</x:v>
      </x:c>
      <x:c r="F601" s="24" t="str">
        <x:v>2025-03</x:v>
      </x:c>
      <x:c r="G601" s="30" t="n">
        <x:v>45731</x:v>
      </x:c>
      <x:c r="H601" s="32" t="n">
        <x:v>980000</x:v>
      </x:c>
      <x:c r="I601" s="32" t="n">
        <x:v>980000</x:v>
      </x:c>
      <x:c r="J601" s="32" t="n">
        <x:v>0</x:v>
      </x:c>
      <x:c r="K601" s="30" t="n">
        <x:v>45728</x:v>
      </x:c>
      <x:c r="L601" s="24" t="str">
        <x:v>입금</x:v>
      </x:c>
      <x:c r="M601" s="31" t="n">
        <x:f>IF(AND(N601="미수",G601&lt;&gt;"",TODAY()&gt;G601),TODAY()-G601,0)</x:f>
        <x:v>0</x:v>
      </x:c>
      <x:c r="N601" s="24" t="str">
        <x:f>IF(J601&gt;0,"미수",IF(AND(H601&gt;0,I601&gt;=H601),"완납","미확인"))</x:f>
        <x:v>완납</x:v>
      </x:c>
      <x:c r="O601" s="31" t="n">
        <x:v>32</x:v>
      </x:c>
    </x:row>
    <x:row r="602" ht="17.25" customHeight="1">
      <x:c r="A602" s="24" t="str">
        <x:v>SW-B-30어1926-202502</x:v>
      </x:c>
      <x:c r="B602" s="24" t="str">
        <x:v>스위치플랜</x:v>
      </x:c>
      <x:c r="C602" s="24" t="str">
        <x:v>SW-C-30어1926-2-20250212-32</x:v>
      </x:c>
      <x:c r="D602" s="24" t="str">
        <x:v>30어1926</x:v>
      </x:c>
      <x:c r="E602" s="24" t="str">
        <x:v>광명건설</x:v>
      </x:c>
      <x:c r="F602" s="24" t="str">
        <x:v>2025-02</x:v>
      </x:c>
      <x:c r="G602" s="30" t="n">
        <x:v>45703</x:v>
      </x:c>
      <x:c r="H602" s="32" t="n">
        <x:v>980000</x:v>
      </x:c>
      <x:c r="I602" s="32" t="n">
        <x:v>980000</x:v>
      </x:c>
      <x:c r="J602" s="32" t="n">
        <x:v>0</x:v>
      </x:c>
      <x:c r="K602" s="30" t="n">
        <x:v>45698</x:v>
      </x:c>
      <x:c r="L602" s="24" t="str">
        <x:v>입금</x:v>
      </x:c>
      <x:c r="M602" s="31" t="n">
        <x:f>IF(AND(N602="미수",G602&lt;&gt;"",TODAY()&gt;G602),TODAY()-G602,0)</x:f>
        <x:v>0</x:v>
      </x:c>
      <x:c r="N602" s="24" t="str">
        <x:f>IF(J602&gt;0,"미수",IF(AND(H602&gt;0,I602&gt;=H602),"완납","미확인"))</x:f>
        <x:v>완납</x:v>
      </x:c>
      <x:c r="O602" s="31" t="n">
        <x:v>32</x:v>
      </x:c>
    </x:row>
    <x:row r="603" ht="17.25" customHeight="1">
      <x:c r="A603" s="24" t="str">
        <x:v>SW-B-172수8945-202608</x:v>
      </x:c>
      <x:c r="B603" s="24" t="str">
        <x:v>스위치플랜</x:v>
      </x:c>
      <x:c r="C603" s="24" t="str">
        <x:v>SW-C-172수8945-1-20260528-33</x:v>
      </x:c>
      <x:c r="D603" s="24" t="str">
        <x:v>172수8945</x:v>
      </x:c>
      <x:c r="E603" s="24" t="str">
        <x:v>박형주</x:v>
      </x:c>
      <x:c r="F603" s="24" t="str">
        <x:v>2026-08</x:v>
      </x:c>
      <x:c r="G603" s="30" t="n">
        <x:v>46259</x:v>
      </x:c>
      <x:c r="H603" s="32" t="n">
        <x:v>780000</x:v>
      </x:c>
      <x:c r="I603" s="32"/>
      <x:c r="J603" s="32" t="n">
        <x:v>680000</x:v>
      </x:c>
      <x:c r="K603" s="30"/>
      <x:c r="L603" s="24" t="str"/>
      <x:c r="M603" s="31" t="n">
        <x:f>IF(AND(N603="미수",G603&lt;&gt;"",TODAY()&gt;G603),TODAY()-G603,0)</x:f>
        <x:v>0</x:v>
      </x:c>
      <x:c r="N603" s="24" t="str">
        <x:f>IF(J603&gt;0,"미수",IF(AND(H603&gt;0,I603&gt;=H603),"완납","미확인"))</x:f>
        <x:v>미수</x:v>
      </x:c>
      <x:c r="O603" s="31" t="n">
        <x:v>33</x:v>
      </x:c>
    </x:row>
    <x:row r="604" ht="17.25" customHeight="1">
      <x:c r="A604" s="24" t="str">
        <x:v>SW-B-172수8945-202607</x:v>
      </x:c>
      <x:c r="B604" s="24" t="str">
        <x:v>스위치플랜</x:v>
      </x:c>
      <x:c r="C604" s="24" t="str">
        <x:v>SW-C-172수8945-1-20260528-33</x:v>
      </x:c>
      <x:c r="D604" s="24" t="str">
        <x:v>172수8945</x:v>
      </x:c>
      <x:c r="E604" s="24" t="str">
        <x:v>박형주</x:v>
      </x:c>
      <x:c r="F604" s="24" t="str">
        <x:v>2026-07</x:v>
      </x:c>
      <x:c r="G604" s="30" t="n">
        <x:v>46228</x:v>
      </x:c>
      <x:c r="H604" s="32" t="n">
        <x:v>780000</x:v>
      </x:c>
      <x:c r="I604" s="32" t="n">
        <x:v>780000</x:v>
      </x:c>
      <x:c r="J604" s="32" t="n">
        <x:v>-100000</x:v>
      </x:c>
      <x:c r="K604" s="30" t="n">
        <x:v>46220</x:v>
      </x:c>
      <x:c r="L604" s="24" t="str">
        <x:v>입금</x:v>
      </x:c>
      <x:c r="M604" s="31" t="n">
        <x:f>IF(AND(N604="미수",G604&lt;&gt;"",TODAY()&gt;G604),TODAY()-G604,0)</x:f>
        <x:v>0</x:v>
      </x:c>
      <x:c r="N604" s="24" t="str">
        <x:f>IF(J604&gt;0,"미수",IF(AND(H604&gt;0,I604&gt;=H604),"완납","미확인"))</x:f>
        <x:v>완납</x:v>
      </x:c>
      <x:c r="O604" s="31" t="n">
        <x:v>33</x:v>
      </x:c>
    </x:row>
    <x:row r="605" ht="17.25" customHeight="1">
      <x:c r="A605" s="24" t="str">
        <x:v>SW-B-172수8945-202606</x:v>
      </x:c>
      <x:c r="B605" s="24" t="str">
        <x:v>스위치플랜</x:v>
      </x:c>
      <x:c r="C605" s="24" t="str">
        <x:v>SW-C-172수8945-1-20260528-33</x:v>
      </x:c>
      <x:c r="D605" s="24" t="str">
        <x:v>172수8945</x:v>
      </x:c>
      <x:c r="E605" s="24" t="str">
        <x:v>박형주</x:v>
      </x:c>
      <x:c r="F605" s="24" t="str">
        <x:v>2026-06</x:v>
      </x:c>
      <x:c r="G605" s="30" t="n">
        <x:v>46198</x:v>
      </x:c>
      <x:c r="H605" s="32" t="n">
        <x:v>780000</x:v>
      </x:c>
      <x:c r="I605" s="32" t="n">
        <x:v>780000</x:v>
      </x:c>
      <x:c r="J605" s="32" t="n">
        <x:v>-100000</x:v>
      </x:c>
      <x:c r="K605" s="30" t="n">
        <x:v>46190</x:v>
      </x:c>
      <x:c r="L605" s="24" t="str">
        <x:v>입금</x:v>
      </x:c>
      <x:c r="M605" s="31" t="n">
        <x:f>IF(AND(N605="미수",G605&lt;&gt;"",TODAY()&gt;G605),TODAY()-G605,0)</x:f>
        <x:v>0</x:v>
      </x:c>
      <x:c r="N605" s="24" t="str">
        <x:f>IF(J605&gt;0,"미수",IF(AND(H605&gt;0,I605&gt;=H605),"완납","미확인"))</x:f>
        <x:v>완납</x:v>
      </x:c>
      <x:c r="O605" s="31" t="n">
        <x:v>33</x:v>
      </x:c>
    </x:row>
    <x:row r="606" ht="17.25" customHeight="1">
      <x:c r="A606" s="24" t="str">
        <x:v>SW-B-172수8945-202605</x:v>
      </x:c>
      <x:c r="B606" s="24" t="str">
        <x:v>스위치플랜</x:v>
      </x:c>
      <x:c r="C606" s="24" t="str">
        <x:v>SW-C-172수8945-1-20260528-33</x:v>
      </x:c>
      <x:c r="D606" s="24" t="str">
        <x:v>172수8945</x:v>
      </x:c>
      <x:c r="E606" s="24" t="str">
        <x:v>박형주</x:v>
      </x:c>
      <x:c r="F606" s="24" t="str">
        <x:v>2026-05</x:v>
      </x:c>
      <x:c r="G606" s="30" t="n">
        <x:v>46167</x:v>
      </x:c>
      <x:c r="H606" s="32" t="n">
        <x:v>0</x:v>
      </x:c>
      <x:c r="I606" s="32" t="n">
        <x:v>100000</x:v>
      </x:c>
      <x:c r="J606" s="32" t="n">
        <x:v>-100000</x:v>
      </x:c>
      <x:c r="K606" s="30" t="n">
        <x:v>46160</x:v>
      </x:c>
      <x:c r="L606" s="24" t="str">
        <x:v>입금</x:v>
      </x:c>
      <x:c r="M606" s="31" t="n">
        <x:f>IF(AND(N606="미수",G606&lt;&gt;"",TODAY()&gt;G606),TODAY()-G606,0)</x:f>
        <x:v>0</x:v>
      </x:c>
      <x:c r="N606" s="24" t="str">
        <x:f>IF(J606&gt;0,"미수",IF(AND(H606&gt;0,I606&gt;=H606),"완납","미확인"))</x:f>
        <x:v>미확인</x:v>
      </x:c>
      <x:c r="O606" s="31" t="n">
        <x:v>33</x:v>
      </x:c>
    </x:row>
    <x:row r="607" ht="17.25" customHeight="1">
      <x:c r="A607" s="24" t="str">
        <x:v>SW-B-172수8945-202604</x:v>
      </x:c>
      <x:c r="B607" s="24" t="str">
        <x:v>스위치플랜</x:v>
      </x:c>
      <x:c r="C607" s="24" t="str">
        <x:v>SW-C-172수8945-2-20250521-33</x:v>
      </x:c>
      <x:c r="D607" s="24" t="str">
        <x:v>172수8945</x:v>
      </x:c>
      <x:c r="E607" s="24" t="str">
        <x:v>박형주</x:v>
      </x:c>
      <x:c r="F607" s="24" t="str">
        <x:v>2026-04</x:v>
      </x:c>
      <x:c r="G607" s="30" t="n">
        <x:v>46137</x:v>
      </x:c>
      <x:c r="H607" s="32" t="n">
        <x:v>0</x:v>
      </x:c>
      <x:c r="I607" s="32"/>
      <x:c r="J607" s="32" t="n">
        <x:v>0</x:v>
      </x:c>
      <x:c r="K607" s="30"/>
      <x:c r="L607" s="24" t="str"/>
      <x:c r="M607" s="31" t="n">
        <x:f>IF(AND(N607="미수",G607&lt;&gt;"",TODAY()&gt;G607),TODAY()-G607,0)</x:f>
        <x:v>0</x:v>
      </x:c>
      <x:c r="N607" s="24" t="str">
        <x:f>IF(J607&gt;0,"미수",IF(AND(H607&gt;0,I607&gt;=H607),"완납","미확인"))</x:f>
        <x:v>미확인</x:v>
      </x:c>
      <x:c r="O607" s="31" t="n">
        <x:v>33</x:v>
      </x:c>
    </x:row>
    <x:row r="608" ht="17.25" customHeight="1">
      <x:c r="A608" s="24" t="str">
        <x:v>SW-B-172수8945-202603</x:v>
      </x:c>
      <x:c r="B608" s="24" t="str">
        <x:v>스위치플랜</x:v>
      </x:c>
      <x:c r="C608" s="24" t="str">
        <x:v>SW-C-172수8945-2-20250521-33</x:v>
      </x:c>
      <x:c r="D608" s="24" t="str">
        <x:v>172수8945</x:v>
      </x:c>
      <x:c r="E608" s="24" t="str">
        <x:v>박형주</x:v>
      </x:c>
      <x:c r="F608" s="24" t="str">
        <x:v>2026-03</x:v>
      </x:c>
      <x:c r="G608" s="30" t="n">
        <x:v>46106</x:v>
      </x:c>
      <x:c r="H608" s="32" t="n">
        <x:v>0</x:v>
      </x:c>
      <x:c r="I608" s="32"/>
      <x:c r="J608" s="32" t="n">
        <x:v>0</x:v>
      </x:c>
      <x:c r="K608" s="30"/>
      <x:c r="L608" s="24" t="str"/>
      <x:c r="M608" s="31" t="n">
        <x:f>IF(AND(N608="미수",G608&lt;&gt;"",TODAY()&gt;G608),TODAY()-G608,0)</x:f>
        <x:v>0</x:v>
      </x:c>
      <x:c r="N608" s="24" t="str">
        <x:f>IF(J608&gt;0,"미수",IF(AND(H608&gt;0,I608&gt;=H608),"완납","미확인"))</x:f>
        <x:v>미확인</x:v>
      </x:c>
      <x:c r="O608" s="31" t="n">
        <x:v>33</x:v>
      </x:c>
    </x:row>
    <x:row r="609" ht="17.25" customHeight="1">
      <x:c r="A609" s="24" t="str">
        <x:v>SW-B-172수8945-202602</x:v>
      </x:c>
      <x:c r="B609" s="24" t="str">
        <x:v>스위치플랜</x:v>
      </x:c>
      <x:c r="C609" s="24" t="str">
        <x:v>SW-C-172수8945-2-20250521-33</x:v>
      </x:c>
      <x:c r="D609" s="24" t="str">
        <x:v>172수8945</x:v>
      </x:c>
      <x:c r="E609" s="24" t="str">
        <x:v>박형주</x:v>
      </x:c>
      <x:c r="F609" s="24" t="str">
        <x:v>2026-02</x:v>
      </x:c>
      <x:c r="G609" s="30" t="n">
        <x:v>46078</x:v>
      </x:c>
      <x:c r="H609" s="32" t="n">
        <x:v>1180000</x:v>
      </x:c>
      <x:c r="I609" s="32" t="n">
        <x:v>1180000</x:v>
      </x:c>
      <x:c r="J609" s="32" t="n">
        <x:v>0</x:v>
      </x:c>
      <x:c r="K609" s="30" t="n">
        <x:v>46080</x:v>
      </x:c>
      <x:c r="L609" s="24" t="str">
        <x:v>입금</x:v>
      </x:c>
      <x:c r="M609" s="31" t="n">
        <x:f>IF(AND(N609="미수",G609&lt;&gt;"",TODAY()&gt;G609),TODAY()-G609,0)</x:f>
        <x:v>0</x:v>
      </x:c>
      <x:c r="N609" s="24" t="str">
        <x:f>IF(J609&gt;0,"미수",IF(AND(H609&gt;0,I609&gt;=H609),"완납","미확인"))</x:f>
        <x:v>완납</x:v>
      </x:c>
      <x:c r="O609" s="31" t="n">
        <x:v>33</x:v>
      </x:c>
    </x:row>
    <x:row r="610" ht="17.25" customHeight="1">
      <x:c r="A610" s="24" t="str">
        <x:v>SW-B-172수8945-202601</x:v>
      </x:c>
      <x:c r="B610" s="24" t="str">
        <x:v>스위치플랜</x:v>
      </x:c>
      <x:c r="C610" s="24" t="str">
        <x:v>SW-C-172수8945-2-20250521-33</x:v>
      </x:c>
      <x:c r="D610" s="24" t="str">
        <x:v>172수8945</x:v>
      </x:c>
      <x:c r="E610" s="24" t="str">
        <x:v>박형주</x:v>
      </x:c>
      <x:c r="F610" s="24" t="str">
        <x:v>2026-01</x:v>
      </x:c>
      <x:c r="G610" s="30" t="n">
        <x:v>46047</x:v>
      </x:c>
      <x:c r="H610" s="32" t="n">
        <x:v>1180000</x:v>
      </x:c>
      <x:c r="I610" s="32" t="n">
        <x:v>1180000</x:v>
      </x:c>
      <x:c r="J610" s="32" t="n">
        <x:v>0</x:v>
      </x:c>
      <x:c r="K610" s="30" t="n">
        <x:v>46051</x:v>
      </x:c>
      <x:c r="L610" s="24" t="str">
        <x:v>입금</x:v>
      </x:c>
      <x:c r="M610" s="31" t="n">
        <x:f>IF(AND(N610="미수",G610&lt;&gt;"",TODAY()&gt;G610),TODAY()-G610,0)</x:f>
        <x:v>0</x:v>
      </x:c>
      <x:c r="N610" s="24" t="str">
        <x:f>IF(J610&gt;0,"미수",IF(AND(H610&gt;0,I610&gt;=H610),"완납","미확인"))</x:f>
        <x:v>완납</x:v>
      </x:c>
      <x:c r="O610" s="31" t="n">
        <x:v>33</x:v>
      </x:c>
    </x:row>
    <x:row r="611" ht="17.25" customHeight="1">
      <x:c r="A611" s="24" t="str">
        <x:v>SW-B-172수8945-202512</x:v>
      </x:c>
      <x:c r="B611" s="24" t="str">
        <x:v>스위치플랜</x:v>
      </x:c>
      <x:c r="C611" s="24" t="str">
        <x:v>SW-C-172수8945-2-20250521-33</x:v>
      </x:c>
      <x:c r="D611" s="24" t="str">
        <x:v>172수8945</x:v>
      </x:c>
      <x:c r="E611" s="24" t="str">
        <x:v>박형주</x:v>
      </x:c>
      <x:c r="F611" s="24" t="str">
        <x:v>2025-12</x:v>
      </x:c>
      <x:c r="G611" s="30" t="n">
        <x:v>46016</x:v>
      </x:c>
      <x:c r="H611" s="32" t="n">
        <x:v>1180000</x:v>
      </x:c>
      <x:c r="I611" s="32" t="n">
        <x:v>1180000</x:v>
      </x:c>
      <x:c r="J611" s="32" t="n">
        <x:v>0</x:v>
      </x:c>
      <x:c r="K611" s="30" t="n">
        <x:v>46020</x:v>
      </x:c>
      <x:c r="L611" s="24" t="str">
        <x:v>입금</x:v>
      </x:c>
      <x:c r="M611" s="31" t="n">
        <x:f>IF(AND(N611="미수",G611&lt;&gt;"",TODAY()&gt;G611),TODAY()-G611,0)</x:f>
        <x:v>0</x:v>
      </x:c>
      <x:c r="N611" s="24" t="str">
        <x:f>IF(J611&gt;0,"미수",IF(AND(H611&gt;0,I611&gt;=H611),"완납","미확인"))</x:f>
        <x:v>완납</x:v>
      </x:c>
      <x:c r="O611" s="31" t="n">
        <x:v>33</x:v>
      </x:c>
    </x:row>
    <x:row r="612" ht="17.25" customHeight="1">
      <x:c r="A612" s="24" t="str">
        <x:v>SW-B-172수8945-202511</x:v>
      </x:c>
      <x:c r="B612" s="24" t="str">
        <x:v>스위치플랜</x:v>
      </x:c>
      <x:c r="C612" s="24" t="str">
        <x:v>SW-C-172수8945-2-20250521-33</x:v>
      </x:c>
      <x:c r="D612" s="24" t="str">
        <x:v>172수8945</x:v>
      </x:c>
      <x:c r="E612" s="24" t="str">
        <x:v>박형주</x:v>
      </x:c>
      <x:c r="F612" s="24" t="str">
        <x:v>2025-11</x:v>
      </x:c>
      <x:c r="G612" s="30" t="n">
        <x:v>45986</x:v>
      </x:c>
      <x:c r="H612" s="32" t="n">
        <x:v>1180000</x:v>
      </x:c>
      <x:c r="I612" s="32" t="n">
        <x:v>1180000</x:v>
      </x:c>
      <x:c r="J612" s="32" t="n">
        <x:v>0</x:v>
      </x:c>
      <x:c r="K612" s="30" t="n">
        <x:v>45986</x:v>
      </x:c>
      <x:c r="L612" s="24" t="str">
        <x:v>자동</x:v>
      </x:c>
      <x:c r="M612" s="31" t="n">
        <x:f>IF(AND(N612="미수",G612&lt;&gt;"",TODAY()&gt;G612),TODAY()-G612,0)</x:f>
        <x:v>0</x:v>
      </x:c>
      <x:c r="N612" s="24" t="str">
        <x:f>IF(J612&gt;0,"미수",IF(AND(H612&gt;0,I612&gt;=H612),"완납","미확인"))</x:f>
        <x:v>완납</x:v>
      </x:c>
      <x:c r="O612" s="31" t="n">
        <x:v>33</x:v>
      </x:c>
    </x:row>
    <x:row r="613" ht="17.25" customHeight="1">
      <x:c r="A613" s="24" t="str">
        <x:v>SW-B-172수8945-202510</x:v>
      </x:c>
      <x:c r="B613" s="24" t="str">
        <x:v>스위치플랜</x:v>
      </x:c>
      <x:c r="C613" s="24" t="str">
        <x:v>SW-C-172수8945-2-20250521-33</x:v>
      </x:c>
      <x:c r="D613" s="24" t="str">
        <x:v>172수8945</x:v>
      </x:c>
      <x:c r="E613" s="24" t="str">
        <x:v>박형주</x:v>
      </x:c>
      <x:c r="F613" s="24" t="str">
        <x:v>2025-10</x:v>
      </x:c>
      <x:c r="G613" s="30" t="n">
        <x:v>45955</x:v>
      </x:c>
      <x:c r="H613" s="32" t="n">
        <x:v>1180000</x:v>
      </x:c>
      <x:c r="I613" s="32" t="n">
        <x:v>1180000</x:v>
      </x:c>
      <x:c r="J613" s="32" t="n">
        <x:v>0</x:v>
      </x:c>
      <x:c r="K613" s="30" t="n">
        <x:v>45959</x:v>
      </x:c>
      <x:c r="L613" s="24" t="str">
        <x:v>입금</x:v>
      </x:c>
      <x:c r="M613" s="31" t="n">
        <x:f>IF(AND(N613="미수",G613&lt;&gt;"",TODAY()&gt;G613),TODAY()-G613,0)</x:f>
        <x:v>0</x:v>
      </x:c>
      <x:c r="N613" s="24" t="str">
        <x:f>IF(J613&gt;0,"미수",IF(AND(H613&gt;0,I613&gt;=H613),"완납","미확인"))</x:f>
        <x:v>완납</x:v>
      </x:c>
      <x:c r="O613" s="31" t="n">
        <x:v>33</x:v>
      </x:c>
    </x:row>
    <x:row r="614" ht="17.25" customHeight="1">
      <x:c r="A614" s="24" t="str">
        <x:v>SW-B-172수8945-202509</x:v>
      </x:c>
      <x:c r="B614" s="24" t="str">
        <x:v>스위치플랜</x:v>
      </x:c>
      <x:c r="C614" s="24" t="str">
        <x:v>SW-C-172수8945-2-20250521-33</x:v>
      </x:c>
      <x:c r="D614" s="24" t="str">
        <x:v>172수8945</x:v>
      </x:c>
      <x:c r="E614" s="24" t="str">
        <x:v>박형주</x:v>
      </x:c>
      <x:c r="F614" s="24" t="str">
        <x:v>2025-09</x:v>
      </x:c>
      <x:c r="G614" s="30" t="n">
        <x:v>45925</x:v>
      </x:c>
      <x:c r="H614" s="32" t="n">
        <x:v>1180000</x:v>
      </x:c>
      <x:c r="I614" s="32" t="n">
        <x:v>1180000</x:v>
      </x:c>
      <x:c r="J614" s="32" t="n">
        <x:v>0</x:v>
      </x:c>
      <x:c r="K614" s="30" t="n">
        <x:v>45925</x:v>
      </x:c>
      <x:c r="L614" s="24" t="str">
        <x:v>자동</x:v>
      </x:c>
      <x:c r="M614" s="31" t="n">
        <x:f>IF(AND(N614="미수",G614&lt;&gt;"",TODAY()&gt;G614),TODAY()-G614,0)</x:f>
        <x:v>0</x:v>
      </x:c>
      <x:c r="N614" s="24" t="str">
        <x:f>IF(J614&gt;0,"미수",IF(AND(H614&gt;0,I614&gt;=H614),"완납","미확인"))</x:f>
        <x:v>완납</x:v>
      </x:c>
      <x:c r="O614" s="31" t="n">
        <x:v>33</x:v>
      </x:c>
    </x:row>
    <x:row r="615" ht="17.25" customHeight="1">
      <x:c r="A615" s="24" t="str">
        <x:v>SW-B-172수8945-202508</x:v>
      </x:c>
      <x:c r="B615" s="24" t="str">
        <x:v>스위치플랜</x:v>
      </x:c>
      <x:c r="C615" s="24" t="str">
        <x:v>SW-C-172수8945-2-20250521-33</x:v>
      </x:c>
      <x:c r="D615" s="24" t="str">
        <x:v>172수8945</x:v>
      </x:c>
      <x:c r="E615" s="24" t="str">
        <x:v>박형주</x:v>
      </x:c>
      <x:c r="F615" s="24" t="str">
        <x:v>2025-08</x:v>
      </x:c>
      <x:c r="G615" s="30" t="n">
        <x:v>45894</x:v>
      </x:c>
      <x:c r="H615" s="32" t="n">
        <x:v>1180000</x:v>
      </x:c>
      <x:c r="I615" s="32" t="n">
        <x:v>1180000</x:v>
      </x:c>
      <x:c r="J615" s="32" t="n">
        <x:v>0</x:v>
      </x:c>
      <x:c r="K615" s="30" t="n">
        <x:v>45896</x:v>
      </x:c>
      <x:c r="L615" s="24" t="str">
        <x:v>입금</x:v>
      </x:c>
      <x:c r="M615" s="31" t="n">
        <x:f>IF(AND(N615="미수",G615&lt;&gt;"",TODAY()&gt;G615),TODAY()-G615,0)</x:f>
        <x:v>0</x:v>
      </x:c>
      <x:c r="N615" s="24" t="str">
        <x:f>IF(J615&gt;0,"미수",IF(AND(H615&gt;0,I615&gt;=H615),"완납","미확인"))</x:f>
        <x:v>완납</x:v>
      </x:c>
      <x:c r="O615" s="31" t="n">
        <x:v>33</x:v>
      </x:c>
    </x:row>
    <x:row r="616" ht="17.25" customHeight="1">
      <x:c r="A616" s="24" t="str">
        <x:v>SW-B-172수8945-202507</x:v>
      </x:c>
      <x:c r="B616" s="24" t="str">
        <x:v>스위치플랜</x:v>
      </x:c>
      <x:c r="C616" s="24" t="str">
        <x:v>SW-C-172수8945-2-20250521-33</x:v>
      </x:c>
      <x:c r="D616" s="24" t="str">
        <x:v>172수8945</x:v>
      </x:c>
      <x:c r="E616" s="24" t="str">
        <x:v>박형주</x:v>
      </x:c>
      <x:c r="F616" s="24" t="str">
        <x:v>2025-07</x:v>
      </x:c>
      <x:c r="G616" s="30" t="n">
        <x:v>45863</x:v>
      </x:c>
      <x:c r="H616" s="32" t="n">
        <x:v>1180000</x:v>
      </x:c>
      <x:c r="I616" s="32" t="n">
        <x:v>1180000</x:v>
      </x:c>
      <x:c r="J616" s="32" t="n">
        <x:v>0</x:v>
      </x:c>
      <x:c r="K616" s="30" t="n">
        <x:v>45866</x:v>
      </x:c>
      <x:c r="L616" s="24" t="str">
        <x:v>입금</x:v>
      </x:c>
      <x:c r="M616" s="31" t="n">
        <x:f>IF(AND(N616="미수",G616&lt;&gt;"",TODAY()&gt;G616),TODAY()-G616,0)</x:f>
        <x:v>0</x:v>
      </x:c>
      <x:c r="N616" s="24" t="str">
        <x:f>IF(J616&gt;0,"미수",IF(AND(H616&gt;0,I616&gt;=H616),"완납","미확인"))</x:f>
        <x:v>완납</x:v>
      </x:c>
      <x:c r="O616" s="31" t="n">
        <x:v>33</x:v>
      </x:c>
    </x:row>
    <x:row r="617" ht="17.25" customHeight="1">
      <x:c r="A617" s="24" t="str">
        <x:v>SW-B-172수8945-202506</x:v>
      </x:c>
      <x:c r="B617" s="24" t="str">
        <x:v>스위치플랜</x:v>
      </x:c>
      <x:c r="C617" s="24" t="str">
        <x:v>SW-C-172수8945-2-20250521-33</x:v>
      </x:c>
      <x:c r="D617" s="24" t="str">
        <x:v>172수8945</x:v>
      </x:c>
      <x:c r="E617" s="24" t="str">
        <x:v>박형주</x:v>
      </x:c>
      <x:c r="F617" s="24" t="str">
        <x:v>2025-06</x:v>
      </x:c>
      <x:c r="G617" s="30" t="n">
        <x:v>45833</x:v>
      </x:c>
      <x:c r="H617" s="32" t="n">
        <x:v>1180000</x:v>
      </x:c>
      <x:c r="I617" s="32" t="n">
        <x:v>1180000</x:v>
      </x:c>
      <x:c r="J617" s="32" t="n">
        <x:v>0</x:v>
      </x:c>
      <x:c r="K617" s="30" t="n">
        <x:v>45845</x:v>
      </x:c>
      <x:c r="L617" s="24" t="str">
        <x:v>입금</x:v>
      </x:c>
      <x:c r="M617" s="31" t="n">
        <x:f>IF(AND(N617="미수",G617&lt;&gt;"",TODAY()&gt;G617),TODAY()-G617,0)</x:f>
        <x:v>0</x:v>
      </x:c>
      <x:c r="N617" s="24" t="str">
        <x:f>IF(J617&gt;0,"미수",IF(AND(H617&gt;0,I617&gt;=H617),"완납","미확인"))</x:f>
        <x:v>완납</x:v>
      </x:c>
      <x:c r="O617" s="31" t="n">
        <x:v>33</x:v>
      </x:c>
    </x:row>
    <x:row r="618" ht="17.25" customHeight="1">
      <x:c r="A618" s="24" t="str">
        <x:v>SW-B-172수8945-202505</x:v>
      </x:c>
      <x:c r="B618" s="24" t="str">
        <x:v>스위치플랜</x:v>
      </x:c>
      <x:c r="C618" s="24" t="str">
        <x:v>SW-C-172수8945-2-20250521-33</x:v>
      </x:c>
      <x:c r="D618" s="24" t="str">
        <x:v>172수8945</x:v>
      </x:c>
      <x:c r="E618" s="24" t="str">
        <x:v>박형주</x:v>
      </x:c>
      <x:c r="F618" s="24" t="str">
        <x:v>2025-05</x:v>
      </x:c>
      <x:c r="G618" s="30" t="n">
        <x:v>45802</x:v>
      </x:c>
      <x:c r="H618" s="32" t="n">
        <x:v>1180000</x:v>
      </x:c>
      <x:c r="I618" s="32" t="n">
        <x:v>1180000</x:v>
      </x:c>
      <x:c r="J618" s="32" t="n">
        <x:v>0</x:v>
      </x:c>
      <x:c r="K618" s="30" t="n">
        <x:v>45804</x:v>
      </x:c>
      <x:c r="L618" s="24" t="str">
        <x:v>입금</x:v>
      </x:c>
      <x:c r="M618" s="31" t="n">
        <x:f>IF(AND(N618="미수",G618&lt;&gt;"",TODAY()&gt;G618),TODAY()-G618,0)</x:f>
        <x:v>0</x:v>
      </x:c>
      <x:c r="N618" s="24" t="str">
        <x:f>IF(J618&gt;0,"미수",IF(AND(H618&gt;0,I618&gt;=H618),"완납","미확인"))</x:f>
        <x:v>완납</x:v>
      </x:c>
      <x:c r="O618" s="31" t="n">
        <x:v>33</x:v>
      </x:c>
    </x:row>
    <x:row r="619" ht="17.25" customHeight="1">
      <x:c r="A619" s="24" t="str">
        <x:v>SW-B-172수8945-202504</x:v>
      </x:c>
      <x:c r="B619" s="24" t="str">
        <x:v>스위치플랜</x:v>
      </x:c>
      <x:c r="C619" s="24" t="str">
        <x:v>SW-C-172수8945-1-20260528-33</x:v>
      </x:c>
      <x:c r="D619" s="24" t="str">
        <x:v>172수8945</x:v>
      </x:c>
      <x:c r="E619" s="24" t="str">
        <x:v>박형주</x:v>
      </x:c>
      <x:c r="F619" s="24" t="str">
        <x:v>2025-04</x:v>
      </x:c>
      <x:c r="G619" s="30" t="n">
        <x:v>45772</x:v>
      </x:c>
      <x:c r="H619" s="32" t="n">
        <x:v>1250000</x:v>
      </x:c>
      <x:c r="I619" s="32" t="n">
        <x:v>1250000</x:v>
      </x:c>
      <x:c r="J619" s="32" t="n">
        <x:v>0</x:v>
      </x:c>
      <x:c r="K619" s="30" t="n">
        <x:v>45776</x:v>
      </x:c>
      <x:c r="L619" s="24" t="str">
        <x:v>입금</x:v>
      </x:c>
      <x:c r="M619" s="31" t="n">
        <x:f>IF(AND(N619="미수",G619&lt;&gt;"",TODAY()&gt;G619),TODAY()-G619,0)</x:f>
        <x:v>0</x:v>
      </x:c>
      <x:c r="N619" s="24" t="str">
        <x:f>IF(J619&gt;0,"미수",IF(AND(H619&gt;0,I619&gt;=H619),"완납","미확인"))</x:f>
        <x:v>완납</x:v>
      </x:c>
      <x:c r="O619" s="31" t="n">
        <x:v>33</x:v>
      </x:c>
    </x:row>
    <x:row r="620" ht="17.25" customHeight="1">
      <x:c r="A620" s="24" t="str">
        <x:v>SW-B-172수8945-202503</x:v>
      </x:c>
      <x:c r="B620" s="24" t="str">
        <x:v>스위치플랜</x:v>
      </x:c>
      <x:c r="C620" s="24" t="str">
        <x:v>SW-C-172수8945-1-20260528-33</x:v>
      </x:c>
      <x:c r="D620" s="24" t="str">
        <x:v>172수8945</x:v>
      </x:c>
      <x:c r="E620" s="24" t="str">
        <x:v>박형주</x:v>
      </x:c>
      <x:c r="F620" s="24" t="str">
        <x:v>2025-03</x:v>
      </x:c>
      <x:c r="G620" s="30" t="n">
        <x:v>45741</x:v>
      </x:c>
      <x:c r="H620" s="32" t="n">
        <x:v>1250000</x:v>
      </x:c>
      <x:c r="I620" s="32" t="n">
        <x:v>1250000</x:v>
      </x:c>
      <x:c r="J620" s="32" t="n">
        <x:v>0</x:v>
      </x:c>
      <x:c r="K620" s="30" t="n">
        <x:v>45741</x:v>
      </x:c>
      <x:c r="L620" s="24" t="str">
        <x:v>자동</x:v>
      </x:c>
      <x:c r="M620" s="31" t="n">
        <x:f>IF(AND(N620="미수",G620&lt;&gt;"",TODAY()&gt;G620),TODAY()-G620,0)</x:f>
        <x:v>0</x:v>
      </x:c>
      <x:c r="N620" s="24" t="str">
        <x:f>IF(J620&gt;0,"미수",IF(AND(H620&gt;0,I620&gt;=H620),"완납","미확인"))</x:f>
        <x:v>완납</x:v>
      </x:c>
      <x:c r="O620" s="31" t="n">
        <x:v>33</x:v>
      </x:c>
    </x:row>
    <x:row r="621" ht="17.25" customHeight="1">
      <x:c r="A621" s="24" t="str">
        <x:v>SW-B-172수8945-202502</x:v>
      </x:c>
      <x:c r="B621" s="24" t="str">
        <x:v>스위치플랜</x:v>
      </x:c>
      <x:c r="C621" s="24" t="str">
        <x:v>SW-C-172수8945-1-20260528-33</x:v>
      </x:c>
      <x:c r="D621" s="24" t="str">
        <x:v>172수8945</x:v>
      </x:c>
      <x:c r="E621" s="24" t="str">
        <x:v>박형주</x:v>
      </x:c>
      <x:c r="F621" s="24" t="str">
        <x:v>2025-02</x:v>
      </x:c>
      <x:c r="G621" s="30" t="n">
        <x:v>45713</x:v>
      </x:c>
      <x:c r="H621" s="32" t="n">
        <x:v>1250000</x:v>
      </x:c>
      <x:c r="I621" s="32" t="n">
        <x:v>1250000</x:v>
      </x:c>
      <x:c r="J621" s="32" t="n">
        <x:v>0</x:v>
      </x:c>
      <x:c r="K621" s="30" t="n">
        <x:v>45713</x:v>
      </x:c>
      <x:c r="L621" s="24" t="str">
        <x:v>자동</x:v>
      </x:c>
      <x:c r="M621" s="31" t="n">
        <x:f>IF(AND(N621="미수",G621&lt;&gt;"",TODAY()&gt;G621),TODAY()-G621,0)</x:f>
        <x:v>0</x:v>
      </x:c>
      <x:c r="N621" s="24" t="str">
        <x:f>IF(J621&gt;0,"미수",IF(AND(H621&gt;0,I621&gt;=H621),"완납","미확인"))</x:f>
        <x:v>완납</x:v>
      </x:c>
      <x:c r="O621" s="31" t="n">
        <x:v>33</x:v>
      </x:c>
    </x:row>
    <x:row r="622" ht="17.25" customHeight="1">
      <x:c r="A622" s="24" t="str">
        <x:v>SW-B-172수8945-202501</x:v>
      </x:c>
      <x:c r="B622" s="24" t="str">
        <x:v>스위치플랜</x:v>
      </x:c>
      <x:c r="C622" s="24" t="str">
        <x:v>SW-C-172수8945-1-20260528-33</x:v>
      </x:c>
      <x:c r="D622" s="24" t="str">
        <x:v>172수8945</x:v>
      </x:c>
      <x:c r="E622" s="24" t="str">
        <x:v>박형주</x:v>
      </x:c>
      <x:c r="F622" s="24" t="str">
        <x:v>2025-01</x:v>
      </x:c>
      <x:c r="G622" s="30" t="n">
        <x:v>45682</x:v>
      </x:c>
      <x:c r="H622" s="32" t="n">
        <x:v>1250000</x:v>
      </x:c>
      <x:c r="I622" s="32" t="n">
        <x:v>1250000</x:v>
      </x:c>
      <x:c r="J622" s="32" t="n">
        <x:v>0</x:v>
      </x:c>
      <x:c r="K622" s="30" t="n">
        <x:v>45688</x:v>
      </x:c>
      <x:c r="L622" s="24" t="str">
        <x:v>자동</x:v>
      </x:c>
      <x:c r="M622" s="31" t="n">
        <x:f>IF(AND(N622="미수",G622&lt;&gt;"",TODAY()&gt;G622),TODAY()-G622,0)</x:f>
        <x:v>0</x:v>
      </x:c>
      <x:c r="N622" s="24" t="str">
        <x:f>IF(J622&gt;0,"미수",IF(AND(H622&gt;0,I622&gt;=H622),"완납","미확인"))</x:f>
        <x:v>완납</x:v>
      </x:c>
      <x:c r="O622" s="31" t="n">
        <x:v>33</x:v>
      </x:c>
    </x:row>
    <x:row r="623" ht="17.25" customHeight="1">
      <x:c r="A623" s="24" t="str">
        <x:v>SW-B-172수8945-202412</x:v>
      </x:c>
      <x:c r="B623" s="24" t="str">
        <x:v>스위치플랜</x:v>
      </x:c>
      <x:c r="C623" s="24" t="str">
        <x:v>SW-C-172수8945-1-20260528-33</x:v>
      </x:c>
      <x:c r="D623" s="24" t="str">
        <x:v>172수8945</x:v>
      </x:c>
      <x:c r="E623" s="24" t="str">
        <x:v>박형주</x:v>
      </x:c>
      <x:c r="F623" s="24" t="str">
        <x:v>2024-12</x:v>
      </x:c>
      <x:c r="G623" s="30" t="n">
        <x:v>45651</x:v>
      </x:c>
      <x:c r="H623" s="32" t="n">
        <x:v>1250000</x:v>
      </x:c>
      <x:c r="I623" s="32" t="n">
        <x:v>1250000</x:v>
      </x:c>
      <x:c r="J623" s="32" t="n">
        <x:v>0</x:v>
      </x:c>
      <x:c r="K623" s="30" t="n">
        <x:v>45652</x:v>
      </x:c>
      <x:c r="L623" s="24" t="str">
        <x:v>자동</x:v>
      </x:c>
      <x:c r="M623" s="31" t="n">
        <x:f>IF(AND(N623="미수",G623&lt;&gt;"",TODAY()&gt;G623),TODAY()-G623,0)</x:f>
        <x:v>0</x:v>
      </x:c>
      <x:c r="N623" s="24" t="str">
        <x:f>IF(J623&gt;0,"미수",IF(AND(H623&gt;0,I623&gt;=H623),"완납","미확인"))</x:f>
        <x:v>완납</x:v>
      </x:c>
      <x:c r="O623" s="31" t="n">
        <x:v>33</x:v>
      </x:c>
    </x:row>
    <x:row r="624" ht="17.25" customHeight="1">
      <x:c r="A624" s="24" t="str">
        <x:v>SW-B-172수8945-202411</x:v>
      </x:c>
      <x:c r="B624" s="24" t="str">
        <x:v>스위치플랜</x:v>
      </x:c>
      <x:c r="C624" s="24" t="str">
        <x:v>SW-C-172수8945-3-20231127-33</x:v>
      </x:c>
      <x:c r="D624" s="24" t="str">
        <x:v>172수8945</x:v>
      </x:c>
      <x:c r="E624" s="24" t="str">
        <x:v>박형주</x:v>
      </x:c>
      <x:c r="F624" s="24" t="str">
        <x:v>2024-11</x:v>
      </x:c>
      <x:c r="G624" s="30" t="n">
        <x:v>45621</x:v>
      </x:c>
      <x:c r="H624" s="32" t="n">
        <x:v>1250000</x:v>
      </x:c>
      <x:c r="I624" s="32" t="n">
        <x:v>1250000</x:v>
      </x:c>
      <x:c r="J624" s="32" t="n">
        <x:v>0</x:v>
      </x:c>
      <x:c r="K624" s="30" t="n">
        <x:v>45621</x:v>
      </x:c>
      <x:c r="L624" s="24" t="str">
        <x:v>자동</x:v>
      </x:c>
      <x:c r="M624" s="31" t="n">
        <x:f>IF(AND(N624="미수",G624&lt;&gt;"",TODAY()&gt;G624),TODAY()-G624,0)</x:f>
        <x:v>0</x:v>
      </x:c>
      <x:c r="N624" s="24" t="str">
        <x:f>IF(J624&gt;0,"미수",IF(AND(H624&gt;0,I624&gt;=H624),"완납","미확인"))</x:f>
        <x:v>완납</x:v>
      </x:c>
      <x:c r="O624" s="31" t="n">
        <x:v>33</x:v>
      </x:c>
    </x:row>
    <x:row r="625" ht="17.25" customHeight="1">
      <x:c r="A625" s="24" t="str">
        <x:v>SW-B-172수8945-202410</x:v>
      </x:c>
      <x:c r="B625" s="24" t="str">
        <x:v>스위치플랜</x:v>
      </x:c>
      <x:c r="C625" s="24" t="str">
        <x:v>SW-C-172수8945-3-20231127-33</x:v>
      </x:c>
      <x:c r="D625" s="24" t="str">
        <x:v>172수8945</x:v>
      </x:c>
      <x:c r="E625" s="24" t="str">
        <x:v>박형주</x:v>
      </x:c>
      <x:c r="F625" s="24" t="str">
        <x:v>2024-10</x:v>
      </x:c>
      <x:c r="G625" s="30" t="n">
        <x:v>45590</x:v>
      </x:c>
      <x:c r="H625" s="32" t="n">
        <x:v>1250000</x:v>
      </x:c>
      <x:c r="I625" s="32" t="n">
        <x:v>1250000</x:v>
      </x:c>
      <x:c r="J625" s="32" t="n">
        <x:v>0</x:v>
      </x:c>
      <x:c r="K625" s="30" t="n">
        <x:v>45590</x:v>
      </x:c>
      <x:c r="L625" s="24" t="str">
        <x:v>자동</x:v>
      </x:c>
      <x:c r="M625" s="31" t="n">
        <x:f>IF(AND(N625="미수",G625&lt;&gt;"",TODAY()&gt;G625),TODAY()-G625,0)</x:f>
        <x:v>0</x:v>
      </x:c>
      <x:c r="N625" s="24" t="str">
        <x:f>IF(J625&gt;0,"미수",IF(AND(H625&gt;0,I625&gt;=H625),"완납","미확인"))</x:f>
        <x:v>완납</x:v>
      </x:c>
      <x:c r="O625" s="31" t="n">
        <x:v>33</x:v>
      </x:c>
    </x:row>
    <x:row r="626" ht="17.25" customHeight="1">
      <x:c r="A626" s="24" t="str">
        <x:v>SW-B-172수8945-202409</x:v>
      </x:c>
      <x:c r="B626" s="24" t="str">
        <x:v>스위치플랜</x:v>
      </x:c>
      <x:c r="C626" s="24" t="str">
        <x:v>SW-C-172수8945-3-20231127-33</x:v>
      </x:c>
      <x:c r="D626" s="24" t="str">
        <x:v>172수8945</x:v>
      </x:c>
      <x:c r="E626" s="24" t="str">
        <x:v>박형주</x:v>
      </x:c>
      <x:c r="F626" s="24" t="str">
        <x:v>2024-09</x:v>
      </x:c>
      <x:c r="G626" s="30" t="n">
        <x:v>45560</x:v>
      </x:c>
      <x:c r="H626" s="32" t="n">
        <x:v>1250000</x:v>
      </x:c>
      <x:c r="I626" s="32" t="n">
        <x:v>1250000</x:v>
      </x:c>
      <x:c r="J626" s="32" t="n">
        <x:v>0</x:v>
      </x:c>
      <x:c r="K626" s="30" t="n">
        <x:v>45560</x:v>
      </x:c>
      <x:c r="L626" s="24" t="str">
        <x:v>자동</x:v>
      </x:c>
      <x:c r="M626" s="31" t="n">
        <x:f>IF(AND(N626="미수",G626&lt;&gt;"",TODAY()&gt;G626),TODAY()-G626,0)</x:f>
        <x:v>0</x:v>
      </x:c>
      <x:c r="N626" s="24" t="str">
        <x:f>IF(J626&gt;0,"미수",IF(AND(H626&gt;0,I626&gt;=H626),"완납","미확인"))</x:f>
        <x:v>완납</x:v>
      </x:c>
      <x:c r="O626" s="31" t="n">
        <x:v>33</x:v>
      </x:c>
    </x:row>
    <x:row r="627" ht="17.25" customHeight="1">
      <x:c r="A627" s="24" t="str">
        <x:v>SW-B-172수8945-202408</x:v>
      </x:c>
      <x:c r="B627" s="24" t="str">
        <x:v>스위치플랜</x:v>
      </x:c>
      <x:c r="C627" s="24" t="str">
        <x:v>SW-C-172수8945-3-20231127-33</x:v>
      </x:c>
      <x:c r="D627" s="24" t="str">
        <x:v>172수8945</x:v>
      </x:c>
      <x:c r="E627" s="24" t="str">
        <x:v>박형주</x:v>
      </x:c>
      <x:c r="F627" s="24" t="str">
        <x:v>2024-08</x:v>
      </x:c>
      <x:c r="G627" s="30" t="n">
        <x:v>45529</x:v>
      </x:c>
      <x:c r="H627" s="32" t="n">
        <x:v>1250000</x:v>
      </x:c>
      <x:c r="I627" s="32" t="n">
        <x:v>1250000</x:v>
      </x:c>
      <x:c r="J627" s="32" t="n">
        <x:v>0</x:v>
      </x:c>
      <x:c r="K627" s="30" t="n">
        <x:v>45529</x:v>
      </x:c>
      <x:c r="L627" s="24" t="str">
        <x:v>자동</x:v>
      </x:c>
      <x:c r="M627" s="31" t="n">
        <x:f>IF(AND(N627="미수",G627&lt;&gt;"",TODAY()&gt;G627),TODAY()-G627,0)</x:f>
        <x:v>0</x:v>
      </x:c>
      <x:c r="N627" s="24" t="str">
        <x:f>IF(J627&gt;0,"미수",IF(AND(H627&gt;0,I627&gt;=H627),"완납","미확인"))</x:f>
        <x:v>완납</x:v>
      </x:c>
      <x:c r="O627" s="31" t="n">
        <x:v>33</x:v>
      </x:c>
    </x:row>
    <x:row r="628" ht="17.25" customHeight="1">
      <x:c r="A628" s="24" t="str">
        <x:v>SW-B-172수8945-202407</x:v>
      </x:c>
      <x:c r="B628" s="24" t="str">
        <x:v>스위치플랜</x:v>
      </x:c>
      <x:c r="C628" s="24" t="str">
        <x:v>SW-C-172수8945-3-20231127-33</x:v>
      </x:c>
      <x:c r="D628" s="24" t="str">
        <x:v>172수8945</x:v>
      </x:c>
      <x:c r="E628" s="24" t="str">
        <x:v>박형주</x:v>
      </x:c>
      <x:c r="F628" s="24" t="str">
        <x:v>2024-07</x:v>
      </x:c>
      <x:c r="G628" s="30" t="n">
        <x:v>45498</x:v>
      </x:c>
      <x:c r="H628" s="32" t="n">
        <x:v>1250000</x:v>
      </x:c>
      <x:c r="I628" s="32" t="n">
        <x:v>1250000</x:v>
      </x:c>
      <x:c r="J628" s="32" t="n">
        <x:v>0</x:v>
      </x:c>
      <x:c r="K628" s="30" t="n">
        <x:v>45498</x:v>
      </x:c>
      <x:c r="L628" s="24" t="str">
        <x:v>자동</x:v>
      </x:c>
      <x:c r="M628" s="31" t="n">
        <x:f>IF(AND(N628="미수",G628&lt;&gt;"",TODAY()&gt;G628),TODAY()-G628,0)</x:f>
        <x:v>0</x:v>
      </x:c>
      <x:c r="N628" s="24" t="str">
        <x:f>IF(J628&gt;0,"미수",IF(AND(H628&gt;0,I628&gt;=H628),"완납","미확인"))</x:f>
        <x:v>완납</x:v>
      </x:c>
      <x:c r="O628" s="31" t="n">
        <x:v>33</x:v>
      </x:c>
    </x:row>
    <x:row r="629" ht="17.25" customHeight="1">
      <x:c r="A629" s="24" t="str">
        <x:v>SW-B-172수8945-202406</x:v>
      </x:c>
      <x:c r="B629" s="24" t="str">
        <x:v>스위치플랜</x:v>
      </x:c>
      <x:c r="C629" s="24" t="str">
        <x:v>SW-C-172수8945-3-20231127-33</x:v>
      </x:c>
      <x:c r="D629" s="24" t="str">
        <x:v>172수8945</x:v>
      </x:c>
      <x:c r="E629" s="24" t="str">
        <x:v>박형주</x:v>
      </x:c>
      <x:c r="F629" s="24" t="str">
        <x:v>2024-06</x:v>
      </x:c>
      <x:c r="G629" s="30" t="n">
        <x:v>45468</x:v>
      </x:c>
      <x:c r="H629" s="32" t="n">
        <x:v>1250000</x:v>
      </x:c>
      <x:c r="I629" s="32" t="n">
        <x:v>1250000</x:v>
      </x:c>
      <x:c r="J629" s="32" t="n">
        <x:v>0</x:v>
      </x:c>
      <x:c r="K629" s="30" t="n">
        <x:v>45468</x:v>
      </x:c>
      <x:c r="L629" s="24" t="str">
        <x:v>자동</x:v>
      </x:c>
      <x:c r="M629" s="31" t="n">
        <x:f>IF(AND(N629="미수",G629&lt;&gt;"",TODAY()&gt;G629),TODAY()-G629,0)</x:f>
        <x:v>0</x:v>
      </x:c>
      <x:c r="N629" s="24" t="str">
        <x:f>IF(J629&gt;0,"미수",IF(AND(H629&gt;0,I629&gt;=H629),"완납","미확인"))</x:f>
        <x:v>완납</x:v>
      </x:c>
      <x:c r="O629" s="31" t="n">
        <x:v>33</x:v>
      </x:c>
    </x:row>
    <x:row r="630" ht="17.25" customHeight="1">
      <x:c r="A630" s="24" t="str">
        <x:v>SW-B-172수8945-202405</x:v>
      </x:c>
      <x:c r="B630" s="24" t="str">
        <x:v>스위치플랜</x:v>
      </x:c>
      <x:c r="C630" s="24" t="str">
        <x:v>SW-C-172수8945-3-20231127-33</x:v>
      </x:c>
      <x:c r="D630" s="24" t="str">
        <x:v>172수8945</x:v>
      </x:c>
      <x:c r="E630" s="24" t="str">
        <x:v>박형주</x:v>
      </x:c>
      <x:c r="F630" s="24" t="str">
        <x:v>2024-05</x:v>
      </x:c>
      <x:c r="G630" s="30" t="n">
        <x:v>45437</x:v>
      </x:c>
      <x:c r="H630" s="32" t="n">
        <x:v>1250000</x:v>
      </x:c>
      <x:c r="I630" s="32" t="n">
        <x:v>1250000</x:v>
      </x:c>
      <x:c r="J630" s="32" t="n">
        <x:v>0</x:v>
      </x:c>
      <x:c r="K630" s="30" t="n">
        <x:v>45429</x:v>
      </x:c>
      <x:c r="L630" s="24" t="str">
        <x:v>입금</x:v>
      </x:c>
      <x:c r="M630" s="31" t="n">
        <x:f>IF(AND(N630="미수",G630&lt;&gt;"",TODAY()&gt;G630),TODAY()-G630,0)</x:f>
        <x:v>0</x:v>
      </x:c>
      <x:c r="N630" s="24" t="str">
        <x:f>IF(J630&gt;0,"미수",IF(AND(H630&gt;0,I630&gt;=H630),"완납","미확인"))</x:f>
        <x:v>완납</x:v>
      </x:c>
      <x:c r="O630" s="31" t="n">
        <x:v>33</x:v>
      </x:c>
    </x:row>
    <x:row r="631" ht="17.25" customHeight="1">
      <x:c r="A631" s="24" t="str">
        <x:v>SW-B-81소0566-202608</x:v>
      </x:c>
      <x:c r="B631" s="24" t="str">
        <x:v>스위치플랜</x:v>
      </x:c>
      <x:c r="C631" s="24" t="str">
        <x:v>SW-C-81소0566-1-20240130-34</x:v>
      </x:c>
      <x:c r="D631" s="24" t="str">
        <x:v>81소0566</x:v>
      </x:c>
      <x:c r="E631" s="24" t="str">
        <x:v>김승겸</x:v>
      </x:c>
      <x:c r="F631" s="24" t="str">
        <x:v>2026-08</x:v>
      </x:c>
      <x:c r="G631" s="30"/>
      <x:c r="H631" s="32" t="n">
        <x:v>580000</x:v>
      </x:c>
      <x:c r="I631" s="32"/>
      <x:c r="J631" s="32" t="n">
        <x:v>1160000</x:v>
      </x:c>
      <x:c r="K631" s="30"/>
      <x:c r="L631" s="24" t="str"/>
      <x:c r="M631" s="31" t="n">
        <x:f>IF(AND(N631="미수",G631&lt;&gt;"",TODAY()&gt;G631),TODAY()-G631,0)</x:f>
        <x:v>0</x:v>
      </x:c>
      <x:c r="N631" s="24" t="str">
        <x:f>IF(J631&gt;0,"미수",IF(AND(H631&gt;0,I631&gt;=H631),"완납","미확인"))</x:f>
        <x:v>미수</x:v>
      </x:c>
      <x:c r="O631" s="31" t="n">
        <x:v>34</x:v>
      </x:c>
    </x:row>
    <x:row r="632" ht="17.25" customHeight="1">
      <x:c r="A632" s="24" t="str">
        <x:v>SW-B-81소0566-202607</x:v>
      </x:c>
      <x:c r="B632" s="24" t="str">
        <x:v>스위치플랜</x:v>
      </x:c>
      <x:c r="C632" s="24" t="str">
        <x:v>SW-C-81소0566-1-20240130-34</x:v>
      </x:c>
      <x:c r="D632" s="24" t="str">
        <x:v>81소0566</x:v>
      </x:c>
      <x:c r="E632" s="24" t="str">
        <x:v>김승겸</x:v>
      </x:c>
      <x:c r="F632" s="24" t="str">
        <x:v>2026-07</x:v>
      </x:c>
      <x:c r="G632" s="30"/>
      <x:c r="H632" s="32" t="n">
        <x:v>580000</x:v>
      </x:c>
      <x:c r="I632" s="32" t="n">
        <x:v>580000</x:v>
      </x:c>
      <x:c r="J632" s="32" t="n">
        <x:v>580000</x:v>
      </x:c>
      <x:c r="K632" s="30" t="n">
        <x:v>46206</x:v>
      </x:c>
      <x:c r="L632" s="24" t="str">
        <x:v>입금</x:v>
      </x:c>
      <x:c r="M632" s="31" t="n">
        <x:f>IF(AND(N632="미수",G632&lt;&gt;"",TODAY()&gt;G632),TODAY()-G632,0)</x:f>
        <x:v>0</x:v>
      </x:c>
      <x:c r="N632" s="24" t="str">
        <x:f>IF(J632&gt;0,"미수",IF(AND(H632&gt;0,I632&gt;=H632),"완납","미확인"))</x:f>
        <x:v>미수</x:v>
      </x:c>
      <x:c r="O632" s="31" t="n">
        <x:v>34</x:v>
      </x:c>
    </x:row>
    <x:row r="633" ht="17.25" customHeight="1">
      <x:c r="A633" s="24" t="str">
        <x:v>SW-B-81소0566-202606</x:v>
      </x:c>
      <x:c r="B633" s="24" t="str">
        <x:v>스위치플랜</x:v>
      </x:c>
      <x:c r="C633" s="24" t="str">
        <x:v>SW-C-81소0566-1-20240130-34</x:v>
      </x:c>
      <x:c r="D633" s="24" t="str">
        <x:v>81소0566</x:v>
      </x:c>
      <x:c r="E633" s="24" t="str">
        <x:v>김승겸</x:v>
      </x:c>
      <x:c r="F633" s="24" t="str">
        <x:v>2026-06</x:v>
      </x:c>
      <x:c r="G633" s="30"/>
      <x:c r="H633" s="32" t="n">
        <x:v>580000</x:v>
      </x:c>
      <x:c r="I633" s="32" t="n">
        <x:v>580000</x:v>
      </x:c>
      <x:c r="J633" s="32" t="n">
        <x:v>580000</x:v>
      </x:c>
      <x:c r="K633" s="30" t="n">
        <x:v>46178</x:v>
      </x:c>
      <x:c r="L633" s="24" t="str">
        <x:v>입금</x:v>
      </x:c>
      <x:c r="M633" s="31" t="n">
        <x:f>IF(AND(N633="미수",G633&lt;&gt;"",TODAY()&gt;G633),TODAY()-G633,0)</x:f>
        <x:v>0</x:v>
      </x:c>
      <x:c r="N633" s="24" t="str">
        <x:f>IF(J633&gt;0,"미수",IF(AND(H633&gt;0,I633&gt;=H633),"완납","미확인"))</x:f>
        <x:v>미수</x:v>
      </x:c>
      <x:c r="O633" s="31" t="n">
        <x:v>34</x:v>
      </x:c>
    </x:row>
    <x:row r="634" ht="17.25" customHeight="1">
      <x:c r="A634" s="24" t="str">
        <x:v>SW-B-81소0566-202605</x:v>
      </x:c>
      <x:c r="B634" s="24" t="str">
        <x:v>스위치플랜</x:v>
      </x:c>
      <x:c r="C634" s="24" t="str">
        <x:v>SW-C-81소0566-1-20240130-34</x:v>
      </x:c>
      <x:c r="D634" s="24" t="str">
        <x:v>81소0566</x:v>
      </x:c>
      <x:c r="E634" s="24" t="str">
        <x:v>김승겸</x:v>
      </x:c>
      <x:c r="F634" s="24" t="str">
        <x:v>2026-05</x:v>
      </x:c>
      <x:c r="G634" s="30"/>
      <x:c r="H634" s="32" t="n">
        <x:v>580000</x:v>
      </x:c>
      <x:c r="I634" s="32" t="n">
        <x:v>580000</x:v>
      </x:c>
      <x:c r="J634" s="32" t="n">
        <x:v>580000</x:v>
      </x:c>
      <x:c r="K634" s="30" t="n">
        <x:v>46148</x:v>
      </x:c>
      <x:c r="L634" s="24" t="str">
        <x:v>입금</x:v>
      </x:c>
      <x:c r="M634" s="31" t="n">
        <x:f>IF(AND(N634="미수",G634&lt;&gt;"",TODAY()&gt;G634),TODAY()-G634,0)</x:f>
        <x:v>0</x:v>
      </x:c>
      <x:c r="N634" s="24" t="str">
        <x:f>IF(J634&gt;0,"미수",IF(AND(H634&gt;0,I634&gt;=H634),"완납","미확인"))</x:f>
        <x:v>미수</x:v>
      </x:c>
      <x:c r="O634" s="31" t="n">
        <x:v>34</x:v>
      </x:c>
    </x:row>
    <x:row r="635" ht="17.25" customHeight="1">
      <x:c r="A635" s="24" t="str">
        <x:v>SW-B-81소0566-202604</x:v>
      </x:c>
      <x:c r="B635" s="24" t="str">
        <x:v>스위치플랜</x:v>
      </x:c>
      <x:c r="C635" s="24" t="str">
        <x:v>SW-C-81소0566-1-20240130-34</x:v>
      </x:c>
      <x:c r="D635" s="24" t="str">
        <x:v>81소0566</x:v>
      </x:c>
      <x:c r="E635" s="24" t="str">
        <x:v>김승겸</x:v>
      </x:c>
      <x:c r="F635" s="24" t="str">
        <x:v>2026-04</x:v>
      </x:c>
      <x:c r="G635" s="30"/>
      <x:c r="H635" s="32" t="n">
        <x:v>580000</x:v>
      </x:c>
      <x:c r="I635" s="32" t="n">
        <x:v>580000</x:v>
      </x:c>
      <x:c r="J635" s="32" t="n">
        <x:v>580000</x:v>
      </x:c>
      <x:c r="K635" s="30" t="n">
        <x:v>46118</x:v>
      </x:c>
      <x:c r="L635" s="24" t="str">
        <x:v>입금</x:v>
      </x:c>
      <x:c r="M635" s="31" t="n">
        <x:f>IF(AND(N635="미수",G635&lt;&gt;"",TODAY()&gt;G635),TODAY()-G635,0)</x:f>
        <x:v>0</x:v>
      </x:c>
      <x:c r="N635" s="24" t="str">
        <x:f>IF(J635&gt;0,"미수",IF(AND(H635&gt;0,I635&gt;=H635),"완납","미확인"))</x:f>
        <x:v>미수</x:v>
      </x:c>
      <x:c r="O635" s="31" t="n">
        <x:v>34</x:v>
      </x:c>
    </x:row>
    <x:row r="636" ht="17.25" customHeight="1">
      <x:c r="A636" s="24" t="str">
        <x:v>SW-B-81소0566-202603</x:v>
      </x:c>
      <x:c r="B636" s="24" t="str">
        <x:v>스위치플랜</x:v>
      </x:c>
      <x:c r="C636" s="24" t="str">
        <x:v>SW-C-81소0566-1-20240130-34</x:v>
      </x:c>
      <x:c r="D636" s="24" t="str">
        <x:v>81소0566</x:v>
      </x:c>
      <x:c r="E636" s="24" t="str">
        <x:v>김승겸</x:v>
      </x:c>
      <x:c r="F636" s="24" t="str">
        <x:v>2026-03</x:v>
      </x:c>
      <x:c r="G636" s="30"/>
      <x:c r="H636" s="32" t="n">
        <x:v>580000</x:v>
      </x:c>
      <x:c r="I636" s="32" t="n">
        <x:v>580000</x:v>
      </x:c>
      <x:c r="J636" s="32" t="n">
        <x:v>580000</x:v>
      </x:c>
      <x:c r="K636" s="30" t="n">
        <x:v>46104</x:v>
      </x:c>
      <x:c r="L636" s="24" t="str">
        <x:v>입금</x:v>
      </x:c>
      <x:c r="M636" s="31" t="n">
        <x:f>IF(AND(N636="미수",G636&lt;&gt;"",TODAY()&gt;G636),TODAY()-G636,0)</x:f>
        <x:v>0</x:v>
      </x:c>
      <x:c r="N636" s="24" t="str">
        <x:f>IF(J636&gt;0,"미수",IF(AND(H636&gt;0,I636&gt;=H636),"완납","미확인"))</x:f>
        <x:v>미수</x:v>
      </x:c>
      <x:c r="O636" s="31" t="n">
        <x:v>34</x:v>
      </x:c>
    </x:row>
    <x:row r="637" ht="17.25" customHeight="1">
      <x:c r="A637" s="24" t="str">
        <x:v>SW-B-81소0566-202602</x:v>
      </x:c>
      <x:c r="B637" s="24" t="str">
        <x:v>스위치플랜</x:v>
      </x:c>
      <x:c r="C637" s="24" t="str">
        <x:v>SW-C-81소0566-1-20240130-34</x:v>
      </x:c>
      <x:c r="D637" s="24" t="str">
        <x:v>81소0566</x:v>
      </x:c>
      <x:c r="E637" s="24" t="str">
        <x:v>김승겸</x:v>
      </x:c>
      <x:c r="F637" s="24" t="str">
        <x:v>2026-02</x:v>
      </x:c>
      <x:c r="G637" s="30"/>
      <x:c r="H637" s="32" t="n">
        <x:v>580000</x:v>
      </x:c>
      <x:c r="I637" s="32" t="n">
        <x:v>580000</x:v>
      </x:c>
      <x:c r="J637" s="32" t="n">
        <x:v>580000</x:v>
      </x:c>
      <x:c r="K637" s="30" t="n">
        <x:v>46056</x:v>
      </x:c>
      <x:c r="L637" s="24" t="str">
        <x:v>입금</x:v>
      </x:c>
      <x:c r="M637" s="31" t="n">
        <x:f>IF(AND(N637="미수",G637&lt;&gt;"",TODAY()&gt;G637),TODAY()-G637,0)</x:f>
        <x:v>0</x:v>
      </x:c>
      <x:c r="N637" s="24" t="str">
        <x:f>IF(J637&gt;0,"미수",IF(AND(H637&gt;0,I637&gt;=H637),"완납","미확인"))</x:f>
        <x:v>미수</x:v>
      </x:c>
      <x:c r="O637" s="31" t="n">
        <x:v>34</x:v>
      </x:c>
    </x:row>
    <x:row r="638" ht="17.25" customHeight="1">
      <x:c r="A638" s="24" t="str">
        <x:v>SW-B-81소0566-202601</x:v>
      </x:c>
      <x:c r="B638" s="24" t="str">
        <x:v>스위치플랜</x:v>
      </x:c>
      <x:c r="C638" s="24" t="str">
        <x:v>SW-C-81소0566-1-20240130-34</x:v>
      </x:c>
      <x:c r="D638" s="24" t="str">
        <x:v>81소0566</x:v>
      </x:c>
      <x:c r="E638" s="24" t="str">
        <x:v>김승겸</x:v>
      </x:c>
      <x:c r="F638" s="24" t="str">
        <x:v>2026-01</x:v>
      </x:c>
      <x:c r="G638" s="30"/>
      <x:c r="H638" s="32" t="n">
        <x:v>580000</x:v>
      </x:c>
      <x:c r="I638" s="32" t="n">
        <x:v>580000</x:v>
      </x:c>
      <x:c r="J638" s="32" t="n">
        <x:v>580000</x:v>
      </x:c>
      <x:c r="K638" s="30" t="n">
        <x:v>46027</x:v>
      </x:c>
      <x:c r="L638" s="24" t="str">
        <x:v>입금</x:v>
      </x:c>
      <x:c r="M638" s="31" t="n">
        <x:f>IF(AND(N638="미수",G638&lt;&gt;"",TODAY()&gt;G638),TODAY()-G638,0)</x:f>
        <x:v>0</x:v>
      </x:c>
      <x:c r="N638" s="24" t="str">
        <x:f>IF(J638&gt;0,"미수",IF(AND(H638&gt;0,I638&gt;=H638),"완납","미확인"))</x:f>
        <x:v>미수</x:v>
      </x:c>
      <x:c r="O638" s="31" t="n">
        <x:v>34</x:v>
      </x:c>
    </x:row>
    <x:row r="639" ht="17.25" customHeight="1">
      <x:c r="A639" s="24" t="str">
        <x:v>SW-B-81소0566-202512</x:v>
      </x:c>
      <x:c r="B639" s="24" t="str">
        <x:v>스위치플랜</x:v>
      </x:c>
      <x:c r="C639" s="24" t="str">
        <x:v>SW-C-81소0566-1-20240130-34</x:v>
      </x:c>
      <x:c r="D639" s="24" t="str">
        <x:v>81소0566</x:v>
      </x:c>
      <x:c r="E639" s="24" t="str">
        <x:v>김승겸</x:v>
      </x:c>
      <x:c r="F639" s="24" t="str">
        <x:v>2025-12</x:v>
      </x:c>
      <x:c r="G639" s="30"/>
      <x:c r="H639" s="32" t="n">
        <x:v>580000</x:v>
      </x:c>
      <x:c r="I639" s="32" t="n">
        <x:v>580000</x:v>
      </x:c>
      <x:c r="J639" s="32" t="n">
        <x:v>580000</x:v>
      </x:c>
      <x:c r="K639" s="30" t="n">
        <x:v>45996</x:v>
      </x:c>
      <x:c r="L639" s="24" t="str">
        <x:v>입금</x:v>
      </x:c>
      <x:c r="M639" s="31" t="n">
        <x:f>IF(AND(N639="미수",G639&lt;&gt;"",TODAY()&gt;G639),TODAY()-G639,0)</x:f>
        <x:v>0</x:v>
      </x:c>
      <x:c r="N639" s="24" t="str">
        <x:f>IF(J639&gt;0,"미수",IF(AND(H639&gt;0,I639&gt;=H639),"완납","미확인"))</x:f>
        <x:v>미수</x:v>
      </x:c>
      <x:c r="O639" s="31" t="n">
        <x:v>34</x:v>
      </x:c>
    </x:row>
    <x:row r="640" ht="17.25" customHeight="1">
      <x:c r="A640" s="24" t="str">
        <x:v>SW-B-81소0566-202511</x:v>
      </x:c>
      <x:c r="B640" s="24" t="str">
        <x:v>스위치플랜</x:v>
      </x:c>
      <x:c r="C640" s="24" t="str">
        <x:v>SW-C-81소0566-1-20240130-34</x:v>
      </x:c>
      <x:c r="D640" s="24" t="str">
        <x:v>81소0566</x:v>
      </x:c>
      <x:c r="E640" s="24" t="str">
        <x:v>김승겸</x:v>
      </x:c>
      <x:c r="F640" s="24" t="str">
        <x:v>2025-11</x:v>
      </x:c>
      <x:c r="G640" s="30"/>
      <x:c r="H640" s="32" t="n">
        <x:v>580000</x:v>
      </x:c>
      <x:c r="I640" s="32"/>
      <x:c r="J640" s="32" t="n">
        <x:v>580000</x:v>
      </x:c>
      <x:c r="K640" s="30"/>
      <x:c r="L640" s="24" t="str"/>
      <x:c r="M640" s="31" t="n">
        <x:f>IF(AND(N640="미수",G640&lt;&gt;"",TODAY()&gt;G640),TODAY()-G640,0)</x:f>
        <x:v>0</x:v>
      </x:c>
      <x:c r="N640" s="24" t="str">
        <x:f>IF(J640&gt;0,"미수",IF(AND(H640&gt;0,I640&gt;=H640),"완납","미확인"))</x:f>
        <x:v>미수</x:v>
      </x:c>
      <x:c r="O640" s="31" t="n">
        <x:v>34</x:v>
      </x:c>
    </x:row>
    <x:row r="641" ht="17.25" customHeight="1">
      <x:c r="A641" s="24" t="str">
        <x:v>SW-B-81소0566-202510</x:v>
      </x:c>
      <x:c r="B641" s="24" t="str">
        <x:v>스위치플랜</x:v>
      </x:c>
      <x:c r="C641" s="24" t="str">
        <x:v>SW-C-81소0566-1-20240130-34</x:v>
      </x:c>
      <x:c r="D641" s="24" t="str">
        <x:v>81소0566</x:v>
      </x:c>
      <x:c r="E641" s="24" t="str">
        <x:v>김승겸</x:v>
      </x:c>
      <x:c r="F641" s="24" t="str">
        <x:v>2025-10</x:v>
      </x:c>
      <x:c r="G641" s="30"/>
      <x:c r="H641" s="32" t="n">
        <x:v>580000</x:v>
      </x:c>
      <x:c r="I641" s="32" t="n">
        <x:v>580000</x:v>
      </x:c>
      <x:c r="J641" s="32" t="n">
        <x:v>0</x:v>
      </x:c>
      <x:c r="K641" s="30" t="n">
        <x:v>45945</x:v>
      </x:c>
      <x:c r="L641" s="24" t="str">
        <x:v>입금</x:v>
      </x:c>
      <x:c r="M641" s="31" t="n">
        <x:f>IF(AND(N641="미수",G641&lt;&gt;"",TODAY()&gt;G641),TODAY()-G641,0)</x:f>
        <x:v>0</x:v>
      </x:c>
      <x:c r="N641" s="24" t="str">
        <x:f>IF(J641&gt;0,"미수",IF(AND(H641&gt;0,I641&gt;=H641),"완납","미확인"))</x:f>
        <x:v>완납</x:v>
      </x:c>
      <x:c r="O641" s="31" t="n">
        <x:v>34</x:v>
      </x:c>
    </x:row>
    <x:row r="642" ht="17.25" customHeight="1">
      <x:c r="A642" s="24" t="str">
        <x:v>SW-B-81소0566-202509</x:v>
      </x:c>
      <x:c r="B642" s="24" t="str">
        <x:v>스위치플랜</x:v>
      </x:c>
      <x:c r="C642" s="24" t="str">
        <x:v>SW-C-81소0566-1-20240130-34</x:v>
      </x:c>
      <x:c r="D642" s="24" t="str">
        <x:v>81소0566</x:v>
      </x:c>
      <x:c r="E642" s="24" t="str">
        <x:v>김승겸</x:v>
      </x:c>
      <x:c r="F642" s="24" t="str">
        <x:v>2025-09</x:v>
      </x:c>
      <x:c r="G642" s="30"/>
      <x:c r="H642" s="32" t="n">
        <x:v>580000</x:v>
      </x:c>
      <x:c r="I642" s="32" t="n">
        <x:v>580000</x:v>
      </x:c>
      <x:c r="J642" s="32" t="n">
        <x:v>0</x:v>
      </x:c>
      <x:c r="K642" s="30" t="n">
        <x:v>45901</x:v>
      </x:c>
      <x:c r="L642" s="24" t="str">
        <x:v>자동</x:v>
      </x:c>
      <x:c r="M642" s="31" t="n">
        <x:f>IF(AND(N642="미수",G642&lt;&gt;"",TODAY()&gt;G642),TODAY()-G642,0)</x:f>
        <x:v>0</x:v>
      </x:c>
      <x:c r="N642" s="24" t="str">
        <x:f>IF(J642&gt;0,"미수",IF(AND(H642&gt;0,I642&gt;=H642),"완납","미확인"))</x:f>
        <x:v>완납</x:v>
      </x:c>
      <x:c r="O642" s="31" t="n">
        <x:v>34</x:v>
      </x:c>
    </x:row>
    <x:row r="643" ht="17.25" customHeight="1">
      <x:c r="A643" s="24" t="str">
        <x:v>SW-B-81소0566-202508</x:v>
      </x:c>
      <x:c r="B643" s="24" t="str">
        <x:v>스위치플랜</x:v>
      </x:c>
      <x:c r="C643" s="24" t="str">
        <x:v>SW-C-81소0566-1-20240130-34</x:v>
      </x:c>
      <x:c r="D643" s="24" t="str">
        <x:v>81소0566</x:v>
      </x:c>
      <x:c r="E643" s="24" t="str">
        <x:v>김승겸</x:v>
      </x:c>
      <x:c r="F643" s="24" t="str">
        <x:v>2025-08</x:v>
      </x:c>
      <x:c r="G643" s="30"/>
      <x:c r="H643" s="32" t="n">
        <x:v>580000</x:v>
      </x:c>
      <x:c r="I643" s="32" t="n">
        <x:v>580000</x:v>
      </x:c>
      <x:c r="J643" s="32" t="n">
        <x:v>0</x:v>
      </x:c>
      <x:c r="K643" s="30" t="n">
        <x:v>45876</x:v>
      </x:c>
      <x:c r="L643" s="24" t="str">
        <x:v>입금</x:v>
      </x:c>
      <x:c r="M643" s="31" t="n">
        <x:f>IF(AND(N643="미수",G643&lt;&gt;"",TODAY()&gt;G643),TODAY()-G643,0)</x:f>
        <x:v>0</x:v>
      </x:c>
      <x:c r="N643" s="24" t="str">
        <x:f>IF(J643&gt;0,"미수",IF(AND(H643&gt;0,I643&gt;=H643),"완납","미확인"))</x:f>
        <x:v>완납</x:v>
      </x:c>
      <x:c r="O643" s="31" t="n">
        <x:v>34</x:v>
      </x:c>
    </x:row>
    <x:row r="644" ht="17.25" customHeight="1">
      <x:c r="A644" s="24" t="str">
        <x:v>SW-B-81소0566-202507</x:v>
      </x:c>
      <x:c r="B644" s="24" t="str">
        <x:v>스위치플랜</x:v>
      </x:c>
      <x:c r="C644" s="24" t="str">
        <x:v>SW-C-81소0566-1-20240130-34</x:v>
      </x:c>
      <x:c r="D644" s="24" t="str">
        <x:v>81소0566</x:v>
      </x:c>
      <x:c r="E644" s="24" t="str">
        <x:v>김승겸</x:v>
      </x:c>
      <x:c r="F644" s="24" t="str">
        <x:v>2025-07</x:v>
      </x:c>
      <x:c r="G644" s="30"/>
      <x:c r="H644" s="32" t="n">
        <x:v>580000</x:v>
      </x:c>
      <x:c r="I644" s="32" t="n">
        <x:v>580000</x:v>
      </x:c>
      <x:c r="J644" s="32" t="n">
        <x:v>0</x:v>
      </x:c>
      <x:c r="K644" s="30" t="n">
        <x:v>45841</x:v>
      </x:c>
      <x:c r="L644" s="24" t="str">
        <x:v>입금</x:v>
      </x:c>
      <x:c r="M644" s="31" t="n">
        <x:f>IF(AND(N644="미수",G644&lt;&gt;"",TODAY()&gt;G644),TODAY()-G644,0)</x:f>
        <x:v>0</x:v>
      </x:c>
      <x:c r="N644" s="24" t="str">
        <x:f>IF(J644&gt;0,"미수",IF(AND(H644&gt;0,I644&gt;=H644),"완납","미확인"))</x:f>
        <x:v>완납</x:v>
      </x:c>
      <x:c r="O644" s="31" t="n">
        <x:v>34</x:v>
      </x:c>
    </x:row>
    <x:row r="645" ht="17.25" customHeight="1">
      <x:c r="A645" s="24" t="str">
        <x:v>SW-B-81소0566-202506</x:v>
      </x:c>
      <x:c r="B645" s="24" t="str">
        <x:v>스위치플랜</x:v>
      </x:c>
      <x:c r="C645" s="24" t="str">
        <x:v>SW-C-81소0566-1-20240130-34</x:v>
      </x:c>
      <x:c r="D645" s="24" t="str">
        <x:v>81소0566</x:v>
      </x:c>
      <x:c r="E645" s="24" t="str">
        <x:v>김승겸</x:v>
      </x:c>
      <x:c r="F645" s="24" t="str">
        <x:v>2025-06</x:v>
      </x:c>
      <x:c r="G645" s="30"/>
      <x:c r="H645" s="32" t="n">
        <x:v>580000</x:v>
      </x:c>
      <x:c r="I645" s="32" t="n">
        <x:v>580000</x:v>
      </x:c>
      <x:c r="J645" s="32" t="n">
        <x:v>0</x:v>
      </x:c>
      <x:c r="K645" s="30" t="n">
        <x:v>45812</x:v>
      </x:c>
      <x:c r="L645" s="24" t="str">
        <x:v>입금</x:v>
      </x:c>
      <x:c r="M645" s="31" t="n">
        <x:f>IF(AND(N645="미수",G645&lt;&gt;"",TODAY()&gt;G645),TODAY()-G645,0)</x:f>
        <x:v>0</x:v>
      </x:c>
      <x:c r="N645" s="24" t="str">
        <x:f>IF(J645&gt;0,"미수",IF(AND(H645&gt;0,I645&gt;=H645),"완납","미확인"))</x:f>
        <x:v>완납</x:v>
      </x:c>
      <x:c r="O645" s="31" t="n">
        <x:v>34</x:v>
      </x:c>
    </x:row>
    <x:row r="646" ht="17.25" customHeight="1">
      <x:c r="A646" s="24" t="str">
        <x:v>SW-B-81소0566-202505</x:v>
      </x:c>
      <x:c r="B646" s="24" t="str">
        <x:v>스위치플랜</x:v>
      </x:c>
      <x:c r="C646" s="24" t="str">
        <x:v>SW-C-81소0566-1-20240130-34</x:v>
      </x:c>
      <x:c r="D646" s="24" t="str">
        <x:v>81소0566</x:v>
      </x:c>
      <x:c r="E646" s="24" t="str">
        <x:v>김승겸</x:v>
      </x:c>
      <x:c r="F646" s="24" t="str">
        <x:v>2025-05</x:v>
      </x:c>
      <x:c r="G646" s="30"/>
      <x:c r="H646" s="32" t="n">
        <x:v>580000</x:v>
      </x:c>
      <x:c r="I646" s="32" t="n">
        <x:v>580000</x:v>
      </x:c>
      <x:c r="J646" s="32" t="n">
        <x:v>0</x:v>
      </x:c>
      <x:c r="K646" s="30" t="n">
        <x:v>45784</x:v>
      </x:c>
      <x:c r="L646" s="24" t="str">
        <x:v>입금</x:v>
      </x:c>
      <x:c r="M646" s="31" t="n">
        <x:f>IF(AND(N646="미수",G646&lt;&gt;"",TODAY()&gt;G646),TODAY()-G646,0)</x:f>
        <x:v>0</x:v>
      </x:c>
      <x:c r="N646" s="24" t="str">
        <x:f>IF(J646&gt;0,"미수",IF(AND(H646&gt;0,I646&gt;=H646),"완납","미확인"))</x:f>
        <x:v>완납</x:v>
      </x:c>
      <x:c r="O646" s="31" t="n">
        <x:v>34</x:v>
      </x:c>
    </x:row>
    <x:row r="647" ht="17.25" customHeight="1">
      <x:c r="A647" s="24" t="str">
        <x:v>SW-B-81소0566-202504</x:v>
      </x:c>
      <x:c r="B647" s="24" t="str">
        <x:v>스위치플랜</x:v>
      </x:c>
      <x:c r="C647" s="24" t="str">
        <x:v>SW-C-81소0566-1-20240130-34</x:v>
      </x:c>
      <x:c r="D647" s="24" t="str">
        <x:v>81소0566</x:v>
      </x:c>
      <x:c r="E647" s="24" t="str">
        <x:v>김승겸</x:v>
      </x:c>
      <x:c r="F647" s="24" t="str">
        <x:v>2025-04</x:v>
      </x:c>
      <x:c r="G647" s="30"/>
      <x:c r="H647" s="32" t="n">
        <x:v>580000</x:v>
      </x:c>
      <x:c r="I647" s="32" t="n">
        <x:v>580000</x:v>
      </x:c>
      <x:c r="J647" s="32" t="n">
        <x:v>0</x:v>
      </x:c>
      <x:c r="K647" s="30" t="n">
        <x:v>45748</x:v>
      </x:c>
      <x:c r="L647" s="24" t="str">
        <x:v>입금</x:v>
      </x:c>
      <x:c r="M647" s="31" t="n">
        <x:f>IF(AND(N647="미수",G647&lt;&gt;"",TODAY()&gt;G647),TODAY()-G647,0)</x:f>
        <x:v>0</x:v>
      </x:c>
      <x:c r="N647" s="24" t="str">
        <x:f>IF(J647&gt;0,"미수",IF(AND(H647&gt;0,I647&gt;=H647),"완납","미확인"))</x:f>
        <x:v>완납</x:v>
      </x:c>
      <x:c r="O647" s="31" t="n">
        <x:v>34</x:v>
      </x:c>
    </x:row>
    <x:row r="648" ht="17.25" customHeight="1">
      <x:c r="A648" s="24" t="str">
        <x:v>SW-B-81소0566-202503</x:v>
      </x:c>
      <x:c r="B648" s="24" t="str">
        <x:v>스위치플랜</x:v>
      </x:c>
      <x:c r="C648" s="24" t="str">
        <x:v>SW-C-81소0566-1-20240130-34</x:v>
      </x:c>
      <x:c r="D648" s="24" t="str">
        <x:v>81소0566</x:v>
      </x:c>
      <x:c r="E648" s="24" t="str">
        <x:v>김승겸</x:v>
      </x:c>
      <x:c r="F648" s="24" t="str">
        <x:v>2025-03</x:v>
      </x:c>
      <x:c r="G648" s="30"/>
      <x:c r="H648" s="32" t="n">
        <x:v>580000</x:v>
      </x:c>
      <x:c r="I648" s="32" t="n">
        <x:v>580000</x:v>
      </x:c>
      <x:c r="J648" s="32" t="n">
        <x:v>0</x:v>
      </x:c>
      <x:c r="K648" s="30" t="n">
        <x:v>45720</x:v>
      </x:c>
      <x:c r="L648" s="24" t="str">
        <x:v>입금</x:v>
      </x:c>
      <x:c r="M648" s="31" t="n">
        <x:f>IF(AND(N648="미수",G648&lt;&gt;"",TODAY()&gt;G648),TODAY()-G648,0)</x:f>
        <x:v>0</x:v>
      </x:c>
      <x:c r="N648" s="24" t="str">
        <x:f>IF(J648&gt;0,"미수",IF(AND(H648&gt;0,I648&gt;=H648),"완납","미확인"))</x:f>
        <x:v>완납</x:v>
      </x:c>
      <x:c r="O648" s="31" t="n">
        <x:v>34</x:v>
      </x:c>
    </x:row>
    <x:row r="649" ht="17.25" customHeight="1">
      <x:c r="A649" s="24" t="str">
        <x:v>SW-B-81소0566-202502</x:v>
      </x:c>
      <x:c r="B649" s="24" t="str">
        <x:v>스위치플랜</x:v>
      </x:c>
      <x:c r="C649" s="24" t="str">
        <x:v>SW-C-81소0566-1-20240130-34</x:v>
      </x:c>
      <x:c r="D649" s="24" t="str">
        <x:v>81소0566</x:v>
      </x:c>
      <x:c r="E649" s="24" t="str">
        <x:v>김승겸</x:v>
      </x:c>
      <x:c r="F649" s="24" t="str">
        <x:v>2025-02</x:v>
      </x:c>
      <x:c r="G649" s="30"/>
      <x:c r="H649" s="32" t="n">
        <x:v>580000</x:v>
      </x:c>
      <x:c r="I649" s="32" t="n">
        <x:v>580000</x:v>
      </x:c>
      <x:c r="J649" s="32" t="n">
        <x:v>0</x:v>
      </x:c>
      <x:c r="K649" s="30" t="n">
        <x:v>45692</x:v>
      </x:c>
      <x:c r="L649" s="24" t="str">
        <x:v>입금</x:v>
      </x:c>
      <x:c r="M649" s="31" t="n">
        <x:f>IF(AND(N649="미수",G649&lt;&gt;"",TODAY()&gt;G649),TODAY()-G649,0)</x:f>
        <x:v>0</x:v>
      </x:c>
      <x:c r="N649" s="24" t="str">
        <x:f>IF(J649&gt;0,"미수",IF(AND(H649&gt;0,I649&gt;=H649),"완납","미확인"))</x:f>
        <x:v>완납</x:v>
      </x:c>
      <x:c r="O649" s="31" t="n">
        <x:v>34</x:v>
      </x:c>
    </x:row>
    <x:row r="650" ht="17.25" customHeight="1">
      <x:c r="A650" s="24" t="str">
        <x:v>SW-B-81소0566-202501</x:v>
      </x:c>
      <x:c r="B650" s="24" t="str">
        <x:v>스위치플랜</x:v>
      </x:c>
      <x:c r="C650" s="24" t="str">
        <x:v>SW-C-81소0566-1-20240130-34</x:v>
      </x:c>
      <x:c r="D650" s="24" t="str">
        <x:v>81소0566</x:v>
      </x:c>
      <x:c r="E650" s="24" t="str">
        <x:v>김승겸</x:v>
      </x:c>
      <x:c r="F650" s="24" t="str">
        <x:v>2025-01</x:v>
      </x:c>
      <x:c r="G650" s="30"/>
      <x:c r="H650" s="32" t="n">
        <x:v>580000</x:v>
      </x:c>
      <x:c r="I650" s="32" t="n">
        <x:v>580000</x:v>
      </x:c>
      <x:c r="J650" s="32" t="n">
        <x:v>0</x:v>
      </x:c>
      <x:c r="K650" s="30" t="n">
        <x:v>45659</x:v>
      </x:c>
      <x:c r="L650" s="24" t="str">
        <x:v>입금</x:v>
      </x:c>
      <x:c r="M650" s="31" t="n">
        <x:f>IF(AND(N650="미수",G650&lt;&gt;"",TODAY()&gt;G650),TODAY()-G650,0)</x:f>
        <x:v>0</x:v>
      </x:c>
      <x:c r="N650" s="24" t="str">
        <x:f>IF(J650&gt;0,"미수",IF(AND(H650&gt;0,I650&gt;=H650),"완납","미확인"))</x:f>
        <x:v>완납</x:v>
      </x:c>
      <x:c r="O650" s="31" t="n">
        <x:v>34</x:v>
      </x:c>
    </x:row>
    <x:row r="651" ht="17.25" customHeight="1">
      <x:c r="A651" s="24" t="str">
        <x:v>SW-B-81소0566-202412</x:v>
      </x:c>
      <x:c r="B651" s="24" t="str">
        <x:v>스위치플랜</x:v>
      </x:c>
      <x:c r="C651" s="24" t="str">
        <x:v>SW-C-81소0566-1-20240130-34</x:v>
      </x:c>
      <x:c r="D651" s="24" t="str">
        <x:v>81소0566</x:v>
      </x:c>
      <x:c r="E651" s="24" t="str">
        <x:v>김승겸</x:v>
      </x:c>
      <x:c r="F651" s="24" t="str">
        <x:v>2024-12</x:v>
      </x:c>
      <x:c r="G651" s="30"/>
      <x:c r="H651" s="32" t="n">
        <x:v>580000</x:v>
      </x:c>
      <x:c r="I651" s="32" t="n">
        <x:v>580000</x:v>
      </x:c>
      <x:c r="J651" s="32" t="n">
        <x:v>0</x:v>
      </x:c>
      <x:c r="K651" s="30" t="n">
        <x:v>45628</x:v>
      </x:c>
      <x:c r="L651" s="24" t="str">
        <x:v>입금</x:v>
      </x:c>
      <x:c r="M651" s="31" t="n">
        <x:f>IF(AND(N651="미수",G651&lt;&gt;"",TODAY()&gt;G651),TODAY()-G651,0)</x:f>
        <x:v>0</x:v>
      </x:c>
      <x:c r="N651" s="24" t="str">
        <x:f>IF(J651&gt;0,"미수",IF(AND(H651&gt;0,I651&gt;=H651),"완납","미확인"))</x:f>
        <x:v>완납</x:v>
      </x:c>
      <x:c r="O651" s="31" t="n">
        <x:v>34</x:v>
      </x:c>
    </x:row>
    <x:row r="652" ht="17.25" customHeight="1">
      <x:c r="A652" s="24" t="str">
        <x:v>SW-B-81소0566-202411</x:v>
      </x:c>
      <x:c r="B652" s="24" t="str">
        <x:v>스위치플랜</x:v>
      </x:c>
      <x:c r="C652" s="24" t="str">
        <x:v>SW-C-81소0566-1-20240130-34</x:v>
      </x:c>
      <x:c r="D652" s="24" t="str">
        <x:v>81소0566</x:v>
      </x:c>
      <x:c r="E652" s="24" t="str">
        <x:v>김승겸</x:v>
      </x:c>
      <x:c r="F652" s="24" t="str">
        <x:v>2024-11</x:v>
      </x:c>
      <x:c r="G652" s="30"/>
      <x:c r="H652" s="32" t="n">
        <x:v>580000</x:v>
      </x:c>
      <x:c r="I652" s="32" t="n">
        <x:v>580000</x:v>
      </x:c>
      <x:c r="J652" s="32" t="n">
        <x:v>0</x:v>
      </x:c>
      <x:c r="K652" s="30" t="n">
        <x:v>45628</x:v>
      </x:c>
      <x:c r="L652" s="24" t="str">
        <x:v>입금</x:v>
      </x:c>
      <x:c r="M652" s="31" t="n">
        <x:f>IF(AND(N652="미수",G652&lt;&gt;"",TODAY()&gt;G652),TODAY()-G652,0)</x:f>
        <x:v>0</x:v>
      </x:c>
      <x:c r="N652" s="24" t="str">
        <x:f>IF(J652&gt;0,"미수",IF(AND(H652&gt;0,I652&gt;=H652),"완납","미확인"))</x:f>
        <x:v>완납</x:v>
      </x:c>
      <x:c r="O652" s="31" t="n">
        <x:v>34</x:v>
      </x:c>
    </x:row>
    <x:row r="653" ht="17.25" customHeight="1">
      <x:c r="A653" s="24" t="str">
        <x:v>SW-B-81소0566-202410</x:v>
      </x:c>
      <x:c r="B653" s="24" t="str">
        <x:v>스위치플랜</x:v>
      </x:c>
      <x:c r="C653" s="24" t="str">
        <x:v>SW-C-81소0566-1-20240130-34</x:v>
      </x:c>
      <x:c r="D653" s="24" t="str">
        <x:v>81소0566</x:v>
      </x:c>
      <x:c r="E653" s="24" t="str">
        <x:v>김승겸</x:v>
      </x:c>
      <x:c r="F653" s="24" t="str">
        <x:v>2024-10</x:v>
      </x:c>
      <x:c r="G653" s="30"/>
      <x:c r="H653" s="32" t="n">
        <x:v>580000</x:v>
      </x:c>
      <x:c r="I653" s="32" t="n">
        <x:v>580000</x:v>
      </x:c>
      <x:c r="J653" s="32" t="n">
        <x:v>0</x:v>
      </x:c>
      <x:c r="K653" s="30" t="n">
        <x:v>45597</x:v>
      </x:c>
      <x:c r="L653" s="24" t="str">
        <x:v>입금</x:v>
      </x:c>
      <x:c r="M653" s="31" t="n">
        <x:f>IF(AND(N653="미수",G653&lt;&gt;"",TODAY()&gt;G653),TODAY()-G653,0)</x:f>
        <x:v>0</x:v>
      </x:c>
      <x:c r="N653" s="24" t="str">
        <x:f>IF(J653&gt;0,"미수",IF(AND(H653&gt;0,I653&gt;=H653),"완납","미확인"))</x:f>
        <x:v>완납</x:v>
      </x:c>
      <x:c r="O653" s="31" t="n">
        <x:v>34</x:v>
      </x:c>
    </x:row>
    <x:row r="654" ht="17.25" customHeight="1">
      <x:c r="A654" s="24" t="str">
        <x:v>SW-B-81소0566-202409</x:v>
      </x:c>
      <x:c r="B654" s="24" t="str">
        <x:v>스위치플랜</x:v>
      </x:c>
      <x:c r="C654" s="24" t="str">
        <x:v>SW-C-81소0566-1-20240130-34</x:v>
      </x:c>
      <x:c r="D654" s="24" t="str">
        <x:v>81소0566</x:v>
      </x:c>
      <x:c r="E654" s="24" t="str">
        <x:v>김승겸</x:v>
      </x:c>
      <x:c r="F654" s="24" t="str">
        <x:v>2024-09</x:v>
      </x:c>
      <x:c r="G654" s="30"/>
      <x:c r="H654" s="32" t="n">
        <x:v>580000</x:v>
      </x:c>
      <x:c r="I654" s="32" t="n">
        <x:v>580000</x:v>
      </x:c>
      <x:c r="J654" s="32" t="n">
        <x:v>0</x:v>
      </x:c>
      <x:c r="K654" s="30" t="n">
        <x:v>45562</x:v>
      </x:c>
      <x:c r="L654" s="24" t="str">
        <x:v>입금</x:v>
      </x:c>
      <x:c r="M654" s="31" t="n">
        <x:f>IF(AND(N654="미수",G654&lt;&gt;"",TODAY()&gt;G654),TODAY()-G654,0)</x:f>
        <x:v>0</x:v>
      </x:c>
      <x:c r="N654" s="24" t="str">
        <x:f>IF(J654&gt;0,"미수",IF(AND(H654&gt;0,I654&gt;=H654),"완납","미확인"))</x:f>
        <x:v>완납</x:v>
      </x:c>
      <x:c r="O654" s="31" t="n">
        <x:v>34</x:v>
      </x:c>
    </x:row>
    <x:row r="655" ht="17.25" customHeight="1">
      <x:c r="A655" s="24" t="str">
        <x:v>SW-B-81소0566-202408</x:v>
      </x:c>
      <x:c r="B655" s="24" t="str">
        <x:v>스위치플랜</x:v>
      </x:c>
      <x:c r="C655" s="24" t="str">
        <x:v>SW-C-81소0566-1-20240130-34</x:v>
      </x:c>
      <x:c r="D655" s="24" t="str">
        <x:v>81소0566</x:v>
      </x:c>
      <x:c r="E655" s="24" t="str">
        <x:v>김승겸</x:v>
      </x:c>
      <x:c r="F655" s="24" t="str">
        <x:v>2024-08</x:v>
      </x:c>
      <x:c r="G655" s="30"/>
      <x:c r="H655" s="32" t="n">
        <x:v>580000</x:v>
      </x:c>
      <x:c r="I655" s="32" t="n">
        <x:v>580000</x:v>
      </x:c>
      <x:c r="J655" s="32" t="n">
        <x:v>0</x:v>
      </x:c>
      <x:c r="K655" s="30" t="n">
        <x:v>45533</x:v>
      </x:c>
      <x:c r="L655" s="24" t="str">
        <x:v>입금</x:v>
      </x:c>
      <x:c r="M655" s="31" t="n">
        <x:f>IF(AND(N655="미수",G655&lt;&gt;"",TODAY()&gt;G655),TODAY()-G655,0)</x:f>
        <x:v>0</x:v>
      </x:c>
      <x:c r="N655" s="24" t="str">
        <x:f>IF(J655&gt;0,"미수",IF(AND(H655&gt;0,I655&gt;=H655),"완납","미확인"))</x:f>
        <x:v>완납</x:v>
      </x:c>
      <x:c r="O655" s="31" t="n">
        <x:v>34</x:v>
      </x:c>
    </x:row>
    <x:row r="656" ht="17.25" customHeight="1">
      <x:c r="A656" s="24" t="str">
        <x:v>SW-B-81소0566-202407</x:v>
      </x:c>
      <x:c r="B656" s="24" t="str">
        <x:v>스위치플랜</x:v>
      </x:c>
      <x:c r="C656" s="24" t="str">
        <x:v>SW-C-81소0566-1-20240130-34</x:v>
      </x:c>
      <x:c r="D656" s="24" t="str">
        <x:v>81소0566</x:v>
      </x:c>
      <x:c r="E656" s="24" t="str">
        <x:v>김승겸</x:v>
      </x:c>
      <x:c r="F656" s="24" t="str">
        <x:v>2024-07</x:v>
      </x:c>
      <x:c r="G656" s="30"/>
      <x:c r="H656" s="32" t="n">
        <x:v>580000</x:v>
      </x:c>
      <x:c r="I656" s="32" t="n">
        <x:v>580000</x:v>
      </x:c>
      <x:c r="J656" s="32" t="n">
        <x:v>0</x:v>
      </x:c>
      <x:c r="K656" s="30" t="n">
        <x:v>45505</x:v>
      </x:c>
      <x:c r="L656" s="24" t="str">
        <x:v>입금</x:v>
      </x:c>
      <x:c r="M656" s="31" t="n">
        <x:f>IF(AND(N656="미수",G656&lt;&gt;"",TODAY()&gt;G656),TODAY()-G656,0)</x:f>
        <x:v>0</x:v>
      </x:c>
      <x:c r="N656" s="24" t="str">
        <x:f>IF(J656&gt;0,"미수",IF(AND(H656&gt;0,I656&gt;=H656),"완납","미확인"))</x:f>
        <x:v>완납</x:v>
      </x:c>
      <x:c r="O656" s="31" t="n">
        <x:v>34</x:v>
      </x:c>
    </x:row>
    <x:row r="657" ht="17.25" customHeight="1">
      <x:c r="A657" s="24" t="str">
        <x:v>SW-B-81소0566-202406</x:v>
      </x:c>
      <x:c r="B657" s="24" t="str">
        <x:v>스위치플랜</x:v>
      </x:c>
      <x:c r="C657" s="24" t="str">
        <x:v>SW-C-81소0566-1-20240130-34</x:v>
      </x:c>
      <x:c r="D657" s="24" t="str">
        <x:v>81소0566</x:v>
      </x:c>
      <x:c r="E657" s="24" t="str">
        <x:v>김승겸</x:v>
      </x:c>
      <x:c r="F657" s="24" t="str">
        <x:v>2024-06</x:v>
      </x:c>
      <x:c r="G657" s="30"/>
      <x:c r="H657" s="32" t="n">
        <x:v>580000</x:v>
      </x:c>
      <x:c r="I657" s="32" t="n">
        <x:v>580000</x:v>
      </x:c>
      <x:c r="J657" s="32" t="n">
        <x:v>0</x:v>
      </x:c>
      <x:c r="K657" s="30" t="n">
        <x:v>45474</x:v>
      </x:c>
      <x:c r="L657" s="24" t="str">
        <x:v>입금</x:v>
      </x:c>
      <x:c r="M657" s="31" t="n">
        <x:f>IF(AND(N657="미수",G657&lt;&gt;"",TODAY()&gt;G657),TODAY()-G657,0)</x:f>
        <x:v>0</x:v>
      </x:c>
      <x:c r="N657" s="24" t="str">
        <x:f>IF(J657&gt;0,"미수",IF(AND(H657&gt;0,I657&gt;=H657),"완납","미확인"))</x:f>
        <x:v>완납</x:v>
      </x:c>
      <x:c r="O657" s="31" t="n">
        <x:v>34</x:v>
      </x:c>
    </x:row>
    <x:row r="658" ht="17.25" customHeight="1">
      <x:c r="A658" s="24" t="str">
        <x:v>SW-B-81소0566-202405</x:v>
      </x:c>
      <x:c r="B658" s="24" t="str">
        <x:v>스위치플랜</x:v>
      </x:c>
      <x:c r="C658" s="24" t="str">
        <x:v>SW-C-81소0566-1-20240130-34</x:v>
      </x:c>
      <x:c r="D658" s="24" t="str">
        <x:v>81소0566</x:v>
      </x:c>
      <x:c r="E658" s="24" t="str">
        <x:v>김승겸</x:v>
      </x:c>
      <x:c r="F658" s="24" t="str">
        <x:v>2024-05</x:v>
      </x:c>
      <x:c r="G658" s="30"/>
      <x:c r="H658" s="32" t="n">
        <x:v>580000</x:v>
      </x:c>
      <x:c r="I658" s="32" t="n">
        <x:v>580000</x:v>
      </x:c>
      <x:c r="J658" s="32" t="n">
        <x:v>0</x:v>
      </x:c>
      <x:c r="K658" s="30" t="n">
        <x:v>45447</x:v>
      </x:c>
      <x:c r="L658" s="24" t="str">
        <x:v>입금</x:v>
      </x:c>
      <x:c r="M658" s="31" t="n">
        <x:f>IF(AND(N658="미수",G658&lt;&gt;"",TODAY()&gt;G658),TODAY()-G658,0)</x:f>
        <x:v>0</x:v>
      </x:c>
      <x:c r="N658" s="24" t="str">
        <x:f>IF(J658&gt;0,"미수",IF(AND(H658&gt;0,I658&gt;=H658),"완납","미확인"))</x:f>
        <x:v>완납</x:v>
      </x:c>
      <x:c r="O658" s="31" t="n">
        <x:v>34</x:v>
      </x:c>
    </x:row>
    <x:row r="659" ht="17.25" customHeight="1">
      <x:c r="A659" s="24" t="str">
        <x:v>SW-B-81소0566-202404</x:v>
      </x:c>
      <x:c r="B659" s="24" t="str">
        <x:v>스위치플랜</x:v>
      </x:c>
      <x:c r="C659" s="24" t="str">
        <x:v>SW-C-81소0566-1-20240130-34</x:v>
      </x:c>
      <x:c r="D659" s="24" t="str">
        <x:v>81소0566</x:v>
      </x:c>
      <x:c r="E659" s="24" t="str">
        <x:v>김승겸</x:v>
      </x:c>
      <x:c r="F659" s="24" t="str">
        <x:v>2024-04</x:v>
      </x:c>
      <x:c r="G659" s="30"/>
      <x:c r="H659" s="32" t="n">
        <x:v>580000</x:v>
      </x:c>
      <x:c r="I659" s="32" t="n">
        <x:v>580000</x:v>
      </x:c>
      <x:c r="J659" s="32" t="n">
        <x:v>0</x:v>
      </x:c>
      <x:c r="K659" s="30" t="n">
        <x:v>45413</x:v>
      </x:c>
      <x:c r="L659" s="24" t="str">
        <x:v>입금</x:v>
      </x:c>
      <x:c r="M659" s="31" t="n">
        <x:f>IF(AND(N659="미수",G659&lt;&gt;"",TODAY()&gt;G659),TODAY()-G659,0)</x:f>
        <x:v>0</x:v>
      </x:c>
      <x:c r="N659" s="24" t="str">
        <x:f>IF(J659&gt;0,"미수",IF(AND(H659&gt;0,I659&gt;=H659),"완납","미확인"))</x:f>
        <x:v>완납</x:v>
      </x:c>
      <x:c r="O659" s="31" t="n">
        <x:v>34</x:v>
      </x:c>
    </x:row>
    <x:row r="660" ht="17.25" customHeight="1">
      <x:c r="A660" s="24" t="str">
        <x:v>SW-B-81소0566-202403</x:v>
      </x:c>
      <x:c r="B660" s="24" t="str">
        <x:v>스위치플랜</x:v>
      </x:c>
      <x:c r="C660" s="24" t="str">
        <x:v>SW-C-81소0566-1-20240130-34</x:v>
      </x:c>
      <x:c r="D660" s="24" t="str">
        <x:v>81소0566</x:v>
      </x:c>
      <x:c r="E660" s="24" t="str">
        <x:v>김승겸</x:v>
      </x:c>
      <x:c r="F660" s="24" t="str">
        <x:v>2024-03</x:v>
      </x:c>
      <x:c r="G660" s="30"/>
      <x:c r="H660" s="32" t="n">
        <x:v>580000</x:v>
      </x:c>
      <x:c r="I660" s="32" t="n">
        <x:v>580000</x:v>
      </x:c>
      <x:c r="J660" s="32" t="n">
        <x:v>0</x:v>
      </x:c>
      <x:c r="K660" s="30" t="n">
        <x:v>45383</x:v>
      </x:c>
      <x:c r="L660" s="24" t="str">
        <x:v>입금</x:v>
      </x:c>
      <x:c r="M660" s="31" t="n">
        <x:f>IF(AND(N660="미수",G660&lt;&gt;"",TODAY()&gt;G660),TODAY()-G660,0)</x:f>
        <x:v>0</x:v>
      </x:c>
      <x:c r="N660" s="24" t="str">
        <x:f>IF(J660&gt;0,"미수",IF(AND(H660&gt;0,I660&gt;=H660),"완납","미확인"))</x:f>
        <x:v>완납</x:v>
      </x:c>
      <x:c r="O660" s="31" t="n">
        <x:v>34</x:v>
      </x:c>
    </x:row>
    <x:row r="661" ht="17.25" customHeight="1">
      <x:c r="A661" s="24" t="str">
        <x:v>SW-B-81소0566-202402</x:v>
      </x:c>
      <x:c r="B661" s="24" t="str">
        <x:v>스위치플랜</x:v>
      </x:c>
      <x:c r="C661" s="24" t="str">
        <x:v>SW-C-81소0566-1-20240130-34</x:v>
      </x:c>
      <x:c r="D661" s="24" t="str">
        <x:v>81소0566</x:v>
      </x:c>
      <x:c r="E661" s="24" t="str">
        <x:v>김승겸</x:v>
      </x:c>
      <x:c r="F661" s="24" t="str">
        <x:v>2024-02</x:v>
      </x:c>
      <x:c r="G661" s="30"/>
      <x:c r="H661" s="32" t="n">
        <x:v>580000</x:v>
      </x:c>
      <x:c r="I661" s="32" t="n">
        <x:v>580000</x:v>
      </x:c>
      <x:c r="J661" s="32" t="n">
        <x:v>0</x:v>
      </x:c>
      <x:c r="K661" s="30" t="n">
        <x:v>45351</x:v>
      </x:c>
      <x:c r="L661" s="24" t="str">
        <x:v>자동</x:v>
      </x:c>
      <x:c r="M661" s="31" t="n">
        <x:f>IF(AND(N661="미수",G661&lt;&gt;"",TODAY()&gt;G661),TODAY()-G661,0)</x:f>
        <x:v>0</x:v>
      </x:c>
      <x:c r="N661" s="24" t="str">
        <x:f>IF(J661&gt;0,"미수",IF(AND(H661&gt;0,I661&gt;=H661),"완납","미확인"))</x:f>
        <x:v>완납</x:v>
      </x:c>
      <x:c r="O661" s="31" t="n">
        <x:v>34</x:v>
      </x:c>
    </x:row>
    <x:row r="662" ht="17.25" customHeight="1">
      <x:c r="A662" s="24" t="str">
        <x:v>SW-B-81소0566-202401</x:v>
      </x:c>
      <x:c r="B662" s="24" t="str">
        <x:v>스위치플랜</x:v>
      </x:c>
      <x:c r="C662" s="24" t="str">
        <x:v>SW-C-81소0566-1-20240130-34</x:v>
      </x:c>
      <x:c r="D662" s="24" t="str">
        <x:v>81소0566</x:v>
      </x:c>
      <x:c r="E662" s="24" t="str">
        <x:v>김승겸</x:v>
      </x:c>
      <x:c r="F662" s="24" t="str">
        <x:v>2024-01</x:v>
      </x:c>
      <x:c r="G662" s="30"/>
      <x:c r="H662" s="32" t="n">
        <x:v>580000</x:v>
      </x:c>
      <x:c r="I662" s="32" t="n">
        <x:v>580000</x:v>
      </x:c>
      <x:c r="J662" s="32" t="n">
        <x:v>0</x:v>
      </x:c>
      <x:c r="K662" s="30" t="n">
        <x:v>45320</x:v>
      </x:c>
      <x:c r="L662" s="24" t="str">
        <x:v>입금</x:v>
      </x:c>
      <x:c r="M662" s="31" t="n">
        <x:f>IF(AND(N662="미수",G662&lt;&gt;"",TODAY()&gt;G662),TODAY()-G662,0)</x:f>
        <x:v>0</x:v>
      </x:c>
      <x:c r="N662" s="24" t="str">
        <x:f>IF(J662&gt;0,"미수",IF(AND(H662&gt;0,I662&gt;=H662),"완납","미확인"))</x:f>
        <x:v>완납</x:v>
      </x:c>
      <x:c r="O662" s="31" t="n">
        <x:v>34</x:v>
      </x:c>
    </x:row>
    <x:row r="663" ht="17.25" customHeight="1">
      <x:c r="A663" s="24" t="str">
        <x:v>SW-B-89너4007-202608</x:v>
      </x:c>
      <x:c r="B663" s="24" t="str">
        <x:v>스위치플랜</x:v>
      </x:c>
      <x:c r="C663" s="24" t="str">
        <x:v>SW-C-89너4007-1-NA-35</x:v>
      </x:c>
      <x:c r="D663" s="24" t="str">
        <x:v>89너4007</x:v>
      </x:c>
      <x:c r="E663" s="24" t="str">
        <x:v>박영현</x:v>
      </x:c>
      <x:c r="F663" s="24" t="str">
        <x:v>2026-08</x:v>
      </x:c>
      <x:c r="G663" s="30"/>
      <x:c r="H663" s="32" t="n">
        <x:v>0</x:v>
      </x:c>
      <x:c r="I663" s="32"/>
      <x:c r="J663" s="32" t="n">
        <x:v>0</x:v>
      </x:c>
      <x:c r="K663" s="30"/>
      <x:c r="L663" s="24" t="str"/>
      <x:c r="M663" s="31" t="n">
        <x:f>IF(AND(N663="미수",G663&lt;&gt;"",TODAY()&gt;G663),TODAY()-G663,0)</x:f>
        <x:v>0</x:v>
      </x:c>
      <x:c r="N663" s="24" t="str">
        <x:f>IF(J663&gt;0,"미수",IF(AND(H663&gt;0,I663&gt;=H663),"완납","미확인"))</x:f>
        <x:v>미확인</x:v>
      </x:c>
      <x:c r="O663" s="31" t="n">
        <x:v>35</x:v>
      </x:c>
    </x:row>
    <x:row r="664" ht="17.25" customHeight="1">
      <x:c r="A664" s="24" t="str">
        <x:v>SW-B-89너4007-202607</x:v>
      </x:c>
      <x:c r="B664" s="24" t="str">
        <x:v>스위치플랜</x:v>
      </x:c>
      <x:c r="C664" s="24" t="str">
        <x:v>SW-C-89너4007-1-NA-35</x:v>
      </x:c>
      <x:c r="D664" s="24" t="str">
        <x:v>89너4007</x:v>
      </x:c>
      <x:c r="E664" s="24" t="str">
        <x:v>박영현</x:v>
      </x:c>
      <x:c r="F664" s="24" t="str">
        <x:v>2026-07</x:v>
      </x:c>
      <x:c r="G664" s="30"/>
      <x:c r="H664" s="32" t="n">
        <x:v>0</x:v>
      </x:c>
      <x:c r="I664" s="32"/>
      <x:c r="J664" s="32" t="n">
        <x:v>0</x:v>
      </x:c>
      <x:c r="K664" s="30"/>
      <x:c r="L664" s="24" t="str"/>
      <x:c r="M664" s="31" t="n">
        <x:f>IF(AND(N664="미수",G664&lt;&gt;"",TODAY()&gt;G664),TODAY()-G664,0)</x:f>
        <x:v>0</x:v>
      </x:c>
      <x:c r="N664" s="24" t="str">
        <x:f>IF(J664&gt;0,"미수",IF(AND(H664&gt;0,I664&gt;=H664),"완납","미확인"))</x:f>
        <x:v>미확인</x:v>
      </x:c>
      <x:c r="O664" s="31" t="n">
        <x:v>35</x:v>
      </x:c>
    </x:row>
    <x:row r="665" ht="17.25" customHeight="1">
      <x:c r="A665" s="24" t="str">
        <x:v>SW-B-89너4007-202606</x:v>
      </x:c>
      <x:c r="B665" s="24" t="str">
        <x:v>스위치플랜</x:v>
      </x:c>
      <x:c r="C665" s="24" t="str">
        <x:v>SW-C-89너4007-1-NA-35</x:v>
      </x:c>
      <x:c r="D665" s="24" t="str">
        <x:v>89너4007</x:v>
      </x:c>
      <x:c r="E665" s="24" t="str">
        <x:v>박영현</x:v>
      </x:c>
      <x:c r="F665" s="24" t="str">
        <x:v>2026-06</x:v>
      </x:c>
      <x:c r="G665" s="30"/>
      <x:c r="H665" s="32" t="n">
        <x:v>0</x:v>
      </x:c>
      <x:c r="I665" s="32"/>
      <x:c r="J665" s="32" t="n">
        <x:v>0</x:v>
      </x:c>
      <x:c r="K665" s="30"/>
      <x:c r="L665" s="24" t="str"/>
      <x:c r="M665" s="31" t="n">
        <x:f>IF(AND(N665="미수",G665&lt;&gt;"",TODAY()&gt;G665),TODAY()-G665,0)</x:f>
        <x:v>0</x:v>
      </x:c>
      <x:c r="N665" s="24" t="str">
        <x:f>IF(J665&gt;0,"미수",IF(AND(H665&gt;0,I665&gt;=H665),"완납","미확인"))</x:f>
        <x:v>미확인</x:v>
      </x:c>
      <x:c r="O665" s="31" t="n">
        <x:v>35</x:v>
      </x:c>
    </x:row>
    <x:row r="666" ht="17.25" customHeight="1">
      <x:c r="A666" s="24" t="str">
        <x:v>SW-B-89너4007-202605</x:v>
      </x:c>
      <x:c r="B666" s="24" t="str">
        <x:v>스위치플랜</x:v>
      </x:c>
      <x:c r="C666" s="24" t="str">
        <x:v>SW-C-89너4007-1-NA-35</x:v>
      </x:c>
      <x:c r="D666" s="24" t="str">
        <x:v>89너4007</x:v>
      </x:c>
      <x:c r="E666" s="24" t="str">
        <x:v>박영현</x:v>
      </x:c>
      <x:c r="F666" s="24" t="str">
        <x:v>2026-05</x:v>
      </x:c>
      <x:c r="G666" s="30"/>
      <x:c r="H666" s="32" t="n">
        <x:v>0</x:v>
      </x:c>
      <x:c r="I666" s="32"/>
      <x:c r="J666" s="32" t="n">
        <x:v>0</x:v>
      </x:c>
      <x:c r="K666" s="30"/>
      <x:c r="L666" s="24" t="str"/>
      <x:c r="M666" s="31" t="n">
        <x:f>IF(AND(N666="미수",G666&lt;&gt;"",TODAY()&gt;G666),TODAY()-G666,0)</x:f>
        <x:v>0</x:v>
      </x:c>
      <x:c r="N666" s="24" t="str">
        <x:f>IF(J666&gt;0,"미수",IF(AND(H666&gt;0,I666&gt;=H666),"완납","미확인"))</x:f>
        <x:v>미확인</x:v>
      </x:c>
      <x:c r="O666" s="31" t="n">
        <x:v>35</x:v>
      </x:c>
    </x:row>
    <x:row r="667" ht="17.25" customHeight="1">
      <x:c r="A667" s="24" t="str">
        <x:v>SW-B-89너4007-202604</x:v>
      </x:c>
      <x:c r="B667" s="24" t="str">
        <x:v>스위치플랜</x:v>
      </x:c>
      <x:c r="C667" s="24" t="str">
        <x:v>SW-C-89너4007-1-NA-35</x:v>
      </x:c>
      <x:c r="D667" s="24" t="str">
        <x:v>89너4007</x:v>
      </x:c>
      <x:c r="E667" s="24" t="str">
        <x:v>박영현</x:v>
      </x:c>
      <x:c r="F667" s="24" t="str">
        <x:v>2026-04</x:v>
      </x:c>
      <x:c r="G667" s="30"/>
      <x:c r="H667" s="32" t="n">
        <x:v>0</x:v>
      </x:c>
      <x:c r="I667" s="32"/>
      <x:c r="J667" s="32" t="n">
        <x:v>0</x:v>
      </x:c>
      <x:c r="K667" s="30"/>
      <x:c r="L667" s="24" t="str"/>
      <x:c r="M667" s="31" t="n">
        <x:f>IF(AND(N667="미수",G667&lt;&gt;"",TODAY()&gt;G667),TODAY()-G667,0)</x:f>
        <x:v>0</x:v>
      </x:c>
      <x:c r="N667" s="24" t="str">
        <x:f>IF(J667&gt;0,"미수",IF(AND(H667&gt;0,I667&gt;=H667),"완납","미확인"))</x:f>
        <x:v>미확인</x:v>
      </x:c>
      <x:c r="O667" s="31" t="n">
        <x:v>35</x:v>
      </x:c>
    </x:row>
    <x:row r="668" ht="17.25" customHeight="1">
      <x:c r="A668" s="24" t="str">
        <x:v>SW-B-89너4007-202603</x:v>
      </x:c>
      <x:c r="B668" s="24" t="str">
        <x:v>스위치플랜</x:v>
      </x:c>
      <x:c r="C668" s="24" t="str">
        <x:v>SW-C-89너4007-1-NA-35</x:v>
      </x:c>
      <x:c r="D668" s="24" t="str">
        <x:v>89너4007</x:v>
      </x:c>
      <x:c r="E668" s="24" t="str">
        <x:v>박영현</x:v>
      </x:c>
      <x:c r="F668" s="24" t="str">
        <x:v>2026-03</x:v>
      </x:c>
      <x:c r="G668" s="30"/>
      <x:c r="H668" s="32" t="n">
        <x:v>0</x:v>
      </x:c>
      <x:c r="I668" s="32"/>
      <x:c r="J668" s="32" t="n">
        <x:v>0</x:v>
      </x:c>
      <x:c r="K668" s="30"/>
      <x:c r="L668" s="24" t="str"/>
      <x:c r="M668" s="31" t="n">
        <x:f>IF(AND(N668="미수",G668&lt;&gt;"",TODAY()&gt;G668),TODAY()-G668,0)</x:f>
        <x:v>0</x:v>
      </x:c>
      <x:c r="N668" s="24" t="str">
        <x:f>IF(J668&gt;0,"미수",IF(AND(H668&gt;0,I668&gt;=H668),"완납","미확인"))</x:f>
        <x:v>미확인</x:v>
      </x:c>
      <x:c r="O668" s="31" t="n">
        <x:v>35</x:v>
      </x:c>
    </x:row>
    <x:row r="669" ht="17.25" customHeight="1">
      <x:c r="A669" s="24" t="str">
        <x:v>SW-B-89너4007-202602</x:v>
      </x:c>
      <x:c r="B669" s="24" t="str">
        <x:v>스위치플랜</x:v>
      </x:c>
      <x:c r="C669" s="24" t="str">
        <x:v>SW-C-89너4007-1-NA-35</x:v>
      </x:c>
      <x:c r="D669" s="24" t="str">
        <x:v>89너4007</x:v>
      </x:c>
      <x:c r="E669" s="24" t="str">
        <x:v>박영현</x:v>
      </x:c>
      <x:c r="F669" s="24" t="str">
        <x:v>2026-02</x:v>
      </x:c>
      <x:c r="G669" s="30"/>
      <x:c r="H669" s="32" t="n">
        <x:v>0</x:v>
      </x:c>
      <x:c r="I669" s="32"/>
      <x:c r="J669" s="32" t="n">
        <x:v>0</x:v>
      </x:c>
      <x:c r="K669" s="30"/>
      <x:c r="L669" s="24" t="str"/>
      <x:c r="M669" s="31" t="n">
        <x:f>IF(AND(N669="미수",G669&lt;&gt;"",TODAY()&gt;G669),TODAY()-G669,0)</x:f>
        <x:v>0</x:v>
      </x:c>
      <x:c r="N669" s="24" t="str">
        <x:f>IF(J669&gt;0,"미수",IF(AND(H669&gt;0,I669&gt;=H669),"완납","미확인"))</x:f>
        <x:v>미확인</x:v>
      </x:c>
      <x:c r="O669" s="31" t="n">
        <x:v>35</x:v>
      </x:c>
    </x:row>
    <x:row r="670" ht="17.25" customHeight="1">
      <x:c r="A670" s="24" t="str">
        <x:v>SW-B-314소2486-202608</x:v>
      </x:c>
      <x:c r="B670" s="24" t="str">
        <x:v>스위치플랜</x:v>
      </x:c>
      <x:c r="C670" s="24" t="str">
        <x:v>SW-C-314소2486-1-20231121-36</x:v>
      </x:c>
      <x:c r="D670" s="24" t="str">
        <x:v>314소2486</x:v>
      </x:c>
      <x:c r="E670" s="24" t="str">
        <x:v>우재민</x:v>
      </x:c>
      <x:c r="F670" s="24" t="str">
        <x:v>2026-08</x:v>
      </x:c>
      <x:c r="G670" s="30" t="n">
        <x:v>46254</x:v>
      </x:c>
      <x:c r="H670" s="32" t="n">
        <x:v>660000</x:v>
      </x:c>
      <x:c r="I670" s="32"/>
      <x:c r="J670" s="32" t="n">
        <x:v>660000</x:v>
      </x:c>
      <x:c r="K670" s="30"/>
      <x:c r="L670" s="24" t="str"/>
      <x:c r="M670" s="31" t="n">
        <x:f>IF(AND(N670="미수",G670&lt;&gt;"",TODAY()&gt;G670),TODAY()-G670,0)</x:f>
        <x:v>0</x:v>
      </x:c>
      <x:c r="N670" s="24" t="str">
        <x:f>IF(J670&gt;0,"미수",IF(AND(H670&gt;0,I670&gt;=H670),"완납","미확인"))</x:f>
        <x:v>미수</x:v>
      </x:c>
      <x:c r="O670" s="31" t="n">
        <x:v>36</x:v>
      </x:c>
    </x:row>
    <x:row r="671" ht="17.25" customHeight="1">
      <x:c r="A671" s="24" t="str">
        <x:v>SW-B-314소2486-202607</x:v>
      </x:c>
      <x:c r="B671" s="24" t="str">
        <x:v>스위치플랜</x:v>
      </x:c>
      <x:c r="C671" s="24" t="str">
        <x:v>SW-C-314소2486-1-20231121-36</x:v>
      </x:c>
      <x:c r="D671" s="24" t="str">
        <x:v>314소2486</x:v>
      </x:c>
      <x:c r="E671" s="24" t="str">
        <x:v>우재민</x:v>
      </x:c>
      <x:c r="F671" s="24" t="str">
        <x:v>2026-07</x:v>
      </x:c>
      <x:c r="G671" s="30" t="n">
        <x:v>46223</x:v>
      </x:c>
      <x:c r="H671" s="32" t="n">
        <x:v>660000</x:v>
      </x:c>
      <x:c r="I671" s="32" t="n">
        <x:v>660000</x:v>
      </x:c>
      <x:c r="J671" s="32" t="n">
        <x:v>0</x:v>
      </x:c>
      <x:c r="K671" s="30" t="n">
        <x:v>46227</x:v>
      </x:c>
      <x:c r="L671" s="24" t="str">
        <x:v>입금</x:v>
      </x:c>
      <x:c r="M671" s="31" t="n">
        <x:f>IF(AND(N671="미수",G671&lt;&gt;"",TODAY()&gt;G671),TODAY()-G671,0)</x:f>
        <x:v>0</x:v>
      </x:c>
      <x:c r="N671" s="24" t="str">
        <x:f>IF(J671&gt;0,"미수",IF(AND(H671&gt;0,I671&gt;=H671),"완납","미확인"))</x:f>
        <x:v>완납</x:v>
      </x:c>
      <x:c r="O671" s="31" t="n">
        <x:v>36</x:v>
      </x:c>
    </x:row>
    <x:row r="672" ht="17.25" customHeight="1">
      <x:c r="A672" s="24" t="str">
        <x:v>SW-B-314소2486-202606</x:v>
      </x:c>
      <x:c r="B672" s="24" t="str">
        <x:v>스위치플랜</x:v>
      </x:c>
      <x:c r="C672" s="24" t="str">
        <x:v>SW-C-314소2486-1-20231121-36</x:v>
      </x:c>
      <x:c r="D672" s="24" t="str">
        <x:v>314소2486</x:v>
      </x:c>
      <x:c r="E672" s="24" t="str">
        <x:v>우재민</x:v>
      </x:c>
      <x:c r="F672" s="24" t="str">
        <x:v>2026-06</x:v>
      </x:c>
      <x:c r="G672" s="30" t="n">
        <x:v>46193</x:v>
      </x:c>
      <x:c r="H672" s="32" t="n">
        <x:v>660000</x:v>
      </x:c>
      <x:c r="I672" s="32" t="n">
        <x:v>660000</x:v>
      </x:c>
      <x:c r="J672" s="32" t="n">
        <x:v>0</x:v>
      </x:c>
      <x:c r="K672" s="30" t="n">
        <x:v>46202</x:v>
      </x:c>
      <x:c r="L672" s="24" t="str">
        <x:v>입금</x:v>
      </x:c>
      <x:c r="M672" s="31" t="n">
        <x:f>IF(AND(N672="미수",G672&lt;&gt;"",TODAY()&gt;G672),TODAY()-G672,0)</x:f>
        <x:v>0</x:v>
      </x:c>
      <x:c r="N672" s="24" t="str">
        <x:f>IF(J672&gt;0,"미수",IF(AND(H672&gt;0,I672&gt;=H672),"완납","미확인"))</x:f>
        <x:v>완납</x:v>
      </x:c>
      <x:c r="O672" s="31" t="n">
        <x:v>36</x:v>
      </x:c>
    </x:row>
    <x:row r="673" ht="17.25" customHeight="1">
      <x:c r="A673" s="24" t="str">
        <x:v>SW-B-314소2486-202605</x:v>
      </x:c>
      <x:c r="B673" s="24" t="str">
        <x:v>스위치플랜</x:v>
      </x:c>
      <x:c r="C673" s="24" t="str">
        <x:v>SW-C-314소2486-1-20231121-36</x:v>
      </x:c>
      <x:c r="D673" s="24" t="str">
        <x:v>314소2486</x:v>
      </x:c>
      <x:c r="E673" s="24" t="str">
        <x:v>우재민</x:v>
      </x:c>
      <x:c r="F673" s="24" t="str">
        <x:v>2026-05</x:v>
      </x:c>
      <x:c r="G673" s="30" t="n">
        <x:v>46162</x:v>
      </x:c>
      <x:c r="H673" s="32" t="n">
        <x:v>660000</x:v>
      </x:c>
      <x:c r="I673" s="32" t="n">
        <x:v>660000</x:v>
      </x:c>
      <x:c r="J673" s="32" t="n">
        <x:v>0</x:v>
      </x:c>
      <x:c r="K673" s="30" t="n">
        <x:v>46169</x:v>
      </x:c>
      <x:c r="L673" s="24" t="str">
        <x:v>입금</x:v>
      </x:c>
      <x:c r="M673" s="31" t="n">
        <x:f>IF(AND(N673="미수",G673&lt;&gt;"",TODAY()&gt;G673),TODAY()-G673,0)</x:f>
        <x:v>0</x:v>
      </x:c>
      <x:c r="N673" s="24" t="str">
        <x:f>IF(J673&gt;0,"미수",IF(AND(H673&gt;0,I673&gt;=H673),"완납","미확인"))</x:f>
        <x:v>완납</x:v>
      </x:c>
      <x:c r="O673" s="31" t="n">
        <x:v>36</x:v>
      </x:c>
    </x:row>
    <x:row r="674" ht="17.25" customHeight="1">
      <x:c r="A674" s="24" t="str">
        <x:v>SW-B-314소2486-202604</x:v>
      </x:c>
      <x:c r="B674" s="24" t="str">
        <x:v>스위치플랜</x:v>
      </x:c>
      <x:c r="C674" s="24" t="str">
        <x:v>SW-C-314소2486-1-20231121-36</x:v>
      </x:c>
      <x:c r="D674" s="24" t="str">
        <x:v>314소2486</x:v>
      </x:c>
      <x:c r="E674" s="24" t="str">
        <x:v>우재민</x:v>
      </x:c>
      <x:c r="F674" s="24" t="str">
        <x:v>2026-04</x:v>
      </x:c>
      <x:c r="G674" s="30" t="n">
        <x:v>46132</x:v>
      </x:c>
      <x:c r="H674" s="32" t="n">
        <x:v>660000</x:v>
      </x:c>
      <x:c r="I674" s="32" t="n">
        <x:v>660000</x:v>
      </x:c>
      <x:c r="J674" s="32" t="n">
        <x:v>0</x:v>
      </x:c>
      <x:c r="K674" s="30" t="n">
        <x:v>46140</x:v>
      </x:c>
      <x:c r="L674" s="24" t="str">
        <x:v>입금</x:v>
      </x:c>
      <x:c r="M674" s="31" t="n">
        <x:f>IF(AND(N674="미수",G674&lt;&gt;"",TODAY()&gt;G674),TODAY()-G674,0)</x:f>
        <x:v>0</x:v>
      </x:c>
      <x:c r="N674" s="24" t="str">
        <x:f>IF(J674&gt;0,"미수",IF(AND(H674&gt;0,I674&gt;=H674),"완납","미확인"))</x:f>
        <x:v>완납</x:v>
      </x:c>
      <x:c r="O674" s="31" t="n">
        <x:v>36</x:v>
      </x:c>
    </x:row>
    <x:row r="675" ht="17.25" customHeight="1">
      <x:c r="A675" s="24" t="str">
        <x:v>SW-B-314소2486-202603</x:v>
      </x:c>
      <x:c r="B675" s="24" t="str">
        <x:v>스위치플랜</x:v>
      </x:c>
      <x:c r="C675" s="24" t="str">
        <x:v>SW-C-314소2486-1-20231121-36</x:v>
      </x:c>
      <x:c r="D675" s="24" t="str">
        <x:v>314소2486</x:v>
      </x:c>
      <x:c r="E675" s="24" t="str">
        <x:v>우재민</x:v>
      </x:c>
      <x:c r="F675" s="24" t="str">
        <x:v>2026-03</x:v>
      </x:c>
      <x:c r="G675" s="30" t="n">
        <x:v>46101</x:v>
      </x:c>
      <x:c r="H675" s="32" t="n">
        <x:v>660000</x:v>
      </x:c>
      <x:c r="I675" s="32" t="n">
        <x:v>1580000</x:v>
      </x:c>
      <x:c r="J675" s="32" t="n">
        <x:v>0</x:v>
      </x:c>
      <x:c r="K675" s="30" t="n">
        <x:v>46084</x:v>
      </x:c>
      <x:c r="L675" s="24" t="str">
        <x:v>입금</x:v>
      </x:c>
      <x:c r="M675" s="31" t="n">
        <x:f>IF(AND(N675="미수",G675&lt;&gt;"",TODAY()&gt;G675),TODAY()-G675,0)</x:f>
        <x:v>0</x:v>
      </x:c>
      <x:c r="N675" s="24" t="str">
        <x:f>IF(J675&gt;0,"미수",IF(AND(H675&gt;0,I675&gt;=H675),"완납","미확인"))</x:f>
        <x:v>완납</x:v>
      </x:c>
      <x:c r="O675" s="31" t="n">
        <x:v>36</x:v>
      </x:c>
    </x:row>
    <x:row r="676" ht="17.25" customHeight="1">
      <x:c r="A676" s="24" t="str">
        <x:v>SW-B-314소2486-202602</x:v>
      </x:c>
      <x:c r="B676" s="24" t="str">
        <x:v>스위치플랜</x:v>
      </x:c>
      <x:c r="C676" s="24" t="str">
        <x:v>SW-C-314소2486-1-20231121-36</x:v>
      </x:c>
      <x:c r="D676" s="24" t="str">
        <x:v>314소2486</x:v>
      </x:c>
      <x:c r="E676" s="24" t="str">
        <x:v>우재민</x:v>
      </x:c>
      <x:c r="F676" s="24" t="str">
        <x:v>2026-02</x:v>
      </x:c>
      <x:c r="G676" s="30" t="n">
        <x:v>46073</x:v>
      </x:c>
      <x:c r="H676" s="32" t="n">
        <x:v>660000</x:v>
      </x:c>
      <x:c r="I676" s="32" t="n">
        <x:v>400000</x:v>
      </x:c>
      <x:c r="J676" s="32" t="n">
        <x:v>920000</x:v>
      </x:c>
      <x:c r="K676" s="30" t="n">
        <x:v>46072</x:v>
      </x:c>
      <x:c r="L676" s="24" t="str">
        <x:v>입금</x:v>
      </x:c>
      <x:c r="M676" s="31" t="n">
        <x:f>IF(AND(N676="미수",G676&lt;&gt;"",TODAY()&gt;G676),TODAY()-G676,0)</x:f>
        <x:v>176</x:v>
      </x:c>
      <x:c r="N676" s="24" t="str">
        <x:f>IF(J676&gt;0,"미수",IF(AND(H676&gt;0,I676&gt;=H676),"완납","미확인"))</x:f>
        <x:v>미수</x:v>
      </x:c>
      <x:c r="O676" s="31" t="n">
        <x:v>36</x:v>
      </x:c>
    </x:row>
    <x:row r="677" ht="17.25" customHeight="1">
      <x:c r="A677" s="24" t="str">
        <x:v>SW-B-314소2486-202601</x:v>
      </x:c>
      <x:c r="B677" s="24" t="str">
        <x:v>스위치플랜</x:v>
      </x:c>
      <x:c r="C677" s="24" t="str">
        <x:v>SW-C-314소2486-1-20231121-36</x:v>
      </x:c>
      <x:c r="D677" s="24" t="str">
        <x:v>314소2486</x:v>
      </x:c>
      <x:c r="E677" s="24" t="str">
        <x:v>우재민</x:v>
      </x:c>
      <x:c r="F677" s="24" t="str">
        <x:v>2026-01</x:v>
      </x:c>
      <x:c r="G677" s="30" t="n">
        <x:v>46042</x:v>
      </x:c>
      <x:c r="H677" s="32" t="n">
        <x:v>660000</x:v>
      </x:c>
      <x:c r="I677" s="32"/>
      <x:c r="J677" s="32" t="n">
        <x:v>660000</x:v>
      </x:c>
      <x:c r="K677" s="30"/>
      <x:c r="L677" s="24" t="str"/>
      <x:c r="M677" s="31" t="n">
        <x:f>IF(AND(N677="미수",G677&lt;&gt;"",TODAY()&gt;G677),TODAY()-G677,0)</x:f>
        <x:v>207</x:v>
      </x:c>
      <x:c r="N677" s="24" t="str">
        <x:f>IF(J677&gt;0,"미수",IF(AND(H677&gt;0,I677&gt;=H677),"완납","미확인"))</x:f>
        <x:v>미수</x:v>
      </x:c>
      <x:c r="O677" s="31" t="n">
        <x:v>36</x:v>
      </x:c>
    </x:row>
    <x:row r="678" ht="17.25" customHeight="1">
      <x:c r="A678" s="24" t="str">
        <x:v>SW-B-314소2486-202512</x:v>
      </x:c>
      <x:c r="B678" s="24" t="str">
        <x:v>스위치플랜</x:v>
      </x:c>
      <x:c r="C678" s="24" t="str">
        <x:v>SW-C-314소2486-1-20231121-36</x:v>
      </x:c>
      <x:c r="D678" s="24" t="str">
        <x:v>314소2486</x:v>
      </x:c>
      <x:c r="E678" s="24" t="str">
        <x:v>우재민</x:v>
      </x:c>
      <x:c r="F678" s="24" t="str">
        <x:v>2025-12</x:v>
      </x:c>
      <x:c r="G678" s="30" t="n">
        <x:v>46011</x:v>
      </x:c>
      <x:c r="H678" s="32" t="n">
        <x:v>660000</x:v>
      </x:c>
      <x:c r="I678" s="32" t="n">
        <x:v>1320000</x:v>
      </x:c>
      <x:c r="J678" s="32" t="n">
        <x:v>0</x:v>
      </x:c>
      <x:c r="K678" s="30" t="n">
        <x:v>45992</x:v>
      </x:c>
      <x:c r="L678" s="24" t="str">
        <x:v>입금</x:v>
      </x:c>
      <x:c r="M678" s="31" t="n">
        <x:f>IF(AND(N678="미수",G678&lt;&gt;"",TODAY()&gt;G678),TODAY()-G678,0)</x:f>
        <x:v>0</x:v>
      </x:c>
      <x:c r="N678" s="24" t="str">
        <x:f>IF(J678&gt;0,"미수",IF(AND(H678&gt;0,I678&gt;=H678),"완납","미확인"))</x:f>
        <x:v>완납</x:v>
      </x:c>
      <x:c r="O678" s="31" t="n">
        <x:v>36</x:v>
      </x:c>
    </x:row>
    <x:row r="679" ht="17.25" customHeight="1">
      <x:c r="A679" s="24" t="str">
        <x:v>SW-B-314소2486-202511</x:v>
      </x:c>
      <x:c r="B679" s="24" t="str">
        <x:v>스위치플랜</x:v>
      </x:c>
      <x:c r="C679" s="24" t="str">
        <x:v>SW-C-314소2486-1-20231121-36</x:v>
      </x:c>
      <x:c r="D679" s="24" t="str">
        <x:v>314소2486</x:v>
      </x:c>
      <x:c r="E679" s="24" t="str">
        <x:v>우재민</x:v>
      </x:c>
      <x:c r="F679" s="24" t="str">
        <x:v>2025-11</x:v>
      </x:c>
      <x:c r="G679" s="30" t="n">
        <x:v>45981</x:v>
      </x:c>
      <x:c r="H679" s="32" t="n">
        <x:v>660000</x:v>
      </x:c>
      <x:c r="I679" s="32" t="n">
        <x:v>660000</x:v>
      </x:c>
      <x:c r="J679" s="32" t="n">
        <x:v>660000</x:v>
      </x:c>
      <x:c r="K679" s="30" t="n">
        <x:v>45964</x:v>
      </x:c>
      <x:c r="L679" s="24" t="str">
        <x:v>입금</x:v>
      </x:c>
      <x:c r="M679" s="31" t="n">
        <x:f>IF(AND(N679="미수",G679&lt;&gt;"",TODAY()&gt;G679),TODAY()-G679,0)</x:f>
        <x:v>268</x:v>
      </x:c>
      <x:c r="N679" s="24" t="str">
        <x:f>IF(J679&gt;0,"미수",IF(AND(H679&gt;0,I679&gt;=H679),"완납","미확인"))</x:f>
        <x:v>미수</x:v>
      </x:c>
      <x:c r="O679" s="31" t="n">
        <x:v>36</x:v>
      </x:c>
    </x:row>
    <x:row r="680" ht="17.25" customHeight="1">
      <x:c r="A680" s="24" t="str">
        <x:v>SW-B-314소2486-202510</x:v>
      </x:c>
      <x:c r="B680" s="24" t="str">
        <x:v>스위치플랜</x:v>
      </x:c>
      <x:c r="C680" s="24" t="str">
        <x:v>SW-C-314소2486-1-20231121-36</x:v>
      </x:c>
      <x:c r="D680" s="24" t="str">
        <x:v>314소2486</x:v>
      </x:c>
      <x:c r="E680" s="24" t="str">
        <x:v>우재민</x:v>
      </x:c>
      <x:c r="F680" s="24" t="str">
        <x:v>2025-10</x:v>
      </x:c>
      <x:c r="G680" s="30" t="n">
        <x:v>45950</x:v>
      </x:c>
      <x:c r="H680" s="32" t="n">
        <x:v>660000</x:v>
      </x:c>
      <x:c r="I680" s="32"/>
      <x:c r="J680" s="32" t="n">
        <x:v>660000</x:v>
      </x:c>
      <x:c r="K680" s="30"/>
      <x:c r="L680" s="24" t="str"/>
      <x:c r="M680" s="31" t="n">
        <x:f>IF(AND(N680="미수",G680&lt;&gt;"",TODAY()&gt;G680),TODAY()-G680,0)</x:f>
        <x:v>299</x:v>
      </x:c>
      <x:c r="N680" s="24" t="str">
        <x:f>IF(J680&gt;0,"미수",IF(AND(H680&gt;0,I680&gt;=H680),"완납","미확인"))</x:f>
        <x:v>미수</x:v>
      </x:c>
      <x:c r="O680" s="31" t="n">
        <x:v>36</x:v>
      </x:c>
    </x:row>
    <x:row r="681" ht="17.25" customHeight="1">
      <x:c r="A681" s="24" t="str">
        <x:v>SW-B-314소2486-202509</x:v>
      </x:c>
      <x:c r="B681" s="24" t="str">
        <x:v>스위치플랜</x:v>
      </x:c>
      <x:c r="C681" s="24" t="str">
        <x:v>SW-C-314소2486-1-20231121-36</x:v>
      </x:c>
      <x:c r="D681" s="24" t="str">
        <x:v>314소2486</x:v>
      </x:c>
      <x:c r="E681" s="24" t="str">
        <x:v>우재민</x:v>
      </x:c>
      <x:c r="F681" s="24" t="str">
        <x:v>2025-09</x:v>
      </x:c>
      <x:c r="G681" s="30" t="n">
        <x:v>45920</x:v>
      </x:c>
      <x:c r="H681" s="32" t="n">
        <x:v>660000</x:v>
      </x:c>
      <x:c r="I681" s="32" t="n">
        <x:v>660000</x:v>
      </x:c>
      <x:c r="J681" s="32" t="n">
        <x:v>0</x:v>
      </x:c>
      <x:c r="K681" s="30" t="n">
        <x:v>45925</x:v>
      </x:c>
      <x:c r="L681" s="24" t="str">
        <x:v>입금</x:v>
      </x:c>
      <x:c r="M681" s="31" t="n">
        <x:f>IF(AND(N681="미수",G681&lt;&gt;"",TODAY()&gt;G681),TODAY()-G681,0)</x:f>
        <x:v>0</x:v>
      </x:c>
      <x:c r="N681" s="24" t="str">
        <x:f>IF(J681&gt;0,"미수",IF(AND(H681&gt;0,I681&gt;=H681),"완납","미확인"))</x:f>
        <x:v>완납</x:v>
      </x:c>
      <x:c r="O681" s="31" t="n">
        <x:v>36</x:v>
      </x:c>
    </x:row>
    <x:row r="682" ht="17.25" customHeight="1">
      <x:c r="A682" s="24" t="str">
        <x:v>SW-B-314소2486-202508</x:v>
      </x:c>
      <x:c r="B682" s="24" t="str">
        <x:v>스위치플랜</x:v>
      </x:c>
      <x:c r="C682" s="24" t="str">
        <x:v>SW-C-314소2486-1-20231121-36</x:v>
      </x:c>
      <x:c r="D682" s="24" t="str">
        <x:v>314소2486</x:v>
      </x:c>
      <x:c r="E682" s="24" t="str">
        <x:v>우재민</x:v>
      </x:c>
      <x:c r="F682" s="24" t="str">
        <x:v>2025-08</x:v>
      </x:c>
      <x:c r="G682" s="30" t="n">
        <x:v>45889</x:v>
      </x:c>
      <x:c r="H682" s="32" t="n">
        <x:v>660000</x:v>
      </x:c>
      <x:c r="I682" s="32" t="n">
        <x:v>660000</x:v>
      </x:c>
      <x:c r="J682" s="32" t="n">
        <x:v>0</x:v>
      </x:c>
      <x:c r="K682" s="30" t="n">
        <x:v>45890</x:v>
      </x:c>
      <x:c r="L682" s="24" t="str">
        <x:v>입금</x:v>
      </x:c>
      <x:c r="M682" s="31" t="n">
        <x:f>IF(AND(N682="미수",G682&lt;&gt;"",TODAY()&gt;G682),TODAY()-G682,0)</x:f>
        <x:v>0</x:v>
      </x:c>
      <x:c r="N682" s="24" t="str">
        <x:f>IF(J682&gt;0,"미수",IF(AND(H682&gt;0,I682&gt;=H682),"완납","미확인"))</x:f>
        <x:v>완납</x:v>
      </x:c>
      <x:c r="O682" s="31" t="n">
        <x:v>36</x:v>
      </x:c>
    </x:row>
    <x:row r="683" ht="17.25" customHeight="1">
      <x:c r="A683" s="24" t="str">
        <x:v>SW-B-314소2486-202507</x:v>
      </x:c>
      <x:c r="B683" s="24" t="str">
        <x:v>스위치플랜</x:v>
      </x:c>
      <x:c r="C683" s="24" t="str">
        <x:v>SW-C-314소2486-1-20231121-36</x:v>
      </x:c>
      <x:c r="D683" s="24" t="str">
        <x:v>314소2486</x:v>
      </x:c>
      <x:c r="E683" s="24" t="str">
        <x:v>우재민</x:v>
      </x:c>
      <x:c r="F683" s="24" t="str">
        <x:v>2025-07</x:v>
      </x:c>
      <x:c r="G683" s="30" t="n">
        <x:v>45858</x:v>
      </x:c>
      <x:c r="H683" s="32" t="n">
        <x:v>660000</x:v>
      </x:c>
      <x:c r="I683" s="32" t="n">
        <x:v>1320000</x:v>
      </x:c>
      <x:c r="J683" s="32" t="n">
        <x:v>0</x:v>
      </x:c>
      <x:c r="K683" s="30" t="n">
        <x:v>45842</x:v>
      </x:c>
      <x:c r="L683" s="24" t="str">
        <x:v>입금</x:v>
      </x:c>
      <x:c r="M683" s="31" t="n">
        <x:f>IF(AND(N683="미수",G683&lt;&gt;"",TODAY()&gt;G683),TODAY()-G683,0)</x:f>
        <x:v>0</x:v>
      </x:c>
      <x:c r="N683" s="24" t="str">
        <x:f>IF(J683&gt;0,"미수",IF(AND(H683&gt;0,I683&gt;=H683),"완납","미확인"))</x:f>
        <x:v>완납</x:v>
      </x:c>
      <x:c r="O683" s="31" t="n">
        <x:v>36</x:v>
      </x:c>
    </x:row>
    <x:row r="684" ht="17.25" customHeight="1">
      <x:c r="A684" s="24" t="str">
        <x:v>SW-B-314소2486-202506</x:v>
      </x:c>
      <x:c r="B684" s="24" t="str">
        <x:v>스위치플랜</x:v>
      </x:c>
      <x:c r="C684" s="24" t="str">
        <x:v>SW-C-314소2486-1-20231121-36</x:v>
      </x:c>
      <x:c r="D684" s="24" t="str">
        <x:v>314소2486</x:v>
      </x:c>
      <x:c r="E684" s="24" t="str">
        <x:v>우재민</x:v>
      </x:c>
      <x:c r="F684" s="24" t="str">
        <x:v>2025-06</x:v>
      </x:c>
      <x:c r="G684" s="30" t="n">
        <x:v>45828</x:v>
      </x:c>
      <x:c r="H684" s="32" t="n">
        <x:v>660000</x:v>
      </x:c>
      <x:c r="I684" s="32" t="n">
        <x:v>660000</x:v>
      </x:c>
      <x:c r="J684" s="32" t="n">
        <x:v>660000</x:v>
      </x:c>
      <x:c r="K684" s="30" t="n">
        <x:v>45815</x:v>
      </x:c>
      <x:c r="L684" s="24" t="str">
        <x:v>입금</x:v>
      </x:c>
      <x:c r="M684" s="31" t="n">
        <x:f>IF(AND(N684="미수",G684&lt;&gt;"",TODAY()&gt;G684),TODAY()-G684,0)</x:f>
        <x:v>421</x:v>
      </x:c>
      <x:c r="N684" s="24" t="str">
        <x:f>IF(J684&gt;0,"미수",IF(AND(H684&gt;0,I684&gt;=H684),"완납","미확인"))</x:f>
        <x:v>미수</x:v>
      </x:c>
      <x:c r="O684" s="31" t="n">
        <x:v>36</x:v>
      </x:c>
    </x:row>
    <x:row r="685" ht="17.25" customHeight="1">
      <x:c r="A685" s="24" t="str">
        <x:v>SW-B-314소2486-202505</x:v>
      </x:c>
      <x:c r="B685" s="24" t="str">
        <x:v>스위치플랜</x:v>
      </x:c>
      <x:c r="C685" s="24" t="str">
        <x:v>SW-C-314소2486-1-20231121-36</x:v>
      </x:c>
      <x:c r="D685" s="24" t="str">
        <x:v>314소2486</x:v>
      </x:c>
      <x:c r="E685" s="24" t="str">
        <x:v>우재민</x:v>
      </x:c>
      <x:c r="F685" s="24" t="str">
        <x:v>2025-05</x:v>
      </x:c>
      <x:c r="G685" s="30" t="n">
        <x:v>45797</x:v>
      </x:c>
      <x:c r="H685" s="32" t="n">
        <x:v>660000</x:v>
      </x:c>
      <x:c r="I685" s="32" t="n">
        <x:v>660000</x:v>
      </x:c>
      <x:c r="J685" s="32" t="n">
        <x:v>660000</x:v>
      </x:c>
      <x:c r="K685" s="30" t="n">
        <x:v>45788</x:v>
      </x:c>
      <x:c r="L685" s="24" t="str">
        <x:v>입금</x:v>
      </x:c>
      <x:c r="M685" s="31" t="n">
        <x:f>IF(AND(N685="미수",G685&lt;&gt;"",TODAY()&gt;G685),TODAY()-G685,0)</x:f>
        <x:v>452</x:v>
      </x:c>
      <x:c r="N685" s="24" t="str">
        <x:f>IF(J685&gt;0,"미수",IF(AND(H685&gt;0,I685&gt;=H685),"완납","미확인"))</x:f>
        <x:v>미수</x:v>
      </x:c>
      <x:c r="O685" s="31" t="n">
        <x:v>36</x:v>
      </x:c>
    </x:row>
    <x:row r="686" ht="17.25" customHeight="1">
      <x:c r="A686" s="24" t="str">
        <x:v>SW-B-314소2486-202504</x:v>
      </x:c>
      <x:c r="B686" s="24" t="str">
        <x:v>스위치플랜</x:v>
      </x:c>
      <x:c r="C686" s="24" t="str">
        <x:v>SW-C-314소2486-1-20231121-36</x:v>
      </x:c>
      <x:c r="D686" s="24" t="str">
        <x:v>314소2486</x:v>
      </x:c>
      <x:c r="E686" s="24" t="str">
        <x:v>우재민</x:v>
      </x:c>
      <x:c r="F686" s="24" t="str">
        <x:v>2025-04</x:v>
      </x:c>
      <x:c r="G686" s="30" t="n">
        <x:v>45767</x:v>
      </x:c>
      <x:c r="H686" s="32" t="n">
        <x:v>660000</x:v>
      </x:c>
      <x:c r="I686" s="32" t="n">
        <x:v>660000</x:v>
      </x:c>
      <x:c r="J686" s="32" t="n">
        <x:v>660000</x:v>
      </x:c>
      <x:c r="K686" s="30" t="n">
        <x:v>45754</x:v>
      </x:c>
      <x:c r="L686" s="24" t="str">
        <x:v>입금</x:v>
      </x:c>
      <x:c r="M686" s="31" t="n">
        <x:f>IF(AND(N686="미수",G686&lt;&gt;"",TODAY()&gt;G686),TODAY()-G686,0)</x:f>
        <x:v>482</x:v>
      </x:c>
      <x:c r="N686" s="24" t="str">
        <x:f>IF(J686&gt;0,"미수",IF(AND(H686&gt;0,I686&gt;=H686),"완납","미확인"))</x:f>
        <x:v>미수</x:v>
      </x:c>
      <x:c r="O686" s="31" t="n">
        <x:v>36</x:v>
      </x:c>
    </x:row>
    <x:row r="687" ht="17.25" customHeight="1">
      <x:c r="A687" s="24" t="str">
        <x:v>SW-B-314소2486-202503</x:v>
      </x:c>
      <x:c r="B687" s="24" t="str">
        <x:v>스위치플랜</x:v>
      </x:c>
      <x:c r="C687" s="24" t="str">
        <x:v>SW-C-314소2486-1-20231121-36</x:v>
      </x:c>
      <x:c r="D687" s="24" t="str">
        <x:v>314소2486</x:v>
      </x:c>
      <x:c r="E687" s="24" t="str">
        <x:v>우재민</x:v>
      </x:c>
      <x:c r="F687" s="24" t="str">
        <x:v>2025-03</x:v>
      </x:c>
      <x:c r="G687" s="30" t="n">
        <x:v>45736</x:v>
      </x:c>
      <x:c r="H687" s="32" t="n">
        <x:v>660000</x:v>
      </x:c>
      <x:c r="I687" s="32" t="n">
        <x:v>660000</x:v>
      </x:c>
      <x:c r="J687" s="32" t="n">
        <x:v>660000</x:v>
      </x:c>
      <x:c r="K687" s="30" t="n">
        <x:v>45729</x:v>
      </x:c>
      <x:c r="L687" s="24" t="str">
        <x:v>입금</x:v>
      </x:c>
      <x:c r="M687" s="31" t="n">
        <x:f>IF(AND(N687="미수",G687&lt;&gt;"",TODAY()&gt;G687),TODAY()-G687,0)</x:f>
        <x:v>513</x:v>
      </x:c>
      <x:c r="N687" s="24" t="str">
        <x:f>IF(J687&gt;0,"미수",IF(AND(H687&gt;0,I687&gt;=H687),"완납","미확인"))</x:f>
        <x:v>미수</x:v>
      </x:c>
      <x:c r="O687" s="31" t="n">
        <x:v>36</x:v>
      </x:c>
    </x:row>
    <x:row r="688" ht="17.25" customHeight="1">
      <x:c r="A688" s="24" t="str">
        <x:v>SW-B-314소2486-202502</x:v>
      </x:c>
      <x:c r="B688" s="24" t="str">
        <x:v>스위치플랜</x:v>
      </x:c>
      <x:c r="C688" s="24" t="str">
        <x:v>SW-C-314소2486-1-20231121-36</x:v>
      </x:c>
      <x:c r="D688" s="24" t="str">
        <x:v>314소2486</x:v>
      </x:c>
      <x:c r="E688" s="24" t="str">
        <x:v>우재민</x:v>
      </x:c>
      <x:c r="F688" s="24" t="str">
        <x:v>2025-02</x:v>
      </x:c>
      <x:c r="G688" s="30" t="n">
        <x:v>45708</x:v>
      </x:c>
      <x:c r="H688" s="32" t="n">
        <x:v>660000</x:v>
      </x:c>
      <x:c r="I688" s="32" t="n">
        <x:v>660000</x:v>
      </x:c>
      <x:c r="J688" s="32" t="n">
        <x:v>660000</x:v>
      </x:c>
      <x:c r="K688" s="30" t="n">
        <x:v>45695</x:v>
      </x:c>
      <x:c r="L688" s="24" t="str">
        <x:v>입금</x:v>
      </x:c>
      <x:c r="M688" s="31" t="n">
        <x:f>IF(AND(N688="미수",G688&lt;&gt;"",TODAY()&gt;G688),TODAY()-G688,0)</x:f>
        <x:v>541</x:v>
      </x:c>
      <x:c r="N688" s="24" t="str">
        <x:f>IF(J688&gt;0,"미수",IF(AND(H688&gt;0,I688&gt;=H688),"완납","미확인"))</x:f>
        <x:v>미수</x:v>
      </x:c>
      <x:c r="O688" s="31" t="n">
        <x:v>36</x:v>
      </x:c>
    </x:row>
    <x:row r="689" ht="17.25" customHeight="1">
      <x:c r="A689" s="24" t="str">
        <x:v>SW-B-314소2486-202501</x:v>
      </x:c>
      <x:c r="B689" s="24" t="str">
        <x:v>스위치플랜</x:v>
      </x:c>
      <x:c r="C689" s="24" t="str">
        <x:v>SW-C-314소2486-1-20231121-36</x:v>
      </x:c>
      <x:c r="D689" s="24" t="str">
        <x:v>314소2486</x:v>
      </x:c>
      <x:c r="E689" s="24" t="str">
        <x:v>우재민</x:v>
      </x:c>
      <x:c r="F689" s="24" t="str">
        <x:v>2025-01</x:v>
      </x:c>
      <x:c r="G689" s="30" t="n">
        <x:v>45677</x:v>
      </x:c>
      <x:c r="H689" s="32" t="n">
        <x:v>660000</x:v>
      </x:c>
      <x:c r="I689" s="32" t="n">
        <x:v>660000</x:v>
      </x:c>
      <x:c r="J689" s="32" t="n">
        <x:v>660000</x:v>
      </x:c>
      <x:c r="K689" s="30" t="n">
        <x:v>45662</x:v>
      </x:c>
      <x:c r="L689" s="24" t="str">
        <x:v>입금</x:v>
      </x:c>
      <x:c r="M689" s="31" t="n">
        <x:f>IF(AND(N689="미수",G689&lt;&gt;"",TODAY()&gt;G689),TODAY()-G689,0)</x:f>
        <x:v>572</x:v>
      </x:c>
      <x:c r="N689" s="24" t="str">
        <x:f>IF(J689&gt;0,"미수",IF(AND(H689&gt;0,I689&gt;=H689),"완납","미확인"))</x:f>
        <x:v>미수</x:v>
      </x:c>
      <x:c r="O689" s="31" t="n">
        <x:v>36</x:v>
      </x:c>
    </x:row>
    <x:row r="690" ht="17.25" customHeight="1">
      <x:c r="A690" s="24" t="str">
        <x:v>SW-B-314소2486-202412</x:v>
      </x:c>
      <x:c r="B690" s="24" t="str">
        <x:v>스위치플랜</x:v>
      </x:c>
      <x:c r="C690" s="24" t="str">
        <x:v>SW-C-314소2486-1-20231121-36</x:v>
      </x:c>
      <x:c r="D690" s="24" t="str">
        <x:v>314소2486</x:v>
      </x:c>
      <x:c r="E690" s="24" t="str">
        <x:v>우재민</x:v>
      </x:c>
      <x:c r="F690" s="24" t="str">
        <x:v>2024-12</x:v>
      </x:c>
      <x:c r="G690" s="30" t="n">
        <x:v>45646</x:v>
      </x:c>
      <x:c r="H690" s="32" t="n">
        <x:v>660000</x:v>
      </x:c>
      <x:c r="I690" s="32" t="n">
        <x:v>660000</x:v>
      </x:c>
      <x:c r="J690" s="32" t="n">
        <x:v>660000</x:v>
      </x:c>
      <x:c r="K690" s="30" t="n">
        <x:v>45627</x:v>
      </x:c>
      <x:c r="L690" s="24" t="str">
        <x:v>입금</x:v>
      </x:c>
      <x:c r="M690" s="31" t="n">
        <x:f>IF(AND(N690="미수",G690&lt;&gt;"",TODAY()&gt;G690),TODAY()-G690,0)</x:f>
        <x:v>603</x:v>
      </x:c>
      <x:c r="N690" s="24" t="str">
        <x:f>IF(J690&gt;0,"미수",IF(AND(H690&gt;0,I690&gt;=H690),"완납","미확인"))</x:f>
        <x:v>미수</x:v>
      </x:c>
      <x:c r="O690" s="31" t="n">
        <x:v>36</x:v>
      </x:c>
    </x:row>
    <x:row r="691" ht="17.25" customHeight="1">
      <x:c r="A691" s="24" t="str">
        <x:v>SW-B-314소2486-202411</x:v>
      </x:c>
      <x:c r="B691" s="24" t="str">
        <x:v>스위치플랜</x:v>
      </x:c>
      <x:c r="C691" s="24" t="str">
        <x:v>SW-C-314소2486-1-20231121-36</x:v>
      </x:c>
      <x:c r="D691" s="24" t="str">
        <x:v>314소2486</x:v>
      </x:c>
      <x:c r="E691" s="24" t="str">
        <x:v>우재민</x:v>
      </x:c>
      <x:c r="F691" s="24" t="str">
        <x:v>2024-11</x:v>
      </x:c>
      <x:c r="G691" s="30" t="n">
        <x:v>45616</x:v>
      </x:c>
      <x:c r="H691" s="32" t="n">
        <x:v>660000</x:v>
      </x:c>
      <x:c r="I691" s="32"/>
      <x:c r="J691" s="32" t="n">
        <x:v>660000</x:v>
      </x:c>
      <x:c r="K691" s="30"/>
      <x:c r="L691" s="24" t="str"/>
      <x:c r="M691" s="31" t="n">
        <x:f>IF(AND(N691="미수",G691&lt;&gt;"",TODAY()&gt;G691),TODAY()-G691,0)</x:f>
        <x:v>633</x:v>
      </x:c>
      <x:c r="N691" s="24" t="str">
        <x:f>IF(J691&gt;0,"미수",IF(AND(H691&gt;0,I691&gt;=H691),"완납","미확인"))</x:f>
        <x:v>미수</x:v>
      </x:c>
      <x:c r="O691" s="31" t="n">
        <x:v>36</x:v>
      </x:c>
    </x:row>
    <x:row r="692" ht="17.25" customHeight="1">
      <x:c r="A692" s="24" t="str">
        <x:v>SW-B-314소2486-202410</x:v>
      </x:c>
      <x:c r="B692" s="24" t="str">
        <x:v>스위치플랜</x:v>
      </x:c>
      <x:c r="C692" s="24" t="str">
        <x:v>SW-C-314소2486-1-20231121-36</x:v>
      </x:c>
      <x:c r="D692" s="24" t="str">
        <x:v>314소2486</x:v>
      </x:c>
      <x:c r="E692" s="24" t="str">
        <x:v>우재민</x:v>
      </x:c>
      <x:c r="F692" s="24" t="str">
        <x:v>2024-10</x:v>
      </x:c>
      <x:c r="G692" s="30" t="n">
        <x:v>45585</x:v>
      </x:c>
      <x:c r="H692" s="32" t="n">
        <x:v>660000</x:v>
      </x:c>
      <x:c r="I692" s="32" t="n">
        <x:v>660000</x:v>
      </x:c>
      <x:c r="J692" s="32" t="n">
        <x:v>0</x:v>
      </x:c>
      <x:c r="K692" s="30" t="n">
        <x:v>45592</x:v>
      </x:c>
      <x:c r="L692" s="24" t="str">
        <x:v>입금</x:v>
      </x:c>
      <x:c r="M692" s="31" t="n">
        <x:f>IF(AND(N692="미수",G692&lt;&gt;"",TODAY()&gt;G692),TODAY()-G692,0)</x:f>
        <x:v>0</x:v>
      </x:c>
      <x:c r="N692" s="24" t="str">
        <x:f>IF(J692&gt;0,"미수",IF(AND(H692&gt;0,I692&gt;=H692),"완납","미확인"))</x:f>
        <x:v>완납</x:v>
      </x:c>
      <x:c r="O692" s="31" t="n">
        <x:v>36</x:v>
      </x:c>
    </x:row>
    <x:row r="693" ht="17.25" customHeight="1">
      <x:c r="A693" s="24" t="str">
        <x:v>SW-B-314소2486-202409</x:v>
      </x:c>
      <x:c r="B693" s="24" t="str">
        <x:v>스위치플랜</x:v>
      </x:c>
      <x:c r="C693" s="24" t="str">
        <x:v>SW-C-314소2486-1-20231121-36</x:v>
      </x:c>
      <x:c r="D693" s="24" t="str">
        <x:v>314소2486</x:v>
      </x:c>
      <x:c r="E693" s="24" t="str">
        <x:v>우재민</x:v>
      </x:c>
      <x:c r="F693" s="24" t="str">
        <x:v>2024-09</x:v>
      </x:c>
      <x:c r="G693" s="30" t="n">
        <x:v>45555</x:v>
      </x:c>
      <x:c r="H693" s="32" t="n">
        <x:v>660000</x:v>
      </x:c>
      <x:c r="I693" s="32" t="n">
        <x:v>660000</x:v>
      </x:c>
      <x:c r="J693" s="32" t="n">
        <x:v>0</x:v>
      </x:c>
      <x:c r="K693" s="30" t="n">
        <x:v>45562</x:v>
      </x:c>
      <x:c r="L693" s="24" t="str">
        <x:v>입금</x:v>
      </x:c>
      <x:c r="M693" s="31" t="n">
        <x:f>IF(AND(N693="미수",G693&lt;&gt;"",TODAY()&gt;G693),TODAY()-G693,0)</x:f>
        <x:v>0</x:v>
      </x:c>
      <x:c r="N693" s="24" t="str">
        <x:f>IF(J693&gt;0,"미수",IF(AND(H693&gt;0,I693&gt;=H693),"완납","미확인"))</x:f>
        <x:v>완납</x:v>
      </x:c>
      <x:c r="O693" s="31" t="n">
        <x:v>36</x:v>
      </x:c>
    </x:row>
    <x:row r="694" ht="17.25" customHeight="1">
      <x:c r="A694" s="24" t="str">
        <x:v>SW-B-314소2486-202408</x:v>
      </x:c>
      <x:c r="B694" s="24" t="str">
        <x:v>스위치플랜</x:v>
      </x:c>
      <x:c r="C694" s="24" t="str">
        <x:v>SW-C-314소2486-1-20231121-36</x:v>
      </x:c>
      <x:c r="D694" s="24" t="str">
        <x:v>314소2486</x:v>
      </x:c>
      <x:c r="E694" s="24" t="str">
        <x:v>우재민</x:v>
      </x:c>
      <x:c r="F694" s="24" t="str">
        <x:v>2024-08</x:v>
      </x:c>
      <x:c r="G694" s="30" t="n">
        <x:v>45524</x:v>
      </x:c>
      <x:c r="H694" s="32" t="n">
        <x:v>660000</x:v>
      </x:c>
      <x:c r="I694" s="32" t="n">
        <x:v>660000</x:v>
      </x:c>
      <x:c r="J694" s="32" t="n">
        <x:v>0</x:v>
      </x:c>
      <x:c r="K694" s="30" t="n">
        <x:v>45533</x:v>
      </x:c>
      <x:c r="L694" s="24" t="str">
        <x:v>입금</x:v>
      </x:c>
      <x:c r="M694" s="31" t="n">
        <x:f>IF(AND(N694="미수",G694&lt;&gt;"",TODAY()&gt;G694),TODAY()-G694,0)</x:f>
        <x:v>0</x:v>
      </x:c>
      <x:c r="N694" s="24" t="str">
        <x:f>IF(J694&gt;0,"미수",IF(AND(H694&gt;0,I694&gt;=H694),"완납","미확인"))</x:f>
        <x:v>완납</x:v>
      </x:c>
      <x:c r="O694" s="31" t="n">
        <x:v>36</x:v>
      </x:c>
    </x:row>
    <x:row r="695" ht="17.25" customHeight="1">
      <x:c r="A695" s="24" t="str">
        <x:v>SW-B-314소2486-202407</x:v>
      </x:c>
      <x:c r="B695" s="24" t="str">
        <x:v>스위치플랜</x:v>
      </x:c>
      <x:c r="C695" s="24" t="str">
        <x:v>SW-C-314소2486-1-20231121-36</x:v>
      </x:c>
      <x:c r="D695" s="24" t="str">
        <x:v>314소2486</x:v>
      </x:c>
      <x:c r="E695" s="24" t="str">
        <x:v>우재민</x:v>
      </x:c>
      <x:c r="F695" s="24" t="str">
        <x:v>2024-07</x:v>
      </x:c>
      <x:c r="G695" s="30" t="n">
        <x:v>45493</x:v>
      </x:c>
      <x:c r="H695" s="32" t="n">
        <x:v>660000</x:v>
      </x:c>
      <x:c r="I695" s="32" t="n">
        <x:v>660000</x:v>
      </x:c>
      <x:c r="J695" s="32" t="n">
        <x:v>0</x:v>
      </x:c>
      <x:c r="K695" s="30" t="n">
        <x:v>45493</x:v>
      </x:c>
      <x:c r="L695" s="24" t="str">
        <x:v>입금</x:v>
      </x:c>
      <x:c r="M695" s="31" t="n">
        <x:f>IF(AND(N695="미수",G695&lt;&gt;"",TODAY()&gt;G695),TODAY()-G695,0)</x:f>
        <x:v>0</x:v>
      </x:c>
      <x:c r="N695" s="24" t="str">
        <x:f>IF(J695&gt;0,"미수",IF(AND(H695&gt;0,I695&gt;=H695),"완납","미확인"))</x:f>
        <x:v>완납</x:v>
      </x:c>
      <x:c r="O695" s="31" t="n">
        <x:v>36</x:v>
      </x:c>
    </x:row>
    <x:row r="696" ht="17.25" customHeight="1">
      <x:c r="A696" s="24" t="str">
        <x:v>SW-B-314소2486-202406</x:v>
      </x:c>
      <x:c r="B696" s="24" t="str">
        <x:v>스위치플랜</x:v>
      </x:c>
      <x:c r="C696" s="24" t="str">
        <x:v>SW-C-314소2486-1-20231121-36</x:v>
      </x:c>
      <x:c r="D696" s="24" t="str">
        <x:v>314소2486</x:v>
      </x:c>
      <x:c r="E696" s="24" t="str">
        <x:v>우재민</x:v>
      </x:c>
      <x:c r="F696" s="24" t="str">
        <x:v>2024-06</x:v>
      </x:c>
      <x:c r="G696" s="30" t="n">
        <x:v>45463</x:v>
      </x:c>
      <x:c r="H696" s="32" t="n">
        <x:v>660000</x:v>
      </x:c>
      <x:c r="I696" s="32" t="n">
        <x:v>660000</x:v>
      </x:c>
      <x:c r="J696" s="32" t="n">
        <x:v>0</x:v>
      </x:c>
      <x:c r="K696" s="30" t="n">
        <x:v>45464</x:v>
      </x:c>
      <x:c r="L696" s="24" t="str">
        <x:v>입금</x:v>
      </x:c>
      <x:c r="M696" s="31" t="n">
        <x:f>IF(AND(N696="미수",G696&lt;&gt;"",TODAY()&gt;G696),TODAY()-G696,0)</x:f>
        <x:v>0</x:v>
      </x:c>
      <x:c r="N696" s="24" t="str">
        <x:f>IF(J696&gt;0,"미수",IF(AND(H696&gt;0,I696&gt;=H696),"완납","미확인"))</x:f>
        <x:v>완납</x:v>
      </x:c>
      <x:c r="O696" s="31" t="n">
        <x:v>36</x:v>
      </x:c>
    </x:row>
    <x:row r="697" ht="17.25" customHeight="1">
      <x:c r="A697" s="24" t="str">
        <x:v>SW-B-314소2486-202405</x:v>
      </x:c>
      <x:c r="B697" s="24" t="str">
        <x:v>스위치플랜</x:v>
      </x:c>
      <x:c r="C697" s="24" t="str">
        <x:v>SW-C-314소2486-1-20231121-36</x:v>
      </x:c>
      <x:c r="D697" s="24" t="str">
        <x:v>314소2486</x:v>
      </x:c>
      <x:c r="E697" s="24" t="str">
        <x:v>우재민</x:v>
      </x:c>
      <x:c r="F697" s="24" t="str">
        <x:v>2024-05</x:v>
      </x:c>
      <x:c r="G697" s="30" t="n">
        <x:v>45432</x:v>
      </x:c>
      <x:c r="H697" s="32" t="n">
        <x:v>660000</x:v>
      </x:c>
      <x:c r="I697" s="32" t="n">
        <x:v>660000</x:v>
      </x:c>
      <x:c r="J697" s="32" t="n">
        <x:v>0</x:v>
      </x:c>
      <x:c r="K697" s="30" t="n">
        <x:v>45434</x:v>
      </x:c>
      <x:c r="L697" s="24" t="str">
        <x:v>입금</x:v>
      </x:c>
      <x:c r="M697" s="31" t="n">
        <x:f>IF(AND(N697="미수",G697&lt;&gt;"",TODAY()&gt;G697),TODAY()-G697,0)</x:f>
        <x:v>0</x:v>
      </x:c>
      <x:c r="N697" s="24" t="str">
        <x:f>IF(J697&gt;0,"미수",IF(AND(H697&gt;0,I697&gt;=H697),"완납","미확인"))</x:f>
        <x:v>완납</x:v>
      </x:c>
      <x:c r="O697" s="31" t="n">
        <x:v>36</x:v>
      </x:c>
    </x:row>
    <x:row r="698" ht="17.25" customHeight="1">
      <x:c r="A698" s="24" t="str">
        <x:v>SW-B-314소2486-202404</x:v>
      </x:c>
      <x:c r="B698" s="24" t="str">
        <x:v>스위치플랜</x:v>
      </x:c>
      <x:c r="C698" s="24" t="str">
        <x:v>SW-C-314소2486-1-20231121-36</x:v>
      </x:c>
      <x:c r="D698" s="24" t="str">
        <x:v>314소2486</x:v>
      </x:c>
      <x:c r="E698" s="24" t="str">
        <x:v>우재민</x:v>
      </x:c>
      <x:c r="F698" s="24" t="str">
        <x:v>2024-04</x:v>
      </x:c>
      <x:c r="G698" s="30" t="n">
        <x:v>45402</x:v>
      </x:c>
      <x:c r="H698" s="32" t="n">
        <x:v>660000</x:v>
      </x:c>
      <x:c r="I698" s="32" t="n">
        <x:v>660000</x:v>
      </x:c>
      <x:c r="J698" s="32" t="n">
        <x:v>0</x:v>
      </x:c>
      <x:c r="K698" s="30" t="n">
        <x:v>45411</x:v>
      </x:c>
      <x:c r="L698" s="24" t="str">
        <x:v>입금</x:v>
      </x:c>
      <x:c r="M698" s="31" t="n">
        <x:f>IF(AND(N698="미수",G698&lt;&gt;"",TODAY()&gt;G698),TODAY()-G698,0)</x:f>
        <x:v>0</x:v>
      </x:c>
      <x:c r="N698" s="24" t="str">
        <x:f>IF(J698&gt;0,"미수",IF(AND(H698&gt;0,I698&gt;=H698),"완납","미확인"))</x:f>
        <x:v>완납</x:v>
      </x:c>
      <x:c r="O698" s="31" t="n">
        <x:v>36</x:v>
      </x:c>
    </x:row>
    <x:row r="699" ht="17.25" customHeight="1">
      <x:c r="A699" s="24" t="str">
        <x:v>SW-B-314소2486-202403</x:v>
      </x:c>
      <x:c r="B699" s="24" t="str">
        <x:v>스위치플랜</x:v>
      </x:c>
      <x:c r="C699" s="24" t="str">
        <x:v>SW-C-314소2486-1-20231121-36</x:v>
      </x:c>
      <x:c r="D699" s="24" t="str">
        <x:v>314소2486</x:v>
      </x:c>
      <x:c r="E699" s="24" t="str">
        <x:v>우재민</x:v>
      </x:c>
      <x:c r="F699" s="24" t="str">
        <x:v>2024-03</x:v>
      </x:c>
      <x:c r="G699" s="30" t="n">
        <x:v>45371</x:v>
      </x:c>
      <x:c r="H699" s="32" t="n">
        <x:v>660000</x:v>
      </x:c>
      <x:c r="I699" s="32" t="n">
        <x:v>660000</x:v>
      </x:c>
      <x:c r="J699" s="32" t="n">
        <x:v>0</x:v>
      </x:c>
      <x:c r="K699" s="30" t="n">
        <x:v>45372</x:v>
      </x:c>
      <x:c r="L699" s="24" t="str">
        <x:v>입금</x:v>
      </x:c>
      <x:c r="M699" s="31" t="n">
        <x:f>IF(AND(N699="미수",G699&lt;&gt;"",TODAY()&gt;G699),TODAY()-G699,0)</x:f>
        <x:v>0</x:v>
      </x:c>
      <x:c r="N699" s="24" t="str">
        <x:f>IF(J699&gt;0,"미수",IF(AND(H699&gt;0,I699&gt;=H699),"완납","미확인"))</x:f>
        <x:v>완납</x:v>
      </x:c>
      <x:c r="O699" s="31" t="n">
        <x:v>36</x:v>
      </x:c>
    </x:row>
    <x:row r="700" ht="17.25" customHeight="1">
      <x:c r="A700" s="24" t="str">
        <x:v>SW-B-314소2486-202402</x:v>
      </x:c>
      <x:c r="B700" s="24" t="str">
        <x:v>스위치플랜</x:v>
      </x:c>
      <x:c r="C700" s="24" t="str">
        <x:v>SW-C-314소2486-1-20231121-36</x:v>
      </x:c>
      <x:c r="D700" s="24" t="str">
        <x:v>314소2486</x:v>
      </x:c>
      <x:c r="E700" s="24" t="str">
        <x:v>우재민</x:v>
      </x:c>
      <x:c r="F700" s="24" t="str">
        <x:v>2024-02</x:v>
      </x:c>
      <x:c r="G700" s="30" t="n">
        <x:v>45342</x:v>
      </x:c>
      <x:c r="H700" s="32" t="n">
        <x:v>390000</x:v>
      </x:c>
      <x:c r="I700" s="32" t="n">
        <x:v>390000</x:v>
      </x:c>
      <x:c r="J700" s="32" t="n">
        <x:v>0</x:v>
      </x:c>
      <x:c r="K700" s="30" t="n">
        <x:v>45342</x:v>
      </x:c>
      <x:c r="L700" s="24" t="str">
        <x:v>입금</x:v>
      </x:c>
      <x:c r="M700" s="31" t="n">
        <x:f>IF(AND(N700="미수",G700&lt;&gt;"",TODAY()&gt;G700),TODAY()-G700,0)</x:f>
        <x:v>0</x:v>
      </x:c>
      <x:c r="N700" s="24" t="str">
        <x:f>IF(J700&gt;0,"미수",IF(AND(H700&gt;0,I700&gt;=H700),"완납","미확인"))</x:f>
        <x:v>완납</x:v>
      </x:c>
      <x:c r="O700" s="31" t="n">
        <x:v>36</x:v>
      </x:c>
    </x:row>
    <x:row r="701" ht="17.25" customHeight="1">
      <x:c r="A701" s="24" t="str">
        <x:v>SW-B-314소2486-202401</x:v>
      </x:c>
      <x:c r="B701" s="24" t="str">
        <x:v>스위치플랜</x:v>
      </x:c>
      <x:c r="C701" s="24" t="str">
        <x:v>SW-C-314소2486-1-20231121-36</x:v>
      </x:c>
      <x:c r="D701" s="24" t="str">
        <x:v>314소2486</x:v>
      </x:c>
      <x:c r="E701" s="24" t="str">
        <x:v>우재민</x:v>
      </x:c>
      <x:c r="F701" s="24" t="str">
        <x:v>2024-01</x:v>
      </x:c>
      <x:c r="G701" s="30" t="n">
        <x:v>45311</x:v>
      </x:c>
      <x:c r="H701" s="32" t="n">
        <x:v>660000</x:v>
      </x:c>
      <x:c r="I701" s="32" t="n">
        <x:v>660000</x:v>
      </x:c>
      <x:c r="J701" s="32" t="n">
        <x:v>0</x:v>
      </x:c>
      <x:c r="K701" s="30" t="n">
        <x:v>45312</x:v>
      </x:c>
      <x:c r="L701" s="24" t="str">
        <x:v>입금</x:v>
      </x:c>
      <x:c r="M701" s="31" t="n">
        <x:f>IF(AND(N701="미수",G701&lt;&gt;"",TODAY()&gt;G701),TODAY()-G701,0)</x:f>
        <x:v>0</x:v>
      </x:c>
      <x:c r="N701" s="24" t="str">
        <x:f>IF(J701&gt;0,"미수",IF(AND(H701&gt;0,I701&gt;=H701),"완납","미확인"))</x:f>
        <x:v>완납</x:v>
      </x:c>
      <x:c r="O701" s="31" t="n">
        <x:v>36</x:v>
      </x:c>
    </x:row>
    <x:row r="702" ht="17.25" customHeight="1">
      <x:c r="A702" s="24" t="str">
        <x:v>SW-B-314소2486-202312</x:v>
      </x:c>
      <x:c r="B702" s="24" t="str">
        <x:v>스위치플랜</x:v>
      </x:c>
      <x:c r="C702" s="24" t="str">
        <x:v>SW-C-314소2486-1-20231121-36</x:v>
      </x:c>
      <x:c r="D702" s="24" t="str">
        <x:v>314소2486</x:v>
      </x:c>
      <x:c r="E702" s="24" t="str">
        <x:v>우재민</x:v>
      </x:c>
      <x:c r="F702" s="24" t="str">
        <x:v>2023-12</x:v>
      </x:c>
      <x:c r="G702" s="30" t="n">
        <x:v>45280</x:v>
      </x:c>
      <x:c r="H702" s="32" t="n">
        <x:v>660000</x:v>
      </x:c>
      <x:c r="I702" s="32" t="n">
        <x:v>660000</x:v>
      </x:c>
      <x:c r="J702" s="32" t="n">
        <x:v>0</x:v>
      </x:c>
      <x:c r="K702" s="30" t="n">
        <x:v>45281</x:v>
      </x:c>
      <x:c r="L702" s="24" t="str">
        <x:v>입금</x:v>
      </x:c>
      <x:c r="M702" s="31" t="n">
        <x:f>IF(AND(N702="미수",G702&lt;&gt;"",TODAY()&gt;G702),TODAY()-G702,0)</x:f>
        <x:v>0</x:v>
      </x:c>
      <x:c r="N702" s="24" t="str">
        <x:f>IF(J702&gt;0,"미수",IF(AND(H702&gt;0,I702&gt;=H702),"완납","미확인"))</x:f>
        <x:v>완납</x:v>
      </x:c>
      <x:c r="O702" s="31" t="n">
        <x:v>36</x:v>
      </x:c>
    </x:row>
    <x:row r="703" ht="17.25" customHeight="1">
      <x:c r="A703" s="24" t="str">
        <x:v>SW-B-52모6211-202608</x:v>
      </x:c>
      <x:c r="B703" s="24" t="str">
        <x:v>스위치플랜</x:v>
      </x:c>
      <x:c r="C703" s="24" t="str">
        <x:v>SW-C-52모6211-1-20240925-37</x:v>
      </x:c>
      <x:c r="D703" s="24" t="str">
        <x:v>52모6211</x:v>
      </x:c>
      <x:c r="E703" s="24" t="str">
        <x:v>이우진</x:v>
      </x:c>
      <x:c r="F703" s="24" t="str">
        <x:v>2026-08</x:v>
      </x:c>
      <x:c r="G703" s="30" t="n">
        <x:v>46239</x:v>
      </x:c>
      <x:c r="H703" s="32" t="n">
        <x:v>800000</x:v>
      </x:c>
      <x:c r="I703" s="32" t="n">
        <x:v>800000</x:v>
      </x:c>
      <x:c r="J703" s="32" t="n">
        <x:v>0</x:v>
      </x:c>
      <x:c r="K703" s="30" t="n">
        <x:v>46239</x:v>
      </x:c>
      <x:c r="L703" s="24" t="str">
        <x:v>자동</x:v>
      </x:c>
      <x:c r="M703" s="31" t="n">
        <x:f>IF(AND(N703="미수",G703&lt;&gt;"",TODAY()&gt;G703),TODAY()-G703,0)</x:f>
        <x:v>0</x:v>
      </x:c>
      <x:c r="N703" s="24" t="str">
        <x:f>IF(J703&gt;0,"미수",IF(AND(H703&gt;0,I703&gt;=H703),"완납","미확인"))</x:f>
        <x:v>완납</x:v>
      </x:c>
      <x:c r="O703" s="31" t="n">
        <x:v>37</x:v>
      </x:c>
    </x:row>
    <x:row r="704" ht="17.25" customHeight="1">
      <x:c r="A704" s="24" t="str">
        <x:v>SW-B-52모6211-202607</x:v>
      </x:c>
      <x:c r="B704" s="24" t="str">
        <x:v>스위치플랜</x:v>
      </x:c>
      <x:c r="C704" s="24" t="str">
        <x:v>SW-C-52모6211-1-20240925-37</x:v>
      </x:c>
      <x:c r="D704" s="24" t="str">
        <x:v>52모6211</x:v>
      </x:c>
      <x:c r="E704" s="24" t="str">
        <x:v>이우진</x:v>
      </x:c>
      <x:c r="F704" s="24" t="str">
        <x:v>2026-07</x:v>
      </x:c>
      <x:c r="G704" s="30" t="n">
        <x:v>46208</x:v>
      </x:c>
      <x:c r="H704" s="32" t="n">
        <x:v>800000</x:v>
      </x:c>
      <x:c r="I704" s="32" t="n">
        <x:v>800000</x:v>
      </x:c>
      <x:c r="J704" s="32" t="n">
        <x:v>0</x:v>
      </x:c>
      <x:c r="K704" s="30" t="n">
        <x:v>46209</x:v>
      </x:c>
      <x:c r="L704" s="24" t="str">
        <x:v>자동</x:v>
      </x:c>
      <x:c r="M704" s="31" t="n">
        <x:f>IF(AND(N704="미수",G704&lt;&gt;"",TODAY()&gt;G704),TODAY()-G704,0)</x:f>
        <x:v>0</x:v>
      </x:c>
      <x:c r="N704" s="24" t="str">
        <x:f>IF(J704&gt;0,"미수",IF(AND(H704&gt;0,I704&gt;=H704),"완납","미확인"))</x:f>
        <x:v>완납</x:v>
      </x:c>
      <x:c r="O704" s="31" t="n">
        <x:v>37</x:v>
      </x:c>
    </x:row>
    <x:row r="705" ht="17.25" customHeight="1">
      <x:c r="A705" s="24" t="str">
        <x:v>SW-B-52모6211-202606</x:v>
      </x:c>
      <x:c r="B705" s="24" t="str">
        <x:v>스위치플랜</x:v>
      </x:c>
      <x:c r="C705" s="24" t="str">
        <x:v>SW-C-52모6211-1-20240925-37</x:v>
      </x:c>
      <x:c r="D705" s="24" t="str">
        <x:v>52모6211</x:v>
      </x:c>
      <x:c r="E705" s="24" t="str">
        <x:v>이우진</x:v>
      </x:c>
      <x:c r="F705" s="24" t="str">
        <x:v>2026-06</x:v>
      </x:c>
      <x:c r="G705" s="30" t="n">
        <x:v>46178</x:v>
      </x:c>
      <x:c r="H705" s="32" t="n">
        <x:v>800000</x:v>
      </x:c>
      <x:c r="I705" s="32" t="n">
        <x:v>800000</x:v>
      </x:c>
      <x:c r="J705" s="32" t="n">
        <x:v>0</x:v>
      </x:c>
      <x:c r="K705" s="30" t="n">
        <x:v>46178</x:v>
      </x:c>
      <x:c r="L705" s="24" t="str">
        <x:v>자동</x:v>
      </x:c>
      <x:c r="M705" s="31" t="n">
        <x:f>IF(AND(N705="미수",G705&lt;&gt;"",TODAY()&gt;G705),TODAY()-G705,0)</x:f>
        <x:v>0</x:v>
      </x:c>
      <x:c r="N705" s="24" t="str">
        <x:f>IF(J705&gt;0,"미수",IF(AND(H705&gt;0,I705&gt;=H705),"완납","미확인"))</x:f>
        <x:v>완납</x:v>
      </x:c>
      <x:c r="O705" s="31" t="n">
        <x:v>37</x:v>
      </x:c>
    </x:row>
    <x:row r="706" ht="17.25" customHeight="1">
      <x:c r="A706" s="24" t="str">
        <x:v>SW-B-52모6211-202605</x:v>
      </x:c>
      <x:c r="B706" s="24" t="str">
        <x:v>스위치플랜</x:v>
      </x:c>
      <x:c r="C706" s="24" t="str">
        <x:v>SW-C-52모6211-1-20240925-37</x:v>
      </x:c>
      <x:c r="D706" s="24" t="str">
        <x:v>52모6211</x:v>
      </x:c>
      <x:c r="E706" s="24" t="str">
        <x:v>이우진</x:v>
      </x:c>
      <x:c r="F706" s="24" t="str">
        <x:v>2026-05</x:v>
      </x:c>
      <x:c r="G706" s="30" t="n">
        <x:v>46147</x:v>
      </x:c>
      <x:c r="H706" s="32" t="n">
        <x:v>800000</x:v>
      </x:c>
      <x:c r="I706" s="32" t="n">
        <x:v>800000</x:v>
      </x:c>
      <x:c r="J706" s="32" t="n">
        <x:v>0</x:v>
      </x:c>
      <x:c r="K706" s="30" t="n">
        <x:v>46148</x:v>
      </x:c>
      <x:c r="L706" s="24" t="str">
        <x:v>자동</x:v>
      </x:c>
      <x:c r="M706" s="31" t="n">
        <x:f>IF(AND(N706="미수",G706&lt;&gt;"",TODAY()&gt;G706),TODAY()-G706,0)</x:f>
        <x:v>0</x:v>
      </x:c>
      <x:c r="N706" s="24" t="str">
        <x:f>IF(J706&gt;0,"미수",IF(AND(H706&gt;0,I706&gt;=H706),"완납","미확인"))</x:f>
        <x:v>완납</x:v>
      </x:c>
      <x:c r="O706" s="31" t="n">
        <x:v>37</x:v>
      </x:c>
    </x:row>
    <x:row r="707" ht="17.25" customHeight="1">
      <x:c r="A707" s="24" t="str">
        <x:v>SW-B-52모6211-202604</x:v>
      </x:c>
      <x:c r="B707" s="24" t="str">
        <x:v>스위치플랜</x:v>
      </x:c>
      <x:c r="C707" s="24" t="str">
        <x:v>SW-C-52모6211-1-20240925-37</x:v>
      </x:c>
      <x:c r="D707" s="24" t="str">
        <x:v>52모6211</x:v>
      </x:c>
      <x:c r="E707" s="24" t="str">
        <x:v>이우진</x:v>
      </x:c>
      <x:c r="F707" s="24" t="str">
        <x:v>2026-04</x:v>
      </x:c>
      <x:c r="G707" s="30" t="n">
        <x:v>46117</x:v>
      </x:c>
      <x:c r="H707" s="32" t="n">
        <x:v>800000</x:v>
      </x:c>
      <x:c r="I707" s="32" t="n">
        <x:v>800000</x:v>
      </x:c>
      <x:c r="J707" s="32" t="n">
        <x:v>0</x:v>
      </x:c>
      <x:c r="K707" s="30" t="n">
        <x:v>46118</x:v>
      </x:c>
      <x:c r="L707" s="24" t="str">
        <x:v>자동</x:v>
      </x:c>
      <x:c r="M707" s="31" t="n">
        <x:f>IF(AND(N707="미수",G707&lt;&gt;"",TODAY()&gt;G707),TODAY()-G707,0)</x:f>
        <x:v>0</x:v>
      </x:c>
      <x:c r="N707" s="24" t="str">
        <x:f>IF(J707&gt;0,"미수",IF(AND(H707&gt;0,I707&gt;=H707),"완납","미확인"))</x:f>
        <x:v>완납</x:v>
      </x:c>
      <x:c r="O707" s="31" t="n">
        <x:v>37</x:v>
      </x:c>
    </x:row>
    <x:row r="708" ht="17.25" customHeight="1">
      <x:c r="A708" s="24" t="str">
        <x:v>SW-B-52모6211-202603</x:v>
      </x:c>
      <x:c r="B708" s="24" t="str">
        <x:v>스위치플랜</x:v>
      </x:c>
      <x:c r="C708" s="24" t="str">
        <x:v>SW-C-52모6211-1-20240925-37</x:v>
      </x:c>
      <x:c r="D708" s="24" t="str">
        <x:v>52모6211</x:v>
      </x:c>
      <x:c r="E708" s="24" t="str">
        <x:v>이우진</x:v>
      </x:c>
      <x:c r="F708" s="24" t="str">
        <x:v>2026-03</x:v>
      </x:c>
      <x:c r="G708" s="30" t="n">
        <x:v>46086</x:v>
      </x:c>
      <x:c r="H708" s="32" t="n">
        <x:v>800000</x:v>
      </x:c>
      <x:c r="I708" s="32" t="n">
        <x:v>800000</x:v>
      </x:c>
      <x:c r="J708" s="32" t="n">
        <x:v>0</x:v>
      </x:c>
      <x:c r="K708" s="30" t="n">
        <x:v>46086</x:v>
      </x:c>
      <x:c r="L708" s="24" t="str">
        <x:v>자동</x:v>
      </x:c>
      <x:c r="M708" s="31" t="n">
        <x:f>IF(AND(N708="미수",G708&lt;&gt;"",TODAY()&gt;G708),TODAY()-G708,0)</x:f>
        <x:v>0</x:v>
      </x:c>
      <x:c r="N708" s="24" t="str">
        <x:f>IF(J708&gt;0,"미수",IF(AND(H708&gt;0,I708&gt;=H708),"완납","미확인"))</x:f>
        <x:v>완납</x:v>
      </x:c>
      <x:c r="O708" s="31" t="n">
        <x:v>37</x:v>
      </x:c>
    </x:row>
    <x:row r="709" ht="17.25" customHeight="1">
      <x:c r="A709" s="24" t="str">
        <x:v>SW-B-52모6211-202602</x:v>
      </x:c>
      <x:c r="B709" s="24" t="str">
        <x:v>스위치플랜</x:v>
      </x:c>
      <x:c r="C709" s="24" t="str">
        <x:v>SW-C-52모6211-1-20240925-37</x:v>
      </x:c>
      <x:c r="D709" s="24" t="str">
        <x:v>52모6211</x:v>
      </x:c>
      <x:c r="E709" s="24" t="str">
        <x:v>이우진</x:v>
      </x:c>
      <x:c r="F709" s="24" t="str">
        <x:v>2026-02</x:v>
      </x:c>
      <x:c r="G709" s="30" t="n">
        <x:v>46058</x:v>
      </x:c>
      <x:c r="H709" s="32" t="n">
        <x:v>800000</x:v>
      </x:c>
      <x:c r="I709" s="32" t="n">
        <x:v>800000</x:v>
      </x:c>
      <x:c r="J709" s="32" t="n">
        <x:v>0</x:v>
      </x:c>
      <x:c r="K709" s="30" t="n">
        <x:v>46058</x:v>
      </x:c>
      <x:c r="L709" s="24" t="str">
        <x:v>자동</x:v>
      </x:c>
      <x:c r="M709" s="31" t="n">
        <x:f>IF(AND(N709="미수",G709&lt;&gt;"",TODAY()&gt;G709),TODAY()-G709,0)</x:f>
        <x:v>0</x:v>
      </x:c>
      <x:c r="N709" s="24" t="str">
        <x:f>IF(J709&gt;0,"미수",IF(AND(H709&gt;0,I709&gt;=H709),"완납","미확인"))</x:f>
        <x:v>완납</x:v>
      </x:c>
      <x:c r="O709" s="31" t="n">
        <x:v>37</x:v>
      </x:c>
    </x:row>
    <x:row r="710" ht="17.25" customHeight="1">
      <x:c r="A710" s="24" t="str">
        <x:v>SW-B-52모6211-202601</x:v>
      </x:c>
      <x:c r="B710" s="24" t="str">
        <x:v>스위치플랜</x:v>
      </x:c>
      <x:c r="C710" s="24" t="str">
        <x:v>SW-C-52모6211-1-20240925-37</x:v>
      </x:c>
      <x:c r="D710" s="24" t="str">
        <x:v>52모6211</x:v>
      </x:c>
      <x:c r="E710" s="24" t="str">
        <x:v>이우진</x:v>
      </x:c>
      <x:c r="F710" s="24" t="str">
        <x:v>2026-01</x:v>
      </x:c>
      <x:c r="G710" s="30" t="n">
        <x:v>46027</x:v>
      </x:c>
      <x:c r="H710" s="32" t="n">
        <x:v>800000</x:v>
      </x:c>
      <x:c r="I710" s="32" t="n">
        <x:v>800000</x:v>
      </x:c>
      <x:c r="J710" s="32" t="n">
        <x:v>0</x:v>
      </x:c>
      <x:c r="K710" s="30" t="n">
        <x:v>46027</x:v>
      </x:c>
      <x:c r="L710" s="24" t="str">
        <x:v>자동</x:v>
      </x:c>
      <x:c r="M710" s="31" t="n">
        <x:f>IF(AND(N710="미수",G710&lt;&gt;"",TODAY()&gt;G710),TODAY()-G710,0)</x:f>
        <x:v>0</x:v>
      </x:c>
      <x:c r="N710" s="24" t="str">
        <x:f>IF(J710&gt;0,"미수",IF(AND(H710&gt;0,I710&gt;=H710),"완납","미확인"))</x:f>
        <x:v>완납</x:v>
      </x:c>
      <x:c r="O710" s="31" t="n">
        <x:v>37</x:v>
      </x:c>
    </x:row>
    <x:row r="711" ht="17.25" customHeight="1">
      <x:c r="A711" s="24" t="str">
        <x:v>SW-B-52모6211-202512</x:v>
      </x:c>
      <x:c r="B711" s="24" t="str">
        <x:v>스위치플랜</x:v>
      </x:c>
      <x:c r="C711" s="24" t="str">
        <x:v>SW-C-52모6211-1-20240925-37</x:v>
      </x:c>
      <x:c r="D711" s="24" t="str">
        <x:v>52모6211</x:v>
      </x:c>
      <x:c r="E711" s="24" t="str">
        <x:v>이우진</x:v>
      </x:c>
      <x:c r="F711" s="24" t="str">
        <x:v>2025-12</x:v>
      </x:c>
      <x:c r="G711" s="30" t="n">
        <x:v>45996</x:v>
      </x:c>
      <x:c r="H711" s="32" t="n">
        <x:v>800000</x:v>
      </x:c>
      <x:c r="I711" s="32" t="n">
        <x:v>800000</x:v>
      </x:c>
      <x:c r="J711" s="32" t="n">
        <x:v>0</x:v>
      </x:c>
      <x:c r="K711" s="30" t="n">
        <x:v>45996</x:v>
      </x:c>
      <x:c r="L711" s="24" t="str">
        <x:v>자동</x:v>
      </x:c>
      <x:c r="M711" s="31" t="n">
        <x:f>IF(AND(N711="미수",G711&lt;&gt;"",TODAY()&gt;G711),TODAY()-G711,0)</x:f>
        <x:v>0</x:v>
      </x:c>
      <x:c r="N711" s="24" t="str">
        <x:f>IF(J711&gt;0,"미수",IF(AND(H711&gt;0,I711&gt;=H711),"완납","미확인"))</x:f>
        <x:v>완납</x:v>
      </x:c>
      <x:c r="O711" s="31" t="n">
        <x:v>37</x:v>
      </x:c>
    </x:row>
    <x:row r="712" ht="17.25" customHeight="1">
      <x:c r="A712" s="24" t="str">
        <x:v>SW-B-52모6211-202511</x:v>
      </x:c>
      <x:c r="B712" s="24" t="str">
        <x:v>스위치플랜</x:v>
      </x:c>
      <x:c r="C712" s="24" t="str">
        <x:v>SW-C-52모6211-1-20240925-37</x:v>
      </x:c>
      <x:c r="D712" s="24" t="str">
        <x:v>52모6211</x:v>
      </x:c>
      <x:c r="E712" s="24" t="str">
        <x:v>이우진</x:v>
      </x:c>
      <x:c r="F712" s="24" t="str">
        <x:v>2025-11</x:v>
      </x:c>
      <x:c r="G712" s="30" t="n">
        <x:v>45966</x:v>
      </x:c>
      <x:c r="H712" s="32" t="n">
        <x:v>800000</x:v>
      </x:c>
      <x:c r="I712" s="32" t="n">
        <x:v>800000</x:v>
      </x:c>
      <x:c r="J712" s="32" t="n">
        <x:v>0</x:v>
      </x:c>
      <x:c r="K712" s="30" t="n">
        <x:v>45966</x:v>
      </x:c>
      <x:c r="L712" s="24" t="str">
        <x:v>자동</x:v>
      </x:c>
      <x:c r="M712" s="31" t="n">
        <x:f>IF(AND(N712="미수",G712&lt;&gt;"",TODAY()&gt;G712),TODAY()-G712,0)</x:f>
        <x:v>0</x:v>
      </x:c>
      <x:c r="N712" s="24" t="str">
        <x:f>IF(J712&gt;0,"미수",IF(AND(H712&gt;0,I712&gt;=H712),"완납","미확인"))</x:f>
        <x:v>완납</x:v>
      </x:c>
      <x:c r="O712" s="31" t="n">
        <x:v>37</x:v>
      </x:c>
    </x:row>
    <x:row r="713" ht="17.25" customHeight="1">
      <x:c r="A713" s="24" t="str">
        <x:v>SW-B-52모6211-202510</x:v>
      </x:c>
      <x:c r="B713" s="24" t="str">
        <x:v>스위치플랜</x:v>
      </x:c>
      <x:c r="C713" s="24" t="str">
        <x:v>SW-C-52모6211-1-20240925-37</x:v>
      </x:c>
      <x:c r="D713" s="24" t="str">
        <x:v>52모6211</x:v>
      </x:c>
      <x:c r="E713" s="24" t="str">
        <x:v>이우진</x:v>
      </x:c>
      <x:c r="F713" s="24" t="str">
        <x:v>2025-10</x:v>
      </x:c>
      <x:c r="G713" s="30" t="n">
        <x:v>45935</x:v>
      </x:c>
      <x:c r="H713" s="32" t="n">
        <x:v>800000</x:v>
      </x:c>
      <x:c r="I713" s="32" t="n">
        <x:v>800000</x:v>
      </x:c>
      <x:c r="J713" s="32" t="n">
        <x:v>0</x:v>
      </x:c>
      <x:c r="K713" s="30" t="n">
        <x:v>45931</x:v>
      </x:c>
      <x:c r="L713" s="24" t="str">
        <x:v>입금</x:v>
      </x:c>
      <x:c r="M713" s="31" t="n">
        <x:f>IF(AND(N713="미수",G713&lt;&gt;"",TODAY()&gt;G713),TODAY()-G713,0)</x:f>
        <x:v>0</x:v>
      </x:c>
      <x:c r="N713" s="24" t="str">
        <x:f>IF(J713&gt;0,"미수",IF(AND(H713&gt;0,I713&gt;=H713),"완납","미확인"))</x:f>
        <x:v>완납</x:v>
      </x:c>
      <x:c r="O713" s="31" t="n">
        <x:v>37</x:v>
      </x:c>
    </x:row>
    <x:row r="714" ht="17.25" customHeight="1">
      <x:c r="A714" s="24" t="str">
        <x:v>SW-B-52모6211-202509</x:v>
      </x:c>
      <x:c r="B714" s="24" t="str">
        <x:v>스위치플랜</x:v>
      </x:c>
      <x:c r="C714" s="24" t="str">
        <x:v>SW-C-52모6211-1-20240925-37</x:v>
      </x:c>
      <x:c r="D714" s="24" t="str">
        <x:v>52모6211</x:v>
      </x:c>
      <x:c r="E714" s="24" t="str">
        <x:v>이우진</x:v>
      </x:c>
      <x:c r="F714" s="24" t="str">
        <x:v>2025-09</x:v>
      </x:c>
      <x:c r="G714" s="30" t="n">
        <x:v>45905</x:v>
      </x:c>
      <x:c r="H714" s="32" t="n">
        <x:v>800000</x:v>
      </x:c>
      <x:c r="I714" s="32" t="n">
        <x:v>800000</x:v>
      </x:c>
      <x:c r="J714" s="32" t="n">
        <x:v>0</x:v>
      </x:c>
      <x:c r="K714" s="30" t="n">
        <x:v>45905</x:v>
      </x:c>
      <x:c r="L714" s="24" t="str">
        <x:v>자동</x:v>
      </x:c>
      <x:c r="M714" s="31" t="n">
        <x:f>IF(AND(N714="미수",G714&lt;&gt;"",TODAY()&gt;G714),TODAY()-G714,0)</x:f>
        <x:v>0</x:v>
      </x:c>
      <x:c r="N714" s="24" t="str">
        <x:f>IF(J714&gt;0,"미수",IF(AND(H714&gt;0,I714&gt;=H714),"완납","미확인"))</x:f>
        <x:v>완납</x:v>
      </x:c>
      <x:c r="O714" s="31" t="n">
        <x:v>37</x:v>
      </x:c>
    </x:row>
    <x:row r="715" ht="17.25" customHeight="1">
      <x:c r="A715" s="24" t="str">
        <x:v>SW-B-52모6211-202508</x:v>
      </x:c>
      <x:c r="B715" s="24" t="str">
        <x:v>스위치플랜</x:v>
      </x:c>
      <x:c r="C715" s="24" t="str">
        <x:v>SW-C-52모6211-1-20240925-37</x:v>
      </x:c>
      <x:c r="D715" s="24" t="str">
        <x:v>52모6211</x:v>
      </x:c>
      <x:c r="E715" s="24" t="str">
        <x:v>이우진</x:v>
      </x:c>
      <x:c r="F715" s="24" t="str">
        <x:v>2025-08</x:v>
      </x:c>
      <x:c r="G715" s="30" t="n">
        <x:v>45874</x:v>
      </x:c>
      <x:c r="H715" s="32" t="n">
        <x:v>800000</x:v>
      </x:c>
      <x:c r="I715" s="32" t="n">
        <x:v>800000</x:v>
      </x:c>
      <x:c r="J715" s="32" t="n">
        <x:v>0</x:v>
      </x:c>
      <x:c r="K715" s="30" t="n">
        <x:v>45874</x:v>
      </x:c>
      <x:c r="L715" s="24" t="str">
        <x:v>자동</x:v>
      </x:c>
      <x:c r="M715" s="31" t="n">
        <x:f>IF(AND(N715="미수",G715&lt;&gt;"",TODAY()&gt;G715),TODAY()-G715,0)</x:f>
        <x:v>0</x:v>
      </x:c>
      <x:c r="N715" s="24" t="str">
        <x:f>IF(J715&gt;0,"미수",IF(AND(H715&gt;0,I715&gt;=H715),"완납","미확인"))</x:f>
        <x:v>완납</x:v>
      </x:c>
      <x:c r="O715" s="31" t="n">
        <x:v>37</x:v>
      </x:c>
    </x:row>
    <x:row r="716" ht="17.25" customHeight="1">
      <x:c r="A716" s="24" t="str">
        <x:v>SW-B-52모6211-202507</x:v>
      </x:c>
      <x:c r="B716" s="24" t="str">
        <x:v>스위치플랜</x:v>
      </x:c>
      <x:c r="C716" s="24" t="str">
        <x:v>SW-C-52모6211-1-20240925-37</x:v>
      </x:c>
      <x:c r="D716" s="24" t="str">
        <x:v>52모6211</x:v>
      </x:c>
      <x:c r="E716" s="24" t="str">
        <x:v>이우진</x:v>
      </x:c>
      <x:c r="F716" s="24" t="str">
        <x:v>2025-07</x:v>
      </x:c>
      <x:c r="G716" s="30" t="n">
        <x:v>45843</x:v>
      </x:c>
      <x:c r="H716" s="32" t="n">
        <x:v>800000</x:v>
      </x:c>
      <x:c r="I716" s="32" t="n">
        <x:v>800000</x:v>
      </x:c>
      <x:c r="J716" s="32" t="n">
        <x:v>0</x:v>
      </x:c>
      <x:c r="K716" s="30" t="n">
        <x:v>45845</x:v>
      </x:c>
      <x:c r="L716" s="24" t="str">
        <x:v>자동</x:v>
      </x:c>
      <x:c r="M716" s="31" t="n">
        <x:f>IF(AND(N716="미수",G716&lt;&gt;"",TODAY()&gt;G716),TODAY()-G716,0)</x:f>
        <x:v>0</x:v>
      </x:c>
      <x:c r="N716" s="24" t="str">
        <x:f>IF(J716&gt;0,"미수",IF(AND(H716&gt;0,I716&gt;=H716),"완납","미확인"))</x:f>
        <x:v>완납</x:v>
      </x:c>
      <x:c r="O716" s="31" t="n">
        <x:v>37</x:v>
      </x:c>
    </x:row>
    <x:row r="717" ht="17.25" customHeight="1">
      <x:c r="A717" s="24" t="str">
        <x:v>SW-B-52모6211-202506</x:v>
      </x:c>
      <x:c r="B717" s="24" t="str">
        <x:v>스위치플랜</x:v>
      </x:c>
      <x:c r="C717" s="24" t="str">
        <x:v>SW-C-52모6211-1-20240925-37</x:v>
      </x:c>
      <x:c r="D717" s="24" t="str">
        <x:v>52모6211</x:v>
      </x:c>
      <x:c r="E717" s="24" t="str">
        <x:v>이우진</x:v>
      </x:c>
      <x:c r="F717" s="24" t="str">
        <x:v>2025-06</x:v>
      </x:c>
      <x:c r="G717" s="30" t="n">
        <x:v>45813</x:v>
      </x:c>
      <x:c r="H717" s="32" t="n">
        <x:v>800000</x:v>
      </x:c>
      <x:c r="I717" s="32" t="n">
        <x:v>800000</x:v>
      </x:c>
      <x:c r="J717" s="32" t="n">
        <x:v>0</x:v>
      </x:c>
      <x:c r="K717" s="30" t="n">
        <x:v>45813</x:v>
      </x:c>
      <x:c r="L717" s="24" t="str">
        <x:v>자동</x:v>
      </x:c>
      <x:c r="M717" s="31" t="n">
        <x:f>IF(AND(N717="미수",G717&lt;&gt;"",TODAY()&gt;G717),TODAY()-G717,0)</x:f>
        <x:v>0</x:v>
      </x:c>
      <x:c r="N717" s="24" t="str">
        <x:f>IF(J717&gt;0,"미수",IF(AND(H717&gt;0,I717&gt;=H717),"완납","미확인"))</x:f>
        <x:v>완납</x:v>
      </x:c>
      <x:c r="O717" s="31" t="n">
        <x:v>37</x:v>
      </x:c>
    </x:row>
    <x:row r="718" ht="17.25" customHeight="1">
      <x:c r="A718" s="24" t="str">
        <x:v>SW-B-52모6211-202505</x:v>
      </x:c>
      <x:c r="B718" s="24" t="str">
        <x:v>스위치플랜</x:v>
      </x:c>
      <x:c r="C718" s="24" t="str">
        <x:v>SW-C-52모6211-1-20240925-37</x:v>
      </x:c>
      <x:c r="D718" s="24" t="str">
        <x:v>52모6211</x:v>
      </x:c>
      <x:c r="E718" s="24" t="str">
        <x:v>이우진</x:v>
      </x:c>
      <x:c r="F718" s="24" t="str">
        <x:v>2025-05</x:v>
      </x:c>
      <x:c r="G718" s="30" t="n">
        <x:v>45782</x:v>
      </x:c>
      <x:c r="H718" s="32" t="n">
        <x:v>800000</x:v>
      </x:c>
      <x:c r="I718" s="32" t="n">
        <x:v>800000</x:v>
      </x:c>
      <x:c r="J718" s="32" t="n">
        <x:v>0</x:v>
      </x:c>
      <x:c r="K718" s="30" t="n">
        <x:v>45789</x:v>
      </x:c>
      <x:c r="L718" s="24" t="str">
        <x:v>입금</x:v>
      </x:c>
      <x:c r="M718" s="31" t="n">
        <x:f>IF(AND(N718="미수",G718&lt;&gt;"",TODAY()&gt;G718),TODAY()-G718,0)</x:f>
        <x:v>0</x:v>
      </x:c>
      <x:c r="N718" s="24" t="str">
        <x:f>IF(J718&gt;0,"미수",IF(AND(H718&gt;0,I718&gt;=H718),"완납","미확인"))</x:f>
        <x:v>완납</x:v>
      </x:c>
      <x:c r="O718" s="31" t="n">
        <x:v>37</x:v>
      </x:c>
    </x:row>
    <x:row r="719" ht="17.25" customHeight="1">
      <x:c r="A719" s="24" t="str">
        <x:v>SW-B-52모6211-202504</x:v>
      </x:c>
      <x:c r="B719" s="24" t="str">
        <x:v>스위치플랜</x:v>
      </x:c>
      <x:c r="C719" s="24" t="str">
        <x:v>SW-C-52모6211-1-20240925-37</x:v>
      </x:c>
      <x:c r="D719" s="24" t="str">
        <x:v>52모6211</x:v>
      </x:c>
      <x:c r="E719" s="24" t="str">
        <x:v>이우진</x:v>
      </x:c>
      <x:c r="F719" s="24" t="str">
        <x:v>2025-04</x:v>
      </x:c>
      <x:c r="G719" s="30" t="n">
        <x:v>45752</x:v>
      </x:c>
      <x:c r="H719" s="32" t="n">
        <x:v>800000</x:v>
      </x:c>
      <x:c r="I719" s="32" t="n">
        <x:v>800000</x:v>
      </x:c>
      <x:c r="J719" s="32" t="n">
        <x:v>0</x:v>
      </x:c>
      <x:c r="K719" s="30" t="n">
        <x:v>45754</x:v>
      </x:c>
      <x:c r="L719" s="24" t="str">
        <x:v>자동</x:v>
      </x:c>
      <x:c r="M719" s="31" t="n">
        <x:f>IF(AND(N719="미수",G719&lt;&gt;"",TODAY()&gt;G719),TODAY()-G719,0)</x:f>
        <x:v>0</x:v>
      </x:c>
      <x:c r="N719" s="24" t="str">
        <x:f>IF(J719&gt;0,"미수",IF(AND(H719&gt;0,I719&gt;=H719),"완납","미확인"))</x:f>
        <x:v>완납</x:v>
      </x:c>
      <x:c r="O719" s="31" t="n">
        <x:v>37</x:v>
      </x:c>
    </x:row>
    <x:row r="720" ht="17.25" customHeight="1">
      <x:c r="A720" s="24" t="str">
        <x:v>SW-B-52모6211-202503</x:v>
      </x:c>
      <x:c r="B720" s="24" t="str">
        <x:v>스위치플랜</x:v>
      </x:c>
      <x:c r="C720" s="24" t="str">
        <x:v>SW-C-52모6211-1-20240925-37</x:v>
      </x:c>
      <x:c r="D720" s="24" t="str">
        <x:v>52모6211</x:v>
      </x:c>
      <x:c r="E720" s="24" t="str">
        <x:v>이우진</x:v>
      </x:c>
      <x:c r="F720" s="24" t="str">
        <x:v>2025-03</x:v>
      </x:c>
      <x:c r="G720" s="30" t="n">
        <x:v>45721</x:v>
      </x:c>
      <x:c r="H720" s="32" t="n">
        <x:v>800000</x:v>
      </x:c>
      <x:c r="I720" s="32" t="n">
        <x:v>800000</x:v>
      </x:c>
      <x:c r="J720" s="32" t="n">
        <x:v>0</x:v>
      </x:c>
      <x:c r="K720" s="30" t="n">
        <x:v>45721</x:v>
      </x:c>
      <x:c r="L720" s="24" t="str">
        <x:v>자동</x:v>
      </x:c>
      <x:c r="M720" s="31" t="n">
        <x:f>IF(AND(N720="미수",G720&lt;&gt;"",TODAY()&gt;G720),TODAY()-G720,0)</x:f>
        <x:v>0</x:v>
      </x:c>
      <x:c r="N720" s="24" t="str">
        <x:f>IF(J720&gt;0,"미수",IF(AND(H720&gt;0,I720&gt;=H720),"완납","미확인"))</x:f>
        <x:v>완납</x:v>
      </x:c>
      <x:c r="O720" s="31" t="n">
        <x:v>37</x:v>
      </x:c>
    </x:row>
    <x:row r="721" ht="17.25" customHeight="1">
      <x:c r="A721" s="24" t="str">
        <x:v>SW-B-52모6211-202502</x:v>
      </x:c>
      <x:c r="B721" s="24" t="str">
        <x:v>스위치플랜</x:v>
      </x:c>
      <x:c r="C721" s="24" t="str">
        <x:v>SW-C-52모6211-1-20240925-37</x:v>
      </x:c>
      <x:c r="D721" s="24" t="str">
        <x:v>52모6211</x:v>
      </x:c>
      <x:c r="E721" s="24" t="str">
        <x:v>이우진</x:v>
      </x:c>
      <x:c r="F721" s="24" t="str">
        <x:v>2025-02</x:v>
      </x:c>
      <x:c r="G721" s="30" t="n">
        <x:v>45693</x:v>
      </x:c>
      <x:c r="H721" s="32" t="n">
        <x:v>800000</x:v>
      </x:c>
      <x:c r="I721" s="32" t="n">
        <x:v>800000</x:v>
      </x:c>
      <x:c r="J721" s="32" t="n">
        <x:v>0</x:v>
      </x:c>
      <x:c r="K721" s="30" t="n">
        <x:v>45693</x:v>
      </x:c>
      <x:c r="L721" s="24" t="str">
        <x:v>자동</x:v>
      </x:c>
      <x:c r="M721" s="31" t="n">
        <x:f>IF(AND(N721="미수",G721&lt;&gt;"",TODAY()&gt;G721),TODAY()-G721,0)</x:f>
        <x:v>0</x:v>
      </x:c>
      <x:c r="N721" s="24" t="str">
        <x:f>IF(J721&gt;0,"미수",IF(AND(H721&gt;0,I721&gt;=H721),"완납","미확인"))</x:f>
        <x:v>완납</x:v>
      </x:c>
      <x:c r="O721" s="31" t="n">
        <x:v>37</x:v>
      </x:c>
    </x:row>
    <x:row r="722" ht="17.25" customHeight="1">
      <x:c r="A722" s="24" t="str">
        <x:v>SW-B-52모6211-202501</x:v>
      </x:c>
      <x:c r="B722" s="24" t="str">
        <x:v>스위치플랜</x:v>
      </x:c>
      <x:c r="C722" s="24" t="str">
        <x:v>SW-C-52모6211-1-20240925-37</x:v>
      </x:c>
      <x:c r="D722" s="24" t="str">
        <x:v>52모6211</x:v>
      </x:c>
      <x:c r="E722" s="24" t="str">
        <x:v>이우진</x:v>
      </x:c>
      <x:c r="F722" s="24" t="str">
        <x:v>2025-01</x:v>
      </x:c>
      <x:c r="G722" s="30" t="n">
        <x:v>45662</x:v>
      </x:c>
      <x:c r="H722" s="32" t="n">
        <x:v>800000</x:v>
      </x:c>
      <x:c r="I722" s="32" t="n">
        <x:v>800000</x:v>
      </x:c>
      <x:c r="J722" s="32" t="n">
        <x:v>0</x:v>
      </x:c>
      <x:c r="K722" s="30" t="n">
        <x:v>45663</x:v>
      </x:c>
      <x:c r="L722" s="24" t="str">
        <x:v>자동</x:v>
      </x:c>
      <x:c r="M722" s="31" t="n">
        <x:f>IF(AND(N722="미수",G722&lt;&gt;"",TODAY()&gt;G722),TODAY()-G722,0)</x:f>
        <x:v>0</x:v>
      </x:c>
      <x:c r="N722" s="24" t="str">
        <x:f>IF(J722&gt;0,"미수",IF(AND(H722&gt;0,I722&gt;=H722),"완납","미확인"))</x:f>
        <x:v>완납</x:v>
      </x:c>
      <x:c r="O722" s="31" t="n">
        <x:v>37</x:v>
      </x:c>
    </x:row>
    <x:row r="723" ht="17.25" customHeight="1">
      <x:c r="A723" s="24" t="str">
        <x:v>SW-B-52모6211-202412</x:v>
      </x:c>
      <x:c r="B723" s="24" t="str">
        <x:v>스위치플랜</x:v>
      </x:c>
      <x:c r="C723" s="24" t="str">
        <x:v>SW-C-52모6211-1-20240925-37</x:v>
      </x:c>
      <x:c r="D723" s="24" t="str">
        <x:v>52모6211</x:v>
      </x:c>
      <x:c r="E723" s="24" t="str">
        <x:v>이우진</x:v>
      </x:c>
      <x:c r="F723" s="24" t="str">
        <x:v>2024-12</x:v>
      </x:c>
      <x:c r="G723" s="30" t="n">
        <x:v>45631</x:v>
      </x:c>
      <x:c r="H723" s="32" t="n">
        <x:v>270000</x:v>
      </x:c>
      <x:c r="I723" s="32" t="n">
        <x:v>270000</x:v>
      </x:c>
      <x:c r="J723" s="32" t="n">
        <x:v>0</x:v>
      </x:c>
      <x:c r="K723" s="30" t="n">
        <x:v>45652</x:v>
      </x:c>
      <x:c r="L723" s="24" t="str">
        <x:v>입금</x:v>
      </x:c>
      <x:c r="M723" s="31" t="n">
        <x:f>IF(AND(N723="미수",G723&lt;&gt;"",TODAY()&gt;G723),TODAY()-G723,0)</x:f>
        <x:v>0</x:v>
      </x:c>
      <x:c r="N723" s="24" t="str">
        <x:f>IF(J723&gt;0,"미수",IF(AND(H723&gt;0,I723&gt;=H723),"완납","미확인"))</x:f>
        <x:v>완납</x:v>
      </x:c>
      <x:c r="O723" s="31" t="n">
        <x:v>37</x:v>
      </x:c>
    </x:row>
    <x:row r="724" ht="17.25" customHeight="1">
      <x:c r="A724" s="24" t="str">
        <x:v>SW-B-52모6211-202411</x:v>
      </x:c>
      <x:c r="B724" s="24" t="str">
        <x:v>스위치플랜</x:v>
      </x:c>
      <x:c r="C724" s="24" t="str">
        <x:v>SW-C-52모6211-1-20240925-37</x:v>
      </x:c>
      <x:c r="D724" s="24" t="str">
        <x:v>52모6211</x:v>
      </x:c>
      <x:c r="E724" s="24" t="str">
        <x:v>이우진</x:v>
      </x:c>
      <x:c r="F724" s="24" t="str">
        <x:v>2024-11</x:v>
      </x:c>
      <x:c r="G724" s="30" t="n">
        <x:v>45601</x:v>
      </x:c>
      <x:c r="H724" s="32" t="n">
        <x:v>800000</x:v>
      </x:c>
      <x:c r="I724" s="32" t="n">
        <x:v>800000</x:v>
      </x:c>
      <x:c r="J724" s="32" t="n">
        <x:v>0</x:v>
      </x:c>
      <x:c r="K724" s="30" t="n">
        <x:v>45621</x:v>
      </x:c>
      <x:c r="L724" s="24" t="str">
        <x:v>자동</x:v>
      </x:c>
      <x:c r="M724" s="31" t="n">
        <x:f>IF(AND(N724="미수",G724&lt;&gt;"",TODAY()&gt;G724),TODAY()-G724,0)</x:f>
        <x:v>0</x:v>
      </x:c>
      <x:c r="N724" s="24" t="str">
        <x:f>IF(J724&gt;0,"미수",IF(AND(H724&gt;0,I724&gt;=H724),"완납","미확인"))</x:f>
        <x:v>완납</x:v>
      </x:c>
      <x:c r="O724" s="31" t="n">
        <x:v>37</x:v>
      </x:c>
    </x:row>
    <x:row r="725" ht="17.25" customHeight="1">
      <x:c r="A725" s="24" t="str">
        <x:v>SW-B-52모6211-202410</x:v>
      </x:c>
      <x:c r="B725" s="24" t="str">
        <x:v>스위치플랜</x:v>
      </x:c>
      <x:c r="C725" s="24" t="str">
        <x:v>SW-C-52모6211-1-20240925-37</x:v>
      </x:c>
      <x:c r="D725" s="24" t="str">
        <x:v>52모6211</x:v>
      </x:c>
      <x:c r="E725" s="24" t="str">
        <x:v>이우진</x:v>
      </x:c>
      <x:c r="F725" s="24" t="str">
        <x:v>2024-10</x:v>
      </x:c>
      <x:c r="G725" s="30" t="n">
        <x:v>45570</x:v>
      </x:c>
      <x:c r="H725" s="32" t="n">
        <x:v>800000</x:v>
      </x:c>
      <x:c r="I725" s="32" t="n">
        <x:v>800000</x:v>
      </x:c>
      <x:c r="J725" s="32" t="n">
        <x:v>0</x:v>
      </x:c>
      <x:c r="K725" s="30" t="n">
        <x:v>45590</x:v>
      </x:c>
      <x:c r="L725" s="24" t="str">
        <x:v>자동</x:v>
      </x:c>
      <x:c r="M725" s="31" t="n">
        <x:f>IF(AND(N725="미수",G725&lt;&gt;"",TODAY()&gt;G725),TODAY()-G725,0)</x:f>
        <x:v>0</x:v>
      </x:c>
      <x:c r="N725" s="24" t="str">
        <x:f>IF(J725&gt;0,"미수",IF(AND(H725&gt;0,I725&gt;=H725),"완납","미확인"))</x:f>
        <x:v>완납</x:v>
      </x:c>
      <x:c r="O725" s="31" t="n">
        <x:v>37</x:v>
      </x:c>
    </x:row>
    <x:row r="726" ht="17.25" customHeight="1">
      <x:c r="A726" s="24" t="str">
        <x:v>SW-B-52모6211-202409</x:v>
      </x:c>
      <x:c r="B726" s="24" t="str">
        <x:v>스위치플랜</x:v>
      </x:c>
      <x:c r="C726" s="24" t="str">
        <x:v>SW-C-52모6211-1-20240925-37</x:v>
      </x:c>
      <x:c r="D726" s="24" t="str">
        <x:v>52모6211</x:v>
      </x:c>
      <x:c r="E726" s="24" t="str">
        <x:v>이우진</x:v>
      </x:c>
      <x:c r="F726" s="24" t="str">
        <x:v>2024-09</x:v>
      </x:c>
      <x:c r="G726" s="30" t="n">
        <x:v>45540</x:v>
      </x:c>
      <x:c r="H726" s="32" t="n">
        <x:v>800000</x:v>
      </x:c>
      <x:c r="I726" s="32" t="n">
        <x:v>800000</x:v>
      </x:c>
      <x:c r="J726" s="32" t="n">
        <x:v>0</x:v>
      </x:c>
      <x:c r="K726" s="30" t="n">
        <x:v>45555</x:v>
      </x:c>
      <x:c r="L726" s="24" t="str">
        <x:v>입금</x:v>
      </x:c>
      <x:c r="M726" s="31" t="n">
        <x:f>IF(AND(N726="미수",G726&lt;&gt;"",TODAY()&gt;G726),TODAY()-G726,0)</x:f>
        <x:v>0</x:v>
      </x:c>
      <x:c r="N726" s="24" t="str">
        <x:f>IF(J726&gt;0,"미수",IF(AND(H726&gt;0,I726&gt;=H726),"완납","미확인"))</x:f>
        <x:v>완납</x:v>
      </x:c>
      <x:c r="O726" s="31" t="n">
        <x:v>37</x:v>
      </x:c>
    </x:row>
    <x:row r="727" ht="17.25" customHeight="1">
      <x:c r="A727" s="24" t="str">
        <x:v>SW-B-376두7844-202608</x:v>
      </x:c>
      <x:c r="B727" s="24" t="str">
        <x:v>스위치플랜</x:v>
      </x:c>
      <x:c r="C727" s="24" t="str">
        <x:v>SW-C-376두7844-1-20250616-38</x:v>
      </x:c>
      <x:c r="D727" s="24" t="str">
        <x:v>376두7844</x:v>
      </x:c>
      <x:c r="E727" s="24" t="str">
        <x:v>김동현</x:v>
      </x:c>
      <x:c r="F727" s="24" t="str">
        <x:v>2026-08</x:v>
      </x:c>
      <x:c r="G727" s="30" t="n">
        <x:v>46249</x:v>
      </x:c>
      <x:c r="H727" s="32" t="n">
        <x:v>1170000</x:v>
      </x:c>
      <x:c r="I727" s="32"/>
      <x:c r="J727" s="32" t="n">
        <x:v>1170000</x:v>
      </x:c>
      <x:c r="K727" s="30"/>
      <x:c r="L727" s="24" t="str"/>
      <x:c r="M727" s="31" t="n">
        <x:f>IF(AND(N727="미수",G727&lt;&gt;"",TODAY()&gt;G727),TODAY()-G727,0)</x:f>
        <x:v>0</x:v>
      </x:c>
      <x:c r="N727" s="24" t="str">
        <x:f>IF(J727&gt;0,"미수",IF(AND(H727&gt;0,I727&gt;=H727),"완납","미확인"))</x:f>
        <x:v>미수</x:v>
      </x:c>
      <x:c r="O727" s="31" t="n">
        <x:v>38</x:v>
      </x:c>
    </x:row>
    <x:row r="728" ht="17.25" customHeight="1">
      <x:c r="A728" s="24" t="str">
        <x:v>SW-B-376두7844-202607</x:v>
      </x:c>
      <x:c r="B728" s="24" t="str">
        <x:v>스위치플랜</x:v>
      </x:c>
      <x:c r="C728" s="24" t="str">
        <x:v>SW-C-376두7844-1-20250616-38</x:v>
      </x:c>
      <x:c r="D728" s="24" t="str">
        <x:v>376두7844</x:v>
      </x:c>
      <x:c r="E728" s="24" t="str">
        <x:v>김동현</x:v>
      </x:c>
      <x:c r="F728" s="24" t="str">
        <x:v>2026-07</x:v>
      </x:c>
      <x:c r="G728" s="30" t="n">
        <x:v>46218</x:v>
      </x:c>
      <x:c r="H728" s="32" t="n">
        <x:v>1170000</x:v>
      </x:c>
      <x:c r="I728" s="32" t="n">
        <x:v>1170000</x:v>
      </x:c>
      <x:c r="J728" s="32" t="n">
        <x:v>0</x:v>
      </x:c>
      <x:c r="K728" s="30" t="n">
        <x:v>46218</x:v>
      </x:c>
      <x:c r="L728" s="24" t="str">
        <x:v>자동</x:v>
      </x:c>
      <x:c r="M728" s="31" t="n">
        <x:f>IF(AND(N728="미수",G728&lt;&gt;"",TODAY()&gt;G728),TODAY()-G728,0)</x:f>
        <x:v>0</x:v>
      </x:c>
      <x:c r="N728" s="24" t="str">
        <x:f>IF(J728&gt;0,"미수",IF(AND(H728&gt;0,I728&gt;=H728),"완납","미확인"))</x:f>
        <x:v>완납</x:v>
      </x:c>
      <x:c r="O728" s="31" t="n">
        <x:v>38</x:v>
      </x:c>
    </x:row>
    <x:row r="729" ht="17.25" customHeight="1">
      <x:c r="A729" s="24" t="str">
        <x:v>SW-B-376두7844-202606</x:v>
      </x:c>
      <x:c r="B729" s="24" t="str">
        <x:v>스위치플랜</x:v>
      </x:c>
      <x:c r="C729" s="24" t="str">
        <x:v>SW-C-376두7844-1-20250616-38</x:v>
      </x:c>
      <x:c r="D729" s="24" t="str">
        <x:v>376두7844</x:v>
      </x:c>
      <x:c r="E729" s="24" t="str">
        <x:v>김동현</x:v>
      </x:c>
      <x:c r="F729" s="24" t="str">
        <x:v>2026-06</x:v>
      </x:c>
      <x:c r="G729" s="30" t="n">
        <x:v>46188</x:v>
      </x:c>
      <x:c r="H729" s="32" t="n">
        <x:v>1170000</x:v>
      </x:c>
      <x:c r="I729" s="32" t="n">
        <x:v>1170000</x:v>
      </x:c>
      <x:c r="J729" s="32" t="n">
        <x:v>0</x:v>
      </x:c>
      <x:c r="K729" s="30" t="n">
        <x:v>46188</x:v>
      </x:c>
      <x:c r="L729" s="24" t="str">
        <x:v>자동</x:v>
      </x:c>
      <x:c r="M729" s="31" t="n">
        <x:f>IF(AND(N729="미수",G729&lt;&gt;"",TODAY()&gt;G729),TODAY()-G729,0)</x:f>
        <x:v>0</x:v>
      </x:c>
      <x:c r="N729" s="24" t="str">
        <x:f>IF(J729&gt;0,"미수",IF(AND(H729&gt;0,I729&gt;=H729),"완납","미확인"))</x:f>
        <x:v>완납</x:v>
      </x:c>
      <x:c r="O729" s="31" t="n">
        <x:v>38</x:v>
      </x:c>
    </x:row>
    <x:row r="730" ht="17.25" customHeight="1">
      <x:c r="A730" s="24" t="str">
        <x:v>SW-B-376두7844-202605</x:v>
      </x:c>
      <x:c r="B730" s="24" t="str">
        <x:v>스위치플랜</x:v>
      </x:c>
      <x:c r="C730" s="24" t="str">
        <x:v>SW-C-376두7844-1-20250616-38</x:v>
      </x:c>
      <x:c r="D730" s="24" t="str">
        <x:v>376두7844</x:v>
      </x:c>
      <x:c r="E730" s="24" t="str">
        <x:v>김동현</x:v>
      </x:c>
      <x:c r="F730" s="24" t="str">
        <x:v>2026-05</x:v>
      </x:c>
      <x:c r="G730" s="30" t="n">
        <x:v>46157</x:v>
      </x:c>
      <x:c r="H730" s="32" t="n">
        <x:v>1170000</x:v>
      </x:c>
      <x:c r="I730" s="32" t="n">
        <x:v>1170000</x:v>
      </x:c>
      <x:c r="J730" s="32" t="n">
        <x:v>0</x:v>
      </x:c>
      <x:c r="K730" s="30" t="n">
        <x:v>46157</x:v>
      </x:c>
      <x:c r="L730" s="24" t="str">
        <x:v>자동</x:v>
      </x:c>
      <x:c r="M730" s="31" t="n">
        <x:f>IF(AND(N730="미수",G730&lt;&gt;"",TODAY()&gt;G730),TODAY()-G730,0)</x:f>
        <x:v>0</x:v>
      </x:c>
      <x:c r="N730" s="24" t="str">
        <x:f>IF(J730&gt;0,"미수",IF(AND(H730&gt;0,I730&gt;=H730),"완납","미확인"))</x:f>
        <x:v>완납</x:v>
      </x:c>
      <x:c r="O730" s="31" t="n">
        <x:v>38</x:v>
      </x:c>
    </x:row>
    <x:row r="731" ht="17.25" customHeight="1">
      <x:c r="A731" s="24" t="str">
        <x:v>SW-B-376두7844-202604</x:v>
      </x:c>
      <x:c r="B731" s="24" t="str">
        <x:v>스위치플랜</x:v>
      </x:c>
      <x:c r="C731" s="24" t="str">
        <x:v>SW-C-376두7844-1-20250616-38</x:v>
      </x:c>
      <x:c r="D731" s="24" t="str">
        <x:v>376두7844</x:v>
      </x:c>
      <x:c r="E731" s="24" t="str">
        <x:v>김동현</x:v>
      </x:c>
      <x:c r="F731" s="24" t="str">
        <x:v>2026-04</x:v>
      </x:c>
      <x:c r="G731" s="30" t="n">
        <x:v>46127</x:v>
      </x:c>
      <x:c r="H731" s="32" t="n">
        <x:v>1170000</x:v>
      </x:c>
      <x:c r="I731" s="32" t="n">
        <x:v>1170000</x:v>
      </x:c>
      <x:c r="J731" s="32" t="n">
        <x:v>0</x:v>
      </x:c>
      <x:c r="K731" s="30" t="n">
        <x:v>46127</x:v>
      </x:c>
      <x:c r="L731" s="24" t="str">
        <x:v>자동</x:v>
      </x:c>
      <x:c r="M731" s="31" t="n">
        <x:f>IF(AND(N731="미수",G731&lt;&gt;"",TODAY()&gt;G731),TODAY()-G731,0)</x:f>
        <x:v>0</x:v>
      </x:c>
      <x:c r="N731" s="24" t="str">
        <x:f>IF(J731&gt;0,"미수",IF(AND(H731&gt;0,I731&gt;=H731),"완납","미확인"))</x:f>
        <x:v>완납</x:v>
      </x:c>
      <x:c r="O731" s="31" t="n">
        <x:v>38</x:v>
      </x:c>
    </x:row>
    <x:row r="732" ht="17.25" customHeight="1">
      <x:c r="A732" s="24" t="str">
        <x:v>SW-B-376두7844-202603</x:v>
      </x:c>
      <x:c r="B732" s="24" t="str">
        <x:v>스위치플랜</x:v>
      </x:c>
      <x:c r="C732" s="24" t="str">
        <x:v>SW-C-376두7844-1-20250616-38</x:v>
      </x:c>
      <x:c r="D732" s="24" t="str">
        <x:v>376두7844</x:v>
      </x:c>
      <x:c r="E732" s="24" t="str">
        <x:v>김동현</x:v>
      </x:c>
      <x:c r="F732" s="24" t="str">
        <x:v>2026-03</x:v>
      </x:c>
      <x:c r="G732" s="30" t="n">
        <x:v>46096</x:v>
      </x:c>
      <x:c r="H732" s="32" t="n">
        <x:v>1170000</x:v>
      </x:c>
      <x:c r="I732" s="32" t="n">
        <x:v>1170000</x:v>
      </x:c>
      <x:c r="J732" s="32" t="n">
        <x:v>0</x:v>
      </x:c>
      <x:c r="K732" s="30" t="n">
        <x:v>46097</x:v>
      </x:c>
      <x:c r="L732" s="24" t="str">
        <x:v>자동</x:v>
      </x:c>
      <x:c r="M732" s="31" t="n">
        <x:f>IF(AND(N732="미수",G732&lt;&gt;"",TODAY()&gt;G732),TODAY()-G732,0)</x:f>
        <x:v>0</x:v>
      </x:c>
      <x:c r="N732" s="24" t="str">
        <x:f>IF(J732&gt;0,"미수",IF(AND(H732&gt;0,I732&gt;=H732),"완납","미확인"))</x:f>
        <x:v>완납</x:v>
      </x:c>
      <x:c r="O732" s="31" t="n">
        <x:v>38</x:v>
      </x:c>
    </x:row>
    <x:row r="733" ht="17.25" customHeight="1">
      <x:c r="A733" s="24" t="str">
        <x:v>SW-B-376두7844-202602</x:v>
      </x:c>
      <x:c r="B733" s="24" t="str">
        <x:v>스위치플랜</x:v>
      </x:c>
      <x:c r="C733" s="24" t="str">
        <x:v>SW-C-376두7844-1-20250616-38</x:v>
      </x:c>
      <x:c r="D733" s="24" t="str">
        <x:v>376두7844</x:v>
      </x:c>
      <x:c r="E733" s="24" t="str">
        <x:v>김동현</x:v>
      </x:c>
      <x:c r="F733" s="24" t="str">
        <x:v>2026-02</x:v>
      </x:c>
      <x:c r="G733" s="30" t="n">
        <x:v>46068</x:v>
      </x:c>
      <x:c r="H733" s="32" t="n">
        <x:v>1170000</x:v>
      </x:c>
      <x:c r="I733" s="32" t="n">
        <x:v>1170000</x:v>
      </x:c>
      <x:c r="J733" s="32" t="n">
        <x:v>0</x:v>
      </x:c>
      <x:c r="K733" s="30" t="n">
        <x:v>46072</x:v>
      </x:c>
      <x:c r="L733" s="24" t="str">
        <x:v>자동</x:v>
      </x:c>
      <x:c r="M733" s="31" t="n">
        <x:f>IF(AND(N733="미수",G733&lt;&gt;"",TODAY()&gt;G733),TODAY()-G733,0)</x:f>
        <x:v>0</x:v>
      </x:c>
      <x:c r="N733" s="24" t="str">
        <x:f>IF(J733&gt;0,"미수",IF(AND(H733&gt;0,I733&gt;=H733),"완납","미확인"))</x:f>
        <x:v>완납</x:v>
      </x:c>
      <x:c r="O733" s="31" t="n">
        <x:v>38</x:v>
      </x:c>
    </x:row>
    <x:row r="734" ht="17.25" customHeight="1">
      <x:c r="A734" s="24" t="str">
        <x:v>SW-B-376두7844-202601</x:v>
      </x:c>
      <x:c r="B734" s="24" t="str">
        <x:v>스위치플랜</x:v>
      </x:c>
      <x:c r="C734" s="24" t="str">
        <x:v>SW-C-376두7844-1-20250616-38</x:v>
      </x:c>
      <x:c r="D734" s="24" t="str">
        <x:v>376두7844</x:v>
      </x:c>
      <x:c r="E734" s="24" t="str">
        <x:v>김동현</x:v>
      </x:c>
      <x:c r="F734" s="24" t="str">
        <x:v>2026-01</x:v>
      </x:c>
      <x:c r="G734" s="30" t="n">
        <x:v>46037</x:v>
      </x:c>
      <x:c r="H734" s="32" t="n">
        <x:v>1170000</x:v>
      </x:c>
      <x:c r="I734" s="32" t="n">
        <x:v>1170000</x:v>
      </x:c>
      <x:c r="J734" s="32" t="n">
        <x:v>0</x:v>
      </x:c>
      <x:c r="K734" s="30" t="n">
        <x:v>46037</x:v>
      </x:c>
      <x:c r="L734" s="24" t="str">
        <x:v>자동</x:v>
      </x:c>
      <x:c r="M734" s="31" t="n">
        <x:f>IF(AND(N734="미수",G734&lt;&gt;"",TODAY()&gt;G734),TODAY()-G734,0)</x:f>
        <x:v>0</x:v>
      </x:c>
      <x:c r="N734" s="24" t="str">
        <x:f>IF(J734&gt;0,"미수",IF(AND(H734&gt;0,I734&gt;=H734),"완납","미확인"))</x:f>
        <x:v>완납</x:v>
      </x:c>
      <x:c r="O734" s="31" t="n">
        <x:v>38</x:v>
      </x:c>
    </x:row>
    <x:row r="735" ht="17.25" customHeight="1">
      <x:c r="A735" s="24" t="str">
        <x:v>SW-B-376두7844-202512</x:v>
      </x:c>
      <x:c r="B735" s="24" t="str">
        <x:v>스위치플랜</x:v>
      </x:c>
      <x:c r="C735" s="24" t="str">
        <x:v>SW-C-376두7844-1-20250616-38</x:v>
      </x:c>
      <x:c r="D735" s="24" t="str">
        <x:v>376두7844</x:v>
      </x:c>
      <x:c r="E735" s="24" t="str">
        <x:v>김동현</x:v>
      </x:c>
      <x:c r="F735" s="24" t="str">
        <x:v>2025-12</x:v>
      </x:c>
      <x:c r="G735" s="30" t="n">
        <x:v>46006</x:v>
      </x:c>
      <x:c r="H735" s="32" t="n">
        <x:v>1170000</x:v>
      </x:c>
      <x:c r="I735" s="32" t="n">
        <x:v>1170000</x:v>
      </x:c>
      <x:c r="J735" s="32" t="n">
        <x:v>0</x:v>
      </x:c>
      <x:c r="K735" s="30" t="n">
        <x:v>46006</x:v>
      </x:c>
      <x:c r="L735" s="24" t="str">
        <x:v>자동</x:v>
      </x:c>
      <x:c r="M735" s="31" t="n">
        <x:f>IF(AND(N735="미수",G735&lt;&gt;"",TODAY()&gt;G735),TODAY()-G735,0)</x:f>
        <x:v>0</x:v>
      </x:c>
      <x:c r="N735" s="24" t="str">
        <x:f>IF(J735&gt;0,"미수",IF(AND(H735&gt;0,I735&gt;=H735),"완납","미확인"))</x:f>
        <x:v>완납</x:v>
      </x:c>
      <x:c r="O735" s="31" t="n">
        <x:v>38</x:v>
      </x:c>
    </x:row>
    <x:row r="736" ht="17.25" customHeight="1">
      <x:c r="A736" s="24" t="str">
        <x:v>SW-B-376두7844-202511</x:v>
      </x:c>
      <x:c r="B736" s="24" t="str">
        <x:v>스위치플랜</x:v>
      </x:c>
      <x:c r="C736" s="24" t="str">
        <x:v>SW-C-376두7844-1-20250616-38</x:v>
      </x:c>
      <x:c r="D736" s="24" t="str">
        <x:v>376두7844</x:v>
      </x:c>
      <x:c r="E736" s="24" t="str">
        <x:v>김동현</x:v>
      </x:c>
      <x:c r="F736" s="24" t="str">
        <x:v>2025-11</x:v>
      </x:c>
      <x:c r="G736" s="30" t="n">
        <x:v>45976</x:v>
      </x:c>
      <x:c r="H736" s="32" t="n">
        <x:v>1170000</x:v>
      </x:c>
      <x:c r="I736" s="32" t="n">
        <x:v>1170000</x:v>
      </x:c>
      <x:c r="J736" s="32" t="n">
        <x:v>0</x:v>
      </x:c>
      <x:c r="K736" s="30" t="n">
        <x:v>45978</x:v>
      </x:c>
      <x:c r="L736" s="24" t="str">
        <x:v>자동</x:v>
      </x:c>
      <x:c r="M736" s="31" t="n">
        <x:f>IF(AND(N736="미수",G736&lt;&gt;"",TODAY()&gt;G736),TODAY()-G736,0)</x:f>
        <x:v>0</x:v>
      </x:c>
      <x:c r="N736" s="24" t="str">
        <x:f>IF(J736&gt;0,"미수",IF(AND(H736&gt;0,I736&gt;=H736),"완납","미확인"))</x:f>
        <x:v>완납</x:v>
      </x:c>
      <x:c r="O736" s="31" t="n">
        <x:v>38</x:v>
      </x:c>
    </x:row>
    <x:row r="737" ht="17.25" customHeight="1">
      <x:c r="A737" s="24" t="str">
        <x:v>SW-B-376두7844-202510</x:v>
      </x:c>
      <x:c r="B737" s="24" t="str">
        <x:v>스위치플랜</x:v>
      </x:c>
      <x:c r="C737" s="24" t="str">
        <x:v>SW-C-376두7844-1-20250616-38</x:v>
      </x:c>
      <x:c r="D737" s="24" t="str">
        <x:v>376두7844</x:v>
      </x:c>
      <x:c r="E737" s="24" t="str">
        <x:v>김동현</x:v>
      </x:c>
      <x:c r="F737" s="24" t="str">
        <x:v>2025-10</x:v>
      </x:c>
      <x:c r="G737" s="30" t="n">
        <x:v>45945</x:v>
      </x:c>
      <x:c r="H737" s="32" t="n">
        <x:v>1170000</x:v>
      </x:c>
      <x:c r="I737" s="32" t="n">
        <x:v>1170000</x:v>
      </x:c>
      <x:c r="J737" s="32" t="n">
        <x:v>0</x:v>
      </x:c>
      <x:c r="K737" s="30" t="n">
        <x:v>45945</x:v>
      </x:c>
      <x:c r="L737" s="24" t="str">
        <x:v>자동</x:v>
      </x:c>
      <x:c r="M737" s="31" t="n">
        <x:f>IF(AND(N737="미수",G737&lt;&gt;"",TODAY()&gt;G737),TODAY()-G737,0)</x:f>
        <x:v>0</x:v>
      </x:c>
      <x:c r="N737" s="24" t="str">
        <x:f>IF(J737&gt;0,"미수",IF(AND(H737&gt;0,I737&gt;=H737),"완납","미확인"))</x:f>
        <x:v>완납</x:v>
      </x:c>
      <x:c r="O737" s="31" t="n">
        <x:v>38</x:v>
      </x:c>
    </x:row>
    <x:row r="738" ht="17.25" customHeight="1">
      <x:c r="A738" s="24" t="str">
        <x:v>SW-B-376두7844-202509</x:v>
      </x:c>
      <x:c r="B738" s="24" t="str">
        <x:v>스위치플랜</x:v>
      </x:c>
      <x:c r="C738" s="24" t="str">
        <x:v>SW-C-376두7844-1-20250616-38</x:v>
      </x:c>
      <x:c r="D738" s="24" t="str">
        <x:v>376두7844</x:v>
      </x:c>
      <x:c r="E738" s="24" t="str">
        <x:v>김동현</x:v>
      </x:c>
      <x:c r="F738" s="24" t="str">
        <x:v>2025-09</x:v>
      </x:c>
      <x:c r="G738" s="30" t="n">
        <x:v>45915</x:v>
      </x:c>
      <x:c r="H738" s="32" t="n">
        <x:v>1170000</x:v>
      </x:c>
      <x:c r="I738" s="32" t="n">
        <x:v>1170000</x:v>
      </x:c>
      <x:c r="J738" s="32" t="n">
        <x:v>0</x:v>
      </x:c>
      <x:c r="K738" s="30" t="n">
        <x:v>45915</x:v>
      </x:c>
      <x:c r="L738" s="24" t="str">
        <x:v>자동</x:v>
      </x:c>
      <x:c r="M738" s="31" t="n">
        <x:f>IF(AND(N738="미수",G738&lt;&gt;"",TODAY()&gt;G738),TODAY()-G738,0)</x:f>
        <x:v>0</x:v>
      </x:c>
      <x:c r="N738" s="24" t="str">
        <x:f>IF(J738&gt;0,"미수",IF(AND(H738&gt;0,I738&gt;=H738),"완납","미확인"))</x:f>
        <x:v>완납</x:v>
      </x:c>
      <x:c r="O738" s="31" t="n">
        <x:v>38</x:v>
      </x:c>
    </x:row>
    <x:row r="739" ht="17.25" customHeight="1">
      <x:c r="A739" s="24" t="str">
        <x:v>SW-B-376두7844-202508</x:v>
      </x:c>
      <x:c r="B739" s="24" t="str">
        <x:v>스위치플랜</x:v>
      </x:c>
      <x:c r="C739" s="24" t="str">
        <x:v>SW-C-376두7844-1-20250616-38</x:v>
      </x:c>
      <x:c r="D739" s="24" t="str">
        <x:v>376두7844</x:v>
      </x:c>
      <x:c r="E739" s="24" t="str">
        <x:v>김동현</x:v>
      </x:c>
      <x:c r="F739" s="24" t="str">
        <x:v>2025-08</x:v>
      </x:c>
      <x:c r="G739" s="30" t="n">
        <x:v>45884</x:v>
      </x:c>
      <x:c r="H739" s="32" t="n">
        <x:v>1170000</x:v>
      </x:c>
      <x:c r="I739" s="32" t="n">
        <x:v>1170000</x:v>
      </x:c>
      <x:c r="J739" s="32" t="n">
        <x:v>0</x:v>
      </x:c>
      <x:c r="K739" s="30" t="n">
        <x:v>45887</x:v>
      </x:c>
      <x:c r="L739" s="24" t="str">
        <x:v>자동</x:v>
      </x:c>
      <x:c r="M739" s="31" t="n">
        <x:f>IF(AND(N739="미수",G739&lt;&gt;"",TODAY()&gt;G739),TODAY()-G739,0)</x:f>
        <x:v>0</x:v>
      </x:c>
      <x:c r="N739" s="24" t="str">
        <x:f>IF(J739&gt;0,"미수",IF(AND(H739&gt;0,I739&gt;=H739),"완납","미확인"))</x:f>
        <x:v>완납</x:v>
      </x:c>
      <x:c r="O739" s="31" t="n">
        <x:v>38</x:v>
      </x:c>
    </x:row>
    <x:row r="740" ht="17.25" customHeight="1">
      <x:c r="A740" s="24" t="str">
        <x:v>SW-B-376두7844-202507</x:v>
      </x:c>
      <x:c r="B740" s="24" t="str">
        <x:v>스위치플랜</x:v>
      </x:c>
      <x:c r="C740" s="24" t="str">
        <x:v>SW-C-376두7844-1-20250616-38</x:v>
      </x:c>
      <x:c r="D740" s="24" t="str">
        <x:v>376두7844</x:v>
      </x:c>
      <x:c r="E740" s="24" t="str">
        <x:v>김동현</x:v>
      </x:c>
      <x:c r="F740" s="24" t="str">
        <x:v>2025-07</x:v>
      </x:c>
      <x:c r="G740" s="30" t="n">
        <x:v>45853</x:v>
      </x:c>
      <x:c r="H740" s="32" t="n">
        <x:v>1170000</x:v>
      </x:c>
      <x:c r="I740" s="32" t="n">
        <x:v>1170000</x:v>
      </x:c>
      <x:c r="J740" s="32" t="n">
        <x:v>0</x:v>
      </x:c>
      <x:c r="K740" s="30" t="n">
        <x:v>45853</x:v>
      </x:c>
      <x:c r="L740" s="24" t="str">
        <x:v>자동</x:v>
      </x:c>
      <x:c r="M740" s="31" t="n">
        <x:f>IF(AND(N740="미수",G740&lt;&gt;"",TODAY()&gt;G740),TODAY()-G740,0)</x:f>
        <x:v>0</x:v>
      </x:c>
      <x:c r="N740" s="24" t="str">
        <x:f>IF(J740&gt;0,"미수",IF(AND(H740&gt;0,I740&gt;=H740),"완납","미확인"))</x:f>
        <x:v>완납</x:v>
      </x:c>
      <x:c r="O740" s="31" t="n">
        <x:v>38</x:v>
      </x:c>
    </x:row>
    <x:row r="741" ht="17.25" customHeight="1">
      <x:c r="A741" s="24" t="str">
        <x:v>SW-B-376두7844-202506</x:v>
      </x:c>
      <x:c r="B741" s="24" t="str">
        <x:v>스위치플랜</x:v>
      </x:c>
      <x:c r="C741" s="24" t="str">
        <x:v>SW-C-376두7844-1-20250616-38</x:v>
      </x:c>
      <x:c r="D741" s="24" t="str">
        <x:v>376두7844</x:v>
      </x:c>
      <x:c r="E741" s="24" t="str">
        <x:v>김동현</x:v>
      </x:c>
      <x:c r="F741" s="24" t="str">
        <x:v>2025-06</x:v>
      </x:c>
      <x:c r="G741" s="30" t="n">
        <x:v>45823</x:v>
      </x:c>
      <x:c r="H741" s="32" t="n">
        <x:v>1170000</x:v>
      </x:c>
      <x:c r="I741" s="32" t="n">
        <x:v>1170000</x:v>
      </x:c>
      <x:c r="J741" s="32" t="n">
        <x:v>0</x:v>
      </x:c>
      <x:c r="K741" s="30" t="n">
        <x:v>45812</x:v>
      </x:c>
      <x:c r="L741" s="24" t="str">
        <x:v>입금</x:v>
      </x:c>
      <x:c r="M741" s="31" t="n">
        <x:f>IF(AND(N741="미수",G741&lt;&gt;"",TODAY()&gt;G741),TODAY()-G741,0)</x:f>
        <x:v>0</x:v>
      </x:c>
      <x:c r="N741" s="24" t="str">
        <x:f>IF(J741&gt;0,"미수",IF(AND(H741&gt;0,I741&gt;=H741),"완납","미확인"))</x:f>
        <x:v>완납</x:v>
      </x:c>
      <x:c r="O741" s="31" t="n">
        <x:v>38</x:v>
      </x:c>
    </x:row>
    <x:row r="742" ht="17.25" customHeight="1">
      <x:c r="A742" s="24" t="str">
        <x:v>SW-B-66소6317-202608</x:v>
      </x:c>
      <x:c r="B742" s="24" t="str">
        <x:v>스위치플랜</x:v>
      </x:c>
      <x:c r="C742" s="24" t="str">
        <x:v>SW-C-66소6317-1-NA-39</x:v>
      </x:c>
      <x:c r="D742" s="24" t="str">
        <x:v>66소6317</x:v>
      </x:c>
      <x:c r="E742" s="24" t="str"/>
      <x:c r="F742" s="24" t="str">
        <x:v>2026-08</x:v>
      </x:c>
      <x:c r="G742" s="30"/>
      <x:c r="H742" s="32" t="n">
        <x:v>0</x:v>
      </x:c>
      <x:c r="I742" s="32"/>
      <x:c r="J742" s="32" t="n">
        <x:v>-50000</x:v>
      </x:c>
      <x:c r="K742" s="30"/>
      <x:c r="L742" s="24" t="str"/>
      <x:c r="M742" s="31" t="n">
        <x:f>IF(AND(N742="미수",G742&lt;&gt;"",TODAY()&gt;G742),TODAY()-G742,0)</x:f>
        <x:v>0</x:v>
      </x:c>
      <x:c r="N742" s="24" t="str">
        <x:f>IF(J742&gt;0,"미수",IF(AND(H742&gt;0,I742&gt;=H742),"완납","미확인"))</x:f>
        <x:v>미확인</x:v>
      </x:c>
      <x:c r="O742" s="31" t="n">
        <x:v>39</x:v>
      </x:c>
    </x:row>
    <x:row r="743" ht="17.25" customHeight="1">
      <x:c r="A743" s="24" t="str">
        <x:v>SW-B-66소6317-202607</x:v>
      </x:c>
      <x:c r="B743" s="24" t="str">
        <x:v>스위치플랜</x:v>
      </x:c>
      <x:c r="C743" s="24" t="str">
        <x:v>SW-C-66소6317-1-NA-39</x:v>
      </x:c>
      <x:c r="D743" s="24" t="str">
        <x:v>66소6317</x:v>
      </x:c>
      <x:c r="E743" s="24" t="str"/>
      <x:c r="F743" s="24" t="str">
        <x:v>2026-07</x:v>
      </x:c>
      <x:c r="G743" s="30"/>
      <x:c r="H743" s="32" t="n">
        <x:v>760000</x:v>
      </x:c>
      <x:c r="I743" s="32" t="n">
        <x:v>760000</x:v>
      </x:c>
      <x:c r="J743" s="32" t="n">
        <x:v>-50000</x:v>
      </x:c>
      <x:c r="K743" s="30" t="n">
        <x:v>46226</x:v>
      </x:c>
      <x:c r="L743" s="24" t="str">
        <x:v>카드</x:v>
      </x:c>
      <x:c r="M743" s="31" t="n">
        <x:f>IF(AND(N743="미수",G743&lt;&gt;"",TODAY()&gt;G743),TODAY()-G743,0)</x:f>
        <x:v>0</x:v>
      </x:c>
      <x:c r="N743" s="24" t="str">
        <x:f>IF(J743&gt;0,"미수",IF(AND(H743&gt;0,I743&gt;=H743),"완납","미확인"))</x:f>
        <x:v>완납</x:v>
      </x:c>
      <x:c r="O743" s="31" t="n">
        <x:v>39</x:v>
      </x:c>
    </x:row>
    <x:row r="744" ht="17.25" customHeight="1">
      <x:c r="A744" s="24" t="str">
        <x:v>SW-B-66소6317-202606</x:v>
      </x:c>
      <x:c r="B744" s="24" t="str">
        <x:v>스위치플랜</x:v>
      </x:c>
      <x:c r="C744" s="24" t="str">
        <x:v>SW-C-66소6317-1-NA-39</x:v>
      </x:c>
      <x:c r="D744" s="24" t="str">
        <x:v>66소6317</x:v>
      </x:c>
      <x:c r="E744" s="24" t="str"/>
      <x:c r="F744" s="24" t="str">
        <x:v>2026-06</x:v>
      </x:c>
      <x:c r="G744" s="30"/>
      <x:c r="H744" s="32" t="n">
        <x:v>760000</x:v>
      </x:c>
      <x:c r="I744" s="32" t="n">
        <x:v>760000</x:v>
      </x:c>
      <x:c r="J744" s="32" t="n">
        <x:v>-50000</x:v>
      </x:c>
      <x:c r="K744" s="30" t="n">
        <x:v>46196</x:v>
      </x:c>
      <x:c r="L744" s="24" t="str">
        <x:v>카드</x:v>
      </x:c>
      <x:c r="M744" s="31" t="n">
        <x:f>IF(AND(N744="미수",G744&lt;&gt;"",TODAY()&gt;G744),TODAY()-G744,0)</x:f>
        <x:v>0</x:v>
      </x:c>
      <x:c r="N744" s="24" t="str">
        <x:f>IF(J744&gt;0,"미수",IF(AND(H744&gt;0,I744&gt;=H744),"완납","미확인"))</x:f>
        <x:v>완납</x:v>
      </x:c>
      <x:c r="O744" s="31" t="n">
        <x:v>39</x:v>
      </x:c>
    </x:row>
    <x:row r="745" ht="17.25" customHeight="1">
      <x:c r="A745" s="24" t="str">
        <x:v>SW-B-66소6317-202605</x:v>
      </x:c>
      <x:c r="B745" s="24" t="str">
        <x:v>스위치플랜</x:v>
      </x:c>
      <x:c r="C745" s="24" t="str">
        <x:v>SW-C-66소6317-1-NA-39</x:v>
      </x:c>
      <x:c r="D745" s="24" t="str">
        <x:v>66소6317</x:v>
      </x:c>
      <x:c r="E745" s="24" t="str"/>
      <x:c r="F745" s="24" t="str">
        <x:v>2026-05</x:v>
      </x:c>
      <x:c r="G745" s="30"/>
      <x:c r="H745" s="32" t="n">
        <x:v>0</x:v>
      </x:c>
      <x:c r="I745" s="32" t="n">
        <x:v>50000</x:v>
      </x:c>
      <x:c r="J745" s="32" t="n">
        <x:v>-50000</x:v>
      </x:c>
      <x:c r="K745" s="30" t="n">
        <x:v>46161</x:v>
      </x:c>
      <x:c r="L745" s="24" t="str">
        <x:v>입금</x:v>
      </x:c>
      <x:c r="M745" s="31" t="n">
        <x:f>IF(AND(N745="미수",G745&lt;&gt;"",TODAY()&gt;G745),TODAY()-G745,0)</x:f>
        <x:v>0</x:v>
      </x:c>
      <x:c r="N745" s="24" t="str">
        <x:f>IF(J745&gt;0,"미수",IF(AND(H745&gt;0,I745&gt;=H745),"완납","미확인"))</x:f>
        <x:v>미확인</x:v>
      </x:c>
      <x:c r="O745" s="31" t="n">
        <x:v>39</x:v>
      </x:c>
    </x:row>
    <x:row r="746" ht="17.25" customHeight="1">
      <x:c r="A746" s="24" t="str">
        <x:v>SW-B-66소6317-202604</x:v>
      </x:c>
      <x:c r="B746" s="24" t="str">
        <x:v>스위치플랜</x:v>
      </x:c>
      <x:c r="C746" s="24" t="str">
        <x:v>SW-C-66소6317-1-NA-39</x:v>
      </x:c>
      <x:c r="D746" s="24" t="str">
        <x:v>66소6317</x:v>
      </x:c>
      <x:c r="E746" s="24" t="str"/>
      <x:c r="F746" s="24" t="str">
        <x:v>2026-04</x:v>
      </x:c>
      <x:c r="G746" s="30"/>
      <x:c r="H746" s="32" t="n">
        <x:v>0</x:v>
      </x:c>
      <x:c r="I746" s="32"/>
      <x:c r="J746" s="32" t="n">
        <x:v>0</x:v>
      </x:c>
      <x:c r="K746" s="30"/>
      <x:c r="L746" s="24" t="str"/>
      <x:c r="M746" s="31" t="n">
        <x:f>IF(AND(N746="미수",G746&lt;&gt;"",TODAY()&gt;G746),TODAY()-G746,0)</x:f>
        <x:v>0</x:v>
      </x:c>
      <x:c r="N746" s="24" t="str">
        <x:f>IF(J746&gt;0,"미수",IF(AND(H746&gt;0,I746&gt;=H746),"완납","미확인"))</x:f>
        <x:v>미확인</x:v>
      </x:c>
      <x:c r="O746" s="31" t="n">
        <x:v>39</x:v>
      </x:c>
    </x:row>
    <x:row r="747" ht="17.25" customHeight="1">
      <x:c r="A747" s="24" t="str">
        <x:v>SW-B-66소6317-202603</x:v>
      </x:c>
      <x:c r="B747" s="24" t="str">
        <x:v>스위치플랜</x:v>
      </x:c>
      <x:c r="C747" s="24" t="str">
        <x:v>SW-C-66소6317-1-NA-39</x:v>
      </x:c>
      <x:c r="D747" s="24" t="str">
        <x:v>66소6317</x:v>
      </x:c>
      <x:c r="E747" s="24" t="str"/>
      <x:c r="F747" s="24" t="str">
        <x:v>2026-03</x:v>
      </x:c>
      <x:c r="G747" s="30"/>
      <x:c r="H747" s="32" t="n">
        <x:v>0</x:v>
      </x:c>
      <x:c r="I747" s="32"/>
      <x:c r="J747" s="32" t="n">
        <x:v>0</x:v>
      </x:c>
      <x:c r="K747" s="30"/>
      <x:c r="L747" s="24" t="str"/>
      <x:c r="M747" s="31" t="n">
        <x:f>IF(AND(N747="미수",G747&lt;&gt;"",TODAY()&gt;G747),TODAY()-G747,0)</x:f>
        <x:v>0</x:v>
      </x:c>
      <x:c r="N747" s="24" t="str">
        <x:f>IF(J747&gt;0,"미수",IF(AND(H747&gt;0,I747&gt;=H747),"완납","미확인"))</x:f>
        <x:v>미확인</x:v>
      </x:c>
      <x:c r="O747" s="31" t="n">
        <x:v>39</x:v>
      </x:c>
    </x:row>
    <x:row r="748" ht="17.25" customHeight="1">
      <x:c r="A748" s="24" t="str">
        <x:v>SW-B-66소6317-202602</x:v>
      </x:c>
      <x:c r="B748" s="24" t="str">
        <x:v>스위치플랜</x:v>
      </x:c>
      <x:c r="C748" s="24" t="str">
        <x:v>SW-C-66소6317-1-NA-39</x:v>
      </x:c>
      <x:c r="D748" s="24" t="str">
        <x:v>66소6317</x:v>
      </x:c>
      <x:c r="E748" s="24" t="str"/>
      <x:c r="F748" s="24" t="str">
        <x:v>2026-02</x:v>
      </x:c>
      <x:c r="G748" s="30"/>
      <x:c r="H748" s="32" t="n">
        <x:v>0</x:v>
      </x:c>
      <x:c r="I748" s="32"/>
      <x:c r="J748" s="32" t="n">
        <x:v>0</x:v>
      </x:c>
      <x:c r="K748" s="30"/>
      <x:c r="L748" s="24" t="str"/>
      <x:c r="M748" s="31" t="n">
        <x:f>IF(AND(N748="미수",G748&lt;&gt;"",TODAY()&gt;G748),TODAY()-G748,0)</x:f>
        <x:v>0</x:v>
      </x:c>
      <x:c r="N748" s="24" t="str">
        <x:f>IF(J748&gt;0,"미수",IF(AND(H748&gt;0,I748&gt;=H748),"완납","미확인"))</x:f>
        <x:v>미확인</x:v>
      </x:c>
      <x:c r="O748" s="31" t="n">
        <x:v>39</x:v>
      </x:c>
    </x:row>
    <x:row r="749" ht="17.25" customHeight="1">
      <x:c r="A749" s="24" t="str">
        <x:v>SW-B-66소6317-202601</x:v>
      </x:c>
      <x:c r="B749" s="24" t="str">
        <x:v>스위치플랜</x:v>
      </x:c>
      <x:c r="C749" s="24" t="str">
        <x:v>SW-C-66소6317-1-NA-39</x:v>
      </x:c>
      <x:c r="D749" s="24" t="str">
        <x:v>66소6317</x:v>
      </x:c>
      <x:c r="E749" s="24" t="str"/>
      <x:c r="F749" s="24" t="str">
        <x:v>2026-01</x:v>
      </x:c>
      <x:c r="G749" s="30"/>
      <x:c r="H749" s="32" t="n">
        <x:v>930000</x:v>
      </x:c>
      <x:c r="I749" s="32" t="n">
        <x:v>1085000</x:v>
      </x:c>
      <x:c r="J749" s="32" t="n">
        <x:v>0</x:v>
      </x:c>
      <x:c r="K749" s="30" t="n">
        <x:v>46048</x:v>
      </x:c>
      <x:c r="L749" s="24" t="str">
        <x:v>입금</x:v>
      </x:c>
      <x:c r="M749" s="31" t="n">
        <x:f>IF(AND(N749="미수",G749&lt;&gt;"",TODAY()&gt;G749),TODAY()-G749,0)</x:f>
        <x:v>0</x:v>
      </x:c>
      <x:c r="N749" s="24" t="str">
        <x:f>IF(J749&gt;0,"미수",IF(AND(H749&gt;0,I749&gt;=H749),"완납","미확인"))</x:f>
        <x:v>완납</x:v>
      </x:c>
      <x:c r="O749" s="31" t="n">
        <x:v>39</x:v>
      </x:c>
    </x:row>
    <x:row r="750" ht="17.25" customHeight="1">
      <x:c r="A750" s="24" t="str">
        <x:v>SW-B-66소6317-202512</x:v>
      </x:c>
      <x:c r="B750" s="24" t="str">
        <x:v>스위치플랜</x:v>
      </x:c>
      <x:c r="C750" s="24" t="str">
        <x:v>SW-C-66소6317-1-NA-39</x:v>
      </x:c>
      <x:c r="D750" s="24" t="str">
        <x:v>66소6317</x:v>
      </x:c>
      <x:c r="E750" s="24" t="str"/>
      <x:c r="F750" s="24" t="str">
        <x:v>2025-12</x:v>
      </x:c>
      <x:c r="G750" s="30"/>
      <x:c r="H750" s="32" t="n">
        <x:v>930000</x:v>
      </x:c>
      <x:c r="I750" s="32" t="n">
        <x:v>930000</x:v>
      </x:c>
      <x:c r="J750" s="32" t="n">
        <x:v>0</x:v>
      </x:c>
      <x:c r="K750" s="30" t="n">
        <x:v>46013</x:v>
      </x:c>
      <x:c r="L750" s="24" t="str">
        <x:v>카드</x:v>
      </x:c>
      <x:c r="M750" s="31" t="n">
        <x:f>IF(AND(N750="미수",G750&lt;&gt;"",TODAY()&gt;G750),TODAY()-G750,0)</x:f>
        <x:v>0</x:v>
      </x:c>
      <x:c r="N750" s="24" t="str">
        <x:f>IF(J750&gt;0,"미수",IF(AND(H750&gt;0,I750&gt;=H750),"완납","미확인"))</x:f>
        <x:v>완납</x:v>
      </x:c>
      <x:c r="O750" s="31" t="n">
        <x:v>39</x:v>
      </x:c>
    </x:row>
    <x:row r="751" ht="17.25" customHeight="1">
      <x:c r="A751" s="24" t="str">
        <x:v>SW-B-66소6317-202511</x:v>
      </x:c>
      <x:c r="B751" s="24" t="str">
        <x:v>스위치플랜</x:v>
      </x:c>
      <x:c r="C751" s="24" t="str">
        <x:v>SW-C-66소6317-1-NA-39</x:v>
      </x:c>
      <x:c r="D751" s="24" t="str">
        <x:v>66소6317</x:v>
      </x:c>
      <x:c r="E751" s="24" t="str"/>
      <x:c r="F751" s="24" t="str">
        <x:v>2025-11</x:v>
      </x:c>
      <x:c r="G751" s="30"/>
      <x:c r="H751" s="32" t="n">
        <x:v>930000</x:v>
      </x:c>
      <x:c r="I751" s="32" t="n">
        <x:v>930000</x:v>
      </x:c>
      <x:c r="J751" s="32" t="n">
        <x:v>0</x:v>
      </x:c>
      <x:c r="K751" s="30" t="n">
        <x:v>45985</x:v>
      </x:c>
      <x:c r="L751" s="24" t="str">
        <x:v>카드</x:v>
      </x:c>
      <x:c r="M751" s="31" t="n">
        <x:f>IF(AND(N751="미수",G751&lt;&gt;"",TODAY()&gt;G751),TODAY()-G751,0)</x:f>
        <x:v>0</x:v>
      </x:c>
      <x:c r="N751" s="24" t="str">
        <x:f>IF(J751&gt;0,"미수",IF(AND(H751&gt;0,I751&gt;=H751),"완납","미확인"))</x:f>
        <x:v>완납</x:v>
      </x:c>
      <x:c r="O751" s="31" t="n">
        <x:v>39</x:v>
      </x:c>
    </x:row>
    <x:row r="752" ht="17.25" customHeight="1">
      <x:c r="A752" s="24" t="str">
        <x:v>SW-B-66소6317-202510</x:v>
      </x:c>
      <x:c r="B752" s="24" t="str">
        <x:v>스위치플랜</x:v>
      </x:c>
      <x:c r="C752" s="24" t="str">
        <x:v>SW-C-66소6317-1-NA-39</x:v>
      </x:c>
      <x:c r="D752" s="24" t="str">
        <x:v>66소6317</x:v>
      </x:c>
      <x:c r="E752" s="24" t="str"/>
      <x:c r="F752" s="24" t="str">
        <x:v>2025-10</x:v>
      </x:c>
      <x:c r="G752" s="30"/>
      <x:c r="H752" s="32" t="n">
        <x:v>930000</x:v>
      </x:c>
      <x:c r="I752" s="32" t="n">
        <x:v>930000</x:v>
      </x:c>
      <x:c r="J752" s="32" t="n">
        <x:v>0</x:v>
      </x:c>
      <x:c r="K752" s="30" t="n">
        <x:v>45952</x:v>
      </x:c>
      <x:c r="L752" s="24" t="str">
        <x:v>카드</x:v>
      </x:c>
      <x:c r="M752" s="31" t="n">
        <x:f>IF(AND(N752="미수",G752&lt;&gt;"",TODAY()&gt;G752),TODAY()-G752,0)</x:f>
        <x:v>0</x:v>
      </x:c>
      <x:c r="N752" s="24" t="str">
        <x:f>IF(J752&gt;0,"미수",IF(AND(H752&gt;0,I752&gt;=H752),"완납","미확인"))</x:f>
        <x:v>완납</x:v>
      </x:c>
      <x:c r="O752" s="31" t="n">
        <x:v>39</x:v>
      </x:c>
    </x:row>
    <x:row r="753" ht="17.25" customHeight="1">
      <x:c r="A753" s="24" t="str">
        <x:v>SW-B-66소6317-202509</x:v>
      </x:c>
      <x:c r="B753" s="24" t="str">
        <x:v>스위치플랜</x:v>
      </x:c>
      <x:c r="C753" s="24" t="str">
        <x:v>SW-C-66소6317-1-NA-39</x:v>
      </x:c>
      <x:c r="D753" s="24" t="str">
        <x:v>66소6317</x:v>
      </x:c>
      <x:c r="E753" s="24" t="str"/>
      <x:c r="F753" s="24" t="str">
        <x:v>2025-09</x:v>
      </x:c>
      <x:c r="G753" s="30"/>
      <x:c r="H753" s="32" t="n">
        <x:v>930000</x:v>
      </x:c>
      <x:c r="I753" s="32" t="n">
        <x:v>930000</x:v>
      </x:c>
      <x:c r="J753" s="32" t="n">
        <x:v>0</x:v>
      </x:c>
      <x:c r="K753" s="30" t="n">
        <x:v>45923</x:v>
      </x:c>
      <x:c r="L753" s="24" t="str">
        <x:v>카드</x:v>
      </x:c>
      <x:c r="M753" s="31" t="n">
        <x:f>IF(AND(N753="미수",G753&lt;&gt;"",TODAY()&gt;G753),TODAY()-G753,0)</x:f>
        <x:v>0</x:v>
      </x:c>
      <x:c r="N753" s="24" t="str">
        <x:f>IF(J753&gt;0,"미수",IF(AND(H753&gt;0,I753&gt;=H753),"완납","미확인"))</x:f>
        <x:v>완납</x:v>
      </x:c>
      <x:c r="O753" s="31" t="n">
        <x:v>39</x:v>
      </x:c>
    </x:row>
    <x:row r="754" ht="17.25" customHeight="1">
      <x:c r="A754" s="24" t="str">
        <x:v>SW-B-66소6317-202508</x:v>
      </x:c>
      <x:c r="B754" s="24" t="str">
        <x:v>스위치플랜</x:v>
      </x:c>
      <x:c r="C754" s="24" t="str">
        <x:v>SW-C-66소6317-1-NA-39</x:v>
      </x:c>
      <x:c r="D754" s="24" t="str">
        <x:v>66소6317</x:v>
      </x:c>
      <x:c r="E754" s="24" t="str"/>
      <x:c r="F754" s="24" t="str">
        <x:v>2025-08</x:v>
      </x:c>
      <x:c r="G754" s="30"/>
      <x:c r="H754" s="32" t="n">
        <x:v>0</x:v>
      </x:c>
      <x:c r="I754" s="32"/>
      <x:c r="J754" s="32" t="n">
        <x:v>0</x:v>
      </x:c>
      <x:c r="K754" s="30"/>
      <x:c r="L754" s="24" t="str"/>
      <x:c r="M754" s="31" t="n">
        <x:f>IF(AND(N754="미수",G754&lt;&gt;"",TODAY()&gt;G754),TODAY()-G754,0)</x:f>
        <x:v>0</x:v>
      </x:c>
      <x:c r="N754" s="24" t="str">
        <x:f>IF(J754&gt;0,"미수",IF(AND(H754&gt;0,I754&gt;=H754),"완납","미확인"))</x:f>
        <x:v>미확인</x:v>
      </x:c>
      <x:c r="O754" s="31" t="n">
        <x:v>39</x:v>
      </x:c>
    </x:row>
    <x:row r="755" ht="17.25" customHeight="1">
      <x:c r="A755" s="24" t="str">
        <x:v>SW-B-66소6317-202507</x:v>
      </x:c>
      <x:c r="B755" s="24" t="str">
        <x:v>스위치플랜</x:v>
      </x:c>
      <x:c r="C755" s="24" t="str">
        <x:v>SW-C-66소6317-1-NA-39</x:v>
      </x:c>
      <x:c r="D755" s="24" t="str">
        <x:v>66소6317</x:v>
      </x:c>
      <x:c r="E755" s="24" t="str"/>
      <x:c r="F755" s="24" t="str">
        <x:v>2025-07</x:v>
      </x:c>
      <x:c r="G755" s="30"/>
      <x:c r="H755" s="32" t="n">
        <x:v>930000</x:v>
      </x:c>
      <x:c r="I755" s="32" t="n">
        <x:v>930000</x:v>
      </x:c>
      <x:c r="J755" s="32" t="n">
        <x:v>0</x:v>
      </x:c>
      <x:c r="K755" s="30" t="n">
        <x:v>45856</x:v>
      </x:c>
      <x:c r="L755" s="24" t="str">
        <x:v>카드</x:v>
      </x:c>
      <x:c r="M755" s="31" t="n">
        <x:f>IF(AND(N755="미수",G755&lt;&gt;"",TODAY()&gt;G755),TODAY()-G755,0)</x:f>
        <x:v>0</x:v>
      </x:c>
      <x:c r="N755" s="24" t="str">
        <x:f>IF(J755&gt;0,"미수",IF(AND(H755&gt;0,I755&gt;=H755),"완납","미확인"))</x:f>
        <x:v>완납</x:v>
      </x:c>
      <x:c r="O755" s="31" t="n">
        <x:v>39</x:v>
      </x:c>
    </x:row>
    <x:row r="756" ht="17.25" customHeight="1">
      <x:c r="A756" s="24" t="str">
        <x:v>SW-B-66소6317-202506</x:v>
      </x:c>
      <x:c r="B756" s="24" t="str">
        <x:v>스위치플랜</x:v>
      </x:c>
      <x:c r="C756" s="24" t="str">
        <x:v>SW-C-66소6317-1-NA-39</x:v>
      </x:c>
      <x:c r="D756" s="24" t="str">
        <x:v>66소6317</x:v>
      </x:c>
      <x:c r="E756" s="24" t="str"/>
      <x:c r="F756" s="24" t="str">
        <x:v>2025-06</x:v>
      </x:c>
      <x:c r="G756" s="30"/>
      <x:c r="H756" s="32" t="n">
        <x:v>980000</x:v>
      </x:c>
      <x:c r="I756" s="32" t="n">
        <x:v>980000</x:v>
      </x:c>
      <x:c r="J756" s="32" t="n">
        <x:v>0</x:v>
      </x:c>
      <x:c r="K756" s="30" t="n">
        <x:v>45818</x:v>
      </x:c>
      <x:c r="L756" s="24" t="str">
        <x:v>입금</x:v>
      </x:c>
      <x:c r="M756" s="31" t="n">
        <x:f>IF(AND(N756="미수",G756&lt;&gt;"",TODAY()&gt;G756),TODAY()-G756,0)</x:f>
        <x:v>0</x:v>
      </x:c>
      <x:c r="N756" s="24" t="str">
        <x:f>IF(J756&gt;0,"미수",IF(AND(H756&gt;0,I756&gt;=H756),"완납","미확인"))</x:f>
        <x:v>완납</x:v>
      </x:c>
      <x:c r="O756" s="31" t="n">
        <x:v>39</x:v>
      </x:c>
    </x:row>
    <x:row r="757" ht="17.25" customHeight="1">
      <x:c r="A757" s="24" t="str">
        <x:v>SW-B-66소6317-202505</x:v>
      </x:c>
      <x:c r="B757" s="24" t="str">
        <x:v>스위치플랜</x:v>
      </x:c>
      <x:c r="C757" s="24" t="str">
        <x:v>SW-C-66소6317-1-NA-39</x:v>
      </x:c>
      <x:c r="D757" s="24" t="str">
        <x:v>66소6317</x:v>
      </x:c>
      <x:c r="E757" s="24" t="str"/>
      <x:c r="F757" s="24" t="str">
        <x:v>2025-05</x:v>
      </x:c>
      <x:c r="G757" s="30"/>
      <x:c r="H757" s="32" t="n">
        <x:v>980000</x:v>
      </x:c>
      <x:c r="I757" s="32" t="n">
        <x:v>980000</x:v>
      </x:c>
      <x:c r="J757" s="32" t="n">
        <x:v>0</x:v>
      </x:c>
      <x:c r="K757" s="30" t="n">
        <x:v>45789</x:v>
      </x:c>
      <x:c r="L757" s="24" t="str">
        <x:v>입금</x:v>
      </x:c>
      <x:c r="M757" s="31" t="n">
        <x:f>IF(AND(N757="미수",G757&lt;&gt;"",TODAY()&gt;G757),TODAY()-G757,0)</x:f>
        <x:v>0</x:v>
      </x:c>
      <x:c r="N757" s="24" t="str">
        <x:f>IF(J757&gt;0,"미수",IF(AND(H757&gt;0,I757&gt;=H757),"완납","미확인"))</x:f>
        <x:v>완납</x:v>
      </x:c>
      <x:c r="O757" s="31" t="n">
        <x:v>39</x:v>
      </x:c>
    </x:row>
    <x:row r="758" ht="17.25" customHeight="1">
      <x:c r="A758" s="24" t="str">
        <x:v>SW-B-66소6317-202504</x:v>
      </x:c>
      <x:c r="B758" s="24" t="str">
        <x:v>스위치플랜</x:v>
      </x:c>
      <x:c r="C758" s="24" t="str">
        <x:v>SW-C-66소6317-1-NA-39</x:v>
      </x:c>
      <x:c r="D758" s="24" t="str">
        <x:v>66소6317</x:v>
      </x:c>
      <x:c r="E758" s="24" t="str"/>
      <x:c r="F758" s="24" t="str">
        <x:v>2025-04</x:v>
      </x:c>
      <x:c r="G758" s="30"/>
      <x:c r="H758" s="32" t="n">
        <x:v>980000</x:v>
      </x:c>
      <x:c r="I758" s="32" t="n">
        <x:v>980000</x:v>
      </x:c>
      <x:c r="J758" s="32" t="n">
        <x:v>0</x:v>
      </x:c>
      <x:c r="K758" s="30" t="n">
        <x:v>45763</x:v>
      </x:c>
      <x:c r="L758" s="24" t="str">
        <x:v>입금</x:v>
      </x:c>
      <x:c r="M758" s="31" t="n">
        <x:f>IF(AND(N758="미수",G758&lt;&gt;"",TODAY()&gt;G758),TODAY()-G758,0)</x:f>
        <x:v>0</x:v>
      </x:c>
      <x:c r="N758" s="24" t="str">
        <x:f>IF(J758&gt;0,"미수",IF(AND(H758&gt;0,I758&gt;=H758),"완납","미확인"))</x:f>
        <x:v>완납</x:v>
      </x:c>
      <x:c r="O758" s="31" t="n">
        <x:v>39</x:v>
      </x:c>
    </x:row>
    <x:row r="759" ht="17.25" customHeight="1">
      <x:c r="A759" s="24" t="str">
        <x:v>SW-B-66소6317-202503</x:v>
      </x:c>
      <x:c r="B759" s="24" t="str">
        <x:v>스위치플랜</x:v>
      </x:c>
      <x:c r="C759" s="24" t="str">
        <x:v>SW-C-66소6317-1-NA-39</x:v>
      </x:c>
      <x:c r="D759" s="24" t="str">
        <x:v>66소6317</x:v>
      </x:c>
      <x:c r="E759" s="24" t="str"/>
      <x:c r="F759" s="24" t="str">
        <x:v>2025-03</x:v>
      </x:c>
      <x:c r="G759" s="30"/>
      <x:c r="H759" s="32" t="n">
        <x:v>920000</x:v>
      </x:c>
      <x:c r="I759" s="32" t="n">
        <x:v>920000</x:v>
      </x:c>
      <x:c r="J759" s="32" t="n">
        <x:v>0</x:v>
      </x:c>
      <x:c r="K759" s="30" t="n">
        <x:v>45737</x:v>
      </x:c>
      <x:c r="L759" s="24" t="str">
        <x:v>입금</x:v>
      </x:c>
      <x:c r="M759" s="31" t="n">
        <x:f>IF(AND(N759="미수",G759&lt;&gt;"",TODAY()&gt;G759),TODAY()-G759,0)</x:f>
        <x:v>0</x:v>
      </x:c>
      <x:c r="N759" s="24" t="str">
        <x:f>IF(J759&gt;0,"미수",IF(AND(H759&gt;0,I759&gt;=H759),"완납","미확인"))</x:f>
        <x:v>완납</x:v>
      </x:c>
      <x:c r="O759" s="31" t="n">
        <x:v>39</x:v>
      </x:c>
    </x:row>
    <x:row r="760" ht="17.25" customHeight="1">
      <x:c r="A760" s="24" t="str">
        <x:v>SW-B-66소6317-202502</x:v>
      </x:c>
      <x:c r="B760" s="24" t="str">
        <x:v>스위치플랜</x:v>
      </x:c>
      <x:c r="C760" s="24" t="str">
        <x:v>SW-C-66소6317-1-NA-39</x:v>
      </x:c>
      <x:c r="D760" s="24" t="str">
        <x:v>66소6317</x:v>
      </x:c>
      <x:c r="E760" s="24" t="str"/>
      <x:c r="F760" s="24" t="str">
        <x:v>2025-02</x:v>
      </x:c>
      <x:c r="G760" s="30"/>
      <x:c r="H760" s="32" t="n">
        <x:v>930000</x:v>
      </x:c>
      <x:c r="I760" s="32" t="n">
        <x:v>930000</x:v>
      </x:c>
      <x:c r="J760" s="32" t="n">
        <x:v>0</x:v>
      </x:c>
      <x:c r="K760" s="30" t="n">
        <x:v>45698</x:v>
      </x:c>
      <x:c r="L760" s="24" t="str">
        <x:v>입금</x:v>
      </x:c>
      <x:c r="M760" s="31" t="n">
        <x:f>IF(AND(N760="미수",G760&lt;&gt;"",TODAY()&gt;G760),TODAY()-G760,0)</x:f>
        <x:v>0</x:v>
      </x:c>
      <x:c r="N760" s="24" t="str">
        <x:f>IF(J760&gt;0,"미수",IF(AND(H760&gt;0,I760&gt;=H760),"완납","미확인"))</x:f>
        <x:v>완납</x:v>
      </x:c>
      <x:c r="O760" s="31" t="n">
        <x:v>39</x:v>
      </x:c>
    </x:row>
    <x:row r="761" ht="17.25" customHeight="1">
      <x:c r="A761" s="24" t="str">
        <x:v>SW-B-66소6317-202501</x:v>
      </x:c>
      <x:c r="B761" s="24" t="str">
        <x:v>스위치플랜</x:v>
      </x:c>
      <x:c r="C761" s="24" t="str">
        <x:v>SW-C-66소6317-1-NA-39</x:v>
      </x:c>
      <x:c r="D761" s="24" t="str">
        <x:v>66소6317</x:v>
      </x:c>
      <x:c r="E761" s="24" t="str"/>
      <x:c r="F761" s="24" t="str">
        <x:v>2025-01</x:v>
      </x:c>
      <x:c r="G761" s="30"/>
      <x:c r="H761" s="32" t="n">
        <x:v>980000</x:v>
      </x:c>
      <x:c r="I761" s="32" t="n">
        <x:v>980000</x:v>
      </x:c>
      <x:c r="J761" s="32" t="n">
        <x:v>0</x:v>
      </x:c>
      <x:c r="K761" s="30" t="n">
        <x:v>45667</x:v>
      </x:c>
      <x:c r="L761" s="24" t="str">
        <x:v>입금</x:v>
      </x:c>
      <x:c r="M761" s="31" t="n">
        <x:f>IF(AND(N761="미수",G761&lt;&gt;"",TODAY()&gt;G761),TODAY()-G761,0)</x:f>
        <x:v>0</x:v>
      </x:c>
      <x:c r="N761" s="24" t="str">
        <x:f>IF(J761&gt;0,"미수",IF(AND(H761&gt;0,I761&gt;=H761),"완납","미확인"))</x:f>
        <x:v>완납</x:v>
      </x:c>
      <x:c r="O761" s="31" t="n">
        <x:v>39</x:v>
      </x:c>
    </x:row>
    <x:row r="762" ht="17.25" customHeight="1">
      <x:c r="A762" s="24" t="str">
        <x:v>SW-B-162고5602-202608</x:v>
      </x:c>
      <x:c r="B762" s="24" t="str">
        <x:v>스위치플랜</x:v>
      </x:c>
      <x:c r="C762" s="24" t="str">
        <x:v>SW-C-162고5602-1-20241216-40</x:v>
      </x:c>
      <x:c r="D762" s="24" t="str">
        <x:v>162고5602</x:v>
      </x:c>
      <x:c r="E762" s="24" t="str">
        <x:v>디테힐링</x:v>
      </x:c>
      <x:c r="F762" s="24" t="str">
        <x:v>2026-08</x:v>
      </x:c>
      <x:c r="G762" s="30" t="n">
        <x:v>46249</x:v>
      </x:c>
      <x:c r="H762" s="32" t="n">
        <x:v>280000</x:v>
      </x:c>
      <x:c r="I762" s="32"/>
      <x:c r="J762" s="32" t="n">
        <x:v>280000</x:v>
      </x:c>
      <x:c r="K762" s="30"/>
      <x:c r="L762" s="24" t="str"/>
      <x:c r="M762" s="31" t="n">
        <x:f>IF(AND(N762="미수",G762&lt;&gt;"",TODAY()&gt;G762),TODAY()-G762,0)</x:f>
        <x:v>0</x:v>
      </x:c>
      <x:c r="N762" s="24" t="str">
        <x:f>IF(J762&gt;0,"미수",IF(AND(H762&gt;0,I762&gt;=H762),"완납","미확인"))</x:f>
        <x:v>미수</x:v>
      </x:c>
      <x:c r="O762" s="31" t="n">
        <x:v>40</x:v>
      </x:c>
    </x:row>
    <x:row r="763" ht="17.25" customHeight="1">
      <x:c r="A763" s="24" t="str">
        <x:v>SW-B-162고5602-202607</x:v>
      </x:c>
      <x:c r="B763" s="24" t="str">
        <x:v>스위치플랜</x:v>
      </x:c>
      <x:c r="C763" s="24" t="str">
        <x:v>SW-C-162고5602-1-20241216-40</x:v>
      </x:c>
      <x:c r="D763" s="24" t="str">
        <x:v>162고5602</x:v>
      </x:c>
      <x:c r="E763" s="24" t="str">
        <x:v>디테힐링</x:v>
      </x:c>
      <x:c r="F763" s="24" t="str">
        <x:v>2026-07</x:v>
      </x:c>
      <x:c r="G763" s="30" t="n">
        <x:v>46218</x:v>
      </x:c>
      <x:c r="H763" s="32" t="n">
        <x:v>280000</x:v>
      </x:c>
      <x:c r="I763" s="32" t="n">
        <x:v>280000</x:v>
      </x:c>
      <x:c r="J763" s="32" t="n">
        <x:v>0</x:v>
      </x:c>
      <x:c r="K763" s="30" t="n">
        <x:v>46218</x:v>
      </x:c>
      <x:c r="L763" s="24" t="str">
        <x:v>입금</x:v>
      </x:c>
      <x:c r="M763" s="31" t="n">
        <x:f>IF(AND(N763="미수",G763&lt;&gt;"",TODAY()&gt;G763),TODAY()-G763,0)</x:f>
        <x:v>0</x:v>
      </x:c>
      <x:c r="N763" s="24" t="str">
        <x:f>IF(J763&gt;0,"미수",IF(AND(H763&gt;0,I763&gt;=H763),"완납","미확인"))</x:f>
        <x:v>완납</x:v>
      </x:c>
      <x:c r="O763" s="31" t="n">
        <x:v>40</x:v>
      </x:c>
    </x:row>
    <x:row r="764" ht="17.25" customHeight="1">
      <x:c r="A764" s="24" t="str">
        <x:v>SW-B-162고5602-202606</x:v>
      </x:c>
      <x:c r="B764" s="24" t="str">
        <x:v>스위치플랜</x:v>
      </x:c>
      <x:c r="C764" s="24" t="str">
        <x:v>SW-C-162고5602-1-20241216-40</x:v>
      </x:c>
      <x:c r="D764" s="24" t="str">
        <x:v>162고5602</x:v>
      </x:c>
      <x:c r="E764" s="24" t="str">
        <x:v>디테힐링</x:v>
      </x:c>
      <x:c r="F764" s="24" t="str">
        <x:v>2026-06</x:v>
      </x:c>
      <x:c r="G764" s="30" t="n">
        <x:v>46188</x:v>
      </x:c>
      <x:c r="H764" s="32" t="n">
        <x:v>280000</x:v>
      </x:c>
      <x:c r="I764" s="32" t="n">
        <x:v>280000</x:v>
      </x:c>
      <x:c r="J764" s="32" t="n">
        <x:v>0</x:v>
      </x:c>
      <x:c r="K764" s="30" t="n">
        <x:v>46188</x:v>
      </x:c>
      <x:c r="L764" s="24" t="str">
        <x:v>입금</x:v>
      </x:c>
      <x:c r="M764" s="31" t="n">
        <x:f>IF(AND(N764="미수",G764&lt;&gt;"",TODAY()&gt;G764),TODAY()-G764,0)</x:f>
        <x:v>0</x:v>
      </x:c>
      <x:c r="N764" s="24" t="str">
        <x:f>IF(J764&gt;0,"미수",IF(AND(H764&gt;0,I764&gt;=H764),"완납","미확인"))</x:f>
        <x:v>완납</x:v>
      </x:c>
      <x:c r="O764" s="31" t="n">
        <x:v>40</x:v>
      </x:c>
    </x:row>
    <x:row r="765" ht="17.25" customHeight="1">
      <x:c r="A765" s="24" t="str">
        <x:v>SW-B-162고5602-202605</x:v>
      </x:c>
      <x:c r="B765" s="24" t="str">
        <x:v>스위치플랜</x:v>
      </x:c>
      <x:c r="C765" s="24" t="str">
        <x:v>SW-C-162고5602-1-20241216-40</x:v>
      </x:c>
      <x:c r="D765" s="24" t="str">
        <x:v>162고5602</x:v>
      </x:c>
      <x:c r="E765" s="24" t="str">
        <x:v>디테힐링</x:v>
      </x:c>
      <x:c r="F765" s="24" t="str">
        <x:v>2026-05</x:v>
      </x:c>
      <x:c r="G765" s="30" t="n">
        <x:v>46157</x:v>
      </x:c>
      <x:c r="H765" s="32" t="n">
        <x:v>280000</x:v>
      </x:c>
      <x:c r="I765" s="32" t="n">
        <x:v>150000</x:v>
      </x:c>
      <x:c r="J765" s="32" t="n">
        <x:v>0</x:v>
      </x:c>
      <x:c r="K765" s="30" t="n">
        <x:v>46160</x:v>
      </x:c>
      <x:c r="L765" s="24" t="str">
        <x:v>입금</x:v>
      </x:c>
      <x:c r="M765" s="31" t="n">
        <x:f>IF(AND(N765="미수",G765&lt;&gt;"",TODAY()&gt;G765),TODAY()-G765,0)</x:f>
        <x:v>0</x:v>
      </x:c>
      <x:c r="N765" s="24" t="str">
        <x:f>IF(J765&gt;0,"미수",IF(AND(H765&gt;0,I765&gt;=H765),"완납","미확인"))</x:f>
        <x:v>미확인</x:v>
      </x:c>
      <x:c r="O765" s="31" t="n">
        <x:v>40</x:v>
      </x:c>
    </x:row>
    <x:row r="766" ht="17.25" customHeight="1">
      <x:c r="A766" s="24" t="str">
        <x:v>SW-B-162고5602-202604</x:v>
      </x:c>
      <x:c r="B766" s="24" t="str">
        <x:v>스위치플랜</x:v>
      </x:c>
      <x:c r="C766" s="24" t="str">
        <x:v>SW-C-162고5602-1-20241216-40</x:v>
      </x:c>
      <x:c r="D766" s="24" t="str">
        <x:v>162고5602</x:v>
      </x:c>
      <x:c r="E766" s="24" t="str">
        <x:v>디테힐링</x:v>
      </x:c>
      <x:c r="F766" s="24" t="str">
        <x:v>2026-04</x:v>
      </x:c>
      <x:c r="G766" s="30" t="n">
        <x:v>46127</x:v>
      </x:c>
      <x:c r="H766" s="32" t="n">
        <x:v>280000</x:v>
      </x:c>
      <x:c r="I766" s="32" t="n">
        <x:v>350000</x:v>
      </x:c>
      <x:c r="J766" s="32" t="n">
        <x:v>-130000</x:v>
      </x:c>
      <x:c r="K766" s="30" t="n">
        <x:v>46129</x:v>
      </x:c>
      <x:c r="L766" s="24" t="str">
        <x:v>입금</x:v>
      </x:c>
      <x:c r="M766" s="31" t="n">
        <x:f>IF(AND(N766="미수",G766&lt;&gt;"",TODAY()&gt;G766),TODAY()-G766,0)</x:f>
        <x:v>0</x:v>
      </x:c>
      <x:c r="N766" s="24" t="str">
        <x:f>IF(J766&gt;0,"미수",IF(AND(H766&gt;0,I766&gt;=H766),"완납","미확인"))</x:f>
        <x:v>완납</x:v>
      </x:c>
      <x:c r="O766" s="31" t="n">
        <x:v>40</x:v>
      </x:c>
    </x:row>
    <x:row r="767" ht="17.25" customHeight="1">
      <x:c r="A767" s="24" t="str">
        <x:v>SW-B-162고5602-202603</x:v>
      </x:c>
      <x:c r="B767" s="24" t="str">
        <x:v>스위치플랜</x:v>
      </x:c>
      <x:c r="C767" s="24" t="str">
        <x:v>SW-C-162고5602-1-20241216-40</x:v>
      </x:c>
      <x:c r="D767" s="24" t="str">
        <x:v>162고5602</x:v>
      </x:c>
      <x:c r="E767" s="24" t="str">
        <x:v>디테힐링</x:v>
      </x:c>
      <x:c r="F767" s="24" t="str">
        <x:v>2026-03</x:v>
      </x:c>
      <x:c r="G767" s="30" t="n">
        <x:v>46096</x:v>
      </x:c>
      <x:c r="H767" s="32" t="n">
        <x:v>350000</x:v>
      </x:c>
      <x:c r="I767" s="32" t="n">
        <x:v>350000</x:v>
      </x:c>
      <x:c r="J767" s="32" t="n">
        <x:v>-60000</x:v>
      </x:c>
      <x:c r="K767" s="30" t="n">
        <x:v>46097</x:v>
      </x:c>
      <x:c r="L767" s="24" t="str">
        <x:v>입금</x:v>
      </x:c>
      <x:c r="M767" s="31" t="n">
        <x:f>IF(AND(N767="미수",G767&lt;&gt;"",TODAY()&gt;G767),TODAY()-G767,0)</x:f>
        <x:v>0</x:v>
      </x:c>
      <x:c r="N767" s="24" t="str">
        <x:f>IF(J767&gt;0,"미수",IF(AND(H767&gt;0,I767&gt;=H767),"완납","미확인"))</x:f>
        <x:v>완납</x:v>
      </x:c>
      <x:c r="O767" s="31" t="n">
        <x:v>40</x:v>
      </x:c>
    </x:row>
    <x:row r="768" ht="17.25" customHeight="1">
      <x:c r="A768" s="24" t="str">
        <x:v>SW-B-162고5602-202602</x:v>
      </x:c>
      <x:c r="B768" s="24" t="str">
        <x:v>스위치플랜</x:v>
      </x:c>
      <x:c r="C768" s="24" t="str">
        <x:v>SW-C-162고5602-1-20241216-40</x:v>
      </x:c>
      <x:c r="D768" s="24" t="str">
        <x:v>162고5602</x:v>
      </x:c>
      <x:c r="E768" s="24" t="str">
        <x:v>디테힐링</x:v>
      </x:c>
      <x:c r="F768" s="24" t="str">
        <x:v>2026-02</x:v>
      </x:c>
      <x:c r="G768" s="30" t="n">
        <x:v>46068</x:v>
      </x:c>
      <x:c r="H768" s="32" t="n">
        <x:v>350000</x:v>
      </x:c>
      <x:c r="I768" s="32" t="n">
        <x:v>350000</x:v>
      </x:c>
      <x:c r="J768" s="32" t="n">
        <x:v>-60000</x:v>
      </x:c>
      <x:c r="K768" s="30" t="n">
        <x:v>46073</x:v>
      </x:c>
      <x:c r="L768" s="24" t="str">
        <x:v>입금</x:v>
      </x:c>
      <x:c r="M768" s="31" t="n">
        <x:f>IF(AND(N768="미수",G768&lt;&gt;"",TODAY()&gt;G768),TODAY()-G768,0)</x:f>
        <x:v>0</x:v>
      </x:c>
      <x:c r="N768" s="24" t="str">
        <x:f>IF(J768&gt;0,"미수",IF(AND(H768&gt;0,I768&gt;=H768),"완납","미확인"))</x:f>
        <x:v>완납</x:v>
      </x:c>
      <x:c r="O768" s="31" t="n">
        <x:v>40</x:v>
      </x:c>
    </x:row>
    <x:row r="769" ht="17.25" customHeight="1">
      <x:c r="A769" s="24" t="str">
        <x:v>SW-B-162고5602-202601</x:v>
      </x:c>
      <x:c r="B769" s="24" t="str">
        <x:v>스위치플랜</x:v>
      </x:c>
      <x:c r="C769" s="24" t="str">
        <x:v>SW-C-162고5602-1-20241216-40</x:v>
      </x:c>
      <x:c r="D769" s="24" t="str">
        <x:v>162고5602</x:v>
      </x:c>
      <x:c r="E769" s="24" t="str">
        <x:v>디테힐링</x:v>
      </x:c>
      <x:c r="F769" s="24" t="str">
        <x:v>2026-01</x:v>
      </x:c>
      <x:c r="G769" s="30" t="n">
        <x:v>46037</x:v>
      </x:c>
      <x:c r="H769" s="32" t="n">
        <x:v>350000</x:v>
      </x:c>
      <x:c r="I769" s="32" t="n">
        <x:v>380000</x:v>
      </x:c>
      <x:c r="J769" s="32" t="n">
        <x:v>-60000</x:v>
      </x:c>
      <x:c r="K769" s="30" t="n">
        <x:v>46037</x:v>
      </x:c>
      <x:c r="L769" s="24" t="str">
        <x:v>입금</x:v>
      </x:c>
      <x:c r="M769" s="31" t="n">
        <x:f>IF(AND(N769="미수",G769&lt;&gt;"",TODAY()&gt;G769),TODAY()-G769,0)</x:f>
        <x:v>0</x:v>
      </x:c>
      <x:c r="N769" s="24" t="str">
        <x:f>IF(J769&gt;0,"미수",IF(AND(H769&gt;0,I769&gt;=H769),"완납","미확인"))</x:f>
        <x:v>완납</x:v>
      </x:c>
      <x:c r="O769" s="31" t="n">
        <x:v>40</x:v>
      </x:c>
    </x:row>
    <x:row r="770" ht="17.25" customHeight="1">
      <x:c r="A770" s="24" t="str">
        <x:v>SW-B-162고5602-202512</x:v>
      </x:c>
      <x:c r="B770" s="24" t="str">
        <x:v>스위치플랜</x:v>
      </x:c>
      <x:c r="C770" s="24" t="str">
        <x:v>SW-C-162고5602-1-20241216-40</x:v>
      </x:c>
      <x:c r="D770" s="24" t="str">
        <x:v>162고5602</x:v>
      </x:c>
      <x:c r="E770" s="24" t="str">
        <x:v>디테힐링</x:v>
      </x:c>
      <x:c r="F770" s="24" t="str">
        <x:v>2025-12</x:v>
      </x:c>
      <x:c r="G770" s="30" t="n">
        <x:v>46006</x:v>
      </x:c>
      <x:c r="H770" s="32" t="n">
        <x:v>350000</x:v>
      </x:c>
      <x:c r="I770" s="32" t="n">
        <x:v>380000</x:v>
      </x:c>
      <x:c r="J770" s="32" t="n">
        <x:v>-30000</x:v>
      </x:c>
      <x:c r="K770" s="30" t="n">
        <x:v>46007</x:v>
      </x:c>
      <x:c r="L770" s="24" t="str">
        <x:v>입금</x:v>
      </x:c>
      <x:c r="M770" s="31" t="n">
        <x:f>IF(AND(N770="미수",G770&lt;&gt;"",TODAY()&gt;G770),TODAY()-G770,0)</x:f>
        <x:v>0</x:v>
      </x:c>
      <x:c r="N770" s="24" t="str">
        <x:f>IF(J770&gt;0,"미수",IF(AND(H770&gt;0,I770&gt;=H770),"완납","미확인"))</x:f>
        <x:v>완납</x:v>
      </x:c>
      <x:c r="O770" s="31" t="n">
        <x:v>40</x:v>
      </x:c>
    </x:row>
    <x:row r="771" ht="17.25" customHeight="1">
      <x:c r="A771" s="24" t="str">
        <x:v>SW-B-162고5602-202511</x:v>
      </x:c>
      <x:c r="B771" s="24" t="str">
        <x:v>스위치플랜</x:v>
      </x:c>
      <x:c r="C771" s="24" t="str">
        <x:v>SW-C-162고5602-1-20241216-40</x:v>
      </x:c>
      <x:c r="D771" s="24" t="str">
        <x:v>162고5602</x:v>
      </x:c>
      <x:c r="E771" s="24" t="str">
        <x:v>디테힐링</x:v>
      </x:c>
      <x:c r="F771" s="24" t="str">
        <x:v>2025-11</x:v>
      </x:c>
      <x:c r="G771" s="30" t="n">
        <x:v>45976</x:v>
      </x:c>
      <x:c r="H771" s="32" t="n">
        <x:v>350000</x:v>
      </x:c>
      <x:c r="I771" s="32" t="n">
        <x:v>350000</x:v>
      </x:c>
      <x:c r="J771" s="32" t="n">
        <x:v>0</x:v>
      </x:c>
      <x:c r="K771" s="30" t="n">
        <x:v>45977</x:v>
      </x:c>
      <x:c r="L771" s="24" t="str">
        <x:v>입금</x:v>
      </x:c>
      <x:c r="M771" s="31" t="n">
        <x:f>IF(AND(N771="미수",G771&lt;&gt;"",TODAY()&gt;G771),TODAY()-G771,0)</x:f>
        <x:v>0</x:v>
      </x:c>
      <x:c r="N771" s="24" t="str">
        <x:f>IF(J771&gt;0,"미수",IF(AND(H771&gt;0,I771&gt;=H771),"완납","미확인"))</x:f>
        <x:v>완납</x:v>
      </x:c>
      <x:c r="O771" s="31" t="n">
        <x:v>40</x:v>
      </x:c>
    </x:row>
    <x:row r="772" ht="17.25" customHeight="1">
      <x:c r="A772" s="24" t="str">
        <x:v>SW-B-162고5602-202510</x:v>
      </x:c>
      <x:c r="B772" s="24" t="str">
        <x:v>스위치플랜</x:v>
      </x:c>
      <x:c r="C772" s="24" t="str">
        <x:v>SW-C-162고5602-1-20241216-40</x:v>
      </x:c>
      <x:c r="D772" s="24" t="str">
        <x:v>162고5602</x:v>
      </x:c>
      <x:c r="E772" s="24" t="str">
        <x:v>디테힐링</x:v>
      </x:c>
      <x:c r="F772" s="24" t="str">
        <x:v>2025-10</x:v>
      </x:c>
      <x:c r="G772" s="30" t="n">
        <x:v>45945</x:v>
      </x:c>
      <x:c r="H772" s="32" t="n">
        <x:v>350000</x:v>
      </x:c>
      <x:c r="I772" s="32" t="n">
        <x:v>350000</x:v>
      </x:c>
      <x:c r="J772" s="32" t="n">
        <x:v>0</x:v>
      </x:c>
      <x:c r="K772" s="30" t="n">
        <x:v>45946</x:v>
      </x:c>
      <x:c r="L772" s="24" t="str">
        <x:v>입금</x:v>
      </x:c>
      <x:c r="M772" s="31" t="n">
        <x:f>IF(AND(N772="미수",G772&lt;&gt;"",TODAY()&gt;G772),TODAY()-G772,0)</x:f>
        <x:v>0</x:v>
      </x:c>
      <x:c r="N772" s="24" t="str">
        <x:f>IF(J772&gt;0,"미수",IF(AND(H772&gt;0,I772&gt;=H772),"완납","미확인"))</x:f>
        <x:v>완납</x:v>
      </x:c>
      <x:c r="O772" s="31" t="n">
        <x:v>40</x:v>
      </x:c>
    </x:row>
    <x:row r="773" ht="17.25" customHeight="1">
      <x:c r="A773" s="24" t="str">
        <x:v>SW-B-162고5602-202509</x:v>
      </x:c>
      <x:c r="B773" s="24" t="str">
        <x:v>스위치플랜</x:v>
      </x:c>
      <x:c r="C773" s="24" t="str">
        <x:v>SW-C-162고5602-1-20241216-40</x:v>
      </x:c>
      <x:c r="D773" s="24" t="str">
        <x:v>162고5602</x:v>
      </x:c>
      <x:c r="E773" s="24" t="str">
        <x:v>디테힐링</x:v>
      </x:c>
      <x:c r="F773" s="24" t="str">
        <x:v>2025-09</x:v>
      </x:c>
      <x:c r="G773" s="30" t="n">
        <x:v>45915</x:v>
      </x:c>
      <x:c r="H773" s="32" t="n">
        <x:v>350000</x:v>
      </x:c>
      <x:c r="I773" s="32" t="n">
        <x:v>350000</x:v>
      </x:c>
      <x:c r="J773" s="32" t="n">
        <x:v>0</x:v>
      </x:c>
      <x:c r="K773" s="30" t="n">
        <x:v>45915</x:v>
      </x:c>
      <x:c r="L773" s="24" t="str">
        <x:v>입금</x:v>
      </x:c>
      <x:c r="M773" s="31" t="n">
        <x:f>IF(AND(N773="미수",G773&lt;&gt;"",TODAY()&gt;G773),TODAY()-G773,0)</x:f>
        <x:v>0</x:v>
      </x:c>
      <x:c r="N773" s="24" t="str">
        <x:f>IF(J773&gt;0,"미수",IF(AND(H773&gt;0,I773&gt;=H773),"완납","미확인"))</x:f>
        <x:v>완납</x:v>
      </x:c>
      <x:c r="O773" s="31" t="n">
        <x:v>40</x:v>
      </x:c>
    </x:row>
    <x:row r="774" ht="17.25" customHeight="1">
      <x:c r="A774" s="24" t="str">
        <x:v>SW-B-162고5602-202508</x:v>
      </x:c>
      <x:c r="B774" s="24" t="str">
        <x:v>스위치플랜</x:v>
      </x:c>
      <x:c r="C774" s="24" t="str">
        <x:v>SW-C-162고5602-1-20241216-40</x:v>
      </x:c>
      <x:c r="D774" s="24" t="str">
        <x:v>162고5602</x:v>
      </x:c>
      <x:c r="E774" s="24" t="str">
        <x:v>디테힐링</x:v>
      </x:c>
      <x:c r="F774" s="24" t="str">
        <x:v>2025-08</x:v>
      </x:c>
      <x:c r="G774" s="30" t="n">
        <x:v>45884</x:v>
      </x:c>
      <x:c r="H774" s="32" t="n">
        <x:v>350000</x:v>
      </x:c>
      <x:c r="I774" s="32" t="n">
        <x:v>350000</x:v>
      </x:c>
      <x:c r="J774" s="32" t="n">
        <x:v>0</x:v>
      </x:c>
      <x:c r="K774" s="30" t="n">
        <x:v>45883</x:v>
      </x:c>
      <x:c r="L774" s="24" t="str">
        <x:v>입금</x:v>
      </x:c>
      <x:c r="M774" s="31" t="n">
        <x:f>IF(AND(N774="미수",G774&lt;&gt;"",TODAY()&gt;G774),TODAY()-G774,0)</x:f>
        <x:v>0</x:v>
      </x:c>
      <x:c r="N774" s="24" t="str">
        <x:f>IF(J774&gt;0,"미수",IF(AND(H774&gt;0,I774&gt;=H774),"완납","미확인"))</x:f>
        <x:v>완납</x:v>
      </x:c>
      <x:c r="O774" s="31" t="n">
        <x:v>40</x:v>
      </x:c>
    </x:row>
    <x:row r="775" ht="17.25" customHeight="1">
      <x:c r="A775" s="24" t="str">
        <x:v>SW-B-162고5602-202507</x:v>
      </x:c>
      <x:c r="B775" s="24" t="str">
        <x:v>스위치플랜</x:v>
      </x:c>
      <x:c r="C775" s="24" t="str">
        <x:v>SW-C-162고5602-1-20241216-40</x:v>
      </x:c>
      <x:c r="D775" s="24" t="str">
        <x:v>162고5602</x:v>
      </x:c>
      <x:c r="E775" s="24" t="str">
        <x:v>디테힐링</x:v>
      </x:c>
      <x:c r="F775" s="24" t="str">
        <x:v>2025-07</x:v>
      </x:c>
      <x:c r="G775" s="30" t="n">
        <x:v>45853</x:v>
      </x:c>
      <x:c r="H775" s="32" t="n">
        <x:v>350000</x:v>
      </x:c>
      <x:c r="I775" s="32" t="n">
        <x:v>350000</x:v>
      </x:c>
      <x:c r="J775" s="32" t="n">
        <x:v>0</x:v>
      </x:c>
      <x:c r="K775" s="30" t="n">
        <x:v>45854</x:v>
      </x:c>
      <x:c r="L775" s="24" t="str">
        <x:v>입금</x:v>
      </x:c>
      <x:c r="M775" s="31" t="n">
        <x:f>IF(AND(N775="미수",G775&lt;&gt;"",TODAY()&gt;G775),TODAY()-G775,0)</x:f>
        <x:v>0</x:v>
      </x:c>
      <x:c r="N775" s="24" t="str">
        <x:f>IF(J775&gt;0,"미수",IF(AND(H775&gt;0,I775&gt;=H775),"완납","미확인"))</x:f>
        <x:v>완납</x:v>
      </x:c>
      <x:c r="O775" s="31" t="n">
        <x:v>40</x:v>
      </x:c>
    </x:row>
    <x:row r="776" ht="17.25" customHeight="1">
      <x:c r="A776" s="24" t="str">
        <x:v>SW-B-162고5602-202506</x:v>
      </x:c>
      <x:c r="B776" s="24" t="str">
        <x:v>스위치플랜</x:v>
      </x:c>
      <x:c r="C776" s="24" t="str">
        <x:v>SW-C-162고5602-1-20241216-40</x:v>
      </x:c>
      <x:c r="D776" s="24" t="str">
        <x:v>162고5602</x:v>
      </x:c>
      <x:c r="E776" s="24" t="str">
        <x:v>디테힐링</x:v>
      </x:c>
      <x:c r="F776" s="24" t="str">
        <x:v>2025-06</x:v>
      </x:c>
      <x:c r="G776" s="30" t="n">
        <x:v>45823</x:v>
      </x:c>
      <x:c r="H776" s="32" t="n">
        <x:v>350000</x:v>
      </x:c>
      <x:c r="I776" s="32" t="n">
        <x:v>350000</x:v>
      </x:c>
      <x:c r="J776" s="32" t="n">
        <x:v>0</x:v>
      </x:c>
      <x:c r="K776" s="30" t="n">
        <x:v>45823</x:v>
      </x:c>
      <x:c r="L776" s="24" t="str">
        <x:v>입금</x:v>
      </x:c>
      <x:c r="M776" s="31" t="n">
        <x:f>IF(AND(N776="미수",G776&lt;&gt;"",TODAY()&gt;G776),TODAY()-G776,0)</x:f>
        <x:v>0</x:v>
      </x:c>
      <x:c r="N776" s="24" t="str">
        <x:f>IF(J776&gt;0,"미수",IF(AND(H776&gt;0,I776&gt;=H776),"완납","미확인"))</x:f>
        <x:v>완납</x:v>
      </x:c>
      <x:c r="O776" s="31" t="n">
        <x:v>40</x:v>
      </x:c>
    </x:row>
    <x:row r="777" ht="17.25" customHeight="1">
      <x:c r="A777" s="24" t="str">
        <x:v>SW-B-162고5602-202505</x:v>
      </x:c>
      <x:c r="B777" s="24" t="str">
        <x:v>스위치플랜</x:v>
      </x:c>
      <x:c r="C777" s="24" t="str">
        <x:v>SW-C-162고5602-1-20241216-40</x:v>
      </x:c>
      <x:c r="D777" s="24" t="str">
        <x:v>162고5602</x:v>
      </x:c>
      <x:c r="E777" s="24" t="str">
        <x:v>디테힐링</x:v>
      </x:c>
      <x:c r="F777" s="24" t="str">
        <x:v>2025-05</x:v>
      </x:c>
      <x:c r="G777" s="30" t="n">
        <x:v>45792</x:v>
      </x:c>
      <x:c r="H777" s="32" t="n">
        <x:v>350000</x:v>
      </x:c>
      <x:c r="I777" s="32" t="n">
        <x:v>350000</x:v>
      </x:c>
      <x:c r="J777" s="32" t="n">
        <x:v>0</x:v>
      </x:c>
      <x:c r="K777" s="30" t="n">
        <x:v>45791</x:v>
      </x:c>
      <x:c r="L777" s="24" t="str">
        <x:v>입금</x:v>
      </x:c>
      <x:c r="M777" s="31" t="n">
        <x:f>IF(AND(N777="미수",G777&lt;&gt;"",TODAY()&gt;G777),TODAY()-G777,0)</x:f>
        <x:v>0</x:v>
      </x:c>
      <x:c r="N777" s="24" t="str">
        <x:f>IF(J777&gt;0,"미수",IF(AND(H777&gt;0,I777&gt;=H777),"완납","미확인"))</x:f>
        <x:v>완납</x:v>
      </x:c>
      <x:c r="O777" s="31" t="n">
        <x:v>40</x:v>
      </x:c>
    </x:row>
    <x:row r="778" ht="17.25" customHeight="1">
      <x:c r="A778" s="24" t="str">
        <x:v>SW-B-162고5602-202504</x:v>
      </x:c>
      <x:c r="B778" s="24" t="str">
        <x:v>스위치플랜</x:v>
      </x:c>
      <x:c r="C778" s="24" t="str">
        <x:v>SW-C-162고5602-1-20241216-40</x:v>
      </x:c>
      <x:c r="D778" s="24" t="str">
        <x:v>162고5602</x:v>
      </x:c>
      <x:c r="E778" s="24" t="str">
        <x:v>디테힐링</x:v>
      </x:c>
      <x:c r="F778" s="24" t="str">
        <x:v>2025-04</x:v>
      </x:c>
      <x:c r="G778" s="30" t="n">
        <x:v>45762</x:v>
      </x:c>
      <x:c r="H778" s="32" t="n">
        <x:v>350000</x:v>
      </x:c>
      <x:c r="I778" s="32" t="n">
        <x:v>350000</x:v>
      </x:c>
      <x:c r="J778" s="32" t="n">
        <x:v>0</x:v>
      </x:c>
      <x:c r="K778" s="30" t="n">
        <x:v>45762</x:v>
      </x:c>
      <x:c r="L778" s="24" t="str">
        <x:v>입금</x:v>
      </x:c>
      <x:c r="M778" s="31" t="n">
        <x:f>IF(AND(N778="미수",G778&lt;&gt;"",TODAY()&gt;G778),TODAY()-G778,0)</x:f>
        <x:v>0</x:v>
      </x:c>
      <x:c r="N778" s="24" t="str">
        <x:f>IF(J778&gt;0,"미수",IF(AND(H778&gt;0,I778&gt;=H778),"완납","미확인"))</x:f>
        <x:v>완납</x:v>
      </x:c>
      <x:c r="O778" s="31" t="n">
        <x:v>40</x:v>
      </x:c>
    </x:row>
    <x:row r="779" ht="17.25" customHeight="1">
      <x:c r="A779" s="24" t="str">
        <x:v>SW-B-162고5602-202503</x:v>
      </x:c>
      <x:c r="B779" s="24" t="str">
        <x:v>스위치플랜</x:v>
      </x:c>
      <x:c r="C779" s="24" t="str">
        <x:v>SW-C-162고5602-1-20241216-40</x:v>
      </x:c>
      <x:c r="D779" s="24" t="str">
        <x:v>162고5602</x:v>
      </x:c>
      <x:c r="E779" s="24" t="str">
        <x:v>디테힐링</x:v>
      </x:c>
      <x:c r="F779" s="24" t="str">
        <x:v>2025-03</x:v>
      </x:c>
      <x:c r="G779" s="30" t="n">
        <x:v>45731</x:v>
      </x:c>
      <x:c r="H779" s="32" t="n">
        <x:v>350000</x:v>
      </x:c>
      <x:c r="I779" s="32" t="n">
        <x:v>350000</x:v>
      </x:c>
      <x:c r="J779" s="32" t="n">
        <x:v>0</x:v>
      </x:c>
      <x:c r="K779" s="30" t="n">
        <x:v>45732</x:v>
      </x:c>
      <x:c r="L779" s="24" t="str">
        <x:v>입금</x:v>
      </x:c>
      <x:c r="M779" s="31" t="n">
        <x:f>IF(AND(N779="미수",G779&lt;&gt;"",TODAY()&gt;G779),TODAY()-G779,0)</x:f>
        <x:v>0</x:v>
      </x:c>
      <x:c r="N779" s="24" t="str">
        <x:f>IF(J779&gt;0,"미수",IF(AND(H779&gt;0,I779&gt;=H779),"완납","미확인"))</x:f>
        <x:v>완납</x:v>
      </x:c>
      <x:c r="O779" s="31" t="n">
        <x:v>40</x:v>
      </x:c>
    </x:row>
    <x:row r="780" ht="17.25" customHeight="1">
      <x:c r="A780" s="24" t="str">
        <x:v>SW-B-162고5602-202502</x:v>
      </x:c>
      <x:c r="B780" s="24" t="str">
        <x:v>스위치플랜</x:v>
      </x:c>
      <x:c r="C780" s="24" t="str">
        <x:v>SW-C-162고5602-1-20241216-40</x:v>
      </x:c>
      <x:c r="D780" s="24" t="str">
        <x:v>162고5602</x:v>
      </x:c>
      <x:c r="E780" s="24" t="str">
        <x:v>디테힐링</x:v>
      </x:c>
      <x:c r="F780" s="24" t="str">
        <x:v>2025-02</x:v>
      </x:c>
      <x:c r="G780" s="30" t="n">
        <x:v>45703</x:v>
      </x:c>
      <x:c r="H780" s="32" t="n">
        <x:v>350000</x:v>
      </x:c>
      <x:c r="I780" s="32" t="n">
        <x:v>350000</x:v>
      </x:c>
      <x:c r="J780" s="32" t="n">
        <x:v>0</x:v>
      </x:c>
      <x:c r="K780" s="30" t="n">
        <x:v>45703</x:v>
      </x:c>
      <x:c r="L780" s="24" t="str">
        <x:v>입금</x:v>
      </x:c>
      <x:c r="M780" s="31" t="n">
        <x:f>IF(AND(N780="미수",G780&lt;&gt;"",TODAY()&gt;G780),TODAY()-G780,0)</x:f>
        <x:v>0</x:v>
      </x:c>
      <x:c r="N780" s="24" t="str">
        <x:f>IF(J780&gt;0,"미수",IF(AND(H780&gt;0,I780&gt;=H780),"완납","미확인"))</x:f>
        <x:v>완납</x:v>
      </x:c>
      <x:c r="O780" s="31" t="n">
        <x:v>40</x:v>
      </x:c>
    </x:row>
    <x:row r="781" ht="17.25" customHeight="1">
      <x:c r="A781" s="24" t="str">
        <x:v>SW-B-162고5602-202501</x:v>
      </x:c>
      <x:c r="B781" s="24" t="str">
        <x:v>스위치플랜</x:v>
      </x:c>
      <x:c r="C781" s="24" t="str">
        <x:v>SW-C-162고5602-1-20241216-40</x:v>
      </x:c>
      <x:c r="D781" s="24" t="str">
        <x:v>162고5602</x:v>
      </x:c>
      <x:c r="E781" s="24" t="str">
        <x:v>디테힐링</x:v>
      </x:c>
      <x:c r="F781" s="24" t="str">
        <x:v>2025-01</x:v>
      </x:c>
      <x:c r="G781" s="30" t="n">
        <x:v>45672</x:v>
      </x:c>
      <x:c r="H781" s="32" t="n">
        <x:v>350000</x:v>
      </x:c>
      <x:c r="I781" s="32" t="n">
        <x:v>350000</x:v>
      </x:c>
      <x:c r="J781" s="32" t="n">
        <x:v>0</x:v>
      </x:c>
      <x:c r="K781" s="30" t="n">
        <x:v>45672</x:v>
      </x:c>
      <x:c r="L781" s="24" t="str">
        <x:v>입금</x:v>
      </x:c>
      <x:c r="M781" s="31" t="n">
        <x:f>IF(AND(N781="미수",G781&lt;&gt;"",TODAY()&gt;G781),TODAY()-G781,0)</x:f>
        <x:v>0</x:v>
      </x:c>
      <x:c r="N781" s="24" t="str">
        <x:f>IF(J781&gt;0,"미수",IF(AND(H781&gt;0,I781&gt;=H781),"완납","미확인"))</x:f>
        <x:v>완납</x:v>
      </x:c>
      <x:c r="O781" s="31" t="n">
        <x:v>40</x:v>
      </x:c>
    </x:row>
    <x:row r="782" ht="17.25" customHeight="1">
      <x:c r="A782" s="24" t="str">
        <x:v>SW-B-162고5602-202412</x:v>
      </x:c>
      <x:c r="B782" s="24" t="str">
        <x:v>스위치플랜</x:v>
      </x:c>
      <x:c r="C782" s="24" t="str">
        <x:v>SW-C-162고5602-1-20241216-40</x:v>
      </x:c>
      <x:c r="D782" s="24" t="str">
        <x:v>162고5602</x:v>
      </x:c>
      <x:c r="E782" s="24" t="str">
        <x:v>디테힐링</x:v>
      </x:c>
      <x:c r="F782" s="24" t="str">
        <x:v>2024-12</x:v>
      </x:c>
      <x:c r="G782" s="30" t="n">
        <x:v>45641</x:v>
      </x:c>
      <x:c r="H782" s="32" t="n">
        <x:v>350000</x:v>
      </x:c>
      <x:c r="I782" s="32" t="n">
        <x:v>350000</x:v>
      </x:c>
      <x:c r="J782" s="32" t="n">
        <x:v>0</x:v>
      </x:c>
      <x:c r="K782" s="30" t="n">
        <x:v>45633</x:v>
      </x:c>
      <x:c r="L782" s="24" t="str">
        <x:v>입금</x:v>
      </x:c>
      <x:c r="M782" s="31" t="n">
        <x:f>IF(AND(N782="미수",G782&lt;&gt;"",TODAY()&gt;G782),TODAY()-G782,0)</x:f>
        <x:v>0</x:v>
      </x:c>
      <x:c r="N782" s="24" t="str">
        <x:f>IF(J782&gt;0,"미수",IF(AND(H782&gt;0,I782&gt;=H782),"완납","미확인"))</x:f>
        <x:v>완납</x:v>
      </x:c>
      <x:c r="O782" s="31" t="n">
        <x:v>40</x:v>
      </x:c>
    </x:row>
    <x:row r="783" ht="17.25" customHeight="1">
      <x:c r="A783" s="24" t="str">
        <x:v>SW-B-15나3640-202608</x:v>
      </x:c>
      <x:c r="B783" s="24" t="str">
        <x:v>스위치플랜</x:v>
      </x:c>
      <x:c r="C783" s="24" t="str">
        <x:v>SW-C-15나3640-1-20250822-41</x:v>
      </x:c>
      <x:c r="D783" s="24" t="str">
        <x:v>15나3640</x:v>
      </x:c>
      <x:c r="E783" s="24" t="str">
        <x:v>이영민</x:v>
      </x:c>
      <x:c r="F783" s="24" t="str">
        <x:v>2026-08</x:v>
      </x:c>
      <x:c r="G783" s="30" t="n">
        <x:v>46259</x:v>
      </x:c>
      <x:c r="H783" s="32" t="n">
        <x:v>850000</x:v>
      </x:c>
      <x:c r="I783" s="32"/>
      <x:c r="J783" s="32" t="n">
        <x:v>850000</x:v>
      </x:c>
      <x:c r="K783" s="30"/>
      <x:c r="L783" s="24" t="str"/>
      <x:c r="M783" s="31" t="n">
        <x:f>IF(AND(N783="미수",G783&lt;&gt;"",TODAY()&gt;G783),TODAY()-G783,0)</x:f>
        <x:v>0</x:v>
      </x:c>
      <x:c r="N783" s="24" t="str">
        <x:f>IF(J783&gt;0,"미수",IF(AND(H783&gt;0,I783&gt;=H783),"완납","미확인"))</x:f>
        <x:v>미수</x:v>
      </x:c>
      <x:c r="O783" s="31" t="n">
        <x:v>41</x:v>
      </x:c>
    </x:row>
    <x:row r="784" ht="17.25" customHeight="1">
      <x:c r="A784" s="24" t="str">
        <x:v>SW-B-15나3640-202607</x:v>
      </x:c>
      <x:c r="B784" s="24" t="str">
        <x:v>스위치플랜</x:v>
      </x:c>
      <x:c r="C784" s="24" t="str">
        <x:v>SW-C-15나3640-1-20250822-41</x:v>
      </x:c>
      <x:c r="D784" s="24" t="str">
        <x:v>15나3640</x:v>
      </x:c>
      <x:c r="E784" s="24" t="str">
        <x:v>이영민</x:v>
      </x:c>
      <x:c r="F784" s="24" t="str">
        <x:v>2026-07</x:v>
      </x:c>
      <x:c r="G784" s="30" t="n">
        <x:v>46228</x:v>
      </x:c>
      <x:c r="H784" s="32" t="n">
        <x:v>850000</x:v>
      </x:c>
      <x:c r="I784" s="32" t="n">
        <x:v>850000</x:v>
      </x:c>
      <x:c r="J784" s="32" t="n">
        <x:v>0</x:v>
      </x:c>
      <x:c r="K784" s="30" t="n">
        <x:v>46227</x:v>
      </x:c>
      <x:c r="L784" s="24" t="str">
        <x:v>입금</x:v>
      </x:c>
      <x:c r="M784" s="31" t="n">
        <x:f>IF(AND(N784="미수",G784&lt;&gt;"",TODAY()&gt;G784),TODAY()-G784,0)</x:f>
        <x:v>0</x:v>
      </x:c>
      <x:c r="N784" s="24" t="str">
        <x:f>IF(J784&gt;0,"미수",IF(AND(H784&gt;0,I784&gt;=H784),"완납","미확인"))</x:f>
        <x:v>완납</x:v>
      </x:c>
      <x:c r="O784" s="31" t="n">
        <x:v>41</x:v>
      </x:c>
    </x:row>
    <x:row r="785" ht="17.25" customHeight="1">
      <x:c r="A785" s="24" t="str">
        <x:v>SW-B-15나3640-202606</x:v>
      </x:c>
      <x:c r="B785" s="24" t="str">
        <x:v>스위치플랜</x:v>
      </x:c>
      <x:c r="C785" s="24" t="str">
        <x:v>SW-C-15나3640-1-20250822-41</x:v>
      </x:c>
      <x:c r="D785" s="24" t="str">
        <x:v>15나3640</x:v>
      </x:c>
      <x:c r="E785" s="24" t="str">
        <x:v>이영민</x:v>
      </x:c>
      <x:c r="F785" s="24" t="str">
        <x:v>2026-06</x:v>
      </x:c>
      <x:c r="G785" s="30" t="n">
        <x:v>46198</x:v>
      </x:c>
      <x:c r="H785" s="32" t="n">
        <x:v>850000</x:v>
      </x:c>
      <x:c r="I785" s="32" t="n">
        <x:v>850000</x:v>
      </x:c>
      <x:c r="J785" s="32" t="n">
        <x:v>0</x:v>
      </x:c>
      <x:c r="K785" s="30" t="n">
        <x:v>46195</x:v>
      </x:c>
      <x:c r="L785" s="24" t="str">
        <x:v>입금</x:v>
      </x:c>
      <x:c r="M785" s="31" t="n">
        <x:f>IF(AND(N785="미수",G785&lt;&gt;"",TODAY()&gt;G785),TODAY()-G785,0)</x:f>
        <x:v>0</x:v>
      </x:c>
      <x:c r="N785" s="24" t="str">
        <x:f>IF(J785&gt;0,"미수",IF(AND(H785&gt;0,I785&gt;=H785),"완납","미확인"))</x:f>
        <x:v>완납</x:v>
      </x:c>
      <x:c r="O785" s="31" t="n">
        <x:v>41</x:v>
      </x:c>
    </x:row>
    <x:row r="786" ht="17.25" customHeight="1">
      <x:c r="A786" s="24" t="str">
        <x:v>SW-B-15나3640-202605</x:v>
      </x:c>
      <x:c r="B786" s="24" t="str">
        <x:v>스위치플랜</x:v>
      </x:c>
      <x:c r="C786" s="24" t="str">
        <x:v>SW-C-15나3640-1-20250822-41</x:v>
      </x:c>
      <x:c r="D786" s="24" t="str">
        <x:v>15나3640</x:v>
      </x:c>
      <x:c r="E786" s="24" t="str">
        <x:v>이영민</x:v>
      </x:c>
      <x:c r="F786" s="24" t="str">
        <x:v>2026-05</x:v>
      </x:c>
      <x:c r="G786" s="30" t="n">
        <x:v>46167</x:v>
      </x:c>
      <x:c r="H786" s="32" t="n">
        <x:v>850000</x:v>
      </x:c>
      <x:c r="I786" s="32" t="n">
        <x:v>850000</x:v>
      </x:c>
      <x:c r="J786" s="32" t="n">
        <x:v>0</x:v>
      </x:c>
      <x:c r="K786" s="30" t="n">
        <x:v>46166</x:v>
      </x:c>
      <x:c r="L786" s="24" t="str">
        <x:v>입금</x:v>
      </x:c>
      <x:c r="M786" s="31" t="n">
        <x:f>IF(AND(N786="미수",G786&lt;&gt;"",TODAY()&gt;G786),TODAY()-G786,0)</x:f>
        <x:v>0</x:v>
      </x:c>
      <x:c r="N786" s="24" t="str">
        <x:f>IF(J786&gt;0,"미수",IF(AND(H786&gt;0,I786&gt;=H786),"완납","미확인"))</x:f>
        <x:v>완납</x:v>
      </x:c>
      <x:c r="O786" s="31" t="n">
        <x:v>41</x:v>
      </x:c>
    </x:row>
    <x:row r="787" ht="17.25" customHeight="1">
      <x:c r="A787" s="24" t="str">
        <x:v>SW-B-15나3640-202604</x:v>
      </x:c>
      <x:c r="B787" s="24" t="str">
        <x:v>스위치플랜</x:v>
      </x:c>
      <x:c r="C787" s="24" t="str">
        <x:v>SW-C-15나3640-1-20250822-41</x:v>
      </x:c>
      <x:c r="D787" s="24" t="str">
        <x:v>15나3640</x:v>
      </x:c>
      <x:c r="E787" s="24" t="str">
        <x:v>이영민</x:v>
      </x:c>
      <x:c r="F787" s="24" t="str">
        <x:v>2026-04</x:v>
      </x:c>
      <x:c r="G787" s="30" t="n">
        <x:v>46137</x:v>
      </x:c>
      <x:c r="H787" s="32" t="n">
        <x:v>850000</x:v>
      </x:c>
      <x:c r="I787" s="32" t="n">
        <x:v>850000</x:v>
      </x:c>
      <x:c r="J787" s="32" t="n">
        <x:v>0</x:v>
      </x:c>
      <x:c r="K787" s="30" t="n">
        <x:v>46139</x:v>
      </x:c>
      <x:c r="L787" s="24" t="str">
        <x:v>입금</x:v>
      </x:c>
      <x:c r="M787" s="31" t="n">
        <x:f>IF(AND(N787="미수",G787&lt;&gt;"",TODAY()&gt;G787),TODAY()-G787,0)</x:f>
        <x:v>0</x:v>
      </x:c>
      <x:c r="N787" s="24" t="str">
        <x:f>IF(J787&gt;0,"미수",IF(AND(H787&gt;0,I787&gt;=H787),"완납","미확인"))</x:f>
        <x:v>완납</x:v>
      </x:c>
      <x:c r="O787" s="31" t="n">
        <x:v>41</x:v>
      </x:c>
    </x:row>
    <x:row r="788" ht="17.25" customHeight="1">
      <x:c r="A788" s="24" t="str">
        <x:v>SW-B-15나3640-202603</x:v>
      </x:c>
      <x:c r="B788" s="24" t="str">
        <x:v>스위치플랜</x:v>
      </x:c>
      <x:c r="C788" s="24" t="str">
        <x:v>SW-C-15나3640-1-20250822-41</x:v>
      </x:c>
      <x:c r="D788" s="24" t="str">
        <x:v>15나3640</x:v>
      </x:c>
      <x:c r="E788" s="24" t="str">
        <x:v>이영민</x:v>
      </x:c>
      <x:c r="F788" s="24" t="str">
        <x:v>2026-03</x:v>
      </x:c>
      <x:c r="G788" s="30" t="n">
        <x:v>46106</x:v>
      </x:c>
      <x:c r="H788" s="32" t="n">
        <x:v>850000</x:v>
      </x:c>
      <x:c r="I788" s="32" t="n">
        <x:v>850000</x:v>
      </x:c>
      <x:c r="J788" s="32" t="n">
        <x:v>0</x:v>
      </x:c>
      <x:c r="K788" s="30" t="n">
        <x:v>46106</x:v>
      </x:c>
      <x:c r="L788" s="24" t="str">
        <x:v>입금</x:v>
      </x:c>
      <x:c r="M788" s="31" t="n">
        <x:f>IF(AND(N788="미수",G788&lt;&gt;"",TODAY()&gt;G788),TODAY()-G788,0)</x:f>
        <x:v>0</x:v>
      </x:c>
      <x:c r="N788" s="24" t="str">
        <x:f>IF(J788&gt;0,"미수",IF(AND(H788&gt;0,I788&gt;=H788),"완납","미확인"))</x:f>
        <x:v>완납</x:v>
      </x:c>
      <x:c r="O788" s="31" t="n">
        <x:v>41</x:v>
      </x:c>
    </x:row>
    <x:row r="789" ht="17.25" customHeight="1">
      <x:c r="A789" s="24" t="str">
        <x:v>SW-B-15나3640-202602</x:v>
      </x:c>
      <x:c r="B789" s="24" t="str">
        <x:v>스위치플랜</x:v>
      </x:c>
      <x:c r="C789" s="24" t="str">
        <x:v>SW-C-15나3640-1-20250822-41</x:v>
      </x:c>
      <x:c r="D789" s="24" t="str">
        <x:v>15나3640</x:v>
      </x:c>
      <x:c r="E789" s="24" t="str">
        <x:v>이영민</x:v>
      </x:c>
      <x:c r="F789" s="24" t="str">
        <x:v>2026-02</x:v>
      </x:c>
      <x:c r="G789" s="30" t="n">
        <x:v>46078</x:v>
      </x:c>
      <x:c r="H789" s="32" t="n">
        <x:v>850000</x:v>
      </x:c>
      <x:c r="I789" s="32" t="n">
        <x:v>850000</x:v>
      </x:c>
      <x:c r="J789" s="32" t="n">
        <x:v>0</x:v>
      </x:c>
      <x:c r="K789" s="30" t="n">
        <x:v>46077</x:v>
      </x:c>
      <x:c r="L789" s="24" t="str">
        <x:v>입금</x:v>
      </x:c>
      <x:c r="M789" s="31" t="n">
        <x:f>IF(AND(N789="미수",G789&lt;&gt;"",TODAY()&gt;G789),TODAY()-G789,0)</x:f>
        <x:v>0</x:v>
      </x:c>
      <x:c r="N789" s="24" t="str">
        <x:f>IF(J789&gt;0,"미수",IF(AND(H789&gt;0,I789&gt;=H789),"완납","미확인"))</x:f>
        <x:v>완납</x:v>
      </x:c>
      <x:c r="O789" s="31" t="n">
        <x:v>41</x:v>
      </x:c>
    </x:row>
    <x:row r="790" ht="17.25" customHeight="1">
      <x:c r="A790" s="24" t="str">
        <x:v>SW-B-15나3640-202601</x:v>
      </x:c>
      <x:c r="B790" s="24" t="str">
        <x:v>스위치플랜</x:v>
      </x:c>
      <x:c r="C790" s="24" t="str">
        <x:v>SW-C-15나3640-1-20250822-41</x:v>
      </x:c>
      <x:c r="D790" s="24" t="str">
        <x:v>15나3640</x:v>
      </x:c>
      <x:c r="E790" s="24" t="str">
        <x:v>이영민</x:v>
      </x:c>
      <x:c r="F790" s="24" t="str">
        <x:v>2026-01</x:v>
      </x:c>
      <x:c r="G790" s="30" t="n">
        <x:v>46047</x:v>
      </x:c>
      <x:c r="H790" s="32" t="n">
        <x:v>850000</x:v>
      </x:c>
      <x:c r="I790" s="32" t="n">
        <x:v>850000</x:v>
      </x:c>
      <x:c r="J790" s="32" t="n">
        <x:v>0</x:v>
      </x:c>
      <x:c r="K790" s="30" t="n">
        <x:v>46046</x:v>
      </x:c>
      <x:c r="L790" s="24" t="str">
        <x:v>입금</x:v>
      </x:c>
      <x:c r="M790" s="31" t="n">
        <x:f>IF(AND(N790="미수",G790&lt;&gt;"",TODAY()&gt;G790),TODAY()-G790,0)</x:f>
        <x:v>0</x:v>
      </x:c>
      <x:c r="N790" s="24" t="str">
        <x:f>IF(J790&gt;0,"미수",IF(AND(H790&gt;0,I790&gt;=H790),"완납","미확인"))</x:f>
        <x:v>완납</x:v>
      </x:c>
      <x:c r="O790" s="31" t="n">
        <x:v>41</x:v>
      </x:c>
    </x:row>
    <x:row r="791" ht="17.25" customHeight="1">
      <x:c r="A791" s="24" t="str">
        <x:v>SW-B-15나3640-202512</x:v>
      </x:c>
      <x:c r="B791" s="24" t="str">
        <x:v>스위치플랜</x:v>
      </x:c>
      <x:c r="C791" s="24" t="str">
        <x:v>SW-C-15나3640-1-20250822-41</x:v>
      </x:c>
      <x:c r="D791" s="24" t="str">
        <x:v>15나3640</x:v>
      </x:c>
      <x:c r="E791" s="24" t="str">
        <x:v>이영민</x:v>
      </x:c>
      <x:c r="F791" s="24" t="str">
        <x:v>2025-12</x:v>
      </x:c>
      <x:c r="G791" s="30" t="n">
        <x:v>46016</x:v>
      </x:c>
      <x:c r="H791" s="32" t="n">
        <x:v>850000</x:v>
      </x:c>
      <x:c r="I791" s="32" t="n">
        <x:v>850000</x:v>
      </x:c>
      <x:c r="J791" s="32" t="n">
        <x:v>0</x:v>
      </x:c>
      <x:c r="K791" s="30" t="n">
        <x:v>46015</x:v>
      </x:c>
      <x:c r="L791" s="24" t="str">
        <x:v>입금</x:v>
      </x:c>
      <x:c r="M791" s="31" t="n">
        <x:f>IF(AND(N791="미수",G791&lt;&gt;"",TODAY()&gt;G791),TODAY()-G791,0)</x:f>
        <x:v>0</x:v>
      </x:c>
      <x:c r="N791" s="24" t="str">
        <x:f>IF(J791&gt;0,"미수",IF(AND(H791&gt;0,I791&gt;=H791),"완납","미확인"))</x:f>
        <x:v>완납</x:v>
      </x:c>
      <x:c r="O791" s="31" t="n">
        <x:v>41</x:v>
      </x:c>
    </x:row>
    <x:row r="792" ht="17.25" customHeight="1">
      <x:c r="A792" s="24" t="str">
        <x:v>SW-B-15나3640-202511</x:v>
      </x:c>
      <x:c r="B792" s="24" t="str">
        <x:v>스위치플랜</x:v>
      </x:c>
      <x:c r="C792" s="24" t="str">
        <x:v>SW-C-15나3640-1-20250822-41</x:v>
      </x:c>
      <x:c r="D792" s="24" t="str">
        <x:v>15나3640</x:v>
      </x:c>
      <x:c r="E792" s="24" t="str">
        <x:v>이영민</x:v>
      </x:c>
      <x:c r="F792" s="24" t="str">
        <x:v>2025-11</x:v>
      </x:c>
      <x:c r="G792" s="30" t="n">
        <x:v>45986</x:v>
      </x:c>
      <x:c r="H792" s="32" t="n">
        <x:v>850000</x:v>
      </x:c>
      <x:c r="I792" s="32" t="n">
        <x:v>850000</x:v>
      </x:c>
      <x:c r="J792" s="32" t="n">
        <x:v>0</x:v>
      </x:c>
      <x:c r="K792" s="30" t="n">
        <x:v>45985</x:v>
      </x:c>
      <x:c r="L792" s="24" t="str">
        <x:v>입금</x:v>
      </x:c>
      <x:c r="M792" s="31" t="n">
        <x:f>IF(AND(N792="미수",G792&lt;&gt;"",TODAY()&gt;G792),TODAY()-G792,0)</x:f>
        <x:v>0</x:v>
      </x:c>
      <x:c r="N792" s="24" t="str">
        <x:f>IF(J792&gt;0,"미수",IF(AND(H792&gt;0,I792&gt;=H792),"완납","미확인"))</x:f>
        <x:v>완납</x:v>
      </x:c>
      <x:c r="O792" s="31" t="n">
        <x:v>41</x:v>
      </x:c>
    </x:row>
    <x:row r="793" ht="17.25" customHeight="1">
      <x:c r="A793" s="24" t="str">
        <x:v>SW-B-15나3640-202510</x:v>
      </x:c>
      <x:c r="B793" s="24" t="str">
        <x:v>스위치플랜</x:v>
      </x:c>
      <x:c r="C793" s="24" t="str">
        <x:v>SW-C-15나3640-1-20250822-41</x:v>
      </x:c>
      <x:c r="D793" s="24" t="str">
        <x:v>15나3640</x:v>
      </x:c>
      <x:c r="E793" s="24" t="str">
        <x:v>이영민</x:v>
      </x:c>
      <x:c r="F793" s="24" t="str">
        <x:v>2025-10</x:v>
      </x:c>
      <x:c r="G793" s="30" t="n">
        <x:v>45955</x:v>
      </x:c>
      <x:c r="H793" s="32" t="n">
        <x:v>850000</x:v>
      </x:c>
      <x:c r="I793" s="32" t="n">
        <x:v>850000</x:v>
      </x:c>
      <x:c r="J793" s="32" t="n">
        <x:v>0</x:v>
      </x:c>
      <x:c r="K793" s="30" t="n">
        <x:v>45954</x:v>
      </x:c>
      <x:c r="L793" s="24" t="str">
        <x:v>입금</x:v>
      </x:c>
      <x:c r="M793" s="31" t="n">
        <x:f>IF(AND(N793="미수",G793&lt;&gt;"",TODAY()&gt;G793),TODAY()-G793,0)</x:f>
        <x:v>0</x:v>
      </x:c>
      <x:c r="N793" s="24" t="str">
        <x:f>IF(J793&gt;0,"미수",IF(AND(H793&gt;0,I793&gt;=H793),"완납","미확인"))</x:f>
        <x:v>완납</x:v>
      </x:c>
      <x:c r="O793" s="31" t="n">
        <x:v>41</x:v>
      </x:c>
    </x:row>
    <x:row r="794" ht="17.25" customHeight="1">
      <x:c r="A794" s="24" t="str">
        <x:v>SW-B-15나3640-202509</x:v>
      </x:c>
      <x:c r="B794" s="24" t="str">
        <x:v>스위치플랜</x:v>
      </x:c>
      <x:c r="C794" s="24" t="str">
        <x:v>SW-C-15나3640-1-20250822-41</x:v>
      </x:c>
      <x:c r="D794" s="24" t="str">
        <x:v>15나3640</x:v>
      </x:c>
      <x:c r="E794" s="24" t="str">
        <x:v>이영민</x:v>
      </x:c>
      <x:c r="F794" s="24" t="str">
        <x:v>2025-09</x:v>
      </x:c>
      <x:c r="G794" s="30" t="n">
        <x:v>45925</x:v>
      </x:c>
      <x:c r="H794" s="32" t="n">
        <x:v>850000</x:v>
      </x:c>
      <x:c r="I794" s="32" t="n">
        <x:v>850000</x:v>
      </x:c>
      <x:c r="J794" s="32" t="n">
        <x:v>0</x:v>
      </x:c>
      <x:c r="K794" s="30" t="n">
        <x:v>45913</x:v>
      </x:c>
      <x:c r="L794" s="24" t="str">
        <x:v>입금</x:v>
      </x:c>
      <x:c r="M794" s="31" t="n">
        <x:f>IF(AND(N794="미수",G794&lt;&gt;"",TODAY()&gt;G794),TODAY()-G794,0)</x:f>
        <x:v>0</x:v>
      </x:c>
      <x:c r="N794" s="24" t="str">
        <x:f>IF(J794&gt;0,"미수",IF(AND(H794&gt;0,I794&gt;=H794),"완납","미확인"))</x:f>
        <x:v>완납</x:v>
      </x:c>
      <x:c r="O794" s="31" t="n">
        <x:v>41</x:v>
      </x:c>
    </x:row>
    <x:row r="795" ht="17.25" customHeight="1">
      <x:c r="A795" s="24" t="str">
        <x:v>SW-B-15나3640-202508</x:v>
      </x:c>
      <x:c r="B795" s="24" t="str">
        <x:v>스위치플랜</x:v>
      </x:c>
      <x:c r="C795" s="24" t="str">
        <x:v>SW-C-15나3640-1-20250822-41</x:v>
      </x:c>
      <x:c r="D795" s="24" t="str">
        <x:v>15나3640</x:v>
      </x:c>
      <x:c r="E795" s="24" t="str">
        <x:v>이영민</x:v>
      </x:c>
      <x:c r="F795" s="24" t="str">
        <x:v>2025-08</x:v>
      </x:c>
      <x:c r="G795" s="30" t="n">
        <x:v>45894</x:v>
      </x:c>
      <x:c r="H795" s="32" t="n">
        <x:v>850000</x:v>
      </x:c>
      <x:c r="I795" s="32" t="n">
        <x:v>850000</x:v>
      </x:c>
      <x:c r="J795" s="32" t="n">
        <x:v>0</x:v>
      </x:c>
      <x:c r="K795" s="30" t="n">
        <x:v>45891</x:v>
      </x:c>
      <x:c r="L795" s="24" t="str">
        <x:v>입금</x:v>
      </x:c>
      <x:c r="M795" s="31" t="n">
        <x:f>IF(AND(N795="미수",G795&lt;&gt;"",TODAY()&gt;G795),TODAY()-G795,0)</x:f>
        <x:v>0</x:v>
      </x:c>
      <x:c r="N795" s="24" t="str">
        <x:f>IF(J795&gt;0,"미수",IF(AND(H795&gt;0,I795&gt;=H795),"완납","미확인"))</x:f>
        <x:v>완납</x:v>
      </x:c>
      <x:c r="O795" s="31" t="n">
        <x:v>41</x:v>
      </x:c>
    </x:row>
    <x:row r="796" ht="17.25" customHeight="1">
      <x:c r="A796" s="24" t="str">
        <x:v>SW-B-15나3640-202507</x:v>
      </x:c>
      <x:c r="B796" s="24" t="str">
        <x:v>스위치플랜</x:v>
      </x:c>
      <x:c r="C796" s="24" t="str">
        <x:v>SW-C-15나3640-2-20241205-41</x:v>
      </x:c>
      <x:c r="D796" s="24" t="str">
        <x:v>15나3640</x:v>
      </x:c>
      <x:c r="E796" s="24" t="str">
        <x:v>이영민</x:v>
      </x:c>
      <x:c r="F796" s="24" t="str">
        <x:v>2025-07</x:v>
      </x:c>
      <x:c r="G796" s="30" t="n">
        <x:v>45863</x:v>
      </x:c>
      <x:c r="H796" s="32" t="n">
        <x:v>920000</x:v>
      </x:c>
      <x:c r="I796" s="32" t="n">
        <x:v>158101</x:v>
      </x:c>
      <x:c r="J796" s="32"/>
      <x:c r="K796" s="30" t="n">
        <x:v>45846</x:v>
      </x:c>
      <x:c r="L796" s="24" t="str">
        <x:v>입금</x:v>
      </x:c>
      <x:c r="M796" s="31" t="n">
        <x:f>IF(AND(N796="미수",G796&lt;&gt;"",TODAY()&gt;G796),TODAY()-G796,0)</x:f>
        <x:v>0</x:v>
      </x:c>
      <x:c r="N796" s="24" t="str">
        <x:f>IF(J796&gt;0,"미수",IF(AND(H796&gt;0,I796&gt;=H796),"완납","미확인"))</x:f>
        <x:v>미확인</x:v>
      </x:c>
      <x:c r="O796" s="31" t="n">
        <x:v>41</x:v>
      </x:c>
    </x:row>
    <x:row r="797" ht="17.25" customHeight="1">
      <x:c r="A797" s="24" t="str">
        <x:v>SW-B-15나3640-202506</x:v>
      </x:c>
      <x:c r="B797" s="24" t="str">
        <x:v>스위치플랜</x:v>
      </x:c>
      <x:c r="C797" s="24" t="str">
        <x:v>SW-C-15나3640-2-20241205-41</x:v>
      </x:c>
      <x:c r="D797" s="24" t="str">
        <x:v>15나3640</x:v>
      </x:c>
      <x:c r="E797" s="24" t="str">
        <x:v>이영민</x:v>
      </x:c>
      <x:c r="F797" s="24" t="str">
        <x:v>2025-06</x:v>
      </x:c>
      <x:c r="G797" s="30" t="n">
        <x:v>45833</x:v>
      </x:c>
      <x:c r="H797" s="32" t="n">
        <x:v>920000</x:v>
      </x:c>
      <x:c r="I797" s="32" t="n">
        <x:v>920000</x:v>
      </x:c>
      <x:c r="J797" s="32" t="n">
        <x:v>0</x:v>
      </x:c>
      <x:c r="K797" s="30" t="n">
        <x:v>45817</x:v>
      </x:c>
      <x:c r="L797" s="24" t="str">
        <x:v>입금</x:v>
      </x:c>
      <x:c r="M797" s="31" t="n">
        <x:f>IF(AND(N797="미수",G797&lt;&gt;"",TODAY()&gt;G797),TODAY()-G797,0)</x:f>
        <x:v>0</x:v>
      </x:c>
      <x:c r="N797" s="24" t="str">
        <x:f>IF(J797&gt;0,"미수",IF(AND(H797&gt;0,I797&gt;=H797),"완납","미확인"))</x:f>
        <x:v>완납</x:v>
      </x:c>
      <x:c r="O797" s="31" t="n">
        <x:v>41</x:v>
      </x:c>
    </x:row>
    <x:row r="798" ht="17.25" customHeight="1">
      <x:c r="A798" s="24" t="str">
        <x:v>SW-B-15나3640-202505</x:v>
      </x:c>
      <x:c r="B798" s="24" t="str">
        <x:v>스위치플랜</x:v>
      </x:c>
      <x:c r="C798" s="24" t="str">
        <x:v>SW-C-15나3640-2-20241205-41</x:v>
      </x:c>
      <x:c r="D798" s="24" t="str">
        <x:v>15나3640</x:v>
      </x:c>
      <x:c r="E798" s="24" t="str">
        <x:v>이영민</x:v>
      </x:c>
      <x:c r="F798" s="24" t="str">
        <x:v>2025-05</x:v>
      </x:c>
      <x:c r="G798" s="30" t="n">
        <x:v>45802</x:v>
      </x:c>
      <x:c r="H798" s="32" t="n">
        <x:v>920000</x:v>
      </x:c>
      <x:c r="I798" s="32" t="n">
        <x:v>920000</x:v>
      </x:c>
      <x:c r="J798" s="32" t="n">
        <x:v>0</x:v>
      </x:c>
      <x:c r="K798" s="30" t="n">
        <x:v>45792</x:v>
      </x:c>
      <x:c r="L798" s="24" t="str">
        <x:v>입금</x:v>
      </x:c>
      <x:c r="M798" s="31" t="n">
        <x:f>IF(AND(N798="미수",G798&lt;&gt;"",TODAY()&gt;G798),TODAY()-G798,0)</x:f>
        <x:v>0</x:v>
      </x:c>
      <x:c r="N798" s="24" t="str">
        <x:f>IF(J798&gt;0,"미수",IF(AND(H798&gt;0,I798&gt;=H798),"완납","미확인"))</x:f>
        <x:v>완납</x:v>
      </x:c>
      <x:c r="O798" s="31" t="n">
        <x:v>41</x:v>
      </x:c>
    </x:row>
    <x:row r="799" ht="17.25" customHeight="1">
      <x:c r="A799" s="24" t="str">
        <x:v>SW-B-15나3640-202504</x:v>
      </x:c>
      <x:c r="B799" s="24" t="str">
        <x:v>스위치플랜</x:v>
      </x:c>
      <x:c r="C799" s="24" t="str">
        <x:v>SW-C-15나3640-2-20241205-41</x:v>
      </x:c>
      <x:c r="D799" s="24" t="str">
        <x:v>15나3640</x:v>
      </x:c>
      <x:c r="E799" s="24" t="str">
        <x:v>이영민</x:v>
      </x:c>
      <x:c r="F799" s="24" t="str">
        <x:v>2025-04</x:v>
      </x:c>
      <x:c r="G799" s="30" t="n">
        <x:v>45772</x:v>
      </x:c>
      <x:c r="H799" s="32" t="n">
        <x:v>920000</x:v>
      </x:c>
      <x:c r="I799" s="32" t="n">
        <x:v>920000</x:v>
      </x:c>
      <x:c r="J799" s="32" t="n">
        <x:v>0</x:v>
      </x:c>
      <x:c r="K799" s="30" t="n">
        <x:v>45762</x:v>
      </x:c>
      <x:c r="L799" s="24" t="str">
        <x:v>입금</x:v>
      </x:c>
      <x:c r="M799" s="31" t="n">
        <x:f>IF(AND(N799="미수",G799&lt;&gt;"",TODAY()&gt;G799),TODAY()-G799,0)</x:f>
        <x:v>0</x:v>
      </x:c>
      <x:c r="N799" s="24" t="str">
        <x:f>IF(J799&gt;0,"미수",IF(AND(H799&gt;0,I799&gt;=H799),"완납","미확인"))</x:f>
        <x:v>완납</x:v>
      </x:c>
      <x:c r="O799" s="31" t="n">
        <x:v>41</x:v>
      </x:c>
    </x:row>
    <x:row r="800" ht="17.25" customHeight="1">
      <x:c r="A800" s="24" t="str">
        <x:v>SW-B-15나3640-202503</x:v>
      </x:c>
      <x:c r="B800" s="24" t="str">
        <x:v>스위치플랜</x:v>
      </x:c>
      <x:c r="C800" s="24" t="str">
        <x:v>SW-C-15나3640-2-20241205-41</x:v>
      </x:c>
      <x:c r="D800" s="24" t="str">
        <x:v>15나3640</x:v>
      </x:c>
      <x:c r="E800" s="24" t="str">
        <x:v>이영민</x:v>
      </x:c>
      <x:c r="F800" s="24" t="str">
        <x:v>2025-03</x:v>
      </x:c>
      <x:c r="G800" s="30" t="n">
        <x:v>45741</x:v>
      </x:c>
      <x:c r="H800" s="32" t="n">
        <x:v>920000</x:v>
      </x:c>
      <x:c r="I800" s="32" t="n">
        <x:v>920000</x:v>
      </x:c>
      <x:c r="J800" s="32" t="n">
        <x:v>0</x:v>
      </x:c>
      <x:c r="K800" s="30" t="n">
        <x:v>45729</x:v>
      </x:c>
      <x:c r="L800" s="24" t="str">
        <x:v>입금</x:v>
      </x:c>
      <x:c r="M800" s="31" t="n">
        <x:f>IF(AND(N800="미수",G800&lt;&gt;"",TODAY()&gt;G800),TODAY()-G800,0)</x:f>
        <x:v>0</x:v>
      </x:c>
      <x:c r="N800" s="24" t="str">
        <x:f>IF(J800&gt;0,"미수",IF(AND(H800&gt;0,I800&gt;=H800),"완납","미확인"))</x:f>
        <x:v>완납</x:v>
      </x:c>
      <x:c r="O800" s="31" t="n">
        <x:v>41</x:v>
      </x:c>
    </x:row>
    <x:row r="801" ht="17.25" customHeight="1">
      <x:c r="A801" s="24" t="str">
        <x:v>SW-B-15나3640-202502</x:v>
      </x:c>
      <x:c r="B801" s="24" t="str">
        <x:v>스위치플랜</x:v>
      </x:c>
      <x:c r="C801" s="24" t="str">
        <x:v>SW-C-15나3640-2-20241205-41</x:v>
      </x:c>
      <x:c r="D801" s="24" t="str">
        <x:v>15나3640</x:v>
      </x:c>
      <x:c r="E801" s="24" t="str">
        <x:v>이영민</x:v>
      </x:c>
      <x:c r="F801" s="24" t="str">
        <x:v>2025-02</x:v>
      </x:c>
      <x:c r="G801" s="30" t="n">
        <x:v>45713</x:v>
      </x:c>
      <x:c r="H801" s="32" t="n">
        <x:v>920000</x:v>
      </x:c>
      <x:c r="I801" s="32" t="n">
        <x:v>920000</x:v>
      </x:c>
      <x:c r="J801" s="32" t="n">
        <x:v>0</x:v>
      </x:c>
      <x:c r="K801" s="30" t="n">
        <x:v>45695</x:v>
      </x:c>
      <x:c r="L801" s="24" t="str">
        <x:v>입금</x:v>
      </x:c>
      <x:c r="M801" s="31" t="n">
        <x:f>IF(AND(N801="미수",G801&lt;&gt;"",TODAY()&gt;G801),TODAY()-G801,0)</x:f>
        <x:v>0</x:v>
      </x:c>
      <x:c r="N801" s="24" t="str">
        <x:f>IF(J801&gt;0,"미수",IF(AND(H801&gt;0,I801&gt;=H801),"완납","미확인"))</x:f>
        <x:v>완납</x:v>
      </x:c>
      <x:c r="O801" s="31" t="n">
        <x:v>41</x:v>
      </x:c>
    </x:row>
    <x:row r="802" ht="17.25" customHeight="1">
      <x:c r="A802" s="24" t="str">
        <x:v>SW-B-15나3640-202501</x:v>
      </x:c>
      <x:c r="B802" s="24" t="str">
        <x:v>스위치플랜</x:v>
      </x:c>
      <x:c r="C802" s="24" t="str">
        <x:v>SW-C-15나3640-2-20241205-41</x:v>
      </x:c>
      <x:c r="D802" s="24" t="str">
        <x:v>15나3640</x:v>
      </x:c>
      <x:c r="E802" s="24" t="str">
        <x:v>이영민</x:v>
      </x:c>
      <x:c r="F802" s="24" t="str">
        <x:v>2025-01</x:v>
      </x:c>
      <x:c r="G802" s="30" t="n">
        <x:v>45682</x:v>
      </x:c>
      <x:c r="H802" s="32" t="n">
        <x:v>920000</x:v>
      </x:c>
      <x:c r="I802" s="32" t="n">
        <x:v>920000</x:v>
      </x:c>
      <x:c r="J802" s="32" t="n">
        <x:v>0</x:v>
      </x:c>
      <x:c r="K802" s="30" t="n">
        <x:v>45663</x:v>
      </x:c>
      <x:c r="L802" s="24" t="str">
        <x:v>자동</x:v>
      </x:c>
      <x:c r="M802" s="31" t="n">
        <x:f>IF(AND(N802="미수",G802&lt;&gt;"",TODAY()&gt;G802),TODAY()-G802,0)</x:f>
        <x:v>0</x:v>
      </x:c>
      <x:c r="N802" s="24" t="str">
        <x:f>IF(J802&gt;0,"미수",IF(AND(H802&gt;0,I802&gt;=H802),"완납","미확인"))</x:f>
        <x:v>완납</x:v>
      </x:c>
      <x:c r="O802" s="31" t="n">
        <x:v>41</x:v>
      </x:c>
    </x:row>
    <x:row r="803" ht="17.25" customHeight="1">
      <x:c r="A803" s="24" t="str">
        <x:v>SW-B-15나3640-202412</x:v>
      </x:c>
      <x:c r="B803" s="24" t="str">
        <x:v>스위치플랜</x:v>
      </x:c>
      <x:c r="C803" s="24" t="str">
        <x:v>SW-C-15나3640-2-20241205-41</x:v>
      </x:c>
      <x:c r="D803" s="24" t="str">
        <x:v>15나3640</x:v>
      </x:c>
      <x:c r="E803" s="24" t="str">
        <x:v>이영민</x:v>
      </x:c>
      <x:c r="F803" s="24" t="str">
        <x:v>2024-12</x:v>
      </x:c>
      <x:c r="G803" s="30" t="n">
        <x:v>45651</x:v>
      </x:c>
      <x:c r="H803" s="32" t="n">
        <x:v>920000</x:v>
      </x:c>
      <x:c r="I803" s="32" t="n">
        <x:v>920000</x:v>
      </x:c>
      <x:c r="J803" s="32" t="n">
        <x:v>0</x:v>
      </x:c>
      <x:c r="K803" s="30" t="n">
        <x:v>45630</x:v>
      </x:c>
      <x:c r="L803" s="24" t="str">
        <x:v>입금</x:v>
      </x:c>
      <x:c r="M803" s="31" t="n">
        <x:f>IF(AND(N803="미수",G803&lt;&gt;"",TODAY()&gt;G803),TODAY()-G803,0)</x:f>
        <x:v>0</x:v>
      </x:c>
      <x:c r="N803" s="24" t="str">
        <x:f>IF(J803&gt;0,"미수",IF(AND(H803&gt;0,I803&gt;=H803),"완납","미확인"))</x:f>
        <x:v>완납</x:v>
      </x:c>
      <x:c r="O803" s="31" t="n">
        <x:v>41</x:v>
      </x:c>
    </x:row>
    <x:row r="804" ht="17.25" customHeight="1">
      <x:c r="A804" s="24" t="str">
        <x:v>SW-B-97러0815-202608</x:v>
      </x:c>
      <x:c r="B804" s="24" t="str">
        <x:v>스위치플랜</x:v>
      </x:c>
      <x:c r="C804" s="24" t="str">
        <x:v>SW-C-97러0815-1-20260115-42</x:v>
      </x:c>
      <x:c r="D804" s="24" t="str">
        <x:v>97러0815</x:v>
      </x:c>
      <x:c r="E804" s="24" t="str">
        <x:v>쏘노엠</x:v>
      </x:c>
      <x:c r="F804" s="24" t="str">
        <x:v>2026-08</x:v>
      </x:c>
      <x:c r="G804" s="30" t="n">
        <x:v>46239</x:v>
      </x:c>
      <x:c r="H804" s="32" t="n">
        <x:v>720000</x:v>
      </x:c>
      <x:c r="I804" s="32" t="n">
        <x:v>720000</x:v>
      </x:c>
      <x:c r="J804" s="32" t="n">
        <x:v>0</x:v>
      </x:c>
      <x:c r="K804" s="30" t="n">
        <x:v>46239</x:v>
      </x:c>
      <x:c r="L804" s="24" t="str">
        <x:v>자동</x:v>
      </x:c>
      <x:c r="M804" s="31" t="n">
        <x:f>IF(AND(N804="미수",G804&lt;&gt;"",TODAY()&gt;G804),TODAY()-G804,0)</x:f>
        <x:v>0</x:v>
      </x:c>
      <x:c r="N804" s="24" t="str">
        <x:f>IF(J804&gt;0,"미수",IF(AND(H804&gt;0,I804&gt;=H804),"완납","미확인"))</x:f>
        <x:v>완납</x:v>
      </x:c>
      <x:c r="O804" s="31" t="n">
        <x:v>42</x:v>
      </x:c>
    </x:row>
    <x:row r="805" ht="17.25" customHeight="1">
      <x:c r="A805" s="24" t="str">
        <x:v>SW-B-97러0815-202607</x:v>
      </x:c>
      <x:c r="B805" s="24" t="str">
        <x:v>스위치플랜</x:v>
      </x:c>
      <x:c r="C805" s="24" t="str">
        <x:v>SW-C-97러0815-1-20260115-42</x:v>
      </x:c>
      <x:c r="D805" s="24" t="str">
        <x:v>97러0815</x:v>
      </x:c>
      <x:c r="E805" s="24" t="str">
        <x:v>쏘노엠</x:v>
      </x:c>
      <x:c r="F805" s="24" t="str">
        <x:v>2026-07</x:v>
      </x:c>
      <x:c r="G805" s="30" t="n">
        <x:v>46208</x:v>
      </x:c>
      <x:c r="H805" s="32" t="n">
        <x:v>720000</x:v>
      </x:c>
      <x:c r="I805" s="32" t="n">
        <x:v>720000</x:v>
      </x:c>
      <x:c r="J805" s="32" t="n">
        <x:v>0</x:v>
      </x:c>
      <x:c r="K805" s="30" t="n">
        <x:v>46209</x:v>
      </x:c>
      <x:c r="L805" s="24" t="str">
        <x:v>자동</x:v>
      </x:c>
      <x:c r="M805" s="31" t="n">
        <x:f>IF(AND(N805="미수",G805&lt;&gt;"",TODAY()&gt;G805),TODAY()-G805,0)</x:f>
        <x:v>0</x:v>
      </x:c>
      <x:c r="N805" s="24" t="str">
        <x:f>IF(J805&gt;0,"미수",IF(AND(H805&gt;0,I805&gt;=H805),"완납","미확인"))</x:f>
        <x:v>완납</x:v>
      </x:c>
      <x:c r="O805" s="31" t="n">
        <x:v>42</x:v>
      </x:c>
    </x:row>
    <x:row r="806" ht="17.25" customHeight="1">
      <x:c r="A806" s="24" t="str">
        <x:v>SW-B-97러0815-202606</x:v>
      </x:c>
      <x:c r="B806" s="24" t="str">
        <x:v>스위치플랜</x:v>
      </x:c>
      <x:c r="C806" s="24" t="str">
        <x:v>SW-C-97러0815-1-20260115-42</x:v>
      </x:c>
      <x:c r="D806" s="24" t="str">
        <x:v>97러0815</x:v>
      </x:c>
      <x:c r="E806" s="24" t="str">
        <x:v>쏘노엠</x:v>
      </x:c>
      <x:c r="F806" s="24" t="str">
        <x:v>2026-06</x:v>
      </x:c>
      <x:c r="G806" s="30" t="n">
        <x:v>46178</x:v>
      </x:c>
      <x:c r="H806" s="32" t="n">
        <x:v>720000</x:v>
      </x:c>
      <x:c r="I806" s="32" t="n">
        <x:v>720000</x:v>
      </x:c>
      <x:c r="J806" s="32" t="n">
        <x:v>0</x:v>
      </x:c>
      <x:c r="K806" s="30" t="n">
        <x:v>46178</x:v>
      </x:c>
      <x:c r="L806" s="24" t="str">
        <x:v>자동</x:v>
      </x:c>
      <x:c r="M806" s="31" t="n">
        <x:f>IF(AND(N806="미수",G806&lt;&gt;"",TODAY()&gt;G806),TODAY()-G806,0)</x:f>
        <x:v>0</x:v>
      </x:c>
      <x:c r="N806" s="24" t="str">
        <x:f>IF(J806&gt;0,"미수",IF(AND(H806&gt;0,I806&gt;=H806),"완납","미확인"))</x:f>
        <x:v>완납</x:v>
      </x:c>
      <x:c r="O806" s="31" t="n">
        <x:v>42</x:v>
      </x:c>
    </x:row>
    <x:row r="807" ht="17.25" customHeight="1">
      <x:c r="A807" s="24" t="str">
        <x:v>SW-B-97러0815-202605</x:v>
      </x:c>
      <x:c r="B807" s="24" t="str">
        <x:v>스위치플랜</x:v>
      </x:c>
      <x:c r="C807" s="24" t="str">
        <x:v>SW-C-97러0815-1-20260115-42</x:v>
      </x:c>
      <x:c r="D807" s="24" t="str">
        <x:v>97러0815</x:v>
      </x:c>
      <x:c r="E807" s="24" t="str">
        <x:v>쏘노엠</x:v>
      </x:c>
      <x:c r="F807" s="24" t="str">
        <x:v>2026-05</x:v>
      </x:c>
      <x:c r="G807" s="30" t="n">
        <x:v>46147</x:v>
      </x:c>
      <x:c r="H807" s="32" t="n">
        <x:v>720000</x:v>
      </x:c>
      <x:c r="I807" s="32" t="n">
        <x:v>720000</x:v>
      </x:c>
      <x:c r="J807" s="32" t="n">
        <x:v>0</x:v>
      </x:c>
      <x:c r="K807" s="30" t="n">
        <x:v>46150</x:v>
      </x:c>
      <x:c r="L807" s="24" t="str">
        <x:v>입금</x:v>
      </x:c>
      <x:c r="M807" s="31" t="n">
        <x:f>IF(AND(N807="미수",G807&lt;&gt;"",TODAY()&gt;G807),TODAY()-G807,0)</x:f>
        <x:v>0</x:v>
      </x:c>
      <x:c r="N807" s="24" t="str">
        <x:f>IF(J807&gt;0,"미수",IF(AND(H807&gt;0,I807&gt;=H807),"완납","미확인"))</x:f>
        <x:v>완납</x:v>
      </x:c>
      <x:c r="O807" s="31" t="n">
        <x:v>42</x:v>
      </x:c>
    </x:row>
    <x:row r="808" ht="17.25" customHeight="1">
      <x:c r="A808" s="24" t="str">
        <x:v>SW-B-97러0815-202604</x:v>
      </x:c>
      <x:c r="B808" s="24" t="str">
        <x:v>스위치플랜</x:v>
      </x:c>
      <x:c r="C808" s="24" t="str">
        <x:v>SW-C-97러0815-1-20260115-42</x:v>
      </x:c>
      <x:c r="D808" s="24" t="str">
        <x:v>97러0815</x:v>
      </x:c>
      <x:c r="E808" s="24" t="str">
        <x:v>쏘노엠</x:v>
      </x:c>
      <x:c r="F808" s="24" t="str">
        <x:v>2026-04</x:v>
      </x:c>
      <x:c r="G808" s="30" t="n">
        <x:v>46117</x:v>
      </x:c>
      <x:c r="H808" s="32" t="n">
        <x:v>720000</x:v>
      </x:c>
      <x:c r="I808" s="32" t="n">
        <x:v>720000</x:v>
      </x:c>
      <x:c r="J808" s="32" t="n">
        <x:v>0</x:v>
      </x:c>
      <x:c r="K808" s="30" t="n">
        <x:v>46118</x:v>
      </x:c>
      <x:c r="L808" s="24" t="str">
        <x:v>자동</x:v>
      </x:c>
      <x:c r="M808" s="31" t="n">
        <x:f>IF(AND(N808="미수",G808&lt;&gt;"",TODAY()&gt;G808),TODAY()-G808,0)</x:f>
        <x:v>0</x:v>
      </x:c>
      <x:c r="N808" s="24" t="str">
        <x:f>IF(J808&gt;0,"미수",IF(AND(H808&gt;0,I808&gt;=H808),"완납","미확인"))</x:f>
        <x:v>완납</x:v>
      </x:c>
      <x:c r="O808" s="31" t="n">
        <x:v>42</x:v>
      </x:c>
    </x:row>
    <x:row r="809" ht="17.25" customHeight="1">
      <x:c r="A809" s="24" t="str">
        <x:v>SW-B-97러0815-202603</x:v>
      </x:c>
      <x:c r="B809" s="24" t="str">
        <x:v>스위치플랜</x:v>
      </x:c>
      <x:c r="C809" s="24" t="str">
        <x:v>SW-C-97러0815-1-20260115-42</x:v>
      </x:c>
      <x:c r="D809" s="24" t="str">
        <x:v>97러0815</x:v>
      </x:c>
      <x:c r="E809" s="24" t="str">
        <x:v>쏘노엠</x:v>
      </x:c>
      <x:c r="F809" s="24" t="str">
        <x:v>2026-03</x:v>
      </x:c>
      <x:c r="G809" s="30" t="n">
        <x:v>46086</x:v>
      </x:c>
      <x:c r="H809" s="32" t="n">
        <x:v>720000</x:v>
      </x:c>
      <x:c r="I809" s="32" t="n">
        <x:v>720000</x:v>
      </x:c>
      <x:c r="J809" s="32" t="n">
        <x:v>0</x:v>
      </x:c>
      <x:c r="K809" s="30" t="n">
        <x:v>46086</x:v>
      </x:c>
      <x:c r="L809" s="24" t="str">
        <x:v>자동</x:v>
      </x:c>
      <x:c r="M809" s="31" t="n">
        <x:f>IF(AND(N809="미수",G809&lt;&gt;"",TODAY()&gt;G809),TODAY()-G809,0)</x:f>
        <x:v>0</x:v>
      </x:c>
      <x:c r="N809" s="24" t="str">
        <x:f>IF(J809&gt;0,"미수",IF(AND(H809&gt;0,I809&gt;=H809),"완납","미확인"))</x:f>
        <x:v>완납</x:v>
      </x:c>
      <x:c r="O809" s="31" t="n">
        <x:v>42</x:v>
      </x:c>
    </x:row>
    <x:row r="810" ht="17.25" customHeight="1">
      <x:c r="A810" s="24" t="str">
        <x:v>SW-B-97러0815-202602</x:v>
      </x:c>
      <x:c r="B810" s="24" t="str">
        <x:v>스위치플랜</x:v>
      </x:c>
      <x:c r="C810" s="24" t="str">
        <x:v>SW-C-97러0815-1-20260115-42</x:v>
      </x:c>
      <x:c r="D810" s="24" t="str">
        <x:v>97러0815</x:v>
      </x:c>
      <x:c r="E810" s="24" t="str">
        <x:v>쏘노엠</x:v>
      </x:c>
      <x:c r="F810" s="24" t="str">
        <x:v>2026-02</x:v>
      </x:c>
      <x:c r="G810" s="30" t="n">
        <x:v>46058</x:v>
      </x:c>
      <x:c r="H810" s="32" t="n">
        <x:v>720000</x:v>
      </x:c>
      <x:c r="I810" s="32" t="n">
        <x:v>720000</x:v>
      </x:c>
      <x:c r="J810" s="32" t="n">
        <x:v>0</x:v>
      </x:c>
      <x:c r="K810" s="30" t="n">
        <x:v>46058</x:v>
      </x:c>
      <x:c r="L810" s="24" t="str">
        <x:v>자동</x:v>
      </x:c>
      <x:c r="M810" s="31" t="n">
        <x:f>IF(AND(N810="미수",G810&lt;&gt;"",TODAY()&gt;G810),TODAY()-G810,0)</x:f>
        <x:v>0</x:v>
      </x:c>
      <x:c r="N810" s="24" t="str">
        <x:f>IF(J810&gt;0,"미수",IF(AND(H810&gt;0,I810&gt;=H810),"완납","미확인"))</x:f>
        <x:v>완납</x:v>
      </x:c>
      <x:c r="O810" s="31" t="n">
        <x:v>42</x:v>
      </x:c>
    </x:row>
    <x:row r="811" ht="17.25" customHeight="1">
      <x:c r="A811" s="24" t="str">
        <x:v>SW-B-97러0815-202601</x:v>
      </x:c>
      <x:c r="B811" s="24" t="str">
        <x:v>스위치플랜</x:v>
      </x:c>
      <x:c r="C811" s="24" t="str">
        <x:v>SW-C-97러0815-1-20260115-42</x:v>
      </x:c>
      <x:c r="D811" s="24" t="str">
        <x:v>97러0815</x:v>
      </x:c>
      <x:c r="E811" s="24" t="str">
        <x:v>쏘노엠</x:v>
      </x:c>
      <x:c r="F811" s="24" t="str">
        <x:v>2026-01</x:v>
      </x:c>
      <x:c r="G811" s="30" t="n">
        <x:v>46027</x:v>
      </x:c>
      <x:c r="H811" s="32" t="n">
        <x:v>720000</x:v>
      </x:c>
      <x:c r="I811" s="32" t="n">
        <x:v>720000</x:v>
      </x:c>
      <x:c r="J811" s="32" t="n">
        <x:v>0</x:v>
      </x:c>
      <x:c r="K811" s="30" t="n">
        <x:v>46027</x:v>
      </x:c>
      <x:c r="L811" s="24" t="str">
        <x:v>입금</x:v>
      </x:c>
      <x:c r="M811" s="31" t="n">
        <x:f>IF(AND(N811="미수",G811&lt;&gt;"",TODAY()&gt;G811),TODAY()-G811,0)</x:f>
        <x:v>0</x:v>
      </x:c>
      <x:c r="N811" s="24" t="str">
        <x:f>IF(J811&gt;0,"미수",IF(AND(H811&gt;0,I811&gt;=H811),"완납","미확인"))</x:f>
        <x:v>완납</x:v>
      </x:c>
      <x:c r="O811" s="31" t="n">
        <x:v>42</x:v>
      </x:c>
    </x:row>
    <x:row r="812" ht="17.25" customHeight="1">
      <x:c r="A812" s="24" t="str">
        <x:v>SW-B-97러0815-202512</x:v>
      </x:c>
      <x:c r="B812" s="24" t="str">
        <x:v>스위치플랜</x:v>
      </x:c>
      <x:c r="C812" s="24" t="str">
        <x:v>SW-C-97러0815-2-20231229-42</x:v>
      </x:c>
      <x:c r="D812" s="24" t="str">
        <x:v>97러0815</x:v>
      </x:c>
      <x:c r="E812" s="24" t="str">
        <x:v>쏘노엠</x:v>
      </x:c>
      <x:c r="F812" s="24" t="str">
        <x:v>2025-12</x:v>
      </x:c>
      <x:c r="G812" s="30" t="n">
        <x:v>45996</x:v>
      </x:c>
      <x:c r="H812" s="32" t="n">
        <x:v>720000</x:v>
      </x:c>
      <x:c r="I812" s="32" t="n">
        <x:v>720000</x:v>
      </x:c>
      <x:c r="J812" s="32" t="n">
        <x:v>0</x:v>
      </x:c>
      <x:c r="K812" s="30" t="n">
        <x:v>45994</x:v>
      </x:c>
      <x:c r="L812" s="24" t="str">
        <x:v>입금</x:v>
      </x:c>
      <x:c r="M812" s="31" t="n">
        <x:f>IF(AND(N812="미수",G812&lt;&gt;"",TODAY()&gt;G812),TODAY()-G812,0)</x:f>
        <x:v>0</x:v>
      </x:c>
      <x:c r="N812" s="24" t="str">
        <x:f>IF(J812&gt;0,"미수",IF(AND(H812&gt;0,I812&gt;=H812),"완납","미확인"))</x:f>
        <x:v>완납</x:v>
      </x:c>
      <x:c r="O812" s="31" t="n">
        <x:v>42</x:v>
      </x:c>
    </x:row>
    <x:row r="813" ht="17.25" customHeight="1">
      <x:c r="A813" s="24" t="str">
        <x:v>SW-B-97러0815-202511</x:v>
      </x:c>
      <x:c r="B813" s="24" t="str">
        <x:v>스위치플랜</x:v>
      </x:c>
      <x:c r="C813" s="24" t="str">
        <x:v>SW-C-97러0815-2-20231229-42</x:v>
      </x:c>
      <x:c r="D813" s="24" t="str">
        <x:v>97러0815</x:v>
      </x:c>
      <x:c r="E813" s="24" t="str">
        <x:v>쏘노엠</x:v>
      </x:c>
      <x:c r="F813" s="24" t="str">
        <x:v>2025-11</x:v>
      </x:c>
      <x:c r="G813" s="30" t="n">
        <x:v>45966</x:v>
      </x:c>
      <x:c r="H813" s="32" t="n">
        <x:v>720000</x:v>
      </x:c>
      <x:c r="I813" s="32" t="n">
        <x:v>720000</x:v>
      </x:c>
      <x:c r="J813" s="32" t="n">
        <x:v>0</x:v>
      </x:c>
      <x:c r="K813" s="30" t="n">
        <x:v>45966</x:v>
      </x:c>
      <x:c r="L813" s="24" t="str">
        <x:v>입금</x:v>
      </x:c>
      <x:c r="M813" s="31" t="n">
        <x:f>IF(AND(N813="미수",G813&lt;&gt;"",TODAY()&gt;G813),TODAY()-G813,0)</x:f>
        <x:v>0</x:v>
      </x:c>
      <x:c r="N813" s="24" t="str">
        <x:f>IF(J813&gt;0,"미수",IF(AND(H813&gt;0,I813&gt;=H813),"완납","미확인"))</x:f>
        <x:v>완납</x:v>
      </x:c>
      <x:c r="O813" s="31" t="n">
        <x:v>42</x:v>
      </x:c>
    </x:row>
    <x:row r="814" ht="17.25" customHeight="1">
      <x:c r="A814" s="24" t="str">
        <x:v>SW-B-97러0815-202510</x:v>
      </x:c>
      <x:c r="B814" s="24" t="str">
        <x:v>스위치플랜</x:v>
      </x:c>
      <x:c r="C814" s="24" t="str">
        <x:v>SW-C-97러0815-2-20231229-42</x:v>
      </x:c>
      <x:c r="D814" s="24" t="str">
        <x:v>97러0815</x:v>
      </x:c>
      <x:c r="E814" s="24" t="str">
        <x:v>쏘노엠</x:v>
      </x:c>
      <x:c r="F814" s="24" t="str">
        <x:v>2025-10</x:v>
      </x:c>
      <x:c r="G814" s="30" t="n">
        <x:v>45935</x:v>
      </x:c>
      <x:c r="H814" s="32" t="n">
        <x:v>720000</x:v>
      </x:c>
      <x:c r="I814" s="32" t="n">
        <x:v>720000</x:v>
      </x:c>
      <x:c r="J814" s="32" t="n">
        <x:v>0</x:v>
      </x:c>
      <x:c r="K814" s="30" t="n">
        <x:v>45933</x:v>
      </x:c>
      <x:c r="L814" s="24" t="str">
        <x:v>입금</x:v>
      </x:c>
      <x:c r="M814" s="31" t="n">
        <x:f>IF(AND(N814="미수",G814&lt;&gt;"",TODAY()&gt;G814),TODAY()-G814,0)</x:f>
        <x:v>0</x:v>
      </x:c>
      <x:c r="N814" s="24" t="str">
        <x:f>IF(J814&gt;0,"미수",IF(AND(H814&gt;0,I814&gt;=H814),"완납","미확인"))</x:f>
        <x:v>완납</x:v>
      </x:c>
      <x:c r="O814" s="31" t="n">
        <x:v>42</x:v>
      </x:c>
    </x:row>
    <x:row r="815" ht="17.25" customHeight="1">
      <x:c r="A815" s="24" t="str">
        <x:v>SW-B-97러0815-202509</x:v>
      </x:c>
      <x:c r="B815" s="24" t="str">
        <x:v>스위치플랜</x:v>
      </x:c>
      <x:c r="C815" s="24" t="str">
        <x:v>SW-C-97러0815-2-20231229-42</x:v>
      </x:c>
      <x:c r="D815" s="24" t="str">
        <x:v>97러0815</x:v>
      </x:c>
      <x:c r="E815" s="24" t="str">
        <x:v>쏘노엠</x:v>
      </x:c>
      <x:c r="F815" s="24" t="str">
        <x:v>2025-09</x:v>
      </x:c>
      <x:c r="G815" s="30" t="n">
        <x:v>45905</x:v>
      </x:c>
      <x:c r="H815" s="32" t="n">
        <x:v>720000</x:v>
      </x:c>
      <x:c r="I815" s="32" t="n">
        <x:v>720000</x:v>
      </x:c>
      <x:c r="J815" s="32" t="n">
        <x:v>0</x:v>
      </x:c>
      <x:c r="K815" s="30" t="n">
        <x:v>45902</x:v>
      </x:c>
      <x:c r="L815" s="24" t="str">
        <x:v>입금</x:v>
      </x:c>
      <x:c r="M815" s="31" t="n">
        <x:f>IF(AND(N815="미수",G815&lt;&gt;"",TODAY()&gt;G815),TODAY()-G815,0)</x:f>
        <x:v>0</x:v>
      </x:c>
      <x:c r="N815" s="24" t="str">
        <x:f>IF(J815&gt;0,"미수",IF(AND(H815&gt;0,I815&gt;=H815),"완납","미확인"))</x:f>
        <x:v>완납</x:v>
      </x:c>
      <x:c r="O815" s="31" t="n">
        <x:v>42</x:v>
      </x:c>
    </x:row>
    <x:row r="816" ht="17.25" customHeight="1">
      <x:c r="A816" s="24" t="str">
        <x:v>SW-B-97러0815-202508</x:v>
      </x:c>
      <x:c r="B816" s="24" t="str">
        <x:v>스위치플랜</x:v>
      </x:c>
      <x:c r="C816" s="24" t="str">
        <x:v>SW-C-97러0815-2-20231229-42</x:v>
      </x:c>
      <x:c r="D816" s="24" t="str">
        <x:v>97러0815</x:v>
      </x:c>
      <x:c r="E816" s="24" t="str">
        <x:v>쏘노엠</x:v>
      </x:c>
      <x:c r="F816" s="24" t="str">
        <x:v>2025-08</x:v>
      </x:c>
      <x:c r="G816" s="30" t="n">
        <x:v>45874</x:v>
      </x:c>
      <x:c r="H816" s="32" t="n">
        <x:v>720000</x:v>
      </x:c>
      <x:c r="I816" s="32" t="n">
        <x:v>720000</x:v>
      </x:c>
      <x:c r="J816" s="32" t="n">
        <x:v>0</x:v>
      </x:c>
      <x:c r="K816" s="30" t="n">
        <x:v>45875</x:v>
      </x:c>
      <x:c r="L816" s="24" t="str">
        <x:v>입금</x:v>
      </x:c>
      <x:c r="M816" s="31" t="n">
        <x:f>IF(AND(N816="미수",G816&lt;&gt;"",TODAY()&gt;G816),TODAY()-G816,0)</x:f>
        <x:v>0</x:v>
      </x:c>
      <x:c r="N816" s="24" t="str">
        <x:f>IF(J816&gt;0,"미수",IF(AND(H816&gt;0,I816&gt;=H816),"완납","미확인"))</x:f>
        <x:v>완납</x:v>
      </x:c>
      <x:c r="O816" s="31" t="n">
        <x:v>42</x:v>
      </x:c>
    </x:row>
    <x:row r="817" ht="17.25" customHeight="1">
      <x:c r="A817" s="24" t="str">
        <x:v>SW-B-97러0815-202507</x:v>
      </x:c>
      <x:c r="B817" s="24" t="str">
        <x:v>스위치플랜</x:v>
      </x:c>
      <x:c r="C817" s="24" t="str">
        <x:v>SW-C-97러0815-2-20231229-42</x:v>
      </x:c>
      <x:c r="D817" s="24" t="str">
        <x:v>97러0815</x:v>
      </x:c>
      <x:c r="E817" s="24" t="str">
        <x:v>쏘노엠</x:v>
      </x:c>
      <x:c r="F817" s="24" t="str">
        <x:v>2025-07</x:v>
      </x:c>
      <x:c r="G817" s="30" t="n">
        <x:v>45843</x:v>
      </x:c>
      <x:c r="H817" s="32" t="n">
        <x:v>720000</x:v>
      </x:c>
      <x:c r="I817" s="32" t="n">
        <x:v>720000</x:v>
      </x:c>
      <x:c r="J817" s="32" t="n">
        <x:v>0</x:v>
      </x:c>
      <x:c r="K817" s="30" t="n">
        <x:v>45846</x:v>
      </x:c>
      <x:c r="L817" s="24" t="str">
        <x:v>입금</x:v>
      </x:c>
      <x:c r="M817" s="31" t="n">
        <x:f>IF(AND(N817="미수",G817&lt;&gt;"",TODAY()&gt;G817),TODAY()-G817,0)</x:f>
        <x:v>0</x:v>
      </x:c>
      <x:c r="N817" s="24" t="str">
        <x:f>IF(J817&gt;0,"미수",IF(AND(H817&gt;0,I817&gt;=H817),"완납","미확인"))</x:f>
        <x:v>완납</x:v>
      </x:c>
      <x:c r="O817" s="31" t="n">
        <x:v>42</x:v>
      </x:c>
    </x:row>
    <x:row r="818" ht="17.25" customHeight="1">
      <x:c r="A818" s="24" t="str">
        <x:v>SW-B-97러0815-202506</x:v>
      </x:c>
      <x:c r="B818" s="24" t="str">
        <x:v>스위치플랜</x:v>
      </x:c>
      <x:c r="C818" s="24" t="str">
        <x:v>SW-C-97러0815-2-20231229-42</x:v>
      </x:c>
      <x:c r="D818" s="24" t="str">
        <x:v>97러0815</x:v>
      </x:c>
      <x:c r="E818" s="24" t="str">
        <x:v>쏘노엠</x:v>
      </x:c>
      <x:c r="F818" s="24" t="str">
        <x:v>2025-06</x:v>
      </x:c>
      <x:c r="G818" s="30" t="n">
        <x:v>45813</x:v>
      </x:c>
      <x:c r="H818" s="32" t="n">
        <x:v>720000</x:v>
      </x:c>
      <x:c r="I818" s="32" t="n">
        <x:v>720000</x:v>
      </x:c>
      <x:c r="J818" s="32" t="n">
        <x:v>0</x:v>
      </x:c>
      <x:c r="K818" s="30" t="n">
        <x:v>45813</x:v>
      </x:c>
      <x:c r="L818" s="24" t="str">
        <x:v>입금</x:v>
      </x:c>
      <x:c r="M818" s="31" t="n">
        <x:f>IF(AND(N818="미수",G818&lt;&gt;"",TODAY()&gt;G818),TODAY()-G818,0)</x:f>
        <x:v>0</x:v>
      </x:c>
      <x:c r="N818" s="24" t="str">
        <x:f>IF(J818&gt;0,"미수",IF(AND(H818&gt;0,I818&gt;=H818),"완납","미확인"))</x:f>
        <x:v>완납</x:v>
      </x:c>
      <x:c r="O818" s="31" t="n">
        <x:v>42</x:v>
      </x:c>
    </x:row>
    <x:row r="819" ht="17.25" customHeight="1">
      <x:c r="A819" s="24" t="str">
        <x:v>SW-B-97러0815-202505</x:v>
      </x:c>
      <x:c r="B819" s="24" t="str">
        <x:v>스위치플랜</x:v>
      </x:c>
      <x:c r="C819" s="24" t="str">
        <x:v>SW-C-97러0815-2-20231229-42</x:v>
      </x:c>
      <x:c r="D819" s="24" t="str">
        <x:v>97러0815</x:v>
      </x:c>
      <x:c r="E819" s="24" t="str">
        <x:v>쏘노엠</x:v>
      </x:c>
      <x:c r="F819" s="24" t="str">
        <x:v>2025-05</x:v>
      </x:c>
      <x:c r="G819" s="30" t="n">
        <x:v>45782</x:v>
      </x:c>
      <x:c r="H819" s="32" t="n">
        <x:v>720000</x:v>
      </x:c>
      <x:c r="I819" s="32" t="n">
        <x:v>720000</x:v>
      </x:c>
      <x:c r="J819" s="32" t="n">
        <x:v>0</x:v>
      </x:c>
      <x:c r="K819" s="30" t="n">
        <x:v>45780</x:v>
      </x:c>
      <x:c r="L819" s="24" t="str">
        <x:v>입금</x:v>
      </x:c>
      <x:c r="M819" s="31" t="n">
        <x:f>IF(AND(N819="미수",G819&lt;&gt;"",TODAY()&gt;G819),TODAY()-G819,0)</x:f>
        <x:v>0</x:v>
      </x:c>
      <x:c r="N819" s="24" t="str">
        <x:f>IF(J819&gt;0,"미수",IF(AND(H819&gt;0,I819&gt;=H819),"완납","미확인"))</x:f>
        <x:v>완납</x:v>
      </x:c>
      <x:c r="O819" s="31" t="n">
        <x:v>42</x:v>
      </x:c>
    </x:row>
    <x:row r="820" ht="17.25" customHeight="1">
      <x:c r="A820" s="24" t="str">
        <x:v>SW-B-97러0815-202504</x:v>
      </x:c>
      <x:c r="B820" s="24" t="str">
        <x:v>스위치플랜</x:v>
      </x:c>
      <x:c r="C820" s="24" t="str">
        <x:v>SW-C-97러0815-2-20231229-42</x:v>
      </x:c>
      <x:c r="D820" s="24" t="str">
        <x:v>97러0815</x:v>
      </x:c>
      <x:c r="E820" s="24" t="str">
        <x:v>쏘노엠</x:v>
      </x:c>
      <x:c r="F820" s="24" t="str">
        <x:v>2025-04</x:v>
      </x:c>
      <x:c r="G820" s="30" t="n">
        <x:v>45752</x:v>
      </x:c>
      <x:c r="H820" s="32" t="n">
        <x:v>720000</x:v>
      </x:c>
      <x:c r="I820" s="32" t="n">
        <x:v>720000</x:v>
      </x:c>
      <x:c r="J820" s="32" t="n">
        <x:v>0</x:v>
      </x:c>
      <x:c r="K820" s="30" t="n">
        <x:v>45755</x:v>
      </x:c>
      <x:c r="L820" s="24" t="str">
        <x:v>입금</x:v>
      </x:c>
      <x:c r="M820" s="31" t="n">
        <x:f>IF(AND(N820="미수",G820&lt;&gt;"",TODAY()&gt;G820),TODAY()-G820,0)</x:f>
        <x:v>0</x:v>
      </x:c>
      <x:c r="N820" s="24" t="str">
        <x:f>IF(J820&gt;0,"미수",IF(AND(H820&gt;0,I820&gt;=H820),"완납","미확인"))</x:f>
        <x:v>완납</x:v>
      </x:c>
      <x:c r="O820" s="31" t="n">
        <x:v>42</x:v>
      </x:c>
    </x:row>
    <x:row r="821" ht="17.25" customHeight="1">
      <x:c r="A821" s="24" t="str">
        <x:v>SW-B-97러0815-202503</x:v>
      </x:c>
      <x:c r="B821" s="24" t="str">
        <x:v>스위치플랜</x:v>
      </x:c>
      <x:c r="C821" s="24" t="str">
        <x:v>SW-C-97러0815-2-20231229-42</x:v>
      </x:c>
      <x:c r="D821" s="24" t="str">
        <x:v>97러0815</x:v>
      </x:c>
      <x:c r="E821" s="24" t="str">
        <x:v>쏘노엠</x:v>
      </x:c>
      <x:c r="F821" s="24" t="str">
        <x:v>2025-03</x:v>
      </x:c>
      <x:c r="G821" s="30" t="n">
        <x:v>45721</x:v>
      </x:c>
      <x:c r="H821" s="32" t="n">
        <x:v>720000</x:v>
      </x:c>
      <x:c r="I821" s="32" t="n">
        <x:v>720000</x:v>
      </x:c>
      <x:c r="J821" s="32" t="n">
        <x:v>0</x:v>
      </x:c>
      <x:c r="K821" s="30" t="n">
        <x:v>45721</x:v>
      </x:c>
      <x:c r="L821" s="24" t="str">
        <x:v>입금</x:v>
      </x:c>
      <x:c r="M821" s="31" t="n">
        <x:f>IF(AND(N821="미수",G821&lt;&gt;"",TODAY()&gt;G821),TODAY()-G821,0)</x:f>
        <x:v>0</x:v>
      </x:c>
      <x:c r="N821" s="24" t="str">
        <x:f>IF(J821&gt;0,"미수",IF(AND(H821&gt;0,I821&gt;=H821),"완납","미확인"))</x:f>
        <x:v>완납</x:v>
      </x:c>
      <x:c r="O821" s="31" t="n">
        <x:v>42</x:v>
      </x:c>
    </x:row>
    <x:row r="822" ht="17.25" customHeight="1">
      <x:c r="A822" s="24" t="str">
        <x:v>SW-B-97러0815-202502</x:v>
      </x:c>
      <x:c r="B822" s="24" t="str">
        <x:v>스위치플랜</x:v>
      </x:c>
      <x:c r="C822" s="24" t="str">
        <x:v>SW-C-97러0815-2-20231229-42</x:v>
      </x:c>
      <x:c r="D822" s="24" t="str">
        <x:v>97러0815</x:v>
      </x:c>
      <x:c r="E822" s="24" t="str">
        <x:v>쏘노엠</x:v>
      </x:c>
      <x:c r="F822" s="24" t="str">
        <x:v>2025-02</x:v>
      </x:c>
      <x:c r="G822" s="30" t="n">
        <x:v>45693</x:v>
      </x:c>
      <x:c r="H822" s="32" t="n">
        <x:v>720000</x:v>
      </x:c>
      <x:c r="I822" s="32" t="n">
        <x:v>720000</x:v>
      </x:c>
      <x:c r="J822" s="32" t="n">
        <x:v>0</x:v>
      </x:c>
      <x:c r="K822" s="30" t="n">
        <x:v>45692</x:v>
      </x:c>
      <x:c r="L822" s="24" t="str">
        <x:v>입금</x:v>
      </x:c>
      <x:c r="M822" s="31" t="n">
        <x:f>IF(AND(N822="미수",G822&lt;&gt;"",TODAY()&gt;G822),TODAY()-G822,0)</x:f>
        <x:v>0</x:v>
      </x:c>
      <x:c r="N822" s="24" t="str">
        <x:f>IF(J822&gt;0,"미수",IF(AND(H822&gt;0,I822&gt;=H822),"완납","미확인"))</x:f>
        <x:v>완납</x:v>
      </x:c>
      <x:c r="O822" s="31" t="n">
        <x:v>42</x:v>
      </x:c>
    </x:row>
    <x:row r="823" ht="17.25" customHeight="1">
      <x:c r="A823" s="24" t="str">
        <x:v>SW-B-97러0815-202501</x:v>
      </x:c>
      <x:c r="B823" s="24" t="str">
        <x:v>스위치플랜</x:v>
      </x:c>
      <x:c r="C823" s="24" t="str">
        <x:v>SW-C-97러0815-2-20231229-42</x:v>
      </x:c>
      <x:c r="D823" s="24" t="str">
        <x:v>97러0815</x:v>
      </x:c>
      <x:c r="E823" s="24" t="str">
        <x:v>쏘노엠</x:v>
      </x:c>
      <x:c r="F823" s="24" t="str">
        <x:v>2025-01</x:v>
      </x:c>
      <x:c r="G823" s="30" t="n">
        <x:v>45662</x:v>
      </x:c>
      <x:c r="H823" s="32" t="n">
        <x:v>720000</x:v>
      </x:c>
      <x:c r="I823" s="32" t="n">
        <x:v>720000</x:v>
      </x:c>
      <x:c r="J823" s="32" t="n">
        <x:v>0</x:v>
      </x:c>
      <x:c r="K823" s="30" t="n">
        <x:v>45660</x:v>
      </x:c>
      <x:c r="L823" s="24" t="str">
        <x:v>입금</x:v>
      </x:c>
      <x:c r="M823" s="31" t="n">
        <x:f>IF(AND(N823="미수",G823&lt;&gt;"",TODAY()&gt;G823),TODAY()-G823,0)</x:f>
        <x:v>0</x:v>
      </x:c>
      <x:c r="N823" s="24" t="str">
        <x:f>IF(J823&gt;0,"미수",IF(AND(H823&gt;0,I823&gt;=H823),"완납","미확인"))</x:f>
        <x:v>완납</x:v>
      </x:c>
      <x:c r="O823" s="31" t="n">
        <x:v>42</x:v>
      </x:c>
    </x:row>
    <x:row r="824" ht="17.25" customHeight="1">
      <x:c r="A824" s="24" t="str">
        <x:v>SW-B-97러0815-202412</x:v>
      </x:c>
      <x:c r="B824" s="24" t="str">
        <x:v>스위치플랜</x:v>
      </x:c>
      <x:c r="C824" s="24" t="str">
        <x:v>SW-C-97러0815-2-20231229-42</x:v>
      </x:c>
      <x:c r="D824" s="24" t="str">
        <x:v>97러0815</x:v>
      </x:c>
      <x:c r="E824" s="24" t="str">
        <x:v>쏘노엠</x:v>
      </x:c>
      <x:c r="F824" s="24" t="str">
        <x:v>2024-12</x:v>
      </x:c>
      <x:c r="G824" s="30" t="n">
        <x:v>45631</x:v>
      </x:c>
      <x:c r="H824" s="32" t="n">
        <x:v>720000</x:v>
      </x:c>
      <x:c r="I824" s="32" t="n">
        <x:v>720000</x:v>
      </x:c>
      <x:c r="J824" s="32" t="n">
        <x:v>0</x:v>
      </x:c>
      <x:c r="K824" s="30" t="n">
        <x:v>45628</x:v>
      </x:c>
      <x:c r="L824" s="24" t="str">
        <x:v>입금</x:v>
      </x:c>
      <x:c r="M824" s="31" t="n">
        <x:f>IF(AND(N824="미수",G824&lt;&gt;"",TODAY()&gt;G824),TODAY()-G824,0)</x:f>
        <x:v>0</x:v>
      </x:c>
      <x:c r="N824" s="24" t="str">
        <x:f>IF(J824&gt;0,"미수",IF(AND(H824&gt;0,I824&gt;=H824),"완납","미확인"))</x:f>
        <x:v>완납</x:v>
      </x:c>
      <x:c r="O824" s="31" t="n">
        <x:v>42</x:v>
      </x:c>
    </x:row>
    <x:row r="825" ht="17.25" customHeight="1">
      <x:c r="A825" s="24" t="str">
        <x:v>SW-B-97러0815-202411</x:v>
      </x:c>
      <x:c r="B825" s="24" t="str">
        <x:v>스위치플랜</x:v>
      </x:c>
      <x:c r="C825" s="24" t="str">
        <x:v>SW-C-97러0815-2-20231229-42</x:v>
      </x:c>
      <x:c r="D825" s="24" t="str">
        <x:v>97러0815</x:v>
      </x:c>
      <x:c r="E825" s="24" t="str">
        <x:v>쏘노엠</x:v>
      </x:c>
      <x:c r="F825" s="24" t="str">
        <x:v>2024-11</x:v>
      </x:c>
      <x:c r="G825" s="30" t="n">
        <x:v>45601</x:v>
      </x:c>
      <x:c r="H825" s="32" t="n">
        <x:v>720000</x:v>
      </x:c>
      <x:c r="I825" s="32" t="n">
        <x:v>720000</x:v>
      </x:c>
      <x:c r="J825" s="32" t="n">
        <x:v>0</x:v>
      </x:c>
      <x:c r="K825" s="30" t="n">
        <x:v>45598</x:v>
      </x:c>
      <x:c r="L825" s="24" t="str">
        <x:v>입금</x:v>
      </x:c>
      <x:c r="M825" s="31" t="n">
        <x:f>IF(AND(N825="미수",G825&lt;&gt;"",TODAY()&gt;G825),TODAY()-G825,0)</x:f>
        <x:v>0</x:v>
      </x:c>
      <x:c r="N825" s="24" t="str">
        <x:f>IF(J825&gt;0,"미수",IF(AND(H825&gt;0,I825&gt;=H825),"완납","미확인"))</x:f>
        <x:v>완납</x:v>
      </x:c>
      <x:c r="O825" s="31" t="n">
        <x:v>42</x:v>
      </x:c>
    </x:row>
    <x:row r="826" ht="17.25" customHeight="1">
      <x:c r="A826" s="24" t="str">
        <x:v>SW-B-97러0815-202410</x:v>
      </x:c>
      <x:c r="B826" s="24" t="str">
        <x:v>스위치플랜</x:v>
      </x:c>
      <x:c r="C826" s="24" t="str">
        <x:v>SW-C-97러0815-2-20231229-42</x:v>
      </x:c>
      <x:c r="D826" s="24" t="str">
        <x:v>97러0815</x:v>
      </x:c>
      <x:c r="E826" s="24" t="str">
        <x:v>쏘노엠</x:v>
      </x:c>
      <x:c r="F826" s="24" t="str">
        <x:v>2024-10</x:v>
      </x:c>
      <x:c r="G826" s="30" t="n">
        <x:v>45570</x:v>
      </x:c>
      <x:c r="H826" s="32" t="n">
        <x:v>720000</x:v>
      </x:c>
      <x:c r="I826" s="32" t="n">
        <x:v>720000</x:v>
      </x:c>
      <x:c r="J826" s="32" t="n">
        <x:v>0</x:v>
      </x:c>
      <x:c r="K826" s="30" t="n">
        <x:v>45567</x:v>
      </x:c>
      <x:c r="L826" s="24" t="str">
        <x:v>입금</x:v>
      </x:c>
      <x:c r="M826" s="31" t="n">
        <x:f>IF(AND(N826="미수",G826&lt;&gt;"",TODAY()&gt;G826),TODAY()-G826,0)</x:f>
        <x:v>0</x:v>
      </x:c>
      <x:c r="N826" s="24" t="str">
        <x:f>IF(J826&gt;0,"미수",IF(AND(H826&gt;0,I826&gt;=H826),"완납","미확인"))</x:f>
        <x:v>완납</x:v>
      </x:c>
      <x:c r="O826" s="31" t="n">
        <x:v>42</x:v>
      </x:c>
    </x:row>
    <x:row r="827" ht="17.25" customHeight="1">
      <x:c r="A827" s="24" t="str">
        <x:v>SW-B-97러0815-202409</x:v>
      </x:c>
      <x:c r="B827" s="24" t="str">
        <x:v>스위치플랜</x:v>
      </x:c>
      <x:c r="C827" s="24" t="str">
        <x:v>SW-C-97러0815-2-20231229-42</x:v>
      </x:c>
      <x:c r="D827" s="24" t="str">
        <x:v>97러0815</x:v>
      </x:c>
      <x:c r="E827" s="24" t="str">
        <x:v>쏘노엠</x:v>
      </x:c>
      <x:c r="F827" s="24" t="str">
        <x:v>2024-09</x:v>
      </x:c>
      <x:c r="G827" s="30" t="n">
        <x:v>45540</x:v>
      </x:c>
      <x:c r="H827" s="32" t="n">
        <x:v>720000</x:v>
      </x:c>
      <x:c r="I827" s="32" t="n">
        <x:v>720000</x:v>
      </x:c>
      <x:c r="J827" s="32" t="n">
        <x:v>0</x:v>
      </x:c>
      <x:c r="K827" s="30" t="n">
        <x:v>45538</x:v>
      </x:c>
      <x:c r="L827" s="24" t="str">
        <x:v>입금</x:v>
      </x:c>
      <x:c r="M827" s="31" t="n">
        <x:f>IF(AND(N827="미수",G827&lt;&gt;"",TODAY()&gt;G827),TODAY()-G827,0)</x:f>
        <x:v>0</x:v>
      </x:c>
      <x:c r="N827" s="24" t="str">
        <x:f>IF(J827&gt;0,"미수",IF(AND(H827&gt;0,I827&gt;=H827),"완납","미확인"))</x:f>
        <x:v>완납</x:v>
      </x:c>
      <x:c r="O827" s="31" t="n">
        <x:v>42</x:v>
      </x:c>
    </x:row>
    <x:row r="828" ht="17.25" customHeight="1">
      <x:c r="A828" s="24" t="str">
        <x:v>SW-B-97러0815-202408</x:v>
      </x:c>
      <x:c r="B828" s="24" t="str">
        <x:v>스위치플랜</x:v>
      </x:c>
      <x:c r="C828" s="24" t="str">
        <x:v>SW-C-97러0815-2-20231229-42</x:v>
      </x:c>
      <x:c r="D828" s="24" t="str">
        <x:v>97러0815</x:v>
      </x:c>
      <x:c r="E828" s="24" t="str">
        <x:v>쏘노엠</x:v>
      </x:c>
      <x:c r="F828" s="24" t="str">
        <x:v>2024-08</x:v>
      </x:c>
      <x:c r="G828" s="30" t="n">
        <x:v>45509</x:v>
      </x:c>
      <x:c r="H828" s="32" t="n">
        <x:v>720000</x:v>
      </x:c>
      <x:c r="I828" s="32" t="n">
        <x:v>720000</x:v>
      </x:c>
      <x:c r="J828" s="32" t="n">
        <x:v>0</x:v>
      </x:c>
      <x:c r="K828" s="30" t="n">
        <x:v>45506</x:v>
      </x:c>
      <x:c r="L828" s="24" t="str">
        <x:v>입금</x:v>
      </x:c>
      <x:c r="M828" s="31" t="n">
        <x:f>IF(AND(N828="미수",G828&lt;&gt;"",TODAY()&gt;G828),TODAY()-G828,0)</x:f>
        <x:v>0</x:v>
      </x:c>
      <x:c r="N828" s="24" t="str">
        <x:f>IF(J828&gt;0,"미수",IF(AND(H828&gt;0,I828&gt;=H828),"완납","미확인"))</x:f>
        <x:v>완납</x:v>
      </x:c>
      <x:c r="O828" s="31" t="n">
        <x:v>42</x:v>
      </x:c>
    </x:row>
    <x:row r="829" ht="17.25" customHeight="1">
      <x:c r="A829" s="24" t="str">
        <x:v>SW-B-97러0815-202407</x:v>
      </x:c>
      <x:c r="B829" s="24" t="str">
        <x:v>스위치플랜</x:v>
      </x:c>
      <x:c r="C829" s="24" t="str">
        <x:v>SW-C-97러0815-2-20231229-42</x:v>
      </x:c>
      <x:c r="D829" s="24" t="str">
        <x:v>97러0815</x:v>
      </x:c>
      <x:c r="E829" s="24" t="str">
        <x:v>쏘노엠</x:v>
      </x:c>
      <x:c r="F829" s="24" t="str">
        <x:v>2024-07</x:v>
      </x:c>
      <x:c r="G829" s="30" t="n">
        <x:v>45478</x:v>
      </x:c>
      <x:c r="H829" s="32" t="n">
        <x:v>720000</x:v>
      </x:c>
      <x:c r="I829" s="32" t="n">
        <x:v>720000</x:v>
      </x:c>
      <x:c r="J829" s="32" t="n">
        <x:v>0</x:v>
      </x:c>
      <x:c r="K829" s="30" t="n">
        <x:v>45476</x:v>
      </x:c>
      <x:c r="L829" s="24" t="str">
        <x:v>입금</x:v>
      </x:c>
      <x:c r="M829" s="31" t="n">
        <x:f>IF(AND(N829="미수",G829&lt;&gt;"",TODAY()&gt;G829),TODAY()-G829,0)</x:f>
        <x:v>0</x:v>
      </x:c>
      <x:c r="N829" s="24" t="str">
        <x:f>IF(J829&gt;0,"미수",IF(AND(H829&gt;0,I829&gt;=H829),"완납","미확인"))</x:f>
        <x:v>완납</x:v>
      </x:c>
      <x:c r="O829" s="31" t="n">
        <x:v>42</x:v>
      </x:c>
    </x:row>
    <x:row r="830" ht="17.25" customHeight="1">
      <x:c r="A830" s="24" t="str">
        <x:v>SW-B-97러0815-202406</x:v>
      </x:c>
      <x:c r="B830" s="24" t="str">
        <x:v>스위치플랜</x:v>
      </x:c>
      <x:c r="C830" s="24" t="str">
        <x:v>SW-C-97러0815-2-20231229-42</x:v>
      </x:c>
      <x:c r="D830" s="24" t="str">
        <x:v>97러0815</x:v>
      </x:c>
      <x:c r="E830" s="24" t="str">
        <x:v>쏘노엠</x:v>
      </x:c>
      <x:c r="F830" s="24" t="str">
        <x:v>2024-06</x:v>
      </x:c>
      <x:c r="G830" s="30" t="n">
        <x:v>45448</x:v>
      </x:c>
      <x:c r="H830" s="32" t="n">
        <x:v>720000</x:v>
      </x:c>
      <x:c r="I830" s="32" t="n">
        <x:v>720000</x:v>
      </x:c>
      <x:c r="J830" s="32" t="n">
        <x:v>0</x:v>
      </x:c>
      <x:c r="K830" s="30" t="n">
        <x:v>45445</x:v>
      </x:c>
      <x:c r="L830" s="24" t="str">
        <x:v>입금</x:v>
      </x:c>
      <x:c r="M830" s="31" t="n">
        <x:f>IF(AND(N830="미수",G830&lt;&gt;"",TODAY()&gt;G830),TODAY()-G830,0)</x:f>
        <x:v>0</x:v>
      </x:c>
      <x:c r="N830" s="24" t="str">
        <x:f>IF(J830&gt;0,"미수",IF(AND(H830&gt;0,I830&gt;=H830),"완납","미확인"))</x:f>
        <x:v>완납</x:v>
      </x:c>
      <x:c r="O830" s="31" t="n">
        <x:v>42</x:v>
      </x:c>
    </x:row>
    <x:row r="831" ht="17.25" customHeight="1">
      <x:c r="A831" s="24" t="str">
        <x:v>SW-B-97러0815-202405</x:v>
      </x:c>
      <x:c r="B831" s="24" t="str">
        <x:v>스위치플랜</x:v>
      </x:c>
      <x:c r="C831" s="24" t="str">
        <x:v>SW-C-97러0815-2-20231229-42</x:v>
      </x:c>
      <x:c r="D831" s="24" t="str">
        <x:v>97러0815</x:v>
      </x:c>
      <x:c r="E831" s="24" t="str">
        <x:v>쏘노엠</x:v>
      </x:c>
      <x:c r="F831" s="24" t="str">
        <x:v>2024-05</x:v>
      </x:c>
      <x:c r="G831" s="30" t="n">
        <x:v>45417</x:v>
      </x:c>
      <x:c r="H831" s="32" t="n">
        <x:v>720000</x:v>
      </x:c>
      <x:c r="I831" s="32" t="n">
        <x:v>720000</x:v>
      </x:c>
      <x:c r="J831" s="32" t="n">
        <x:v>0</x:v>
      </x:c>
      <x:c r="K831" s="30" t="n">
        <x:v>45414</x:v>
      </x:c>
      <x:c r="L831" s="24" t="str">
        <x:v>입금</x:v>
      </x:c>
      <x:c r="M831" s="31" t="n">
        <x:f>IF(AND(N831="미수",G831&lt;&gt;"",TODAY()&gt;G831),TODAY()-G831,0)</x:f>
        <x:v>0</x:v>
      </x:c>
      <x:c r="N831" s="24" t="str">
        <x:f>IF(J831&gt;0,"미수",IF(AND(H831&gt;0,I831&gt;=H831),"완납","미확인"))</x:f>
        <x:v>완납</x:v>
      </x:c>
      <x:c r="O831" s="31" t="n">
        <x:v>42</x:v>
      </x:c>
    </x:row>
    <x:row r="832" ht="17.25" customHeight="1">
      <x:c r="A832" s="24" t="str">
        <x:v>SW-B-97러0815-202404</x:v>
      </x:c>
      <x:c r="B832" s="24" t="str">
        <x:v>스위치플랜</x:v>
      </x:c>
      <x:c r="C832" s="24" t="str">
        <x:v>SW-C-97러0815-2-20231229-42</x:v>
      </x:c>
      <x:c r="D832" s="24" t="str">
        <x:v>97러0815</x:v>
      </x:c>
      <x:c r="E832" s="24" t="str">
        <x:v>쏘노엠</x:v>
      </x:c>
      <x:c r="F832" s="24" t="str">
        <x:v>2024-04</x:v>
      </x:c>
      <x:c r="G832" s="30" t="n">
        <x:v>45387</x:v>
      </x:c>
      <x:c r="H832" s="32" t="n">
        <x:v>720000</x:v>
      </x:c>
      <x:c r="I832" s="32" t="n">
        <x:v>720000</x:v>
      </x:c>
      <x:c r="J832" s="32" t="n">
        <x:v>0</x:v>
      </x:c>
      <x:c r="K832" s="30" t="n">
        <x:v>45385</x:v>
      </x:c>
      <x:c r="L832" s="24" t="str">
        <x:v>입금</x:v>
      </x:c>
      <x:c r="M832" s="31" t="n">
        <x:f>IF(AND(N832="미수",G832&lt;&gt;"",TODAY()&gt;G832),TODAY()-G832,0)</x:f>
        <x:v>0</x:v>
      </x:c>
      <x:c r="N832" s="24" t="str">
        <x:f>IF(J832&gt;0,"미수",IF(AND(H832&gt;0,I832&gt;=H832),"완납","미확인"))</x:f>
        <x:v>완납</x:v>
      </x:c>
      <x:c r="O832" s="31" t="n">
        <x:v>42</x:v>
      </x:c>
    </x:row>
    <x:row r="833" ht="17.25" customHeight="1">
      <x:c r="A833" s="24" t="str">
        <x:v>SW-B-97러0815-202403</x:v>
      </x:c>
      <x:c r="B833" s="24" t="str">
        <x:v>스위치플랜</x:v>
      </x:c>
      <x:c r="C833" s="24" t="str">
        <x:v>SW-C-97러0815-2-20231229-42</x:v>
      </x:c>
      <x:c r="D833" s="24" t="str">
        <x:v>97러0815</x:v>
      </x:c>
      <x:c r="E833" s="24" t="str">
        <x:v>쏘노엠</x:v>
      </x:c>
      <x:c r="F833" s="24" t="str">
        <x:v>2024-03</x:v>
      </x:c>
      <x:c r="G833" s="30" t="n">
        <x:v>45356</x:v>
      </x:c>
      <x:c r="H833" s="32" t="n">
        <x:v>720000</x:v>
      </x:c>
      <x:c r="I833" s="32" t="n">
        <x:v>720000</x:v>
      </x:c>
      <x:c r="J833" s="32" t="n">
        <x:v>0</x:v>
      </x:c>
      <x:c r="K833" s="30" t="n">
        <x:v>45355</x:v>
      </x:c>
      <x:c r="L833" s="24" t="str">
        <x:v>입금</x:v>
      </x:c>
      <x:c r="M833" s="31" t="n">
        <x:f>IF(AND(N833="미수",G833&lt;&gt;"",TODAY()&gt;G833),TODAY()-G833,0)</x:f>
        <x:v>0</x:v>
      </x:c>
      <x:c r="N833" s="24" t="str">
        <x:f>IF(J833&gt;0,"미수",IF(AND(H833&gt;0,I833&gt;=H833),"완납","미확인"))</x:f>
        <x:v>완납</x:v>
      </x:c>
      <x:c r="O833" s="31" t="n">
        <x:v>42</x:v>
      </x:c>
    </x:row>
    <x:row r="834" ht="17.25" customHeight="1">
      <x:c r="A834" s="24" t="str">
        <x:v>SW-B-97러0815-202402</x:v>
      </x:c>
      <x:c r="B834" s="24" t="str">
        <x:v>스위치플랜</x:v>
      </x:c>
      <x:c r="C834" s="24" t="str">
        <x:v>SW-C-97러0815-2-20231229-42</x:v>
      </x:c>
      <x:c r="D834" s="24" t="str">
        <x:v>97러0815</x:v>
      </x:c>
      <x:c r="E834" s="24" t="str">
        <x:v>쏘노엠</x:v>
      </x:c>
      <x:c r="F834" s="24" t="str">
        <x:v>2024-02</x:v>
      </x:c>
      <x:c r="G834" s="30" t="n">
        <x:v>45327</x:v>
      </x:c>
      <x:c r="H834" s="32" t="n">
        <x:v>720000</x:v>
      </x:c>
      <x:c r="I834" s="32" t="n">
        <x:v>720000</x:v>
      </x:c>
      <x:c r="J834" s="32" t="n">
        <x:v>0</x:v>
      </x:c>
      <x:c r="K834" s="30" t="n">
        <x:v>45324</x:v>
      </x:c>
      <x:c r="L834" s="24" t="str">
        <x:v>입금</x:v>
      </x:c>
      <x:c r="M834" s="31" t="n">
        <x:f>IF(AND(N834="미수",G834&lt;&gt;"",TODAY()&gt;G834),TODAY()-G834,0)</x:f>
        <x:v>0</x:v>
      </x:c>
      <x:c r="N834" s="24" t="str">
        <x:f>IF(J834&gt;0,"미수",IF(AND(H834&gt;0,I834&gt;=H834),"완납","미확인"))</x:f>
        <x:v>완납</x:v>
      </x:c>
      <x:c r="O834" s="31" t="n">
        <x:v>42</x:v>
      </x:c>
    </x:row>
    <x:row r="835" ht="17.25" customHeight="1">
      <x:c r="A835" s="24" t="str">
        <x:v>SW-B-97러0815-202401</x:v>
      </x:c>
      <x:c r="B835" s="24" t="str">
        <x:v>스위치플랜</x:v>
      </x:c>
      <x:c r="C835" s="24" t="str">
        <x:v>SW-C-97러0815-2-20231229-42</x:v>
      </x:c>
      <x:c r="D835" s="24" t="str">
        <x:v>97러0815</x:v>
      </x:c>
      <x:c r="E835" s="24" t="str">
        <x:v>쏘노엠</x:v>
      </x:c>
      <x:c r="F835" s="24" t="str">
        <x:v>2024-01</x:v>
      </x:c>
      <x:c r="G835" s="30" t="n">
        <x:v>45296</x:v>
      </x:c>
      <x:c r="H835" s="32" t="n">
        <x:v>720000</x:v>
      </x:c>
      <x:c r="I835" s="32" t="n">
        <x:v>720000</x:v>
      </x:c>
      <x:c r="J835" s="32" t="n">
        <x:v>0</x:v>
      </x:c>
      <x:c r="K835" s="30" t="n">
        <x:v>45275</x:v>
      </x:c>
      <x:c r="L835" s="24" t="str">
        <x:v>입금</x:v>
      </x:c>
      <x:c r="M835" s="31" t="n">
        <x:f>IF(AND(N835="미수",G835&lt;&gt;"",TODAY()&gt;G835),TODAY()-G835,0)</x:f>
        <x:v>0</x:v>
      </x:c>
      <x:c r="N835" s="24" t="str">
        <x:f>IF(J835&gt;0,"미수",IF(AND(H835&gt;0,I835&gt;=H835),"완납","미확인"))</x:f>
        <x:v>완납</x:v>
      </x:c>
      <x:c r="O835" s="31" t="n">
        <x:v>42</x:v>
      </x:c>
    </x:row>
    <x:row r="836" ht="17.25" customHeight="1">
      <x:c r="A836" s="24" t="str">
        <x:v>SW-B-68서5320-202608</x:v>
      </x:c>
      <x:c r="B836" s="24" t="str">
        <x:v>스위치플랜</x:v>
      </x:c>
      <x:c r="C836" s="24" t="str">
        <x:v>SW-C-68서5320-1-20260424-43</x:v>
      </x:c>
      <x:c r="D836" s="24" t="str">
        <x:v>68서5320</x:v>
      </x:c>
      <x:c r="E836" s="24" t="str">
        <x:v>이승조</x:v>
      </x:c>
      <x:c r="F836" s="24" t="str">
        <x:v>2026-08</x:v>
      </x:c>
      <x:c r="G836" s="30" t="n">
        <x:v>46244</x:v>
      </x:c>
      <x:c r="H836" s="32" t="n">
        <x:v>500000</x:v>
      </x:c>
      <x:c r="I836" s="32" t="n">
        <x:v>500000</x:v>
      </x:c>
      <x:c r="J836" s="32" t="n">
        <x:v>0</x:v>
      </x:c>
      <x:c r="K836" s="30" t="n">
        <x:v>46244</x:v>
      </x:c>
      <x:c r="L836" s="24" t="str">
        <x:v>입금</x:v>
      </x:c>
      <x:c r="M836" s="31" t="n">
        <x:f>IF(AND(N836="미수",G836&lt;&gt;"",TODAY()&gt;G836),TODAY()-G836,0)</x:f>
        <x:v>0</x:v>
      </x:c>
      <x:c r="N836" s="24" t="str">
        <x:f>IF(J836&gt;0,"미수",IF(AND(H836&gt;0,I836&gt;=H836),"완납","미확인"))</x:f>
        <x:v>완납</x:v>
      </x:c>
      <x:c r="O836" s="31" t="n">
        <x:v>43</x:v>
      </x:c>
    </x:row>
    <x:row r="837" ht="17.25" customHeight="1">
      <x:c r="A837" s="24" t="str">
        <x:v>SW-B-68서5320-202607</x:v>
      </x:c>
      <x:c r="B837" s="24" t="str">
        <x:v>스위치플랜</x:v>
      </x:c>
      <x:c r="C837" s="24" t="str">
        <x:v>SW-C-68서5320-1-20260424-43</x:v>
      </x:c>
      <x:c r="D837" s="24" t="str">
        <x:v>68서5320</x:v>
      </x:c>
      <x:c r="E837" s="24" t="str">
        <x:v>이승조</x:v>
      </x:c>
      <x:c r="F837" s="24" t="str">
        <x:v>2026-07</x:v>
      </x:c>
      <x:c r="G837" s="30" t="n">
        <x:v>46213</x:v>
      </x:c>
      <x:c r="H837" s="32" t="n">
        <x:v>500000</x:v>
      </x:c>
      <x:c r="I837" s="32" t="n">
        <x:v>500000</x:v>
      </x:c>
      <x:c r="J837" s="32" t="n">
        <x:v>0</x:v>
      </x:c>
      <x:c r="K837" s="30" t="n">
        <x:v>46213</x:v>
      </x:c>
      <x:c r="L837" s="24" t="str">
        <x:v>입금</x:v>
      </x:c>
      <x:c r="M837" s="31" t="n">
        <x:f>IF(AND(N837="미수",G837&lt;&gt;"",TODAY()&gt;G837),TODAY()-G837,0)</x:f>
        <x:v>0</x:v>
      </x:c>
      <x:c r="N837" s="24" t="str">
        <x:f>IF(J837&gt;0,"미수",IF(AND(H837&gt;0,I837&gt;=H837),"완납","미확인"))</x:f>
        <x:v>완납</x:v>
      </x:c>
      <x:c r="O837" s="31" t="n">
        <x:v>43</x:v>
      </x:c>
    </x:row>
    <x:row r="838" ht="17.25" customHeight="1">
      <x:c r="A838" s="24" t="str">
        <x:v>SW-B-68서5320-202606</x:v>
      </x:c>
      <x:c r="B838" s="24" t="str">
        <x:v>스위치플랜</x:v>
      </x:c>
      <x:c r="C838" s="24" t="str">
        <x:v>SW-C-68서5320-1-20260424-43</x:v>
      </x:c>
      <x:c r="D838" s="24" t="str">
        <x:v>68서5320</x:v>
      </x:c>
      <x:c r="E838" s="24" t="str">
        <x:v>이승조</x:v>
      </x:c>
      <x:c r="F838" s="24" t="str">
        <x:v>2026-06</x:v>
      </x:c>
      <x:c r="G838" s="30" t="n">
        <x:v>46183</x:v>
      </x:c>
      <x:c r="H838" s="32" t="n">
        <x:v>500000</x:v>
      </x:c>
      <x:c r="I838" s="32" t="n">
        <x:v>500000</x:v>
      </x:c>
      <x:c r="J838" s="32" t="n">
        <x:v>0</x:v>
      </x:c>
      <x:c r="K838" s="30" t="n">
        <x:v>46183</x:v>
      </x:c>
      <x:c r="L838" s="24" t="str">
        <x:v>입금</x:v>
      </x:c>
      <x:c r="M838" s="31" t="n">
        <x:f>IF(AND(N838="미수",G838&lt;&gt;"",TODAY()&gt;G838),TODAY()-G838,0)</x:f>
        <x:v>0</x:v>
      </x:c>
      <x:c r="N838" s="24" t="str">
        <x:f>IF(J838&gt;0,"미수",IF(AND(H838&gt;0,I838&gt;=H838),"완납","미확인"))</x:f>
        <x:v>완납</x:v>
      </x:c>
      <x:c r="O838" s="31" t="n">
        <x:v>43</x:v>
      </x:c>
    </x:row>
    <x:row r="839" ht="17.25" customHeight="1">
      <x:c r="A839" s="24" t="str">
        <x:v>SW-B-68서5320-202605</x:v>
      </x:c>
      <x:c r="B839" s="24" t="str">
        <x:v>스위치플랜</x:v>
      </x:c>
      <x:c r="C839" s="24" t="str">
        <x:v>SW-C-68서5320-1-20260424-43</x:v>
      </x:c>
      <x:c r="D839" s="24" t="str">
        <x:v>68서5320</x:v>
      </x:c>
      <x:c r="E839" s="24" t="str">
        <x:v>이승조</x:v>
      </x:c>
      <x:c r="F839" s="24" t="str">
        <x:v>2026-05</x:v>
      </x:c>
      <x:c r="G839" s="30" t="n">
        <x:v>46152</x:v>
      </x:c>
      <x:c r="H839" s="32" t="n">
        <x:v>500000</x:v>
      </x:c>
      <x:c r="I839" s="32" t="n">
        <x:v>500000</x:v>
      </x:c>
      <x:c r="J839" s="32" t="n">
        <x:v>0</x:v>
      </x:c>
      <x:c r="K839" s="30" t="n">
        <x:v>46153</x:v>
      </x:c>
      <x:c r="L839" s="24" t="str">
        <x:v>입금</x:v>
      </x:c>
      <x:c r="M839" s="31" t="n">
        <x:f>IF(AND(N839="미수",G839&lt;&gt;"",TODAY()&gt;G839),TODAY()-G839,0)</x:f>
        <x:v>0</x:v>
      </x:c>
      <x:c r="N839" s="24" t="str">
        <x:f>IF(J839&gt;0,"미수",IF(AND(H839&gt;0,I839&gt;=H839),"완납","미확인"))</x:f>
        <x:v>완납</x:v>
      </x:c>
      <x:c r="O839" s="31" t="n">
        <x:v>43</x:v>
      </x:c>
    </x:row>
    <x:row r="840" ht="17.25" customHeight="1">
      <x:c r="A840" s="24" t="str">
        <x:v>SW-B-68서5320-202604</x:v>
      </x:c>
      <x:c r="B840" s="24" t="str">
        <x:v>스위치플랜</x:v>
      </x:c>
      <x:c r="C840" s="24" t="str">
        <x:v>SW-C-68서5320-1-20260424-43</x:v>
      </x:c>
      <x:c r="D840" s="24" t="str">
        <x:v>68서5320</x:v>
      </x:c>
      <x:c r="E840" s="24" t="str">
        <x:v>이승조</x:v>
      </x:c>
      <x:c r="F840" s="24" t="str">
        <x:v>2026-04</x:v>
      </x:c>
      <x:c r="G840" s="30" t="n">
        <x:v>46122</x:v>
      </x:c>
      <x:c r="H840" s="32" t="n">
        <x:v>500000</x:v>
      </x:c>
      <x:c r="I840" s="32" t="n">
        <x:v>500000</x:v>
      </x:c>
      <x:c r="J840" s="32" t="n">
        <x:v>0</x:v>
      </x:c>
      <x:c r="K840" s="30" t="n">
        <x:v>46132</x:v>
      </x:c>
      <x:c r="L840" s="24" t="str">
        <x:v>입금</x:v>
      </x:c>
      <x:c r="M840" s="31" t="n">
        <x:f>IF(AND(N840="미수",G840&lt;&gt;"",TODAY()&gt;G840),TODAY()-G840,0)</x:f>
        <x:v>0</x:v>
      </x:c>
      <x:c r="N840" s="24" t="str">
        <x:f>IF(J840&gt;0,"미수",IF(AND(H840&gt;0,I840&gt;=H840),"완납","미확인"))</x:f>
        <x:v>완납</x:v>
      </x:c>
      <x:c r="O840" s="31" t="n">
        <x:v>43</x:v>
      </x:c>
    </x:row>
    <x:row r="841" ht="17.25" customHeight="1">
      <x:c r="A841" s="24" t="str">
        <x:v>SW-B-68서5320-202603</x:v>
      </x:c>
      <x:c r="B841" s="24" t="str">
        <x:v>스위치플랜</x:v>
      </x:c>
      <x:c r="C841" s="24" t="str">
        <x:v>SW-C-68서5320-2-20250805-43</x:v>
      </x:c>
      <x:c r="D841" s="24" t="str">
        <x:v>68서5320</x:v>
      </x:c>
      <x:c r="E841" s="24" t="str">
        <x:v>이승조</x:v>
      </x:c>
      <x:c r="F841" s="24" t="str">
        <x:v>2026-03</x:v>
      </x:c>
      <x:c r="G841" s="30" t="n">
        <x:v>46091</x:v>
      </x:c>
      <x:c r="H841" s="32" t="n">
        <x:v>500000</x:v>
      </x:c>
      <x:c r="I841" s="32" t="n">
        <x:v>500000</x:v>
      </x:c>
      <x:c r="J841" s="32" t="n">
        <x:v>0</x:v>
      </x:c>
      <x:c r="K841" s="30" t="n">
        <x:v>46091</x:v>
      </x:c>
      <x:c r="L841" s="24" t="str">
        <x:v>자동</x:v>
      </x:c>
      <x:c r="M841" s="31" t="n">
        <x:f>IF(AND(N841="미수",G841&lt;&gt;"",TODAY()&gt;G841),TODAY()-G841,0)</x:f>
        <x:v>0</x:v>
      </x:c>
      <x:c r="N841" s="24" t="str">
        <x:f>IF(J841&gt;0,"미수",IF(AND(H841&gt;0,I841&gt;=H841),"완납","미확인"))</x:f>
        <x:v>완납</x:v>
      </x:c>
      <x:c r="O841" s="31" t="n">
        <x:v>43</x:v>
      </x:c>
    </x:row>
    <x:row r="842" ht="17.25" customHeight="1">
      <x:c r="A842" s="24" t="str">
        <x:v>SW-B-68서5320-202602</x:v>
      </x:c>
      <x:c r="B842" s="24" t="str">
        <x:v>스위치플랜</x:v>
      </x:c>
      <x:c r="C842" s="24" t="str">
        <x:v>SW-C-68서5320-2-20250805-43</x:v>
      </x:c>
      <x:c r="D842" s="24" t="str">
        <x:v>68서5320</x:v>
      </x:c>
      <x:c r="E842" s="24" t="str">
        <x:v>이승조</x:v>
      </x:c>
      <x:c r="F842" s="24" t="str">
        <x:v>2026-02</x:v>
      </x:c>
      <x:c r="G842" s="30" t="n">
        <x:v>46063</x:v>
      </x:c>
      <x:c r="H842" s="32" t="n">
        <x:v>500000</x:v>
      </x:c>
      <x:c r="I842" s="32" t="n">
        <x:v>500000</x:v>
      </x:c>
      <x:c r="J842" s="32" t="n">
        <x:v>0</x:v>
      </x:c>
      <x:c r="K842" s="30" t="n">
        <x:v>46063</x:v>
      </x:c>
      <x:c r="L842" s="24" t="str">
        <x:v>자동</x:v>
      </x:c>
      <x:c r="M842" s="31" t="n">
        <x:f>IF(AND(N842="미수",G842&lt;&gt;"",TODAY()&gt;G842),TODAY()-G842,0)</x:f>
        <x:v>0</x:v>
      </x:c>
      <x:c r="N842" s="24" t="str">
        <x:f>IF(J842&gt;0,"미수",IF(AND(H842&gt;0,I842&gt;=H842),"완납","미확인"))</x:f>
        <x:v>완납</x:v>
      </x:c>
      <x:c r="O842" s="31" t="n">
        <x:v>43</x:v>
      </x:c>
    </x:row>
    <x:row r="843" ht="17.25" customHeight="1">
      <x:c r="A843" s="24" t="str">
        <x:v>SW-B-68서5320-202601</x:v>
      </x:c>
      <x:c r="B843" s="24" t="str">
        <x:v>스위치플랜</x:v>
      </x:c>
      <x:c r="C843" s="24" t="str">
        <x:v>SW-C-68서5320-2-20250805-43</x:v>
      </x:c>
      <x:c r="D843" s="24" t="str">
        <x:v>68서5320</x:v>
      </x:c>
      <x:c r="E843" s="24" t="str">
        <x:v>이승조</x:v>
      </x:c>
      <x:c r="F843" s="24" t="str">
        <x:v>2026-01</x:v>
      </x:c>
      <x:c r="G843" s="30" t="n">
        <x:v>46032</x:v>
      </x:c>
      <x:c r="H843" s="32" t="n">
        <x:v>500000</x:v>
      </x:c>
      <x:c r="I843" s="32" t="n">
        <x:v>500000</x:v>
      </x:c>
      <x:c r="J843" s="32" t="n">
        <x:v>0</x:v>
      </x:c>
      <x:c r="K843" s="30" t="n">
        <x:v>46034</x:v>
      </x:c>
      <x:c r="L843" s="24" t="str">
        <x:v>자동</x:v>
      </x:c>
      <x:c r="M843" s="31" t="n">
        <x:f>IF(AND(N843="미수",G843&lt;&gt;"",TODAY()&gt;G843),TODAY()-G843,0)</x:f>
        <x:v>0</x:v>
      </x:c>
      <x:c r="N843" s="24" t="str">
        <x:f>IF(J843&gt;0,"미수",IF(AND(H843&gt;0,I843&gt;=H843),"완납","미확인"))</x:f>
        <x:v>완납</x:v>
      </x:c>
      <x:c r="O843" s="31" t="n">
        <x:v>43</x:v>
      </x:c>
    </x:row>
    <x:row r="844" ht="17.25" customHeight="1">
      <x:c r="A844" s="24" t="str">
        <x:v>SW-B-68서5320-202512</x:v>
      </x:c>
      <x:c r="B844" s="24" t="str">
        <x:v>스위치플랜</x:v>
      </x:c>
      <x:c r="C844" s="24" t="str">
        <x:v>SW-C-68서5320-2-20250805-43</x:v>
      </x:c>
      <x:c r="D844" s="24" t="str">
        <x:v>68서5320</x:v>
      </x:c>
      <x:c r="E844" s="24" t="str">
        <x:v>이승조</x:v>
      </x:c>
      <x:c r="F844" s="24" t="str">
        <x:v>2025-12</x:v>
      </x:c>
      <x:c r="G844" s="30" t="n">
        <x:v>46001</x:v>
      </x:c>
      <x:c r="H844" s="32" t="n">
        <x:v>500000</x:v>
      </x:c>
      <x:c r="I844" s="32" t="n">
        <x:v>500000</x:v>
      </x:c>
      <x:c r="J844" s="32" t="n">
        <x:v>0</x:v>
      </x:c>
      <x:c r="K844" s="30" t="n">
        <x:v>46001</x:v>
      </x:c>
      <x:c r="L844" s="24" t="str">
        <x:v>자동</x:v>
      </x:c>
      <x:c r="M844" s="31" t="n">
        <x:f>IF(AND(N844="미수",G844&lt;&gt;"",TODAY()&gt;G844),TODAY()-G844,0)</x:f>
        <x:v>0</x:v>
      </x:c>
      <x:c r="N844" s="24" t="str">
        <x:f>IF(J844&gt;0,"미수",IF(AND(H844&gt;0,I844&gt;=H844),"완납","미확인"))</x:f>
        <x:v>완납</x:v>
      </x:c>
      <x:c r="O844" s="31" t="n">
        <x:v>43</x:v>
      </x:c>
    </x:row>
    <x:row r="845" ht="17.25" customHeight="1">
      <x:c r="A845" s="24" t="str">
        <x:v>SW-B-68서5320-202511</x:v>
      </x:c>
      <x:c r="B845" s="24" t="str">
        <x:v>스위치플랜</x:v>
      </x:c>
      <x:c r="C845" s="24" t="str">
        <x:v>SW-C-68서5320-2-20250805-43</x:v>
      </x:c>
      <x:c r="D845" s="24" t="str">
        <x:v>68서5320</x:v>
      </x:c>
      <x:c r="E845" s="24" t="str">
        <x:v>이승조</x:v>
      </x:c>
      <x:c r="F845" s="24" t="str">
        <x:v>2025-11</x:v>
      </x:c>
      <x:c r="G845" s="30" t="n">
        <x:v>45971</x:v>
      </x:c>
      <x:c r="H845" s="32" t="n">
        <x:v>500000</x:v>
      </x:c>
      <x:c r="I845" s="32" t="n">
        <x:v>500000</x:v>
      </x:c>
      <x:c r="J845" s="32" t="n">
        <x:v>0</x:v>
      </x:c>
      <x:c r="K845" s="30" t="n">
        <x:v>45971</x:v>
      </x:c>
      <x:c r="L845" s="24" t="str">
        <x:v>자동</x:v>
      </x:c>
      <x:c r="M845" s="31" t="n">
        <x:f>IF(AND(N845="미수",G845&lt;&gt;"",TODAY()&gt;G845),TODAY()-G845,0)</x:f>
        <x:v>0</x:v>
      </x:c>
      <x:c r="N845" s="24" t="str">
        <x:f>IF(J845&gt;0,"미수",IF(AND(H845&gt;0,I845&gt;=H845),"완납","미확인"))</x:f>
        <x:v>완납</x:v>
      </x:c>
      <x:c r="O845" s="31" t="n">
        <x:v>43</x:v>
      </x:c>
    </x:row>
    <x:row r="846" ht="17.25" customHeight="1">
      <x:c r="A846" s="24" t="str">
        <x:v>SW-B-68서5320-202510</x:v>
      </x:c>
      <x:c r="B846" s="24" t="str">
        <x:v>스위치플랜</x:v>
      </x:c>
      <x:c r="C846" s="24" t="str">
        <x:v>SW-C-68서5320-2-20250805-43</x:v>
      </x:c>
      <x:c r="D846" s="24" t="str">
        <x:v>68서5320</x:v>
      </x:c>
      <x:c r="E846" s="24" t="str">
        <x:v>이승조</x:v>
      </x:c>
      <x:c r="F846" s="24" t="str">
        <x:v>2025-10</x:v>
      </x:c>
      <x:c r="G846" s="30" t="n">
        <x:v>45940</x:v>
      </x:c>
      <x:c r="H846" s="32" t="n">
        <x:v>500000</x:v>
      </x:c>
      <x:c r="I846" s="32" t="n">
        <x:v>500000</x:v>
      </x:c>
      <x:c r="J846" s="32" t="n">
        <x:v>0</x:v>
      </x:c>
      <x:c r="K846" s="30" t="n">
        <x:v>45940</x:v>
      </x:c>
      <x:c r="L846" s="24" t="str">
        <x:v>입금</x:v>
      </x:c>
      <x:c r="M846" s="31" t="n">
        <x:f>IF(AND(N846="미수",G846&lt;&gt;"",TODAY()&gt;G846),TODAY()-G846,0)</x:f>
        <x:v>0</x:v>
      </x:c>
      <x:c r="N846" s="24" t="str">
        <x:f>IF(J846&gt;0,"미수",IF(AND(H846&gt;0,I846&gt;=H846),"완납","미확인"))</x:f>
        <x:v>완납</x:v>
      </x:c>
      <x:c r="O846" s="31" t="n">
        <x:v>43</x:v>
      </x:c>
    </x:row>
    <x:row r="847" ht="17.25" customHeight="1">
      <x:c r="A847" s="24" t="str">
        <x:v>SW-B-68서5320-202509</x:v>
      </x:c>
      <x:c r="B847" s="24" t="str">
        <x:v>스위치플랜</x:v>
      </x:c>
      <x:c r="C847" s="24" t="str">
        <x:v>SW-C-68서5320-2-20250805-43</x:v>
      </x:c>
      <x:c r="D847" s="24" t="str">
        <x:v>68서5320</x:v>
      </x:c>
      <x:c r="E847" s="24" t="str">
        <x:v>이승조</x:v>
      </x:c>
      <x:c r="F847" s="24" t="str">
        <x:v>2025-09</x:v>
      </x:c>
      <x:c r="G847" s="30" t="n">
        <x:v>45910</x:v>
      </x:c>
      <x:c r="H847" s="32" t="n">
        <x:v>420000</x:v>
      </x:c>
      <x:c r="I847" s="32" t="n">
        <x:v>420000</x:v>
      </x:c>
      <x:c r="J847" s="32" t="n">
        <x:v>0</x:v>
      </x:c>
      <x:c r="K847" s="30" t="n">
        <x:v>45904</x:v>
      </x:c>
      <x:c r="L847" s="24" t="str">
        <x:v>입금</x:v>
      </x:c>
      <x:c r="M847" s="31" t="n">
        <x:f>IF(AND(N847="미수",G847&lt;&gt;"",TODAY()&gt;G847),TODAY()-G847,0)</x:f>
        <x:v>0</x:v>
      </x:c>
      <x:c r="N847" s="24" t="str">
        <x:f>IF(J847&gt;0,"미수",IF(AND(H847&gt;0,I847&gt;=H847),"완납","미확인"))</x:f>
        <x:v>완납</x:v>
      </x:c>
      <x:c r="O847" s="31" t="n">
        <x:v>43</x:v>
      </x:c>
    </x:row>
    <x:row r="848" ht="17.25" customHeight="1">
      <x:c r="A848" s="24" t="str">
        <x:v>SW-B-68서5320-202508</x:v>
      </x:c>
      <x:c r="B848" s="24" t="str">
        <x:v>스위치플랜</x:v>
      </x:c>
      <x:c r="C848" s="24" t="str">
        <x:v>SW-C-68서5320-2-20250805-43</x:v>
      </x:c>
      <x:c r="D848" s="24" t="str">
        <x:v>68서5320</x:v>
      </x:c>
      <x:c r="E848" s="24" t="str">
        <x:v>이승조</x:v>
      </x:c>
      <x:c r="F848" s="24" t="str">
        <x:v>2025-08</x:v>
      </x:c>
      <x:c r="G848" s="30" t="n">
        <x:v>45879</x:v>
      </x:c>
      <x:c r="H848" s="32" t="n">
        <x:v>500000</x:v>
      </x:c>
      <x:c r="I848" s="32" t="n">
        <x:v>500000</x:v>
      </x:c>
      <x:c r="J848" s="32" t="n">
        <x:v>0</x:v>
      </x:c>
      <x:c r="K848" s="30" t="n">
        <x:v>45870</x:v>
      </x:c>
      <x:c r="L848" s="24" t="str">
        <x:v>입금</x:v>
      </x:c>
      <x:c r="M848" s="31" t="n">
        <x:f>IF(AND(N848="미수",G848&lt;&gt;"",TODAY()&gt;G848),TODAY()-G848,0)</x:f>
        <x:v>0</x:v>
      </x:c>
      <x:c r="N848" s="24" t="str">
        <x:f>IF(J848&gt;0,"미수",IF(AND(H848&gt;0,I848&gt;=H848),"완납","미확인"))</x:f>
        <x:v>완납</x:v>
      </x:c>
      <x:c r="O848" s="31" t="n">
        <x:v>43</x:v>
      </x:c>
    </x:row>
    <x:row r="849" ht="17.25" customHeight="1">
      <x:c r="A849" s="24" t="str">
        <x:v>SW-B-68서5320-202507</x:v>
      </x:c>
      <x:c r="B849" s="24" t="str">
        <x:v>스위치플랜</x:v>
      </x:c>
      <x:c r="C849" s="24" t="str">
        <x:v>SW-C-68서5320-3-20241101-43</x:v>
      </x:c>
      <x:c r="D849" s="24" t="str">
        <x:v>68서5320</x:v>
      </x:c>
      <x:c r="E849" s="24" t="str">
        <x:v>이승조</x:v>
      </x:c>
      <x:c r="F849" s="24" t="str">
        <x:v>2025-07</x:v>
      </x:c>
      <x:c r="G849" s="30" t="n">
        <x:v>45848</x:v>
      </x:c>
      <x:c r="H849" s="32" t="n">
        <x:v>0</x:v>
      </x:c>
      <x:c r="I849" s="32"/>
      <x:c r="J849" s="32"/>
      <x:c r="K849" s="30"/>
      <x:c r="L849" s="24" t="str"/>
      <x:c r="M849" s="31" t="n">
        <x:f>IF(AND(N849="미수",G849&lt;&gt;"",TODAY()&gt;G849),TODAY()-G849,0)</x:f>
        <x:v>0</x:v>
      </x:c>
      <x:c r="N849" s="24" t="str">
        <x:f>IF(J849&gt;0,"미수",IF(AND(H849&gt;0,I849&gt;=H849),"완납","미확인"))</x:f>
        <x:v>미확인</x:v>
      </x:c>
      <x:c r="O849" s="31" t="n">
        <x:v>43</x:v>
      </x:c>
    </x:row>
    <x:row r="850" ht="17.25" customHeight="1">
      <x:c r="A850" s="24" t="str">
        <x:v>SW-B-68서5320-202506</x:v>
      </x:c>
      <x:c r="B850" s="24" t="str">
        <x:v>스위치플랜</x:v>
      </x:c>
      <x:c r="C850" s="24" t="str">
        <x:v>SW-C-68서5320-3-20241101-43</x:v>
      </x:c>
      <x:c r="D850" s="24" t="str">
        <x:v>68서5320</x:v>
      </x:c>
      <x:c r="E850" s="24" t="str">
        <x:v>이승조</x:v>
      </x:c>
      <x:c r="F850" s="24" t="str">
        <x:v>2025-06</x:v>
      </x:c>
      <x:c r="G850" s="30" t="n">
        <x:v>45818</x:v>
      </x:c>
      <x:c r="H850" s="32" t="n">
        <x:v>670000</x:v>
      </x:c>
      <x:c r="I850" s="32" t="n">
        <x:v>670000</x:v>
      </x:c>
      <x:c r="J850" s="32" t="n">
        <x:v>-100000</x:v>
      </x:c>
      <x:c r="K850" s="30" t="n">
        <x:v>45840</x:v>
      </x:c>
      <x:c r="L850" s="24" t="str">
        <x:v>입금</x:v>
      </x:c>
      <x:c r="M850" s="31" t="n">
        <x:f>IF(AND(N850="미수",G850&lt;&gt;"",TODAY()&gt;G850),TODAY()-G850,0)</x:f>
        <x:v>0</x:v>
      </x:c>
      <x:c r="N850" s="24" t="str">
        <x:f>IF(J850&gt;0,"미수",IF(AND(H850&gt;0,I850&gt;=H850),"완납","미확인"))</x:f>
        <x:v>완납</x:v>
      </x:c>
      <x:c r="O850" s="31" t="n">
        <x:v>43</x:v>
      </x:c>
    </x:row>
    <x:row r="851" ht="17.25" customHeight="1">
      <x:c r="A851" s="24" t="str">
        <x:v>SW-B-68서5320-202505</x:v>
      </x:c>
      <x:c r="B851" s="24" t="str">
        <x:v>스위치플랜</x:v>
      </x:c>
      <x:c r="C851" s="24" t="str">
        <x:v>SW-C-68서5320-3-20241101-43</x:v>
      </x:c>
      <x:c r="D851" s="24" t="str">
        <x:v>68서5320</x:v>
      </x:c>
      <x:c r="E851" s="24" t="str">
        <x:v>이승조</x:v>
      </x:c>
      <x:c r="F851" s="24" t="str">
        <x:v>2025-05</x:v>
      </x:c>
      <x:c r="G851" s="30" t="n">
        <x:v>45787</x:v>
      </x:c>
      <x:c r="H851" s="32" t="n">
        <x:v>670000</x:v>
      </x:c>
      <x:c r="I851" s="32" t="n">
        <x:v>670000</x:v>
      </x:c>
      <x:c r="J851" s="32" t="n">
        <x:v>-100000</x:v>
      </x:c>
      <x:c r="K851" s="30" t="n">
        <x:v>45810</x:v>
      </x:c>
      <x:c r="L851" s="24" t="str">
        <x:v>입금</x:v>
      </x:c>
      <x:c r="M851" s="31" t="n">
        <x:f>IF(AND(N851="미수",G851&lt;&gt;"",TODAY()&gt;G851),TODAY()-G851,0)</x:f>
        <x:v>0</x:v>
      </x:c>
      <x:c r="N851" s="24" t="str">
        <x:f>IF(J851&gt;0,"미수",IF(AND(H851&gt;0,I851&gt;=H851),"완납","미확인"))</x:f>
        <x:v>완납</x:v>
      </x:c>
      <x:c r="O851" s="31" t="n">
        <x:v>43</x:v>
      </x:c>
    </x:row>
    <x:row r="852" ht="17.25" customHeight="1">
      <x:c r="A852" s="24" t="str">
        <x:v>SW-B-68서5320-202504</x:v>
      </x:c>
      <x:c r="B852" s="24" t="str">
        <x:v>스위치플랜</x:v>
      </x:c>
      <x:c r="C852" s="24" t="str">
        <x:v>SW-C-68서5320-3-20241101-43</x:v>
      </x:c>
      <x:c r="D852" s="24" t="str">
        <x:v>68서5320</x:v>
      </x:c>
      <x:c r="E852" s="24" t="str">
        <x:v>이승조</x:v>
      </x:c>
      <x:c r="F852" s="24" t="str">
        <x:v>2025-04</x:v>
      </x:c>
      <x:c r="G852" s="30" t="n">
        <x:v>45757</x:v>
      </x:c>
      <x:c r="H852" s="32" t="n">
        <x:v>670000</x:v>
      </x:c>
      <x:c r="I852" s="32" t="n">
        <x:v>770000</x:v>
      </x:c>
      <x:c r="J852" s="32" t="n">
        <x:v>-100000</x:v>
      </x:c>
      <x:c r="K852" s="30" t="n">
        <x:v>45779</x:v>
      </x:c>
      <x:c r="L852" s="24" t="str">
        <x:v>입금</x:v>
      </x:c>
      <x:c r="M852" s="31" t="n">
        <x:f>IF(AND(N852="미수",G852&lt;&gt;"",TODAY()&gt;G852),TODAY()-G852,0)</x:f>
        <x:v>0</x:v>
      </x:c>
      <x:c r="N852" s="24" t="str">
        <x:f>IF(J852&gt;0,"미수",IF(AND(H852&gt;0,I852&gt;=H852),"완납","미확인"))</x:f>
        <x:v>완납</x:v>
      </x:c>
      <x:c r="O852" s="31" t="n">
        <x:v>43</x:v>
      </x:c>
    </x:row>
    <x:row r="853" ht="17.25" customHeight="1">
      <x:c r="A853" s="24" t="str">
        <x:v>SW-B-68서5320-202503</x:v>
      </x:c>
      <x:c r="B853" s="24" t="str">
        <x:v>스위치플랜</x:v>
      </x:c>
      <x:c r="C853" s="24" t="str">
        <x:v>SW-C-68서5320-3-20241101-43</x:v>
      </x:c>
      <x:c r="D853" s="24" t="str">
        <x:v>68서5320</x:v>
      </x:c>
      <x:c r="E853" s="24" t="str">
        <x:v>이승조</x:v>
      </x:c>
      <x:c r="F853" s="24" t="str">
        <x:v>2025-03</x:v>
      </x:c>
      <x:c r="G853" s="30" t="n">
        <x:v>45726</x:v>
      </x:c>
      <x:c r="H853" s="32" t="n">
        <x:v>670000</x:v>
      </x:c>
      <x:c r="I853" s="32" t="n">
        <x:v>670000</x:v>
      </x:c>
      <x:c r="J853" s="32" t="n">
        <x:v>0</x:v>
      </x:c>
      <x:c r="K853" s="30" t="n">
        <x:v>45748</x:v>
      </x:c>
      <x:c r="L853" s="24" t="str">
        <x:v>입금</x:v>
      </x:c>
      <x:c r="M853" s="31" t="n">
        <x:f>IF(AND(N853="미수",G853&lt;&gt;"",TODAY()&gt;G853),TODAY()-G853,0)</x:f>
        <x:v>0</x:v>
      </x:c>
      <x:c r="N853" s="24" t="str">
        <x:f>IF(J853&gt;0,"미수",IF(AND(H853&gt;0,I853&gt;=H853),"완납","미확인"))</x:f>
        <x:v>완납</x:v>
      </x:c>
      <x:c r="O853" s="31" t="n">
        <x:v>43</x:v>
      </x:c>
    </x:row>
    <x:row r="854" ht="17.25" customHeight="1">
      <x:c r="A854" s="24" t="str">
        <x:v>SW-B-68서5320-202502</x:v>
      </x:c>
      <x:c r="B854" s="24" t="str">
        <x:v>스위치플랜</x:v>
      </x:c>
      <x:c r="C854" s="24" t="str">
        <x:v>SW-C-68서5320-3-20241101-43</x:v>
      </x:c>
      <x:c r="D854" s="24" t="str">
        <x:v>68서5320</x:v>
      </x:c>
      <x:c r="E854" s="24" t="str">
        <x:v>이승조</x:v>
      </x:c>
      <x:c r="F854" s="24" t="str">
        <x:v>2025-02</x:v>
      </x:c>
      <x:c r="G854" s="30" t="n">
        <x:v>45698</x:v>
      </x:c>
      <x:c r="H854" s="32" t="n">
        <x:v>670000</x:v>
      </x:c>
      <x:c r="I854" s="32" t="n">
        <x:v>670000</x:v>
      </x:c>
      <x:c r="J854" s="32" t="n">
        <x:v>0</x:v>
      </x:c>
      <x:c r="K854" s="30" t="n">
        <x:v>45719</x:v>
      </x:c>
      <x:c r="L854" s="24" t="str">
        <x:v>입금</x:v>
      </x:c>
      <x:c r="M854" s="31" t="n">
        <x:f>IF(AND(N854="미수",G854&lt;&gt;"",TODAY()&gt;G854),TODAY()-G854,0)</x:f>
        <x:v>0</x:v>
      </x:c>
      <x:c r="N854" s="24" t="str">
        <x:f>IF(J854&gt;0,"미수",IF(AND(H854&gt;0,I854&gt;=H854),"완납","미확인"))</x:f>
        <x:v>완납</x:v>
      </x:c>
      <x:c r="O854" s="31" t="n">
        <x:v>43</x:v>
      </x:c>
    </x:row>
    <x:row r="855" ht="17.25" customHeight="1">
      <x:c r="A855" s="24" t="str">
        <x:v>SW-B-68서5320-202501</x:v>
      </x:c>
      <x:c r="B855" s="24" t="str">
        <x:v>스위치플랜</x:v>
      </x:c>
      <x:c r="C855" s="24" t="str">
        <x:v>SW-C-68서5320-3-20241101-43</x:v>
      </x:c>
      <x:c r="D855" s="24" t="str">
        <x:v>68서5320</x:v>
      </x:c>
      <x:c r="E855" s="24" t="str">
        <x:v>이승조</x:v>
      </x:c>
      <x:c r="F855" s="24" t="str">
        <x:v>2025-01</x:v>
      </x:c>
      <x:c r="G855" s="30" t="n">
        <x:v>45667</x:v>
      </x:c>
      <x:c r="H855" s="32" t="n">
        <x:v>670000</x:v>
      </x:c>
      <x:c r="I855" s="32" t="n">
        <x:v>670000</x:v>
      </x:c>
      <x:c r="J855" s="32" t="n">
        <x:v>0</x:v>
      </x:c>
      <x:c r="K855" s="30" t="n">
        <x:v>45690</x:v>
      </x:c>
      <x:c r="L855" s="24" t="str">
        <x:v>입금</x:v>
      </x:c>
      <x:c r="M855" s="31" t="n">
        <x:f>IF(AND(N855="미수",G855&lt;&gt;"",TODAY()&gt;G855),TODAY()-G855,0)</x:f>
        <x:v>0</x:v>
      </x:c>
      <x:c r="N855" s="24" t="str">
        <x:f>IF(J855&gt;0,"미수",IF(AND(H855&gt;0,I855&gt;=H855),"완납","미확인"))</x:f>
        <x:v>완납</x:v>
      </x:c>
      <x:c r="O855" s="31" t="n">
        <x:v>43</x:v>
      </x:c>
    </x:row>
    <x:row r="856" ht="17.25" customHeight="1">
      <x:c r="A856" s="24" t="str">
        <x:v>SW-B-68서5320-202412</x:v>
      </x:c>
      <x:c r="B856" s="24" t="str">
        <x:v>스위치플랜</x:v>
      </x:c>
      <x:c r="C856" s="24" t="str">
        <x:v>SW-C-68서5320-3-20241101-43</x:v>
      </x:c>
      <x:c r="D856" s="24" t="str">
        <x:v>68서5320</x:v>
      </x:c>
      <x:c r="E856" s="24" t="str">
        <x:v>이승조</x:v>
      </x:c>
      <x:c r="F856" s="24" t="str">
        <x:v>2024-12</x:v>
      </x:c>
      <x:c r="G856" s="30" t="n">
        <x:v>45636</x:v>
      </x:c>
      <x:c r="H856" s="32" t="n">
        <x:v>670000</x:v>
      </x:c>
      <x:c r="I856" s="32" t="n">
        <x:v>670000</x:v>
      </x:c>
      <x:c r="J856" s="32" t="n">
        <x:v>0</x:v>
      </x:c>
      <x:c r="K856" s="30" t="n">
        <x:v>45659</x:v>
      </x:c>
      <x:c r="L856" s="24" t="str">
        <x:v>입금</x:v>
      </x:c>
      <x:c r="M856" s="31" t="n">
        <x:f>IF(AND(N856="미수",G856&lt;&gt;"",TODAY()&gt;G856),TODAY()-G856,0)</x:f>
        <x:v>0</x:v>
      </x:c>
      <x:c r="N856" s="24" t="str">
        <x:f>IF(J856&gt;0,"미수",IF(AND(H856&gt;0,I856&gt;=H856),"완납","미확인"))</x:f>
        <x:v>완납</x:v>
      </x:c>
      <x:c r="O856" s="31" t="n">
        <x:v>43</x:v>
      </x:c>
    </x:row>
    <x:row r="857" ht="17.25" customHeight="1">
      <x:c r="A857" s="24" t="str">
        <x:v>SW-B-68서5320-202411</x:v>
      </x:c>
      <x:c r="B857" s="24" t="str">
        <x:v>스위치플랜</x:v>
      </x:c>
      <x:c r="C857" s="24" t="str">
        <x:v>SW-C-68서5320-3-20241101-43</x:v>
      </x:c>
      <x:c r="D857" s="24" t="str">
        <x:v>68서5320</x:v>
      </x:c>
      <x:c r="E857" s="24" t="str">
        <x:v>이승조</x:v>
      </x:c>
      <x:c r="F857" s="24" t="str">
        <x:v>2024-11</x:v>
      </x:c>
      <x:c r="G857" s="30" t="n">
        <x:v>45606</x:v>
      </x:c>
      <x:c r="H857" s="32" t="n">
        <x:v>670000</x:v>
      </x:c>
      <x:c r="I857" s="32" t="n">
        <x:v>670000</x:v>
      </x:c>
      <x:c r="J857" s="32" t="n">
        <x:v>0</x:v>
      </x:c>
      <x:c r="K857" s="30" t="n">
        <x:v>45627</x:v>
      </x:c>
      <x:c r="L857" s="24" t="str">
        <x:v>입금</x:v>
      </x:c>
      <x:c r="M857" s="31" t="n">
        <x:f>IF(AND(N857="미수",G857&lt;&gt;"",TODAY()&gt;G857),TODAY()-G857,0)</x:f>
        <x:v>0</x:v>
      </x:c>
      <x:c r="N857" s="24" t="str">
        <x:f>IF(J857&gt;0,"미수",IF(AND(H857&gt;0,I857&gt;=H857),"완납","미확인"))</x:f>
        <x:v>완납</x:v>
      </x:c>
      <x:c r="O857" s="31" t="n">
        <x:v>43</x:v>
      </x:c>
    </x:row>
    <x:row r="858" ht="17.25" customHeight="1">
      <x:c r="A858" s="24" t="str">
        <x:v>SW-B-68서5320-202410</x:v>
      </x:c>
      <x:c r="B858" s="24" t="str">
        <x:v>스위치플랜</x:v>
      </x:c>
      <x:c r="C858" s="24" t="str">
        <x:v>SW-C-68서5320-4-20240510-43</x:v>
      </x:c>
      <x:c r="D858" s="24" t="str">
        <x:v>68서5320</x:v>
      </x:c>
      <x:c r="E858" s="24" t="str">
        <x:v>이승조</x:v>
      </x:c>
      <x:c r="F858" s="24" t="str">
        <x:v>2024-10</x:v>
      </x:c>
      <x:c r="G858" s="30" t="n">
        <x:v>45575</x:v>
      </x:c>
      <x:c r="H858" s="32" t="n">
        <x:v>670000</x:v>
      </x:c>
      <x:c r="I858" s="32" t="n">
        <x:v>670000</x:v>
      </x:c>
      <x:c r="J858" s="32" t="n">
        <x:v>0</x:v>
      </x:c>
      <x:c r="K858" s="30" t="n">
        <x:v>45596</x:v>
      </x:c>
      <x:c r="L858" s="24" t="str">
        <x:v>입금</x:v>
      </x:c>
      <x:c r="M858" s="31" t="n">
        <x:f>IF(AND(N858="미수",G858&lt;&gt;"",TODAY()&gt;G858),TODAY()-G858,0)</x:f>
        <x:v>0</x:v>
      </x:c>
      <x:c r="N858" s="24" t="str">
        <x:f>IF(J858&gt;0,"미수",IF(AND(H858&gt;0,I858&gt;=H858),"완납","미확인"))</x:f>
        <x:v>완납</x:v>
      </x:c>
      <x:c r="O858" s="31" t="n">
        <x:v>43</x:v>
      </x:c>
    </x:row>
    <x:row r="859" ht="17.25" customHeight="1">
      <x:c r="A859" s="24" t="str">
        <x:v>SW-B-28구4152-202608</x:v>
      </x:c>
      <x:c r="B859" s="24" t="str">
        <x:v>스위치플랜</x:v>
      </x:c>
      <x:c r="C859" s="24" t="str">
        <x:v>SW-C-28구4152-1-20240201-44</x:v>
      </x:c>
      <x:c r="D859" s="24" t="str">
        <x:v>28구4152</x:v>
      </x:c>
      <x:c r="E859" s="24" t="str">
        <x:v>김경남</x:v>
      </x:c>
      <x:c r="F859" s="24" t="str">
        <x:v>2026-08</x:v>
      </x:c>
      <x:c r="G859" s="30" t="n">
        <x:v>46239</x:v>
      </x:c>
      <x:c r="H859" s="32" t="n">
        <x:v>880000</x:v>
      </x:c>
      <x:c r="I859" s="32" t="n">
        <x:v>880000</x:v>
      </x:c>
      <x:c r="J859" s="32" t="n">
        <x:v>0</x:v>
      </x:c>
      <x:c r="K859" s="30" t="n">
        <x:v>46240</x:v>
      </x:c>
      <x:c r="L859" s="24" t="str">
        <x:v>입금</x:v>
      </x:c>
      <x:c r="M859" s="31" t="n">
        <x:f>IF(AND(N859="미수",G859&lt;&gt;"",TODAY()&gt;G859),TODAY()-G859,0)</x:f>
        <x:v>0</x:v>
      </x:c>
      <x:c r="N859" s="24" t="str">
        <x:f>IF(J859&gt;0,"미수",IF(AND(H859&gt;0,I859&gt;=H859),"완납","미확인"))</x:f>
        <x:v>완납</x:v>
      </x:c>
      <x:c r="O859" s="31" t="n">
        <x:v>44</x:v>
      </x:c>
    </x:row>
    <x:row r="860" ht="17.25" customHeight="1">
      <x:c r="A860" s="24" t="str">
        <x:v>SW-B-28구4152-202607</x:v>
      </x:c>
      <x:c r="B860" s="24" t="str">
        <x:v>스위치플랜</x:v>
      </x:c>
      <x:c r="C860" s="24" t="str">
        <x:v>SW-C-28구4152-1-20240201-44</x:v>
      </x:c>
      <x:c r="D860" s="24" t="str">
        <x:v>28구4152</x:v>
      </x:c>
      <x:c r="E860" s="24" t="str">
        <x:v>김경남</x:v>
      </x:c>
      <x:c r="F860" s="24" t="str">
        <x:v>2026-07</x:v>
      </x:c>
      <x:c r="G860" s="30" t="n">
        <x:v>46208</x:v>
      </x:c>
      <x:c r="H860" s="32" t="n">
        <x:v>880000</x:v>
      </x:c>
      <x:c r="I860" s="32" t="n">
        <x:v>880000</x:v>
      </x:c>
      <x:c r="J860" s="32" t="n">
        <x:v>0</x:v>
      </x:c>
      <x:c r="K860" s="30" t="n">
        <x:v>46211</x:v>
      </x:c>
      <x:c r="L860" s="24" t="str">
        <x:v>입금</x:v>
      </x:c>
      <x:c r="M860" s="31" t="n">
        <x:f>IF(AND(N860="미수",G860&lt;&gt;"",TODAY()&gt;G860),TODAY()-G860,0)</x:f>
        <x:v>0</x:v>
      </x:c>
      <x:c r="N860" s="24" t="str">
        <x:f>IF(J860&gt;0,"미수",IF(AND(H860&gt;0,I860&gt;=H860),"완납","미확인"))</x:f>
        <x:v>완납</x:v>
      </x:c>
      <x:c r="O860" s="31" t="n">
        <x:v>44</x:v>
      </x:c>
    </x:row>
    <x:row r="861" ht="17.25" customHeight="1">
      <x:c r="A861" s="24" t="str">
        <x:v>SW-B-28구4152-202606</x:v>
      </x:c>
      <x:c r="B861" s="24" t="str">
        <x:v>스위치플랜</x:v>
      </x:c>
      <x:c r="C861" s="24" t="str">
        <x:v>SW-C-28구4152-1-20240201-44</x:v>
      </x:c>
      <x:c r="D861" s="24" t="str">
        <x:v>28구4152</x:v>
      </x:c>
      <x:c r="E861" s="24" t="str">
        <x:v>김경남</x:v>
      </x:c>
      <x:c r="F861" s="24" t="str">
        <x:v>2026-06</x:v>
      </x:c>
      <x:c r="G861" s="30" t="n">
        <x:v>46178</x:v>
      </x:c>
      <x:c r="H861" s="32" t="n">
        <x:v>880000</x:v>
      </x:c>
      <x:c r="I861" s="32" t="n">
        <x:v>880000</x:v>
      </x:c>
      <x:c r="J861" s="32" t="n">
        <x:v>0</x:v>
      </x:c>
      <x:c r="K861" s="30" t="n">
        <x:v>46181</x:v>
      </x:c>
      <x:c r="L861" s="24" t="str">
        <x:v>입금</x:v>
      </x:c>
      <x:c r="M861" s="31" t="n">
        <x:f>IF(AND(N861="미수",G861&lt;&gt;"",TODAY()&gt;G861),TODAY()-G861,0)</x:f>
        <x:v>0</x:v>
      </x:c>
      <x:c r="N861" s="24" t="str">
        <x:f>IF(J861&gt;0,"미수",IF(AND(H861&gt;0,I861&gt;=H861),"완납","미확인"))</x:f>
        <x:v>완납</x:v>
      </x:c>
      <x:c r="O861" s="31" t="n">
        <x:v>44</x:v>
      </x:c>
    </x:row>
    <x:row r="862" ht="17.25" customHeight="1">
      <x:c r="A862" s="24" t="str">
        <x:v>SW-B-28구4152-202605</x:v>
      </x:c>
      <x:c r="B862" s="24" t="str">
        <x:v>스위치플랜</x:v>
      </x:c>
      <x:c r="C862" s="24" t="str">
        <x:v>SW-C-28구4152-1-20240201-44</x:v>
      </x:c>
      <x:c r="D862" s="24" t="str">
        <x:v>28구4152</x:v>
      </x:c>
      <x:c r="E862" s="24" t="str">
        <x:v>김경남</x:v>
      </x:c>
      <x:c r="F862" s="24" t="str">
        <x:v>2026-05</x:v>
      </x:c>
      <x:c r="G862" s="30" t="n">
        <x:v>46147</x:v>
      </x:c>
      <x:c r="H862" s="32" t="n">
        <x:v>880000</x:v>
      </x:c>
      <x:c r="I862" s="32" t="n">
        <x:v>880000</x:v>
      </x:c>
      <x:c r="J862" s="32" t="n">
        <x:v>0</x:v>
      </x:c>
      <x:c r="K862" s="30" t="n">
        <x:v>46148</x:v>
      </x:c>
      <x:c r="L862" s="24" t="str">
        <x:v>입금</x:v>
      </x:c>
      <x:c r="M862" s="31" t="n">
        <x:f>IF(AND(N862="미수",G862&lt;&gt;"",TODAY()&gt;G862),TODAY()-G862,0)</x:f>
        <x:v>0</x:v>
      </x:c>
      <x:c r="N862" s="24" t="str">
        <x:f>IF(J862&gt;0,"미수",IF(AND(H862&gt;0,I862&gt;=H862),"완납","미확인"))</x:f>
        <x:v>완납</x:v>
      </x:c>
      <x:c r="O862" s="31" t="n">
        <x:v>44</x:v>
      </x:c>
    </x:row>
    <x:row r="863" ht="17.25" customHeight="1">
      <x:c r="A863" s="24" t="str">
        <x:v>SW-B-28구4152-202604</x:v>
      </x:c>
      <x:c r="B863" s="24" t="str">
        <x:v>스위치플랜</x:v>
      </x:c>
      <x:c r="C863" s="24" t="str">
        <x:v>SW-C-28구4152-1-20240201-44</x:v>
      </x:c>
      <x:c r="D863" s="24" t="str">
        <x:v>28구4152</x:v>
      </x:c>
      <x:c r="E863" s="24" t="str">
        <x:v>김경남</x:v>
      </x:c>
      <x:c r="F863" s="24" t="str">
        <x:v>2026-04</x:v>
      </x:c>
      <x:c r="G863" s="30" t="n">
        <x:v>46117</x:v>
      </x:c>
      <x:c r="H863" s="32" t="n">
        <x:v>880000</x:v>
      </x:c>
      <x:c r="I863" s="32" t="n">
        <x:v>880000</x:v>
      </x:c>
      <x:c r="J863" s="32" t="n">
        <x:v>0</x:v>
      </x:c>
      <x:c r="K863" s="30" t="n">
        <x:v>46120</x:v>
      </x:c>
      <x:c r="L863" s="24" t="str">
        <x:v>입금</x:v>
      </x:c>
      <x:c r="M863" s="31" t="n">
        <x:f>IF(AND(N863="미수",G863&lt;&gt;"",TODAY()&gt;G863),TODAY()-G863,0)</x:f>
        <x:v>0</x:v>
      </x:c>
      <x:c r="N863" s="24" t="str">
        <x:f>IF(J863&gt;0,"미수",IF(AND(H863&gt;0,I863&gt;=H863),"완납","미확인"))</x:f>
        <x:v>완납</x:v>
      </x:c>
      <x:c r="O863" s="31" t="n">
        <x:v>44</x:v>
      </x:c>
    </x:row>
    <x:row r="864" ht="17.25" customHeight="1">
      <x:c r="A864" s="24" t="str">
        <x:v>SW-B-28구4152-202603</x:v>
      </x:c>
      <x:c r="B864" s="24" t="str">
        <x:v>스위치플랜</x:v>
      </x:c>
      <x:c r="C864" s="24" t="str">
        <x:v>SW-C-28구4152-1-20240201-44</x:v>
      </x:c>
      <x:c r="D864" s="24" t="str">
        <x:v>28구4152</x:v>
      </x:c>
      <x:c r="E864" s="24" t="str">
        <x:v>김경남</x:v>
      </x:c>
      <x:c r="F864" s="24" t="str">
        <x:v>2026-03</x:v>
      </x:c>
      <x:c r="G864" s="30" t="n">
        <x:v>46086</x:v>
      </x:c>
      <x:c r="H864" s="32" t="n">
        <x:v>865000</x:v>
      </x:c>
      <x:c r="I864" s="32" t="n">
        <x:v>865000</x:v>
      </x:c>
      <x:c r="J864" s="32" t="n">
        <x:v>0</x:v>
      </x:c>
      <x:c r="K864" s="30" t="n">
        <x:v>46087</x:v>
      </x:c>
      <x:c r="L864" s="24" t="str">
        <x:v>입금</x:v>
      </x:c>
      <x:c r="M864" s="31" t="n">
        <x:f>IF(AND(N864="미수",G864&lt;&gt;"",TODAY()&gt;G864),TODAY()-G864,0)</x:f>
        <x:v>0</x:v>
      </x:c>
      <x:c r="N864" s="24" t="str">
        <x:f>IF(J864&gt;0,"미수",IF(AND(H864&gt;0,I864&gt;=H864),"완납","미확인"))</x:f>
        <x:v>완납</x:v>
      </x:c>
      <x:c r="O864" s="31" t="n">
        <x:v>44</x:v>
      </x:c>
    </x:row>
    <x:row r="865" ht="17.25" customHeight="1">
      <x:c r="A865" s="24" t="str">
        <x:v>SW-B-28구4152-202602</x:v>
      </x:c>
      <x:c r="B865" s="24" t="str">
        <x:v>스위치플랜</x:v>
      </x:c>
      <x:c r="C865" s="24" t="str">
        <x:v>SW-C-28구4152-1-20240201-44</x:v>
      </x:c>
      <x:c r="D865" s="24" t="str">
        <x:v>28구4152</x:v>
      </x:c>
      <x:c r="E865" s="24" t="str">
        <x:v>김경남</x:v>
      </x:c>
      <x:c r="F865" s="24" t="str">
        <x:v>2026-02</x:v>
      </x:c>
      <x:c r="G865" s="30" t="n">
        <x:v>46058</x:v>
      </x:c>
      <x:c r="H865" s="32" t="n">
        <x:v>880000</x:v>
      </x:c>
      <x:c r="I865" s="32" t="n">
        <x:v>880000</x:v>
      </x:c>
      <x:c r="J865" s="32" t="n">
        <x:v>0</x:v>
      </x:c>
      <x:c r="K865" s="30" t="n">
        <x:v>46066</x:v>
      </x:c>
      <x:c r="L865" s="24" t="str">
        <x:v>입금</x:v>
      </x:c>
      <x:c r="M865" s="31" t="n">
        <x:f>IF(AND(N865="미수",G865&lt;&gt;"",TODAY()&gt;G865),TODAY()-G865,0)</x:f>
        <x:v>0</x:v>
      </x:c>
      <x:c r="N865" s="24" t="str">
        <x:f>IF(J865&gt;0,"미수",IF(AND(H865&gt;0,I865&gt;=H865),"완납","미확인"))</x:f>
        <x:v>완납</x:v>
      </x:c>
      <x:c r="O865" s="31" t="n">
        <x:v>44</x:v>
      </x:c>
    </x:row>
    <x:row r="866" ht="17.25" customHeight="1">
      <x:c r="A866" s="24" t="str">
        <x:v>SW-B-28구4152-202601</x:v>
      </x:c>
      <x:c r="B866" s="24" t="str">
        <x:v>스위치플랜</x:v>
      </x:c>
      <x:c r="C866" s="24" t="str">
        <x:v>SW-C-28구4152-1-20240201-44</x:v>
      </x:c>
      <x:c r="D866" s="24" t="str">
        <x:v>28구4152</x:v>
      </x:c>
      <x:c r="E866" s="24" t="str">
        <x:v>김경남</x:v>
      </x:c>
      <x:c r="F866" s="24" t="str">
        <x:v>2026-01</x:v>
      </x:c>
      <x:c r="G866" s="30" t="n">
        <x:v>46027</x:v>
      </x:c>
      <x:c r="H866" s="32" t="n">
        <x:v>880000</x:v>
      </x:c>
      <x:c r="I866" s="32" t="n">
        <x:v>880000</x:v>
      </x:c>
      <x:c r="J866" s="32" t="n">
        <x:v>0</x:v>
      </x:c>
      <x:c r="K866" s="30" t="n">
        <x:v>46034</x:v>
      </x:c>
      <x:c r="L866" s="24" t="str">
        <x:v>입금</x:v>
      </x:c>
      <x:c r="M866" s="31" t="n">
        <x:f>IF(AND(N866="미수",G866&lt;&gt;"",TODAY()&gt;G866),TODAY()-G866,0)</x:f>
        <x:v>0</x:v>
      </x:c>
      <x:c r="N866" s="24" t="str">
        <x:f>IF(J866&gt;0,"미수",IF(AND(H866&gt;0,I866&gt;=H866),"완납","미확인"))</x:f>
        <x:v>완납</x:v>
      </x:c>
      <x:c r="O866" s="31" t="n">
        <x:v>44</x:v>
      </x:c>
    </x:row>
    <x:row r="867" ht="17.25" customHeight="1">
      <x:c r="A867" s="24" t="str">
        <x:v>SW-B-28구4152-202512</x:v>
      </x:c>
      <x:c r="B867" s="24" t="str">
        <x:v>스위치플랜</x:v>
      </x:c>
      <x:c r="C867" s="24" t="str">
        <x:v>SW-C-28구4152-1-20240201-44</x:v>
      </x:c>
      <x:c r="D867" s="24" t="str">
        <x:v>28구4152</x:v>
      </x:c>
      <x:c r="E867" s="24" t="str">
        <x:v>김경남</x:v>
      </x:c>
      <x:c r="F867" s="24" t="str">
        <x:v>2025-12</x:v>
      </x:c>
      <x:c r="G867" s="30" t="n">
        <x:v>45996</x:v>
      </x:c>
      <x:c r="H867" s="32" t="n">
        <x:v>880000</x:v>
      </x:c>
      <x:c r="I867" s="32" t="n">
        <x:v>880000</x:v>
      </x:c>
      <x:c r="J867" s="32" t="n">
        <x:v>0</x:v>
      </x:c>
      <x:c r="K867" s="30" t="n">
        <x:v>46006</x:v>
      </x:c>
      <x:c r="L867" s="24" t="str">
        <x:v>입금</x:v>
      </x:c>
      <x:c r="M867" s="31" t="n">
        <x:f>IF(AND(N867="미수",G867&lt;&gt;"",TODAY()&gt;G867),TODAY()-G867,0)</x:f>
        <x:v>0</x:v>
      </x:c>
      <x:c r="N867" s="24" t="str">
        <x:f>IF(J867&gt;0,"미수",IF(AND(H867&gt;0,I867&gt;=H867),"완납","미확인"))</x:f>
        <x:v>완납</x:v>
      </x:c>
      <x:c r="O867" s="31" t="n">
        <x:v>44</x:v>
      </x:c>
    </x:row>
    <x:row r="868" ht="17.25" customHeight="1">
      <x:c r="A868" s="24" t="str">
        <x:v>SW-B-28구4152-202511</x:v>
      </x:c>
      <x:c r="B868" s="24" t="str">
        <x:v>스위치플랜</x:v>
      </x:c>
      <x:c r="C868" s="24" t="str">
        <x:v>SW-C-28구4152-1-20240201-44</x:v>
      </x:c>
      <x:c r="D868" s="24" t="str">
        <x:v>28구4152</x:v>
      </x:c>
      <x:c r="E868" s="24" t="str">
        <x:v>김경남</x:v>
      </x:c>
      <x:c r="F868" s="24" t="str">
        <x:v>2025-11</x:v>
      </x:c>
      <x:c r="G868" s="30" t="n">
        <x:v>45966</x:v>
      </x:c>
      <x:c r="H868" s="32" t="n">
        <x:v>780000</x:v>
      </x:c>
      <x:c r="I868" s="32" t="n">
        <x:v>780000</x:v>
      </x:c>
      <x:c r="J868" s="32" t="n">
        <x:v>0</x:v>
      </x:c>
      <x:c r="K868" s="30" t="n">
        <x:v>45968</x:v>
      </x:c>
      <x:c r="L868" s="24" t="str">
        <x:v>입금</x:v>
      </x:c>
      <x:c r="M868" s="31" t="n">
        <x:f>IF(AND(N868="미수",G868&lt;&gt;"",TODAY()&gt;G868),TODAY()-G868,0)</x:f>
        <x:v>0</x:v>
      </x:c>
      <x:c r="N868" s="24" t="str">
        <x:f>IF(J868&gt;0,"미수",IF(AND(H868&gt;0,I868&gt;=H868),"완납","미확인"))</x:f>
        <x:v>완납</x:v>
      </x:c>
      <x:c r="O868" s="31" t="n">
        <x:v>44</x:v>
      </x:c>
    </x:row>
    <x:row r="869" ht="17.25" customHeight="1">
      <x:c r="A869" s="24" t="str">
        <x:v>SW-B-28구4152-202510</x:v>
      </x:c>
      <x:c r="B869" s="24" t="str">
        <x:v>스위치플랜</x:v>
      </x:c>
      <x:c r="C869" s="24" t="str">
        <x:v>SW-C-28구4152-1-20240201-44</x:v>
      </x:c>
      <x:c r="D869" s="24" t="str">
        <x:v>28구4152</x:v>
      </x:c>
      <x:c r="E869" s="24" t="str">
        <x:v>김경남</x:v>
      </x:c>
      <x:c r="F869" s="24" t="str">
        <x:v>2025-10</x:v>
      </x:c>
      <x:c r="G869" s="30" t="n">
        <x:v>45935</x:v>
      </x:c>
      <x:c r="H869" s="32" t="n">
        <x:v>880000</x:v>
      </x:c>
      <x:c r="I869" s="32" t="n">
        <x:v>880000</x:v>
      </x:c>
      <x:c r="J869" s="32" t="n">
        <x:v>0</x:v>
      </x:c>
      <x:c r="K869" s="30" t="n">
        <x:v>45932</x:v>
      </x:c>
      <x:c r="L869" s="24" t="str">
        <x:v>입금</x:v>
      </x:c>
      <x:c r="M869" s="31" t="n">
        <x:f>IF(AND(N869="미수",G869&lt;&gt;"",TODAY()&gt;G869),TODAY()-G869,0)</x:f>
        <x:v>0</x:v>
      </x:c>
      <x:c r="N869" s="24" t="str">
        <x:f>IF(J869&gt;0,"미수",IF(AND(H869&gt;0,I869&gt;=H869),"완납","미확인"))</x:f>
        <x:v>완납</x:v>
      </x:c>
      <x:c r="O869" s="31" t="n">
        <x:v>44</x:v>
      </x:c>
    </x:row>
    <x:row r="870" ht="17.25" customHeight="1">
      <x:c r="A870" s="24" t="str">
        <x:v>SW-B-28구4152-202509</x:v>
      </x:c>
      <x:c r="B870" s="24" t="str">
        <x:v>스위치플랜</x:v>
      </x:c>
      <x:c r="C870" s="24" t="str">
        <x:v>SW-C-28구4152-1-20240201-44</x:v>
      </x:c>
      <x:c r="D870" s="24" t="str">
        <x:v>28구4152</x:v>
      </x:c>
      <x:c r="E870" s="24" t="str">
        <x:v>김경남</x:v>
      </x:c>
      <x:c r="F870" s="24" t="str">
        <x:v>2025-09</x:v>
      </x:c>
      <x:c r="G870" s="30" t="n">
        <x:v>45905</x:v>
      </x:c>
      <x:c r="H870" s="32" t="n">
        <x:v>880000</x:v>
      </x:c>
      <x:c r="I870" s="32" t="n">
        <x:v>880000</x:v>
      </x:c>
      <x:c r="J870" s="32" t="n">
        <x:v>0</x:v>
      </x:c>
      <x:c r="K870" s="30" t="n">
        <x:v>45908</x:v>
      </x:c>
      <x:c r="L870" s="24" t="str">
        <x:v>입금</x:v>
      </x:c>
      <x:c r="M870" s="31" t="n">
        <x:f>IF(AND(N870="미수",G870&lt;&gt;"",TODAY()&gt;G870),TODAY()-G870,0)</x:f>
        <x:v>0</x:v>
      </x:c>
      <x:c r="N870" s="24" t="str">
        <x:f>IF(J870&gt;0,"미수",IF(AND(H870&gt;0,I870&gt;=H870),"완납","미확인"))</x:f>
        <x:v>완납</x:v>
      </x:c>
      <x:c r="O870" s="31" t="n">
        <x:v>44</x:v>
      </x:c>
    </x:row>
    <x:row r="871" ht="17.25" customHeight="1">
      <x:c r="A871" s="24" t="str">
        <x:v>SW-B-28구4152-202508</x:v>
      </x:c>
      <x:c r="B871" s="24" t="str">
        <x:v>스위치플랜</x:v>
      </x:c>
      <x:c r="C871" s="24" t="str">
        <x:v>SW-C-28구4152-1-20240201-44</x:v>
      </x:c>
      <x:c r="D871" s="24" t="str">
        <x:v>28구4152</x:v>
      </x:c>
      <x:c r="E871" s="24" t="str">
        <x:v>김경남</x:v>
      </x:c>
      <x:c r="F871" s="24" t="str">
        <x:v>2025-08</x:v>
      </x:c>
      <x:c r="G871" s="30" t="n">
        <x:v>45874</x:v>
      </x:c>
      <x:c r="H871" s="32" t="n">
        <x:v>880000</x:v>
      </x:c>
      <x:c r="I871" s="32" t="n">
        <x:v>880000</x:v>
      </x:c>
      <x:c r="J871" s="32" t="n">
        <x:v>0</x:v>
      </x:c>
      <x:c r="K871" s="30" t="n">
        <x:v>45876</x:v>
      </x:c>
      <x:c r="L871" s="24" t="str">
        <x:v>입금</x:v>
      </x:c>
      <x:c r="M871" s="31" t="n">
        <x:f>IF(AND(N871="미수",G871&lt;&gt;"",TODAY()&gt;G871),TODAY()-G871,0)</x:f>
        <x:v>0</x:v>
      </x:c>
      <x:c r="N871" s="24" t="str">
        <x:f>IF(J871&gt;0,"미수",IF(AND(H871&gt;0,I871&gt;=H871),"완납","미확인"))</x:f>
        <x:v>완납</x:v>
      </x:c>
      <x:c r="O871" s="31" t="n">
        <x:v>44</x:v>
      </x:c>
    </x:row>
    <x:row r="872" ht="17.25" customHeight="1">
      <x:c r="A872" s="24" t="str">
        <x:v>SW-B-28구4152-202507</x:v>
      </x:c>
      <x:c r="B872" s="24" t="str">
        <x:v>스위치플랜</x:v>
      </x:c>
      <x:c r="C872" s="24" t="str">
        <x:v>SW-C-28구4152-1-20240201-44</x:v>
      </x:c>
      <x:c r="D872" s="24" t="str">
        <x:v>28구4152</x:v>
      </x:c>
      <x:c r="E872" s="24" t="str">
        <x:v>김경남</x:v>
      </x:c>
      <x:c r="F872" s="24" t="str">
        <x:v>2025-07</x:v>
      </x:c>
      <x:c r="G872" s="30" t="n">
        <x:v>45843</x:v>
      </x:c>
      <x:c r="H872" s="32" t="n">
        <x:v>880000</x:v>
      </x:c>
      <x:c r="I872" s="32" t="n">
        <x:v>880000</x:v>
      </x:c>
      <x:c r="J872" s="32" t="n">
        <x:v>0</x:v>
      </x:c>
      <x:c r="K872" s="30" t="n">
        <x:v>45849</x:v>
      </x:c>
      <x:c r="L872" s="24" t="str">
        <x:v>입금</x:v>
      </x:c>
      <x:c r="M872" s="31" t="n">
        <x:f>IF(AND(N872="미수",G872&lt;&gt;"",TODAY()&gt;G872),TODAY()-G872,0)</x:f>
        <x:v>0</x:v>
      </x:c>
      <x:c r="N872" s="24" t="str">
        <x:f>IF(J872&gt;0,"미수",IF(AND(H872&gt;0,I872&gt;=H872),"완납","미확인"))</x:f>
        <x:v>완납</x:v>
      </x:c>
      <x:c r="O872" s="31" t="n">
        <x:v>44</x:v>
      </x:c>
    </x:row>
    <x:row r="873" ht="17.25" customHeight="1">
      <x:c r="A873" s="24" t="str">
        <x:v>SW-B-28구4152-202506</x:v>
      </x:c>
      <x:c r="B873" s="24" t="str">
        <x:v>스위치플랜</x:v>
      </x:c>
      <x:c r="C873" s="24" t="str">
        <x:v>SW-C-28구4152-1-20240201-44</x:v>
      </x:c>
      <x:c r="D873" s="24" t="str">
        <x:v>28구4152</x:v>
      </x:c>
      <x:c r="E873" s="24" t="str">
        <x:v>김경남</x:v>
      </x:c>
      <x:c r="F873" s="24" t="str">
        <x:v>2025-06</x:v>
      </x:c>
      <x:c r="G873" s="30" t="n">
        <x:v>45813</x:v>
      </x:c>
      <x:c r="H873" s="32" t="n">
        <x:v>880000</x:v>
      </x:c>
      <x:c r="I873" s="32" t="n">
        <x:v>880000</x:v>
      </x:c>
      <x:c r="J873" s="32" t="n">
        <x:v>0</x:v>
      </x:c>
      <x:c r="K873" s="30" t="n">
        <x:v>45828</x:v>
      </x:c>
      <x:c r="L873" s="24" t="str">
        <x:v>입금</x:v>
      </x:c>
      <x:c r="M873" s="31" t="n">
        <x:f>IF(AND(N873="미수",G873&lt;&gt;"",TODAY()&gt;G873),TODAY()-G873,0)</x:f>
        <x:v>0</x:v>
      </x:c>
      <x:c r="N873" s="24" t="str">
        <x:f>IF(J873&gt;0,"미수",IF(AND(H873&gt;0,I873&gt;=H873),"완납","미확인"))</x:f>
        <x:v>완납</x:v>
      </x:c>
      <x:c r="O873" s="31" t="n">
        <x:v>44</x:v>
      </x:c>
    </x:row>
    <x:row r="874" ht="17.25" customHeight="1">
      <x:c r="A874" s="24" t="str">
        <x:v>SW-B-28구4152-202505</x:v>
      </x:c>
      <x:c r="B874" s="24" t="str">
        <x:v>스위치플랜</x:v>
      </x:c>
      <x:c r="C874" s="24" t="str">
        <x:v>SW-C-28구4152-1-20240201-44</x:v>
      </x:c>
      <x:c r="D874" s="24" t="str">
        <x:v>28구4152</x:v>
      </x:c>
      <x:c r="E874" s="24" t="str">
        <x:v>김경남</x:v>
      </x:c>
      <x:c r="F874" s="24" t="str">
        <x:v>2025-05</x:v>
      </x:c>
      <x:c r="G874" s="30" t="n">
        <x:v>45782</x:v>
      </x:c>
      <x:c r="H874" s="32" t="n">
        <x:v>880000</x:v>
      </x:c>
      <x:c r="I874" s="32" t="n">
        <x:v>880000</x:v>
      </x:c>
      <x:c r="J874" s="32" t="n">
        <x:v>0</x:v>
      </x:c>
      <x:c r="K874" s="30" t="n">
        <x:v>45785</x:v>
      </x:c>
      <x:c r="L874" s="24" t="str">
        <x:v>입금</x:v>
      </x:c>
      <x:c r="M874" s="31" t="n">
        <x:f>IF(AND(N874="미수",G874&lt;&gt;"",TODAY()&gt;G874),TODAY()-G874,0)</x:f>
        <x:v>0</x:v>
      </x:c>
      <x:c r="N874" s="24" t="str">
        <x:f>IF(J874&gt;0,"미수",IF(AND(H874&gt;0,I874&gt;=H874),"완납","미확인"))</x:f>
        <x:v>완납</x:v>
      </x:c>
      <x:c r="O874" s="31" t="n">
        <x:v>44</x:v>
      </x:c>
    </x:row>
    <x:row r="875" ht="17.25" customHeight="1">
      <x:c r="A875" s="24" t="str">
        <x:v>SW-B-28구4152-202504</x:v>
      </x:c>
      <x:c r="B875" s="24" t="str">
        <x:v>스위치플랜</x:v>
      </x:c>
      <x:c r="C875" s="24" t="str">
        <x:v>SW-C-28구4152-1-20240201-44</x:v>
      </x:c>
      <x:c r="D875" s="24" t="str">
        <x:v>28구4152</x:v>
      </x:c>
      <x:c r="E875" s="24" t="str">
        <x:v>김경남</x:v>
      </x:c>
      <x:c r="F875" s="24" t="str">
        <x:v>2025-04</x:v>
      </x:c>
      <x:c r="G875" s="30" t="n">
        <x:v>45752</x:v>
      </x:c>
      <x:c r="H875" s="32" t="n">
        <x:v>880000</x:v>
      </x:c>
      <x:c r="I875" s="32" t="n">
        <x:v>880000</x:v>
      </x:c>
      <x:c r="J875" s="32" t="n">
        <x:v>0</x:v>
      </x:c>
      <x:c r="K875" s="30" t="n">
        <x:v>45756</x:v>
      </x:c>
      <x:c r="L875" s="24" t="str">
        <x:v>입금</x:v>
      </x:c>
      <x:c r="M875" s="31" t="n">
        <x:f>IF(AND(N875="미수",G875&lt;&gt;"",TODAY()&gt;G875),TODAY()-G875,0)</x:f>
        <x:v>0</x:v>
      </x:c>
      <x:c r="N875" s="24" t="str">
        <x:f>IF(J875&gt;0,"미수",IF(AND(H875&gt;0,I875&gt;=H875),"완납","미확인"))</x:f>
        <x:v>완납</x:v>
      </x:c>
      <x:c r="O875" s="31" t="n">
        <x:v>44</x:v>
      </x:c>
    </x:row>
    <x:row r="876" ht="17.25" customHeight="1">
      <x:c r="A876" s="24" t="str">
        <x:v>SW-B-28구4152-202503</x:v>
      </x:c>
      <x:c r="B876" s="24" t="str">
        <x:v>스위치플랜</x:v>
      </x:c>
      <x:c r="C876" s="24" t="str">
        <x:v>SW-C-28구4152-1-20240201-44</x:v>
      </x:c>
      <x:c r="D876" s="24" t="str">
        <x:v>28구4152</x:v>
      </x:c>
      <x:c r="E876" s="24" t="str">
        <x:v>김경남</x:v>
      </x:c>
      <x:c r="F876" s="24" t="str">
        <x:v>2025-03</x:v>
      </x:c>
      <x:c r="G876" s="30" t="n">
        <x:v>45721</x:v>
      </x:c>
      <x:c r="H876" s="32" t="n">
        <x:v>880000</x:v>
      </x:c>
      <x:c r="I876" s="32" t="n">
        <x:v>880000</x:v>
      </x:c>
      <x:c r="J876" s="32" t="n">
        <x:v>0</x:v>
      </x:c>
      <x:c r="K876" s="30" t="n">
        <x:v>45724</x:v>
      </x:c>
      <x:c r="L876" s="24" t="str">
        <x:v>입금</x:v>
      </x:c>
      <x:c r="M876" s="31" t="n">
        <x:f>IF(AND(N876="미수",G876&lt;&gt;"",TODAY()&gt;G876),TODAY()-G876,0)</x:f>
        <x:v>0</x:v>
      </x:c>
      <x:c r="N876" s="24" t="str">
        <x:f>IF(J876&gt;0,"미수",IF(AND(H876&gt;0,I876&gt;=H876),"완납","미확인"))</x:f>
        <x:v>완납</x:v>
      </x:c>
      <x:c r="O876" s="31" t="n">
        <x:v>44</x:v>
      </x:c>
    </x:row>
    <x:row r="877" ht="17.25" customHeight="1">
      <x:c r="A877" s="24" t="str">
        <x:v>SW-B-28구4152-202502</x:v>
      </x:c>
      <x:c r="B877" s="24" t="str">
        <x:v>스위치플랜</x:v>
      </x:c>
      <x:c r="C877" s="24" t="str">
        <x:v>SW-C-28구4152-1-20240201-44</x:v>
      </x:c>
      <x:c r="D877" s="24" t="str">
        <x:v>28구4152</x:v>
      </x:c>
      <x:c r="E877" s="24" t="str">
        <x:v>김경남</x:v>
      </x:c>
      <x:c r="F877" s="24" t="str">
        <x:v>2025-02</x:v>
      </x:c>
      <x:c r="G877" s="30" t="n">
        <x:v>45693</x:v>
      </x:c>
      <x:c r="H877" s="32" t="n">
        <x:v>880000</x:v>
      </x:c>
      <x:c r="I877" s="32" t="n">
        <x:v>880000</x:v>
      </x:c>
      <x:c r="J877" s="32" t="n">
        <x:v>0</x:v>
      </x:c>
      <x:c r="K877" s="30" t="n">
        <x:v>45694</x:v>
      </x:c>
      <x:c r="L877" s="24" t="str">
        <x:v>입금</x:v>
      </x:c>
      <x:c r="M877" s="31" t="n">
        <x:f>IF(AND(N877="미수",G877&lt;&gt;"",TODAY()&gt;G877),TODAY()-G877,0)</x:f>
        <x:v>0</x:v>
      </x:c>
      <x:c r="N877" s="24" t="str">
        <x:f>IF(J877&gt;0,"미수",IF(AND(H877&gt;0,I877&gt;=H877),"완납","미확인"))</x:f>
        <x:v>완납</x:v>
      </x:c>
      <x:c r="O877" s="31" t="n">
        <x:v>44</x:v>
      </x:c>
    </x:row>
    <x:row r="878" ht="17.25" customHeight="1">
      <x:c r="A878" s="24" t="str">
        <x:v>SW-B-28구4152-202501</x:v>
      </x:c>
      <x:c r="B878" s="24" t="str">
        <x:v>스위치플랜</x:v>
      </x:c>
      <x:c r="C878" s="24" t="str">
        <x:v>SW-C-28구4152-1-20240201-44</x:v>
      </x:c>
      <x:c r="D878" s="24" t="str">
        <x:v>28구4152</x:v>
      </x:c>
      <x:c r="E878" s="24" t="str">
        <x:v>김경남</x:v>
      </x:c>
      <x:c r="F878" s="24" t="str">
        <x:v>2025-01</x:v>
      </x:c>
      <x:c r="G878" s="30" t="n">
        <x:v>45662</x:v>
      </x:c>
      <x:c r="H878" s="32" t="n">
        <x:v>880000</x:v>
      </x:c>
      <x:c r="I878" s="32" t="n">
        <x:v>880000</x:v>
      </x:c>
      <x:c r="J878" s="32" t="n">
        <x:v>0</x:v>
      </x:c>
      <x:c r="K878" s="30" t="n">
        <x:v>45664</x:v>
      </x:c>
      <x:c r="L878" s="24" t="str">
        <x:v>입금</x:v>
      </x:c>
      <x:c r="M878" s="31" t="n">
        <x:f>IF(AND(N878="미수",G878&lt;&gt;"",TODAY()&gt;G878),TODAY()-G878,0)</x:f>
        <x:v>0</x:v>
      </x:c>
      <x:c r="N878" s="24" t="str">
        <x:f>IF(J878&gt;0,"미수",IF(AND(H878&gt;0,I878&gt;=H878),"완납","미확인"))</x:f>
        <x:v>완납</x:v>
      </x:c>
      <x:c r="O878" s="31" t="n">
        <x:v>44</x:v>
      </x:c>
    </x:row>
    <x:row r="879" ht="17.25" customHeight="1">
      <x:c r="A879" s="24" t="str">
        <x:v>SW-B-28구4152-202412</x:v>
      </x:c>
      <x:c r="B879" s="24" t="str">
        <x:v>스위치플랜</x:v>
      </x:c>
      <x:c r="C879" s="24" t="str">
        <x:v>SW-C-28구4152-1-20240201-44</x:v>
      </x:c>
      <x:c r="D879" s="24" t="str">
        <x:v>28구4152</x:v>
      </x:c>
      <x:c r="E879" s="24" t="str">
        <x:v>김경남</x:v>
      </x:c>
      <x:c r="F879" s="24" t="str">
        <x:v>2024-12</x:v>
      </x:c>
      <x:c r="G879" s="30" t="n">
        <x:v>45631</x:v>
      </x:c>
      <x:c r="H879" s="32" t="n">
        <x:v>880000</x:v>
      </x:c>
      <x:c r="I879" s="32" t="n">
        <x:v>880000</x:v>
      </x:c>
      <x:c r="J879" s="32" t="n">
        <x:v>0</x:v>
      </x:c>
      <x:c r="K879" s="30" t="n">
        <x:v>45634</x:v>
      </x:c>
      <x:c r="L879" s="24" t="str">
        <x:v>입금</x:v>
      </x:c>
      <x:c r="M879" s="31" t="n">
        <x:f>IF(AND(N879="미수",G879&lt;&gt;"",TODAY()&gt;G879),TODAY()-G879,0)</x:f>
        <x:v>0</x:v>
      </x:c>
      <x:c r="N879" s="24" t="str">
        <x:f>IF(J879&gt;0,"미수",IF(AND(H879&gt;0,I879&gt;=H879),"완납","미확인"))</x:f>
        <x:v>완납</x:v>
      </x:c>
      <x:c r="O879" s="31" t="n">
        <x:v>44</x:v>
      </x:c>
    </x:row>
    <x:row r="880" ht="17.25" customHeight="1">
      <x:c r="A880" s="24" t="str">
        <x:v>SW-B-28구4152-202411</x:v>
      </x:c>
      <x:c r="B880" s="24" t="str">
        <x:v>스위치플랜</x:v>
      </x:c>
      <x:c r="C880" s="24" t="str">
        <x:v>SW-C-28구4152-1-20240201-44</x:v>
      </x:c>
      <x:c r="D880" s="24" t="str">
        <x:v>28구4152</x:v>
      </x:c>
      <x:c r="E880" s="24" t="str">
        <x:v>김경남</x:v>
      </x:c>
      <x:c r="F880" s="24" t="str">
        <x:v>2024-11</x:v>
      </x:c>
      <x:c r="G880" s="30" t="n">
        <x:v>45601</x:v>
      </x:c>
      <x:c r="H880" s="32" t="n">
        <x:v>880000</x:v>
      </x:c>
      <x:c r="I880" s="32" t="n">
        <x:v>880000</x:v>
      </x:c>
      <x:c r="J880" s="32" t="n">
        <x:v>0</x:v>
      </x:c>
      <x:c r="K880" s="30" t="n">
        <x:v>45601</x:v>
      </x:c>
      <x:c r="L880" s="24" t="str">
        <x:v>입금</x:v>
      </x:c>
      <x:c r="M880" s="31" t="n">
        <x:f>IF(AND(N880="미수",G880&lt;&gt;"",TODAY()&gt;G880),TODAY()-G880,0)</x:f>
        <x:v>0</x:v>
      </x:c>
      <x:c r="N880" s="24" t="str">
        <x:f>IF(J880&gt;0,"미수",IF(AND(H880&gt;0,I880&gt;=H880),"완납","미확인"))</x:f>
        <x:v>완납</x:v>
      </x:c>
      <x:c r="O880" s="31" t="n">
        <x:v>44</x:v>
      </x:c>
    </x:row>
    <x:row r="881" ht="17.25" customHeight="1">
      <x:c r="A881" s="24" t="str">
        <x:v>SW-B-28구4152-202410</x:v>
      </x:c>
      <x:c r="B881" s="24" t="str">
        <x:v>스위치플랜</x:v>
      </x:c>
      <x:c r="C881" s="24" t="str">
        <x:v>SW-C-28구4152-1-20240201-44</x:v>
      </x:c>
      <x:c r="D881" s="24" t="str">
        <x:v>28구4152</x:v>
      </x:c>
      <x:c r="E881" s="24" t="str">
        <x:v>김경남</x:v>
      </x:c>
      <x:c r="F881" s="24" t="str">
        <x:v>2024-10</x:v>
      </x:c>
      <x:c r="G881" s="30" t="n">
        <x:v>45570</x:v>
      </x:c>
      <x:c r="H881" s="32" t="n">
        <x:v>880000</x:v>
      </x:c>
      <x:c r="I881" s="32" t="n">
        <x:v>880000</x:v>
      </x:c>
      <x:c r="J881" s="32" t="n">
        <x:v>0</x:v>
      </x:c>
      <x:c r="K881" s="30" t="n">
        <x:v>45572</x:v>
      </x:c>
      <x:c r="L881" s="24" t="str">
        <x:v>입금</x:v>
      </x:c>
      <x:c r="M881" s="31" t="n">
        <x:f>IF(AND(N881="미수",G881&lt;&gt;"",TODAY()&gt;G881),TODAY()-G881,0)</x:f>
        <x:v>0</x:v>
      </x:c>
      <x:c r="N881" s="24" t="str">
        <x:f>IF(J881&gt;0,"미수",IF(AND(H881&gt;0,I881&gt;=H881),"완납","미확인"))</x:f>
        <x:v>완납</x:v>
      </x:c>
      <x:c r="O881" s="31" t="n">
        <x:v>44</x:v>
      </x:c>
    </x:row>
    <x:row r="882" ht="17.25" customHeight="1">
      <x:c r="A882" s="24" t="str">
        <x:v>SW-B-28구4152-202409</x:v>
      </x:c>
      <x:c r="B882" s="24" t="str">
        <x:v>스위치플랜</x:v>
      </x:c>
      <x:c r="C882" s="24" t="str">
        <x:v>SW-C-28구4152-1-20240201-44</x:v>
      </x:c>
      <x:c r="D882" s="24" t="str">
        <x:v>28구4152</x:v>
      </x:c>
      <x:c r="E882" s="24" t="str">
        <x:v>김경남</x:v>
      </x:c>
      <x:c r="F882" s="24" t="str">
        <x:v>2024-09</x:v>
      </x:c>
      <x:c r="G882" s="30" t="n">
        <x:v>45540</x:v>
      </x:c>
      <x:c r="H882" s="32" t="n">
        <x:v>880000</x:v>
      </x:c>
      <x:c r="I882" s="32" t="n">
        <x:v>880000</x:v>
      </x:c>
      <x:c r="J882" s="32" t="n">
        <x:v>0</x:v>
      </x:c>
      <x:c r="K882" s="30" t="n">
        <x:v>45542</x:v>
      </x:c>
      <x:c r="L882" s="24" t="str">
        <x:v>입금</x:v>
      </x:c>
      <x:c r="M882" s="31" t="n">
        <x:f>IF(AND(N882="미수",G882&lt;&gt;"",TODAY()&gt;G882),TODAY()-G882,0)</x:f>
        <x:v>0</x:v>
      </x:c>
      <x:c r="N882" s="24" t="str">
        <x:f>IF(J882&gt;0,"미수",IF(AND(H882&gt;0,I882&gt;=H882),"완납","미확인"))</x:f>
        <x:v>완납</x:v>
      </x:c>
      <x:c r="O882" s="31" t="n">
        <x:v>44</x:v>
      </x:c>
    </x:row>
    <x:row r="883" ht="17.25" customHeight="1">
      <x:c r="A883" s="24" t="str">
        <x:v>SW-B-28구4152-202408</x:v>
      </x:c>
      <x:c r="B883" s="24" t="str">
        <x:v>스위치플랜</x:v>
      </x:c>
      <x:c r="C883" s="24" t="str">
        <x:v>SW-C-28구4152-1-20240201-44</x:v>
      </x:c>
      <x:c r="D883" s="24" t="str">
        <x:v>28구4152</x:v>
      </x:c>
      <x:c r="E883" s="24" t="str">
        <x:v>김경남</x:v>
      </x:c>
      <x:c r="F883" s="24" t="str">
        <x:v>2024-08</x:v>
      </x:c>
      <x:c r="G883" s="30" t="n">
        <x:v>45509</x:v>
      </x:c>
      <x:c r="H883" s="32" t="n">
        <x:v>880000</x:v>
      </x:c>
      <x:c r="I883" s="32" t="n">
        <x:v>880000</x:v>
      </x:c>
      <x:c r="J883" s="32" t="n">
        <x:v>0</x:v>
      </x:c>
      <x:c r="K883" s="30" t="n">
        <x:v>45511</x:v>
      </x:c>
      <x:c r="L883" s="24" t="str">
        <x:v>입금</x:v>
      </x:c>
      <x:c r="M883" s="31" t="n">
        <x:f>IF(AND(N883="미수",G883&lt;&gt;"",TODAY()&gt;G883),TODAY()-G883,0)</x:f>
        <x:v>0</x:v>
      </x:c>
      <x:c r="N883" s="24" t="str">
        <x:f>IF(J883&gt;0,"미수",IF(AND(H883&gt;0,I883&gt;=H883),"완납","미확인"))</x:f>
        <x:v>완납</x:v>
      </x:c>
      <x:c r="O883" s="31" t="n">
        <x:v>44</x:v>
      </x:c>
    </x:row>
    <x:row r="884" ht="17.25" customHeight="1">
      <x:c r="A884" s="24" t="str">
        <x:v>SW-B-28구4152-202407</x:v>
      </x:c>
      <x:c r="B884" s="24" t="str">
        <x:v>스위치플랜</x:v>
      </x:c>
      <x:c r="C884" s="24" t="str">
        <x:v>SW-C-28구4152-1-20240201-44</x:v>
      </x:c>
      <x:c r="D884" s="24" t="str">
        <x:v>28구4152</x:v>
      </x:c>
      <x:c r="E884" s="24" t="str">
        <x:v>김경남</x:v>
      </x:c>
      <x:c r="F884" s="24" t="str">
        <x:v>2024-07</x:v>
      </x:c>
      <x:c r="G884" s="30" t="n">
        <x:v>45478</x:v>
      </x:c>
      <x:c r="H884" s="32" t="n">
        <x:v>880000</x:v>
      </x:c>
      <x:c r="I884" s="32" t="n">
        <x:v>880000</x:v>
      </x:c>
      <x:c r="J884" s="32" t="n">
        <x:v>0</x:v>
      </x:c>
      <x:c r="K884" s="30" t="n">
        <x:v>45479</x:v>
      </x:c>
      <x:c r="L884" s="24" t="str">
        <x:v>입금</x:v>
      </x:c>
      <x:c r="M884" s="31" t="n">
        <x:f>IF(AND(N884="미수",G884&lt;&gt;"",TODAY()&gt;G884),TODAY()-G884,0)</x:f>
        <x:v>0</x:v>
      </x:c>
      <x:c r="N884" s="24" t="str">
        <x:f>IF(J884&gt;0,"미수",IF(AND(H884&gt;0,I884&gt;=H884),"완납","미확인"))</x:f>
        <x:v>완납</x:v>
      </x:c>
      <x:c r="O884" s="31" t="n">
        <x:v>44</x:v>
      </x:c>
    </x:row>
    <x:row r="885" ht="17.25" customHeight="1">
      <x:c r="A885" s="24" t="str">
        <x:v>SW-B-28구4152-202406</x:v>
      </x:c>
      <x:c r="B885" s="24" t="str">
        <x:v>스위치플랜</x:v>
      </x:c>
      <x:c r="C885" s="24" t="str">
        <x:v>SW-C-28구4152-1-20240201-44</x:v>
      </x:c>
      <x:c r="D885" s="24" t="str">
        <x:v>28구4152</x:v>
      </x:c>
      <x:c r="E885" s="24" t="str">
        <x:v>김경남</x:v>
      </x:c>
      <x:c r="F885" s="24" t="str">
        <x:v>2024-06</x:v>
      </x:c>
      <x:c r="G885" s="30" t="n">
        <x:v>45448</x:v>
      </x:c>
      <x:c r="H885" s="32" t="n">
        <x:v>790000</x:v>
      </x:c>
      <x:c r="I885" s="32" t="n">
        <x:v>790000</x:v>
      </x:c>
      <x:c r="J885" s="32" t="n">
        <x:v>0</x:v>
      </x:c>
      <x:c r="K885" s="30" t="n">
        <x:v>45448</x:v>
      </x:c>
      <x:c r="L885" s="24" t="str">
        <x:v>입금</x:v>
      </x:c>
      <x:c r="M885" s="31" t="n">
        <x:f>IF(AND(N885="미수",G885&lt;&gt;"",TODAY()&gt;G885),TODAY()-G885,0)</x:f>
        <x:v>0</x:v>
      </x:c>
      <x:c r="N885" s="24" t="str">
        <x:f>IF(J885&gt;0,"미수",IF(AND(H885&gt;0,I885&gt;=H885),"완납","미확인"))</x:f>
        <x:v>완납</x:v>
      </x:c>
      <x:c r="O885" s="31" t="n">
        <x:v>44</x:v>
      </x:c>
    </x:row>
    <x:row r="886" ht="17.25" customHeight="1">
      <x:c r="A886" s="24" t="str">
        <x:v>SW-B-28구4152-202405</x:v>
      </x:c>
      <x:c r="B886" s="24" t="str">
        <x:v>스위치플랜</x:v>
      </x:c>
      <x:c r="C886" s="24" t="str">
        <x:v>SW-C-28구4152-1-20240201-44</x:v>
      </x:c>
      <x:c r="D886" s="24" t="str">
        <x:v>28구4152</x:v>
      </x:c>
      <x:c r="E886" s="24" t="str">
        <x:v>김경남</x:v>
      </x:c>
      <x:c r="F886" s="24" t="str">
        <x:v>2024-05</x:v>
      </x:c>
      <x:c r="G886" s="30" t="n">
        <x:v>45417</x:v>
      </x:c>
      <x:c r="H886" s="32" t="n">
        <x:v>880000</x:v>
      </x:c>
      <x:c r="I886" s="32" t="n">
        <x:v>880000</x:v>
      </x:c>
      <x:c r="J886" s="32" t="n">
        <x:v>0</x:v>
      </x:c>
      <x:c r="K886" s="30" t="n">
        <x:v>45419</x:v>
      </x:c>
      <x:c r="L886" s="24" t="str">
        <x:v>입금</x:v>
      </x:c>
      <x:c r="M886" s="31" t="n">
        <x:f>IF(AND(N886="미수",G886&lt;&gt;"",TODAY()&gt;G886),TODAY()-G886,0)</x:f>
        <x:v>0</x:v>
      </x:c>
      <x:c r="N886" s="24" t="str">
        <x:f>IF(J886&gt;0,"미수",IF(AND(H886&gt;0,I886&gt;=H886),"완납","미확인"))</x:f>
        <x:v>완납</x:v>
      </x:c>
      <x:c r="O886" s="31" t="n">
        <x:v>44</x:v>
      </x:c>
    </x:row>
    <x:row r="887" ht="17.25" customHeight="1">
      <x:c r="A887" s="24" t="str">
        <x:v>SW-B-28구4152-202404</x:v>
      </x:c>
      <x:c r="B887" s="24" t="str">
        <x:v>스위치플랜</x:v>
      </x:c>
      <x:c r="C887" s="24" t="str">
        <x:v>SW-C-28구4152-1-20240201-44</x:v>
      </x:c>
      <x:c r="D887" s="24" t="str">
        <x:v>28구4152</x:v>
      </x:c>
      <x:c r="E887" s="24" t="str">
        <x:v>김경남</x:v>
      </x:c>
      <x:c r="F887" s="24" t="str">
        <x:v>2024-04</x:v>
      </x:c>
      <x:c r="G887" s="30" t="n">
        <x:v>45387</x:v>
      </x:c>
      <x:c r="H887" s="32" t="n">
        <x:v>880000</x:v>
      </x:c>
      <x:c r="I887" s="32" t="n">
        <x:v>880000</x:v>
      </x:c>
      <x:c r="J887" s="32" t="n">
        <x:v>0</x:v>
      </x:c>
      <x:c r="K887" s="30" t="n">
        <x:v>45387</x:v>
      </x:c>
      <x:c r="L887" s="24" t="str">
        <x:v>입금</x:v>
      </x:c>
      <x:c r="M887" s="31" t="n">
        <x:f>IF(AND(N887="미수",G887&lt;&gt;"",TODAY()&gt;G887),TODAY()-G887,0)</x:f>
        <x:v>0</x:v>
      </x:c>
      <x:c r="N887" s="24" t="str">
        <x:f>IF(J887&gt;0,"미수",IF(AND(H887&gt;0,I887&gt;=H887),"완납","미확인"))</x:f>
        <x:v>완납</x:v>
      </x:c>
      <x:c r="O887" s="31" t="n">
        <x:v>44</x:v>
      </x:c>
    </x:row>
    <x:row r="888" ht="17.25" customHeight="1">
      <x:c r="A888" s="24" t="str">
        <x:v>SW-B-28구4152-202403</x:v>
      </x:c>
      <x:c r="B888" s="24" t="str">
        <x:v>스위치플랜</x:v>
      </x:c>
      <x:c r="C888" s="24" t="str">
        <x:v>SW-C-28구4152-1-20240201-44</x:v>
      </x:c>
      <x:c r="D888" s="24" t="str">
        <x:v>28구4152</x:v>
      </x:c>
      <x:c r="E888" s="24" t="str">
        <x:v>김경남</x:v>
      </x:c>
      <x:c r="F888" s="24" t="str">
        <x:v>2024-03</x:v>
      </x:c>
      <x:c r="G888" s="30" t="n">
        <x:v>45356</x:v>
      </x:c>
      <x:c r="H888" s="32" t="n">
        <x:v>880000</x:v>
      </x:c>
      <x:c r="I888" s="32" t="n">
        <x:v>880000</x:v>
      </x:c>
      <x:c r="J888" s="32" t="n">
        <x:v>0</x:v>
      </x:c>
      <x:c r="K888" s="30" t="n">
        <x:v>45355</x:v>
      </x:c>
      <x:c r="L888" s="24" t="str">
        <x:v>입금</x:v>
      </x:c>
      <x:c r="M888" s="31" t="n">
        <x:f>IF(AND(N888="미수",G888&lt;&gt;"",TODAY()&gt;G888),TODAY()-G888,0)</x:f>
        <x:v>0</x:v>
      </x:c>
      <x:c r="N888" s="24" t="str">
        <x:f>IF(J888&gt;0,"미수",IF(AND(H888&gt;0,I888&gt;=H888),"완납","미확인"))</x:f>
        <x:v>완납</x:v>
      </x:c>
      <x:c r="O888" s="31" t="n">
        <x:v>44</x:v>
      </x:c>
    </x:row>
    <x:row r="889" ht="17.25" customHeight="1">
      <x:c r="A889" s="24" t="str">
        <x:v>SW-B-28구4152-202402</x:v>
      </x:c>
      <x:c r="B889" s="24" t="str">
        <x:v>스위치플랜</x:v>
      </x:c>
      <x:c r="C889" s="24" t="str">
        <x:v>SW-C-28구4152-1-20240201-44</x:v>
      </x:c>
      <x:c r="D889" s="24" t="str">
        <x:v>28구4152</x:v>
      </x:c>
      <x:c r="E889" s="24" t="str">
        <x:v>김경남</x:v>
      </x:c>
      <x:c r="F889" s="24" t="str">
        <x:v>2024-02</x:v>
      </x:c>
      <x:c r="G889" s="30" t="n">
        <x:v>45327</x:v>
      </x:c>
      <x:c r="H889" s="32" t="n">
        <x:v>880000</x:v>
      </x:c>
      <x:c r="I889" s="32" t="n">
        <x:v>880000</x:v>
      </x:c>
      <x:c r="J889" s="32" t="n">
        <x:v>0</x:v>
      </x:c>
      <x:c r="K889" s="30" t="n">
        <x:v>45322</x:v>
      </x:c>
      <x:c r="L889" s="24" t="str">
        <x:v>입금</x:v>
      </x:c>
      <x:c r="M889" s="31" t="n">
        <x:f>IF(AND(N889="미수",G889&lt;&gt;"",TODAY()&gt;G889),TODAY()-G889,0)</x:f>
        <x:v>0</x:v>
      </x:c>
      <x:c r="N889" s="24" t="str">
        <x:f>IF(J889&gt;0,"미수",IF(AND(H889&gt;0,I889&gt;=H889),"완납","미확인"))</x:f>
        <x:v>완납</x:v>
      </x:c>
      <x:c r="O889" s="31" t="n">
        <x:v>44</x:v>
      </x:c>
    </x:row>
    <x:row r="890" ht="17.25" customHeight="1">
      <x:c r="A890" s="24" t="str">
        <x:v>SW-B-365주3303-202608</x:v>
      </x:c>
      <x:c r="B890" s="24" t="str">
        <x:v>스위치플랜</x:v>
      </x:c>
      <x:c r="C890" s="24" t="str">
        <x:v>SW-C-365주3303-1-20231121-45</x:v>
      </x:c>
      <x:c r="D890" s="24" t="str">
        <x:v>365주3303</x:v>
      </x:c>
      <x:c r="E890" s="24" t="str">
        <x:v>이은규</x:v>
      </x:c>
      <x:c r="F890" s="24" t="str">
        <x:v>2026-08</x:v>
      </x:c>
      <x:c r="G890" s="30" t="n">
        <x:v>46254</x:v>
      </x:c>
      <x:c r="H890" s="32" t="n">
        <x:v>960000</x:v>
      </x:c>
      <x:c r="I890" s="32" t="n">
        <x:v>960000</x:v>
      </x:c>
      <x:c r="J890" s="32" t="n">
        <x:v>930000</x:v>
      </x:c>
      <x:c r="K890" s="30" t="n">
        <x:v>46240</x:v>
      </x:c>
      <x:c r="L890" s="24" t="str">
        <x:v>입금</x:v>
      </x:c>
      <x:c r="M890" s="31" t="n">
        <x:f>IF(AND(N890="미수",G890&lt;&gt;"",TODAY()&gt;G890),TODAY()-G890,0)</x:f>
        <x:v>0</x:v>
      </x:c>
      <x:c r="N890" s="24" t="str">
        <x:f>IF(J890&gt;0,"미수",IF(AND(H890&gt;0,I890&gt;=H890),"완납","미확인"))</x:f>
        <x:v>미수</x:v>
      </x:c>
      <x:c r="O890" s="31" t="n">
        <x:v>45</x:v>
      </x:c>
    </x:row>
    <x:row r="891" ht="17.25" customHeight="1">
      <x:c r="A891" s="24" t="str">
        <x:v>SW-B-365주3303-202607</x:v>
      </x:c>
      <x:c r="B891" s="24" t="str">
        <x:v>스위치플랜</x:v>
      </x:c>
      <x:c r="C891" s="24" t="str">
        <x:v>SW-C-365주3303-1-20231121-45</x:v>
      </x:c>
      <x:c r="D891" s="24" t="str">
        <x:v>365주3303</x:v>
      </x:c>
      <x:c r="E891" s="24" t="str">
        <x:v>이은규</x:v>
      </x:c>
      <x:c r="F891" s="24" t="str">
        <x:v>2026-07</x:v>
      </x:c>
      <x:c r="G891" s="30" t="n">
        <x:v>46223</x:v>
      </x:c>
      <x:c r="H891" s="32" t="n">
        <x:v>960000</x:v>
      </x:c>
      <x:c r="I891" s="32" t="n">
        <x:v>960000</x:v>
      </x:c>
      <x:c r="J891" s="32" t="n">
        <x:v>930000</x:v>
      </x:c>
      <x:c r="K891" s="30" t="n">
        <x:v>46209</x:v>
      </x:c>
      <x:c r="L891" s="24" t="str">
        <x:v>입금</x:v>
      </x:c>
      <x:c r="M891" s="31" t="n">
        <x:f>IF(AND(N891="미수",G891&lt;&gt;"",TODAY()&gt;G891),TODAY()-G891,0)</x:f>
        <x:v>26</x:v>
      </x:c>
      <x:c r="N891" s="24" t="str">
        <x:f>IF(J891&gt;0,"미수",IF(AND(H891&gt;0,I891&gt;=H891),"완납","미확인"))</x:f>
        <x:v>미수</x:v>
      </x:c>
      <x:c r="O891" s="31" t="n">
        <x:v>45</x:v>
      </x:c>
    </x:row>
    <x:row r="892" ht="17.25" customHeight="1">
      <x:c r="A892" s="24" t="str">
        <x:v>SW-B-365주3303-202606</x:v>
      </x:c>
      <x:c r="B892" s="24" t="str">
        <x:v>스위치플랜</x:v>
      </x:c>
      <x:c r="C892" s="24" t="str">
        <x:v>SW-C-365주3303-1-20231121-45</x:v>
      </x:c>
      <x:c r="D892" s="24" t="str">
        <x:v>365주3303</x:v>
      </x:c>
      <x:c r="E892" s="24" t="str">
        <x:v>이은규</x:v>
      </x:c>
      <x:c r="F892" s="24" t="str">
        <x:v>2026-06</x:v>
      </x:c>
      <x:c r="G892" s="30" t="n">
        <x:v>46193</x:v>
      </x:c>
      <x:c r="H892" s="32" t="n">
        <x:v>960000</x:v>
      </x:c>
      <x:c r="I892" s="32" t="n">
        <x:v>960000</x:v>
      </x:c>
      <x:c r="J892" s="32" t="n">
        <x:v>930000</x:v>
      </x:c>
      <x:c r="K892" s="30" t="n">
        <x:v>46179</x:v>
      </x:c>
      <x:c r="L892" s="24" t="str">
        <x:v>입금</x:v>
      </x:c>
      <x:c r="M892" s="31" t="n">
        <x:f>IF(AND(N892="미수",G892&lt;&gt;"",TODAY()&gt;G892),TODAY()-G892,0)</x:f>
        <x:v>56</x:v>
      </x:c>
      <x:c r="N892" s="24" t="str">
        <x:f>IF(J892&gt;0,"미수",IF(AND(H892&gt;0,I892&gt;=H892),"완납","미확인"))</x:f>
        <x:v>미수</x:v>
      </x:c>
      <x:c r="O892" s="31" t="n">
        <x:v>45</x:v>
      </x:c>
    </x:row>
    <x:row r="893" ht="17.25" customHeight="1">
      <x:c r="A893" s="24" t="str">
        <x:v>SW-B-365주3303-202605</x:v>
      </x:c>
      <x:c r="B893" s="24" t="str">
        <x:v>스위치플랜</x:v>
      </x:c>
      <x:c r="C893" s="24" t="str">
        <x:v>SW-C-365주3303-1-20231121-45</x:v>
      </x:c>
      <x:c r="D893" s="24" t="str">
        <x:v>365주3303</x:v>
      </x:c>
      <x:c r="E893" s="24" t="str">
        <x:v>이은규</x:v>
      </x:c>
      <x:c r="F893" s="24" t="str">
        <x:v>2026-05</x:v>
      </x:c>
      <x:c r="G893" s="30" t="n">
        <x:v>46162</x:v>
      </x:c>
      <x:c r="H893" s="32" t="n">
        <x:v>960000</x:v>
      </x:c>
      <x:c r="I893" s="32" t="n">
        <x:v>960000</x:v>
      </x:c>
      <x:c r="J893" s="32" t="n">
        <x:v>930000</x:v>
      </x:c>
      <x:c r="K893" s="30" t="n">
        <x:v>46144</x:v>
      </x:c>
      <x:c r="L893" s="24" t="str">
        <x:v>입금</x:v>
      </x:c>
      <x:c r="M893" s="31" t="n">
        <x:f>IF(AND(N893="미수",G893&lt;&gt;"",TODAY()&gt;G893),TODAY()-G893,0)</x:f>
        <x:v>87</x:v>
      </x:c>
      <x:c r="N893" s="24" t="str">
        <x:f>IF(J893&gt;0,"미수",IF(AND(H893&gt;0,I893&gt;=H893),"완납","미확인"))</x:f>
        <x:v>미수</x:v>
      </x:c>
      <x:c r="O893" s="31" t="n">
        <x:v>45</x:v>
      </x:c>
    </x:row>
    <x:row r="894" ht="17.25" customHeight="1">
      <x:c r="A894" s="24" t="str">
        <x:v>SW-B-365주3303-202604</x:v>
      </x:c>
      <x:c r="B894" s="24" t="str">
        <x:v>스위치플랜</x:v>
      </x:c>
      <x:c r="C894" s="24" t="str">
        <x:v>SW-C-365주3303-1-20231121-45</x:v>
      </x:c>
      <x:c r="D894" s="24" t="str">
        <x:v>365주3303</x:v>
      </x:c>
      <x:c r="E894" s="24" t="str">
        <x:v>이은규</x:v>
      </x:c>
      <x:c r="F894" s="24" t="str">
        <x:v>2026-04</x:v>
      </x:c>
      <x:c r="G894" s="30" t="n">
        <x:v>46132</x:v>
      </x:c>
      <x:c r="H894" s="32" t="n">
        <x:v>960000</x:v>
      </x:c>
      <x:c r="I894" s="32" t="n">
        <x:v>960000</x:v>
      </x:c>
      <x:c r="J894" s="32" t="n">
        <x:v>930000</x:v>
      </x:c>
      <x:c r="K894" s="30" t="n">
        <x:v>46118</x:v>
      </x:c>
      <x:c r="L894" s="24" t="str">
        <x:v>입금</x:v>
      </x:c>
      <x:c r="M894" s="31" t="n">
        <x:f>IF(AND(N894="미수",G894&lt;&gt;"",TODAY()&gt;G894),TODAY()-G894,0)</x:f>
        <x:v>117</x:v>
      </x:c>
      <x:c r="N894" s="24" t="str">
        <x:f>IF(J894&gt;0,"미수",IF(AND(H894&gt;0,I894&gt;=H894),"완납","미확인"))</x:f>
        <x:v>미수</x:v>
      </x:c>
      <x:c r="O894" s="31" t="n">
        <x:v>45</x:v>
      </x:c>
    </x:row>
    <x:row r="895" ht="17.25" customHeight="1">
      <x:c r="A895" s="24" t="str">
        <x:v>SW-B-365주3303-202603</x:v>
      </x:c>
      <x:c r="B895" s="24" t="str">
        <x:v>스위치플랜</x:v>
      </x:c>
      <x:c r="C895" s="24" t="str">
        <x:v>SW-C-365주3303-1-20231121-45</x:v>
      </x:c>
      <x:c r="D895" s="24" t="str">
        <x:v>365주3303</x:v>
      </x:c>
      <x:c r="E895" s="24" t="str">
        <x:v>이은규</x:v>
      </x:c>
      <x:c r="F895" s="24" t="str">
        <x:v>2026-03</x:v>
      </x:c>
      <x:c r="G895" s="30" t="n">
        <x:v>46101</x:v>
      </x:c>
      <x:c r="H895" s="32" t="n">
        <x:v>960000</x:v>
      </x:c>
      <x:c r="I895" s="32" t="n">
        <x:v>960000</x:v>
      </x:c>
      <x:c r="J895" s="32" t="n">
        <x:v>930000</x:v>
      </x:c>
      <x:c r="K895" s="30" t="n">
        <x:v>46089</x:v>
      </x:c>
      <x:c r="L895" s="24" t="str">
        <x:v>입금</x:v>
      </x:c>
      <x:c r="M895" s="31" t="n">
        <x:f>IF(AND(N895="미수",G895&lt;&gt;"",TODAY()&gt;G895),TODAY()-G895,0)</x:f>
        <x:v>148</x:v>
      </x:c>
      <x:c r="N895" s="24" t="str">
        <x:f>IF(J895&gt;0,"미수",IF(AND(H895&gt;0,I895&gt;=H895),"완납","미확인"))</x:f>
        <x:v>미수</x:v>
      </x:c>
      <x:c r="O895" s="31" t="n">
        <x:v>45</x:v>
      </x:c>
    </x:row>
    <x:row r="896" ht="17.25" customHeight="1">
      <x:c r="A896" s="24" t="str">
        <x:v>SW-B-365주3303-202602</x:v>
      </x:c>
      <x:c r="B896" s="24" t="str">
        <x:v>스위치플랜</x:v>
      </x:c>
      <x:c r="C896" s="24" t="str">
        <x:v>SW-C-365주3303-1-20231121-45</x:v>
      </x:c>
      <x:c r="D896" s="24" t="str">
        <x:v>365주3303</x:v>
      </x:c>
      <x:c r="E896" s="24" t="str">
        <x:v>이은규</x:v>
      </x:c>
      <x:c r="F896" s="24" t="str">
        <x:v>2026-02</x:v>
      </x:c>
      <x:c r="G896" s="30" t="n">
        <x:v>46073</x:v>
      </x:c>
      <x:c r="H896" s="32" t="n">
        <x:v>960000</x:v>
      </x:c>
      <x:c r="I896" s="32" t="n">
        <x:v>960000</x:v>
      </x:c>
      <x:c r="J896" s="32" t="n">
        <x:v>930000</x:v>
      </x:c>
      <x:c r="K896" s="30" t="n">
        <x:v>46059</x:v>
      </x:c>
      <x:c r="L896" s="24" t="str">
        <x:v>입금</x:v>
      </x:c>
      <x:c r="M896" s="31" t="n">
        <x:f>IF(AND(N896="미수",G896&lt;&gt;"",TODAY()&gt;G896),TODAY()-G896,0)</x:f>
        <x:v>176</x:v>
      </x:c>
      <x:c r="N896" s="24" t="str">
        <x:f>IF(J896&gt;0,"미수",IF(AND(H896&gt;0,I896&gt;=H896),"완납","미확인"))</x:f>
        <x:v>미수</x:v>
      </x:c>
      <x:c r="O896" s="31" t="n">
        <x:v>45</x:v>
      </x:c>
    </x:row>
    <x:row r="897" ht="17.25" customHeight="1">
      <x:c r="A897" s="24" t="str">
        <x:v>SW-B-365주3303-202601</x:v>
      </x:c>
      <x:c r="B897" s="24" t="str">
        <x:v>스위치플랜</x:v>
      </x:c>
      <x:c r="C897" s="24" t="str">
        <x:v>SW-C-365주3303-1-20231121-45</x:v>
      </x:c>
      <x:c r="D897" s="24" t="str">
        <x:v>365주3303</x:v>
      </x:c>
      <x:c r="E897" s="24" t="str">
        <x:v>이은규</x:v>
      </x:c>
      <x:c r="F897" s="24" t="str">
        <x:v>2026-01</x:v>
      </x:c>
      <x:c r="G897" s="30" t="n">
        <x:v>46042</x:v>
      </x:c>
      <x:c r="H897" s="32" t="n">
        <x:v>960000</x:v>
      </x:c>
      <x:c r="I897" s="32" t="n">
        <x:v>960000</x:v>
      </x:c>
      <x:c r="J897" s="32" t="n">
        <x:v>930000</x:v>
      </x:c>
      <x:c r="K897" s="30" t="n">
        <x:v>46028</x:v>
      </x:c>
      <x:c r="L897" s="24" t="str">
        <x:v>입금</x:v>
      </x:c>
      <x:c r="M897" s="31" t="n">
        <x:f>IF(AND(N897="미수",G897&lt;&gt;"",TODAY()&gt;G897),TODAY()-G897,0)</x:f>
        <x:v>207</x:v>
      </x:c>
      <x:c r="N897" s="24" t="str">
        <x:f>IF(J897&gt;0,"미수",IF(AND(H897&gt;0,I897&gt;=H897),"완납","미확인"))</x:f>
        <x:v>미수</x:v>
      </x:c>
      <x:c r="O897" s="31" t="n">
        <x:v>45</x:v>
      </x:c>
    </x:row>
    <x:row r="898" ht="17.25" customHeight="1">
      <x:c r="A898" s="24" t="str">
        <x:v>SW-B-365주3303-202512</x:v>
      </x:c>
      <x:c r="B898" s="24" t="str">
        <x:v>스위치플랜</x:v>
      </x:c>
      <x:c r="C898" s="24" t="str">
        <x:v>SW-C-365주3303-1-20231121-45</x:v>
      </x:c>
      <x:c r="D898" s="24" t="str">
        <x:v>365주3303</x:v>
      </x:c>
      <x:c r="E898" s="24" t="str">
        <x:v>이은규</x:v>
      </x:c>
      <x:c r="F898" s="24" t="str">
        <x:v>2025-12</x:v>
      </x:c>
      <x:c r="G898" s="30" t="n">
        <x:v>46011</x:v>
      </x:c>
      <x:c r="H898" s="32" t="n">
        <x:v>960000</x:v>
      </x:c>
      <x:c r="I898" s="32" t="n">
        <x:v>960000</x:v>
      </x:c>
      <x:c r="J898" s="32" t="n">
        <x:v>930000</x:v>
      </x:c>
      <x:c r="K898" s="30" t="n">
        <x:v>45997</x:v>
      </x:c>
      <x:c r="L898" s="24" t="str">
        <x:v>입금</x:v>
      </x:c>
      <x:c r="M898" s="31" t="n">
        <x:f>IF(AND(N898="미수",G898&lt;&gt;"",TODAY()&gt;G898),TODAY()-G898,0)</x:f>
        <x:v>238</x:v>
      </x:c>
      <x:c r="N898" s="24" t="str">
        <x:f>IF(J898&gt;0,"미수",IF(AND(H898&gt;0,I898&gt;=H898),"완납","미확인"))</x:f>
        <x:v>미수</x:v>
      </x:c>
      <x:c r="O898" s="31" t="n">
        <x:v>45</x:v>
      </x:c>
    </x:row>
    <x:row r="899" ht="17.25" customHeight="1">
      <x:c r="A899" s="24" t="str">
        <x:v>SW-B-365주3303-202511</x:v>
      </x:c>
      <x:c r="B899" s="24" t="str">
        <x:v>스위치플랜</x:v>
      </x:c>
      <x:c r="C899" s="24" t="str">
        <x:v>SW-C-365주3303-1-20231121-45</x:v>
      </x:c>
      <x:c r="D899" s="24" t="str">
        <x:v>365주3303</x:v>
      </x:c>
      <x:c r="E899" s="24" t="str">
        <x:v>이은규</x:v>
      </x:c>
      <x:c r="F899" s="24" t="str">
        <x:v>2025-11</x:v>
      </x:c>
      <x:c r="G899" s="30" t="n">
        <x:v>45981</x:v>
      </x:c>
      <x:c r="H899" s="32" t="n">
        <x:v>960000</x:v>
      </x:c>
      <x:c r="I899" s="32" t="n">
        <x:v>960000</x:v>
      </x:c>
      <x:c r="J899" s="32" t="n">
        <x:v>930000</x:v>
      </x:c>
      <x:c r="K899" s="30" t="n">
        <x:v>45967</x:v>
      </x:c>
      <x:c r="L899" s="24" t="str">
        <x:v>입금</x:v>
      </x:c>
      <x:c r="M899" s="31" t="n">
        <x:f>IF(AND(N899="미수",G899&lt;&gt;"",TODAY()&gt;G899),TODAY()-G899,0)</x:f>
        <x:v>268</x:v>
      </x:c>
      <x:c r="N899" s="24" t="str">
        <x:f>IF(J899&gt;0,"미수",IF(AND(H899&gt;0,I899&gt;=H899),"완납","미확인"))</x:f>
        <x:v>미수</x:v>
      </x:c>
      <x:c r="O899" s="31" t="n">
        <x:v>45</x:v>
      </x:c>
    </x:row>
    <x:row r="900" ht="17.25" customHeight="1">
      <x:c r="A900" s="24" t="str">
        <x:v>SW-B-365주3303-202510</x:v>
      </x:c>
      <x:c r="B900" s="24" t="str">
        <x:v>스위치플랜</x:v>
      </x:c>
      <x:c r="C900" s="24" t="str">
        <x:v>SW-C-365주3303-1-20231121-45</x:v>
      </x:c>
      <x:c r="D900" s="24" t="str">
        <x:v>365주3303</x:v>
      </x:c>
      <x:c r="E900" s="24" t="str">
        <x:v>이은규</x:v>
      </x:c>
      <x:c r="F900" s="24" t="str">
        <x:v>2025-10</x:v>
      </x:c>
      <x:c r="G900" s="30" t="n">
        <x:v>45950</x:v>
      </x:c>
      <x:c r="H900" s="32" t="n">
        <x:v>960000</x:v>
      </x:c>
      <x:c r="I900" s="32" t="n">
        <x:v>960000</x:v>
      </x:c>
      <x:c r="J900" s="32" t="n">
        <x:v>930000</x:v>
      </x:c>
      <x:c r="K900" s="30" t="n">
        <x:v>45936</x:v>
      </x:c>
      <x:c r="L900" s="24" t="str">
        <x:v>입금</x:v>
      </x:c>
      <x:c r="M900" s="31" t="n">
        <x:f>IF(AND(N900="미수",G900&lt;&gt;"",TODAY()&gt;G900),TODAY()-G900,0)</x:f>
        <x:v>299</x:v>
      </x:c>
      <x:c r="N900" s="24" t="str">
        <x:f>IF(J900&gt;0,"미수",IF(AND(H900&gt;0,I900&gt;=H900),"완납","미확인"))</x:f>
        <x:v>미수</x:v>
      </x:c>
      <x:c r="O900" s="31" t="n">
        <x:v>45</x:v>
      </x:c>
    </x:row>
    <x:row r="901" ht="17.25" customHeight="1">
      <x:c r="A901" s="24" t="str">
        <x:v>SW-B-365주3303-202509</x:v>
      </x:c>
      <x:c r="B901" s="24" t="str">
        <x:v>스위치플랜</x:v>
      </x:c>
      <x:c r="C901" s="24" t="str">
        <x:v>SW-C-365주3303-1-20231121-45</x:v>
      </x:c>
      <x:c r="D901" s="24" t="str">
        <x:v>365주3303</x:v>
      </x:c>
      <x:c r="E901" s="24" t="str">
        <x:v>이은규</x:v>
      </x:c>
      <x:c r="F901" s="24" t="str">
        <x:v>2025-09</x:v>
      </x:c>
      <x:c r="G901" s="30" t="n">
        <x:v>45920</x:v>
      </x:c>
      <x:c r="H901" s="32" t="n">
        <x:v>960000</x:v>
      </x:c>
      <x:c r="I901" s="32" t="n">
        <x:v>700000</x:v>
      </x:c>
      <x:c r="J901" s="32" t="n">
        <x:v>930000</x:v>
      </x:c>
      <x:c r="K901" s="30" t="n">
        <x:v>45903</x:v>
      </x:c>
      <x:c r="L901" s="24" t="str">
        <x:v>입금</x:v>
      </x:c>
      <x:c r="M901" s="31" t="n">
        <x:f>IF(AND(N901="미수",G901&lt;&gt;"",TODAY()&gt;G901),TODAY()-G901,0)</x:f>
        <x:v>329</x:v>
      </x:c>
      <x:c r="N901" s="24" t="str">
        <x:f>IF(J901&gt;0,"미수",IF(AND(H901&gt;0,I901&gt;=H901),"완납","미확인"))</x:f>
        <x:v>미수</x:v>
      </x:c>
      <x:c r="O901" s="31" t="n">
        <x:v>45</x:v>
      </x:c>
    </x:row>
    <x:row r="902" ht="17.25" customHeight="1">
      <x:c r="A902" s="24" t="str">
        <x:v>SW-B-365주3303-202508</x:v>
      </x:c>
      <x:c r="B902" s="24" t="str">
        <x:v>스위치플랜</x:v>
      </x:c>
      <x:c r="C902" s="24" t="str">
        <x:v>SW-C-365주3303-1-20231121-45</x:v>
      </x:c>
      <x:c r="D902" s="24" t="str">
        <x:v>365주3303</x:v>
      </x:c>
      <x:c r="E902" s="24" t="str">
        <x:v>이은규</x:v>
      </x:c>
      <x:c r="F902" s="24" t="str">
        <x:v>2025-08</x:v>
      </x:c>
      <x:c r="G902" s="30" t="n">
        <x:v>45889</x:v>
      </x:c>
      <x:c r="H902" s="32" t="n">
        <x:v>960000</x:v>
      </x:c>
      <x:c r="I902" s="32" t="n">
        <x:v>1380000</x:v>
      </x:c>
      <x:c r="J902" s="32" t="n">
        <x:v>670000</x:v>
      </x:c>
      <x:c r="K902" s="30" t="n">
        <x:v>45870</x:v>
      </x:c>
      <x:c r="L902" s="24" t="str">
        <x:v>입금</x:v>
      </x:c>
      <x:c r="M902" s="31" t="n">
        <x:f>IF(AND(N902="미수",G902&lt;&gt;"",TODAY()&gt;G902),TODAY()-G902,0)</x:f>
        <x:v>360</x:v>
      </x:c>
      <x:c r="N902" s="24" t="str">
        <x:f>IF(J902&gt;0,"미수",IF(AND(H902&gt;0,I902&gt;=H902),"완납","미확인"))</x:f>
        <x:v>미수</x:v>
      </x:c>
      <x:c r="O902" s="31" t="n">
        <x:v>45</x:v>
      </x:c>
    </x:row>
    <x:row r="903" ht="17.25" customHeight="1">
      <x:c r="A903" s="24" t="str">
        <x:v>SW-B-365주3303-202507</x:v>
      </x:c>
      <x:c r="B903" s="24" t="str">
        <x:v>스위치플랜</x:v>
      </x:c>
      <x:c r="C903" s="24" t="str">
        <x:v>SW-C-365주3303-1-20231121-45</x:v>
      </x:c>
      <x:c r="D903" s="24" t="str">
        <x:v>365주3303</x:v>
      </x:c>
      <x:c r="E903" s="24" t="str">
        <x:v>이은규</x:v>
      </x:c>
      <x:c r="F903" s="24" t="str">
        <x:v>2025-07</x:v>
      </x:c>
      <x:c r="G903" s="30" t="n">
        <x:v>45858</x:v>
      </x:c>
      <x:c r="H903" s="32" t="n">
        <x:v>960000</x:v>
      </x:c>
      <x:c r="I903" s="32" t="n">
        <x:v>960000</x:v>
      </x:c>
      <x:c r="J903" s="32" t="n">
        <x:v>1090000</x:v>
      </x:c>
      <x:c r="K903" s="30" t="n">
        <x:v>45839</x:v>
      </x:c>
      <x:c r="L903" s="24" t="str">
        <x:v>입금</x:v>
      </x:c>
      <x:c r="M903" s="31" t="n">
        <x:f>IF(AND(N903="미수",G903&lt;&gt;"",TODAY()&gt;G903),TODAY()-G903,0)</x:f>
        <x:v>391</x:v>
      </x:c>
      <x:c r="N903" s="24" t="str">
        <x:f>IF(J903&gt;0,"미수",IF(AND(H903&gt;0,I903&gt;=H903),"완납","미확인"))</x:f>
        <x:v>미수</x:v>
      </x:c>
      <x:c r="O903" s="31" t="n">
        <x:v>45</x:v>
      </x:c>
    </x:row>
    <x:row r="904" ht="17.25" customHeight="1">
      <x:c r="A904" s="24" t="str">
        <x:v>SW-B-365주3303-202506</x:v>
      </x:c>
      <x:c r="B904" s="24" t="str">
        <x:v>스위치플랜</x:v>
      </x:c>
      <x:c r="C904" s="24" t="str">
        <x:v>SW-C-365주3303-1-20231121-45</x:v>
      </x:c>
      <x:c r="D904" s="24" t="str">
        <x:v>365주3303</x:v>
      </x:c>
      <x:c r="E904" s="24" t="str">
        <x:v>이은규</x:v>
      </x:c>
      <x:c r="F904" s="24" t="str">
        <x:v>2025-06</x:v>
      </x:c>
      <x:c r="G904" s="30" t="n">
        <x:v>45828</x:v>
      </x:c>
      <x:c r="H904" s="32" t="n">
        <x:v>960000</x:v>
      </x:c>
      <x:c r="I904" s="32" t="n">
        <x:v>960000</x:v>
      </x:c>
      <x:c r="J904" s="32" t="n">
        <x:v>1090000</x:v>
      </x:c>
      <x:c r="K904" s="30" t="n">
        <x:v>45809</x:v>
      </x:c>
      <x:c r="L904" s="24" t="str">
        <x:v>입금</x:v>
      </x:c>
      <x:c r="M904" s="31" t="n">
        <x:f>IF(AND(N904="미수",G904&lt;&gt;"",TODAY()&gt;G904),TODAY()-G904,0)</x:f>
        <x:v>421</x:v>
      </x:c>
      <x:c r="N904" s="24" t="str">
        <x:f>IF(J904&gt;0,"미수",IF(AND(H904&gt;0,I904&gt;=H904),"완납","미확인"))</x:f>
        <x:v>미수</x:v>
      </x:c>
      <x:c r="O904" s="31" t="n">
        <x:v>45</x:v>
      </x:c>
    </x:row>
    <x:row r="905" ht="17.25" customHeight="1">
      <x:c r="A905" s="24" t="str">
        <x:v>SW-B-365주3303-202505</x:v>
      </x:c>
      <x:c r="B905" s="24" t="str">
        <x:v>스위치플랜</x:v>
      </x:c>
      <x:c r="C905" s="24" t="str">
        <x:v>SW-C-365주3303-1-20231121-45</x:v>
      </x:c>
      <x:c r="D905" s="24" t="str">
        <x:v>365주3303</x:v>
      </x:c>
      <x:c r="E905" s="24" t="str">
        <x:v>이은규</x:v>
      </x:c>
      <x:c r="F905" s="24" t="str">
        <x:v>2025-05</x:v>
      </x:c>
      <x:c r="G905" s="30" t="n">
        <x:v>45797</x:v>
      </x:c>
      <x:c r="H905" s="32" t="n">
        <x:v>960000</x:v>
      </x:c>
      <x:c r="I905" s="32" t="n">
        <x:v>960000</x:v>
      </x:c>
      <x:c r="J905" s="32" t="n">
        <x:v>1090000</x:v>
      </x:c>
      <x:c r="K905" s="30" t="n">
        <x:v>45779</x:v>
      </x:c>
      <x:c r="L905" s="24" t="str">
        <x:v>입금</x:v>
      </x:c>
      <x:c r="M905" s="31" t="n">
        <x:f>IF(AND(N905="미수",G905&lt;&gt;"",TODAY()&gt;G905),TODAY()-G905,0)</x:f>
        <x:v>452</x:v>
      </x:c>
      <x:c r="N905" s="24" t="str">
        <x:f>IF(J905&gt;0,"미수",IF(AND(H905&gt;0,I905&gt;=H905),"완납","미확인"))</x:f>
        <x:v>미수</x:v>
      </x:c>
      <x:c r="O905" s="31" t="n">
        <x:v>45</x:v>
      </x:c>
    </x:row>
    <x:row r="906" ht="17.25" customHeight="1">
      <x:c r="A906" s="24" t="str">
        <x:v>SW-B-365주3303-202504</x:v>
      </x:c>
      <x:c r="B906" s="24" t="str">
        <x:v>스위치플랜</x:v>
      </x:c>
      <x:c r="C906" s="24" t="str">
        <x:v>SW-C-365주3303-1-20231121-45</x:v>
      </x:c>
      <x:c r="D906" s="24" t="str">
        <x:v>365주3303</x:v>
      </x:c>
      <x:c r="E906" s="24" t="str">
        <x:v>이은규</x:v>
      </x:c>
      <x:c r="F906" s="24" t="str">
        <x:v>2025-04</x:v>
      </x:c>
      <x:c r="G906" s="30" t="n">
        <x:v>45767</x:v>
      </x:c>
      <x:c r="H906" s="32" t="n">
        <x:v>960000</x:v>
      </x:c>
      <x:c r="I906" s="32" t="n">
        <x:v>960000</x:v>
      </x:c>
      <x:c r="J906" s="32" t="n">
        <x:v>1090000</x:v>
      </x:c>
      <x:c r="K906" s="30" t="n">
        <x:v>45748</x:v>
      </x:c>
      <x:c r="L906" s="24" t="str">
        <x:v>입금</x:v>
      </x:c>
      <x:c r="M906" s="31" t="n">
        <x:f>IF(AND(N906="미수",G906&lt;&gt;"",TODAY()&gt;G906),TODAY()-G906,0)</x:f>
        <x:v>482</x:v>
      </x:c>
      <x:c r="N906" s="24" t="str">
        <x:f>IF(J906&gt;0,"미수",IF(AND(H906&gt;0,I906&gt;=H906),"완납","미확인"))</x:f>
        <x:v>미수</x:v>
      </x:c>
      <x:c r="O906" s="31" t="n">
        <x:v>45</x:v>
      </x:c>
    </x:row>
    <x:row r="907" ht="17.25" customHeight="1">
      <x:c r="A907" s="24" t="str">
        <x:v>SW-B-365주3303-202503</x:v>
      </x:c>
      <x:c r="B907" s="24" t="str">
        <x:v>스위치플랜</x:v>
      </x:c>
      <x:c r="C907" s="24" t="str">
        <x:v>SW-C-365주3303-1-20231121-45</x:v>
      </x:c>
      <x:c r="D907" s="24" t="str">
        <x:v>365주3303</x:v>
      </x:c>
      <x:c r="E907" s="24" t="str">
        <x:v>이은규</x:v>
      </x:c>
      <x:c r="F907" s="24" t="str">
        <x:v>2025-03</x:v>
      </x:c>
      <x:c r="G907" s="30" t="n">
        <x:v>45736</x:v>
      </x:c>
      <x:c r="H907" s="32" t="n">
        <x:v>960000</x:v>
      </x:c>
      <x:c r="I907" s="32" t="n">
        <x:v>850000</x:v>
      </x:c>
      <x:c r="J907" s="32" t="n">
        <x:v>1090000</x:v>
      </x:c>
      <x:c r="K907" s="30" t="n">
        <x:v>45720</x:v>
      </x:c>
      <x:c r="L907" s="24" t="str">
        <x:v>입금</x:v>
      </x:c>
      <x:c r="M907" s="31" t="n">
        <x:f>IF(AND(N907="미수",G907&lt;&gt;"",TODAY()&gt;G907),TODAY()-G907,0)</x:f>
        <x:v>513</x:v>
      </x:c>
      <x:c r="N907" s="24" t="str">
        <x:f>IF(J907&gt;0,"미수",IF(AND(H907&gt;0,I907&gt;=H907),"완납","미확인"))</x:f>
        <x:v>미수</x:v>
      </x:c>
      <x:c r="O907" s="31" t="n">
        <x:v>45</x:v>
      </x:c>
    </x:row>
    <x:row r="908" ht="17.25" customHeight="1">
      <x:c r="A908" s="24" t="str">
        <x:v>SW-B-365주3303-202502</x:v>
      </x:c>
      <x:c r="B908" s="24" t="str">
        <x:v>스위치플랜</x:v>
      </x:c>
      <x:c r="C908" s="24" t="str">
        <x:v>SW-C-365주3303-1-20231121-45</x:v>
      </x:c>
      <x:c r="D908" s="24" t="str">
        <x:v>365주3303</x:v>
      </x:c>
      <x:c r="E908" s="24" t="str">
        <x:v>이은규</x:v>
      </x:c>
      <x:c r="F908" s="24" t="str">
        <x:v>2025-02</x:v>
      </x:c>
      <x:c r="G908" s="30" t="n">
        <x:v>45708</x:v>
      </x:c>
      <x:c r="H908" s="32" t="n">
        <x:v>960000</x:v>
      </x:c>
      <x:c r="I908" s="32" t="n">
        <x:v>940000</x:v>
      </x:c>
      <x:c r="J908" s="32" t="n">
        <x:v>980000</x:v>
      </x:c>
      <x:c r="K908" s="30" t="n">
        <x:v>45696</x:v>
      </x:c>
      <x:c r="L908" s="24" t="str">
        <x:v>입금</x:v>
      </x:c>
      <x:c r="M908" s="31" t="n">
        <x:f>IF(AND(N908="미수",G908&lt;&gt;"",TODAY()&gt;G908),TODAY()-G908,0)</x:f>
        <x:v>541</x:v>
      </x:c>
      <x:c r="N908" s="24" t="str">
        <x:f>IF(J908&gt;0,"미수",IF(AND(H908&gt;0,I908&gt;=H908),"완납","미확인"))</x:f>
        <x:v>미수</x:v>
      </x:c>
      <x:c r="O908" s="31" t="n">
        <x:v>45</x:v>
      </x:c>
    </x:row>
    <x:row r="909" ht="17.25" customHeight="1">
      <x:c r="A909" s="24" t="str">
        <x:v>SW-B-365주3303-202501</x:v>
      </x:c>
      <x:c r="B909" s="24" t="str">
        <x:v>스위치플랜</x:v>
      </x:c>
      <x:c r="C909" s="24" t="str">
        <x:v>SW-C-365주3303-1-20231121-45</x:v>
      </x:c>
      <x:c r="D909" s="24" t="str">
        <x:v>365주3303</x:v>
      </x:c>
      <x:c r="E909" s="24" t="str">
        <x:v>이은규</x:v>
      </x:c>
      <x:c r="F909" s="24" t="str">
        <x:v>2025-01</x:v>
      </x:c>
      <x:c r="G909" s="30" t="n">
        <x:v>45677</x:v>
      </x:c>
      <x:c r="H909" s="32" t="n">
        <x:v>960000</x:v>
      </x:c>
      <x:c r="I909" s="32" t="n">
        <x:v>960000</x:v>
      </x:c>
      <x:c r="J909" s="32" t="n">
        <x:v>960000</x:v>
      </x:c>
      <x:c r="K909" s="30" t="n">
        <x:v>45659</x:v>
      </x:c>
      <x:c r="L909" s="24" t="str">
        <x:v>입금</x:v>
      </x:c>
      <x:c r="M909" s="31" t="n">
        <x:f>IF(AND(N909="미수",G909&lt;&gt;"",TODAY()&gt;G909),TODAY()-G909,0)</x:f>
        <x:v>572</x:v>
      </x:c>
      <x:c r="N909" s="24" t="str">
        <x:f>IF(J909&gt;0,"미수",IF(AND(H909&gt;0,I909&gt;=H909),"완납","미확인"))</x:f>
        <x:v>미수</x:v>
      </x:c>
      <x:c r="O909" s="31" t="n">
        <x:v>45</x:v>
      </x:c>
    </x:row>
    <x:row r="910" ht="17.25" customHeight="1">
      <x:c r="A910" s="24" t="str">
        <x:v>SW-B-365주3303-202412</x:v>
      </x:c>
      <x:c r="B910" s="24" t="str">
        <x:v>스위치플랜</x:v>
      </x:c>
      <x:c r="C910" s="24" t="str">
        <x:v>SW-C-365주3303-1-20231121-45</x:v>
      </x:c>
      <x:c r="D910" s="24" t="str">
        <x:v>365주3303</x:v>
      </x:c>
      <x:c r="E910" s="24" t="str">
        <x:v>이은규</x:v>
      </x:c>
      <x:c r="F910" s="24" t="str">
        <x:v>2024-12</x:v>
      </x:c>
      <x:c r="G910" s="30" t="n">
        <x:v>45646</x:v>
      </x:c>
      <x:c r="H910" s="32" t="n">
        <x:v>960000</x:v>
      </x:c>
      <x:c r="I910" s="32" t="n">
        <x:v>960000</x:v>
      </x:c>
      <x:c r="J910" s="32" t="n">
        <x:v>960000</x:v>
      </x:c>
      <x:c r="K910" s="30" t="n">
        <x:v>45628</x:v>
      </x:c>
      <x:c r="L910" s="24" t="str">
        <x:v>입금</x:v>
      </x:c>
      <x:c r="M910" s="31" t="n">
        <x:f>IF(AND(N910="미수",G910&lt;&gt;"",TODAY()&gt;G910),TODAY()-G910,0)</x:f>
        <x:v>603</x:v>
      </x:c>
      <x:c r="N910" s="24" t="str">
        <x:f>IF(J910&gt;0,"미수",IF(AND(H910&gt;0,I910&gt;=H910),"완납","미확인"))</x:f>
        <x:v>미수</x:v>
      </x:c>
      <x:c r="O910" s="31" t="n">
        <x:v>45</x:v>
      </x:c>
    </x:row>
    <x:row r="911" ht="17.25" customHeight="1">
      <x:c r="A911" s="24" t="str">
        <x:v>SW-B-365주3303-202411</x:v>
      </x:c>
      <x:c r="B911" s="24" t="str">
        <x:v>스위치플랜</x:v>
      </x:c>
      <x:c r="C911" s="24" t="str">
        <x:v>SW-C-365주3303-1-20231121-45</x:v>
      </x:c>
      <x:c r="D911" s="24" t="str">
        <x:v>365주3303</x:v>
      </x:c>
      <x:c r="E911" s="24" t="str">
        <x:v>이은규</x:v>
      </x:c>
      <x:c r="F911" s="24" t="str">
        <x:v>2024-11</x:v>
      </x:c>
      <x:c r="G911" s="30" t="n">
        <x:v>45616</x:v>
      </x:c>
      <x:c r="H911" s="32" t="n">
        <x:v>960000</x:v>
      </x:c>
      <x:c r="I911" s="32"/>
      <x:c r="J911" s="32" t="n">
        <x:v>960000</x:v>
      </x:c>
      <x:c r="K911" s="30"/>
      <x:c r="L911" s="24" t="str"/>
      <x:c r="M911" s="31" t="n">
        <x:f>IF(AND(N911="미수",G911&lt;&gt;"",TODAY()&gt;G911),TODAY()-G911,0)</x:f>
        <x:v>633</x:v>
      </x:c>
      <x:c r="N911" s="24" t="str">
        <x:f>IF(J911&gt;0,"미수",IF(AND(H911&gt;0,I911&gt;=H911),"완납","미확인"))</x:f>
        <x:v>미수</x:v>
      </x:c>
      <x:c r="O911" s="31" t="n">
        <x:v>45</x:v>
      </x:c>
    </x:row>
    <x:row r="912" ht="17.25" customHeight="1">
      <x:c r="A912" s="24" t="str">
        <x:v>SW-B-365주3303-202410</x:v>
      </x:c>
      <x:c r="B912" s="24" t="str">
        <x:v>스위치플랜</x:v>
      </x:c>
      <x:c r="C912" s="24" t="str">
        <x:v>SW-C-365주3303-1-20231121-45</x:v>
      </x:c>
      <x:c r="D912" s="24" t="str">
        <x:v>365주3303</x:v>
      </x:c>
      <x:c r="E912" s="24" t="str">
        <x:v>이은규</x:v>
      </x:c>
      <x:c r="F912" s="24" t="str">
        <x:v>2024-10</x:v>
      </x:c>
      <x:c r="G912" s="30" t="n">
        <x:v>45585</x:v>
      </x:c>
      <x:c r="H912" s="32" t="n">
        <x:v>960000</x:v>
      </x:c>
      <x:c r="I912" s="32" t="n">
        <x:v>960000</x:v>
      </x:c>
      <x:c r="J912" s="32" t="n">
        <x:v>0</x:v>
      </x:c>
      <x:c r="K912" s="30" t="n">
        <x:v>45596</x:v>
      </x:c>
      <x:c r="L912" s="24" t="str">
        <x:v>입금</x:v>
      </x:c>
      <x:c r="M912" s="31" t="n">
        <x:f>IF(AND(N912="미수",G912&lt;&gt;"",TODAY()&gt;G912),TODAY()-G912,0)</x:f>
        <x:v>0</x:v>
      </x:c>
      <x:c r="N912" s="24" t="str">
        <x:f>IF(J912&gt;0,"미수",IF(AND(H912&gt;0,I912&gt;=H912),"완납","미확인"))</x:f>
        <x:v>완납</x:v>
      </x:c>
      <x:c r="O912" s="31" t="n">
        <x:v>45</x:v>
      </x:c>
    </x:row>
    <x:row r="913" ht="17.25" customHeight="1">
      <x:c r="A913" s="24" t="str">
        <x:v>SW-B-365주3303-202409</x:v>
      </x:c>
      <x:c r="B913" s="24" t="str">
        <x:v>스위치플랜</x:v>
      </x:c>
      <x:c r="C913" s="24" t="str">
        <x:v>SW-C-365주3303-1-20231121-45</x:v>
      </x:c>
      <x:c r="D913" s="24" t="str">
        <x:v>365주3303</x:v>
      </x:c>
      <x:c r="E913" s="24" t="str">
        <x:v>이은규</x:v>
      </x:c>
      <x:c r="F913" s="24" t="str">
        <x:v>2024-09</x:v>
      </x:c>
      <x:c r="G913" s="30" t="n">
        <x:v>45555</x:v>
      </x:c>
      <x:c r="H913" s="32" t="n">
        <x:v>960000</x:v>
      </x:c>
      <x:c r="I913" s="32" t="n">
        <x:v>960000</x:v>
      </x:c>
      <x:c r="J913" s="32" t="n">
        <x:v>0</x:v>
      </x:c>
      <x:c r="K913" s="30" t="n">
        <x:v>45561</x:v>
      </x:c>
      <x:c r="L913" s="24" t="str">
        <x:v>입금</x:v>
      </x:c>
      <x:c r="M913" s="31" t="n">
        <x:f>IF(AND(N913="미수",G913&lt;&gt;"",TODAY()&gt;G913),TODAY()-G913,0)</x:f>
        <x:v>0</x:v>
      </x:c>
      <x:c r="N913" s="24" t="str">
        <x:f>IF(J913&gt;0,"미수",IF(AND(H913&gt;0,I913&gt;=H913),"완납","미확인"))</x:f>
        <x:v>완납</x:v>
      </x:c>
      <x:c r="O913" s="31" t="n">
        <x:v>45</x:v>
      </x:c>
    </x:row>
    <x:row r="914" ht="17.25" customHeight="1">
      <x:c r="A914" s="24" t="str">
        <x:v>SW-B-365주3303-202408</x:v>
      </x:c>
      <x:c r="B914" s="24" t="str">
        <x:v>스위치플랜</x:v>
      </x:c>
      <x:c r="C914" s="24" t="str">
        <x:v>SW-C-365주3303-1-20231121-45</x:v>
      </x:c>
      <x:c r="D914" s="24" t="str">
        <x:v>365주3303</x:v>
      </x:c>
      <x:c r="E914" s="24" t="str">
        <x:v>이은규</x:v>
      </x:c>
      <x:c r="F914" s="24" t="str">
        <x:v>2024-08</x:v>
      </x:c>
      <x:c r="G914" s="30" t="n">
        <x:v>45524</x:v>
      </x:c>
      <x:c r="H914" s="32" t="n">
        <x:v>960000</x:v>
      </x:c>
      <x:c r="I914" s="32" t="n">
        <x:v>960000</x:v>
      </x:c>
      <x:c r="J914" s="32" t="n">
        <x:v>0</x:v>
      </x:c>
      <x:c r="K914" s="30" t="n">
        <x:v>45534</x:v>
      </x:c>
      <x:c r="L914" s="24" t="str">
        <x:v>입금</x:v>
      </x:c>
      <x:c r="M914" s="31" t="n">
        <x:f>IF(AND(N914="미수",G914&lt;&gt;"",TODAY()&gt;G914),TODAY()-G914,0)</x:f>
        <x:v>0</x:v>
      </x:c>
      <x:c r="N914" s="24" t="str">
        <x:f>IF(J914&gt;0,"미수",IF(AND(H914&gt;0,I914&gt;=H914),"완납","미확인"))</x:f>
        <x:v>완납</x:v>
      </x:c>
      <x:c r="O914" s="31" t="n">
        <x:v>45</x:v>
      </x:c>
    </x:row>
    <x:row r="915" ht="17.25" customHeight="1">
      <x:c r="A915" s="24" t="str">
        <x:v>SW-B-365주3303-202407</x:v>
      </x:c>
      <x:c r="B915" s="24" t="str">
        <x:v>스위치플랜</x:v>
      </x:c>
      <x:c r="C915" s="24" t="str">
        <x:v>SW-C-365주3303-1-20231121-45</x:v>
      </x:c>
      <x:c r="D915" s="24" t="str">
        <x:v>365주3303</x:v>
      </x:c>
      <x:c r="E915" s="24" t="str">
        <x:v>이은규</x:v>
      </x:c>
      <x:c r="F915" s="24" t="str">
        <x:v>2024-07</x:v>
      </x:c>
      <x:c r="G915" s="30" t="n">
        <x:v>45493</x:v>
      </x:c>
      <x:c r="H915" s="32" t="n">
        <x:v>960000</x:v>
      </x:c>
      <x:c r="I915" s="32" t="n">
        <x:v>960000</x:v>
      </x:c>
      <x:c r="J915" s="32" t="n">
        <x:v>0</x:v>
      </x:c>
      <x:c r="K915" s="30" t="n">
        <x:v>45503</x:v>
      </x:c>
      <x:c r="L915" s="24" t="str">
        <x:v>입금</x:v>
      </x:c>
      <x:c r="M915" s="31" t="n">
        <x:f>IF(AND(N915="미수",G915&lt;&gt;"",TODAY()&gt;G915),TODAY()-G915,0)</x:f>
        <x:v>0</x:v>
      </x:c>
      <x:c r="N915" s="24" t="str">
        <x:f>IF(J915&gt;0,"미수",IF(AND(H915&gt;0,I915&gt;=H915),"완납","미확인"))</x:f>
        <x:v>완납</x:v>
      </x:c>
      <x:c r="O915" s="31" t="n">
        <x:v>45</x:v>
      </x:c>
    </x:row>
    <x:row r="916" ht="17.25" customHeight="1">
      <x:c r="A916" s="24" t="str">
        <x:v>SW-B-365주3303-202406</x:v>
      </x:c>
      <x:c r="B916" s="24" t="str">
        <x:v>스위치플랜</x:v>
      </x:c>
      <x:c r="C916" s="24" t="str">
        <x:v>SW-C-365주3303-1-20231121-45</x:v>
      </x:c>
      <x:c r="D916" s="24" t="str">
        <x:v>365주3303</x:v>
      </x:c>
      <x:c r="E916" s="24" t="str">
        <x:v>이은규</x:v>
      </x:c>
      <x:c r="F916" s="24" t="str">
        <x:v>2024-06</x:v>
      </x:c>
      <x:c r="G916" s="30" t="n">
        <x:v>45463</x:v>
      </x:c>
      <x:c r="H916" s="32" t="n">
        <x:v>960000</x:v>
      </x:c>
      <x:c r="I916" s="32" t="n">
        <x:v>960000</x:v>
      </x:c>
      <x:c r="J916" s="32" t="n">
        <x:v>0</x:v>
      </x:c>
      <x:c r="K916" s="30" t="n">
        <x:v>45474</x:v>
      </x:c>
      <x:c r="L916" s="24" t="str">
        <x:v>입금</x:v>
      </x:c>
      <x:c r="M916" s="31" t="n">
        <x:f>IF(AND(N916="미수",G916&lt;&gt;"",TODAY()&gt;G916),TODAY()-G916,0)</x:f>
        <x:v>0</x:v>
      </x:c>
      <x:c r="N916" s="24" t="str">
        <x:f>IF(J916&gt;0,"미수",IF(AND(H916&gt;0,I916&gt;=H916),"완납","미확인"))</x:f>
        <x:v>완납</x:v>
      </x:c>
      <x:c r="O916" s="31" t="n">
        <x:v>45</x:v>
      </x:c>
    </x:row>
    <x:row r="917" ht="17.25" customHeight="1">
      <x:c r="A917" s="24" t="str">
        <x:v>SW-B-365주3303-202405</x:v>
      </x:c>
      <x:c r="B917" s="24" t="str">
        <x:v>스위치플랜</x:v>
      </x:c>
      <x:c r="C917" s="24" t="str">
        <x:v>SW-C-365주3303-1-20231121-45</x:v>
      </x:c>
      <x:c r="D917" s="24" t="str">
        <x:v>365주3303</x:v>
      </x:c>
      <x:c r="E917" s="24" t="str">
        <x:v>이은규</x:v>
      </x:c>
      <x:c r="F917" s="24" t="str">
        <x:v>2024-05</x:v>
      </x:c>
      <x:c r="G917" s="30" t="n">
        <x:v>45432</x:v>
      </x:c>
      <x:c r="H917" s="32" t="n">
        <x:v>960000</x:v>
      </x:c>
      <x:c r="I917" s="32" t="n">
        <x:v>960000</x:v>
      </x:c>
      <x:c r="J917" s="32" t="n">
        <x:v>0</x:v>
      </x:c>
      <x:c r="K917" s="30" t="n">
        <x:v>45439</x:v>
      </x:c>
      <x:c r="L917" s="24" t="str">
        <x:v>입금</x:v>
      </x:c>
      <x:c r="M917" s="31" t="n">
        <x:f>IF(AND(N917="미수",G917&lt;&gt;"",TODAY()&gt;G917),TODAY()-G917,0)</x:f>
        <x:v>0</x:v>
      </x:c>
      <x:c r="N917" s="24" t="str">
        <x:f>IF(J917&gt;0,"미수",IF(AND(H917&gt;0,I917&gt;=H917),"완납","미확인"))</x:f>
        <x:v>완납</x:v>
      </x:c>
      <x:c r="O917" s="31" t="n">
        <x:v>45</x:v>
      </x:c>
    </x:row>
    <x:row r="918" ht="17.25" customHeight="1">
      <x:c r="A918" s="24" t="str">
        <x:v>SW-B-365주3303-202404</x:v>
      </x:c>
      <x:c r="B918" s="24" t="str">
        <x:v>스위치플랜</x:v>
      </x:c>
      <x:c r="C918" s="24" t="str">
        <x:v>SW-C-365주3303-1-20231121-45</x:v>
      </x:c>
      <x:c r="D918" s="24" t="str">
        <x:v>365주3303</x:v>
      </x:c>
      <x:c r="E918" s="24" t="str">
        <x:v>이은규</x:v>
      </x:c>
      <x:c r="F918" s="24" t="str">
        <x:v>2024-04</x:v>
      </x:c>
      <x:c r="G918" s="30" t="n">
        <x:v>45402</x:v>
      </x:c>
      <x:c r="H918" s="32" t="n">
        <x:v>960000</x:v>
      </x:c>
      <x:c r="I918" s="32" t="n">
        <x:v>960000</x:v>
      </x:c>
      <x:c r="J918" s="32" t="n">
        <x:v>0</x:v>
      </x:c>
      <x:c r="K918" s="30" t="n">
        <x:v>45407</x:v>
      </x:c>
      <x:c r="L918" s="24" t="str">
        <x:v>입금</x:v>
      </x:c>
      <x:c r="M918" s="31" t="n">
        <x:f>IF(AND(N918="미수",G918&lt;&gt;"",TODAY()&gt;G918),TODAY()-G918,0)</x:f>
        <x:v>0</x:v>
      </x:c>
      <x:c r="N918" s="24" t="str">
        <x:f>IF(J918&gt;0,"미수",IF(AND(H918&gt;0,I918&gt;=H918),"완납","미확인"))</x:f>
        <x:v>완납</x:v>
      </x:c>
      <x:c r="O918" s="31" t="n">
        <x:v>45</x:v>
      </x:c>
    </x:row>
    <x:row r="919" ht="17.25" customHeight="1">
      <x:c r="A919" s="24" t="str">
        <x:v>SW-B-365주3303-202403</x:v>
      </x:c>
      <x:c r="B919" s="24" t="str">
        <x:v>스위치플랜</x:v>
      </x:c>
      <x:c r="C919" s="24" t="str">
        <x:v>SW-C-365주3303-1-20231121-45</x:v>
      </x:c>
      <x:c r="D919" s="24" t="str">
        <x:v>365주3303</x:v>
      </x:c>
      <x:c r="E919" s="24" t="str">
        <x:v>이은규</x:v>
      </x:c>
      <x:c r="F919" s="24" t="str">
        <x:v>2024-03</x:v>
      </x:c>
      <x:c r="G919" s="30" t="n">
        <x:v>45371</x:v>
      </x:c>
      <x:c r="H919" s="32" t="n">
        <x:v>960000</x:v>
      </x:c>
      <x:c r="I919" s="32" t="n">
        <x:v>960000</x:v>
      </x:c>
      <x:c r="J919" s="32" t="n">
        <x:v>0</x:v>
      </x:c>
      <x:c r="K919" s="30" t="n">
        <x:v>45374</x:v>
      </x:c>
      <x:c r="L919" s="24" t="str">
        <x:v>입금</x:v>
      </x:c>
      <x:c r="M919" s="31" t="n">
        <x:f>IF(AND(N919="미수",G919&lt;&gt;"",TODAY()&gt;G919),TODAY()-G919,0)</x:f>
        <x:v>0</x:v>
      </x:c>
      <x:c r="N919" s="24" t="str">
        <x:f>IF(J919&gt;0,"미수",IF(AND(H919&gt;0,I919&gt;=H919),"완납","미확인"))</x:f>
        <x:v>완납</x:v>
      </x:c>
      <x:c r="O919" s="31" t="n">
        <x:v>45</x:v>
      </x:c>
    </x:row>
    <x:row r="920" ht="17.25" customHeight="1">
      <x:c r="A920" s="24" t="str">
        <x:v>SW-B-365주3303-202402</x:v>
      </x:c>
      <x:c r="B920" s="24" t="str">
        <x:v>스위치플랜</x:v>
      </x:c>
      <x:c r="C920" s="24" t="str">
        <x:v>SW-C-365주3303-1-20231121-45</x:v>
      </x:c>
      <x:c r="D920" s="24" t="str">
        <x:v>365주3303</x:v>
      </x:c>
      <x:c r="E920" s="24" t="str">
        <x:v>이은규</x:v>
      </x:c>
      <x:c r="F920" s="24" t="str">
        <x:v>2024-02</x:v>
      </x:c>
      <x:c r="G920" s="30" t="n">
        <x:v>45342</x:v>
      </x:c>
      <x:c r="H920" s="32" t="n">
        <x:v>960000</x:v>
      </x:c>
      <x:c r="I920" s="32" t="n">
        <x:v>960000</x:v>
      </x:c>
      <x:c r="J920" s="32" t="n">
        <x:v>0</x:v>
      </x:c>
      <x:c r="K920" s="30" t="n">
        <x:v>45345</x:v>
      </x:c>
      <x:c r="L920" s="24" t="str">
        <x:v>입금</x:v>
      </x:c>
      <x:c r="M920" s="31" t="n">
        <x:f>IF(AND(N920="미수",G920&lt;&gt;"",TODAY()&gt;G920),TODAY()-G920,0)</x:f>
        <x:v>0</x:v>
      </x:c>
      <x:c r="N920" s="24" t="str">
        <x:f>IF(J920&gt;0,"미수",IF(AND(H920&gt;0,I920&gt;=H920),"완납","미확인"))</x:f>
        <x:v>완납</x:v>
      </x:c>
      <x:c r="O920" s="31" t="n">
        <x:v>45</x:v>
      </x:c>
    </x:row>
    <x:row r="921" ht="17.25" customHeight="1">
      <x:c r="A921" s="24" t="str">
        <x:v>SW-B-365주3303-202401</x:v>
      </x:c>
      <x:c r="B921" s="24" t="str">
        <x:v>스위치플랜</x:v>
      </x:c>
      <x:c r="C921" s="24" t="str">
        <x:v>SW-C-365주3303-1-20231121-45</x:v>
      </x:c>
      <x:c r="D921" s="24" t="str">
        <x:v>365주3303</x:v>
      </x:c>
      <x:c r="E921" s="24" t="str">
        <x:v>이은규</x:v>
      </x:c>
      <x:c r="F921" s="24" t="str">
        <x:v>2024-01</x:v>
      </x:c>
      <x:c r="G921" s="30" t="n">
        <x:v>45311</x:v>
      </x:c>
      <x:c r="H921" s="32" t="n">
        <x:v>960000</x:v>
      </x:c>
      <x:c r="I921" s="32" t="n">
        <x:v>960000</x:v>
      </x:c>
      <x:c r="J921" s="32" t="n">
        <x:v>0</x:v>
      </x:c>
      <x:c r="K921" s="30" t="n">
        <x:v>45315</x:v>
      </x:c>
      <x:c r="L921" s="24" t="str">
        <x:v>입금</x:v>
      </x:c>
      <x:c r="M921" s="31" t="n">
        <x:f>IF(AND(N921="미수",G921&lt;&gt;"",TODAY()&gt;G921),TODAY()-G921,0)</x:f>
        <x:v>0</x:v>
      </x:c>
      <x:c r="N921" s="24" t="str">
        <x:f>IF(J921&gt;0,"미수",IF(AND(H921&gt;0,I921&gt;=H921),"완납","미확인"))</x:f>
        <x:v>완납</x:v>
      </x:c>
      <x:c r="O921" s="31" t="n">
        <x:v>45</x:v>
      </x:c>
    </x:row>
    <x:row r="922" ht="17.25" customHeight="1">
      <x:c r="A922" s="24" t="str">
        <x:v>SW-B-365주3303-202312</x:v>
      </x:c>
      <x:c r="B922" s="24" t="str">
        <x:v>스위치플랜</x:v>
      </x:c>
      <x:c r="C922" s="24" t="str">
        <x:v>SW-C-365주3303-1-20231121-45</x:v>
      </x:c>
      <x:c r="D922" s="24" t="str">
        <x:v>365주3303</x:v>
      </x:c>
      <x:c r="E922" s="24" t="str">
        <x:v>이은규</x:v>
      </x:c>
      <x:c r="F922" s="24" t="str">
        <x:v>2023-12</x:v>
      </x:c>
      <x:c r="G922" s="30" t="n">
        <x:v>45280</x:v>
      </x:c>
      <x:c r="H922" s="32" t="n">
        <x:v>960000</x:v>
      </x:c>
      <x:c r="I922" s="32" t="n">
        <x:v>960000</x:v>
      </x:c>
      <x:c r="J922" s="32" t="n">
        <x:v>0</x:v>
      </x:c>
      <x:c r="K922" s="30" t="n">
        <x:v>45240</x:v>
      </x:c>
      <x:c r="L922" s="24" t="str">
        <x:v>입금</x:v>
      </x:c>
      <x:c r="M922" s="31" t="n">
        <x:f>IF(AND(N922="미수",G922&lt;&gt;"",TODAY()&gt;G922),TODAY()-G922,0)</x:f>
        <x:v>0</x:v>
      </x:c>
      <x:c r="N922" s="24" t="str">
        <x:f>IF(J922&gt;0,"미수",IF(AND(H922&gt;0,I922&gt;=H922),"완납","미확인"))</x:f>
        <x:v>완납</x:v>
      </x:c>
      <x:c r="O922" s="31" t="n">
        <x:v>45</x:v>
      </x:c>
    </x:row>
    <x:row r="923" ht="17.25" customHeight="1">
      <x:c r="A923" s="24" t="str">
        <x:v>SW-B-165서6056-202608</x:v>
      </x:c>
      <x:c r="B923" s="24" t="str">
        <x:v>스위치플랜</x:v>
      </x:c>
      <x:c r="C923" s="24" t="str">
        <x:v>SW-C-165서6056-1-20231123-46</x:v>
      </x:c>
      <x:c r="D923" s="24" t="str">
        <x:v>165서6056</x:v>
      </x:c>
      <x:c r="E923" s="24" t="str">
        <x:v>백규열</x:v>
      </x:c>
      <x:c r="F923" s="24" t="str">
        <x:v>2026-08</x:v>
      </x:c>
      <x:c r="G923" s="30" t="n">
        <x:v>46259</x:v>
      </x:c>
      <x:c r="H923" s="32" t="n">
        <x:v>400000</x:v>
      </x:c>
      <x:c r="I923" s="32"/>
      <x:c r="J923" s="32" t="n">
        <x:v>400000</x:v>
      </x:c>
      <x:c r="K923" s="30"/>
      <x:c r="L923" s="24" t="str"/>
      <x:c r="M923" s="31" t="n">
        <x:f>IF(AND(N923="미수",G923&lt;&gt;"",TODAY()&gt;G923),TODAY()-G923,0)</x:f>
        <x:v>0</x:v>
      </x:c>
      <x:c r="N923" s="24" t="str">
        <x:f>IF(J923&gt;0,"미수",IF(AND(H923&gt;0,I923&gt;=H923),"완납","미확인"))</x:f>
        <x:v>미수</x:v>
      </x:c>
      <x:c r="O923" s="31" t="n">
        <x:v>46</x:v>
      </x:c>
    </x:row>
    <x:row r="924" ht="17.25" customHeight="1">
      <x:c r="A924" s="24" t="str">
        <x:v>SW-B-165서6056-202607</x:v>
      </x:c>
      <x:c r="B924" s="24" t="str">
        <x:v>스위치플랜</x:v>
      </x:c>
      <x:c r="C924" s="24" t="str">
        <x:v>SW-C-165서6056-1-20231123-46</x:v>
      </x:c>
      <x:c r="D924" s="24" t="str">
        <x:v>165서6056</x:v>
      </x:c>
      <x:c r="E924" s="24" t="str">
        <x:v>백규열</x:v>
      </x:c>
      <x:c r="F924" s="24" t="str">
        <x:v>2026-07</x:v>
      </x:c>
      <x:c r="G924" s="30" t="n">
        <x:v>46228</x:v>
      </x:c>
      <x:c r="H924" s="32" t="n">
        <x:v>400000</x:v>
      </x:c>
      <x:c r="I924" s="32" t="n">
        <x:v>400000</x:v>
      </x:c>
      <x:c r="J924" s="32" t="n">
        <x:v>0</x:v>
      </x:c>
      <x:c r="K924" s="30" t="n">
        <x:v>46231</x:v>
      </x:c>
      <x:c r="L924" s="24" t="str">
        <x:v>입금</x:v>
      </x:c>
      <x:c r="M924" s="31" t="n">
        <x:f>IF(AND(N924="미수",G924&lt;&gt;"",TODAY()&gt;G924),TODAY()-G924,0)</x:f>
        <x:v>0</x:v>
      </x:c>
      <x:c r="N924" s="24" t="str">
        <x:f>IF(J924&gt;0,"미수",IF(AND(H924&gt;0,I924&gt;=H924),"완납","미확인"))</x:f>
        <x:v>완납</x:v>
      </x:c>
      <x:c r="O924" s="31" t="n">
        <x:v>46</x:v>
      </x:c>
    </x:row>
    <x:row r="925" ht="17.25" customHeight="1">
      <x:c r="A925" s="24" t="str">
        <x:v>SW-B-165서6056-202606</x:v>
      </x:c>
      <x:c r="B925" s="24" t="str">
        <x:v>스위치플랜</x:v>
      </x:c>
      <x:c r="C925" s="24" t="str">
        <x:v>SW-C-165서6056-1-20231123-46</x:v>
      </x:c>
      <x:c r="D925" s="24" t="str">
        <x:v>165서6056</x:v>
      </x:c>
      <x:c r="E925" s="24" t="str">
        <x:v>백규열</x:v>
      </x:c>
      <x:c r="F925" s="24" t="str">
        <x:v>2026-06</x:v>
      </x:c>
      <x:c r="G925" s="30" t="n">
        <x:v>46198</x:v>
      </x:c>
      <x:c r="H925" s="32" t="n">
        <x:v>400000</x:v>
      </x:c>
      <x:c r="I925" s="32" t="n">
        <x:v>400000</x:v>
      </x:c>
      <x:c r="J925" s="32" t="n">
        <x:v>0</x:v>
      </x:c>
      <x:c r="K925" s="30" t="n">
        <x:v>46202</x:v>
      </x:c>
      <x:c r="L925" s="24" t="str">
        <x:v>입금</x:v>
      </x:c>
      <x:c r="M925" s="31" t="n">
        <x:f>IF(AND(N925="미수",G925&lt;&gt;"",TODAY()&gt;G925),TODAY()-G925,0)</x:f>
        <x:v>0</x:v>
      </x:c>
      <x:c r="N925" s="24" t="str">
        <x:f>IF(J925&gt;0,"미수",IF(AND(H925&gt;0,I925&gt;=H925),"완납","미확인"))</x:f>
        <x:v>완납</x:v>
      </x:c>
      <x:c r="O925" s="31" t="n">
        <x:v>46</x:v>
      </x:c>
    </x:row>
    <x:row r="926" ht="17.25" customHeight="1">
      <x:c r="A926" s="24" t="str">
        <x:v>SW-B-165서6056-202605</x:v>
      </x:c>
      <x:c r="B926" s="24" t="str">
        <x:v>스위치플랜</x:v>
      </x:c>
      <x:c r="C926" s="24" t="str">
        <x:v>SW-C-165서6056-1-20231123-46</x:v>
      </x:c>
      <x:c r="D926" s="24" t="str">
        <x:v>165서6056</x:v>
      </x:c>
      <x:c r="E926" s="24" t="str">
        <x:v>백규열</x:v>
      </x:c>
      <x:c r="F926" s="24" t="str">
        <x:v>2026-05</x:v>
      </x:c>
      <x:c r="G926" s="30" t="n">
        <x:v>46167</x:v>
      </x:c>
      <x:c r="H926" s="32" t="n">
        <x:v>400000</x:v>
      </x:c>
      <x:c r="I926" s="32" t="n">
        <x:v>800000</x:v>
      </x:c>
      <x:c r="J926" s="32" t="n">
        <x:v>0</x:v>
      </x:c>
      <x:c r="K926" s="30" t="n">
        <x:v>46148</x:v>
      </x:c>
      <x:c r="L926" s="24" t="str">
        <x:v>입금</x:v>
      </x:c>
      <x:c r="M926" s="31" t="n">
        <x:f>IF(AND(N926="미수",G926&lt;&gt;"",TODAY()&gt;G926),TODAY()-G926,0)</x:f>
        <x:v>0</x:v>
      </x:c>
      <x:c r="N926" s="24" t="str">
        <x:f>IF(J926&gt;0,"미수",IF(AND(H926&gt;0,I926&gt;=H926),"완납","미확인"))</x:f>
        <x:v>완납</x:v>
      </x:c>
      <x:c r="O926" s="31" t="n">
        <x:v>46</x:v>
      </x:c>
    </x:row>
    <x:row r="927" ht="17.25" customHeight="1">
      <x:c r="A927" s="24" t="str">
        <x:v>SW-B-165서6056-202604</x:v>
      </x:c>
      <x:c r="B927" s="24" t="str">
        <x:v>스위치플랜</x:v>
      </x:c>
      <x:c r="C927" s="24" t="str">
        <x:v>SW-C-165서6056-1-20231123-46</x:v>
      </x:c>
      <x:c r="D927" s="24" t="str">
        <x:v>165서6056</x:v>
      </x:c>
      <x:c r="E927" s="24" t="str">
        <x:v>백규열</x:v>
      </x:c>
      <x:c r="F927" s="24" t="str">
        <x:v>2026-04</x:v>
      </x:c>
      <x:c r="G927" s="30" t="n">
        <x:v>46137</x:v>
      </x:c>
      <x:c r="H927" s="32" t="n">
        <x:v>400000</x:v>
      </x:c>
      <x:c r="I927" s="32" t="n">
        <x:v>400000</x:v>
      </x:c>
      <x:c r="J927" s="32" t="n">
        <x:v>400000</x:v>
      </x:c>
      <x:c r="K927" s="30" t="n">
        <x:v>46113</x:v>
      </x:c>
      <x:c r="L927" s="24" t="str">
        <x:v>입금</x:v>
      </x:c>
      <x:c r="M927" s="31" t="n">
        <x:f>IF(AND(N927="미수",G927&lt;&gt;"",TODAY()&gt;G927),TODAY()-G927,0)</x:f>
        <x:v>112</x:v>
      </x:c>
      <x:c r="N927" s="24" t="str">
        <x:f>IF(J927&gt;0,"미수",IF(AND(H927&gt;0,I927&gt;=H927),"완납","미확인"))</x:f>
        <x:v>미수</x:v>
      </x:c>
      <x:c r="O927" s="31" t="n">
        <x:v>46</x:v>
      </x:c>
    </x:row>
    <x:row r="928" ht="17.25" customHeight="1">
      <x:c r="A928" s="24" t="str">
        <x:v>SW-B-165서6056-202603</x:v>
      </x:c>
      <x:c r="B928" s="24" t="str">
        <x:v>스위치플랜</x:v>
      </x:c>
      <x:c r="C928" s="24" t="str">
        <x:v>SW-C-165서6056-1-20231123-46</x:v>
      </x:c>
      <x:c r="D928" s="24" t="str">
        <x:v>165서6056</x:v>
      </x:c>
      <x:c r="E928" s="24" t="str">
        <x:v>백규열</x:v>
      </x:c>
      <x:c r="F928" s="24" t="str">
        <x:v>2026-03</x:v>
      </x:c>
      <x:c r="G928" s="30" t="n">
        <x:v>46106</x:v>
      </x:c>
      <x:c r="H928" s="32" t="n">
        <x:v>400000</x:v>
      </x:c>
      <x:c r="I928" s="32" t="n">
        <x:v>400000</x:v>
      </x:c>
      <x:c r="J928" s="32" t="n">
        <x:v>400000</x:v>
      </x:c>
      <x:c r="K928" s="30" t="n">
        <x:v>46091</x:v>
      </x:c>
      <x:c r="L928" s="24" t="str">
        <x:v>입금</x:v>
      </x:c>
      <x:c r="M928" s="31" t="n">
        <x:f>IF(AND(N928="미수",G928&lt;&gt;"",TODAY()&gt;G928),TODAY()-G928,0)</x:f>
        <x:v>143</x:v>
      </x:c>
      <x:c r="N928" s="24" t="str">
        <x:f>IF(J928&gt;0,"미수",IF(AND(H928&gt;0,I928&gt;=H928),"완납","미확인"))</x:f>
        <x:v>미수</x:v>
      </x:c>
      <x:c r="O928" s="31" t="n">
        <x:v>46</x:v>
      </x:c>
    </x:row>
    <x:row r="929" ht="17.25" customHeight="1">
      <x:c r="A929" s="24" t="str">
        <x:v>SW-B-165서6056-202602</x:v>
      </x:c>
      <x:c r="B929" s="24" t="str">
        <x:v>스위치플랜</x:v>
      </x:c>
      <x:c r="C929" s="24" t="str">
        <x:v>SW-C-165서6056-1-20231123-46</x:v>
      </x:c>
      <x:c r="D929" s="24" t="str">
        <x:v>165서6056</x:v>
      </x:c>
      <x:c r="E929" s="24" t="str">
        <x:v>백규열</x:v>
      </x:c>
      <x:c r="F929" s="24" t="str">
        <x:v>2026-02</x:v>
      </x:c>
      <x:c r="G929" s="30" t="n">
        <x:v>46078</x:v>
      </x:c>
      <x:c r="H929" s="32" t="n">
        <x:v>400000</x:v>
      </x:c>
      <x:c r="I929" s="32"/>
      <x:c r="J929" s="32" t="n">
        <x:v>400000</x:v>
      </x:c>
      <x:c r="K929" s="30"/>
      <x:c r="L929" s="24" t="str"/>
      <x:c r="M929" s="31" t="n">
        <x:f>IF(AND(N929="미수",G929&lt;&gt;"",TODAY()&gt;G929),TODAY()-G929,0)</x:f>
        <x:v>171</x:v>
      </x:c>
      <x:c r="N929" s="24" t="str">
        <x:f>IF(J929&gt;0,"미수",IF(AND(H929&gt;0,I929&gt;=H929),"완납","미확인"))</x:f>
        <x:v>미수</x:v>
      </x:c>
      <x:c r="O929" s="31" t="n">
        <x:v>46</x:v>
      </x:c>
    </x:row>
    <x:row r="930" ht="17.25" customHeight="1">
      <x:c r="A930" s="24" t="str">
        <x:v>SW-B-165서6056-202601</x:v>
      </x:c>
      <x:c r="B930" s="24" t="str">
        <x:v>스위치플랜</x:v>
      </x:c>
      <x:c r="C930" s="24" t="str">
        <x:v>SW-C-165서6056-1-20231123-46</x:v>
      </x:c>
      <x:c r="D930" s="24" t="str">
        <x:v>165서6056</x:v>
      </x:c>
      <x:c r="E930" s="24" t="str">
        <x:v>백규열</x:v>
      </x:c>
      <x:c r="F930" s="24" t="str">
        <x:v>2026-01</x:v>
      </x:c>
      <x:c r="G930" s="30" t="n">
        <x:v>46047</x:v>
      </x:c>
      <x:c r="H930" s="32" t="n">
        <x:v>400000</x:v>
      </x:c>
      <x:c r="I930" s="32" t="n">
        <x:v>400000</x:v>
      </x:c>
      <x:c r="J930" s="32" t="n">
        <x:v>0</x:v>
      </x:c>
      <x:c r="K930" s="30" t="n">
        <x:v>46049</x:v>
      </x:c>
      <x:c r="L930" s="24" t="str">
        <x:v>입금</x:v>
      </x:c>
      <x:c r="M930" s="31" t="n">
        <x:f>IF(AND(N930="미수",G930&lt;&gt;"",TODAY()&gt;G930),TODAY()-G930,0)</x:f>
        <x:v>0</x:v>
      </x:c>
      <x:c r="N930" s="24" t="str">
        <x:f>IF(J930&gt;0,"미수",IF(AND(H930&gt;0,I930&gt;=H930),"완납","미확인"))</x:f>
        <x:v>완납</x:v>
      </x:c>
      <x:c r="O930" s="31" t="n">
        <x:v>46</x:v>
      </x:c>
    </x:row>
    <x:row r="931" ht="17.25" customHeight="1">
      <x:c r="A931" s="24" t="str">
        <x:v>SW-B-165서6056-202512</x:v>
      </x:c>
      <x:c r="B931" s="24" t="str">
        <x:v>스위치플랜</x:v>
      </x:c>
      <x:c r="C931" s="24" t="str">
        <x:v>SW-C-165서6056-1-20231123-46</x:v>
      </x:c>
      <x:c r="D931" s="24" t="str">
        <x:v>165서6056</x:v>
      </x:c>
      <x:c r="E931" s="24" t="str">
        <x:v>백규열</x:v>
      </x:c>
      <x:c r="F931" s="24" t="str">
        <x:v>2025-12</x:v>
      </x:c>
      <x:c r="G931" s="30" t="n">
        <x:v>46016</x:v>
      </x:c>
      <x:c r="H931" s="32" t="n">
        <x:v>400000</x:v>
      </x:c>
      <x:c r="I931" s="32" t="n">
        <x:v>400000</x:v>
      </x:c>
      <x:c r="J931" s="32" t="n">
        <x:v>0</x:v>
      </x:c>
      <x:c r="K931" s="30" t="n">
        <x:v>46022</x:v>
      </x:c>
      <x:c r="L931" s="24" t="str">
        <x:v>입금</x:v>
      </x:c>
      <x:c r="M931" s="31" t="n">
        <x:f>IF(AND(N931="미수",G931&lt;&gt;"",TODAY()&gt;G931),TODAY()-G931,0)</x:f>
        <x:v>0</x:v>
      </x:c>
      <x:c r="N931" s="24" t="str">
        <x:f>IF(J931&gt;0,"미수",IF(AND(H931&gt;0,I931&gt;=H931),"완납","미확인"))</x:f>
        <x:v>완납</x:v>
      </x:c>
      <x:c r="O931" s="31" t="n">
        <x:v>46</x:v>
      </x:c>
    </x:row>
    <x:row r="932" ht="17.25" customHeight="1">
      <x:c r="A932" s="24" t="str">
        <x:v>SW-B-165서6056-202511</x:v>
      </x:c>
      <x:c r="B932" s="24" t="str">
        <x:v>스위치플랜</x:v>
      </x:c>
      <x:c r="C932" s="24" t="str">
        <x:v>SW-C-165서6056-1-20231123-46</x:v>
      </x:c>
      <x:c r="D932" s="24" t="str">
        <x:v>165서6056</x:v>
      </x:c>
      <x:c r="E932" s="24" t="str">
        <x:v>백규열</x:v>
      </x:c>
      <x:c r="F932" s="24" t="str">
        <x:v>2025-11</x:v>
      </x:c>
      <x:c r="G932" s="30" t="n">
        <x:v>45986</x:v>
      </x:c>
      <x:c r="H932" s="32" t="n">
        <x:v>400000</x:v>
      </x:c>
      <x:c r="I932" s="32" t="n">
        <x:v>400000</x:v>
      </x:c>
      <x:c r="J932" s="32" t="n">
        <x:v>0</x:v>
      </x:c>
      <x:c r="K932" s="30" t="n">
        <x:v>45990</x:v>
      </x:c>
      <x:c r="L932" s="24" t="str">
        <x:v>입금</x:v>
      </x:c>
      <x:c r="M932" s="31" t="n">
        <x:f>IF(AND(N932="미수",G932&lt;&gt;"",TODAY()&gt;G932),TODAY()-G932,0)</x:f>
        <x:v>0</x:v>
      </x:c>
      <x:c r="N932" s="24" t="str">
        <x:f>IF(J932&gt;0,"미수",IF(AND(H932&gt;0,I932&gt;=H932),"완납","미확인"))</x:f>
        <x:v>완납</x:v>
      </x:c>
      <x:c r="O932" s="31" t="n">
        <x:v>46</x:v>
      </x:c>
    </x:row>
    <x:row r="933" ht="17.25" customHeight="1">
      <x:c r="A933" s="24" t="str">
        <x:v>SW-B-165서6056-202510</x:v>
      </x:c>
      <x:c r="B933" s="24" t="str">
        <x:v>스위치플랜</x:v>
      </x:c>
      <x:c r="C933" s="24" t="str">
        <x:v>SW-C-165서6056-1-20231123-46</x:v>
      </x:c>
      <x:c r="D933" s="24" t="str">
        <x:v>165서6056</x:v>
      </x:c>
      <x:c r="E933" s="24" t="str">
        <x:v>백규열</x:v>
      </x:c>
      <x:c r="F933" s="24" t="str">
        <x:v>2025-10</x:v>
      </x:c>
      <x:c r="G933" s="30" t="n">
        <x:v>45955</x:v>
      </x:c>
      <x:c r="H933" s="32" t="n">
        <x:v>400000</x:v>
      </x:c>
      <x:c r="I933" s="32" t="n">
        <x:v>400000</x:v>
      </x:c>
      <x:c r="J933" s="32" t="n">
        <x:v>0</x:v>
      </x:c>
      <x:c r="K933" s="30" t="n">
        <x:v>45960</x:v>
      </x:c>
      <x:c r="L933" s="24" t="str">
        <x:v>입금</x:v>
      </x:c>
      <x:c r="M933" s="31" t="n">
        <x:f>IF(AND(N933="미수",G933&lt;&gt;"",TODAY()&gt;G933),TODAY()-G933,0)</x:f>
        <x:v>0</x:v>
      </x:c>
      <x:c r="N933" s="24" t="str">
        <x:f>IF(J933&gt;0,"미수",IF(AND(H933&gt;0,I933&gt;=H933),"완납","미확인"))</x:f>
        <x:v>완납</x:v>
      </x:c>
      <x:c r="O933" s="31" t="n">
        <x:v>46</x:v>
      </x:c>
    </x:row>
    <x:row r="934" ht="17.25" customHeight="1">
      <x:c r="A934" s="24" t="str">
        <x:v>SW-B-165서6056-202509</x:v>
      </x:c>
      <x:c r="B934" s="24" t="str">
        <x:v>스위치플랜</x:v>
      </x:c>
      <x:c r="C934" s="24" t="str">
        <x:v>SW-C-165서6056-1-20231123-46</x:v>
      </x:c>
      <x:c r="D934" s="24" t="str">
        <x:v>165서6056</x:v>
      </x:c>
      <x:c r="E934" s="24" t="str">
        <x:v>백규열</x:v>
      </x:c>
      <x:c r="F934" s="24" t="str">
        <x:v>2025-09</x:v>
      </x:c>
      <x:c r="G934" s="30" t="n">
        <x:v>45925</x:v>
      </x:c>
      <x:c r="H934" s="32" t="n">
        <x:v>400000</x:v>
      </x:c>
      <x:c r="I934" s="32" t="n">
        <x:v>400000</x:v>
      </x:c>
      <x:c r="J934" s="32" t="n">
        <x:v>0</x:v>
      </x:c>
      <x:c r="K934" s="30" t="n">
        <x:v>45940</x:v>
      </x:c>
      <x:c r="L934" s="24" t="str">
        <x:v>입금</x:v>
      </x:c>
      <x:c r="M934" s="31" t="n">
        <x:f>IF(AND(N934="미수",G934&lt;&gt;"",TODAY()&gt;G934),TODAY()-G934,0)</x:f>
        <x:v>0</x:v>
      </x:c>
      <x:c r="N934" s="24" t="str">
        <x:f>IF(J934&gt;0,"미수",IF(AND(H934&gt;0,I934&gt;=H934),"완납","미확인"))</x:f>
        <x:v>완납</x:v>
      </x:c>
      <x:c r="O934" s="31" t="n">
        <x:v>46</x:v>
      </x:c>
    </x:row>
    <x:row r="935" ht="17.25" customHeight="1">
      <x:c r="A935" s="24" t="str">
        <x:v>SW-B-165서6056-202508</x:v>
      </x:c>
      <x:c r="B935" s="24" t="str">
        <x:v>스위치플랜</x:v>
      </x:c>
      <x:c r="C935" s="24" t="str">
        <x:v>SW-C-165서6056-1-20231123-46</x:v>
      </x:c>
      <x:c r="D935" s="24" t="str">
        <x:v>165서6056</x:v>
      </x:c>
      <x:c r="E935" s="24" t="str">
        <x:v>백규열</x:v>
      </x:c>
      <x:c r="F935" s="24" t="str">
        <x:v>2025-08</x:v>
      </x:c>
      <x:c r="G935" s="30" t="n">
        <x:v>45894</x:v>
      </x:c>
      <x:c r="H935" s="32" t="n">
        <x:v>400000</x:v>
      </x:c>
      <x:c r="I935" s="32" t="n">
        <x:v>400000</x:v>
      </x:c>
      <x:c r="J935" s="32" t="n">
        <x:v>0</x:v>
      </x:c>
      <x:c r="K935" s="30" t="n">
        <x:v>45905</x:v>
      </x:c>
      <x:c r="L935" s="24" t="str">
        <x:v>입금</x:v>
      </x:c>
      <x:c r="M935" s="31" t="n">
        <x:f>IF(AND(N935="미수",G935&lt;&gt;"",TODAY()&gt;G935),TODAY()-G935,0)</x:f>
        <x:v>0</x:v>
      </x:c>
      <x:c r="N935" s="24" t="str">
        <x:f>IF(J935&gt;0,"미수",IF(AND(H935&gt;0,I935&gt;=H935),"완납","미확인"))</x:f>
        <x:v>완납</x:v>
      </x:c>
      <x:c r="O935" s="31" t="n">
        <x:v>46</x:v>
      </x:c>
    </x:row>
    <x:row r="936" ht="17.25" customHeight="1">
      <x:c r="A936" s="24" t="str">
        <x:v>SW-B-165서6056-202507</x:v>
      </x:c>
      <x:c r="B936" s="24" t="str">
        <x:v>스위치플랜</x:v>
      </x:c>
      <x:c r="C936" s="24" t="str">
        <x:v>SW-C-165서6056-1-20231123-46</x:v>
      </x:c>
      <x:c r="D936" s="24" t="str">
        <x:v>165서6056</x:v>
      </x:c>
      <x:c r="E936" s="24" t="str">
        <x:v>백규열</x:v>
      </x:c>
      <x:c r="F936" s="24" t="str">
        <x:v>2025-07</x:v>
      </x:c>
      <x:c r="G936" s="30" t="n">
        <x:v>45863</x:v>
      </x:c>
      <x:c r="H936" s="32" t="n">
        <x:v>400000</x:v>
      </x:c>
      <x:c r="I936" s="32" t="n">
        <x:v>400000</x:v>
      </x:c>
      <x:c r="J936" s="32" t="n">
        <x:v>0</x:v>
      </x:c>
      <x:c r="K936" s="30" t="n">
        <x:v>45869</x:v>
      </x:c>
      <x:c r="L936" s="24" t="str">
        <x:v>입금</x:v>
      </x:c>
      <x:c r="M936" s="31" t="n">
        <x:f>IF(AND(N936="미수",G936&lt;&gt;"",TODAY()&gt;G936),TODAY()-G936,0)</x:f>
        <x:v>0</x:v>
      </x:c>
      <x:c r="N936" s="24" t="str">
        <x:f>IF(J936&gt;0,"미수",IF(AND(H936&gt;0,I936&gt;=H936),"완납","미확인"))</x:f>
        <x:v>완납</x:v>
      </x:c>
      <x:c r="O936" s="31" t="n">
        <x:v>46</x:v>
      </x:c>
    </x:row>
    <x:row r="937" ht="17.25" customHeight="1">
      <x:c r="A937" s="24" t="str">
        <x:v>SW-B-165서6056-202506</x:v>
      </x:c>
      <x:c r="B937" s="24" t="str">
        <x:v>스위치플랜</x:v>
      </x:c>
      <x:c r="C937" s="24" t="str">
        <x:v>SW-C-165서6056-1-20231123-46</x:v>
      </x:c>
      <x:c r="D937" s="24" t="str">
        <x:v>165서6056</x:v>
      </x:c>
      <x:c r="E937" s="24" t="str">
        <x:v>백규열</x:v>
      </x:c>
      <x:c r="F937" s="24" t="str">
        <x:v>2025-06</x:v>
      </x:c>
      <x:c r="G937" s="30" t="n">
        <x:v>45833</x:v>
      </x:c>
      <x:c r="H937" s="32" t="n">
        <x:v>400000</x:v>
      </x:c>
      <x:c r="I937" s="32" t="n">
        <x:v>400000</x:v>
      </x:c>
      <x:c r="J937" s="32" t="n">
        <x:v>0</x:v>
      </x:c>
      <x:c r="K937" s="30" t="n">
        <x:v>45833</x:v>
      </x:c>
      <x:c r="L937" s="24" t="str">
        <x:v>자동</x:v>
      </x:c>
      <x:c r="M937" s="31" t="n">
        <x:f>IF(AND(N937="미수",G937&lt;&gt;"",TODAY()&gt;G937),TODAY()-G937,0)</x:f>
        <x:v>0</x:v>
      </x:c>
      <x:c r="N937" s="24" t="str">
        <x:f>IF(J937&gt;0,"미수",IF(AND(H937&gt;0,I937&gt;=H937),"완납","미확인"))</x:f>
        <x:v>완납</x:v>
      </x:c>
      <x:c r="O937" s="31" t="n">
        <x:v>46</x:v>
      </x:c>
    </x:row>
    <x:row r="938" ht="17.25" customHeight="1">
      <x:c r="A938" s="24" t="str">
        <x:v>SW-B-165서6056-202505</x:v>
      </x:c>
      <x:c r="B938" s="24" t="str">
        <x:v>스위치플랜</x:v>
      </x:c>
      <x:c r="C938" s="24" t="str">
        <x:v>SW-C-165서6056-1-20231123-46</x:v>
      </x:c>
      <x:c r="D938" s="24" t="str">
        <x:v>165서6056</x:v>
      </x:c>
      <x:c r="E938" s="24" t="str">
        <x:v>백규열</x:v>
      </x:c>
      <x:c r="F938" s="24" t="str">
        <x:v>2025-05</x:v>
      </x:c>
      <x:c r="G938" s="30" t="n">
        <x:v>45802</x:v>
      </x:c>
      <x:c r="H938" s="32" t="n">
        <x:v>400000</x:v>
      </x:c>
      <x:c r="I938" s="32" t="n">
        <x:v>400000</x:v>
      </x:c>
      <x:c r="J938" s="32" t="n">
        <x:v>0</x:v>
      </x:c>
      <x:c r="K938" s="30" t="n">
        <x:v>45806</x:v>
      </x:c>
      <x:c r="L938" s="24" t="str">
        <x:v>입금</x:v>
      </x:c>
      <x:c r="M938" s="31" t="n">
        <x:f>IF(AND(N938="미수",G938&lt;&gt;"",TODAY()&gt;G938),TODAY()-G938,0)</x:f>
        <x:v>0</x:v>
      </x:c>
      <x:c r="N938" s="24" t="str">
        <x:f>IF(J938&gt;0,"미수",IF(AND(H938&gt;0,I938&gt;=H938),"완납","미확인"))</x:f>
        <x:v>완납</x:v>
      </x:c>
      <x:c r="O938" s="31" t="n">
        <x:v>46</x:v>
      </x:c>
    </x:row>
    <x:row r="939" ht="17.25" customHeight="1">
      <x:c r="A939" s="24" t="str">
        <x:v>SW-B-165서6056-202504</x:v>
      </x:c>
      <x:c r="B939" s="24" t="str">
        <x:v>스위치플랜</x:v>
      </x:c>
      <x:c r="C939" s="24" t="str">
        <x:v>SW-C-165서6056-1-20231123-46</x:v>
      </x:c>
      <x:c r="D939" s="24" t="str">
        <x:v>165서6056</x:v>
      </x:c>
      <x:c r="E939" s="24" t="str">
        <x:v>백규열</x:v>
      </x:c>
      <x:c r="F939" s="24" t="str">
        <x:v>2025-04</x:v>
      </x:c>
      <x:c r="G939" s="30" t="n">
        <x:v>45772</x:v>
      </x:c>
      <x:c r="H939" s="32" t="n">
        <x:v>400000</x:v>
      </x:c>
      <x:c r="I939" s="32" t="n">
        <x:v>400000</x:v>
      </x:c>
      <x:c r="J939" s="32" t="n">
        <x:v>0</x:v>
      </x:c>
      <x:c r="K939" s="30" t="n">
        <x:v>45772</x:v>
      </x:c>
      <x:c r="L939" s="24" t="str">
        <x:v>자동</x:v>
      </x:c>
      <x:c r="M939" s="31" t="n">
        <x:f>IF(AND(N939="미수",G939&lt;&gt;"",TODAY()&gt;G939),TODAY()-G939,0)</x:f>
        <x:v>0</x:v>
      </x:c>
      <x:c r="N939" s="24" t="str">
        <x:f>IF(J939&gt;0,"미수",IF(AND(H939&gt;0,I939&gt;=H939),"완납","미확인"))</x:f>
        <x:v>완납</x:v>
      </x:c>
      <x:c r="O939" s="31" t="n">
        <x:v>46</x:v>
      </x:c>
    </x:row>
    <x:row r="940" ht="17.25" customHeight="1">
      <x:c r="A940" s="24" t="str">
        <x:v>SW-B-165서6056-202503</x:v>
      </x:c>
      <x:c r="B940" s="24" t="str">
        <x:v>스위치플랜</x:v>
      </x:c>
      <x:c r="C940" s="24" t="str">
        <x:v>SW-C-165서6056-1-20231123-46</x:v>
      </x:c>
      <x:c r="D940" s="24" t="str">
        <x:v>165서6056</x:v>
      </x:c>
      <x:c r="E940" s="24" t="str">
        <x:v>백규열</x:v>
      </x:c>
      <x:c r="F940" s="24" t="str">
        <x:v>2025-03</x:v>
      </x:c>
      <x:c r="G940" s="30" t="n">
        <x:v>45741</x:v>
      </x:c>
      <x:c r="H940" s="32" t="n">
        <x:v>400000</x:v>
      </x:c>
      <x:c r="I940" s="32" t="n">
        <x:v>800000</x:v>
      </x:c>
      <x:c r="J940" s="32" t="n">
        <x:v>0</x:v>
      </x:c>
      <x:c r="K940" s="30" t="n">
        <x:v>45722</x:v>
      </x:c>
      <x:c r="L940" s="24" t="str">
        <x:v>입금</x:v>
      </x:c>
      <x:c r="M940" s="31" t="n">
        <x:f>IF(AND(N940="미수",G940&lt;&gt;"",TODAY()&gt;G940),TODAY()-G940,0)</x:f>
        <x:v>0</x:v>
      </x:c>
      <x:c r="N940" s="24" t="str">
        <x:f>IF(J940&gt;0,"미수",IF(AND(H940&gt;0,I940&gt;=H940),"완납","미확인"))</x:f>
        <x:v>완납</x:v>
      </x:c>
      <x:c r="O940" s="31" t="n">
        <x:v>46</x:v>
      </x:c>
    </x:row>
    <x:row r="941" ht="17.25" customHeight="1">
      <x:c r="A941" s="24" t="str">
        <x:v>SW-B-165서6056-202502</x:v>
      </x:c>
      <x:c r="B941" s="24" t="str">
        <x:v>스위치플랜</x:v>
      </x:c>
      <x:c r="C941" s="24" t="str">
        <x:v>SW-C-165서6056-1-20231123-46</x:v>
      </x:c>
      <x:c r="D941" s="24" t="str">
        <x:v>165서6056</x:v>
      </x:c>
      <x:c r="E941" s="24" t="str">
        <x:v>백규열</x:v>
      </x:c>
      <x:c r="F941" s="24" t="str">
        <x:v>2025-02</x:v>
      </x:c>
      <x:c r="G941" s="30" t="n">
        <x:v>45713</x:v>
      </x:c>
      <x:c r="H941" s="32" t="n">
        <x:v>400000</x:v>
      </x:c>
      <x:c r="I941" s="32" t="n">
        <x:v>400000</x:v>
      </x:c>
      <x:c r="J941" s="32" t="n">
        <x:v>400000</x:v>
      </x:c>
      <x:c r="K941" s="30" t="n">
        <x:v>45688</x:v>
      </x:c>
      <x:c r="L941" s="24" t="str">
        <x:v>입금</x:v>
      </x:c>
      <x:c r="M941" s="31" t="n">
        <x:f>IF(AND(N941="미수",G941&lt;&gt;"",TODAY()&gt;G941),TODAY()-G941,0)</x:f>
        <x:v>536</x:v>
      </x:c>
      <x:c r="N941" s="24" t="str">
        <x:f>IF(J941&gt;0,"미수",IF(AND(H941&gt;0,I941&gt;=H941),"완납","미확인"))</x:f>
        <x:v>미수</x:v>
      </x:c>
      <x:c r="O941" s="31" t="n">
        <x:v>46</x:v>
      </x:c>
    </x:row>
    <x:row r="942" ht="17.25" customHeight="1">
      <x:c r="A942" s="24" t="str">
        <x:v>SW-B-165서6056-202501</x:v>
      </x:c>
      <x:c r="B942" s="24" t="str">
        <x:v>스위치플랜</x:v>
      </x:c>
      <x:c r="C942" s="24" t="str">
        <x:v>SW-C-165서6056-1-20231123-46</x:v>
      </x:c>
      <x:c r="D942" s="24" t="str">
        <x:v>165서6056</x:v>
      </x:c>
      <x:c r="E942" s="24" t="str">
        <x:v>백규열</x:v>
      </x:c>
      <x:c r="F942" s="24" t="str">
        <x:v>2025-01</x:v>
      </x:c>
      <x:c r="G942" s="30" t="n">
        <x:v>45682</x:v>
      </x:c>
      <x:c r="H942" s="32" t="n">
        <x:v>400000</x:v>
      </x:c>
      <x:c r="I942" s="32"/>
      <x:c r="J942" s="32" t="n">
        <x:v>400000</x:v>
      </x:c>
      <x:c r="K942" s="30"/>
      <x:c r="L942" s="24" t="str"/>
      <x:c r="M942" s="31" t="n">
        <x:f>IF(AND(N942="미수",G942&lt;&gt;"",TODAY()&gt;G942),TODAY()-G942,0)</x:f>
        <x:v>567</x:v>
      </x:c>
      <x:c r="N942" s="24" t="str">
        <x:f>IF(J942&gt;0,"미수",IF(AND(H942&gt;0,I942&gt;=H942),"완납","미확인"))</x:f>
        <x:v>미수</x:v>
      </x:c>
      <x:c r="O942" s="31" t="n">
        <x:v>46</x:v>
      </x:c>
    </x:row>
    <x:row r="943" ht="17.25" customHeight="1">
      <x:c r="A943" s="24" t="str">
        <x:v>SW-B-165서6056-202412</x:v>
      </x:c>
      <x:c r="B943" s="24" t="str">
        <x:v>스위치플랜</x:v>
      </x:c>
      <x:c r="C943" s="24" t="str">
        <x:v>SW-C-165서6056-1-20231123-46</x:v>
      </x:c>
      <x:c r="D943" s="24" t="str">
        <x:v>165서6056</x:v>
      </x:c>
      <x:c r="E943" s="24" t="str">
        <x:v>백규열</x:v>
      </x:c>
      <x:c r="F943" s="24" t="str">
        <x:v>2024-12</x:v>
      </x:c>
      <x:c r="G943" s="30" t="n">
        <x:v>45651</x:v>
      </x:c>
      <x:c r="H943" s="32" t="n">
        <x:v>400000</x:v>
      </x:c>
      <x:c r="I943" s="32" t="n">
        <x:v>400000</x:v>
      </x:c>
      <x:c r="J943" s="32" t="n">
        <x:v>0</x:v>
      </x:c>
      <x:c r="K943" s="30" t="n">
        <x:v>45652</x:v>
      </x:c>
      <x:c r="L943" s="24" t="str">
        <x:v>자동</x:v>
      </x:c>
      <x:c r="M943" s="31" t="n">
        <x:f>IF(AND(N943="미수",G943&lt;&gt;"",TODAY()&gt;G943),TODAY()-G943,0)</x:f>
        <x:v>0</x:v>
      </x:c>
      <x:c r="N943" s="24" t="str">
        <x:f>IF(J943&gt;0,"미수",IF(AND(H943&gt;0,I943&gt;=H943),"완납","미확인"))</x:f>
        <x:v>완납</x:v>
      </x:c>
      <x:c r="O943" s="31" t="n">
        <x:v>46</x:v>
      </x:c>
    </x:row>
    <x:row r="944" ht="17.25" customHeight="1">
      <x:c r="A944" s="24" t="str">
        <x:v>SW-B-165서6056-202411</x:v>
      </x:c>
      <x:c r="B944" s="24" t="str">
        <x:v>스위치플랜</x:v>
      </x:c>
      <x:c r="C944" s="24" t="str">
        <x:v>SW-C-165서6056-1-20231123-46</x:v>
      </x:c>
      <x:c r="D944" s="24" t="str">
        <x:v>165서6056</x:v>
      </x:c>
      <x:c r="E944" s="24" t="str">
        <x:v>백규열</x:v>
      </x:c>
      <x:c r="F944" s="24" t="str">
        <x:v>2024-11</x:v>
      </x:c>
      <x:c r="G944" s="30" t="n">
        <x:v>45621</x:v>
      </x:c>
      <x:c r="H944" s="32" t="n">
        <x:v>400000</x:v>
      </x:c>
      <x:c r="I944" s="32" t="n">
        <x:v>400000</x:v>
      </x:c>
      <x:c r="J944" s="32" t="n">
        <x:v>0</x:v>
      </x:c>
      <x:c r="K944" s="30" t="n">
        <x:v>45621</x:v>
      </x:c>
      <x:c r="L944" s="24" t="str">
        <x:v>자동</x:v>
      </x:c>
      <x:c r="M944" s="31" t="n">
        <x:f>IF(AND(N944="미수",G944&lt;&gt;"",TODAY()&gt;G944),TODAY()-G944,0)</x:f>
        <x:v>0</x:v>
      </x:c>
      <x:c r="N944" s="24" t="str">
        <x:f>IF(J944&gt;0,"미수",IF(AND(H944&gt;0,I944&gt;=H944),"완납","미확인"))</x:f>
        <x:v>완납</x:v>
      </x:c>
      <x:c r="O944" s="31" t="n">
        <x:v>46</x:v>
      </x:c>
    </x:row>
    <x:row r="945" ht="17.25" customHeight="1">
      <x:c r="A945" s="24" t="str">
        <x:v>SW-B-165서6056-202410</x:v>
      </x:c>
      <x:c r="B945" s="24" t="str">
        <x:v>스위치플랜</x:v>
      </x:c>
      <x:c r="C945" s="24" t="str">
        <x:v>SW-C-165서6056-1-20231123-46</x:v>
      </x:c>
      <x:c r="D945" s="24" t="str">
        <x:v>165서6056</x:v>
      </x:c>
      <x:c r="E945" s="24" t="str">
        <x:v>백규열</x:v>
      </x:c>
      <x:c r="F945" s="24" t="str">
        <x:v>2024-10</x:v>
      </x:c>
      <x:c r="G945" s="30" t="n">
        <x:v>45590</x:v>
      </x:c>
      <x:c r="H945" s="32" t="n">
        <x:v>400000</x:v>
      </x:c>
      <x:c r="I945" s="32" t="n">
        <x:v>400000</x:v>
      </x:c>
      <x:c r="J945" s="32" t="n">
        <x:v>0</x:v>
      </x:c>
      <x:c r="K945" s="30" t="n">
        <x:v>45590</x:v>
      </x:c>
      <x:c r="L945" s="24" t="str">
        <x:v>자동</x:v>
      </x:c>
      <x:c r="M945" s="31" t="n">
        <x:f>IF(AND(N945="미수",G945&lt;&gt;"",TODAY()&gt;G945),TODAY()-G945,0)</x:f>
        <x:v>0</x:v>
      </x:c>
      <x:c r="N945" s="24" t="str">
        <x:f>IF(J945&gt;0,"미수",IF(AND(H945&gt;0,I945&gt;=H945),"완납","미확인"))</x:f>
        <x:v>완납</x:v>
      </x:c>
      <x:c r="O945" s="31" t="n">
        <x:v>46</x:v>
      </x:c>
    </x:row>
    <x:row r="946" ht="17.25" customHeight="1">
      <x:c r="A946" s="24" t="str">
        <x:v>SW-B-165서6056-202409</x:v>
      </x:c>
      <x:c r="B946" s="24" t="str">
        <x:v>스위치플랜</x:v>
      </x:c>
      <x:c r="C946" s="24" t="str">
        <x:v>SW-C-165서6056-1-20231123-46</x:v>
      </x:c>
      <x:c r="D946" s="24" t="str">
        <x:v>165서6056</x:v>
      </x:c>
      <x:c r="E946" s="24" t="str">
        <x:v>백규열</x:v>
      </x:c>
      <x:c r="F946" s="24" t="str">
        <x:v>2024-09</x:v>
      </x:c>
      <x:c r="G946" s="30" t="n">
        <x:v>45560</x:v>
      </x:c>
      <x:c r="H946" s="32" t="n">
        <x:v>400000</x:v>
      </x:c>
      <x:c r="I946" s="32" t="n">
        <x:v>400000</x:v>
      </x:c>
      <x:c r="J946" s="32" t="n">
        <x:v>0</x:v>
      </x:c>
      <x:c r="K946" s="30" t="n">
        <x:v>45560</x:v>
      </x:c>
      <x:c r="L946" s="24" t="str">
        <x:v>자동</x:v>
      </x:c>
      <x:c r="M946" s="31" t="n">
        <x:f>IF(AND(N946="미수",G946&lt;&gt;"",TODAY()&gt;G946),TODAY()-G946,0)</x:f>
        <x:v>0</x:v>
      </x:c>
      <x:c r="N946" s="24" t="str">
        <x:f>IF(J946&gt;0,"미수",IF(AND(H946&gt;0,I946&gt;=H946),"완납","미확인"))</x:f>
        <x:v>완납</x:v>
      </x:c>
      <x:c r="O946" s="31" t="n">
        <x:v>46</x:v>
      </x:c>
    </x:row>
    <x:row r="947" ht="17.25" customHeight="1">
      <x:c r="A947" s="24" t="str">
        <x:v>SW-B-165서6056-202408</x:v>
      </x:c>
      <x:c r="B947" s="24" t="str">
        <x:v>스위치플랜</x:v>
      </x:c>
      <x:c r="C947" s="24" t="str">
        <x:v>SW-C-165서6056-1-20231123-46</x:v>
      </x:c>
      <x:c r="D947" s="24" t="str">
        <x:v>165서6056</x:v>
      </x:c>
      <x:c r="E947" s="24" t="str">
        <x:v>백규열</x:v>
      </x:c>
      <x:c r="F947" s="24" t="str">
        <x:v>2024-08</x:v>
      </x:c>
      <x:c r="G947" s="30" t="n">
        <x:v>45529</x:v>
      </x:c>
      <x:c r="H947" s="32" t="n">
        <x:v>400000</x:v>
      </x:c>
      <x:c r="I947" s="32" t="n">
        <x:v>400000</x:v>
      </x:c>
      <x:c r="J947" s="32" t="n">
        <x:v>0</x:v>
      </x:c>
      <x:c r="K947" s="30" t="n">
        <x:v>45529</x:v>
      </x:c>
      <x:c r="L947" s="24" t="str">
        <x:v>자동</x:v>
      </x:c>
      <x:c r="M947" s="31" t="n">
        <x:f>IF(AND(N947="미수",G947&lt;&gt;"",TODAY()&gt;G947),TODAY()-G947,0)</x:f>
        <x:v>0</x:v>
      </x:c>
      <x:c r="N947" s="24" t="str">
        <x:f>IF(J947&gt;0,"미수",IF(AND(H947&gt;0,I947&gt;=H947),"완납","미확인"))</x:f>
        <x:v>완납</x:v>
      </x:c>
      <x:c r="O947" s="31" t="n">
        <x:v>46</x:v>
      </x:c>
    </x:row>
    <x:row r="948" ht="17.25" customHeight="1">
      <x:c r="A948" s="24" t="str">
        <x:v>SW-B-165서6056-202407</x:v>
      </x:c>
      <x:c r="B948" s="24" t="str">
        <x:v>스위치플랜</x:v>
      </x:c>
      <x:c r="C948" s="24" t="str">
        <x:v>SW-C-165서6056-1-20231123-46</x:v>
      </x:c>
      <x:c r="D948" s="24" t="str">
        <x:v>165서6056</x:v>
      </x:c>
      <x:c r="E948" s="24" t="str">
        <x:v>백규열</x:v>
      </x:c>
      <x:c r="F948" s="24" t="str">
        <x:v>2024-07</x:v>
      </x:c>
      <x:c r="G948" s="30" t="n">
        <x:v>45498</x:v>
      </x:c>
      <x:c r="H948" s="32" t="n">
        <x:v>400000</x:v>
      </x:c>
      <x:c r="I948" s="32" t="n">
        <x:v>400000</x:v>
      </x:c>
      <x:c r="J948" s="32" t="n">
        <x:v>0</x:v>
      </x:c>
      <x:c r="K948" s="30" t="n">
        <x:v>45498</x:v>
      </x:c>
      <x:c r="L948" s="24" t="str">
        <x:v>자동</x:v>
      </x:c>
      <x:c r="M948" s="31" t="n">
        <x:f>IF(AND(N948="미수",G948&lt;&gt;"",TODAY()&gt;G948),TODAY()-G948,0)</x:f>
        <x:v>0</x:v>
      </x:c>
      <x:c r="N948" s="24" t="str">
        <x:f>IF(J948&gt;0,"미수",IF(AND(H948&gt;0,I948&gt;=H948),"완납","미확인"))</x:f>
        <x:v>완납</x:v>
      </x:c>
      <x:c r="O948" s="31" t="n">
        <x:v>46</x:v>
      </x:c>
    </x:row>
    <x:row r="949" ht="17.25" customHeight="1">
      <x:c r="A949" s="24" t="str">
        <x:v>SW-B-165서6056-202406</x:v>
      </x:c>
      <x:c r="B949" s="24" t="str">
        <x:v>스위치플랜</x:v>
      </x:c>
      <x:c r="C949" s="24" t="str">
        <x:v>SW-C-165서6056-1-20231123-46</x:v>
      </x:c>
      <x:c r="D949" s="24" t="str">
        <x:v>165서6056</x:v>
      </x:c>
      <x:c r="E949" s="24" t="str">
        <x:v>백규열</x:v>
      </x:c>
      <x:c r="F949" s="24" t="str">
        <x:v>2024-06</x:v>
      </x:c>
      <x:c r="G949" s="30" t="n">
        <x:v>45468</x:v>
      </x:c>
      <x:c r="H949" s="32" t="n">
        <x:v>400000</x:v>
      </x:c>
      <x:c r="I949" s="32" t="n">
        <x:v>400000</x:v>
      </x:c>
      <x:c r="J949" s="32" t="n">
        <x:v>0</x:v>
      </x:c>
      <x:c r="K949" s="30" t="n">
        <x:v>45471</x:v>
      </x:c>
      <x:c r="L949" s="24" t="str">
        <x:v>입금</x:v>
      </x:c>
      <x:c r="M949" s="31" t="n">
        <x:f>IF(AND(N949="미수",G949&lt;&gt;"",TODAY()&gt;G949),TODAY()-G949,0)</x:f>
        <x:v>0</x:v>
      </x:c>
      <x:c r="N949" s="24" t="str">
        <x:f>IF(J949&gt;0,"미수",IF(AND(H949&gt;0,I949&gt;=H949),"완납","미확인"))</x:f>
        <x:v>완납</x:v>
      </x:c>
      <x:c r="O949" s="31" t="n">
        <x:v>46</x:v>
      </x:c>
    </x:row>
    <x:row r="950" ht="17.25" customHeight="1">
      <x:c r="A950" s="24" t="str">
        <x:v>SW-B-165서6056-202405</x:v>
      </x:c>
      <x:c r="B950" s="24" t="str">
        <x:v>스위치플랜</x:v>
      </x:c>
      <x:c r="C950" s="24" t="str">
        <x:v>SW-C-165서6056-1-20231123-46</x:v>
      </x:c>
      <x:c r="D950" s="24" t="str">
        <x:v>165서6056</x:v>
      </x:c>
      <x:c r="E950" s="24" t="str">
        <x:v>백규열</x:v>
      </x:c>
      <x:c r="F950" s="24" t="str">
        <x:v>2024-05</x:v>
      </x:c>
      <x:c r="G950" s="30" t="n">
        <x:v>45437</x:v>
      </x:c>
      <x:c r="H950" s="32" t="n">
        <x:v>400000</x:v>
      </x:c>
      <x:c r="I950" s="32" t="n">
        <x:v>400000</x:v>
      </x:c>
      <x:c r="J950" s="32" t="n">
        <x:v>0</x:v>
      </x:c>
      <x:c r="K950" s="30" t="n">
        <x:v>45441</x:v>
      </x:c>
      <x:c r="L950" s="24" t="str">
        <x:v>입금</x:v>
      </x:c>
      <x:c r="M950" s="31" t="n">
        <x:f>IF(AND(N950="미수",G950&lt;&gt;"",TODAY()&gt;G950),TODAY()-G950,0)</x:f>
        <x:v>0</x:v>
      </x:c>
      <x:c r="N950" s="24" t="str">
        <x:f>IF(J950&gt;0,"미수",IF(AND(H950&gt;0,I950&gt;=H950),"완납","미확인"))</x:f>
        <x:v>완납</x:v>
      </x:c>
      <x:c r="O950" s="31" t="n">
        <x:v>46</x:v>
      </x:c>
    </x:row>
    <x:row r="951" ht="17.25" customHeight="1">
      <x:c r="A951" s="24" t="str">
        <x:v>SW-B-165서6056-202404</x:v>
      </x:c>
      <x:c r="B951" s="24" t="str">
        <x:v>스위치플랜</x:v>
      </x:c>
      <x:c r="C951" s="24" t="str">
        <x:v>SW-C-165서6056-1-20231123-46</x:v>
      </x:c>
      <x:c r="D951" s="24" t="str">
        <x:v>165서6056</x:v>
      </x:c>
      <x:c r="E951" s="24" t="str">
        <x:v>백규열</x:v>
      </x:c>
      <x:c r="F951" s="24" t="str">
        <x:v>2024-04</x:v>
      </x:c>
      <x:c r="G951" s="30" t="n">
        <x:v>45407</x:v>
      </x:c>
      <x:c r="H951" s="32" t="n">
        <x:v>400000</x:v>
      </x:c>
      <x:c r="I951" s="32" t="n">
        <x:v>400000</x:v>
      </x:c>
      <x:c r="J951" s="32" t="n">
        <x:v>0</x:v>
      </x:c>
      <x:c r="K951" s="30" t="n">
        <x:v>45411</x:v>
      </x:c>
      <x:c r="L951" s="24" t="str">
        <x:v>입금</x:v>
      </x:c>
      <x:c r="M951" s="31" t="n">
        <x:f>IF(AND(N951="미수",G951&lt;&gt;"",TODAY()&gt;G951),TODAY()-G951,0)</x:f>
        <x:v>0</x:v>
      </x:c>
      <x:c r="N951" s="24" t="str">
        <x:f>IF(J951&gt;0,"미수",IF(AND(H951&gt;0,I951&gt;=H951),"완납","미확인"))</x:f>
        <x:v>완납</x:v>
      </x:c>
      <x:c r="O951" s="31" t="n">
        <x:v>46</x:v>
      </x:c>
    </x:row>
    <x:row r="952" ht="17.25" customHeight="1">
      <x:c r="A952" s="24" t="str">
        <x:v>SW-B-165서6056-202403</x:v>
      </x:c>
      <x:c r="B952" s="24" t="str">
        <x:v>스위치플랜</x:v>
      </x:c>
      <x:c r="C952" s="24" t="str">
        <x:v>SW-C-165서6056-1-20231123-46</x:v>
      </x:c>
      <x:c r="D952" s="24" t="str">
        <x:v>165서6056</x:v>
      </x:c>
      <x:c r="E952" s="24" t="str">
        <x:v>백규열</x:v>
      </x:c>
      <x:c r="F952" s="24" t="str">
        <x:v>2024-03</x:v>
      </x:c>
      <x:c r="G952" s="30" t="n">
        <x:v>45376</x:v>
      </x:c>
      <x:c r="H952" s="32" t="n">
        <x:v>400000</x:v>
      </x:c>
      <x:c r="I952" s="32" t="n">
        <x:v>400000</x:v>
      </x:c>
      <x:c r="J952" s="32" t="n">
        <x:v>0</x:v>
      </x:c>
      <x:c r="K952" s="30" t="n">
        <x:v>45379</x:v>
      </x:c>
      <x:c r="L952" s="24" t="str">
        <x:v>입금</x:v>
      </x:c>
      <x:c r="M952" s="31" t="n">
        <x:f>IF(AND(N952="미수",G952&lt;&gt;"",TODAY()&gt;G952),TODAY()-G952,0)</x:f>
        <x:v>0</x:v>
      </x:c>
      <x:c r="N952" s="24" t="str">
        <x:f>IF(J952&gt;0,"미수",IF(AND(H952&gt;0,I952&gt;=H952),"완납","미확인"))</x:f>
        <x:v>완납</x:v>
      </x:c>
      <x:c r="O952" s="31" t="n">
        <x:v>46</x:v>
      </x:c>
    </x:row>
    <x:row r="953" ht="17.25" customHeight="1">
      <x:c r="A953" s="24" t="str">
        <x:v>SW-B-165서6056-202402</x:v>
      </x:c>
      <x:c r="B953" s="24" t="str">
        <x:v>스위치플랜</x:v>
      </x:c>
      <x:c r="C953" s="24" t="str">
        <x:v>SW-C-165서6056-1-20231123-46</x:v>
      </x:c>
      <x:c r="D953" s="24" t="str">
        <x:v>165서6056</x:v>
      </x:c>
      <x:c r="E953" s="24" t="str">
        <x:v>백규열</x:v>
      </x:c>
      <x:c r="F953" s="24" t="str">
        <x:v>2024-02</x:v>
      </x:c>
      <x:c r="G953" s="30" t="n">
        <x:v>45347</x:v>
      </x:c>
      <x:c r="H953" s="32" t="n">
        <x:v>400000</x:v>
      </x:c>
      <x:c r="I953" s="32" t="n">
        <x:v>400000</x:v>
      </x:c>
      <x:c r="J953" s="32" t="n">
        <x:v>0</x:v>
      </x:c>
      <x:c r="K953" s="30" t="n">
        <x:v>45349</x:v>
      </x:c>
      <x:c r="L953" s="24" t="str">
        <x:v>입금</x:v>
      </x:c>
      <x:c r="M953" s="31" t="n">
        <x:f>IF(AND(N953="미수",G953&lt;&gt;"",TODAY()&gt;G953),TODAY()-G953,0)</x:f>
        <x:v>0</x:v>
      </x:c>
      <x:c r="N953" s="24" t="str">
        <x:f>IF(J953&gt;0,"미수",IF(AND(H953&gt;0,I953&gt;=H953),"완납","미확인"))</x:f>
        <x:v>완납</x:v>
      </x:c>
      <x:c r="O953" s="31" t="n">
        <x:v>46</x:v>
      </x:c>
    </x:row>
    <x:row r="954" ht="17.25" customHeight="1">
      <x:c r="A954" s="24" t="str">
        <x:v>SW-B-165서6056-202401</x:v>
      </x:c>
      <x:c r="B954" s="24" t="str">
        <x:v>스위치플랜</x:v>
      </x:c>
      <x:c r="C954" s="24" t="str">
        <x:v>SW-C-165서6056-1-20231123-46</x:v>
      </x:c>
      <x:c r="D954" s="24" t="str">
        <x:v>165서6056</x:v>
      </x:c>
      <x:c r="E954" s="24" t="str">
        <x:v>백규열</x:v>
      </x:c>
      <x:c r="F954" s="24" t="str">
        <x:v>2024-01</x:v>
      </x:c>
      <x:c r="G954" s="30" t="n">
        <x:v>45316</x:v>
      </x:c>
      <x:c r="H954" s="32" t="n">
        <x:v>400000</x:v>
      </x:c>
      <x:c r="I954" s="32" t="n">
        <x:v>400000</x:v>
      </x:c>
      <x:c r="J954" s="32" t="n">
        <x:v>0</x:v>
      </x:c>
      <x:c r="K954" s="30" t="n">
        <x:v>45321</x:v>
      </x:c>
      <x:c r="L954" s="24" t="str">
        <x:v>자동</x:v>
      </x:c>
      <x:c r="M954" s="31" t="n">
        <x:f>IF(AND(N954="미수",G954&lt;&gt;"",TODAY()&gt;G954),TODAY()-G954,0)</x:f>
        <x:v>0</x:v>
      </x:c>
      <x:c r="N954" s="24" t="str">
        <x:f>IF(J954&gt;0,"미수",IF(AND(H954&gt;0,I954&gt;=H954),"완납","미확인"))</x:f>
        <x:v>완납</x:v>
      </x:c>
      <x:c r="O954" s="31" t="n">
        <x:v>46</x:v>
      </x:c>
    </x:row>
    <x:row r="955" ht="17.25" customHeight="1">
      <x:c r="A955" s="24" t="str">
        <x:v>SW-B-165서6056-202312</x:v>
      </x:c>
      <x:c r="B955" s="24" t="str">
        <x:v>스위치플랜</x:v>
      </x:c>
      <x:c r="C955" s="24" t="str">
        <x:v>SW-C-165서6056-1-20231123-46</x:v>
      </x:c>
      <x:c r="D955" s="24" t="str">
        <x:v>165서6056</x:v>
      </x:c>
      <x:c r="E955" s="24" t="str">
        <x:v>백규열</x:v>
      </x:c>
      <x:c r="F955" s="24" t="str">
        <x:v>2023-12</x:v>
      </x:c>
      <x:c r="G955" s="30" t="n">
        <x:v>45285</x:v>
      </x:c>
      <x:c r="H955" s="32" t="n">
        <x:v>400000</x:v>
      </x:c>
      <x:c r="I955" s="32" t="n">
        <x:v>400000</x:v>
      </x:c>
      <x:c r="J955" s="32" t="n">
        <x:v>0</x:v>
      </x:c>
      <x:c r="K955" s="30" t="n">
        <x:v>45654</x:v>
      </x:c>
      <x:c r="L955" s="24" t="str">
        <x:v>입금</x:v>
      </x:c>
      <x:c r="M955" s="31" t="n">
        <x:f>IF(AND(N955="미수",G955&lt;&gt;"",TODAY()&gt;G955),TODAY()-G955,0)</x:f>
        <x:v>0</x:v>
      </x:c>
      <x:c r="N955" s="24" t="str">
        <x:f>IF(J955&gt;0,"미수",IF(AND(H955&gt;0,I955&gt;=H955),"완납","미확인"))</x:f>
        <x:v>완납</x:v>
      </x:c>
      <x:c r="O955" s="31" t="n">
        <x:v>46</x:v>
      </x:c>
    </x:row>
    <x:row r="956" ht="17.25" customHeight="1">
      <x:c r="A956" s="24" t="str">
        <x:v>SW-B-32어3092-202608</x:v>
      </x:c>
      <x:c r="B956" s="24" t="str">
        <x:v>스위치플랜</x:v>
      </x:c>
      <x:c r="C956" s="24" t="str">
        <x:v>SW-C-32어3092-1-NA-47</x:v>
      </x:c>
      <x:c r="D956" s="24" t="str">
        <x:v>32어3092</x:v>
      </x:c>
      <x:c r="E956" s="24" t="str"/>
      <x:c r="F956" s="24" t="str">
        <x:v>2026-08</x:v>
      </x:c>
      <x:c r="G956" s="30"/>
      <x:c r="H956" s="32" t="n">
        <x:v>0</x:v>
      </x:c>
      <x:c r="I956" s="32"/>
      <x:c r="J956" s="32" t="n">
        <x:v>0</x:v>
      </x:c>
      <x:c r="K956" s="30"/>
      <x:c r="L956" s="24" t="str"/>
      <x:c r="M956" s="31" t="n">
        <x:f>IF(AND(N956="미수",G956&lt;&gt;"",TODAY()&gt;G956),TODAY()-G956,0)</x:f>
        <x:v>0</x:v>
      </x:c>
      <x:c r="N956" s="24" t="str">
        <x:f>IF(J956&gt;0,"미수",IF(AND(H956&gt;0,I956&gt;=H956),"완납","미확인"))</x:f>
        <x:v>미확인</x:v>
      </x:c>
      <x:c r="O956" s="31" t="n">
        <x:v>47</x:v>
      </x:c>
    </x:row>
    <x:row r="957" ht="17.25" customHeight="1">
      <x:c r="A957" s="24" t="str">
        <x:v>SW-B-32어3092-202607</x:v>
      </x:c>
      <x:c r="B957" s="24" t="str">
        <x:v>스위치플랜</x:v>
      </x:c>
      <x:c r="C957" s="24" t="str">
        <x:v>SW-C-32어3092-1-NA-47</x:v>
      </x:c>
      <x:c r="D957" s="24" t="str">
        <x:v>32어3092</x:v>
      </x:c>
      <x:c r="E957" s="24" t="str"/>
      <x:c r="F957" s="24" t="str">
        <x:v>2026-07</x:v>
      </x:c>
      <x:c r="G957" s="30"/>
      <x:c r="H957" s="32" t="n">
        <x:v>0</x:v>
      </x:c>
      <x:c r="I957" s="32"/>
      <x:c r="J957" s="32" t="n">
        <x:v>0</x:v>
      </x:c>
      <x:c r="K957" s="30"/>
      <x:c r="L957" s="24" t="str"/>
      <x:c r="M957" s="31" t="n">
        <x:f>IF(AND(N957="미수",G957&lt;&gt;"",TODAY()&gt;G957),TODAY()-G957,0)</x:f>
        <x:v>0</x:v>
      </x:c>
      <x:c r="N957" s="24" t="str">
        <x:f>IF(J957&gt;0,"미수",IF(AND(H957&gt;0,I957&gt;=H957),"완납","미확인"))</x:f>
        <x:v>미확인</x:v>
      </x:c>
      <x:c r="O957" s="31" t="n">
        <x:v>47</x:v>
      </x:c>
    </x:row>
    <x:row r="958" ht="17.25" customHeight="1">
      <x:c r="A958" s="24" t="str">
        <x:v>SW-B-32어3092-202606</x:v>
      </x:c>
      <x:c r="B958" s="24" t="str">
        <x:v>스위치플랜</x:v>
      </x:c>
      <x:c r="C958" s="24" t="str">
        <x:v>SW-C-32어3092-1-NA-47</x:v>
      </x:c>
      <x:c r="D958" s="24" t="str">
        <x:v>32어3092</x:v>
      </x:c>
      <x:c r="E958" s="24" t="str"/>
      <x:c r="F958" s="24" t="str">
        <x:v>2026-06</x:v>
      </x:c>
      <x:c r="G958" s="30"/>
      <x:c r="H958" s="32" t="n">
        <x:v>0</x:v>
      </x:c>
      <x:c r="I958" s="32"/>
      <x:c r="J958" s="32" t="n">
        <x:v>0</x:v>
      </x:c>
      <x:c r="K958" s="30"/>
      <x:c r="L958" s="24" t="str"/>
      <x:c r="M958" s="31" t="n">
        <x:f>IF(AND(N958="미수",G958&lt;&gt;"",TODAY()&gt;G958),TODAY()-G958,0)</x:f>
        <x:v>0</x:v>
      </x:c>
      <x:c r="N958" s="24" t="str">
        <x:f>IF(J958&gt;0,"미수",IF(AND(H958&gt;0,I958&gt;=H958),"완납","미확인"))</x:f>
        <x:v>미확인</x:v>
      </x:c>
      <x:c r="O958" s="31" t="n">
        <x:v>47</x:v>
      </x:c>
    </x:row>
    <x:row r="959" ht="17.25" customHeight="1">
      <x:c r="A959" s="24" t="str">
        <x:v>SW-B-32어3092-202605</x:v>
      </x:c>
      <x:c r="B959" s="24" t="str">
        <x:v>스위치플랜</x:v>
      </x:c>
      <x:c r="C959" s="24" t="str">
        <x:v>SW-C-32어3092-1-NA-47</x:v>
      </x:c>
      <x:c r="D959" s="24" t="str">
        <x:v>32어3092</x:v>
      </x:c>
      <x:c r="E959" s="24" t="str"/>
      <x:c r="F959" s="24" t="str">
        <x:v>2026-05</x:v>
      </x:c>
      <x:c r="G959" s="30"/>
      <x:c r="H959" s="32" t="n">
        <x:v>0</x:v>
      </x:c>
      <x:c r="I959" s="32"/>
      <x:c r="J959" s="32" t="n">
        <x:v>0</x:v>
      </x:c>
      <x:c r="K959" s="30"/>
      <x:c r="L959" s="24" t="str"/>
      <x:c r="M959" s="31" t="n">
        <x:f>IF(AND(N959="미수",G959&lt;&gt;"",TODAY()&gt;G959),TODAY()-G959,0)</x:f>
        <x:v>0</x:v>
      </x:c>
      <x:c r="N959" s="24" t="str">
        <x:f>IF(J959&gt;0,"미수",IF(AND(H959&gt;0,I959&gt;=H959),"완납","미확인"))</x:f>
        <x:v>미확인</x:v>
      </x:c>
      <x:c r="O959" s="31" t="n">
        <x:v>47</x:v>
      </x:c>
    </x:row>
    <x:row r="960" ht="17.25" customHeight="1">
      <x:c r="A960" s="24" t="str">
        <x:v>SW-B-32어3092-202604</x:v>
      </x:c>
      <x:c r="B960" s="24" t="str">
        <x:v>스위치플랜</x:v>
      </x:c>
      <x:c r="C960" s="24" t="str">
        <x:v>SW-C-32어3092-1-NA-47</x:v>
      </x:c>
      <x:c r="D960" s="24" t="str">
        <x:v>32어3092</x:v>
      </x:c>
      <x:c r="E960" s="24" t="str"/>
      <x:c r="F960" s="24" t="str">
        <x:v>2026-04</x:v>
      </x:c>
      <x:c r="G960" s="30"/>
      <x:c r="H960" s="32" t="n">
        <x:v>0</x:v>
      </x:c>
      <x:c r="I960" s="32"/>
      <x:c r="J960" s="32" t="n">
        <x:v>0</x:v>
      </x:c>
      <x:c r="K960" s="30"/>
      <x:c r="L960" s="24" t="str"/>
      <x:c r="M960" s="31" t="n">
        <x:f>IF(AND(N960="미수",G960&lt;&gt;"",TODAY()&gt;G960),TODAY()-G960,0)</x:f>
        <x:v>0</x:v>
      </x:c>
      <x:c r="N960" s="24" t="str">
        <x:f>IF(J960&gt;0,"미수",IF(AND(H960&gt;0,I960&gt;=H960),"완납","미확인"))</x:f>
        <x:v>미확인</x:v>
      </x:c>
      <x:c r="O960" s="31" t="n">
        <x:v>47</x:v>
      </x:c>
    </x:row>
    <x:row r="961" ht="17.25" customHeight="1">
      <x:c r="A961" s="24" t="str">
        <x:v>SW-B-32어3092-202603</x:v>
      </x:c>
      <x:c r="B961" s="24" t="str">
        <x:v>스위치플랜</x:v>
      </x:c>
      <x:c r="C961" s="24" t="str">
        <x:v>SW-C-32어3092-1-NA-47</x:v>
      </x:c>
      <x:c r="D961" s="24" t="str">
        <x:v>32어3092</x:v>
      </x:c>
      <x:c r="E961" s="24" t="str"/>
      <x:c r="F961" s="24" t="str">
        <x:v>2026-03</x:v>
      </x:c>
      <x:c r="G961" s="30"/>
      <x:c r="H961" s="32" t="n">
        <x:v>0</x:v>
      </x:c>
      <x:c r="I961" s="32"/>
      <x:c r="J961" s="32" t="n">
        <x:v>0</x:v>
      </x:c>
      <x:c r="K961" s="30"/>
      <x:c r="L961" s="24" t="str"/>
      <x:c r="M961" s="31" t="n">
        <x:f>IF(AND(N961="미수",G961&lt;&gt;"",TODAY()&gt;G961),TODAY()-G961,0)</x:f>
        <x:v>0</x:v>
      </x:c>
      <x:c r="N961" s="24" t="str">
        <x:f>IF(J961&gt;0,"미수",IF(AND(H961&gt;0,I961&gt;=H961),"완납","미확인"))</x:f>
        <x:v>미확인</x:v>
      </x:c>
      <x:c r="O961" s="31" t="n">
        <x:v>47</x:v>
      </x:c>
    </x:row>
    <x:row r="962" ht="17.25" customHeight="1">
      <x:c r="A962" s="24" t="str">
        <x:v>SW-B-32어3092-202602</x:v>
      </x:c>
      <x:c r="B962" s="24" t="str">
        <x:v>스위치플랜</x:v>
      </x:c>
      <x:c r="C962" s="24" t="str">
        <x:v>SW-C-32어3092-1-NA-47</x:v>
      </x:c>
      <x:c r="D962" s="24" t="str">
        <x:v>32어3092</x:v>
      </x:c>
      <x:c r="E962" s="24" t="str"/>
      <x:c r="F962" s="24" t="str">
        <x:v>2026-02</x:v>
      </x:c>
      <x:c r="G962" s="30"/>
      <x:c r="H962" s="32" t="n">
        <x:v>0</x:v>
      </x:c>
      <x:c r="I962" s="32"/>
      <x:c r="J962" s="32" t="n">
        <x:v>0</x:v>
      </x:c>
      <x:c r="K962" s="30"/>
      <x:c r="L962" s="24" t="str"/>
      <x:c r="M962" s="31" t="n">
        <x:f>IF(AND(N962="미수",G962&lt;&gt;"",TODAY()&gt;G962),TODAY()-G962,0)</x:f>
        <x:v>0</x:v>
      </x:c>
      <x:c r="N962" s="24" t="str">
        <x:f>IF(J962&gt;0,"미수",IF(AND(H962&gt;0,I962&gt;=H962),"완납","미확인"))</x:f>
        <x:v>미확인</x:v>
      </x:c>
      <x:c r="O962" s="31" t="n">
        <x:v>47</x:v>
      </x:c>
    </x:row>
    <x:row r="963" ht="17.25" customHeight="1">
      <x:c r="A963" s="24" t="str">
        <x:v>SW-B-32어3092-202510</x:v>
      </x:c>
      <x:c r="B963" s="24" t="str">
        <x:v>스위치플랜</x:v>
      </x:c>
      <x:c r="C963" s="24" t="str">
        <x:v>SW-C-32어3092-1-NA-47</x:v>
      </x:c>
      <x:c r="D963" s="24" t="str">
        <x:v>32어3092</x:v>
      </x:c>
      <x:c r="E963" s="24" t="str"/>
      <x:c r="F963" s="24" t="str">
        <x:v>2025-10</x:v>
      </x:c>
      <x:c r="G963" s="30"/>
      <x:c r="H963" s="32" t="n">
        <x:v>500000</x:v>
      </x:c>
      <x:c r="I963" s="32" t="n">
        <x:v>500000</x:v>
      </x:c>
      <x:c r="J963" s="32" t="n">
        <x:v>0</x:v>
      </x:c>
      <x:c r="K963" s="30" t="n">
        <x:v>45940</x:v>
      </x:c>
      <x:c r="L963" s="24" t="str">
        <x:v>자동</x:v>
      </x:c>
      <x:c r="M963" s="31" t="n">
        <x:f>IF(AND(N963="미수",G963&lt;&gt;"",TODAY()&gt;G963),TODAY()-G963,0)</x:f>
        <x:v>0</x:v>
      </x:c>
      <x:c r="N963" s="24" t="str">
        <x:f>IF(J963&gt;0,"미수",IF(AND(H963&gt;0,I963&gt;=H963),"완납","미확인"))</x:f>
        <x:v>완납</x:v>
      </x:c>
      <x:c r="O963" s="31" t="n">
        <x:v>47</x:v>
      </x:c>
    </x:row>
    <x:row r="964" ht="17.25" customHeight="1">
      <x:c r="A964" s="24" t="str">
        <x:v>SW-B-32어3092-202509</x:v>
      </x:c>
      <x:c r="B964" s="24" t="str">
        <x:v>스위치플랜</x:v>
      </x:c>
      <x:c r="C964" s="24" t="str">
        <x:v>SW-C-32어3092-1-NA-47</x:v>
      </x:c>
      <x:c r="D964" s="24" t="str">
        <x:v>32어3092</x:v>
      </x:c>
      <x:c r="E964" s="24" t="str"/>
      <x:c r="F964" s="24" t="str">
        <x:v>2025-09</x:v>
      </x:c>
      <x:c r="G964" s="30"/>
      <x:c r="H964" s="32" t="n">
        <x:v>500000</x:v>
      </x:c>
      <x:c r="I964" s="32" t="n">
        <x:v>500000</x:v>
      </x:c>
      <x:c r="J964" s="32" t="n">
        <x:v>0</x:v>
      </x:c>
      <x:c r="K964" s="30" t="n">
        <x:v>45905</x:v>
      </x:c>
      <x:c r="L964" s="24" t="str">
        <x:v>자동</x:v>
      </x:c>
      <x:c r="M964" s="31" t="n">
        <x:f>IF(AND(N964="미수",G964&lt;&gt;"",TODAY()&gt;G964),TODAY()-G964,0)</x:f>
        <x:v>0</x:v>
      </x:c>
      <x:c r="N964" s="24" t="str">
        <x:f>IF(J964&gt;0,"미수",IF(AND(H964&gt;0,I964&gt;=H964),"완납","미확인"))</x:f>
        <x:v>완납</x:v>
      </x:c>
      <x:c r="O964" s="31" t="n">
        <x:v>47</x:v>
      </x:c>
    </x:row>
    <x:row r="965" ht="17.25" customHeight="1">
      <x:c r="A965" s="24" t="str">
        <x:v>SW-B-32어3092-202508</x:v>
      </x:c>
      <x:c r="B965" s="24" t="str">
        <x:v>스위치플랜</x:v>
      </x:c>
      <x:c r="C965" s="24" t="str">
        <x:v>SW-C-32어3092-1-NA-47</x:v>
      </x:c>
      <x:c r="D965" s="24" t="str">
        <x:v>32어3092</x:v>
      </x:c>
      <x:c r="E965" s="24" t="str"/>
      <x:c r="F965" s="24" t="str">
        <x:v>2025-08</x:v>
      </x:c>
      <x:c r="G965" s="30"/>
      <x:c r="H965" s="32" t="n">
        <x:v>500000</x:v>
      </x:c>
      <x:c r="I965" s="32" t="n">
        <x:v>500000</x:v>
      </x:c>
      <x:c r="J965" s="32" t="n">
        <x:v>0</x:v>
      </x:c>
      <x:c r="K965" s="30" t="n">
        <x:v>45874</x:v>
      </x:c>
      <x:c r="L965" s="24" t="str">
        <x:v>자동</x:v>
      </x:c>
      <x:c r="M965" s="31" t="n">
        <x:f>IF(AND(N965="미수",G965&lt;&gt;"",TODAY()&gt;G965),TODAY()-G965,0)</x:f>
        <x:v>0</x:v>
      </x:c>
      <x:c r="N965" s="24" t="str">
        <x:f>IF(J965&gt;0,"미수",IF(AND(H965&gt;0,I965&gt;=H965),"완납","미확인"))</x:f>
        <x:v>완납</x:v>
      </x:c>
      <x:c r="O965" s="31" t="n">
        <x:v>47</x:v>
      </x:c>
    </x:row>
    <x:row r="966" ht="17.25" customHeight="1">
      <x:c r="A966" s="24" t="str">
        <x:v>SW-B-32어3092-202507</x:v>
      </x:c>
      <x:c r="B966" s="24" t="str">
        <x:v>스위치플랜</x:v>
      </x:c>
      <x:c r="C966" s="24" t="str">
        <x:v>SW-C-32어3092-1-NA-47</x:v>
      </x:c>
      <x:c r="D966" s="24" t="str">
        <x:v>32어3092</x:v>
      </x:c>
      <x:c r="E966" s="24" t="str"/>
      <x:c r="F966" s="24" t="str">
        <x:v>2025-07</x:v>
      </x:c>
      <x:c r="G966" s="30"/>
      <x:c r="H966" s="32" t="n">
        <x:v>500000</x:v>
      </x:c>
      <x:c r="I966" s="32" t="n">
        <x:v>500000</x:v>
      </x:c>
      <x:c r="J966" s="32" t="n">
        <x:v>0</x:v>
      </x:c>
      <x:c r="K966" s="30" t="n">
        <x:v>45845</x:v>
      </x:c>
      <x:c r="L966" s="24" t="str">
        <x:v>자동</x:v>
      </x:c>
      <x:c r="M966" s="31" t="n">
        <x:f>IF(AND(N966="미수",G966&lt;&gt;"",TODAY()&gt;G966),TODAY()-G966,0)</x:f>
        <x:v>0</x:v>
      </x:c>
      <x:c r="N966" s="24" t="str">
        <x:f>IF(J966&gt;0,"미수",IF(AND(H966&gt;0,I966&gt;=H966),"완납","미확인"))</x:f>
        <x:v>완납</x:v>
      </x:c>
      <x:c r="O966" s="31" t="n">
        <x:v>47</x:v>
      </x:c>
    </x:row>
    <x:row r="967" ht="17.25" customHeight="1">
      <x:c r="A967" s="24" t="str">
        <x:v>SW-B-32어3092-202506</x:v>
      </x:c>
      <x:c r="B967" s="24" t="str">
        <x:v>스위치플랜</x:v>
      </x:c>
      <x:c r="C967" s="24" t="str">
        <x:v>SW-C-32어3092-1-NA-47</x:v>
      </x:c>
      <x:c r="D967" s="24" t="str">
        <x:v>32어3092</x:v>
      </x:c>
      <x:c r="E967" s="24" t="str"/>
      <x:c r="F967" s="24" t="str">
        <x:v>2025-06</x:v>
      </x:c>
      <x:c r="G967" s="30"/>
      <x:c r="H967" s="32" t="n">
        <x:v>500000</x:v>
      </x:c>
      <x:c r="I967" s="32" t="n">
        <x:v>500000</x:v>
      </x:c>
      <x:c r="J967" s="32" t="n">
        <x:v>0</x:v>
      </x:c>
      <x:c r="K967" s="30" t="n">
        <x:v>45813</x:v>
      </x:c>
      <x:c r="L967" s="24" t="str">
        <x:v>자동</x:v>
      </x:c>
      <x:c r="M967" s="31" t="n">
        <x:f>IF(AND(N967="미수",G967&lt;&gt;"",TODAY()&gt;G967),TODAY()-G967,0)</x:f>
        <x:v>0</x:v>
      </x:c>
      <x:c r="N967" s="24" t="str">
        <x:f>IF(J967&gt;0,"미수",IF(AND(H967&gt;0,I967&gt;=H967),"완납","미확인"))</x:f>
        <x:v>완납</x:v>
      </x:c>
      <x:c r="O967" s="31" t="n">
        <x:v>47</x:v>
      </x:c>
    </x:row>
    <x:row r="968" ht="17.25" customHeight="1">
      <x:c r="A968" s="24" t="str">
        <x:v>SW-B-32어3092-202505</x:v>
      </x:c>
      <x:c r="B968" s="24" t="str">
        <x:v>스위치플랜</x:v>
      </x:c>
      <x:c r="C968" s="24" t="str">
        <x:v>SW-C-32어3092-1-NA-47</x:v>
      </x:c>
      <x:c r="D968" s="24" t="str">
        <x:v>32어3092</x:v>
      </x:c>
      <x:c r="E968" s="24" t="str"/>
      <x:c r="F968" s="24" t="str">
        <x:v>2025-05</x:v>
      </x:c>
      <x:c r="G968" s="30"/>
      <x:c r="H968" s="32" t="n">
        <x:v>500000</x:v>
      </x:c>
      <x:c r="I968" s="32" t="n">
        <x:v>500000</x:v>
      </x:c>
      <x:c r="J968" s="32" t="n">
        <x:v>0</x:v>
      </x:c>
      <x:c r="K968" s="30" t="n">
        <x:v>45784</x:v>
      </x:c>
      <x:c r="L968" s="24" t="str">
        <x:v>자동</x:v>
      </x:c>
      <x:c r="M968" s="31" t="n">
        <x:f>IF(AND(N968="미수",G968&lt;&gt;"",TODAY()&gt;G968),TODAY()-G968,0)</x:f>
        <x:v>0</x:v>
      </x:c>
      <x:c r="N968" s="24" t="str">
        <x:f>IF(J968&gt;0,"미수",IF(AND(H968&gt;0,I968&gt;=H968),"완납","미확인"))</x:f>
        <x:v>완납</x:v>
      </x:c>
      <x:c r="O968" s="31" t="n">
        <x:v>47</x:v>
      </x:c>
    </x:row>
    <x:row r="969" ht="17.25" customHeight="1">
      <x:c r="A969" s="24" t="str">
        <x:v>SW-B-32어3092-202504</x:v>
      </x:c>
      <x:c r="B969" s="24" t="str">
        <x:v>스위치플랜</x:v>
      </x:c>
      <x:c r="C969" s="24" t="str">
        <x:v>SW-C-32어3092-1-NA-47</x:v>
      </x:c>
      <x:c r="D969" s="24" t="str">
        <x:v>32어3092</x:v>
      </x:c>
      <x:c r="E969" s="24" t="str"/>
      <x:c r="F969" s="24" t="str">
        <x:v>2025-04</x:v>
      </x:c>
      <x:c r="G969" s="30"/>
      <x:c r="H969" s="32" t="n">
        <x:v>500000</x:v>
      </x:c>
      <x:c r="I969" s="32" t="n">
        <x:v>500000</x:v>
      </x:c>
      <x:c r="J969" s="32" t="n">
        <x:v>0</x:v>
      </x:c>
      <x:c r="K969" s="30" t="n">
        <x:v>45754</x:v>
      </x:c>
      <x:c r="L969" s="24" t="str">
        <x:v>자동</x:v>
      </x:c>
      <x:c r="M969" s="31" t="n">
        <x:f>IF(AND(N969="미수",G969&lt;&gt;"",TODAY()&gt;G969),TODAY()-G969,0)</x:f>
        <x:v>0</x:v>
      </x:c>
      <x:c r="N969" s="24" t="str">
        <x:f>IF(J969&gt;0,"미수",IF(AND(H969&gt;0,I969&gt;=H969),"완납","미확인"))</x:f>
        <x:v>완납</x:v>
      </x:c>
      <x:c r="O969" s="31" t="n">
        <x:v>47</x:v>
      </x:c>
    </x:row>
    <x:row r="970" ht="17.25" customHeight="1">
      <x:c r="A970" s="24" t="str">
        <x:v>SW-B-32어3092-202503</x:v>
      </x:c>
      <x:c r="B970" s="24" t="str">
        <x:v>스위치플랜</x:v>
      </x:c>
      <x:c r="C970" s="24" t="str">
        <x:v>SW-C-32어3092-1-NA-47</x:v>
      </x:c>
      <x:c r="D970" s="24" t="str">
        <x:v>32어3092</x:v>
      </x:c>
      <x:c r="E970" s="24" t="str"/>
      <x:c r="F970" s="24" t="str">
        <x:v>2025-03</x:v>
      </x:c>
      <x:c r="G970" s="30"/>
      <x:c r="H970" s="32" t="n">
        <x:v>500000</x:v>
      </x:c>
      <x:c r="I970" s="32" t="n">
        <x:v>500000</x:v>
      </x:c>
      <x:c r="J970" s="32" t="n">
        <x:v>0</x:v>
      </x:c>
      <x:c r="K970" s="30" t="n">
        <x:v>45721</x:v>
      </x:c>
      <x:c r="L970" s="24" t="str">
        <x:v>자동</x:v>
      </x:c>
      <x:c r="M970" s="31" t="n">
        <x:f>IF(AND(N970="미수",G970&lt;&gt;"",TODAY()&gt;G970),TODAY()-G970,0)</x:f>
        <x:v>0</x:v>
      </x:c>
      <x:c r="N970" s="24" t="str">
        <x:f>IF(J970&gt;0,"미수",IF(AND(H970&gt;0,I970&gt;=H970),"완납","미확인"))</x:f>
        <x:v>완납</x:v>
      </x:c>
      <x:c r="O970" s="31" t="n">
        <x:v>47</x:v>
      </x:c>
    </x:row>
    <x:row r="971" ht="17.25" customHeight="1">
      <x:c r="A971" s="24" t="str">
        <x:v>SW-B-32어3092-202502</x:v>
      </x:c>
      <x:c r="B971" s="24" t="str">
        <x:v>스위치플랜</x:v>
      </x:c>
      <x:c r="C971" s="24" t="str">
        <x:v>SW-C-32어3092-1-NA-47</x:v>
      </x:c>
      <x:c r="D971" s="24" t="str">
        <x:v>32어3092</x:v>
      </x:c>
      <x:c r="E971" s="24" t="str"/>
      <x:c r="F971" s="24" t="str">
        <x:v>2025-02</x:v>
      </x:c>
      <x:c r="G971" s="30"/>
      <x:c r="H971" s="32" t="n">
        <x:v>500000</x:v>
      </x:c>
      <x:c r="I971" s="32" t="n">
        <x:v>500000</x:v>
      </x:c>
      <x:c r="J971" s="32" t="n">
        <x:v>0</x:v>
      </x:c>
      <x:c r="K971" s="30" t="n">
        <x:v>45693</x:v>
      </x:c>
      <x:c r="L971" s="24" t="str">
        <x:v>자동</x:v>
      </x:c>
      <x:c r="M971" s="31" t="n">
        <x:f>IF(AND(N971="미수",G971&lt;&gt;"",TODAY()&gt;G971),TODAY()-G971,0)</x:f>
        <x:v>0</x:v>
      </x:c>
      <x:c r="N971" s="24" t="str">
        <x:f>IF(J971&gt;0,"미수",IF(AND(H971&gt;0,I971&gt;=H971),"완납","미확인"))</x:f>
        <x:v>완납</x:v>
      </x:c>
      <x:c r="O971" s="31" t="n">
        <x:v>47</x:v>
      </x:c>
    </x:row>
    <x:row r="972" ht="17.25" customHeight="1">
      <x:c r="A972" s="24" t="str">
        <x:v>SW-B-32어3092-202501</x:v>
      </x:c>
      <x:c r="B972" s="24" t="str">
        <x:v>스위치플랜</x:v>
      </x:c>
      <x:c r="C972" s="24" t="str">
        <x:v>SW-C-32어3092-1-NA-47</x:v>
      </x:c>
      <x:c r="D972" s="24" t="str">
        <x:v>32어3092</x:v>
      </x:c>
      <x:c r="E972" s="24" t="str"/>
      <x:c r="F972" s="24" t="str">
        <x:v>2025-01</x:v>
      </x:c>
      <x:c r="G972" s="30"/>
      <x:c r="H972" s="32" t="n">
        <x:v>500000</x:v>
      </x:c>
      <x:c r="I972" s="32" t="n">
        <x:v>500000</x:v>
      </x:c>
      <x:c r="J972" s="32" t="n">
        <x:v>0</x:v>
      </x:c>
      <x:c r="K972" s="30" t="n">
        <x:v>45663</x:v>
      </x:c>
      <x:c r="L972" s="24" t="str">
        <x:v>자동</x:v>
      </x:c>
      <x:c r="M972" s="31" t="n">
        <x:f>IF(AND(N972="미수",G972&lt;&gt;"",TODAY()&gt;G972),TODAY()-G972,0)</x:f>
        <x:v>0</x:v>
      </x:c>
      <x:c r="N972" s="24" t="str">
        <x:f>IF(J972&gt;0,"미수",IF(AND(H972&gt;0,I972&gt;=H972),"완납","미확인"))</x:f>
        <x:v>완납</x:v>
      </x:c>
      <x:c r="O972" s="31" t="n">
        <x:v>47</x:v>
      </x:c>
    </x:row>
    <x:row r="973" ht="17.25" customHeight="1">
      <x:c r="A973" s="24" t="str">
        <x:v>SW-B-32어3092-202412</x:v>
      </x:c>
      <x:c r="B973" s="24" t="str">
        <x:v>스위치플랜</x:v>
      </x:c>
      <x:c r="C973" s="24" t="str">
        <x:v>SW-C-32어3092-1-NA-47</x:v>
      </x:c>
      <x:c r="D973" s="24" t="str">
        <x:v>32어3092</x:v>
      </x:c>
      <x:c r="E973" s="24" t="str"/>
      <x:c r="F973" s="24" t="str">
        <x:v>2024-12</x:v>
      </x:c>
      <x:c r="G973" s="30"/>
      <x:c r="H973" s="32" t="n">
        <x:v>500000</x:v>
      </x:c>
      <x:c r="I973" s="32" t="n">
        <x:v>500000</x:v>
      </x:c>
      <x:c r="J973" s="32" t="n">
        <x:v>0</x:v>
      </x:c>
      <x:c r="K973" s="30" t="n">
        <x:v>45631</x:v>
      </x:c>
      <x:c r="L973" s="24" t="str">
        <x:v>자동</x:v>
      </x:c>
      <x:c r="M973" s="31" t="n">
        <x:f>IF(AND(N973="미수",G973&lt;&gt;"",TODAY()&gt;G973),TODAY()-G973,0)</x:f>
        <x:v>0</x:v>
      </x:c>
      <x:c r="N973" s="24" t="str">
        <x:f>IF(J973&gt;0,"미수",IF(AND(H973&gt;0,I973&gt;=H973),"완납","미확인"))</x:f>
        <x:v>완납</x:v>
      </x:c>
      <x:c r="O973" s="31" t="n">
        <x:v>47</x:v>
      </x:c>
    </x:row>
    <x:row r="974" ht="17.25" customHeight="1">
      <x:c r="A974" s="24" t="str">
        <x:v>SW-B-32어3092-202411</x:v>
      </x:c>
      <x:c r="B974" s="24" t="str">
        <x:v>스위치플랜</x:v>
      </x:c>
      <x:c r="C974" s="24" t="str">
        <x:v>SW-C-32어3092-1-NA-47</x:v>
      </x:c>
      <x:c r="D974" s="24" t="str">
        <x:v>32어3092</x:v>
      </x:c>
      <x:c r="E974" s="24" t="str"/>
      <x:c r="F974" s="24" t="str">
        <x:v>2024-11</x:v>
      </x:c>
      <x:c r="G974" s="30"/>
      <x:c r="H974" s="32" t="n">
        <x:v>500000</x:v>
      </x:c>
      <x:c r="I974" s="32" t="n">
        <x:v>500000</x:v>
      </x:c>
      <x:c r="J974" s="32" t="n">
        <x:v>0</x:v>
      </x:c>
      <x:c r="K974" s="30" t="n">
        <x:v>45601</x:v>
      </x:c>
      <x:c r="L974" s="24" t="str">
        <x:v>자동</x:v>
      </x:c>
      <x:c r="M974" s="31" t="n">
        <x:f>IF(AND(N974="미수",G974&lt;&gt;"",TODAY()&gt;G974),TODAY()-G974,0)</x:f>
        <x:v>0</x:v>
      </x:c>
      <x:c r="N974" s="24" t="str">
        <x:f>IF(J974&gt;0,"미수",IF(AND(H974&gt;0,I974&gt;=H974),"완납","미확인"))</x:f>
        <x:v>완납</x:v>
      </x:c>
      <x:c r="O974" s="31" t="n">
        <x:v>47</x:v>
      </x:c>
    </x:row>
    <x:row r="975" ht="17.25" customHeight="1">
      <x:c r="A975" s="24" t="str">
        <x:v>SW-B-32어3092-202410</x:v>
      </x:c>
      <x:c r="B975" s="24" t="str">
        <x:v>스위치플랜</x:v>
      </x:c>
      <x:c r="C975" s="24" t="str">
        <x:v>SW-C-32어3092-1-NA-47</x:v>
      </x:c>
      <x:c r="D975" s="24" t="str">
        <x:v>32어3092</x:v>
      </x:c>
      <x:c r="E975" s="24" t="str"/>
      <x:c r="F975" s="24" t="str">
        <x:v>2024-10</x:v>
      </x:c>
      <x:c r="G975" s="30"/>
      <x:c r="H975" s="32" t="n">
        <x:v>500000</x:v>
      </x:c>
      <x:c r="I975" s="32" t="n">
        <x:v>500000</x:v>
      </x:c>
      <x:c r="J975" s="32" t="n">
        <x:v>0</x:v>
      </x:c>
      <x:c r="K975" s="30" t="n">
        <x:v>45570</x:v>
      </x:c>
      <x:c r="L975" s="24" t="str">
        <x:v>자동</x:v>
      </x:c>
      <x:c r="M975" s="31" t="n">
        <x:f>IF(AND(N975="미수",G975&lt;&gt;"",TODAY()&gt;G975),TODAY()-G975,0)</x:f>
        <x:v>0</x:v>
      </x:c>
      <x:c r="N975" s="24" t="str">
        <x:f>IF(J975&gt;0,"미수",IF(AND(H975&gt;0,I975&gt;=H975),"완납","미확인"))</x:f>
        <x:v>완납</x:v>
      </x:c>
      <x:c r="O975" s="31" t="n">
        <x:v>47</x:v>
      </x:c>
    </x:row>
    <x:row r="976" ht="17.25" customHeight="1">
      <x:c r="A976" s="24" t="str">
        <x:v>SW-B-32어3092-202409</x:v>
      </x:c>
      <x:c r="B976" s="24" t="str">
        <x:v>스위치플랜</x:v>
      </x:c>
      <x:c r="C976" s="24" t="str">
        <x:v>SW-C-32어3092-1-NA-47</x:v>
      </x:c>
      <x:c r="D976" s="24" t="str">
        <x:v>32어3092</x:v>
      </x:c>
      <x:c r="E976" s="24" t="str"/>
      <x:c r="F976" s="24" t="str">
        <x:v>2024-09</x:v>
      </x:c>
      <x:c r="G976" s="30"/>
      <x:c r="H976" s="32" t="n">
        <x:v>500000</x:v>
      </x:c>
      <x:c r="I976" s="32" t="n">
        <x:v>500000</x:v>
      </x:c>
      <x:c r="J976" s="32" t="n">
        <x:v>0</x:v>
      </x:c>
      <x:c r="K976" s="30" t="n">
        <x:v>45540</x:v>
      </x:c>
      <x:c r="L976" s="24" t="str">
        <x:v>자동</x:v>
      </x:c>
      <x:c r="M976" s="31" t="n">
        <x:f>IF(AND(N976="미수",G976&lt;&gt;"",TODAY()&gt;G976),TODAY()-G976,0)</x:f>
        <x:v>0</x:v>
      </x:c>
      <x:c r="N976" s="24" t="str">
        <x:f>IF(J976&gt;0,"미수",IF(AND(H976&gt;0,I976&gt;=H976),"완납","미확인"))</x:f>
        <x:v>완납</x:v>
      </x:c>
      <x:c r="O976" s="31" t="n">
        <x:v>47</x:v>
      </x:c>
    </x:row>
    <x:row r="977" ht="17.25" customHeight="1">
      <x:c r="A977" s="24" t="str">
        <x:v>SW-B-32어3092-202408</x:v>
      </x:c>
      <x:c r="B977" s="24" t="str">
        <x:v>스위치플랜</x:v>
      </x:c>
      <x:c r="C977" s="24" t="str">
        <x:v>SW-C-32어3092-1-NA-47</x:v>
      </x:c>
      <x:c r="D977" s="24" t="str">
        <x:v>32어3092</x:v>
      </x:c>
      <x:c r="E977" s="24" t="str"/>
      <x:c r="F977" s="24" t="str">
        <x:v>2024-08</x:v>
      </x:c>
      <x:c r="G977" s="30"/>
      <x:c r="H977" s="32" t="n">
        <x:v>500000</x:v>
      </x:c>
      <x:c r="I977" s="32" t="n">
        <x:v>500000</x:v>
      </x:c>
      <x:c r="J977" s="32" t="n">
        <x:v>0</x:v>
      </x:c>
      <x:c r="K977" s="30" t="n">
        <x:v>45509</x:v>
      </x:c>
      <x:c r="L977" s="24" t="str">
        <x:v>자동</x:v>
      </x:c>
      <x:c r="M977" s="31" t="n">
        <x:f>IF(AND(N977="미수",G977&lt;&gt;"",TODAY()&gt;G977),TODAY()-G977,0)</x:f>
        <x:v>0</x:v>
      </x:c>
      <x:c r="N977" s="24" t="str">
        <x:f>IF(J977&gt;0,"미수",IF(AND(H977&gt;0,I977&gt;=H977),"완납","미확인"))</x:f>
        <x:v>완납</x:v>
      </x:c>
      <x:c r="O977" s="31" t="n">
        <x:v>47</x:v>
      </x:c>
    </x:row>
    <x:row r="978" ht="17.25" customHeight="1">
      <x:c r="A978" s="24" t="str">
        <x:v>SW-B-32어3092-202407</x:v>
      </x:c>
      <x:c r="B978" s="24" t="str">
        <x:v>스위치플랜</x:v>
      </x:c>
      <x:c r="C978" s="24" t="str">
        <x:v>SW-C-32어3092-1-NA-47</x:v>
      </x:c>
      <x:c r="D978" s="24" t="str">
        <x:v>32어3092</x:v>
      </x:c>
      <x:c r="E978" s="24" t="str"/>
      <x:c r="F978" s="24" t="str">
        <x:v>2024-07</x:v>
      </x:c>
      <x:c r="G978" s="30"/>
      <x:c r="H978" s="32" t="n">
        <x:v>500000</x:v>
      </x:c>
      <x:c r="I978" s="32" t="n">
        <x:v>500000</x:v>
      </x:c>
      <x:c r="J978" s="32" t="n">
        <x:v>0</x:v>
      </x:c>
      <x:c r="K978" s="30" t="n">
        <x:v>45478</x:v>
      </x:c>
      <x:c r="L978" s="24" t="str">
        <x:v>자동</x:v>
      </x:c>
      <x:c r="M978" s="31" t="n">
        <x:f>IF(AND(N978="미수",G978&lt;&gt;"",TODAY()&gt;G978),TODAY()-G978,0)</x:f>
        <x:v>0</x:v>
      </x:c>
      <x:c r="N978" s="24" t="str">
        <x:f>IF(J978&gt;0,"미수",IF(AND(H978&gt;0,I978&gt;=H978),"완납","미확인"))</x:f>
        <x:v>완납</x:v>
      </x:c>
      <x:c r="O978" s="31" t="n">
        <x:v>47</x:v>
      </x:c>
    </x:row>
    <x:row r="979" ht="17.25" customHeight="1">
      <x:c r="A979" s="24" t="str">
        <x:v>SW-B-32어3092-202406</x:v>
      </x:c>
      <x:c r="B979" s="24" t="str">
        <x:v>스위치플랜</x:v>
      </x:c>
      <x:c r="C979" s="24" t="str">
        <x:v>SW-C-32어3092-1-NA-47</x:v>
      </x:c>
      <x:c r="D979" s="24" t="str">
        <x:v>32어3092</x:v>
      </x:c>
      <x:c r="E979" s="24" t="str"/>
      <x:c r="F979" s="24" t="str">
        <x:v>2024-06</x:v>
      </x:c>
      <x:c r="G979" s="30"/>
      <x:c r="H979" s="32" t="n">
        <x:v>500000</x:v>
      </x:c>
      <x:c r="I979" s="32" t="n">
        <x:v>500000</x:v>
      </x:c>
      <x:c r="J979" s="32" t="n">
        <x:v>0</x:v>
      </x:c>
      <x:c r="K979" s="30" t="n">
        <x:v>45448</x:v>
      </x:c>
      <x:c r="L979" s="24" t="str">
        <x:v>자동</x:v>
      </x:c>
      <x:c r="M979" s="31" t="n">
        <x:f>IF(AND(N979="미수",G979&lt;&gt;"",TODAY()&gt;G979),TODAY()-G979,0)</x:f>
        <x:v>0</x:v>
      </x:c>
      <x:c r="N979" s="24" t="str">
        <x:f>IF(J979&gt;0,"미수",IF(AND(H979&gt;0,I979&gt;=H979),"완납","미확인"))</x:f>
        <x:v>완납</x:v>
      </x:c>
      <x:c r="O979" s="31" t="n">
        <x:v>47</x:v>
      </x:c>
    </x:row>
    <x:row r="980" ht="17.25" customHeight="1">
      <x:c r="A980" s="24" t="str">
        <x:v>SW-B-32어3092-202405</x:v>
      </x:c>
      <x:c r="B980" s="24" t="str">
        <x:v>스위치플랜</x:v>
      </x:c>
      <x:c r="C980" s="24" t="str">
        <x:v>SW-C-32어3092-1-NA-47</x:v>
      </x:c>
      <x:c r="D980" s="24" t="str">
        <x:v>32어3092</x:v>
      </x:c>
      <x:c r="E980" s="24" t="str"/>
      <x:c r="F980" s="24" t="str">
        <x:v>2024-05</x:v>
      </x:c>
      <x:c r="G980" s="30"/>
      <x:c r="H980" s="32" t="n">
        <x:v>500000</x:v>
      </x:c>
      <x:c r="I980" s="32" t="n">
        <x:v>500000</x:v>
      </x:c>
      <x:c r="J980" s="32" t="n">
        <x:v>0</x:v>
      </x:c>
      <x:c r="K980" s="30" t="n">
        <x:v>45417</x:v>
      </x:c>
      <x:c r="L980" s="24" t="str">
        <x:v>입금</x:v>
      </x:c>
      <x:c r="M980" s="31" t="n">
        <x:f>IF(AND(N980="미수",G980&lt;&gt;"",TODAY()&gt;G980),TODAY()-G980,0)</x:f>
        <x:v>0</x:v>
      </x:c>
      <x:c r="N980" s="24" t="str">
        <x:f>IF(J980&gt;0,"미수",IF(AND(H980&gt;0,I980&gt;=H980),"완납","미확인"))</x:f>
        <x:v>완납</x:v>
      </x:c>
      <x:c r="O980" s="31" t="n">
        <x:v>47</x:v>
      </x:c>
    </x:row>
    <x:row r="981" ht="17.25" customHeight="1">
      <x:c r="A981" s="24" t="str">
        <x:v>SW-B-193우6384-202608</x:v>
      </x:c>
      <x:c r="B981" s="24" t="str">
        <x:v>스위치플랜</x:v>
      </x:c>
      <x:c r="C981" s="24" t="str">
        <x:v>SW-C-193우6384-1-20250226-48</x:v>
      </x:c>
      <x:c r="D981" s="24" t="str">
        <x:v>193우6384</x:v>
      </x:c>
      <x:c r="E981" s="24" t="str">
        <x:v>김도건</x:v>
      </x:c>
      <x:c r="F981" s="24" t="str">
        <x:v>2026-08</x:v>
      </x:c>
      <x:c r="G981" s="30" t="n">
        <x:v>46259</x:v>
      </x:c>
      <x:c r="H981" s="32" t="n">
        <x:v>710000</x:v>
      </x:c>
      <x:c r="I981" s="32" t="n">
        <x:v>710000</x:v>
      </x:c>
      <x:c r="J981" s="32" t="n">
        <x:v>0</x:v>
      </x:c>
      <x:c r="K981" s="30" t="n">
        <x:v>46244</x:v>
      </x:c>
      <x:c r="L981" s="24" t="str">
        <x:v>입금</x:v>
      </x:c>
      <x:c r="M981" s="31" t="n">
        <x:f>IF(AND(N981="미수",G981&lt;&gt;"",TODAY()&gt;G981),TODAY()-G981,0)</x:f>
        <x:v>0</x:v>
      </x:c>
      <x:c r="N981" s="24" t="str">
        <x:f>IF(J981&gt;0,"미수",IF(AND(H981&gt;0,I981&gt;=H981),"완납","미확인"))</x:f>
        <x:v>완납</x:v>
      </x:c>
      <x:c r="O981" s="31" t="n">
        <x:v>48</x:v>
      </x:c>
    </x:row>
    <x:row r="982" ht="17.25" customHeight="1">
      <x:c r="A982" s="24" t="str">
        <x:v>SW-B-193우6384-202607</x:v>
      </x:c>
      <x:c r="B982" s="24" t="str">
        <x:v>스위치플랜</x:v>
      </x:c>
      <x:c r="C982" s="24" t="str">
        <x:v>SW-C-193우6384-1-20250226-48</x:v>
      </x:c>
      <x:c r="D982" s="24" t="str">
        <x:v>193우6384</x:v>
      </x:c>
      <x:c r="E982" s="24" t="str">
        <x:v>김도건</x:v>
      </x:c>
      <x:c r="F982" s="24" t="str">
        <x:v>2026-07</x:v>
      </x:c>
      <x:c r="G982" s="30" t="n">
        <x:v>46228</x:v>
      </x:c>
      <x:c r="H982" s="32" t="n">
        <x:v>710000</x:v>
      </x:c>
      <x:c r="I982" s="32" t="n">
        <x:v>710000</x:v>
      </x:c>
      <x:c r="J982" s="32" t="n">
        <x:v>0</x:v>
      </x:c>
      <x:c r="K982" s="30" t="n">
        <x:v>46213</x:v>
      </x:c>
      <x:c r="L982" s="24" t="str">
        <x:v>입금</x:v>
      </x:c>
      <x:c r="M982" s="31" t="n">
        <x:f>IF(AND(N982="미수",G982&lt;&gt;"",TODAY()&gt;G982),TODAY()-G982,0)</x:f>
        <x:v>0</x:v>
      </x:c>
      <x:c r="N982" s="24" t="str">
        <x:f>IF(J982&gt;0,"미수",IF(AND(H982&gt;0,I982&gt;=H982),"완납","미확인"))</x:f>
        <x:v>완납</x:v>
      </x:c>
      <x:c r="O982" s="31" t="n">
        <x:v>48</x:v>
      </x:c>
    </x:row>
    <x:row r="983" ht="17.25" customHeight="1">
      <x:c r="A983" s="24" t="str">
        <x:v>SW-B-193우6384-202606</x:v>
      </x:c>
      <x:c r="B983" s="24" t="str">
        <x:v>스위치플랜</x:v>
      </x:c>
      <x:c r="C983" s="24" t="str">
        <x:v>SW-C-193우6384-1-20250226-48</x:v>
      </x:c>
      <x:c r="D983" s="24" t="str">
        <x:v>193우6384</x:v>
      </x:c>
      <x:c r="E983" s="24" t="str">
        <x:v>김도건</x:v>
      </x:c>
      <x:c r="F983" s="24" t="str">
        <x:v>2026-06</x:v>
      </x:c>
      <x:c r="G983" s="30" t="n">
        <x:v>46198</x:v>
      </x:c>
      <x:c r="H983" s="32" t="n">
        <x:v>710000</x:v>
      </x:c>
      <x:c r="I983" s="32" t="n">
        <x:v>710000</x:v>
      </x:c>
      <x:c r="J983" s="32" t="n">
        <x:v>0</x:v>
      </x:c>
      <x:c r="K983" s="30" t="n">
        <x:v>46183</x:v>
      </x:c>
      <x:c r="L983" s="24" t="str">
        <x:v>입금</x:v>
      </x:c>
      <x:c r="M983" s="31" t="n">
        <x:f>IF(AND(N983="미수",G983&lt;&gt;"",TODAY()&gt;G983),TODAY()-G983,0)</x:f>
        <x:v>0</x:v>
      </x:c>
      <x:c r="N983" s="24" t="str">
        <x:f>IF(J983&gt;0,"미수",IF(AND(H983&gt;0,I983&gt;=H983),"완납","미확인"))</x:f>
        <x:v>완납</x:v>
      </x:c>
      <x:c r="O983" s="31" t="n">
        <x:v>48</x:v>
      </x:c>
    </x:row>
    <x:row r="984" ht="17.25" customHeight="1">
      <x:c r="A984" s="24" t="str">
        <x:v>SW-B-193우6384-202605</x:v>
      </x:c>
      <x:c r="B984" s="24" t="str">
        <x:v>스위치플랜</x:v>
      </x:c>
      <x:c r="C984" s="24" t="str">
        <x:v>SW-C-193우6384-1-20250226-48</x:v>
      </x:c>
      <x:c r="D984" s="24" t="str">
        <x:v>193우6384</x:v>
      </x:c>
      <x:c r="E984" s="24" t="str">
        <x:v>김도건</x:v>
      </x:c>
      <x:c r="F984" s="24" t="str">
        <x:v>2026-05</x:v>
      </x:c>
      <x:c r="G984" s="30" t="n">
        <x:v>46167</x:v>
      </x:c>
      <x:c r="H984" s="32" t="n">
        <x:v>710000</x:v>
      </x:c>
      <x:c r="I984" s="32" t="n">
        <x:v>710000</x:v>
      </x:c>
      <x:c r="J984" s="32" t="n">
        <x:v>0</x:v>
      </x:c>
      <x:c r="K984" s="30" t="n">
        <x:v>46164</x:v>
      </x:c>
      <x:c r="L984" s="24" t="str">
        <x:v>입금</x:v>
      </x:c>
      <x:c r="M984" s="31" t="n">
        <x:f>IF(AND(N984="미수",G984&lt;&gt;"",TODAY()&gt;G984),TODAY()-G984,0)</x:f>
        <x:v>0</x:v>
      </x:c>
      <x:c r="N984" s="24" t="str">
        <x:f>IF(J984&gt;0,"미수",IF(AND(H984&gt;0,I984&gt;=H984),"완납","미확인"))</x:f>
        <x:v>완납</x:v>
      </x:c>
      <x:c r="O984" s="31" t="n">
        <x:v>48</x:v>
      </x:c>
    </x:row>
    <x:row r="985" ht="17.25" customHeight="1">
      <x:c r="A985" s="24" t="str">
        <x:v>SW-B-193우6384-202604</x:v>
      </x:c>
      <x:c r="B985" s="24" t="str">
        <x:v>스위치플랜</x:v>
      </x:c>
      <x:c r="C985" s="24" t="str">
        <x:v>SW-C-193우6384-1-20250226-48</x:v>
      </x:c>
      <x:c r="D985" s="24" t="str">
        <x:v>193우6384</x:v>
      </x:c>
      <x:c r="E985" s="24" t="str">
        <x:v>김도건</x:v>
      </x:c>
      <x:c r="F985" s="24" t="str">
        <x:v>2026-04</x:v>
      </x:c>
      <x:c r="G985" s="30" t="n">
        <x:v>46137</x:v>
      </x:c>
      <x:c r="H985" s="32" t="n">
        <x:v>710000</x:v>
      </x:c>
      <x:c r="I985" s="32" t="n">
        <x:v>710000</x:v>
      </x:c>
      <x:c r="J985" s="32" t="n">
        <x:v>0</x:v>
      </x:c>
      <x:c r="K985" s="30" t="n">
        <x:v>46133</x:v>
      </x:c>
      <x:c r="L985" s="24" t="str">
        <x:v>입금</x:v>
      </x:c>
      <x:c r="M985" s="31" t="n">
        <x:f>IF(AND(N985="미수",G985&lt;&gt;"",TODAY()&gt;G985),TODAY()-G985,0)</x:f>
        <x:v>0</x:v>
      </x:c>
      <x:c r="N985" s="24" t="str">
        <x:f>IF(J985&gt;0,"미수",IF(AND(H985&gt;0,I985&gt;=H985),"완납","미확인"))</x:f>
        <x:v>완납</x:v>
      </x:c>
      <x:c r="O985" s="31" t="n">
        <x:v>48</x:v>
      </x:c>
    </x:row>
    <x:row r="986" ht="17.25" customHeight="1">
      <x:c r="A986" s="24" t="str">
        <x:v>SW-B-193우6384-202603</x:v>
      </x:c>
      <x:c r="B986" s="24" t="str">
        <x:v>스위치플랜</x:v>
      </x:c>
      <x:c r="C986" s="24" t="str">
        <x:v>SW-C-193우6384-1-20250226-48</x:v>
      </x:c>
      <x:c r="D986" s="24" t="str">
        <x:v>193우6384</x:v>
      </x:c>
      <x:c r="E986" s="24" t="str">
        <x:v>김도건</x:v>
      </x:c>
      <x:c r="F986" s="24" t="str">
        <x:v>2026-03</x:v>
      </x:c>
      <x:c r="G986" s="30" t="n">
        <x:v>46106</x:v>
      </x:c>
      <x:c r="H986" s="32" t="n">
        <x:v>710000</x:v>
      </x:c>
      <x:c r="I986" s="32" t="n">
        <x:v>710000</x:v>
      </x:c>
      <x:c r="J986" s="32" t="n">
        <x:v>0</x:v>
      </x:c>
      <x:c r="K986" s="30" t="n">
        <x:v>46100</x:v>
      </x:c>
      <x:c r="L986" s="24" t="str">
        <x:v>입금</x:v>
      </x:c>
      <x:c r="M986" s="31" t="n">
        <x:f>IF(AND(N986="미수",G986&lt;&gt;"",TODAY()&gt;G986),TODAY()-G986,0)</x:f>
        <x:v>0</x:v>
      </x:c>
      <x:c r="N986" s="24" t="str">
        <x:f>IF(J986&gt;0,"미수",IF(AND(H986&gt;0,I986&gt;=H986),"완납","미확인"))</x:f>
        <x:v>완납</x:v>
      </x:c>
      <x:c r="O986" s="31" t="n">
        <x:v>48</x:v>
      </x:c>
    </x:row>
    <x:row r="987" ht="17.25" customHeight="1">
      <x:c r="A987" s="24" t="str">
        <x:v>SW-B-193우6384-202602</x:v>
      </x:c>
      <x:c r="B987" s="24" t="str">
        <x:v>스위치플랜</x:v>
      </x:c>
      <x:c r="C987" s="24" t="str">
        <x:v>SW-C-193우6384-1-20250226-48</x:v>
      </x:c>
      <x:c r="D987" s="24" t="str">
        <x:v>193우6384</x:v>
      </x:c>
      <x:c r="E987" s="24" t="str">
        <x:v>김도건</x:v>
      </x:c>
      <x:c r="F987" s="24" t="str">
        <x:v>2026-02</x:v>
      </x:c>
      <x:c r="G987" s="30" t="n">
        <x:v>46078</x:v>
      </x:c>
      <x:c r="H987" s="32" t="n">
        <x:v>710000</x:v>
      </x:c>
      <x:c r="I987" s="32" t="n">
        <x:v>710000</x:v>
      </x:c>
      <x:c r="J987" s="32" t="n">
        <x:v>0</x:v>
      </x:c>
      <x:c r="K987" s="30" t="n">
        <x:v>46076</x:v>
      </x:c>
      <x:c r="L987" s="24" t="str">
        <x:v>입금</x:v>
      </x:c>
      <x:c r="M987" s="31" t="n">
        <x:f>IF(AND(N987="미수",G987&lt;&gt;"",TODAY()&gt;G987),TODAY()-G987,0)</x:f>
        <x:v>0</x:v>
      </x:c>
      <x:c r="N987" s="24" t="str">
        <x:f>IF(J987&gt;0,"미수",IF(AND(H987&gt;0,I987&gt;=H987),"완납","미확인"))</x:f>
        <x:v>완납</x:v>
      </x:c>
      <x:c r="O987" s="31" t="n">
        <x:v>48</x:v>
      </x:c>
    </x:row>
    <x:row r="988" ht="17.25" customHeight="1">
      <x:c r="A988" s="24" t="str">
        <x:v>SW-B-193우6384-202601</x:v>
      </x:c>
      <x:c r="B988" s="24" t="str">
        <x:v>스위치플랜</x:v>
      </x:c>
      <x:c r="C988" s="24" t="str">
        <x:v>SW-C-193우6384-1-20250226-48</x:v>
      </x:c>
      <x:c r="D988" s="24" t="str">
        <x:v>193우6384</x:v>
      </x:c>
      <x:c r="E988" s="24" t="str">
        <x:v>김도건</x:v>
      </x:c>
      <x:c r="F988" s="24" t="str">
        <x:v>2026-01</x:v>
      </x:c>
      <x:c r="G988" s="30" t="n">
        <x:v>46047</x:v>
      </x:c>
      <x:c r="H988" s="32" t="n">
        <x:v>710000</x:v>
      </x:c>
      <x:c r="I988" s="32" t="n">
        <x:v>710000</x:v>
      </x:c>
      <x:c r="J988" s="32" t="n">
        <x:v>0</x:v>
      </x:c>
      <x:c r="K988" s="30" t="n">
        <x:v>46031</x:v>
      </x:c>
      <x:c r="L988" s="24" t="str">
        <x:v>입금</x:v>
      </x:c>
      <x:c r="M988" s="31" t="n">
        <x:f>IF(AND(N988="미수",G988&lt;&gt;"",TODAY()&gt;G988),TODAY()-G988,0)</x:f>
        <x:v>0</x:v>
      </x:c>
      <x:c r="N988" s="24" t="str">
        <x:f>IF(J988&gt;0,"미수",IF(AND(H988&gt;0,I988&gt;=H988),"완납","미확인"))</x:f>
        <x:v>완납</x:v>
      </x:c>
      <x:c r="O988" s="31" t="n">
        <x:v>48</x:v>
      </x:c>
    </x:row>
    <x:row r="989" ht="17.25" customHeight="1">
      <x:c r="A989" s="24" t="str">
        <x:v>SW-B-193우6384-202512</x:v>
      </x:c>
      <x:c r="B989" s="24" t="str">
        <x:v>스위치플랜</x:v>
      </x:c>
      <x:c r="C989" s="24" t="str">
        <x:v>SW-C-193우6384-1-20250226-48</x:v>
      </x:c>
      <x:c r="D989" s="24" t="str">
        <x:v>193우6384</x:v>
      </x:c>
      <x:c r="E989" s="24" t="str">
        <x:v>김도건</x:v>
      </x:c>
      <x:c r="F989" s="24" t="str">
        <x:v>2025-12</x:v>
      </x:c>
      <x:c r="G989" s="30" t="n">
        <x:v>46016</x:v>
      </x:c>
      <x:c r="H989" s="32" t="n">
        <x:v>710000</x:v>
      </x:c>
      <x:c r="I989" s="32" t="n">
        <x:v>710000</x:v>
      </x:c>
      <x:c r="J989" s="32" t="n">
        <x:v>0</x:v>
      </x:c>
      <x:c r="K989" s="30" t="n">
        <x:v>46001</x:v>
      </x:c>
      <x:c r="L989" s="24" t="str">
        <x:v>입금</x:v>
      </x:c>
      <x:c r="M989" s="31" t="n">
        <x:f>IF(AND(N989="미수",G989&lt;&gt;"",TODAY()&gt;G989),TODAY()-G989,0)</x:f>
        <x:v>0</x:v>
      </x:c>
      <x:c r="N989" s="24" t="str">
        <x:f>IF(J989&gt;0,"미수",IF(AND(H989&gt;0,I989&gt;=H989),"완납","미확인"))</x:f>
        <x:v>완납</x:v>
      </x:c>
      <x:c r="O989" s="31" t="n">
        <x:v>48</x:v>
      </x:c>
    </x:row>
    <x:row r="990" ht="17.25" customHeight="1">
      <x:c r="A990" s="24" t="str">
        <x:v>SW-B-193우6384-202511</x:v>
      </x:c>
      <x:c r="B990" s="24" t="str">
        <x:v>스위치플랜</x:v>
      </x:c>
      <x:c r="C990" s="24" t="str">
        <x:v>SW-C-193우6384-1-20250226-48</x:v>
      </x:c>
      <x:c r="D990" s="24" t="str">
        <x:v>193우6384</x:v>
      </x:c>
      <x:c r="E990" s="24" t="str">
        <x:v>김도건</x:v>
      </x:c>
      <x:c r="F990" s="24" t="str">
        <x:v>2025-11</x:v>
      </x:c>
      <x:c r="G990" s="30" t="n">
        <x:v>45986</x:v>
      </x:c>
      <x:c r="H990" s="32" t="n">
        <x:v>710000</x:v>
      </x:c>
      <x:c r="I990" s="32" t="n">
        <x:v>710000</x:v>
      </x:c>
      <x:c r="J990" s="32" t="n">
        <x:v>0</x:v>
      </x:c>
      <x:c r="K990" s="30" t="n">
        <x:v>45971</x:v>
      </x:c>
      <x:c r="L990" s="24" t="str">
        <x:v>입금</x:v>
      </x:c>
      <x:c r="M990" s="31" t="n">
        <x:f>IF(AND(N990="미수",G990&lt;&gt;"",TODAY()&gt;G990),TODAY()-G990,0)</x:f>
        <x:v>0</x:v>
      </x:c>
      <x:c r="N990" s="24" t="str">
        <x:f>IF(J990&gt;0,"미수",IF(AND(H990&gt;0,I990&gt;=H990),"완납","미확인"))</x:f>
        <x:v>완납</x:v>
      </x:c>
      <x:c r="O990" s="31" t="n">
        <x:v>48</x:v>
      </x:c>
    </x:row>
    <x:row r="991" ht="17.25" customHeight="1">
      <x:c r="A991" s="24" t="str">
        <x:v>SW-B-193우6384-202510</x:v>
      </x:c>
      <x:c r="B991" s="24" t="str">
        <x:v>스위치플랜</x:v>
      </x:c>
      <x:c r="C991" s="24" t="str">
        <x:v>SW-C-193우6384-1-20250226-48</x:v>
      </x:c>
      <x:c r="D991" s="24" t="str">
        <x:v>193우6384</x:v>
      </x:c>
      <x:c r="E991" s="24" t="str">
        <x:v>김도건</x:v>
      </x:c>
      <x:c r="F991" s="24" t="str">
        <x:v>2025-10</x:v>
      </x:c>
      <x:c r="G991" s="30" t="n">
        <x:v>45955</x:v>
      </x:c>
      <x:c r="H991" s="32" t="n">
        <x:v>710000</x:v>
      </x:c>
      <x:c r="I991" s="32" t="n">
        <x:v>710000</x:v>
      </x:c>
      <x:c r="J991" s="32" t="n">
        <x:v>0</x:v>
      </x:c>
      <x:c r="K991" s="30" t="n">
        <x:v>45951</x:v>
      </x:c>
      <x:c r="L991" s="24" t="str">
        <x:v>입금</x:v>
      </x:c>
      <x:c r="M991" s="31" t="n">
        <x:f>IF(AND(N991="미수",G991&lt;&gt;"",TODAY()&gt;G991),TODAY()-G991,0)</x:f>
        <x:v>0</x:v>
      </x:c>
      <x:c r="N991" s="24" t="str">
        <x:f>IF(J991&gt;0,"미수",IF(AND(H991&gt;0,I991&gt;=H991),"완납","미확인"))</x:f>
        <x:v>완납</x:v>
      </x:c>
      <x:c r="O991" s="31" t="n">
        <x:v>48</x:v>
      </x:c>
    </x:row>
    <x:row r="992" ht="17.25" customHeight="1">
      <x:c r="A992" s="24" t="str">
        <x:v>SW-B-193우6384-202509</x:v>
      </x:c>
      <x:c r="B992" s="24" t="str">
        <x:v>스위치플랜</x:v>
      </x:c>
      <x:c r="C992" s="24" t="str">
        <x:v>SW-C-193우6384-1-20250226-48</x:v>
      </x:c>
      <x:c r="D992" s="24" t="str">
        <x:v>193우6384</x:v>
      </x:c>
      <x:c r="E992" s="24" t="str">
        <x:v>김도건</x:v>
      </x:c>
      <x:c r="F992" s="24" t="str">
        <x:v>2025-09</x:v>
      </x:c>
      <x:c r="G992" s="30" t="n">
        <x:v>45925</x:v>
      </x:c>
      <x:c r="H992" s="32" t="n">
        <x:v>710000</x:v>
      </x:c>
      <x:c r="I992" s="32" t="n">
        <x:v>710000</x:v>
      </x:c>
      <x:c r="J992" s="32" t="n">
        <x:v>0</x:v>
      </x:c>
      <x:c r="K992" s="30" t="n">
        <x:v>45923</x:v>
      </x:c>
      <x:c r="L992" s="24" t="str">
        <x:v>입금</x:v>
      </x:c>
      <x:c r="M992" s="31" t="n">
        <x:f>IF(AND(N992="미수",G992&lt;&gt;"",TODAY()&gt;G992),TODAY()-G992,0)</x:f>
        <x:v>0</x:v>
      </x:c>
      <x:c r="N992" s="24" t="str">
        <x:f>IF(J992&gt;0,"미수",IF(AND(H992&gt;0,I992&gt;=H992),"완납","미확인"))</x:f>
        <x:v>완납</x:v>
      </x:c>
      <x:c r="O992" s="31" t="n">
        <x:v>48</x:v>
      </x:c>
    </x:row>
    <x:row r="993" ht="17.25" customHeight="1">
      <x:c r="A993" s="24" t="str">
        <x:v>SW-B-193우6384-202508</x:v>
      </x:c>
      <x:c r="B993" s="24" t="str">
        <x:v>스위치플랜</x:v>
      </x:c>
      <x:c r="C993" s="24" t="str">
        <x:v>SW-C-193우6384-1-20250226-48</x:v>
      </x:c>
      <x:c r="D993" s="24" t="str">
        <x:v>193우6384</x:v>
      </x:c>
      <x:c r="E993" s="24" t="str">
        <x:v>김도건</x:v>
      </x:c>
      <x:c r="F993" s="24" t="str">
        <x:v>2025-08</x:v>
      </x:c>
      <x:c r="G993" s="30" t="n">
        <x:v>45894</x:v>
      </x:c>
      <x:c r="H993" s="32" t="n">
        <x:v>710000</x:v>
      </x:c>
      <x:c r="I993" s="32" t="n">
        <x:v>710000</x:v>
      </x:c>
      <x:c r="J993" s="32" t="n">
        <x:v>0</x:v>
      </x:c>
      <x:c r="K993" s="30" t="n">
        <x:v>45893</x:v>
      </x:c>
      <x:c r="L993" s="24" t="str">
        <x:v>입금</x:v>
      </x:c>
      <x:c r="M993" s="31" t="n">
        <x:f>IF(AND(N993="미수",G993&lt;&gt;"",TODAY()&gt;G993),TODAY()-G993,0)</x:f>
        <x:v>0</x:v>
      </x:c>
      <x:c r="N993" s="24" t="str">
        <x:f>IF(J993&gt;0,"미수",IF(AND(H993&gt;0,I993&gt;=H993),"완납","미확인"))</x:f>
        <x:v>완납</x:v>
      </x:c>
      <x:c r="O993" s="31" t="n">
        <x:v>48</x:v>
      </x:c>
    </x:row>
    <x:row r="994" ht="17.25" customHeight="1">
      <x:c r="A994" s="24" t="str">
        <x:v>SW-B-193우6384-202507</x:v>
      </x:c>
      <x:c r="B994" s="24" t="str">
        <x:v>스위치플랜</x:v>
      </x:c>
      <x:c r="C994" s="24" t="str">
        <x:v>SW-C-193우6384-1-20250226-48</x:v>
      </x:c>
      <x:c r="D994" s="24" t="str">
        <x:v>193우6384</x:v>
      </x:c>
      <x:c r="E994" s="24" t="str">
        <x:v>김도건</x:v>
      </x:c>
      <x:c r="F994" s="24" t="str">
        <x:v>2025-07</x:v>
      </x:c>
      <x:c r="G994" s="30" t="n">
        <x:v>45863</x:v>
      </x:c>
      <x:c r="H994" s="32" t="n">
        <x:v>710000</x:v>
      </x:c>
      <x:c r="I994" s="32" t="n">
        <x:v>710000</x:v>
      </x:c>
      <x:c r="J994" s="32" t="n">
        <x:v>0</x:v>
      </x:c>
      <x:c r="K994" s="30" t="n">
        <x:v>45863</x:v>
      </x:c>
      <x:c r="L994" s="24" t="str">
        <x:v>입금</x:v>
      </x:c>
      <x:c r="M994" s="31" t="n">
        <x:f>IF(AND(N994="미수",G994&lt;&gt;"",TODAY()&gt;G994),TODAY()-G994,0)</x:f>
        <x:v>0</x:v>
      </x:c>
      <x:c r="N994" s="24" t="str">
        <x:f>IF(J994&gt;0,"미수",IF(AND(H994&gt;0,I994&gt;=H994),"완납","미확인"))</x:f>
        <x:v>완납</x:v>
      </x:c>
      <x:c r="O994" s="31" t="n">
        <x:v>48</x:v>
      </x:c>
    </x:row>
    <x:row r="995" ht="17.25" customHeight="1">
      <x:c r="A995" s="24" t="str">
        <x:v>SW-B-193우6384-202506</x:v>
      </x:c>
      <x:c r="B995" s="24" t="str">
        <x:v>스위치플랜</x:v>
      </x:c>
      <x:c r="C995" s="24" t="str">
        <x:v>SW-C-193우6384-1-20250226-48</x:v>
      </x:c>
      <x:c r="D995" s="24" t="str">
        <x:v>193우6384</x:v>
      </x:c>
      <x:c r="E995" s="24" t="str">
        <x:v>김도건</x:v>
      </x:c>
      <x:c r="F995" s="24" t="str">
        <x:v>2025-06</x:v>
      </x:c>
      <x:c r="G995" s="30" t="n">
        <x:v>45833</x:v>
      </x:c>
      <x:c r="H995" s="32" t="n">
        <x:v>710000</x:v>
      </x:c>
      <x:c r="I995" s="32" t="n">
        <x:v>710000</x:v>
      </x:c>
      <x:c r="J995" s="32" t="n">
        <x:v>0</x:v>
      </x:c>
      <x:c r="K995" s="30" t="n">
        <x:v>45828</x:v>
      </x:c>
      <x:c r="L995" s="24" t="str">
        <x:v>입금</x:v>
      </x:c>
      <x:c r="M995" s="31" t="n">
        <x:f>IF(AND(N995="미수",G995&lt;&gt;"",TODAY()&gt;G995),TODAY()-G995,0)</x:f>
        <x:v>0</x:v>
      </x:c>
      <x:c r="N995" s="24" t="str">
        <x:f>IF(J995&gt;0,"미수",IF(AND(H995&gt;0,I995&gt;=H995),"완납","미확인"))</x:f>
        <x:v>완납</x:v>
      </x:c>
      <x:c r="O995" s="31" t="n">
        <x:v>48</x:v>
      </x:c>
    </x:row>
    <x:row r="996" ht="17.25" customHeight="1">
      <x:c r="A996" s="24" t="str">
        <x:v>SW-B-193우6384-202505</x:v>
      </x:c>
      <x:c r="B996" s="24" t="str">
        <x:v>스위치플랜</x:v>
      </x:c>
      <x:c r="C996" s="24" t="str">
        <x:v>SW-C-193우6384-1-20250226-48</x:v>
      </x:c>
      <x:c r="D996" s="24" t="str">
        <x:v>193우6384</x:v>
      </x:c>
      <x:c r="E996" s="24" t="str">
        <x:v>김도건</x:v>
      </x:c>
      <x:c r="F996" s="24" t="str">
        <x:v>2025-05</x:v>
      </x:c>
      <x:c r="G996" s="30" t="n">
        <x:v>45802</x:v>
      </x:c>
      <x:c r="H996" s="32" t="n">
        <x:v>710000</x:v>
      </x:c>
      <x:c r="I996" s="32" t="n">
        <x:v>710000</x:v>
      </x:c>
      <x:c r="J996" s="32" t="n">
        <x:v>0</x:v>
      </x:c>
      <x:c r="K996" s="30" t="n">
        <x:v>45786</x:v>
      </x:c>
      <x:c r="L996" s="24" t="str">
        <x:v>입금</x:v>
      </x:c>
      <x:c r="M996" s="31" t="n">
        <x:f>IF(AND(N996="미수",G996&lt;&gt;"",TODAY()&gt;G996),TODAY()-G996,0)</x:f>
        <x:v>0</x:v>
      </x:c>
      <x:c r="N996" s="24" t="str">
        <x:f>IF(J996&gt;0,"미수",IF(AND(H996&gt;0,I996&gt;=H996),"완납","미확인"))</x:f>
        <x:v>완납</x:v>
      </x:c>
      <x:c r="O996" s="31" t="n">
        <x:v>48</x:v>
      </x:c>
    </x:row>
    <x:row r="997" ht="17.25" customHeight="1">
      <x:c r="A997" s="24" t="str">
        <x:v>SW-B-193우6384-202504</x:v>
      </x:c>
      <x:c r="B997" s="24" t="str">
        <x:v>스위치플랜</x:v>
      </x:c>
      <x:c r="C997" s="24" t="str">
        <x:v>SW-C-193우6384-1-20250226-48</x:v>
      </x:c>
      <x:c r="D997" s="24" t="str">
        <x:v>193우6384</x:v>
      </x:c>
      <x:c r="E997" s="24" t="str">
        <x:v>김도건</x:v>
      </x:c>
      <x:c r="F997" s="24" t="str">
        <x:v>2025-04</x:v>
      </x:c>
      <x:c r="G997" s="30" t="n">
        <x:v>45772</x:v>
      </x:c>
      <x:c r="H997" s="32" t="n">
        <x:v>710000</x:v>
      </x:c>
      <x:c r="I997" s="32" t="n">
        <x:v>710000</x:v>
      </x:c>
      <x:c r="J997" s="32" t="n">
        <x:v>0</x:v>
      </x:c>
      <x:c r="K997" s="30" t="n">
        <x:v>45757</x:v>
      </x:c>
      <x:c r="L997" s="24" t="str">
        <x:v>입금</x:v>
      </x:c>
      <x:c r="M997" s="31" t="n">
        <x:f>IF(AND(N997="미수",G997&lt;&gt;"",TODAY()&gt;G997),TODAY()-G997,0)</x:f>
        <x:v>0</x:v>
      </x:c>
      <x:c r="N997" s="24" t="str">
        <x:f>IF(J997&gt;0,"미수",IF(AND(H997&gt;0,I997&gt;=H997),"완납","미확인"))</x:f>
        <x:v>완납</x:v>
      </x:c>
      <x:c r="O997" s="31" t="n">
        <x:v>48</x:v>
      </x:c>
    </x:row>
    <x:row r="998" ht="17.25" customHeight="1">
      <x:c r="A998" s="24" t="str">
        <x:v>SW-B-193우6384-202503</x:v>
      </x:c>
      <x:c r="B998" s="24" t="str">
        <x:v>스위치플랜</x:v>
      </x:c>
      <x:c r="C998" s="24" t="str">
        <x:v>SW-C-193우6384-1-20250226-48</x:v>
      </x:c>
      <x:c r="D998" s="24" t="str">
        <x:v>193우6384</x:v>
      </x:c>
      <x:c r="E998" s="24" t="str">
        <x:v>김도건</x:v>
      </x:c>
      <x:c r="F998" s="24" t="str">
        <x:v>2025-03</x:v>
      </x:c>
      <x:c r="G998" s="30" t="n">
        <x:v>45741</x:v>
      </x:c>
      <x:c r="H998" s="32" t="n">
        <x:v>710000</x:v>
      </x:c>
      <x:c r="I998" s="32" t="n">
        <x:v>710000</x:v>
      </x:c>
      <x:c r="J998" s="32" t="n">
        <x:v>0</x:v>
      </x:c>
      <x:c r="K998" s="30" t="n">
        <x:v>45728</x:v>
      </x:c>
      <x:c r="L998" s="24" t="str">
        <x:v>입금</x:v>
      </x:c>
      <x:c r="M998" s="31" t="n">
        <x:f>IF(AND(N998="미수",G998&lt;&gt;"",TODAY()&gt;G998),TODAY()-G998,0)</x:f>
        <x:v>0</x:v>
      </x:c>
      <x:c r="N998" s="24" t="str">
        <x:f>IF(J998&gt;0,"미수",IF(AND(H998&gt;0,I998&gt;=H998),"완납","미확인"))</x:f>
        <x:v>완납</x:v>
      </x:c>
      <x:c r="O998" s="31" t="n">
        <x:v>48</x:v>
      </x:c>
    </x:row>
    <x:row r="999" ht="17.25" customHeight="1">
      <x:c r="A999" s="24" t="str">
        <x:v>SW-B-193우6384-202502</x:v>
      </x:c>
      <x:c r="B999" s="24" t="str">
        <x:v>스위치플랜</x:v>
      </x:c>
      <x:c r="C999" s="24" t="str">
        <x:v>SW-C-193우6384-1-20250226-48</x:v>
      </x:c>
      <x:c r="D999" s="24" t="str">
        <x:v>193우6384</x:v>
      </x:c>
      <x:c r="E999" s="24" t="str">
        <x:v>김도건</x:v>
      </x:c>
      <x:c r="F999" s="24" t="str">
        <x:v>2025-02</x:v>
      </x:c>
      <x:c r="G999" s="30" t="n">
        <x:v>45713</x:v>
      </x:c>
      <x:c r="H999" s="32" t="n">
        <x:v>710000</x:v>
      </x:c>
      <x:c r="I999" s="32" t="n">
        <x:v>710000</x:v>
      </x:c>
      <x:c r="J999" s="32" t="n">
        <x:v>0</x:v>
      </x:c>
      <x:c r="K999" s="30" t="n">
        <x:v>45713</x:v>
      </x:c>
      <x:c r="L999" s="24" t="str">
        <x:v>입금</x:v>
      </x:c>
      <x:c r="M999" s="31" t="n">
        <x:f>IF(AND(N999="미수",G999&lt;&gt;"",TODAY()&gt;G999),TODAY()-G999,0)</x:f>
        <x:v>0</x:v>
      </x:c>
      <x:c r="N999" s="24" t="str">
        <x:f>IF(J999&gt;0,"미수",IF(AND(H999&gt;0,I999&gt;=H999),"완납","미확인"))</x:f>
        <x:v>완납</x:v>
      </x:c>
      <x:c r="O999" s="31" t="n">
        <x:v>48</x:v>
      </x:c>
    </x:row>
    <x:row r="1000" ht="17.25" customHeight="1">
      <x:c r="A1000" s="24" t="str">
        <x:v>SW-B-293서9081-202608</x:v>
      </x:c>
      <x:c r="B1000" s="24" t="str">
        <x:v>스위치플랜</x:v>
      </x:c>
      <x:c r="C1000" s="24" t="str">
        <x:v>SW-C-293서9081-1-20240206-49</x:v>
      </x:c>
      <x:c r="D1000" s="24" t="str">
        <x:v>293서9081</x:v>
      </x:c>
      <x:c r="E1000" s="24" t="str">
        <x:v>진보민</x:v>
      </x:c>
      <x:c r="F1000" s="24" t="str">
        <x:v>2026-08</x:v>
      </x:c>
      <x:c r="G1000" s="30" t="n">
        <x:v>46239</x:v>
      </x:c>
      <x:c r="H1000" s="32" t="n">
        <x:v>1320000</x:v>
      </x:c>
      <x:c r="I1000" s="32" t="n">
        <x:v>1320000</x:v>
      </x:c>
      <x:c r="J1000" s="32" t="n">
        <x:v>0</x:v>
      </x:c>
      <x:c r="K1000" s="30" t="n">
        <x:v>46246</x:v>
      </x:c>
      <x:c r="L1000" s="24" t="str">
        <x:v>입금</x:v>
      </x:c>
      <x:c r="M1000" s="31" t="n">
        <x:f>IF(AND(N1000="미수",G1000&lt;&gt;"",TODAY()&gt;G1000),TODAY()-G1000,0)</x:f>
        <x:v>0</x:v>
      </x:c>
      <x:c r="N1000" s="24" t="str">
        <x:f>IF(J1000&gt;0,"미수",IF(AND(H1000&gt;0,I1000&gt;=H1000),"완납","미확인"))</x:f>
        <x:v>완납</x:v>
      </x:c>
      <x:c r="O1000" s="31" t="n">
        <x:v>49</x:v>
      </x:c>
    </x:row>
    <x:row r="1001" ht="17.25" customHeight="1">
      <x:c r="A1001" s="24" t="str">
        <x:v>SW-B-293서9081-202607</x:v>
      </x:c>
      <x:c r="B1001" s="24" t="str">
        <x:v>스위치플랜</x:v>
      </x:c>
      <x:c r="C1001" s="24" t="str">
        <x:v>SW-C-293서9081-1-20240206-49</x:v>
      </x:c>
      <x:c r="D1001" s="24" t="str">
        <x:v>293서9081</x:v>
      </x:c>
      <x:c r="E1001" s="24" t="str">
        <x:v>진보민</x:v>
      </x:c>
      <x:c r="F1001" s="24" t="str">
        <x:v>2026-07</x:v>
      </x:c>
      <x:c r="G1001" s="30" t="n">
        <x:v>46208</x:v>
      </x:c>
      <x:c r="H1001" s="32" t="n">
        <x:v>1320000</x:v>
      </x:c>
      <x:c r="I1001" s="32" t="n">
        <x:v>1320000</x:v>
      </x:c>
      <x:c r="J1001" s="32" t="n">
        <x:v>0</x:v>
      </x:c>
      <x:c r="K1001" s="30" t="n">
        <x:v>46209</x:v>
      </x:c>
      <x:c r="L1001" s="24" t="str">
        <x:v>입금</x:v>
      </x:c>
      <x:c r="M1001" s="31" t="n">
        <x:f>IF(AND(N1001="미수",G1001&lt;&gt;"",TODAY()&gt;G1001),TODAY()-G1001,0)</x:f>
        <x:v>0</x:v>
      </x:c>
      <x:c r="N1001" s="24" t="str">
        <x:f>IF(J1001&gt;0,"미수",IF(AND(H1001&gt;0,I1001&gt;=H1001),"완납","미확인"))</x:f>
        <x:v>완납</x:v>
      </x:c>
      <x:c r="O1001" s="31" t="n">
        <x:v>49</x:v>
      </x:c>
    </x:row>
    <x:row r="1002" ht="17.25" customHeight="1">
      <x:c r="A1002" s="24" t="str">
        <x:v>SW-B-293서9081-202606</x:v>
      </x:c>
      <x:c r="B1002" s="24" t="str">
        <x:v>스위치플랜</x:v>
      </x:c>
      <x:c r="C1002" s="24" t="str">
        <x:v>SW-C-293서9081-1-20240206-49</x:v>
      </x:c>
      <x:c r="D1002" s="24" t="str">
        <x:v>293서9081</x:v>
      </x:c>
      <x:c r="E1002" s="24" t="str">
        <x:v>진보민</x:v>
      </x:c>
      <x:c r="F1002" s="24" t="str">
        <x:v>2026-06</x:v>
      </x:c>
      <x:c r="G1002" s="30" t="n">
        <x:v>46178</x:v>
      </x:c>
      <x:c r="H1002" s="32" t="n">
        <x:v>1320000</x:v>
      </x:c>
      <x:c r="I1002" s="32" t="n">
        <x:v>1320000</x:v>
      </x:c>
      <x:c r="J1002" s="32" t="n">
        <x:v>0</x:v>
      </x:c>
      <x:c r="K1002" s="30" t="n">
        <x:v>46189</x:v>
      </x:c>
      <x:c r="L1002" s="24" t="str">
        <x:v>입금</x:v>
      </x:c>
      <x:c r="M1002" s="31" t="n">
        <x:f>IF(AND(N1002="미수",G1002&lt;&gt;"",TODAY()&gt;G1002),TODAY()-G1002,0)</x:f>
        <x:v>0</x:v>
      </x:c>
      <x:c r="N1002" s="24" t="str">
        <x:f>IF(J1002&gt;0,"미수",IF(AND(H1002&gt;0,I1002&gt;=H1002),"완납","미확인"))</x:f>
        <x:v>완납</x:v>
      </x:c>
      <x:c r="O1002" s="31" t="n">
        <x:v>49</x:v>
      </x:c>
    </x:row>
    <x:row r="1003" ht="17.25" customHeight="1">
      <x:c r="A1003" s="24" t="str">
        <x:v>SW-B-293서9081-202605</x:v>
      </x:c>
      <x:c r="B1003" s="24" t="str">
        <x:v>스위치플랜</x:v>
      </x:c>
      <x:c r="C1003" s="24" t="str">
        <x:v>SW-C-293서9081-1-20240206-49</x:v>
      </x:c>
      <x:c r="D1003" s="24" t="str">
        <x:v>293서9081</x:v>
      </x:c>
      <x:c r="E1003" s="24" t="str">
        <x:v>진보민</x:v>
      </x:c>
      <x:c r="F1003" s="24" t="str">
        <x:v>2026-05</x:v>
      </x:c>
      <x:c r="G1003" s="30" t="n">
        <x:v>46147</x:v>
      </x:c>
      <x:c r="H1003" s="32" t="n">
        <x:v>1320000</x:v>
      </x:c>
      <x:c r="I1003" s="32" t="n">
        <x:v>1320000</x:v>
      </x:c>
      <x:c r="J1003" s="32" t="n">
        <x:v>0</x:v>
      </x:c>
      <x:c r="K1003" s="30" t="n">
        <x:v>46148</x:v>
      </x:c>
      <x:c r="L1003" s="24" t="str">
        <x:v>입금</x:v>
      </x:c>
      <x:c r="M1003" s="31" t="n">
        <x:f>IF(AND(N1003="미수",G1003&lt;&gt;"",TODAY()&gt;G1003),TODAY()-G1003,0)</x:f>
        <x:v>0</x:v>
      </x:c>
      <x:c r="N1003" s="24" t="str">
        <x:f>IF(J1003&gt;0,"미수",IF(AND(H1003&gt;0,I1003&gt;=H1003),"완납","미확인"))</x:f>
        <x:v>완납</x:v>
      </x:c>
      <x:c r="O1003" s="31" t="n">
        <x:v>49</x:v>
      </x:c>
    </x:row>
    <x:row r="1004" ht="17.25" customHeight="1">
      <x:c r="A1004" s="24" t="str">
        <x:v>SW-B-293서9081-202604</x:v>
      </x:c>
      <x:c r="B1004" s="24" t="str">
        <x:v>스위치플랜</x:v>
      </x:c>
      <x:c r="C1004" s="24" t="str">
        <x:v>SW-C-293서9081-1-20240206-49</x:v>
      </x:c>
      <x:c r="D1004" s="24" t="str">
        <x:v>293서9081</x:v>
      </x:c>
      <x:c r="E1004" s="24" t="str">
        <x:v>진보민</x:v>
      </x:c>
      <x:c r="F1004" s="24" t="str">
        <x:v>2026-04</x:v>
      </x:c>
      <x:c r="G1004" s="30" t="n">
        <x:v>46117</x:v>
      </x:c>
      <x:c r="H1004" s="32" t="n">
        <x:v>1320000</x:v>
      </x:c>
      <x:c r="I1004" s="32" t="n">
        <x:v>1320000</x:v>
      </x:c>
      <x:c r="J1004" s="32" t="n">
        <x:v>0</x:v>
      </x:c>
      <x:c r="K1004" s="30" t="n">
        <x:v>46118</x:v>
      </x:c>
      <x:c r="L1004" s="24" t="str">
        <x:v>입금</x:v>
      </x:c>
      <x:c r="M1004" s="31" t="n">
        <x:f>IF(AND(N1004="미수",G1004&lt;&gt;"",TODAY()&gt;G1004),TODAY()-G1004,0)</x:f>
        <x:v>0</x:v>
      </x:c>
      <x:c r="N1004" s="24" t="str">
        <x:f>IF(J1004&gt;0,"미수",IF(AND(H1004&gt;0,I1004&gt;=H1004),"완납","미확인"))</x:f>
        <x:v>완납</x:v>
      </x:c>
      <x:c r="O1004" s="31" t="n">
        <x:v>49</x:v>
      </x:c>
    </x:row>
    <x:row r="1005" ht="17.25" customHeight="1">
      <x:c r="A1005" s="24" t="str">
        <x:v>SW-B-293서9081-202603</x:v>
      </x:c>
      <x:c r="B1005" s="24" t="str">
        <x:v>스위치플랜</x:v>
      </x:c>
      <x:c r="C1005" s="24" t="str">
        <x:v>SW-C-293서9081-1-20240206-49</x:v>
      </x:c>
      <x:c r="D1005" s="24" t="str">
        <x:v>293서9081</x:v>
      </x:c>
      <x:c r="E1005" s="24" t="str">
        <x:v>진보민</x:v>
      </x:c>
      <x:c r="F1005" s="24" t="str">
        <x:v>2026-03</x:v>
      </x:c>
      <x:c r="G1005" s="30" t="n">
        <x:v>46086</x:v>
      </x:c>
      <x:c r="H1005" s="32" t="n">
        <x:v>1320000</x:v>
      </x:c>
      <x:c r="I1005" s="32" t="n">
        <x:v>1320000</x:v>
      </x:c>
      <x:c r="J1005" s="32" t="n">
        <x:v>0</x:v>
      </x:c>
      <x:c r="K1005" s="30" t="n">
        <x:v>46089</x:v>
      </x:c>
      <x:c r="L1005" s="24" t="str">
        <x:v>입금</x:v>
      </x:c>
      <x:c r="M1005" s="31" t="n">
        <x:f>IF(AND(N1005="미수",G1005&lt;&gt;"",TODAY()&gt;G1005),TODAY()-G1005,0)</x:f>
        <x:v>0</x:v>
      </x:c>
      <x:c r="N1005" s="24" t="str">
        <x:f>IF(J1005&gt;0,"미수",IF(AND(H1005&gt;0,I1005&gt;=H1005),"완납","미확인"))</x:f>
        <x:v>완납</x:v>
      </x:c>
      <x:c r="O1005" s="31" t="n">
        <x:v>49</x:v>
      </x:c>
    </x:row>
    <x:row r="1006" ht="17.25" customHeight="1">
      <x:c r="A1006" s="24" t="str">
        <x:v>SW-B-293서9081-202602</x:v>
      </x:c>
      <x:c r="B1006" s="24" t="str">
        <x:v>스위치플랜</x:v>
      </x:c>
      <x:c r="C1006" s="24" t="str">
        <x:v>SW-C-293서9081-1-20240206-49</x:v>
      </x:c>
      <x:c r="D1006" s="24" t="str">
        <x:v>293서9081</x:v>
      </x:c>
      <x:c r="E1006" s="24" t="str">
        <x:v>진보민</x:v>
      </x:c>
      <x:c r="F1006" s="24" t="str">
        <x:v>2026-02</x:v>
      </x:c>
      <x:c r="G1006" s="30" t="n">
        <x:v>46058</x:v>
      </x:c>
      <x:c r="H1006" s="32" t="n">
        <x:v>1320000</x:v>
      </x:c>
      <x:c r="I1006" s="32" t="n">
        <x:v>1320000</x:v>
      </x:c>
      <x:c r="J1006" s="32" t="n">
        <x:v>0</x:v>
      </x:c>
      <x:c r="K1006" s="30" t="n">
        <x:v>46062</x:v>
      </x:c>
      <x:c r="L1006" s="24" t="str">
        <x:v>입금</x:v>
      </x:c>
      <x:c r="M1006" s="31" t="n">
        <x:f>IF(AND(N1006="미수",G1006&lt;&gt;"",TODAY()&gt;G1006),TODAY()-G1006,0)</x:f>
        <x:v>0</x:v>
      </x:c>
      <x:c r="N1006" s="24" t="str">
        <x:f>IF(J1006&gt;0,"미수",IF(AND(H1006&gt;0,I1006&gt;=H1006),"완납","미확인"))</x:f>
        <x:v>완납</x:v>
      </x:c>
      <x:c r="O1006" s="31" t="n">
        <x:v>49</x:v>
      </x:c>
    </x:row>
    <x:row r="1007" ht="17.25" customHeight="1">
      <x:c r="A1007" s="24" t="str">
        <x:v>SW-B-293서9081-202601</x:v>
      </x:c>
      <x:c r="B1007" s="24" t="str">
        <x:v>스위치플랜</x:v>
      </x:c>
      <x:c r="C1007" s="24" t="str">
        <x:v>SW-C-293서9081-1-20240206-49</x:v>
      </x:c>
      <x:c r="D1007" s="24" t="str">
        <x:v>293서9081</x:v>
      </x:c>
      <x:c r="E1007" s="24" t="str">
        <x:v>진보민</x:v>
      </x:c>
      <x:c r="F1007" s="24" t="str">
        <x:v>2026-01</x:v>
      </x:c>
      <x:c r="G1007" s="30" t="n">
        <x:v>46027</x:v>
      </x:c>
      <x:c r="H1007" s="32" t="n">
        <x:v>1320000</x:v>
      </x:c>
      <x:c r="I1007" s="32" t="n">
        <x:v>1320000</x:v>
      </x:c>
      <x:c r="J1007" s="32" t="n">
        <x:v>0</x:v>
      </x:c>
      <x:c r="K1007" s="30" t="n">
        <x:v>46027</x:v>
      </x:c>
      <x:c r="L1007" s="24" t="str">
        <x:v>입금</x:v>
      </x:c>
      <x:c r="M1007" s="31" t="n">
        <x:f>IF(AND(N1007="미수",G1007&lt;&gt;"",TODAY()&gt;G1007),TODAY()-G1007,0)</x:f>
        <x:v>0</x:v>
      </x:c>
      <x:c r="N1007" s="24" t="str">
        <x:f>IF(J1007&gt;0,"미수",IF(AND(H1007&gt;0,I1007&gt;=H1007),"완납","미확인"))</x:f>
        <x:v>완납</x:v>
      </x:c>
      <x:c r="O1007" s="31" t="n">
        <x:v>49</x:v>
      </x:c>
    </x:row>
    <x:row r="1008" ht="17.25" customHeight="1">
      <x:c r="A1008" s="24" t="str">
        <x:v>SW-B-293서9081-202512</x:v>
      </x:c>
      <x:c r="B1008" s="24" t="str">
        <x:v>스위치플랜</x:v>
      </x:c>
      <x:c r="C1008" s="24" t="str">
        <x:v>SW-C-293서9081-1-20240206-49</x:v>
      </x:c>
      <x:c r="D1008" s="24" t="str">
        <x:v>293서9081</x:v>
      </x:c>
      <x:c r="E1008" s="24" t="str">
        <x:v>진보민</x:v>
      </x:c>
      <x:c r="F1008" s="24" t="str">
        <x:v>2025-12</x:v>
      </x:c>
      <x:c r="G1008" s="30" t="n">
        <x:v>45996</x:v>
      </x:c>
      <x:c r="H1008" s="32" t="n">
        <x:v>1320000</x:v>
      </x:c>
      <x:c r="I1008" s="32" t="n">
        <x:v>1320000</x:v>
      </x:c>
      <x:c r="J1008" s="32" t="n">
        <x:v>0</x:v>
      </x:c>
      <x:c r="K1008" s="30" t="n">
        <x:v>46015</x:v>
      </x:c>
      <x:c r="L1008" s="24" t="str">
        <x:v>입금</x:v>
      </x:c>
      <x:c r="M1008" s="31" t="n">
        <x:f>IF(AND(N1008="미수",G1008&lt;&gt;"",TODAY()&gt;G1008),TODAY()-G1008,0)</x:f>
        <x:v>0</x:v>
      </x:c>
      <x:c r="N1008" s="24" t="str">
        <x:f>IF(J1008&gt;0,"미수",IF(AND(H1008&gt;0,I1008&gt;=H1008),"완납","미확인"))</x:f>
        <x:v>완납</x:v>
      </x:c>
      <x:c r="O1008" s="31" t="n">
        <x:v>49</x:v>
      </x:c>
    </x:row>
    <x:row r="1009" ht="17.25" customHeight="1">
      <x:c r="A1009" s="24" t="str">
        <x:v>SW-B-293서9081-202511</x:v>
      </x:c>
      <x:c r="B1009" s="24" t="str">
        <x:v>스위치플랜</x:v>
      </x:c>
      <x:c r="C1009" s="24" t="str">
        <x:v>SW-C-293서9081-1-20240206-49</x:v>
      </x:c>
      <x:c r="D1009" s="24" t="str">
        <x:v>293서9081</x:v>
      </x:c>
      <x:c r="E1009" s="24" t="str">
        <x:v>진보민</x:v>
      </x:c>
      <x:c r="F1009" s="24" t="str">
        <x:v>2025-11</x:v>
      </x:c>
      <x:c r="G1009" s="30" t="n">
        <x:v>45966</x:v>
      </x:c>
      <x:c r="H1009" s="32" t="n">
        <x:v>1320000</x:v>
      </x:c>
      <x:c r="I1009" s="32" t="n">
        <x:v>1320000</x:v>
      </x:c>
      <x:c r="J1009" s="32" t="n">
        <x:v>0</x:v>
      </x:c>
      <x:c r="K1009" s="30" t="n">
        <x:v>45967</x:v>
      </x:c>
      <x:c r="L1009" s="24" t="str">
        <x:v>입금</x:v>
      </x:c>
      <x:c r="M1009" s="31" t="n">
        <x:f>IF(AND(N1009="미수",G1009&lt;&gt;"",TODAY()&gt;G1009),TODAY()-G1009,0)</x:f>
        <x:v>0</x:v>
      </x:c>
      <x:c r="N1009" s="24" t="str">
        <x:f>IF(J1009&gt;0,"미수",IF(AND(H1009&gt;0,I1009&gt;=H1009),"완납","미확인"))</x:f>
        <x:v>완납</x:v>
      </x:c>
      <x:c r="O1009" s="31" t="n">
        <x:v>49</x:v>
      </x:c>
    </x:row>
    <x:row r="1010" ht="17.25" customHeight="1">
      <x:c r="A1010" s="24" t="str">
        <x:v>SW-B-293서9081-202510</x:v>
      </x:c>
      <x:c r="B1010" s="24" t="str">
        <x:v>스위치플랜</x:v>
      </x:c>
      <x:c r="C1010" s="24" t="str">
        <x:v>SW-C-293서9081-1-20240206-49</x:v>
      </x:c>
      <x:c r="D1010" s="24" t="str">
        <x:v>293서9081</x:v>
      </x:c>
      <x:c r="E1010" s="24" t="str">
        <x:v>진보민</x:v>
      </x:c>
      <x:c r="F1010" s="24" t="str">
        <x:v>2025-10</x:v>
      </x:c>
      <x:c r="G1010" s="30" t="n">
        <x:v>45935</x:v>
      </x:c>
      <x:c r="H1010" s="32" t="n">
        <x:v>1320000</x:v>
      </x:c>
      <x:c r="I1010" s="32" t="n">
        <x:v>1320000</x:v>
      </x:c>
      <x:c r="J1010" s="32" t="n">
        <x:v>0</x:v>
      </x:c>
      <x:c r="K1010" s="30" t="n">
        <x:v>45932</x:v>
      </x:c>
      <x:c r="L1010" s="24" t="str">
        <x:v>입금</x:v>
      </x:c>
      <x:c r="M1010" s="31" t="n">
        <x:f>IF(AND(N1010="미수",G1010&lt;&gt;"",TODAY()&gt;G1010),TODAY()-G1010,0)</x:f>
        <x:v>0</x:v>
      </x:c>
      <x:c r="N1010" s="24" t="str">
        <x:f>IF(J1010&gt;0,"미수",IF(AND(H1010&gt;0,I1010&gt;=H1010),"완납","미확인"))</x:f>
        <x:v>완납</x:v>
      </x:c>
      <x:c r="O1010" s="31" t="n">
        <x:v>49</x:v>
      </x:c>
    </x:row>
    <x:row r="1011" ht="17.25" customHeight="1">
      <x:c r="A1011" s="24" t="str">
        <x:v>SW-B-293서9081-202509</x:v>
      </x:c>
      <x:c r="B1011" s="24" t="str">
        <x:v>스위치플랜</x:v>
      </x:c>
      <x:c r="C1011" s="24" t="str">
        <x:v>SW-C-293서9081-1-20240206-49</x:v>
      </x:c>
      <x:c r="D1011" s="24" t="str">
        <x:v>293서9081</x:v>
      </x:c>
      <x:c r="E1011" s="24" t="str">
        <x:v>진보민</x:v>
      </x:c>
      <x:c r="F1011" s="24" t="str">
        <x:v>2025-09</x:v>
      </x:c>
      <x:c r="G1011" s="30" t="n">
        <x:v>45905</x:v>
      </x:c>
      <x:c r="H1011" s="32" t="n">
        <x:v>1320000</x:v>
      </x:c>
      <x:c r="I1011" s="32" t="n">
        <x:v>1320000</x:v>
      </x:c>
      <x:c r="J1011" s="32" t="n">
        <x:v>0</x:v>
      </x:c>
      <x:c r="K1011" s="30" t="n">
        <x:v>45905</x:v>
      </x:c>
      <x:c r="L1011" s="24" t="str">
        <x:v>입금</x:v>
      </x:c>
      <x:c r="M1011" s="31" t="n">
        <x:f>IF(AND(N1011="미수",G1011&lt;&gt;"",TODAY()&gt;G1011),TODAY()-G1011,0)</x:f>
        <x:v>0</x:v>
      </x:c>
      <x:c r="N1011" s="24" t="str">
        <x:f>IF(J1011&gt;0,"미수",IF(AND(H1011&gt;0,I1011&gt;=H1011),"완납","미확인"))</x:f>
        <x:v>완납</x:v>
      </x:c>
      <x:c r="O1011" s="31" t="n">
        <x:v>49</x:v>
      </x:c>
    </x:row>
    <x:row r="1012" ht="17.25" customHeight="1">
      <x:c r="A1012" s="24" t="str">
        <x:v>SW-B-293서9081-202508</x:v>
      </x:c>
      <x:c r="B1012" s="24" t="str">
        <x:v>스위치플랜</x:v>
      </x:c>
      <x:c r="C1012" s="24" t="str">
        <x:v>SW-C-293서9081-1-20240206-49</x:v>
      </x:c>
      <x:c r="D1012" s="24" t="str">
        <x:v>293서9081</x:v>
      </x:c>
      <x:c r="E1012" s="24" t="str">
        <x:v>진보민</x:v>
      </x:c>
      <x:c r="F1012" s="24" t="str">
        <x:v>2025-08</x:v>
      </x:c>
      <x:c r="G1012" s="30" t="n">
        <x:v>45874</x:v>
      </x:c>
      <x:c r="H1012" s="32" t="n">
        <x:v>1320000</x:v>
      </x:c>
      <x:c r="I1012" s="32" t="n">
        <x:v>1320000</x:v>
      </x:c>
      <x:c r="J1012" s="32" t="n">
        <x:v>0</x:v>
      </x:c>
      <x:c r="K1012" s="30" t="n">
        <x:v>45874</x:v>
      </x:c>
      <x:c r="L1012" s="24" t="str">
        <x:v>입금</x:v>
      </x:c>
      <x:c r="M1012" s="31" t="n">
        <x:f>IF(AND(N1012="미수",G1012&lt;&gt;"",TODAY()&gt;G1012),TODAY()-G1012,0)</x:f>
        <x:v>0</x:v>
      </x:c>
      <x:c r="N1012" s="24" t="str">
        <x:f>IF(J1012&gt;0,"미수",IF(AND(H1012&gt;0,I1012&gt;=H1012),"완납","미확인"))</x:f>
        <x:v>완납</x:v>
      </x:c>
      <x:c r="O1012" s="31" t="n">
        <x:v>49</x:v>
      </x:c>
    </x:row>
    <x:row r="1013" ht="17.25" customHeight="1">
      <x:c r="A1013" s="24" t="str">
        <x:v>SW-B-293서9081-202507</x:v>
      </x:c>
      <x:c r="B1013" s="24" t="str">
        <x:v>스위치플랜</x:v>
      </x:c>
      <x:c r="C1013" s="24" t="str">
        <x:v>SW-C-293서9081-1-20240206-49</x:v>
      </x:c>
      <x:c r="D1013" s="24" t="str">
        <x:v>293서9081</x:v>
      </x:c>
      <x:c r="E1013" s="24" t="str">
        <x:v>진보민</x:v>
      </x:c>
      <x:c r="F1013" s="24" t="str">
        <x:v>2025-07</x:v>
      </x:c>
      <x:c r="G1013" s="30" t="n">
        <x:v>45843</x:v>
      </x:c>
      <x:c r="H1013" s="32" t="n">
        <x:v>1320000</x:v>
      </x:c>
      <x:c r="I1013" s="32" t="n">
        <x:v>1520000</x:v>
      </x:c>
      <x:c r="J1013" s="32" t="n">
        <x:v>0</x:v>
      </x:c>
      <x:c r="K1013" s="30" t="n">
        <x:v>45842</x:v>
      </x:c>
      <x:c r="L1013" s="24" t="str">
        <x:v>입금</x:v>
      </x:c>
      <x:c r="M1013" s="31" t="n">
        <x:f>IF(AND(N1013="미수",G1013&lt;&gt;"",TODAY()&gt;G1013),TODAY()-G1013,0)</x:f>
        <x:v>0</x:v>
      </x:c>
      <x:c r="N1013" s="24" t="str">
        <x:f>IF(J1013&gt;0,"미수",IF(AND(H1013&gt;0,I1013&gt;=H1013),"완납","미확인"))</x:f>
        <x:v>완납</x:v>
      </x:c>
      <x:c r="O1013" s="31" t="n">
        <x:v>49</x:v>
      </x:c>
    </x:row>
    <x:row r="1014" ht="17.25" customHeight="1">
      <x:c r="A1014" s="24" t="str">
        <x:v>SW-B-293서9081-202506</x:v>
      </x:c>
      <x:c r="B1014" s="24" t="str">
        <x:v>스위치플랜</x:v>
      </x:c>
      <x:c r="C1014" s="24" t="str">
        <x:v>SW-C-293서9081-1-20240206-49</x:v>
      </x:c>
      <x:c r="D1014" s="24" t="str">
        <x:v>293서9081</x:v>
      </x:c>
      <x:c r="E1014" s="24" t="str">
        <x:v>진보민</x:v>
      </x:c>
      <x:c r="F1014" s="24" t="str">
        <x:v>2025-06</x:v>
      </x:c>
      <x:c r="G1014" s="30" t="n">
        <x:v>45813</x:v>
      </x:c>
      <x:c r="H1014" s="32" t="n">
        <x:v>1320000</x:v>
      </x:c>
      <x:c r="I1014" s="32" t="n">
        <x:v>1440000</x:v>
      </x:c>
      <x:c r="J1014" s="32" t="n">
        <x:v>200000</x:v>
      </x:c>
      <x:c r="K1014" s="30" t="n">
        <x:v>45813</x:v>
      </x:c>
      <x:c r="L1014" s="24" t="str">
        <x:v>입금</x:v>
      </x:c>
      <x:c r="M1014" s="31" t="n">
        <x:f>IF(AND(N1014="미수",G1014&lt;&gt;"",TODAY()&gt;G1014),TODAY()-G1014,0)</x:f>
        <x:v>436</x:v>
      </x:c>
      <x:c r="N1014" s="24" t="str">
        <x:f>IF(J1014&gt;0,"미수",IF(AND(H1014&gt;0,I1014&gt;=H1014),"완납","미확인"))</x:f>
        <x:v>미수</x:v>
      </x:c>
      <x:c r="O1014" s="31" t="n">
        <x:v>49</x:v>
      </x:c>
    </x:row>
    <x:row r="1015" ht="17.25" customHeight="1">
      <x:c r="A1015" s="24" t="str">
        <x:v>SW-B-293서9081-202505</x:v>
      </x:c>
      <x:c r="B1015" s="24" t="str">
        <x:v>스위치플랜</x:v>
      </x:c>
      <x:c r="C1015" s="24" t="str">
        <x:v>SW-C-293서9081-1-20240206-49</x:v>
      </x:c>
      <x:c r="D1015" s="24" t="str">
        <x:v>293서9081</x:v>
      </x:c>
      <x:c r="E1015" s="24" t="str">
        <x:v>진보민</x:v>
      </x:c>
      <x:c r="F1015" s="24" t="str">
        <x:v>2025-05</x:v>
      </x:c>
      <x:c r="G1015" s="30" t="n">
        <x:v>45782</x:v>
      </x:c>
      <x:c r="H1015" s="32" t="n">
        <x:v>1320000</x:v>
      </x:c>
      <x:c r="I1015" s="32" t="n">
        <x:v>1000000</x:v>
      </x:c>
      <x:c r="J1015" s="32" t="n">
        <x:v>320000</x:v>
      </x:c>
      <x:c r="K1015" s="30" t="n">
        <x:v>45785</x:v>
      </x:c>
      <x:c r="L1015" s="24" t="str">
        <x:v>입금</x:v>
      </x:c>
      <x:c r="M1015" s="31" t="n">
        <x:f>IF(AND(N1015="미수",G1015&lt;&gt;"",TODAY()&gt;G1015),TODAY()-G1015,0)</x:f>
        <x:v>467</x:v>
      </x:c>
      <x:c r="N1015" s="24" t="str">
        <x:f>IF(J1015&gt;0,"미수",IF(AND(H1015&gt;0,I1015&gt;=H1015),"완납","미확인"))</x:f>
        <x:v>미수</x:v>
      </x:c>
      <x:c r="O1015" s="31" t="n">
        <x:v>49</x:v>
      </x:c>
    </x:row>
    <x:row r="1016" ht="17.25" customHeight="1">
      <x:c r="A1016" s="24" t="str">
        <x:v>SW-B-293서9081-202504</x:v>
      </x:c>
      <x:c r="B1016" s="24" t="str">
        <x:v>스위치플랜</x:v>
      </x:c>
      <x:c r="C1016" s="24" t="str">
        <x:v>SW-C-293서9081-1-20240206-49</x:v>
      </x:c>
      <x:c r="D1016" s="24" t="str">
        <x:v>293서9081</x:v>
      </x:c>
      <x:c r="E1016" s="24" t="str">
        <x:v>진보민</x:v>
      </x:c>
      <x:c r="F1016" s="24" t="str">
        <x:v>2025-04</x:v>
      </x:c>
      <x:c r="G1016" s="30" t="n">
        <x:v>45752</x:v>
      </x:c>
      <x:c r="H1016" s="32" t="n">
        <x:v>320000</x:v>
      </x:c>
      <x:c r="I1016" s="32" t="n">
        <x:v>1640000</x:v>
      </x:c>
      <x:c r="J1016" s="32" t="n">
        <x:v>0</x:v>
      </x:c>
      <x:c r="K1016" s="30" t="n">
        <x:v>45754</x:v>
      </x:c>
      <x:c r="L1016" s="24" t="str">
        <x:v>입금</x:v>
      </x:c>
      <x:c r="M1016" s="31" t="n">
        <x:f>IF(AND(N1016="미수",G1016&lt;&gt;"",TODAY()&gt;G1016),TODAY()-G1016,0)</x:f>
        <x:v>0</x:v>
      </x:c>
      <x:c r="N1016" s="24" t="str">
        <x:f>IF(J1016&gt;0,"미수",IF(AND(H1016&gt;0,I1016&gt;=H1016),"완납","미확인"))</x:f>
        <x:v>완납</x:v>
      </x:c>
      <x:c r="O1016" s="31" t="n">
        <x:v>49</x:v>
      </x:c>
    </x:row>
    <x:row r="1017" ht="17.25" customHeight="1">
      <x:c r="A1017" s="24" t="str">
        <x:v>SW-B-293서9081-202503</x:v>
      </x:c>
      <x:c r="B1017" s="24" t="str">
        <x:v>스위치플랜</x:v>
      </x:c>
      <x:c r="C1017" s="24" t="str">
        <x:v>SW-C-293서9081-1-20240206-49</x:v>
      </x:c>
      <x:c r="D1017" s="24" t="str">
        <x:v>293서9081</x:v>
      </x:c>
      <x:c r="E1017" s="24" t="str">
        <x:v>진보민</x:v>
      </x:c>
      <x:c r="F1017" s="24" t="str">
        <x:v>2025-03</x:v>
      </x:c>
      <x:c r="G1017" s="30" t="n">
        <x:v>45721</x:v>
      </x:c>
      <x:c r="H1017" s="32" t="n">
        <x:v>1320000</x:v>
      </x:c>
      <x:c r="I1017" s="32"/>
      <x:c r="J1017" s="32" t="n">
        <x:v>1320000</x:v>
      </x:c>
      <x:c r="K1017" s="30"/>
      <x:c r="L1017" s="24" t="str"/>
      <x:c r="M1017" s="31" t="n">
        <x:f>IF(AND(N1017="미수",G1017&lt;&gt;"",TODAY()&gt;G1017),TODAY()-G1017,0)</x:f>
        <x:v>528</x:v>
      </x:c>
      <x:c r="N1017" s="24" t="str">
        <x:f>IF(J1017&gt;0,"미수",IF(AND(H1017&gt;0,I1017&gt;=H1017),"완납","미확인"))</x:f>
        <x:v>미수</x:v>
      </x:c>
      <x:c r="O1017" s="31" t="n">
        <x:v>49</x:v>
      </x:c>
    </x:row>
    <x:row r="1018" ht="17.25" customHeight="1">
      <x:c r="A1018" s="24" t="str">
        <x:v>SW-B-293서9081-202502</x:v>
      </x:c>
      <x:c r="B1018" s="24" t="str">
        <x:v>스위치플랜</x:v>
      </x:c>
      <x:c r="C1018" s="24" t="str">
        <x:v>SW-C-293서9081-1-20240206-49</x:v>
      </x:c>
      <x:c r="D1018" s="24" t="str">
        <x:v>293서9081</x:v>
      </x:c>
      <x:c r="E1018" s="24" t="str">
        <x:v>진보민</x:v>
      </x:c>
      <x:c r="F1018" s="24" t="str">
        <x:v>2025-02</x:v>
      </x:c>
      <x:c r="G1018" s="30" t="n">
        <x:v>45693</x:v>
      </x:c>
      <x:c r="H1018" s="32" t="n">
        <x:v>1320000</x:v>
      </x:c>
      <x:c r="I1018" s="32" t="n">
        <x:v>1320000</x:v>
      </x:c>
      <x:c r="J1018" s="32" t="n">
        <x:v>0</x:v>
      </x:c>
      <x:c r="K1018" s="30" t="n">
        <x:v>45693</x:v>
      </x:c>
      <x:c r="L1018" s="24" t="str">
        <x:v>입금</x:v>
      </x:c>
      <x:c r="M1018" s="31" t="n">
        <x:f>IF(AND(N1018="미수",G1018&lt;&gt;"",TODAY()&gt;G1018),TODAY()-G1018,0)</x:f>
        <x:v>0</x:v>
      </x:c>
      <x:c r="N1018" s="24" t="str">
        <x:f>IF(J1018&gt;0,"미수",IF(AND(H1018&gt;0,I1018&gt;=H1018),"완납","미확인"))</x:f>
        <x:v>완납</x:v>
      </x:c>
      <x:c r="O1018" s="31" t="n">
        <x:v>49</x:v>
      </x:c>
    </x:row>
    <x:row r="1019" ht="17.25" customHeight="1">
      <x:c r="A1019" s="24" t="str">
        <x:v>SW-B-293서9081-202501</x:v>
      </x:c>
      <x:c r="B1019" s="24" t="str">
        <x:v>스위치플랜</x:v>
      </x:c>
      <x:c r="C1019" s="24" t="str">
        <x:v>SW-C-293서9081-1-20240206-49</x:v>
      </x:c>
      <x:c r="D1019" s="24" t="str">
        <x:v>293서9081</x:v>
      </x:c>
      <x:c r="E1019" s="24" t="str">
        <x:v>진보민</x:v>
      </x:c>
      <x:c r="F1019" s="24" t="str">
        <x:v>2025-01</x:v>
      </x:c>
      <x:c r="G1019" s="30" t="n">
        <x:v>45662</x:v>
      </x:c>
      <x:c r="H1019" s="32" t="n">
        <x:v>720000</x:v>
      </x:c>
      <x:c r="I1019" s="32" t="n">
        <x:v>720000</x:v>
      </x:c>
      <x:c r="J1019" s="32" t="n">
        <x:v>0</x:v>
      </x:c>
      <x:c r="K1019" s="30" t="n">
        <x:v>45663</x:v>
      </x:c>
      <x:c r="L1019" s="24" t="str">
        <x:v>입금</x:v>
      </x:c>
      <x:c r="M1019" s="31" t="n">
        <x:f>IF(AND(N1019="미수",G1019&lt;&gt;"",TODAY()&gt;G1019),TODAY()-G1019,0)</x:f>
        <x:v>0</x:v>
      </x:c>
      <x:c r="N1019" s="24" t="str">
        <x:f>IF(J1019&gt;0,"미수",IF(AND(H1019&gt;0,I1019&gt;=H1019),"완납","미확인"))</x:f>
        <x:v>완납</x:v>
      </x:c>
      <x:c r="O1019" s="31" t="n">
        <x:v>49</x:v>
      </x:c>
    </x:row>
    <x:row r="1020" ht="17.25" customHeight="1">
      <x:c r="A1020" s="24" t="str">
        <x:v>SW-B-293서9081-202412</x:v>
      </x:c>
      <x:c r="B1020" s="24" t="str">
        <x:v>스위치플랜</x:v>
      </x:c>
      <x:c r="C1020" s="24" t="str">
        <x:v>SW-C-293서9081-1-20240206-49</x:v>
      </x:c>
      <x:c r="D1020" s="24" t="str">
        <x:v>293서9081</x:v>
      </x:c>
      <x:c r="E1020" s="24" t="str">
        <x:v>진보민</x:v>
      </x:c>
      <x:c r="F1020" s="24" t="str">
        <x:v>2024-12</x:v>
      </x:c>
      <x:c r="G1020" s="30" t="n">
        <x:v>45631</x:v>
      </x:c>
      <x:c r="H1020" s="32" t="n">
        <x:v>720000</x:v>
      </x:c>
      <x:c r="I1020" s="32" t="n">
        <x:v>720000</x:v>
      </x:c>
      <x:c r="J1020" s="32" t="n">
        <x:v>0</x:v>
      </x:c>
      <x:c r="K1020" s="30" t="n">
        <x:v>45644</x:v>
      </x:c>
      <x:c r="L1020" s="24" t="str">
        <x:v>입금</x:v>
      </x:c>
      <x:c r="M1020" s="31" t="n">
        <x:f>IF(AND(N1020="미수",G1020&lt;&gt;"",TODAY()&gt;G1020),TODAY()-G1020,0)</x:f>
        <x:v>0</x:v>
      </x:c>
      <x:c r="N1020" s="24" t="str">
        <x:f>IF(J1020&gt;0,"미수",IF(AND(H1020&gt;0,I1020&gt;=H1020),"완납","미확인"))</x:f>
        <x:v>완납</x:v>
      </x:c>
      <x:c r="O1020" s="31" t="n">
        <x:v>49</x:v>
      </x:c>
    </x:row>
    <x:row r="1021" ht="17.25" customHeight="1">
      <x:c r="A1021" s="24" t="str">
        <x:v>SW-B-293서9081-202411</x:v>
      </x:c>
      <x:c r="B1021" s="24" t="str">
        <x:v>스위치플랜</x:v>
      </x:c>
      <x:c r="C1021" s="24" t="str">
        <x:v>SW-C-293서9081-1-20240206-49</x:v>
      </x:c>
      <x:c r="D1021" s="24" t="str">
        <x:v>293서9081</x:v>
      </x:c>
      <x:c r="E1021" s="24" t="str">
        <x:v>진보민</x:v>
      </x:c>
      <x:c r="F1021" s="24" t="str">
        <x:v>2024-11</x:v>
      </x:c>
      <x:c r="G1021" s="30" t="n">
        <x:v>45601</x:v>
      </x:c>
      <x:c r="H1021" s="32" t="n">
        <x:v>1320000</x:v>
      </x:c>
      <x:c r="I1021" s="32" t="n">
        <x:v>1320000</x:v>
      </x:c>
      <x:c r="J1021" s="32" t="n">
        <x:v>0</x:v>
      </x:c>
      <x:c r="K1021" s="30" t="n">
        <x:v>45601</x:v>
      </x:c>
      <x:c r="L1021" s="24" t="str">
        <x:v>입금</x:v>
      </x:c>
      <x:c r="M1021" s="31" t="n">
        <x:f>IF(AND(N1021="미수",G1021&lt;&gt;"",TODAY()&gt;G1021),TODAY()-G1021,0)</x:f>
        <x:v>0</x:v>
      </x:c>
      <x:c r="N1021" s="24" t="str">
        <x:f>IF(J1021&gt;0,"미수",IF(AND(H1021&gt;0,I1021&gt;=H1021),"완납","미확인"))</x:f>
        <x:v>완납</x:v>
      </x:c>
      <x:c r="O1021" s="31" t="n">
        <x:v>49</x:v>
      </x:c>
    </x:row>
    <x:row r="1022" ht="17.25" customHeight="1">
      <x:c r="A1022" s="24" t="str">
        <x:v>SW-B-293서9081-202410</x:v>
      </x:c>
      <x:c r="B1022" s="24" t="str">
        <x:v>스위치플랜</x:v>
      </x:c>
      <x:c r="C1022" s="24" t="str">
        <x:v>SW-C-293서9081-1-20240206-49</x:v>
      </x:c>
      <x:c r="D1022" s="24" t="str">
        <x:v>293서9081</x:v>
      </x:c>
      <x:c r="E1022" s="24" t="str">
        <x:v>진보민</x:v>
      </x:c>
      <x:c r="F1022" s="24" t="str">
        <x:v>2024-10</x:v>
      </x:c>
      <x:c r="G1022" s="30" t="n">
        <x:v>45570</x:v>
      </x:c>
      <x:c r="H1022" s="32" t="n">
        <x:v>1320000</x:v>
      </x:c>
      <x:c r="I1022" s="32" t="n">
        <x:v>1320000</x:v>
      </x:c>
      <x:c r="J1022" s="32" t="n">
        <x:v>0</x:v>
      </x:c>
      <x:c r="K1022" s="30" t="n">
        <x:v>45569</x:v>
      </x:c>
      <x:c r="L1022" s="24" t="str">
        <x:v>입금</x:v>
      </x:c>
      <x:c r="M1022" s="31" t="n">
        <x:f>IF(AND(N1022="미수",G1022&lt;&gt;"",TODAY()&gt;G1022),TODAY()-G1022,0)</x:f>
        <x:v>0</x:v>
      </x:c>
      <x:c r="N1022" s="24" t="str">
        <x:f>IF(J1022&gt;0,"미수",IF(AND(H1022&gt;0,I1022&gt;=H1022),"완납","미확인"))</x:f>
        <x:v>완납</x:v>
      </x:c>
      <x:c r="O1022" s="31" t="n">
        <x:v>49</x:v>
      </x:c>
    </x:row>
    <x:row r="1023" ht="17.25" customHeight="1">
      <x:c r="A1023" s="24" t="str">
        <x:v>SW-B-293서9081-202409</x:v>
      </x:c>
      <x:c r="B1023" s="24" t="str">
        <x:v>스위치플랜</x:v>
      </x:c>
      <x:c r="C1023" s="24" t="str">
        <x:v>SW-C-293서9081-1-20240206-49</x:v>
      </x:c>
      <x:c r="D1023" s="24" t="str">
        <x:v>293서9081</x:v>
      </x:c>
      <x:c r="E1023" s="24" t="str">
        <x:v>진보민</x:v>
      </x:c>
      <x:c r="F1023" s="24" t="str">
        <x:v>2024-09</x:v>
      </x:c>
      <x:c r="G1023" s="30" t="n">
        <x:v>45540</x:v>
      </x:c>
      <x:c r="H1023" s="32" t="n">
        <x:v>1320000</x:v>
      </x:c>
      <x:c r="I1023" s="32" t="n">
        <x:v>1320000</x:v>
      </x:c>
      <x:c r="J1023" s="32" t="n">
        <x:v>0</x:v>
      </x:c>
      <x:c r="K1023" s="30" t="n">
        <x:v>45540</x:v>
      </x:c>
      <x:c r="L1023" s="24" t="str">
        <x:v>입금</x:v>
      </x:c>
      <x:c r="M1023" s="31" t="n">
        <x:f>IF(AND(N1023="미수",G1023&lt;&gt;"",TODAY()&gt;G1023),TODAY()-G1023,0)</x:f>
        <x:v>0</x:v>
      </x:c>
      <x:c r="N1023" s="24" t="str">
        <x:f>IF(J1023&gt;0,"미수",IF(AND(H1023&gt;0,I1023&gt;=H1023),"완납","미확인"))</x:f>
        <x:v>완납</x:v>
      </x:c>
      <x:c r="O1023" s="31" t="n">
        <x:v>49</x:v>
      </x:c>
    </x:row>
    <x:row r="1024" ht="17.25" customHeight="1">
      <x:c r="A1024" s="24" t="str">
        <x:v>SW-B-293서9081-202408</x:v>
      </x:c>
      <x:c r="B1024" s="24" t="str">
        <x:v>스위치플랜</x:v>
      </x:c>
      <x:c r="C1024" s="24" t="str">
        <x:v>SW-C-293서9081-1-20240206-49</x:v>
      </x:c>
      <x:c r="D1024" s="24" t="str">
        <x:v>293서9081</x:v>
      </x:c>
      <x:c r="E1024" s="24" t="str">
        <x:v>진보민</x:v>
      </x:c>
      <x:c r="F1024" s="24" t="str">
        <x:v>2024-08</x:v>
      </x:c>
      <x:c r="G1024" s="30" t="n">
        <x:v>45509</x:v>
      </x:c>
      <x:c r="H1024" s="32" t="n">
        <x:v>1070000</x:v>
      </x:c>
      <x:c r="I1024" s="32" t="n">
        <x:v>1070000</x:v>
      </x:c>
      <x:c r="J1024" s="32" t="n">
        <x:v>0</x:v>
      </x:c>
      <x:c r="K1024" s="30" t="n">
        <x:v>45509</x:v>
      </x:c>
      <x:c r="L1024" s="24" t="str">
        <x:v>입금</x:v>
      </x:c>
      <x:c r="M1024" s="31" t="n">
        <x:f>IF(AND(N1024="미수",G1024&lt;&gt;"",TODAY()&gt;G1024),TODAY()-G1024,0)</x:f>
        <x:v>0</x:v>
      </x:c>
      <x:c r="N1024" s="24" t="str">
        <x:f>IF(J1024&gt;0,"미수",IF(AND(H1024&gt;0,I1024&gt;=H1024),"완납","미확인"))</x:f>
        <x:v>완납</x:v>
      </x:c>
      <x:c r="O1024" s="31" t="n">
        <x:v>49</x:v>
      </x:c>
    </x:row>
    <x:row r="1025" ht="17.25" customHeight="1">
      <x:c r="A1025" s="24" t="str">
        <x:v>SW-B-293서9081-202407</x:v>
      </x:c>
      <x:c r="B1025" s="24" t="str">
        <x:v>스위치플랜</x:v>
      </x:c>
      <x:c r="C1025" s="24" t="str">
        <x:v>SW-C-293서9081-1-20240206-49</x:v>
      </x:c>
      <x:c r="D1025" s="24" t="str">
        <x:v>293서9081</x:v>
      </x:c>
      <x:c r="E1025" s="24" t="str">
        <x:v>진보민</x:v>
      </x:c>
      <x:c r="F1025" s="24" t="str">
        <x:v>2024-07</x:v>
      </x:c>
      <x:c r="G1025" s="30" t="n">
        <x:v>45478</x:v>
      </x:c>
      <x:c r="H1025" s="32" t="n">
        <x:v>1320000</x:v>
      </x:c>
      <x:c r="I1025" s="32" t="n">
        <x:v>1320000</x:v>
      </x:c>
      <x:c r="J1025" s="32" t="n">
        <x:v>0</x:v>
      </x:c>
      <x:c r="K1025" s="30" t="n">
        <x:v>45478</x:v>
      </x:c>
      <x:c r="L1025" s="24" t="str">
        <x:v>입금</x:v>
      </x:c>
      <x:c r="M1025" s="31" t="n">
        <x:f>IF(AND(N1025="미수",G1025&lt;&gt;"",TODAY()&gt;G1025),TODAY()-G1025,0)</x:f>
        <x:v>0</x:v>
      </x:c>
      <x:c r="N1025" s="24" t="str">
        <x:f>IF(J1025&gt;0,"미수",IF(AND(H1025&gt;0,I1025&gt;=H1025),"완납","미확인"))</x:f>
        <x:v>완납</x:v>
      </x:c>
      <x:c r="O1025" s="31" t="n">
        <x:v>49</x:v>
      </x:c>
    </x:row>
    <x:row r="1026" ht="17.25" customHeight="1">
      <x:c r="A1026" s="24" t="str">
        <x:v>SW-B-293서9081-202406</x:v>
      </x:c>
      <x:c r="B1026" s="24" t="str">
        <x:v>스위치플랜</x:v>
      </x:c>
      <x:c r="C1026" s="24" t="str">
        <x:v>SW-C-293서9081-1-20240206-49</x:v>
      </x:c>
      <x:c r="D1026" s="24" t="str">
        <x:v>293서9081</x:v>
      </x:c>
      <x:c r="E1026" s="24" t="str">
        <x:v>진보민</x:v>
      </x:c>
      <x:c r="F1026" s="24" t="str">
        <x:v>2024-06</x:v>
      </x:c>
      <x:c r="G1026" s="30" t="n">
        <x:v>45448</x:v>
      </x:c>
      <x:c r="H1026" s="32" t="n">
        <x:v>970000</x:v>
      </x:c>
      <x:c r="I1026" s="32" t="n">
        <x:v>970000</x:v>
      </x:c>
      <x:c r="J1026" s="32" t="n">
        <x:v>0</x:v>
      </x:c>
      <x:c r="K1026" s="30" t="n">
        <x:v>45449</x:v>
      </x:c>
      <x:c r="L1026" s="24" t="str">
        <x:v>입금</x:v>
      </x:c>
      <x:c r="M1026" s="31" t="n">
        <x:f>IF(AND(N1026="미수",G1026&lt;&gt;"",TODAY()&gt;G1026),TODAY()-G1026,0)</x:f>
        <x:v>0</x:v>
      </x:c>
      <x:c r="N1026" s="24" t="str">
        <x:f>IF(J1026&gt;0,"미수",IF(AND(H1026&gt;0,I1026&gt;=H1026),"완납","미확인"))</x:f>
        <x:v>완납</x:v>
      </x:c>
      <x:c r="O1026" s="31" t="n">
        <x:v>49</x:v>
      </x:c>
    </x:row>
    <x:row r="1027" ht="17.25" customHeight="1">
      <x:c r="A1027" s="24" t="str">
        <x:v>SW-B-293서9081-202405</x:v>
      </x:c>
      <x:c r="B1027" s="24" t="str">
        <x:v>스위치플랜</x:v>
      </x:c>
      <x:c r="C1027" s="24" t="str">
        <x:v>SW-C-293서9081-1-20240206-49</x:v>
      </x:c>
      <x:c r="D1027" s="24" t="str">
        <x:v>293서9081</x:v>
      </x:c>
      <x:c r="E1027" s="24" t="str">
        <x:v>진보민</x:v>
      </x:c>
      <x:c r="F1027" s="24" t="str">
        <x:v>2024-05</x:v>
      </x:c>
      <x:c r="G1027" s="30" t="n">
        <x:v>45417</x:v>
      </x:c>
      <x:c r="H1027" s="32" t="n">
        <x:v>1320000</x:v>
      </x:c>
      <x:c r="I1027" s="32" t="n">
        <x:v>1320000</x:v>
      </x:c>
      <x:c r="J1027" s="32" t="n">
        <x:v>0</x:v>
      </x:c>
      <x:c r="K1027" s="30" t="n">
        <x:v>45420</x:v>
      </x:c>
      <x:c r="L1027" s="24" t="str">
        <x:v>입금</x:v>
      </x:c>
      <x:c r="M1027" s="31" t="n">
        <x:f>IF(AND(N1027="미수",G1027&lt;&gt;"",TODAY()&gt;G1027),TODAY()-G1027,0)</x:f>
        <x:v>0</x:v>
      </x:c>
      <x:c r="N1027" s="24" t="str">
        <x:f>IF(J1027&gt;0,"미수",IF(AND(H1027&gt;0,I1027&gt;=H1027),"완납","미확인"))</x:f>
        <x:v>완납</x:v>
      </x:c>
      <x:c r="O1027" s="31" t="n">
        <x:v>49</x:v>
      </x:c>
    </x:row>
    <x:row r="1028" ht="17.25" customHeight="1">
      <x:c r="A1028" s="24" t="str">
        <x:v>SW-B-293서9081-202404</x:v>
      </x:c>
      <x:c r="B1028" s="24" t="str">
        <x:v>스위치플랜</x:v>
      </x:c>
      <x:c r="C1028" s="24" t="str">
        <x:v>SW-C-293서9081-1-20240206-49</x:v>
      </x:c>
      <x:c r="D1028" s="24" t="str">
        <x:v>293서9081</x:v>
      </x:c>
      <x:c r="E1028" s="24" t="str">
        <x:v>진보민</x:v>
      </x:c>
      <x:c r="F1028" s="24" t="str">
        <x:v>2024-04</x:v>
      </x:c>
      <x:c r="G1028" s="30" t="n">
        <x:v>45387</x:v>
      </x:c>
      <x:c r="H1028" s="32" t="n">
        <x:v>924000</x:v>
      </x:c>
      <x:c r="I1028" s="32" t="n">
        <x:v>924000</x:v>
      </x:c>
      <x:c r="J1028" s="32" t="n">
        <x:v>0</x:v>
      </x:c>
      <x:c r="K1028" s="30" t="n">
        <x:v>45390</x:v>
      </x:c>
      <x:c r="L1028" s="24" t="str">
        <x:v>입금</x:v>
      </x:c>
      <x:c r="M1028" s="31" t="n">
        <x:f>IF(AND(N1028="미수",G1028&lt;&gt;"",TODAY()&gt;G1028),TODAY()-G1028,0)</x:f>
        <x:v>0</x:v>
      </x:c>
      <x:c r="N1028" s="24" t="str">
        <x:f>IF(J1028&gt;0,"미수",IF(AND(H1028&gt;0,I1028&gt;=H1028),"완납","미확인"))</x:f>
        <x:v>완납</x:v>
      </x:c>
      <x:c r="O1028" s="31" t="n">
        <x:v>49</x:v>
      </x:c>
    </x:row>
    <x:row r="1029" ht="17.25" customHeight="1">
      <x:c r="A1029" s="24" t="str">
        <x:v>SW-B-293서9081-202403</x:v>
      </x:c>
      <x:c r="B1029" s="24" t="str">
        <x:v>스위치플랜</x:v>
      </x:c>
      <x:c r="C1029" s="24" t="str">
        <x:v>SW-C-293서9081-1-20240206-49</x:v>
      </x:c>
      <x:c r="D1029" s="24" t="str">
        <x:v>293서9081</x:v>
      </x:c>
      <x:c r="E1029" s="24" t="str">
        <x:v>진보민</x:v>
      </x:c>
      <x:c r="F1029" s="24" t="str">
        <x:v>2024-03</x:v>
      </x:c>
      <x:c r="G1029" s="30" t="n">
        <x:v>45356</x:v>
      </x:c>
      <x:c r="H1029" s="32" t="n">
        <x:v>1000000</x:v>
      </x:c>
      <x:c r="I1029" s="32" t="n">
        <x:v>1000000</x:v>
      </x:c>
      <x:c r="J1029" s="32" t="n">
        <x:v>0</x:v>
      </x:c>
      <x:c r="K1029" s="30" t="n">
        <x:v>45356</x:v>
      </x:c>
      <x:c r="L1029" s="24" t="str">
        <x:v>자동</x:v>
      </x:c>
      <x:c r="M1029" s="31" t="n">
        <x:f>IF(AND(N1029="미수",G1029&lt;&gt;"",TODAY()&gt;G1029),TODAY()-G1029,0)</x:f>
        <x:v>0</x:v>
      </x:c>
      <x:c r="N1029" s="24" t="str">
        <x:f>IF(J1029&gt;0,"미수",IF(AND(H1029&gt;0,I1029&gt;=H1029),"완납","미확인"))</x:f>
        <x:v>완납</x:v>
      </x:c>
      <x:c r="O1029" s="31" t="n">
        <x:v>49</x:v>
      </x:c>
    </x:row>
    <x:row r="1030" ht="17.25" customHeight="1">
      <x:c r="A1030" s="24" t="str">
        <x:v>SW-B-293서9081-202402</x:v>
      </x:c>
      <x:c r="B1030" s="24" t="str">
        <x:v>스위치플랜</x:v>
      </x:c>
      <x:c r="C1030" s="24" t="str">
        <x:v>SW-C-293서9081-1-20240206-49</x:v>
      </x:c>
      <x:c r="D1030" s="24" t="str">
        <x:v>293서9081</x:v>
      </x:c>
      <x:c r="E1030" s="24" t="str">
        <x:v>진보민</x:v>
      </x:c>
      <x:c r="F1030" s="24" t="str">
        <x:v>2024-02</x:v>
      </x:c>
      <x:c r="G1030" s="30" t="n">
        <x:v>45327</x:v>
      </x:c>
      <x:c r="H1030" s="32" t="n">
        <x:v>1320000</x:v>
      </x:c>
      <x:c r="I1030" s="32" t="n">
        <x:v>1320000</x:v>
      </x:c>
      <x:c r="J1030" s="32" t="n">
        <x:v>0</x:v>
      </x:c>
      <x:c r="K1030" s="30" t="n">
        <x:v>45310</x:v>
      </x:c>
      <x:c r="L1030" s="24" t="str">
        <x:v>입금</x:v>
      </x:c>
      <x:c r="M1030" s="31" t="n">
        <x:f>IF(AND(N1030="미수",G1030&lt;&gt;"",TODAY()&gt;G1030),TODAY()-G1030,0)</x:f>
        <x:v>0</x:v>
      </x:c>
      <x:c r="N1030" s="24" t="str">
        <x:f>IF(J1030&gt;0,"미수",IF(AND(H1030&gt;0,I1030&gt;=H1030),"완납","미확인"))</x:f>
        <x:v>완납</x:v>
      </x:c>
      <x:c r="O1030" s="31" t="n">
        <x:v>49</x:v>
      </x:c>
    </x:row>
    <x:row r="1031" ht="17.25" customHeight="1">
      <x:c r="A1031" s="24" t="str">
        <x:v>SW-B-149조6163-202608</x:v>
      </x:c>
      <x:c r="B1031" s="24" t="str">
        <x:v>스위치플랜</x:v>
      </x:c>
      <x:c r="C1031" s="24" t="str">
        <x:v>SW-C-149조6163-1-20260323-50</x:v>
      </x:c>
      <x:c r="D1031" s="24" t="str">
        <x:v>149조6163</x:v>
      </x:c>
      <x:c r="E1031" s="24" t="str">
        <x:v>한상관</x:v>
      </x:c>
      <x:c r="F1031" s="24" t="str">
        <x:v>2026-08</x:v>
      </x:c>
      <x:c r="G1031" s="30" t="n">
        <x:v>46259</x:v>
      </x:c>
      <x:c r="H1031" s="32" t="n">
        <x:v>1000000</x:v>
      </x:c>
      <x:c r="I1031" s="32"/>
      <x:c r="J1031" s="32" t="n">
        <x:v>1200000</x:v>
      </x:c>
      <x:c r="K1031" s="30"/>
      <x:c r="L1031" s="24" t="str"/>
      <x:c r="M1031" s="31" t="n">
        <x:f>IF(AND(N1031="미수",G1031&lt;&gt;"",TODAY()&gt;G1031),TODAY()-G1031,0)</x:f>
        <x:v>0</x:v>
      </x:c>
      <x:c r="N1031" s="24" t="str">
        <x:f>IF(J1031&gt;0,"미수",IF(AND(H1031&gt;0,I1031&gt;=H1031),"완납","미확인"))</x:f>
        <x:v>미수</x:v>
      </x:c>
      <x:c r="O1031" s="31" t="n">
        <x:v>50</x:v>
      </x:c>
    </x:row>
    <x:row r="1032" ht="17.25" customHeight="1">
      <x:c r="A1032" s="24" t="str">
        <x:v>SW-B-149조6163-202607</x:v>
      </x:c>
      <x:c r="B1032" s="24" t="str">
        <x:v>스위치플랜</x:v>
      </x:c>
      <x:c r="C1032" s="24" t="str">
        <x:v>SW-C-149조6163-1-20260323-50</x:v>
      </x:c>
      <x:c r="D1032" s="24" t="str">
        <x:v>149조6163</x:v>
      </x:c>
      <x:c r="E1032" s="24" t="str">
        <x:v>한상관</x:v>
      </x:c>
      <x:c r="F1032" s="24" t="str">
        <x:v>2026-07</x:v>
      </x:c>
      <x:c r="G1032" s="30" t="n">
        <x:v>46228</x:v>
      </x:c>
      <x:c r="H1032" s="32" t="n">
        <x:v>1000000</x:v>
      </x:c>
      <x:c r="I1032" s="32" t="n">
        <x:v>900000</x:v>
      </x:c>
      <x:c r="J1032" s="32" t="n">
        <x:v>200000</x:v>
      </x:c>
      <x:c r="K1032" s="30" t="n">
        <x:v>46232</x:v>
      </x:c>
      <x:c r="L1032" s="24" t="str">
        <x:v>입금</x:v>
      </x:c>
      <x:c r="M1032" s="31" t="n">
        <x:f>IF(AND(N1032="미수",G1032&lt;&gt;"",TODAY()&gt;G1032),TODAY()-G1032,0)</x:f>
        <x:v>21</x:v>
      </x:c>
      <x:c r="N1032" s="24" t="str">
        <x:f>IF(J1032&gt;0,"미수",IF(AND(H1032&gt;0,I1032&gt;=H1032),"완납","미확인"))</x:f>
        <x:v>미수</x:v>
      </x:c>
      <x:c r="O1032" s="31" t="n">
        <x:v>50</x:v>
      </x:c>
    </x:row>
    <x:row r="1033" ht="17.25" customHeight="1">
      <x:c r="A1033" s="24" t="str">
        <x:v>SW-B-149조6163-202606</x:v>
      </x:c>
      <x:c r="B1033" s="24" t="str">
        <x:v>스위치플랜</x:v>
      </x:c>
      <x:c r="C1033" s="24" t="str">
        <x:v>SW-C-149조6163-1-20260323-50</x:v>
      </x:c>
      <x:c r="D1033" s="24" t="str">
        <x:v>149조6163</x:v>
      </x:c>
      <x:c r="E1033" s="24" t="str">
        <x:v>한상관</x:v>
      </x:c>
      <x:c r="F1033" s="24" t="str">
        <x:v>2026-06</x:v>
      </x:c>
      <x:c r="G1033" s="30" t="n">
        <x:v>46198</x:v>
      </x:c>
      <x:c r="H1033" s="32" t="n">
        <x:v>1000000</x:v>
      </x:c>
      <x:c r="I1033" s="32" t="n">
        <x:v>900000</x:v>
      </x:c>
      <x:c r="J1033" s="32" t="n">
        <x:v>100000</x:v>
      </x:c>
      <x:c r="K1033" s="30" t="n">
        <x:v>46202</x:v>
      </x:c>
      <x:c r="L1033" s="24" t="str">
        <x:v>입금</x:v>
      </x:c>
      <x:c r="M1033" s="31" t="n">
        <x:f>IF(AND(N1033="미수",G1033&lt;&gt;"",TODAY()&gt;G1033),TODAY()-G1033,0)</x:f>
        <x:v>51</x:v>
      </x:c>
      <x:c r="N1033" s="24" t="str">
        <x:f>IF(J1033&gt;0,"미수",IF(AND(H1033&gt;0,I1033&gt;=H1033),"완납","미확인"))</x:f>
        <x:v>미수</x:v>
      </x:c>
      <x:c r="O1033" s="31" t="n">
        <x:v>50</x:v>
      </x:c>
    </x:row>
    <x:row r="1034" ht="17.25" customHeight="1">
      <x:c r="A1034" s="24" t="str">
        <x:v>SW-B-149조6163-202605</x:v>
      </x:c>
      <x:c r="B1034" s="24" t="str">
        <x:v>스위치플랜</x:v>
      </x:c>
      <x:c r="C1034" s="24" t="str">
        <x:v>SW-C-149조6163-1-20260323-50</x:v>
      </x:c>
      <x:c r="D1034" s="24" t="str">
        <x:v>149조6163</x:v>
      </x:c>
      <x:c r="E1034" s="24" t="str">
        <x:v>한상관</x:v>
      </x:c>
      <x:c r="F1034" s="24" t="str">
        <x:v>2026-05</x:v>
      </x:c>
      <x:c r="G1034" s="30" t="n">
        <x:v>46167</x:v>
      </x:c>
      <x:c r="H1034" s="32" t="n">
        <x:v>1000000</x:v>
      </x:c>
      <x:c r="I1034" s="32" t="n">
        <x:v>1000000</x:v>
      </x:c>
      <x:c r="J1034" s="32" t="n">
        <x:v>0</x:v>
      </x:c>
      <x:c r="K1034" s="30" t="n">
        <x:v>46168</x:v>
      </x:c>
      <x:c r="L1034" s="24" t="str">
        <x:v>입금</x:v>
      </x:c>
      <x:c r="M1034" s="31" t="n">
        <x:f>IF(AND(N1034="미수",G1034&lt;&gt;"",TODAY()&gt;G1034),TODAY()-G1034,0)</x:f>
        <x:v>0</x:v>
      </x:c>
      <x:c r="N1034" s="24" t="str">
        <x:f>IF(J1034&gt;0,"미수",IF(AND(H1034&gt;0,I1034&gt;=H1034),"완납","미확인"))</x:f>
        <x:v>완납</x:v>
      </x:c>
      <x:c r="O1034" s="31" t="n">
        <x:v>50</x:v>
      </x:c>
    </x:row>
    <x:row r="1035" ht="17.25" customHeight="1">
      <x:c r="A1035" s="24" t="str">
        <x:v>SW-B-149조6163-202604</x:v>
      </x:c>
      <x:c r="B1035" s="24" t="str">
        <x:v>스위치플랜</x:v>
      </x:c>
      <x:c r="C1035" s="24" t="str">
        <x:v>SW-C-149조6163-1-20260323-50</x:v>
      </x:c>
      <x:c r="D1035" s="24" t="str">
        <x:v>149조6163</x:v>
      </x:c>
      <x:c r="E1035" s="24" t="str">
        <x:v>한상관</x:v>
      </x:c>
      <x:c r="F1035" s="24" t="str">
        <x:v>2026-04</x:v>
      </x:c>
      <x:c r="G1035" s="30" t="n">
        <x:v>46137</x:v>
      </x:c>
      <x:c r="H1035" s="32" t="n">
        <x:v>1000000</x:v>
      </x:c>
      <x:c r="I1035" s="32" t="n">
        <x:v>900000</x:v>
      </x:c>
      <x:c r="J1035" s="32" t="n">
        <x:v>0</x:v>
      </x:c>
      <x:c r="K1035" s="30" t="n">
        <x:v>46139</x:v>
      </x:c>
      <x:c r="L1035" s="24" t="str">
        <x:v>입금</x:v>
      </x:c>
      <x:c r="M1035" s="31" t="n">
        <x:f>IF(AND(N1035="미수",G1035&lt;&gt;"",TODAY()&gt;G1035),TODAY()-G1035,0)</x:f>
        <x:v>0</x:v>
      </x:c>
      <x:c r="N1035" s="24" t="str">
        <x:f>IF(J1035&gt;0,"미수",IF(AND(H1035&gt;0,I1035&gt;=H1035),"완납","미확인"))</x:f>
        <x:v>미확인</x:v>
      </x:c>
      <x:c r="O1035" s="31" t="n">
        <x:v>50</x:v>
      </x:c>
    </x:row>
    <x:row r="1036" ht="17.25" customHeight="1">
      <x:c r="A1036" s="24" t="str">
        <x:v>SW-B-149조6163-202603</x:v>
      </x:c>
      <x:c r="B1036" s="24" t="str">
        <x:v>스위치플랜</x:v>
      </x:c>
      <x:c r="C1036" s="24" t="str">
        <x:v>SW-C-149조6163-1-20260323-50</x:v>
      </x:c>
      <x:c r="D1036" s="24" t="str">
        <x:v>149조6163</x:v>
      </x:c>
      <x:c r="E1036" s="24" t="str">
        <x:v>한상관</x:v>
      </x:c>
      <x:c r="F1036" s="24" t="str">
        <x:v>2026-03</x:v>
      </x:c>
      <x:c r="G1036" s="30" t="n">
        <x:v>46106</x:v>
      </x:c>
      <x:c r="H1036" s="32" t="n">
        <x:v>0</x:v>
      </x:c>
      <x:c r="I1036" s="32" t="n">
        <x:v>100000</x:v>
      </x:c>
      <x:c r="J1036" s="32" t="n">
        <x:v>-100000</x:v>
      </x:c>
      <x:c r="K1036" s="30" t="n">
        <x:v>46104</x:v>
      </x:c>
      <x:c r="L1036" s="24" t="str">
        <x:v>입금</x:v>
      </x:c>
      <x:c r="M1036" s="31" t="n">
        <x:f>IF(AND(N1036="미수",G1036&lt;&gt;"",TODAY()&gt;G1036),TODAY()-G1036,0)</x:f>
        <x:v>0</x:v>
      </x:c>
      <x:c r="N1036" s="24" t="str">
        <x:f>IF(J1036&gt;0,"미수",IF(AND(H1036&gt;0,I1036&gt;=H1036),"완납","미확인"))</x:f>
        <x:v>미확인</x:v>
      </x:c>
      <x:c r="O1036" s="31" t="n">
        <x:v>50</x:v>
      </x:c>
    </x:row>
    <x:row r="1037" ht="17.25" customHeight="1">
      <x:c r="A1037" s="24" t="str">
        <x:v>SW-B-149조6163-202602</x:v>
      </x:c>
      <x:c r="B1037" s="24" t="str">
        <x:v>스위치플랜</x:v>
      </x:c>
      <x:c r="C1037" s="24" t="str">
        <x:v>SW-C-149조6163-2-20240206-50</x:v>
      </x:c>
      <x:c r="D1037" s="24" t="str">
        <x:v>149조6163</x:v>
      </x:c>
      <x:c r="E1037" s="24" t="str">
        <x:v>한상관</x:v>
      </x:c>
      <x:c r="F1037" s="24" t="str">
        <x:v>2026-02</x:v>
      </x:c>
      <x:c r="G1037" s="30" t="n">
        <x:v>46078</x:v>
      </x:c>
      <x:c r="H1037" s="32" t="n">
        <x:v>0</x:v>
      </x:c>
      <x:c r="I1037" s="32"/>
      <x:c r="J1037" s="32" t="n">
        <x:v>0</x:v>
      </x:c>
      <x:c r="K1037" s="30"/>
      <x:c r="L1037" s="24" t="str"/>
      <x:c r="M1037" s="31" t="n">
        <x:f>IF(AND(N1037="미수",G1037&lt;&gt;"",TODAY()&gt;G1037),TODAY()-G1037,0)</x:f>
        <x:v>0</x:v>
      </x:c>
      <x:c r="N1037" s="24" t="str">
        <x:f>IF(J1037&gt;0,"미수",IF(AND(H1037&gt;0,I1037&gt;=H1037),"완납","미확인"))</x:f>
        <x:v>미확인</x:v>
      </x:c>
      <x:c r="O1037" s="31" t="n">
        <x:v>50</x:v>
      </x:c>
    </x:row>
    <x:row r="1038" ht="17.25" customHeight="1">
      <x:c r="A1038" s="24" t="str">
        <x:v>SW-B-149조6163-202601</x:v>
      </x:c>
      <x:c r="B1038" s="24" t="str">
        <x:v>스위치플랜</x:v>
      </x:c>
      <x:c r="C1038" s="24" t="str">
        <x:v>SW-C-149조6163-2-20240206-50</x:v>
      </x:c>
      <x:c r="D1038" s="24" t="str">
        <x:v>149조6163</x:v>
      </x:c>
      <x:c r="E1038" s="24" t="str">
        <x:v>한상관</x:v>
      </x:c>
      <x:c r="F1038" s="24" t="str">
        <x:v>2026-01</x:v>
      </x:c>
      <x:c r="G1038" s="30" t="n">
        <x:v>46047</x:v>
      </x:c>
      <x:c r="H1038" s="32" t="n">
        <x:v>1470000</x:v>
      </x:c>
      <x:c r="I1038" s="32" t="n">
        <x:v>1470000</x:v>
      </x:c>
      <x:c r="J1038" s="32" t="n">
        <x:v>0</x:v>
      </x:c>
      <x:c r="K1038" s="30" t="n">
        <x:v>46034</x:v>
      </x:c>
      <x:c r="L1038" s="24" t="str">
        <x:v>입금</x:v>
      </x:c>
      <x:c r="M1038" s="31" t="n">
        <x:f>IF(AND(N1038="미수",G1038&lt;&gt;"",TODAY()&gt;G1038),TODAY()-G1038,0)</x:f>
        <x:v>0</x:v>
      </x:c>
      <x:c r="N1038" s="24" t="str">
        <x:f>IF(J1038&gt;0,"미수",IF(AND(H1038&gt;0,I1038&gt;=H1038),"완납","미확인"))</x:f>
        <x:v>완납</x:v>
      </x:c>
      <x:c r="O1038" s="31" t="n">
        <x:v>50</x:v>
      </x:c>
    </x:row>
    <x:row r="1039" ht="17.25" customHeight="1">
      <x:c r="A1039" s="24" t="str">
        <x:v>SW-B-149조6163-202512</x:v>
      </x:c>
      <x:c r="B1039" s="24" t="str">
        <x:v>스위치플랜</x:v>
      </x:c>
      <x:c r="C1039" s="24" t="str">
        <x:v>SW-C-149조6163-2-20240206-50</x:v>
      </x:c>
      <x:c r="D1039" s="24" t="str">
        <x:v>149조6163</x:v>
      </x:c>
      <x:c r="E1039" s="24" t="str">
        <x:v>한상관</x:v>
      </x:c>
      <x:c r="F1039" s="24" t="str">
        <x:v>2025-12</x:v>
      </x:c>
      <x:c r="G1039" s="30" t="n">
        <x:v>46016</x:v>
      </x:c>
      <x:c r="H1039" s="32" t="n">
        <x:v>1470000</x:v>
      </x:c>
      <x:c r="I1039" s="32" t="n">
        <x:v>1470000</x:v>
      </x:c>
      <x:c r="J1039" s="32" t="n">
        <x:v>0</x:v>
      </x:c>
      <x:c r="K1039" s="30" t="n">
        <x:v>46001</x:v>
      </x:c>
      <x:c r="L1039" s="24" t="str">
        <x:v>입금</x:v>
      </x:c>
      <x:c r="M1039" s="31" t="n">
        <x:f>IF(AND(N1039="미수",G1039&lt;&gt;"",TODAY()&gt;G1039),TODAY()-G1039,0)</x:f>
        <x:v>0</x:v>
      </x:c>
      <x:c r="N1039" s="24" t="str">
        <x:f>IF(J1039&gt;0,"미수",IF(AND(H1039&gt;0,I1039&gt;=H1039),"완납","미확인"))</x:f>
        <x:v>완납</x:v>
      </x:c>
      <x:c r="O1039" s="31" t="n">
        <x:v>50</x:v>
      </x:c>
    </x:row>
    <x:row r="1040" ht="17.25" customHeight="1">
      <x:c r="A1040" s="24" t="str">
        <x:v>SW-B-149조6163-202511</x:v>
      </x:c>
      <x:c r="B1040" s="24" t="str">
        <x:v>스위치플랜</x:v>
      </x:c>
      <x:c r="C1040" s="24" t="str">
        <x:v>SW-C-149조6163-2-20240206-50</x:v>
      </x:c>
      <x:c r="D1040" s="24" t="str">
        <x:v>149조6163</x:v>
      </x:c>
      <x:c r="E1040" s="24" t="str">
        <x:v>한상관</x:v>
      </x:c>
      <x:c r="F1040" s="24" t="str">
        <x:v>2025-11</x:v>
      </x:c>
      <x:c r="G1040" s="30" t="n">
        <x:v>45986</x:v>
      </x:c>
      <x:c r="H1040" s="32" t="n">
        <x:v>1470000</x:v>
      </x:c>
      <x:c r="I1040" s="32" t="n">
        <x:v>1470000</x:v>
      </x:c>
      <x:c r="J1040" s="32" t="n">
        <x:v>0</x:v>
      </x:c>
      <x:c r="K1040" s="30" t="n">
        <x:v>45971</x:v>
      </x:c>
      <x:c r="L1040" s="24" t="str">
        <x:v>입금</x:v>
      </x:c>
      <x:c r="M1040" s="31" t="n">
        <x:f>IF(AND(N1040="미수",G1040&lt;&gt;"",TODAY()&gt;G1040),TODAY()-G1040,0)</x:f>
        <x:v>0</x:v>
      </x:c>
      <x:c r="N1040" s="24" t="str">
        <x:f>IF(J1040&gt;0,"미수",IF(AND(H1040&gt;0,I1040&gt;=H1040),"완납","미확인"))</x:f>
        <x:v>완납</x:v>
      </x:c>
      <x:c r="O1040" s="31" t="n">
        <x:v>50</x:v>
      </x:c>
    </x:row>
    <x:row r="1041" ht="17.25" customHeight="1">
      <x:c r="A1041" s="24" t="str">
        <x:v>SW-B-149조6163-202510</x:v>
      </x:c>
      <x:c r="B1041" s="24" t="str">
        <x:v>스위치플랜</x:v>
      </x:c>
      <x:c r="C1041" s="24" t="str">
        <x:v>SW-C-149조6163-2-20240206-50</x:v>
      </x:c>
      <x:c r="D1041" s="24" t="str">
        <x:v>149조6163</x:v>
      </x:c>
      <x:c r="E1041" s="24" t="str">
        <x:v>한상관</x:v>
      </x:c>
      <x:c r="F1041" s="24" t="str">
        <x:v>2025-10</x:v>
      </x:c>
      <x:c r="G1041" s="30" t="n">
        <x:v>45955</x:v>
      </x:c>
      <x:c r="H1041" s="32" t="n">
        <x:v>1470000</x:v>
      </x:c>
      <x:c r="I1041" s="32" t="n">
        <x:v>1470000</x:v>
      </x:c>
      <x:c r="J1041" s="32" t="n">
        <x:v>0</x:v>
      </x:c>
      <x:c r="K1041" s="30" t="n">
        <x:v>45945</x:v>
      </x:c>
      <x:c r="L1041" s="24" t="str">
        <x:v>입금</x:v>
      </x:c>
      <x:c r="M1041" s="31" t="n">
        <x:f>IF(AND(N1041="미수",G1041&lt;&gt;"",TODAY()&gt;G1041),TODAY()-G1041,0)</x:f>
        <x:v>0</x:v>
      </x:c>
      <x:c r="N1041" s="24" t="str">
        <x:f>IF(J1041&gt;0,"미수",IF(AND(H1041&gt;0,I1041&gt;=H1041),"완납","미확인"))</x:f>
        <x:v>완납</x:v>
      </x:c>
      <x:c r="O1041" s="31" t="n">
        <x:v>50</x:v>
      </x:c>
    </x:row>
    <x:row r="1042" ht="17.25" customHeight="1">
      <x:c r="A1042" s="24" t="str">
        <x:v>SW-B-149조6163-202509</x:v>
      </x:c>
      <x:c r="B1042" s="24" t="str">
        <x:v>스위치플랜</x:v>
      </x:c>
      <x:c r="C1042" s="24" t="str">
        <x:v>SW-C-149조6163-2-20240206-50</x:v>
      </x:c>
      <x:c r="D1042" s="24" t="str">
        <x:v>149조6163</x:v>
      </x:c>
      <x:c r="E1042" s="24" t="str">
        <x:v>한상관</x:v>
      </x:c>
      <x:c r="F1042" s="24" t="str">
        <x:v>2025-09</x:v>
      </x:c>
      <x:c r="G1042" s="30" t="n">
        <x:v>45925</x:v>
      </x:c>
      <x:c r="H1042" s="32" t="n">
        <x:v>1470000</x:v>
      </x:c>
      <x:c r="I1042" s="32" t="n">
        <x:v>1470000</x:v>
      </x:c>
      <x:c r="J1042" s="32" t="n">
        <x:v>0</x:v>
      </x:c>
      <x:c r="K1042" s="30" t="n">
        <x:v>45911</x:v>
      </x:c>
      <x:c r="L1042" s="24" t="str">
        <x:v>입금</x:v>
      </x:c>
      <x:c r="M1042" s="31" t="n">
        <x:f>IF(AND(N1042="미수",G1042&lt;&gt;"",TODAY()&gt;G1042),TODAY()-G1042,0)</x:f>
        <x:v>0</x:v>
      </x:c>
      <x:c r="N1042" s="24" t="str">
        <x:f>IF(J1042&gt;0,"미수",IF(AND(H1042&gt;0,I1042&gt;=H1042),"완납","미확인"))</x:f>
        <x:v>완납</x:v>
      </x:c>
      <x:c r="O1042" s="31" t="n">
        <x:v>50</x:v>
      </x:c>
    </x:row>
    <x:row r="1043" ht="17.25" customHeight="1">
      <x:c r="A1043" s="24" t="str">
        <x:v>SW-B-149조6163-202508</x:v>
      </x:c>
      <x:c r="B1043" s="24" t="str">
        <x:v>스위치플랜</x:v>
      </x:c>
      <x:c r="C1043" s="24" t="str">
        <x:v>SW-C-149조6163-2-20240206-50</x:v>
      </x:c>
      <x:c r="D1043" s="24" t="str">
        <x:v>149조6163</x:v>
      </x:c>
      <x:c r="E1043" s="24" t="str">
        <x:v>한상관</x:v>
      </x:c>
      <x:c r="F1043" s="24" t="str">
        <x:v>2025-08</x:v>
      </x:c>
      <x:c r="G1043" s="30" t="n">
        <x:v>45894</x:v>
      </x:c>
      <x:c r="H1043" s="32" t="n">
        <x:v>1540000</x:v>
      </x:c>
      <x:c r="I1043" s="32" t="n">
        <x:v>1540000</x:v>
      </x:c>
      <x:c r="J1043" s="32" t="n">
        <x:v>0</x:v>
      </x:c>
      <x:c r="K1043" s="30" t="n">
        <x:v>45877</x:v>
      </x:c>
      <x:c r="L1043" s="24" t="str">
        <x:v>입금</x:v>
      </x:c>
      <x:c r="M1043" s="31" t="n">
        <x:f>IF(AND(N1043="미수",G1043&lt;&gt;"",TODAY()&gt;G1043),TODAY()-G1043,0)</x:f>
        <x:v>0</x:v>
      </x:c>
      <x:c r="N1043" s="24" t="str">
        <x:f>IF(J1043&gt;0,"미수",IF(AND(H1043&gt;0,I1043&gt;=H1043),"완납","미확인"))</x:f>
        <x:v>완납</x:v>
      </x:c>
      <x:c r="O1043" s="31" t="n">
        <x:v>50</x:v>
      </x:c>
    </x:row>
    <x:row r="1044" ht="17.25" customHeight="1">
      <x:c r="A1044" s="24" t="str">
        <x:v>SW-B-149조6163-202507</x:v>
      </x:c>
      <x:c r="B1044" s="24" t="str">
        <x:v>스위치플랜</x:v>
      </x:c>
      <x:c r="C1044" s="24" t="str">
        <x:v>SW-C-149조6163-2-20240206-50</x:v>
      </x:c>
      <x:c r="D1044" s="24" t="str">
        <x:v>149조6163</x:v>
      </x:c>
      <x:c r="E1044" s="24" t="str">
        <x:v>한상관</x:v>
      </x:c>
      <x:c r="F1044" s="24" t="str">
        <x:v>2025-07</x:v>
      </x:c>
      <x:c r="G1044" s="30" t="n">
        <x:v>45863</x:v>
      </x:c>
      <x:c r="H1044" s="32" t="n">
        <x:v>1540000</x:v>
      </x:c>
      <x:c r="I1044" s="32" t="n">
        <x:v>1540000</x:v>
      </x:c>
      <x:c r="J1044" s="32" t="n">
        <x:v>0</x:v>
      </x:c>
      <x:c r="K1044" s="30" t="n">
        <x:v>45852</x:v>
      </x:c>
      <x:c r="L1044" s="24" t="str">
        <x:v>입금</x:v>
      </x:c>
      <x:c r="M1044" s="31" t="n">
        <x:f>IF(AND(N1044="미수",G1044&lt;&gt;"",TODAY()&gt;G1044),TODAY()-G1044,0)</x:f>
        <x:v>0</x:v>
      </x:c>
      <x:c r="N1044" s="24" t="str">
        <x:f>IF(J1044&gt;0,"미수",IF(AND(H1044&gt;0,I1044&gt;=H1044),"완납","미확인"))</x:f>
        <x:v>완납</x:v>
      </x:c>
      <x:c r="O1044" s="31" t="n">
        <x:v>50</x:v>
      </x:c>
    </x:row>
    <x:row r="1045" ht="17.25" customHeight="1">
      <x:c r="A1045" s="24" t="str">
        <x:v>SW-B-149조6163-202506</x:v>
      </x:c>
      <x:c r="B1045" s="24" t="str">
        <x:v>스위치플랜</x:v>
      </x:c>
      <x:c r="C1045" s="24" t="str">
        <x:v>SW-C-149조6163-2-20240206-50</x:v>
      </x:c>
      <x:c r="D1045" s="24" t="str">
        <x:v>149조6163</x:v>
      </x:c>
      <x:c r="E1045" s="24" t="str">
        <x:v>한상관</x:v>
      </x:c>
      <x:c r="F1045" s="24" t="str">
        <x:v>2025-06</x:v>
      </x:c>
      <x:c r="G1045" s="30" t="n">
        <x:v>45833</x:v>
      </x:c>
      <x:c r="H1045" s="32" t="n">
        <x:v>1540000</x:v>
      </x:c>
      <x:c r="I1045" s="32" t="n">
        <x:v>1540000</x:v>
      </x:c>
      <x:c r="J1045" s="32" t="n">
        <x:v>0</x:v>
      </x:c>
      <x:c r="K1045" s="30" t="n">
        <x:v>45821</x:v>
      </x:c>
      <x:c r="L1045" s="24" t="str">
        <x:v>입금</x:v>
      </x:c>
      <x:c r="M1045" s="31" t="n">
        <x:f>IF(AND(N1045="미수",G1045&lt;&gt;"",TODAY()&gt;G1045),TODAY()-G1045,0)</x:f>
        <x:v>0</x:v>
      </x:c>
      <x:c r="N1045" s="24" t="str">
        <x:f>IF(J1045&gt;0,"미수",IF(AND(H1045&gt;0,I1045&gt;=H1045),"완납","미확인"))</x:f>
        <x:v>완납</x:v>
      </x:c>
      <x:c r="O1045" s="31" t="n">
        <x:v>50</x:v>
      </x:c>
    </x:row>
    <x:row r="1046" ht="17.25" customHeight="1">
      <x:c r="A1046" s="24" t="str">
        <x:v>SW-B-149조6163-202505</x:v>
      </x:c>
      <x:c r="B1046" s="24" t="str">
        <x:v>스위치플랜</x:v>
      </x:c>
      <x:c r="C1046" s="24" t="str">
        <x:v>SW-C-149조6163-2-20240206-50</x:v>
      </x:c>
      <x:c r="D1046" s="24" t="str">
        <x:v>149조6163</x:v>
      </x:c>
      <x:c r="E1046" s="24" t="str">
        <x:v>한상관</x:v>
      </x:c>
      <x:c r="F1046" s="24" t="str">
        <x:v>2025-05</x:v>
      </x:c>
      <x:c r="G1046" s="30" t="n">
        <x:v>45802</x:v>
      </x:c>
      <x:c r="H1046" s="32" t="n">
        <x:v>1540000</x:v>
      </x:c>
      <x:c r="I1046" s="32" t="n">
        <x:v>1540000</x:v>
      </x:c>
      <x:c r="J1046" s="32" t="n">
        <x:v>0</x:v>
      </x:c>
      <x:c r="K1046" s="30" t="n">
        <x:v>45790</x:v>
      </x:c>
      <x:c r="L1046" s="24" t="str">
        <x:v>입금</x:v>
      </x:c>
      <x:c r="M1046" s="31" t="n">
        <x:f>IF(AND(N1046="미수",G1046&lt;&gt;"",TODAY()&gt;G1046),TODAY()-G1046,0)</x:f>
        <x:v>0</x:v>
      </x:c>
      <x:c r="N1046" s="24" t="str">
        <x:f>IF(J1046&gt;0,"미수",IF(AND(H1046&gt;0,I1046&gt;=H1046),"완납","미확인"))</x:f>
        <x:v>완납</x:v>
      </x:c>
      <x:c r="O1046" s="31" t="n">
        <x:v>50</x:v>
      </x:c>
    </x:row>
    <x:row r="1047" ht="17.25" customHeight="1">
      <x:c r="A1047" s="24" t="str">
        <x:v>SW-B-149조6163-202504</x:v>
      </x:c>
      <x:c r="B1047" s="24" t="str">
        <x:v>스위치플랜</x:v>
      </x:c>
      <x:c r="C1047" s="24" t="str">
        <x:v>SW-C-149조6163-2-20240206-50</x:v>
      </x:c>
      <x:c r="D1047" s="24" t="str">
        <x:v>149조6163</x:v>
      </x:c>
      <x:c r="E1047" s="24" t="str">
        <x:v>한상관</x:v>
      </x:c>
      <x:c r="F1047" s="24" t="str">
        <x:v>2025-04</x:v>
      </x:c>
      <x:c r="G1047" s="30" t="n">
        <x:v>45772</x:v>
      </x:c>
      <x:c r="H1047" s="32" t="n">
        <x:v>1540000</x:v>
      </x:c>
      <x:c r="I1047" s="32" t="n">
        <x:v>1540000</x:v>
      </x:c>
      <x:c r="J1047" s="32" t="n">
        <x:v>0</x:v>
      </x:c>
      <x:c r="K1047" s="30" t="n">
        <x:v>45761</x:v>
      </x:c>
      <x:c r="L1047" s="24" t="str">
        <x:v>입금</x:v>
      </x:c>
      <x:c r="M1047" s="31" t="n">
        <x:f>IF(AND(N1047="미수",G1047&lt;&gt;"",TODAY()&gt;G1047),TODAY()-G1047,0)</x:f>
        <x:v>0</x:v>
      </x:c>
      <x:c r="N1047" s="24" t="str">
        <x:f>IF(J1047&gt;0,"미수",IF(AND(H1047&gt;0,I1047&gt;=H1047),"완납","미확인"))</x:f>
        <x:v>완납</x:v>
      </x:c>
      <x:c r="O1047" s="31" t="n">
        <x:v>50</x:v>
      </x:c>
    </x:row>
    <x:row r="1048" ht="17.25" customHeight="1">
      <x:c r="A1048" s="24" t="str">
        <x:v>SW-B-149조6163-202503</x:v>
      </x:c>
      <x:c r="B1048" s="24" t="str">
        <x:v>스위치플랜</x:v>
      </x:c>
      <x:c r="C1048" s="24" t="str">
        <x:v>SW-C-149조6163-2-20240206-50</x:v>
      </x:c>
      <x:c r="D1048" s="24" t="str">
        <x:v>149조6163</x:v>
      </x:c>
      <x:c r="E1048" s="24" t="str">
        <x:v>한상관</x:v>
      </x:c>
      <x:c r="F1048" s="24" t="str">
        <x:v>2025-03</x:v>
      </x:c>
      <x:c r="G1048" s="30" t="n">
        <x:v>45741</x:v>
      </x:c>
      <x:c r="H1048" s="32" t="n">
        <x:v>1540000</x:v>
      </x:c>
      <x:c r="I1048" s="32" t="n">
        <x:v>1540000</x:v>
      </x:c>
      <x:c r="J1048" s="32" t="n">
        <x:v>0</x:v>
      </x:c>
      <x:c r="K1048" s="30" t="n">
        <x:v>45727</x:v>
      </x:c>
      <x:c r="L1048" s="24" t="str">
        <x:v>입금</x:v>
      </x:c>
      <x:c r="M1048" s="31" t="n">
        <x:f>IF(AND(N1048="미수",G1048&lt;&gt;"",TODAY()&gt;G1048),TODAY()-G1048,0)</x:f>
        <x:v>0</x:v>
      </x:c>
      <x:c r="N1048" s="24" t="str">
        <x:f>IF(J1048&gt;0,"미수",IF(AND(H1048&gt;0,I1048&gt;=H1048),"완납","미확인"))</x:f>
        <x:v>완납</x:v>
      </x:c>
      <x:c r="O1048" s="31" t="n">
        <x:v>50</x:v>
      </x:c>
    </x:row>
    <x:row r="1049" ht="17.25" customHeight="1">
      <x:c r="A1049" s="24" t="str">
        <x:v>SW-B-149조6163-202502</x:v>
      </x:c>
      <x:c r="B1049" s="24" t="str">
        <x:v>스위치플랜</x:v>
      </x:c>
      <x:c r="C1049" s="24" t="str">
        <x:v>SW-C-149조6163-2-20240206-50</x:v>
      </x:c>
      <x:c r="D1049" s="24" t="str">
        <x:v>149조6163</x:v>
      </x:c>
      <x:c r="E1049" s="24" t="str">
        <x:v>한상관</x:v>
      </x:c>
      <x:c r="F1049" s="24" t="str">
        <x:v>2025-02</x:v>
      </x:c>
      <x:c r="G1049" s="30" t="n">
        <x:v>45713</x:v>
      </x:c>
      <x:c r="H1049" s="32" t="n">
        <x:v>1540000</x:v>
      </x:c>
      <x:c r="I1049" s="32" t="n">
        <x:v>1540000</x:v>
      </x:c>
      <x:c r="J1049" s="32" t="n">
        <x:v>0</x:v>
      </x:c>
      <x:c r="K1049" s="30" t="n">
        <x:v>45700</x:v>
      </x:c>
      <x:c r="L1049" s="24" t="str">
        <x:v>입금</x:v>
      </x:c>
      <x:c r="M1049" s="31" t="n">
        <x:f>IF(AND(N1049="미수",G1049&lt;&gt;"",TODAY()&gt;G1049),TODAY()-G1049,0)</x:f>
        <x:v>0</x:v>
      </x:c>
      <x:c r="N1049" s="24" t="str">
        <x:f>IF(J1049&gt;0,"미수",IF(AND(H1049&gt;0,I1049&gt;=H1049),"완납","미확인"))</x:f>
        <x:v>완납</x:v>
      </x:c>
      <x:c r="O1049" s="31" t="n">
        <x:v>50</x:v>
      </x:c>
    </x:row>
    <x:row r="1050" ht="17.25" customHeight="1">
      <x:c r="A1050" s="24" t="str">
        <x:v>SW-B-149조6163-202501</x:v>
      </x:c>
      <x:c r="B1050" s="24" t="str">
        <x:v>스위치플랜</x:v>
      </x:c>
      <x:c r="C1050" s="24" t="str">
        <x:v>SW-C-149조6163-2-20240206-50</x:v>
      </x:c>
      <x:c r="D1050" s="24" t="str">
        <x:v>149조6163</x:v>
      </x:c>
      <x:c r="E1050" s="24" t="str">
        <x:v>한상관</x:v>
      </x:c>
      <x:c r="F1050" s="24" t="str">
        <x:v>2025-01</x:v>
      </x:c>
      <x:c r="G1050" s="30" t="n">
        <x:v>45682</x:v>
      </x:c>
      <x:c r="H1050" s="32" t="n">
        <x:v>1540000</x:v>
      </x:c>
      <x:c r="I1050" s="32" t="n">
        <x:v>1540000</x:v>
      </x:c>
      <x:c r="J1050" s="32" t="n">
        <x:v>0</x:v>
      </x:c>
      <x:c r="K1050" s="30" t="n">
        <x:v>45668</x:v>
      </x:c>
      <x:c r="L1050" s="24" t="str">
        <x:v>입금</x:v>
      </x:c>
      <x:c r="M1050" s="31" t="n">
        <x:f>IF(AND(N1050="미수",G1050&lt;&gt;"",TODAY()&gt;G1050),TODAY()-G1050,0)</x:f>
        <x:v>0</x:v>
      </x:c>
      <x:c r="N1050" s="24" t="str">
        <x:f>IF(J1050&gt;0,"미수",IF(AND(H1050&gt;0,I1050&gt;=H1050),"완납","미확인"))</x:f>
        <x:v>완납</x:v>
      </x:c>
      <x:c r="O1050" s="31" t="n">
        <x:v>50</x:v>
      </x:c>
    </x:row>
    <x:row r="1051" ht="17.25" customHeight="1">
      <x:c r="A1051" s="24" t="str">
        <x:v>SW-B-149조6163-202412</x:v>
      </x:c>
      <x:c r="B1051" s="24" t="str">
        <x:v>스위치플랜</x:v>
      </x:c>
      <x:c r="C1051" s="24" t="str">
        <x:v>SW-C-149조6163-2-20240206-50</x:v>
      </x:c>
      <x:c r="D1051" s="24" t="str">
        <x:v>149조6163</x:v>
      </x:c>
      <x:c r="E1051" s="24" t="str">
        <x:v>한상관</x:v>
      </x:c>
      <x:c r="F1051" s="24" t="str">
        <x:v>2024-12</x:v>
      </x:c>
      <x:c r="G1051" s="30" t="n">
        <x:v>45651</x:v>
      </x:c>
      <x:c r="H1051" s="32" t="n">
        <x:v>1540000</x:v>
      </x:c>
      <x:c r="I1051" s="32" t="n">
        <x:v>1540000</x:v>
      </x:c>
      <x:c r="J1051" s="32" t="n">
        <x:v>0</x:v>
      </x:c>
      <x:c r="K1051" s="30" t="n">
        <x:v>45637</x:v>
      </x:c>
      <x:c r="L1051" s="24" t="str">
        <x:v>입금</x:v>
      </x:c>
      <x:c r="M1051" s="31" t="n">
        <x:f>IF(AND(N1051="미수",G1051&lt;&gt;"",TODAY()&gt;G1051),TODAY()-G1051,0)</x:f>
        <x:v>0</x:v>
      </x:c>
      <x:c r="N1051" s="24" t="str">
        <x:f>IF(J1051&gt;0,"미수",IF(AND(H1051&gt;0,I1051&gt;=H1051),"완납","미확인"))</x:f>
        <x:v>완납</x:v>
      </x:c>
      <x:c r="O1051" s="31" t="n">
        <x:v>50</x:v>
      </x:c>
    </x:row>
    <x:row r="1052" ht="17.25" customHeight="1">
      <x:c r="A1052" s="24" t="str">
        <x:v>SW-B-149조6163-202411</x:v>
      </x:c>
      <x:c r="B1052" s="24" t="str">
        <x:v>스위치플랜</x:v>
      </x:c>
      <x:c r="C1052" s="24" t="str">
        <x:v>SW-C-149조6163-2-20240206-50</x:v>
      </x:c>
      <x:c r="D1052" s="24" t="str">
        <x:v>149조6163</x:v>
      </x:c>
      <x:c r="E1052" s="24" t="str">
        <x:v>한상관</x:v>
      </x:c>
      <x:c r="F1052" s="24" t="str">
        <x:v>2024-11</x:v>
      </x:c>
      <x:c r="G1052" s="30" t="n">
        <x:v>45621</x:v>
      </x:c>
      <x:c r="H1052" s="32" t="n">
        <x:v>1540000</x:v>
      </x:c>
      <x:c r="I1052" s="32" t="n">
        <x:v>1540000</x:v>
      </x:c>
      <x:c r="J1052" s="32" t="n">
        <x:v>0</x:v>
      </x:c>
      <x:c r="K1052" s="30" t="n">
        <x:v>45608</x:v>
      </x:c>
      <x:c r="L1052" s="24" t="str">
        <x:v>입금</x:v>
      </x:c>
      <x:c r="M1052" s="31" t="n">
        <x:f>IF(AND(N1052="미수",G1052&lt;&gt;"",TODAY()&gt;G1052),TODAY()-G1052,0)</x:f>
        <x:v>0</x:v>
      </x:c>
      <x:c r="N1052" s="24" t="str">
        <x:f>IF(J1052&gt;0,"미수",IF(AND(H1052&gt;0,I1052&gt;=H1052),"완납","미확인"))</x:f>
        <x:v>완납</x:v>
      </x:c>
      <x:c r="O1052" s="31" t="n">
        <x:v>50</x:v>
      </x:c>
    </x:row>
    <x:row r="1053" ht="17.25" customHeight="1">
      <x:c r="A1053" s="24" t="str">
        <x:v>SW-B-149조6163-202410</x:v>
      </x:c>
      <x:c r="B1053" s="24" t="str">
        <x:v>스위치플랜</x:v>
      </x:c>
      <x:c r="C1053" s="24" t="str">
        <x:v>SW-C-149조6163-2-20240206-50</x:v>
      </x:c>
      <x:c r="D1053" s="24" t="str">
        <x:v>149조6163</x:v>
      </x:c>
      <x:c r="E1053" s="24" t="str">
        <x:v>한상관</x:v>
      </x:c>
      <x:c r="F1053" s="24" t="str">
        <x:v>2024-10</x:v>
      </x:c>
      <x:c r="G1053" s="30" t="n">
        <x:v>45590</x:v>
      </x:c>
      <x:c r="H1053" s="32" t="n">
        <x:v>1540000</x:v>
      </x:c>
      <x:c r="I1053" s="32" t="n">
        <x:v>1540000</x:v>
      </x:c>
      <x:c r="J1053" s="32" t="n">
        <x:v>0</x:v>
      </x:c>
      <x:c r="K1053" s="30" t="n">
        <x:v>45576</x:v>
      </x:c>
      <x:c r="L1053" s="24" t="str">
        <x:v>입금</x:v>
      </x:c>
      <x:c r="M1053" s="31" t="n">
        <x:f>IF(AND(N1053="미수",G1053&lt;&gt;"",TODAY()&gt;G1053),TODAY()-G1053,0)</x:f>
        <x:v>0</x:v>
      </x:c>
      <x:c r="N1053" s="24" t="str">
        <x:f>IF(J1053&gt;0,"미수",IF(AND(H1053&gt;0,I1053&gt;=H1053),"완납","미확인"))</x:f>
        <x:v>완납</x:v>
      </x:c>
      <x:c r="O1053" s="31" t="n">
        <x:v>50</x:v>
      </x:c>
    </x:row>
    <x:row r="1054" ht="17.25" customHeight="1">
      <x:c r="A1054" s="24" t="str">
        <x:v>SW-B-149조6163-202409</x:v>
      </x:c>
      <x:c r="B1054" s="24" t="str">
        <x:v>스위치플랜</x:v>
      </x:c>
      <x:c r="C1054" s="24" t="str">
        <x:v>SW-C-149조6163-2-20240206-50</x:v>
      </x:c>
      <x:c r="D1054" s="24" t="str">
        <x:v>149조6163</x:v>
      </x:c>
      <x:c r="E1054" s="24" t="str">
        <x:v>한상관</x:v>
      </x:c>
      <x:c r="F1054" s="24" t="str">
        <x:v>2024-09</x:v>
      </x:c>
      <x:c r="G1054" s="30" t="n">
        <x:v>45560</x:v>
      </x:c>
      <x:c r="H1054" s="32" t="n">
        <x:v>1370000</x:v>
      </x:c>
      <x:c r="I1054" s="32" t="n">
        <x:v>1370000</x:v>
      </x:c>
      <x:c r="J1054" s="32" t="n">
        <x:v>0</x:v>
      </x:c>
      <x:c r="K1054" s="30" t="n">
        <x:v>45546</x:v>
      </x:c>
      <x:c r="L1054" s="24" t="str">
        <x:v>입금</x:v>
      </x:c>
      <x:c r="M1054" s="31" t="n">
        <x:f>IF(AND(N1054="미수",G1054&lt;&gt;"",TODAY()&gt;G1054),TODAY()-G1054,0)</x:f>
        <x:v>0</x:v>
      </x:c>
      <x:c r="N1054" s="24" t="str">
        <x:f>IF(J1054&gt;0,"미수",IF(AND(H1054&gt;0,I1054&gt;=H1054),"완납","미확인"))</x:f>
        <x:v>완납</x:v>
      </x:c>
      <x:c r="O1054" s="31" t="n">
        <x:v>50</x:v>
      </x:c>
    </x:row>
    <x:row r="1055" ht="17.25" customHeight="1">
      <x:c r="A1055" s="24" t="str">
        <x:v>SW-B-149조6163-202408</x:v>
      </x:c>
      <x:c r="B1055" s="24" t="str">
        <x:v>스위치플랜</x:v>
      </x:c>
      <x:c r="C1055" s="24" t="str">
        <x:v>SW-C-149조6163-2-20240206-50</x:v>
      </x:c>
      <x:c r="D1055" s="24" t="str">
        <x:v>149조6163</x:v>
      </x:c>
      <x:c r="E1055" s="24" t="str">
        <x:v>한상관</x:v>
      </x:c>
      <x:c r="F1055" s="24" t="str">
        <x:v>2024-08</x:v>
      </x:c>
      <x:c r="G1055" s="30" t="n">
        <x:v>45529</x:v>
      </x:c>
      <x:c r="H1055" s="32" t="n">
        <x:v>1540000</x:v>
      </x:c>
      <x:c r="I1055" s="32" t="n">
        <x:v>1540000</x:v>
      </x:c>
      <x:c r="J1055" s="32" t="n">
        <x:v>0</x:v>
      </x:c>
      <x:c r="K1055" s="30" t="n">
        <x:v>45517</x:v>
      </x:c>
      <x:c r="L1055" s="24" t="str">
        <x:v>입금</x:v>
      </x:c>
      <x:c r="M1055" s="31" t="n">
        <x:f>IF(AND(N1055="미수",G1055&lt;&gt;"",TODAY()&gt;G1055),TODAY()-G1055,0)</x:f>
        <x:v>0</x:v>
      </x:c>
      <x:c r="N1055" s="24" t="str">
        <x:f>IF(J1055&gt;0,"미수",IF(AND(H1055&gt;0,I1055&gt;=H1055),"완납","미확인"))</x:f>
        <x:v>완납</x:v>
      </x:c>
      <x:c r="O1055" s="31" t="n">
        <x:v>50</x:v>
      </x:c>
    </x:row>
    <x:row r="1056" ht="17.25" customHeight="1">
      <x:c r="A1056" s="24" t="str">
        <x:v>SW-B-149조6163-202407</x:v>
      </x:c>
      <x:c r="B1056" s="24" t="str">
        <x:v>스위치플랜</x:v>
      </x:c>
      <x:c r="C1056" s="24" t="str">
        <x:v>SW-C-149조6163-2-20240206-50</x:v>
      </x:c>
      <x:c r="D1056" s="24" t="str">
        <x:v>149조6163</x:v>
      </x:c>
      <x:c r="E1056" s="24" t="str">
        <x:v>한상관</x:v>
      </x:c>
      <x:c r="F1056" s="24" t="str">
        <x:v>2024-07</x:v>
      </x:c>
      <x:c r="G1056" s="30" t="n">
        <x:v>45498</x:v>
      </x:c>
      <x:c r="H1056" s="32" t="n">
        <x:v>1540000</x:v>
      </x:c>
      <x:c r="I1056" s="32" t="n">
        <x:v>1540000</x:v>
      </x:c>
      <x:c r="J1056" s="32" t="n">
        <x:v>0</x:v>
      </x:c>
      <x:c r="K1056" s="30" t="n">
        <x:v>45485</x:v>
      </x:c>
      <x:c r="L1056" s="24" t="str">
        <x:v>입금</x:v>
      </x:c>
      <x:c r="M1056" s="31" t="n">
        <x:f>IF(AND(N1056="미수",G1056&lt;&gt;"",TODAY()&gt;G1056),TODAY()-G1056,0)</x:f>
        <x:v>0</x:v>
      </x:c>
      <x:c r="N1056" s="24" t="str">
        <x:f>IF(J1056&gt;0,"미수",IF(AND(H1056&gt;0,I1056&gt;=H1056),"완납","미확인"))</x:f>
        <x:v>완납</x:v>
      </x:c>
      <x:c r="O1056" s="31" t="n">
        <x:v>50</x:v>
      </x:c>
    </x:row>
    <x:row r="1057" ht="17.25" customHeight="1">
      <x:c r="A1057" s="24" t="str">
        <x:v>SW-B-149조6163-202406</x:v>
      </x:c>
      <x:c r="B1057" s="24" t="str">
        <x:v>스위치플랜</x:v>
      </x:c>
      <x:c r="C1057" s="24" t="str">
        <x:v>SW-C-149조6163-2-20240206-50</x:v>
      </x:c>
      <x:c r="D1057" s="24" t="str">
        <x:v>149조6163</x:v>
      </x:c>
      <x:c r="E1057" s="24" t="str">
        <x:v>한상관</x:v>
      </x:c>
      <x:c r="F1057" s="24" t="str">
        <x:v>2024-06</x:v>
      </x:c>
      <x:c r="G1057" s="30" t="n">
        <x:v>45468</x:v>
      </x:c>
      <x:c r="H1057" s="32" t="n">
        <x:v>1540000</x:v>
      </x:c>
      <x:c r="I1057" s="32" t="n">
        <x:v>1540000</x:v>
      </x:c>
      <x:c r="J1057" s="32" t="n">
        <x:v>0</x:v>
      </x:c>
      <x:c r="K1057" s="30" t="n">
        <x:v>45455</x:v>
      </x:c>
      <x:c r="L1057" s="24" t="str">
        <x:v>입금</x:v>
      </x:c>
      <x:c r="M1057" s="31" t="n">
        <x:f>IF(AND(N1057="미수",G1057&lt;&gt;"",TODAY()&gt;G1057),TODAY()-G1057,0)</x:f>
        <x:v>0</x:v>
      </x:c>
      <x:c r="N1057" s="24" t="str">
        <x:f>IF(J1057&gt;0,"미수",IF(AND(H1057&gt;0,I1057&gt;=H1057),"완납","미확인"))</x:f>
        <x:v>완납</x:v>
      </x:c>
      <x:c r="O1057" s="31" t="n">
        <x:v>50</x:v>
      </x:c>
    </x:row>
    <x:row r="1058" ht="17.25" customHeight="1">
      <x:c r="A1058" s="24" t="str">
        <x:v>SW-B-149조6163-202405</x:v>
      </x:c>
      <x:c r="B1058" s="24" t="str">
        <x:v>스위치플랜</x:v>
      </x:c>
      <x:c r="C1058" s="24" t="str">
        <x:v>SW-C-149조6163-2-20240206-50</x:v>
      </x:c>
      <x:c r="D1058" s="24" t="str">
        <x:v>149조6163</x:v>
      </x:c>
      <x:c r="E1058" s="24" t="str">
        <x:v>한상관</x:v>
      </x:c>
      <x:c r="F1058" s="24" t="str">
        <x:v>2024-05</x:v>
      </x:c>
      <x:c r="G1058" s="30" t="n">
        <x:v>45437</x:v>
      </x:c>
      <x:c r="H1058" s="32" t="n">
        <x:v>1540000</x:v>
      </x:c>
      <x:c r="I1058" s="32" t="n">
        <x:v>1540000</x:v>
      </x:c>
      <x:c r="J1058" s="32" t="n">
        <x:v>0</x:v>
      </x:c>
      <x:c r="K1058" s="30" t="n">
        <x:v>45422</x:v>
      </x:c>
      <x:c r="L1058" s="24" t="str">
        <x:v>자동</x:v>
      </x:c>
      <x:c r="M1058" s="31" t="n">
        <x:f>IF(AND(N1058="미수",G1058&lt;&gt;"",TODAY()&gt;G1058),TODAY()-G1058,0)</x:f>
        <x:v>0</x:v>
      </x:c>
      <x:c r="N1058" s="24" t="str">
        <x:f>IF(J1058&gt;0,"미수",IF(AND(H1058&gt;0,I1058&gt;=H1058),"완납","미확인"))</x:f>
        <x:v>완납</x:v>
      </x:c>
      <x:c r="O1058" s="31" t="n">
        <x:v>50</x:v>
      </x:c>
    </x:row>
    <x:row r="1059" ht="17.25" customHeight="1">
      <x:c r="A1059" s="24" t="str">
        <x:v>SW-B-149조6163-202404</x:v>
      </x:c>
      <x:c r="B1059" s="24" t="str">
        <x:v>스위치플랜</x:v>
      </x:c>
      <x:c r="C1059" s="24" t="str">
        <x:v>SW-C-149조6163-2-20240206-50</x:v>
      </x:c>
      <x:c r="D1059" s="24" t="str">
        <x:v>149조6163</x:v>
      </x:c>
      <x:c r="E1059" s="24" t="str">
        <x:v>한상관</x:v>
      </x:c>
      <x:c r="F1059" s="24" t="str">
        <x:v>2024-04</x:v>
      </x:c>
      <x:c r="G1059" s="30" t="n">
        <x:v>45407</x:v>
      </x:c>
      <x:c r="H1059" s="32" t="n">
        <x:v>1540000</x:v>
      </x:c>
      <x:c r="I1059" s="32" t="n">
        <x:v>1540000</x:v>
      </x:c>
      <x:c r="J1059" s="32" t="n">
        <x:v>0</x:v>
      </x:c>
      <x:c r="K1059" s="30" t="n">
        <x:v>45392</x:v>
      </x:c>
      <x:c r="L1059" s="24" t="str">
        <x:v>자동</x:v>
      </x:c>
      <x:c r="M1059" s="31" t="n">
        <x:f>IF(AND(N1059="미수",G1059&lt;&gt;"",TODAY()&gt;G1059),TODAY()-G1059,0)</x:f>
        <x:v>0</x:v>
      </x:c>
      <x:c r="N1059" s="24" t="str">
        <x:f>IF(J1059&gt;0,"미수",IF(AND(H1059&gt;0,I1059&gt;=H1059),"완납","미확인"))</x:f>
        <x:v>완납</x:v>
      </x:c>
      <x:c r="O1059" s="31" t="n">
        <x:v>50</x:v>
      </x:c>
    </x:row>
    <x:row r="1060" ht="17.25" customHeight="1">
      <x:c r="A1060" s="24" t="str">
        <x:v>SW-B-149조6163-202403</x:v>
      </x:c>
      <x:c r="B1060" s="24" t="str">
        <x:v>스위치플랜</x:v>
      </x:c>
      <x:c r="C1060" s="24" t="str">
        <x:v>SW-C-149조6163-2-20240206-50</x:v>
      </x:c>
      <x:c r="D1060" s="24" t="str">
        <x:v>149조6163</x:v>
      </x:c>
      <x:c r="E1060" s="24" t="str">
        <x:v>한상관</x:v>
      </x:c>
      <x:c r="F1060" s="24" t="str">
        <x:v>2024-03</x:v>
      </x:c>
      <x:c r="G1060" s="30" t="n">
        <x:v>45376</x:v>
      </x:c>
      <x:c r="H1060" s="32" t="n">
        <x:v>1470000</x:v>
      </x:c>
      <x:c r="I1060" s="32" t="n">
        <x:v>1470000</x:v>
      </x:c>
      <x:c r="J1060" s="32" t="n">
        <x:v>0</x:v>
      </x:c>
      <x:c r="K1060" s="30" t="n">
        <x:v>45361</x:v>
      </x:c>
      <x:c r="L1060" s="24" t="str">
        <x:v>자동</x:v>
      </x:c>
      <x:c r="M1060" s="31" t="n">
        <x:f>IF(AND(N1060="미수",G1060&lt;&gt;"",TODAY()&gt;G1060),TODAY()-G1060,0)</x:f>
        <x:v>0</x:v>
      </x:c>
      <x:c r="N1060" s="24" t="str">
        <x:f>IF(J1060&gt;0,"미수",IF(AND(H1060&gt;0,I1060&gt;=H1060),"완납","미확인"))</x:f>
        <x:v>완납</x:v>
      </x:c>
      <x:c r="O1060" s="31" t="n">
        <x:v>50</x:v>
      </x:c>
    </x:row>
    <x:row r="1061" ht="17.25" customHeight="1">
      <x:c r="A1061" s="24" t="str">
        <x:v>SW-B-149조6163-202402</x:v>
      </x:c>
      <x:c r="B1061" s="24" t="str">
        <x:v>스위치플랜</x:v>
      </x:c>
      <x:c r="C1061" s="24" t="str">
        <x:v>SW-C-149조6163-2-20240206-50</x:v>
      </x:c>
      <x:c r="D1061" s="24" t="str">
        <x:v>149조6163</x:v>
      </x:c>
      <x:c r="E1061" s="24" t="str">
        <x:v>한상관</x:v>
      </x:c>
      <x:c r="F1061" s="24" t="str">
        <x:v>2024-02</x:v>
      </x:c>
      <x:c r="G1061" s="30" t="n">
        <x:v>45347</x:v>
      </x:c>
      <x:c r="H1061" s="32" t="n">
        <x:v>1540000</x:v>
      </x:c>
      <x:c r="I1061" s="32" t="n">
        <x:v>1540000</x:v>
      </x:c>
      <x:c r="J1061" s="32" t="n">
        <x:v>0</x:v>
      </x:c>
      <x:c r="K1061" s="30" t="n">
        <x:v>45320</x:v>
      </x:c>
      <x:c r="L1061" s="24" t="str">
        <x:v>입금</x:v>
      </x:c>
      <x:c r="M1061" s="31" t="n">
        <x:f>IF(AND(N1061="미수",G1061&lt;&gt;"",TODAY()&gt;G1061),TODAY()-G1061,0)</x:f>
        <x:v>0</x:v>
      </x:c>
      <x:c r="N1061" s="24" t="str">
        <x:f>IF(J1061&gt;0,"미수",IF(AND(H1061&gt;0,I1061&gt;=H1061),"완납","미확인"))</x:f>
        <x:v>완납</x:v>
      </x:c>
      <x:c r="O1061" s="31" t="n">
        <x:v>50</x:v>
      </x:c>
    </x:row>
    <x:row r="1062" ht="17.25" customHeight="1">
      <x:c r="A1062" s="24" t="str">
        <x:v>SW-B-193우6308-202608</x:v>
      </x:c>
      <x:c r="B1062" s="24" t="str">
        <x:v>스위치플랜</x:v>
      </x:c>
      <x:c r="C1062" s="24" t="str">
        <x:v>SW-C-193우6308-1-20240507-51</x:v>
      </x:c>
      <x:c r="D1062" s="24" t="str">
        <x:v>193우6308</x:v>
      </x:c>
      <x:c r="E1062" s="24" t="str">
        <x:v>권오현</x:v>
      </x:c>
      <x:c r="F1062" s="24" t="str">
        <x:v>2026-08</x:v>
      </x:c>
      <x:c r="G1062" s="30" t="n">
        <x:v>46244</x:v>
      </x:c>
      <x:c r="H1062" s="32" t="n">
        <x:v>700000</x:v>
      </x:c>
      <x:c r="I1062" s="32"/>
      <x:c r="J1062" s="32" t="n">
        <x:v>1400000</x:v>
      </x:c>
      <x:c r="K1062" s="30"/>
      <x:c r="L1062" s="24" t="str"/>
      <x:c r="M1062" s="31" t="n">
        <x:f>IF(AND(N1062="미수",G1062&lt;&gt;"",TODAY()&gt;G1062),TODAY()-G1062,0)</x:f>
        <x:v>5</x:v>
      </x:c>
      <x:c r="N1062" s="24" t="str">
        <x:f>IF(J1062&gt;0,"미수",IF(AND(H1062&gt;0,I1062&gt;=H1062),"완납","미확인"))</x:f>
        <x:v>미수</x:v>
      </x:c>
      <x:c r="O1062" s="31" t="n">
        <x:v>51</x:v>
      </x:c>
    </x:row>
    <x:row r="1063" ht="17.25" customHeight="1">
      <x:c r="A1063" s="24" t="str">
        <x:v>SW-B-193우6308-202607</x:v>
      </x:c>
      <x:c r="B1063" s="24" t="str">
        <x:v>스위치플랜</x:v>
      </x:c>
      <x:c r="C1063" s="24" t="str">
        <x:v>SW-C-193우6308-1-20240507-51</x:v>
      </x:c>
      <x:c r="D1063" s="24" t="str">
        <x:v>193우6308</x:v>
      </x:c>
      <x:c r="E1063" s="24" t="str">
        <x:v>권오현</x:v>
      </x:c>
      <x:c r="F1063" s="24" t="str">
        <x:v>2026-07</x:v>
      </x:c>
      <x:c r="G1063" s="30" t="n">
        <x:v>46213</x:v>
      </x:c>
      <x:c r="H1063" s="32" t="n">
        <x:v>700000</x:v>
      </x:c>
      <x:c r="I1063" s="32"/>
      <x:c r="J1063" s="32" t="n">
        <x:v>700000</x:v>
      </x:c>
      <x:c r="K1063" s="30"/>
      <x:c r="L1063" s="24" t="str"/>
      <x:c r="M1063" s="31" t="n">
        <x:f>IF(AND(N1063="미수",G1063&lt;&gt;"",TODAY()&gt;G1063),TODAY()-G1063,0)</x:f>
        <x:v>36</x:v>
      </x:c>
      <x:c r="N1063" s="24" t="str">
        <x:f>IF(J1063&gt;0,"미수",IF(AND(H1063&gt;0,I1063&gt;=H1063),"완납","미확인"))</x:f>
        <x:v>미수</x:v>
      </x:c>
      <x:c r="O1063" s="31" t="n">
        <x:v>51</x:v>
      </x:c>
    </x:row>
    <x:row r="1064" ht="17.25" customHeight="1">
      <x:c r="A1064" s="24" t="str">
        <x:v>SW-B-193우6308-202606</x:v>
      </x:c>
      <x:c r="B1064" s="24" t="str">
        <x:v>스위치플랜</x:v>
      </x:c>
      <x:c r="C1064" s="24" t="str">
        <x:v>SW-C-193우6308-1-20240507-51</x:v>
      </x:c>
      <x:c r="D1064" s="24" t="str">
        <x:v>193우6308</x:v>
      </x:c>
      <x:c r="E1064" s="24" t="str">
        <x:v>권오현</x:v>
      </x:c>
      <x:c r="F1064" s="24" t="str">
        <x:v>2026-06</x:v>
      </x:c>
      <x:c r="G1064" s="30" t="n">
        <x:v>46183</x:v>
      </x:c>
      <x:c r="H1064" s="32" t="n">
        <x:v>700000</x:v>
      </x:c>
      <x:c r="I1064" s="32" t="n">
        <x:v>700000</x:v>
      </x:c>
      <x:c r="J1064" s="32" t="n">
        <x:v>0</x:v>
      </x:c>
      <x:c r="K1064" s="30" t="n">
        <x:v>46184</x:v>
      </x:c>
      <x:c r="L1064" s="24" t="str">
        <x:v>입금</x:v>
      </x:c>
      <x:c r="M1064" s="31" t="n">
        <x:f>IF(AND(N1064="미수",G1064&lt;&gt;"",TODAY()&gt;G1064),TODAY()-G1064,0)</x:f>
        <x:v>0</x:v>
      </x:c>
      <x:c r="N1064" s="24" t="str">
        <x:f>IF(J1064&gt;0,"미수",IF(AND(H1064&gt;0,I1064&gt;=H1064),"완납","미확인"))</x:f>
        <x:v>완납</x:v>
      </x:c>
      <x:c r="O1064" s="31" t="n">
        <x:v>51</x:v>
      </x:c>
    </x:row>
    <x:row r="1065" ht="17.25" customHeight="1">
      <x:c r="A1065" s="24" t="str">
        <x:v>SW-B-193우6308-202605</x:v>
      </x:c>
      <x:c r="B1065" s="24" t="str">
        <x:v>스위치플랜</x:v>
      </x:c>
      <x:c r="C1065" s="24" t="str">
        <x:v>SW-C-193우6308-1-20240507-51</x:v>
      </x:c>
      <x:c r="D1065" s="24" t="str">
        <x:v>193우6308</x:v>
      </x:c>
      <x:c r="E1065" s="24" t="str">
        <x:v>권오현</x:v>
      </x:c>
      <x:c r="F1065" s="24" t="str">
        <x:v>2026-05</x:v>
      </x:c>
      <x:c r="G1065" s="30" t="n">
        <x:v>46152</x:v>
      </x:c>
      <x:c r="H1065" s="32" t="n">
        <x:v>700000</x:v>
      </x:c>
      <x:c r="I1065" s="32" t="n">
        <x:v>700000</x:v>
      </x:c>
      <x:c r="J1065" s="32" t="n">
        <x:v>0</x:v>
      </x:c>
      <x:c r="K1065" s="30" t="n">
        <x:v>46153</x:v>
      </x:c>
      <x:c r="L1065" s="24" t="str">
        <x:v>입금</x:v>
      </x:c>
      <x:c r="M1065" s="31" t="n">
        <x:f>IF(AND(N1065="미수",G1065&lt;&gt;"",TODAY()&gt;G1065),TODAY()-G1065,0)</x:f>
        <x:v>0</x:v>
      </x:c>
      <x:c r="N1065" s="24" t="str">
        <x:f>IF(J1065&gt;0,"미수",IF(AND(H1065&gt;0,I1065&gt;=H1065),"완납","미확인"))</x:f>
        <x:v>완납</x:v>
      </x:c>
      <x:c r="O1065" s="31" t="n">
        <x:v>51</x:v>
      </x:c>
    </x:row>
    <x:row r="1066" ht="17.25" customHeight="1">
      <x:c r="A1066" s="24" t="str">
        <x:v>SW-B-193우6308-202604</x:v>
      </x:c>
      <x:c r="B1066" s="24" t="str">
        <x:v>스위치플랜</x:v>
      </x:c>
      <x:c r="C1066" s="24" t="str">
        <x:v>SW-C-193우6308-1-20240507-51</x:v>
      </x:c>
      <x:c r="D1066" s="24" t="str">
        <x:v>193우6308</x:v>
      </x:c>
      <x:c r="E1066" s="24" t="str">
        <x:v>권오현</x:v>
      </x:c>
      <x:c r="F1066" s="24" t="str">
        <x:v>2026-04</x:v>
      </x:c>
      <x:c r="G1066" s="30" t="n">
        <x:v>46122</x:v>
      </x:c>
      <x:c r="H1066" s="32" t="n">
        <x:v>700000</x:v>
      </x:c>
      <x:c r="I1066" s="32" t="n">
        <x:v>700000</x:v>
      </x:c>
      <x:c r="J1066" s="32" t="n">
        <x:v>0</x:v>
      </x:c>
      <x:c r="K1066" s="30" t="n">
        <x:v>46123</x:v>
      </x:c>
      <x:c r="L1066" s="24" t="str">
        <x:v>입금</x:v>
      </x:c>
      <x:c r="M1066" s="31" t="n">
        <x:f>IF(AND(N1066="미수",G1066&lt;&gt;"",TODAY()&gt;G1066),TODAY()-G1066,0)</x:f>
        <x:v>0</x:v>
      </x:c>
      <x:c r="N1066" s="24" t="str">
        <x:f>IF(J1066&gt;0,"미수",IF(AND(H1066&gt;0,I1066&gt;=H1066),"완납","미확인"))</x:f>
        <x:v>완납</x:v>
      </x:c>
      <x:c r="O1066" s="31" t="n">
        <x:v>51</x:v>
      </x:c>
    </x:row>
    <x:row r="1067" ht="17.25" customHeight="1">
      <x:c r="A1067" s="24" t="str">
        <x:v>SW-B-193우6308-202603</x:v>
      </x:c>
      <x:c r="B1067" s="24" t="str">
        <x:v>스위치플랜</x:v>
      </x:c>
      <x:c r="C1067" s="24" t="str">
        <x:v>SW-C-193우6308-1-20240507-51</x:v>
      </x:c>
      <x:c r="D1067" s="24" t="str">
        <x:v>193우6308</x:v>
      </x:c>
      <x:c r="E1067" s="24" t="str">
        <x:v>권오현</x:v>
      </x:c>
      <x:c r="F1067" s="24" t="str">
        <x:v>2026-03</x:v>
      </x:c>
      <x:c r="G1067" s="30" t="n">
        <x:v>46091</x:v>
      </x:c>
      <x:c r="H1067" s="32" t="n">
        <x:v>700000</x:v>
      </x:c>
      <x:c r="I1067" s="32" t="n">
        <x:v>700000</x:v>
      </x:c>
      <x:c r="J1067" s="32" t="n">
        <x:v>0</x:v>
      </x:c>
      <x:c r="K1067" s="30" t="n">
        <x:v>46091</x:v>
      </x:c>
      <x:c r="L1067" s="24" t="str">
        <x:v>입금</x:v>
      </x:c>
      <x:c r="M1067" s="31" t="n">
        <x:f>IF(AND(N1067="미수",G1067&lt;&gt;"",TODAY()&gt;G1067),TODAY()-G1067,0)</x:f>
        <x:v>0</x:v>
      </x:c>
      <x:c r="N1067" s="24" t="str">
        <x:f>IF(J1067&gt;0,"미수",IF(AND(H1067&gt;0,I1067&gt;=H1067),"완납","미확인"))</x:f>
        <x:v>완납</x:v>
      </x:c>
      <x:c r="O1067" s="31" t="n">
        <x:v>51</x:v>
      </x:c>
    </x:row>
    <x:row r="1068" ht="17.25" customHeight="1">
      <x:c r="A1068" s="24" t="str">
        <x:v>SW-B-193우6308-202602</x:v>
      </x:c>
      <x:c r="B1068" s="24" t="str">
        <x:v>스위치플랜</x:v>
      </x:c>
      <x:c r="C1068" s="24" t="str">
        <x:v>SW-C-193우6308-1-20240507-51</x:v>
      </x:c>
      <x:c r="D1068" s="24" t="str">
        <x:v>193우6308</x:v>
      </x:c>
      <x:c r="E1068" s="24" t="str">
        <x:v>권오현</x:v>
      </x:c>
      <x:c r="F1068" s="24" t="str">
        <x:v>2026-02</x:v>
      </x:c>
      <x:c r="G1068" s="30" t="n">
        <x:v>46063</x:v>
      </x:c>
      <x:c r="H1068" s="32" t="n">
        <x:v>700000</x:v>
      </x:c>
      <x:c r="I1068" s="32" t="n">
        <x:v>700000</x:v>
      </x:c>
      <x:c r="J1068" s="32" t="n">
        <x:v>0</x:v>
      </x:c>
      <x:c r="K1068" s="30" t="n">
        <x:v>46063</x:v>
      </x:c>
      <x:c r="L1068" s="24" t="str">
        <x:v>입금</x:v>
      </x:c>
      <x:c r="M1068" s="31" t="n">
        <x:f>IF(AND(N1068="미수",G1068&lt;&gt;"",TODAY()&gt;G1068),TODAY()-G1068,0)</x:f>
        <x:v>0</x:v>
      </x:c>
      <x:c r="N1068" s="24" t="str">
        <x:f>IF(J1068&gt;0,"미수",IF(AND(H1068&gt;0,I1068&gt;=H1068),"완납","미확인"))</x:f>
        <x:v>완납</x:v>
      </x:c>
      <x:c r="O1068" s="31" t="n">
        <x:v>51</x:v>
      </x:c>
    </x:row>
    <x:row r="1069" ht="17.25" customHeight="1">
      <x:c r="A1069" s="24" t="str">
        <x:v>SW-B-193우6308-202601</x:v>
      </x:c>
      <x:c r="B1069" s="24" t="str">
        <x:v>스위치플랜</x:v>
      </x:c>
      <x:c r="C1069" s="24" t="str">
        <x:v>SW-C-193우6308-1-20240507-51</x:v>
      </x:c>
      <x:c r="D1069" s="24" t="str">
        <x:v>193우6308</x:v>
      </x:c>
      <x:c r="E1069" s="24" t="str">
        <x:v>권오현</x:v>
      </x:c>
      <x:c r="F1069" s="24" t="str">
        <x:v>2026-01</x:v>
      </x:c>
      <x:c r="G1069" s="30" t="n">
        <x:v>46032</x:v>
      </x:c>
      <x:c r="H1069" s="32" t="n">
        <x:v>700000</x:v>
      </x:c>
      <x:c r="I1069" s="32" t="n">
        <x:v>700000</x:v>
      </x:c>
      <x:c r="J1069" s="32" t="n">
        <x:v>0</x:v>
      </x:c>
      <x:c r="K1069" s="30" t="n">
        <x:v>46033</x:v>
      </x:c>
      <x:c r="L1069" s="24" t="str">
        <x:v>입금</x:v>
      </x:c>
      <x:c r="M1069" s="31" t="n">
        <x:f>IF(AND(N1069="미수",G1069&lt;&gt;"",TODAY()&gt;G1069),TODAY()-G1069,0)</x:f>
        <x:v>0</x:v>
      </x:c>
      <x:c r="N1069" s="24" t="str">
        <x:f>IF(J1069&gt;0,"미수",IF(AND(H1069&gt;0,I1069&gt;=H1069),"완납","미확인"))</x:f>
        <x:v>완납</x:v>
      </x:c>
      <x:c r="O1069" s="31" t="n">
        <x:v>51</x:v>
      </x:c>
    </x:row>
    <x:row r="1070" ht="17.25" customHeight="1">
      <x:c r="A1070" s="24" t="str">
        <x:v>SW-B-193우6308-202512</x:v>
      </x:c>
      <x:c r="B1070" s="24" t="str">
        <x:v>스위치플랜</x:v>
      </x:c>
      <x:c r="C1070" s="24" t="str">
        <x:v>SW-C-193우6308-1-20240507-51</x:v>
      </x:c>
      <x:c r="D1070" s="24" t="str">
        <x:v>193우6308</x:v>
      </x:c>
      <x:c r="E1070" s="24" t="str">
        <x:v>권오현</x:v>
      </x:c>
      <x:c r="F1070" s="24" t="str">
        <x:v>2025-12</x:v>
      </x:c>
      <x:c r="G1070" s="30" t="n">
        <x:v>46001</x:v>
      </x:c>
      <x:c r="H1070" s="32" t="n">
        <x:v>700000</x:v>
      </x:c>
      <x:c r="I1070" s="32" t="n">
        <x:v>700000</x:v>
      </x:c>
      <x:c r="J1070" s="32" t="n">
        <x:v>0</x:v>
      </x:c>
      <x:c r="K1070" s="30" t="n">
        <x:v>46001</x:v>
      </x:c>
      <x:c r="L1070" s="24" t="str">
        <x:v>입금</x:v>
      </x:c>
      <x:c r="M1070" s="31" t="n">
        <x:f>IF(AND(N1070="미수",G1070&lt;&gt;"",TODAY()&gt;G1070),TODAY()-G1070,0)</x:f>
        <x:v>0</x:v>
      </x:c>
      <x:c r="N1070" s="24" t="str">
        <x:f>IF(J1070&gt;0,"미수",IF(AND(H1070&gt;0,I1070&gt;=H1070),"완납","미확인"))</x:f>
        <x:v>완납</x:v>
      </x:c>
      <x:c r="O1070" s="31" t="n">
        <x:v>51</x:v>
      </x:c>
    </x:row>
    <x:row r="1071" ht="17.25" customHeight="1">
      <x:c r="A1071" s="24" t="str">
        <x:v>SW-B-193우6308-202511</x:v>
      </x:c>
      <x:c r="B1071" s="24" t="str">
        <x:v>스위치플랜</x:v>
      </x:c>
      <x:c r="C1071" s="24" t="str">
        <x:v>SW-C-193우6308-1-20240507-51</x:v>
      </x:c>
      <x:c r="D1071" s="24" t="str">
        <x:v>193우6308</x:v>
      </x:c>
      <x:c r="E1071" s="24" t="str">
        <x:v>권오현</x:v>
      </x:c>
      <x:c r="F1071" s="24" t="str">
        <x:v>2025-11</x:v>
      </x:c>
      <x:c r="G1071" s="30" t="n">
        <x:v>45971</x:v>
      </x:c>
      <x:c r="H1071" s="32" t="n">
        <x:v>700000</x:v>
      </x:c>
      <x:c r="I1071" s="32" t="n">
        <x:v>700000</x:v>
      </x:c>
      <x:c r="J1071" s="32" t="n">
        <x:v>0</x:v>
      </x:c>
      <x:c r="K1071" s="30" t="n">
        <x:v>45971</x:v>
      </x:c>
      <x:c r="L1071" s="24" t="str">
        <x:v>입금</x:v>
      </x:c>
      <x:c r="M1071" s="31" t="n">
        <x:f>IF(AND(N1071="미수",G1071&lt;&gt;"",TODAY()&gt;G1071),TODAY()-G1071,0)</x:f>
        <x:v>0</x:v>
      </x:c>
      <x:c r="N1071" s="24" t="str">
        <x:f>IF(J1071&gt;0,"미수",IF(AND(H1071&gt;0,I1071&gt;=H1071),"완납","미확인"))</x:f>
        <x:v>완납</x:v>
      </x:c>
      <x:c r="O1071" s="31" t="n">
        <x:v>51</x:v>
      </x:c>
    </x:row>
    <x:row r="1072" ht="17.25" customHeight="1">
      <x:c r="A1072" s="24" t="str">
        <x:v>SW-B-193우6308-202510</x:v>
      </x:c>
      <x:c r="B1072" s="24" t="str">
        <x:v>스위치플랜</x:v>
      </x:c>
      <x:c r="C1072" s="24" t="str">
        <x:v>SW-C-193우6308-1-20240507-51</x:v>
      </x:c>
      <x:c r="D1072" s="24" t="str">
        <x:v>193우6308</x:v>
      </x:c>
      <x:c r="E1072" s="24" t="str">
        <x:v>권오현</x:v>
      </x:c>
      <x:c r="F1072" s="24" t="str">
        <x:v>2025-10</x:v>
      </x:c>
      <x:c r="G1072" s="30" t="n">
        <x:v>45940</x:v>
      </x:c>
      <x:c r="H1072" s="32" t="n">
        <x:v>700000</x:v>
      </x:c>
      <x:c r="I1072" s="32" t="n">
        <x:v>700000</x:v>
      </x:c>
      <x:c r="J1072" s="32" t="n">
        <x:v>0</x:v>
      </x:c>
      <x:c r="K1072" s="30" t="n">
        <x:v>45940</x:v>
      </x:c>
      <x:c r="L1072" s="24" t="str">
        <x:v>입금</x:v>
      </x:c>
      <x:c r="M1072" s="31" t="n">
        <x:f>IF(AND(N1072="미수",G1072&lt;&gt;"",TODAY()&gt;G1072),TODAY()-G1072,0)</x:f>
        <x:v>0</x:v>
      </x:c>
      <x:c r="N1072" s="24" t="str">
        <x:f>IF(J1072&gt;0,"미수",IF(AND(H1072&gt;0,I1072&gt;=H1072),"완납","미확인"))</x:f>
        <x:v>완납</x:v>
      </x:c>
      <x:c r="O1072" s="31" t="n">
        <x:v>51</x:v>
      </x:c>
    </x:row>
    <x:row r="1073" ht="17.25" customHeight="1">
      <x:c r="A1073" s="24" t="str">
        <x:v>SW-B-193우6308-202509</x:v>
      </x:c>
      <x:c r="B1073" s="24" t="str">
        <x:v>스위치플랜</x:v>
      </x:c>
      <x:c r="C1073" s="24" t="str">
        <x:v>SW-C-193우6308-1-20240507-51</x:v>
      </x:c>
      <x:c r="D1073" s="24" t="str">
        <x:v>193우6308</x:v>
      </x:c>
      <x:c r="E1073" s="24" t="str">
        <x:v>권오현</x:v>
      </x:c>
      <x:c r="F1073" s="24" t="str">
        <x:v>2025-09</x:v>
      </x:c>
      <x:c r="G1073" s="30" t="n">
        <x:v>45910</x:v>
      </x:c>
      <x:c r="H1073" s="32" t="n">
        <x:v>700000</x:v>
      </x:c>
      <x:c r="I1073" s="32" t="n">
        <x:v>700000</x:v>
      </x:c>
      <x:c r="J1073" s="32" t="n">
        <x:v>0</x:v>
      </x:c>
      <x:c r="K1073" s="30" t="n">
        <x:v>45910</x:v>
      </x:c>
      <x:c r="L1073" s="24" t="str">
        <x:v>입금</x:v>
      </x:c>
      <x:c r="M1073" s="31" t="n">
        <x:f>IF(AND(N1073="미수",G1073&lt;&gt;"",TODAY()&gt;G1073),TODAY()-G1073,0)</x:f>
        <x:v>0</x:v>
      </x:c>
      <x:c r="N1073" s="24" t="str">
        <x:f>IF(J1073&gt;0,"미수",IF(AND(H1073&gt;0,I1073&gt;=H1073),"완납","미확인"))</x:f>
        <x:v>완납</x:v>
      </x:c>
      <x:c r="O1073" s="31" t="n">
        <x:v>51</x:v>
      </x:c>
    </x:row>
    <x:row r="1074" ht="17.25" customHeight="1">
      <x:c r="A1074" s="24" t="str">
        <x:v>SW-B-193우6308-202508</x:v>
      </x:c>
      <x:c r="B1074" s="24" t="str">
        <x:v>스위치플랜</x:v>
      </x:c>
      <x:c r="C1074" s="24" t="str">
        <x:v>SW-C-193우6308-1-20240507-51</x:v>
      </x:c>
      <x:c r="D1074" s="24" t="str">
        <x:v>193우6308</x:v>
      </x:c>
      <x:c r="E1074" s="24" t="str">
        <x:v>권오현</x:v>
      </x:c>
      <x:c r="F1074" s="24" t="str">
        <x:v>2025-08</x:v>
      </x:c>
      <x:c r="G1074" s="30" t="n">
        <x:v>45879</x:v>
      </x:c>
      <x:c r="H1074" s="32" t="n">
        <x:v>700000</x:v>
      </x:c>
      <x:c r="I1074" s="32" t="n">
        <x:v>700000</x:v>
      </x:c>
      <x:c r="J1074" s="32" t="n">
        <x:v>0</x:v>
      </x:c>
      <x:c r="K1074" s="30" t="n">
        <x:v>45879</x:v>
      </x:c>
      <x:c r="L1074" s="24" t="str">
        <x:v>입금</x:v>
      </x:c>
      <x:c r="M1074" s="31" t="n">
        <x:f>IF(AND(N1074="미수",G1074&lt;&gt;"",TODAY()&gt;G1074),TODAY()-G1074,0)</x:f>
        <x:v>0</x:v>
      </x:c>
      <x:c r="N1074" s="24" t="str">
        <x:f>IF(J1074&gt;0,"미수",IF(AND(H1074&gt;0,I1074&gt;=H1074),"완납","미확인"))</x:f>
        <x:v>완납</x:v>
      </x:c>
      <x:c r="O1074" s="31" t="n">
        <x:v>51</x:v>
      </x:c>
    </x:row>
    <x:row r="1075" ht="17.25" customHeight="1">
      <x:c r="A1075" s="24" t="str">
        <x:v>SW-B-193우6308-202507</x:v>
      </x:c>
      <x:c r="B1075" s="24" t="str">
        <x:v>스위치플랜</x:v>
      </x:c>
      <x:c r="C1075" s="24" t="str">
        <x:v>SW-C-193우6308-1-20240507-51</x:v>
      </x:c>
      <x:c r="D1075" s="24" t="str">
        <x:v>193우6308</x:v>
      </x:c>
      <x:c r="E1075" s="24" t="str">
        <x:v>권오현</x:v>
      </x:c>
      <x:c r="F1075" s="24" t="str">
        <x:v>2025-07</x:v>
      </x:c>
      <x:c r="G1075" s="30" t="n">
        <x:v>45848</x:v>
      </x:c>
      <x:c r="H1075" s="32" t="n">
        <x:v>700000</x:v>
      </x:c>
      <x:c r="I1075" s="32" t="n">
        <x:v>700000</x:v>
      </x:c>
      <x:c r="J1075" s="32" t="n">
        <x:v>0</x:v>
      </x:c>
      <x:c r="K1075" s="30" t="n">
        <x:v>45848</x:v>
      </x:c>
      <x:c r="L1075" s="24" t="str">
        <x:v>입금</x:v>
      </x:c>
      <x:c r="M1075" s="31" t="n">
        <x:f>IF(AND(N1075="미수",G1075&lt;&gt;"",TODAY()&gt;G1075),TODAY()-G1075,0)</x:f>
        <x:v>0</x:v>
      </x:c>
      <x:c r="N1075" s="24" t="str">
        <x:f>IF(J1075&gt;0,"미수",IF(AND(H1075&gt;0,I1075&gt;=H1075),"완납","미확인"))</x:f>
        <x:v>완납</x:v>
      </x:c>
      <x:c r="O1075" s="31" t="n">
        <x:v>51</x:v>
      </x:c>
    </x:row>
    <x:row r="1076" ht="17.25" customHeight="1">
      <x:c r="A1076" s="24" t="str">
        <x:v>SW-B-193우6308-202506</x:v>
      </x:c>
      <x:c r="B1076" s="24" t="str">
        <x:v>스위치플랜</x:v>
      </x:c>
      <x:c r="C1076" s="24" t="str">
        <x:v>SW-C-193우6308-1-20240507-51</x:v>
      </x:c>
      <x:c r="D1076" s="24" t="str">
        <x:v>193우6308</x:v>
      </x:c>
      <x:c r="E1076" s="24" t="str">
        <x:v>권오현</x:v>
      </x:c>
      <x:c r="F1076" s="24" t="str">
        <x:v>2025-06</x:v>
      </x:c>
      <x:c r="G1076" s="30" t="n">
        <x:v>45818</x:v>
      </x:c>
      <x:c r="H1076" s="32" t="n">
        <x:v>700000</x:v>
      </x:c>
      <x:c r="I1076" s="32" t="n">
        <x:v>700000</x:v>
      </x:c>
      <x:c r="J1076" s="32" t="n">
        <x:v>0</x:v>
      </x:c>
      <x:c r="K1076" s="30" t="n">
        <x:v>45818</x:v>
      </x:c>
      <x:c r="L1076" s="24" t="str">
        <x:v>입금</x:v>
      </x:c>
      <x:c r="M1076" s="31" t="n">
        <x:f>IF(AND(N1076="미수",G1076&lt;&gt;"",TODAY()&gt;G1076),TODAY()-G1076,0)</x:f>
        <x:v>0</x:v>
      </x:c>
      <x:c r="N1076" s="24" t="str">
        <x:f>IF(J1076&gt;0,"미수",IF(AND(H1076&gt;0,I1076&gt;=H1076),"완납","미확인"))</x:f>
        <x:v>완납</x:v>
      </x:c>
      <x:c r="O1076" s="31" t="n">
        <x:v>51</x:v>
      </x:c>
    </x:row>
    <x:row r="1077" ht="17.25" customHeight="1">
      <x:c r="A1077" s="24" t="str">
        <x:v>SW-B-193우6308-202505</x:v>
      </x:c>
      <x:c r="B1077" s="24" t="str">
        <x:v>스위치플랜</x:v>
      </x:c>
      <x:c r="C1077" s="24" t="str">
        <x:v>SW-C-193우6308-1-20240507-51</x:v>
      </x:c>
      <x:c r="D1077" s="24" t="str">
        <x:v>193우6308</x:v>
      </x:c>
      <x:c r="E1077" s="24" t="str">
        <x:v>권오현</x:v>
      </x:c>
      <x:c r="F1077" s="24" t="str">
        <x:v>2025-05</x:v>
      </x:c>
      <x:c r="G1077" s="30" t="n">
        <x:v>45787</x:v>
      </x:c>
      <x:c r="H1077" s="32" t="n">
        <x:v>700000</x:v>
      </x:c>
      <x:c r="I1077" s="32" t="n">
        <x:v>700000</x:v>
      </x:c>
      <x:c r="J1077" s="32" t="n">
        <x:v>0</x:v>
      </x:c>
      <x:c r="K1077" s="30" t="n">
        <x:v>45787</x:v>
      </x:c>
      <x:c r="L1077" s="24" t="str">
        <x:v>입금</x:v>
      </x:c>
      <x:c r="M1077" s="31" t="n">
        <x:f>IF(AND(N1077="미수",G1077&lt;&gt;"",TODAY()&gt;G1077),TODAY()-G1077,0)</x:f>
        <x:v>0</x:v>
      </x:c>
      <x:c r="N1077" s="24" t="str">
        <x:f>IF(J1077&gt;0,"미수",IF(AND(H1077&gt;0,I1077&gt;=H1077),"완납","미확인"))</x:f>
        <x:v>완납</x:v>
      </x:c>
      <x:c r="O1077" s="31" t="n">
        <x:v>51</x:v>
      </x:c>
    </x:row>
    <x:row r="1078" ht="17.25" customHeight="1">
      <x:c r="A1078" s="24" t="str">
        <x:v>SW-B-193우6308-202504</x:v>
      </x:c>
      <x:c r="B1078" s="24" t="str">
        <x:v>스위치플랜</x:v>
      </x:c>
      <x:c r="C1078" s="24" t="str">
        <x:v>SW-C-193우6308-1-20240507-51</x:v>
      </x:c>
      <x:c r="D1078" s="24" t="str">
        <x:v>193우6308</x:v>
      </x:c>
      <x:c r="E1078" s="24" t="str">
        <x:v>권오현</x:v>
      </x:c>
      <x:c r="F1078" s="24" t="str">
        <x:v>2025-04</x:v>
      </x:c>
      <x:c r="G1078" s="30" t="n">
        <x:v>45757</x:v>
      </x:c>
      <x:c r="H1078" s="32" t="n">
        <x:v>700000</x:v>
      </x:c>
      <x:c r="I1078" s="32" t="n">
        <x:v>700000</x:v>
      </x:c>
      <x:c r="J1078" s="32" t="n">
        <x:v>0</x:v>
      </x:c>
      <x:c r="K1078" s="30" t="n">
        <x:v>45757</x:v>
      </x:c>
      <x:c r="L1078" s="24" t="str">
        <x:v>입금</x:v>
      </x:c>
      <x:c r="M1078" s="31" t="n">
        <x:f>IF(AND(N1078="미수",G1078&lt;&gt;"",TODAY()&gt;G1078),TODAY()-G1078,0)</x:f>
        <x:v>0</x:v>
      </x:c>
      <x:c r="N1078" s="24" t="str">
        <x:f>IF(J1078&gt;0,"미수",IF(AND(H1078&gt;0,I1078&gt;=H1078),"완납","미확인"))</x:f>
        <x:v>완납</x:v>
      </x:c>
      <x:c r="O1078" s="31" t="n">
        <x:v>51</x:v>
      </x:c>
    </x:row>
    <x:row r="1079" ht="17.25" customHeight="1">
      <x:c r="A1079" s="24" t="str">
        <x:v>SW-B-193우6308-202503</x:v>
      </x:c>
      <x:c r="B1079" s="24" t="str">
        <x:v>스위치플랜</x:v>
      </x:c>
      <x:c r="C1079" s="24" t="str">
        <x:v>SW-C-193우6308-1-20240507-51</x:v>
      </x:c>
      <x:c r="D1079" s="24" t="str">
        <x:v>193우6308</x:v>
      </x:c>
      <x:c r="E1079" s="24" t="str">
        <x:v>권오현</x:v>
      </x:c>
      <x:c r="F1079" s="24" t="str">
        <x:v>2025-03</x:v>
      </x:c>
      <x:c r="G1079" s="30" t="n">
        <x:v>45726</x:v>
      </x:c>
      <x:c r="H1079" s="32" t="n">
        <x:v>700000</x:v>
      </x:c>
      <x:c r="I1079" s="32" t="n">
        <x:v>700000</x:v>
      </x:c>
      <x:c r="J1079" s="32" t="n">
        <x:v>0</x:v>
      </x:c>
      <x:c r="K1079" s="30" t="n">
        <x:v>45726</x:v>
      </x:c>
      <x:c r="L1079" s="24" t="str">
        <x:v>입금</x:v>
      </x:c>
      <x:c r="M1079" s="31" t="n">
        <x:f>IF(AND(N1079="미수",G1079&lt;&gt;"",TODAY()&gt;G1079),TODAY()-G1079,0)</x:f>
        <x:v>0</x:v>
      </x:c>
      <x:c r="N1079" s="24" t="str">
        <x:f>IF(J1079&gt;0,"미수",IF(AND(H1079&gt;0,I1079&gt;=H1079),"완납","미확인"))</x:f>
        <x:v>완납</x:v>
      </x:c>
      <x:c r="O1079" s="31" t="n">
        <x:v>51</x:v>
      </x:c>
    </x:row>
    <x:row r="1080" ht="17.25" customHeight="1">
      <x:c r="A1080" s="24" t="str">
        <x:v>SW-B-193우6308-202502</x:v>
      </x:c>
      <x:c r="B1080" s="24" t="str">
        <x:v>스위치플랜</x:v>
      </x:c>
      <x:c r="C1080" s="24" t="str">
        <x:v>SW-C-193우6308-1-20240507-51</x:v>
      </x:c>
      <x:c r="D1080" s="24" t="str">
        <x:v>193우6308</x:v>
      </x:c>
      <x:c r="E1080" s="24" t="str">
        <x:v>권오현</x:v>
      </x:c>
      <x:c r="F1080" s="24" t="str">
        <x:v>2025-02</x:v>
      </x:c>
      <x:c r="G1080" s="30" t="n">
        <x:v>45698</x:v>
      </x:c>
      <x:c r="H1080" s="32" t="n">
        <x:v>700000</x:v>
      </x:c>
      <x:c r="I1080" s="32" t="n">
        <x:v>700000</x:v>
      </x:c>
      <x:c r="J1080" s="32" t="n">
        <x:v>0</x:v>
      </x:c>
      <x:c r="K1080" s="30" t="n">
        <x:v>45698</x:v>
      </x:c>
      <x:c r="L1080" s="24" t="str">
        <x:v>입금</x:v>
      </x:c>
      <x:c r="M1080" s="31" t="n">
        <x:f>IF(AND(N1080="미수",G1080&lt;&gt;"",TODAY()&gt;G1080),TODAY()-G1080,0)</x:f>
        <x:v>0</x:v>
      </x:c>
      <x:c r="N1080" s="24" t="str">
        <x:f>IF(J1080&gt;0,"미수",IF(AND(H1080&gt;0,I1080&gt;=H1080),"완납","미확인"))</x:f>
        <x:v>완납</x:v>
      </x:c>
      <x:c r="O1080" s="31" t="n">
        <x:v>51</x:v>
      </x:c>
    </x:row>
    <x:row r="1081" ht="17.25" customHeight="1">
      <x:c r="A1081" s="24" t="str">
        <x:v>SW-B-193우6308-202501</x:v>
      </x:c>
      <x:c r="B1081" s="24" t="str">
        <x:v>스위치플랜</x:v>
      </x:c>
      <x:c r="C1081" s="24" t="str">
        <x:v>SW-C-193우6308-1-20240507-51</x:v>
      </x:c>
      <x:c r="D1081" s="24" t="str">
        <x:v>193우6308</x:v>
      </x:c>
      <x:c r="E1081" s="24" t="str">
        <x:v>권오현</x:v>
      </x:c>
      <x:c r="F1081" s="24" t="str">
        <x:v>2025-01</x:v>
      </x:c>
      <x:c r="G1081" s="30" t="n">
        <x:v>45667</x:v>
      </x:c>
      <x:c r="H1081" s="32" t="n">
        <x:v>700000</x:v>
      </x:c>
      <x:c r="I1081" s="32" t="n">
        <x:v>700000</x:v>
      </x:c>
      <x:c r="J1081" s="32" t="n">
        <x:v>0</x:v>
      </x:c>
      <x:c r="K1081" s="30" t="n">
        <x:v>45667</x:v>
      </x:c>
      <x:c r="L1081" s="24" t="str">
        <x:v>입금</x:v>
      </x:c>
      <x:c r="M1081" s="31" t="n">
        <x:f>IF(AND(N1081="미수",G1081&lt;&gt;"",TODAY()&gt;G1081),TODAY()-G1081,0)</x:f>
        <x:v>0</x:v>
      </x:c>
      <x:c r="N1081" s="24" t="str">
        <x:f>IF(J1081&gt;0,"미수",IF(AND(H1081&gt;0,I1081&gt;=H1081),"완납","미확인"))</x:f>
        <x:v>완납</x:v>
      </x:c>
      <x:c r="O1081" s="31" t="n">
        <x:v>51</x:v>
      </x:c>
    </x:row>
    <x:row r="1082" ht="17.25" customHeight="1">
      <x:c r="A1082" s="24" t="str">
        <x:v>SW-B-193우6308-202412</x:v>
      </x:c>
      <x:c r="B1082" s="24" t="str">
        <x:v>스위치플랜</x:v>
      </x:c>
      <x:c r="C1082" s="24" t="str">
        <x:v>SW-C-193우6308-1-20240507-51</x:v>
      </x:c>
      <x:c r="D1082" s="24" t="str">
        <x:v>193우6308</x:v>
      </x:c>
      <x:c r="E1082" s="24" t="str">
        <x:v>권오현</x:v>
      </x:c>
      <x:c r="F1082" s="24" t="str">
        <x:v>2024-12</x:v>
      </x:c>
      <x:c r="G1082" s="30" t="n">
        <x:v>45636</x:v>
      </x:c>
      <x:c r="H1082" s="32" t="n">
        <x:v>700000</x:v>
      </x:c>
      <x:c r="I1082" s="32" t="n">
        <x:v>700000</x:v>
      </x:c>
      <x:c r="J1082" s="32" t="n">
        <x:v>0</x:v>
      </x:c>
      <x:c r="K1082" s="30" t="n">
        <x:v>45636</x:v>
      </x:c>
      <x:c r="L1082" s="24" t="str">
        <x:v>입금</x:v>
      </x:c>
      <x:c r="M1082" s="31" t="n">
        <x:f>IF(AND(N1082="미수",G1082&lt;&gt;"",TODAY()&gt;G1082),TODAY()-G1082,0)</x:f>
        <x:v>0</x:v>
      </x:c>
      <x:c r="N1082" s="24" t="str">
        <x:f>IF(J1082&gt;0,"미수",IF(AND(H1082&gt;0,I1082&gt;=H1082),"완납","미확인"))</x:f>
        <x:v>완납</x:v>
      </x:c>
      <x:c r="O1082" s="31" t="n">
        <x:v>51</x:v>
      </x:c>
    </x:row>
    <x:row r="1083" ht="17.25" customHeight="1">
      <x:c r="A1083" s="24" t="str">
        <x:v>SW-B-193우6308-202411</x:v>
      </x:c>
      <x:c r="B1083" s="24" t="str">
        <x:v>스위치플랜</x:v>
      </x:c>
      <x:c r="C1083" s="24" t="str">
        <x:v>SW-C-193우6308-1-20240507-51</x:v>
      </x:c>
      <x:c r="D1083" s="24" t="str">
        <x:v>193우6308</x:v>
      </x:c>
      <x:c r="E1083" s="24" t="str">
        <x:v>권오현</x:v>
      </x:c>
      <x:c r="F1083" s="24" t="str">
        <x:v>2024-11</x:v>
      </x:c>
      <x:c r="G1083" s="30" t="n">
        <x:v>45606</x:v>
      </x:c>
      <x:c r="H1083" s="32" t="n">
        <x:v>700000</x:v>
      </x:c>
      <x:c r="I1083" s="32" t="n">
        <x:v>700000</x:v>
      </x:c>
      <x:c r="J1083" s="32" t="n">
        <x:v>0</x:v>
      </x:c>
      <x:c r="K1083" s="30" t="n">
        <x:v>45606</x:v>
      </x:c>
      <x:c r="L1083" s="24" t="str">
        <x:v>입금</x:v>
      </x:c>
      <x:c r="M1083" s="31" t="n">
        <x:f>IF(AND(N1083="미수",G1083&lt;&gt;"",TODAY()&gt;G1083),TODAY()-G1083,0)</x:f>
        <x:v>0</x:v>
      </x:c>
      <x:c r="N1083" s="24" t="str">
        <x:f>IF(J1083&gt;0,"미수",IF(AND(H1083&gt;0,I1083&gt;=H1083),"완납","미확인"))</x:f>
        <x:v>완납</x:v>
      </x:c>
      <x:c r="O1083" s="31" t="n">
        <x:v>51</x:v>
      </x:c>
    </x:row>
    <x:row r="1084" ht="17.25" customHeight="1">
      <x:c r="A1084" s="24" t="str">
        <x:v>SW-B-193우6308-202410</x:v>
      </x:c>
      <x:c r="B1084" s="24" t="str">
        <x:v>스위치플랜</x:v>
      </x:c>
      <x:c r="C1084" s="24" t="str">
        <x:v>SW-C-193우6308-1-20240507-51</x:v>
      </x:c>
      <x:c r="D1084" s="24" t="str">
        <x:v>193우6308</x:v>
      </x:c>
      <x:c r="E1084" s="24" t="str">
        <x:v>권오현</x:v>
      </x:c>
      <x:c r="F1084" s="24" t="str">
        <x:v>2024-10</x:v>
      </x:c>
      <x:c r="G1084" s="30" t="n">
        <x:v>45575</x:v>
      </x:c>
      <x:c r="H1084" s="32" t="n">
        <x:v>700000</x:v>
      </x:c>
      <x:c r="I1084" s="32" t="n">
        <x:v>700000</x:v>
      </x:c>
      <x:c r="J1084" s="32" t="n">
        <x:v>0</x:v>
      </x:c>
      <x:c r="K1084" s="30" t="n">
        <x:v>45576</x:v>
      </x:c>
      <x:c r="L1084" s="24" t="str">
        <x:v>입금</x:v>
      </x:c>
      <x:c r="M1084" s="31" t="n">
        <x:f>IF(AND(N1084="미수",G1084&lt;&gt;"",TODAY()&gt;G1084),TODAY()-G1084,0)</x:f>
        <x:v>0</x:v>
      </x:c>
      <x:c r="N1084" s="24" t="str">
        <x:f>IF(J1084&gt;0,"미수",IF(AND(H1084&gt;0,I1084&gt;=H1084),"완납","미확인"))</x:f>
        <x:v>완납</x:v>
      </x:c>
      <x:c r="O1084" s="31" t="n">
        <x:v>51</x:v>
      </x:c>
    </x:row>
    <x:row r="1085" ht="17.25" customHeight="1">
      <x:c r="A1085" s="24" t="str">
        <x:v>SW-B-193우6308-202409</x:v>
      </x:c>
      <x:c r="B1085" s="24" t="str">
        <x:v>스위치플랜</x:v>
      </x:c>
      <x:c r="C1085" s="24" t="str">
        <x:v>SW-C-193우6308-1-20240507-51</x:v>
      </x:c>
      <x:c r="D1085" s="24" t="str">
        <x:v>193우6308</x:v>
      </x:c>
      <x:c r="E1085" s="24" t="str">
        <x:v>권오현</x:v>
      </x:c>
      <x:c r="F1085" s="24" t="str">
        <x:v>2024-09</x:v>
      </x:c>
      <x:c r="G1085" s="30" t="n">
        <x:v>45545</x:v>
      </x:c>
      <x:c r="H1085" s="32" t="n">
        <x:v>700000</x:v>
      </x:c>
      <x:c r="I1085" s="32" t="n">
        <x:v>700000</x:v>
      </x:c>
      <x:c r="J1085" s="32" t="n">
        <x:v>0</x:v>
      </x:c>
      <x:c r="K1085" s="30" t="n">
        <x:v>45545</x:v>
      </x:c>
      <x:c r="L1085" s="24" t="str">
        <x:v>입금</x:v>
      </x:c>
      <x:c r="M1085" s="31" t="n">
        <x:f>IF(AND(N1085="미수",G1085&lt;&gt;"",TODAY()&gt;G1085),TODAY()-G1085,0)</x:f>
        <x:v>0</x:v>
      </x:c>
      <x:c r="N1085" s="24" t="str">
        <x:f>IF(J1085&gt;0,"미수",IF(AND(H1085&gt;0,I1085&gt;=H1085),"완납","미확인"))</x:f>
        <x:v>완납</x:v>
      </x:c>
      <x:c r="O1085" s="31" t="n">
        <x:v>51</x:v>
      </x:c>
    </x:row>
    <x:row r="1086" ht="17.25" customHeight="1">
      <x:c r="A1086" s="24" t="str">
        <x:v>SW-B-193우6308-202408</x:v>
      </x:c>
      <x:c r="B1086" s="24" t="str">
        <x:v>스위치플랜</x:v>
      </x:c>
      <x:c r="C1086" s="24" t="str">
        <x:v>SW-C-193우6308-1-20240507-51</x:v>
      </x:c>
      <x:c r="D1086" s="24" t="str">
        <x:v>193우6308</x:v>
      </x:c>
      <x:c r="E1086" s="24" t="str">
        <x:v>권오현</x:v>
      </x:c>
      <x:c r="F1086" s="24" t="str">
        <x:v>2024-08</x:v>
      </x:c>
      <x:c r="G1086" s="30" t="n">
        <x:v>45514</x:v>
      </x:c>
      <x:c r="H1086" s="32" t="n">
        <x:v>700000</x:v>
      </x:c>
      <x:c r="I1086" s="32" t="n">
        <x:v>700000</x:v>
      </x:c>
      <x:c r="J1086" s="32" t="n">
        <x:v>0</x:v>
      </x:c>
      <x:c r="K1086" s="30" t="n">
        <x:v>45514</x:v>
      </x:c>
      <x:c r="L1086" s="24" t="str">
        <x:v>입금</x:v>
      </x:c>
      <x:c r="M1086" s="31" t="n">
        <x:f>IF(AND(N1086="미수",G1086&lt;&gt;"",TODAY()&gt;G1086),TODAY()-G1086,0)</x:f>
        <x:v>0</x:v>
      </x:c>
      <x:c r="N1086" s="24" t="str">
        <x:f>IF(J1086&gt;0,"미수",IF(AND(H1086&gt;0,I1086&gt;=H1086),"완납","미확인"))</x:f>
        <x:v>완납</x:v>
      </x:c>
      <x:c r="O1086" s="31" t="n">
        <x:v>51</x:v>
      </x:c>
    </x:row>
    <x:row r="1087" ht="17.25" customHeight="1">
      <x:c r="A1087" s="24" t="str">
        <x:v>SW-B-193우6308-202407</x:v>
      </x:c>
      <x:c r="B1087" s="24" t="str">
        <x:v>스위치플랜</x:v>
      </x:c>
      <x:c r="C1087" s="24" t="str">
        <x:v>SW-C-193우6308-1-20240507-51</x:v>
      </x:c>
      <x:c r="D1087" s="24" t="str">
        <x:v>193우6308</x:v>
      </x:c>
      <x:c r="E1087" s="24" t="str">
        <x:v>권오현</x:v>
      </x:c>
      <x:c r="F1087" s="24" t="str">
        <x:v>2024-07</x:v>
      </x:c>
      <x:c r="G1087" s="30" t="n">
        <x:v>45483</x:v>
      </x:c>
      <x:c r="H1087" s="32" t="n">
        <x:v>700000</x:v>
      </x:c>
      <x:c r="I1087" s="32" t="n">
        <x:v>700000</x:v>
      </x:c>
      <x:c r="J1087" s="32" t="n">
        <x:v>0</x:v>
      </x:c>
      <x:c r="K1087" s="30" t="n">
        <x:v>45483</x:v>
      </x:c>
      <x:c r="L1087" s="24" t="str">
        <x:v>입금</x:v>
      </x:c>
      <x:c r="M1087" s="31" t="n">
        <x:f>IF(AND(N1087="미수",G1087&lt;&gt;"",TODAY()&gt;G1087),TODAY()-G1087,0)</x:f>
        <x:v>0</x:v>
      </x:c>
      <x:c r="N1087" s="24" t="str">
        <x:f>IF(J1087&gt;0,"미수",IF(AND(H1087&gt;0,I1087&gt;=H1087),"완납","미확인"))</x:f>
        <x:v>완납</x:v>
      </x:c>
      <x:c r="O1087" s="31" t="n">
        <x:v>51</x:v>
      </x:c>
    </x:row>
    <x:row r="1088" ht="17.25" customHeight="1">
      <x:c r="A1088" s="24" t="str">
        <x:v>SW-B-193우6308-202406</x:v>
      </x:c>
      <x:c r="B1088" s="24" t="str">
        <x:v>스위치플랜</x:v>
      </x:c>
      <x:c r="C1088" s="24" t="str">
        <x:v>SW-C-193우6308-1-20240507-51</x:v>
      </x:c>
      <x:c r="D1088" s="24" t="str">
        <x:v>193우6308</x:v>
      </x:c>
      <x:c r="E1088" s="24" t="str">
        <x:v>권오현</x:v>
      </x:c>
      <x:c r="F1088" s="24" t="str">
        <x:v>2024-06</x:v>
      </x:c>
      <x:c r="G1088" s="30" t="n">
        <x:v>45453</x:v>
      </x:c>
      <x:c r="H1088" s="32" t="n">
        <x:v>700000</x:v>
      </x:c>
      <x:c r="I1088" s="32" t="n">
        <x:v>700000</x:v>
      </x:c>
      <x:c r="J1088" s="32" t="n">
        <x:v>0</x:v>
      </x:c>
      <x:c r="K1088" s="30" t="n">
        <x:v>45453</x:v>
      </x:c>
      <x:c r="L1088" s="24" t="str">
        <x:v>입금</x:v>
      </x:c>
      <x:c r="M1088" s="31" t="n">
        <x:f>IF(AND(N1088="미수",G1088&lt;&gt;"",TODAY()&gt;G1088),TODAY()-G1088,0)</x:f>
        <x:v>0</x:v>
      </x:c>
      <x:c r="N1088" s="24" t="str">
        <x:f>IF(J1088&gt;0,"미수",IF(AND(H1088&gt;0,I1088&gt;=H1088),"완납","미확인"))</x:f>
        <x:v>완납</x:v>
      </x:c>
      <x:c r="O1088" s="31" t="n">
        <x:v>51</x:v>
      </x:c>
    </x:row>
    <x:row r="1089" ht="17.25" customHeight="1">
      <x:c r="A1089" s="24" t="str">
        <x:v>SW-B-193우6308-202405</x:v>
      </x:c>
      <x:c r="B1089" s="24" t="str">
        <x:v>스위치플랜</x:v>
      </x:c>
      <x:c r="C1089" s="24" t="str">
        <x:v>SW-C-193우6308-1-20240507-51</x:v>
      </x:c>
      <x:c r="D1089" s="24" t="str">
        <x:v>193우6308</x:v>
      </x:c>
      <x:c r="E1089" s="24" t="str">
        <x:v>권오현</x:v>
      </x:c>
      <x:c r="F1089" s="24" t="str">
        <x:v>2024-05</x:v>
      </x:c>
      <x:c r="G1089" s="30" t="n">
        <x:v>45422</x:v>
      </x:c>
      <x:c r="H1089" s="32" t="n">
        <x:v>700000</x:v>
      </x:c>
      <x:c r="I1089" s="32" t="n">
        <x:v>700000</x:v>
      </x:c>
      <x:c r="J1089" s="32" t="n">
        <x:v>0</x:v>
      </x:c>
      <x:c r="K1089" s="30" t="n">
        <x:v>45405</x:v>
      </x:c>
      <x:c r="L1089" s="24" t="str">
        <x:v>입금</x:v>
      </x:c>
      <x:c r="M1089" s="31" t="n">
        <x:f>IF(AND(N1089="미수",G1089&lt;&gt;"",TODAY()&gt;G1089),TODAY()-G1089,0)</x:f>
        <x:v>0</x:v>
      </x:c>
      <x:c r="N1089" s="24" t="str">
        <x:f>IF(J1089&gt;0,"미수",IF(AND(H1089&gt;0,I1089&gt;=H1089),"완납","미확인"))</x:f>
        <x:v>완납</x:v>
      </x:c>
      <x:c r="O1089" s="31" t="n">
        <x:v>51</x:v>
      </x:c>
    </x:row>
    <x:row r="1090" ht="17.25" customHeight="1">
      <x:c r="A1090" s="24" t="str">
        <x:v>SW-B-314구7889-202608</x:v>
      </x:c>
      <x:c r="B1090" s="24" t="str">
        <x:v>스위치플랜</x:v>
      </x:c>
      <x:c r="C1090" s="24" t="str">
        <x:v>SW-C-314구7889-1-20250512-52</x:v>
      </x:c>
      <x:c r="D1090" s="24" t="str">
        <x:v>314구7889</x:v>
      </x:c>
      <x:c r="E1090" s="24" t="str">
        <x:v>홍미정</x:v>
      </x:c>
      <x:c r="F1090" s="24" t="str">
        <x:v>2026-08</x:v>
      </x:c>
      <x:c r="G1090" s="30" t="n">
        <x:v>46244</x:v>
      </x:c>
      <x:c r="H1090" s="32" t="n">
        <x:v>930000</x:v>
      </x:c>
      <x:c r="I1090" s="32"/>
      <x:c r="J1090" s="32" t="n">
        <x:v>930000</x:v>
      </x:c>
      <x:c r="K1090" s="30"/>
      <x:c r="L1090" s="24" t="str"/>
      <x:c r="M1090" s="31" t="n">
        <x:f>IF(AND(N1090="미수",G1090&lt;&gt;"",TODAY()&gt;G1090),TODAY()-G1090,0)</x:f>
        <x:v>5</x:v>
      </x:c>
      <x:c r="N1090" s="24" t="str">
        <x:f>IF(J1090&gt;0,"미수",IF(AND(H1090&gt;0,I1090&gt;=H1090),"완납","미확인"))</x:f>
        <x:v>미수</x:v>
      </x:c>
      <x:c r="O1090" s="31" t="n">
        <x:v>52</x:v>
      </x:c>
    </x:row>
    <x:row r="1091" ht="17.25" customHeight="1">
      <x:c r="A1091" s="24" t="str">
        <x:v>SW-B-314구7889-202607</x:v>
      </x:c>
      <x:c r="B1091" s="24" t="str">
        <x:v>스위치플랜</x:v>
      </x:c>
      <x:c r="C1091" s="24" t="str">
        <x:v>SW-C-314구7889-1-20250512-52</x:v>
      </x:c>
      <x:c r="D1091" s="24" t="str">
        <x:v>314구7889</x:v>
      </x:c>
      <x:c r="E1091" s="24" t="str">
        <x:v>홍미정</x:v>
      </x:c>
      <x:c r="F1091" s="24" t="str">
        <x:v>2026-07</x:v>
      </x:c>
      <x:c r="G1091" s="30" t="n">
        <x:v>46213</x:v>
      </x:c>
      <x:c r="H1091" s="32" t="n">
        <x:v>930000</x:v>
      </x:c>
      <x:c r="I1091" s="32" t="n">
        <x:v>930000</x:v>
      </x:c>
      <x:c r="J1091" s="32" t="n">
        <x:v>0</x:v>
      </x:c>
      <x:c r="K1091" s="30" t="n">
        <x:v>46222</x:v>
      </x:c>
      <x:c r="L1091" s="24" t="str">
        <x:v>입금</x:v>
      </x:c>
      <x:c r="M1091" s="31" t="n">
        <x:f>IF(AND(N1091="미수",G1091&lt;&gt;"",TODAY()&gt;G1091),TODAY()-G1091,0)</x:f>
        <x:v>0</x:v>
      </x:c>
      <x:c r="N1091" s="24" t="str">
        <x:f>IF(J1091&gt;0,"미수",IF(AND(H1091&gt;0,I1091&gt;=H1091),"완납","미확인"))</x:f>
        <x:v>완납</x:v>
      </x:c>
      <x:c r="O1091" s="31" t="n">
        <x:v>52</x:v>
      </x:c>
    </x:row>
    <x:row r="1092" ht="17.25" customHeight="1">
      <x:c r="A1092" s="24" t="str">
        <x:v>SW-B-314구7889-202606</x:v>
      </x:c>
      <x:c r="B1092" s="24" t="str">
        <x:v>스위치플랜</x:v>
      </x:c>
      <x:c r="C1092" s="24" t="str">
        <x:v>SW-C-314구7889-1-20250512-52</x:v>
      </x:c>
      <x:c r="D1092" s="24" t="str">
        <x:v>314구7889</x:v>
      </x:c>
      <x:c r="E1092" s="24" t="str">
        <x:v>홍미정</x:v>
      </x:c>
      <x:c r="F1092" s="24" t="str">
        <x:v>2026-06</x:v>
      </x:c>
      <x:c r="G1092" s="30" t="n">
        <x:v>46183</x:v>
      </x:c>
      <x:c r="H1092" s="32" t="n">
        <x:v>930000</x:v>
      </x:c>
      <x:c r="I1092" s="32" t="n">
        <x:v>930000</x:v>
      </x:c>
      <x:c r="J1092" s="32" t="n">
        <x:v>0</x:v>
      </x:c>
      <x:c r="K1092" s="30" t="n">
        <x:v>46183</x:v>
      </x:c>
      <x:c r="L1092" s="24" t="str">
        <x:v>입금</x:v>
      </x:c>
      <x:c r="M1092" s="31" t="n">
        <x:f>IF(AND(N1092="미수",G1092&lt;&gt;"",TODAY()&gt;G1092),TODAY()-G1092,0)</x:f>
        <x:v>0</x:v>
      </x:c>
      <x:c r="N1092" s="24" t="str">
        <x:f>IF(J1092&gt;0,"미수",IF(AND(H1092&gt;0,I1092&gt;=H1092),"완납","미확인"))</x:f>
        <x:v>완납</x:v>
      </x:c>
      <x:c r="O1092" s="31" t="n">
        <x:v>52</x:v>
      </x:c>
    </x:row>
    <x:row r="1093" ht="17.25" customHeight="1">
      <x:c r="A1093" s="24" t="str">
        <x:v>SW-B-314구7889-202605</x:v>
      </x:c>
      <x:c r="B1093" s="24" t="str">
        <x:v>스위치플랜</x:v>
      </x:c>
      <x:c r="C1093" s="24" t="str">
        <x:v>SW-C-314구7889-1-20250512-52</x:v>
      </x:c>
      <x:c r="D1093" s="24" t="str">
        <x:v>314구7889</x:v>
      </x:c>
      <x:c r="E1093" s="24" t="str">
        <x:v>홍미정</x:v>
      </x:c>
      <x:c r="F1093" s="24" t="str">
        <x:v>2026-05</x:v>
      </x:c>
      <x:c r="G1093" s="30" t="n">
        <x:v>46152</x:v>
      </x:c>
      <x:c r="H1093" s="32" t="n">
        <x:v>930000</x:v>
      </x:c>
      <x:c r="I1093" s="32" t="n">
        <x:v>930000</x:v>
      </x:c>
      <x:c r="J1093" s="32" t="n">
        <x:v>0</x:v>
      </x:c>
      <x:c r="K1093" s="30" t="n">
        <x:v>46153</x:v>
      </x:c>
      <x:c r="L1093" s="24" t="str">
        <x:v>입금</x:v>
      </x:c>
      <x:c r="M1093" s="31" t="n">
        <x:f>IF(AND(N1093="미수",G1093&lt;&gt;"",TODAY()&gt;G1093),TODAY()-G1093,0)</x:f>
        <x:v>0</x:v>
      </x:c>
      <x:c r="N1093" s="24" t="str">
        <x:f>IF(J1093&gt;0,"미수",IF(AND(H1093&gt;0,I1093&gt;=H1093),"완납","미확인"))</x:f>
        <x:v>완납</x:v>
      </x:c>
      <x:c r="O1093" s="31" t="n">
        <x:v>52</x:v>
      </x:c>
    </x:row>
    <x:row r="1094" ht="17.25" customHeight="1">
      <x:c r="A1094" s="24" t="str">
        <x:v>SW-B-314구7889-202604</x:v>
      </x:c>
      <x:c r="B1094" s="24" t="str">
        <x:v>스위치플랜</x:v>
      </x:c>
      <x:c r="C1094" s="24" t="str">
        <x:v>SW-C-314구7889-1-20250512-52</x:v>
      </x:c>
      <x:c r="D1094" s="24" t="str">
        <x:v>314구7889</x:v>
      </x:c>
      <x:c r="E1094" s="24" t="str">
        <x:v>홍미정</x:v>
      </x:c>
      <x:c r="F1094" s="24" t="str">
        <x:v>2026-04</x:v>
      </x:c>
      <x:c r="G1094" s="30" t="n">
        <x:v>46122</x:v>
      </x:c>
      <x:c r="H1094" s="32" t="n">
        <x:v>930000</x:v>
      </x:c>
      <x:c r="I1094" s="32" t="n">
        <x:v>930000</x:v>
      </x:c>
      <x:c r="J1094" s="32" t="n">
        <x:v>0</x:v>
      </x:c>
      <x:c r="K1094" s="30" t="n">
        <x:v>46122</x:v>
      </x:c>
      <x:c r="L1094" s="24" t="str">
        <x:v>입금</x:v>
      </x:c>
      <x:c r="M1094" s="31" t="n">
        <x:f>IF(AND(N1094="미수",G1094&lt;&gt;"",TODAY()&gt;G1094),TODAY()-G1094,0)</x:f>
        <x:v>0</x:v>
      </x:c>
      <x:c r="N1094" s="24" t="str">
        <x:f>IF(J1094&gt;0,"미수",IF(AND(H1094&gt;0,I1094&gt;=H1094),"완납","미확인"))</x:f>
        <x:v>완납</x:v>
      </x:c>
      <x:c r="O1094" s="31" t="n">
        <x:v>52</x:v>
      </x:c>
    </x:row>
    <x:row r="1095" ht="17.25" customHeight="1">
      <x:c r="A1095" s="24" t="str">
        <x:v>SW-B-314구7889-202603</x:v>
      </x:c>
      <x:c r="B1095" s="24" t="str">
        <x:v>스위치플랜</x:v>
      </x:c>
      <x:c r="C1095" s="24" t="str">
        <x:v>SW-C-314구7889-1-20250512-52</x:v>
      </x:c>
      <x:c r="D1095" s="24" t="str">
        <x:v>314구7889</x:v>
      </x:c>
      <x:c r="E1095" s="24" t="str">
        <x:v>홍미정</x:v>
      </x:c>
      <x:c r="F1095" s="24" t="str">
        <x:v>2026-03</x:v>
      </x:c>
      <x:c r="G1095" s="30" t="n">
        <x:v>46091</x:v>
      </x:c>
      <x:c r="H1095" s="32" t="n">
        <x:v>930000</x:v>
      </x:c>
      <x:c r="I1095" s="32" t="n">
        <x:v>930000</x:v>
      </x:c>
      <x:c r="J1095" s="32" t="n">
        <x:v>0</x:v>
      </x:c>
      <x:c r="K1095" s="30" t="n">
        <x:v>46092</x:v>
      </x:c>
      <x:c r="L1095" s="24" t="str">
        <x:v>입금</x:v>
      </x:c>
      <x:c r="M1095" s="31" t="n">
        <x:f>IF(AND(N1095="미수",G1095&lt;&gt;"",TODAY()&gt;G1095),TODAY()-G1095,0)</x:f>
        <x:v>0</x:v>
      </x:c>
      <x:c r="N1095" s="24" t="str">
        <x:f>IF(J1095&gt;0,"미수",IF(AND(H1095&gt;0,I1095&gt;=H1095),"완납","미확인"))</x:f>
        <x:v>완납</x:v>
      </x:c>
      <x:c r="O1095" s="31" t="n">
        <x:v>52</x:v>
      </x:c>
    </x:row>
    <x:row r="1096" ht="17.25" customHeight="1">
      <x:c r="A1096" s="24" t="str">
        <x:v>SW-B-314구7889-202602</x:v>
      </x:c>
      <x:c r="B1096" s="24" t="str">
        <x:v>스위치플랜</x:v>
      </x:c>
      <x:c r="C1096" s="24" t="str">
        <x:v>SW-C-314구7889-1-20250512-52</x:v>
      </x:c>
      <x:c r="D1096" s="24" t="str">
        <x:v>314구7889</x:v>
      </x:c>
      <x:c r="E1096" s="24" t="str">
        <x:v>홍미정</x:v>
      </x:c>
      <x:c r="F1096" s="24" t="str">
        <x:v>2026-02</x:v>
      </x:c>
      <x:c r="G1096" s="30" t="n">
        <x:v>46063</x:v>
      </x:c>
      <x:c r="H1096" s="32" t="n">
        <x:v>930000</x:v>
      </x:c>
      <x:c r="I1096" s="32" t="n">
        <x:v>930000</x:v>
      </x:c>
      <x:c r="J1096" s="32" t="n">
        <x:v>0</x:v>
      </x:c>
      <x:c r="K1096" s="30" t="n">
        <x:v>46063</x:v>
      </x:c>
      <x:c r="L1096" s="24" t="str">
        <x:v>입금</x:v>
      </x:c>
      <x:c r="M1096" s="31" t="n">
        <x:f>IF(AND(N1096="미수",G1096&lt;&gt;"",TODAY()&gt;G1096),TODAY()-G1096,0)</x:f>
        <x:v>0</x:v>
      </x:c>
      <x:c r="N1096" s="24" t="str">
        <x:f>IF(J1096&gt;0,"미수",IF(AND(H1096&gt;0,I1096&gt;=H1096),"완납","미확인"))</x:f>
        <x:v>완납</x:v>
      </x:c>
      <x:c r="O1096" s="31" t="n">
        <x:v>52</x:v>
      </x:c>
    </x:row>
    <x:row r="1097" ht="17.25" customHeight="1">
      <x:c r="A1097" s="24" t="str">
        <x:v>SW-B-314구7889-202601</x:v>
      </x:c>
      <x:c r="B1097" s="24" t="str">
        <x:v>스위치플랜</x:v>
      </x:c>
      <x:c r="C1097" s="24" t="str">
        <x:v>SW-C-314구7889-1-20250512-52</x:v>
      </x:c>
      <x:c r="D1097" s="24" t="str">
        <x:v>314구7889</x:v>
      </x:c>
      <x:c r="E1097" s="24" t="str">
        <x:v>홍미정</x:v>
      </x:c>
      <x:c r="F1097" s="24" t="str">
        <x:v>2026-01</x:v>
      </x:c>
      <x:c r="G1097" s="30" t="n">
        <x:v>46032</x:v>
      </x:c>
      <x:c r="H1097" s="32" t="n">
        <x:v>930000</x:v>
      </x:c>
      <x:c r="I1097" s="32" t="n">
        <x:v>930000</x:v>
      </x:c>
      <x:c r="J1097" s="32" t="n">
        <x:v>0</x:v>
      </x:c>
      <x:c r="K1097" s="30" t="n">
        <x:v>46034</x:v>
      </x:c>
      <x:c r="L1097" s="24" t="str">
        <x:v>입금</x:v>
      </x:c>
      <x:c r="M1097" s="31" t="n">
        <x:f>IF(AND(N1097="미수",G1097&lt;&gt;"",TODAY()&gt;G1097),TODAY()-G1097,0)</x:f>
        <x:v>0</x:v>
      </x:c>
      <x:c r="N1097" s="24" t="str">
        <x:f>IF(J1097&gt;0,"미수",IF(AND(H1097&gt;0,I1097&gt;=H1097),"완납","미확인"))</x:f>
        <x:v>완납</x:v>
      </x:c>
      <x:c r="O1097" s="31" t="n">
        <x:v>52</x:v>
      </x:c>
    </x:row>
    <x:row r="1098" ht="17.25" customHeight="1">
      <x:c r="A1098" s="24" t="str">
        <x:v>SW-B-314구7889-202512</x:v>
      </x:c>
      <x:c r="B1098" s="24" t="str">
        <x:v>스위치플랜</x:v>
      </x:c>
      <x:c r="C1098" s="24" t="str">
        <x:v>SW-C-314구7889-1-20250512-52</x:v>
      </x:c>
      <x:c r="D1098" s="24" t="str">
        <x:v>314구7889</x:v>
      </x:c>
      <x:c r="E1098" s="24" t="str">
        <x:v>홍미정</x:v>
      </x:c>
      <x:c r="F1098" s="24" t="str">
        <x:v>2025-12</x:v>
      </x:c>
      <x:c r="G1098" s="30" t="n">
        <x:v>46001</x:v>
      </x:c>
      <x:c r="H1098" s="32" t="n">
        <x:v>930000</x:v>
      </x:c>
      <x:c r="I1098" s="32" t="n">
        <x:v>930000</x:v>
      </x:c>
      <x:c r="J1098" s="32" t="n">
        <x:v>0</x:v>
      </x:c>
      <x:c r="K1098" s="30" t="n">
        <x:v>46001</x:v>
      </x:c>
      <x:c r="L1098" s="24" t="str">
        <x:v>자동</x:v>
      </x:c>
      <x:c r="M1098" s="31" t="n">
        <x:f>IF(AND(N1098="미수",G1098&lt;&gt;"",TODAY()&gt;G1098),TODAY()-G1098,0)</x:f>
        <x:v>0</x:v>
      </x:c>
      <x:c r="N1098" s="24" t="str">
        <x:f>IF(J1098&gt;0,"미수",IF(AND(H1098&gt;0,I1098&gt;=H1098),"완납","미확인"))</x:f>
        <x:v>완납</x:v>
      </x:c>
      <x:c r="O1098" s="31" t="n">
        <x:v>52</x:v>
      </x:c>
    </x:row>
    <x:row r="1099" ht="17.25" customHeight="1">
      <x:c r="A1099" s="24" t="str">
        <x:v>SW-B-314구7889-202511</x:v>
      </x:c>
      <x:c r="B1099" s="24" t="str">
        <x:v>스위치플랜</x:v>
      </x:c>
      <x:c r="C1099" s="24" t="str">
        <x:v>SW-C-314구7889-1-20250512-52</x:v>
      </x:c>
      <x:c r="D1099" s="24" t="str">
        <x:v>314구7889</x:v>
      </x:c>
      <x:c r="E1099" s="24" t="str">
        <x:v>홍미정</x:v>
      </x:c>
      <x:c r="F1099" s="24" t="str">
        <x:v>2025-11</x:v>
      </x:c>
      <x:c r="G1099" s="30" t="n">
        <x:v>45971</x:v>
      </x:c>
      <x:c r="H1099" s="32" t="n">
        <x:v>930000</x:v>
      </x:c>
      <x:c r="I1099" s="32" t="n">
        <x:v>930000</x:v>
      </x:c>
      <x:c r="J1099" s="32" t="n">
        <x:v>0</x:v>
      </x:c>
      <x:c r="K1099" s="30" t="n">
        <x:v>45971</x:v>
      </x:c>
      <x:c r="L1099" s="24" t="str">
        <x:v>자동</x:v>
      </x:c>
      <x:c r="M1099" s="31" t="n">
        <x:f>IF(AND(N1099="미수",G1099&lt;&gt;"",TODAY()&gt;G1099),TODAY()-G1099,0)</x:f>
        <x:v>0</x:v>
      </x:c>
      <x:c r="N1099" s="24" t="str">
        <x:f>IF(J1099&gt;0,"미수",IF(AND(H1099&gt;0,I1099&gt;=H1099),"완납","미확인"))</x:f>
        <x:v>완납</x:v>
      </x:c>
      <x:c r="O1099" s="31" t="n">
        <x:v>52</x:v>
      </x:c>
    </x:row>
    <x:row r="1100" ht="17.25" customHeight="1">
      <x:c r="A1100" s="24" t="str">
        <x:v>SW-B-314구7889-202510</x:v>
      </x:c>
      <x:c r="B1100" s="24" t="str">
        <x:v>스위치플랜</x:v>
      </x:c>
      <x:c r="C1100" s="24" t="str">
        <x:v>SW-C-314구7889-1-20250512-52</x:v>
      </x:c>
      <x:c r="D1100" s="24" t="str">
        <x:v>314구7889</x:v>
      </x:c>
      <x:c r="E1100" s="24" t="str">
        <x:v>홍미정</x:v>
      </x:c>
      <x:c r="F1100" s="24" t="str">
        <x:v>2025-10</x:v>
      </x:c>
      <x:c r="G1100" s="30" t="n">
        <x:v>45940</x:v>
      </x:c>
      <x:c r="H1100" s="32" t="n">
        <x:v>930000</x:v>
      </x:c>
      <x:c r="I1100" s="32" t="n">
        <x:v>930000</x:v>
      </x:c>
      <x:c r="J1100" s="32" t="n">
        <x:v>0</x:v>
      </x:c>
      <x:c r="K1100" s="30" t="n">
        <x:v>45940</x:v>
      </x:c>
      <x:c r="L1100" s="24" t="str">
        <x:v>자동</x:v>
      </x:c>
      <x:c r="M1100" s="31" t="n">
        <x:f>IF(AND(N1100="미수",G1100&lt;&gt;"",TODAY()&gt;G1100),TODAY()-G1100,0)</x:f>
        <x:v>0</x:v>
      </x:c>
      <x:c r="N1100" s="24" t="str">
        <x:f>IF(J1100&gt;0,"미수",IF(AND(H1100&gt;0,I1100&gt;=H1100),"완납","미확인"))</x:f>
        <x:v>완납</x:v>
      </x:c>
      <x:c r="O1100" s="31" t="n">
        <x:v>52</x:v>
      </x:c>
    </x:row>
    <x:row r="1101" ht="17.25" customHeight="1">
      <x:c r="A1101" s="24" t="str">
        <x:v>SW-B-314구7889-202509</x:v>
      </x:c>
      <x:c r="B1101" s="24" t="str">
        <x:v>스위치플랜</x:v>
      </x:c>
      <x:c r="C1101" s="24" t="str">
        <x:v>SW-C-314구7889-1-20250512-52</x:v>
      </x:c>
      <x:c r="D1101" s="24" t="str">
        <x:v>314구7889</x:v>
      </x:c>
      <x:c r="E1101" s="24" t="str">
        <x:v>홍미정</x:v>
      </x:c>
      <x:c r="F1101" s="24" t="str">
        <x:v>2025-09</x:v>
      </x:c>
      <x:c r="G1101" s="30" t="n">
        <x:v>45910</x:v>
      </x:c>
      <x:c r="H1101" s="32" t="n">
        <x:v>930000</x:v>
      </x:c>
      <x:c r="I1101" s="32" t="n">
        <x:v>930000</x:v>
      </x:c>
      <x:c r="J1101" s="32" t="n">
        <x:v>0</x:v>
      </x:c>
      <x:c r="K1101" s="30" t="n">
        <x:v>45910</x:v>
      </x:c>
      <x:c r="L1101" s="24" t="str">
        <x:v>입금</x:v>
      </x:c>
      <x:c r="M1101" s="31" t="n">
        <x:f>IF(AND(N1101="미수",G1101&lt;&gt;"",TODAY()&gt;G1101),TODAY()-G1101,0)</x:f>
        <x:v>0</x:v>
      </x:c>
      <x:c r="N1101" s="24" t="str">
        <x:f>IF(J1101&gt;0,"미수",IF(AND(H1101&gt;0,I1101&gt;=H1101),"완납","미확인"))</x:f>
        <x:v>완납</x:v>
      </x:c>
      <x:c r="O1101" s="31" t="n">
        <x:v>52</x:v>
      </x:c>
    </x:row>
    <x:row r="1102" ht="17.25" customHeight="1">
      <x:c r="A1102" s="24" t="str">
        <x:v>SW-B-314구7889-202508</x:v>
      </x:c>
      <x:c r="B1102" s="24" t="str">
        <x:v>스위치플랜</x:v>
      </x:c>
      <x:c r="C1102" s="24" t="str">
        <x:v>SW-C-314구7889-1-20250512-52</x:v>
      </x:c>
      <x:c r="D1102" s="24" t="str">
        <x:v>314구7889</x:v>
      </x:c>
      <x:c r="E1102" s="24" t="str">
        <x:v>홍미정</x:v>
      </x:c>
      <x:c r="F1102" s="24" t="str">
        <x:v>2025-08</x:v>
      </x:c>
      <x:c r="G1102" s="30" t="n">
        <x:v>45879</x:v>
      </x:c>
      <x:c r="H1102" s="32" t="n">
        <x:v>930000</x:v>
      </x:c>
      <x:c r="I1102" s="32" t="n">
        <x:v>930000</x:v>
      </x:c>
      <x:c r="J1102" s="32" t="n">
        <x:v>0</x:v>
      </x:c>
      <x:c r="K1102" s="30" t="n">
        <x:v>45880</x:v>
      </x:c>
      <x:c r="L1102" s="24" t="str">
        <x:v>입금</x:v>
      </x:c>
      <x:c r="M1102" s="31" t="n">
        <x:f>IF(AND(N1102="미수",G1102&lt;&gt;"",TODAY()&gt;G1102),TODAY()-G1102,0)</x:f>
        <x:v>0</x:v>
      </x:c>
      <x:c r="N1102" s="24" t="str">
        <x:f>IF(J1102&gt;0,"미수",IF(AND(H1102&gt;0,I1102&gt;=H1102),"완납","미확인"))</x:f>
        <x:v>완납</x:v>
      </x:c>
      <x:c r="O1102" s="31" t="n">
        <x:v>52</x:v>
      </x:c>
    </x:row>
    <x:row r="1103" ht="17.25" customHeight="1">
      <x:c r="A1103" s="24" t="str">
        <x:v>SW-B-314구7889-202507</x:v>
      </x:c>
      <x:c r="B1103" s="24" t="str">
        <x:v>스위치플랜</x:v>
      </x:c>
      <x:c r="C1103" s="24" t="str">
        <x:v>SW-C-314구7889-1-20250512-52</x:v>
      </x:c>
      <x:c r="D1103" s="24" t="str">
        <x:v>314구7889</x:v>
      </x:c>
      <x:c r="E1103" s="24" t="str">
        <x:v>홍미정</x:v>
      </x:c>
      <x:c r="F1103" s="24" t="str">
        <x:v>2025-07</x:v>
      </x:c>
      <x:c r="G1103" s="30" t="n">
        <x:v>45848</x:v>
      </x:c>
      <x:c r="H1103" s="32" t="n">
        <x:v>930000</x:v>
      </x:c>
      <x:c r="I1103" s="32" t="n">
        <x:v>930000</x:v>
      </x:c>
      <x:c r="J1103" s="32" t="n">
        <x:v>0</x:v>
      </x:c>
      <x:c r="K1103" s="30" t="n">
        <x:v>45848</x:v>
      </x:c>
      <x:c r="L1103" s="24" t="str">
        <x:v>입금</x:v>
      </x:c>
      <x:c r="M1103" s="31" t="n">
        <x:f>IF(AND(N1103="미수",G1103&lt;&gt;"",TODAY()&gt;G1103),TODAY()-G1103,0)</x:f>
        <x:v>0</x:v>
      </x:c>
      <x:c r="N1103" s="24" t="str">
        <x:f>IF(J1103&gt;0,"미수",IF(AND(H1103&gt;0,I1103&gt;=H1103),"완납","미확인"))</x:f>
        <x:v>완납</x:v>
      </x:c>
      <x:c r="O1103" s="31" t="n">
        <x:v>52</x:v>
      </x:c>
    </x:row>
    <x:row r="1104" ht="17.25" customHeight="1">
      <x:c r="A1104" s="24" t="str">
        <x:v>SW-B-314구7889-202506</x:v>
      </x:c>
      <x:c r="B1104" s="24" t="str">
        <x:v>스위치플랜</x:v>
      </x:c>
      <x:c r="C1104" s="24" t="str">
        <x:v>SW-C-314구7889-1-20250512-52</x:v>
      </x:c>
      <x:c r="D1104" s="24" t="str">
        <x:v>314구7889</x:v>
      </x:c>
      <x:c r="E1104" s="24" t="str">
        <x:v>홍미정</x:v>
      </x:c>
      <x:c r="F1104" s="24" t="str">
        <x:v>2025-06</x:v>
      </x:c>
      <x:c r="G1104" s="30" t="n">
        <x:v>45818</x:v>
      </x:c>
      <x:c r="H1104" s="32" t="n">
        <x:v>930000</x:v>
      </x:c>
      <x:c r="I1104" s="32" t="n">
        <x:v>930000</x:v>
      </x:c>
      <x:c r="J1104" s="32" t="n">
        <x:v>0</x:v>
      </x:c>
      <x:c r="K1104" s="30" t="n">
        <x:v>45818</x:v>
      </x:c>
      <x:c r="L1104" s="24" t="str">
        <x:v>입금</x:v>
      </x:c>
      <x:c r="M1104" s="31" t="n">
        <x:f>IF(AND(N1104="미수",G1104&lt;&gt;"",TODAY()&gt;G1104),TODAY()-G1104,0)</x:f>
        <x:v>0</x:v>
      </x:c>
      <x:c r="N1104" s="24" t="str">
        <x:f>IF(J1104&gt;0,"미수",IF(AND(H1104&gt;0,I1104&gt;=H1104),"완납","미확인"))</x:f>
        <x:v>완납</x:v>
      </x:c>
      <x:c r="O1104" s="31" t="n">
        <x:v>52</x:v>
      </x:c>
    </x:row>
    <x:row r="1105" ht="17.25" customHeight="1">
      <x:c r="A1105" s="24" t="str">
        <x:v>SW-B-314구7889-202505</x:v>
      </x:c>
      <x:c r="B1105" s="24" t="str">
        <x:v>스위치플랜</x:v>
      </x:c>
      <x:c r="C1105" s="24" t="str">
        <x:v>SW-C-314구7889-1-20250512-52</x:v>
      </x:c>
      <x:c r="D1105" s="24" t="str">
        <x:v>314구7889</x:v>
      </x:c>
      <x:c r="E1105" s="24" t="str">
        <x:v>홍미정</x:v>
      </x:c>
      <x:c r="F1105" s="24" t="str">
        <x:v>2025-05</x:v>
      </x:c>
      <x:c r="G1105" s="30" t="n">
        <x:v>45787</x:v>
      </x:c>
      <x:c r="H1105" s="32" t="n">
        <x:v>930000</x:v>
      </x:c>
      <x:c r="I1105" s="32" t="n">
        <x:v>930000</x:v>
      </x:c>
      <x:c r="J1105" s="32" t="n">
        <x:v>0</x:v>
      </x:c>
      <x:c r="K1105" s="30" t="n">
        <x:v>45777</x:v>
      </x:c>
      <x:c r="L1105" s="24" t="str">
        <x:v>입금</x:v>
      </x:c>
      <x:c r="M1105" s="31" t="n">
        <x:f>IF(AND(N1105="미수",G1105&lt;&gt;"",TODAY()&gt;G1105),TODAY()-G1105,0)</x:f>
        <x:v>0</x:v>
      </x:c>
      <x:c r="N1105" s="24" t="str">
        <x:f>IF(J1105&gt;0,"미수",IF(AND(H1105&gt;0,I1105&gt;=H1105),"완납","미확인"))</x:f>
        <x:v>완납</x:v>
      </x:c>
      <x:c r="O1105" s="31" t="n">
        <x:v>52</x:v>
      </x:c>
    </x:row>
    <x:row r="1106" ht="17.25" customHeight="1">
      <x:c r="A1106" s="24" t="str">
        <x:v>SW-B-193우6312-202608</x:v>
      </x:c>
      <x:c r="B1106" s="24" t="str">
        <x:v>스위치플랜</x:v>
      </x:c>
      <x:c r="C1106" s="24" t="str">
        <x:v>SW-C-193우6312-1-20240422-54</x:v>
      </x:c>
      <x:c r="D1106" s="24" t="str">
        <x:v>193우6312</x:v>
      </x:c>
      <x:c r="E1106" s="24" t="str">
        <x:v>김서진</x:v>
      </x:c>
      <x:c r="F1106" s="24" t="str">
        <x:v>2026-08</x:v>
      </x:c>
      <x:c r="G1106" s="30" t="n">
        <x:v>46254</x:v>
      </x:c>
      <x:c r="H1106" s="32" t="n">
        <x:v>450000</x:v>
      </x:c>
      <x:c r="I1106" s="32"/>
      <x:c r="J1106" s="32" t="n">
        <x:v>900000</x:v>
      </x:c>
      <x:c r="K1106" s="30"/>
      <x:c r="L1106" s="24" t="str"/>
      <x:c r="M1106" s="31" t="n">
        <x:f>IF(AND(N1106="미수",G1106&lt;&gt;"",TODAY()&gt;G1106),TODAY()-G1106,0)</x:f>
        <x:v>0</x:v>
      </x:c>
      <x:c r="N1106" s="24" t="str">
        <x:f>IF(J1106&gt;0,"미수",IF(AND(H1106&gt;0,I1106&gt;=H1106),"완납","미확인"))</x:f>
        <x:v>미수</x:v>
      </x:c>
      <x:c r="O1106" s="31" t="n">
        <x:v>53</x:v>
      </x:c>
    </x:row>
    <x:row r="1107" ht="17.25" customHeight="1">
      <x:c r="A1107" s="24" t="str">
        <x:v>SW-B-193우6312-202607</x:v>
      </x:c>
      <x:c r="B1107" s="24" t="str">
        <x:v>스위치플랜</x:v>
      </x:c>
      <x:c r="C1107" s="24" t="str">
        <x:v>SW-C-193우6312-1-20240422-54</x:v>
      </x:c>
      <x:c r="D1107" s="24" t="str">
        <x:v>193우6312</x:v>
      </x:c>
      <x:c r="E1107" s="24" t="str">
        <x:v>김서진</x:v>
      </x:c>
      <x:c r="F1107" s="24" t="str">
        <x:v>2026-07</x:v>
      </x:c>
      <x:c r="G1107" s="30" t="n">
        <x:v>46223</x:v>
      </x:c>
      <x:c r="H1107" s="32" t="n">
        <x:v>450000</x:v>
      </x:c>
      <x:c r="I1107" s="32"/>
      <x:c r="J1107" s="32" t="n">
        <x:v>450000</x:v>
      </x:c>
      <x:c r="K1107" s="30"/>
      <x:c r="L1107" s="24" t="str"/>
      <x:c r="M1107" s="31" t="n">
        <x:f>IF(AND(N1107="미수",G1107&lt;&gt;"",TODAY()&gt;G1107),TODAY()-G1107,0)</x:f>
        <x:v>26</x:v>
      </x:c>
      <x:c r="N1107" s="24" t="str">
        <x:f>IF(J1107&gt;0,"미수",IF(AND(H1107&gt;0,I1107&gt;=H1107),"완납","미확인"))</x:f>
        <x:v>미수</x:v>
      </x:c>
      <x:c r="O1107" s="31" t="n">
        <x:v>53</x:v>
      </x:c>
    </x:row>
    <x:row r="1108" ht="17.25" customHeight="1">
      <x:c r="A1108" s="24" t="str">
        <x:v>SW-B-193우6312-202606</x:v>
      </x:c>
      <x:c r="B1108" s="24" t="str">
        <x:v>스위치플랜</x:v>
      </x:c>
      <x:c r="C1108" s="24" t="str">
        <x:v>SW-C-193우6312-1-20240422-54</x:v>
      </x:c>
      <x:c r="D1108" s="24" t="str">
        <x:v>193우6312</x:v>
      </x:c>
      <x:c r="E1108" s="24" t="str">
        <x:v>김서진</x:v>
      </x:c>
      <x:c r="F1108" s="24" t="str">
        <x:v>2026-06</x:v>
      </x:c>
      <x:c r="G1108" s="30" t="n">
        <x:v>46193</x:v>
      </x:c>
      <x:c r="H1108" s="32" t="n">
        <x:v>450000</x:v>
      </x:c>
      <x:c r="I1108" s="32" t="n">
        <x:v>450000</x:v>
      </x:c>
      <x:c r="J1108" s="32" t="n">
        <x:v>0</x:v>
      </x:c>
      <x:c r="K1108" s="30" t="n">
        <x:v>46195</x:v>
      </x:c>
      <x:c r="L1108" s="24" t="str">
        <x:v>자동</x:v>
      </x:c>
      <x:c r="M1108" s="31" t="n">
        <x:f>IF(AND(N1108="미수",G1108&lt;&gt;"",TODAY()&gt;G1108),TODAY()-G1108,0)</x:f>
        <x:v>0</x:v>
      </x:c>
      <x:c r="N1108" s="24" t="str">
        <x:f>IF(J1108&gt;0,"미수",IF(AND(H1108&gt;0,I1108&gt;=H1108),"완납","미확인"))</x:f>
        <x:v>완납</x:v>
      </x:c>
      <x:c r="O1108" s="31" t="n">
        <x:v>53</x:v>
      </x:c>
    </x:row>
    <x:row r="1109" ht="17.25" customHeight="1">
      <x:c r="A1109" s="24" t="str">
        <x:v>SW-B-193우6312-202605</x:v>
      </x:c>
      <x:c r="B1109" s="24" t="str">
        <x:v>스위치플랜</x:v>
      </x:c>
      <x:c r="C1109" s="24" t="str">
        <x:v>SW-C-193우6312-1-20240422-54</x:v>
      </x:c>
      <x:c r="D1109" s="24" t="str">
        <x:v>193우6312</x:v>
      </x:c>
      <x:c r="E1109" s="24" t="str">
        <x:v>김서진</x:v>
      </x:c>
      <x:c r="F1109" s="24" t="str">
        <x:v>2026-05</x:v>
      </x:c>
      <x:c r="G1109" s="30" t="n">
        <x:v>46162</x:v>
      </x:c>
      <x:c r="H1109" s="32" t="n">
        <x:v>450000</x:v>
      </x:c>
      <x:c r="I1109" s="32" t="n">
        <x:v>450000</x:v>
      </x:c>
      <x:c r="J1109" s="32" t="n">
        <x:v>0</x:v>
      </x:c>
      <x:c r="K1109" s="30" t="n">
        <x:v>46162</x:v>
      </x:c>
      <x:c r="L1109" s="24" t="str">
        <x:v>자동</x:v>
      </x:c>
      <x:c r="M1109" s="31" t="n">
        <x:f>IF(AND(N1109="미수",G1109&lt;&gt;"",TODAY()&gt;G1109),TODAY()-G1109,0)</x:f>
        <x:v>0</x:v>
      </x:c>
      <x:c r="N1109" s="24" t="str">
        <x:f>IF(J1109&gt;0,"미수",IF(AND(H1109&gt;0,I1109&gt;=H1109),"완납","미확인"))</x:f>
        <x:v>완납</x:v>
      </x:c>
      <x:c r="O1109" s="31" t="n">
        <x:v>53</x:v>
      </x:c>
    </x:row>
    <x:row r="1110" ht="17.25" customHeight="1">
      <x:c r="A1110" s="24" t="str">
        <x:v>SW-B-193우6312-202604</x:v>
      </x:c>
      <x:c r="B1110" s="24" t="str">
        <x:v>스위치플랜</x:v>
      </x:c>
      <x:c r="C1110" s="24" t="str">
        <x:v>SW-C-193우6312-1-20240422-54</x:v>
      </x:c>
      <x:c r="D1110" s="24" t="str">
        <x:v>193우6312</x:v>
      </x:c>
      <x:c r="E1110" s="24" t="str">
        <x:v>김서진</x:v>
      </x:c>
      <x:c r="F1110" s="24" t="str">
        <x:v>2026-04</x:v>
      </x:c>
      <x:c r="G1110" s="30" t="n">
        <x:v>46132</x:v>
      </x:c>
      <x:c r="H1110" s="32" t="n">
        <x:v>450000</x:v>
      </x:c>
      <x:c r="I1110" s="32" t="n">
        <x:v>450000</x:v>
      </x:c>
      <x:c r="J1110" s="32" t="n">
        <x:v>0</x:v>
      </x:c>
      <x:c r="K1110" s="30" t="n">
        <x:v>46133</x:v>
      </x:c>
      <x:c r="L1110" s="24" t="str">
        <x:v>입금</x:v>
      </x:c>
      <x:c r="M1110" s="31" t="n">
        <x:f>IF(AND(N1110="미수",G1110&lt;&gt;"",TODAY()&gt;G1110),TODAY()-G1110,0)</x:f>
        <x:v>0</x:v>
      </x:c>
      <x:c r="N1110" s="24" t="str">
        <x:f>IF(J1110&gt;0,"미수",IF(AND(H1110&gt;0,I1110&gt;=H1110),"완납","미확인"))</x:f>
        <x:v>완납</x:v>
      </x:c>
      <x:c r="O1110" s="31" t="n">
        <x:v>53</x:v>
      </x:c>
    </x:row>
    <x:row r="1111" ht="17.25" customHeight="1">
      <x:c r="A1111" s="24" t="str">
        <x:v>SW-B-193우6312-202603</x:v>
      </x:c>
      <x:c r="B1111" s="24" t="str">
        <x:v>스위치플랜</x:v>
      </x:c>
      <x:c r="C1111" s="24" t="str">
        <x:v>SW-C-193우6312-1-20240422-54</x:v>
      </x:c>
      <x:c r="D1111" s="24" t="str">
        <x:v>193우6312</x:v>
      </x:c>
      <x:c r="E1111" s="24" t="str">
        <x:v>김서진</x:v>
      </x:c>
      <x:c r="F1111" s="24" t="str">
        <x:v>2026-03</x:v>
      </x:c>
      <x:c r="G1111" s="30" t="n">
        <x:v>46101</x:v>
      </x:c>
      <x:c r="H1111" s="32" t="n">
        <x:v>450000</x:v>
      </x:c>
      <x:c r="I1111" s="32" t="n">
        <x:v>450000</x:v>
      </x:c>
      <x:c r="J1111" s="32" t="n">
        <x:v>0</x:v>
      </x:c>
      <x:c r="K1111" s="30" t="n">
        <x:v>46101</x:v>
      </x:c>
      <x:c r="L1111" s="24" t="str">
        <x:v>자동</x:v>
      </x:c>
      <x:c r="M1111" s="31" t="n">
        <x:f>IF(AND(N1111="미수",G1111&lt;&gt;"",TODAY()&gt;G1111),TODAY()-G1111,0)</x:f>
        <x:v>0</x:v>
      </x:c>
      <x:c r="N1111" s="24" t="str">
        <x:f>IF(J1111&gt;0,"미수",IF(AND(H1111&gt;0,I1111&gt;=H1111),"완납","미확인"))</x:f>
        <x:v>완납</x:v>
      </x:c>
      <x:c r="O1111" s="31" t="n">
        <x:v>53</x:v>
      </x:c>
    </x:row>
    <x:row r="1112" ht="17.25" customHeight="1">
      <x:c r="A1112" s="24" t="str">
        <x:v>SW-B-193우6312-202602</x:v>
      </x:c>
      <x:c r="B1112" s="24" t="str">
        <x:v>스위치플랜</x:v>
      </x:c>
      <x:c r="C1112" s="24" t="str">
        <x:v>SW-C-193우6312-1-20240422-54</x:v>
      </x:c>
      <x:c r="D1112" s="24" t="str">
        <x:v>193우6312</x:v>
      </x:c>
      <x:c r="E1112" s="24" t="str">
        <x:v>김서진</x:v>
      </x:c>
      <x:c r="F1112" s="24" t="str">
        <x:v>2026-02</x:v>
      </x:c>
      <x:c r="G1112" s="30" t="n">
        <x:v>46073</x:v>
      </x:c>
      <x:c r="H1112" s="32" t="n">
        <x:v>450000</x:v>
      </x:c>
      <x:c r="I1112" s="32" t="n">
        <x:v>450000</x:v>
      </x:c>
      <x:c r="J1112" s="32" t="n">
        <x:v>0</x:v>
      </x:c>
      <x:c r="K1112" s="30" t="n">
        <x:v>46073</x:v>
      </x:c>
      <x:c r="L1112" s="24" t="str">
        <x:v>자동</x:v>
      </x:c>
      <x:c r="M1112" s="31" t="n">
        <x:f>IF(AND(N1112="미수",G1112&lt;&gt;"",TODAY()&gt;G1112),TODAY()-G1112,0)</x:f>
        <x:v>0</x:v>
      </x:c>
      <x:c r="N1112" s="24" t="str">
        <x:f>IF(J1112&gt;0,"미수",IF(AND(H1112&gt;0,I1112&gt;=H1112),"완납","미확인"))</x:f>
        <x:v>완납</x:v>
      </x:c>
      <x:c r="O1112" s="31" t="n">
        <x:v>53</x:v>
      </x:c>
    </x:row>
    <x:row r="1113" ht="17.25" customHeight="1">
      <x:c r="A1113" s="24" t="str">
        <x:v>SW-B-193우6312-202601</x:v>
      </x:c>
      <x:c r="B1113" s="24" t="str">
        <x:v>스위치플랜</x:v>
      </x:c>
      <x:c r="C1113" s="24" t="str">
        <x:v>SW-C-193우6312-1-20240422-54</x:v>
      </x:c>
      <x:c r="D1113" s="24" t="str">
        <x:v>193우6312</x:v>
      </x:c>
      <x:c r="E1113" s="24" t="str">
        <x:v>김서진</x:v>
      </x:c>
      <x:c r="F1113" s="24" t="str">
        <x:v>2026-01</x:v>
      </x:c>
      <x:c r="G1113" s="30" t="n">
        <x:v>46042</x:v>
      </x:c>
      <x:c r="H1113" s="32" t="n">
        <x:v>450000</x:v>
      </x:c>
      <x:c r="I1113" s="32" t="n">
        <x:v>450000</x:v>
      </x:c>
      <x:c r="J1113" s="32" t="n">
        <x:v>0</x:v>
      </x:c>
      <x:c r="K1113" s="30" t="n">
        <x:v>46042</x:v>
      </x:c>
      <x:c r="L1113" s="24" t="str">
        <x:v>자동</x:v>
      </x:c>
      <x:c r="M1113" s="31" t="n">
        <x:f>IF(AND(N1113="미수",G1113&lt;&gt;"",TODAY()&gt;G1113),TODAY()-G1113,0)</x:f>
        <x:v>0</x:v>
      </x:c>
      <x:c r="N1113" s="24" t="str">
        <x:f>IF(J1113&gt;0,"미수",IF(AND(H1113&gt;0,I1113&gt;=H1113),"완납","미확인"))</x:f>
        <x:v>완납</x:v>
      </x:c>
      <x:c r="O1113" s="31" t="n">
        <x:v>53</x:v>
      </x:c>
    </x:row>
    <x:row r="1114" ht="17.25" customHeight="1">
      <x:c r="A1114" s="24" t="str">
        <x:v>SW-B-193우6312-202512</x:v>
      </x:c>
      <x:c r="B1114" s="24" t="str">
        <x:v>스위치플랜</x:v>
      </x:c>
      <x:c r="C1114" s="24" t="str">
        <x:v>SW-C-193우6312-1-20240422-54</x:v>
      </x:c>
      <x:c r="D1114" s="24" t="str">
        <x:v>193우6312</x:v>
      </x:c>
      <x:c r="E1114" s="24" t="str">
        <x:v>김서진</x:v>
      </x:c>
      <x:c r="F1114" s="24" t="str">
        <x:v>2025-12</x:v>
      </x:c>
      <x:c r="G1114" s="30" t="n">
        <x:v>46011</x:v>
      </x:c>
      <x:c r="H1114" s="32" t="n">
        <x:v>450000</x:v>
      </x:c>
      <x:c r="I1114" s="32" t="n">
        <x:v>450000</x:v>
      </x:c>
      <x:c r="J1114" s="32" t="n">
        <x:v>0</x:v>
      </x:c>
      <x:c r="K1114" s="30" t="n">
        <x:v>46011</x:v>
      </x:c>
      <x:c r="L1114" s="24" t="str">
        <x:v>자동</x:v>
      </x:c>
      <x:c r="M1114" s="31" t="n">
        <x:f>IF(AND(N1114="미수",G1114&lt;&gt;"",TODAY()&gt;G1114),TODAY()-G1114,0)</x:f>
        <x:v>0</x:v>
      </x:c>
      <x:c r="N1114" s="24" t="str">
        <x:f>IF(J1114&gt;0,"미수",IF(AND(H1114&gt;0,I1114&gt;=H1114),"완납","미확인"))</x:f>
        <x:v>완납</x:v>
      </x:c>
      <x:c r="O1114" s="31" t="n">
        <x:v>53</x:v>
      </x:c>
    </x:row>
    <x:row r="1115" ht="17.25" customHeight="1">
      <x:c r="A1115" s="24" t="str">
        <x:v>SW-B-193우6312-202511</x:v>
      </x:c>
      <x:c r="B1115" s="24" t="str">
        <x:v>스위치플랜</x:v>
      </x:c>
      <x:c r="C1115" s="24" t="str">
        <x:v>SW-C-193우6312-1-20240422-54</x:v>
      </x:c>
      <x:c r="D1115" s="24" t="str">
        <x:v>193우6312</x:v>
      </x:c>
      <x:c r="E1115" s="24" t="str">
        <x:v>김서진</x:v>
      </x:c>
      <x:c r="F1115" s="24" t="str">
        <x:v>2025-11</x:v>
      </x:c>
      <x:c r="G1115" s="30" t="n">
        <x:v>45981</x:v>
      </x:c>
      <x:c r="H1115" s="32" t="n">
        <x:v>450000</x:v>
      </x:c>
      <x:c r="I1115" s="32" t="n">
        <x:v>450000</x:v>
      </x:c>
      <x:c r="J1115" s="32" t="n">
        <x:v>0</x:v>
      </x:c>
      <x:c r="K1115" s="30" t="n">
        <x:v>45981</x:v>
      </x:c>
      <x:c r="L1115" s="24" t="str">
        <x:v>자동</x:v>
      </x:c>
      <x:c r="M1115" s="31" t="n">
        <x:f>IF(AND(N1115="미수",G1115&lt;&gt;"",TODAY()&gt;G1115),TODAY()-G1115,0)</x:f>
        <x:v>0</x:v>
      </x:c>
      <x:c r="N1115" s="24" t="str">
        <x:f>IF(J1115&gt;0,"미수",IF(AND(H1115&gt;0,I1115&gt;=H1115),"완납","미확인"))</x:f>
        <x:v>완납</x:v>
      </x:c>
      <x:c r="O1115" s="31" t="n">
        <x:v>53</x:v>
      </x:c>
    </x:row>
    <x:row r="1116" ht="17.25" customHeight="1">
      <x:c r="A1116" s="24" t="str">
        <x:v>SW-B-193우6312-202510</x:v>
      </x:c>
      <x:c r="B1116" s="24" t="str">
        <x:v>스위치플랜</x:v>
      </x:c>
      <x:c r="C1116" s="24" t="str">
        <x:v>SW-C-193우6312-1-20240422-54</x:v>
      </x:c>
      <x:c r="D1116" s="24" t="str">
        <x:v>193우6312</x:v>
      </x:c>
      <x:c r="E1116" s="24" t="str">
        <x:v>김서진</x:v>
      </x:c>
      <x:c r="F1116" s="24" t="str">
        <x:v>2025-10</x:v>
      </x:c>
      <x:c r="G1116" s="30" t="n">
        <x:v>45950</x:v>
      </x:c>
      <x:c r="H1116" s="32" t="n">
        <x:v>450000</x:v>
      </x:c>
      <x:c r="I1116" s="32" t="n">
        <x:v>450000</x:v>
      </x:c>
      <x:c r="J1116" s="32" t="n">
        <x:v>0</x:v>
      </x:c>
      <x:c r="K1116" s="30" t="n">
        <x:v>45950</x:v>
      </x:c>
      <x:c r="L1116" s="24" t="str">
        <x:v>자동</x:v>
      </x:c>
      <x:c r="M1116" s="31" t="n">
        <x:f>IF(AND(N1116="미수",G1116&lt;&gt;"",TODAY()&gt;G1116),TODAY()-G1116,0)</x:f>
        <x:v>0</x:v>
      </x:c>
      <x:c r="N1116" s="24" t="str">
        <x:f>IF(J1116&gt;0,"미수",IF(AND(H1116&gt;0,I1116&gt;=H1116),"완납","미확인"))</x:f>
        <x:v>완납</x:v>
      </x:c>
      <x:c r="O1116" s="31" t="n">
        <x:v>53</x:v>
      </x:c>
    </x:row>
    <x:row r="1117" ht="17.25" customHeight="1">
      <x:c r="A1117" s="24" t="str">
        <x:v>SW-B-193우6312-202509</x:v>
      </x:c>
      <x:c r="B1117" s="24" t="str">
        <x:v>스위치플랜</x:v>
      </x:c>
      <x:c r="C1117" s="24" t="str">
        <x:v>SW-C-193우6312-1-20240422-54</x:v>
      </x:c>
      <x:c r="D1117" s="24" t="str">
        <x:v>193우6312</x:v>
      </x:c>
      <x:c r="E1117" s="24" t="str">
        <x:v>김서진</x:v>
      </x:c>
      <x:c r="F1117" s="24" t="str">
        <x:v>2025-09</x:v>
      </x:c>
      <x:c r="G1117" s="30" t="n">
        <x:v>45920</x:v>
      </x:c>
      <x:c r="H1117" s="32" t="n">
        <x:v>450000</x:v>
      </x:c>
      <x:c r="I1117" s="32" t="n">
        <x:v>450000</x:v>
      </x:c>
      <x:c r="J1117" s="32" t="n">
        <x:v>0</x:v>
      </x:c>
      <x:c r="K1117" s="30" t="n">
        <x:v>45922</x:v>
      </x:c>
      <x:c r="L1117" s="24" t="str">
        <x:v>자동</x:v>
      </x:c>
      <x:c r="M1117" s="31" t="n">
        <x:f>IF(AND(N1117="미수",G1117&lt;&gt;"",TODAY()&gt;G1117),TODAY()-G1117,0)</x:f>
        <x:v>0</x:v>
      </x:c>
      <x:c r="N1117" s="24" t="str">
        <x:f>IF(J1117&gt;0,"미수",IF(AND(H1117&gt;0,I1117&gt;=H1117),"완납","미확인"))</x:f>
        <x:v>완납</x:v>
      </x:c>
      <x:c r="O1117" s="31" t="n">
        <x:v>53</x:v>
      </x:c>
    </x:row>
    <x:row r="1118" ht="17.25" customHeight="1">
      <x:c r="A1118" s="24" t="str">
        <x:v>SW-B-193우6312-202508</x:v>
      </x:c>
      <x:c r="B1118" s="24" t="str">
        <x:v>스위치플랜</x:v>
      </x:c>
      <x:c r="C1118" s="24" t="str">
        <x:v>SW-C-193우6312-1-20240422-54</x:v>
      </x:c>
      <x:c r="D1118" s="24" t="str">
        <x:v>193우6312</x:v>
      </x:c>
      <x:c r="E1118" s="24" t="str">
        <x:v>김서진</x:v>
      </x:c>
      <x:c r="F1118" s="24" t="str">
        <x:v>2025-08</x:v>
      </x:c>
      <x:c r="G1118" s="30" t="n">
        <x:v>45889</x:v>
      </x:c>
      <x:c r="H1118" s="32" t="n">
        <x:v>450000</x:v>
      </x:c>
      <x:c r="I1118" s="32" t="n">
        <x:v>450000</x:v>
      </x:c>
      <x:c r="J1118" s="32" t="n">
        <x:v>0</x:v>
      </x:c>
      <x:c r="K1118" s="30" t="n">
        <x:v>45889</x:v>
      </x:c>
      <x:c r="L1118" s="24" t="str">
        <x:v>자동</x:v>
      </x:c>
      <x:c r="M1118" s="31" t="n">
        <x:f>IF(AND(N1118="미수",G1118&lt;&gt;"",TODAY()&gt;G1118),TODAY()-G1118,0)</x:f>
        <x:v>0</x:v>
      </x:c>
      <x:c r="N1118" s="24" t="str">
        <x:f>IF(J1118&gt;0,"미수",IF(AND(H1118&gt;0,I1118&gt;=H1118),"완납","미확인"))</x:f>
        <x:v>완납</x:v>
      </x:c>
      <x:c r="O1118" s="31" t="n">
        <x:v>53</x:v>
      </x:c>
    </x:row>
    <x:row r="1119" ht="17.25" customHeight="1">
      <x:c r="A1119" s="24" t="str">
        <x:v>SW-B-193우6312-202507</x:v>
      </x:c>
      <x:c r="B1119" s="24" t="str">
        <x:v>스위치플랜</x:v>
      </x:c>
      <x:c r="C1119" s="24" t="str">
        <x:v>SW-C-193우6312-1-20240422-54</x:v>
      </x:c>
      <x:c r="D1119" s="24" t="str">
        <x:v>193우6312</x:v>
      </x:c>
      <x:c r="E1119" s="24" t="str">
        <x:v>김서진</x:v>
      </x:c>
      <x:c r="F1119" s="24" t="str">
        <x:v>2025-07</x:v>
      </x:c>
      <x:c r="G1119" s="30" t="n">
        <x:v>45858</x:v>
      </x:c>
      <x:c r="H1119" s="32" t="n">
        <x:v>450000</x:v>
      </x:c>
      <x:c r="I1119" s="32" t="n">
        <x:v>450000</x:v>
      </x:c>
      <x:c r="J1119" s="32" t="n">
        <x:v>0</x:v>
      </x:c>
      <x:c r="K1119" s="30" t="n">
        <x:v>45859</x:v>
      </x:c>
      <x:c r="L1119" s="24" t="str">
        <x:v>자동</x:v>
      </x:c>
      <x:c r="M1119" s="31" t="n">
        <x:f>IF(AND(N1119="미수",G1119&lt;&gt;"",TODAY()&gt;G1119),TODAY()-G1119,0)</x:f>
        <x:v>0</x:v>
      </x:c>
      <x:c r="N1119" s="24" t="str">
        <x:f>IF(J1119&gt;0,"미수",IF(AND(H1119&gt;0,I1119&gt;=H1119),"완납","미확인"))</x:f>
        <x:v>완납</x:v>
      </x:c>
      <x:c r="O1119" s="31" t="n">
        <x:v>53</x:v>
      </x:c>
    </x:row>
    <x:row r="1120" ht="17.25" customHeight="1">
      <x:c r="A1120" s="24" t="str">
        <x:v>SW-B-193우6312-202506</x:v>
      </x:c>
      <x:c r="B1120" s="24" t="str">
        <x:v>스위치플랜</x:v>
      </x:c>
      <x:c r="C1120" s="24" t="str">
        <x:v>SW-C-193우6312-1-20240422-54</x:v>
      </x:c>
      <x:c r="D1120" s="24" t="str">
        <x:v>193우6312</x:v>
      </x:c>
      <x:c r="E1120" s="24" t="str">
        <x:v>김서진</x:v>
      </x:c>
      <x:c r="F1120" s="24" t="str">
        <x:v>2025-06</x:v>
      </x:c>
      <x:c r="G1120" s="30" t="n">
        <x:v>45828</x:v>
      </x:c>
      <x:c r="H1120" s="32" t="n">
        <x:v>450000</x:v>
      </x:c>
      <x:c r="I1120" s="32" t="n">
        <x:v>450000</x:v>
      </x:c>
      <x:c r="J1120" s="32" t="n">
        <x:v>0</x:v>
      </x:c>
      <x:c r="K1120" s="30" t="n">
        <x:v>45828</x:v>
      </x:c>
      <x:c r="L1120" s="24" t="str">
        <x:v>자동</x:v>
      </x:c>
      <x:c r="M1120" s="31" t="n">
        <x:f>IF(AND(N1120="미수",G1120&lt;&gt;"",TODAY()&gt;G1120),TODAY()-G1120,0)</x:f>
        <x:v>0</x:v>
      </x:c>
      <x:c r="N1120" s="24" t="str">
        <x:f>IF(J1120&gt;0,"미수",IF(AND(H1120&gt;0,I1120&gt;=H1120),"완납","미확인"))</x:f>
        <x:v>완납</x:v>
      </x:c>
      <x:c r="O1120" s="31" t="n">
        <x:v>53</x:v>
      </x:c>
    </x:row>
    <x:row r="1121" ht="17.25" customHeight="1">
      <x:c r="A1121" s="24" t="str">
        <x:v>SW-B-193우6312-202505</x:v>
      </x:c>
      <x:c r="B1121" s="24" t="str">
        <x:v>스위치플랜</x:v>
      </x:c>
      <x:c r="C1121" s="24" t="str">
        <x:v>SW-C-193우6312-1-20240422-54</x:v>
      </x:c>
      <x:c r="D1121" s="24" t="str">
        <x:v>193우6312</x:v>
      </x:c>
      <x:c r="E1121" s="24" t="str">
        <x:v>김서진</x:v>
      </x:c>
      <x:c r="F1121" s="24" t="str">
        <x:v>2025-05</x:v>
      </x:c>
      <x:c r="G1121" s="30" t="n">
        <x:v>45797</x:v>
      </x:c>
      <x:c r="H1121" s="32" t="n">
        <x:v>450000</x:v>
      </x:c>
      <x:c r="I1121" s="32" t="n">
        <x:v>450000</x:v>
      </x:c>
      <x:c r="J1121" s="32" t="n">
        <x:v>0</x:v>
      </x:c>
      <x:c r="K1121" s="30" t="n">
        <x:v>45797</x:v>
      </x:c>
      <x:c r="L1121" s="24" t="str">
        <x:v>자동</x:v>
      </x:c>
      <x:c r="M1121" s="31" t="n">
        <x:f>IF(AND(N1121="미수",G1121&lt;&gt;"",TODAY()&gt;G1121),TODAY()-G1121,0)</x:f>
        <x:v>0</x:v>
      </x:c>
      <x:c r="N1121" s="24" t="str">
        <x:f>IF(J1121&gt;0,"미수",IF(AND(H1121&gt;0,I1121&gt;=H1121),"완납","미확인"))</x:f>
        <x:v>완납</x:v>
      </x:c>
      <x:c r="O1121" s="31" t="n">
        <x:v>53</x:v>
      </x:c>
    </x:row>
    <x:row r="1122" ht="17.25" customHeight="1">
      <x:c r="A1122" s="24" t="str">
        <x:v>SW-B-193우6312-202504</x:v>
      </x:c>
      <x:c r="B1122" s="24" t="str">
        <x:v>스위치플랜</x:v>
      </x:c>
      <x:c r="C1122" s="24" t="str">
        <x:v>SW-C-193우6312-1-20240422-54</x:v>
      </x:c>
      <x:c r="D1122" s="24" t="str">
        <x:v>193우6312</x:v>
      </x:c>
      <x:c r="E1122" s="24" t="str">
        <x:v>김서진</x:v>
      </x:c>
      <x:c r="F1122" s="24" t="str">
        <x:v>2025-04</x:v>
      </x:c>
      <x:c r="G1122" s="30" t="n">
        <x:v>45767</x:v>
      </x:c>
      <x:c r="H1122" s="32" t="n">
        <x:v>450000</x:v>
      </x:c>
      <x:c r="I1122" s="32" t="n">
        <x:v>450000</x:v>
      </x:c>
      <x:c r="J1122" s="32" t="n">
        <x:v>0</x:v>
      </x:c>
      <x:c r="K1122" s="30" t="n">
        <x:v>45768</x:v>
      </x:c>
      <x:c r="L1122" s="24" t="str">
        <x:v>자동</x:v>
      </x:c>
      <x:c r="M1122" s="31" t="n">
        <x:f>IF(AND(N1122="미수",G1122&lt;&gt;"",TODAY()&gt;G1122),TODAY()-G1122,0)</x:f>
        <x:v>0</x:v>
      </x:c>
      <x:c r="N1122" s="24" t="str">
        <x:f>IF(J1122&gt;0,"미수",IF(AND(H1122&gt;0,I1122&gt;=H1122),"완납","미확인"))</x:f>
        <x:v>완납</x:v>
      </x:c>
      <x:c r="O1122" s="31" t="n">
        <x:v>53</x:v>
      </x:c>
    </x:row>
    <x:row r="1123" ht="17.25" customHeight="1">
      <x:c r="A1123" s="24" t="str">
        <x:v>SW-B-193우6312-202503</x:v>
      </x:c>
      <x:c r="B1123" s="24" t="str">
        <x:v>스위치플랜</x:v>
      </x:c>
      <x:c r="C1123" s="24" t="str">
        <x:v>SW-C-193우6312-1-20240422-54</x:v>
      </x:c>
      <x:c r="D1123" s="24" t="str">
        <x:v>193우6312</x:v>
      </x:c>
      <x:c r="E1123" s="24" t="str">
        <x:v>김서진</x:v>
      </x:c>
      <x:c r="F1123" s="24" t="str">
        <x:v>2025-03</x:v>
      </x:c>
      <x:c r="G1123" s="30" t="n">
        <x:v>45736</x:v>
      </x:c>
      <x:c r="H1123" s="32" t="n">
        <x:v>450000</x:v>
      </x:c>
      <x:c r="I1123" s="32" t="n">
        <x:v>450000</x:v>
      </x:c>
      <x:c r="J1123" s="32" t="n">
        <x:v>0</x:v>
      </x:c>
      <x:c r="K1123" s="30" t="n">
        <x:v>45736</x:v>
      </x:c>
      <x:c r="L1123" s="24" t="str">
        <x:v>자동</x:v>
      </x:c>
      <x:c r="M1123" s="31" t="n">
        <x:f>IF(AND(N1123="미수",G1123&lt;&gt;"",TODAY()&gt;G1123),TODAY()-G1123,0)</x:f>
        <x:v>0</x:v>
      </x:c>
      <x:c r="N1123" s="24" t="str">
        <x:f>IF(J1123&gt;0,"미수",IF(AND(H1123&gt;0,I1123&gt;=H1123),"완납","미확인"))</x:f>
        <x:v>완납</x:v>
      </x:c>
      <x:c r="O1123" s="31" t="n">
        <x:v>53</x:v>
      </x:c>
    </x:row>
    <x:row r="1124" ht="17.25" customHeight="1">
      <x:c r="A1124" s="24" t="str">
        <x:v>SW-B-193우6312-202502</x:v>
      </x:c>
      <x:c r="B1124" s="24" t="str">
        <x:v>스위치플랜</x:v>
      </x:c>
      <x:c r="C1124" s="24" t="str">
        <x:v>SW-C-193우6312-1-20240422-54</x:v>
      </x:c>
      <x:c r="D1124" s="24" t="str">
        <x:v>193우6312</x:v>
      </x:c>
      <x:c r="E1124" s="24" t="str">
        <x:v>김서진</x:v>
      </x:c>
      <x:c r="F1124" s="24" t="str">
        <x:v>2025-02</x:v>
      </x:c>
      <x:c r="G1124" s="30" t="n">
        <x:v>45708</x:v>
      </x:c>
      <x:c r="H1124" s="32" t="n">
        <x:v>450000</x:v>
      </x:c>
      <x:c r="I1124" s="32" t="n">
        <x:v>450000</x:v>
      </x:c>
      <x:c r="J1124" s="32" t="n">
        <x:v>0</x:v>
      </x:c>
      <x:c r="K1124" s="30" t="n">
        <x:v>45708</x:v>
      </x:c>
      <x:c r="L1124" s="24" t="str">
        <x:v>자동</x:v>
      </x:c>
      <x:c r="M1124" s="31" t="n">
        <x:f>IF(AND(N1124="미수",G1124&lt;&gt;"",TODAY()&gt;G1124),TODAY()-G1124,0)</x:f>
        <x:v>0</x:v>
      </x:c>
      <x:c r="N1124" s="24" t="str">
        <x:f>IF(J1124&gt;0,"미수",IF(AND(H1124&gt;0,I1124&gt;=H1124),"완납","미확인"))</x:f>
        <x:v>완납</x:v>
      </x:c>
      <x:c r="O1124" s="31" t="n">
        <x:v>53</x:v>
      </x:c>
    </x:row>
    <x:row r="1125" ht="17.25" customHeight="1">
      <x:c r="A1125" s="24" t="str">
        <x:v>SW-B-193우6312-202501</x:v>
      </x:c>
      <x:c r="B1125" s="24" t="str">
        <x:v>스위치플랜</x:v>
      </x:c>
      <x:c r="C1125" s="24" t="str">
        <x:v>SW-C-193우6312-1-20240422-54</x:v>
      </x:c>
      <x:c r="D1125" s="24" t="str">
        <x:v>193우6312</x:v>
      </x:c>
      <x:c r="E1125" s="24" t="str">
        <x:v>김서진</x:v>
      </x:c>
      <x:c r="F1125" s="24" t="str">
        <x:v>2025-01</x:v>
      </x:c>
      <x:c r="G1125" s="30" t="n">
        <x:v>45677</x:v>
      </x:c>
      <x:c r="H1125" s="32" t="n">
        <x:v>450000</x:v>
      </x:c>
      <x:c r="I1125" s="32" t="n">
        <x:v>450000</x:v>
      </x:c>
      <x:c r="J1125" s="32" t="n">
        <x:v>0</x:v>
      </x:c>
      <x:c r="K1125" s="30" t="n">
        <x:v>45677</x:v>
      </x:c>
      <x:c r="L1125" s="24" t="str">
        <x:v>자동</x:v>
      </x:c>
      <x:c r="M1125" s="31" t="n">
        <x:f>IF(AND(N1125="미수",G1125&lt;&gt;"",TODAY()&gt;G1125),TODAY()-G1125,0)</x:f>
        <x:v>0</x:v>
      </x:c>
      <x:c r="N1125" s="24" t="str">
        <x:f>IF(J1125&gt;0,"미수",IF(AND(H1125&gt;0,I1125&gt;=H1125),"완납","미확인"))</x:f>
        <x:v>완납</x:v>
      </x:c>
      <x:c r="O1125" s="31" t="n">
        <x:v>53</x:v>
      </x:c>
    </x:row>
    <x:row r="1126" ht="17.25" customHeight="1">
      <x:c r="A1126" s="24" t="str">
        <x:v>SW-B-193우6312-202412</x:v>
      </x:c>
      <x:c r="B1126" s="24" t="str">
        <x:v>스위치플랜</x:v>
      </x:c>
      <x:c r="C1126" s="24" t="str">
        <x:v>SW-C-193우6312-1-20240422-54</x:v>
      </x:c>
      <x:c r="D1126" s="24" t="str">
        <x:v>193우6312</x:v>
      </x:c>
      <x:c r="E1126" s="24" t="str">
        <x:v>김서진</x:v>
      </x:c>
      <x:c r="F1126" s="24" t="str">
        <x:v>2024-12</x:v>
      </x:c>
      <x:c r="G1126" s="30" t="n">
        <x:v>45646</x:v>
      </x:c>
      <x:c r="H1126" s="32" t="n">
        <x:v>450000</x:v>
      </x:c>
      <x:c r="I1126" s="32" t="n">
        <x:v>450000</x:v>
      </x:c>
      <x:c r="J1126" s="32" t="n">
        <x:v>0</x:v>
      </x:c>
      <x:c r="K1126" s="30" t="n">
        <x:v>45646</x:v>
      </x:c>
      <x:c r="L1126" s="24" t="str">
        <x:v>자동</x:v>
      </x:c>
      <x:c r="M1126" s="31" t="n">
        <x:f>IF(AND(N1126="미수",G1126&lt;&gt;"",TODAY()&gt;G1126),TODAY()-G1126,0)</x:f>
        <x:v>0</x:v>
      </x:c>
      <x:c r="N1126" s="24" t="str">
        <x:f>IF(J1126&gt;0,"미수",IF(AND(H1126&gt;0,I1126&gt;=H1126),"완납","미확인"))</x:f>
        <x:v>완납</x:v>
      </x:c>
      <x:c r="O1126" s="31" t="n">
        <x:v>53</x:v>
      </x:c>
    </x:row>
    <x:row r="1127" ht="17.25" customHeight="1">
      <x:c r="A1127" s="24" t="str">
        <x:v>SW-B-193우6312-202411</x:v>
      </x:c>
      <x:c r="B1127" s="24" t="str">
        <x:v>스위치플랜</x:v>
      </x:c>
      <x:c r="C1127" s="24" t="str">
        <x:v>SW-C-193우6312-1-20240422-54</x:v>
      </x:c>
      <x:c r="D1127" s="24" t="str">
        <x:v>193우6312</x:v>
      </x:c>
      <x:c r="E1127" s="24" t="str">
        <x:v>김서진</x:v>
      </x:c>
      <x:c r="F1127" s="24" t="str">
        <x:v>2024-11</x:v>
      </x:c>
      <x:c r="G1127" s="30" t="n">
        <x:v>45616</x:v>
      </x:c>
      <x:c r="H1127" s="32" t="n">
        <x:v>450000</x:v>
      </x:c>
      <x:c r="I1127" s="32" t="n">
        <x:v>450000</x:v>
      </x:c>
      <x:c r="J1127" s="32" t="n">
        <x:v>0</x:v>
      </x:c>
      <x:c r="K1127" s="30" t="n">
        <x:v>45616</x:v>
      </x:c>
      <x:c r="L1127" s="24" t="str">
        <x:v>자동</x:v>
      </x:c>
      <x:c r="M1127" s="31" t="n">
        <x:f>IF(AND(N1127="미수",G1127&lt;&gt;"",TODAY()&gt;G1127),TODAY()-G1127,0)</x:f>
        <x:v>0</x:v>
      </x:c>
      <x:c r="N1127" s="24" t="str">
        <x:f>IF(J1127&gt;0,"미수",IF(AND(H1127&gt;0,I1127&gt;=H1127),"완납","미확인"))</x:f>
        <x:v>완납</x:v>
      </x:c>
      <x:c r="O1127" s="31" t="n">
        <x:v>53</x:v>
      </x:c>
    </x:row>
    <x:row r="1128" ht="17.25" customHeight="1">
      <x:c r="A1128" s="24" t="str">
        <x:v>SW-B-193우6312-202410</x:v>
      </x:c>
      <x:c r="B1128" s="24" t="str">
        <x:v>스위치플랜</x:v>
      </x:c>
      <x:c r="C1128" s="24" t="str">
        <x:v>SW-C-193우6312-1-20240422-54</x:v>
      </x:c>
      <x:c r="D1128" s="24" t="str">
        <x:v>193우6312</x:v>
      </x:c>
      <x:c r="E1128" s="24" t="str">
        <x:v>김서진</x:v>
      </x:c>
      <x:c r="F1128" s="24" t="str">
        <x:v>2024-10</x:v>
      </x:c>
      <x:c r="G1128" s="30" t="n">
        <x:v>45585</x:v>
      </x:c>
      <x:c r="H1128" s="32" t="n">
        <x:v>450000</x:v>
      </x:c>
      <x:c r="I1128" s="32" t="n">
        <x:v>450000</x:v>
      </x:c>
      <x:c r="J1128" s="32" t="n">
        <x:v>0</x:v>
      </x:c>
      <x:c r="K1128" s="30" t="n">
        <x:v>45587</x:v>
      </x:c>
      <x:c r="L1128" s="24" t="str">
        <x:v>입금</x:v>
      </x:c>
      <x:c r="M1128" s="31" t="n">
        <x:f>IF(AND(N1128="미수",G1128&lt;&gt;"",TODAY()&gt;G1128),TODAY()-G1128,0)</x:f>
        <x:v>0</x:v>
      </x:c>
      <x:c r="N1128" s="24" t="str">
        <x:f>IF(J1128&gt;0,"미수",IF(AND(H1128&gt;0,I1128&gt;=H1128),"완납","미확인"))</x:f>
        <x:v>완납</x:v>
      </x:c>
      <x:c r="O1128" s="31" t="n">
        <x:v>53</x:v>
      </x:c>
    </x:row>
    <x:row r="1129" ht="17.25" customHeight="1">
      <x:c r="A1129" s="24" t="str">
        <x:v>SW-B-193우6312-202409</x:v>
      </x:c>
      <x:c r="B1129" s="24" t="str">
        <x:v>스위치플랜</x:v>
      </x:c>
      <x:c r="C1129" s="24" t="str">
        <x:v>SW-C-193우6312-1-20240422-54</x:v>
      </x:c>
      <x:c r="D1129" s="24" t="str">
        <x:v>193우6312</x:v>
      </x:c>
      <x:c r="E1129" s="24" t="str">
        <x:v>김서진</x:v>
      </x:c>
      <x:c r="F1129" s="24" t="str">
        <x:v>2024-09</x:v>
      </x:c>
      <x:c r="G1129" s="30" t="n">
        <x:v>45555</x:v>
      </x:c>
      <x:c r="H1129" s="32" t="n">
        <x:v>450000</x:v>
      </x:c>
      <x:c r="I1129" s="32" t="n">
        <x:v>450000</x:v>
      </x:c>
      <x:c r="J1129" s="32" t="n">
        <x:v>0</x:v>
      </x:c>
      <x:c r="K1129" s="30" t="n">
        <x:v>45555</x:v>
      </x:c>
      <x:c r="L1129" s="24" t="str">
        <x:v>자동</x:v>
      </x:c>
      <x:c r="M1129" s="31" t="n">
        <x:f>IF(AND(N1129="미수",G1129&lt;&gt;"",TODAY()&gt;G1129),TODAY()-G1129,0)</x:f>
        <x:v>0</x:v>
      </x:c>
      <x:c r="N1129" s="24" t="str">
        <x:f>IF(J1129&gt;0,"미수",IF(AND(H1129&gt;0,I1129&gt;=H1129),"완납","미확인"))</x:f>
        <x:v>완납</x:v>
      </x:c>
      <x:c r="O1129" s="31" t="n">
        <x:v>53</x:v>
      </x:c>
    </x:row>
    <x:row r="1130" ht="17.25" customHeight="1">
      <x:c r="A1130" s="24" t="str">
        <x:v>SW-B-193우6312-202408</x:v>
      </x:c>
      <x:c r="B1130" s="24" t="str">
        <x:v>스위치플랜</x:v>
      </x:c>
      <x:c r="C1130" s="24" t="str">
        <x:v>SW-C-193우6312-1-20240422-54</x:v>
      </x:c>
      <x:c r="D1130" s="24" t="str">
        <x:v>193우6312</x:v>
      </x:c>
      <x:c r="E1130" s="24" t="str">
        <x:v>김서진</x:v>
      </x:c>
      <x:c r="F1130" s="24" t="str">
        <x:v>2024-08</x:v>
      </x:c>
      <x:c r="G1130" s="30" t="n">
        <x:v>45524</x:v>
      </x:c>
      <x:c r="H1130" s="32" t="n">
        <x:v>450000</x:v>
      </x:c>
      <x:c r="I1130" s="32" t="n">
        <x:v>450000</x:v>
      </x:c>
      <x:c r="J1130" s="32" t="n">
        <x:v>0</x:v>
      </x:c>
      <x:c r="K1130" s="30" t="n">
        <x:v>45524</x:v>
      </x:c>
      <x:c r="L1130" s="24" t="str">
        <x:v>자동</x:v>
      </x:c>
      <x:c r="M1130" s="31" t="n">
        <x:f>IF(AND(N1130="미수",G1130&lt;&gt;"",TODAY()&gt;G1130),TODAY()-G1130,0)</x:f>
        <x:v>0</x:v>
      </x:c>
      <x:c r="N1130" s="24" t="str">
        <x:f>IF(J1130&gt;0,"미수",IF(AND(H1130&gt;0,I1130&gt;=H1130),"완납","미확인"))</x:f>
        <x:v>완납</x:v>
      </x:c>
      <x:c r="O1130" s="31" t="n">
        <x:v>53</x:v>
      </x:c>
    </x:row>
    <x:row r="1131" ht="17.25" customHeight="1">
      <x:c r="A1131" s="24" t="str">
        <x:v>SW-B-193우6312-202407</x:v>
      </x:c>
      <x:c r="B1131" s="24" t="str">
        <x:v>스위치플랜</x:v>
      </x:c>
      <x:c r="C1131" s="24" t="str">
        <x:v>SW-C-193우6312-1-20240422-54</x:v>
      </x:c>
      <x:c r="D1131" s="24" t="str">
        <x:v>193우6312</x:v>
      </x:c>
      <x:c r="E1131" s="24" t="str">
        <x:v>김서진</x:v>
      </x:c>
      <x:c r="F1131" s="24" t="str">
        <x:v>2024-07</x:v>
      </x:c>
      <x:c r="G1131" s="30" t="n">
        <x:v>45493</x:v>
      </x:c>
      <x:c r="H1131" s="32" t="n">
        <x:v>450000</x:v>
      </x:c>
      <x:c r="I1131" s="32" t="n">
        <x:v>450000</x:v>
      </x:c>
      <x:c r="J1131" s="32" t="n">
        <x:v>0</x:v>
      </x:c>
      <x:c r="K1131" s="30" t="n">
        <x:v>45493</x:v>
      </x:c>
      <x:c r="L1131" s="24" t="str">
        <x:v>자동</x:v>
      </x:c>
      <x:c r="M1131" s="31" t="n">
        <x:f>IF(AND(N1131="미수",G1131&lt;&gt;"",TODAY()&gt;G1131),TODAY()-G1131,0)</x:f>
        <x:v>0</x:v>
      </x:c>
      <x:c r="N1131" s="24" t="str">
        <x:f>IF(J1131&gt;0,"미수",IF(AND(H1131&gt;0,I1131&gt;=H1131),"완납","미확인"))</x:f>
        <x:v>완납</x:v>
      </x:c>
      <x:c r="O1131" s="31" t="n">
        <x:v>53</x:v>
      </x:c>
    </x:row>
    <x:row r="1132" ht="17.25" customHeight="1">
      <x:c r="A1132" s="24" t="str">
        <x:v>SW-B-193우6312-202406</x:v>
      </x:c>
      <x:c r="B1132" s="24" t="str">
        <x:v>스위치플랜</x:v>
      </x:c>
      <x:c r="C1132" s="24" t="str">
        <x:v>SW-C-193우6312-1-20240422-54</x:v>
      </x:c>
      <x:c r="D1132" s="24" t="str">
        <x:v>193우6312</x:v>
      </x:c>
      <x:c r="E1132" s="24" t="str">
        <x:v>김서진</x:v>
      </x:c>
      <x:c r="F1132" s="24" t="str">
        <x:v>2024-06</x:v>
      </x:c>
      <x:c r="G1132" s="30" t="n">
        <x:v>45463</x:v>
      </x:c>
      <x:c r="H1132" s="32" t="n">
        <x:v>450000</x:v>
      </x:c>
      <x:c r="I1132" s="32" t="n">
        <x:v>450000</x:v>
      </x:c>
      <x:c r="J1132" s="32" t="n">
        <x:v>0</x:v>
      </x:c>
      <x:c r="K1132" s="30" t="n">
        <x:v>45463</x:v>
      </x:c>
      <x:c r="L1132" s="24" t="str">
        <x:v>자동</x:v>
      </x:c>
      <x:c r="M1132" s="31" t="n">
        <x:f>IF(AND(N1132="미수",G1132&lt;&gt;"",TODAY()&gt;G1132),TODAY()-G1132,0)</x:f>
        <x:v>0</x:v>
      </x:c>
      <x:c r="N1132" s="24" t="str">
        <x:f>IF(J1132&gt;0,"미수",IF(AND(H1132&gt;0,I1132&gt;=H1132),"완납","미확인"))</x:f>
        <x:v>완납</x:v>
      </x:c>
      <x:c r="O1132" s="31" t="n">
        <x:v>53</x:v>
      </x:c>
    </x:row>
    <x:row r="1133" ht="17.25" customHeight="1">
      <x:c r="A1133" s="24" t="str">
        <x:v>SW-B-193우6312-202405</x:v>
      </x:c>
      <x:c r="B1133" s="24" t="str">
        <x:v>스위치플랜</x:v>
      </x:c>
      <x:c r="C1133" s="24" t="str">
        <x:v>SW-C-193우6312-1-20240422-54</x:v>
      </x:c>
      <x:c r="D1133" s="24" t="str">
        <x:v>193우6312</x:v>
      </x:c>
      <x:c r="E1133" s="24" t="str">
        <x:v>김서진</x:v>
      </x:c>
      <x:c r="F1133" s="24" t="str">
        <x:v>2024-05</x:v>
      </x:c>
      <x:c r="G1133" s="30" t="n">
        <x:v>45432</x:v>
      </x:c>
      <x:c r="H1133" s="32" t="n">
        <x:v>450000</x:v>
      </x:c>
      <x:c r="I1133" s="32" t="n">
        <x:v>450000</x:v>
      </x:c>
      <x:c r="J1133" s="32" t="n">
        <x:v>0</x:v>
      </x:c>
      <x:c r="K1133" s="30" t="n">
        <x:v>45432</x:v>
      </x:c>
      <x:c r="L1133" s="24" t="str">
        <x:v>자동</x:v>
      </x:c>
      <x:c r="M1133" s="31" t="n">
        <x:f>IF(AND(N1133="미수",G1133&lt;&gt;"",TODAY()&gt;G1133),TODAY()-G1133,0)</x:f>
        <x:v>0</x:v>
      </x:c>
      <x:c r="N1133" s="24" t="str">
        <x:f>IF(J1133&gt;0,"미수",IF(AND(H1133&gt;0,I1133&gt;=H1133),"완납","미확인"))</x:f>
        <x:v>완납</x:v>
      </x:c>
      <x:c r="O1133" s="31" t="n">
        <x:v>53</x:v>
      </x:c>
    </x:row>
    <x:row r="1134" ht="17.25" customHeight="1">
      <x:c r="A1134" s="24" t="str">
        <x:v>SW-B-193우6312-202404</x:v>
      </x:c>
      <x:c r="B1134" s="24" t="str">
        <x:v>스위치플랜</x:v>
      </x:c>
      <x:c r="C1134" s="24" t="str">
        <x:v>SW-C-193우6312-1-20240422-54</x:v>
      </x:c>
      <x:c r="D1134" s="24" t="str">
        <x:v>193우6312</x:v>
      </x:c>
      <x:c r="E1134" s="24" t="str">
        <x:v>김서진</x:v>
      </x:c>
      <x:c r="F1134" s="24" t="str">
        <x:v>2024-04</x:v>
      </x:c>
      <x:c r="G1134" s="30" t="n">
        <x:v>45402</x:v>
      </x:c>
      <x:c r="H1134" s="32" t="n">
        <x:v>450000</x:v>
      </x:c>
      <x:c r="I1134" s="32" t="n">
        <x:v>450000</x:v>
      </x:c>
      <x:c r="J1134" s="32" t="n">
        <x:v>0</x:v>
      </x:c>
      <x:c r="K1134" s="30" t="n">
        <x:v>45393</x:v>
      </x:c>
      <x:c r="L1134" s="24" t="str">
        <x:v>입금</x:v>
      </x:c>
      <x:c r="M1134" s="31" t="n">
        <x:f>IF(AND(N1134="미수",G1134&lt;&gt;"",TODAY()&gt;G1134),TODAY()-G1134,0)</x:f>
        <x:v>0</x:v>
      </x:c>
      <x:c r="N1134" s="24" t="str">
        <x:f>IF(J1134&gt;0,"미수",IF(AND(H1134&gt;0,I1134&gt;=H1134),"완납","미확인"))</x:f>
        <x:v>완납</x:v>
      </x:c>
      <x:c r="O1134" s="31" t="n">
        <x:v>53</x:v>
      </x:c>
    </x:row>
    <x:row r="1135" ht="17.25" customHeight="1">
      <x:c r="A1135" s="24" t="str">
        <x:v>SW-B-383마3206-202608</x:v>
      </x:c>
      <x:c r="B1135" s="24" t="str">
        <x:v>스위치플랜</x:v>
      </x:c>
      <x:c r="C1135" s="24" t="str">
        <x:v>SW-C-383마3206-1-20260207-53</x:v>
      </x:c>
      <x:c r="D1135" s="24" t="str">
        <x:v>383마3206</x:v>
      </x:c>
      <x:c r="E1135" s="24" t="str">
        <x:v>이수정</x:v>
      </x:c>
      <x:c r="F1135" s="24" t="str">
        <x:v>2026-08</x:v>
      </x:c>
      <x:c r="G1135" s="30" t="n">
        <x:v>46244</x:v>
      </x:c>
      <x:c r="H1135" s="32" t="n">
        <x:v>730000</x:v>
      </x:c>
      <x:c r="I1135" s="32" t="n">
        <x:v>130000</x:v>
      </x:c>
      <x:c r="J1135" s="32" t="n">
        <x:v>600000</x:v>
      </x:c>
      <x:c r="K1135" s="30" t="n">
        <x:v>46242</x:v>
      </x:c>
      <x:c r="L1135" s="24" t="str">
        <x:v>입금</x:v>
      </x:c>
      <x:c r="M1135" s="31" t="n">
        <x:f>IF(AND(N1135="미수",G1135&lt;&gt;"",TODAY()&gt;G1135),TODAY()-G1135,0)</x:f>
        <x:v>5</x:v>
      </x:c>
      <x:c r="N1135" s="24" t="str">
        <x:f>IF(J1135&gt;0,"미수",IF(AND(H1135&gt;0,I1135&gt;=H1135),"완납","미확인"))</x:f>
        <x:v>미수</x:v>
      </x:c>
      <x:c r="O1135" s="31" t="n">
        <x:v>54</x:v>
      </x:c>
    </x:row>
    <x:row r="1136" ht="17.25" customHeight="1">
      <x:c r="A1136" s="24" t="str">
        <x:v>SW-B-383마3206-202607</x:v>
      </x:c>
      <x:c r="B1136" s="24" t="str">
        <x:v>스위치플랜</x:v>
      </x:c>
      <x:c r="C1136" s="24" t="str">
        <x:v>SW-C-383마3206-1-20260207-53</x:v>
      </x:c>
      <x:c r="D1136" s="24" t="str">
        <x:v>383마3206</x:v>
      </x:c>
      <x:c r="E1136" s="24" t="str">
        <x:v>이수정</x:v>
      </x:c>
      <x:c r="F1136" s="24" t="str">
        <x:v>2026-07</x:v>
      </x:c>
      <x:c r="G1136" s="30" t="n">
        <x:v>46213</x:v>
      </x:c>
      <x:c r="H1136" s="32" t="n">
        <x:v>730000</x:v>
      </x:c>
      <x:c r="I1136" s="32" t="n">
        <x:v>1130000</x:v>
      </x:c>
      <x:c r="J1136" s="32" t="n">
        <x:v>0</x:v>
      </x:c>
      <x:c r="K1136" s="30" t="n">
        <x:v>46234</x:v>
      </x:c>
      <x:c r="L1136" s="24" t="str">
        <x:v>입금</x:v>
      </x:c>
      <x:c r="M1136" s="31" t="n">
        <x:f>IF(AND(N1136="미수",G1136&lt;&gt;"",TODAY()&gt;G1136),TODAY()-G1136,0)</x:f>
        <x:v>0</x:v>
      </x:c>
      <x:c r="N1136" s="24" t="str">
        <x:f>IF(J1136&gt;0,"미수",IF(AND(H1136&gt;0,I1136&gt;=H1136),"완납","미확인"))</x:f>
        <x:v>완납</x:v>
      </x:c>
      <x:c r="O1136" s="31" t="n">
        <x:v>54</x:v>
      </x:c>
    </x:row>
    <x:row r="1137" ht="17.25" customHeight="1">
      <x:c r="A1137" s="24" t="str">
        <x:v>SW-B-383마3206-202606</x:v>
      </x:c>
      <x:c r="B1137" s="24" t="str">
        <x:v>스위치플랜</x:v>
      </x:c>
      <x:c r="C1137" s="24" t="str">
        <x:v>SW-C-383마3206-1-20260207-53</x:v>
      </x:c>
      <x:c r="D1137" s="24" t="str">
        <x:v>383마3206</x:v>
      </x:c>
      <x:c r="E1137" s="24" t="str">
        <x:v>이수정</x:v>
      </x:c>
      <x:c r="F1137" s="24" t="str">
        <x:v>2026-06</x:v>
      </x:c>
      <x:c r="G1137" s="30" t="n">
        <x:v>46183</x:v>
      </x:c>
      <x:c r="H1137" s="32" t="n">
        <x:v>730000</x:v>
      </x:c>
      <x:c r="I1137" s="32" t="n">
        <x:v>200000</x:v>
      </x:c>
      <x:c r="J1137" s="32" t="n">
        <x:v>400000</x:v>
      </x:c>
      <x:c r="K1137" s="30" t="n">
        <x:v>46185</x:v>
      </x:c>
      <x:c r="L1137" s="24" t="str">
        <x:v>입금</x:v>
      </x:c>
      <x:c r="M1137" s="31" t="n">
        <x:f>IF(AND(N1137="미수",G1137&lt;&gt;"",TODAY()&gt;G1137),TODAY()-G1137,0)</x:f>
        <x:v>66</x:v>
      </x:c>
      <x:c r="N1137" s="24" t="str">
        <x:f>IF(J1137&gt;0,"미수",IF(AND(H1137&gt;0,I1137&gt;=H1137),"완납","미확인"))</x:f>
        <x:v>미수</x:v>
      </x:c>
      <x:c r="O1137" s="31" t="n">
        <x:v>54</x:v>
      </x:c>
    </x:row>
    <x:row r="1138" ht="17.25" customHeight="1">
      <x:c r="A1138" s="24" t="str">
        <x:v>SW-B-383마3206-202605</x:v>
      </x:c>
      <x:c r="B1138" s="24" t="str">
        <x:v>스위치플랜</x:v>
      </x:c>
      <x:c r="C1138" s="24" t="str">
        <x:v>SW-C-383마3206-1-20260207-53</x:v>
      </x:c>
      <x:c r="D1138" s="24" t="str">
        <x:v>383마3206</x:v>
      </x:c>
      <x:c r="E1138" s="24" t="str">
        <x:v>이수정</x:v>
      </x:c>
      <x:c r="F1138" s="24" t="str">
        <x:v>2026-05</x:v>
      </x:c>
      <x:c r="G1138" s="30" t="n">
        <x:v>46152</x:v>
      </x:c>
      <x:c r="H1138" s="32" t="n">
        <x:v>730000</x:v>
      </x:c>
      <x:c r="I1138" s="32" t="n">
        <x:v>1590000</x:v>
      </x:c>
      <x:c r="J1138" s="32" t="n">
        <x:v>-130000</x:v>
      </x:c>
      <x:c r="K1138" s="30" t="n">
        <x:v>46149</x:v>
      </x:c>
      <x:c r="L1138" s="24" t="str">
        <x:v>입금</x:v>
      </x:c>
      <x:c r="M1138" s="31" t="n">
        <x:f>IF(AND(N1138="미수",G1138&lt;&gt;"",TODAY()&gt;G1138),TODAY()-G1138,0)</x:f>
        <x:v>0</x:v>
      </x:c>
      <x:c r="N1138" s="24" t="str">
        <x:f>IF(J1138&gt;0,"미수",IF(AND(H1138&gt;0,I1138&gt;=H1138),"완납","미확인"))</x:f>
        <x:v>완납</x:v>
      </x:c>
      <x:c r="O1138" s="31" t="n">
        <x:v>54</x:v>
      </x:c>
    </x:row>
    <x:row r="1139" ht="17.25" customHeight="1">
      <x:c r="A1139" s="24" t="str">
        <x:v>SW-B-383마3206-202604</x:v>
      </x:c>
      <x:c r="B1139" s="24" t="str">
        <x:v>스위치플랜</x:v>
      </x:c>
      <x:c r="C1139" s="24" t="str">
        <x:v>SW-C-383마3206-1-20260207-53</x:v>
      </x:c>
      <x:c r="D1139" s="24" t="str">
        <x:v>383마3206</x:v>
      </x:c>
      <x:c r="E1139" s="24" t="str">
        <x:v>이수정</x:v>
      </x:c>
      <x:c r="F1139" s="24" t="str">
        <x:v>2026-04</x:v>
      </x:c>
      <x:c r="G1139" s="30" t="n">
        <x:v>46122</x:v>
      </x:c>
      <x:c r="H1139" s="32" t="n">
        <x:v>730000</x:v>
      </x:c>
      <x:c r="I1139" s="32" t="n">
        <x:v>860000</x:v>
      </x:c>
      <x:c r="J1139" s="32" t="n">
        <x:v>730000</x:v>
      </x:c>
      <x:c r="K1139" s="30" t="n">
        <x:v>46125</x:v>
      </x:c>
      <x:c r="L1139" s="24" t="str">
        <x:v>입금</x:v>
      </x:c>
      <x:c r="M1139" s="31" t="n">
        <x:f>IF(AND(N1139="미수",G1139&lt;&gt;"",TODAY()&gt;G1139),TODAY()-G1139,0)</x:f>
        <x:v>127</x:v>
      </x:c>
      <x:c r="N1139" s="24" t="str">
        <x:f>IF(J1139&gt;0,"미수",IF(AND(H1139&gt;0,I1139&gt;=H1139),"완납","미확인"))</x:f>
        <x:v>미수</x:v>
      </x:c>
      <x:c r="O1139" s="31" t="n">
        <x:v>54</x:v>
      </x:c>
    </x:row>
    <x:row r="1140" ht="17.25" customHeight="1">
      <x:c r="A1140" s="24" t="str">
        <x:v>SW-B-383마3206-202603</x:v>
      </x:c>
      <x:c r="B1140" s="24" t="str">
        <x:v>스위치플랜</x:v>
      </x:c>
      <x:c r="C1140" s="24" t="str">
        <x:v>SW-C-383마3206-1-20260207-53</x:v>
      </x:c>
      <x:c r="D1140" s="24" t="str">
        <x:v>383마3206</x:v>
      </x:c>
      <x:c r="E1140" s="24" t="str">
        <x:v>이수정</x:v>
      </x:c>
      <x:c r="F1140" s="24" t="str">
        <x:v>2026-03</x:v>
      </x:c>
      <x:c r="G1140" s="30" t="n">
        <x:v>46091</x:v>
      </x:c>
      <x:c r="H1140" s="32" t="n">
        <x:v>730000</x:v>
      </x:c>
      <x:c r="I1140" s="32" t="n">
        <x:v>300000</x:v>
      </x:c>
      <x:c r="J1140" s="32" t="n">
        <x:v>860000</x:v>
      </x:c>
      <x:c r="K1140" s="30" t="n">
        <x:v>46085</x:v>
      </x:c>
      <x:c r="L1140" s="24" t="str">
        <x:v>입금</x:v>
      </x:c>
      <x:c r="M1140" s="31" t="n">
        <x:f>IF(AND(N1140="미수",G1140&lt;&gt;"",TODAY()&gt;G1140),TODAY()-G1140,0)</x:f>
        <x:v>158</x:v>
      </x:c>
      <x:c r="N1140" s="24" t="str">
        <x:f>IF(J1140&gt;0,"미수",IF(AND(H1140&gt;0,I1140&gt;=H1140),"완납","미확인"))</x:f>
        <x:v>미수</x:v>
      </x:c>
      <x:c r="O1140" s="31" t="n">
        <x:v>54</x:v>
      </x:c>
    </x:row>
    <x:row r="1141" ht="17.25" customHeight="1">
      <x:c r="A1141" s="24" t="str">
        <x:v>SW-B-383마3206-202602</x:v>
      </x:c>
      <x:c r="B1141" s="24" t="str">
        <x:v>스위치플랜</x:v>
      </x:c>
      <x:c r="C1141" s="24" t="str">
        <x:v>SW-C-383마3206-1-20260207-53</x:v>
      </x:c>
      <x:c r="D1141" s="24" t="str">
        <x:v>383마3206</x:v>
      </x:c>
      <x:c r="E1141" s="24" t="str">
        <x:v>이수정</x:v>
      </x:c>
      <x:c r="F1141" s="24" t="str">
        <x:v>2026-02</x:v>
      </x:c>
      <x:c r="G1141" s="30" t="n">
        <x:v>46063</x:v>
      </x:c>
      <x:c r="H1141" s="32" t="n">
        <x:v>730000</x:v>
      </x:c>
      <x:c r="I1141" s="32" t="n">
        <x:v>300000</x:v>
      </x:c>
      <x:c r="J1141" s="32" t="n">
        <x:v>430000</x:v>
      </x:c>
      <x:c r="K1141" s="30" t="n">
        <x:v>46077</x:v>
      </x:c>
      <x:c r="L1141" s="24" t="str">
        <x:v>입금</x:v>
      </x:c>
      <x:c r="M1141" s="31" t="n">
        <x:f>IF(AND(N1141="미수",G1141&lt;&gt;"",TODAY()&gt;G1141),TODAY()-G1141,0)</x:f>
        <x:v>186</x:v>
      </x:c>
      <x:c r="N1141" s="24" t="str">
        <x:f>IF(J1141&gt;0,"미수",IF(AND(H1141&gt;0,I1141&gt;=H1141),"완납","미확인"))</x:f>
        <x:v>미수</x:v>
      </x:c>
      <x:c r="O1141" s="31" t="n">
        <x:v>54</x:v>
      </x:c>
    </x:row>
    <x:row r="1142" ht="17.25" customHeight="1">
      <x:c r="A1142" s="24" t="str">
        <x:v>SW-B-383마3206-202601</x:v>
      </x:c>
      <x:c r="B1142" s="24" t="str">
        <x:v>스위치플랜</x:v>
      </x:c>
      <x:c r="C1142" s="24" t="str">
        <x:v>SW-C-383마3206-1-20260207-53</x:v>
      </x:c>
      <x:c r="D1142" s="24" t="str">
        <x:v>383마3206</x:v>
      </x:c>
      <x:c r="E1142" s="24" t="str">
        <x:v>이수정</x:v>
      </x:c>
      <x:c r="F1142" s="24" t="str">
        <x:v>2026-01</x:v>
      </x:c>
      <x:c r="G1142" s="30" t="n">
        <x:v>46032</x:v>
      </x:c>
      <x:c r="H1142" s="32" t="n">
        <x:v>780000</x:v>
      </x:c>
      <x:c r="I1142" s="32" t="n">
        <x:v>780000</x:v>
      </x:c>
      <x:c r="J1142" s="32" t="n">
        <x:v>0</x:v>
      </x:c>
      <x:c r="K1142" s="30" t="n">
        <x:v>46038</x:v>
      </x:c>
      <x:c r="L1142" s="24" t="str">
        <x:v>입금</x:v>
      </x:c>
      <x:c r="M1142" s="31" t="n">
        <x:f>IF(AND(N1142="미수",G1142&lt;&gt;"",TODAY()&gt;G1142),TODAY()-G1142,0)</x:f>
        <x:v>0</x:v>
      </x:c>
      <x:c r="N1142" s="24" t="str">
        <x:f>IF(J1142&gt;0,"미수",IF(AND(H1142&gt;0,I1142&gt;=H1142),"완납","미확인"))</x:f>
        <x:v>완납</x:v>
      </x:c>
      <x:c r="O1142" s="31" t="n">
        <x:v>54</x:v>
      </x:c>
    </x:row>
    <x:row r="1143" ht="17.25" customHeight="1">
      <x:c r="A1143" s="24" t="str">
        <x:v>SW-B-383마3206-202512</x:v>
      </x:c>
      <x:c r="B1143" s="24" t="str">
        <x:v>스위치플랜</x:v>
      </x:c>
      <x:c r="C1143" s="24" t="str">
        <x:v>SW-C-383마3206-1-20260207-53</x:v>
      </x:c>
      <x:c r="D1143" s="24" t="str">
        <x:v>383마3206</x:v>
      </x:c>
      <x:c r="E1143" s="24" t="str">
        <x:v>이수정</x:v>
      </x:c>
      <x:c r="F1143" s="24" t="str">
        <x:v>2025-12</x:v>
      </x:c>
      <x:c r="G1143" s="30" t="n">
        <x:v>46001</x:v>
      </x:c>
      <x:c r="H1143" s="32" t="n">
        <x:v>780000</x:v>
      </x:c>
      <x:c r="I1143" s="32" t="n">
        <x:v>780000</x:v>
      </x:c>
      <x:c r="J1143" s="32" t="n">
        <x:v>0</x:v>
      </x:c>
      <x:c r="K1143" s="30" t="n">
        <x:v>46002</x:v>
      </x:c>
      <x:c r="L1143" s="24" t="str">
        <x:v>입금</x:v>
      </x:c>
      <x:c r="M1143" s="31" t="n">
        <x:f>IF(AND(N1143="미수",G1143&lt;&gt;"",TODAY()&gt;G1143),TODAY()-G1143,0)</x:f>
        <x:v>0</x:v>
      </x:c>
      <x:c r="N1143" s="24" t="str">
        <x:f>IF(J1143&gt;0,"미수",IF(AND(H1143&gt;0,I1143&gt;=H1143),"완납","미확인"))</x:f>
        <x:v>완납</x:v>
      </x:c>
      <x:c r="O1143" s="31" t="n">
        <x:v>54</x:v>
      </x:c>
    </x:row>
    <x:row r="1144" ht="17.25" customHeight="1">
      <x:c r="A1144" s="24" t="str">
        <x:v>SW-B-383마3206-202511</x:v>
      </x:c>
      <x:c r="B1144" s="24" t="str">
        <x:v>스위치플랜</x:v>
      </x:c>
      <x:c r="C1144" s="24" t="str">
        <x:v>SW-C-383마3206-1-20260207-53</x:v>
      </x:c>
      <x:c r="D1144" s="24" t="str">
        <x:v>383마3206</x:v>
      </x:c>
      <x:c r="E1144" s="24" t="str">
        <x:v>이수정</x:v>
      </x:c>
      <x:c r="F1144" s="24" t="str">
        <x:v>2025-11</x:v>
      </x:c>
      <x:c r="G1144" s="30" t="n">
        <x:v>45971</x:v>
      </x:c>
      <x:c r="H1144" s="32" t="n">
        <x:v>780000</x:v>
      </x:c>
      <x:c r="I1144" s="32" t="n">
        <x:v>1180000</x:v>
      </x:c>
      <x:c r="J1144" s="32" t="n">
        <x:v>0</x:v>
      </x:c>
      <x:c r="K1144" s="30" t="n">
        <x:v>45964</x:v>
      </x:c>
      <x:c r="L1144" s="24" t="str">
        <x:v>카드</x:v>
      </x:c>
      <x:c r="M1144" s="31" t="n">
        <x:f>IF(AND(N1144="미수",G1144&lt;&gt;"",TODAY()&gt;G1144),TODAY()-G1144,0)</x:f>
        <x:v>0</x:v>
      </x:c>
      <x:c r="N1144" s="24" t="str">
        <x:f>IF(J1144&gt;0,"미수",IF(AND(H1144&gt;0,I1144&gt;=H1144),"완납","미확인"))</x:f>
        <x:v>완납</x:v>
      </x:c>
      <x:c r="O1144" s="31" t="n">
        <x:v>54</x:v>
      </x:c>
    </x:row>
    <x:row r="1145" ht="17.25" customHeight="1">
      <x:c r="A1145" s="24" t="str">
        <x:v>SW-B-383마3206-202510</x:v>
      </x:c>
      <x:c r="B1145" s="24" t="str">
        <x:v>스위치플랜</x:v>
      </x:c>
      <x:c r="C1145" s="24" t="str">
        <x:v>SW-C-383마3206-1-20260207-53</x:v>
      </x:c>
      <x:c r="D1145" s="24" t="str">
        <x:v>383마3206</x:v>
      </x:c>
      <x:c r="E1145" s="24" t="str">
        <x:v>이수정</x:v>
      </x:c>
      <x:c r="F1145" s="24" t="str">
        <x:v>2025-10</x:v>
      </x:c>
      <x:c r="G1145" s="30" t="n">
        <x:v>45940</x:v>
      </x:c>
      <x:c r="H1145" s="32" t="n">
        <x:v>780000</x:v>
      </x:c>
      <x:c r="I1145" s="32" t="n">
        <x:v>380000</x:v>
      </x:c>
      <x:c r="J1145" s="32" t="n">
        <x:v>400000</x:v>
      </x:c>
      <x:c r="K1145" s="30" t="n">
        <x:v>45940</x:v>
      </x:c>
      <x:c r="L1145" s="24" t="str">
        <x:v>입금</x:v>
      </x:c>
      <x:c r="M1145" s="31" t="n">
        <x:f>IF(AND(N1145="미수",G1145&lt;&gt;"",TODAY()&gt;G1145),TODAY()-G1145,0)</x:f>
        <x:v>309</x:v>
      </x:c>
      <x:c r="N1145" s="24" t="str">
        <x:f>IF(J1145&gt;0,"미수",IF(AND(H1145&gt;0,I1145&gt;=H1145),"완납","미확인"))</x:f>
        <x:v>미수</x:v>
      </x:c>
      <x:c r="O1145" s="31" t="n">
        <x:v>54</x:v>
      </x:c>
    </x:row>
    <x:row r="1146" ht="17.25" customHeight="1">
      <x:c r="A1146" s="24" t="str">
        <x:v>SW-B-383마3206-202509</x:v>
      </x:c>
      <x:c r="B1146" s="24" t="str">
        <x:v>스위치플랜</x:v>
      </x:c>
      <x:c r="C1146" s="24" t="str">
        <x:v>SW-C-383마3206-1-20260207-53</x:v>
      </x:c>
      <x:c r="D1146" s="24" t="str">
        <x:v>383마3206</x:v>
      </x:c>
      <x:c r="E1146" s="24" t="str">
        <x:v>이수정</x:v>
      </x:c>
      <x:c r="F1146" s="24" t="str">
        <x:v>2025-09</x:v>
      </x:c>
      <x:c r="G1146" s="30" t="n">
        <x:v>45910</x:v>
      </x:c>
      <x:c r="H1146" s="32" t="n">
        <x:v>780000</x:v>
      </x:c>
      <x:c r="I1146" s="32" t="n">
        <x:v>780000</x:v>
      </x:c>
      <x:c r="J1146" s="32" t="n">
        <x:v>0</x:v>
      </x:c>
      <x:c r="K1146" s="30" t="n">
        <x:v>45920</x:v>
      </x:c>
      <x:c r="L1146" s="24" t="str">
        <x:v>입금</x:v>
      </x:c>
      <x:c r="M1146" s="31" t="n">
        <x:f>IF(AND(N1146="미수",G1146&lt;&gt;"",TODAY()&gt;G1146),TODAY()-G1146,0)</x:f>
        <x:v>0</x:v>
      </x:c>
      <x:c r="N1146" s="24" t="str">
        <x:f>IF(J1146&gt;0,"미수",IF(AND(H1146&gt;0,I1146&gt;=H1146),"완납","미확인"))</x:f>
        <x:v>완납</x:v>
      </x:c>
      <x:c r="O1146" s="31" t="n">
        <x:v>54</x:v>
      </x:c>
    </x:row>
    <x:row r="1147" ht="17.25" customHeight="1">
      <x:c r="A1147" s="24" t="str">
        <x:v>SW-B-383마3206-202508</x:v>
      </x:c>
      <x:c r="B1147" s="24" t="str">
        <x:v>스위치플랜</x:v>
      </x:c>
      <x:c r="C1147" s="24" t="str">
        <x:v>SW-C-383마3206-1-20260207-53</x:v>
      </x:c>
      <x:c r="D1147" s="24" t="str">
        <x:v>383마3206</x:v>
      </x:c>
      <x:c r="E1147" s="24" t="str">
        <x:v>이수정</x:v>
      </x:c>
      <x:c r="F1147" s="24" t="str">
        <x:v>2025-08</x:v>
      </x:c>
      <x:c r="G1147" s="30" t="n">
        <x:v>45879</x:v>
      </x:c>
      <x:c r="H1147" s="32" t="n">
        <x:v>780000</x:v>
      </x:c>
      <x:c r="I1147" s="32" t="n">
        <x:v>780000</x:v>
      </x:c>
      <x:c r="J1147" s="32" t="n">
        <x:v>0</x:v>
      </x:c>
      <x:c r="K1147" s="30" t="n">
        <x:v>45883</x:v>
      </x:c>
      <x:c r="L1147" s="24" t="str">
        <x:v>카드</x:v>
      </x:c>
      <x:c r="M1147" s="31" t="n">
        <x:f>IF(AND(N1147="미수",G1147&lt;&gt;"",TODAY()&gt;G1147),TODAY()-G1147,0)</x:f>
        <x:v>0</x:v>
      </x:c>
      <x:c r="N1147" s="24" t="str">
        <x:f>IF(J1147&gt;0,"미수",IF(AND(H1147&gt;0,I1147&gt;=H1147),"완납","미확인"))</x:f>
        <x:v>완납</x:v>
      </x:c>
      <x:c r="O1147" s="31" t="n">
        <x:v>54</x:v>
      </x:c>
    </x:row>
    <x:row r="1148" ht="17.25" customHeight="1">
      <x:c r="A1148" s="24" t="str">
        <x:v>SW-B-383마3206-202507</x:v>
      </x:c>
      <x:c r="B1148" s="24" t="str">
        <x:v>스위치플랜</x:v>
      </x:c>
      <x:c r="C1148" s="24" t="str">
        <x:v>SW-C-383마3206-1-20260207-53</x:v>
      </x:c>
      <x:c r="D1148" s="24" t="str">
        <x:v>383마3206</x:v>
      </x:c>
      <x:c r="E1148" s="24" t="str">
        <x:v>이수정</x:v>
      </x:c>
      <x:c r="F1148" s="24" t="str">
        <x:v>2025-07</x:v>
      </x:c>
      <x:c r="G1148" s="30" t="n">
        <x:v>45848</x:v>
      </x:c>
      <x:c r="H1148" s="32" t="n">
        <x:v>780000</x:v>
      </x:c>
      <x:c r="I1148" s="32" t="n">
        <x:v>780000</x:v>
      </x:c>
      <x:c r="J1148" s="32" t="n">
        <x:v>0</x:v>
      </x:c>
      <x:c r="K1148" s="30" t="n">
        <x:v>45866</x:v>
      </x:c>
      <x:c r="L1148" s="24" t="str">
        <x:v>입금</x:v>
      </x:c>
      <x:c r="M1148" s="31" t="n">
        <x:f>IF(AND(N1148="미수",G1148&lt;&gt;"",TODAY()&gt;G1148),TODAY()-G1148,0)</x:f>
        <x:v>0</x:v>
      </x:c>
      <x:c r="N1148" s="24" t="str">
        <x:f>IF(J1148&gt;0,"미수",IF(AND(H1148&gt;0,I1148&gt;=H1148),"완납","미확인"))</x:f>
        <x:v>완납</x:v>
      </x:c>
      <x:c r="O1148" s="31" t="n">
        <x:v>54</x:v>
      </x:c>
    </x:row>
    <x:row r="1149" ht="17.25" customHeight="1">
      <x:c r="A1149" s="24" t="str">
        <x:v>SW-B-383마3206-202506</x:v>
      </x:c>
      <x:c r="B1149" s="24" t="str">
        <x:v>스위치플랜</x:v>
      </x:c>
      <x:c r="C1149" s="24" t="str">
        <x:v>SW-C-383마3206-1-20260207-53</x:v>
      </x:c>
      <x:c r="D1149" s="24" t="str">
        <x:v>383마3206</x:v>
      </x:c>
      <x:c r="E1149" s="24" t="str">
        <x:v>이수정</x:v>
      </x:c>
      <x:c r="F1149" s="24" t="str">
        <x:v>2025-06</x:v>
      </x:c>
      <x:c r="G1149" s="30" t="n">
        <x:v>45818</x:v>
      </x:c>
      <x:c r="H1149" s="32" t="n">
        <x:v>780000</x:v>
      </x:c>
      <x:c r="I1149" s="32" t="n">
        <x:v>780000</x:v>
      </x:c>
      <x:c r="J1149" s="32" t="n">
        <x:v>0</x:v>
      </x:c>
      <x:c r="K1149" s="30" t="n">
        <x:v>45836</x:v>
      </x:c>
      <x:c r="L1149" s="24" t="str">
        <x:v>입금</x:v>
      </x:c>
      <x:c r="M1149" s="31" t="n">
        <x:f>IF(AND(N1149="미수",G1149&lt;&gt;"",TODAY()&gt;G1149),TODAY()-G1149,0)</x:f>
        <x:v>0</x:v>
      </x:c>
      <x:c r="N1149" s="24" t="str">
        <x:f>IF(J1149&gt;0,"미수",IF(AND(H1149&gt;0,I1149&gt;=H1149),"완납","미확인"))</x:f>
        <x:v>완납</x:v>
      </x:c>
      <x:c r="O1149" s="31" t="n">
        <x:v>54</x:v>
      </x:c>
    </x:row>
    <x:row r="1150" ht="17.25" customHeight="1">
      <x:c r="A1150" s="24" t="str">
        <x:v>SW-B-383마3206-202505</x:v>
      </x:c>
      <x:c r="B1150" s="24" t="str">
        <x:v>스위치플랜</x:v>
      </x:c>
      <x:c r="C1150" s="24" t="str">
        <x:v>SW-C-383마3206-1-20260207-53</x:v>
      </x:c>
      <x:c r="D1150" s="24" t="str">
        <x:v>383마3206</x:v>
      </x:c>
      <x:c r="E1150" s="24" t="str">
        <x:v>이수정</x:v>
      </x:c>
      <x:c r="F1150" s="24" t="str">
        <x:v>2025-05</x:v>
      </x:c>
      <x:c r="G1150" s="30" t="n">
        <x:v>45787</x:v>
      </x:c>
      <x:c r="H1150" s="32" t="n">
        <x:v>780000</x:v>
      </x:c>
      <x:c r="I1150" s="32" t="n">
        <x:v>780000</x:v>
      </x:c>
      <x:c r="J1150" s="32" t="n">
        <x:v>0</x:v>
      </x:c>
      <x:c r="K1150" s="30" t="n">
        <x:v>45810</x:v>
      </x:c>
      <x:c r="L1150" s="24" t="str">
        <x:v>입금</x:v>
      </x:c>
      <x:c r="M1150" s="31" t="n">
        <x:f>IF(AND(N1150="미수",G1150&lt;&gt;"",TODAY()&gt;G1150),TODAY()-G1150,0)</x:f>
        <x:v>0</x:v>
      </x:c>
      <x:c r="N1150" s="24" t="str">
        <x:f>IF(J1150&gt;0,"미수",IF(AND(H1150&gt;0,I1150&gt;=H1150),"완납","미확인"))</x:f>
        <x:v>완납</x:v>
      </x:c>
      <x:c r="O1150" s="31" t="n">
        <x:v>54</x:v>
      </x:c>
    </x:row>
    <x:row r="1151" ht="17.25" customHeight="1">
      <x:c r="A1151" s="24" t="str">
        <x:v>SW-B-383마3206-202504</x:v>
      </x:c>
      <x:c r="B1151" s="24" t="str">
        <x:v>스위치플랜</x:v>
      </x:c>
      <x:c r="C1151" s="24" t="str">
        <x:v>SW-C-383마3206-1-20260207-53</x:v>
      </x:c>
      <x:c r="D1151" s="24" t="str">
        <x:v>383마3206</x:v>
      </x:c>
      <x:c r="E1151" s="24" t="str">
        <x:v>이수정</x:v>
      </x:c>
      <x:c r="F1151" s="24" t="str">
        <x:v>2025-04</x:v>
      </x:c>
      <x:c r="G1151" s="30" t="n">
        <x:v>45757</x:v>
      </x:c>
      <x:c r="H1151" s="32" t="n">
        <x:v>780000</x:v>
      </x:c>
      <x:c r="I1151" s="32" t="n">
        <x:v>780000</x:v>
      </x:c>
      <x:c r="J1151" s="32" t="n">
        <x:v>0</x:v>
      </x:c>
      <x:c r="K1151" s="30" t="n">
        <x:v>45792</x:v>
      </x:c>
      <x:c r="L1151" s="24" t="str">
        <x:v>입금</x:v>
      </x:c>
      <x:c r="M1151" s="31" t="n">
        <x:f>IF(AND(N1151="미수",G1151&lt;&gt;"",TODAY()&gt;G1151),TODAY()-G1151,0)</x:f>
        <x:v>0</x:v>
      </x:c>
      <x:c r="N1151" s="24" t="str">
        <x:f>IF(J1151&gt;0,"미수",IF(AND(H1151&gt;0,I1151&gt;=H1151),"완납","미확인"))</x:f>
        <x:v>완납</x:v>
      </x:c>
      <x:c r="O1151" s="31" t="n">
        <x:v>54</x:v>
      </x:c>
    </x:row>
    <x:row r="1152" ht="17.25" customHeight="1">
      <x:c r="A1152" s="24" t="str">
        <x:v>SW-B-383마3206-202503</x:v>
      </x:c>
      <x:c r="B1152" s="24" t="str">
        <x:v>스위치플랜</x:v>
      </x:c>
      <x:c r="C1152" s="24" t="str">
        <x:v>SW-C-383마3206-1-20260207-53</x:v>
      </x:c>
      <x:c r="D1152" s="24" t="str">
        <x:v>383마3206</x:v>
      </x:c>
      <x:c r="E1152" s="24" t="str">
        <x:v>이수정</x:v>
      </x:c>
      <x:c r="F1152" s="24" t="str">
        <x:v>2025-03</x:v>
      </x:c>
      <x:c r="G1152" s="30" t="n">
        <x:v>45726</x:v>
      </x:c>
      <x:c r="H1152" s="32" t="n">
        <x:v>780000</x:v>
      </x:c>
      <x:c r="I1152" s="32" t="n">
        <x:v>780000</x:v>
      </x:c>
      <x:c r="J1152" s="32" t="n">
        <x:v>0</x:v>
      </x:c>
      <x:c r="K1152" s="30" t="n">
        <x:v>45717</x:v>
      </x:c>
      <x:c r="L1152" s="24" t="str">
        <x:v>입금</x:v>
      </x:c>
      <x:c r="M1152" s="31" t="n">
        <x:f>IF(AND(N1152="미수",G1152&lt;&gt;"",TODAY()&gt;G1152),TODAY()-G1152,0)</x:f>
        <x:v>0</x:v>
      </x:c>
      <x:c r="N1152" s="24" t="str">
        <x:f>IF(J1152&gt;0,"미수",IF(AND(H1152&gt;0,I1152&gt;=H1152),"완납","미확인"))</x:f>
        <x:v>완납</x:v>
      </x:c>
      <x:c r="O1152" s="31" t="n">
        <x:v>54</x:v>
      </x:c>
    </x:row>
    <x:row r="1153" ht="17.25" customHeight="1">
      <x:c r="A1153" s="24" t="str">
        <x:v>SW-B-383마3206-202502</x:v>
      </x:c>
      <x:c r="B1153" s="24" t="str">
        <x:v>스위치플랜</x:v>
      </x:c>
      <x:c r="C1153" s="24" t="str">
        <x:v>SW-C-383마3206-1-20260207-53</x:v>
      </x:c>
      <x:c r="D1153" s="24" t="str">
        <x:v>383마3206</x:v>
      </x:c>
      <x:c r="E1153" s="24" t="str">
        <x:v>이수정</x:v>
      </x:c>
      <x:c r="F1153" s="24" t="str">
        <x:v>2025-02</x:v>
      </x:c>
      <x:c r="G1153" s="30" t="n">
        <x:v>45698</x:v>
      </x:c>
      <x:c r="H1153" s="32" t="n">
        <x:v>780000</x:v>
      </x:c>
      <x:c r="I1153" s="32" t="n">
        <x:v>780000</x:v>
      </x:c>
      <x:c r="J1153" s="32" t="n">
        <x:v>0</x:v>
      </x:c>
      <x:c r="K1153" s="30" t="n">
        <x:v>45717</x:v>
      </x:c>
      <x:c r="L1153" s="24" t="str">
        <x:v>입금</x:v>
      </x:c>
      <x:c r="M1153" s="31" t="n">
        <x:f>IF(AND(N1153="미수",G1153&lt;&gt;"",TODAY()&gt;G1153),TODAY()-G1153,0)</x:f>
        <x:v>0</x:v>
      </x:c>
      <x:c r="N1153" s="24" t="str">
        <x:f>IF(J1153&gt;0,"미수",IF(AND(H1153&gt;0,I1153&gt;=H1153),"완납","미확인"))</x:f>
        <x:v>완납</x:v>
      </x:c>
      <x:c r="O1153" s="31" t="n">
        <x:v>54</x:v>
      </x:c>
    </x:row>
    <x:row r="1154" ht="17.25" customHeight="1">
      <x:c r="A1154" s="24" t="str">
        <x:v>SW-B-383마3206-202501</x:v>
      </x:c>
      <x:c r="B1154" s="24" t="str">
        <x:v>스위치플랜</x:v>
      </x:c>
      <x:c r="C1154" s="24" t="str">
        <x:v>SW-C-383마3206-1-20260207-53</x:v>
      </x:c>
      <x:c r="D1154" s="24" t="str">
        <x:v>383마3206</x:v>
      </x:c>
      <x:c r="E1154" s="24" t="str">
        <x:v>이수정</x:v>
      </x:c>
      <x:c r="F1154" s="24" t="str">
        <x:v>2025-01</x:v>
      </x:c>
      <x:c r="G1154" s="30" t="n">
        <x:v>45667</x:v>
      </x:c>
      <x:c r="H1154" s="32" t="n">
        <x:v>840000</x:v>
      </x:c>
      <x:c r="I1154" s="32" t="n">
        <x:v>840000</x:v>
      </x:c>
      <x:c r="J1154" s="32" t="n">
        <x:v>0</x:v>
      </x:c>
      <x:c r="K1154" s="30" t="n">
        <x:v>45665</x:v>
      </x:c>
      <x:c r="L1154" s="24" t="str">
        <x:v>입금</x:v>
      </x:c>
      <x:c r="M1154" s="31" t="n">
        <x:f>IF(AND(N1154="미수",G1154&lt;&gt;"",TODAY()&gt;G1154),TODAY()-G1154,0)</x:f>
        <x:v>0</x:v>
      </x:c>
      <x:c r="N1154" s="24" t="str">
        <x:f>IF(J1154&gt;0,"미수",IF(AND(H1154&gt;0,I1154&gt;=H1154),"완납","미확인"))</x:f>
        <x:v>완납</x:v>
      </x:c>
      <x:c r="O1154" s="31" t="n">
        <x:v>54</x:v>
      </x:c>
    </x:row>
    <x:row r="1155" ht="17.25" customHeight="1">
      <x:c r="A1155" s="24" t="str">
        <x:v>SW-B-383마3206-202412</x:v>
      </x:c>
      <x:c r="B1155" s="24" t="str">
        <x:v>스위치플랜</x:v>
      </x:c>
      <x:c r="C1155" s="24" t="str">
        <x:v>SW-C-383마3206-1-20260207-53</x:v>
      </x:c>
      <x:c r="D1155" s="24" t="str">
        <x:v>383마3206</x:v>
      </x:c>
      <x:c r="E1155" s="24" t="str">
        <x:v>이수정</x:v>
      </x:c>
      <x:c r="F1155" s="24" t="str">
        <x:v>2024-12</x:v>
      </x:c>
      <x:c r="G1155" s="30" t="n">
        <x:v>45636</x:v>
      </x:c>
      <x:c r="H1155" s="32" t="n">
        <x:v>840000</x:v>
      </x:c>
      <x:c r="I1155" s="32" t="n">
        <x:v>840000</x:v>
      </x:c>
      <x:c r="J1155" s="32" t="n">
        <x:v>0</x:v>
      </x:c>
      <x:c r="K1155" s="30" t="n">
        <x:v>45645</x:v>
      </x:c>
      <x:c r="L1155" s="24" t="str">
        <x:v>입금</x:v>
      </x:c>
      <x:c r="M1155" s="31" t="n">
        <x:f>IF(AND(N1155="미수",G1155&lt;&gt;"",TODAY()&gt;G1155),TODAY()-G1155,0)</x:f>
        <x:v>0</x:v>
      </x:c>
      <x:c r="N1155" s="24" t="str">
        <x:f>IF(J1155&gt;0,"미수",IF(AND(H1155&gt;0,I1155&gt;=H1155),"완납","미확인"))</x:f>
        <x:v>완납</x:v>
      </x:c>
      <x:c r="O1155" s="31" t="n">
        <x:v>54</x:v>
      </x:c>
    </x:row>
    <x:row r="1156" ht="17.25" customHeight="1">
      <x:c r="A1156" s="24" t="str">
        <x:v>SW-B-383마3206-202411</x:v>
      </x:c>
      <x:c r="B1156" s="24" t="str">
        <x:v>스위치플랜</x:v>
      </x:c>
      <x:c r="C1156" s="24" t="str">
        <x:v>SW-C-383마3206-1-20260207-53</x:v>
      </x:c>
      <x:c r="D1156" s="24" t="str">
        <x:v>383마3206</x:v>
      </x:c>
      <x:c r="E1156" s="24" t="str">
        <x:v>이수정</x:v>
      </x:c>
      <x:c r="F1156" s="24" t="str">
        <x:v>2024-11</x:v>
      </x:c>
      <x:c r="G1156" s="30" t="n">
        <x:v>45606</x:v>
      </x:c>
      <x:c r="H1156" s="32" t="n">
        <x:v>840000</x:v>
      </x:c>
      <x:c r="I1156" s="32" t="n">
        <x:v>840000</x:v>
      </x:c>
      <x:c r="J1156" s="32" t="n">
        <x:v>0</x:v>
      </x:c>
      <x:c r="K1156" s="30" t="n">
        <x:v>45609</x:v>
      </x:c>
      <x:c r="L1156" s="24" t="str">
        <x:v>카드</x:v>
      </x:c>
      <x:c r="M1156" s="31" t="n">
        <x:f>IF(AND(N1156="미수",G1156&lt;&gt;"",TODAY()&gt;G1156),TODAY()-G1156,0)</x:f>
        <x:v>0</x:v>
      </x:c>
      <x:c r="N1156" s="24" t="str">
        <x:f>IF(J1156&gt;0,"미수",IF(AND(H1156&gt;0,I1156&gt;=H1156),"완납","미확인"))</x:f>
        <x:v>완납</x:v>
      </x:c>
      <x:c r="O1156" s="31" t="n">
        <x:v>54</x:v>
      </x:c>
    </x:row>
    <x:row r="1157" ht="17.25" customHeight="1">
      <x:c r="A1157" s="24" t="str">
        <x:v>SW-B-383마3206-202410</x:v>
      </x:c>
      <x:c r="B1157" s="24" t="str">
        <x:v>스위치플랜</x:v>
      </x:c>
      <x:c r="C1157" s="24" t="str">
        <x:v>SW-C-383마3206-1-20260207-53</x:v>
      </x:c>
      <x:c r="D1157" s="24" t="str">
        <x:v>383마3206</x:v>
      </x:c>
      <x:c r="E1157" s="24" t="str">
        <x:v>이수정</x:v>
      </x:c>
      <x:c r="F1157" s="24" t="str">
        <x:v>2024-10</x:v>
      </x:c>
      <x:c r="G1157" s="30" t="n">
        <x:v>45575</x:v>
      </x:c>
      <x:c r="H1157" s="32" t="n">
        <x:v>840000</x:v>
      </x:c>
      <x:c r="I1157" s="32" t="n">
        <x:v>840000</x:v>
      </x:c>
      <x:c r="J1157" s="32" t="n">
        <x:v>0</x:v>
      </x:c>
      <x:c r="K1157" s="30" t="n">
        <x:v>45586</x:v>
      </x:c>
      <x:c r="L1157" s="24" t="str">
        <x:v>입금</x:v>
      </x:c>
      <x:c r="M1157" s="31" t="n">
        <x:f>IF(AND(N1157="미수",G1157&lt;&gt;"",TODAY()&gt;G1157),TODAY()-G1157,0)</x:f>
        <x:v>0</x:v>
      </x:c>
      <x:c r="N1157" s="24" t="str">
        <x:f>IF(J1157&gt;0,"미수",IF(AND(H1157&gt;0,I1157&gt;=H1157),"완납","미확인"))</x:f>
        <x:v>완납</x:v>
      </x:c>
      <x:c r="O1157" s="31" t="n">
        <x:v>54</x:v>
      </x:c>
    </x:row>
    <x:row r="1158" ht="17.25" customHeight="1">
      <x:c r="A1158" s="24" t="str">
        <x:v>SW-B-383마3206-202409</x:v>
      </x:c>
      <x:c r="B1158" s="24" t="str">
        <x:v>스위치플랜</x:v>
      </x:c>
      <x:c r="C1158" s="24" t="str">
        <x:v>SW-C-383마3206-1-20260207-53</x:v>
      </x:c>
      <x:c r="D1158" s="24" t="str">
        <x:v>383마3206</x:v>
      </x:c>
      <x:c r="E1158" s="24" t="str">
        <x:v>이수정</x:v>
      </x:c>
      <x:c r="F1158" s="24" t="str">
        <x:v>2024-09</x:v>
      </x:c>
      <x:c r="G1158" s="30" t="n">
        <x:v>45545</x:v>
      </x:c>
      <x:c r="H1158" s="32" t="n">
        <x:v>840000</x:v>
      </x:c>
      <x:c r="I1158" s="32" t="n">
        <x:v>840000</x:v>
      </x:c>
      <x:c r="J1158" s="32" t="n">
        <x:v>0</x:v>
      </x:c>
      <x:c r="K1158" s="30" t="n">
        <x:v>45561</x:v>
      </x:c>
      <x:c r="L1158" s="24" t="str">
        <x:v>입금</x:v>
      </x:c>
      <x:c r="M1158" s="31" t="n">
        <x:f>IF(AND(N1158="미수",G1158&lt;&gt;"",TODAY()&gt;G1158),TODAY()-G1158,0)</x:f>
        <x:v>0</x:v>
      </x:c>
      <x:c r="N1158" s="24" t="str">
        <x:f>IF(J1158&gt;0,"미수",IF(AND(H1158&gt;0,I1158&gt;=H1158),"완납","미확인"))</x:f>
        <x:v>완납</x:v>
      </x:c>
      <x:c r="O1158" s="31" t="n">
        <x:v>54</x:v>
      </x:c>
    </x:row>
    <x:row r="1159" ht="17.25" customHeight="1">
      <x:c r="A1159" s="24" t="str">
        <x:v>SW-B-383마3206-202408</x:v>
      </x:c>
      <x:c r="B1159" s="24" t="str">
        <x:v>스위치플랜</x:v>
      </x:c>
      <x:c r="C1159" s="24" t="str">
        <x:v>SW-C-383마3206-1-20260207-53</x:v>
      </x:c>
      <x:c r="D1159" s="24" t="str">
        <x:v>383마3206</x:v>
      </x:c>
      <x:c r="E1159" s="24" t="str">
        <x:v>이수정</x:v>
      </x:c>
      <x:c r="F1159" s="24" t="str">
        <x:v>2024-08</x:v>
      </x:c>
      <x:c r="G1159" s="30" t="n">
        <x:v>45514</x:v>
      </x:c>
      <x:c r="H1159" s="32" t="n">
        <x:v>840000</x:v>
      </x:c>
      <x:c r="I1159" s="32" t="n">
        <x:v>840000</x:v>
      </x:c>
      <x:c r="J1159" s="32" t="n">
        <x:v>0</x:v>
      </x:c>
      <x:c r="K1159" s="30" t="n">
        <x:v>45530</x:v>
      </x:c>
      <x:c r="L1159" s="24" t="str">
        <x:v>입금</x:v>
      </x:c>
      <x:c r="M1159" s="31" t="n">
        <x:f>IF(AND(N1159="미수",G1159&lt;&gt;"",TODAY()&gt;G1159),TODAY()-G1159,0)</x:f>
        <x:v>0</x:v>
      </x:c>
      <x:c r="N1159" s="24" t="str">
        <x:f>IF(J1159&gt;0,"미수",IF(AND(H1159&gt;0,I1159&gt;=H1159),"완납","미확인"))</x:f>
        <x:v>완납</x:v>
      </x:c>
      <x:c r="O1159" s="31" t="n">
        <x:v>54</x:v>
      </x:c>
    </x:row>
    <x:row r="1160" ht="17.25" customHeight="1">
      <x:c r="A1160" s="24" t="str">
        <x:v>SW-B-383마3206-202407</x:v>
      </x:c>
      <x:c r="B1160" s="24" t="str">
        <x:v>스위치플랜</x:v>
      </x:c>
      <x:c r="C1160" s="24" t="str">
        <x:v>SW-C-383마3206-1-20260207-53</x:v>
      </x:c>
      <x:c r="D1160" s="24" t="str">
        <x:v>383마3206</x:v>
      </x:c>
      <x:c r="E1160" s="24" t="str">
        <x:v>이수정</x:v>
      </x:c>
      <x:c r="F1160" s="24" t="str">
        <x:v>2024-07</x:v>
      </x:c>
      <x:c r="G1160" s="30" t="n">
        <x:v>45483</x:v>
      </x:c>
      <x:c r="H1160" s="32" t="n">
        <x:v>840000</x:v>
      </x:c>
      <x:c r="I1160" s="32" t="n">
        <x:v>840000</x:v>
      </x:c>
      <x:c r="J1160" s="32" t="n">
        <x:v>0</x:v>
      </x:c>
      <x:c r="K1160" s="30" t="n">
        <x:v>45501</x:v>
      </x:c>
      <x:c r="L1160" s="24" t="str">
        <x:v>입금</x:v>
      </x:c>
      <x:c r="M1160" s="31" t="n">
        <x:f>IF(AND(N1160="미수",G1160&lt;&gt;"",TODAY()&gt;G1160),TODAY()-G1160,0)</x:f>
        <x:v>0</x:v>
      </x:c>
      <x:c r="N1160" s="24" t="str">
        <x:f>IF(J1160&gt;0,"미수",IF(AND(H1160&gt;0,I1160&gt;=H1160),"완납","미확인"))</x:f>
        <x:v>완납</x:v>
      </x:c>
      <x:c r="O1160" s="31" t="n">
        <x:v>54</x:v>
      </x:c>
    </x:row>
    <x:row r="1161" ht="17.25" customHeight="1">
      <x:c r="A1161" s="24" t="str">
        <x:v>SW-B-383마3206-202406</x:v>
      </x:c>
      <x:c r="B1161" s="24" t="str">
        <x:v>스위치플랜</x:v>
      </x:c>
      <x:c r="C1161" s="24" t="str">
        <x:v>SW-C-383마3206-1-20260207-53</x:v>
      </x:c>
      <x:c r="D1161" s="24" t="str">
        <x:v>383마3206</x:v>
      </x:c>
      <x:c r="E1161" s="24" t="str">
        <x:v>이수정</x:v>
      </x:c>
      <x:c r="F1161" s="24" t="str">
        <x:v>2024-06</x:v>
      </x:c>
      <x:c r="G1161" s="30" t="n">
        <x:v>45453</x:v>
      </x:c>
      <x:c r="H1161" s="32" t="n">
        <x:v>840000</x:v>
      </x:c>
      <x:c r="I1161" s="32" t="n">
        <x:v>840000</x:v>
      </x:c>
      <x:c r="J1161" s="32" t="n">
        <x:v>0</x:v>
      </x:c>
      <x:c r="K1161" s="30" t="n">
        <x:v>45452</x:v>
      </x:c>
      <x:c r="L1161" s="24" t="str">
        <x:v>입금</x:v>
      </x:c>
      <x:c r="M1161" s="31" t="n">
        <x:f>IF(AND(N1161="미수",G1161&lt;&gt;"",TODAY()&gt;G1161),TODAY()-G1161,0)</x:f>
        <x:v>0</x:v>
      </x:c>
      <x:c r="N1161" s="24" t="str">
        <x:f>IF(J1161&gt;0,"미수",IF(AND(H1161&gt;0,I1161&gt;=H1161),"완납","미확인"))</x:f>
        <x:v>완납</x:v>
      </x:c>
      <x:c r="O1161" s="31" t="n">
        <x:v>54</x:v>
      </x:c>
    </x:row>
    <x:row r="1162" ht="17.25" customHeight="1">
      <x:c r="A1162" s="24" t="str">
        <x:v>SW-B-383마3206-202405</x:v>
      </x:c>
      <x:c r="B1162" s="24" t="str">
        <x:v>스위치플랜</x:v>
      </x:c>
      <x:c r="C1162" s="24" t="str">
        <x:v>SW-C-383마3206-1-20260207-53</x:v>
      </x:c>
      <x:c r="D1162" s="24" t="str">
        <x:v>383마3206</x:v>
      </x:c>
      <x:c r="E1162" s="24" t="str">
        <x:v>이수정</x:v>
      </x:c>
      <x:c r="F1162" s="24" t="str">
        <x:v>2024-05</x:v>
      </x:c>
      <x:c r="G1162" s="30" t="n">
        <x:v>45422</x:v>
      </x:c>
      <x:c r="H1162" s="32" t="n">
        <x:v>840000</x:v>
      </x:c>
      <x:c r="I1162" s="32" t="n">
        <x:v>840000</x:v>
      </x:c>
      <x:c r="J1162" s="32" t="n">
        <x:v>0</x:v>
      </x:c>
      <x:c r="K1162" s="30" t="n">
        <x:v>45424</x:v>
      </x:c>
      <x:c r="L1162" s="24" t="str">
        <x:v>입금</x:v>
      </x:c>
      <x:c r="M1162" s="31" t="n">
        <x:f>IF(AND(N1162="미수",G1162&lt;&gt;"",TODAY()&gt;G1162),TODAY()-G1162,0)</x:f>
        <x:v>0</x:v>
      </x:c>
      <x:c r="N1162" s="24" t="str">
        <x:f>IF(J1162&gt;0,"미수",IF(AND(H1162&gt;0,I1162&gt;=H1162),"완납","미확인"))</x:f>
        <x:v>완납</x:v>
      </x:c>
      <x:c r="O1162" s="31" t="n">
        <x:v>54</x:v>
      </x:c>
    </x:row>
    <x:row r="1163" ht="17.25" customHeight="1">
      <x:c r="A1163" s="24" t="str">
        <x:v>SW-B-383마3206-202404</x:v>
      </x:c>
      <x:c r="B1163" s="24" t="str">
        <x:v>스위치플랜</x:v>
      </x:c>
      <x:c r="C1163" s="24" t="str">
        <x:v>SW-C-383마3206-1-20260207-53</x:v>
      </x:c>
      <x:c r="D1163" s="24" t="str">
        <x:v>383마3206</x:v>
      </x:c>
      <x:c r="E1163" s="24" t="str">
        <x:v>이수정</x:v>
      </x:c>
      <x:c r="F1163" s="24" t="str">
        <x:v>2024-04</x:v>
      </x:c>
      <x:c r="G1163" s="30" t="n">
        <x:v>45392</x:v>
      </x:c>
      <x:c r="H1163" s="32" t="n">
        <x:v>840000</x:v>
      </x:c>
      <x:c r="I1163" s="32" t="n">
        <x:v>840000</x:v>
      </x:c>
      <x:c r="J1163" s="32" t="n">
        <x:v>0</x:v>
      </x:c>
      <x:c r="K1163" s="30" t="n">
        <x:v>45397</x:v>
      </x:c>
      <x:c r="L1163" s="24" t="str">
        <x:v>입금</x:v>
      </x:c>
      <x:c r="M1163" s="31" t="n">
        <x:f>IF(AND(N1163="미수",G1163&lt;&gt;"",TODAY()&gt;G1163),TODAY()-G1163,0)</x:f>
        <x:v>0</x:v>
      </x:c>
      <x:c r="N1163" s="24" t="str">
        <x:f>IF(J1163&gt;0,"미수",IF(AND(H1163&gt;0,I1163&gt;=H1163),"완납","미확인"))</x:f>
        <x:v>완납</x:v>
      </x:c>
      <x:c r="O1163" s="31" t="n">
        <x:v>54</x:v>
      </x:c>
    </x:row>
    <x:row r="1164" ht="17.25" customHeight="1">
      <x:c r="A1164" s="24" t="str">
        <x:v>SW-B-383마3206-202403</x:v>
      </x:c>
      <x:c r="B1164" s="24" t="str">
        <x:v>스위치플랜</x:v>
      </x:c>
      <x:c r="C1164" s="24" t="str">
        <x:v>SW-C-383마3206-1-20260207-53</x:v>
      </x:c>
      <x:c r="D1164" s="24" t="str">
        <x:v>383마3206</x:v>
      </x:c>
      <x:c r="E1164" s="24" t="str">
        <x:v>이수정</x:v>
      </x:c>
      <x:c r="F1164" s="24" t="str">
        <x:v>2024-03</x:v>
      </x:c>
      <x:c r="G1164" s="30" t="n">
        <x:v>45361</x:v>
      </x:c>
      <x:c r="H1164" s="32" t="n">
        <x:v>840000</x:v>
      </x:c>
      <x:c r="I1164" s="32" t="n">
        <x:v>840000</x:v>
      </x:c>
      <x:c r="J1164" s="32" t="n">
        <x:v>0</x:v>
      </x:c>
      <x:c r="K1164" s="30" t="n">
        <x:v>45366</x:v>
      </x:c>
      <x:c r="L1164" s="24" t="str">
        <x:v>입금</x:v>
      </x:c>
      <x:c r="M1164" s="31" t="n">
        <x:f>IF(AND(N1164="미수",G1164&lt;&gt;"",TODAY()&gt;G1164),TODAY()-G1164,0)</x:f>
        <x:v>0</x:v>
      </x:c>
      <x:c r="N1164" s="24" t="str">
        <x:f>IF(J1164&gt;0,"미수",IF(AND(H1164&gt;0,I1164&gt;=H1164),"완납","미확인"))</x:f>
        <x:v>완납</x:v>
      </x:c>
      <x:c r="O1164" s="31" t="n">
        <x:v>54</x:v>
      </x:c>
    </x:row>
    <x:row r="1165" ht="17.25" customHeight="1">
      <x:c r="A1165" s="24" t="str">
        <x:v>SW-B-383마3206-202402</x:v>
      </x:c>
      <x:c r="B1165" s="24" t="str">
        <x:v>스위치플랜</x:v>
      </x:c>
      <x:c r="C1165" s="24" t="str">
        <x:v>SW-C-383마3206-1-20260207-53</x:v>
      </x:c>
      <x:c r="D1165" s="24" t="str">
        <x:v>383마3206</x:v>
      </x:c>
      <x:c r="E1165" s="24" t="str">
        <x:v>이수정</x:v>
      </x:c>
      <x:c r="F1165" s="24" t="str">
        <x:v>2024-02</x:v>
      </x:c>
      <x:c r="G1165" s="30" t="n">
        <x:v>45332</x:v>
      </x:c>
      <x:c r="H1165" s="32" t="n">
        <x:v>840000</x:v>
      </x:c>
      <x:c r="I1165" s="32" t="n">
        <x:v>840000</x:v>
      </x:c>
      <x:c r="J1165" s="32" t="n">
        <x:v>0</x:v>
      </x:c>
      <x:c r="K1165" s="30" t="n">
        <x:v>45329</x:v>
      </x:c>
      <x:c r="L1165" s="24" t="str">
        <x:v>입금</x:v>
      </x:c>
      <x:c r="M1165" s="31" t="n">
        <x:f>IF(AND(N1165="미수",G1165&lt;&gt;"",TODAY()&gt;G1165),TODAY()-G1165,0)</x:f>
        <x:v>0</x:v>
      </x:c>
      <x:c r="N1165" s="24" t="str">
        <x:f>IF(J1165&gt;0,"미수",IF(AND(H1165&gt;0,I1165&gt;=H1165),"완납","미확인"))</x:f>
        <x:v>완납</x:v>
      </x:c>
      <x:c r="O1165" s="31" t="n">
        <x:v>54</x:v>
      </x:c>
    </x:row>
    <x:row r="1166" ht="17.25" customHeight="1">
      <x:c r="A1166" s="24" t="str">
        <x:v>SW-B-193우6343-202608</x:v>
      </x:c>
      <x:c r="B1166" s="24" t="str">
        <x:v>스위치플랜</x:v>
      </x:c>
      <x:c r="C1166" s="24" t="str">
        <x:v>SW-C-193우6343-1-20250515-56</x:v>
      </x:c>
      <x:c r="D1166" s="24" t="str">
        <x:v>193우6343</x:v>
      </x:c>
      <x:c r="E1166" s="24" t="str">
        <x:v>권현지</x:v>
      </x:c>
      <x:c r="F1166" s="24" t="str">
        <x:v>2026-08</x:v>
      </x:c>
      <x:c r="G1166" s="30" t="n">
        <x:v>46249</x:v>
      </x:c>
      <x:c r="H1166" s="32" t="n">
        <x:v>560000</x:v>
      </x:c>
      <x:c r="I1166" s="32"/>
      <x:c r="J1166" s="32" t="n">
        <x:v>560000</x:v>
      </x:c>
      <x:c r="K1166" s="30"/>
      <x:c r="L1166" s="24" t="str"/>
      <x:c r="M1166" s="31" t="n">
        <x:f>IF(AND(N1166="미수",G1166&lt;&gt;"",TODAY()&gt;G1166),TODAY()-G1166,0)</x:f>
        <x:v>0</x:v>
      </x:c>
      <x:c r="N1166" s="24" t="str">
        <x:f>IF(J1166&gt;0,"미수",IF(AND(H1166&gt;0,I1166&gt;=H1166),"완납","미확인"))</x:f>
        <x:v>미수</x:v>
      </x:c>
      <x:c r="O1166" s="31" t="n">
        <x:v>55</x:v>
      </x:c>
    </x:row>
    <x:row r="1167" ht="17.25" customHeight="1">
      <x:c r="A1167" s="24" t="str">
        <x:v>SW-B-193우6343-202607</x:v>
      </x:c>
      <x:c r="B1167" s="24" t="str">
        <x:v>스위치플랜</x:v>
      </x:c>
      <x:c r="C1167" s="24" t="str">
        <x:v>SW-C-193우6343-1-20250515-56</x:v>
      </x:c>
      <x:c r="D1167" s="24" t="str">
        <x:v>193우6343</x:v>
      </x:c>
      <x:c r="E1167" s="24" t="str">
        <x:v>권현지</x:v>
      </x:c>
      <x:c r="F1167" s="24" t="str">
        <x:v>2026-07</x:v>
      </x:c>
      <x:c r="G1167" s="30" t="n">
        <x:v>46218</x:v>
      </x:c>
      <x:c r="H1167" s="32" t="n">
        <x:v>489000</x:v>
      </x:c>
      <x:c r="I1167" s="32" t="n">
        <x:v>489000</x:v>
      </x:c>
      <x:c r="J1167" s="32" t="n">
        <x:v>0</x:v>
      </x:c>
      <x:c r="K1167" s="30" t="n">
        <x:v>46219</x:v>
      </x:c>
      <x:c r="L1167" s="24" t="str">
        <x:v>입금</x:v>
      </x:c>
      <x:c r="M1167" s="31" t="n">
        <x:f>IF(AND(N1167="미수",G1167&lt;&gt;"",TODAY()&gt;G1167),TODAY()-G1167,0)</x:f>
        <x:v>0</x:v>
      </x:c>
      <x:c r="N1167" s="24" t="str">
        <x:f>IF(J1167&gt;0,"미수",IF(AND(H1167&gt;0,I1167&gt;=H1167),"완납","미확인"))</x:f>
        <x:v>완납</x:v>
      </x:c>
      <x:c r="O1167" s="31" t="n">
        <x:v>55</x:v>
      </x:c>
    </x:row>
    <x:row r="1168" ht="17.25" customHeight="1">
      <x:c r="A1168" s="24" t="str">
        <x:v>SW-B-193우6343-202606</x:v>
      </x:c>
      <x:c r="B1168" s="24" t="str">
        <x:v>스위치플랜</x:v>
      </x:c>
      <x:c r="C1168" s="24" t="str">
        <x:v>SW-C-193우6343-1-20250515-56</x:v>
      </x:c>
      <x:c r="D1168" s="24" t="str">
        <x:v>193우6343</x:v>
      </x:c>
      <x:c r="E1168" s="24" t="str">
        <x:v>권현지</x:v>
      </x:c>
      <x:c r="F1168" s="24" t="str">
        <x:v>2026-06</x:v>
      </x:c>
      <x:c r="G1168" s="30" t="n">
        <x:v>46188</x:v>
      </x:c>
      <x:c r="H1168" s="32" t="n">
        <x:v>560000</x:v>
      </x:c>
      <x:c r="I1168" s="32" t="n">
        <x:v>560000</x:v>
      </x:c>
      <x:c r="J1168" s="32" t="n">
        <x:v>0</x:v>
      </x:c>
      <x:c r="K1168" s="30" t="n">
        <x:v>46189</x:v>
      </x:c>
      <x:c r="L1168" s="24" t="str">
        <x:v>입금</x:v>
      </x:c>
      <x:c r="M1168" s="31" t="n">
        <x:f>IF(AND(N1168="미수",G1168&lt;&gt;"",TODAY()&gt;G1168),TODAY()-G1168,0)</x:f>
        <x:v>0</x:v>
      </x:c>
      <x:c r="N1168" s="24" t="str">
        <x:f>IF(J1168&gt;0,"미수",IF(AND(H1168&gt;0,I1168&gt;=H1168),"완납","미확인"))</x:f>
        <x:v>완납</x:v>
      </x:c>
      <x:c r="O1168" s="31" t="n">
        <x:v>55</x:v>
      </x:c>
    </x:row>
    <x:row r="1169" ht="17.25" customHeight="1">
      <x:c r="A1169" s="24" t="str">
        <x:v>SW-B-193우6343-202605</x:v>
      </x:c>
      <x:c r="B1169" s="24" t="str">
        <x:v>스위치플랜</x:v>
      </x:c>
      <x:c r="C1169" s="24" t="str">
        <x:v>SW-C-193우6343-1-20250515-56</x:v>
      </x:c>
      <x:c r="D1169" s="24" t="str">
        <x:v>193우6343</x:v>
      </x:c>
      <x:c r="E1169" s="24" t="str">
        <x:v>권현지</x:v>
      </x:c>
      <x:c r="F1169" s="24" t="str">
        <x:v>2026-05</x:v>
      </x:c>
      <x:c r="G1169" s="30" t="n">
        <x:v>46157</x:v>
      </x:c>
      <x:c r="H1169" s="32" t="n">
        <x:v>560000</x:v>
      </x:c>
      <x:c r="I1169" s="32" t="n">
        <x:v>560000</x:v>
      </x:c>
      <x:c r="J1169" s="32" t="n">
        <x:v>0</x:v>
      </x:c>
      <x:c r="K1169" s="30" t="n">
        <x:v>46157</x:v>
      </x:c>
      <x:c r="L1169" s="24" t="str">
        <x:v>자동</x:v>
      </x:c>
      <x:c r="M1169" s="31" t="n">
        <x:f>IF(AND(N1169="미수",G1169&lt;&gt;"",TODAY()&gt;G1169),TODAY()-G1169,0)</x:f>
        <x:v>0</x:v>
      </x:c>
      <x:c r="N1169" s="24" t="str">
        <x:f>IF(J1169&gt;0,"미수",IF(AND(H1169&gt;0,I1169&gt;=H1169),"완납","미확인"))</x:f>
        <x:v>완납</x:v>
      </x:c>
      <x:c r="O1169" s="31" t="n">
        <x:v>55</x:v>
      </x:c>
    </x:row>
    <x:row r="1170" ht="17.25" customHeight="1">
      <x:c r="A1170" s="24" t="str">
        <x:v>SW-B-193우6343-202604</x:v>
      </x:c>
      <x:c r="B1170" s="24" t="str">
        <x:v>스위치플랜</x:v>
      </x:c>
      <x:c r="C1170" s="24" t="str">
        <x:v>SW-C-193우6343-1-20250515-56</x:v>
      </x:c>
      <x:c r="D1170" s="24" t="str">
        <x:v>193우6343</x:v>
      </x:c>
      <x:c r="E1170" s="24" t="str">
        <x:v>권현지</x:v>
      </x:c>
      <x:c r="F1170" s="24" t="str">
        <x:v>2026-04</x:v>
      </x:c>
      <x:c r="G1170" s="30" t="n">
        <x:v>46127</x:v>
      </x:c>
      <x:c r="H1170" s="32" t="n">
        <x:v>560000</x:v>
      </x:c>
      <x:c r="I1170" s="32" t="n">
        <x:v>560000</x:v>
      </x:c>
      <x:c r="J1170" s="32" t="n">
        <x:v>0</x:v>
      </x:c>
      <x:c r="K1170" s="30" t="n">
        <x:v>46127</x:v>
      </x:c>
      <x:c r="L1170" s="24" t="str">
        <x:v>입금</x:v>
      </x:c>
      <x:c r="M1170" s="31" t="n">
        <x:f>IF(AND(N1170="미수",G1170&lt;&gt;"",TODAY()&gt;G1170),TODAY()-G1170,0)</x:f>
        <x:v>0</x:v>
      </x:c>
      <x:c r="N1170" s="24" t="str">
        <x:f>IF(J1170&gt;0,"미수",IF(AND(H1170&gt;0,I1170&gt;=H1170),"완납","미확인"))</x:f>
        <x:v>완납</x:v>
      </x:c>
      <x:c r="O1170" s="31" t="n">
        <x:v>55</x:v>
      </x:c>
    </x:row>
    <x:row r="1171" ht="17.25" customHeight="1">
      <x:c r="A1171" s="24" t="str">
        <x:v>SW-B-193우6343-202603</x:v>
      </x:c>
      <x:c r="B1171" s="24" t="str">
        <x:v>스위치플랜</x:v>
      </x:c>
      <x:c r="C1171" s="24" t="str">
        <x:v>SW-C-193우6343-1-20250515-56</x:v>
      </x:c>
      <x:c r="D1171" s="24" t="str">
        <x:v>193우6343</x:v>
      </x:c>
      <x:c r="E1171" s="24" t="str">
        <x:v>권현지</x:v>
      </x:c>
      <x:c r="F1171" s="24" t="str">
        <x:v>2026-03</x:v>
      </x:c>
      <x:c r="G1171" s="30" t="n">
        <x:v>46096</x:v>
      </x:c>
      <x:c r="H1171" s="32" t="n">
        <x:v>630000</x:v>
      </x:c>
      <x:c r="I1171" s="32" t="n">
        <x:v>630000</x:v>
      </x:c>
      <x:c r="J1171" s="32" t="n">
        <x:v>0</x:v>
      </x:c>
      <x:c r="K1171" s="30" t="n">
        <x:v>46097</x:v>
      </x:c>
      <x:c r="L1171" s="24" t="str">
        <x:v>자동</x:v>
      </x:c>
      <x:c r="M1171" s="31" t="n">
        <x:f>IF(AND(N1171="미수",G1171&lt;&gt;"",TODAY()&gt;G1171),TODAY()-G1171,0)</x:f>
        <x:v>0</x:v>
      </x:c>
      <x:c r="N1171" s="24" t="str">
        <x:f>IF(J1171&gt;0,"미수",IF(AND(H1171&gt;0,I1171&gt;=H1171),"완납","미확인"))</x:f>
        <x:v>완납</x:v>
      </x:c>
      <x:c r="O1171" s="31" t="n">
        <x:v>55</x:v>
      </x:c>
    </x:row>
    <x:row r="1172" ht="17.25" customHeight="1">
      <x:c r="A1172" s="24" t="str">
        <x:v>SW-B-193우6343-202602</x:v>
      </x:c>
      <x:c r="B1172" s="24" t="str">
        <x:v>스위치플랜</x:v>
      </x:c>
      <x:c r="C1172" s="24" t="str">
        <x:v>SW-C-193우6343-1-20250515-56</x:v>
      </x:c>
      <x:c r="D1172" s="24" t="str">
        <x:v>193우6343</x:v>
      </x:c>
      <x:c r="E1172" s="24" t="str">
        <x:v>권현지</x:v>
      </x:c>
      <x:c r="F1172" s="24" t="str">
        <x:v>2026-02</x:v>
      </x:c>
      <x:c r="G1172" s="30" t="n">
        <x:v>46068</x:v>
      </x:c>
      <x:c r="H1172" s="32" t="n">
        <x:v>630000</x:v>
      </x:c>
      <x:c r="I1172" s="32" t="n">
        <x:v>630000</x:v>
      </x:c>
      <x:c r="J1172" s="32" t="n">
        <x:v>0</x:v>
      </x:c>
      <x:c r="K1172" s="30" t="n">
        <x:v>46073</x:v>
      </x:c>
      <x:c r="L1172" s="24" t="str">
        <x:v>입금</x:v>
      </x:c>
      <x:c r="M1172" s="31" t="n">
        <x:f>IF(AND(N1172="미수",G1172&lt;&gt;"",TODAY()&gt;G1172),TODAY()-G1172,0)</x:f>
        <x:v>0</x:v>
      </x:c>
      <x:c r="N1172" s="24" t="str">
        <x:f>IF(J1172&gt;0,"미수",IF(AND(H1172&gt;0,I1172&gt;=H1172),"완납","미확인"))</x:f>
        <x:v>완납</x:v>
      </x:c>
      <x:c r="O1172" s="31" t="n">
        <x:v>55</x:v>
      </x:c>
    </x:row>
    <x:row r="1173" ht="17.25" customHeight="1">
      <x:c r="A1173" s="24" t="str">
        <x:v>SW-B-193우6343-202601</x:v>
      </x:c>
      <x:c r="B1173" s="24" t="str">
        <x:v>스위치플랜</x:v>
      </x:c>
      <x:c r="C1173" s="24" t="str">
        <x:v>SW-C-193우6343-1-20250515-56</x:v>
      </x:c>
      <x:c r="D1173" s="24" t="str">
        <x:v>193우6343</x:v>
      </x:c>
      <x:c r="E1173" s="24" t="str">
        <x:v>권현지</x:v>
      </x:c>
      <x:c r="F1173" s="24" t="str">
        <x:v>2026-01</x:v>
      </x:c>
      <x:c r="G1173" s="30" t="n">
        <x:v>46037</x:v>
      </x:c>
      <x:c r="H1173" s="32" t="n">
        <x:v>630000</x:v>
      </x:c>
      <x:c r="I1173" s="32" t="n">
        <x:v>630000</x:v>
      </x:c>
      <x:c r="J1173" s="32" t="n">
        <x:v>0</x:v>
      </x:c>
      <x:c r="K1173" s="30" t="n">
        <x:v>46037</x:v>
      </x:c>
      <x:c r="L1173" s="24" t="str">
        <x:v>자동</x:v>
      </x:c>
      <x:c r="M1173" s="31" t="n">
        <x:f>IF(AND(N1173="미수",G1173&lt;&gt;"",TODAY()&gt;G1173),TODAY()-G1173,0)</x:f>
        <x:v>0</x:v>
      </x:c>
      <x:c r="N1173" s="24" t="str">
        <x:f>IF(J1173&gt;0,"미수",IF(AND(H1173&gt;0,I1173&gt;=H1173),"완납","미확인"))</x:f>
        <x:v>완납</x:v>
      </x:c>
      <x:c r="O1173" s="31" t="n">
        <x:v>55</x:v>
      </x:c>
    </x:row>
    <x:row r="1174" ht="17.25" customHeight="1">
      <x:c r="A1174" s="24" t="str">
        <x:v>SW-B-193우6343-202512</x:v>
      </x:c>
      <x:c r="B1174" s="24" t="str">
        <x:v>스위치플랜</x:v>
      </x:c>
      <x:c r="C1174" s="24" t="str">
        <x:v>SW-C-193우6343-1-20250515-56</x:v>
      </x:c>
      <x:c r="D1174" s="24" t="str">
        <x:v>193우6343</x:v>
      </x:c>
      <x:c r="E1174" s="24" t="str">
        <x:v>권현지</x:v>
      </x:c>
      <x:c r="F1174" s="24" t="str">
        <x:v>2025-12</x:v>
      </x:c>
      <x:c r="G1174" s="30" t="n">
        <x:v>46006</x:v>
      </x:c>
      <x:c r="H1174" s="32" t="n">
        <x:v>630000</x:v>
      </x:c>
      <x:c r="I1174" s="32" t="n">
        <x:v>630000</x:v>
      </x:c>
      <x:c r="J1174" s="32" t="n">
        <x:v>0</x:v>
      </x:c>
      <x:c r="K1174" s="30" t="n">
        <x:v>46006</x:v>
      </x:c>
      <x:c r="L1174" s="24" t="str">
        <x:v>자동</x:v>
      </x:c>
      <x:c r="M1174" s="31" t="n">
        <x:f>IF(AND(N1174="미수",G1174&lt;&gt;"",TODAY()&gt;G1174),TODAY()-G1174,0)</x:f>
        <x:v>0</x:v>
      </x:c>
      <x:c r="N1174" s="24" t="str">
        <x:f>IF(J1174&gt;0,"미수",IF(AND(H1174&gt;0,I1174&gt;=H1174),"완납","미확인"))</x:f>
        <x:v>완납</x:v>
      </x:c>
      <x:c r="O1174" s="31" t="n">
        <x:v>55</x:v>
      </x:c>
    </x:row>
    <x:row r="1175" ht="17.25" customHeight="1">
      <x:c r="A1175" s="24" t="str">
        <x:v>SW-B-193우6343-202511</x:v>
      </x:c>
      <x:c r="B1175" s="24" t="str">
        <x:v>스위치플랜</x:v>
      </x:c>
      <x:c r="C1175" s="24" t="str">
        <x:v>SW-C-193우6343-1-20250515-56</x:v>
      </x:c>
      <x:c r="D1175" s="24" t="str">
        <x:v>193우6343</x:v>
      </x:c>
      <x:c r="E1175" s="24" t="str">
        <x:v>권현지</x:v>
      </x:c>
      <x:c r="F1175" s="24" t="str">
        <x:v>2025-11</x:v>
      </x:c>
      <x:c r="G1175" s="30" t="n">
        <x:v>45976</x:v>
      </x:c>
      <x:c r="H1175" s="32" t="n">
        <x:v>630000</x:v>
      </x:c>
      <x:c r="I1175" s="32" t="n">
        <x:v>630000</x:v>
      </x:c>
      <x:c r="J1175" s="32" t="n">
        <x:v>0</x:v>
      </x:c>
      <x:c r="K1175" s="30" t="n">
        <x:v>45978</x:v>
      </x:c>
      <x:c r="L1175" s="24" t="str">
        <x:v>자동</x:v>
      </x:c>
      <x:c r="M1175" s="31" t="n">
        <x:f>IF(AND(N1175="미수",G1175&lt;&gt;"",TODAY()&gt;G1175),TODAY()-G1175,0)</x:f>
        <x:v>0</x:v>
      </x:c>
      <x:c r="N1175" s="24" t="str">
        <x:f>IF(J1175&gt;0,"미수",IF(AND(H1175&gt;0,I1175&gt;=H1175),"완납","미확인"))</x:f>
        <x:v>완납</x:v>
      </x:c>
      <x:c r="O1175" s="31" t="n">
        <x:v>55</x:v>
      </x:c>
    </x:row>
    <x:row r="1176" ht="17.25" customHeight="1">
      <x:c r="A1176" s="24" t="str">
        <x:v>SW-B-193우6343-202510</x:v>
      </x:c>
      <x:c r="B1176" s="24" t="str">
        <x:v>스위치플랜</x:v>
      </x:c>
      <x:c r="C1176" s="24" t="str">
        <x:v>SW-C-193우6343-1-20250515-56</x:v>
      </x:c>
      <x:c r="D1176" s="24" t="str">
        <x:v>193우6343</x:v>
      </x:c>
      <x:c r="E1176" s="24" t="str">
        <x:v>권현지</x:v>
      </x:c>
      <x:c r="F1176" s="24" t="str">
        <x:v>2025-10</x:v>
      </x:c>
      <x:c r="G1176" s="30" t="n">
        <x:v>45945</x:v>
      </x:c>
      <x:c r="H1176" s="32" t="n">
        <x:v>630000</x:v>
      </x:c>
      <x:c r="I1176" s="32" t="n">
        <x:v>630000</x:v>
      </x:c>
      <x:c r="J1176" s="32" t="n">
        <x:v>0</x:v>
      </x:c>
      <x:c r="K1176" s="30" t="n">
        <x:v>45945</x:v>
      </x:c>
      <x:c r="L1176" s="24" t="str">
        <x:v>자동</x:v>
      </x:c>
      <x:c r="M1176" s="31" t="n">
        <x:f>IF(AND(N1176="미수",G1176&lt;&gt;"",TODAY()&gt;G1176),TODAY()-G1176,0)</x:f>
        <x:v>0</x:v>
      </x:c>
      <x:c r="N1176" s="24" t="str">
        <x:f>IF(J1176&gt;0,"미수",IF(AND(H1176&gt;0,I1176&gt;=H1176),"완납","미확인"))</x:f>
        <x:v>완납</x:v>
      </x:c>
      <x:c r="O1176" s="31" t="n">
        <x:v>55</x:v>
      </x:c>
    </x:row>
    <x:row r="1177" ht="17.25" customHeight="1">
      <x:c r="A1177" s="24" t="str">
        <x:v>SW-B-193우6343-202509</x:v>
      </x:c>
      <x:c r="B1177" s="24" t="str">
        <x:v>스위치플랜</x:v>
      </x:c>
      <x:c r="C1177" s="24" t="str">
        <x:v>SW-C-193우6343-1-20250515-56</x:v>
      </x:c>
      <x:c r="D1177" s="24" t="str">
        <x:v>193우6343</x:v>
      </x:c>
      <x:c r="E1177" s="24" t="str">
        <x:v>권현지</x:v>
      </x:c>
      <x:c r="F1177" s="24" t="str">
        <x:v>2025-09</x:v>
      </x:c>
      <x:c r="G1177" s="30" t="n">
        <x:v>45915</x:v>
      </x:c>
      <x:c r="H1177" s="32" t="n">
        <x:v>630000</x:v>
      </x:c>
      <x:c r="I1177" s="32" t="n">
        <x:v>630000</x:v>
      </x:c>
      <x:c r="J1177" s="32" t="n">
        <x:v>0</x:v>
      </x:c>
      <x:c r="K1177" s="30" t="n">
        <x:v>45915</x:v>
      </x:c>
      <x:c r="L1177" s="24" t="str">
        <x:v>자동</x:v>
      </x:c>
      <x:c r="M1177" s="31" t="n">
        <x:f>IF(AND(N1177="미수",G1177&lt;&gt;"",TODAY()&gt;G1177),TODAY()-G1177,0)</x:f>
        <x:v>0</x:v>
      </x:c>
      <x:c r="N1177" s="24" t="str">
        <x:f>IF(J1177&gt;0,"미수",IF(AND(H1177&gt;0,I1177&gt;=H1177),"완납","미확인"))</x:f>
        <x:v>완납</x:v>
      </x:c>
      <x:c r="O1177" s="31" t="n">
        <x:v>55</x:v>
      </x:c>
    </x:row>
    <x:row r="1178" ht="17.25" customHeight="1">
      <x:c r="A1178" s="24" t="str">
        <x:v>SW-B-193우6343-202508</x:v>
      </x:c>
      <x:c r="B1178" s="24" t="str">
        <x:v>스위치플랜</x:v>
      </x:c>
      <x:c r="C1178" s="24" t="str">
        <x:v>SW-C-193우6343-1-20250515-56</x:v>
      </x:c>
      <x:c r="D1178" s="24" t="str">
        <x:v>193우6343</x:v>
      </x:c>
      <x:c r="E1178" s="24" t="str">
        <x:v>권현지</x:v>
      </x:c>
      <x:c r="F1178" s="24" t="str">
        <x:v>2025-08</x:v>
      </x:c>
      <x:c r="G1178" s="30" t="n">
        <x:v>45884</x:v>
      </x:c>
      <x:c r="H1178" s="32" t="n">
        <x:v>630000</x:v>
      </x:c>
      <x:c r="I1178" s="32" t="n">
        <x:v>630000</x:v>
      </x:c>
      <x:c r="J1178" s="32" t="n">
        <x:v>0</x:v>
      </x:c>
      <x:c r="K1178" s="30" t="n">
        <x:v>45887</x:v>
      </x:c>
      <x:c r="L1178" s="24" t="str">
        <x:v>자동</x:v>
      </x:c>
      <x:c r="M1178" s="31" t="n">
        <x:f>IF(AND(N1178="미수",G1178&lt;&gt;"",TODAY()&gt;G1178),TODAY()-G1178,0)</x:f>
        <x:v>0</x:v>
      </x:c>
      <x:c r="N1178" s="24" t="str">
        <x:f>IF(J1178&gt;0,"미수",IF(AND(H1178&gt;0,I1178&gt;=H1178),"완납","미확인"))</x:f>
        <x:v>완납</x:v>
      </x:c>
      <x:c r="O1178" s="31" t="n">
        <x:v>55</x:v>
      </x:c>
    </x:row>
    <x:row r="1179" ht="17.25" customHeight="1">
      <x:c r="A1179" s="24" t="str">
        <x:v>SW-B-193우6343-202507</x:v>
      </x:c>
      <x:c r="B1179" s="24" t="str">
        <x:v>스위치플랜</x:v>
      </x:c>
      <x:c r="C1179" s="24" t="str">
        <x:v>SW-C-193우6343-1-20250515-56</x:v>
      </x:c>
      <x:c r="D1179" s="24" t="str">
        <x:v>193우6343</x:v>
      </x:c>
      <x:c r="E1179" s="24" t="str">
        <x:v>권현지</x:v>
      </x:c>
      <x:c r="F1179" s="24" t="str">
        <x:v>2025-07</x:v>
      </x:c>
      <x:c r="G1179" s="30" t="n">
        <x:v>45853</x:v>
      </x:c>
      <x:c r="H1179" s="32" t="n">
        <x:v>630000</x:v>
      </x:c>
      <x:c r="I1179" s="32" t="n">
        <x:v>630000</x:v>
      </x:c>
      <x:c r="J1179" s="32" t="n">
        <x:v>0</x:v>
      </x:c>
      <x:c r="K1179" s="30" t="n">
        <x:v>45853</x:v>
      </x:c>
      <x:c r="L1179" s="24" t="str">
        <x:v>자동</x:v>
      </x:c>
      <x:c r="M1179" s="31" t="n">
        <x:f>IF(AND(N1179="미수",G1179&lt;&gt;"",TODAY()&gt;G1179),TODAY()-G1179,0)</x:f>
        <x:v>0</x:v>
      </x:c>
      <x:c r="N1179" s="24" t="str">
        <x:f>IF(J1179&gt;0,"미수",IF(AND(H1179&gt;0,I1179&gt;=H1179),"완납","미확인"))</x:f>
        <x:v>완납</x:v>
      </x:c>
      <x:c r="O1179" s="31" t="n">
        <x:v>55</x:v>
      </x:c>
    </x:row>
    <x:row r="1180" ht="17.25" customHeight="1">
      <x:c r="A1180" s="24" t="str">
        <x:v>SW-B-193우6343-202506</x:v>
      </x:c>
      <x:c r="B1180" s="24" t="str">
        <x:v>스위치플랜</x:v>
      </x:c>
      <x:c r="C1180" s="24" t="str">
        <x:v>SW-C-193우6343-1-20250515-56</x:v>
      </x:c>
      <x:c r="D1180" s="24" t="str">
        <x:v>193우6343</x:v>
      </x:c>
      <x:c r="E1180" s="24" t="str">
        <x:v>권현지</x:v>
      </x:c>
      <x:c r="F1180" s="24" t="str">
        <x:v>2025-06</x:v>
      </x:c>
      <x:c r="G1180" s="30" t="n">
        <x:v>45823</x:v>
      </x:c>
      <x:c r="H1180" s="32" t="n">
        <x:v>630000</x:v>
      </x:c>
      <x:c r="I1180" s="32" t="n">
        <x:v>630000</x:v>
      </x:c>
      <x:c r="J1180" s="32" t="n">
        <x:v>0</x:v>
      </x:c>
      <x:c r="K1180" s="30" t="n">
        <x:v>45824</x:v>
      </x:c>
      <x:c r="L1180" s="24" t="str">
        <x:v>자동</x:v>
      </x:c>
      <x:c r="M1180" s="31" t="n">
        <x:f>IF(AND(N1180="미수",G1180&lt;&gt;"",TODAY()&gt;G1180),TODAY()-G1180,0)</x:f>
        <x:v>0</x:v>
      </x:c>
      <x:c r="N1180" s="24" t="str">
        <x:f>IF(J1180&gt;0,"미수",IF(AND(H1180&gt;0,I1180&gt;=H1180),"완납","미확인"))</x:f>
        <x:v>완납</x:v>
      </x:c>
      <x:c r="O1180" s="31" t="n">
        <x:v>55</x:v>
      </x:c>
    </x:row>
    <x:row r="1181" ht="17.25" customHeight="1">
      <x:c r="A1181" s="24" t="str">
        <x:v>SW-B-193우6343-202505</x:v>
      </x:c>
      <x:c r="B1181" s="24" t="str">
        <x:v>스위치플랜</x:v>
      </x:c>
      <x:c r="C1181" s="24" t="str">
        <x:v>SW-C-193우6343-1-20250515-56</x:v>
      </x:c>
      <x:c r="D1181" s="24" t="str">
        <x:v>193우6343</x:v>
      </x:c>
      <x:c r="E1181" s="24" t="str">
        <x:v>권현지</x:v>
      </x:c>
      <x:c r="F1181" s="24" t="str">
        <x:v>2025-05</x:v>
      </x:c>
      <x:c r="G1181" s="30" t="n">
        <x:v>45792</x:v>
      </x:c>
      <x:c r="H1181" s="32" t="n">
        <x:v>630000</x:v>
      </x:c>
      <x:c r="I1181" s="32" t="n">
        <x:v>630000</x:v>
      </x:c>
      <x:c r="J1181" s="32" t="n">
        <x:v>0</x:v>
      </x:c>
      <x:c r="K1181" s="30" t="n">
        <x:v>45778</x:v>
      </x:c>
      <x:c r="L1181" s="24" t="str">
        <x:v>입금</x:v>
      </x:c>
      <x:c r="M1181" s="31" t="n">
        <x:f>IF(AND(N1181="미수",G1181&lt;&gt;"",TODAY()&gt;G1181),TODAY()-G1181,0)</x:f>
        <x:v>0</x:v>
      </x:c>
      <x:c r="N1181" s="24" t="str">
        <x:f>IF(J1181&gt;0,"미수",IF(AND(H1181&gt;0,I1181&gt;=H1181),"완납","미확인"))</x:f>
        <x:v>완납</x:v>
      </x:c>
      <x:c r="O1181" s="31" t="n">
        <x:v>55</x:v>
      </x:c>
    </x:row>
    <x:row r="1182" ht="17.25" customHeight="1">
      <x:c r="A1182" s="24" t="str">
        <x:v>SW-B-193우6391-202608</x:v>
      </x:c>
      <x:c r="B1182" s="24" t="str">
        <x:v>스위치플랜</x:v>
      </x:c>
      <x:c r="C1182" s="24" t="str">
        <x:v>SW-C-193우6391-1-20251125-55</x:v>
      </x:c>
      <x:c r="D1182" s="24" t="str">
        <x:v>193우6391</x:v>
      </x:c>
      <x:c r="E1182" s="24" t="str">
        <x:v>엠제이에스</x:v>
      </x:c>
      <x:c r="F1182" s="24" t="str">
        <x:v>2026-08</x:v>
      </x:c>
      <x:c r="G1182" s="30" t="n">
        <x:v>46259</x:v>
      </x:c>
      <x:c r="H1182" s="32" t="n">
        <x:v>750000</x:v>
      </x:c>
      <x:c r="I1182" s="32"/>
      <x:c r="J1182" s="32" t="n">
        <x:v>750000</x:v>
      </x:c>
      <x:c r="K1182" s="30"/>
      <x:c r="L1182" s="24" t="str"/>
      <x:c r="M1182" s="31" t="n">
        <x:f>IF(AND(N1182="미수",G1182&lt;&gt;"",TODAY()&gt;G1182),TODAY()-G1182,0)</x:f>
        <x:v>0</x:v>
      </x:c>
      <x:c r="N1182" s="24" t="str">
        <x:f>IF(J1182&gt;0,"미수",IF(AND(H1182&gt;0,I1182&gt;=H1182),"완납","미확인"))</x:f>
        <x:v>미수</x:v>
      </x:c>
      <x:c r="O1182" s="31" t="n">
        <x:v>56</x:v>
      </x:c>
    </x:row>
    <x:row r="1183" ht="17.25" customHeight="1">
      <x:c r="A1183" s="24" t="str">
        <x:v>SW-B-193우6391-202607</x:v>
      </x:c>
      <x:c r="B1183" s="24" t="str">
        <x:v>스위치플랜</x:v>
      </x:c>
      <x:c r="C1183" s="24" t="str">
        <x:v>SW-C-193우6391-1-20251125-55</x:v>
      </x:c>
      <x:c r="D1183" s="24" t="str">
        <x:v>193우6391</x:v>
      </x:c>
      <x:c r="E1183" s="24" t="str">
        <x:v>엠제이에스</x:v>
      </x:c>
      <x:c r="F1183" s="24" t="str">
        <x:v>2026-07</x:v>
      </x:c>
      <x:c r="G1183" s="30" t="n">
        <x:v>46228</x:v>
      </x:c>
      <x:c r="H1183" s="32" t="n">
        <x:v>750000</x:v>
      </x:c>
      <x:c r="I1183" s="32" t="n">
        <x:v>750000</x:v>
      </x:c>
      <x:c r="J1183" s="32" t="n">
        <x:v>0</x:v>
      </x:c>
      <x:c r="K1183" s="30" t="n">
        <x:v>46231</x:v>
      </x:c>
      <x:c r="L1183" s="24" t="str">
        <x:v>입금</x:v>
      </x:c>
      <x:c r="M1183" s="31" t="n">
        <x:f>IF(AND(N1183="미수",G1183&lt;&gt;"",TODAY()&gt;G1183),TODAY()-G1183,0)</x:f>
        <x:v>0</x:v>
      </x:c>
      <x:c r="N1183" s="24" t="str">
        <x:f>IF(J1183&gt;0,"미수",IF(AND(H1183&gt;0,I1183&gt;=H1183),"완납","미확인"))</x:f>
        <x:v>완납</x:v>
      </x:c>
      <x:c r="O1183" s="31" t="n">
        <x:v>56</x:v>
      </x:c>
    </x:row>
    <x:row r="1184" ht="17.25" customHeight="1">
      <x:c r="A1184" s="24" t="str">
        <x:v>SW-B-193우6391-202606</x:v>
      </x:c>
      <x:c r="B1184" s="24" t="str">
        <x:v>스위치플랜</x:v>
      </x:c>
      <x:c r="C1184" s="24" t="str">
        <x:v>SW-C-193우6391-1-20251125-55</x:v>
      </x:c>
      <x:c r="D1184" s="24" t="str">
        <x:v>193우6391</x:v>
      </x:c>
      <x:c r="E1184" s="24" t="str">
        <x:v>엠제이에스</x:v>
      </x:c>
      <x:c r="F1184" s="24" t="str">
        <x:v>2026-06</x:v>
      </x:c>
      <x:c r="G1184" s="30" t="n">
        <x:v>46198</x:v>
      </x:c>
      <x:c r="H1184" s="32" t="n">
        <x:v>750000</x:v>
      </x:c>
      <x:c r="I1184" s="32" t="n">
        <x:v>750000</x:v>
      </x:c>
      <x:c r="J1184" s="32" t="n">
        <x:v>0</x:v>
      </x:c>
      <x:c r="K1184" s="30" t="n">
        <x:v>46199</x:v>
      </x:c>
      <x:c r="L1184" s="24" t="str">
        <x:v>입금</x:v>
      </x:c>
      <x:c r="M1184" s="31" t="n">
        <x:f>IF(AND(N1184="미수",G1184&lt;&gt;"",TODAY()&gt;G1184),TODAY()-G1184,0)</x:f>
        <x:v>0</x:v>
      </x:c>
      <x:c r="N1184" s="24" t="str">
        <x:f>IF(J1184&gt;0,"미수",IF(AND(H1184&gt;0,I1184&gt;=H1184),"완납","미확인"))</x:f>
        <x:v>완납</x:v>
      </x:c>
      <x:c r="O1184" s="31" t="n">
        <x:v>56</x:v>
      </x:c>
    </x:row>
    <x:row r="1185" ht="17.25" customHeight="1">
      <x:c r="A1185" s="24" t="str">
        <x:v>SW-B-193우6391-202605</x:v>
      </x:c>
      <x:c r="B1185" s="24" t="str">
        <x:v>스위치플랜</x:v>
      </x:c>
      <x:c r="C1185" s="24" t="str">
        <x:v>SW-C-193우6391-1-20251125-55</x:v>
      </x:c>
      <x:c r="D1185" s="24" t="str">
        <x:v>193우6391</x:v>
      </x:c>
      <x:c r="E1185" s="24" t="str">
        <x:v>엠제이에스</x:v>
      </x:c>
      <x:c r="F1185" s="24" t="str">
        <x:v>2026-05</x:v>
      </x:c>
      <x:c r="G1185" s="30" t="n">
        <x:v>46167</x:v>
      </x:c>
      <x:c r="H1185" s="32" t="n">
        <x:v>750000</x:v>
      </x:c>
      <x:c r="I1185" s="32" t="n">
        <x:v>750000</x:v>
      </x:c>
      <x:c r="J1185" s="32" t="n">
        <x:v>0</x:v>
      </x:c>
      <x:c r="K1185" s="30" t="n">
        <x:v>46168</x:v>
      </x:c>
      <x:c r="L1185" s="24" t="str">
        <x:v>자동</x:v>
      </x:c>
      <x:c r="M1185" s="31" t="n">
        <x:f>IF(AND(N1185="미수",G1185&lt;&gt;"",TODAY()&gt;G1185),TODAY()-G1185,0)</x:f>
        <x:v>0</x:v>
      </x:c>
      <x:c r="N1185" s="24" t="str">
        <x:f>IF(J1185&gt;0,"미수",IF(AND(H1185&gt;0,I1185&gt;=H1185),"완납","미확인"))</x:f>
        <x:v>완납</x:v>
      </x:c>
      <x:c r="O1185" s="31" t="n">
        <x:v>56</x:v>
      </x:c>
    </x:row>
    <x:row r="1186" ht="17.25" customHeight="1">
      <x:c r="A1186" s="24" t="str">
        <x:v>SW-B-193우6391-202604</x:v>
      </x:c>
      <x:c r="B1186" s="24" t="str">
        <x:v>스위치플랜</x:v>
      </x:c>
      <x:c r="C1186" s="24" t="str">
        <x:v>SW-C-193우6391-1-20251125-55</x:v>
      </x:c>
      <x:c r="D1186" s="24" t="str">
        <x:v>193우6391</x:v>
      </x:c>
      <x:c r="E1186" s="24" t="str">
        <x:v>엠제이에스</x:v>
      </x:c>
      <x:c r="F1186" s="24" t="str">
        <x:v>2026-04</x:v>
      </x:c>
      <x:c r="G1186" s="30" t="n">
        <x:v>46137</x:v>
      </x:c>
      <x:c r="H1186" s="32" t="n">
        <x:v>750000</x:v>
      </x:c>
      <x:c r="I1186" s="32" t="n">
        <x:v>750000</x:v>
      </x:c>
      <x:c r="J1186" s="32" t="n">
        <x:v>0</x:v>
      </x:c>
      <x:c r="K1186" s="30" t="n">
        <x:v>46139</x:v>
      </x:c>
      <x:c r="L1186" s="24" t="str">
        <x:v>자동</x:v>
      </x:c>
      <x:c r="M1186" s="31" t="n">
        <x:f>IF(AND(N1186="미수",G1186&lt;&gt;"",TODAY()&gt;G1186),TODAY()-G1186,0)</x:f>
        <x:v>0</x:v>
      </x:c>
      <x:c r="N1186" s="24" t="str">
        <x:f>IF(J1186&gt;0,"미수",IF(AND(H1186&gt;0,I1186&gt;=H1186),"완납","미확인"))</x:f>
        <x:v>완납</x:v>
      </x:c>
      <x:c r="O1186" s="31" t="n">
        <x:v>56</x:v>
      </x:c>
    </x:row>
    <x:row r="1187" ht="17.25" customHeight="1">
      <x:c r="A1187" s="24" t="str">
        <x:v>SW-B-193우6391-202603</x:v>
      </x:c>
      <x:c r="B1187" s="24" t="str">
        <x:v>스위치플랜</x:v>
      </x:c>
      <x:c r="C1187" s="24" t="str">
        <x:v>SW-C-193우6391-1-20251125-55</x:v>
      </x:c>
      <x:c r="D1187" s="24" t="str">
        <x:v>193우6391</x:v>
      </x:c>
      <x:c r="E1187" s="24" t="str">
        <x:v>엠제이에스</x:v>
      </x:c>
      <x:c r="F1187" s="24" t="str">
        <x:v>2026-03</x:v>
      </x:c>
      <x:c r="G1187" s="30" t="n">
        <x:v>46106</x:v>
      </x:c>
      <x:c r="H1187" s="32" t="n">
        <x:v>750000</x:v>
      </x:c>
      <x:c r="I1187" s="32" t="n">
        <x:v>1500000</x:v>
      </x:c>
      <x:c r="J1187" s="32" t="n">
        <x:v>0</x:v>
      </x:c>
      <x:c r="K1187" s="30" t="n">
        <x:v>46111</x:v>
      </x:c>
      <x:c r="L1187" s="24" t="str">
        <x:v>입금</x:v>
      </x:c>
      <x:c r="M1187" s="31" t="n">
        <x:f>IF(AND(N1187="미수",G1187&lt;&gt;"",TODAY()&gt;G1187),TODAY()-G1187,0)</x:f>
        <x:v>0</x:v>
      </x:c>
      <x:c r="N1187" s="24" t="str">
        <x:f>IF(J1187&gt;0,"미수",IF(AND(H1187&gt;0,I1187&gt;=H1187),"완납","미확인"))</x:f>
        <x:v>완납</x:v>
      </x:c>
      <x:c r="O1187" s="31" t="n">
        <x:v>56</x:v>
      </x:c>
    </x:row>
    <x:row r="1188" ht="17.25" customHeight="1">
      <x:c r="A1188" s="24" t="str">
        <x:v>SW-B-193우6391-202602</x:v>
      </x:c>
      <x:c r="B1188" s="24" t="str">
        <x:v>스위치플랜</x:v>
      </x:c>
      <x:c r="C1188" s="24" t="str">
        <x:v>SW-C-193우6391-1-20251125-55</x:v>
      </x:c>
      <x:c r="D1188" s="24" t="str">
        <x:v>193우6391</x:v>
      </x:c>
      <x:c r="E1188" s="24" t="str">
        <x:v>엠제이에스</x:v>
      </x:c>
      <x:c r="F1188" s="24" t="str">
        <x:v>2026-02</x:v>
      </x:c>
      <x:c r="G1188" s="30" t="n">
        <x:v>46078</x:v>
      </x:c>
      <x:c r="H1188" s="32" t="n">
        <x:v>750000</x:v>
      </x:c>
      <x:c r="I1188" s="32"/>
      <x:c r="J1188" s="32" t="n">
        <x:v>750000</x:v>
      </x:c>
      <x:c r="K1188" s="30"/>
      <x:c r="L1188" s="24" t="str"/>
      <x:c r="M1188" s="31" t="n">
        <x:f>IF(AND(N1188="미수",G1188&lt;&gt;"",TODAY()&gt;G1188),TODAY()-G1188,0)</x:f>
        <x:v>171</x:v>
      </x:c>
      <x:c r="N1188" s="24" t="str">
        <x:f>IF(J1188&gt;0,"미수",IF(AND(H1188&gt;0,I1188&gt;=H1188),"완납","미확인"))</x:f>
        <x:v>미수</x:v>
      </x:c>
      <x:c r="O1188" s="31" t="n">
        <x:v>56</x:v>
      </x:c>
    </x:row>
    <x:row r="1189" ht="17.25" customHeight="1">
      <x:c r="A1189" s="24" t="str">
        <x:v>SW-B-193우6391-202601</x:v>
      </x:c>
      <x:c r="B1189" s="24" t="str">
        <x:v>스위치플랜</x:v>
      </x:c>
      <x:c r="C1189" s="24" t="str">
        <x:v>SW-C-193우6391-1-20251125-55</x:v>
      </x:c>
      <x:c r="D1189" s="24" t="str">
        <x:v>193우6391</x:v>
      </x:c>
      <x:c r="E1189" s="24" t="str">
        <x:v>엠제이에스</x:v>
      </x:c>
      <x:c r="F1189" s="24" t="str">
        <x:v>2026-01</x:v>
      </x:c>
      <x:c r="G1189" s="30" t="n">
        <x:v>46047</x:v>
      </x:c>
      <x:c r="H1189" s="32" t="n">
        <x:v>750000</x:v>
      </x:c>
      <x:c r="I1189" s="32" t="n">
        <x:v>750000</x:v>
      </x:c>
      <x:c r="J1189" s="32" t="n">
        <x:v>0</x:v>
      </x:c>
      <x:c r="K1189" s="30" t="n">
        <x:v>46049</x:v>
      </x:c>
      <x:c r="L1189" s="24" t="str">
        <x:v>입금</x:v>
      </x:c>
      <x:c r="M1189" s="31" t="n">
        <x:f>IF(AND(N1189="미수",G1189&lt;&gt;"",TODAY()&gt;G1189),TODAY()-G1189,0)</x:f>
        <x:v>0</x:v>
      </x:c>
      <x:c r="N1189" s="24" t="str">
        <x:f>IF(J1189&gt;0,"미수",IF(AND(H1189&gt;0,I1189&gt;=H1189),"완납","미확인"))</x:f>
        <x:v>완납</x:v>
      </x:c>
      <x:c r="O1189" s="31" t="n">
        <x:v>56</x:v>
      </x:c>
    </x:row>
    <x:row r="1190" ht="17.25" customHeight="1">
      <x:c r="A1190" s="24" t="str">
        <x:v>SW-B-193우6391-202512</x:v>
      </x:c>
      <x:c r="B1190" s="24" t="str">
        <x:v>스위치플랜</x:v>
      </x:c>
      <x:c r="C1190" s="24" t="str">
        <x:v>SW-C-193우6391-1-20251125-55</x:v>
      </x:c>
      <x:c r="D1190" s="24" t="str">
        <x:v>193우6391</x:v>
      </x:c>
      <x:c r="E1190" s="24" t="str">
        <x:v>엠제이에스</x:v>
      </x:c>
      <x:c r="F1190" s="24" t="str">
        <x:v>2025-12</x:v>
      </x:c>
      <x:c r="G1190" s="30" t="n">
        <x:v>46016</x:v>
      </x:c>
      <x:c r="H1190" s="32" t="n">
        <x:v>750000</x:v>
      </x:c>
      <x:c r="I1190" s="32" t="n">
        <x:v>750000</x:v>
      </x:c>
      <x:c r="J1190" s="32" t="n">
        <x:v>0</x:v>
      </x:c>
      <x:c r="K1190" s="30" t="n">
        <x:v>46020</x:v>
      </x:c>
      <x:c r="L1190" s="24" t="str">
        <x:v>입금</x:v>
      </x:c>
      <x:c r="M1190" s="31" t="n">
        <x:f>IF(AND(N1190="미수",G1190&lt;&gt;"",TODAY()&gt;G1190),TODAY()-G1190,0)</x:f>
        <x:v>0</x:v>
      </x:c>
      <x:c r="N1190" s="24" t="str">
        <x:f>IF(J1190&gt;0,"미수",IF(AND(H1190&gt;0,I1190&gt;=H1190),"완납","미확인"))</x:f>
        <x:v>완납</x:v>
      </x:c>
      <x:c r="O1190" s="31" t="n">
        <x:v>56</x:v>
      </x:c>
    </x:row>
    <x:row r="1191" ht="17.25" customHeight="1">
      <x:c r="A1191" s="24" t="str">
        <x:v>SW-B-193우6391-202511</x:v>
      </x:c>
      <x:c r="B1191" s="24" t="str">
        <x:v>스위치플랜</x:v>
      </x:c>
      <x:c r="C1191" s="24" t="str">
        <x:v>SW-C-193우6391-1-20251125-55</x:v>
      </x:c>
      <x:c r="D1191" s="24" t="str">
        <x:v>193우6391</x:v>
      </x:c>
      <x:c r="E1191" s="24" t="str">
        <x:v>엠제이에스</x:v>
      </x:c>
      <x:c r="F1191" s="24" t="str">
        <x:v>2025-11</x:v>
      </x:c>
      <x:c r="G1191" s="30" t="n">
        <x:v>45986</x:v>
      </x:c>
      <x:c r="H1191" s="32" t="n">
        <x:v>750000</x:v>
      </x:c>
      <x:c r="I1191" s="32" t="n">
        <x:v>750000</x:v>
      </x:c>
      <x:c r="J1191" s="32" t="n">
        <x:v>0</x:v>
      </x:c>
      <x:c r="K1191" s="30" t="n">
        <x:v>45973</x:v>
      </x:c>
      <x:c r="L1191" s="24" t="str">
        <x:v>입금</x:v>
      </x:c>
      <x:c r="M1191" s="31" t="n">
        <x:f>IF(AND(N1191="미수",G1191&lt;&gt;"",TODAY()&gt;G1191),TODAY()-G1191,0)</x:f>
        <x:v>0</x:v>
      </x:c>
      <x:c r="N1191" s="24" t="str">
        <x:f>IF(J1191&gt;0,"미수",IF(AND(H1191&gt;0,I1191&gt;=H1191),"완납","미확인"))</x:f>
        <x:v>완납</x:v>
      </x:c>
      <x:c r="O1191" s="31" t="n">
        <x:v>56</x:v>
      </x:c>
    </x:row>
    <x:row r="1192" ht="17.25" customHeight="1">
      <x:c r="A1192" s="24" t="str">
        <x:v>SW-B-193우6396-202608</x:v>
      </x:c>
      <x:c r="B1192" s="24" t="str">
        <x:v>스위치플랜</x:v>
      </x:c>
      <x:c r="C1192" s="24" t="str">
        <x:v>SW-C-193우6396-1-20240913-58</x:v>
      </x:c>
      <x:c r="D1192" s="24" t="str">
        <x:v>193우6396</x:v>
      </x:c>
      <x:c r="E1192" s="24" t="str">
        <x:v>권성호</x:v>
      </x:c>
      <x:c r="F1192" s="24" t="str">
        <x:v>2026-08</x:v>
      </x:c>
      <x:c r="G1192" s="30" t="n">
        <x:v>46249</x:v>
      </x:c>
      <x:c r="H1192" s="32" t="n">
        <x:v>670000</x:v>
      </x:c>
      <x:c r="I1192" s="32"/>
      <x:c r="J1192" s="32" t="n">
        <x:v>670000</x:v>
      </x:c>
      <x:c r="K1192" s="30"/>
      <x:c r="L1192" s="24" t="str"/>
      <x:c r="M1192" s="31" t="n">
        <x:f>IF(AND(N1192="미수",G1192&lt;&gt;"",TODAY()&gt;G1192),TODAY()-G1192,0)</x:f>
        <x:v>0</x:v>
      </x:c>
      <x:c r="N1192" s="24" t="str">
        <x:f>IF(J1192&gt;0,"미수",IF(AND(H1192&gt;0,I1192&gt;=H1192),"완납","미확인"))</x:f>
        <x:v>미수</x:v>
      </x:c>
      <x:c r="O1192" s="31" t="n">
        <x:v>57</x:v>
      </x:c>
    </x:row>
    <x:row r="1193" ht="17.25" customHeight="1">
      <x:c r="A1193" s="24" t="str">
        <x:v>SW-B-193우6396-202607</x:v>
      </x:c>
      <x:c r="B1193" s="24" t="str">
        <x:v>스위치플랜</x:v>
      </x:c>
      <x:c r="C1193" s="24" t="str">
        <x:v>SW-C-193우6396-1-20240913-58</x:v>
      </x:c>
      <x:c r="D1193" s="24" t="str">
        <x:v>193우6396</x:v>
      </x:c>
      <x:c r="E1193" s="24" t="str">
        <x:v>권성호</x:v>
      </x:c>
      <x:c r="F1193" s="24" t="str">
        <x:v>2026-07</x:v>
      </x:c>
      <x:c r="G1193" s="30" t="n">
        <x:v>46218</x:v>
      </x:c>
      <x:c r="H1193" s="32" t="n">
        <x:v>670000</x:v>
      </x:c>
      <x:c r="I1193" s="32" t="n">
        <x:v>670000</x:v>
      </x:c>
      <x:c r="J1193" s="32" t="n">
        <x:v>0</x:v>
      </x:c>
      <x:c r="K1193" s="30" t="n">
        <x:v>46228</x:v>
      </x:c>
      <x:c r="L1193" s="24" t="str">
        <x:v>입금</x:v>
      </x:c>
      <x:c r="M1193" s="31" t="n">
        <x:f>IF(AND(N1193="미수",G1193&lt;&gt;"",TODAY()&gt;G1193),TODAY()-G1193,0)</x:f>
        <x:v>0</x:v>
      </x:c>
      <x:c r="N1193" s="24" t="str">
        <x:f>IF(J1193&gt;0,"미수",IF(AND(H1193&gt;0,I1193&gt;=H1193),"완납","미확인"))</x:f>
        <x:v>완납</x:v>
      </x:c>
      <x:c r="O1193" s="31" t="n">
        <x:v>57</x:v>
      </x:c>
    </x:row>
    <x:row r="1194" ht="17.25" customHeight="1">
      <x:c r="A1194" s="24" t="str">
        <x:v>SW-B-193우6396-202606</x:v>
      </x:c>
      <x:c r="B1194" s="24" t="str">
        <x:v>스위치플랜</x:v>
      </x:c>
      <x:c r="C1194" s="24" t="str">
        <x:v>SW-C-193우6396-1-20240913-58</x:v>
      </x:c>
      <x:c r="D1194" s="24" t="str">
        <x:v>193우6396</x:v>
      </x:c>
      <x:c r="E1194" s="24" t="str">
        <x:v>권성호</x:v>
      </x:c>
      <x:c r="F1194" s="24" t="str">
        <x:v>2026-06</x:v>
      </x:c>
      <x:c r="G1194" s="30" t="n">
        <x:v>46188</x:v>
      </x:c>
      <x:c r="H1194" s="32" t="n">
        <x:v>670000</x:v>
      </x:c>
      <x:c r="I1194" s="32" t="n">
        <x:v>670000</x:v>
      </x:c>
      <x:c r="J1194" s="32" t="n">
        <x:v>0</x:v>
      </x:c>
      <x:c r="K1194" s="30" t="n">
        <x:v>46197</x:v>
      </x:c>
      <x:c r="L1194" s="24" t="str">
        <x:v>입금</x:v>
      </x:c>
      <x:c r="M1194" s="31" t="n">
        <x:f>IF(AND(N1194="미수",G1194&lt;&gt;"",TODAY()&gt;G1194),TODAY()-G1194,0)</x:f>
        <x:v>0</x:v>
      </x:c>
      <x:c r="N1194" s="24" t="str">
        <x:f>IF(J1194&gt;0,"미수",IF(AND(H1194&gt;0,I1194&gt;=H1194),"완납","미확인"))</x:f>
        <x:v>완납</x:v>
      </x:c>
      <x:c r="O1194" s="31" t="n">
        <x:v>57</x:v>
      </x:c>
    </x:row>
    <x:row r="1195" ht="17.25" customHeight="1">
      <x:c r="A1195" s="24" t="str">
        <x:v>SW-B-193우6396-202605</x:v>
      </x:c>
      <x:c r="B1195" s="24" t="str">
        <x:v>스위치플랜</x:v>
      </x:c>
      <x:c r="C1195" s="24" t="str">
        <x:v>SW-C-193우6396-1-20240913-58</x:v>
      </x:c>
      <x:c r="D1195" s="24" t="str">
        <x:v>193우6396</x:v>
      </x:c>
      <x:c r="E1195" s="24" t="str">
        <x:v>권성호</x:v>
      </x:c>
      <x:c r="F1195" s="24" t="str">
        <x:v>2026-05</x:v>
      </x:c>
      <x:c r="G1195" s="30" t="n">
        <x:v>46157</x:v>
      </x:c>
      <x:c r="H1195" s="32" t="n">
        <x:v>670000</x:v>
      </x:c>
      <x:c r="I1195" s="32" t="n">
        <x:v>670000</x:v>
      </x:c>
      <x:c r="J1195" s="32" t="n">
        <x:v>0</x:v>
      </x:c>
      <x:c r="K1195" s="30" t="n">
        <x:v>46164</x:v>
      </x:c>
      <x:c r="L1195" s="24" t="str">
        <x:v>입금</x:v>
      </x:c>
      <x:c r="M1195" s="31" t="n">
        <x:f>IF(AND(N1195="미수",G1195&lt;&gt;"",TODAY()&gt;G1195),TODAY()-G1195,0)</x:f>
        <x:v>0</x:v>
      </x:c>
      <x:c r="N1195" s="24" t="str">
        <x:f>IF(J1195&gt;0,"미수",IF(AND(H1195&gt;0,I1195&gt;=H1195),"완납","미확인"))</x:f>
        <x:v>완납</x:v>
      </x:c>
      <x:c r="O1195" s="31" t="n">
        <x:v>57</x:v>
      </x:c>
    </x:row>
    <x:row r="1196" ht="17.25" customHeight="1">
      <x:c r="A1196" s="24" t="str">
        <x:v>SW-B-193우6396-202604</x:v>
      </x:c>
      <x:c r="B1196" s="24" t="str">
        <x:v>스위치플랜</x:v>
      </x:c>
      <x:c r="C1196" s="24" t="str">
        <x:v>SW-C-193우6396-1-20240913-58</x:v>
      </x:c>
      <x:c r="D1196" s="24" t="str">
        <x:v>193우6396</x:v>
      </x:c>
      <x:c r="E1196" s="24" t="str">
        <x:v>권성호</x:v>
      </x:c>
      <x:c r="F1196" s="24" t="str">
        <x:v>2026-04</x:v>
      </x:c>
      <x:c r="G1196" s="30" t="n">
        <x:v>46127</x:v>
      </x:c>
      <x:c r="H1196" s="32" t="n">
        <x:v>670000</x:v>
      </x:c>
      <x:c r="I1196" s="32" t="n">
        <x:v>670000</x:v>
      </x:c>
      <x:c r="J1196" s="32" t="n">
        <x:v>0</x:v>
      </x:c>
      <x:c r="K1196" s="30" t="n">
        <x:v>46134</x:v>
      </x:c>
      <x:c r="L1196" s="24" t="str">
        <x:v>입금</x:v>
      </x:c>
      <x:c r="M1196" s="31" t="n">
        <x:f>IF(AND(N1196="미수",G1196&lt;&gt;"",TODAY()&gt;G1196),TODAY()-G1196,0)</x:f>
        <x:v>0</x:v>
      </x:c>
      <x:c r="N1196" s="24" t="str">
        <x:f>IF(J1196&gt;0,"미수",IF(AND(H1196&gt;0,I1196&gt;=H1196),"완납","미확인"))</x:f>
        <x:v>완납</x:v>
      </x:c>
      <x:c r="O1196" s="31" t="n">
        <x:v>57</x:v>
      </x:c>
    </x:row>
    <x:row r="1197" ht="17.25" customHeight="1">
      <x:c r="A1197" s="24" t="str">
        <x:v>SW-B-193우6396-202603</x:v>
      </x:c>
      <x:c r="B1197" s="24" t="str">
        <x:v>스위치플랜</x:v>
      </x:c>
      <x:c r="C1197" s="24" t="str">
        <x:v>SW-C-193우6396-1-20240913-58</x:v>
      </x:c>
      <x:c r="D1197" s="24" t="str">
        <x:v>193우6396</x:v>
      </x:c>
      <x:c r="E1197" s="24" t="str">
        <x:v>권성호</x:v>
      </x:c>
      <x:c r="F1197" s="24" t="str">
        <x:v>2026-03</x:v>
      </x:c>
      <x:c r="G1197" s="30" t="n">
        <x:v>46096</x:v>
      </x:c>
      <x:c r="H1197" s="32" t="n">
        <x:v>670000</x:v>
      </x:c>
      <x:c r="I1197" s="32" t="n">
        <x:v>670000</x:v>
      </x:c>
      <x:c r="J1197" s="32" t="n">
        <x:v>0</x:v>
      </x:c>
      <x:c r="K1197" s="30" t="n">
        <x:v>46100</x:v>
      </x:c>
      <x:c r="L1197" s="24" t="str">
        <x:v>입금</x:v>
      </x:c>
      <x:c r="M1197" s="31" t="n">
        <x:f>IF(AND(N1197="미수",G1197&lt;&gt;"",TODAY()&gt;G1197),TODAY()-G1197,0)</x:f>
        <x:v>0</x:v>
      </x:c>
      <x:c r="N1197" s="24" t="str">
        <x:f>IF(J1197&gt;0,"미수",IF(AND(H1197&gt;0,I1197&gt;=H1197),"완납","미확인"))</x:f>
        <x:v>완납</x:v>
      </x:c>
      <x:c r="O1197" s="31" t="n">
        <x:v>57</x:v>
      </x:c>
    </x:row>
    <x:row r="1198" ht="17.25" customHeight="1">
      <x:c r="A1198" s="24" t="str">
        <x:v>SW-B-193우6396-202602</x:v>
      </x:c>
      <x:c r="B1198" s="24" t="str">
        <x:v>스위치플랜</x:v>
      </x:c>
      <x:c r="C1198" s="24" t="str">
        <x:v>SW-C-193우6396-1-20240913-58</x:v>
      </x:c>
      <x:c r="D1198" s="24" t="str">
        <x:v>193우6396</x:v>
      </x:c>
      <x:c r="E1198" s="24" t="str">
        <x:v>권성호</x:v>
      </x:c>
      <x:c r="F1198" s="24" t="str">
        <x:v>2026-02</x:v>
      </x:c>
      <x:c r="G1198" s="30" t="n">
        <x:v>46068</x:v>
      </x:c>
      <x:c r="H1198" s="32" t="n">
        <x:v>670000</x:v>
      </x:c>
      <x:c r="I1198" s="32" t="n">
        <x:v>670000</x:v>
      </x:c>
      <x:c r="J1198" s="32" t="n">
        <x:v>0</x:v>
      </x:c>
      <x:c r="K1198" s="30" t="n">
        <x:v>46072</x:v>
      </x:c>
      <x:c r="L1198" s="24" t="str">
        <x:v>자동</x:v>
      </x:c>
      <x:c r="M1198" s="31" t="n">
        <x:f>IF(AND(N1198="미수",G1198&lt;&gt;"",TODAY()&gt;G1198),TODAY()-G1198,0)</x:f>
        <x:v>0</x:v>
      </x:c>
      <x:c r="N1198" s="24" t="str">
        <x:f>IF(J1198&gt;0,"미수",IF(AND(H1198&gt;0,I1198&gt;=H1198),"완납","미확인"))</x:f>
        <x:v>완납</x:v>
      </x:c>
      <x:c r="O1198" s="31" t="n">
        <x:v>57</x:v>
      </x:c>
    </x:row>
    <x:row r="1199" ht="17.25" customHeight="1">
      <x:c r="A1199" s="24" t="str">
        <x:v>SW-B-193우6396-202601</x:v>
      </x:c>
      <x:c r="B1199" s="24" t="str">
        <x:v>스위치플랜</x:v>
      </x:c>
      <x:c r="C1199" s="24" t="str">
        <x:v>SW-C-193우6396-1-20240913-58</x:v>
      </x:c>
      <x:c r="D1199" s="24" t="str">
        <x:v>193우6396</x:v>
      </x:c>
      <x:c r="E1199" s="24" t="str">
        <x:v>권성호</x:v>
      </x:c>
      <x:c r="F1199" s="24" t="str">
        <x:v>2026-01</x:v>
      </x:c>
      <x:c r="G1199" s="30" t="n">
        <x:v>46037</x:v>
      </x:c>
      <x:c r="H1199" s="32" t="n">
        <x:v>670000</x:v>
      </x:c>
      <x:c r="I1199" s="32" t="n">
        <x:v>670000</x:v>
      </x:c>
      <x:c r="J1199" s="32" t="n">
        <x:v>0</x:v>
      </x:c>
      <x:c r="K1199" s="30" t="n">
        <x:v>46037</x:v>
      </x:c>
      <x:c r="L1199" s="24" t="str">
        <x:v>자동</x:v>
      </x:c>
      <x:c r="M1199" s="31" t="n">
        <x:f>IF(AND(N1199="미수",G1199&lt;&gt;"",TODAY()&gt;G1199),TODAY()-G1199,0)</x:f>
        <x:v>0</x:v>
      </x:c>
      <x:c r="N1199" s="24" t="str">
        <x:f>IF(J1199&gt;0,"미수",IF(AND(H1199&gt;0,I1199&gt;=H1199),"완납","미확인"))</x:f>
        <x:v>완납</x:v>
      </x:c>
      <x:c r="O1199" s="31" t="n">
        <x:v>57</x:v>
      </x:c>
    </x:row>
    <x:row r="1200" ht="17.25" customHeight="1">
      <x:c r="A1200" s="24" t="str">
        <x:v>SW-B-193우6396-202512</x:v>
      </x:c>
      <x:c r="B1200" s="24" t="str">
        <x:v>스위치플랜</x:v>
      </x:c>
      <x:c r="C1200" s="24" t="str">
        <x:v>SW-C-193우6396-1-20240913-58</x:v>
      </x:c>
      <x:c r="D1200" s="24" t="str">
        <x:v>193우6396</x:v>
      </x:c>
      <x:c r="E1200" s="24" t="str">
        <x:v>권성호</x:v>
      </x:c>
      <x:c r="F1200" s="24" t="str">
        <x:v>2025-12</x:v>
      </x:c>
      <x:c r="G1200" s="30" t="n">
        <x:v>46006</x:v>
      </x:c>
      <x:c r="H1200" s="32" t="n">
        <x:v>670000</x:v>
      </x:c>
      <x:c r="I1200" s="32" t="n">
        <x:v>670000</x:v>
      </x:c>
      <x:c r="J1200" s="32" t="n">
        <x:v>0</x:v>
      </x:c>
      <x:c r="K1200" s="30" t="n">
        <x:v>46007</x:v>
      </x:c>
      <x:c r="L1200" s="24" t="str">
        <x:v>입금</x:v>
      </x:c>
      <x:c r="M1200" s="31" t="n">
        <x:f>IF(AND(N1200="미수",G1200&lt;&gt;"",TODAY()&gt;G1200),TODAY()-G1200,0)</x:f>
        <x:v>0</x:v>
      </x:c>
      <x:c r="N1200" s="24" t="str">
        <x:f>IF(J1200&gt;0,"미수",IF(AND(H1200&gt;0,I1200&gt;=H1200),"완납","미확인"))</x:f>
        <x:v>완납</x:v>
      </x:c>
      <x:c r="O1200" s="31" t="n">
        <x:v>57</x:v>
      </x:c>
    </x:row>
    <x:row r="1201" ht="17.25" customHeight="1">
      <x:c r="A1201" s="24" t="str">
        <x:v>SW-B-193우6396-202511</x:v>
      </x:c>
      <x:c r="B1201" s="24" t="str">
        <x:v>스위치플랜</x:v>
      </x:c>
      <x:c r="C1201" s="24" t="str">
        <x:v>SW-C-193우6396-1-20240913-58</x:v>
      </x:c>
      <x:c r="D1201" s="24" t="str">
        <x:v>193우6396</x:v>
      </x:c>
      <x:c r="E1201" s="24" t="str">
        <x:v>권성호</x:v>
      </x:c>
      <x:c r="F1201" s="24" t="str">
        <x:v>2025-11</x:v>
      </x:c>
      <x:c r="G1201" s="30" t="n">
        <x:v>45976</x:v>
      </x:c>
      <x:c r="H1201" s="32" t="n">
        <x:v>670000</x:v>
      </x:c>
      <x:c r="I1201" s="32" t="n">
        <x:v>670000</x:v>
      </x:c>
      <x:c r="J1201" s="32" t="n">
        <x:v>0</x:v>
      </x:c>
      <x:c r="K1201" s="30" t="n">
        <x:v>45978</x:v>
      </x:c>
      <x:c r="L1201" s="24" t="str">
        <x:v>자동</x:v>
      </x:c>
      <x:c r="M1201" s="31" t="n">
        <x:f>IF(AND(N1201="미수",G1201&lt;&gt;"",TODAY()&gt;G1201),TODAY()-G1201,0)</x:f>
        <x:v>0</x:v>
      </x:c>
      <x:c r="N1201" s="24" t="str">
        <x:f>IF(J1201&gt;0,"미수",IF(AND(H1201&gt;0,I1201&gt;=H1201),"완납","미확인"))</x:f>
        <x:v>완납</x:v>
      </x:c>
      <x:c r="O1201" s="31" t="n">
        <x:v>57</x:v>
      </x:c>
    </x:row>
    <x:row r="1202" ht="17.25" customHeight="1">
      <x:c r="A1202" s="24" t="str">
        <x:v>SW-B-193우6396-202510</x:v>
      </x:c>
      <x:c r="B1202" s="24" t="str">
        <x:v>스위치플랜</x:v>
      </x:c>
      <x:c r="C1202" s="24" t="str">
        <x:v>SW-C-193우6396-1-20240913-58</x:v>
      </x:c>
      <x:c r="D1202" s="24" t="str">
        <x:v>193우6396</x:v>
      </x:c>
      <x:c r="E1202" s="24" t="str">
        <x:v>권성호</x:v>
      </x:c>
      <x:c r="F1202" s="24" t="str">
        <x:v>2025-10</x:v>
      </x:c>
      <x:c r="G1202" s="30" t="n">
        <x:v>45945</x:v>
      </x:c>
      <x:c r="H1202" s="32" t="n">
        <x:v>670000</x:v>
      </x:c>
      <x:c r="I1202" s="32" t="n">
        <x:v>670000</x:v>
      </x:c>
      <x:c r="J1202" s="32" t="n">
        <x:v>0</x:v>
      </x:c>
      <x:c r="K1202" s="30" t="n">
        <x:v>45948</x:v>
      </x:c>
      <x:c r="L1202" s="24" t="str">
        <x:v>입금</x:v>
      </x:c>
      <x:c r="M1202" s="31" t="n">
        <x:f>IF(AND(N1202="미수",G1202&lt;&gt;"",TODAY()&gt;G1202),TODAY()-G1202,0)</x:f>
        <x:v>0</x:v>
      </x:c>
      <x:c r="N1202" s="24" t="str">
        <x:f>IF(J1202&gt;0,"미수",IF(AND(H1202&gt;0,I1202&gt;=H1202),"완납","미확인"))</x:f>
        <x:v>완납</x:v>
      </x:c>
      <x:c r="O1202" s="31" t="n">
        <x:v>57</x:v>
      </x:c>
    </x:row>
    <x:row r="1203" ht="17.25" customHeight="1">
      <x:c r="A1203" s="24" t="str">
        <x:v>SW-B-193우6396-202509</x:v>
      </x:c>
      <x:c r="B1203" s="24" t="str">
        <x:v>스위치플랜</x:v>
      </x:c>
      <x:c r="C1203" s="24" t="str">
        <x:v>SW-C-193우6396-1-20240913-58</x:v>
      </x:c>
      <x:c r="D1203" s="24" t="str">
        <x:v>193우6396</x:v>
      </x:c>
      <x:c r="E1203" s="24" t="str">
        <x:v>권성호</x:v>
      </x:c>
      <x:c r="F1203" s="24" t="str">
        <x:v>2025-09</x:v>
      </x:c>
      <x:c r="G1203" s="30" t="n">
        <x:v>45915</x:v>
      </x:c>
      <x:c r="H1203" s="32" t="n">
        <x:v>670000</x:v>
      </x:c>
      <x:c r="I1203" s="32" t="n">
        <x:v>670000</x:v>
      </x:c>
      <x:c r="J1203" s="32" t="n">
        <x:v>0</x:v>
      </x:c>
      <x:c r="K1203" s="30" t="n">
        <x:v>45917</x:v>
      </x:c>
      <x:c r="L1203" s="24" t="str">
        <x:v>입금</x:v>
      </x:c>
      <x:c r="M1203" s="31" t="n">
        <x:f>IF(AND(N1203="미수",G1203&lt;&gt;"",TODAY()&gt;G1203),TODAY()-G1203,0)</x:f>
        <x:v>0</x:v>
      </x:c>
      <x:c r="N1203" s="24" t="str">
        <x:f>IF(J1203&gt;0,"미수",IF(AND(H1203&gt;0,I1203&gt;=H1203),"완납","미확인"))</x:f>
        <x:v>완납</x:v>
      </x:c>
      <x:c r="O1203" s="31" t="n">
        <x:v>57</x:v>
      </x:c>
    </x:row>
    <x:row r="1204" ht="17.25" customHeight="1">
      <x:c r="A1204" s="24" t="str">
        <x:v>SW-B-193우6396-202508</x:v>
      </x:c>
      <x:c r="B1204" s="24" t="str">
        <x:v>스위치플랜</x:v>
      </x:c>
      <x:c r="C1204" s="24" t="str">
        <x:v>SW-C-193우6396-1-20240913-58</x:v>
      </x:c>
      <x:c r="D1204" s="24" t="str">
        <x:v>193우6396</x:v>
      </x:c>
      <x:c r="E1204" s="24" t="str">
        <x:v>권성호</x:v>
      </x:c>
      <x:c r="F1204" s="24" t="str">
        <x:v>2025-08</x:v>
      </x:c>
      <x:c r="G1204" s="30" t="n">
        <x:v>45884</x:v>
      </x:c>
      <x:c r="H1204" s="32" t="n">
        <x:v>670000</x:v>
      </x:c>
      <x:c r="I1204" s="32" t="n">
        <x:v>670000</x:v>
      </x:c>
      <x:c r="J1204" s="32" t="n">
        <x:v>0</x:v>
      </x:c>
      <x:c r="K1204" s="30" t="n">
        <x:v>45887</x:v>
      </x:c>
      <x:c r="L1204" s="24" t="str">
        <x:v>입금</x:v>
      </x:c>
      <x:c r="M1204" s="31" t="n">
        <x:f>IF(AND(N1204="미수",G1204&lt;&gt;"",TODAY()&gt;G1204),TODAY()-G1204,0)</x:f>
        <x:v>0</x:v>
      </x:c>
      <x:c r="N1204" s="24" t="str">
        <x:f>IF(J1204&gt;0,"미수",IF(AND(H1204&gt;0,I1204&gt;=H1204),"완납","미확인"))</x:f>
        <x:v>완납</x:v>
      </x:c>
      <x:c r="O1204" s="31" t="n">
        <x:v>57</x:v>
      </x:c>
    </x:row>
    <x:row r="1205" ht="17.25" customHeight="1">
      <x:c r="A1205" s="24" t="str">
        <x:v>SW-B-193우6396-202507</x:v>
      </x:c>
      <x:c r="B1205" s="24" t="str">
        <x:v>스위치플랜</x:v>
      </x:c>
      <x:c r="C1205" s="24" t="str">
        <x:v>SW-C-193우6396-1-20240913-58</x:v>
      </x:c>
      <x:c r="D1205" s="24" t="str">
        <x:v>193우6396</x:v>
      </x:c>
      <x:c r="E1205" s="24" t="str">
        <x:v>권성호</x:v>
      </x:c>
      <x:c r="F1205" s="24" t="str">
        <x:v>2025-07</x:v>
      </x:c>
      <x:c r="G1205" s="30" t="n">
        <x:v>45853</x:v>
      </x:c>
      <x:c r="H1205" s="32" t="n">
        <x:v>670000</x:v>
      </x:c>
      <x:c r="I1205" s="32" t="n">
        <x:v>670000</x:v>
      </x:c>
      <x:c r="J1205" s="32" t="n">
        <x:v>0</x:v>
      </x:c>
      <x:c r="K1205" s="30" t="n">
        <x:v>45870</x:v>
      </x:c>
      <x:c r="L1205" s="24" t="str">
        <x:v>입금</x:v>
      </x:c>
      <x:c r="M1205" s="31" t="n">
        <x:f>IF(AND(N1205="미수",G1205&lt;&gt;"",TODAY()&gt;G1205),TODAY()-G1205,0)</x:f>
        <x:v>0</x:v>
      </x:c>
      <x:c r="N1205" s="24" t="str">
        <x:f>IF(J1205&gt;0,"미수",IF(AND(H1205&gt;0,I1205&gt;=H1205),"완납","미확인"))</x:f>
        <x:v>완납</x:v>
      </x:c>
      <x:c r="O1205" s="31" t="n">
        <x:v>57</x:v>
      </x:c>
    </x:row>
    <x:row r="1206" ht="17.25" customHeight="1">
      <x:c r="A1206" s="24" t="str">
        <x:v>SW-B-193우6396-202506</x:v>
      </x:c>
      <x:c r="B1206" s="24" t="str">
        <x:v>스위치플랜</x:v>
      </x:c>
      <x:c r="C1206" s="24" t="str">
        <x:v>SW-C-193우6396-1-20240913-58</x:v>
      </x:c>
      <x:c r="D1206" s="24" t="str">
        <x:v>193우6396</x:v>
      </x:c>
      <x:c r="E1206" s="24" t="str">
        <x:v>권성호</x:v>
      </x:c>
      <x:c r="F1206" s="24" t="str">
        <x:v>2025-06</x:v>
      </x:c>
      <x:c r="G1206" s="30" t="n">
        <x:v>45823</x:v>
      </x:c>
      <x:c r="H1206" s="32" t="n">
        <x:v>670000</x:v>
      </x:c>
      <x:c r="I1206" s="32" t="n">
        <x:v>670000</x:v>
      </x:c>
      <x:c r="J1206" s="32" t="n">
        <x:v>0</x:v>
      </x:c>
      <x:c r="K1206" s="30" t="n">
        <x:v>45833</x:v>
      </x:c>
      <x:c r="L1206" s="24" t="str">
        <x:v>입금</x:v>
      </x:c>
      <x:c r="M1206" s="31" t="n">
        <x:f>IF(AND(N1206="미수",G1206&lt;&gt;"",TODAY()&gt;G1206),TODAY()-G1206,0)</x:f>
        <x:v>0</x:v>
      </x:c>
      <x:c r="N1206" s="24" t="str">
        <x:f>IF(J1206&gt;0,"미수",IF(AND(H1206&gt;0,I1206&gt;=H1206),"완납","미확인"))</x:f>
        <x:v>완납</x:v>
      </x:c>
      <x:c r="O1206" s="31" t="n">
        <x:v>57</x:v>
      </x:c>
    </x:row>
    <x:row r="1207" ht="17.25" customHeight="1">
      <x:c r="A1207" s="24" t="str">
        <x:v>SW-B-193우6396-202505</x:v>
      </x:c>
      <x:c r="B1207" s="24" t="str">
        <x:v>스위치플랜</x:v>
      </x:c>
      <x:c r="C1207" s="24" t="str">
        <x:v>SW-C-193우6396-1-20240913-58</x:v>
      </x:c>
      <x:c r="D1207" s="24" t="str">
        <x:v>193우6396</x:v>
      </x:c>
      <x:c r="E1207" s="24" t="str">
        <x:v>권성호</x:v>
      </x:c>
      <x:c r="F1207" s="24" t="str">
        <x:v>2025-05</x:v>
      </x:c>
      <x:c r="G1207" s="30" t="n">
        <x:v>45792</x:v>
      </x:c>
      <x:c r="H1207" s="32" t="n">
        <x:v>670000</x:v>
      </x:c>
      <x:c r="I1207" s="32" t="n">
        <x:v>670000</x:v>
      </x:c>
      <x:c r="J1207" s="32" t="n">
        <x:v>0</x:v>
      </x:c>
      <x:c r="K1207" s="30" t="n">
        <x:v>45803</x:v>
      </x:c>
      <x:c r="L1207" s="24" t="str">
        <x:v>입금</x:v>
      </x:c>
      <x:c r="M1207" s="31" t="n">
        <x:f>IF(AND(N1207="미수",G1207&lt;&gt;"",TODAY()&gt;G1207),TODAY()-G1207,0)</x:f>
        <x:v>0</x:v>
      </x:c>
      <x:c r="N1207" s="24" t="str">
        <x:f>IF(J1207&gt;0,"미수",IF(AND(H1207&gt;0,I1207&gt;=H1207),"완납","미확인"))</x:f>
        <x:v>완납</x:v>
      </x:c>
      <x:c r="O1207" s="31" t="n">
        <x:v>57</x:v>
      </x:c>
    </x:row>
    <x:row r="1208" ht="17.25" customHeight="1">
      <x:c r="A1208" s="24" t="str">
        <x:v>SW-B-193우6396-202504</x:v>
      </x:c>
      <x:c r="B1208" s="24" t="str">
        <x:v>스위치플랜</x:v>
      </x:c>
      <x:c r="C1208" s="24" t="str">
        <x:v>SW-C-193우6396-1-20240913-58</x:v>
      </x:c>
      <x:c r="D1208" s="24" t="str">
        <x:v>193우6396</x:v>
      </x:c>
      <x:c r="E1208" s="24" t="str">
        <x:v>권성호</x:v>
      </x:c>
      <x:c r="F1208" s="24" t="str">
        <x:v>2025-04</x:v>
      </x:c>
      <x:c r="G1208" s="30" t="n">
        <x:v>45762</x:v>
      </x:c>
      <x:c r="H1208" s="32" t="n">
        <x:v>670000</x:v>
      </x:c>
      <x:c r="I1208" s="32" t="n">
        <x:v>670000</x:v>
      </x:c>
      <x:c r="J1208" s="32" t="n">
        <x:v>0</x:v>
      </x:c>
      <x:c r="K1208" s="30" t="n">
        <x:v>45771</x:v>
      </x:c>
      <x:c r="L1208" s="24" t="str">
        <x:v>입금</x:v>
      </x:c>
      <x:c r="M1208" s="31" t="n">
        <x:f>IF(AND(N1208="미수",G1208&lt;&gt;"",TODAY()&gt;G1208),TODAY()-G1208,0)</x:f>
        <x:v>0</x:v>
      </x:c>
      <x:c r="N1208" s="24" t="str">
        <x:f>IF(J1208&gt;0,"미수",IF(AND(H1208&gt;0,I1208&gt;=H1208),"완납","미확인"))</x:f>
        <x:v>완납</x:v>
      </x:c>
      <x:c r="O1208" s="31" t="n">
        <x:v>57</x:v>
      </x:c>
    </x:row>
    <x:row r="1209" ht="17.25" customHeight="1">
      <x:c r="A1209" s="24" t="str">
        <x:v>SW-B-193우6396-202503</x:v>
      </x:c>
      <x:c r="B1209" s="24" t="str">
        <x:v>스위치플랜</x:v>
      </x:c>
      <x:c r="C1209" s="24" t="str">
        <x:v>SW-C-193우6396-1-20240913-58</x:v>
      </x:c>
      <x:c r="D1209" s="24" t="str">
        <x:v>193우6396</x:v>
      </x:c>
      <x:c r="E1209" s="24" t="str">
        <x:v>권성호</x:v>
      </x:c>
      <x:c r="F1209" s="24" t="str">
        <x:v>2025-03</x:v>
      </x:c>
      <x:c r="G1209" s="30" t="n">
        <x:v>45731</x:v>
      </x:c>
      <x:c r="H1209" s="32" t="n">
        <x:v>670000</x:v>
      </x:c>
      <x:c r="I1209" s="32" t="n">
        <x:v>1340000</x:v>
      </x:c>
      <x:c r="J1209" s="32" t="n">
        <x:v>0</x:v>
      </x:c>
      <x:c r="K1209" s="30" t="n">
        <x:v>45720</x:v>
      </x:c>
      <x:c r="L1209" s="24" t="str">
        <x:v>입금</x:v>
      </x:c>
      <x:c r="M1209" s="31" t="n">
        <x:f>IF(AND(N1209="미수",G1209&lt;&gt;"",TODAY()&gt;G1209),TODAY()-G1209,0)</x:f>
        <x:v>0</x:v>
      </x:c>
      <x:c r="N1209" s="24" t="str">
        <x:f>IF(J1209&gt;0,"미수",IF(AND(H1209&gt;0,I1209&gt;=H1209),"완납","미확인"))</x:f>
        <x:v>완납</x:v>
      </x:c>
      <x:c r="O1209" s="31" t="n">
        <x:v>57</x:v>
      </x:c>
    </x:row>
    <x:row r="1210" ht="17.25" customHeight="1">
      <x:c r="A1210" s="24" t="str">
        <x:v>SW-B-193우6396-202502</x:v>
      </x:c>
      <x:c r="B1210" s="24" t="str">
        <x:v>스위치플랜</x:v>
      </x:c>
      <x:c r="C1210" s="24" t="str">
        <x:v>SW-C-193우6396-1-20240913-58</x:v>
      </x:c>
      <x:c r="D1210" s="24" t="str">
        <x:v>193우6396</x:v>
      </x:c>
      <x:c r="E1210" s="24" t="str">
        <x:v>권성호</x:v>
      </x:c>
      <x:c r="F1210" s="24" t="str">
        <x:v>2025-02</x:v>
      </x:c>
      <x:c r="G1210" s="30" t="n">
        <x:v>45703</x:v>
      </x:c>
      <x:c r="H1210" s="32" t="n">
        <x:v>670000</x:v>
      </x:c>
      <x:c r="I1210" s="32"/>
      <x:c r="J1210" s="32" t="n">
        <x:v>670000</x:v>
      </x:c>
      <x:c r="K1210" s="30"/>
      <x:c r="L1210" s="24" t="str"/>
      <x:c r="M1210" s="31" t="n">
        <x:f>IF(AND(N1210="미수",G1210&lt;&gt;"",TODAY()&gt;G1210),TODAY()-G1210,0)</x:f>
        <x:v>546</x:v>
      </x:c>
      <x:c r="N1210" s="24" t="str">
        <x:f>IF(J1210&gt;0,"미수",IF(AND(H1210&gt;0,I1210&gt;=H1210),"완납","미확인"))</x:f>
        <x:v>미수</x:v>
      </x:c>
      <x:c r="O1210" s="31" t="n">
        <x:v>57</x:v>
      </x:c>
    </x:row>
    <x:row r="1211" ht="17.25" customHeight="1">
      <x:c r="A1211" s="24" t="str">
        <x:v>SW-B-193우6396-202501</x:v>
      </x:c>
      <x:c r="B1211" s="24" t="str">
        <x:v>스위치플랜</x:v>
      </x:c>
      <x:c r="C1211" s="24" t="str">
        <x:v>SW-C-193우6396-1-20240913-58</x:v>
      </x:c>
      <x:c r="D1211" s="24" t="str">
        <x:v>193우6396</x:v>
      </x:c>
      <x:c r="E1211" s="24" t="str">
        <x:v>권성호</x:v>
      </x:c>
      <x:c r="F1211" s="24" t="str">
        <x:v>2025-01</x:v>
      </x:c>
      <x:c r="G1211" s="30" t="n">
        <x:v>45672</x:v>
      </x:c>
      <x:c r="H1211" s="32" t="n">
        <x:v>670000</x:v>
      </x:c>
      <x:c r="I1211" s="32" t="n">
        <x:v>670000</x:v>
      </x:c>
      <x:c r="J1211" s="32" t="n">
        <x:v>0</x:v>
      </x:c>
      <x:c r="K1211" s="30" t="n">
        <x:v>45688</x:v>
      </x:c>
      <x:c r="L1211" s="24" t="str">
        <x:v>입금</x:v>
      </x:c>
      <x:c r="M1211" s="31" t="n">
        <x:f>IF(AND(N1211="미수",G1211&lt;&gt;"",TODAY()&gt;G1211),TODAY()-G1211,0)</x:f>
        <x:v>0</x:v>
      </x:c>
      <x:c r="N1211" s="24" t="str">
        <x:f>IF(J1211&gt;0,"미수",IF(AND(H1211&gt;0,I1211&gt;=H1211),"완납","미확인"))</x:f>
        <x:v>완납</x:v>
      </x:c>
      <x:c r="O1211" s="31" t="n">
        <x:v>57</x:v>
      </x:c>
    </x:row>
    <x:row r="1212" ht="17.25" customHeight="1">
      <x:c r="A1212" s="24" t="str">
        <x:v>SW-B-193우6396-202412</x:v>
      </x:c>
      <x:c r="B1212" s="24" t="str">
        <x:v>스위치플랜</x:v>
      </x:c>
      <x:c r="C1212" s="24" t="str">
        <x:v>SW-C-193우6396-1-20240913-58</x:v>
      </x:c>
      <x:c r="D1212" s="24" t="str">
        <x:v>193우6396</x:v>
      </x:c>
      <x:c r="E1212" s="24" t="str">
        <x:v>권성호</x:v>
      </x:c>
      <x:c r="F1212" s="24" t="str">
        <x:v>2024-12</x:v>
      </x:c>
      <x:c r="G1212" s="30" t="n">
        <x:v>45641</x:v>
      </x:c>
      <x:c r="H1212" s="32" t="n">
        <x:v>670000</x:v>
      </x:c>
      <x:c r="I1212" s="32" t="n">
        <x:v>670000</x:v>
      </x:c>
      <x:c r="J1212" s="32" t="n">
        <x:v>0</x:v>
      </x:c>
      <x:c r="K1212" s="30" t="n">
        <x:v>45642</x:v>
      </x:c>
      <x:c r="L1212" s="24" t="str">
        <x:v>자동</x:v>
      </x:c>
      <x:c r="M1212" s="31" t="n">
        <x:f>IF(AND(N1212="미수",G1212&lt;&gt;"",TODAY()&gt;G1212),TODAY()-G1212,0)</x:f>
        <x:v>0</x:v>
      </x:c>
      <x:c r="N1212" s="24" t="str">
        <x:f>IF(J1212&gt;0,"미수",IF(AND(H1212&gt;0,I1212&gt;=H1212),"완납","미확인"))</x:f>
        <x:v>완납</x:v>
      </x:c>
      <x:c r="O1212" s="31" t="n">
        <x:v>57</x:v>
      </x:c>
    </x:row>
    <x:row r="1213" ht="17.25" customHeight="1">
      <x:c r="A1213" s="24" t="str">
        <x:v>SW-B-193우6396-202411</x:v>
      </x:c>
      <x:c r="B1213" s="24" t="str">
        <x:v>스위치플랜</x:v>
      </x:c>
      <x:c r="C1213" s="24" t="str">
        <x:v>SW-C-193우6396-1-20240913-58</x:v>
      </x:c>
      <x:c r="D1213" s="24" t="str">
        <x:v>193우6396</x:v>
      </x:c>
      <x:c r="E1213" s="24" t="str">
        <x:v>권성호</x:v>
      </x:c>
      <x:c r="F1213" s="24" t="str">
        <x:v>2024-11</x:v>
      </x:c>
      <x:c r="G1213" s="30" t="n">
        <x:v>45611</x:v>
      </x:c>
      <x:c r="H1213" s="32" t="n">
        <x:v>670000</x:v>
      </x:c>
      <x:c r="I1213" s="32" t="n">
        <x:v>670000</x:v>
      </x:c>
      <x:c r="J1213" s="32" t="n">
        <x:v>0</x:v>
      </x:c>
      <x:c r="K1213" s="30" t="n">
        <x:v>45611</x:v>
      </x:c>
      <x:c r="L1213" s="24" t="str">
        <x:v>자동</x:v>
      </x:c>
      <x:c r="M1213" s="31" t="n">
        <x:f>IF(AND(N1213="미수",G1213&lt;&gt;"",TODAY()&gt;G1213),TODAY()-G1213,0)</x:f>
        <x:v>0</x:v>
      </x:c>
      <x:c r="N1213" s="24" t="str">
        <x:f>IF(J1213&gt;0,"미수",IF(AND(H1213&gt;0,I1213&gt;=H1213),"완납","미확인"))</x:f>
        <x:v>완납</x:v>
      </x:c>
      <x:c r="O1213" s="31" t="n">
        <x:v>57</x:v>
      </x:c>
    </x:row>
    <x:row r="1214" ht="17.25" customHeight="1">
      <x:c r="A1214" s="24" t="str">
        <x:v>SW-B-193우6396-202410</x:v>
      </x:c>
      <x:c r="B1214" s="24" t="str">
        <x:v>스위치플랜</x:v>
      </x:c>
      <x:c r="C1214" s="24" t="str">
        <x:v>SW-C-193우6396-1-20240913-58</x:v>
      </x:c>
      <x:c r="D1214" s="24" t="str">
        <x:v>193우6396</x:v>
      </x:c>
      <x:c r="E1214" s="24" t="str">
        <x:v>권성호</x:v>
      </x:c>
      <x:c r="F1214" s="24" t="str">
        <x:v>2024-10</x:v>
      </x:c>
      <x:c r="G1214" s="30" t="n">
        <x:v>45580</x:v>
      </x:c>
      <x:c r="H1214" s="32" t="n">
        <x:v>670000</x:v>
      </x:c>
      <x:c r="I1214" s="32" t="n">
        <x:v>670000</x:v>
      </x:c>
      <x:c r="J1214" s="32" t="n">
        <x:v>0</x:v>
      </x:c>
      <x:c r="K1214" s="30" t="n">
        <x:v>45580</x:v>
      </x:c>
      <x:c r="L1214" s="24" t="str">
        <x:v>자동</x:v>
      </x:c>
      <x:c r="M1214" s="31" t="n">
        <x:f>IF(AND(N1214="미수",G1214&lt;&gt;"",TODAY()&gt;G1214),TODAY()-G1214,0)</x:f>
        <x:v>0</x:v>
      </x:c>
      <x:c r="N1214" s="24" t="str">
        <x:f>IF(J1214&gt;0,"미수",IF(AND(H1214&gt;0,I1214&gt;=H1214),"완납","미확인"))</x:f>
        <x:v>완납</x:v>
      </x:c>
      <x:c r="O1214" s="31" t="n">
        <x:v>57</x:v>
      </x:c>
    </x:row>
    <x:row r="1215" ht="17.25" customHeight="1">
      <x:c r="A1215" s="24" t="str">
        <x:v>SW-B-193우6396-202409</x:v>
      </x:c>
      <x:c r="B1215" s="24" t="str">
        <x:v>스위치플랜</x:v>
      </x:c>
      <x:c r="C1215" s="24" t="str">
        <x:v>SW-C-193우6396-1-20240913-58</x:v>
      </x:c>
      <x:c r="D1215" s="24" t="str">
        <x:v>193우6396</x:v>
      </x:c>
      <x:c r="E1215" s="24" t="str">
        <x:v>권성호</x:v>
      </x:c>
      <x:c r="F1215" s="24" t="str">
        <x:v>2024-09</x:v>
      </x:c>
      <x:c r="G1215" s="30" t="n">
        <x:v>45550</x:v>
      </x:c>
      <x:c r="H1215" s="32" t="n">
        <x:v>670000</x:v>
      </x:c>
      <x:c r="I1215" s="32" t="n">
        <x:v>670000</x:v>
      </x:c>
      <x:c r="J1215" s="32" t="n">
        <x:v>0</x:v>
      </x:c>
      <x:c r="K1215" s="30" t="n">
        <x:v>45547</x:v>
      </x:c>
      <x:c r="L1215" s="24" t="str">
        <x:v>입금</x:v>
      </x:c>
      <x:c r="M1215" s="31" t="n">
        <x:f>IF(AND(N1215="미수",G1215&lt;&gt;"",TODAY()&gt;G1215),TODAY()-G1215,0)</x:f>
        <x:v>0</x:v>
      </x:c>
      <x:c r="N1215" s="24" t="str">
        <x:f>IF(J1215&gt;0,"미수",IF(AND(H1215&gt;0,I1215&gt;=H1215),"완납","미확인"))</x:f>
        <x:v>완납</x:v>
      </x:c>
      <x:c r="O1215" s="31" t="n">
        <x:v>57</x:v>
      </x:c>
    </x:row>
    <x:row r="1216" ht="17.25" customHeight="1">
      <x:c r="A1216" s="24" t="str">
        <x:v>SW-B-245고2473-202608</x:v>
      </x:c>
      <x:c r="B1216" s="24" t="str">
        <x:v>스위치플랜</x:v>
      </x:c>
      <x:c r="C1216" s="24" t="str">
        <x:v>SW-C-245고2473-1-20231213-57</x:v>
      </x:c>
      <x:c r="D1216" s="24" t="str">
        <x:v>245고2473</x:v>
      </x:c>
      <x:c r="E1216" s="24" t="str">
        <x:v>최윤형</x:v>
      </x:c>
      <x:c r="F1216" s="24" t="str">
        <x:v>2026-08</x:v>
      </x:c>
      <x:c r="G1216" s="30" t="n">
        <x:v>46249</x:v>
      </x:c>
      <x:c r="H1216" s="32" t="n">
        <x:v>460000</x:v>
      </x:c>
      <x:c r="I1216" s="32"/>
      <x:c r="J1216" s="32" t="n">
        <x:v>860000</x:v>
      </x:c>
      <x:c r="K1216" s="30"/>
      <x:c r="L1216" s="24" t="str"/>
      <x:c r="M1216" s="31" t="n">
        <x:f>IF(AND(N1216="미수",G1216&lt;&gt;"",TODAY()&gt;G1216),TODAY()-G1216,0)</x:f>
        <x:v>0</x:v>
      </x:c>
      <x:c r="N1216" s="24" t="str">
        <x:f>IF(J1216&gt;0,"미수",IF(AND(H1216&gt;0,I1216&gt;=H1216),"완납","미확인"))</x:f>
        <x:v>미수</x:v>
      </x:c>
      <x:c r="O1216" s="31" t="n">
        <x:v>58</x:v>
      </x:c>
    </x:row>
    <x:row r="1217" ht="17.25" customHeight="1">
      <x:c r="A1217" s="24" t="str">
        <x:v>SW-B-245고2473-202607</x:v>
      </x:c>
      <x:c r="B1217" s="24" t="str">
        <x:v>스위치플랜</x:v>
      </x:c>
      <x:c r="C1217" s="24" t="str">
        <x:v>SW-C-245고2473-1-20231213-57</x:v>
      </x:c>
      <x:c r="D1217" s="24" t="str">
        <x:v>245고2473</x:v>
      </x:c>
      <x:c r="E1217" s="24" t="str">
        <x:v>최윤형</x:v>
      </x:c>
      <x:c r="F1217" s="24" t="str">
        <x:v>2026-07</x:v>
      </x:c>
      <x:c r="G1217" s="30" t="n">
        <x:v>46218</x:v>
      </x:c>
      <x:c r="H1217" s="32" t="n">
        <x:v>460000</x:v>
      </x:c>
      <x:c r="I1217" s="32" t="n">
        <x:v>60000</x:v>
      </x:c>
      <x:c r="J1217" s="32" t="n">
        <x:v>400000</x:v>
      </x:c>
      <x:c r="K1217" s="30" t="n">
        <x:v>46223</x:v>
      </x:c>
      <x:c r="L1217" s="24" t="str">
        <x:v>입금</x:v>
      </x:c>
      <x:c r="M1217" s="31" t="n">
        <x:f>IF(AND(N1217="미수",G1217&lt;&gt;"",TODAY()&gt;G1217),TODAY()-G1217,0)</x:f>
        <x:v>31</x:v>
      </x:c>
      <x:c r="N1217" s="24" t="str">
        <x:f>IF(J1217&gt;0,"미수",IF(AND(H1217&gt;0,I1217&gt;=H1217),"완납","미확인"))</x:f>
        <x:v>미수</x:v>
      </x:c>
      <x:c r="O1217" s="31" t="n">
        <x:v>58</x:v>
      </x:c>
    </x:row>
    <x:row r="1218" ht="17.25" customHeight="1">
      <x:c r="A1218" s="24" t="str">
        <x:v>SW-B-245고2473-202606</x:v>
      </x:c>
      <x:c r="B1218" s="24" t="str">
        <x:v>스위치플랜</x:v>
      </x:c>
      <x:c r="C1218" s="24" t="str">
        <x:v>SW-C-245고2473-1-20231213-57</x:v>
      </x:c>
      <x:c r="D1218" s="24" t="str">
        <x:v>245고2473</x:v>
      </x:c>
      <x:c r="E1218" s="24" t="str">
        <x:v>최윤형</x:v>
      </x:c>
      <x:c r="F1218" s="24" t="str">
        <x:v>2026-06</x:v>
      </x:c>
      <x:c r="G1218" s="30" t="n">
        <x:v>46188</x:v>
      </x:c>
      <x:c r="H1218" s="32" t="n">
        <x:v>379000</x:v>
      </x:c>
      <x:c r="I1218" s="32" t="n">
        <x:v>379000</x:v>
      </x:c>
      <x:c r="J1218" s="32" t="n">
        <x:v>0</x:v>
      </x:c>
      <x:c r="K1218" s="30" t="n">
        <x:v>46188</x:v>
      </x:c>
      <x:c r="L1218" s="24" t="str">
        <x:v>카드</x:v>
      </x:c>
      <x:c r="M1218" s="31" t="n">
        <x:f>IF(AND(N1218="미수",G1218&lt;&gt;"",TODAY()&gt;G1218),TODAY()-G1218,0)</x:f>
        <x:v>0</x:v>
      </x:c>
      <x:c r="N1218" s="24" t="str">
        <x:f>IF(J1218&gt;0,"미수",IF(AND(H1218&gt;0,I1218&gt;=H1218),"완납","미확인"))</x:f>
        <x:v>완납</x:v>
      </x:c>
      <x:c r="O1218" s="31" t="n">
        <x:v>58</x:v>
      </x:c>
    </x:row>
    <x:row r="1219" ht="17.25" customHeight="1">
      <x:c r="A1219" s="24" t="str">
        <x:v>SW-B-245고2473-202605</x:v>
      </x:c>
      <x:c r="B1219" s="24" t="str">
        <x:v>스위치플랜</x:v>
      </x:c>
      <x:c r="C1219" s="24" t="str">
        <x:v>SW-C-245고2473-1-20231213-57</x:v>
      </x:c>
      <x:c r="D1219" s="24" t="str">
        <x:v>245고2473</x:v>
      </x:c>
      <x:c r="E1219" s="24" t="str">
        <x:v>최윤형</x:v>
      </x:c>
      <x:c r="F1219" s="24" t="str">
        <x:v>2026-05</x:v>
      </x:c>
      <x:c r="G1219" s="30" t="n">
        <x:v>46157</x:v>
      </x:c>
      <x:c r="H1219" s="32" t="n">
        <x:v>460000</x:v>
      </x:c>
      <x:c r="I1219" s="32" t="n">
        <x:v>460000</x:v>
      </x:c>
      <x:c r="J1219" s="32" t="n">
        <x:v>0</x:v>
      </x:c>
      <x:c r="K1219" s="30" t="n">
        <x:v>46157</x:v>
      </x:c>
      <x:c r="L1219" s="24" t="str">
        <x:v>카드</x:v>
      </x:c>
      <x:c r="M1219" s="31" t="n">
        <x:f>IF(AND(N1219="미수",G1219&lt;&gt;"",TODAY()&gt;G1219),TODAY()-G1219,0)</x:f>
        <x:v>0</x:v>
      </x:c>
      <x:c r="N1219" s="24" t="str">
        <x:f>IF(J1219&gt;0,"미수",IF(AND(H1219&gt;0,I1219&gt;=H1219),"완납","미확인"))</x:f>
        <x:v>완납</x:v>
      </x:c>
      <x:c r="O1219" s="31" t="n">
        <x:v>58</x:v>
      </x:c>
    </x:row>
    <x:row r="1220" ht="17.25" customHeight="1">
      <x:c r="A1220" s="24" t="str">
        <x:v>SW-B-245고2473-202604</x:v>
      </x:c>
      <x:c r="B1220" s="24" t="str">
        <x:v>스위치플랜</x:v>
      </x:c>
      <x:c r="C1220" s="24" t="str">
        <x:v>SW-C-245고2473-1-20231213-57</x:v>
      </x:c>
      <x:c r="D1220" s="24" t="str">
        <x:v>245고2473</x:v>
      </x:c>
      <x:c r="E1220" s="24" t="str">
        <x:v>최윤형</x:v>
      </x:c>
      <x:c r="F1220" s="24" t="str">
        <x:v>2026-04</x:v>
      </x:c>
      <x:c r="G1220" s="30" t="n">
        <x:v>46127</x:v>
      </x:c>
      <x:c r="H1220" s="32" t="n">
        <x:v>460000</x:v>
      </x:c>
      <x:c r="I1220" s="32" t="n">
        <x:v>460000</x:v>
      </x:c>
      <x:c r="J1220" s="32" t="n">
        <x:v>0</x:v>
      </x:c>
      <x:c r="K1220" s="30" t="n">
        <x:v>46128</x:v>
      </x:c>
      <x:c r="L1220" s="24" t="str">
        <x:v>카드</x:v>
      </x:c>
      <x:c r="M1220" s="31" t="n">
        <x:f>IF(AND(N1220="미수",G1220&lt;&gt;"",TODAY()&gt;G1220),TODAY()-G1220,0)</x:f>
        <x:v>0</x:v>
      </x:c>
      <x:c r="N1220" s="24" t="str">
        <x:f>IF(J1220&gt;0,"미수",IF(AND(H1220&gt;0,I1220&gt;=H1220),"완납","미확인"))</x:f>
        <x:v>완납</x:v>
      </x:c>
      <x:c r="O1220" s="31" t="n">
        <x:v>58</x:v>
      </x:c>
    </x:row>
    <x:row r="1221" ht="17.25" customHeight="1">
      <x:c r="A1221" s="24" t="str">
        <x:v>SW-B-245고2473-202603</x:v>
      </x:c>
      <x:c r="B1221" s="24" t="str">
        <x:v>스위치플랜</x:v>
      </x:c>
      <x:c r="C1221" s="24" t="str">
        <x:v>SW-C-245고2473-1-20231213-57</x:v>
      </x:c>
      <x:c r="D1221" s="24" t="str">
        <x:v>245고2473</x:v>
      </x:c>
      <x:c r="E1221" s="24" t="str">
        <x:v>최윤형</x:v>
      </x:c>
      <x:c r="F1221" s="24" t="str">
        <x:v>2026-03</x:v>
      </x:c>
      <x:c r="G1221" s="30" t="n">
        <x:v>46096</x:v>
      </x:c>
      <x:c r="H1221" s="32" t="n">
        <x:v>460000</x:v>
      </x:c>
      <x:c r="I1221" s="32" t="n">
        <x:v>460000</x:v>
      </x:c>
      <x:c r="J1221" s="32" t="n">
        <x:v>0</x:v>
      </x:c>
      <x:c r="K1221" s="30" t="n">
        <x:v>46101</x:v>
      </x:c>
      <x:c r="L1221" s="24" t="str">
        <x:v>입금</x:v>
      </x:c>
      <x:c r="M1221" s="31" t="n">
        <x:f>IF(AND(N1221="미수",G1221&lt;&gt;"",TODAY()&gt;G1221),TODAY()-G1221,0)</x:f>
        <x:v>0</x:v>
      </x:c>
      <x:c r="N1221" s="24" t="str">
        <x:f>IF(J1221&gt;0,"미수",IF(AND(H1221&gt;0,I1221&gt;=H1221),"완납","미확인"))</x:f>
        <x:v>완납</x:v>
      </x:c>
      <x:c r="O1221" s="31" t="n">
        <x:v>58</x:v>
      </x:c>
    </x:row>
    <x:row r="1222" ht="17.25" customHeight="1">
      <x:c r="A1222" s="24" t="str">
        <x:v>SW-B-245고2473-202602</x:v>
      </x:c>
      <x:c r="B1222" s="24" t="str">
        <x:v>스위치플랜</x:v>
      </x:c>
      <x:c r="C1222" s="24" t="str">
        <x:v>SW-C-245고2473-1-20231213-57</x:v>
      </x:c>
      <x:c r="D1222" s="24" t="str">
        <x:v>245고2473</x:v>
      </x:c>
      <x:c r="E1222" s="24" t="str">
        <x:v>최윤형</x:v>
      </x:c>
      <x:c r="F1222" s="24" t="str">
        <x:v>2026-02</x:v>
      </x:c>
      <x:c r="G1222" s="30" t="n">
        <x:v>46068</x:v>
      </x:c>
      <x:c r="H1222" s="32" t="n">
        <x:v>405000</x:v>
      </x:c>
      <x:c r="I1222" s="32" t="n">
        <x:v>405000</x:v>
      </x:c>
      <x:c r="J1222" s="32" t="n">
        <x:v>0</x:v>
      </x:c>
      <x:c r="K1222" s="30" t="n">
        <x:v>46080</x:v>
      </x:c>
      <x:c r="L1222" s="24" t="str">
        <x:v>입금</x:v>
      </x:c>
      <x:c r="M1222" s="31" t="n">
        <x:f>IF(AND(N1222="미수",G1222&lt;&gt;"",TODAY()&gt;G1222),TODAY()-G1222,0)</x:f>
        <x:v>0</x:v>
      </x:c>
      <x:c r="N1222" s="24" t="str">
        <x:f>IF(J1222&gt;0,"미수",IF(AND(H1222&gt;0,I1222&gt;=H1222),"완납","미확인"))</x:f>
        <x:v>완납</x:v>
      </x:c>
      <x:c r="O1222" s="31" t="n">
        <x:v>58</x:v>
      </x:c>
    </x:row>
    <x:row r="1223" ht="17.25" customHeight="1">
      <x:c r="A1223" s="24" t="str">
        <x:v>SW-B-245고2473-202601</x:v>
      </x:c>
      <x:c r="B1223" s="24" t="str">
        <x:v>스위치플랜</x:v>
      </x:c>
      <x:c r="C1223" s="24" t="str">
        <x:v>SW-C-245고2473-1-20231213-57</x:v>
      </x:c>
      <x:c r="D1223" s="24" t="str">
        <x:v>245고2473</x:v>
      </x:c>
      <x:c r="E1223" s="24" t="str">
        <x:v>최윤형</x:v>
      </x:c>
      <x:c r="F1223" s="24" t="str">
        <x:v>2026-01</x:v>
      </x:c>
      <x:c r="G1223" s="30" t="n">
        <x:v>46037</x:v>
      </x:c>
      <x:c r="H1223" s="32" t="n">
        <x:v>460000</x:v>
      </x:c>
      <x:c r="I1223" s="32" t="n">
        <x:v>460000</x:v>
      </x:c>
      <x:c r="J1223" s="32" t="n">
        <x:v>0</x:v>
      </x:c>
      <x:c r="K1223" s="30" t="n">
        <x:v>46042</x:v>
      </x:c>
      <x:c r="L1223" s="24" t="str">
        <x:v>입금</x:v>
      </x:c>
      <x:c r="M1223" s="31" t="n">
        <x:f>IF(AND(N1223="미수",G1223&lt;&gt;"",TODAY()&gt;G1223),TODAY()-G1223,0)</x:f>
        <x:v>0</x:v>
      </x:c>
      <x:c r="N1223" s="24" t="str">
        <x:f>IF(J1223&gt;0,"미수",IF(AND(H1223&gt;0,I1223&gt;=H1223),"완납","미확인"))</x:f>
        <x:v>완납</x:v>
      </x:c>
      <x:c r="O1223" s="31" t="n">
        <x:v>58</x:v>
      </x:c>
    </x:row>
    <x:row r="1224" ht="17.25" customHeight="1">
      <x:c r="A1224" s="24" t="str">
        <x:v>SW-B-245고2473-202512</x:v>
      </x:c>
      <x:c r="B1224" s="24" t="str">
        <x:v>스위치플랜</x:v>
      </x:c>
      <x:c r="C1224" s="24" t="str">
        <x:v>SW-C-245고2473-1-20231213-57</x:v>
      </x:c>
      <x:c r="D1224" s="24" t="str">
        <x:v>245고2473</x:v>
      </x:c>
      <x:c r="E1224" s="24" t="str">
        <x:v>최윤형</x:v>
      </x:c>
      <x:c r="F1224" s="24" t="str">
        <x:v>2025-12</x:v>
      </x:c>
      <x:c r="G1224" s="30" t="n">
        <x:v>46006</x:v>
      </x:c>
      <x:c r="H1224" s="32" t="n">
        <x:v>460000</x:v>
      </x:c>
      <x:c r="I1224" s="32" t="n">
        <x:v>460000</x:v>
      </x:c>
      <x:c r="J1224" s="32" t="n">
        <x:v>0</x:v>
      </x:c>
      <x:c r="K1224" s="30" t="n">
        <x:v>46009</x:v>
      </x:c>
      <x:c r="L1224" s="24" t="str">
        <x:v>입금</x:v>
      </x:c>
      <x:c r="M1224" s="31" t="n">
        <x:f>IF(AND(N1224="미수",G1224&lt;&gt;"",TODAY()&gt;G1224),TODAY()-G1224,0)</x:f>
        <x:v>0</x:v>
      </x:c>
      <x:c r="N1224" s="24" t="str">
        <x:f>IF(J1224&gt;0,"미수",IF(AND(H1224&gt;0,I1224&gt;=H1224),"완납","미확인"))</x:f>
        <x:v>완납</x:v>
      </x:c>
      <x:c r="O1224" s="31" t="n">
        <x:v>58</x:v>
      </x:c>
    </x:row>
    <x:row r="1225" ht="17.25" customHeight="1">
      <x:c r="A1225" s="24" t="str">
        <x:v>SW-B-245고2473-202511</x:v>
      </x:c>
      <x:c r="B1225" s="24" t="str">
        <x:v>스위치플랜</x:v>
      </x:c>
      <x:c r="C1225" s="24" t="str">
        <x:v>SW-C-245고2473-1-20231213-57</x:v>
      </x:c>
      <x:c r="D1225" s="24" t="str">
        <x:v>245고2473</x:v>
      </x:c>
      <x:c r="E1225" s="24" t="str">
        <x:v>최윤형</x:v>
      </x:c>
      <x:c r="F1225" s="24" t="str">
        <x:v>2025-11</x:v>
      </x:c>
      <x:c r="G1225" s="30" t="n">
        <x:v>45976</x:v>
      </x:c>
      <x:c r="H1225" s="32" t="n">
        <x:v>460000</x:v>
      </x:c>
      <x:c r="I1225" s="32" t="n">
        <x:v>460000</x:v>
      </x:c>
      <x:c r="J1225" s="32" t="n">
        <x:v>0</x:v>
      </x:c>
      <x:c r="K1225" s="30" t="n">
        <x:v>45979</x:v>
      </x:c>
      <x:c r="L1225" s="24" t="str">
        <x:v>입금</x:v>
      </x:c>
      <x:c r="M1225" s="31" t="n">
        <x:f>IF(AND(N1225="미수",G1225&lt;&gt;"",TODAY()&gt;G1225),TODAY()-G1225,0)</x:f>
        <x:v>0</x:v>
      </x:c>
      <x:c r="N1225" s="24" t="str">
        <x:f>IF(J1225&gt;0,"미수",IF(AND(H1225&gt;0,I1225&gt;=H1225),"완납","미확인"))</x:f>
        <x:v>완납</x:v>
      </x:c>
      <x:c r="O1225" s="31" t="n">
        <x:v>58</x:v>
      </x:c>
    </x:row>
    <x:row r="1226" ht="17.25" customHeight="1">
      <x:c r="A1226" s="24" t="str">
        <x:v>SW-B-245고2473-202510</x:v>
      </x:c>
      <x:c r="B1226" s="24" t="str">
        <x:v>스위치플랜</x:v>
      </x:c>
      <x:c r="C1226" s="24" t="str">
        <x:v>SW-C-245고2473-1-20231213-57</x:v>
      </x:c>
      <x:c r="D1226" s="24" t="str">
        <x:v>245고2473</x:v>
      </x:c>
      <x:c r="E1226" s="24" t="str">
        <x:v>최윤형</x:v>
      </x:c>
      <x:c r="F1226" s="24" t="str">
        <x:v>2025-10</x:v>
      </x:c>
      <x:c r="G1226" s="30" t="n">
        <x:v>45945</x:v>
      </x:c>
      <x:c r="H1226" s="32" t="n">
        <x:v>460000</x:v>
      </x:c>
      <x:c r="I1226" s="32" t="n">
        <x:v>460000</x:v>
      </x:c>
      <x:c r="J1226" s="32" t="n">
        <x:v>0</x:v>
      </x:c>
      <x:c r="K1226" s="30" t="n">
        <x:v>45950</x:v>
      </x:c>
      <x:c r="L1226" s="24" t="str">
        <x:v>카드</x:v>
      </x:c>
      <x:c r="M1226" s="31" t="n">
        <x:f>IF(AND(N1226="미수",G1226&lt;&gt;"",TODAY()&gt;G1226),TODAY()-G1226,0)</x:f>
        <x:v>0</x:v>
      </x:c>
      <x:c r="N1226" s="24" t="str">
        <x:f>IF(J1226&gt;0,"미수",IF(AND(H1226&gt;0,I1226&gt;=H1226),"완납","미확인"))</x:f>
        <x:v>완납</x:v>
      </x:c>
      <x:c r="O1226" s="31" t="n">
        <x:v>58</x:v>
      </x:c>
    </x:row>
    <x:row r="1227" ht="17.25" customHeight="1">
      <x:c r="A1227" s="24" t="str">
        <x:v>SW-B-245고2473-202509</x:v>
      </x:c>
      <x:c r="B1227" s="24" t="str">
        <x:v>스위치플랜</x:v>
      </x:c>
      <x:c r="C1227" s="24" t="str">
        <x:v>SW-C-245고2473-1-20231213-57</x:v>
      </x:c>
      <x:c r="D1227" s="24" t="str">
        <x:v>245고2473</x:v>
      </x:c>
      <x:c r="E1227" s="24" t="str">
        <x:v>최윤형</x:v>
      </x:c>
      <x:c r="F1227" s="24" t="str">
        <x:v>2025-09</x:v>
      </x:c>
      <x:c r="G1227" s="30" t="n">
        <x:v>45915</x:v>
      </x:c>
      <x:c r="H1227" s="32" t="n">
        <x:v>460000</x:v>
      </x:c>
      <x:c r="I1227" s="32" t="n">
        <x:v>460000</x:v>
      </x:c>
      <x:c r="J1227" s="32" t="n">
        <x:v>0</x:v>
      </x:c>
      <x:c r="K1227" s="30" t="n">
        <x:v>45917</x:v>
      </x:c>
      <x:c r="L1227" s="24" t="str">
        <x:v>입금</x:v>
      </x:c>
      <x:c r="M1227" s="31" t="n">
        <x:f>IF(AND(N1227="미수",G1227&lt;&gt;"",TODAY()&gt;G1227),TODAY()-G1227,0)</x:f>
        <x:v>0</x:v>
      </x:c>
      <x:c r="N1227" s="24" t="str">
        <x:f>IF(J1227&gt;0,"미수",IF(AND(H1227&gt;0,I1227&gt;=H1227),"완납","미확인"))</x:f>
        <x:v>완납</x:v>
      </x:c>
      <x:c r="O1227" s="31" t="n">
        <x:v>58</x:v>
      </x:c>
    </x:row>
    <x:row r="1228" ht="17.25" customHeight="1">
      <x:c r="A1228" s="24" t="str">
        <x:v>SW-B-245고2473-202508</x:v>
      </x:c>
      <x:c r="B1228" s="24" t="str">
        <x:v>스위치플랜</x:v>
      </x:c>
      <x:c r="C1228" s="24" t="str">
        <x:v>SW-C-245고2473-1-20231213-57</x:v>
      </x:c>
      <x:c r="D1228" s="24" t="str">
        <x:v>245고2473</x:v>
      </x:c>
      <x:c r="E1228" s="24" t="str">
        <x:v>최윤형</x:v>
      </x:c>
      <x:c r="F1228" s="24" t="str">
        <x:v>2025-08</x:v>
      </x:c>
      <x:c r="G1228" s="30" t="n">
        <x:v>45884</x:v>
      </x:c>
      <x:c r="H1228" s="32" t="n">
        <x:v>460000</x:v>
      </x:c>
      <x:c r="I1228" s="32" t="n">
        <x:v>460000</x:v>
      </x:c>
      <x:c r="J1228" s="32" t="n">
        <x:v>0</x:v>
      </x:c>
      <x:c r="K1228" s="30" t="n">
        <x:v>45887</x:v>
      </x:c>
      <x:c r="L1228" s="24" t="str">
        <x:v>입금</x:v>
      </x:c>
      <x:c r="M1228" s="31" t="n">
        <x:f>IF(AND(N1228="미수",G1228&lt;&gt;"",TODAY()&gt;G1228),TODAY()-G1228,0)</x:f>
        <x:v>0</x:v>
      </x:c>
      <x:c r="N1228" s="24" t="str">
        <x:f>IF(J1228&gt;0,"미수",IF(AND(H1228&gt;0,I1228&gt;=H1228),"완납","미확인"))</x:f>
        <x:v>완납</x:v>
      </x:c>
      <x:c r="O1228" s="31" t="n">
        <x:v>58</x:v>
      </x:c>
    </x:row>
    <x:row r="1229" ht="17.25" customHeight="1">
      <x:c r="A1229" s="24" t="str">
        <x:v>SW-B-245고2473-202507</x:v>
      </x:c>
      <x:c r="B1229" s="24" t="str">
        <x:v>스위치플랜</x:v>
      </x:c>
      <x:c r="C1229" s="24" t="str">
        <x:v>SW-C-245고2473-1-20231213-57</x:v>
      </x:c>
      <x:c r="D1229" s="24" t="str">
        <x:v>245고2473</x:v>
      </x:c>
      <x:c r="E1229" s="24" t="str">
        <x:v>최윤형</x:v>
      </x:c>
      <x:c r="F1229" s="24" t="str">
        <x:v>2025-07</x:v>
      </x:c>
      <x:c r="G1229" s="30" t="n">
        <x:v>45853</x:v>
      </x:c>
      <x:c r="H1229" s="32" t="n">
        <x:v>460000</x:v>
      </x:c>
      <x:c r="I1229" s="32" t="n">
        <x:v>460000</x:v>
      </x:c>
      <x:c r="J1229" s="32" t="n">
        <x:v>0</x:v>
      </x:c>
      <x:c r="K1229" s="30" t="n">
        <x:v>45853</x:v>
      </x:c>
      <x:c r="L1229" s="24" t="str">
        <x:v>입금</x:v>
      </x:c>
      <x:c r="M1229" s="31" t="n">
        <x:f>IF(AND(N1229="미수",G1229&lt;&gt;"",TODAY()&gt;G1229),TODAY()-G1229,0)</x:f>
        <x:v>0</x:v>
      </x:c>
      <x:c r="N1229" s="24" t="str">
        <x:f>IF(J1229&gt;0,"미수",IF(AND(H1229&gt;0,I1229&gt;=H1229),"완납","미확인"))</x:f>
        <x:v>완납</x:v>
      </x:c>
      <x:c r="O1229" s="31" t="n">
        <x:v>58</x:v>
      </x:c>
    </x:row>
    <x:row r="1230" ht="17.25" customHeight="1">
      <x:c r="A1230" s="24" t="str">
        <x:v>SW-B-245고2473-202506</x:v>
      </x:c>
      <x:c r="B1230" s="24" t="str">
        <x:v>스위치플랜</x:v>
      </x:c>
      <x:c r="C1230" s="24" t="str">
        <x:v>SW-C-245고2473-1-20231213-57</x:v>
      </x:c>
      <x:c r="D1230" s="24" t="str">
        <x:v>245고2473</x:v>
      </x:c>
      <x:c r="E1230" s="24" t="str">
        <x:v>최윤형</x:v>
      </x:c>
      <x:c r="F1230" s="24" t="str">
        <x:v>2025-06</x:v>
      </x:c>
      <x:c r="G1230" s="30" t="n">
        <x:v>45823</x:v>
      </x:c>
      <x:c r="H1230" s="32" t="n">
        <x:v>460000</x:v>
      </x:c>
      <x:c r="I1230" s="32" t="n">
        <x:v>460000</x:v>
      </x:c>
      <x:c r="J1230" s="32" t="n">
        <x:v>0</x:v>
      </x:c>
      <x:c r="K1230" s="30" t="n">
        <x:v>45824</x:v>
      </x:c>
      <x:c r="L1230" s="24" t="str">
        <x:v>입금</x:v>
      </x:c>
      <x:c r="M1230" s="31" t="n">
        <x:f>IF(AND(N1230="미수",G1230&lt;&gt;"",TODAY()&gt;G1230),TODAY()-G1230,0)</x:f>
        <x:v>0</x:v>
      </x:c>
      <x:c r="N1230" s="24" t="str">
        <x:f>IF(J1230&gt;0,"미수",IF(AND(H1230&gt;0,I1230&gt;=H1230),"완납","미확인"))</x:f>
        <x:v>완납</x:v>
      </x:c>
      <x:c r="O1230" s="31" t="n">
        <x:v>58</x:v>
      </x:c>
    </x:row>
    <x:row r="1231" ht="17.25" customHeight="1">
      <x:c r="A1231" s="24" t="str">
        <x:v>SW-B-245고2473-202505</x:v>
      </x:c>
      <x:c r="B1231" s="24" t="str">
        <x:v>스위치플랜</x:v>
      </x:c>
      <x:c r="C1231" s="24" t="str">
        <x:v>SW-C-245고2473-1-20231213-57</x:v>
      </x:c>
      <x:c r="D1231" s="24" t="str">
        <x:v>245고2473</x:v>
      </x:c>
      <x:c r="E1231" s="24" t="str">
        <x:v>최윤형</x:v>
      </x:c>
      <x:c r="F1231" s="24" t="str">
        <x:v>2025-05</x:v>
      </x:c>
      <x:c r="G1231" s="30" t="n">
        <x:v>45792</x:v>
      </x:c>
      <x:c r="H1231" s="32" t="n">
        <x:v>460000</x:v>
      </x:c>
      <x:c r="I1231" s="32" t="n">
        <x:v>460000</x:v>
      </x:c>
      <x:c r="J1231" s="32" t="n">
        <x:v>0</x:v>
      </x:c>
      <x:c r="K1231" s="30" t="n">
        <x:v>45792</x:v>
      </x:c>
      <x:c r="L1231" s="24" t="str">
        <x:v>입금</x:v>
      </x:c>
      <x:c r="M1231" s="31" t="n">
        <x:f>IF(AND(N1231="미수",G1231&lt;&gt;"",TODAY()&gt;G1231),TODAY()-G1231,0)</x:f>
        <x:v>0</x:v>
      </x:c>
      <x:c r="N1231" s="24" t="str">
        <x:f>IF(J1231&gt;0,"미수",IF(AND(H1231&gt;0,I1231&gt;=H1231),"완납","미확인"))</x:f>
        <x:v>완납</x:v>
      </x:c>
      <x:c r="O1231" s="31" t="n">
        <x:v>58</x:v>
      </x:c>
    </x:row>
    <x:row r="1232" ht="17.25" customHeight="1">
      <x:c r="A1232" s="24" t="str">
        <x:v>SW-B-245고2473-202504</x:v>
      </x:c>
      <x:c r="B1232" s="24" t="str">
        <x:v>스위치플랜</x:v>
      </x:c>
      <x:c r="C1232" s="24" t="str">
        <x:v>SW-C-245고2473-1-20231213-57</x:v>
      </x:c>
      <x:c r="D1232" s="24" t="str">
        <x:v>245고2473</x:v>
      </x:c>
      <x:c r="E1232" s="24" t="str">
        <x:v>최윤형</x:v>
      </x:c>
      <x:c r="F1232" s="24" t="str">
        <x:v>2025-04</x:v>
      </x:c>
      <x:c r="G1232" s="30" t="n">
        <x:v>45762</x:v>
      </x:c>
      <x:c r="H1232" s="32" t="n">
        <x:v>390000</x:v>
      </x:c>
      <x:c r="I1232" s="32" t="n">
        <x:v>390000</x:v>
      </x:c>
      <x:c r="J1232" s="32" t="n">
        <x:v>0</x:v>
      </x:c>
      <x:c r="K1232" s="30" t="n">
        <x:v>45762</x:v>
      </x:c>
      <x:c r="L1232" s="24" t="str">
        <x:v>입금</x:v>
      </x:c>
      <x:c r="M1232" s="31" t="n">
        <x:f>IF(AND(N1232="미수",G1232&lt;&gt;"",TODAY()&gt;G1232),TODAY()-G1232,0)</x:f>
        <x:v>0</x:v>
      </x:c>
      <x:c r="N1232" s="24" t="str">
        <x:f>IF(J1232&gt;0,"미수",IF(AND(H1232&gt;0,I1232&gt;=H1232),"완납","미확인"))</x:f>
        <x:v>완납</x:v>
      </x:c>
      <x:c r="O1232" s="31" t="n">
        <x:v>58</x:v>
      </x:c>
    </x:row>
    <x:row r="1233" ht="17.25" customHeight="1">
      <x:c r="A1233" s="24" t="str">
        <x:v>SW-B-245고2473-202503</x:v>
      </x:c>
      <x:c r="B1233" s="24" t="str">
        <x:v>스위치플랜</x:v>
      </x:c>
      <x:c r="C1233" s="24" t="str">
        <x:v>SW-C-245고2473-1-20231213-57</x:v>
      </x:c>
      <x:c r="D1233" s="24" t="str">
        <x:v>245고2473</x:v>
      </x:c>
      <x:c r="E1233" s="24" t="str">
        <x:v>최윤형</x:v>
      </x:c>
      <x:c r="F1233" s="24" t="str">
        <x:v>2025-03</x:v>
      </x:c>
      <x:c r="G1233" s="30" t="n">
        <x:v>45731</x:v>
      </x:c>
      <x:c r="H1233" s="32" t="n">
        <x:v>460000</x:v>
      </x:c>
      <x:c r="I1233" s="32" t="n">
        <x:v>460000</x:v>
      </x:c>
      <x:c r="J1233" s="32" t="n">
        <x:v>0</x:v>
      </x:c>
      <x:c r="K1233" s="30" t="n">
        <x:v>45733</x:v>
      </x:c>
      <x:c r="L1233" s="24" t="str">
        <x:v>카드</x:v>
      </x:c>
      <x:c r="M1233" s="31" t="n">
        <x:f>IF(AND(N1233="미수",G1233&lt;&gt;"",TODAY()&gt;G1233),TODAY()-G1233,0)</x:f>
        <x:v>0</x:v>
      </x:c>
      <x:c r="N1233" s="24" t="str">
        <x:f>IF(J1233&gt;0,"미수",IF(AND(H1233&gt;0,I1233&gt;=H1233),"완납","미확인"))</x:f>
        <x:v>완납</x:v>
      </x:c>
      <x:c r="O1233" s="31" t="n">
        <x:v>58</x:v>
      </x:c>
    </x:row>
    <x:row r="1234" ht="17.25" customHeight="1">
      <x:c r="A1234" s="24" t="str">
        <x:v>SW-B-245고2473-202502</x:v>
      </x:c>
      <x:c r="B1234" s="24" t="str">
        <x:v>스위치플랜</x:v>
      </x:c>
      <x:c r="C1234" s="24" t="str">
        <x:v>SW-C-245고2473-1-20231213-57</x:v>
      </x:c>
      <x:c r="D1234" s="24" t="str">
        <x:v>245고2473</x:v>
      </x:c>
      <x:c r="E1234" s="24" t="str">
        <x:v>최윤형</x:v>
      </x:c>
      <x:c r="F1234" s="24" t="str">
        <x:v>2025-02</x:v>
      </x:c>
      <x:c r="G1234" s="30" t="n">
        <x:v>45703</x:v>
      </x:c>
      <x:c r="H1234" s="32" t="n">
        <x:v>460000</x:v>
      </x:c>
      <x:c r="I1234" s="32" t="n">
        <x:v>460000</x:v>
      </x:c>
      <x:c r="J1234" s="32" t="n">
        <x:v>0</x:v>
      </x:c>
      <x:c r="K1234" s="30" t="n">
        <x:v>45705</x:v>
      </x:c>
      <x:c r="L1234" s="24" t="str">
        <x:v>입금</x:v>
      </x:c>
      <x:c r="M1234" s="31" t="n">
        <x:f>IF(AND(N1234="미수",G1234&lt;&gt;"",TODAY()&gt;G1234),TODAY()-G1234,0)</x:f>
        <x:v>0</x:v>
      </x:c>
      <x:c r="N1234" s="24" t="str">
        <x:f>IF(J1234&gt;0,"미수",IF(AND(H1234&gt;0,I1234&gt;=H1234),"완납","미확인"))</x:f>
        <x:v>완납</x:v>
      </x:c>
      <x:c r="O1234" s="31" t="n">
        <x:v>58</x:v>
      </x:c>
    </x:row>
    <x:row r="1235" ht="17.25" customHeight="1">
      <x:c r="A1235" s="24" t="str">
        <x:v>SW-B-245고2473-202501</x:v>
      </x:c>
      <x:c r="B1235" s="24" t="str">
        <x:v>스위치플랜</x:v>
      </x:c>
      <x:c r="C1235" s="24" t="str">
        <x:v>SW-C-245고2473-1-20231213-57</x:v>
      </x:c>
      <x:c r="D1235" s="24" t="str">
        <x:v>245고2473</x:v>
      </x:c>
      <x:c r="E1235" s="24" t="str">
        <x:v>최윤형</x:v>
      </x:c>
      <x:c r="F1235" s="24" t="str">
        <x:v>2025-01</x:v>
      </x:c>
      <x:c r="G1235" s="30" t="n">
        <x:v>45672</x:v>
      </x:c>
      <x:c r="H1235" s="32" t="n">
        <x:v>420000</x:v>
      </x:c>
      <x:c r="I1235" s="32" t="n">
        <x:v>420000</x:v>
      </x:c>
      <x:c r="J1235" s="32" t="n">
        <x:v>0</x:v>
      </x:c>
      <x:c r="K1235" s="30" t="n">
        <x:v>45672</x:v>
      </x:c>
      <x:c r="L1235" s="24" t="str">
        <x:v>카드</x:v>
      </x:c>
      <x:c r="M1235" s="31" t="n">
        <x:f>IF(AND(N1235="미수",G1235&lt;&gt;"",TODAY()&gt;G1235),TODAY()-G1235,0)</x:f>
        <x:v>0</x:v>
      </x:c>
      <x:c r="N1235" s="24" t="str">
        <x:f>IF(J1235&gt;0,"미수",IF(AND(H1235&gt;0,I1235&gt;=H1235),"완납","미확인"))</x:f>
        <x:v>완납</x:v>
      </x:c>
      <x:c r="O1235" s="31" t="n">
        <x:v>58</x:v>
      </x:c>
    </x:row>
    <x:row r="1236" ht="17.25" customHeight="1">
      <x:c r="A1236" s="24" t="str">
        <x:v>SW-B-245고2473-202412</x:v>
      </x:c>
      <x:c r="B1236" s="24" t="str">
        <x:v>스위치플랜</x:v>
      </x:c>
      <x:c r="C1236" s="24" t="str">
        <x:v>SW-C-245고2473-1-20231213-57</x:v>
      </x:c>
      <x:c r="D1236" s="24" t="str">
        <x:v>245고2473</x:v>
      </x:c>
      <x:c r="E1236" s="24" t="str">
        <x:v>최윤형</x:v>
      </x:c>
      <x:c r="F1236" s="24" t="str">
        <x:v>2024-12</x:v>
      </x:c>
      <x:c r="G1236" s="30" t="n">
        <x:v>45641</x:v>
      </x:c>
      <x:c r="H1236" s="32" t="n">
        <x:v>460000</x:v>
      </x:c>
      <x:c r="I1236" s="32" t="n">
        <x:v>460000</x:v>
      </x:c>
      <x:c r="J1236" s="32" t="n">
        <x:v>0</x:v>
      </x:c>
      <x:c r="K1236" s="30" t="n">
        <x:v>45642</x:v>
      </x:c>
      <x:c r="L1236" s="24" t="str">
        <x:v>카드</x:v>
      </x:c>
      <x:c r="M1236" s="31" t="n">
        <x:f>IF(AND(N1236="미수",G1236&lt;&gt;"",TODAY()&gt;G1236),TODAY()-G1236,0)</x:f>
        <x:v>0</x:v>
      </x:c>
      <x:c r="N1236" s="24" t="str">
        <x:f>IF(J1236&gt;0,"미수",IF(AND(H1236&gt;0,I1236&gt;=H1236),"완납","미확인"))</x:f>
        <x:v>완납</x:v>
      </x:c>
      <x:c r="O1236" s="31" t="n">
        <x:v>58</x:v>
      </x:c>
    </x:row>
    <x:row r="1237" ht="17.25" customHeight="1">
      <x:c r="A1237" s="24" t="str">
        <x:v>SW-B-245고2473-202411</x:v>
      </x:c>
      <x:c r="B1237" s="24" t="str">
        <x:v>스위치플랜</x:v>
      </x:c>
      <x:c r="C1237" s="24" t="str">
        <x:v>SW-C-245고2473-1-20231213-57</x:v>
      </x:c>
      <x:c r="D1237" s="24" t="str">
        <x:v>245고2473</x:v>
      </x:c>
      <x:c r="E1237" s="24" t="str">
        <x:v>최윤형</x:v>
      </x:c>
      <x:c r="F1237" s="24" t="str">
        <x:v>2024-11</x:v>
      </x:c>
      <x:c r="G1237" s="30" t="n">
        <x:v>45611</x:v>
      </x:c>
      <x:c r="H1237" s="32" t="n">
        <x:v>460000</x:v>
      </x:c>
      <x:c r="I1237" s="32" t="n">
        <x:v>460000</x:v>
      </x:c>
      <x:c r="J1237" s="32" t="n">
        <x:v>0</x:v>
      </x:c>
      <x:c r="K1237" s="30" t="n">
        <x:v>45610</x:v>
      </x:c>
      <x:c r="L1237" s="24" t="str">
        <x:v>카드</x:v>
      </x:c>
      <x:c r="M1237" s="31" t="n">
        <x:f>IF(AND(N1237="미수",G1237&lt;&gt;"",TODAY()&gt;G1237),TODAY()-G1237,0)</x:f>
        <x:v>0</x:v>
      </x:c>
      <x:c r="N1237" s="24" t="str">
        <x:f>IF(J1237&gt;0,"미수",IF(AND(H1237&gt;0,I1237&gt;=H1237),"완납","미확인"))</x:f>
        <x:v>완납</x:v>
      </x:c>
      <x:c r="O1237" s="31" t="n">
        <x:v>58</x:v>
      </x:c>
    </x:row>
    <x:row r="1238" ht="17.25" customHeight="1">
      <x:c r="A1238" s="24" t="str">
        <x:v>SW-B-245고2473-202410</x:v>
      </x:c>
      <x:c r="B1238" s="24" t="str">
        <x:v>스위치플랜</x:v>
      </x:c>
      <x:c r="C1238" s="24" t="str">
        <x:v>SW-C-245고2473-1-20231213-57</x:v>
      </x:c>
      <x:c r="D1238" s="24" t="str">
        <x:v>245고2473</x:v>
      </x:c>
      <x:c r="E1238" s="24" t="str">
        <x:v>최윤형</x:v>
      </x:c>
      <x:c r="F1238" s="24" t="str">
        <x:v>2024-10</x:v>
      </x:c>
      <x:c r="G1238" s="30" t="n">
        <x:v>45580</x:v>
      </x:c>
      <x:c r="H1238" s="32" t="n">
        <x:v>460000</x:v>
      </x:c>
      <x:c r="I1238" s="32" t="n">
        <x:v>460000</x:v>
      </x:c>
      <x:c r="J1238" s="32" t="n">
        <x:v>0</x:v>
      </x:c>
      <x:c r="K1238" s="30" t="n">
        <x:v>45580</x:v>
      </x:c>
      <x:c r="L1238" s="24" t="str">
        <x:v>카드</x:v>
      </x:c>
      <x:c r="M1238" s="31" t="n">
        <x:f>IF(AND(N1238="미수",G1238&lt;&gt;"",TODAY()&gt;G1238),TODAY()-G1238,0)</x:f>
        <x:v>0</x:v>
      </x:c>
      <x:c r="N1238" s="24" t="str">
        <x:f>IF(J1238&gt;0,"미수",IF(AND(H1238&gt;0,I1238&gt;=H1238),"완납","미확인"))</x:f>
        <x:v>완납</x:v>
      </x:c>
      <x:c r="O1238" s="31" t="n">
        <x:v>58</x:v>
      </x:c>
    </x:row>
    <x:row r="1239" ht="17.25" customHeight="1">
      <x:c r="A1239" s="24" t="str">
        <x:v>SW-B-245고2473-202409</x:v>
      </x:c>
      <x:c r="B1239" s="24" t="str">
        <x:v>스위치플랜</x:v>
      </x:c>
      <x:c r="C1239" s="24" t="str">
        <x:v>SW-C-245고2473-1-20231213-57</x:v>
      </x:c>
      <x:c r="D1239" s="24" t="str">
        <x:v>245고2473</x:v>
      </x:c>
      <x:c r="E1239" s="24" t="str">
        <x:v>최윤형</x:v>
      </x:c>
      <x:c r="F1239" s="24" t="str">
        <x:v>2024-09</x:v>
      </x:c>
      <x:c r="G1239" s="30" t="n">
        <x:v>45550</x:v>
      </x:c>
      <x:c r="H1239" s="32" t="n">
        <x:v>460000</x:v>
      </x:c>
      <x:c r="I1239" s="32" t="n">
        <x:v>460000</x:v>
      </x:c>
      <x:c r="J1239" s="32" t="n">
        <x:v>0</x:v>
      </x:c>
      <x:c r="K1239" s="30" t="n">
        <x:v>45554</x:v>
      </x:c>
      <x:c r="L1239" s="24" t="str">
        <x:v>카드</x:v>
      </x:c>
      <x:c r="M1239" s="31" t="n">
        <x:f>IF(AND(N1239="미수",G1239&lt;&gt;"",TODAY()&gt;G1239),TODAY()-G1239,0)</x:f>
        <x:v>0</x:v>
      </x:c>
      <x:c r="N1239" s="24" t="str">
        <x:f>IF(J1239&gt;0,"미수",IF(AND(H1239&gt;0,I1239&gt;=H1239),"완납","미확인"))</x:f>
        <x:v>완납</x:v>
      </x:c>
      <x:c r="O1239" s="31" t="n">
        <x:v>58</x:v>
      </x:c>
    </x:row>
    <x:row r="1240" ht="17.25" customHeight="1">
      <x:c r="A1240" s="24" t="str">
        <x:v>SW-B-245고2473-202408</x:v>
      </x:c>
      <x:c r="B1240" s="24" t="str">
        <x:v>스위치플랜</x:v>
      </x:c>
      <x:c r="C1240" s="24" t="str">
        <x:v>SW-C-245고2473-1-20231213-57</x:v>
      </x:c>
      <x:c r="D1240" s="24" t="str">
        <x:v>245고2473</x:v>
      </x:c>
      <x:c r="E1240" s="24" t="str">
        <x:v>최윤형</x:v>
      </x:c>
      <x:c r="F1240" s="24" t="str">
        <x:v>2024-08</x:v>
      </x:c>
      <x:c r="G1240" s="30" t="n">
        <x:v>45519</x:v>
      </x:c>
      <x:c r="H1240" s="32" t="n">
        <x:v>460000</x:v>
      </x:c>
      <x:c r="I1240" s="32" t="n">
        <x:v>460000</x:v>
      </x:c>
      <x:c r="J1240" s="32" t="n">
        <x:v>0</x:v>
      </x:c>
      <x:c r="K1240" s="30" t="n">
        <x:v>45527</x:v>
      </x:c>
      <x:c r="L1240" s="24" t="str">
        <x:v>입금</x:v>
      </x:c>
      <x:c r="M1240" s="31" t="n">
        <x:f>IF(AND(N1240="미수",G1240&lt;&gt;"",TODAY()&gt;G1240),TODAY()-G1240,0)</x:f>
        <x:v>0</x:v>
      </x:c>
      <x:c r="N1240" s="24" t="str">
        <x:f>IF(J1240&gt;0,"미수",IF(AND(H1240&gt;0,I1240&gt;=H1240),"완납","미확인"))</x:f>
        <x:v>완납</x:v>
      </x:c>
      <x:c r="O1240" s="31" t="n">
        <x:v>58</x:v>
      </x:c>
    </x:row>
    <x:row r="1241" ht="17.25" customHeight="1">
      <x:c r="A1241" s="24" t="str">
        <x:v>SW-B-245고2473-202407</x:v>
      </x:c>
      <x:c r="B1241" s="24" t="str">
        <x:v>스위치플랜</x:v>
      </x:c>
      <x:c r="C1241" s="24" t="str">
        <x:v>SW-C-245고2473-1-20231213-57</x:v>
      </x:c>
      <x:c r="D1241" s="24" t="str">
        <x:v>245고2473</x:v>
      </x:c>
      <x:c r="E1241" s="24" t="str">
        <x:v>최윤형</x:v>
      </x:c>
      <x:c r="F1241" s="24" t="str">
        <x:v>2024-07</x:v>
      </x:c>
      <x:c r="G1241" s="30" t="n">
        <x:v>45488</x:v>
      </x:c>
      <x:c r="H1241" s="32" t="n">
        <x:v>460000</x:v>
      </x:c>
      <x:c r="I1241" s="32" t="n">
        <x:v>460000</x:v>
      </x:c>
      <x:c r="J1241" s="32" t="n">
        <x:v>0</x:v>
      </x:c>
      <x:c r="K1241" s="30" t="n">
        <x:v>45489</x:v>
      </x:c>
      <x:c r="L1241" s="24" t="str">
        <x:v>카드</x:v>
      </x:c>
      <x:c r="M1241" s="31" t="n">
        <x:f>IF(AND(N1241="미수",G1241&lt;&gt;"",TODAY()&gt;G1241),TODAY()-G1241,0)</x:f>
        <x:v>0</x:v>
      </x:c>
      <x:c r="N1241" s="24" t="str">
        <x:f>IF(J1241&gt;0,"미수",IF(AND(H1241&gt;0,I1241&gt;=H1241),"완납","미확인"))</x:f>
        <x:v>완납</x:v>
      </x:c>
      <x:c r="O1241" s="31" t="n">
        <x:v>58</x:v>
      </x:c>
    </x:row>
    <x:row r="1242" ht="17.25" customHeight="1">
      <x:c r="A1242" s="24" t="str">
        <x:v>SW-B-245고2473-202406</x:v>
      </x:c>
      <x:c r="B1242" s="24" t="str">
        <x:v>스위치플랜</x:v>
      </x:c>
      <x:c r="C1242" s="24" t="str">
        <x:v>SW-C-245고2473-1-20231213-57</x:v>
      </x:c>
      <x:c r="D1242" s="24" t="str">
        <x:v>245고2473</x:v>
      </x:c>
      <x:c r="E1242" s="24" t="str">
        <x:v>최윤형</x:v>
      </x:c>
      <x:c r="F1242" s="24" t="str">
        <x:v>2024-06</x:v>
      </x:c>
      <x:c r="G1242" s="30" t="n">
        <x:v>45458</x:v>
      </x:c>
      <x:c r="H1242" s="32" t="n">
        <x:v>460000</x:v>
      </x:c>
      <x:c r="I1242" s="32" t="n">
        <x:v>460000</x:v>
      </x:c>
      <x:c r="J1242" s="32" t="n">
        <x:v>0</x:v>
      </x:c>
      <x:c r="K1242" s="30" t="n">
        <x:v>45457</x:v>
      </x:c>
      <x:c r="L1242" s="24" t="str">
        <x:v>카드</x:v>
      </x:c>
      <x:c r="M1242" s="31" t="n">
        <x:f>IF(AND(N1242="미수",G1242&lt;&gt;"",TODAY()&gt;G1242),TODAY()-G1242,0)</x:f>
        <x:v>0</x:v>
      </x:c>
      <x:c r="N1242" s="24" t="str">
        <x:f>IF(J1242&gt;0,"미수",IF(AND(H1242&gt;0,I1242&gt;=H1242),"완납","미확인"))</x:f>
        <x:v>완납</x:v>
      </x:c>
      <x:c r="O1242" s="31" t="n">
        <x:v>58</x:v>
      </x:c>
    </x:row>
    <x:row r="1243" ht="17.25" customHeight="1">
      <x:c r="A1243" s="24" t="str">
        <x:v>SW-B-245고2473-202405</x:v>
      </x:c>
      <x:c r="B1243" s="24" t="str">
        <x:v>스위치플랜</x:v>
      </x:c>
      <x:c r="C1243" s="24" t="str">
        <x:v>SW-C-245고2473-1-20231213-57</x:v>
      </x:c>
      <x:c r="D1243" s="24" t="str">
        <x:v>245고2473</x:v>
      </x:c>
      <x:c r="E1243" s="24" t="str">
        <x:v>최윤형</x:v>
      </x:c>
      <x:c r="F1243" s="24" t="str">
        <x:v>2024-05</x:v>
      </x:c>
      <x:c r="G1243" s="30" t="n">
        <x:v>45427</x:v>
      </x:c>
      <x:c r="H1243" s="32" t="n">
        <x:v>460000</x:v>
      </x:c>
      <x:c r="I1243" s="32" t="n">
        <x:v>460000</x:v>
      </x:c>
      <x:c r="J1243" s="32" t="n">
        <x:v>0</x:v>
      </x:c>
      <x:c r="K1243" s="30" t="n">
        <x:v>45428</x:v>
      </x:c>
      <x:c r="L1243" s="24" t="str">
        <x:v>카드</x:v>
      </x:c>
      <x:c r="M1243" s="31" t="n">
        <x:f>IF(AND(N1243="미수",G1243&lt;&gt;"",TODAY()&gt;G1243),TODAY()-G1243,0)</x:f>
        <x:v>0</x:v>
      </x:c>
      <x:c r="N1243" s="24" t="str">
        <x:f>IF(J1243&gt;0,"미수",IF(AND(H1243&gt;0,I1243&gt;=H1243),"완납","미확인"))</x:f>
        <x:v>완납</x:v>
      </x:c>
      <x:c r="O1243" s="31" t="n">
        <x:v>58</x:v>
      </x:c>
    </x:row>
    <x:row r="1244" ht="17.25" customHeight="1">
      <x:c r="A1244" s="24" t="str">
        <x:v>SW-B-245고2473-202404</x:v>
      </x:c>
      <x:c r="B1244" s="24" t="str">
        <x:v>스위치플랜</x:v>
      </x:c>
      <x:c r="C1244" s="24" t="str">
        <x:v>SW-C-245고2473-1-20231213-57</x:v>
      </x:c>
      <x:c r="D1244" s="24" t="str">
        <x:v>245고2473</x:v>
      </x:c>
      <x:c r="E1244" s="24" t="str">
        <x:v>최윤형</x:v>
      </x:c>
      <x:c r="F1244" s="24" t="str">
        <x:v>2024-04</x:v>
      </x:c>
      <x:c r="G1244" s="30" t="n">
        <x:v>45397</x:v>
      </x:c>
      <x:c r="H1244" s="32" t="n">
        <x:v>460000</x:v>
      </x:c>
      <x:c r="I1244" s="32" t="n">
        <x:v>460000</x:v>
      </x:c>
      <x:c r="J1244" s="32" t="n">
        <x:v>0</x:v>
      </x:c>
      <x:c r="K1244" s="30" t="n">
        <x:v>45397</x:v>
      </x:c>
      <x:c r="L1244" s="24" t="str">
        <x:v>카드</x:v>
      </x:c>
      <x:c r="M1244" s="31" t="n">
        <x:f>IF(AND(N1244="미수",G1244&lt;&gt;"",TODAY()&gt;G1244),TODAY()-G1244,0)</x:f>
        <x:v>0</x:v>
      </x:c>
      <x:c r="N1244" s="24" t="str">
        <x:f>IF(J1244&gt;0,"미수",IF(AND(H1244&gt;0,I1244&gt;=H1244),"완납","미확인"))</x:f>
        <x:v>완납</x:v>
      </x:c>
      <x:c r="O1244" s="31" t="n">
        <x:v>58</x:v>
      </x:c>
    </x:row>
    <x:row r="1245" ht="17.25" customHeight="1">
      <x:c r="A1245" s="24" t="str">
        <x:v>SW-B-245고2473-202403</x:v>
      </x:c>
      <x:c r="B1245" s="24" t="str">
        <x:v>스위치플랜</x:v>
      </x:c>
      <x:c r="C1245" s="24" t="str">
        <x:v>SW-C-245고2473-1-20231213-57</x:v>
      </x:c>
      <x:c r="D1245" s="24" t="str">
        <x:v>245고2473</x:v>
      </x:c>
      <x:c r="E1245" s="24" t="str">
        <x:v>최윤형</x:v>
      </x:c>
      <x:c r="F1245" s="24" t="str">
        <x:v>2024-03</x:v>
      </x:c>
      <x:c r="G1245" s="30" t="n">
        <x:v>45366</x:v>
      </x:c>
      <x:c r="H1245" s="32" t="n">
        <x:v>460000</x:v>
      </x:c>
      <x:c r="I1245" s="32" t="n">
        <x:v>460000</x:v>
      </x:c>
      <x:c r="J1245" s="32" t="n">
        <x:v>0</x:v>
      </x:c>
      <x:c r="K1245" s="30" t="n">
        <x:v>45366</x:v>
      </x:c>
      <x:c r="L1245" s="24" t="str">
        <x:v>입금</x:v>
      </x:c>
      <x:c r="M1245" s="31" t="n">
        <x:f>IF(AND(N1245="미수",G1245&lt;&gt;"",TODAY()&gt;G1245),TODAY()-G1245,0)</x:f>
        <x:v>0</x:v>
      </x:c>
      <x:c r="N1245" s="24" t="str">
        <x:f>IF(J1245&gt;0,"미수",IF(AND(H1245&gt;0,I1245&gt;=H1245),"완납","미확인"))</x:f>
        <x:v>완납</x:v>
      </x:c>
      <x:c r="O1245" s="31" t="n">
        <x:v>58</x:v>
      </x:c>
    </x:row>
    <x:row r="1246" ht="17.25" customHeight="1">
      <x:c r="A1246" s="24" t="str">
        <x:v>SW-B-245고2473-202402</x:v>
      </x:c>
      <x:c r="B1246" s="24" t="str">
        <x:v>스위치플랜</x:v>
      </x:c>
      <x:c r="C1246" s="24" t="str">
        <x:v>SW-C-245고2473-1-20231213-57</x:v>
      </x:c>
      <x:c r="D1246" s="24" t="str">
        <x:v>245고2473</x:v>
      </x:c>
      <x:c r="E1246" s="24" t="str">
        <x:v>최윤형</x:v>
      </x:c>
      <x:c r="F1246" s="24" t="str">
        <x:v>2024-02</x:v>
      </x:c>
      <x:c r="G1246" s="30" t="n">
        <x:v>45337</x:v>
      </x:c>
      <x:c r="H1246" s="32" t="n">
        <x:v>460000</x:v>
      </x:c>
      <x:c r="I1246" s="32" t="n">
        <x:v>460000</x:v>
      </x:c>
      <x:c r="J1246" s="32" t="n">
        <x:v>0</x:v>
      </x:c>
      <x:c r="K1246" s="30" t="n">
        <x:v>45337</x:v>
      </x:c>
      <x:c r="L1246" s="24" t="str">
        <x:v>자동</x:v>
      </x:c>
      <x:c r="M1246" s="31" t="n">
        <x:f>IF(AND(N1246="미수",G1246&lt;&gt;"",TODAY()&gt;G1246),TODAY()-G1246,0)</x:f>
        <x:v>0</x:v>
      </x:c>
      <x:c r="N1246" s="24" t="str">
        <x:f>IF(J1246&gt;0,"미수",IF(AND(H1246&gt;0,I1246&gt;=H1246),"완납","미확인"))</x:f>
        <x:v>완납</x:v>
      </x:c>
      <x:c r="O1246" s="31" t="n">
        <x:v>58</x:v>
      </x:c>
    </x:row>
    <x:row r="1247" ht="17.25" customHeight="1">
      <x:c r="A1247" s="24" t="str">
        <x:v>SW-B-245고2473-202401</x:v>
      </x:c>
      <x:c r="B1247" s="24" t="str">
        <x:v>스위치플랜</x:v>
      </x:c>
      <x:c r="C1247" s="24" t="str">
        <x:v>SW-C-245고2473-1-20231213-57</x:v>
      </x:c>
      <x:c r="D1247" s="24" t="str">
        <x:v>245고2473</x:v>
      </x:c>
      <x:c r="E1247" s="24" t="str">
        <x:v>최윤형</x:v>
      </x:c>
      <x:c r="F1247" s="24" t="str">
        <x:v>2024-01</x:v>
      </x:c>
      <x:c r="G1247" s="30" t="n">
        <x:v>45306</x:v>
      </x:c>
      <x:c r="H1247" s="32" t="n">
        <x:v>460000</x:v>
      </x:c>
      <x:c r="I1247" s="32" t="n">
        <x:v>460000</x:v>
      </x:c>
      <x:c r="J1247" s="32" t="n">
        <x:v>0</x:v>
      </x:c>
      <x:c r="K1247" s="30" t="n">
        <x:v>45308</x:v>
      </x:c>
      <x:c r="L1247" s="24" t="str">
        <x:v>카드</x:v>
      </x:c>
      <x:c r="M1247" s="31" t="n">
        <x:f>IF(AND(N1247="미수",G1247&lt;&gt;"",TODAY()&gt;G1247),TODAY()-G1247,0)</x:f>
        <x:v>0</x:v>
      </x:c>
      <x:c r="N1247" s="24" t="str">
        <x:f>IF(J1247&gt;0,"미수",IF(AND(H1247&gt;0,I1247&gt;=H1247),"완납","미확인"))</x:f>
        <x:v>완납</x:v>
      </x:c>
      <x:c r="O1247" s="31" t="n">
        <x:v>58</x:v>
      </x:c>
    </x:row>
    <x:row r="1248" ht="17.25" customHeight="1">
      <x:c r="A1248" s="24" t="str">
        <x:v>SW-B-245고2473-202312</x:v>
      </x:c>
      <x:c r="B1248" s="24" t="str">
        <x:v>스위치플랜</x:v>
      </x:c>
      <x:c r="C1248" s="24" t="str">
        <x:v>SW-C-245고2473-1-20231213-57</x:v>
      </x:c>
      <x:c r="D1248" s="24" t="str">
        <x:v>245고2473</x:v>
      </x:c>
      <x:c r="E1248" s="24" t="str">
        <x:v>최윤형</x:v>
      </x:c>
      <x:c r="F1248" s="24" t="str">
        <x:v>2023-12</x:v>
      </x:c>
      <x:c r="G1248" s="30" t="n">
        <x:v>45275</x:v>
      </x:c>
      <x:c r="H1248" s="32" t="n">
        <x:v>460000</x:v>
      </x:c>
      <x:c r="I1248" s="32" t="n">
        <x:v>460000</x:v>
      </x:c>
      <x:c r="J1248" s="32" t="n">
        <x:v>0</x:v>
      </x:c>
      <x:c r="K1248" s="30" t="n">
        <x:v>45266</x:v>
      </x:c>
      <x:c r="L1248" s="24" t="str">
        <x:v>입금</x:v>
      </x:c>
      <x:c r="M1248" s="31" t="n">
        <x:f>IF(AND(N1248="미수",G1248&lt;&gt;"",TODAY()&gt;G1248),TODAY()-G1248,0)</x:f>
        <x:v>0</x:v>
      </x:c>
      <x:c r="N1248" s="24" t="str">
        <x:f>IF(J1248&gt;0,"미수",IF(AND(H1248&gt;0,I1248&gt;=H1248),"완납","미확인"))</x:f>
        <x:v>완납</x:v>
      </x:c>
      <x:c r="O1248" s="31" t="n">
        <x:v>58</x:v>
      </x:c>
    </x:row>
    <x:row r="1249" ht="17.25" customHeight="1">
      <x:c r="A1249" s="24" t="str">
        <x:v>SW-B-204나2940-202608</x:v>
      </x:c>
      <x:c r="B1249" s="24" t="str">
        <x:v>스위치플랜</x:v>
      </x:c>
      <x:c r="C1249" s="24" t="str">
        <x:v>SW-C-204나2940-1-NA-59</x:v>
      </x:c>
      <x:c r="D1249" s="24" t="str">
        <x:v>204나2940</x:v>
      </x:c>
      <x:c r="E1249" s="24" t="str"/>
      <x:c r="F1249" s="24" t="str">
        <x:v>2026-08</x:v>
      </x:c>
      <x:c r="G1249" s="30"/>
      <x:c r="H1249" s="32" t="n">
        <x:v>0</x:v>
      </x:c>
      <x:c r="I1249" s="32"/>
      <x:c r="J1249" s="32" t="n">
        <x:v>0</x:v>
      </x:c>
      <x:c r="K1249" s="30"/>
      <x:c r="L1249" s="24" t="str"/>
      <x:c r="M1249" s="31" t="n">
        <x:f>IF(AND(N1249="미수",G1249&lt;&gt;"",TODAY()&gt;G1249),TODAY()-G1249,0)</x:f>
        <x:v>0</x:v>
      </x:c>
      <x:c r="N1249" s="24" t="str">
        <x:f>IF(J1249&gt;0,"미수",IF(AND(H1249&gt;0,I1249&gt;=H1249),"완납","미확인"))</x:f>
        <x:v>미확인</x:v>
      </x:c>
      <x:c r="O1249" s="31" t="n">
        <x:v>59</x:v>
      </x:c>
    </x:row>
    <x:row r="1250" ht="17.25" customHeight="1">
      <x:c r="A1250" s="24" t="str">
        <x:v>SW-B-204나2940-202607</x:v>
      </x:c>
      <x:c r="B1250" s="24" t="str">
        <x:v>스위치플랜</x:v>
      </x:c>
      <x:c r="C1250" s="24" t="str">
        <x:v>SW-C-204나2940-1-NA-59</x:v>
      </x:c>
      <x:c r="D1250" s="24" t="str">
        <x:v>204나2940</x:v>
      </x:c>
      <x:c r="E1250" s="24" t="str"/>
      <x:c r="F1250" s="24" t="str">
        <x:v>2026-07</x:v>
      </x:c>
      <x:c r="G1250" s="30"/>
      <x:c r="H1250" s="32" t="n">
        <x:v>0</x:v>
      </x:c>
      <x:c r="I1250" s="32"/>
      <x:c r="J1250" s="32" t="n">
        <x:v>0</x:v>
      </x:c>
      <x:c r="K1250" s="30"/>
      <x:c r="L1250" s="24" t="str"/>
      <x:c r="M1250" s="31" t="n">
        <x:f>IF(AND(N1250="미수",G1250&lt;&gt;"",TODAY()&gt;G1250),TODAY()-G1250,0)</x:f>
        <x:v>0</x:v>
      </x:c>
      <x:c r="N1250" s="24" t="str">
        <x:f>IF(J1250&gt;0,"미수",IF(AND(H1250&gt;0,I1250&gt;=H1250),"완납","미확인"))</x:f>
        <x:v>미확인</x:v>
      </x:c>
      <x:c r="O1250" s="31" t="n">
        <x:v>59</x:v>
      </x:c>
    </x:row>
    <x:row r="1251" ht="17.25" customHeight="1">
      <x:c r="A1251" s="24" t="str">
        <x:v>SW-B-204나2940-202606</x:v>
      </x:c>
      <x:c r="B1251" s="24" t="str">
        <x:v>스위치플랜</x:v>
      </x:c>
      <x:c r="C1251" s="24" t="str">
        <x:v>SW-C-204나2940-1-NA-59</x:v>
      </x:c>
      <x:c r="D1251" s="24" t="str">
        <x:v>204나2940</x:v>
      </x:c>
      <x:c r="E1251" s="24" t="str"/>
      <x:c r="F1251" s="24" t="str">
        <x:v>2026-06</x:v>
      </x:c>
      <x:c r="G1251" s="30"/>
      <x:c r="H1251" s="32" t="n">
        <x:v>690000</x:v>
      </x:c>
      <x:c r="I1251" s="32"/>
      <x:c r="J1251" s="32" t="n">
        <x:v>690000</x:v>
      </x:c>
      <x:c r="K1251" s="30"/>
      <x:c r="L1251" s="24" t="str"/>
      <x:c r="M1251" s="31" t="n">
        <x:f>IF(AND(N1251="미수",G1251&lt;&gt;"",TODAY()&gt;G1251),TODAY()-G1251,0)</x:f>
        <x:v>0</x:v>
      </x:c>
      <x:c r="N1251" s="24" t="str">
        <x:f>IF(J1251&gt;0,"미수",IF(AND(H1251&gt;0,I1251&gt;=H1251),"완납","미확인"))</x:f>
        <x:v>미수</x:v>
      </x:c>
      <x:c r="O1251" s="31" t="n">
        <x:v>59</x:v>
      </x:c>
    </x:row>
    <x:row r="1252" ht="17.25" customHeight="1">
      <x:c r="A1252" s="24" t="str">
        <x:v>SW-B-204나2940-202605</x:v>
      </x:c>
      <x:c r="B1252" s="24" t="str">
        <x:v>스위치플랜</x:v>
      </x:c>
      <x:c r="C1252" s="24" t="str">
        <x:v>SW-C-204나2940-1-NA-59</x:v>
      </x:c>
      <x:c r="D1252" s="24" t="str">
        <x:v>204나2940</x:v>
      </x:c>
      <x:c r="E1252" s="24" t="str"/>
      <x:c r="F1252" s="24" t="str">
        <x:v>2026-05</x:v>
      </x:c>
      <x:c r="G1252" s="30"/>
      <x:c r="H1252" s="32" t="n">
        <x:v>690000</x:v>
      </x:c>
      <x:c r="I1252" s="32" t="n">
        <x:v>690000</x:v>
      </x:c>
      <x:c r="J1252" s="32" t="n">
        <x:v>0</x:v>
      </x:c>
      <x:c r="K1252" s="30" t="n">
        <x:v>46155</x:v>
      </x:c>
      <x:c r="L1252" s="24" t="str">
        <x:v>입금</x:v>
      </x:c>
      <x:c r="M1252" s="31" t="n">
        <x:f>IF(AND(N1252="미수",G1252&lt;&gt;"",TODAY()&gt;G1252),TODAY()-G1252,0)</x:f>
        <x:v>0</x:v>
      </x:c>
      <x:c r="N1252" s="24" t="str">
        <x:f>IF(J1252&gt;0,"미수",IF(AND(H1252&gt;0,I1252&gt;=H1252),"완납","미확인"))</x:f>
        <x:v>완납</x:v>
      </x:c>
      <x:c r="O1252" s="31" t="n">
        <x:v>59</x:v>
      </x:c>
    </x:row>
    <x:row r="1253" ht="17.25" customHeight="1">
      <x:c r="A1253" s="24" t="str">
        <x:v>SW-B-204나2940-202604</x:v>
      </x:c>
      <x:c r="B1253" s="24" t="str">
        <x:v>스위치플랜</x:v>
      </x:c>
      <x:c r="C1253" s="24" t="str">
        <x:v>SW-C-204나2940-1-NA-59</x:v>
      </x:c>
      <x:c r="D1253" s="24" t="str">
        <x:v>204나2940</x:v>
      </x:c>
      <x:c r="E1253" s="24" t="str"/>
      <x:c r="F1253" s="24" t="str">
        <x:v>2026-04</x:v>
      </x:c>
      <x:c r="G1253" s="30"/>
      <x:c r="H1253" s="32" t="n">
        <x:v>690000</x:v>
      </x:c>
      <x:c r="I1253" s="32" t="n">
        <x:v>690000</x:v>
      </x:c>
      <x:c r="J1253" s="32" t="n">
        <x:v>0</x:v>
      </x:c>
      <x:c r="K1253" s="30" t="n">
        <x:v>46135</x:v>
      </x:c>
      <x:c r="L1253" s="24" t="str">
        <x:v>입금</x:v>
      </x:c>
      <x:c r="M1253" s="31" t="n">
        <x:f>IF(AND(N1253="미수",G1253&lt;&gt;"",TODAY()&gt;G1253),TODAY()-G1253,0)</x:f>
        <x:v>0</x:v>
      </x:c>
      <x:c r="N1253" s="24" t="str">
        <x:f>IF(J1253&gt;0,"미수",IF(AND(H1253&gt;0,I1253&gt;=H1253),"완납","미확인"))</x:f>
        <x:v>완납</x:v>
      </x:c>
      <x:c r="O1253" s="31" t="n">
        <x:v>59</x:v>
      </x:c>
    </x:row>
    <x:row r="1254" ht="17.25" customHeight="1">
      <x:c r="A1254" s="24" t="str">
        <x:v>SW-B-204나2940-202603</x:v>
      </x:c>
      <x:c r="B1254" s="24" t="str">
        <x:v>스위치플랜</x:v>
      </x:c>
      <x:c r="C1254" s="24" t="str">
        <x:v>SW-C-204나2940-1-NA-59</x:v>
      </x:c>
      <x:c r="D1254" s="24" t="str">
        <x:v>204나2940</x:v>
      </x:c>
      <x:c r="E1254" s="24" t="str"/>
      <x:c r="F1254" s="24" t="str">
        <x:v>2026-03</x:v>
      </x:c>
      <x:c r="G1254" s="30"/>
      <x:c r="H1254" s="32" t="n">
        <x:v>690000</x:v>
      </x:c>
      <x:c r="I1254" s="32" t="n">
        <x:v>690000</x:v>
      </x:c>
      <x:c r="J1254" s="32" t="n">
        <x:v>0</x:v>
      </x:c>
      <x:c r="K1254" s="30" t="n">
        <x:v>46100</x:v>
      </x:c>
      <x:c r="L1254" s="24" t="str">
        <x:v>입금</x:v>
      </x:c>
      <x:c r="M1254" s="31" t="n">
        <x:f>IF(AND(N1254="미수",G1254&lt;&gt;"",TODAY()&gt;G1254),TODAY()-G1254,0)</x:f>
        <x:v>0</x:v>
      </x:c>
      <x:c r="N1254" s="24" t="str">
        <x:f>IF(J1254&gt;0,"미수",IF(AND(H1254&gt;0,I1254&gt;=H1254),"완납","미확인"))</x:f>
        <x:v>완납</x:v>
      </x:c>
      <x:c r="O1254" s="31" t="n">
        <x:v>59</x:v>
      </x:c>
    </x:row>
    <x:row r="1255" ht="17.25" customHeight="1">
      <x:c r="A1255" s="24" t="str">
        <x:v>SW-B-204나2940-202602</x:v>
      </x:c>
      <x:c r="B1255" s="24" t="str">
        <x:v>스위치플랜</x:v>
      </x:c>
      <x:c r="C1255" s="24" t="str">
        <x:v>SW-C-204나2940-1-NA-59</x:v>
      </x:c>
      <x:c r="D1255" s="24" t="str">
        <x:v>204나2940</x:v>
      </x:c>
      <x:c r="E1255" s="24" t="str"/>
      <x:c r="F1255" s="24" t="str">
        <x:v>2026-02</x:v>
      </x:c>
      <x:c r="G1255" s="30"/>
      <x:c r="H1255" s="32" t="n">
        <x:v>690000</x:v>
      </x:c>
      <x:c r="I1255" s="32" t="n">
        <x:v>690000</x:v>
      </x:c>
      <x:c r="J1255" s="32" t="n">
        <x:v>0</x:v>
      </x:c>
      <x:c r="K1255" s="30" t="n">
        <x:v>46073</x:v>
      </x:c>
      <x:c r="L1255" s="24" t="str">
        <x:v>입금</x:v>
      </x:c>
      <x:c r="M1255" s="31" t="n">
        <x:f>IF(AND(N1255="미수",G1255&lt;&gt;"",TODAY()&gt;G1255),TODAY()-G1255,0)</x:f>
        <x:v>0</x:v>
      </x:c>
      <x:c r="N1255" s="24" t="str">
        <x:f>IF(J1255&gt;0,"미수",IF(AND(H1255&gt;0,I1255&gt;=H1255),"완납","미확인"))</x:f>
        <x:v>완납</x:v>
      </x:c>
      <x:c r="O1255" s="31" t="n">
        <x:v>59</x:v>
      </x:c>
    </x:row>
    <x:row r="1256" ht="17.25" customHeight="1">
      <x:c r="A1256" s="24" t="str">
        <x:v>SW-B-204나2940-202601</x:v>
      </x:c>
      <x:c r="B1256" s="24" t="str">
        <x:v>스위치플랜</x:v>
      </x:c>
      <x:c r="C1256" s="24" t="str">
        <x:v>SW-C-204나2940-1-NA-59</x:v>
      </x:c>
      <x:c r="D1256" s="24" t="str">
        <x:v>204나2940</x:v>
      </x:c>
      <x:c r="E1256" s="24" t="str"/>
      <x:c r="F1256" s="24" t="str">
        <x:v>2026-01</x:v>
      </x:c>
      <x:c r="G1256" s="30"/>
      <x:c r="H1256" s="32" t="n">
        <x:v>690000</x:v>
      </x:c>
      <x:c r="I1256" s="32" t="n">
        <x:v>690000</x:v>
      </x:c>
      <x:c r="J1256" s="32" t="n">
        <x:v>-10000</x:v>
      </x:c>
      <x:c r="K1256" s="30" t="n">
        <x:v>46034</x:v>
      </x:c>
      <x:c r="L1256" s="24" t="str">
        <x:v>자동</x:v>
      </x:c>
      <x:c r="M1256" s="31" t="n">
        <x:f>IF(AND(N1256="미수",G1256&lt;&gt;"",TODAY()&gt;G1256),TODAY()-G1256,0)</x:f>
        <x:v>0</x:v>
      </x:c>
      <x:c r="N1256" s="24" t="str">
        <x:f>IF(J1256&gt;0,"미수",IF(AND(H1256&gt;0,I1256&gt;=H1256),"완납","미확인"))</x:f>
        <x:v>완납</x:v>
      </x:c>
      <x:c r="O1256" s="31" t="n">
        <x:v>59</x:v>
      </x:c>
    </x:row>
    <x:row r="1257" ht="17.25" customHeight="1">
      <x:c r="A1257" s="24" t="str">
        <x:v>SW-B-204나2940-202512</x:v>
      </x:c>
      <x:c r="B1257" s="24" t="str">
        <x:v>스위치플랜</x:v>
      </x:c>
      <x:c r="C1257" s="24" t="str">
        <x:v>SW-C-204나2940-1-NA-59</x:v>
      </x:c>
      <x:c r="D1257" s="24" t="str">
        <x:v>204나2940</x:v>
      </x:c>
      <x:c r="E1257" s="24" t="str"/>
      <x:c r="F1257" s="24" t="str">
        <x:v>2025-12</x:v>
      </x:c>
      <x:c r="G1257" s="30"/>
      <x:c r="H1257" s="32" t="n">
        <x:v>690000</x:v>
      </x:c>
      <x:c r="I1257" s="32" t="n">
        <x:v>690000</x:v>
      </x:c>
      <x:c r="J1257" s="32" t="n">
        <x:v>-10000</x:v>
      </x:c>
      <x:c r="K1257" s="30" t="n">
        <x:v>46006</x:v>
      </x:c>
      <x:c r="L1257" s="24" t="str">
        <x:v>입금</x:v>
      </x:c>
      <x:c r="M1257" s="31" t="n">
        <x:f>IF(AND(N1257="미수",G1257&lt;&gt;"",TODAY()&gt;G1257),TODAY()-G1257,0)</x:f>
        <x:v>0</x:v>
      </x:c>
      <x:c r="N1257" s="24" t="str">
        <x:f>IF(J1257&gt;0,"미수",IF(AND(H1257&gt;0,I1257&gt;=H1257),"완납","미확인"))</x:f>
        <x:v>완납</x:v>
      </x:c>
      <x:c r="O1257" s="31" t="n">
        <x:v>59</x:v>
      </x:c>
    </x:row>
    <x:row r="1258" ht="17.25" customHeight="1">
      <x:c r="A1258" s="24" t="str">
        <x:v>SW-B-204나2940-202511</x:v>
      </x:c>
      <x:c r="B1258" s="24" t="str">
        <x:v>스위치플랜</x:v>
      </x:c>
      <x:c r="C1258" s="24" t="str">
        <x:v>SW-C-204나2940-1-NA-59</x:v>
      </x:c>
      <x:c r="D1258" s="24" t="str">
        <x:v>204나2940</x:v>
      </x:c>
      <x:c r="E1258" s="24" t="str"/>
      <x:c r="F1258" s="24" t="str">
        <x:v>2025-11</x:v>
      </x:c>
      <x:c r="G1258" s="30"/>
      <x:c r="H1258" s="32" t="n">
        <x:v>690000</x:v>
      </x:c>
      <x:c r="I1258" s="32" t="n">
        <x:v>690000</x:v>
      </x:c>
      <x:c r="J1258" s="32" t="n">
        <x:v>-10000</x:v>
      </x:c>
      <x:c r="K1258" s="30" t="n">
        <x:v>45971</x:v>
      </x:c>
      <x:c r="L1258" s="24" t="str">
        <x:v>자동</x:v>
      </x:c>
      <x:c r="M1258" s="31" t="n">
        <x:f>IF(AND(N1258="미수",G1258&lt;&gt;"",TODAY()&gt;G1258),TODAY()-G1258,0)</x:f>
        <x:v>0</x:v>
      </x:c>
      <x:c r="N1258" s="24" t="str">
        <x:f>IF(J1258&gt;0,"미수",IF(AND(H1258&gt;0,I1258&gt;=H1258),"완납","미확인"))</x:f>
        <x:v>완납</x:v>
      </x:c>
      <x:c r="O1258" s="31" t="n">
        <x:v>59</x:v>
      </x:c>
    </x:row>
    <x:row r="1259" ht="17.25" customHeight="1">
      <x:c r="A1259" s="24" t="str">
        <x:v>SW-B-204나2940-202510</x:v>
      </x:c>
      <x:c r="B1259" s="24" t="str">
        <x:v>스위치플랜</x:v>
      </x:c>
      <x:c r="C1259" s="24" t="str">
        <x:v>SW-C-204나2940-1-NA-59</x:v>
      </x:c>
      <x:c r="D1259" s="24" t="str">
        <x:v>204나2940</x:v>
      </x:c>
      <x:c r="E1259" s="24" t="str"/>
      <x:c r="F1259" s="24" t="str">
        <x:v>2025-10</x:v>
      </x:c>
      <x:c r="G1259" s="30"/>
      <x:c r="H1259" s="32" t="n">
        <x:v>690000</x:v>
      </x:c>
      <x:c r="I1259" s="32" t="n">
        <x:v>690000</x:v>
      </x:c>
      <x:c r="J1259" s="32" t="n">
        <x:v>-10000</x:v>
      </x:c>
      <x:c r="K1259" s="30" t="n">
        <x:v>45943</x:v>
      </x:c>
      <x:c r="L1259" s="24" t="str">
        <x:v>입금</x:v>
      </x:c>
      <x:c r="M1259" s="31" t="n">
        <x:f>IF(AND(N1259="미수",G1259&lt;&gt;"",TODAY()&gt;G1259),TODAY()-G1259,0)</x:f>
        <x:v>0</x:v>
      </x:c>
      <x:c r="N1259" s="24" t="str">
        <x:f>IF(J1259&gt;0,"미수",IF(AND(H1259&gt;0,I1259&gt;=H1259),"완납","미확인"))</x:f>
        <x:v>완납</x:v>
      </x:c>
      <x:c r="O1259" s="31" t="n">
        <x:v>59</x:v>
      </x:c>
    </x:row>
    <x:row r="1260" ht="17.25" customHeight="1">
      <x:c r="A1260" s="24" t="str">
        <x:v>SW-B-204나2940-202509</x:v>
      </x:c>
      <x:c r="B1260" s="24" t="str">
        <x:v>스위치플랜</x:v>
      </x:c>
      <x:c r="C1260" s="24" t="str">
        <x:v>SW-C-204나2940-1-NA-59</x:v>
      </x:c>
      <x:c r="D1260" s="24" t="str">
        <x:v>204나2940</x:v>
      </x:c>
      <x:c r="E1260" s="24" t="str"/>
      <x:c r="F1260" s="24" t="str">
        <x:v>2025-09</x:v>
      </x:c>
      <x:c r="G1260" s="30"/>
      <x:c r="H1260" s="32" t="n">
        <x:v>690000</x:v>
      </x:c>
      <x:c r="I1260" s="32" t="n">
        <x:v>740000</x:v>
      </x:c>
      <x:c r="J1260" s="32" t="n">
        <x:v>-10000</x:v>
      </x:c>
      <x:c r="K1260" s="30" t="n">
        <x:v>45910</x:v>
      </x:c>
      <x:c r="L1260" s="24" t="str">
        <x:v>자동</x:v>
      </x:c>
      <x:c r="M1260" s="31" t="n">
        <x:f>IF(AND(N1260="미수",G1260&lt;&gt;"",TODAY()&gt;G1260),TODAY()-G1260,0)</x:f>
        <x:v>0</x:v>
      </x:c>
      <x:c r="N1260" s="24" t="str">
        <x:f>IF(J1260&gt;0,"미수",IF(AND(H1260&gt;0,I1260&gt;=H1260),"완납","미확인"))</x:f>
        <x:v>완납</x:v>
      </x:c>
      <x:c r="O1260" s="31" t="n">
        <x:v>59</x:v>
      </x:c>
    </x:row>
    <x:row r="1261" ht="17.25" customHeight="1">
      <x:c r="A1261" s="24" t="str">
        <x:v>SW-B-204나2940-202508</x:v>
      </x:c>
      <x:c r="B1261" s="24" t="str">
        <x:v>스위치플랜</x:v>
      </x:c>
      <x:c r="C1261" s="24" t="str">
        <x:v>SW-C-204나2940-1-NA-59</x:v>
      </x:c>
      <x:c r="D1261" s="24" t="str">
        <x:v>204나2940</x:v>
      </x:c>
      <x:c r="E1261" s="24" t="str"/>
      <x:c r="F1261" s="24" t="str">
        <x:v>2025-08</x:v>
      </x:c>
      <x:c r="G1261" s="30"/>
      <x:c r="H1261" s="32" t="n">
        <x:v>690000</x:v>
      </x:c>
      <x:c r="I1261" s="32" t="n">
        <x:v>690000</x:v>
      </x:c>
      <x:c r="J1261" s="32" t="n">
        <x:v>40000</x:v>
      </x:c>
      <x:c r="K1261" s="30" t="n">
        <x:v>45880</x:v>
      </x:c>
      <x:c r="L1261" s="24" t="str">
        <x:v>자동</x:v>
      </x:c>
      <x:c r="M1261" s="31" t="n">
        <x:f>IF(AND(N1261="미수",G1261&lt;&gt;"",TODAY()&gt;G1261),TODAY()-G1261,0)</x:f>
        <x:v>0</x:v>
      </x:c>
      <x:c r="N1261" s="24" t="str">
        <x:f>IF(J1261&gt;0,"미수",IF(AND(H1261&gt;0,I1261&gt;=H1261),"완납","미확인"))</x:f>
        <x:v>미수</x:v>
      </x:c>
      <x:c r="O1261" s="31" t="n">
        <x:v>59</x:v>
      </x:c>
    </x:row>
    <x:row r="1262" ht="17.25" customHeight="1">
      <x:c r="A1262" s="24" t="str">
        <x:v>SW-B-204나2940-202507</x:v>
      </x:c>
      <x:c r="B1262" s="24" t="str">
        <x:v>스위치플랜</x:v>
      </x:c>
      <x:c r="C1262" s="24" t="str">
        <x:v>SW-C-204나2940-1-NA-59</x:v>
      </x:c>
      <x:c r="D1262" s="24" t="str">
        <x:v>204나2940</x:v>
      </x:c>
      <x:c r="E1262" s="24" t="str"/>
      <x:c r="F1262" s="24" t="str">
        <x:v>2025-07</x:v>
      </x:c>
      <x:c r="G1262" s="30"/>
      <x:c r="H1262" s="32" t="n">
        <x:v>690000</x:v>
      </x:c>
      <x:c r="I1262" s="32" t="n">
        <x:v>650000</x:v>
      </x:c>
      <x:c r="J1262" s="32" t="n">
        <x:v>40000</x:v>
      </x:c>
      <x:c r="K1262" s="30" t="n">
        <x:v>45849</x:v>
      </x:c>
      <x:c r="L1262" s="24" t="str">
        <x:v>입금</x:v>
      </x:c>
      <x:c r="M1262" s="31" t="n">
        <x:f>IF(AND(N1262="미수",G1262&lt;&gt;"",TODAY()&gt;G1262),TODAY()-G1262,0)</x:f>
        <x:v>0</x:v>
      </x:c>
      <x:c r="N1262" s="24" t="str">
        <x:f>IF(J1262&gt;0,"미수",IF(AND(H1262&gt;0,I1262&gt;=H1262),"완납","미확인"))</x:f>
        <x:v>미수</x:v>
      </x:c>
      <x:c r="O1262" s="31" t="n">
        <x:v>59</x:v>
      </x:c>
    </x:row>
    <x:row r="1263" ht="17.25" customHeight="1">
      <x:c r="A1263" s="24" t="str">
        <x:v>SW-B-204나2940-202506</x:v>
      </x:c>
      <x:c r="B1263" s="24" t="str">
        <x:v>스위치플랜</x:v>
      </x:c>
      <x:c r="C1263" s="24" t="str">
        <x:v>SW-C-204나2940-1-NA-59</x:v>
      </x:c>
      <x:c r="D1263" s="24" t="str">
        <x:v>204나2940</x:v>
      </x:c>
      <x:c r="E1263" s="24" t="str"/>
      <x:c r="F1263" s="24" t="str">
        <x:v>2025-06</x:v>
      </x:c>
      <x:c r="G1263" s="30"/>
      <x:c r="H1263" s="32" t="n">
        <x:v>690000</x:v>
      </x:c>
      <x:c r="I1263" s="32" t="n">
        <x:v>690000</x:v>
      </x:c>
      <x:c r="J1263" s="32" t="n">
        <x:v>0</x:v>
      </x:c>
      <x:c r="K1263" s="30" t="n">
        <x:v>45820</x:v>
      </x:c>
      <x:c r="L1263" s="24" t="str">
        <x:v>입금</x:v>
      </x:c>
      <x:c r="M1263" s="31" t="n">
        <x:f>IF(AND(N1263="미수",G1263&lt;&gt;"",TODAY()&gt;G1263),TODAY()-G1263,0)</x:f>
        <x:v>0</x:v>
      </x:c>
      <x:c r="N1263" s="24" t="str">
        <x:f>IF(J1263&gt;0,"미수",IF(AND(H1263&gt;0,I1263&gt;=H1263),"완납","미확인"))</x:f>
        <x:v>완납</x:v>
      </x:c>
      <x:c r="O1263" s="31" t="n">
        <x:v>59</x:v>
      </x:c>
    </x:row>
    <x:row r="1264" ht="17.25" customHeight="1">
      <x:c r="A1264" s="24" t="str">
        <x:v>SW-B-204거7383-202608</x:v>
      </x:c>
      <x:c r="B1264" s="24" t="str">
        <x:v>스위치플랜</x:v>
      </x:c>
      <x:c r="C1264" s="24" t="str">
        <x:v>SW-C-204거7383-1-NA-60</x:v>
      </x:c>
      <x:c r="D1264" s="24" t="str">
        <x:v>204거7383</x:v>
      </x:c>
      <x:c r="E1264" s="24" t="str"/>
      <x:c r="F1264" s="24" t="str">
        <x:v>2026-08</x:v>
      </x:c>
      <x:c r="G1264" s="30"/>
      <x:c r="H1264" s="32" t="n">
        <x:v>0</x:v>
      </x:c>
      <x:c r="I1264" s="32"/>
      <x:c r="J1264" s="32" t="n">
        <x:v>0</x:v>
      </x:c>
      <x:c r="K1264" s="30"/>
      <x:c r="L1264" s="24" t="str"/>
      <x:c r="M1264" s="31" t="n">
        <x:f>IF(AND(N1264="미수",G1264&lt;&gt;"",TODAY()&gt;G1264),TODAY()-G1264,0)</x:f>
        <x:v>0</x:v>
      </x:c>
      <x:c r="N1264" s="24" t="str">
        <x:f>IF(J1264&gt;0,"미수",IF(AND(H1264&gt;0,I1264&gt;=H1264),"완납","미확인"))</x:f>
        <x:v>미확인</x:v>
      </x:c>
      <x:c r="O1264" s="31" t="n">
        <x:v>60</x:v>
      </x:c>
    </x:row>
    <x:row r="1265" ht="17.25" customHeight="1">
      <x:c r="A1265" s="24" t="str">
        <x:v>SW-B-204거7383-202607</x:v>
      </x:c>
      <x:c r="B1265" s="24" t="str">
        <x:v>스위치플랜</x:v>
      </x:c>
      <x:c r="C1265" s="24" t="str">
        <x:v>SW-C-204거7383-1-NA-60</x:v>
      </x:c>
      <x:c r="D1265" s="24" t="str">
        <x:v>204거7383</x:v>
      </x:c>
      <x:c r="E1265" s="24" t="str"/>
      <x:c r="F1265" s="24" t="str">
        <x:v>2026-07</x:v>
      </x:c>
      <x:c r="G1265" s="30"/>
      <x:c r="H1265" s="32" t="n">
        <x:v>0</x:v>
      </x:c>
      <x:c r="I1265" s="32"/>
      <x:c r="J1265" s="32" t="n">
        <x:v>0</x:v>
      </x:c>
      <x:c r="K1265" s="30"/>
      <x:c r="L1265" s="24" t="str"/>
      <x:c r="M1265" s="31" t="n">
        <x:f>IF(AND(N1265="미수",G1265&lt;&gt;"",TODAY()&gt;G1265),TODAY()-G1265,0)</x:f>
        <x:v>0</x:v>
      </x:c>
      <x:c r="N1265" s="24" t="str">
        <x:f>IF(J1265&gt;0,"미수",IF(AND(H1265&gt;0,I1265&gt;=H1265),"완납","미확인"))</x:f>
        <x:v>미확인</x:v>
      </x:c>
      <x:c r="O1265" s="31" t="n">
        <x:v>60</x:v>
      </x:c>
    </x:row>
    <x:row r="1266" ht="17.25" customHeight="1">
      <x:c r="A1266" s="24" t="str">
        <x:v>SW-B-204거7383-202606</x:v>
      </x:c>
      <x:c r="B1266" s="24" t="str">
        <x:v>스위치플랜</x:v>
      </x:c>
      <x:c r="C1266" s="24" t="str">
        <x:v>SW-C-204거7383-1-NA-60</x:v>
      </x:c>
      <x:c r="D1266" s="24" t="str">
        <x:v>204거7383</x:v>
      </x:c>
      <x:c r="E1266" s="24" t="str"/>
      <x:c r="F1266" s="24" t="str">
        <x:v>2026-06</x:v>
      </x:c>
      <x:c r="G1266" s="30"/>
      <x:c r="H1266" s="32" t="n">
        <x:v>0</x:v>
      </x:c>
      <x:c r="I1266" s="32"/>
      <x:c r="J1266" s="32" t="n">
        <x:v>0</x:v>
      </x:c>
      <x:c r="K1266" s="30"/>
      <x:c r="L1266" s="24" t="str"/>
      <x:c r="M1266" s="31" t="n">
        <x:f>IF(AND(N1266="미수",G1266&lt;&gt;"",TODAY()&gt;G1266),TODAY()-G1266,0)</x:f>
        <x:v>0</x:v>
      </x:c>
      <x:c r="N1266" s="24" t="str">
        <x:f>IF(J1266&gt;0,"미수",IF(AND(H1266&gt;0,I1266&gt;=H1266),"완납","미확인"))</x:f>
        <x:v>미확인</x:v>
      </x:c>
      <x:c r="O1266" s="31" t="n">
        <x:v>60</x:v>
      </x:c>
    </x:row>
    <x:row r="1267" ht="17.25" customHeight="1">
      <x:c r="A1267" s="24" t="str">
        <x:v>SW-B-204거7383-202605</x:v>
      </x:c>
      <x:c r="B1267" s="24" t="str">
        <x:v>스위치플랜</x:v>
      </x:c>
      <x:c r="C1267" s="24" t="str">
        <x:v>SW-C-204거7383-1-NA-60</x:v>
      </x:c>
      <x:c r="D1267" s="24" t="str">
        <x:v>204거7383</x:v>
      </x:c>
      <x:c r="E1267" s="24" t="str"/>
      <x:c r="F1267" s="24" t="str">
        <x:v>2026-05</x:v>
      </x:c>
      <x:c r="G1267" s="30"/>
      <x:c r="H1267" s="32" t="n">
        <x:v>0</x:v>
      </x:c>
      <x:c r="I1267" s="32"/>
      <x:c r="J1267" s="32" t="n">
        <x:v>0</x:v>
      </x:c>
      <x:c r="K1267" s="30"/>
      <x:c r="L1267" s="24" t="str"/>
      <x:c r="M1267" s="31" t="n">
        <x:f>IF(AND(N1267="미수",G1267&lt;&gt;"",TODAY()&gt;G1267),TODAY()-G1267,0)</x:f>
        <x:v>0</x:v>
      </x:c>
      <x:c r="N1267" s="24" t="str">
        <x:f>IF(J1267&gt;0,"미수",IF(AND(H1267&gt;0,I1267&gt;=H1267),"완납","미확인"))</x:f>
        <x:v>미확인</x:v>
      </x:c>
      <x:c r="O1267" s="31" t="n">
        <x:v>60</x:v>
      </x:c>
    </x:row>
    <x:row r="1268" ht="17.25" customHeight="1">
      <x:c r="A1268" s="24" t="str">
        <x:v>SW-B-204거7383-202604</x:v>
      </x:c>
      <x:c r="B1268" s="24" t="str">
        <x:v>스위치플랜</x:v>
      </x:c>
      <x:c r="C1268" s="24" t="str">
        <x:v>SW-C-204거7383-1-NA-60</x:v>
      </x:c>
      <x:c r="D1268" s="24" t="str">
        <x:v>204거7383</x:v>
      </x:c>
      <x:c r="E1268" s="24" t="str"/>
      <x:c r="F1268" s="24" t="str">
        <x:v>2026-04</x:v>
      </x:c>
      <x:c r="G1268" s="30"/>
      <x:c r="H1268" s="32" t="n">
        <x:v>0</x:v>
      </x:c>
      <x:c r="I1268" s="32"/>
      <x:c r="J1268" s="32" t="n">
        <x:v>0</x:v>
      </x:c>
      <x:c r="K1268" s="30"/>
      <x:c r="L1268" s="24" t="str"/>
      <x:c r="M1268" s="31" t="n">
        <x:f>IF(AND(N1268="미수",G1268&lt;&gt;"",TODAY()&gt;G1268),TODAY()-G1268,0)</x:f>
        <x:v>0</x:v>
      </x:c>
      <x:c r="N1268" s="24" t="str">
        <x:f>IF(J1268&gt;0,"미수",IF(AND(H1268&gt;0,I1268&gt;=H1268),"완납","미확인"))</x:f>
        <x:v>미확인</x:v>
      </x:c>
      <x:c r="O1268" s="31" t="n">
        <x:v>60</x:v>
      </x:c>
    </x:row>
    <x:row r="1269" ht="17.25" customHeight="1">
      <x:c r="A1269" s="24" t="str">
        <x:v>SW-B-204거7383-202603</x:v>
      </x:c>
      <x:c r="B1269" s="24" t="str">
        <x:v>스위치플랜</x:v>
      </x:c>
      <x:c r="C1269" s="24" t="str">
        <x:v>SW-C-204거7383-1-NA-60</x:v>
      </x:c>
      <x:c r="D1269" s="24" t="str">
        <x:v>204거7383</x:v>
      </x:c>
      <x:c r="E1269" s="24" t="str"/>
      <x:c r="F1269" s="24" t="str">
        <x:v>2026-03</x:v>
      </x:c>
      <x:c r="G1269" s="30"/>
      <x:c r="H1269" s="32" t="n">
        <x:v>0</x:v>
      </x:c>
      <x:c r="I1269" s="32"/>
      <x:c r="J1269" s="32" t="n">
        <x:v>0</x:v>
      </x:c>
      <x:c r="K1269" s="30"/>
      <x:c r="L1269" s="24" t="str"/>
      <x:c r="M1269" s="31" t="n">
        <x:f>IF(AND(N1269="미수",G1269&lt;&gt;"",TODAY()&gt;G1269),TODAY()-G1269,0)</x:f>
        <x:v>0</x:v>
      </x:c>
      <x:c r="N1269" s="24" t="str">
        <x:f>IF(J1269&gt;0,"미수",IF(AND(H1269&gt;0,I1269&gt;=H1269),"완납","미확인"))</x:f>
        <x:v>미확인</x:v>
      </x:c>
      <x:c r="O1269" s="31" t="n">
        <x:v>60</x:v>
      </x:c>
    </x:row>
    <x:row r="1270" ht="17.25" customHeight="1">
      <x:c r="A1270" s="24" t="str">
        <x:v>SW-B-204거7383-202602</x:v>
      </x:c>
      <x:c r="B1270" s="24" t="str">
        <x:v>스위치플랜</x:v>
      </x:c>
      <x:c r="C1270" s="24" t="str">
        <x:v>SW-C-204거7383-1-NA-60</x:v>
      </x:c>
      <x:c r="D1270" s="24" t="str">
        <x:v>204거7383</x:v>
      </x:c>
      <x:c r="E1270" s="24" t="str"/>
      <x:c r="F1270" s="24" t="str">
        <x:v>2026-02</x:v>
      </x:c>
      <x:c r="G1270" s="30"/>
      <x:c r="H1270" s="32" t="n">
        <x:v>0</x:v>
      </x:c>
      <x:c r="I1270" s="32"/>
      <x:c r="J1270" s="32" t="n">
        <x:v>0</x:v>
      </x:c>
      <x:c r="K1270" s="30"/>
      <x:c r="L1270" s="24" t="str"/>
      <x:c r="M1270" s="31" t="n">
        <x:f>IF(AND(N1270="미수",G1270&lt;&gt;"",TODAY()&gt;G1270),TODAY()-G1270,0)</x:f>
        <x:v>0</x:v>
      </x:c>
      <x:c r="N1270" s="24" t="str">
        <x:f>IF(J1270&gt;0,"미수",IF(AND(H1270&gt;0,I1270&gt;=H1270),"완납","미확인"))</x:f>
        <x:v>미확인</x:v>
      </x:c>
      <x:c r="O1270" s="31" t="n">
        <x:v>60</x:v>
      </x:c>
    </x:row>
    <x:row r="1271" ht="17.25" customHeight="1">
      <x:c r="A1271" s="24" t="str">
        <x:v>SW-B-204거7383-202510</x:v>
      </x:c>
      <x:c r="B1271" s="24" t="str">
        <x:v>스위치플랜</x:v>
      </x:c>
      <x:c r="C1271" s="24" t="str">
        <x:v>SW-C-204거7383-1-NA-60</x:v>
      </x:c>
      <x:c r="D1271" s="24" t="str">
        <x:v>204거7383</x:v>
      </x:c>
      <x:c r="E1271" s="24" t="str"/>
      <x:c r="F1271" s="24" t="str">
        <x:v>2025-10</x:v>
      </x:c>
      <x:c r="G1271" s="30"/>
      <x:c r="H1271" s="32" t="n">
        <x:v>990000</x:v>
      </x:c>
      <x:c r="I1271" s="32" t="n">
        <x:v>990000</x:v>
      </x:c>
      <x:c r="J1271" s="32" t="n">
        <x:v>0</x:v>
      </x:c>
      <x:c r="K1271" s="30" t="n">
        <x:v>45940</x:v>
      </x:c>
      <x:c r="L1271" s="24" t="str">
        <x:v>입금</x:v>
      </x:c>
      <x:c r="M1271" s="31" t="n">
        <x:f>IF(AND(N1271="미수",G1271&lt;&gt;"",TODAY()&gt;G1271),TODAY()-G1271,0)</x:f>
        <x:v>0</x:v>
      </x:c>
      <x:c r="N1271" s="24" t="str">
        <x:f>IF(J1271&gt;0,"미수",IF(AND(H1271&gt;0,I1271&gt;=H1271),"완납","미확인"))</x:f>
        <x:v>완납</x:v>
      </x:c>
      <x:c r="O1271" s="31" t="n">
        <x:v>60</x:v>
      </x:c>
    </x:row>
    <x:row r="1272" ht="17.25" customHeight="1">
      <x:c r="A1272" s="24" t="str">
        <x:v>SW-B-204거7383-202509</x:v>
      </x:c>
      <x:c r="B1272" s="24" t="str">
        <x:v>스위치플랜</x:v>
      </x:c>
      <x:c r="C1272" s="24" t="str">
        <x:v>SW-C-204거7383-1-NA-60</x:v>
      </x:c>
      <x:c r="D1272" s="24" t="str">
        <x:v>204거7383</x:v>
      </x:c>
      <x:c r="E1272" s="24" t="str"/>
      <x:c r="F1272" s="24" t="str">
        <x:v>2025-09</x:v>
      </x:c>
      <x:c r="G1272" s="30"/>
      <x:c r="H1272" s="32" t="n">
        <x:v>990000</x:v>
      </x:c>
      <x:c r="I1272" s="32" t="n">
        <x:v>990000</x:v>
      </x:c>
      <x:c r="J1272" s="32" t="n">
        <x:v>0</x:v>
      </x:c>
      <x:c r="K1272" s="30" t="n">
        <x:v>45912</x:v>
      </x:c>
      <x:c r="L1272" s="24" t="str">
        <x:v>입금</x:v>
      </x:c>
      <x:c r="M1272" s="31" t="n">
        <x:f>IF(AND(N1272="미수",G1272&lt;&gt;"",TODAY()&gt;G1272),TODAY()-G1272,0)</x:f>
        <x:v>0</x:v>
      </x:c>
      <x:c r="N1272" s="24" t="str">
        <x:f>IF(J1272&gt;0,"미수",IF(AND(H1272&gt;0,I1272&gt;=H1272),"완납","미확인"))</x:f>
        <x:v>완납</x:v>
      </x:c>
      <x:c r="O1272" s="31" t="n">
        <x:v>60</x:v>
      </x:c>
    </x:row>
    <x:row r="1273" ht="17.25" customHeight="1">
      <x:c r="A1273" s="24" t="str">
        <x:v>SW-B-204거7383-202508</x:v>
      </x:c>
      <x:c r="B1273" s="24" t="str">
        <x:v>스위치플랜</x:v>
      </x:c>
      <x:c r="C1273" s="24" t="str">
        <x:v>SW-C-204거7383-1-NA-60</x:v>
      </x:c>
      <x:c r="D1273" s="24" t="str">
        <x:v>204거7383</x:v>
      </x:c>
      <x:c r="E1273" s="24" t="str"/>
      <x:c r="F1273" s="24" t="str">
        <x:v>2025-08</x:v>
      </x:c>
      <x:c r="G1273" s="30"/>
      <x:c r="H1273" s="32" t="n">
        <x:v>990000</x:v>
      </x:c>
      <x:c r="I1273" s="32" t="n">
        <x:v>990000</x:v>
      </x:c>
      <x:c r="J1273" s="32" t="n">
        <x:v>0</x:v>
      </x:c>
      <x:c r="K1273" s="30" t="n">
        <x:v>45877</x:v>
      </x:c>
      <x:c r="L1273" s="24" t="str">
        <x:v>입금</x:v>
      </x:c>
      <x:c r="M1273" s="31" t="n">
        <x:f>IF(AND(N1273="미수",G1273&lt;&gt;"",TODAY()&gt;G1273),TODAY()-G1273,0)</x:f>
        <x:v>0</x:v>
      </x:c>
      <x:c r="N1273" s="24" t="str">
        <x:f>IF(J1273&gt;0,"미수",IF(AND(H1273&gt;0,I1273&gt;=H1273),"완납","미확인"))</x:f>
        <x:v>완납</x:v>
      </x:c>
      <x:c r="O1273" s="31" t="n">
        <x:v>60</x:v>
      </x:c>
    </x:row>
    <x:row r="1274" ht="17.25" customHeight="1">
      <x:c r="A1274" s="24" t="str">
        <x:v>SW-B-204거7383-202507</x:v>
      </x:c>
      <x:c r="B1274" s="24" t="str">
        <x:v>스위치플랜</x:v>
      </x:c>
      <x:c r="C1274" s="24" t="str">
        <x:v>SW-C-204거7383-1-NA-60</x:v>
      </x:c>
      <x:c r="D1274" s="24" t="str">
        <x:v>204거7383</x:v>
      </x:c>
      <x:c r="E1274" s="24" t="str"/>
      <x:c r="F1274" s="24" t="str">
        <x:v>2025-07</x:v>
      </x:c>
      <x:c r="G1274" s="30"/>
      <x:c r="H1274" s="32" t="n">
        <x:v>990000</x:v>
      </x:c>
      <x:c r="I1274" s="32" t="n">
        <x:v>990000</x:v>
      </x:c>
      <x:c r="J1274" s="32" t="n">
        <x:v>0</x:v>
      </x:c>
      <x:c r="K1274" s="30" t="n">
        <x:v>45832</x:v>
      </x:c>
      <x:c r="L1274" s="24" t="str">
        <x:v>입금</x:v>
      </x:c>
      <x:c r="M1274" s="31" t="n">
        <x:f>IF(AND(N1274="미수",G1274&lt;&gt;"",TODAY()&gt;G1274),TODAY()-G1274,0)</x:f>
        <x:v>0</x:v>
      </x:c>
      <x:c r="N1274" s="24" t="str">
        <x:f>IF(J1274&gt;0,"미수",IF(AND(H1274&gt;0,I1274&gt;=H1274),"완납","미확인"))</x:f>
        <x:v>완납</x:v>
      </x:c>
      <x:c r="O1274" s="31" t="n">
        <x:v>60</x:v>
      </x:c>
    </x:row>
    <x:row r="1275" ht="17.25" customHeight="1">
      <x:c r="A1275" s="24" t="str">
        <x:v>SW-B-204거7383-202506</x:v>
      </x:c>
      <x:c r="B1275" s="24" t="str">
        <x:v>스위치플랜</x:v>
      </x:c>
      <x:c r="C1275" s="24" t="str">
        <x:v>SW-C-204거7383-1-NA-60</x:v>
      </x:c>
      <x:c r="D1275" s="24" t="str">
        <x:v>204거7383</x:v>
      </x:c>
      <x:c r="E1275" s="24" t="str"/>
      <x:c r="F1275" s="24" t="str">
        <x:v>2025-06</x:v>
      </x:c>
      <x:c r="G1275" s="30"/>
      <x:c r="H1275" s="32" t="n">
        <x:v>990000</x:v>
      </x:c>
      <x:c r="I1275" s="32" t="n">
        <x:v>990000</x:v>
      </x:c>
      <x:c r="J1275" s="32" t="n">
        <x:v>0</x:v>
      </x:c>
      <x:c r="K1275" s="30" t="n">
        <x:v>45821</x:v>
      </x:c>
      <x:c r="L1275" s="24" t="str">
        <x:v>입금</x:v>
      </x:c>
      <x:c r="M1275" s="31" t="n">
        <x:f>IF(AND(N1275="미수",G1275&lt;&gt;"",TODAY()&gt;G1275),TODAY()-G1275,0)</x:f>
        <x:v>0</x:v>
      </x:c>
      <x:c r="N1275" s="24" t="str">
        <x:f>IF(J1275&gt;0,"미수",IF(AND(H1275&gt;0,I1275&gt;=H1275),"완납","미확인"))</x:f>
        <x:v>완납</x:v>
      </x:c>
      <x:c r="O1275" s="31" t="n">
        <x:v>60</x:v>
      </x:c>
    </x:row>
    <x:row r="1276" ht="17.25" customHeight="1">
      <x:c r="A1276" s="24" t="str">
        <x:v>SW-B-204거7383-202505</x:v>
      </x:c>
      <x:c r="B1276" s="24" t="str">
        <x:v>스위치플랜</x:v>
      </x:c>
      <x:c r="C1276" s="24" t="str">
        <x:v>SW-C-204거7383-1-NA-60</x:v>
      </x:c>
      <x:c r="D1276" s="24" t="str">
        <x:v>204거7383</x:v>
      </x:c>
      <x:c r="E1276" s="24" t="str"/>
      <x:c r="F1276" s="24" t="str">
        <x:v>2025-05</x:v>
      </x:c>
      <x:c r="G1276" s="30"/>
      <x:c r="H1276" s="32" t="n">
        <x:v>990000</x:v>
      </x:c>
      <x:c r="I1276" s="32" t="n">
        <x:v>990000</x:v>
      </x:c>
      <x:c r="J1276" s="32" t="n">
        <x:v>0</x:v>
      </x:c>
      <x:c r="K1276" s="30" t="n">
        <x:v>45791</x:v>
      </x:c>
      <x:c r="L1276" s="24" t="str">
        <x:v>입금</x:v>
      </x:c>
      <x:c r="M1276" s="31" t="n">
        <x:f>IF(AND(N1276="미수",G1276&lt;&gt;"",TODAY()&gt;G1276),TODAY()-G1276,0)</x:f>
        <x:v>0</x:v>
      </x:c>
      <x:c r="N1276" s="24" t="str">
        <x:f>IF(J1276&gt;0,"미수",IF(AND(H1276&gt;0,I1276&gt;=H1276),"완납","미확인"))</x:f>
        <x:v>완납</x:v>
      </x:c>
      <x:c r="O1276" s="31" t="n">
        <x:v>60</x:v>
      </x:c>
    </x:row>
    <x:row r="1277" ht="17.25" customHeight="1">
      <x:c r="A1277" s="24" t="str">
        <x:v>SW-B-204거7383-202504</x:v>
      </x:c>
      <x:c r="B1277" s="24" t="str">
        <x:v>스위치플랜</x:v>
      </x:c>
      <x:c r="C1277" s="24" t="str">
        <x:v>SW-C-204거7383-1-NA-60</x:v>
      </x:c>
      <x:c r="D1277" s="24" t="str">
        <x:v>204거7383</x:v>
      </x:c>
      <x:c r="E1277" s="24" t="str"/>
      <x:c r="F1277" s="24" t="str">
        <x:v>2025-04</x:v>
      </x:c>
      <x:c r="G1277" s="30"/>
      <x:c r="H1277" s="32" t="n">
        <x:v>990000</x:v>
      </x:c>
      <x:c r="I1277" s="32" t="n">
        <x:v>990000</x:v>
      </x:c>
      <x:c r="J1277" s="32" t="n">
        <x:v>0</x:v>
      </x:c>
      <x:c r="K1277" s="30" t="n">
        <x:v>45764</x:v>
      </x:c>
      <x:c r="L1277" s="24" t="str">
        <x:v>입금</x:v>
      </x:c>
      <x:c r="M1277" s="31" t="n">
        <x:f>IF(AND(N1277="미수",G1277&lt;&gt;"",TODAY()&gt;G1277),TODAY()-G1277,0)</x:f>
        <x:v>0</x:v>
      </x:c>
      <x:c r="N1277" s="24" t="str">
        <x:f>IF(J1277&gt;0,"미수",IF(AND(H1277&gt;0,I1277&gt;=H1277),"완납","미확인"))</x:f>
        <x:v>완납</x:v>
      </x:c>
      <x:c r="O1277" s="31" t="n">
        <x:v>60</x:v>
      </x:c>
    </x:row>
    <x:row r="1278" ht="17.25" customHeight="1">
      <x:c r="A1278" s="24" t="str">
        <x:v>SW-B-15가4481-202608</x:v>
      </x:c>
      <x:c r="B1278" s="24" t="str">
        <x:v>스위치플랜</x:v>
      </x:c>
      <x:c r="C1278" s="24" t="str">
        <x:v>SW-C-15가4481-1-20260706-61</x:v>
      </x:c>
      <x:c r="D1278" s="24" t="str">
        <x:v>15가4481</x:v>
      </x:c>
      <x:c r="E1278" s="24" t="str">
        <x:v>이용호</x:v>
      </x:c>
      <x:c r="F1278" s="24" t="str">
        <x:v>2026-08</x:v>
      </x:c>
      <x:c r="G1278" s="30" t="n">
        <x:v>46239</x:v>
      </x:c>
      <x:c r="H1278" s="32" t="n">
        <x:v>1200000</x:v>
      </x:c>
      <x:c r="I1278" s="32" t="n">
        <x:v>1200000</x:v>
      </x:c>
      <x:c r="J1278" s="32" t="n">
        <x:v>-90000</x:v>
      </x:c>
      <x:c r="K1278" s="30" t="n">
        <x:v>46239</x:v>
      </x:c>
      <x:c r="L1278" s="24" t="str">
        <x:v>자동</x:v>
      </x:c>
      <x:c r="M1278" s="31" t="n">
        <x:f>IF(AND(N1278="미수",G1278&lt;&gt;"",TODAY()&gt;G1278),TODAY()-G1278,0)</x:f>
        <x:v>0</x:v>
      </x:c>
      <x:c r="N1278" s="24" t="str">
        <x:f>IF(J1278&gt;0,"미수",IF(AND(H1278&gt;0,I1278&gt;=H1278),"완납","미확인"))</x:f>
        <x:v>완납</x:v>
      </x:c>
      <x:c r="O1278" s="31" t="n">
        <x:v>61</x:v>
      </x:c>
    </x:row>
    <x:row r="1279" ht="17.25" customHeight="1">
      <x:c r="A1279" s="24" t="str">
        <x:v>SW-B-15가4481-202607</x:v>
      </x:c>
      <x:c r="B1279" s="24" t="str">
        <x:v>스위치플랜</x:v>
      </x:c>
      <x:c r="C1279" s="24" t="str">
        <x:v>SW-C-15가4481-1-20260706-61</x:v>
      </x:c>
      <x:c r="D1279" s="24" t="str">
        <x:v>15가4481</x:v>
      </x:c>
      <x:c r="E1279" s="24" t="str">
        <x:v>이용호</x:v>
      </x:c>
      <x:c r="F1279" s="24" t="str">
        <x:v>2026-07</x:v>
      </x:c>
      <x:c r="G1279" s="30" t="n">
        <x:v>46208</x:v>
      </x:c>
      <x:c r="H1279" s="32" t="n">
        <x:v>1200000</x:v>
      </x:c>
      <x:c r="I1279" s="32" t="n">
        <x:v>1290000</x:v>
      </x:c>
      <x:c r="J1279" s="32" t="n">
        <x:v>-90000</x:v>
      </x:c>
      <x:c r="K1279" s="30" t="n">
        <x:v>46208</x:v>
      </x:c>
      <x:c r="L1279" s="24" t="str">
        <x:v>입금</x:v>
      </x:c>
      <x:c r="M1279" s="31" t="n">
        <x:f>IF(AND(N1279="미수",G1279&lt;&gt;"",TODAY()&gt;G1279),TODAY()-G1279,0)</x:f>
        <x:v>0</x:v>
      </x:c>
      <x:c r="N1279" s="24" t="str">
        <x:f>IF(J1279&gt;0,"미수",IF(AND(H1279&gt;0,I1279&gt;=H1279),"완납","미확인"))</x:f>
        <x:v>완납</x:v>
      </x:c>
      <x:c r="O1279" s="31" t="n">
        <x:v>61</x:v>
      </x:c>
    </x:row>
    <x:row r="1280" ht="17.25" customHeight="1">
      <x:c r="A1280" s="24" t="str">
        <x:v>SW-B-15가4481-202606</x:v>
      </x:c>
      <x:c r="B1280" s="24" t="str">
        <x:v>스위치플랜</x:v>
      </x:c>
      <x:c r="C1280" s="24" t="str">
        <x:v>SW-C-15가4481-2-20250830-61</x:v>
      </x:c>
      <x:c r="D1280" s="24" t="str">
        <x:v>15가4481</x:v>
      </x:c>
      <x:c r="E1280" s="24" t="str">
        <x:v>이용호</x:v>
      </x:c>
      <x:c r="F1280" s="24" t="str">
        <x:v>2026-06</x:v>
      </x:c>
      <x:c r="G1280" s="30" t="n">
        <x:v>46178</x:v>
      </x:c>
      <x:c r="H1280" s="32" t="n">
        <x:v>1360000</x:v>
      </x:c>
      <x:c r="I1280" s="32" t="n">
        <x:v>1360000</x:v>
      </x:c>
      <x:c r="J1280" s="32" t="n">
        <x:v>0</x:v>
      </x:c>
      <x:c r="K1280" s="30" t="n">
        <x:v>46178</x:v>
      </x:c>
      <x:c r="L1280" s="24" t="str">
        <x:v>입금</x:v>
      </x:c>
      <x:c r="M1280" s="31" t="n">
        <x:f>IF(AND(N1280="미수",G1280&lt;&gt;"",TODAY()&gt;G1280),TODAY()-G1280,0)</x:f>
        <x:v>0</x:v>
      </x:c>
      <x:c r="N1280" s="24" t="str">
        <x:f>IF(J1280&gt;0,"미수",IF(AND(H1280&gt;0,I1280&gt;=H1280),"완납","미확인"))</x:f>
        <x:v>완납</x:v>
      </x:c>
      <x:c r="O1280" s="31" t="n">
        <x:v>61</x:v>
      </x:c>
    </x:row>
    <x:row r="1281" ht="17.25" customHeight="1">
      <x:c r="A1281" s="24" t="str">
        <x:v>SW-B-15가4481-202605</x:v>
      </x:c>
      <x:c r="B1281" s="24" t="str">
        <x:v>스위치플랜</x:v>
      </x:c>
      <x:c r="C1281" s="24" t="str">
        <x:v>SW-C-15가4481-2-20250830-61</x:v>
      </x:c>
      <x:c r="D1281" s="24" t="str">
        <x:v>15가4481</x:v>
      </x:c>
      <x:c r="E1281" s="24" t="str">
        <x:v>이용호</x:v>
      </x:c>
      <x:c r="F1281" s="24" t="str">
        <x:v>2026-05</x:v>
      </x:c>
      <x:c r="G1281" s="30" t="n">
        <x:v>46147</x:v>
      </x:c>
      <x:c r="H1281" s="32" t="n">
        <x:v>1360000</x:v>
      </x:c>
      <x:c r="I1281" s="32" t="n">
        <x:v>1360000</x:v>
      </x:c>
      <x:c r="J1281" s="32" t="n">
        <x:v>0</x:v>
      </x:c>
      <x:c r="K1281" s="30" t="n">
        <x:v>46145</x:v>
      </x:c>
      <x:c r="L1281" s="24" t="str">
        <x:v>입금</x:v>
      </x:c>
      <x:c r="M1281" s="31" t="n">
        <x:f>IF(AND(N1281="미수",G1281&lt;&gt;"",TODAY()&gt;G1281),TODAY()-G1281,0)</x:f>
        <x:v>0</x:v>
      </x:c>
      <x:c r="N1281" s="24" t="str">
        <x:f>IF(J1281&gt;0,"미수",IF(AND(H1281&gt;0,I1281&gt;=H1281),"완납","미확인"))</x:f>
        <x:v>완납</x:v>
      </x:c>
      <x:c r="O1281" s="31" t="n">
        <x:v>61</x:v>
      </x:c>
    </x:row>
    <x:row r="1282" ht="17.25" customHeight="1">
      <x:c r="A1282" s="24" t="str">
        <x:v>SW-B-15가4481-202604</x:v>
      </x:c>
      <x:c r="B1282" s="24" t="str">
        <x:v>스위치플랜</x:v>
      </x:c>
      <x:c r="C1282" s="24" t="str">
        <x:v>SW-C-15가4481-2-20250830-61</x:v>
      </x:c>
      <x:c r="D1282" s="24" t="str">
        <x:v>15가4481</x:v>
      </x:c>
      <x:c r="E1282" s="24" t="str">
        <x:v>이용호</x:v>
      </x:c>
      <x:c r="F1282" s="24" t="str">
        <x:v>2026-04</x:v>
      </x:c>
      <x:c r="G1282" s="30" t="n">
        <x:v>46117</x:v>
      </x:c>
      <x:c r="H1282" s="32" t="n">
        <x:v>1360000</x:v>
      </x:c>
      <x:c r="I1282" s="32" t="n">
        <x:v>1360000</x:v>
      </x:c>
      <x:c r="J1282" s="32" t="n">
        <x:v>0</x:v>
      </x:c>
      <x:c r="K1282" s="30" t="n">
        <x:v>46116</x:v>
      </x:c>
      <x:c r="L1282" s="24" t="str">
        <x:v>입금</x:v>
      </x:c>
      <x:c r="M1282" s="31" t="n">
        <x:f>IF(AND(N1282="미수",G1282&lt;&gt;"",TODAY()&gt;G1282),TODAY()-G1282,0)</x:f>
        <x:v>0</x:v>
      </x:c>
      <x:c r="N1282" s="24" t="str">
        <x:f>IF(J1282&gt;0,"미수",IF(AND(H1282&gt;0,I1282&gt;=H1282),"완납","미확인"))</x:f>
        <x:v>완납</x:v>
      </x:c>
      <x:c r="O1282" s="31" t="n">
        <x:v>61</x:v>
      </x:c>
    </x:row>
    <x:row r="1283" ht="17.25" customHeight="1">
      <x:c r="A1283" s="24" t="str">
        <x:v>SW-B-15가4481-202603</x:v>
      </x:c>
      <x:c r="B1283" s="24" t="str">
        <x:v>스위치플랜</x:v>
      </x:c>
      <x:c r="C1283" s="24" t="str">
        <x:v>SW-C-15가4481-2-20250830-61</x:v>
      </x:c>
      <x:c r="D1283" s="24" t="str">
        <x:v>15가4481</x:v>
      </x:c>
      <x:c r="E1283" s="24" t="str">
        <x:v>이용호</x:v>
      </x:c>
      <x:c r="F1283" s="24" t="str">
        <x:v>2026-03</x:v>
      </x:c>
      <x:c r="G1283" s="30" t="n">
        <x:v>46086</x:v>
      </x:c>
      <x:c r="H1283" s="32" t="n">
        <x:v>1360000</x:v>
      </x:c>
      <x:c r="I1283" s="32" t="n">
        <x:v>1360000</x:v>
      </x:c>
      <x:c r="J1283" s="32" t="n">
        <x:v>0</x:v>
      </x:c>
      <x:c r="K1283" s="30" t="n">
        <x:v>46086</x:v>
      </x:c>
      <x:c r="L1283" s="24" t="str">
        <x:v>입금</x:v>
      </x:c>
      <x:c r="M1283" s="31" t="n">
        <x:f>IF(AND(N1283="미수",G1283&lt;&gt;"",TODAY()&gt;G1283),TODAY()-G1283,0)</x:f>
        <x:v>0</x:v>
      </x:c>
      <x:c r="N1283" s="24" t="str">
        <x:f>IF(J1283&gt;0,"미수",IF(AND(H1283&gt;0,I1283&gt;=H1283),"완납","미확인"))</x:f>
        <x:v>완납</x:v>
      </x:c>
      <x:c r="O1283" s="31" t="n">
        <x:v>61</x:v>
      </x:c>
    </x:row>
    <x:row r="1284" ht="17.25" customHeight="1">
      <x:c r="A1284" s="24" t="str">
        <x:v>SW-B-15가4481-202602</x:v>
      </x:c>
      <x:c r="B1284" s="24" t="str">
        <x:v>스위치플랜</x:v>
      </x:c>
      <x:c r="C1284" s="24" t="str">
        <x:v>SW-C-15가4481-2-20250830-61</x:v>
      </x:c>
      <x:c r="D1284" s="24" t="str">
        <x:v>15가4481</x:v>
      </x:c>
      <x:c r="E1284" s="24" t="str">
        <x:v>이용호</x:v>
      </x:c>
      <x:c r="F1284" s="24" t="str">
        <x:v>2026-02</x:v>
      </x:c>
      <x:c r="G1284" s="30" t="n">
        <x:v>46058</x:v>
      </x:c>
      <x:c r="H1284" s="32" t="n">
        <x:v>1360000</x:v>
      </x:c>
      <x:c r="I1284" s="32" t="n">
        <x:v>1360000</x:v>
      </x:c>
      <x:c r="J1284" s="32" t="n">
        <x:v>0</x:v>
      </x:c>
      <x:c r="K1284" s="30" t="n">
        <x:v>46057</x:v>
      </x:c>
      <x:c r="L1284" s="24" t="str">
        <x:v>입금</x:v>
      </x:c>
      <x:c r="M1284" s="31" t="n">
        <x:f>IF(AND(N1284="미수",G1284&lt;&gt;"",TODAY()&gt;G1284),TODAY()-G1284,0)</x:f>
        <x:v>0</x:v>
      </x:c>
      <x:c r="N1284" s="24" t="str">
        <x:f>IF(J1284&gt;0,"미수",IF(AND(H1284&gt;0,I1284&gt;=H1284),"완납","미확인"))</x:f>
        <x:v>완납</x:v>
      </x:c>
      <x:c r="O1284" s="31" t="n">
        <x:v>61</x:v>
      </x:c>
    </x:row>
    <x:row r="1285" ht="17.25" customHeight="1">
      <x:c r="A1285" s="24" t="str">
        <x:v>SW-B-15가4481-202601</x:v>
      </x:c>
      <x:c r="B1285" s="24" t="str">
        <x:v>스위치플랜</x:v>
      </x:c>
      <x:c r="C1285" s="24" t="str">
        <x:v>SW-C-15가4481-2-20250830-61</x:v>
      </x:c>
      <x:c r="D1285" s="24" t="str">
        <x:v>15가4481</x:v>
      </x:c>
      <x:c r="E1285" s="24" t="str">
        <x:v>이용호</x:v>
      </x:c>
      <x:c r="F1285" s="24" t="str">
        <x:v>2026-01</x:v>
      </x:c>
      <x:c r="G1285" s="30" t="n">
        <x:v>46027</x:v>
      </x:c>
      <x:c r="H1285" s="32" t="n">
        <x:v>1360000</x:v>
      </x:c>
      <x:c r="I1285" s="32" t="n">
        <x:v>1360000</x:v>
      </x:c>
      <x:c r="J1285" s="32" t="n">
        <x:v>0</x:v>
      </x:c>
      <x:c r="K1285" s="30" t="n">
        <x:v>46028</x:v>
      </x:c>
      <x:c r="L1285" s="24" t="str">
        <x:v>입금</x:v>
      </x:c>
      <x:c r="M1285" s="31" t="n">
        <x:f>IF(AND(N1285="미수",G1285&lt;&gt;"",TODAY()&gt;G1285),TODAY()-G1285,0)</x:f>
        <x:v>0</x:v>
      </x:c>
      <x:c r="N1285" s="24" t="str">
        <x:f>IF(J1285&gt;0,"미수",IF(AND(H1285&gt;0,I1285&gt;=H1285),"완납","미확인"))</x:f>
        <x:v>완납</x:v>
      </x:c>
      <x:c r="O1285" s="31" t="n">
        <x:v>61</x:v>
      </x:c>
    </x:row>
    <x:row r="1286" ht="17.25" customHeight="1">
      <x:c r="A1286" s="24" t="str">
        <x:v>SW-B-15가4481-202512</x:v>
      </x:c>
      <x:c r="B1286" s="24" t="str">
        <x:v>스위치플랜</x:v>
      </x:c>
      <x:c r="C1286" s="24" t="str">
        <x:v>SW-C-15가4481-2-20250830-61</x:v>
      </x:c>
      <x:c r="D1286" s="24" t="str">
        <x:v>15가4481</x:v>
      </x:c>
      <x:c r="E1286" s="24" t="str">
        <x:v>이용호</x:v>
      </x:c>
      <x:c r="F1286" s="24" t="str">
        <x:v>2025-12</x:v>
      </x:c>
      <x:c r="G1286" s="30" t="n">
        <x:v>45996</x:v>
      </x:c>
      <x:c r="H1286" s="32" t="n">
        <x:v>1360000</x:v>
      </x:c>
      <x:c r="I1286" s="32" t="n">
        <x:v>1360000</x:v>
      </x:c>
      <x:c r="J1286" s="32" t="n">
        <x:v>0</x:v>
      </x:c>
      <x:c r="K1286" s="30" t="n">
        <x:v>45996</x:v>
      </x:c>
      <x:c r="L1286" s="24" t="str">
        <x:v>입금</x:v>
      </x:c>
      <x:c r="M1286" s="31" t="n">
        <x:f>IF(AND(N1286="미수",G1286&lt;&gt;"",TODAY()&gt;G1286),TODAY()-G1286,0)</x:f>
        <x:v>0</x:v>
      </x:c>
      <x:c r="N1286" s="24" t="str">
        <x:f>IF(J1286&gt;0,"미수",IF(AND(H1286&gt;0,I1286&gt;=H1286),"완납","미확인"))</x:f>
        <x:v>완납</x:v>
      </x:c>
      <x:c r="O1286" s="31" t="n">
        <x:v>61</x:v>
      </x:c>
    </x:row>
    <x:row r="1287" ht="17.25" customHeight="1">
      <x:c r="A1287" s="24" t="str">
        <x:v>SW-B-15가4481-202511</x:v>
      </x:c>
      <x:c r="B1287" s="24" t="str">
        <x:v>스위치플랜</x:v>
      </x:c>
      <x:c r="C1287" s="24" t="str">
        <x:v>SW-C-15가4481-2-20250830-61</x:v>
      </x:c>
      <x:c r="D1287" s="24" t="str">
        <x:v>15가4481</x:v>
      </x:c>
      <x:c r="E1287" s="24" t="str">
        <x:v>이용호</x:v>
      </x:c>
      <x:c r="F1287" s="24" t="str">
        <x:v>2025-11</x:v>
      </x:c>
      <x:c r="G1287" s="30" t="n">
        <x:v>45966</x:v>
      </x:c>
      <x:c r="H1287" s="32" t="n">
        <x:v>1360000</x:v>
      </x:c>
      <x:c r="I1287" s="32" t="n">
        <x:v>1360000</x:v>
      </x:c>
      <x:c r="J1287" s="32" t="n">
        <x:v>0</x:v>
      </x:c>
      <x:c r="K1287" s="30" t="n">
        <x:v>45968</x:v>
      </x:c>
      <x:c r="L1287" s="24" t="str">
        <x:v>입금</x:v>
      </x:c>
      <x:c r="M1287" s="31" t="n">
        <x:f>IF(AND(N1287="미수",G1287&lt;&gt;"",TODAY()&gt;G1287),TODAY()-G1287,0)</x:f>
        <x:v>0</x:v>
      </x:c>
      <x:c r="N1287" s="24" t="str">
        <x:f>IF(J1287&gt;0,"미수",IF(AND(H1287&gt;0,I1287&gt;=H1287),"완납","미확인"))</x:f>
        <x:v>완납</x:v>
      </x:c>
      <x:c r="O1287" s="31" t="n">
        <x:v>61</x:v>
      </x:c>
    </x:row>
    <x:row r="1288" ht="17.25" customHeight="1">
      <x:c r="A1288" s="24" t="str">
        <x:v>SW-B-15가4481-202510</x:v>
      </x:c>
      <x:c r="B1288" s="24" t="str">
        <x:v>스위치플랜</x:v>
      </x:c>
      <x:c r="C1288" s="24" t="str">
        <x:v>SW-C-15가4481-2-20250830-61</x:v>
      </x:c>
      <x:c r="D1288" s="24" t="str">
        <x:v>15가4481</x:v>
      </x:c>
      <x:c r="E1288" s="24" t="str">
        <x:v>이용호</x:v>
      </x:c>
      <x:c r="F1288" s="24" t="str">
        <x:v>2025-10</x:v>
      </x:c>
      <x:c r="G1288" s="30" t="n">
        <x:v>45935</x:v>
      </x:c>
      <x:c r="H1288" s="32" t="n">
        <x:v>1360000</x:v>
      </x:c>
      <x:c r="I1288" s="32" t="n">
        <x:v>1360000</x:v>
      </x:c>
      <x:c r="J1288" s="32" t="n">
        <x:v>0</x:v>
      </x:c>
      <x:c r="K1288" s="30" t="n">
        <x:v>45936</x:v>
      </x:c>
      <x:c r="L1288" s="24" t="str">
        <x:v>입금</x:v>
      </x:c>
      <x:c r="M1288" s="31" t="n">
        <x:f>IF(AND(N1288="미수",G1288&lt;&gt;"",TODAY()&gt;G1288),TODAY()-G1288,0)</x:f>
        <x:v>0</x:v>
      </x:c>
      <x:c r="N1288" s="24" t="str">
        <x:f>IF(J1288&gt;0,"미수",IF(AND(H1288&gt;0,I1288&gt;=H1288),"완납","미확인"))</x:f>
        <x:v>완납</x:v>
      </x:c>
      <x:c r="O1288" s="31" t="n">
        <x:v>61</x:v>
      </x:c>
    </x:row>
    <x:row r="1289" ht="17.25" customHeight="1">
      <x:c r="A1289" s="24" t="str">
        <x:v>SW-B-15가4481-202509</x:v>
      </x:c>
      <x:c r="B1289" s="24" t="str">
        <x:v>스위치플랜</x:v>
      </x:c>
      <x:c r="C1289" s="24" t="str">
        <x:v>SW-C-15가4481-2-20250830-61</x:v>
      </x:c>
      <x:c r="D1289" s="24" t="str">
        <x:v>15가4481</x:v>
      </x:c>
      <x:c r="E1289" s="24" t="str">
        <x:v>이용호</x:v>
      </x:c>
      <x:c r="F1289" s="24" t="str">
        <x:v>2025-09</x:v>
      </x:c>
      <x:c r="G1289" s="30" t="n">
        <x:v>45905</x:v>
      </x:c>
      <x:c r="H1289" s="32" t="n">
        <x:v>1360000</x:v>
      </x:c>
      <x:c r="I1289" s="32" t="n">
        <x:v>1360000</x:v>
      </x:c>
      <x:c r="J1289" s="32" t="n">
        <x:v>0</x:v>
      </x:c>
      <x:c r="K1289" s="30" t="n">
        <x:v>45898</x:v>
      </x:c>
      <x:c r="L1289" s="24" t="str">
        <x:v>입금</x:v>
      </x:c>
      <x:c r="M1289" s="31" t="n">
        <x:f>IF(AND(N1289="미수",G1289&lt;&gt;"",TODAY()&gt;G1289),TODAY()-G1289,0)</x:f>
        <x:v>0</x:v>
      </x:c>
      <x:c r="N1289" s="24" t="str">
        <x:f>IF(J1289&gt;0,"미수",IF(AND(H1289&gt;0,I1289&gt;=H1289),"완납","미확인"))</x:f>
        <x:v>완납</x:v>
      </x:c>
      <x:c r="O1289" s="31" t="n">
        <x:v>61</x:v>
      </x:c>
    </x:row>
    <x:row r="1290" ht="17.25" customHeight="1">
      <x:c r="A1290" s="24" t="str">
        <x:v>SW-B-15가4481-202506</x:v>
      </x:c>
      <x:c r="B1290" s="24" t="str">
        <x:v>스위치플랜</x:v>
      </x:c>
      <x:c r="C1290" s="24" t="str">
        <x:v>SW-C-15가4481-3-20250530-61</x:v>
      </x:c>
      <x:c r="D1290" s="24" t="str">
        <x:v>15가4481</x:v>
      </x:c>
      <x:c r="E1290" s="24" t="str">
        <x:v>이용호</x:v>
      </x:c>
      <x:c r="F1290" s="24" t="str">
        <x:v>2025-06</x:v>
      </x:c>
      <x:c r="G1290" s="30" t="n">
        <x:v>45813</x:v>
      </x:c>
      <x:c r="H1290" s="32" t="n">
        <x:v>1290000</x:v>
      </x:c>
      <x:c r="I1290" s="32" t="n">
        <x:v>1290000</x:v>
      </x:c>
      <x:c r="J1290" s="32" t="n">
        <x:v>0</x:v>
      </x:c>
      <x:c r="K1290" s="30" t="n">
        <x:v>45805</x:v>
      </x:c>
      <x:c r="L1290" s="24" t="str">
        <x:v>입금</x:v>
      </x:c>
      <x:c r="M1290" s="31" t="n">
        <x:f>IF(AND(N1290="미수",G1290&lt;&gt;"",TODAY()&gt;G1290),TODAY()-G1290,0)</x:f>
        <x:v>0</x:v>
      </x:c>
      <x:c r="N1290" s="24" t="str">
        <x:f>IF(J1290&gt;0,"미수",IF(AND(H1290&gt;0,I1290&gt;=H1290),"완납","미확인"))</x:f>
        <x:v>완납</x:v>
      </x:c>
      <x:c r="O1290" s="31" t="n">
        <x:v>61</x:v>
      </x:c>
    </x:row>
    <x:row r="1291" ht="17.25" customHeight="1">
      <x:c r="A1291" s="24" t="str">
        <x:v>SW-B-299수4820-202608</x:v>
      </x:c>
      <x:c r="B1291" s="24" t="str">
        <x:v>스위치플랜</x:v>
      </x:c>
      <x:c r="C1291" s="24" t="str">
        <x:v>SW-C-299수4820-1-26-62</x:v>
      </x:c>
      <x:c r="D1291" s="24" t="str">
        <x:v>299수4820</x:v>
      </x:c>
      <x:c r="E1291" s="24" t="str">
        <x:v>이훈4820</x:v>
      </x:c>
      <x:c r="F1291" s="24" t="str">
        <x:v>2026-08</x:v>
      </x:c>
      <x:c r="G1291" s="30"/>
      <x:c r="H1291" s="32" t="n">
        <x:v>630000</x:v>
      </x:c>
      <x:c r="I1291" s="32"/>
      <x:c r="J1291" s="32" t="n">
        <x:v>2520000</x:v>
      </x:c>
      <x:c r="K1291" s="30"/>
      <x:c r="L1291" s="24" t="str"/>
      <x:c r="M1291" s="31" t="n">
        <x:f>IF(AND(N1291="미수",G1291&lt;&gt;"",TODAY()&gt;G1291),TODAY()-G1291,0)</x:f>
        <x:v>0</x:v>
      </x:c>
      <x:c r="N1291" s="24" t="str">
        <x:f>IF(J1291&gt;0,"미수",IF(AND(H1291&gt;0,I1291&gt;=H1291),"완납","미확인"))</x:f>
        <x:v>미수</x:v>
      </x:c>
      <x:c r="O1291" s="31" t="n">
        <x:v>62</x:v>
      </x:c>
    </x:row>
    <x:row r="1292" ht="17.25" customHeight="1">
      <x:c r="A1292" s="24" t="str">
        <x:v>SW-B-299수4820-202607</x:v>
      </x:c>
      <x:c r="B1292" s="24" t="str">
        <x:v>스위치플랜</x:v>
      </x:c>
      <x:c r="C1292" s="24" t="str">
        <x:v>SW-C-299수4820-1-26-62</x:v>
      </x:c>
      <x:c r="D1292" s="24" t="str">
        <x:v>299수4820</x:v>
      </x:c>
      <x:c r="E1292" s="24" t="str">
        <x:v>이훈4820</x:v>
      </x:c>
      <x:c r="F1292" s="24" t="str">
        <x:v>2026-07</x:v>
      </x:c>
      <x:c r="G1292" s="30"/>
      <x:c r="H1292" s="32" t="n">
        <x:v>630000</x:v>
      </x:c>
      <x:c r="I1292" s="32"/>
      <x:c r="J1292" s="32" t="n">
        <x:v>1890000</x:v>
      </x:c>
      <x:c r="K1292" s="30"/>
      <x:c r="L1292" s="24" t="str"/>
      <x:c r="M1292" s="31" t="n">
        <x:f>IF(AND(N1292="미수",G1292&lt;&gt;"",TODAY()&gt;G1292),TODAY()-G1292,0)</x:f>
        <x:v>0</x:v>
      </x:c>
      <x:c r="N1292" s="24" t="str">
        <x:f>IF(J1292&gt;0,"미수",IF(AND(H1292&gt;0,I1292&gt;=H1292),"완납","미확인"))</x:f>
        <x:v>미수</x:v>
      </x:c>
      <x:c r="O1292" s="31" t="n">
        <x:v>62</x:v>
      </x:c>
    </x:row>
    <x:row r="1293" ht="17.25" customHeight="1">
      <x:c r="A1293" s="24" t="str">
        <x:v>SW-B-299수4820-202606</x:v>
      </x:c>
      <x:c r="B1293" s="24" t="str">
        <x:v>스위치플랜</x:v>
      </x:c>
      <x:c r="C1293" s="24" t="str">
        <x:v>SW-C-299수4820-1-26-62</x:v>
      </x:c>
      <x:c r="D1293" s="24" t="str">
        <x:v>299수4820</x:v>
      </x:c>
      <x:c r="E1293" s="24" t="str">
        <x:v>이훈4820</x:v>
      </x:c>
      <x:c r="F1293" s="24" t="str">
        <x:v>2026-06</x:v>
      </x:c>
      <x:c r="G1293" s="30"/>
      <x:c r="H1293" s="32" t="n">
        <x:v>630000</x:v>
      </x:c>
      <x:c r="I1293" s="32"/>
      <x:c r="J1293" s="32" t="n">
        <x:v>1260000</x:v>
      </x:c>
      <x:c r="K1293" s="30"/>
      <x:c r="L1293" s="24" t="str"/>
      <x:c r="M1293" s="31" t="n">
        <x:f>IF(AND(N1293="미수",G1293&lt;&gt;"",TODAY()&gt;G1293),TODAY()-G1293,0)</x:f>
        <x:v>0</x:v>
      </x:c>
      <x:c r="N1293" s="24" t="str">
        <x:f>IF(J1293&gt;0,"미수",IF(AND(H1293&gt;0,I1293&gt;=H1293),"완납","미확인"))</x:f>
        <x:v>미수</x:v>
      </x:c>
      <x:c r="O1293" s="31" t="n">
        <x:v>62</x:v>
      </x:c>
    </x:row>
    <x:row r="1294" ht="17.25" customHeight="1">
      <x:c r="A1294" s="24" t="str">
        <x:v>SW-B-299수4820-202605</x:v>
      </x:c>
      <x:c r="B1294" s="24" t="str">
        <x:v>스위치플랜</x:v>
      </x:c>
      <x:c r="C1294" s="24" t="str">
        <x:v>SW-C-299수4820-2-20240509-62</x:v>
      </x:c>
      <x:c r="D1294" s="24" t="str">
        <x:v>299수4820</x:v>
      </x:c>
      <x:c r="E1294" s="24" t="str">
        <x:v>이훈4820</x:v>
      </x:c>
      <x:c r="F1294" s="24" t="str">
        <x:v>2026-05</x:v>
      </x:c>
      <x:c r="G1294" s="30"/>
      <x:c r="H1294" s="32" t="n">
        <x:v>630000</x:v>
      </x:c>
      <x:c r="I1294" s="32"/>
      <x:c r="J1294" s="32" t="n">
        <x:v>630000</x:v>
      </x:c>
      <x:c r="K1294" s="30"/>
      <x:c r="L1294" s="24" t="str"/>
      <x:c r="M1294" s="31" t="n">
        <x:f>IF(AND(N1294="미수",G1294&lt;&gt;"",TODAY()&gt;G1294),TODAY()-G1294,0)</x:f>
        <x:v>0</x:v>
      </x:c>
      <x:c r="N1294" s="24" t="str">
        <x:f>IF(J1294&gt;0,"미수",IF(AND(H1294&gt;0,I1294&gt;=H1294),"완납","미확인"))</x:f>
        <x:v>미수</x:v>
      </x:c>
      <x:c r="O1294" s="31" t="n">
        <x:v>62</x:v>
      </x:c>
    </x:row>
    <x:row r="1295" ht="17.25" customHeight="1">
      <x:c r="A1295" s="24" t="str">
        <x:v>SW-B-299수4820-202604</x:v>
      </x:c>
      <x:c r="B1295" s="24" t="str">
        <x:v>스위치플랜</x:v>
      </x:c>
      <x:c r="C1295" s="24" t="str">
        <x:v>SW-C-299수4820-2-20240509-62</x:v>
      </x:c>
      <x:c r="D1295" s="24" t="str">
        <x:v>299수4820</x:v>
      </x:c>
      <x:c r="E1295" s="24" t="str">
        <x:v>이훈4820</x:v>
      </x:c>
      <x:c r="F1295" s="24" t="str">
        <x:v>2026-04</x:v>
      </x:c>
      <x:c r="G1295" s="30"/>
      <x:c r="H1295" s="32" t="n">
        <x:v>0</x:v>
      </x:c>
      <x:c r="I1295" s="32"/>
      <x:c r="J1295" s="32" t="n">
        <x:v>0</x:v>
      </x:c>
      <x:c r="K1295" s="30"/>
      <x:c r="L1295" s="24" t="str"/>
      <x:c r="M1295" s="31" t="n">
        <x:f>IF(AND(N1295="미수",G1295&lt;&gt;"",TODAY()&gt;G1295),TODAY()-G1295,0)</x:f>
        <x:v>0</x:v>
      </x:c>
      <x:c r="N1295" s="24" t="str">
        <x:f>IF(J1295&gt;0,"미수",IF(AND(H1295&gt;0,I1295&gt;=H1295),"완납","미확인"))</x:f>
        <x:v>미확인</x:v>
      </x:c>
      <x:c r="O1295" s="31" t="n">
        <x:v>62</x:v>
      </x:c>
    </x:row>
    <x:row r="1296" ht="17.25" customHeight="1">
      <x:c r="A1296" s="24" t="str">
        <x:v>SW-B-299수4820-202603</x:v>
      </x:c>
      <x:c r="B1296" s="24" t="str">
        <x:v>스위치플랜</x:v>
      </x:c>
      <x:c r="C1296" s="24" t="str">
        <x:v>SW-C-299수4820-2-20240509-62</x:v>
      </x:c>
      <x:c r="D1296" s="24" t="str">
        <x:v>299수4820</x:v>
      </x:c>
      <x:c r="E1296" s="24" t="str">
        <x:v>이훈4820</x:v>
      </x:c>
      <x:c r="F1296" s="24" t="str">
        <x:v>2026-03</x:v>
      </x:c>
      <x:c r="G1296" s="30"/>
      <x:c r="H1296" s="32" t="n">
        <x:v>0</x:v>
      </x:c>
      <x:c r="I1296" s="32"/>
      <x:c r="J1296" s="32" t="n">
        <x:v>0</x:v>
      </x:c>
      <x:c r="K1296" s="30"/>
      <x:c r="L1296" s="24" t="str"/>
      <x:c r="M1296" s="31" t="n">
        <x:f>IF(AND(N1296="미수",G1296&lt;&gt;"",TODAY()&gt;G1296),TODAY()-G1296,0)</x:f>
        <x:v>0</x:v>
      </x:c>
      <x:c r="N1296" s="24" t="str">
        <x:f>IF(J1296&gt;0,"미수",IF(AND(H1296&gt;0,I1296&gt;=H1296),"완납","미확인"))</x:f>
        <x:v>미확인</x:v>
      </x:c>
      <x:c r="O1296" s="31" t="n">
        <x:v>62</x:v>
      </x:c>
    </x:row>
    <x:row r="1297" ht="17.25" customHeight="1">
      <x:c r="A1297" s="24" t="str">
        <x:v>SW-B-299수4820-202602</x:v>
      </x:c>
      <x:c r="B1297" s="24" t="str">
        <x:v>스위치플랜</x:v>
      </x:c>
      <x:c r="C1297" s="24" t="str">
        <x:v>SW-C-299수4820-2-20240509-62</x:v>
      </x:c>
      <x:c r="D1297" s="24" t="str">
        <x:v>299수4820</x:v>
      </x:c>
      <x:c r="E1297" s="24" t="str">
        <x:v>이훈4820</x:v>
      </x:c>
      <x:c r="F1297" s="24" t="str">
        <x:v>2026-02</x:v>
      </x:c>
      <x:c r="G1297" s="30"/>
      <x:c r="H1297" s="32" t="n">
        <x:v>0</x:v>
      </x:c>
      <x:c r="I1297" s="32"/>
      <x:c r="J1297" s="32" t="n">
        <x:v>0</x:v>
      </x:c>
      <x:c r="K1297" s="30"/>
      <x:c r="L1297" s="24" t="str"/>
      <x:c r="M1297" s="31" t="n">
        <x:f>IF(AND(N1297="미수",G1297&lt;&gt;"",TODAY()&gt;G1297),TODAY()-G1297,0)</x:f>
        <x:v>0</x:v>
      </x:c>
      <x:c r="N1297" s="24" t="str">
        <x:f>IF(J1297&gt;0,"미수",IF(AND(H1297&gt;0,I1297&gt;=H1297),"완납","미확인"))</x:f>
        <x:v>미확인</x:v>
      </x:c>
      <x:c r="O1297" s="31" t="n">
        <x:v>62</x:v>
      </x:c>
    </x:row>
    <x:row r="1298" ht="17.25" customHeight="1">
      <x:c r="A1298" s="24" t="str">
        <x:v>SW-B-299수4820-202512</x:v>
      </x:c>
      <x:c r="B1298" s="24" t="str">
        <x:v>스위치플랜</x:v>
      </x:c>
      <x:c r="C1298" s="24" t="str">
        <x:v>SW-C-299수4820-2-20240509-62</x:v>
      </x:c>
      <x:c r="D1298" s="24" t="str">
        <x:v>299수4820</x:v>
      </x:c>
      <x:c r="E1298" s="24" t="str">
        <x:v>이훈4820</x:v>
      </x:c>
      <x:c r="F1298" s="24" t="str">
        <x:v>2025-12</x:v>
      </x:c>
      <x:c r="G1298" s="30"/>
      <x:c r="H1298" s="32"/>
      <x:c r="I1298" s="32"/>
      <x:c r="J1298" s="32" t="n">
        <x:v>0</x:v>
      </x:c>
      <x:c r="K1298" s="30"/>
      <x:c r="L1298" s="24" t="str"/>
      <x:c r="M1298" s="31" t="n">
        <x:f>IF(AND(N1298="미수",G1298&lt;&gt;"",TODAY()&gt;G1298),TODAY()-G1298,0)</x:f>
        <x:v>0</x:v>
      </x:c>
      <x:c r="N1298" s="24" t="str">
        <x:f>IF(J1298&gt;0,"미수",IF(AND(H1298&gt;0,I1298&gt;=H1298),"완납","미확인"))</x:f>
        <x:v>미확인</x:v>
      </x:c>
      <x:c r="O1298" s="31" t="n">
        <x:v>62</x:v>
      </x:c>
    </x:row>
    <x:row r="1299" ht="17.25" customHeight="1">
      <x:c r="A1299" s="24" t="str">
        <x:v>SW-B-299수4820-202511</x:v>
      </x:c>
      <x:c r="B1299" s="24" t="str">
        <x:v>스위치플랜</x:v>
      </x:c>
      <x:c r="C1299" s="24" t="str">
        <x:v>SW-C-299수4820-2-20240509-62</x:v>
      </x:c>
      <x:c r="D1299" s="24" t="str">
        <x:v>299수4820</x:v>
      </x:c>
      <x:c r="E1299" s="24" t="str">
        <x:v>이훈4820</x:v>
      </x:c>
      <x:c r="F1299" s="24" t="str">
        <x:v>2025-11</x:v>
      </x:c>
      <x:c r="G1299" s="30"/>
      <x:c r="H1299" s="32" t="n">
        <x:v>550000</x:v>
      </x:c>
      <x:c r="I1299" s="32"/>
      <x:c r="J1299" s="32" t="n">
        <x:v>1650000</x:v>
      </x:c>
      <x:c r="K1299" s="30"/>
      <x:c r="L1299" s="24" t="str"/>
      <x:c r="M1299" s="31" t="n">
        <x:f>IF(AND(N1299="미수",G1299&lt;&gt;"",TODAY()&gt;G1299),TODAY()-G1299,0)</x:f>
        <x:v>0</x:v>
      </x:c>
      <x:c r="N1299" s="24" t="str">
        <x:f>IF(J1299&gt;0,"미수",IF(AND(H1299&gt;0,I1299&gt;=H1299),"완납","미확인"))</x:f>
        <x:v>미수</x:v>
      </x:c>
      <x:c r="O1299" s="31" t="n">
        <x:v>62</x:v>
      </x:c>
    </x:row>
    <x:row r="1300" ht="17.25" customHeight="1">
      <x:c r="A1300" s="24" t="str">
        <x:v>SW-B-299수4820-202510</x:v>
      </x:c>
      <x:c r="B1300" s="24" t="str">
        <x:v>스위치플랜</x:v>
      </x:c>
      <x:c r="C1300" s="24" t="str">
        <x:v>SW-C-299수4820-2-20240509-62</x:v>
      </x:c>
      <x:c r="D1300" s="24" t="str">
        <x:v>299수4820</x:v>
      </x:c>
      <x:c r="E1300" s="24" t="str">
        <x:v>이훈4820</x:v>
      </x:c>
      <x:c r="F1300" s="24" t="str">
        <x:v>2025-10</x:v>
      </x:c>
      <x:c r="G1300" s="30"/>
      <x:c r="H1300" s="32" t="n">
        <x:v>550000</x:v>
      </x:c>
      <x:c r="I1300" s="32"/>
      <x:c r="J1300" s="32" t="n">
        <x:v>1100000</x:v>
      </x:c>
      <x:c r="K1300" s="30"/>
      <x:c r="L1300" s="24" t="str"/>
      <x:c r="M1300" s="31" t="n">
        <x:f>IF(AND(N1300="미수",G1300&lt;&gt;"",TODAY()&gt;G1300),TODAY()-G1300,0)</x:f>
        <x:v>0</x:v>
      </x:c>
      <x:c r="N1300" s="24" t="str">
        <x:f>IF(J1300&gt;0,"미수",IF(AND(H1300&gt;0,I1300&gt;=H1300),"완납","미확인"))</x:f>
        <x:v>미수</x:v>
      </x:c>
      <x:c r="O1300" s="31" t="n">
        <x:v>62</x:v>
      </x:c>
    </x:row>
    <x:row r="1301" ht="17.25" customHeight="1">
      <x:c r="A1301" s="24" t="str">
        <x:v>SW-B-299수4820-202509</x:v>
      </x:c>
      <x:c r="B1301" s="24" t="str">
        <x:v>스위치플랜</x:v>
      </x:c>
      <x:c r="C1301" s="24" t="str">
        <x:v>SW-C-299수4820-2-20240509-62</x:v>
      </x:c>
      <x:c r="D1301" s="24" t="str">
        <x:v>299수4820</x:v>
      </x:c>
      <x:c r="E1301" s="24" t="str">
        <x:v>이훈4820</x:v>
      </x:c>
      <x:c r="F1301" s="24" t="str">
        <x:v>2025-09</x:v>
      </x:c>
      <x:c r="G1301" s="30"/>
      <x:c r="H1301" s="32" t="n">
        <x:v>550000</x:v>
      </x:c>
      <x:c r="I1301" s="32"/>
      <x:c r="J1301" s="32" t="n">
        <x:v>550000</x:v>
      </x:c>
      <x:c r="K1301" s="30"/>
      <x:c r="L1301" s="24" t="str"/>
      <x:c r="M1301" s="31" t="n">
        <x:f>IF(AND(N1301="미수",G1301&lt;&gt;"",TODAY()&gt;G1301),TODAY()-G1301,0)</x:f>
        <x:v>0</x:v>
      </x:c>
      <x:c r="N1301" s="24" t="str">
        <x:f>IF(J1301&gt;0,"미수",IF(AND(H1301&gt;0,I1301&gt;=H1301),"완납","미확인"))</x:f>
        <x:v>미수</x:v>
      </x:c>
      <x:c r="O1301" s="31" t="n">
        <x:v>62</x:v>
      </x:c>
    </x:row>
    <x:row r="1302" ht="17.25" customHeight="1">
      <x:c r="A1302" s="24" t="str">
        <x:v>SW-B-299수4820-202508</x:v>
      </x:c>
      <x:c r="B1302" s="24" t="str">
        <x:v>스위치플랜</x:v>
      </x:c>
      <x:c r="C1302" s="24" t="str">
        <x:v>SW-C-299수4820-2-20240509-62</x:v>
      </x:c>
      <x:c r="D1302" s="24" t="str">
        <x:v>299수4820</x:v>
      </x:c>
      <x:c r="E1302" s="24" t="str">
        <x:v>이훈4820</x:v>
      </x:c>
      <x:c r="F1302" s="24" t="str">
        <x:v>2025-08</x:v>
      </x:c>
      <x:c r="G1302" s="30"/>
      <x:c r="H1302" s="32" t="n">
        <x:v>550000</x:v>
      </x:c>
      <x:c r="I1302" s="32" t="n">
        <x:v>550000</x:v>
      </x:c>
      <x:c r="J1302" s="32" t="n">
        <x:v>0</x:v>
      </x:c>
      <x:c r="K1302" s="30" t="n">
        <x:v>45881</x:v>
      </x:c>
      <x:c r="L1302" s="24" t="str">
        <x:v>입금</x:v>
      </x:c>
      <x:c r="M1302" s="31" t="n">
        <x:f>IF(AND(N1302="미수",G1302&lt;&gt;"",TODAY()&gt;G1302),TODAY()-G1302,0)</x:f>
        <x:v>0</x:v>
      </x:c>
      <x:c r="N1302" s="24" t="str">
        <x:f>IF(J1302&gt;0,"미수",IF(AND(H1302&gt;0,I1302&gt;=H1302),"완납","미확인"))</x:f>
        <x:v>완납</x:v>
      </x:c>
      <x:c r="O1302" s="31" t="n">
        <x:v>62</x:v>
      </x:c>
    </x:row>
    <x:row r="1303" ht="17.25" customHeight="1">
      <x:c r="A1303" s="24" t="str">
        <x:v>SW-B-299수4820-202507</x:v>
      </x:c>
      <x:c r="B1303" s="24" t="str">
        <x:v>스위치플랜</x:v>
      </x:c>
      <x:c r="C1303" s="24" t="str">
        <x:v>SW-C-299수4820-2-20240509-62</x:v>
      </x:c>
      <x:c r="D1303" s="24" t="str">
        <x:v>299수4820</x:v>
      </x:c>
      <x:c r="E1303" s="24" t="str">
        <x:v>이훈4820</x:v>
      </x:c>
      <x:c r="F1303" s="24" t="str">
        <x:v>2025-07</x:v>
      </x:c>
      <x:c r="G1303" s="30"/>
      <x:c r="H1303" s="32" t="n">
        <x:v>550000</x:v>
      </x:c>
      <x:c r="I1303" s="32" t="n">
        <x:v>550000</x:v>
      </x:c>
      <x:c r="J1303" s="32" t="n">
        <x:v>0</x:v>
      </x:c>
      <x:c r="K1303" s="30" t="n">
        <x:v>45849</x:v>
      </x:c>
      <x:c r="L1303" s="24" t="str">
        <x:v>입금</x:v>
      </x:c>
      <x:c r="M1303" s="31" t="n">
        <x:f>IF(AND(N1303="미수",G1303&lt;&gt;"",TODAY()&gt;G1303),TODAY()-G1303,0)</x:f>
        <x:v>0</x:v>
      </x:c>
      <x:c r="N1303" s="24" t="str">
        <x:f>IF(J1303&gt;0,"미수",IF(AND(H1303&gt;0,I1303&gt;=H1303),"완납","미확인"))</x:f>
        <x:v>완납</x:v>
      </x:c>
      <x:c r="O1303" s="31" t="n">
        <x:v>62</x:v>
      </x:c>
    </x:row>
    <x:row r="1304" ht="17.25" customHeight="1">
      <x:c r="A1304" s="24" t="str">
        <x:v>SW-B-299수4820-202506</x:v>
      </x:c>
      <x:c r="B1304" s="24" t="str">
        <x:v>스위치플랜</x:v>
      </x:c>
      <x:c r="C1304" s="24" t="str">
        <x:v>SW-C-299수4820-2-20240509-62</x:v>
      </x:c>
      <x:c r="D1304" s="24" t="str">
        <x:v>299수4820</x:v>
      </x:c>
      <x:c r="E1304" s="24" t="str">
        <x:v>이훈4820</x:v>
      </x:c>
      <x:c r="F1304" s="24" t="str">
        <x:v>2025-06</x:v>
      </x:c>
      <x:c r="G1304" s="30"/>
      <x:c r="H1304" s="32" t="n">
        <x:v>550000</x:v>
      </x:c>
      <x:c r="I1304" s="32" t="n">
        <x:v>550000</x:v>
      </x:c>
      <x:c r="J1304" s="32" t="n">
        <x:v>0</x:v>
      </x:c>
      <x:c r="K1304" s="30" t="n">
        <x:v>45841</x:v>
      </x:c>
      <x:c r="L1304" s="24" t="str">
        <x:v>입금</x:v>
      </x:c>
      <x:c r="M1304" s="31" t="n">
        <x:f>IF(AND(N1304="미수",G1304&lt;&gt;"",TODAY()&gt;G1304),TODAY()-G1304,0)</x:f>
        <x:v>0</x:v>
      </x:c>
      <x:c r="N1304" s="24" t="str">
        <x:f>IF(J1304&gt;0,"미수",IF(AND(H1304&gt;0,I1304&gt;=H1304),"완납","미확인"))</x:f>
        <x:v>완납</x:v>
      </x:c>
      <x:c r="O1304" s="31" t="n">
        <x:v>62</x:v>
      </x:c>
    </x:row>
    <x:row r="1305" ht="17.25" customHeight="1">
      <x:c r="A1305" s="24" t="str">
        <x:v>SW-B-299수4820-202505</x:v>
      </x:c>
      <x:c r="B1305" s="24" t="str">
        <x:v>스위치플랜</x:v>
      </x:c>
      <x:c r="C1305" s="24" t="str">
        <x:v>SW-C-299수4820-2-20240509-62</x:v>
      </x:c>
      <x:c r="D1305" s="24" t="str">
        <x:v>299수4820</x:v>
      </x:c>
      <x:c r="E1305" s="24" t="str">
        <x:v>이훈4820</x:v>
      </x:c>
      <x:c r="F1305" s="24" t="str">
        <x:v>2025-05</x:v>
      </x:c>
      <x:c r="G1305" s="30"/>
      <x:c r="H1305" s="32" t="n">
        <x:v>550000</x:v>
      </x:c>
      <x:c r="I1305" s="32" t="n">
        <x:v>550000</x:v>
      </x:c>
      <x:c r="J1305" s="32" t="n">
        <x:v>0</x:v>
      </x:c>
      <x:c r="K1305" s="30" t="n">
        <x:v>45790</x:v>
      </x:c>
      <x:c r="L1305" s="24" t="str">
        <x:v>입금</x:v>
      </x:c>
      <x:c r="M1305" s="31" t="n">
        <x:f>IF(AND(N1305="미수",G1305&lt;&gt;"",TODAY()&gt;G1305),TODAY()-G1305,0)</x:f>
        <x:v>0</x:v>
      </x:c>
      <x:c r="N1305" s="24" t="str">
        <x:f>IF(J1305&gt;0,"미수",IF(AND(H1305&gt;0,I1305&gt;=H1305),"완납","미확인"))</x:f>
        <x:v>완납</x:v>
      </x:c>
      <x:c r="O1305" s="31" t="n">
        <x:v>62</x:v>
      </x:c>
    </x:row>
    <x:row r="1306" ht="17.25" customHeight="1">
      <x:c r="A1306" s="24" t="str">
        <x:v>SW-B-299수4820-202504</x:v>
      </x:c>
      <x:c r="B1306" s="24" t="str">
        <x:v>스위치플랜</x:v>
      </x:c>
      <x:c r="C1306" s="24" t="str">
        <x:v>SW-C-299수4820-2-20240509-62</x:v>
      </x:c>
      <x:c r="D1306" s="24" t="str">
        <x:v>299수4820</x:v>
      </x:c>
      <x:c r="E1306" s="24" t="str">
        <x:v>이훈4820</x:v>
      </x:c>
      <x:c r="F1306" s="24" t="str">
        <x:v>2025-04</x:v>
      </x:c>
      <x:c r="G1306" s="30"/>
      <x:c r="H1306" s="32" t="n">
        <x:v>550000</x:v>
      </x:c>
      <x:c r="I1306" s="32" t="n">
        <x:v>550000</x:v>
      </x:c>
      <x:c r="J1306" s="32" t="n">
        <x:v>0</x:v>
      </x:c>
      <x:c r="K1306" s="30" t="n">
        <x:v>45769</x:v>
      </x:c>
      <x:c r="L1306" s="24" t="str">
        <x:v>입금</x:v>
      </x:c>
      <x:c r="M1306" s="31" t="n">
        <x:f>IF(AND(N1306="미수",G1306&lt;&gt;"",TODAY()&gt;G1306),TODAY()-G1306,0)</x:f>
        <x:v>0</x:v>
      </x:c>
      <x:c r="N1306" s="24" t="str">
        <x:f>IF(J1306&gt;0,"미수",IF(AND(H1306&gt;0,I1306&gt;=H1306),"완납","미확인"))</x:f>
        <x:v>완납</x:v>
      </x:c>
      <x:c r="O1306" s="31" t="n">
        <x:v>62</x:v>
      </x:c>
    </x:row>
    <x:row r="1307" ht="17.25" customHeight="1">
      <x:c r="A1307" s="24" t="str">
        <x:v>SW-B-299수4820-202503</x:v>
      </x:c>
      <x:c r="B1307" s="24" t="str">
        <x:v>스위치플랜</x:v>
      </x:c>
      <x:c r="C1307" s="24" t="str">
        <x:v>SW-C-299수4820-2-20240509-62</x:v>
      </x:c>
      <x:c r="D1307" s="24" t="str">
        <x:v>299수4820</x:v>
      </x:c>
      <x:c r="E1307" s="24" t="str">
        <x:v>이훈4820</x:v>
      </x:c>
      <x:c r="F1307" s="24" t="str">
        <x:v>2025-03</x:v>
      </x:c>
      <x:c r="G1307" s="30"/>
      <x:c r="H1307" s="32" t="n">
        <x:v>550000</x:v>
      </x:c>
      <x:c r="I1307" s="32" t="n">
        <x:v>550000</x:v>
      </x:c>
      <x:c r="J1307" s="32" t="n">
        <x:v>0</x:v>
      </x:c>
      <x:c r="K1307" s="30" t="n">
        <x:v>45734</x:v>
      </x:c>
      <x:c r="L1307" s="24" t="str">
        <x:v>입금</x:v>
      </x:c>
      <x:c r="M1307" s="31" t="n">
        <x:f>IF(AND(N1307="미수",G1307&lt;&gt;"",TODAY()&gt;G1307),TODAY()-G1307,0)</x:f>
        <x:v>0</x:v>
      </x:c>
      <x:c r="N1307" s="24" t="str">
        <x:f>IF(J1307&gt;0,"미수",IF(AND(H1307&gt;0,I1307&gt;=H1307),"완납","미확인"))</x:f>
        <x:v>완납</x:v>
      </x:c>
      <x:c r="O1307" s="31" t="n">
        <x:v>62</x:v>
      </x:c>
    </x:row>
    <x:row r="1308" ht="17.25" customHeight="1">
      <x:c r="A1308" s="24" t="str">
        <x:v>SW-B-299수4820-202502</x:v>
      </x:c>
      <x:c r="B1308" s="24" t="str">
        <x:v>스위치플랜</x:v>
      </x:c>
      <x:c r="C1308" s="24" t="str">
        <x:v>SW-C-299수4820-2-20240509-62</x:v>
      </x:c>
      <x:c r="D1308" s="24" t="str">
        <x:v>299수4820</x:v>
      </x:c>
      <x:c r="E1308" s="24" t="str">
        <x:v>이훈4820</x:v>
      </x:c>
      <x:c r="F1308" s="24" t="str">
        <x:v>2025-02</x:v>
      </x:c>
      <x:c r="G1308" s="30"/>
      <x:c r="H1308" s="32" t="n">
        <x:v>550000</x:v>
      </x:c>
      <x:c r="I1308" s="32" t="n">
        <x:v>550000</x:v>
      </x:c>
      <x:c r="J1308" s="32" t="n">
        <x:v>0</x:v>
      </x:c>
      <x:c r="K1308" s="30" t="n">
        <x:v>45698</x:v>
      </x:c>
      <x:c r="L1308" s="24" t="str">
        <x:v>자동</x:v>
      </x:c>
      <x:c r="M1308" s="31" t="n">
        <x:f>IF(AND(N1308="미수",G1308&lt;&gt;"",TODAY()&gt;G1308),TODAY()-G1308,0)</x:f>
        <x:v>0</x:v>
      </x:c>
      <x:c r="N1308" s="24" t="str">
        <x:f>IF(J1308&gt;0,"미수",IF(AND(H1308&gt;0,I1308&gt;=H1308),"완납","미확인"))</x:f>
        <x:v>완납</x:v>
      </x:c>
      <x:c r="O1308" s="31" t="n">
        <x:v>62</x:v>
      </x:c>
    </x:row>
    <x:row r="1309" ht="17.25" customHeight="1">
      <x:c r="A1309" s="24" t="str">
        <x:v>SW-B-299수4820-202501</x:v>
      </x:c>
      <x:c r="B1309" s="24" t="str">
        <x:v>스위치플랜</x:v>
      </x:c>
      <x:c r="C1309" s="24" t="str">
        <x:v>SW-C-299수4820-2-20240509-62</x:v>
      </x:c>
      <x:c r="D1309" s="24" t="str">
        <x:v>299수4820</x:v>
      </x:c>
      <x:c r="E1309" s="24" t="str">
        <x:v>이훈4820</x:v>
      </x:c>
      <x:c r="F1309" s="24" t="str">
        <x:v>2025-01</x:v>
      </x:c>
      <x:c r="G1309" s="30"/>
      <x:c r="H1309" s="32" t="n">
        <x:v>550000</x:v>
      </x:c>
      <x:c r="I1309" s="32" t="n">
        <x:v>550000</x:v>
      </x:c>
      <x:c r="J1309" s="32" t="n">
        <x:v>0</x:v>
      </x:c>
      <x:c r="K1309" s="30" t="n">
        <x:v>45667</x:v>
      </x:c>
      <x:c r="L1309" s="24" t="str">
        <x:v>자동</x:v>
      </x:c>
      <x:c r="M1309" s="31" t="n">
        <x:f>IF(AND(N1309="미수",G1309&lt;&gt;"",TODAY()&gt;G1309),TODAY()-G1309,0)</x:f>
        <x:v>0</x:v>
      </x:c>
      <x:c r="N1309" s="24" t="str">
        <x:f>IF(J1309&gt;0,"미수",IF(AND(H1309&gt;0,I1309&gt;=H1309),"완납","미확인"))</x:f>
        <x:v>완납</x:v>
      </x:c>
      <x:c r="O1309" s="31" t="n">
        <x:v>62</x:v>
      </x:c>
    </x:row>
    <x:row r="1310" ht="17.25" customHeight="1">
      <x:c r="A1310" s="24" t="str">
        <x:v>SW-B-299수4820-202412</x:v>
      </x:c>
      <x:c r="B1310" s="24" t="str">
        <x:v>스위치플랜</x:v>
      </x:c>
      <x:c r="C1310" s="24" t="str">
        <x:v>SW-C-299수4820-2-20240509-62</x:v>
      </x:c>
      <x:c r="D1310" s="24" t="str">
        <x:v>299수4820</x:v>
      </x:c>
      <x:c r="E1310" s="24" t="str">
        <x:v>이훈4820</x:v>
      </x:c>
      <x:c r="F1310" s="24" t="str">
        <x:v>2024-12</x:v>
      </x:c>
      <x:c r="G1310" s="30"/>
      <x:c r="H1310" s="32" t="n">
        <x:v>550000</x:v>
      </x:c>
      <x:c r="I1310" s="32" t="n">
        <x:v>550000</x:v>
      </x:c>
      <x:c r="J1310" s="32" t="n">
        <x:v>0</x:v>
      </x:c>
      <x:c r="K1310" s="30" t="n">
        <x:v>45636</x:v>
      </x:c>
      <x:c r="L1310" s="24" t="str">
        <x:v>자동</x:v>
      </x:c>
      <x:c r="M1310" s="31" t="n">
        <x:f>IF(AND(N1310="미수",G1310&lt;&gt;"",TODAY()&gt;G1310),TODAY()-G1310,0)</x:f>
        <x:v>0</x:v>
      </x:c>
      <x:c r="N1310" s="24" t="str">
        <x:f>IF(J1310&gt;0,"미수",IF(AND(H1310&gt;0,I1310&gt;=H1310),"완납","미확인"))</x:f>
        <x:v>완납</x:v>
      </x:c>
      <x:c r="O1310" s="31" t="n">
        <x:v>62</x:v>
      </x:c>
    </x:row>
    <x:row r="1311" ht="17.25" customHeight="1">
      <x:c r="A1311" s="24" t="str">
        <x:v>SW-B-299수4820-202411</x:v>
      </x:c>
      <x:c r="B1311" s="24" t="str">
        <x:v>스위치플랜</x:v>
      </x:c>
      <x:c r="C1311" s="24" t="str">
        <x:v>SW-C-299수4820-2-20240509-62</x:v>
      </x:c>
      <x:c r="D1311" s="24" t="str">
        <x:v>299수4820</x:v>
      </x:c>
      <x:c r="E1311" s="24" t="str">
        <x:v>이훈4820</x:v>
      </x:c>
      <x:c r="F1311" s="24" t="str">
        <x:v>2024-11</x:v>
      </x:c>
      <x:c r="G1311" s="30"/>
      <x:c r="H1311" s="32" t="n">
        <x:v>550000</x:v>
      </x:c>
      <x:c r="I1311" s="32" t="n">
        <x:v>550000</x:v>
      </x:c>
      <x:c r="J1311" s="32" t="n">
        <x:v>0</x:v>
      </x:c>
      <x:c r="K1311" s="30" t="n">
        <x:v>45607</x:v>
      </x:c>
      <x:c r="L1311" s="24" t="str">
        <x:v>자동</x:v>
      </x:c>
      <x:c r="M1311" s="31" t="n">
        <x:f>IF(AND(N1311="미수",G1311&lt;&gt;"",TODAY()&gt;G1311),TODAY()-G1311,0)</x:f>
        <x:v>0</x:v>
      </x:c>
      <x:c r="N1311" s="24" t="str">
        <x:f>IF(J1311&gt;0,"미수",IF(AND(H1311&gt;0,I1311&gt;=H1311),"완납","미확인"))</x:f>
        <x:v>완납</x:v>
      </x:c>
      <x:c r="O1311" s="31" t="n">
        <x:v>62</x:v>
      </x:c>
    </x:row>
    <x:row r="1312" ht="17.25" customHeight="1">
      <x:c r="A1312" s="24" t="str">
        <x:v>SW-B-299수4820-202410</x:v>
      </x:c>
      <x:c r="B1312" s="24" t="str">
        <x:v>스위치플랜</x:v>
      </x:c>
      <x:c r="C1312" s="24" t="str">
        <x:v>SW-C-299수4820-2-20240509-62</x:v>
      </x:c>
      <x:c r="D1312" s="24" t="str">
        <x:v>299수4820</x:v>
      </x:c>
      <x:c r="E1312" s="24" t="str">
        <x:v>이훈4820</x:v>
      </x:c>
      <x:c r="F1312" s="24" t="str">
        <x:v>2024-10</x:v>
      </x:c>
      <x:c r="G1312" s="30"/>
      <x:c r="H1312" s="32" t="n">
        <x:v>550000</x:v>
      </x:c>
      <x:c r="I1312" s="32" t="n">
        <x:v>550000</x:v>
      </x:c>
      <x:c r="J1312" s="32" t="n">
        <x:v>0</x:v>
      </x:c>
      <x:c r="K1312" s="30" t="n">
        <x:v>45575</x:v>
      </x:c>
      <x:c r="L1312" s="24" t="str">
        <x:v>자동</x:v>
      </x:c>
      <x:c r="M1312" s="31" t="n">
        <x:f>IF(AND(N1312="미수",G1312&lt;&gt;"",TODAY()&gt;G1312),TODAY()-G1312,0)</x:f>
        <x:v>0</x:v>
      </x:c>
      <x:c r="N1312" s="24" t="str">
        <x:f>IF(J1312&gt;0,"미수",IF(AND(H1312&gt;0,I1312&gt;=H1312),"완납","미확인"))</x:f>
        <x:v>완납</x:v>
      </x:c>
      <x:c r="O1312" s="31" t="n">
        <x:v>62</x:v>
      </x:c>
    </x:row>
    <x:row r="1313" ht="17.25" customHeight="1">
      <x:c r="A1313" s="24" t="str">
        <x:v>SW-B-299수4820-202409</x:v>
      </x:c>
      <x:c r="B1313" s="24" t="str">
        <x:v>스위치플랜</x:v>
      </x:c>
      <x:c r="C1313" s="24" t="str">
        <x:v>SW-C-299수4820-2-20240509-62</x:v>
      </x:c>
      <x:c r="D1313" s="24" t="str">
        <x:v>299수4820</x:v>
      </x:c>
      <x:c r="E1313" s="24" t="str">
        <x:v>이훈4820</x:v>
      </x:c>
      <x:c r="F1313" s="24" t="str">
        <x:v>2024-09</x:v>
      </x:c>
      <x:c r="G1313" s="30"/>
      <x:c r="H1313" s="32" t="n">
        <x:v>550000</x:v>
      </x:c>
      <x:c r="I1313" s="32" t="n">
        <x:v>550000</x:v>
      </x:c>
      <x:c r="J1313" s="32" t="n">
        <x:v>0</x:v>
      </x:c>
      <x:c r="K1313" s="30" t="n">
        <x:v>45545</x:v>
      </x:c>
      <x:c r="L1313" s="24" t="str">
        <x:v>자동</x:v>
      </x:c>
      <x:c r="M1313" s="31" t="n">
        <x:f>IF(AND(N1313="미수",G1313&lt;&gt;"",TODAY()&gt;G1313),TODAY()-G1313,0)</x:f>
        <x:v>0</x:v>
      </x:c>
      <x:c r="N1313" s="24" t="str">
        <x:f>IF(J1313&gt;0,"미수",IF(AND(H1313&gt;0,I1313&gt;=H1313),"완납","미확인"))</x:f>
        <x:v>완납</x:v>
      </x:c>
      <x:c r="O1313" s="31" t="n">
        <x:v>62</x:v>
      </x:c>
    </x:row>
    <x:row r="1314" ht="17.25" customHeight="1">
      <x:c r="A1314" s="24" t="str">
        <x:v>SW-B-299수4820-202408</x:v>
      </x:c>
      <x:c r="B1314" s="24" t="str">
        <x:v>스위치플랜</x:v>
      </x:c>
      <x:c r="C1314" s="24" t="str">
        <x:v>SW-C-299수4820-2-20240509-62</x:v>
      </x:c>
      <x:c r="D1314" s="24" t="str">
        <x:v>299수4820</x:v>
      </x:c>
      <x:c r="E1314" s="24" t="str">
        <x:v>이훈4820</x:v>
      </x:c>
      <x:c r="F1314" s="24" t="str">
        <x:v>2024-08</x:v>
      </x:c>
      <x:c r="G1314" s="30"/>
      <x:c r="H1314" s="32" t="n">
        <x:v>550000</x:v>
      </x:c>
      <x:c r="I1314" s="32" t="n">
        <x:v>550000</x:v>
      </x:c>
      <x:c r="J1314" s="32" t="n">
        <x:v>0</x:v>
      </x:c>
      <x:c r="K1314" s="30" t="n">
        <x:v>45516</x:v>
      </x:c>
      <x:c r="L1314" s="24" t="str">
        <x:v>자동</x:v>
      </x:c>
      <x:c r="M1314" s="31" t="n">
        <x:f>IF(AND(N1314="미수",G1314&lt;&gt;"",TODAY()&gt;G1314),TODAY()-G1314,0)</x:f>
        <x:v>0</x:v>
      </x:c>
      <x:c r="N1314" s="24" t="str">
        <x:f>IF(J1314&gt;0,"미수",IF(AND(H1314&gt;0,I1314&gt;=H1314),"완납","미확인"))</x:f>
        <x:v>완납</x:v>
      </x:c>
      <x:c r="O1314" s="31" t="n">
        <x:v>62</x:v>
      </x:c>
    </x:row>
    <x:row r="1315" ht="17.25" customHeight="1">
      <x:c r="A1315" s="24" t="str">
        <x:v>SW-B-299수4820-202407</x:v>
      </x:c>
      <x:c r="B1315" s="24" t="str">
        <x:v>스위치플랜</x:v>
      </x:c>
      <x:c r="C1315" s="24" t="str">
        <x:v>SW-C-299수4820-2-20240509-62</x:v>
      </x:c>
      <x:c r="D1315" s="24" t="str">
        <x:v>299수4820</x:v>
      </x:c>
      <x:c r="E1315" s="24" t="str">
        <x:v>이훈4820</x:v>
      </x:c>
      <x:c r="F1315" s="24" t="str">
        <x:v>2024-07</x:v>
      </x:c>
      <x:c r="G1315" s="30"/>
      <x:c r="H1315" s="32" t="n">
        <x:v>550000</x:v>
      </x:c>
      <x:c r="I1315" s="32" t="n">
        <x:v>550000</x:v>
      </x:c>
      <x:c r="J1315" s="32" t="n">
        <x:v>0</x:v>
      </x:c>
      <x:c r="K1315" s="30" t="n">
        <x:v>45484</x:v>
      </x:c>
      <x:c r="L1315" s="24" t="str">
        <x:v>자동</x:v>
      </x:c>
      <x:c r="M1315" s="31" t="n">
        <x:f>IF(AND(N1315="미수",G1315&lt;&gt;"",TODAY()&gt;G1315),TODAY()-G1315,0)</x:f>
        <x:v>0</x:v>
      </x:c>
      <x:c r="N1315" s="24" t="str">
        <x:f>IF(J1315&gt;0,"미수",IF(AND(H1315&gt;0,I1315&gt;=H1315),"완납","미확인"))</x:f>
        <x:v>완납</x:v>
      </x:c>
      <x:c r="O1315" s="31" t="n">
        <x:v>62</x:v>
      </x:c>
    </x:row>
    <x:row r="1316" ht="17.25" customHeight="1">
      <x:c r="A1316" s="24" t="str">
        <x:v>SW-B-299수4820-202406</x:v>
      </x:c>
      <x:c r="B1316" s="24" t="str">
        <x:v>스위치플랜</x:v>
      </x:c>
      <x:c r="C1316" s="24" t="str">
        <x:v>SW-C-299수4820-2-20240509-62</x:v>
      </x:c>
      <x:c r="D1316" s="24" t="str">
        <x:v>299수4820</x:v>
      </x:c>
      <x:c r="E1316" s="24" t="str">
        <x:v>이훈4820</x:v>
      </x:c>
      <x:c r="F1316" s="24" t="str">
        <x:v>2024-06</x:v>
      </x:c>
      <x:c r="G1316" s="30"/>
      <x:c r="H1316" s="32" t="n">
        <x:v>550000</x:v>
      </x:c>
      <x:c r="I1316" s="32" t="n">
        <x:v>550000</x:v>
      </x:c>
      <x:c r="J1316" s="32" t="n">
        <x:v>0</x:v>
      </x:c>
      <x:c r="K1316" s="30" t="n">
        <x:v>45453</x:v>
      </x:c>
      <x:c r="L1316" s="24" t="str">
        <x:v>자동</x:v>
      </x:c>
      <x:c r="M1316" s="31" t="n">
        <x:f>IF(AND(N1316="미수",G1316&lt;&gt;"",TODAY()&gt;G1316),TODAY()-G1316,0)</x:f>
        <x:v>0</x:v>
      </x:c>
      <x:c r="N1316" s="24" t="str">
        <x:f>IF(J1316&gt;0,"미수",IF(AND(H1316&gt;0,I1316&gt;=H1316),"완납","미확인"))</x:f>
        <x:v>완납</x:v>
      </x:c>
      <x:c r="O1316" s="31" t="n">
        <x:v>62</x:v>
      </x:c>
    </x:row>
    <x:row r="1317" ht="17.25" customHeight="1">
      <x:c r="A1317" s="24" t="str">
        <x:v>SW-B-299수4820-202405</x:v>
      </x:c>
      <x:c r="B1317" s="24" t="str">
        <x:v>스위치플랜</x:v>
      </x:c>
      <x:c r="C1317" s="24" t="str">
        <x:v>SW-C-299수4820-2-20240509-62</x:v>
      </x:c>
      <x:c r="D1317" s="24" t="str">
        <x:v>299수4820</x:v>
      </x:c>
      <x:c r="E1317" s="24" t="str">
        <x:v>이훈4820</x:v>
      </x:c>
      <x:c r="F1317" s="24" t="str">
        <x:v>2024-05</x:v>
      </x:c>
      <x:c r="G1317" s="30"/>
      <x:c r="H1317" s="32" t="n">
        <x:v>550000</x:v>
      </x:c>
      <x:c r="I1317" s="32" t="n">
        <x:v>550000</x:v>
      </x:c>
      <x:c r="J1317" s="32" t="n">
        <x:v>0</x:v>
      </x:c>
      <x:c r="K1317" s="30" t="n">
        <x:v>45442</x:v>
      </x:c>
      <x:c r="L1317" s="24" t="str">
        <x:v>입금</x:v>
      </x:c>
      <x:c r="M1317" s="31" t="n">
        <x:f>IF(AND(N1317="미수",G1317&lt;&gt;"",TODAY()&gt;G1317),TODAY()-G1317,0)</x:f>
        <x:v>0</x:v>
      </x:c>
      <x:c r="N1317" s="24" t="str">
        <x:f>IF(J1317&gt;0,"미수",IF(AND(H1317&gt;0,I1317&gt;=H1317),"완납","미확인"))</x:f>
        <x:v>완납</x:v>
      </x:c>
      <x:c r="O1317" s="31" t="n">
        <x:v>62</x:v>
      </x:c>
    </x:row>
    <x:row r="1318" ht="17.25" customHeight="1">
      <x:c r="A1318" s="24" t="str">
        <x:v>SW-B-154모5759-202608</x:v>
      </x:c>
      <x:c r="B1318" s="24" t="str">
        <x:v>스위치플랜</x:v>
      </x:c>
      <x:c r="C1318" s="24" t="str">
        <x:v>SW-C-154모5759-1-20250829-63</x:v>
      </x:c>
      <x:c r="D1318" s="24" t="str">
        <x:v>154모5759</x:v>
      </x:c>
      <x:c r="E1318" s="24" t="str">
        <x:v>아산휴먼</x:v>
      </x:c>
      <x:c r="F1318" s="24" t="str">
        <x:v>2026-08</x:v>
      </x:c>
      <x:c r="G1318" s="30" t="n">
        <x:v>46239</x:v>
      </x:c>
      <x:c r="H1318" s="32" t="n">
        <x:v>880000</x:v>
      </x:c>
      <x:c r="I1318" s="32"/>
      <x:c r="J1318" s="32" t="n">
        <x:v>0</x:v>
      </x:c>
      <x:c r="K1318" s="30"/>
      <x:c r="L1318" s="24" t="str"/>
      <x:c r="M1318" s="31" t="n">
        <x:f>IF(AND(N1318="미수",G1318&lt;&gt;"",TODAY()&gt;G1318),TODAY()-G1318,0)</x:f>
        <x:v>0</x:v>
      </x:c>
      <x:c r="N1318" s="24" t="str">
        <x:f>IF(J1318&gt;0,"미수",IF(AND(H1318&gt;0,I1318&gt;=H1318),"완납","미확인"))</x:f>
        <x:v>미확인</x:v>
      </x:c>
      <x:c r="O1318" s="31" t="n">
        <x:v>63</x:v>
      </x:c>
    </x:row>
    <x:row r="1319" ht="17.25" customHeight="1">
      <x:c r="A1319" s="24" t="str">
        <x:v>SW-B-154모5759-202607</x:v>
      </x:c>
      <x:c r="B1319" s="24" t="str">
        <x:v>스위치플랜</x:v>
      </x:c>
      <x:c r="C1319" s="24" t="str">
        <x:v>SW-C-154모5759-1-20250829-63</x:v>
      </x:c>
      <x:c r="D1319" s="24" t="str">
        <x:v>154모5759</x:v>
      </x:c>
      <x:c r="E1319" s="24" t="str">
        <x:v>아산휴먼</x:v>
      </x:c>
      <x:c r="F1319" s="24" t="str">
        <x:v>2026-07</x:v>
      </x:c>
      <x:c r="G1319" s="30" t="n">
        <x:v>46208</x:v>
      </x:c>
      <x:c r="H1319" s="32" t="n">
        <x:v>880000</x:v>
      </x:c>
      <x:c r="I1319" s="32" t="n">
        <x:v>880000</x:v>
      </x:c>
      <x:c r="J1319" s="32" t="n">
        <x:v>-880000</x:v>
      </x:c>
      <x:c r="K1319" s="30" t="n">
        <x:v>46213</x:v>
      </x:c>
      <x:c r="L1319" s="24" t="str">
        <x:v>입금</x:v>
      </x:c>
      <x:c r="M1319" s="31" t="n">
        <x:f>IF(AND(N1319="미수",G1319&lt;&gt;"",TODAY()&gt;G1319),TODAY()-G1319,0)</x:f>
        <x:v>0</x:v>
      </x:c>
      <x:c r="N1319" s="24" t="str">
        <x:f>IF(J1319&gt;0,"미수",IF(AND(H1319&gt;0,I1319&gt;=H1319),"완납","미확인"))</x:f>
        <x:v>완납</x:v>
      </x:c>
      <x:c r="O1319" s="31" t="n">
        <x:v>63</x:v>
      </x:c>
    </x:row>
    <x:row r="1320" ht="17.25" customHeight="1">
      <x:c r="A1320" s="24" t="str">
        <x:v>SW-B-154모5759-202606</x:v>
      </x:c>
      <x:c r="B1320" s="24" t="str">
        <x:v>스위치플랜</x:v>
      </x:c>
      <x:c r="C1320" s="24" t="str">
        <x:v>SW-C-154모5759-1-20250829-63</x:v>
      </x:c>
      <x:c r="D1320" s="24" t="str">
        <x:v>154모5759</x:v>
      </x:c>
      <x:c r="E1320" s="24" t="str">
        <x:v>아산휴먼</x:v>
      </x:c>
      <x:c r="F1320" s="24" t="str">
        <x:v>2026-06</x:v>
      </x:c>
      <x:c r="G1320" s="30" t="n">
        <x:v>46178</x:v>
      </x:c>
      <x:c r="H1320" s="32" t="n">
        <x:v>880000</x:v>
      </x:c>
      <x:c r="I1320" s="32" t="n">
        <x:v>880000</x:v>
      </x:c>
      <x:c r="J1320" s="32" t="n">
        <x:v>-880000</x:v>
      </x:c>
      <x:c r="K1320" s="30" t="n">
        <x:v>46178</x:v>
      </x:c>
      <x:c r="L1320" s="24" t="str">
        <x:v>입금</x:v>
      </x:c>
      <x:c r="M1320" s="31" t="n">
        <x:f>IF(AND(N1320="미수",G1320&lt;&gt;"",TODAY()&gt;G1320),TODAY()-G1320,0)</x:f>
        <x:v>0</x:v>
      </x:c>
      <x:c r="N1320" s="24" t="str">
        <x:f>IF(J1320&gt;0,"미수",IF(AND(H1320&gt;0,I1320&gt;=H1320),"완납","미확인"))</x:f>
        <x:v>완납</x:v>
      </x:c>
      <x:c r="O1320" s="31" t="n">
        <x:v>63</x:v>
      </x:c>
    </x:row>
    <x:row r="1321" ht="17.25" customHeight="1">
      <x:c r="A1321" s="24" t="str">
        <x:v>SW-B-154모5759-202605</x:v>
      </x:c>
      <x:c r="B1321" s="24" t="str">
        <x:v>스위치플랜</x:v>
      </x:c>
      <x:c r="C1321" s="24" t="str">
        <x:v>SW-C-154모5759-1-20250829-63</x:v>
      </x:c>
      <x:c r="D1321" s="24" t="str">
        <x:v>154모5759</x:v>
      </x:c>
      <x:c r="E1321" s="24" t="str">
        <x:v>아산휴먼</x:v>
      </x:c>
      <x:c r="F1321" s="24" t="str">
        <x:v>2026-05</x:v>
      </x:c>
      <x:c r="G1321" s="30" t="n">
        <x:v>46147</x:v>
      </x:c>
      <x:c r="H1321" s="32" t="n">
        <x:v>880000</x:v>
      </x:c>
      <x:c r="I1321" s="32" t="n">
        <x:v>880000</x:v>
      </x:c>
      <x:c r="J1321" s="32" t="n">
        <x:v>-880000</x:v>
      </x:c>
      <x:c r="K1321" s="30" t="n">
        <x:v>46159</x:v>
      </x:c>
      <x:c r="L1321" s="24" t="str">
        <x:v>입금</x:v>
      </x:c>
      <x:c r="M1321" s="31" t="n">
        <x:f>IF(AND(N1321="미수",G1321&lt;&gt;"",TODAY()&gt;G1321),TODAY()-G1321,0)</x:f>
        <x:v>0</x:v>
      </x:c>
      <x:c r="N1321" s="24" t="str">
        <x:f>IF(J1321&gt;0,"미수",IF(AND(H1321&gt;0,I1321&gt;=H1321),"완납","미확인"))</x:f>
        <x:v>완납</x:v>
      </x:c>
      <x:c r="O1321" s="31" t="n">
        <x:v>63</x:v>
      </x:c>
    </x:row>
    <x:row r="1322" ht="17.25" customHeight="1">
      <x:c r="A1322" s="24" t="str">
        <x:v>SW-B-154모5759-202604</x:v>
      </x:c>
      <x:c r="B1322" s="24" t="str">
        <x:v>스위치플랜</x:v>
      </x:c>
      <x:c r="C1322" s="24" t="str">
        <x:v>SW-C-154모5759-1-20250829-63</x:v>
      </x:c>
      <x:c r="D1322" s="24" t="str">
        <x:v>154모5759</x:v>
      </x:c>
      <x:c r="E1322" s="24" t="str">
        <x:v>아산휴먼</x:v>
      </x:c>
      <x:c r="F1322" s="24" t="str">
        <x:v>2026-04</x:v>
      </x:c>
      <x:c r="G1322" s="30" t="n">
        <x:v>46117</x:v>
      </x:c>
      <x:c r="H1322" s="32" t="n">
        <x:v>880000</x:v>
      </x:c>
      <x:c r="I1322" s="32" t="n">
        <x:v>1760000</x:v>
      </x:c>
      <x:c r="J1322" s="32" t="n">
        <x:v>-880000</x:v>
      </x:c>
      <x:c r="K1322" s="30" t="n">
        <x:v>46118</x:v>
      </x:c>
      <x:c r="L1322" s="24" t="str">
        <x:v>입금</x:v>
      </x:c>
      <x:c r="M1322" s="31" t="n">
        <x:f>IF(AND(N1322="미수",G1322&lt;&gt;"",TODAY()&gt;G1322),TODAY()-G1322,0)</x:f>
        <x:v>0</x:v>
      </x:c>
      <x:c r="N1322" s="24" t="str">
        <x:f>IF(J1322&gt;0,"미수",IF(AND(H1322&gt;0,I1322&gt;=H1322),"완납","미확인"))</x:f>
        <x:v>완납</x:v>
      </x:c>
      <x:c r="O1322" s="31" t="n">
        <x:v>63</x:v>
      </x:c>
    </x:row>
    <x:row r="1323" ht="17.25" customHeight="1">
      <x:c r="A1323" s="24" t="str">
        <x:v>SW-B-154모5759-202603</x:v>
      </x:c>
      <x:c r="B1323" s="24" t="str">
        <x:v>스위치플랜</x:v>
      </x:c>
      <x:c r="C1323" s="24" t="str">
        <x:v>SW-C-154모5759-1-20250829-63</x:v>
      </x:c>
      <x:c r="D1323" s="24" t="str">
        <x:v>154모5759</x:v>
      </x:c>
      <x:c r="E1323" s="24" t="str">
        <x:v>아산휴먼</x:v>
      </x:c>
      <x:c r="F1323" s="24" t="str">
        <x:v>2026-03</x:v>
      </x:c>
      <x:c r="G1323" s="30" t="n">
        <x:v>46086</x:v>
      </x:c>
      <x:c r="H1323" s="32" t="n">
        <x:v>880000</x:v>
      </x:c>
      <x:c r="I1323" s="32"/>
      <x:c r="J1323" s="32" t="n">
        <x:v>0</x:v>
      </x:c>
      <x:c r="K1323" s="30"/>
      <x:c r="L1323" s="24" t="str"/>
      <x:c r="M1323" s="31" t="n">
        <x:f>IF(AND(N1323="미수",G1323&lt;&gt;"",TODAY()&gt;G1323),TODAY()-G1323,0)</x:f>
        <x:v>0</x:v>
      </x:c>
      <x:c r="N1323" s="24" t="str">
        <x:f>IF(J1323&gt;0,"미수",IF(AND(H1323&gt;0,I1323&gt;=H1323),"완납","미확인"))</x:f>
        <x:v>미확인</x:v>
      </x:c>
      <x:c r="O1323" s="31" t="n">
        <x:v>63</x:v>
      </x:c>
    </x:row>
    <x:row r="1324" ht="17.25" customHeight="1">
      <x:c r="A1324" s="24" t="str">
        <x:v>SW-B-154모5759-202602</x:v>
      </x:c>
      <x:c r="B1324" s="24" t="str">
        <x:v>스위치플랜</x:v>
      </x:c>
      <x:c r="C1324" s="24" t="str">
        <x:v>SW-C-154모5759-1-20250829-63</x:v>
      </x:c>
      <x:c r="D1324" s="24" t="str">
        <x:v>154모5759</x:v>
      </x:c>
      <x:c r="E1324" s="24" t="str">
        <x:v>아산휴먼</x:v>
      </x:c>
      <x:c r="F1324" s="24" t="str">
        <x:v>2026-02</x:v>
      </x:c>
      <x:c r="G1324" s="30" t="n">
        <x:v>46058</x:v>
      </x:c>
      <x:c r="H1324" s="32" t="n">
        <x:v>880000</x:v>
      </x:c>
      <x:c r="I1324" s="32" t="n">
        <x:v>880000</x:v>
      </x:c>
      <x:c r="J1324" s="32" t="n">
        <x:v>-880000</x:v>
      </x:c>
      <x:c r="K1324" s="30" t="n">
        <x:v>46079</x:v>
      </x:c>
      <x:c r="L1324" s="24" t="str">
        <x:v>입금</x:v>
      </x:c>
      <x:c r="M1324" s="31" t="n">
        <x:f>IF(AND(N1324="미수",G1324&lt;&gt;"",TODAY()&gt;G1324),TODAY()-G1324,0)</x:f>
        <x:v>0</x:v>
      </x:c>
      <x:c r="N1324" s="24" t="str">
        <x:f>IF(J1324&gt;0,"미수",IF(AND(H1324&gt;0,I1324&gt;=H1324),"완납","미확인"))</x:f>
        <x:v>완납</x:v>
      </x:c>
      <x:c r="O1324" s="31" t="n">
        <x:v>63</x:v>
      </x:c>
    </x:row>
    <x:row r="1325" ht="17.25" customHeight="1">
      <x:c r="A1325" s="24" t="str">
        <x:v>SW-B-154모5759-202601</x:v>
      </x:c>
      <x:c r="B1325" s="24" t="str">
        <x:v>스위치플랜</x:v>
      </x:c>
      <x:c r="C1325" s="24" t="str">
        <x:v>SW-C-154모5759-1-20250829-63</x:v>
      </x:c>
      <x:c r="D1325" s="24" t="str">
        <x:v>154모5759</x:v>
      </x:c>
      <x:c r="E1325" s="24" t="str">
        <x:v>아산휴먼</x:v>
      </x:c>
      <x:c r="F1325" s="24" t="str">
        <x:v>2026-01</x:v>
      </x:c>
      <x:c r="G1325" s="30" t="n">
        <x:v>46027</x:v>
      </x:c>
      <x:c r="H1325" s="32" t="n">
        <x:v>880000</x:v>
      </x:c>
      <x:c r="I1325" s="32" t="n">
        <x:v>1760000</x:v>
      </x:c>
      <x:c r="J1325" s="32" t="n">
        <x:v>-880000</x:v>
      </x:c>
      <x:c r="K1325" s="30" t="n">
        <x:v>46028</x:v>
      </x:c>
      <x:c r="L1325" s="24" t="str">
        <x:v>입금</x:v>
      </x:c>
      <x:c r="M1325" s="31" t="n">
        <x:f>IF(AND(N1325="미수",G1325&lt;&gt;"",TODAY()&gt;G1325),TODAY()-G1325,0)</x:f>
        <x:v>0</x:v>
      </x:c>
      <x:c r="N1325" s="24" t="str">
        <x:f>IF(J1325&gt;0,"미수",IF(AND(H1325&gt;0,I1325&gt;=H1325),"완납","미확인"))</x:f>
        <x:v>완납</x:v>
      </x:c>
      <x:c r="O1325" s="31" t="n">
        <x:v>63</x:v>
      </x:c>
    </x:row>
    <x:row r="1326" ht="17.25" customHeight="1">
      <x:c r="A1326" s="24" t="str">
        <x:v>SW-B-154모5759-202512</x:v>
      </x:c>
      <x:c r="B1326" s="24" t="str">
        <x:v>스위치플랜</x:v>
      </x:c>
      <x:c r="C1326" s="24" t="str">
        <x:v>SW-C-154모5759-1-20250829-63</x:v>
      </x:c>
      <x:c r="D1326" s="24" t="str">
        <x:v>154모5759</x:v>
      </x:c>
      <x:c r="E1326" s="24" t="str">
        <x:v>아산휴먼</x:v>
      </x:c>
      <x:c r="F1326" s="24" t="str">
        <x:v>2025-12</x:v>
      </x:c>
      <x:c r="G1326" s="30" t="n">
        <x:v>45996</x:v>
      </x:c>
      <x:c r="H1326" s="32" t="n">
        <x:v>880000</x:v>
      </x:c>
      <x:c r="I1326" s="32" t="n">
        <x:v>880000</x:v>
      </x:c>
      <x:c r="J1326" s="32" t="n">
        <x:v>0</x:v>
      </x:c>
      <x:c r="K1326" s="30" t="n">
        <x:v>45995</x:v>
      </x:c>
      <x:c r="L1326" s="24" t="str">
        <x:v>입금</x:v>
      </x:c>
      <x:c r="M1326" s="31" t="n">
        <x:f>IF(AND(N1326="미수",G1326&lt;&gt;"",TODAY()&gt;G1326),TODAY()-G1326,0)</x:f>
        <x:v>0</x:v>
      </x:c>
      <x:c r="N1326" s="24" t="str">
        <x:f>IF(J1326&gt;0,"미수",IF(AND(H1326&gt;0,I1326&gt;=H1326),"완납","미확인"))</x:f>
        <x:v>완납</x:v>
      </x:c>
      <x:c r="O1326" s="31" t="n">
        <x:v>63</x:v>
      </x:c>
    </x:row>
    <x:row r="1327" ht="17.25" customHeight="1">
      <x:c r="A1327" s="24" t="str">
        <x:v>SW-B-154모5759-202511</x:v>
      </x:c>
      <x:c r="B1327" s="24" t="str">
        <x:v>스위치플랜</x:v>
      </x:c>
      <x:c r="C1327" s="24" t="str">
        <x:v>SW-C-154모5759-1-20250829-63</x:v>
      </x:c>
      <x:c r="D1327" s="24" t="str">
        <x:v>154모5759</x:v>
      </x:c>
      <x:c r="E1327" s="24" t="str">
        <x:v>아산휴먼</x:v>
      </x:c>
      <x:c r="F1327" s="24" t="str">
        <x:v>2025-11</x:v>
      </x:c>
      <x:c r="G1327" s="30" t="n">
        <x:v>45966</x:v>
      </x:c>
      <x:c r="H1327" s="32" t="n">
        <x:v>880000</x:v>
      </x:c>
      <x:c r="I1327" s="32" t="n">
        <x:v>880000</x:v>
      </x:c>
      <x:c r="J1327" s="32" t="n">
        <x:v>0</x:v>
      </x:c>
      <x:c r="K1327" s="30" t="n">
        <x:v>45966</x:v>
      </x:c>
      <x:c r="L1327" s="24" t="str">
        <x:v>입금</x:v>
      </x:c>
      <x:c r="M1327" s="31" t="n">
        <x:f>IF(AND(N1327="미수",G1327&lt;&gt;"",TODAY()&gt;G1327),TODAY()-G1327,0)</x:f>
        <x:v>0</x:v>
      </x:c>
      <x:c r="N1327" s="24" t="str">
        <x:f>IF(J1327&gt;0,"미수",IF(AND(H1327&gt;0,I1327&gt;=H1327),"완납","미확인"))</x:f>
        <x:v>완납</x:v>
      </x:c>
      <x:c r="O1327" s="31" t="n">
        <x:v>63</x:v>
      </x:c>
    </x:row>
    <x:row r="1328" ht="17.25" customHeight="1">
      <x:c r="A1328" s="24" t="str">
        <x:v>SW-B-154모5759-202510</x:v>
      </x:c>
      <x:c r="B1328" s="24" t="str">
        <x:v>스위치플랜</x:v>
      </x:c>
      <x:c r="C1328" s="24" t="str">
        <x:v>SW-C-154모5759-1-20250829-63</x:v>
      </x:c>
      <x:c r="D1328" s="24" t="str">
        <x:v>154모5759</x:v>
      </x:c>
      <x:c r="E1328" s="24" t="str">
        <x:v>아산휴먼</x:v>
      </x:c>
      <x:c r="F1328" s="24" t="str">
        <x:v>2025-10</x:v>
      </x:c>
      <x:c r="G1328" s="30" t="n">
        <x:v>45935</x:v>
      </x:c>
      <x:c r="H1328" s="32" t="n">
        <x:v>1180000</x:v>
      </x:c>
      <x:c r="I1328" s="32" t="n">
        <x:v>1180000</x:v>
      </x:c>
      <x:c r="J1328" s="32" t="n">
        <x:v>0</x:v>
      </x:c>
      <x:c r="K1328" s="30" t="n">
        <x:v>45929</x:v>
      </x:c>
      <x:c r="L1328" s="24" t="str">
        <x:v>입금</x:v>
      </x:c>
      <x:c r="M1328" s="31" t="n">
        <x:f>IF(AND(N1328="미수",G1328&lt;&gt;"",TODAY()&gt;G1328),TODAY()-G1328,0)</x:f>
        <x:v>0</x:v>
      </x:c>
      <x:c r="N1328" s="24" t="str">
        <x:f>IF(J1328&gt;0,"미수",IF(AND(H1328&gt;0,I1328&gt;=H1328),"완납","미확인"))</x:f>
        <x:v>완납</x:v>
      </x:c>
      <x:c r="O1328" s="31" t="n">
        <x:v>63</x:v>
      </x:c>
    </x:row>
    <x:row r="1329" ht="17.25" customHeight="1">
      <x:c r="A1329" s="24" t="str">
        <x:v>SW-B-154모5759-202509</x:v>
      </x:c>
      <x:c r="B1329" s="24" t="str">
        <x:v>스위치플랜</x:v>
      </x:c>
      <x:c r="C1329" s="24" t="str">
        <x:v>SW-C-154모5759-1-20250829-63</x:v>
      </x:c>
      <x:c r="D1329" s="24" t="str">
        <x:v>154모5759</x:v>
      </x:c>
      <x:c r="E1329" s="24" t="str">
        <x:v>아산휴먼</x:v>
      </x:c>
      <x:c r="F1329" s="24" t="str">
        <x:v>2025-09</x:v>
      </x:c>
      <x:c r="G1329" s="30" t="n">
        <x:v>45905</x:v>
      </x:c>
      <x:c r="H1329" s="32" t="n">
        <x:v>880000</x:v>
      </x:c>
      <x:c r="I1329" s="32" t="n">
        <x:v>880000</x:v>
      </x:c>
      <x:c r="J1329" s="32" t="n">
        <x:v>0</x:v>
      </x:c>
      <x:c r="K1329" s="30" t="n">
        <x:v>45898</x:v>
      </x:c>
      <x:c r="L1329" s="24" t="str">
        <x:v>입금</x:v>
      </x:c>
      <x:c r="M1329" s="31" t="n">
        <x:f>IF(AND(N1329="미수",G1329&lt;&gt;"",TODAY()&gt;G1329),TODAY()-G1329,0)</x:f>
        <x:v>0</x:v>
      </x:c>
      <x:c r="N1329" s="24" t="str">
        <x:f>IF(J1329&gt;0,"미수",IF(AND(H1329&gt;0,I1329&gt;=H1329),"완납","미확인"))</x:f>
        <x:v>완납</x:v>
      </x:c>
      <x:c r="O1329" s="31" t="n">
        <x:v>63</x:v>
      </x:c>
    </x:row>
    <x:row r="1330" ht="17.25" customHeight="1">
      <x:c r="A1330" s="24" t="str">
        <x:v>SW-B-154모5759-202507</x:v>
      </x:c>
      <x:c r="B1330" s="24" t="str">
        <x:v>스위치플랜</x:v>
      </x:c>
      <x:c r="C1330" s="24" t="str">
        <x:v>SW-C-154모5759-2-20250618-63</x:v>
      </x:c>
      <x:c r="D1330" s="24" t="str">
        <x:v>154모5759</x:v>
      </x:c>
      <x:c r="E1330" s="24" t="str">
        <x:v>아산휴먼</x:v>
      </x:c>
      <x:c r="F1330" s="24" t="str">
        <x:v>2025-07</x:v>
      </x:c>
      <x:c r="G1330" s="30" t="n">
        <x:v>45843</x:v>
      </x:c>
      <x:c r="H1330" s="32" t="n">
        <x:v>880000</x:v>
      </x:c>
      <x:c r="I1330" s="32" t="n">
        <x:v>880000</x:v>
      </x:c>
      <x:c r="J1330" s="32" t="n">
        <x:v>0</x:v>
      </x:c>
      <x:c r="K1330" s="30" t="n">
        <x:v>45839</x:v>
      </x:c>
      <x:c r="L1330" s="24" t="str">
        <x:v>입금</x:v>
      </x:c>
      <x:c r="M1330" s="31" t="n">
        <x:f>IF(AND(N1330="미수",G1330&lt;&gt;"",TODAY()&gt;G1330),TODAY()-G1330,0)</x:f>
        <x:v>0</x:v>
      </x:c>
      <x:c r="N1330" s="24" t="str">
        <x:f>IF(J1330&gt;0,"미수",IF(AND(H1330&gt;0,I1330&gt;=H1330),"완납","미확인"))</x:f>
        <x:v>완납</x:v>
      </x:c>
      <x:c r="O1330" s="31" t="n">
        <x:v>63</x:v>
      </x:c>
    </x:row>
    <x:row r="1331" ht="17.25" customHeight="1">
      <x:c r="A1331" s="24" t="str">
        <x:v>SW-B-154모5759-202506</x:v>
      </x:c>
      <x:c r="B1331" s="24" t="str">
        <x:v>스위치플랜</x:v>
      </x:c>
      <x:c r="C1331" s="24" t="str">
        <x:v>SW-C-154모5759-2-20250618-63</x:v>
      </x:c>
      <x:c r="D1331" s="24" t="str">
        <x:v>154모5759</x:v>
      </x:c>
      <x:c r="E1331" s="24" t="str">
        <x:v>아산휴먼</x:v>
      </x:c>
      <x:c r="F1331" s="24" t="str">
        <x:v>2025-06</x:v>
      </x:c>
      <x:c r="G1331" s="30" t="n">
        <x:v>45813</x:v>
      </x:c>
      <x:c r="H1331" s="32" t="n">
        <x:v>880000</x:v>
      </x:c>
      <x:c r="I1331" s="32" t="n">
        <x:v>880000</x:v>
      </x:c>
      <x:c r="J1331" s="32" t="n">
        <x:v>0</x:v>
      </x:c>
      <x:c r="K1331" s="30" t="n">
        <x:v>45826</x:v>
      </x:c>
      <x:c r="L1331" s="24" t="str">
        <x:v>입금</x:v>
      </x:c>
      <x:c r="M1331" s="31" t="n">
        <x:f>IF(AND(N1331="미수",G1331&lt;&gt;"",TODAY()&gt;G1331),TODAY()-G1331,0)</x:f>
        <x:v>0</x:v>
      </x:c>
      <x:c r="N1331" s="24" t="str">
        <x:f>IF(J1331&gt;0,"미수",IF(AND(H1331&gt;0,I1331&gt;=H1331),"완납","미확인"))</x:f>
        <x:v>완납</x:v>
      </x:c>
      <x:c r="O1331" s="31" t="n">
        <x:v>63</x:v>
      </x:c>
    </x:row>
    <x:row r="1332" ht="17.25" customHeight="1">
      <x:c r="A1332" s="24" t="str">
        <x:v>SW-B-135수5711-202608</x:v>
      </x:c>
      <x:c r="B1332" s="24" t="str">
        <x:v>스위치플랜</x:v>
      </x:c>
      <x:c r="C1332" s="24" t="str">
        <x:v>SW-C-135수5711-1-NA-64</x:v>
      </x:c>
      <x:c r="D1332" s="24" t="str">
        <x:v>135수5711</x:v>
      </x:c>
      <x:c r="E1332" s="24" t="str"/>
      <x:c r="F1332" s="24" t="str">
        <x:v>2026-08</x:v>
      </x:c>
      <x:c r="G1332" s="30"/>
      <x:c r="H1332" s="32" t="n">
        <x:v>0</x:v>
      </x:c>
      <x:c r="I1332" s="32"/>
      <x:c r="J1332" s="32" t="n">
        <x:v>0</x:v>
      </x:c>
      <x:c r="K1332" s="30"/>
      <x:c r="L1332" s="24" t="str"/>
      <x:c r="M1332" s="31" t="n">
        <x:f>IF(AND(N1332="미수",G1332&lt;&gt;"",TODAY()&gt;G1332),TODAY()-G1332,0)</x:f>
        <x:v>0</x:v>
      </x:c>
      <x:c r="N1332" s="24" t="str">
        <x:f>IF(J1332&gt;0,"미수",IF(AND(H1332&gt;0,I1332&gt;=H1332),"완납","미확인"))</x:f>
        <x:v>미확인</x:v>
      </x:c>
      <x:c r="O1332" s="31" t="n">
        <x:v>64</x:v>
      </x:c>
    </x:row>
    <x:row r="1333" ht="17.25" customHeight="1">
      <x:c r="A1333" s="24" t="str">
        <x:v>SW-B-135수5711-202607</x:v>
      </x:c>
      <x:c r="B1333" s="24" t="str">
        <x:v>스위치플랜</x:v>
      </x:c>
      <x:c r="C1333" s="24" t="str">
        <x:v>SW-C-135수5711-1-NA-64</x:v>
      </x:c>
      <x:c r="D1333" s="24" t="str">
        <x:v>135수5711</x:v>
      </x:c>
      <x:c r="E1333" s="24" t="str"/>
      <x:c r="F1333" s="24" t="str">
        <x:v>2026-07</x:v>
      </x:c>
      <x:c r="G1333" s="30"/>
      <x:c r="H1333" s="32" t="n">
        <x:v>0</x:v>
      </x:c>
      <x:c r="I1333" s="32"/>
      <x:c r="J1333" s="32" t="n">
        <x:v>0</x:v>
      </x:c>
      <x:c r="K1333" s="30"/>
      <x:c r="L1333" s="24" t="str"/>
      <x:c r="M1333" s="31" t="n">
        <x:f>IF(AND(N1333="미수",G1333&lt;&gt;"",TODAY()&gt;G1333),TODAY()-G1333,0)</x:f>
        <x:v>0</x:v>
      </x:c>
      <x:c r="N1333" s="24" t="str">
        <x:f>IF(J1333&gt;0,"미수",IF(AND(H1333&gt;0,I1333&gt;=H1333),"완납","미확인"))</x:f>
        <x:v>미확인</x:v>
      </x:c>
      <x:c r="O1333" s="31" t="n">
        <x:v>64</x:v>
      </x:c>
    </x:row>
    <x:row r="1334" ht="17.25" customHeight="1">
      <x:c r="A1334" s="24" t="str">
        <x:v>SW-B-135수5711-202606</x:v>
      </x:c>
      <x:c r="B1334" s="24" t="str">
        <x:v>스위치플랜</x:v>
      </x:c>
      <x:c r="C1334" s="24" t="str">
        <x:v>SW-C-135수5711-1-NA-64</x:v>
      </x:c>
      <x:c r="D1334" s="24" t="str">
        <x:v>135수5711</x:v>
      </x:c>
      <x:c r="E1334" s="24" t="str"/>
      <x:c r="F1334" s="24" t="str">
        <x:v>2026-06</x:v>
      </x:c>
      <x:c r="G1334" s="30"/>
      <x:c r="H1334" s="32" t="n">
        <x:v>0</x:v>
      </x:c>
      <x:c r="I1334" s="32"/>
      <x:c r="J1334" s="32" t="n">
        <x:v>0</x:v>
      </x:c>
      <x:c r="K1334" s="30"/>
      <x:c r="L1334" s="24" t="str"/>
      <x:c r="M1334" s="31" t="n">
        <x:f>IF(AND(N1334="미수",G1334&lt;&gt;"",TODAY()&gt;G1334),TODAY()-G1334,0)</x:f>
        <x:v>0</x:v>
      </x:c>
      <x:c r="N1334" s="24" t="str">
        <x:f>IF(J1334&gt;0,"미수",IF(AND(H1334&gt;0,I1334&gt;=H1334),"완납","미확인"))</x:f>
        <x:v>미확인</x:v>
      </x:c>
      <x:c r="O1334" s="31" t="n">
        <x:v>64</x:v>
      </x:c>
    </x:row>
    <x:row r="1335" ht="17.25" customHeight="1">
      <x:c r="A1335" s="24" t="str">
        <x:v>SW-B-135수5711-202605</x:v>
      </x:c>
      <x:c r="B1335" s="24" t="str">
        <x:v>스위치플랜</x:v>
      </x:c>
      <x:c r="C1335" s="24" t="str">
        <x:v>SW-C-135수5711-1-NA-64</x:v>
      </x:c>
      <x:c r="D1335" s="24" t="str">
        <x:v>135수5711</x:v>
      </x:c>
      <x:c r="E1335" s="24" t="str"/>
      <x:c r="F1335" s="24" t="str">
        <x:v>2026-05</x:v>
      </x:c>
      <x:c r="G1335" s="30"/>
      <x:c r="H1335" s="32" t="n">
        <x:v>1090000</x:v>
      </x:c>
      <x:c r="I1335" s="32"/>
      <x:c r="J1335" s="32" t="n">
        <x:v>2180000</x:v>
      </x:c>
      <x:c r="K1335" s="30"/>
      <x:c r="L1335" s="24" t="str"/>
      <x:c r="M1335" s="31" t="n">
        <x:f>IF(AND(N1335="미수",G1335&lt;&gt;"",TODAY()&gt;G1335),TODAY()-G1335,0)</x:f>
        <x:v>0</x:v>
      </x:c>
      <x:c r="N1335" s="24" t="str">
        <x:f>IF(J1335&gt;0,"미수",IF(AND(H1335&gt;0,I1335&gt;=H1335),"완납","미확인"))</x:f>
        <x:v>미수</x:v>
      </x:c>
      <x:c r="O1335" s="31" t="n">
        <x:v>64</x:v>
      </x:c>
    </x:row>
    <x:row r="1336" ht="17.25" customHeight="1">
      <x:c r="A1336" s="24" t="str">
        <x:v>SW-B-135수5711-202604</x:v>
      </x:c>
      <x:c r="B1336" s="24" t="str">
        <x:v>스위치플랜</x:v>
      </x:c>
      <x:c r="C1336" s="24" t="str">
        <x:v>SW-C-135수5711-1-NA-64</x:v>
      </x:c>
      <x:c r="D1336" s="24" t="str">
        <x:v>135수5711</x:v>
      </x:c>
      <x:c r="E1336" s="24" t="str"/>
      <x:c r="F1336" s="24" t="str">
        <x:v>2026-04</x:v>
      </x:c>
      <x:c r="G1336" s="30"/>
      <x:c r="H1336" s="32" t="n">
        <x:v>1090000</x:v>
      </x:c>
      <x:c r="I1336" s="32"/>
      <x:c r="J1336" s="32" t="n">
        <x:v>1090000</x:v>
      </x:c>
      <x:c r="K1336" s="30"/>
      <x:c r="L1336" s="24" t="str"/>
      <x:c r="M1336" s="31" t="n">
        <x:f>IF(AND(N1336="미수",G1336&lt;&gt;"",TODAY()&gt;G1336),TODAY()-G1336,0)</x:f>
        <x:v>0</x:v>
      </x:c>
      <x:c r="N1336" s="24" t="str">
        <x:f>IF(J1336&gt;0,"미수",IF(AND(H1336&gt;0,I1336&gt;=H1336),"완납","미확인"))</x:f>
        <x:v>미수</x:v>
      </x:c>
      <x:c r="O1336" s="31" t="n">
        <x:v>64</x:v>
      </x:c>
    </x:row>
    <x:row r="1337" ht="17.25" customHeight="1">
      <x:c r="A1337" s="24" t="str">
        <x:v>SW-B-135수5711-202603</x:v>
      </x:c>
      <x:c r="B1337" s="24" t="str">
        <x:v>스위치플랜</x:v>
      </x:c>
      <x:c r="C1337" s="24" t="str">
        <x:v>SW-C-135수5711-1-NA-64</x:v>
      </x:c>
      <x:c r="D1337" s="24" t="str">
        <x:v>135수5711</x:v>
      </x:c>
      <x:c r="E1337" s="24" t="str"/>
      <x:c r="F1337" s="24" t="str">
        <x:v>2026-03</x:v>
      </x:c>
      <x:c r="G1337" s="30"/>
      <x:c r="H1337" s="32" t="n">
        <x:v>1090000</x:v>
      </x:c>
      <x:c r="I1337" s="32" t="n">
        <x:v>1090000</x:v>
      </x:c>
      <x:c r="J1337" s="32" t="n">
        <x:v>0</x:v>
      </x:c>
      <x:c r="K1337" s="30" t="n">
        <x:v>46105</x:v>
      </x:c>
      <x:c r="L1337" s="24" t="str">
        <x:v>입금</x:v>
      </x:c>
      <x:c r="M1337" s="31" t="n">
        <x:f>IF(AND(N1337="미수",G1337&lt;&gt;"",TODAY()&gt;G1337),TODAY()-G1337,0)</x:f>
        <x:v>0</x:v>
      </x:c>
      <x:c r="N1337" s="24" t="str">
        <x:f>IF(J1337&gt;0,"미수",IF(AND(H1337&gt;0,I1337&gt;=H1337),"완납","미확인"))</x:f>
        <x:v>완납</x:v>
      </x:c>
      <x:c r="O1337" s="31" t="n">
        <x:v>64</x:v>
      </x:c>
    </x:row>
    <x:row r="1338" ht="17.25" customHeight="1">
      <x:c r="A1338" s="24" t="str">
        <x:v>SW-B-135수5711-202602</x:v>
      </x:c>
      <x:c r="B1338" s="24" t="str">
        <x:v>스위치플랜</x:v>
      </x:c>
      <x:c r="C1338" s="24" t="str">
        <x:v>SW-C-135수5711-1-NA-64</x:v>
      </x:c>
      <x:c r="D1338" s="24" t="str">
        <x:v>135수5711</x:v>
      </x:c>
      <x:c r="E1338" s="24" t="str"/>
      <x:c r="F1338" s="24" t="str">
        <x:v>2026-02</x:v>
      </x:c>
      <x:c r="G1338" s="30"/>
      <x:c r="H1338" s="32" t="n">
        <x:v>1090000</x:v>
      </x:c>
      <x:c r="I1338" s="32" t="n">
        <x:v>1090000</x:v>
      </x:c>
      <x:c r="J1338" s="32" t="n">
        <x:v>0</x:v>
      </x:c>
      <x:c r="K1338" s="30" t="n">
        <x:v>46073</x:v>
      </x:c>
      <x:c r="L1338" s="24" t="str">
        <x:v>입금</x:v>
      </x:c>
      <x:c r="M1338" s="31" t="n">
        <x:f>IF(AND(N1338="미수",G1338&lt;&gt;"",TODAY()&gt;G1338),TODAY()-G1338,0)</x:f>
        <x:v>0</x:v>
      </x:c>
      <x:c r="N1338" s="24" t="str">
        <x:f>IF(J1338&gt;0,"미수",IF(AND(H1338&gt;0,I1338&gt;=H1338),"완납","미확인"))</x:f>
        <x:v>완납</x:v>
      </x:c>
      <x:c r="O1338" s="31" t="n">
        <x:v>64</x:v>
      </x:c>
    </x:row>
    <x:row r="1339" ht="17.25" customHeight="1">
      <x:c r="A1339" s="24" t="str">
        <x:v>SW-B-135수5711-202601</x:v>
      </x:c>
      <x:c r="B1339" s="24" t="str">
        <x:v>스위치플랜</x:v>
      </x:c>
      <x:c r="C1339" s="24" t="str">
        <x:v>SW-C-135수5711-1-NA-64</x:v>
      </x:c>
      <x:c r="D1339" s="24" t="str">
        <x:v>135수5711</x:v>
      </x:c>
      <x:c r="E1339" s="24" t="str"/>
      <x:c r="F1339" s="24" t="str">
        <x:v>2026-01</x:v>
      </x:c>
      <x:c r="G1339" s="30"/>
      <x:c r="H1339" s="32" t="n">
        <x:v>1090000</x:v>
      </x:c>
      <x:c r="I1339" s="32" t="n">
        <x:v>1090000</x:v>
      </x:c>
      <x:c r="J1339" s="32" t="n">
        <x:v>0</x:v>
      </x:c>
      <x:c r="K1339" s="30" t="n">
        <x:v>46042</x:v>
      </x:c>
      <x:c r="L1339" s="24" t="str">
        <x:v>입금</x:v>
      </x:c>
      <x:c r="M1339" s="31" t="n">
        <x:f>IF(AND(N1339="미수",G1339&lt;&gt;"",TODAY()&gt;G1339),TODAY()-G1339,0)</x:f>
        <x:v>0</x:v>
      </x:c>
      <x:c r="N1339" s="24" t="str">
        <x:f>IF(J1339&gt;0,"미수",IF(AND(H1339&gt;0,I1339&gt;=H1339),"완납","미확인"))</x:f>
        <x:v>완납</x:v>
      </x:c>
      <x:c r="O1339" s="31" t="n">
        <x:v>64</x:v>
      </x:c>
    </x:row>
    <x:row r="1340" ht="17.25" customHeight="1">
      <x:c r="A1340" s="24" t="str">
        <x:v>SW-B-94주0700-202608</x:v>
      </x:c>
      <x:c r="B1340" s="24" t="str">
        <x:v>스위치플랜</x:v>
      </x:c>
      <x:c r="C1340" s="24" t="str">
        <x:v>SW-C-94주0700-1-20231219-65</x:v>
      </x:c>
      <x:c r="D1340" s="24" t="str">
        <x:v>94주0700</x:v>
      </x:c>
      <x:c r="E1340" s="24" t="str">
        <x:v>신태민</x:v>
      </x:c>
      <x:c r="F1340" s="24" t="str">
        <x:v>2026-08</x:v>
      </x:c>
      <x:c r="G1340" s="30" t="n">
        <x:v>46254</x:v>
      </x:c>
      <x:c r="H1340" s="32" t="n">
        <x:v>610000</x:v>
      </x:c>
      <x:c r="I1340" s="32"/>
      <x:c r="J1340" s="32" t="n">
        <x:v>610000</x:v>
      </x:c>
      <x:c r="K1340" s="30"/>
      <x:c r="L1340" s="24" t="str"/>
      <x:c r="M1340" s="31" t="n">
        <x:f>IF(AND(N1340="미수",G1340&lt;&gt;"",TODAY()&gt;G1340),TODAY()-G1340,0)</x:f>
        <x:v>0</x:v>
      </x:c>
      <x:c r="N1340" s="24" t="str">
        <x:f>IF(J1340&gt;0,"미수",IF(AND(H1340&gt;0,I1340&gt;=H1340),"완납","미확인"))</x:f>
        <x:v>미수</x:v>
      </x:c>
      <x:c r="O1340" s="31" t="n">
        <x:v>65</x:v>
      </x:c>
    </x:row>
    <x:row r="1341" ht="17.25" customHeight="1">
      <x:c r="A1341" s="24" t="str">
        <x:v>SW-B-94주0700-202607</x:v>
      </x:c>
      <x:c r="B1341" s="24" t="str">
        <x:v>스위치플랜</x:v>
      </x:c>
      <x:c r="C1341" s="24" t="str">
        <x:v>SW-C-94주0700-1-20231219-65</x:v>
      </x:c>
      <x:c r="D1341" s="24" t="str">
        <x:v>94주0700</x:v>
      </x:c>
      <x:c r="E1341" s="24" t="str">
        <x:v>신태민</x:v>
      </x:c>
      <x:c r="F1341" s="24" t="str">
        <x:v>2026-07</x:v>
      </x:c>
      <x:c r="G1341" s="30" t="n">
        <x:v>46223</x:v>
      </x:c>
      <x:c r="H1341" s="32" t="n">
        <x:v>610000</x:v>
      </x:c>
      <x:c r="I1341" s="32" t="n">
        <x:v>610000</x:v>
      </x:c>
      <x:c r="J1341" s="32" t="n">
        <x:v>0</x:v>
      </x:c>
      <x:c r="K1341" s="30" t="n">
        <x:v>46233</x:v>
      </x:c>
      <x:c r="L1341" s="24" t="str">
        <x:v>입금</x:v>
      </x:c>
      <x:c r="M1341" s="31" t="n">
        <x:f>IF(AND(N1341="미수",G1341&lt;&gt;"",TODAY()&gt;G1341),TODAY()-G1341,0)</x:f>
        <x:v>0</x:v>
      </x:c>
      <x:c r="N1341" s="24" t="str">
        <x:f>IF(J1341&gt;0,"미수",IF(AND(H1341&gt;0,I1341&gt;=H1341),"완납","미확인"))</x:f>
        <x:v>완납</x:v>
      </x:c>
      <x:c r="O1341" s="31" t="n">
        <x:v>65</x:v>
      </x:c>
    </x:row>
    <x:row r="1342" ht="17.25" customHeight="1">
      <x:c r="A1342" s="24" t="str">
        <x:v>SW-B-94주0700-202606</x:v>
      </x:c>
      <x:c r="B1342" s="24" t="str">
        <x:v>스위치플랜</x:v>
      </x:c>
      <x:c r="C1342" s="24" t="str">
        <x:v>SW-C-94주0700-1-20231219-65</x:v>
      </x:c>
      <x:c r="D1342" s="24" t="str">
        <x:v>94주0700</x:v>
      </x:c>
      <x:c r="E1342" s="24" t="str">
        <x:v>신태민</x:v>
      </x:c>
      <x:c r="F1342" s="24" t="str">
        <x:v>2026-06</x:v>
      </x:c>
      <x:c r="G1342" s="30" t="n">
        <x:v>46193</x:v>
      </x:c>
      <x:c r="H1342" s="32" t="n">
        <x:v>610000</x:v>
      </x:c>
      <x:c r="I1342" s="32" t="n">
        <x:v>610000</x:v>
      </x:c>
      <x:c r="J1342" s="32" t="n">
        <x:v>0</x:v>
      </x:c>
      <x:c r="K1342" s="30" t="n">
        <x:v>46197</x:v>
      </x:c>
      <x:c r="L1342" s="24" t="str">
        <x:v>입금</x:v>
      </x:c>
      <x:c r="M1342" s="31" t="n">
        <x:f>IF(AND(N1342="미수",G1342&lt;&gt;"",TODAY()&gt;G1342),TODAY()-G1342,0)</x:f>
        <x:v>0</x:v>
      </x:c>
      <x:c r="N1342" s="24" t="str">
        <x:f>IF(J1342&gt;0,"미수",IF(AND(H1342&gt;0,I1342&gt;=H1342),"완납","미확인"))</x:f>
        <x:v>완납</x:v>
      </x:c>
      <x:c r="O1342" s="31" t="n">
        <x:v>65</x:v>
      </x:c>
    </x:row>
    <x:row r="1343" ht="17.25" customHeight="1">
      <x:c r="A1343" s="24" t="str">
        <x:v>SW-B-94주0700-202605</x:v>
      </x:c>
      <x:c r="B1343" s="24" t="str">
        <x:v>스위치플랜</x:v>
      </x:c>
      <x:c r="C1343" s="24" t="str">
        <x:v>SW-C-94주0700-1-20231219-65</x:v>
      </x:c>
      <x:c r="D1343" s="24" t="str">
        <x:v>94주0700</x:v>
      </x:c>
      <x:c r="E1343" s="24" t="str">
        <x:v>신태민</x:v>
      </x:c>
      <x:c r="F1343" s="24" t="str">
        <x:v>2026-05</x:v>
      </x:c>
      <x:c r="G1343" s="30" t="n">
        <x:v>46162</x:v>
      </x:c>
      <x:c r="H1343" s="32" t="n">
        <x:v>610000</x:v>
      </x:c>
      <x:c r="I1343" s="32" t="n">
        <x:v>610000</x:v>
      </x:c>
      <x:c r="J1343" s="32" t="n">
        <x:v>0</x:v>
      </x:c>
      <x:c r="K1343" s="30" t="n">
        <x:v>46168</x:v>
      </x:c>
      <x:c r="L1343" s="24" t="str">
        <x:v>입금</x:v>
      </x:c>
      <x:c r="M1343" s="31" t="n">
        <x:f>IF(AND(N1343="미수",G1343&lt;&gt;"",TODAY()&gt;G1343),TODAY()-G1343,0)</x:f>
        <x:v>0</x:v>
      </x:c>
      <x:c r="N1343" s="24" t="str">
        <x:f>IF(J1343&gt;0,"미수",IF(AND(H1343&gt;0,I1343&gt;=H1343),"완납","미확인"))</x:f>
        <x:v>완납</x:v>
      </x:c>
      <x:c r="O1343" s="31" t="n">
        <x:v>65</x:v>
      </x:c>
    </x:row>
    <x:row r="1344" ht="17.25" customHeight="1">
      <x:c r="A1344" s="24" t="str">
        <x:v>SW-B-94주0700-202604</x:v>
      </x:c>
      <x:c r="B1344" s="24" t="str">
        <x:v>스위치플랜</x:v>
      </x:c>
      <x:c r="C1344" s="24" t="str">
        <x:v>SW-C-94주0700-1-20231219-65</x:v>
      </x:c>
      <x:c r="D1344" s="24" t="str">
        <x:v>94주0700</x:v>
      </x:c>
      <x:c r="E1344" s="24" t="str">
        <x:v>신태민</x:v>
      </x:c>
      <x:c r="F1344" s="24" t="str">
        <x:v>2026-04</x:v>
      </x:c>
      <x:c r="G1344" s="30" t="n">
        <x:v>46132</x:v>
      </x:c>
      <x:c r="H1344" s="32" t="n">
        <x:v>610000</x:v>
      </x:c>
      <x:c r="I1344" s="32" t="n">
        <x:v>610000</x:v>
      </x:c>
      <x:c r="J1344" s="32" t="n">
        <x:v>0</x:v>
      </x:c>
      <x:c r="K1344" s="30" t="n">
        <x:v>46136</x:v>
      </x:c>
      <x:c r="L1344" s="24" t="str">
        <x:v>입금</x:v>
      </x:c>
      <x:c r="M1344" s="31" t="n">
        <x:f>IF(AND(N1344="미수",G1344&lt;&gt;"",TODAY()&gt;G1344),TODAY()-G1344,0)</x:f>
        <x:v>0</x:v>
      </x:c>
      <x:c r="N1344" s="24" t="str">
        <x:f>IF(J1344&gt;0,"미수",IF(AND(H1344&gt;0,I1344&gt;=H1344),"완납","미확인"))</x:f>
        <x:v>완납</x:v>
      </x:c>
      <x:c r="O1344" s="31" t="n">
        <x:v>65</x:v>
      </x:c>
    </x:row>
    <x:row r="1345" ht="17.25" customHeight="1">
      <x:c r="A1345" s="24" t="str">
        <x:v>SW-B-94주0700-202603</x:v>
      </x:c>
      <x:c r="B1345" s="24" t="str">
        <x:v>스위치플랜</x:v>
      </x:c>
      <x:c r="C1345" s="24" t="str">
        <x:v>SW-C-94주0700-1-20231219-65</x:v>
      </x:c>
      <x:c r="D1345" s="24" t="str">
        <x:v>94주0700</x:v>
      </x:c>
      <x:c r="E1345" s="24" t="str">
        <x:v>신태민</x:v>
      </x:c>
      <x:c r="F1345" s="24" t="str">
        <x:v>2026-03</x:v>
      </x:c>
      <x:c r="G1345" s="30" t="n">
        <x:v>46101</x:v>
      </x:c>
      <x:c r="H1345" s="32" t="n">
        <x:v>610000</x:v>
      </x:c>
      <x:c r="I1345" s="32" t="n">
        <x:v>1220000</x:v>
      </x:c>
      <x:c r="J1345" s="32" t="n">
        <x:v>0</x:v>
      </x:c>
      <x:c r="K1345" s="30" t="n">
        <x:v>46085</x:v>
      </x:c>
      <x:c r="L1345" s="24" t="str">
        <x:v>입금</x:v>
      </x:c>
      <x:c r="M1345" s="31" t="n">
        <x:f>IF(AND(N1345="미수",G1345&lt;&gt;"",TODAY()&gt;G1345),TODAY()-G1345,0)</x:f>
        <x:v>0</x:v>
      </x:c>
      <x:c r="N1345" s="24" t="str">
        <x:f>IF(J1345&gt;0,"미수",IF(AND(H1345&gt;0,I1345&gt;=H1345),"완납","미확인"))</x:f>
        <x:v>완납</x:v>
      </x:c>
      <x:c r="O1345" s="31" t="n">
        <x:v>65</x:v>
      </x:c>
    </x:row>
    <x:row r="1346" ht="17.25" customHeight="1">
      <x:c r="A1346" s="24" t="str">
        <x:v>SW-B-94주0700-202602</x:v>
      </x:c>
      <x:c r="B1346" s="24" t="str">
        <x:v>스위치플랜</x:v>
      </x:c>
      <x:c r="C1346" s="24" t="str">
        <x:v>SW-C-94주0700-1-20231219-65</x:v>
      </x:c>
      <x:c r="D1346" s="24" t="str">
        <x:v>94주0700</x:v>
      </x:c>
      <x:c r="E1346" s="24" t="str">
        <x:v>신태민</x:v>
      </x:c>
      <x:c r="F1346" s="24" t="str">
        <x:v>2026-02</x:v>
      </x:c>
      <x:c r="G1346" s="30" t="n">
        <x:v>46073</x:v>
      </x:c>
      <x:c r="H1346" s="32" t="n">
        <x:v>610000</x:v>
      </x:c>
      <x:c r="I1346" s="32"/>
      <x:c r="J1346" s="32" t="n">
        <x:v>610000</x:v>
      </x:c>
      <x:c r="K1346" s="30"/>
      <x:c r="L1346" s="24" t="str"/>
      <x:c r="M1346" s="31" t="n">
        <x:f>IF(AND(N1346="미수",G1346&lt;&gt;"",TODAY()&gt;G1346),TODAY()-G1346,0)</x:f>
        <x:v>176</x:v>
      </x:c>
      <x:c r="N1346" s="24" t="str">
        <x:f>IF(J1346&gt;0,"미수",IF(AND(H1346&gt;0,I1346&gt;=H1346),"완납","미확인"))</x:f>
        <x:v>미수</x:v>
      </x:c>
      <x:c r="O1346" s="31" t="n">
        <x:v>65</x:v>
      </x:c>
    </x:row>
    <x:row r="1347" ht="17.25" customHeight="1">
      <x:c r="A1347" s="24" t="str">
        <x:v>SW-B-94주0700-202601</x:v>
      </x:c>
      <x:c r="B1347" s="24" t="str">
        <x:v>스위치플랜</x:v>
      </x:c>
      <x:c r="C1347" s="24" t="str">
        <x:v>SW-C-94주0700-1-20231219-65</x:v>
      </x:c>
      <x:c r="D1347" s="24" t="str">
        <x:v>94주0700</x:v>
      </x:c>
      <x:c r="E1347" s="24" t="str">
        <x:v>신태민</x:v>
      </x:c>
      <x:c r="F1347" s="24" t="str">
        <x:v>2026-01</x:v>
      </x:c>
      <x:c r="G1347" s="30" t="n">
        <x:v>46042</x:v>
      </x:c>
      <x:c r="H1347" s="32" t="n">
        <x:v>610000</x:v>
      </x:c>
      <x:c r="I1347" s="32" t="n">
        <x:v>610000</x:v>
      </x:c>
      <x:c r="J1347" s="32" t="n">
        <x:v>0</x:v>
      </x:c>
      <x:c r="K1347" s="30" t="n">
        <x:v>46050</x:v>
      </x:c>
      <x:c r="L1347" s="24" t="str">
        <x:v>입금</x:v>
      </x:c>
      <x:c r="M1347" s="31" t="n">
        <x:f>IF(AND(N1347="미수",G1347&lt;&gt;"",TODAY()&gt;G1347),TODAY()-G1347,0)</x:f>
        <x:v>0</x:v>
      </x:c>
      <x:c r="N1347" s="24" t="str">
        <x:f>IF(J1347&gt;0,"미수",IF(AND(H1347&gt;0,I1347&gt;=H1347),"완납","미확인"))</x:f>
        <x:v>완납</x:v>
      </x:c>
      <x:c r="O1347" s="31" t="n">
        <x:v>65</x:v>
      </x:c>
    </x:row>
    <x:row r="1348" ht="17.25" customHeight="1">
      <x:c r="A1348" s="24" t="str">
        <x:v>SW-B-94주0700-202512</x:v>
      </x:c>
      <x:c r="B1348" s="24" t="str">
        <x:v>스위치플랜</x:v>
      </x:c>
      <x:c r="C1348" s="24" t="str">
        <x:v>SW-C-94주0700-1-20231219-65</x:v>
      </x:c>
      <x:c r="D1348" s="24" t="str">
        <x:v>94주0700</x:v>
      </x:c>
      <x:c r="E1348" s="24" t="str">
        <x:v>신태민</x:v>
      </x:c>
      <x:c r="F1348" s="24" t="str">
        <x:v>2025-12</x:v>
      </x:c>
      <x:c r="G1348" s="30" t="n">
        <x:v>46011</x:v>
      </x:c>
      <x:c r="H1348" s="32" t="n">
        <x:v>610000</x:v>
      </x:c>
      <x:c r="I1348" s="32" t="n">
        <x:v>610000</x:v>
      </x:c>
      <x:c r="J1348" s="32" t="n">
        <x:v>0</x:v>
      </x:c>
      <x:c r="K1348" s="30" t="n">
        <x:v>46014</x:v>
      </x:c>
      <x:c r="L1348" s="24" t="str">
        <x:v>입금</x:v>
      </x:c>
      <x:c r="M1348" s="31" t="n">
        <x:f>IF(AND(N1348="미수",G1348&lt;&gt;"",TODAY()&gt;G1348),TODAY()-G1348,0)</x:f>
        <x:v>0</x:v>
      </x:c>
      <x:c r="N1348" s="24" t="str">
        <x:f>IF(J1348&gt;0,"미수",IF(AND(H1348&gt;0,I1348&gt;=H1348),"완납","미확인"))</x:f>
        <x:v>완납</x:v>
      </x:c>
      <x:c r="O1348" s="31" t="n">
        <x:v>65</x:v>
      </x:c>
    </x:row>
    <x:row r="1349" ht="17.25" customHeight="1">
      <x:c r="A1349" s="24" t="str">
        <x:v>SW-B-94주0700-202511</x:v>
      </x:c>
      <x:c r="B1349" s="24" t="str">
        <x:v>스위치플랜</x:v>
      </x:c>
      <x:c r="C1349" s="24" t="str">
        <x:v>SW-C-94주0700-1-20231219-65</x:v>
      </x:c>
      <x:c r="D1349" s="24" t="str">
        <x:v>94주0700</x:v>
      </x:c>
      <x:c r="E1349" s="24" t="str">
        <x:v>신태민</x:v>
      </x:c>
      <x:c r="F1349" s="24" t="str">
        <x:v>2025-11</x:v>
      </x:c>
      <x:c r="G1349" s="30" t="n">
        <x:v>45981</x:v>
      </x:c>
      <x:c r="H1349" s="32" t="n">
        <x:v>610000</x:v>
      </x:c>
      <x:c r="I1349" s="32" t="n">
        <x:v>610000</x:v>
      </x:c>
      <x:c r="J1349" s="32" t="n">
        <x:v>0</x:v>
      </x:c>
      <x:c r="K1349" s="30" t="n">
        <x:v>45986</x:v>
      </x:c>
      <x:c r="L1349" s="24" t="str">
        <x:v>입금</x:v>
      </x:c>
      <x:c r="M1349" s="31" t="n">
        <x:f>IF(AND(N1349="미수",G1349&lt;&gt;"",TODAY()&gt;G1349),TODAY()-G1349,0)</x:f>
        <x:v>0</x:v>
      </x:c>
      <x:c r="N1349" s="24" t="str">
        <x:f>IF(J1349&gt;0,"미수",IF(AND(H1349&gt;0,I1349&gt;=H1349),"완납","미확인"))</x:f>
        <x:v>완납</x:v>
      </x:c>
      <x:c r="O1349" s="31" t="n">
        <x:v>65</x:v>
      </x:c>
    </x:row>
    <x:row r="1350" ht="17.25" customHeight="1">
      <x:c r="A1350" s="24" t="str">
        <x:v>SW-B-94주0700-202510</x:v>
      </x:c>
      <x:c r="B1350" s="24" t="str">
        <x:v>스위치플랜</x:v>
      </x:c>
      <x:c r="C1350" s="24" t="str">
        <x:v>SW-C-94주0700-1-20231219-65</x:v>
      </x:c>
      <x:c r="D1350" s="24" t="str">
        <x:v>94주0700</x:v>
      </x:c>
      <x:c r="E1350" s="24" t="str">
        <x:v>신태민</x:v>
      </x:c>
      <x:c r="F1350" s="24" t="str">
        <x:v>2025-10</x:v>
      </x:c>
      <x:c r="G1350" s="30" t="n">
        <x:v>45950</x:v>
      </x:c>
      <x:c r="H1350" s="32" t="n">
        <x:v>610000</x:v>
      </x:c>
      <x:c r="I1350" s="32" t="n">
        <x:v>610000</x:v>
      </x:c>
      <x:c r="J1350" s="32" t="n">
        <x:v>0</x:v>
      </x:c>
      <x:c r="K1350" s="30" t="n">
        <x:v>45954</x:v>
      </x:c>
      <x:c r="L1350" s="24" t="str">
        <x:v>입금</x:v>
      </x:c>
      <x:c r="M1350" s="31" t="n">
        <x:f>IF(AND(N1350="미수",G1350&lt;&gt;"",TODAY()&gt;G1350),TODAY()-G1350,0)</x:f>
        <x:v>0</x:v>
      </x:c>
      <x:c r="N1350" s="24" t="str">
        <x:f>IF(J1350&gt;0,"미수",IF(AND(H1350&gt;0,I1350&gt;=H1350),"완납","미확인"))</x:f>
        <x:v>완납</x:v>
      </x:c>
      <x:c r="O1350" s="31" t="n">
        <x:v>65</x:v>
      </x:c>
    </x:row>
    <x:row r="1351" ht="17.25" customHeight="1">
      <x:c r="A1351" s="24" t="str">
        <x:v>SW-B-94주0700-202509</x:v>
      </x:c>
      <x:c r="B1351" s="24" t="str">
        <x:v>스위치플랜</x:v>
      </x:c>
      <x:c r="C1351" s="24" t="str">
        <x:v>SW-C-94주0700-1-20231219-65</x:v>
      </x:c>
      <x:c r="D1351" s="24" t="str">
        <x:v>94주0700</x:v>
      </x:c>
      <x:c r="E1351" s="24" t="str">
        <x:v>신태민</x:v>
      </x:c>
      <x:c r="F1351" s="24" t="str">
        <x:v>2025-09</x:v>
      </x:c>
      <x:c r="G1351" s="30" t="n">
        <x:v>45920</x:v>
      </x:c>
      <x:c r="H1351" s="32" t="n">
        <x:v>610000</x:v>
      </x:c>
      <x:c r="I1351" s="32" t="n">
        <x:v>610000</x:v>
      </x:c>
      <x:c r="J1351" s="32" t="n">
        <x:v>0</x:v>
      </x:c>
      <x:c r="K1351" s="30" t="n">
        <x:v>45923</x:v>
      </x:c>
      <x:c r="L1351" s="24" t="str">
        <x:v>입금</x:v>
      </x:c>
      <x:c r="M1351" s="31" t="n">
        <x:f>IF(AND(N1351="미수",G1351&lt;&gt;"",TODAY()&gt;G1351),TODAY()-G1351,0)</x:f>
        <x:v>0</x:v>
      </x:c>
      <x:c r="N1351" s="24" t="str">
        <x:f>IF(J1351&gt;0,"미수",IF(AND(H1351&gt;0,I1351&gt;=H1351),"완납","미확인"))</x:f>
        <x:v>완납</x:v>
      </x:c>
      <x:c r="O1351" s="31" t="n">
        <x:v>65</x:v>
      </x:c>
    </x:row>
    <x:row r="1352" ht="17.25" customHeight="1">
      <x:c r="A1352" s="24" t="str">
        <x:v>SW-B-94주0700-202508</x:v>
      </x:c>
      <x:c r="B1352" s="24" t="str">
        <x:v>스위치플랜</x:v>
      </x:c>
      <x:c r="C1352" s="24" t="str">
        <x:v>SW-C-94주0700-1-20231219-65</x:v>
      </x:c>
      <x:c r="D1352" s="24" t="str">
        <x:v>94주0700</x:v>
      </x:c>
      <x:c r="E1352" s="24" t="str">
        <x:v>신태민</x:v>
      </x:c>
      <x:c r="F1352" s="24" t="str">
        <x:v>2025-08</x:v>
      </x:c>
      <x:c r="G1352" s="30" t="n">
        <x:v>45889</x:v>
      </x:c>
      <x:c r="H1352" s="32" t="n">
        <x:v>610000</x:v>
      </x:c>
      <x:c r="I1352" s="32" t="n">
        <x:v>610000</x:v>
      </x:c>
      <x:c r="J1352" s="32" t="n">
        <x:v>0</x:v>
      </x:c>
      <x:c r="K1352" s="30" t="n">
        <x:v>45891</x:v>
      </x:c>
      <x:c r="L1352" s="24" t="str">
        <x:v>입금</x:v>
      </x:c>
      <x:c r="M1352" s="31" t="n">
        <x:f>IF(AND(N1352="미수",G1352&lt;&gt;"",TODAY()&gt;G1352),TODAY()-G1352,0)</x:f>
        <x:v>0</x:v>
      </x:c>
      <x:c r="N1352" s="24" t="str">
        <x:f>IF(J1352&gt;0,"미수",IF(AND(H1352&gt;0,I1352&gt;=H1352),"완납","미확인"))</x:f>
        <x:v>완납</x:v>
      </x:c>
      <x:c r="O1352" s="31" t="n">
        <x:v>65</x:v>
      </x:c>
    </x:row>
    <x:row r="1353" ht="17.25" customHeight="1">
      <x:c r="A1353" s="24" t="str">
        <x:v>SW-B-94주0700-202507</x:v>
      </x:c>
      <x:c r="B1353" s="24" t="str">
        <x:v>스위치플랜</x:v>
      </x:c>
      <x:c r="C1353" s="24" t="str">
        <x:v>SW-C-94주0700-1-20231219-65</x:v>
      </x:c>
      <x:c r="D1353" s="24" t="str">
        <x:v>94주0700</x:v>
      </x:c>
      <x:c r="E1353" s="24" t="str">
        <x:v>신태민</x:v>
      </x:c>
      <x:c r="F1353" s="24" t="str">
        <x:v>2025-07</x:v>
      </x:c>
      <x:c r="G1353" s="30" t="n">
        <x:v>45858</x:v>
      </x:c>
      <x:c r="H1353" s="32" t="n">
        <x:v>610000</x:v>
      </x:c>
      <x:c r="I1353" s="32" t="n">
        <x:v>610000</x:v>
      </x:c>
      <x:c r="J1353" s="32" t="n">
        <x:v>0</x:v>
      </x:c>
      <x:c r="K1353" s="30" t="n">
        <x:v>45861</x:v>
      </x:c>
      <x:c r="L1353" s="24" t="str">
        <x:v>입금</x:v>
      </x:c>
      <x:c r="M1353" s="31" t="n">
        <x:f>IF(AND(N1353="미수",G1353&lt;&gt;"",TODAY()&gt;G1353),TODAY()-G1353,0)</x:f>
        <x:v>0</x:v>
      </x:c>
      <x:c r="N1353" s="24" t="str">
        <x:f>IF(J1353&gt;0,"미수",IF(AND(H1353&gt;0,I1353&gt;=H1353),"완납","미확인"))</x:f>
        <x:v>완납</x:v>
      </x:c>
      <x:c r="O1353" s="31" t="n">
        <x:v>65</x:v>
      </x:c>
    </x:row>
    <x:row r="1354" ht="17.25" customHeight="1">
      <x:c r="A1354" s="24" t="str">
        <x:v>SW-B-94주0700-202506</x:v>
      </x:c>
      <x:c r="B1354" s="24" t="str">
        <x:v>스위치플랜</x:v>
      </x:c>
      <x:c r="C1354" s="24" t="str">
        <x:v>SW-C-94주0700-1-20231219-65</x:v>
      </x:c>
      <x:c r="D1354" s="24" t="str">
        <x:v>94주0700</x:v>
      </x:c>
      <x:c r="E1354" s="24" t="str">
        <x:v>신태민</x:v>
      </x:c>
      <x:c r="F1354" s="24" t="str">
        <x:v>2025-06</x:v>
      </x:c>
      <x:c r="G1354" s="30" t="n">
        <x:v>45828</x:v>
      </x:c>
      <x:c r="H1354" s="32" t="n">
        <x:v>610000</x:v>
      </x:c>
      <x:c r="I1354" s="32" t="n">
        <x:v>610000</x:v>
      </x:c>
      <x:c r="J1354" s="32" t="n">
        <x:v>0</x:v>
      </x:c>
      <x:c r="K1354" s="30" t="n">
        <x:v>45834</x:v>
      </x:c>
      <x:c r="L1354" s="24" t="str">
        <x:v>입금</x:v>
      </x:c>
      <x:c r="M1354" s="31" t="n">
        <x:f>IF(AND(N1354="미수",G1354&lt;&gt;"",TODAY()&gt;G1354),TODAY()-G1354,0)</x:f>
        <x:v>0</x:v>
      </x:c>
      <x:c r="N1354" s="24" t="str">
        <x:f>IF(J1354&gt;0,"미수",IF(AND(H1354&gt;0,I1354&gt;=H1354),"완납","미확인"))</x:f>
        <x:v>완납</x:v>
      </x:c>
      <x:c r="O1354" s="31" t="n">
        <x:v>65</x:v>
      </x:c>
    </x:row>
    <x:row r="1355" ht="17.25" customHeight="1">
      <x:c r="A1355" s="24" t="str">
        <x:v>SW-B-94주0700-202505</x:v>
      </x:c>
      <x:c r="B1355" s="24" t="str">
        <x:v>스위치플랜</x:v>
      </x:c>
      <x:c r="C1355" s="24" t="str">
        <x:v>SW-C-94주0700-1-20231219-65</x:v>
      </x:c>
      <x:c r="D1355" s="24" t="str">
        <x:v>94주0700</x:v>
      </x:c>
      <x:c r="E1355" s="24" t="str">
        <x:v>신태민</x:v>
      </x:c>
      <x:c r="F1355" s="24" t="str">
        <x:v>2025-05</x:v>
      </x:c>
      <x:c r="G1355" s="30" t="n">
        <x:v>45797</x:v>
      </x:c>
      <x:c r="H1355" s="32" t="n">
        <x:v>610000</x:v>
      </x:c>
      <x:c r="I1355" s="32" t="n">
        <x:v>610000</x:v>
      </x:c>
      <x:c r="J1355" s="32" t="n">
        <x:v>0</x:v>
      </x:c>
      <x:c r="K1355" s="30" t="n">
        <x:v>45800</x:v>
      </x:c>
      <x:c r="L1355" s="24" t="str">
        <x:v>입금</x:v>
      </x:c>
      <x:c r="M1355" s="31" t="n">
        <x:f>IF(AND(N1355="미수",G1355&lt;&gt;"",TODAY()&gt;G1355),TODAY()-G1355,0)</x:f>
        <x:v>0</x:v>
      </x:c>
      <x:c r="N1355" s="24" t="str">
        <x:f>IF(J1355&gt;0,"미수",IF(AND(H1355&gt;0,I1355&gt;=H1355),"완납","미확인"))</x:f>
        <x:v>완납</x:v>
      </x:c>
      <x:c r="O1355" s="31" t="n">
        <x:v>65</x:v>
      </x:c>
    </x:row>
    <x:row r="1356" ht="17.25" customHeight="1">
      <x:c r="A1356" s="24" t="str">
        <x:v>SW-B-94주0700-202504</x:v>
      </x:c>
      <x:c r="B1356" s="24" t="str">
        <x:v>스위치플랜</x:v>
      </x:c>
      <x:c r="C1356" s="24" t="str">
        <x:v>SW-C-94주0700-1-20231219-65</x:v>
      </x:c>
      <x:c r="D1356" s="24" t="str">
        <x:v>94주0700</x:v>
      </x:c>
      <x:c r="E1356" s="24" t="str">
        <x:v>신태민</x:v>
      </x:c>
      <x:c r="F1356" s="24" t="str">
        <x:v>2025-04</x:v>
      </x:c>
      <x:c r="G1356" s="30" t="n">
        <x:v>45767</x:v>
      </x:c>
      <x:c r="H1356" s="32" t="n">
        <x:v>610000</x:v>
      </x:c>
      <x:c r="I1356" s="32" t="n">
        <x:v>610000</x:v>
      </x:c>
      <x:c r="J1356" s="32" t="n">
        <x:v>0</x:v>
      </x:c>
      <x:c r="K1356" s="30" t="n">
        <x:v>45771</x:v>
      </x:c>
      <x:c r="L1356" s="24" t="str">
        <x:v>입금</x:v>
      </x:c>
      <x:c r="M1356" s="31" t="n">
        <x:f>IF(AND(N1356="미수",G1356&lt;&gt;"",TODAY()&gt;G1356),TODAY()-G1356,0)</x:f>
        <x:v>0</x:v>
      </x:c>
      <x:c r="N1356" s="24" t="str">
        <x:f>IF(J1356&gt;0,"미수",IF(AND(H1356&gt;0,I1356&gt;=H1356),"완납","미확인"))</x:f>
        <x:v>완납</x:v>
      </x:c>
      <x:c r="O1356" s="31" t="n">
        <x:v>65</x:v>
      </x:c>
    </x:row>
    <x:row r="1357" ht="17.25" customHeight="1">
      <x:c r="A1357" s="24" t="str">
        <x:v>SW-B-94주0700-202503</x:v>
      </x:c>
      <x:c r="B1357" s="24" t="str">
        <x:v>스위치플랜</x:v>
      </x:c>
      <x:c r="C1357" s="24" t="str">
        <x:v>SW-C-94주0700-1-20231219-65</x:v>
      </x:c>
      <x:c r="D1357" s="24" t="str">
        <x:v>94주0700</x:v>
      </x:c>
      <x:c r="E1357" s="24" t="str">
        <x:v>신태민</x:v>
      </x:c>
      <x:c r="F1357" s="24" t="str">
        <x:v>2025-03</x:v>
      </x:c>
      <x:c r="G1357" s="30" t="n">
        <x:v>45736</x:v>
      </x:c>
      <x:c r="H1357" s="32" t="n">
        <x:v>610000</x:v>
      </x:c>
      <x:c r="I1357" s="32" t="n">
        <x:v>610000</x:v>
      </x:c>
      <x:c r="J1357" s="32" t="n">
        <x:v>0</x:v>
      </x:c>
      <x:c r="K1357" s="30" t="n">
        <x:v>45740</x:v>
      </x:c>
      <x:c r="L1357" s="24" t="str">
        <x:v>입금</x:v>
      </x:c>
      <x:c r="M1357" s="31" t="n">
        <x:f>IF(AND(N1357="미수",G1357&lt;&gt;"",TODAY()&gt;G1357),TODAY()-G1357,0)</x:f>
        <x:v>0</x:v>
      </x:c>
      <x:c r="N1357" s="24" t="str">
        <x:f>IF(J1357&gt;0,"미수",IF(AND(H1357&gt;0,I1357&gt;=H1357),"완납","미확인"))</x:f>
        <x:v>완납</x:v>
      </x:c>
      <x:c r="O1357" s="31" t="n">
        <x:v>65</x:v>
      </x:c>
    </x:row>
    <x:row r="1358" ht="17.25" customHeight="1">
      <x:c r="A1358" s="24" t="str">
        <x:v>SW-B-94주0700-202502</x:v>
      </x:c>
      <x:c r="B1358" s="24" t="str">
        <x:v>스위치플랜</x:v>
      </x:c>
      <x:c r="C1358" s="24" t="str">
        <x:v>SW-C-94주0700-1-20231219-65</x:v>
      </x:c>
      <x:c r="D1358" s="24" t="str">
        <x:v>94주0700</x:v>
      </x:c>
      <x:c r="E1358" s="24" t="str">
        <x:v>신태민</x:v>
      </x:c>
      <x:c r="F1358" s="24" t="str">
        <x:v>2025-02</x:v>
      </x:c>
      <x:c r="G1358" s="30" t="n">
        <x:v>45708</x:v>
      </x:c>
      <x:c r="H1358" s="32" t="n">
        <x:v>610000</x:v>
      </x:c>
      <x:c r="I1358" s="32" t="n">
        <x:v>610000</x:v>
      </x:c>
      <x:c r="J1358" s="32" t="n">
        <x:v>0</x:v>
      </x:c>
      <x:c r="K1358" s="30" t="n">
        <x:v>45712</x:v>
      </x:c>
      <x:c r="L1358" s="24" t="str">
        <x:v>입금</x:v>
      </x:c>
      <x:c r="M1358" s="31" t="n">
        <x:f>IF(AND(N1358="미수",G1358&lt;&gt;"",TODAY()&gt;G1358),TODAY()-G1358,0)</x:f>
        <x:v>0</x:v>
      </x:c>
      <x:c r="N1358" s="24" t="str">
        <x:f>IF(J1358&gt;0,"미수",IF(AND(H1358&gt;0,I1358&gt;=H1358),"완납","미확인"))</x:f>
        <x:v>완납</x:v>
      </x:c>
      <x:c r="O1358" s="31" t="n">
        <x:v>65</x:v>
      </x:c>
    </x:row>
    <x:row r="1359" ht="17.25" customHeight="1">
      <x:c r="A1359" s="24" t="str">
        <x:v>SW-B-94주0700-202501</x:v>
      </x:c>
      <x:c r="B1359" s="24" t="str">
        <x:v>스위치플랜</x:v>
      </x:c>
      <x:c r="C1359" s="24" t="str">
        <x:v>SW-C-94주0700-1-20231219-65</x:v>
      </x:c>
      <x:c r="D1359" s="24" t="str">
        <x:v>94주0700</x:v>
      </x:c>
      <x:c r="E1359" s="24" t="str">
        <x:v>신태민</x:v>
      </x:c>
      <x:c r="F1359" s="24" t="str">
        <x:v>2025-01</x:v>
      </x:c>
      <x:c r="G1359" s="30" t="n">
        <x:v>45677</x:v>
      </x:c>
      <x:c r="H1359" s="32" t="n">
        <x:v>610000</x:v>
      </x:c>
      <x:c r="I1359" s="32" t="n">
        <x:v>610000</x:v>
      </x:c>
      <x:c r="J1359" s="32" t="n">
        <x:v>0</x:v>
      </x:c>
      <x:c r="K1359" s="30" t="n">
        <x:v>45679</x:v>
      </x:c>
      <x:c r="L1359" s="24" t="str">
        <x:v>입금</x:v>
      </x:c>
      <x:c r="M1359" s="31" t="n">
        <x:f>IF(AND(N1359="미수",G1359&lt;&gt;"",TODAY()&gt;G1359),TODAY()-G1359,0)</x:f>
        <x:v>0</x:v>
      </x:c>
      <x:c r="N1359" s="24" t="str">
        <x:f>IF(J1359&gt;0,"미수",IF(AND(H1359&gt;0,I1359&gt;=H1359),"완납","미확인"))</x:f>
        <x:v>완납</x:v>
      </x:c>
      <x:c r="O1359" s="31" t="n">
        <x:v>65</x:v>
      </x:c>
    </x:row>
    <x:row r="1360" ht="17.25" customHeight="1">
      <x:c r="A1360" s="24" t="str">
        <x:v>SW-B-94주0700-202412</x:v>
      </x:c>
      <x:c r="B1360" s="24" t="str">
        <x:v>스위치플랜</x:v>
      </x:c>
      <x:c r="C1360" s="24" t="str">
        <x:v>SW-C-94주0700-1-20231219-65</x:v>
      </x:c>
      <x:c r="D1360" s="24" t="str">
        <x:v>94주0700</x:v>
      </x:c>
      <x:c r="E1360" s="24" t="str">
        <x:v>신태민</x:v>
      </x:c>
      <x:c r="F1360" s="24" t="str">
        <x:v>2024-12</x:v>
      </x:c>
      <x:c r="G1360" s="30" t="n">
        <x:v>45646</x:v>
      </x:c>
      <x:c r="H1360" s="32" t="n">
        <x:v>610000</x:v>
      </x:c>
      <x:c r="I1360" s="32" t="n">
        <x:v>610000</x:v>
      </x:c>
      <x:c r="J1360" s="32" t="n">
        <x:v>0</x:v>
      </x:c>
      <x:c r="K1360" s="30" t="n">
        <x:v>45650</x:v>
      </x:c>
      <x:c r="L1360" s="24" t="str">
        <x:v>입금</x:v>
      </x:c>
      <x:c r="M1360" s="31" t="n">
        <x:f>IF(AND(N1360="미수",G1360&lt;&gt;"",TODAY()&gt;G1360),TODAY()-G1360,0)</x:f>
        <x:v>0</x:v>
      </x:c>
      <x:c r="N1360" s="24" t="str">
        <x:f>IF(J1360&gt;0,"미수",IF(AND(H1360&gt;0,I1360&gt;=H1360),"완납","미확인"))</x:f>
        <x:v>완납</x:v>
      </x:c>
      <x:c r="O1360" s="31" t="n">
        <x:v>65</x:v>
      </x:c>
    </x:row>
    <x:row r="1361" ht="17.25" customHeight="1">
      <x:c r="A1361" s="24" t="str">
        <x:v>SW-B-94주0700-202411</x:v>
      </x:c>
      <x:c r="B1361" s="24" t="str">
        <x:v>스위치플랜</x:v>
      </x:c>
      <x:c r="C1361" s="24" t="str">
        <x:v>SW-C-94주0700-1-20231219-65</x:v>
      </x:c>
      <x:c r="D1361" s="24" t="str">
        <x:v>94주0700</x:v>
      </x:c>
      <x:c r="E1361" s="24" t="str">
        <x:v>신태민</x:v>
      </x:c>
      <x:c r="F1361" s="24" t="str">
        <x:v>2024-11</x:v>
      </x:c>
      <x:c r="G1361" s="30" t="n">
        <x:v>45616</x:v>
      </x:c>
      <x:c r="H1361" s="32" t="n">
        <x:v>610000</x:v>
      </x:c>
      <x:c r="I1361" s="32" t="n">
        <x:v>610000</x:v>
      </x:c>
      <x:c r="J1361" s="32" t="n">
        <x:v>0</x:v>
      </x:c>
      <x:c r="K1361" s="30" t="n">
        <x:v>45624</x:v>
      </x:c>
      <x:c r="L1361" s="24" t="str">
        <x:v>입금</x:v>
      </x:c>
      <x:c r="M1361" s="31" t="n">
        <x:f>IF(AND(N1361="미수",G1361&lt;&gt;"",TODAY()&gt;G1361),TODAY()-G1361,0)</x:f>
        <x:v>0</x:v>
      </x:c>
      <x:c r="N1361" s="24" t="str">
        <x:f>IF(J1361&gt;0,"미수",IF(AND(H1361&gt;0,I1361&gt;=H1361),"완납","미확인"))</x:f>
        <x:v>완납</x:v>
      </x:c>
      <x:c r="O1361" s="31" t="n">
        <x:v>65</x:v>
      </x:c>
    </x:row>
    <x:row r="1362" ht="17.25" customHeight="1">
      <x:c r="A1362" s="24" t="str">
        <x:v>SW-B-94주0700-202410</x:v>
      </x:c>
      <x:c r="B1362" s="24" t="str">
        <x:v>스위치플랜</x:v>
      </x:c>
      <x:c r="C1362" s="24" t="str">
        <x:v>SW-C-94주0700-1-20231219-65</x:v>
      </x:c>
      <x:c r="D1362" s="24" t="str">
        <x:v>94주0700</x:v>
      </x:c>
      <x:c r="E1362" s="24" t="str">
        <x:v>신태민</x:v>
      </x:c>
      <x:c r="F1362" s="24" t="str">
        <x:v>2024-10</x:v>
      </x:c>
      <x:c r="G1362" s="30" t="n">
        <x:v>45585</x:v>
      </x:c>
      <x:c r="H1362" s="32" t="n">
        <x:v>610000</x:v>
      </x:c>
      <x:c r="I1362" s="32" t="n">
        <x:v>610000</x:v>
      </x:c>
      <x:c r="J1362" s="32" t="n">
        <x:v>0</x:v>
      </x:c>
      <x:c r="K1362" s="30" t="n">
        <x:v>45589</x:v>
      </x:c>
      <x:c r="L1362" s="24" t="str">
        <x:v>입금</x:v>
      </x:c>
      <x:c r="M1362" s="31" t="n">
        <x:f>IF(AND(N1362="미수",G1362&lt;&gt;"",TODAY()&gt;G1362),TODAY()-G1362,0)</x:f>
        <x:v>0</x:v>
      </x:c>
      <x:c r="N1362" s="24" t="str">
        <x:f>IF(J1362&gt;0,"미수",IF(AND(H1362&gt;0,I1362&gt;=H1362),"완납","미확인"))</x:f>
        <x:v>완납</x:v>
      </x:c>
      <x:c r="O1362" s="31" t="n">
        <x:v>65</x:v>
      </x:c>
    </x:row>
    <x:row r="1363" ht="17.25" customHeight="1">
      <x:c r="A1363" s="24" t="str">
        <x:v>SW-B-94주0700-202409</x:v>
      </x:c>
      <x:c r="B1363" s="24" t="str">
        <x:v>스위치플랜</x:v>
      </x:c>
      <x:c r="C1363" s="24" t="str">
        <x:v>SW-C-94주0700-1-20231219-65</x:v>
      </x:c>
      <x:c r="D1363" s="24" t="str">
        <x:v>94주0700</x:v>
      </x:c>
      <x:c r="E1363" s="24" t="str">
        <x:v>신태민</x:v>
      </x:c>
      <x:c r="F1363" s="24" t="str">
        <x:v>2024-09</x:v>
      </x:c>
      <x:c r="G1363" s="30" t="n">
        <x:v>45555</x:v>
      </x:c>
      <x:c r="H1363" s="32" t="n">
        <x:v>610000</x:v>
      </x:c>
      <x:c r="I1363" s="32" t="n">
        <x:v>610000</x:v>
      </x:c>
      <x:c r="J1363" s="32" t="n">
        <x:v>0</x:v>
      </x:c>
      <x:c r="K1363" s="30" t="n">
        <x:v>45559</x:v>
      </x:c>
      <x:c r="L1363" s="24" t="str">
        <x:v>입금</x:v>
      </x:c>
      <x:c r="M1363" s="31" t="n">
        <x:f>IF(AND(N1363="미수",G1363&lt;&gt;"",TODAY()&gt;G1363),TODAY()-G1363,0)</x:f>
        <x:v>0</x:v>
      </x:c>
      <x:c r="N1363" s="24" t="str">
        <x:f>IF(J1363&gt;0,"미수",IF(AND(H1363&gt;0,I1363&gt;=H1363),"완납","미확인"))</x:f>
        <x:v>완납</x:v>
      </x:c>
      <x:c r="O1363" s="31" t="n">
        <x:v>65</x:v>
      </x:c>
    </x:row>
    <x:row r="1364" ht="17.25" customHeight="1">
      <x:c r="A1364" s="24" t="str">
        <x:v>SW-B-94주0700-202408</x:v>
      </x:c>
      <x:c r="B1364" s="24" t="str">
        <x:v>스위치플랜</x:v>
      </x:c>
      <x:c r="C1364" s="24" t="str">
        <x:v>SW-C-94주0700-1-20231219-65</x:v>
      </x:c>
      <x:c r="D1364" s="24" t="str">
        <x:v>94주0700</x:v>
      </x:c>
      <x:c r="E1364" s="24" t="str">
        <x:v>신태민</x:v>
      </x:c>
      <x:c r="F1364" s="24" t="str">
        <x:v>2024-08</x:v>
      </x:c>
      <x:c r="G1364" s="30" t="n">
        <x:v>45524</x:v>
      </x:c>
      <x:c r="H1364" s="32" t="n">
        <x:v>610000</x:v>
      </x:c>
      <x:c r="I1364" s="32" t="n">
        <x:v>610000</x:v>
      </x:c>
      <x:c r="J1364" s="32" t="n">
        <x:v>0</x:v>
      </x:c>
      <x:c r="K1364" s="30" t="n">
        <x:v>45527</x:v>
      </x:c>
      <x:c r="L1364" s="24" t="str">
        <x:v>입금</x:v>
      </x:c>
      <x:c r="M1364" s="31" t="n">
        <x:f>IF(AND(N1364="미수",G1364&lt;&gt;"",TODAY()&gt;G1364),TODAY()-G1364,0)</x:f>
        <x:v>0</x:v>
      </x:c>
      <x:c r="N1364" s="24" t="str">
        <x:f>IF(J1364&gt;0,"미수",IF(AND(H1364&gt;0,I1364&gt;=H1364),"완납","미확인"))</x:f>
        <x:v>완납</x:v>
      </x:c>
      <x:c r="O1364" s="31" t="n">
        <x:v>65</x:v>
      </x:c>
    </x:row>
    <x:row r="1365" ht="17.25" customHeight="1">
      <x:c r="A1365" s="24" t="str">
        <x:v>SW-B-94주0700-202407</x:v>
      </x:c>
      <x:c r="B1365" s="24" t="str">
        <x:v>스위치플랜</x:v>
      </x:c>
      <x:c r="C1365" s="24" t="str">
        <x:v>SW-C-94주0700-1-20231219-65</x:v>
      </x:c>
      <x:c r="D1365" s="24" t="str">
        <x:v>94주0700</x:v>
      </x:c>
      <x:c r="E1365" s="24" t="str">
        <x:v>신태민</x:v>
      </x:c>
      <x:c r="F1365" s="24" t="str">
        <x:v>2024-07</x:v>
      </x:c>
      <x:c r="G1365" s="30" t="n">
        <x:v>45493</x:v>
      </x:c>
      <x:c r="H1365" s="32" t="n">
        <x:v>610000</x:v>
      </x:c>
      <x:c r="I1365" s="32" t="n">
        <x:v>610000</x:v>
      </x:c>
      <x:c r="J1365" s="32" t="n">
        <x:v>0</x:v>
      </x:c>
      <x:c r="K1365" s="30" t="n">
        <x:v>45497</x:v>
      </x:c>
      <x:c r="L1365" s="24" t="str">
        <x:v>입금</x:v>
      </x:c>
      <x:c r="M1365" s="31" t="n">
        <x:f>IF(AND(N1365="미수",G1365&lt;&gt;"",TODAY()&gt;G1365),TODAY()-G1365,0)</x:f>
        <x:v>0</x:v>
      </x:c>
      <x:c r="N1365" s="24" t="str">
        <x:f>IF(J1365&gt;0,"미수",IF(AND(H1365&gt;0,I1365&gt;=H1365),"완납","미확인"))</x:f>
        <x:v>완납</x:v>
      </x:c>
      <x:c r="O1365" s="31" t="n">
        <x:v>65</x:v>
      </x:c>
    </x:row>
    <x:row r="1366" ht="17.25" customHeight="1">
      <x:c r="A1366" s="24" t="str">
        <x:v>SW-B-94주0700-202406</x:v>
      </x:c>
      <x:c r="B1366" s="24" t="str">
        <x:v>스위치플랜</x:v>
      </x:c>
      <x:c r="C1366" s="24" t="str">
        <x:v>SW-C-94주0700-1-20231219-65</x:v>
      </x:c>
      <x:c r="D1366" s="24" t="str">
        <x:v>94주0700</x:v>
      </x:c>
      <x:c r="E1366" s="24" t="str">
        <x:v>신태민</x:v>
      </x:c>
      <x:c r="F1366" s="24" t="str">
        <x:v>2024-06</x:v>
      </x:c>
      <x:c r="G1366" s="30" t="n">
        <x:v>45463</x:v>
      </x:c>
      <x:c r="H1366" s="32" t="n">
        <x:v>610000</x:v>
      </x:c>
      <x:c r="I1366" s="32" t="n">
        <x:v>610000</x:v>
      </x:c>
      <x:c r="J1366" s="32" t="n">
        <x:v>0</x:v>
      </x:c>
      <x:c r="K1366" s="30" t="n">
        <x:v>45467</x:v>
      </x:c>
      <x:c r="L1366" s="24" t="str">
        <x:v>입금</x:v>
      </x:c>
      <x:c r="M1366" s="31" t="n">
        <x:f>IF(AND(N1366="미수",G1366&lt;&gt;"",TODAY()&gt;G1366),TODAY()-G1366,0)</x:f>
        <x:v>0</x:v>
      </x:c>
      <x:c r="N1366" s="24" t="str">
        <x:f>IF(J1366&gt;0,"미수",IF(AND(H1366&gt;0,I1366&gt;=H1366),"완납","미확인"))</x:f>
        <x:v>완납</x:v>
      </x:c>
      <x:c r="O1366" s="31" t="n">
        <x:v>65</x:v>
      </x:c>
    </x:row>
    <x:row r="1367" ht="17.25" customHeight="1">
      <x:c r="A1367" s="24" t="str">
        <x:v>SW-B-94주0700-202405</x:v>
      </x:c>
      <x:c r="B1367" s="24" t="str">
        <x:v>스위치플랜</x:v>
      </x:c>
      <x:c r="C1367" s="24" t="str">
        <x:v>SW-C-94주0700-1-20231219-65</x:v>
      </x:c>
      <x:c r="D1367" s="24" t="str">
        <x:v>94주0700</x:v>
      </x:c>
      <x:c r="E1367" s="24" t="str">
        <x:v>신태민</x:v>
      </x:c>
      <x:c r="F1367" s="24" t="str">
        <x:v>2024-05</x:v>
      </x:c>
      <x:c r="G1367" s="30" t="n">
        <x:v>45432</x:v>
      </x:c>
      <x:c r="H1367" s="32" t="n">
        <x:v>610000</x:v>
      </x:c>
      <x:c r="I1367" s="32" t="n">
        <x:v>610000</x:v>
      </x:c>
      <x:c r="J1367" s="32" t="n">
        <x:v>0</x:v>
      </x:c>
      <x:c r="K1367" s="30" t="n">
        <x:v>45434</x:v>
      </x:c>
      <x:c r="L1367" s="24" t="str">
        <x:v>입금</x:v>
      </x:c>
      <x:c r="M1367" s="31" t="n">
        <x:f>IF(AND(N1367="미수",G1367&lt;&gt;"",TODAY()&gt;G1367),TODAY()-G1367,0)</x:f>
        <x:v>0</x:v>
      </x:c>
      <x:c r="N1367" s="24" t="str">
        <x:f>IF(J1367&gt;0,"미수",IF(AND(H1367&gt;0,I1367&gt;=H1367),"완납","미확인"))</x:f>
        <x:v>완납</x:v>
      </x:c>
      <x:c r="O1367" s="31" t="n">
        <x:v>65</x:v>
      </x:c>
    </x:row>
    <x:row r="1368" ht="17.25" customHeight="1">
      <x:c r="A1368" s="24" t="str">
        <x:v>SW-B-94주0700-202404</x:v>
      </x:c>
      <x:c r="B1368" s="24" t="str">
        <x:v>스위치플랜</x:v>
      </x:c>
      <x:c r="C1368" s="24" t="str">
        <x:v>SW-C-94주0700-1-20231219-65</x:v>
      </x:c>
      <x:c r="D1368" s="24" t="str">
        <x:v>94주0700</x:v>
      </x:c>
      <x:c r="E1368" s="24" t="str">
        <x:v>신태민</x:v>
      </x:c>
      <x:c r="F1368" s="24" t="str">
        <x:v>2024-04</x:v>
      </x:c>
      <x:c r="G1368" s="30" t="n">
        <x:v>45402</x:v>
      </x:c>
      <x:c r="H1368" s="32" t="n">
        <x:v>610000</x:v>
      </x:c>
      <x:c r="I1368" s="32" t="n">
        <x:v>610000</x:v>
      </x:c>
      <x:c r="J1368" s="32" t="n">
        <x:v>0</x:v>
      </x:c>
      <x:c r="K1368" s="30" t="n">
        <x:v>45405</x:v>
      </x:c>
      <x:c r="L1368" s="24" t="str">
        <x:v>입금</x:v>
      </x:c>
      <x:c r="M1368" s="31" t="n">
        <x:f>IF(AND(N1368="미수",G1368&lt;&gt;"",TODAY()&gt;G1368),TODAY()-G1368,0)</x:f>
        <x:v>0</x:v>
      </x:c>
      <x:c r="N1368" s="24" t="str">
        <x:f>IF(J1368&gt;0,"미수",IF(AND(H1368&gt;0,I1368&gt;=H1368),"완납","미확인"))</x:f>
        <x:v>완납</x:v>
      </x:c>
      <x:c r="O1368" s="31" t="n">
        <x:v>65</x:v>
      </x:c>
    </x:row>
    <x:row r="1369" ht="17.25" customHeight="1">
      <x:c r="A1369" s="24" t="str">
        <x:v>SW-B-94주0700-202403</x:v>
      </x:c>
      <x:c r="B1369" s="24" t="str">
        <x:v>스위치플랜</x:v>
      </x:c>
      <x:c r="C1369" s="24" t="str">
        <x:v>SW-C-94주0700-1-20231219-65</x:v>
      </x:c>
      <x:c r="D1369" s="24" t="str">
        <x:v>94주0700</x:v>
      </x:c>
      <x:c r="E1369" s="24" t="str">
        <x:v>신태민</x:v>
      </x:c>
      <x:c r="F1369" s="24" t="str">
        <x:v>2024-03</x:v>
      </x:c>
      <x:c r="G1369" s="30" t="n">
        <x:v>45371</x:v>
      </x:c>
      <x:c r="H1369" s="32" t="n">
        <x:v>610000</x:v>
      </x:c>
      <x:c r="I1369" s="32" t="n">
        <x:v>610000</x:v>
      </x:c>
      <x:c r="J1369" s="32" t="n">
        <x:v>0</x:v>
      </x:c>
      <x:c r="K1369" s="30" t="n">
        <x:v>45373</x:v>
      </x:c>
      <x:c r="L1369" s="24" t="str">
        <x:v>입금</x:v>
      </x:c>
      <x:c r="M1369" s="31" t="n">
        <x:f>IF(AND(N1369="미수",G1369&lt;&gt;"",TODAY()&gt;G1369),TODAY()-G1369,0)</x:f>
        <x:v>0</x:v>
      </x:c>
      <x:c r="N1369" s="24" t="str">
        <x:f>IF(J1369&gt;0,"미수",IF(AND(H1369&gt;0,I1369&gt;=H1369),"완납","미확인"))</x:f>
        <x:v>완납</x:v>
      </x:c>
      <x:c r="O1369" s="31" t="n">
        <x:v>65</x:v>
      </x:c>
    </x:row>
    <x:row r="1370" ht="17.25" customHeight="1">
      <x:c r="A1370" s="24" t="str">
        <x:v>SW-B-94주0700-202402</x:v>
      </x:c>
      <x:c r="B1370" s="24" t="str">
        <x:v>스위치플랜</x:v>
      </x:c>
      <x:c r="C1370" s="24" t="str">
        <x:v>SW-C-94주0700-1-20231219-65</x:v>
      </x:c>
      <x:c r="D1370" s="24" t="str">
        <x:v>94주0700</x:v>
      </x:c>
      <x:c r="E1370" s="24" t="str">
        <x:v>신태민</x:v>
      </x:c>
      <x:c r="F1370" s="24" t="str">
        <x:v>2024-02</x:v>
      </x:c>
      <x:c r="G1370" s="30" t="n">
        <x:v>45342</x:v>
      </x:c>
      <x:c r="H1370" s="32" t="n">
        <x:v>610000</x:v>
      </x:c>
      <x:c r="I1370" s="32" t="n">
        <x:v>610000</x:v>
      </x:c>
      <x:c r="J1370" s="32" t="n">
        <x:v>0</x:v>
      </x:c>
      <x:c r="K1370" s="30" t="n">
        <x:v>45343</x:v>
      </x:c>
      <x:c r="L1370" s="24" t="str">
        <x:v>입금</x:v>
      </x:c>
      <x:c r="M1370" s="31" t="n">
        <x:f>IF(AND(N1370="미수",G1370&lt;&gt;"",TODAY()&gt;G1370),TODAY()-G1370,0)</x:f>
        <x:v>0</x:v>
      </x:c>
      <x:c r="N1370" s="24" t="str">
        <x:f>IF(J1370&gt;0,"미수",IF(AND(H1370&gt;0,I1370&gt;=H1370),"완납","미확인"))</x:f>
        <x:v>완납</x:v>
      </x:c>
      <x:c r="O1370" s="31" t="n">
        <x:v>65</x:v>
      </x:c>
    </x:row>
    <x:row r="1371" ht="17.25" customHeight="1">
      <x:c r="A1371" s="24" t="str">
        <x:v>SW-B-94주0700-202401</x:v>
      </x:c>
      <x:c r="B1371" s="24" t="str">
        <x:v>스위치플랜</x:v>
      </x:c>
      <x:c r="C1371" s="24" t="str">
        <x:v>SW-C-94주0700-1-20231219-65</x:v>
      </x:c>
      <x:c r="D1371" s="24" t="str">
        <x:v>94주0700</x:v>
      </x:c>
      <x:c r="E1371" s="24" t="str">
        <x:v>신태민</x:v>
      </x:c>
      <x:c r="F1371" s="24" t="str">
        <x:v>2024-01</x:v>
      </x:c>
      <x:c r="G1371" s="30" t="n">
        <x:v>45311</x:v>
      </x:c>
      <x:c r="H1371" s="32" t="n">
        <x:v>610000</x:v>
      </x:c>
      <x:c r="I1371" s="32" t="n">
        <x:v>610000</x:v>
      </x:c>
      <x:c r="J1371" s="32" t="n">
        <x:v>0</x:v>
      </x:c>
      <x:c r="K1371" s="30" t="n">
        <x:v>45314</x:v>
      </x:c>
      <x:c r="L1371" s="24" t="str">
        <x:v>입금</x:v>
      </x:c>
      <x:c r="M1371" s="31" t="n">
        <x:f>IF(AND(N1371="미수",G1371&lt;&gt;"",TODAY()&gt;G1371),TODAY()-G1371,0)</x:f>
        <x:v>0</x:v>
      </x:c>
      <x:c r="N1371" s="24" t="str">
        <x:f>IF(J1371&gt;0,"미수",IF(AND(H1371&gt;0,I1371&gt;=H1371),"완납","미확인"))</x:f>
        <x:v>완납</x:v>
      </x:c>
      <x:c r="O1371" s="31" t="n">
        <x:v>65</x:v>
      </x:c>
    </x:row>
    <x:row r="1372" ht="17.25" customHeight="1">
      <x:c r="A1372" s="24" t="str">
        <x:v>SW-B-94주0700-202312</x:v>
      </x:c>
      <x:c r="B1372" s="24" t="str">
        <x:v>스위치플랜</x:v>
      </x:c>
      <x:c r="C1372" s="24" t="str">
        <x:v>SW-C-94주0700-1-20231219-65</x:v>
      </x:c>
      <x:c r="D1372" s="24" t="str">
        <x:v>94주0700</x:v>
      </x:c>
      <x:c r="E1372" s="24" t="str">
        <x:v>신태민</x:v>
      </x:c>
      <x:c r="F1372" s="24" t="str">
        <x:v>2023-12</x:v>
      </x:c>
      <x:c r="G1372" s="30" t="n">
        <x:v>45280</x:v>
      </x:c>
      <x:c r="H1372" s="32" t="n">
        <x:v>610000</x:v>
      </x:c>
      <x:c r="I1372" s="32" t="n">
        <x:v>610000</x:v>
      </x:c>
      <x:c r="J1372" s="32" t="n">
        <x:v>0</x:v>
      </x:c>
      <x:c r="K1372" s="30" t="n">
        <x:v>45268</x:v>
      </x:c>
      <x:c r="L1372" s="24" t="str">
        <x:v>입금</x:v>
      </x:c>
      <x:c r="M1372" s="31" t="n">
        <x:f>IF(AND(N1372="미수",G1372&lt;&gt;"",TODAY()&gt;G1372),TODAY()-G1372,0)</x:f>
        <x:v>0</x:v>
      </x:c>
      <x:c r="N1372" s="24" t="str">
        <x:f>IF(J1372&gt;0,"미수",IF(AND(H1372&gt;0,I1372&gt;=H1372),"완납","미확인"))</x:f>
        <x:v>완납</x:v>
      </x:c>
      <x:c r="O1372" s="31" t="n">
        <x:v>65</x:v>
      </x:c>
    </x:row>
    <x:row r="1373" ht="17.25" customHeight="1">
      <x:c r="A1373" s="24" t="str">
        <x:v>SW-B-236로9998-202608</x:v>
      </x:c>
      <x:c r="B1373" s="24" t="str">
        <x:v>스위치플랜</x:v>
      </x:c>
      <x:c r="C1373" s="24" t="str">
        <x:v>SW-C-236로9998-1-20260522-66</x:v>
      </x:c>
      <x:c r="D1373" s="24" t="str">
        <x:v>236로9998</x:v>
      </x:c>
      <x:c r="E1373" s="24" t="str">
        <x:v>유승</x:v>
      </x:c>
      <x:c r="F1373" s="24" t="str">
        <x:v>2026-08</x:v>
      </x:c>
      <x:c r="G1373" s="30" t="n">
        <x:v>46259</x:v>
      </x:c>
      <x:c r="H1373" s="32" t="n">
        <x:v>1200000</x:v>
      </x:c>
      <x:c r="I1373" s="32"/>
      <x:c r="J1373" s="32" t="n">
        <x:v>2300000</x:v>
      </x:c>
      <x:c r="K1373" s="30"/>
      <x:c r="L1373" s="24" t="str"/>
      <x:c r="M1373" s="31" t="n">
        <x:f>IF(AND(N1373="미수",G1373&lt;&gt;"",TODAY()&gt;G1373),TODAY()-G1373,0)</x:f>
        <x:v>0</x:v>
      </x:c>
      <x:c r="N1373" s="24" t="str">
        <x:f>IF(J1373&gt;0,"미수",IF(AND(H1373&gt;0,I1373&gt;=H1373),"완납","미확인"))</x:f>
        <x:v>미수</x:v>
      </x:c>
      <x:c r="O1373" s="31" t="n">
        <x:v>66</x:v>
      </x:c>
    </x:row>
    <x:row r="1374" ht="17.25" customHeight="1">
      <x:c r="A1374" s="24" t="str">
        <x:v>SW-B-236로9998-202607</x:v>
      </x:c>
      <x:c r="B1374" s="24" t="str">
        <x:v>스위치플랜</x:v>
      </x:c>
      <x:c r="C1374" s="24" t="str">
        <x:v>SW-C-236로9998-1-20260522-66</x:v>
      </x:c>
      <x:c r="D1374" s="24" t="str">
        <x:v>236로9998</x:v>
      </x:c>
      <x:c r="E1374" s="24" t="str">
        <x:v>유승</x:v>
      </x:c>
      <x:c r="F1374" s="24" t="str">
        <x:v>2026-07</x:v>
      </x:c>
      <x:c r="G1374" s="30" t="n">
        <x:v>46228</x:v>
      </x:c>
      <x:c r="H1374" s="32" t="n">
        <x:v>1200000</x:v>
      </x:c>
      <x:c r="I1374" s="32" t="n">
        <x:v>1200000</x:v>
      </x:c>
      <x:c r="J1374" s="32" t="n">
        <x:v>1100000</x:v>
      </x:c>
      <x:c r="K1374" s="30" t="n">
        <x:v>46211</x:v>
      </x:c>
      <x:c r="L1374" s="24" t="str">
        <x:v>카드</x:v>
      </x:c>
      <x:c r="M1374" s="31" t="n">
        <x:f>IF(AND(N1374="미수",G1374&lt;&gt;"",TODAY()&gt;G1374),TODAY()-G1374,0)</x:f>
        <x:v>21</x:v>
      </x:c>
      <x:c r="N1374" s="24" t="str">
        <x:f>IF(J1374&gt;0,"미수",IF(AND(H1374&gt;0,I1374&gt;=H1374),"완납","미확인"))</x:f>
        <x:v>미수</x:v>
      </x:c>
      <x:c r="O1374" s="31" t="n">
        <x:v>66</x:v>
      </x:c>
    </x:row>
    <x:row r="1375" ht="17.25" customHeight="1">
      <x:c r="A1375" s="24" t="str">
        <x:v>SW-B-236로9998-202606</x:v>
      </x:c>
      <x:c r="B1375" s="24" t="str">
        <x:v>스위치플랜</x:v>
      </x:c>
      <x:c r="C1375" s="24" t="str">
        <x:v>SW-C-236로9998-1-20260522-66</x:v>
      </x:c>
      <x:c r="D1375" s="24" t="str">
        <x:v>236로9998</x:v>
      </x:c>
      <x:c r="E1375" s="24" t="str">
        <x:v>유승</x:v>
      </x:c>
      <x:c r="F1375" s="24" t="str">
        <x:v>2026-06</x:v>
      </x:c>
      <x:c r="G1375" s="30" t="n">
        <x:v>46198</x:v>
      </x:c>
      <x:c r="H1375" s="32" t="n">
        <x:v>1200000</x:v>
      </x:c>
      <x:c r="I1375" s="32"/>
      <x:c r="J1375" s="32" t="n">
        <x:v>1100000</x:v>
      </x:c>
      <x:c r="K1375" s="30"/>
      <x:c r="L1375" s="24" t="str"/>
      <x:c r="M1375" s="31" t="n">
        <x:f>IF(AND(N1375="미수",G1375&lt;&gt;"",TODAY()&gt;G1375),TODAY()-G1375,0)</x:f>
        <x:v>51</x:v>
      </x:c>
      <x:c r="N1375" s="24" t="str">
        <x:f>IF(J1375&gt;0,"미수",IF(AND(H1375&gt;0,I1375&gt;=H1375),"완납","미확인"))</x:f>
        <x:v>미수</x:v>
      </x:c>
      <x:c r="O1375" s="31" t="n">
        <x:v>66</x:v>
      </x:c>
    </x:row>
    <x:row r="1376" ht="17.25" customHeight="1">
      <x:c r="A1376" s="24" t="str">
        <x:v>SW-B-236로9998-202605</x:v>
      </x:c>
      <x:c r="B1376" s="24" t="str">
        <x:v>스위치플랜</x:v>
      </x:c>
      <x:c r="C1376" s="24" t="str">
        <x:v>SW-C-236로9998-1-20260522-66</x:v>
      </x:c>
      <x:c r="D1376" s="24" t="str">
        <x:v>236로9998</x:v>
      </x:c>
      <x:c r="E1376" s="24" t="str">
        <x:v>유승</x:v>
      </x:c>
      <x:c r="F1376" s="24" t="str">
        <x:v>2026-05</x:v>
      </x:c>
      <x:c r="G1376" s="30" t="n">
        <x:v>46167</x:v>
      </x:c>
      <x:c r="H1376" s="32" t="n">
        <x:v>0</x:v>
      </x:c>
      <x:c r="I1376" s="32" t="n">
        <x:v>100000</x:v>
      </x:c>
      <x:c r="J1376" s="32" t="n">
        <x:v>-100000</x:v>
      </x:c>
      <x:c r="K1376" s="30" t="n">
        <x:v>46163</x:v>
      </x:c>
      <x:c r="L1376" s="24" t="str">
        <x:v>입금</x:v>
      </x:c>
      <x:c r="M1376" s="31" t="n">
        <x:f>IF(AND(N1376="미수",G1376&lt;&gt;"",TODAY()&gt;G1376),TODAY()-G1376,0)</x:f>
        <x:v>0</x:v>
      </x:c>
      <x:c r="N1376" s="24" t="str">
        <x:f>IF(J1376&gt;0,"미수",IF(AND(H1376&gt;0,I1376&gt;=H1376),"완납","미확인"))</x:f>
        <x:v>미확인</x:v>
      </x:c>
      <x:c r="O1376" s="31" t="n">
        <x:v>66</x:v>
      </x:c>
    </x:row>
    <x:row r="1377" ht="17.25" customHeight="1">
      <x:c r="A1377" s="24" t="str">
        <x:v>SW-B-236로9998-202604</x:v>
      </x:c>
      <x:c r="B1377" s="24" t="str">
        <x:v>스위치플랜</x:v>
      </x:c>
      <x:c r="C1377" s="24" t="str">
        <x:v>SW-C-236로9998-2-20250405-66</x:v>
      </x:c>
      <x:c r="D1377" s="24" t="str">
        <x:v>236로9998</x:v>
      </x:c>
      <x:c r="E1377" s="24" t="str">
        <x:v>유승</x:v>
      </x:c>
      <x:c r="F1377" s="24" t="str">
        <x:v>2026-04</x:v>
      </x:c>
      <x:c r="G1377" s="30" t="n">
        <x:v>46137</x:v>
      </x:c>
      <x:c r="H1377" s="32" t="n">
        <x:v>0</x:v>
      </x:c>
      <x:c r="I1377" s="32"/>
      <x:c r="J1377" s="32" t="n">
        <x:v>0</x:v>
      </x:c>
      <x:c r="K1377" s="30"/>
      <x:c r="L1377" s="24" t="str"/>
      <x:c r="M1377" s="31" t="n">
        <x:f>IF(AND(N1377="미수",G1377&lt;&gt;"",TODAY()&gt;G1377),TODAY()-G1377,0)</x:f>
        <x:v>0</x:v>
      </x:c>
      <x:c r="N1377" s="24" t="str">
        <x:f>IF(J1377&gt;0,"미수",IF(AND(H1377&gt;0,I1377&gt;=H1377),"완납","미확인"))</x:f>
        <x:v>미확인</x:v>
      </x:c>
      <x:c r="O1377" s="31" t="n">
        <x:v>66</x:v>
      </x:c>
    </x:row>
    <x:row r="1378" ht="17.25" customHeight="1">
      <x:c r="A1378" s="24" t="str">
        <x:v>SW-B-236로9998-202603</x:v>
      </x:c>
      <x:c r="B1378" s="24" t="str">
        <x:v>스위치플랜</x:v>
      </x:c>
      <x:c r="C1378" s="24" t="str">
        <x:v>SW-C-236로9998-2-20250405-66</x:v>
      </x:c>
      <x:c r="D1378" s="24" t="str">
        <x:v>236로9998</x:v>
      </x:c>
      <x:c r="E1378" s="24" t="str">
        <x:v>유승</x:v>
      </x:c>
      <x:c r="F1378" s="24" t="str">
        <x:v>2026-03</x:v>
      </x:c>
      <x:c r="G1378" s="30" t="n">
        <x:v>46106</x:v>
      </x:c>
      <x:c r="H1378" s="32" t="n">
        <x:v>0</x:v>
      </x:c>
      <x:c r="I1378" s="32"/>
      <x:c r="J1378" s="32" t="n">
        <x:v>0</x:v>
      </x:c>
      <x:c r="K1378" s="30"/>
      <x:c r="L1378" s="24" t="str"/>
      <x:c r="M1378" s="31" t="n">
        <x:f>IF(AND(N1378="미수",G1378&lt;&gt;"",TODAY()&gt;G1378),TODAY()-G1378,0)</x:f>
        <x:v>0</x:v>
      </x:c>
      <x:c r="N1378" s="24" t="str">
        <x:f>IF(J1378&gt;0,"미수",IF(AND(H1378&gt;0,I1378&gt;=H1378),"완납","미확인"))</x:f>
        <x:v>미확인</x:v>
      </x:c>
      <x:c r="O1378" s="31" t="n">
        <x:v>66</x:v>
      </x:c>
    </x:row>
    <x:row r="1379" ht="17.25" customHeight="1">
      <x:c r="A1379" s="24" t="str">
        <x:v>SW-B-236로9998-202602</x:v>
      </x:c>
      <x:c r="B1379" s="24" t="str">
        <x:v>스위치플랜</x:v>
      </x:c>
      <x:c r="C1379" s="24" t="str">
        <x:v>SW-C-236로9998-2-20250405-66</x:v>
      </x:c>
      <x:c r="D1379" s="24" t="str">
        <x:v>236로9998</x:v>
      </x:c>
      <x:c r="E1379" s="24" t="str">
        <x:v>유승</x:v>
      </x:c>
      <x:c r="F1379" s="24" t="str">
        <x:v>2026-02</x:v>
      </x:c>
      <x:c r="G1379" s="30" t="n">
        <x:v>46078</x:v>
      </x:c>
      <x:c r="H1379" s="32" t="n">
        <x:v>0</x:v>
      </x:c>
      <x:c r="I1379" s="32"/>
      <x:c r="J1379" s="32" t="n">
        <x:v>0</x:v>
      </x:c>
      <x:c r="K1379" s="30"/>
      <x:c r="L1379" s="24" t="str"/>
      <x:c r="M1379" s="31" t="n">
        <x:f>IF(AND(N1379="미수",G1379&lt;&gt;"",TODAY()&gt;G1379),TODAY()-G1379,0)</x:f>
        <x:v>0</x:v>
      </x:c>
      <x:c r="N1379" s="24" t="str">
        <x:f>IF(J1379&gt;0,"미수",IF(AND(H1379&gt;0,I1379&gt;=H1379),"완납","미확인"))</x:f>
        <x:v>미확인</x:v>
      </x:c>
      <x:c r="O1379" s="31" t="n">
        <x:v>66</x:v>
      </x:c>
    </x:row>
    <x:row r="1380" ht="17.25" customHeight="1">
      <x:c r="A1380" s="24" t="str">
        <x:v>SW-B-236로9998-202508</x:v>
      </x:c>
      <x:c r="B1380" s="24" t="str">
        <x:v>스위치플랜</x:v>
      </x:c>
      <x:c r="C1380" s="24" t="str">
        <x:v>SW-C-236로9998-2-20250405-66</x:v>
      </x:c>
      <x:c r="D1380" s="24" t="str">
        <x:v>236로9998</x:v>
      </x:c>
      <x:c r="E1380" s="24" t="str">
        <x:v>유승</x:v>
      </x:c>
      <x:c r="F1380" s="24" t="str">
        <x:v>2025-08</x:v>
      </x:c>
      <x:c r="G1380" s="30" t="n">
        <x:v>45894</x:v>
      </x:c>
      <x:c r="H1380" s="32" t="n">
        <x:v>1550000</x:v>
      </x:c>
      <x:c r="I1380" s="32" t="n">
        <x:v>1550000</x:v>
      </x:c>
      <x:c r="J1380" s="32" t="n">
        <x:v>0</x:v>
      </x:c>
      <x:c r="K1380" s="30" t="n">
        <x:v>45874</x:v>
      </x:c>
      <x:c r="L1380" s="24" t="str">
        <x:v>입금</x:v>
      </x:c>
      <x:c r="M1380" s="31" t="n">
        <x:f>IF(AND(N1380="미수",G1380&lt;&gt;"",TODAY()&gt;G1380),TODAY()-G1380,0)</x:f>
        <x:v>0</x:v>
      </x:c>
      <x:c r="N1380" s="24" t="str">
        <x:f>IF(J1380&gt;0,"미수",IF(AND(H1380&gt;0,I1380&gt;=H1380),"완납","미확인"))</x:f>
        <x:v>완납</x:v>
      </x:c>
      <x:c r="O1380" s="31" t="n">
        <x:v>66</x:v>
      </x:c>
    </x:row>
    <x:row r="1381" ht="17.25" customHeight="1">
      <x:c r="A1381" s="24" t="str">
        <x:v>SW-B-236로9998-202507</x:v>
      </x:c>
      <x:c r="B1381" s="24" t="str">
        <x:v>스위치플랜</x:v>
      </x:c>
      <x:c r="C1381" s="24" t="str">
        <x:v>SW-C-236로9998-2-20250405-66</x:v>
      </x:c>
      <x:c r="D1381" s="24" t="str">
        <x:v>236로9998</x:v>
      </x:c>
      <x:c r="E1381" s="24" t="str">
        <x:v>유승</x:v>
      </x:c>
      <x:c r="F1381" s="24" t="str">
        <x:v>2025-07</x:v>
      </x:c>
      <x:c r="G1381" s="30" t="n">
        <x:v>45863</x:v>
      </x:c>
      <x:c r="H1381" s="32" t="n">
        <x:v>1550000</x:v>
      </x:c>
      <x:c r="I1381" s="32" t="n">
        <x:v>1550000</x:v>
      </x:c>
      <x:c r="J1381" s="32" t="n">
        <x:v>0</x:v>
      </x:c>
      <x:c r="K1381" s="30" t="n">
        <x:v>45845</x:v>
      </x:c>
      <x:c r="L1381" s="24" t="str">
        <x:v>입금</x:v>
      </x:c>
      <x:c r="M1381" s="31" t="n">
        <x:f>IF(AND(N1381="미수",G1381&lt;&gt;"",TODAY()&gt;G1381),TODAY()-G1381,0)</x:f>
        <x:v>0</x:v>
      </x:c>
      <x:c r="N1381" s="24" t="str">
        <x:f>IF(J1381&gt;0,"미수",IF(AND(H1381&gt;0,I1381&gt;=H1381),"완납","미확인"))</x:f>
        <x:v>완납</x:v>
      </x:c>
      <x:c r="O1381" s="31" t="n">
        <x:v>66</x:v>
      </x:c>
    </x:row>
    <x:row r="1382" ht="17.25" customHeight="1">
      <x:c r="A1382" s="24" t="str">
        <x:v>SW-B-236로9998-202506</x:v>
      </x:c>
      <x:c r="B1382" s="24" t="str">
        <x:v>스위치플랜</x:v>
      </x:c>
      <x:c r="C1382" s="24" t="str">
        <x:v>SW-C-236로9998-2-20250405-66</x:v>
      </x:c>
      <x:c r="D1382" s="24" t="str">
        <x:v>236로9998</x:v>
      </x:c>
      <x:c r="E1382" s="24" t="str">
        <x:v>유승</x:v>
      </x:c>
      <x:c r="F1382" s="24" t="str">
        <x:v>2025-06</x:v>
      </x:c>
      <x:c r="G1382" s="30" t="n">
        <x:v>45833</x:v>
      </x:c>
      <x:c r="H1382" s="32" t="n">
        <x:v>1550000</x:v>
      </x:c>
      <x:c r="I1382" s="32" t="n">
        <x:v>1550000</x:v>
      </x:c>
      <x:c r="J1382" s="32" t="n">
        <x:v>0</x:v>
      </x:c>
      <x:c r="K1382" s="30" t="n">
        <x:v>45813</x:v>
      </x:c>
      <x:c r="L1382" s="24" t="str">
        <x:v>입금</x:v>
      </x:c>
      <x:c r="M1382" s="31" t="n">
        <x:f>IF(AND(N1382="미수",G1382&lt;&gt;"",TODAY()&gt;G1382),TODAY()-G1382,0)</x:f>
        <x:v>0</x:v>
      </x:c>
      <x:c r="N1382" s="24" t="str">
        <x:f>IF(J1382&gt;0,"미수",IF(AND(H1382&gt;0,I1382&gt;=H1382),"완납","미확인"))</x:f>
        <x:v>완납</x:v>
      </x:c>
      <x:c r="O1382" s="31" t="n">
        <x:v>66</x:v>
      </x:c>
    </x:row>
    <x:row r="1383" ht="17.25" customHeight="1">
      <x:c r="A1383" s="24" t="str">
        <x:v>SW-B-236로9998-202505</x:v>
      </x:c>
      <x:c r="B1383" s="24" t="str">
        <x:v>스위치플랜</x:v>
      </x:c>
      <x:c r="C1383" s="24" t="str">
        <x:v>SW-C-236로9998-2-20250405-66</x:v>
      </x:c>
      <x:c r="D1383" s="24" t="str">
        <x:v>236로9998</x:v>
      </x:c>
      <x:c r="E1383" s="24" t="str">
        <x:v>유승</x:v>
      </x:c>
      <x:c r="F1383" s="24" t="str">
        <x:v>2025-05</x:v>
      </x:c>
      <x:c r="G1383" s="30" t="n">
        <x:v>45802</x:v>
      </x:c>
      <x:c r="H1383" s="32" t="n">
        <x:v>1550000</x:v>
      </x:c>
      <x:c r="I1383" s="32" t="n">
        <x:v>1550000</x:v>
      </x:c>
      <x:c r="J1383" s="32" t="n">
        <x:v>0</x:v>
      </x:c>
      <x:c r="K1383" s="30" t="n">
        <x:v>45785</x:v>
      </x:c>
      <x:c r="L1383" s="24" t="str">
        <x:v>입금</x:v>
      </x:c>
      <x:c r="M1383" s="31" t="n">
        <x:f>IF(AND(N1383="미수",G1383&lt;&gt;"",TODAY()&gt;G1383),TODAY()-G1383,0)</x:f>
        <x:v>0</x:v>
      </x:c>
      <x:c r="N1383" s="24" t="str">
        <x:f>IF(J1383&gt;0,"미수",IF(AND(H1383&gt;0,I1383&gt;=H1383),"완납","미확인"))</x:f>
        <x:v>완납</x:v>
      </x:c>
      <x:c r="O1383" s="31" t="n">
        <x:v>66</x:v>
      </x:c>
    </x:row>
    <x:row r="1384" ht="17.25" customHeight="1">
      <x:c r="A1384" s="24" t="str">
        <x:v>SW-B-236로9998-202504</x:v>
      </x:c>
      <x:c r="B1384" s="24" t="str">
        <x:v>스위치플랜</x:v>
      </x:c>
      <x:c r="C1384" s="24" t="str">
        <x:v>SW-C-236로9998-2-20250405-66</x:v>
      </x:c>
      <x:c r="D1384" s="24" t="str">
        <x:v>236로9998</x:v>
      </x:c>
      <x:c r="E1384" s="24" t="str">
        <x:v>유승</x:v>
      </x:c>
      <x:c r="F1384" s="24" t="str">
        <x:v>2025-04</x:v>
      </x:c>
      <x:c r="G1384" s="30" t="n">
        <x:v>45772</x:v>
      </x:c>
      <x:c r="H1384" s="32" t="n">
        <x:v>1550000</x:v>
      </x:c>
      <x:c r="I1384" s="32" t="n">
        <x:v>1550000</x:v>
      </x:c>
      <x:c r="J1384" s="32" t="n">
        <x:v>0</x:v>
      </x:c>
      <x:c r="K1384" s="30" t="n">
        <x:v>45751</x:v>
      </x:c>
      <x:c r="L1384" s="24" t="str">
        <x:v>입금</x:v>
      </x:c>
      <x:c r="M1384" s="31" t="n">
        <x:f>IF(AND(N1384="미수",G1384&lt;&gt;"",TODAY()&gt;G1384),TODAY()-G1384,0)</x:f>
        <x:v>0</x:v>
      </x:c>
      <x:c r="N1384" s="24" t="str">
        <x:f>IF(J1384&gt;0,"미수",IF(AND(H1384&gt;0,I1384&gt;=H1384),"완납","미확인"))</x:f>
        <x:v>완납</x:v>
      </x:c>
      <x:c r="O1384" s="31" t="n">
        <x:v>66</x:v>
      </x:c>
    </x:row>
    <x:row r="1385" ht="17.25" customHeight="1">
      <x:c r="A1385" s="24" t="str">
        <x:v>SW-B-45루6163-202608</x:v>
      </x:c>
      <x:c r="B1385" s="24" t="str">
        <x:v>스위치플랜</x:v>
      </x:c>
      <x:c r="C1385" s="24" t="str">
        <x:v>SW-C-45루6163-1-20250822-67</x:v>
      </x:c>
      <x:c r="D1385" s="24" t="str">
        <x:v>45루6163</x:v>
      </x:c>
      <x:c r="E1385" s="24" t="str">
        <x:v>김민수</x:v>
      </x:c>
      <x:c r="F1385" s="24" t="str">
        <x:v>2026-08</x:v>
      </x:c>
      <x:c r="G1385" s="30" t="n">
        <x:v>46254</x:v>
      </x:c>
      <x:c r="H1385" s="32" t="n">
        <x:v>1100000</x:v>
      </x:c>
      <x:c r="I1385" s="32"/>
      <x:c r="J1385" s="32" t="n">
        <x:v>1250000</x:v>
      </x:c>
      <x:c r="K1385" s="30"/>
      <x:c r="L1385" s="24" t="str"/>
      <x:c r="M1385" s="31" t="n">
        <x:f>IF(AND(N1385="미수",G1385&lt;&gt;"",TODAY()&gt;G1385),TODAY()-G1385,0)</x:f>
        <x:v>0</x:v>
      </x:c>
      <x:c r="N1385" s="24" t="str">
        <x:f>IF(J1385&gt;0,"미수",IF(AND(H1385&gt;0,I1385&gt;=H1385),"완납","미확인"))</x:f>
        <x:v>미수</x:v>
      </x:c>
      <x:c r="O1385" s="31" t="n">
        <x:v>67</x:v>
      </x:c>
    </x:row>
    <x:row r="1386" ht="17.25" customHeight="1">
      <x:c r="A1386" s="24" t="str">
        <x:v>SW-B-45루6163-202607</x:v>
      </x:c>
      <x:c r="B1386" s="24" t="str">
        <x:v>스위치플랜</x:v>
      </x:c>
      <x:c r="C1386" s="24" t="str">
        <x:v>SW-C-45루6163-1-20250822-67</x:v>
      </x:c>
      <x:c r="D1386" s="24" t="str">
        <x:v>45루6163</x:v>
      </x:c>
      <x:c r="E1386" s="24" t="str">
        <x:v>김민수</x:v>
      </x:c>
      <x:c r="F1386" s="24" t="str">
        <x:v>2026-07</x:v>
      </x:c>
      <x:c r="G1386" s="30" t="n">
        <x:v>46223</x:v>
      </x:c>
      <x:c r="H1386" s="32" t="n">
        <x:v>1100000</x:v>
      </x:c>
      <x:c r="I1386" s="32" t="n">
        <x:v>1100000</x:v>
      </x:c>
      <x:c r="J1386" s="32" t="n">
        <x:v>150000</x:v>
      </x:c>
      <x:c r="K1386" s="30" t="n">
        <x:v>46223</x:v>
      </x:c>
      <x:c r="L1386" s="24" t="str">
        <x:v>입금</x:v>
      </x:c>
      <x:c r="M1386" s="31" t="n">
        <x:f>IF(AND(N1386="미수",G1386&lt;&gt;"",TODAY()&gt;G1386),TODAY()-G1386,0)</x:f>
        <x:v>26</x:v>
      </x:c>
      <x:c r="N1386" s="24" t="str">
        <x:f>IF(J1386&gt;0,"미수",IF(AND(H1386&gt;0,I1386&gt;=H1386),"완납","미확인"))</x:f>
        <x:v>미수</x:v>
      </x:c>
      <x:c r="O1386" s="31" t="n">
        <x:v>67</x:v>
      </x:c>
    </x:row>
    <x:row r="1387" ht="17.25" customHeight="1">
      <x:c r="A1387" s="24" t="str">
        <x:v>SW-B-45루6163-202606</x:v>
      </x:c>
      <x:c r="B1387" s="24" t="str">
        <x:v>스위치플랜</x:v>
      </x:c>
      <x:c r="C1387" s="24" t="str">
        <x:v>SW-C-45루6163-1-20250822-67</x:v>
      </x:c>
      <x:c r="D1387" s="24" t="str">
        <x:v>45루6163</x:v>
      </x:c>
      <x:c r="E1387" s="24" t="str">
        <x:v>김민수</x:v>
      </x:c>
      <x:c r="F1387" s="24" t="str">
        <x:v>2026-06</x:v>
      </x:c>
      <x:c r="G1387" s="30" t="n">
        <x:v>46193</x:v>
      </x:c>
      <x:c r="H1387" s="32" t="n">
        <x:v>1100000</x:v>
      </x:c>
      <x:c r="I1387" s="32" t="n">
        <x:v>1100000</x:v>
      </x:c>
      <x:c r="J1387" s="32" t="n">
        <x:v>150000</x:v>
      </x:c>
      <x:c r="K1387" s="30" t="n">
        <x:v>46199</x:v>
      </x:c>
      <x:c r="L1387" s="24" t="str">
        <x:v>입금</x:v>
      </x:c>
      <x:c r="M1387" s="31" t="n">
        <x:f>IF(AND(N1387="미수",G1387&lt;&gt;"",TODAY()&gt;G1387),TODAY()-G1387,0)</x:f>
        <x:v>56</x:v>
      </x:c>
      <x:c r="N1387" s="24" t="str">
        <x:f>IF(J1387&gt;0,"미수",IF(AND(H1387&gt;0,I1387&gt;=H1387),"완납","미확인"))</x:f>
        <x:v>미수</x:v>
      </x:c>
      <x:c r="O1387" s="31" t="n">
        <x:v>67</x:v>
      </x:c>
    </x:row>
    <x:row r="1388" ht="17.25" customHeight="1">
      <x:c r="A1388" s="24" t="str">
        <x:v>SW-B-45루6163-202605</x:v>
      </x:c>
      <x:c r="B1388" s="24" t="str">
        <x:v>스위치플랜</x:v>
      </x:c>
      <x:c r="C1388" s="24" t="str">
        <x:v>SW-C-45루6163-1-20250822-67</x:v>
      </x:c>
      <x:c r="D1388" s="24" t="str">
        <x:v>45루6163</x:v>
      </x:c>
      <x:c r="E1388" s="24" t="str">
        <x:v>김민수</x:v>
      </x:c>
      <x:c r="F1388" s="24" t="str">
        <x:v>2026-05</x:v>
      </x:c>
      <x:c r="G1388" s="30" t="n">
        <x:v>46162</x:v>
      </x:c>
      <x:c r="H1388" s="32" t="n">
        <x:v>1100000</x:v>
      </x:c>
      <x:c r="I1388" s="32" t="n">
        <x:v>1150000</x:v>
      </x:c>
      <x:c r="J1388" s="32" t="n">
        <x:v>150000</x:v>
      </x:c>
      <x:c r="K1388" s="30" t="n">
        <x:v>46146</x:v>
      </x:c>
      <x:c r="L1388" s="24" t="str">
        <x:v>입금</x:v>
      </x:c>
      <x:c r="M1388" s="31" t="n">
        <x:f>IF(AND(N1388="미수",G1388&lt;&gt;"",TODAY()&gt;G1388),TODAY()-G1388,0)</x:f>
        <x:v>87</x:v>
      </x:c>
      <x:c r="N1388" s="24" t="str">
        <x:f>IF(J1388&gt;0,"미수",IF(AND(H1388&gt;0,I1388&gt;=H1388),"완납","미확인"))</x:f>
        <x:v>미수</x:v>
      </x:c>
      <x:c r="O1388" s="31" t="n">
        <x:v>67</x:v>
      </x:c>
    </x:row>
    <x:row r="1389" ht="17.25" customHeight="1">
      <x:c r="A1389" s="24" t="str">
        <x:v>SW-B-45루6163-202604</x:v>
      </x:c>
      <x:c r="B1389" s="24" t="str">
        <x:v>스위치플랜</x:v>
      </x:c>
      <x:c r="C1389" s="24" t="str">
        <x:v>SW-C-45루6163-1-20250822-67</x:v>
      </x:c>
      <x:c r="D1389" s="24" t="str">
        <x:v>45루6163</x:v>
      </x:c>
      <x:c r="E1389" s="24" t="str">
        <x:v>김민수</x:v>
      </x:c>
      <x:c r="F1389" s="24" t="str">
        <x:v>2026-04</x:v>
      </x:c>
      <x:c r="G1389" s="30" t="n">
        <x:v>46132</x:v>
      </x:c>
      <x:c r="H1389" s="32" t="n">
        <x:v>1100000</x:v>
      </x:c>
      <x:c r="I1389" s="32" t="n">
        <x:v>1600000</x:v>
      </x:c>
      <x:c r="J1389" s="32" t="n">
        <x:v>200000</x:v>
      </x:c>
      <x:c r="K1389" s="30" t="n">
        <x:v>46114</x:v>
      </x:c>
      <x:c r="L1389" s="24" t="str">
        <x:v>입금</x:v>
      </x:c>
      <x:c r="M1389" s="31" t="n">
        <x:f>IF(AND(N1389="미수",G1389&lt;&gt;"",TODAY()&gt;G1389),TODAY()-G1389,0)</x:f>
        <x:v>117</x:v>
      </x:c>
      <x:c r="N1389" s="24" t="str">
        <x:f>IF(J1389&gt;0,"미수",IF(AND(H1389&gt;0,I1389&gt;=H1389),"완납","미확인"))</x:f>
        <x:v>미수</x:v>
      </x:c>
      <x:c r="O1389" s="31" t="n">
        <x:v>67</x:v>
      </x:c>
    </x:row>
    <x:row r="1390" ht="17.25" customHeight="1">
      <x:c r="A1390" s="24" t="str">
        <x:v>SW-B-45루6163-202603</x:v>
      </x:c>
      <x:c r="B1390" s="24" t="str">
        <x:v>스위치플랜</x:v>
      </x:c>
      <x:c r="C1390" s="24" t="str">
        <x:v>SW-C-45루6163-1-20250822-67</x:v>
      </x:c>
      <x:c r="D1390" s="24" t="str">
        <x:v>45루6163</x:v>
      </x:c>
      <x:c r="E1390" s="24" t="str">
        <x:v>김민수</x:v>
      </x:c>
      <x:c r="F1390" s="24" t="str">
        <x:v>2026-03</x:v>
      </x:c>
      <x:c r="G1390" s="30" t="n">
        <x:v>46101</x:v>
      </x:c>
      <x:c r="H1390" s="32" t="n">
        <x:v>1100000</x:v>
      </x:c>
      <x:c r="I1390" s="32" t="n">
        <x:v>1500000</x:v>
      </x:c>
      <x:c r="J1390" s="32" t="n">
        <x:v>700000</x:v>
      </x:c>
      <x:c r="K1390" s="30" t="n">
        <x:v>46107</x:v>
      </x:c>
      <x:c r="L1390" s="24" t="str">
        <x:v>입금</x:v>
      </x:c>
      <x:c r="M1390" s="31" t="n">
        <x:f>IF(AND(N1390="미수",G1390&lt;&gt;"",TODAY()&gt;G1390),TODAY()-G1390,0)</x:f>
        <x:v>148</x:v>
      </x:c>
      <x:c r="N1390" s="24" t="str">
        <x:f>IF(J1390&gt;0,"미수",IF(AND(H1390&gt;0,I1390&gt;=H1390),"완납","미확인"))</x:f>
        <x:v>미수</x:v>
      </x:c>
      <x:c r="O1390" s="31" t="n">
        <x:v>67</x:v>
      </x:c>
    </x:row>
    <x:row r="1391" ht="17.25" customHeight="1">
      <x:c r="A1391" s="24" t="str">
        <x:v>SW-B-45루6163-202602</x:v>
      </x:c>
      <x:c r="B1391" s="24" t="str">
        <x:v>스위치플랜</x:v>
      </x:c>
      <x:c r="C1391" s="24" t="str">
        <x:v>SW-C-45루6163-1-20250822-67</x:v>
      </x:c>
      <x:c r="D1391" s="24" t="str">
        <x:v>45루6163</x:v>
      </x:c>
      <x:c r="E1391" s="24" t="str">
        <x:v>김민수</x:v>
      </x:c>
      <x:c r="F1391" s="24" t="str">
        <x:v>2026-02</x:v>
      </x:c>
      <x:c r="G1391" s="30" t="n">
        <x:v>46073</x:v>
      </x:c>
      <x:c r="H1391" s="32" t="n">
        <x:v>1100000</x:v>
      </x:c>
      <x:c r="I1391" s="32"/>
      <x:c r="J1391" s="32" t="n">
        <x:v>1100000</x:v>
      </x:c>
      <x:c r="K1391" s="30"/>
      <x:c r="L1391" s="24" t="str"/>
      <x:c r="M1391" s="31" t="n">
        <x:f>IF(AND(N1391="미수",G1391&lt;&gt;"",TODAY()&gt;G1391),TODAY()-G1391,0)</x:f>
        <x:v>176</x:v>
      </x:c>
      <x:c r="N1391" s="24" t="str">
        <x:f>IF(J1391&gt;0,"미수",IF(AND(H1391&gt;0,I1391&gt;=H1391),"완납","미확인"))</x:f>
        <x:v>미수</x:v>
      </x:c>
      <x:c r="O1391" s="31" t="n">
        <x:v>67</x:v>
      </x:c>
    </x:row>
    <x:row r="1392" ht="17.25" customHeight="1">
      <x:c r="A1392" s="24" t="str">
        <x:v>SW-B-45루6163-202509</x:v>
      </x:c>
      <x:c r="B1392" s="24" t="str">
        <x:v>스위치플랜</x:v>
      </x:c>
      <x:c r="C1392" s="24" t="str">
        <x:v>SW-C-45루6163-1-20250822-67</x:v>
      </x:c>
      <x:c r="D1392" s="24" t="str">
        <x:v>45루6163</x:v>
      </x:c>
      <x:c r="E1392" s="24" t="str">
        <x:v>김민수</x:v>
      </x:c>
      <x:c r="F1392" s="24" t="str">
        <x:v>2025-09</x:v>
      </x:c>
      <x:c r="G1392" s="30" t="n">
        <x:v>45920</x:v>
      </x:c>
      <x:c r="H1392" s="32" t="n">
        <x:v>1300000</x:v>
      </x:c>
      <x:c r="I1392" s="32" t="n">
        <x:v>300000</x:v>
      </x:c>
      <x:c r="J1392" s="32" t="n">
        <x:v>1000000</x:v>
      </x:c>
      <x:c r="K1392" s="30" t="n">
        <x:v>45926</x:v>
      </x:c>
      <x:c r="L1392" s="24" t="str">
        <x:v>입금</x:v>
      </x:c>
      <x:c r="M1392" s="31" t="n">
        <x:f>IF(AND(N1392="미수",G1392&lt;&gt;"",TODAY()&gt;G1392),TODAY()-G1392,0)</x:f>
        <x:v>329</x:v>
      </x:c>
      <x:c r="N1392" s="24" t="str">
        <x:f>IF(J1392&gt;0,"미수",IF(AND(H1392&gt;0,I1392&gt;=H1392),"완납","미확인"))</x:f>
        <x:v>미수</x:v>
      </x:c>
      <x:c r="O1392" s="31" t="n">
        <x:v>67</x:v>
      </x:c>
    </x:row>
    <x:row r="1393" ht="17.25" customHeight="1">
      <x:c r="A1393" s="24" t="str">
        <x:v>SW-B-45루6163-202508</x:v>
      </x:c>
      <x:c r="B1393" s="24" t="str">
        <x:v>스위치플랜</x:v>
      </x:c>
      <x:c r="C1393" s="24" t="str">
        <x:v>SW-C-45루6163-1-20250822-67</x:v>
      </x:c>
      <x:c r="D1393" s="24" t="str">
        <x:v>45루6163</x:v>
      </x:c>
      <x:c r="E1393" s="24" t="str">
        <x:v>김민수</x:v>
      </x:c>
      <x:c r="F1393" s="24" t="str">
        <x:v>2025-08</x:v>
      </x:c>
      <x:c r="G1393" s="30" t="n">
        <x:v>45889</x:v>
      </x:c>
      <x:c r="H1393" s="32" t="n">
        <x:v>1300000</x:v>
      </x:c>
      <x:c r="I1393" s="32" t="n">
        <x:v>1300000</x:v>
      </x:c>
      <x:c r="J1393" s="32" t="n">
        <x:v>0</x:v>
      </x:c>
      <x:c r="K1393" s="30" t="n">
        <x:v>45895</x:v>
      </x:c>
      <x:c r="L1393" s="24" t="str">
        <x:v>입금</x:v>
      </x:c>
      <x:c r="M1393" s="31" t="n">
        <x:f>IF(AND(N1393="미수",G1393&lt;&gt;"",TODAY()&gt;G1393),TODAY()-G1393,0)</x:f>
        <x:v>0</x:v>
      </x:c>
      <x:c r="N1393" s="24" t="str">
        <x:f>IF(J1393&gt;0,"미수",IF(AND(H1393&gt;0,I1393&gt;=H1393),"완납","미확인"))</x:f>
        <x:v>완납</x:v>
      </x:c>
      <x:c r="O1393" s="31" t="n">
        <x:v>67</x:v>
      </x:c>
    </x:row>
    <x:row r="1394" ht="17.25" customHeight="1">
      <x:c r="A1394" s="24" t="str">
        <x:v>SW-B-45루6163-202507</x:v>
      </x:c>
      <x:c r="B1394" s="24" t="str">
        <x:v>스위치플랜</x:v>
      </x:c>
      <x:c r="C1394" s="24" t="str">
        <x:v>SW-C-45루6163-2-20250317-67</x:v>
      </x:c>
      <x:c r="D1394" s="24" t="str">
        <x:v>45루6163</x:v>
      </x:c>
      <x:c r="E1394" s="24" t="str">
        <x:v>김민수</x:v>
      </x:c>
      <x:c r="F1394" s="24" t="str">
        <x:v>2025-07</x:v>
      </x:c>
      <x:c r="G1394" s="30" t="n">
        <x:v>45858</x:v>
      </x:c>
      <x:c r="H1394" s="32" t="n">
        <x:v>1300000</x:v>
      </x:c>
      <x:c r="I1394" s="32" t="n">
        <x:v>1300000</x:v>
      </x:c>
      <x:c r="J1394" s="32" t="n">
        <x:v>0</x:v>
      </x:c>
      <x:c r="K1394" s="30" t="n">
        <x:v>45855</x:v>
      </x:c>
      <x:c r="L1394" s="24" t="str">
        <x:v>입금</x:v>
      </x:c>
      <x:c r="M1394" s="31" t="n">
        <x:f>IF(AND(N1394="미수",G1394&lt;&gt;"",TODAY()&gt;G1394),TODAY()-G1394,0)</x:f>
        <x:v>0</x:v>
      </x:c>
      <x:c r="N1394" s="24" t="str">
        <x:f>IF(J1394&gt;0,"미수",IF(AND(H1394&gt;0,I1394&gt;=H1394),"완납","미확인"))</x:f>
        <x:v>완납</x:v>
      </x:c>
      <x:c r="O1394" s="31" t="n">
        <x:v>67</x:v>
      </x:c>
    </x:row>
    <x:row r="1395" ht="17.25" customHeight="1">
      <x:c r="A1395" s="24" t="str">
        <x:v>SW-B-45루6163-202506</x:v>
      </x:c>
      <x:c r="B1395" s="24" t="str">
        <x:v>스위치플랜</x:v>
      </x:c>
      <x:c r="C1395" s="24" t="str">
        <x:v>SW-C-45루6163-2-20250317-67</x:v>
      </x:c>
      <x:c r="D1395" s="24" t="str">
        <x:v>45루6163</x:v>
      </x:c>
      <x:c r="E1395" s="24" t="str">
        <x:v>김민수</x:v>
      </x:c>
      <x:c r="F1395" s="24" t="str">
        <x:v>2025-06</x:v>
      </x:c>
      <x:c r="G1395" s="30" t="n">
        <x:v>45828</x:v>
      </x:c>
      <x:c r="H1395" s="32" t="n">
        <x:v>1300000</x:v>
      </x:c>
      <x:c r="I1395" s="32" t="n">
        <x:v>1300000</x:v>
      </x:c>
      <x:c r="J1395" s="32" t="n">
        <x:v>0</x:v>
      </x:c>
      <x:c r="K1395" s="30" t="n">
        <x:v>45826</x:v>
      </x:c>
      <x:c r="L1395" s="24" t="str">
        <x:v>입금</x:v>
      </x:c>
      <x:c r="M1395" s="31" t="n">
        <x:f>IF(AND(N1395="미수",G1395&lt;&gt;"",TODAY()&gt;G1395),TODAY()-G1395,0)</x:f>
        <x:v>0</x:v>
      </x:c>
      <x:c r="N1395" s="24" t="str">
        <x:f>IF(J1395&gt;0,"미수",IF(AND(H1395&gt;0,I1395&gt;=H1395),"완납","미확인"))</x:f>
        <x:v>완납</x:v>
      </x:c>
      <x:c r="O1395" s="31" t="n">
        <x:v>67</x:v>
      </x:c>
    </x:row>
    <x:row r="1396" ht="17.25" customHeight="1">
      <x:c r="A1396" s="24" t="str">
        <x:v>SW-B-45루6163-202505</x:v>
      </x:c>
      <x:c r="B1396" s="24" t="str">
        <x:v>스위치플랜</x:v>
      </x:c>
      <x:c r="C1396" s="24" t="str">
        <x:v>SW-C-45루6163-2-20250317-67</x:v>
      </x:c>
      <x:c r="D1396" s="24" t="str">
        <x:v>45루6163</x:v>
      </x:c>
      <x:c r="E1396" s="24" t="str">
        <x:v>김민수</x:v>
      </x:c>
      <x:c r="F1396" s="24" t="str">
        <x:v>2025-05</x:v>
      </x:c>
      <x:c r="G1396" s="30" t="n">
        <x:v>45797</x:v>
      </x:c>
      <x:c r="H1396" s="32" t="n">
        <x:v>1300000</x:v>
      </x:c>
      <x:c r="I1396" s="32" t="n">
        <x:v>1300000</x:v>
      </x:c>
      <x:c r="J1396" s="32" t="n">
        <x:v>0</x:v>
      </x:c>
      <x:c r="K1396" s="30" t="n">
        <x:v>45793</x:v>
      </x:c>
      <x:c r="L1396" s="24" t="str">
        <x:v>입금</x:v>
      </x:c>
      <x:c r="M1396" s="31" t="n">
        <x:f>IF(AND(N1396="미수",G1396&lt;&gt;"",TODAY()&gt;G1396),TODAY()-G1396,0)</x:f>
        <x:v>0</x:v>
      </x:c>
      <x:c r="N1396" s="24" t="str">
        <x:f>IF(J1396&gt;0,"미수",IF(AND(H1396&gt;0,I1396&gt;=H1396),"완납","미확인"))</x:f>
        <x:v>완납</x:v>
      </x:c>
      <x:c r="O1396" s="31" t="n">
        <x:v>67</x:v>
      </x:c>
    </x:row>
    <x:row r="1397" ht="17.25" customHeight="1">
      <x:c r="A1397" s="24" t="str">
        <x:v>SW-B-45루6163-202504</x:v>
      </x:c>
      <x:c r="B1397" s="24" t="str">
        <x:v>스위치플랜</x:v>
      </x:c>
      <x:c r="C1397" s="24" t="str">
        <x:v>SW-C-45루6163-2-20250317-67</x:v>
      </x:c>
      <x:c r="D1397" s="24" t="str">
        <x:v>45루6163</x:v>
      </x:c>
      <x:c r="E1397" s="24" t="str">
        <x:v>김민수</x:v>
      </x:c>
      <x:c r="F1397" s="24" t="str">
        <x:v>2025-04</x:v>
      </x:c>
      <x:c r="G1397" s="30" t="n">
        <x:v>45767</x:v>
      </x:c>
      <x:c r="H1397" s="32" t="n">
        <x:v>1300000</x:v>
      </x:c>
      <x:c r="I1397" s="32" t="n">
        <x:v>1300000</x:v>
      </x:c>
      <x:c r="J1397" s="32" t="n">
        <x:v>0</x:v>
      </x:c>
      <x:c r="K1397" s="30" t="n">
        <x:v>45763</x:v>
      </x:c>
      <x:c r="L1397" s="24" t="str">
        <x:v>카드</x:v>
      </x:c>
      <x:c r="M1397" s="31" t="n">
        <x:f>IF(AND(N1397="미수",G1397&lt;&gt;"",TODAY()&gt;G1397),TODAY()-G1397,0)</x:f>
        <x:v>0</x:v>
      </x:c>
      <x:c r="N1397" s="24" t="str">
        <x:f>IF(J1397&gt;0,"미수",IF(AND(H1397&gt;0,I1397&gt;=H1397),"완납","미확인"))</x:f>
        <x:v>완납</x:v>
      </x:c>
      <x:c r="O1397" s="31" t="n">
        <x:v>67</x:v>
      </x:c>
    </x:row>
    <x:row r="1398" ht="17.25" customHeight="1">
      <x:c r="A1398" s="24" t="str">
        <x:v>SW-B-45루6163-202503</x:v>
      </x:c>
      <x:c r="B1398" s="24" t="str">
        <x:v>스위치플랜</x:v>
      </x:c>
      <x:c r="C1398" s="24" t="str">
        <x:v>SW-C-45루6163-2-20250317-67</x:v>
      </x:c>
      <x:c r="D1398" s="24" t="str">
        <x:v>45루6163</x:v>
      </x:c>
      <x:c r="E1398" s="24" t="str">
        <x:v>김민수</x:v>
      </x:c>
      <x:c r="F1398" s="24" t="str">
        <x:v>2025-03</x:v>
      </x:c>
      <x:c r="G1398" s="30" t="n">
        <x:v>45736</x:v>
      </x:c>
      <x:c r="H1398" s="32" t="n">
        <x:v>1300000</x:v>
      </x:c>
      <x:c r="I1398" s="32" t="n">
        <x:v>1300000</x:v>
      </x:c>
      <x:c r="J1398" s="32" t="n">
        <x:v>0</x:v>
      </x:c>
      <x:c r="K1398" s="30" t="n">
        <x:v>45730</x:v>
      </x:c>
      <x:c r="L1398" s="24" t="str">
        <x:v>입금</x:v>
      </x:c>
      <x:c r="M1398" s="31" t="n">
        <x:f>IF(AND(N1398="미수",G1398&lt;&gt;"",TODAY()&gt;G1398),TODAY()-G1398,0)</x:f>
        <x:v>0</x:v>
      </x:c>
      <x:c r="N1398" s="24" t="str">
        <x:f>IF(J1398&gt;0,"미수",IF(AND(H1398&gt;0,I1398&gt;=H1398),"완납","미확인"))</x:f>
        <x:v>완납</x:v>
      </x:c>
      <x:c r="O1398" s="31" t="n">
        <x:v>67</x:v>
      </x:c>
    </x:row>
    <x:row r="1399" ht="17.25" customHeight="1">
      <x:c r="A1399" s="24" t="str">
        <x:v>SW-B-143조2022-202608</x:v>
      </x:c>
      <x:c r="B1399" s="24" t="str">
        <x:v>스위치플랜</x:v>
      </x:c>
      <x:c r="C1399" s="24" t="str">
        <x:v>SW-C-143조2022-1-20260309-68</x:v>
      </x:c>
      <x:c r="D1399" s="24" t="str">
        <x:v>143조2022</x:v>
      </x:c>
      <x:c r="E1399" s="24" t="str">
        <x:v>김현민</x:v>
      </x:c>
      <x:c r="F1399" s="24" t="str">
        <x:v>2026-08</x:v>
      </x:c>
      <x:c r="G1399" s="30" t="n">
        <x:v>46244</x:v>
      </x:c>
      <x:c r="H1399" s="32" t="n">
        <x:v>520000</x:v>
      </x:c>
      <x:c r="I1399" s="32"/>
      <x:c r="J1399" s="32" t="n">
        <x:v>467800</x:v>
      </x:c>
      <x:c r="K1399" s="30"/>
      <x:c r="L1399" s="24" t="str"/>
      <x:c r="M1399" s="31" t="n">
        <x:f>IF(AND(N1399="미수",G1399&lt;&gt;"",TODAY()&gt;G1399),TODAY()-G1399,0)</x:f>
        <x:v>5</x:v>
      </x:c>
      <x:c r="N1399" s="24" t="str">
        <x:f>IF(J1399&gt;0,"미수",IF(AND(H1399&gt;0,I1399&gt;=H1399),"완납","미확인"))</x:f>
        <x:v>미수</x:v>
      </x:c>
      <x:c r="O1399" s="31" t="n">
        <x:v>68</x:v>
      </x:c>
    </x:row>
    <x:row r="1400" ht="17.25" customHeight="1">
      <x:c r="A1400" s="24" t="str">
        <x:v>SW-B-143조2022-202607</x:v>
      </x:c>
      <x:c r="B1400" s="24" t="str">
        <x:v>스위치플랜</x:v>
      </x:c>
      <x:c r="C1400" s="24" t="str">
        <x:v>SW-C-143조2022-1-20260309-68</x:v>
      </x:c>
      <x:c r="D1400" s="24" t="str">
        <x:v>143조2022</x:v>
      </x:c>
      <x:c r="E1400" s="24" t="str">
        <x:v>김현민</x:v>
      </x:c>
      <x:c r="F1400" s="24" t="str">
        <x:v>2026-07</x:v>
      </x:c>
      <x:c r="G1400" s="30" t="n">
        <x:v>46213</x:v>
      </x:c>
      <x:c r="H1400" s="32" t="n">
        <x:v>467800</x:v>
      </x:c>
      <x:c r="I1400" s="32" t="n">
        <x:v>520000</x:v>
      </x:c>
      <x:c r="J1400" s="32" t="n">
        <x:v>-52200</x:v>
      </x:c>
      <x:c r="K1400" s="30" t="n">
        <x:v>46218</x:v>
      </x:c>
      <x:c r="L1400" s="24" t="str">
        <x:v>입금</x:v>
      </x:c>
      <x:c r="M1400" s="31" t="n">
        <x:f>IF(AND(N1400="미수",G1400&lt;&gt;"",TODAY()&gt;G1400),TODAY()-G1400,0)</x:f>
        <x:v>0</x:v>
      </x:c>
      <x:c r="N1400" s="24" t="str">
        <x:f>IF(J1400&gt;0,"미수",IF(AND(H1400&gt;0,I1400&gt;=H1400),"완납","미확인"))</x:f>
        <x:v>완납</x:v>
      </x:c>
      <x:c r="O1400" s="31" t="n">
        <x:v>68</x:v>
      </x:c>
    </x:row>
    <x:row r="1401" ht="17.25" customHeight="1">
      <x:c r="A1401" s="24" t="str">
        <x:v>SW-B-143조2022-202606</x:v>
      </x:c>
      <x:c r="B1401" s="24" t="str">
        <x:v>스위치플랜</x:v>
      </x:c>
      <x:c r="C1401" s="24" t="str">
        <x:v>SW-C-143조2022-1-20260309-68</x:v>
      </x:c>
      <x:c r="D1401" s="24" t="str">
        <x:v>143조2022</x:v>
      </x:c>
      <x:c r="E1401" s="24" t="str">
        <x:v>김현민</x:v>
      </x:c>
      <x:c r="F1401" s="24" t="str">
        <x:v>2026-06</x:v>
      </x:c>
      <x:c r="G1401" s="30" t="n">
        <x:v>46183</x:v>
      </x:c>
      <x:c r="H1401" s="32" t="n">
        <x:v>520000</x:v>
      </x:c>
      <x:c r="I1401" s="32" t="n">
        <x:v>520000</x:v>
      </x:c>
      <x:c r="J1401" s="32" t="n">
        <x:v>0</x:v>
      </x:c>
      <x:c r="K1401" s="30" t="n">
        <x:v>46188</x:v>
      </x:c>
      <x:c r="L1401" s="24" t="str">
        <x:v>입금</x:v>
      </x:c>
      <x:c r="M1401" s="31" t="n">
        <x:f>IF(AND(N1401="미수",G1401&lt;&gt;"",TODAY()&gt;G1401),TODAY()-G1401,0)</x:f>
        <x:v>0</x:v>
      </x:c>
      <x:c r="N1401" s="24" t="str">
        <x:f>IF(J1401&gt;0,"미수",IF(AND(H1401&gt;0,I1401&gt;=H1401),"완납","미확인"))</x:f>
        <x:v>완납</x:v>
      </x:c>
      <x:c r="O1401" s="31" t="n">
        <x:v>68</x:v>
      </x:c>
    </x:row>
    <x:row r="1402" ht="17.25" customHeight="1">
      <x:c r="A1402" s="24" t="str">
        <x:v>SW-B-143조2022-202605</x:v>
      </x:c>
      <x:c r="B1402" s="24" t="str">
        <x:v>스위치플랜</x:v>
      </x:c>
      <x:c r="C1402" s="24" t="str">
        <x:v>SW-C-143조2022-1-20260309-68</x:v>
      </x:c>
      <x:c r="D1402" s="24" t="str">
        <x:v>143조2022</x:v>
      </x:c>
      <x:c r="E1402" s="24" t="str">
        <x:v>김현민</x:v>
      </x:c>
      <x:c r="F1402" s="24" t="str">
        <x:v>2026-05</x:v>
      </x:c>
      <x:c r="G1402" s="30" t="n">
        <x:v>46152</x:v>
      </x:c>
      <x:c r="H1402" s="32" t="n">
        <x:v>520000</x:v>
      </x:c>
      <x:c r="I1402" s="32" t="n">
        <x:v>520000</x:v>
      </x:c>
      <x:c r="J1402" s="32" t="n">
        <x:v>0</x:v>
      </x:c>
      <x:c r="K1402" s="30" t="n">
        <x:v>46152</x:v>
      </x:c>
      <x:c r="L1402" s="24" t="str">
        <x:v>입금</x:v>
      </x:c>
      <x:c r="M1402" s="31" t="n">
        <x:f>IF(AND(N1402="미수",G1402&lt;&gt;"",TODAY()&gt;G1402),TODAY()-G1402,0)</x:f>
        <x:v>0</x:v>
      </x:c>
      <x:c r="N1402" s="24" t="str">
        <x:f>IF(J1402&gt;0,"미수",IF(AND(H1402&gt;0,I1402&gt;=H1402),"완납","미확인"))</x:f>
        <x:v>완납</x:v>
      </x:c>
      <x:c r="O1402" s="31" t="n">
        <x:v>68</x:v>
      </x:c>
    </x:row>
    <x:row r="1403" ht="17.25" customHeight="1">
      <x:c r="A1403" s="24" t="str">
        <x:v>SW-B-143조2022-202604</x:v>
      </x:c>
      <x:c r="B1403" s="24" t="str">
        <x:v>스위치플랜</x:v>
      </x:c>
      <x:c r="C1403" s="24" t="str">
        <x:v>SW-C-143조2022-1-20260309-68</x:v>
      </x:c>
      <x:c r="D1403" s="24" t="str">
        <x:v>143조2022</x:v>
      </x:c>
      <x:c r="E1403" s="24" t="str">
        <x:v>김현민</x:v>
      </x:c>
      <x:c r="F1403" s="24" t="str">
        <x:v>2026-04</x:v>
      </x:c>
      <x:c r="G1403" s="30" t="n">
        <x:v>46122</x:v>
      </x:c>
      <x:c r="H1403" s="32" t="n">
        <x:v>520000</x:v>
      </x:c>
      <x:c r="I1403" s="32" t="n">
        <x:v>520000</x:v>
      </x:c>
      <x:c r="J1403" s="32" t="n">
        <x:v>0</x:v>
      </x:c>
      <x:c r="K1403" s="30" t="n">
        <x:v>46122</x:v>
      </x:c>
      <x:c r="L1403" s="24" t="str">
        <x:v>입금</x:v>
      </x:c>
      <x:c r="M1403" s="31" t="n">
        <x:f>IF(AND(N1403="미수",G1403&lt;&gt;"",TODAY()&gt;G1403),TODAY()-G1403,0)</x:f>
        <x:v>0</x:v>
      </x:c>
      <x:c r="N1403" s="24" t="str">
        <x:f>IF(J1403&gt;0,"미수",IF(AND(H1403&gt;0,I1403&gt;=H1403),"완납","미확인"))</x:f>
        <x:v>완납</x:v>
      </x:c>
      <x:c r="O1403" s="31" t="n">
        <x:v>68</x:v>
      </x:c>
    </x:row>
    <x:row r="1404" ht="17.25" customHeight="1">
      <x:c r="A1404" s="24" t="str">
        <x:v>SW-B-143조2022-202603</x:v>
      </x:c>
      <x:c r="B1404" s="24" t="str">
        <x:v>스위치플랜</x:v>
      </x:c>
      <x:c r="C1404" s="24" t="str">
        <x:v>SW-C-143조2022-1-20260309-68</x:v>
      </x:c>
      <x:c r="D1404" s="24" t="str">
        <x:v>143조2022</x:v>
      </x:c>
      <x:c r="E1404" s="24" t="str">
        <x:v>김현민</x:v>
      </x:c>
      <x:c r="F1404" s="24" t="str">
        <x:v>2026-03</x:v>
      </x:c>
      <x:c r="G1404" s="30" t="n">
        <x:v>46091</x:v>
      </x:c>
      <x:c r="H1404" s="32" t="n">
        <x:v>0</x:v>
      </x:c>
      <x:c r="I1404" s="32"/>
      <x:c r="J1404" s="32" t="n">
        <x:v>0</x:v>
      </x:c>
      <x:c r="K1404" s="30"/>
      <x:c r="L1404" s="24" t="str"/>
      <x:c r="M1404" s="31" t="n">
        <x:f>IF(AND(N1404="미수",G1404&lt;&gt;"",TODAY()&gt;G1404),TODAY()-G1404,0)</x:f>
        <x:v>0</x:v>
      </x:c>
      <x:c r="N1404" s="24" t="str">
        <x:f>IF(J1404&gt;0,"미수",IF(AND(H1404&gt;0,I1404&gt;=H1404),"완납","미확인"))</x:f>
        <x:v>미확인</x:v>
      </x:c>
      <x:c r="O1404" s="31" t="n">
        <x:v>68</x:v>
      </x:c>
    </x:row>
    <x:row r="1405" ht="17.25" customHeight="1">
      <x:c r="A1405" s="24" t="str">
        <x:v>SW-B-143조2022-202602</x:v>
      </x:c>
      <x:c r="B1405" s="24" t="str">
        <x:v>스위치플랜</x:v>
      </x:c>
      <x:c r="C1405" s="24" t="str">
        <x:v>SW-C-143조2022-2-20250723-68</x:v>
      </x:c>
      <x:c r="D1405" s="24" t="str">
        <x:v>143조2022</x:v>
      </x:c>
      <x:c r="E1405" s="24" t="str">
        <x:v>김현민</x:v>
      </x:c>
      <x:c r="F1405" s="24" t="str">
        <x:v>2026-02</x:v>
      </x:c>
      <x:c r="G1405" s="30" t="n">
        <x:v>46063</x:v>
      </x:c>
      <x:c r="H1405" s="32" t="n">
        <x:v>0</x:v>
      </x:c>
      <x:c r="I1405" s="32"/>
      <x:c r="J1405" s="32" t="n">
        <x:v>0</x:v>
      </x:c>
      <x:c r="K1405" s="30"/>
      <x:c r="L1405" s="24" t="str"/>
      <x:c r="M1405" s="31" t="n">
        <x:f>IF(AND(N1405="미수",G1405&lt;&gt;"",TODAY()&gt;G1405),TODAY()-G1405,0)</x:f>
        <x:v>0</x:v>
      </x:c>
      <x:c r="N1405" s="24" t="str">
        <x:f>IF(J1405&gt;0,"미수",IF(AND(H1405&gt;0,I1405&gt;=H1405),"완납","미확인"))</x:f>
        <x:v>미확인</x:v>
      </x:c>
      <x:c r="O1405" s="31" t="n">
        <x:v>68</x:v>
      </x:c>
    </x:row>
    <x:row r="1406" ht="17.25" customHeight="1">
      <x:c r="A1406" s="24" t="str">
        <x:v>SW-B-143조2022-202511</x:v>
      </x:c>
      <x:c r="B1406" s="24" t="str">
        <x:v>스위치플랜</x:v>
      </x:c>
      <x:c r="C1406" s="24" t="str">
        <x:v>SW-C-143조2022-2-20250723-68</x:v>
      </x:c>
      <x:c r="D1406" s="24" t="str">
        <x:v>143조2022</x:v>
      </x:c>
      <x:c r="E1406" s="24" t="str">
        <x:v>김현민</x:v>
      </x:c>
      <x:c r="F1406" s="24" t="str">
        <x:v>2025-11</x:v>
      </x:c>
      <x:c r="G1406" s="30" t="n">
        <x:v>45971</x:v>
      </x:c>
      <x:c r="H1406" s="32" t="n">
        <x:v>690000</x:v>
      </x:c>
      <x:c r="I1406" s="32" t="n">
        <x:v>540000</x:v>
      </x:c>
      <x:c r="J1406" s="32" t="n">
        <x:v>0</x:v>
      </x:c>
      <x:c r="K1406" s="30" t="n">
        <x:v>45962</x:v>
      </x:c>
      <x:c r="L1406" s="24" t="str">
        <x:v>입금</x:v>
      </x:c>
      <x:c r="M1406" s="31" t="n">
        <x:f>IF(AND(N1406="미수",G1406&lt;&gt;"",TODAY()&gt;G1406),TODAY()-G1406,0)</x:f>
        <x:v>0</x:v>
      </x:c>
      <x:c r="N1406" s="24" t="str">
        <x:f>IF(J1406&gt;0,"미수",IF(AND(H1406&gt;0,I1406&gt;=H1406),"완납","미확인"))</x:f>
        <x:v>미확인</x:v>
      </x:c>
      <x:c r="O1406" s="31" t="n">
        <x:v>68</x:v>
      </x:c>
    </x:row>
    <x:row r="1407" ht="17.25" customHeight="1">
      <x:c r="A1407" s="24" t="str">
        <x:v>SW-B-143조2022-202510</x:v>
      </x:c>
      <x:c r="B1407" s="24" t="str">
        <x:v>스위치플랜</x:v>
      </x:c>
      <x:c r="C1407" s="24" t="str">
        <x:v>SW-C-143조2022-2-20250723-68</x:v>
      </x:c>
      <x:c r="D1407" s="24" t="str">
        <x:v>143조2022</x:v>
      </x:c>
      <x:c r="E1407" s="24" t="str">
        <x:v>김현민</x:v>
      </x:c>
      <x:c r="F1407" s="24" t="str">
        <x:v>2025-10</x:v>
      </x:c>
      <x:c r="G1407" s="30" t="n">
        <x:v>45940</x:v>
      </x:c>
      <x:c r="H1407" s="32" t="n">
        <x:v>690000</x:v>
      </x:c>
      <x:c r="I1407" s="32" t="n">
        <x:v>150000</x:v>
      </x:c>
      <x:c r="J1407" s="32" t="n">
        <x:v>540000</x:v>
      </x:c>
      <x:c r="K1407" s="30" t="n">
        <x:v>45958</x:v>
      </x:c>
      <x:c r="L1407" s="24" t="str">
        <x:v>입금</x:v>
      </x:c>
      <x:c r="M1407" s="31" t="n">
        <x:f>IF(AND(N1407="미수",G1407&lt;&gt;"",TODAY()&gt;G1407),TODAY()-G1407,0)</x:f>
        <x:v>309</x:v>
      </x:c>
      <x:c r="N1407" s="24" t="str">
        <x:f>IF(J1407&gt;0,"미수",IF(AND(H1407&gt;0,I1407&gt;=H1407),"완납","미확인"))</x:f>
        <x:v>미수</x:v>
      </x:c>
      <x:c r="O1407" s="31" t="n">
        <x:v>68</x:v>
      </x:c>
    </x:row>
    <x:row r="1408" ht="17.25" customHeight="1">
      <x:c r="A1408" s="24" t="str">
        <x:v>SW-B-143조2022-202509</x:v>
      </x:c>
      <x:c r="B1408" s="24" t="str">
        <x:v>스위치플랜</x:v>
      </x:c>
      <x:c r="C1408" s="24" t="str">
        <x:v>SW-C-143조2022-2-20250723-68</x:v>
      </x:c>
      <x:c r="D1408" s="24" t="str">
        <x:v>143조2022</x:v>
      </x:c>
      <x:c r="E1408" s="24" t="str">
        <x:v>김현민</x:v>
      </x:c>
      <x:c r="F1408" s="24" t="str">
        <x:v>2025-09</x:v>
      </x:c>
      <x:c r="G1408" s="30" t="n">
        <x:v>45910</x:v>
      </x:c>
      <x:c r="H1408" s="32" t="n">
        <x:v>690000</x:v>
      </x:c>
      <x:c r="I1408" s="32" t="n">
        <x:v>690000</x:v>
      </x:c>
      <x:c r="J1408" s="32" t="n">
        <x:v>0</x:v>
      </x:c>
      <x:c r="K1408" s="30" t="n">
        <x:v>45928</x:v>
      </x:c>
      <x:c r="L1408" s="24" t="str">
        <x:v>입금</x:v>
      </x:c>
      <x:c r="M1408" s="31" t="n">
        <x:f>IF(AND(N1408="미수",G1408&lt;&gt;"",TODAY()&gt;G1408),TODAY()-G1408,0)</x:f>
        <x:v>0</x:v>
      </x:c>
      <x:c r="N1408" s="24" t="str">
        <x:f>IF(J1408&gt;0,"미수",IF(AND(H1408&gt;0,I1408&gt;=H1408),"완납","미확인"))</x:f>
        <x:v>완납</x:v>
      </x:c>
      <x:c r="O1408" s="31" t="n">
        <x:v>68</x:v>
      </x:c>
    </x:row>
    <x:row r="1409" ht="17.25" customHeight="1">
      <x:c r="A1409" s="24" t="str">
        <x:v>SW-B-143조2022-202508</x:v>
      </x:c>
      <x:c r="B1409" s="24" t="str">
        <x:v>스위치플랜</x:v>
      </x:c>
      <x:c r="C1409" s="24" t="str">
        <x:v>SW-C-143조2022-2-20250723-68</x:v>
      </x:c>
      <x:c r="D1409" s="24" t="str">
        <x:v>143조2022</x:v>
      </x:c>
      <x:c r="E1409" s="24" t="str">
        <x:v>김현민</x:v>
      </x:c>
      <x:c r="F1409" s="24" t="str">
        <x:v>2025-08</x:v>
      </x:c>
      <x:c r="G1409" s="30" t="n">
        <x:v>45879</x:v>
      </x:c>
      <x:c r="H1409" s="32" t="n">
        <x:v>690000</x:v>
      </x:c>
      <x:c r="I1409" s="32" t="n">
        <x:v>690000</x:v>
      </x:c>
      <x:c r="J1409" s="32" t="n">
        <x:v>0</x:v>
      </x:c>
      <x:c r="K1409" s="30" t="n">
        <x:v>45897</x:v>
      </x:c>
      <x:c r="L1409" s="24" t="str">
        <x:v>입금</x:v>
      </x:c>
      <x:c r="M1409" s="31" t="n">
        <x:f>IF(AND(N1409="미수",G1409&lt;&gt;"",TODAY()&gt;G1409),TODAY()-G1409,0)</x:f>
        <x:v>0</x:v>
      </x:c>
      <x:c r="N1409" s="24" t="str">
        <x:f>IF(J1409&gt;0,"미수",IF(AND(H1409&gt;0,I1409&gt;=H1409),"완납","미확인"))</x:f>
        <x:v>완납</x:v>
      </x:c>
      <x:c r="O1409" s="31" t="n">
        <x:v>68</x:v>
      </x:c>
    </x:row>
    <x:row r="1410" ht="17.25" customHeight="1">
      <x:c r="A1410" s="24" t="str">
        <x:v>SW-B-143조2022-202507</x:v>
      </x:c>
      <x:c r="B1410" s="24" t="str">
        <x:v>스위치플랜</x:v>
      </x:c>
      <x:c r="C1410" s="24" t="str">
        <x:v>SW-C-143조2022-2-20250723-68</x:v>
      </x:c>
      <x:c r="D1410" s="24" t="str">
        <x:v>143조2022</x:v>
      </x:c>
      <x:c r="E1410" s="24" t="str">
        <x:v>김현민</x:v>
      </x:c>
      <x:c r="F1410" s="24" t="str">
        <x:v>2025-07</x:v>
      </x:c>
      <x:c r="G1410" s="30" t="n">
        <x:v>45848</x:v>
      </x:c>
      <x:c r="H1410" s="32" t="n">
        <x:v>690000</x:v>
      </x:c>
      <x:c r="I1410" s="32" t="n">
        <x:v>690000</x:v>
      </x:c>
      <x:c r="J1410" s="32" t="n">
        <x:v>0</x:v>
      </x:c>
      <x:c r="K1410" s="30" t="n">
        <x:v>45856</x:v>
      </x:c>
      <x:c r="L1410" s="24" t="str">
        <x:v>입금</x:v>
      </x:c>
      <x:c r="M1410" s="31" t="n">
        <x:f>IF(AND(N1410="미수",G1410&lt;&gt;"",TODAY()&gt;G1410),TODAY()-G1410,0)</x:f>
        <x:v>0</x:v>
      </x:c>
      <x:c r="N1410" s="24" t="str">
        <x:f>IF(J1410&gt;0,"미수",IF(AND(H1410&gt;0,I1410&gt;=H1410),"완납","미확인"))</x:f>
        <x:v>완납</x:v>
      </x:c>
      <x:c r="O1410" s="31" t="n">
        <x:v>68</x:v>
      </x:c>
    </x:row>
    <x:row r="1411" ht="17.25" customHeight="1">
      <x:c r="A1411" s="24" t="str">
        <x:v>SW-B-377마3268-202608</x:v>
      </x:c>
      <x:c r="B1411" s="24" t="str">
        <x:v>스위치플랜</x:v>
      </x:c>
      <x:c r="C1411" s="24" t="str">
        <x:v>SW-C-377마3268-1-NA-70</x:v>
      </x:c>
      <x:c r="D1411" s="24" t="str">
        <x:v>377마3268</x:v>
      </x:c>
      <x:c r="E1411" s="24" t="str"/>
      <x:c r="F1411" s="24" t="str">
        <x:v>2026-08</x:v>
      </x:c>
      <x:c r="G1411" s="30"/>
      <x:c r="H1411" s="32" t="n">
        <x:v>0</x:v>
      </x:c>
      <x:c r="I1411" s="32"/>
      <x:c r="J1411" s="32" t="n">
        <x:v>0</x:v>
      </x:c>
      <x:c r="K1411" s="30"/>
      <x:c r="L1411" s="24" t="str"/>
      <x:c r="M1411" s="31" t="n">
        <x:f>IF(AND(N1411="미수",G1411&lt;&gt;"",TODAY()&gt;G1411),TODAY()-G1411,0)</x:f>
        <x:v>0</x:v>
      </x:c>
      <x:c r="N1411" s="24" t="str">
        <x:f>IF(J1411&gt;0,"미수",IF(AND(H1411&gt;0,I1411&gt;=H1411),"완납","미확인"))</x:f>
        <x:v>미확인</x:v>
      </x:c>
      <x:c r="O1411" s="31" t="n">
        <x:v>69</x:v>
      </x:c>
    </x:row>
    <x:row r="1412" ht="17.25" customHeight="1">
      <x:c r="A1412" s="24" t="str">
        <x:v>SW-B-377마3268-202607</x:v>
      </x:c>
      <x:c r="B1412" s="24" t="str">
        <x:v>스위치플랜</x:v>
      </x:c>
      <x:c r="C1412" s="24" t="str">
        <x:v>SW-C-377마3268-1-NA-70</x:v>
      </x:c>
      <x:c r="D1412" s="24" t="str">
        <x:v>377마3268</x:v>
      </x:c>
      <x:c r="E1412" s="24" t="str"/>
      <x:c r="F1412" s="24" t="str">
        <x:v>2026-07</x:v>
      </x:c>
      <x:c r="G1412" s="30"/>
      <x:c r="H1412" s="32" t="n">
        <x:v>0</x:v>
      </x:c>
      <x:c r="I1412" s="32"/>
      <x:c r="J1412" s="32" t="n">
        <x:v>0</x:v>
      </x:c>
      <x:c r="K1412" s="30"/>
      <x:c r="L1412" s="24" t="str"/>
      <x:c r="M1412" s="31" t="n">
        <x:f>IF(AND(N1412="미수",G1412&lt;&gt;"",TODAY()&gt;G1412),TODAY()-G1412,0)</x:f>
        <x:v>0</x:v>
      </x:c>
      <x:c r="N1412" s="24" t="str">
        <x:f>IF(J1412&gt;0,"미수",IF(AND(H1412&gt;0,I1412&gt;=H1412),"완납","미확인"))</x:f>
        <x:v>미확인</x:v>
      </x:c>
      <x:c r="O1412" s="31" t="n">
        <x:v>69</x:v>
      </x:c>
    </x:row>
    <x:row r="1413" ht="17.25" customHeight="1">
      <x:c r="A1413" s="24" t="str">
        <x:v>SW-B-377마3268-202606</x:v>
      </x:c>
      <x:c r="B1413" s="24" t="str">
        <x:v>스위치플랜</x:v>
      </x:c>
      <x:c r="C1413" s="24" t="str">
        <x:v>SW-C-377마3268-1-NA-70</x:v>
      </x:c>
      <x:c r="D1413" s="24" t="str">
        <x:v>377마3268</x:v>
      </x:c>
      <x:c r="E1413" s="24" t="str"/>
      <x:c r="F1413" s="24" t="str">
        <x:v>2026-06</x:v>
      </x:c>
      <x:c r="G1413" s="30"/>
      <x:c r="H1413" s="32" t="n">
        <x:v>1100000</x:v>
      </x:c>
      <x:c r="I1413" s="32" t="n">
        <x:v>1100000</x:v>
      </x:c>
      <x:c r="J1413" s="32" t="n">
        <x:v>0</x:v>
      </x:c>
      <x:c r="K1413" s="30" t="n">
        <x:v>46197</x:v>
      </x:c>
      <x:c r="L1413" s="24" t="str">
        <x:v>입금</x:v>
      </x:c>
      <x:c r="M1413" s="31" t="n">
        <x:f>IF(AND(N1413="미수",G1413&lt;&gt;"",TODAY()&gt;G1413),TODAY()-G1413,0)</x:f>
        <x:v>0</x:v>
      </x:c>
      <x:c r="N1413" s="24" t="str">
        <x:f>IF(J1413&gt;0,"미수",IF(AND(H1413&gt;0,I1413&gt;=H1413),"완납","미확인"))</x:f>
        <x:v>완납</x:v>
      </x:c>
      <x:c r="O1413" s="31" t="n">
        <x:v>69</x:v>
      </x:c>
    </x:row>
    <x:row r="1414" ht="17.25" customHeight="1">
      <x:c r="A1414" s="24" t="str">
        <x:v>SW-B-377마3268-202605</x:v>
      </x:c>
      <x:c r="B1414" s="24" t="str">
        <x:v>스위치플랜</x:v>
      </x:c>
      <x:c r="C1414" s="24" t="str">
        <x:v>SW-C-377마3268-1-NA-70</x:v>
      </x:c>
      <x:c r="D1414" s="24" t="str">
        <x:v>377마3268</x:v>
      </x:c>
      <x:c r="E1414" s="24" t="str"/>
      <x:c r="F1414" s="24" t="str">
        <x:v>2026-05</x:v>
      </x:c>
      <x:c r="G1414" s="30"/>
      <x:c r="H1414" s="32" t="n">
        <x:v>1100000</x:v>
      </x:c>
      <x:c r="I1414" s="32" t="n">
        <x:v>1100000</x:v>
      </x:c>
      <x:c r="J1414" s="32" t="n">
        <x:v>0</x:v>
      </x:c>
      <x:c r="K1414" s="30" t="n">
        <x:v>46169</x:v>
      </x:c>
      <x:c r="L1414" s="24" t="str">
        <x:v>입금</x:v>
      </x:c>
      <x:c r="M1414" s="31" t="n">
        <x:f>IF(AND(N1414="미수",G1414&lt;&gt;"",TODAY()&gt;G1414),TODAY()-G1414,0)</x:f>
        <x:v>0</x:v>
      </x:c>
      <x:c r="N1414" s="24" t="str">
        <x:f>IF(J1414&gt;0,"미수",IF(AND(H1414&gt;0,I1414&gt;=H1414),"완납","미확인"))</x:f>
        <x:v>완납</x:v>
      </x:c>
      <x:c r="O1414" s="31" t="n">
        <x:v>69</x:v>
      </x:c>
    </x:row>
    <x:row r="1415" ht="17.25" customHeight="1">
      <x:c r="A1415" s="24" t="str">
        <x:v>SW-B-377마3268-202604</x:v>
      </x:c>
      <x:c r="B1415" s="24" t="str">
        <x:v>스위치플랜</x:v>
      </x:c>
      <x:c r="C1415" s="24" t="str">
        <x:v>SW-C-377마3268-1-NA-70</x:v>
      </x:c>
      <x:c r="D1415" s="24" t="str">
        <x:v>377마3268</x:v>
      </x:c>
      <x:c r="E1415" s="24" t="str"/>
      <x:c r="F1415" s="24" t="str">
        <x:v>2026-04</x:v>
      </x:c>
      <x:c r="G1415" s="30"/>
      <x:c r="H1415" s="32" t="n">
        <x:v>1100000</x:v>
      </x:c>
      <x:c r="I1415" s="32" t="n">
        <x:v>1100000</x:v>
      </x:c>
      <x:c r="J1415" s="32" t="n">
        <x:v>0</x:v>
      </x:c>
      <x:c r="K1415" s="30" t="n">
        <x:v>46132</x:v>
      </x:c>
      <x:c r="L1415" s="24" t="str">
        <x:v>입금</x:v>
      </x:c>
      <x:c r="M1415" s="31" t="n">
        <x:f>IF(AND(N1415="미수",G1415&lt;&gt;"",TODAY()&gt;G1415),TODAY()-G1415,0)</x:f>
        <x:v>0</x:v>
      </x:c>
      <x:c r="N1415" s="24" t="str">
        <x:f>IF(J1415&gt;0,"미수",IF(AND(H1415&gt;0,I1415&gt;=H1415),"완납","미확인"))</x:f>
        <x:v>완납</x:v>
      </x:c>
      <x:c r="O1415" s="31" t="n">
        <x:v>69</x:v>
      </x:c>
    </x:row>
    <x:row r="1416" ht="17.25" customHeight="1">
      <x:c r="A1416" s="24" t="str">
        <x:v>SW-B-377마3268-202603</x:v>
      </x:c>
      <x:c r="B1416" s="24" t="str">
        <x:v>스위치플랜</x:v>
      </x:c>
      <x:c r="C1416" s="24" t="str">
        <x:v>SW-C-377마3268-1-NA-70</x:v>
      </x:c>
      <x:c r="D1416" s="24" t="str">
        <x:v>377마3268</x:v>
      </x:c>
      <x:c r="E1416" s="24" t="str"/>
      <x:c r="F1416" s="24" t="str">
        <x:v>2026-03</x:v>
      </x:c>
      <x:c r="G1416" s="30"/>
      <x:c r="H1416" s="32" t="n">
        <x:v>1100000</x:v>
      </x:c>
      <x:c r="I1416" s="32" t="n">
        <x:v>1100000</x:v>
      </x:c>
      <x:c r="J1416" s="32" t="n">
        <x:v>0</x:v>
      </x:c>
      <x:c r="K1416" s="30" t="n">
        <x:v>46112</x:v>
      </x:c>
      <x:c r="L1416" s="24" t="str">
        <x:v>입금</x:v>
      </x:c>
      <x:c r="M1416" s="31" t="n">
        <x:f>IF(AND(N1416="미수",G1416&lt;&gt;"",TODAY()&gt;G1416),TODAY()-G1416,0)</x:f>
        <x:v>0</x:v>
      </x:c>
      <x:c r="N1416" s="24" t="str">
        <x:f>IF(J1416&gt;0,"미수",IF(AND(H1416&gt;0,I1416&gt;=H1416),"완납","미확인"))</x:f>
        <x:v>완납</x:v>
      </x:c>
      <x:c r="O1416" s="31" t="n">
        <x:v>69</x:v>
      </x:c>
    </x:row>
    <x:row r="1417" ht="17.25" customHeight="1">
      <x:c r="A1417" s="24" t="str">
        <x:v>SW-B-377마3268-202602</x:v>
      </x:c>
      <x:c r="B1417" s="24" t="str">
        <x:v>스위치플랜</x:v>
      </x:c>
      <x:c r="C1417" s="24" t="str">
        <x:v>SW-C-377마3268-1-NA-70</x:v>
      </x:c>
      <x:c r="D1417" s="24" t="str">
        <x:v>377마3268</x:v>
      </x:c>
      <x:c r="E1417" s="24" t="str"/>
      <x:c r="F1417" s="24" t="str">
        <x:v>2026-02</x:v>
      </x:c>
      <x:c r="G1417" s="30"/>
      <x:c r="H1417" s="32" t="n">
        <x:v>1100000</x:v>
      </x:c>
      <x:c r="I1417" s="32" t="n">
        <x:v>1100000</x:v>
      </x:c>
      <x:c r="J1417" s="32" t="n">
        <x:v>0</x:v>
      </x:c>
      <x:c r="K1417" s="30" t="n">
        <x:v>46081</x:v>
      </x:c>
      <x:c r="L1417" s="24" t="str">
        <x:v>입금</x:v>
      </x:c>
      <x:c r="M1417" s="31" t="n">
        <x:f>IF(AND(N1417="미수",G1417&lt;&gt;"",TODAY()&gt;G1417),TODAY()-G1417,0)</x:f>
        <x:v>0</x:v>
      </x:c>
      <x:c r="N1417" s="24" t="str">
        <x:f>IF(J1417&gt;0,"미수",IF(AND(H1417&gt;0,I1417&gt;=H1417),"완납","미확인"))</x:f>
        <x:v>완납</x:v>
      </x:c>
      <x:c r="O1417" s="31" t="n">
        <x:v>69</x:v>
      </x:c>
    </x:row>
    <x:row r="1418" ht="17.25" customHeight="1">
      <x:c r="A1418" s="24" t="str">
        <x:v>SW-B-377마3268-202601</x:v>
      </x:c>
      <x:c r="B1418" s="24" t="str">
        <x:v>스위치플랜</x:v>
      </x:c>
      <x:c r="C1418" s="24" t="str">
        <x:v>SW-C-377마3268-1-NA-70</x:v>
      </x:c>
      <x:c r="D1418" s="24" t="str">
        <x:v>377마3268</x:v>
      </x:c>
      <x:c r="E1418" s="24" t="str"/>
      <x:c r="F1418" s="24" t="str">
        <x:v>2026-01</x:v>
      </x:c>
      <x:c r="G1418" s="30"/>
      <x:c r="H1418" s="32" t="n">
        <x:v>1100000</x:v>
      </x:c>
      <x:c r="I1418" s="32" t="n">
        <x:v>1100000</x:v>
      </x:c>
      <x:c r="J1418" s="32" t="n">
        <x:v>0</x:v>
      </x:c>
      <x:c r="K1418" s="30" t="n">
        <x:v>46046</x:v>
      </x:c>
      <x:c r="L1418" s="24" t="str">
        <x:v>입금</x:v>
      </x:c>
      <x:c r="M1418" s="31" t="n">
        <x:f>IF(AND(N1418="미수",G1418&lt;&gt;"",TODAY()&gt;G1418),TODAY()-G1418,0)</x:f>
        <x:v>0</x:v>
      </x:c>
      <x:c r="N1418" s="24" t="str">
        <x:f>IF(J1418&gt;0,"미수",IF(AND(H1418&gt;0,I1418&gt;=H1418),"완납","미확인"))</x:f>
        <x:v>완납</x:v>
      </x:c>
      <x:c r="O1418" s="31" t="n">
        <x:v>69</x:v>
      </x:c>
    </x:row>
    <x:row r="1419" ht="17.25" customHeight="1">
      <x:c r="A1419" s="24" t="str">
        <x:v>SW-B-377마3268-202512</x:v>
      </x:c>
      <x:c r="B1419" s="24" t="str">
        <x:v>스위치플랜</x:v>
      </x:c>
      <x:c r="C1419" s="24" t="str">
        <x:v>SW-C-377마3268-1-NA-70</x:v>
      </x:c>
      <x:c r="D1419" s="24" t="str">
        <x:v>377마3268</x:v>
      </x:c>
      <x:c r="E1419" s="24" t="str"/>
      <x:c r="F1419" s="24" t="str">
        <x:v>2025-12</x:v>
      </x:c>
      <x:c r="G1419" s="30"/>
      <x:c r="H1419" s="32" t="n">
        <x:v>1100000</x:v>
      </x:c>
      <x:c r="I1419" s="32" t="n">
        <x:v>2200000</x:v>
      </x:c>
      <x:c r="J1419" s="32" t="n">
        <x:v>0</x:v>
      </x:c>
      <x:c r="K1419" s="30" t="n">
        <x:v>45993</x:v>
      </x:c>
      <x:c r="L1419" s="24" t="str">
        <x:v>입금</x:v>
      </x:c>
      <x:c r="M1419" s="31" t="n">
        <x:f>IF(AND(N1419="미수",G1419&lt;&gt;"",TODAY()&gt;G1419),TODAY()-G1419,0)</x:f>
        <x:v>0</x:v>
      </x:c>
      <x:c r="N1419" s="24" t="str">
        <x:f>IF(J1419&gt;0,"미수",IF(AND(H1419&gt;0,I1419&gt;=H1419),"완납","미확인"))</x:f>
        <x:v>완납</x:v>
      </x:c>
      <x:c r="O1419" s="31" t="n">
        <x:v>69</x:v>
      </x:c>
    </x:row>
    <x:row r="1420" ht="17.25" customHeight="1">
      <x:c r="A1420" s="24" t="str">
        <x:v>SW-B-377마3268-202511</x:v>
      </x:c>
      <x:c r="B1420" s="24" t="str">
        <x:v>스위치플랜</x:v>
      </x:c>
      <x:c r="C1420" s="24" t="str">
        <x:v>SW-C-377마3268-1-NA-70</x:v>
      </x:c>
      <x:c r="D1420" s="24" t="str">
        <x:v>377마3268</x:v>
      </x:c>
      <x:c r="E1420" s="24" t="str"/>
      <x:c r="F1420" s="24" t="str">
        <x:v>2025-11</x:v>
      </x:c>
      <x:c r="G1420" s="30"/>
      <x:c r="H1420" s="32" t="n">
        <x:v>1100000</x:v>
      </x:c>
      <x:c r="I1420" s="32"/>
      <x:c r="J1420" s="32" t="n">
        <x:v>1100000</x:v>
      </x:c>
      <x:c r="K1420" s="30"/>
      <x:c r="L1420" s="24" t="str"/>
      <x:c r="M1420" s="31" t="n">
        <x:f>IF(AND(N1420="미수",G1420&lt;&gt;"",TODAY()&gt;G1420),TODAY()-G1420,0)</x:f>
        <x:v>0</x:v>
      </x:c>
      <x:c r="N1420" s="24" t="str">
        <x:f>IF(J1420&gt;0,"미수",IF(AND(H1420&gt;0,I1420&gt;=H1420),"완납","미확인"))</x:f>
        <x:v>미수</x:v>
      </x:c>
      <x:c r="O1420" s="31" t="n">
        <x:v>69</x:v>
      </x:c>
    </x:row>
    <x:row r="1421" ht="17.25" customHeight="1">
      <x:c r="A1421" s="24" t="str">
        <x:v>SW-B-377마3268-202510</x:v>
      </x:c>
      <x:c r="B1421" s="24" t="str">
        <x:v>스위치플랜</x:v>
      </x:c>
      <x:c r="C1421" s="24" t="str">
        <x:v>SW-C-377마3268-1-NA-70</x:v>
      </x:c>
      <x:c r="D1421" s="24" t="str">
        <x:v>377마3268</x:v>
      </x:c>
      <x:c r="E1421" s="24" t="str"/>
      <x:c r="F1421" s="24" t="str">
        <x:v>2025-10</x:v>
      </x:c>
      <x:c r="G1421" s="30"/>
      <x:c r="H1421" s="32" t="n">
        <x:v>1100000</x:v>
      </x:c>
      <x:c r="I1421" s="32" t="n">
        <x:v>1100000</x:v>
      </x:c>
      <x:c r="J1421" s="32" t="n">
        <x:v>0</x:v>
      </x:c>
      <x:c r="K1421" s="30" t="n">
        <x:v>45947</x:v>
      </x:c>
      <x:c r="L1421" s="24" t="str">
        <x:v>입금</x:v>
      </x:c>
      <x:c r="M1421" s="31" t="n">
        <x:f>IF(AND(N1421="미수",G1421&lt;&gt;"",TODAY()&gt;G1421),TODAY()-G1421,0)</x:f>
        <x:v>0</x:v>
      </x:c>
      <x:c r="N1421" s="24" t="str">
        <x:f>IF(J1421&gt;0,"미수",IF(AND(H1421&gt;0,I1421&gt;=H1421),"완납","미확인"))</x:f>
        <x:v>완납</x:v>
      </x:c>
      <x:c r="O1421" s="31" t="n">
        <x:v>69</x:v>
      </x:c>
    </x:row>
    <x:row r="1422" ht="17.25" customHeight="1">
      <x:c r="A1422" s="24" t="str">
        <x:v>SW-B-377마3268-202509</x:v>
      </x:c>
      <x:c r="B1422" s="24" t="str">
        <x:v>스위치플랜</x:v>
      </x:c>
      <x:c r="C1422" s="24" t="str">
        <x:v>SW-C-377마3268-1-NA-70</x:v>
      </x:c>
      <x:c r="D1422" s="24" t="str">
        <x:v>377마3268</x:v>
      </x:c>
      <x:c r="E1422" s="24" t="str"/>
      <x:c r="F1422" s="24" t="str">
        <x:v>2025-09</x:v>
      </x:c>
      <x:c r="G1422" s="30"/>
      <x:c r="H1422" s="32" t="n">
        <x:v>1100000</x:v>
      </x:c>
      <x:c r="I1422" s="32" t="n">
        <x:v>1100000</x:v>
      </x:c>
      <x:c r="J1422" s="32" t="n">
        <x:v>0</x:v>
      </x:c>
      <x:c r="K1422" s="30" t="n">
        <x:v>45926</x:v>
      </x:c>
      <x:c r="L1422" s="24" t="str">
        <x:v>입금</x:v>
      </x:c>
      <x:c r="M1422" s="31" t="n">
        <x:f>IF(AND(N1422="미수",G1422&lt;&gt;"",TODAY()&gt;G1422),TODAY()-G1422,0)</x:f>
        <x:v>0</x:v>
      </x:c>
      <x:c r="N1422" s="24" t="str">
        <x:f>IF(J1422&gt;0,"미수",IF(AND(H1422&gt;0,I1422&gt;=H1422),"완납","미확인"))</x:f>
        <x:v>완납</x:v>
      </x:c>
      <x:c r="O1422" s="31" t="n">
        <x:v>69</x:v>
      </x:c>
    </x:row>
    <x:row r="1423" ht="17.25" customHeight="1">
      <x:c r="A1423" s="24" t="str">
        <x:v>SW-B-377마3268-202508</x:v>
      </x:c>
      <x:c r="B1423" s="24" t="str">
        <x:v>스위치플랜</x:v>
      </x:c>
      <x:c r="C1423" s="24" t="str">
        <x:v>SW-C-377마3268-1-NA-70</x:v>
      </x:c>
      <x:c r="D1423" s="24" t="str">
        <x:v>377마3268</x:v>
      </x:c>
      <x:c r="E1423" s="24" t="str"/>
      <x:c r="F1423" s="24" t="str">
        <x:v>2025-08</x:v>
      </x:c>
      <x:c r="G1423" s="30"/>
      <x:c r="H1423" s="32" t="n">
        <x:v>1100000</x:v>
      </x:c>
      <x:c r="I1423" s="32" t="n">
        <x:v>1100000</x:v>
      </x:c>
      <x:c r="J1423" s="32" t="n">
        <x:v>0</x:v>
      </x:c>
      <x:c r="K1423" s="30" t="n">
        <x:v>45896</x:v>
      </x:c>
      <x:c r="L1423" s="24" t="str">
        <x:v>입금</x:v>
      </x:c>
      <x:c r="M1423" s="31" t="n">
        <x:f>IF(AND(N1423="미수",G1423&lt;&gt;"",TODAY()&gt;G1423),TODAY()-G1423,0)</x:f>
        <x:v>0</x:v>
      </x:c>
      <x:c r="N1423" s="24" t="str">
        <x:f>IF(J1423&gt;0,"미수",IF(AND(H1423&gt;0,I1423&gt;=H1423),"완납","미확인"))</x:f>
        <x:v>완납</x:v>
      </x:c>
      <x:c r="O1423" s="31" t="n">
        <x:v>69</x:v>
      </x:c>
    </x:row>
    <x:row r="1424" ht="17.25" customHeight="1">
      <x:c r="A1424" s="24" t="str">
        <x:v>SW-B-377마3268-202507</x:v>
      </x:c>
      <x:c r="B1424" s="24" t="str">
        <x:v>스위치플랜</x:v>
      </x:c>
      <x:c r="C1424" s="24" t="str">
        <x:v>SW-C-377마3268-1-NA-70</x:v>
      </x:c>
      <x:c r="D1424" s="24" t="str">
        <x:v>377마3268</x:v>
      </x:c>
      <x:c r="E1424" s="24" t="str"/>
      <x:c r="F1424" s="24" t="str">
        <x:v>2025-07</x:v>
      </x:c>
      <x:c r="G1424" s="30"/>
      <x:c r="H1424" s="32" t="n">
        <x:v>1100000</x:v>
      </x:c>
      <x:c r="I1424" s="32" t="n">
        <x:v>1100000</x:v>
      </x:c>
      <x:c r="J1424" s="32" t="n">
        <x:v>0</x:v>
      </x:c>
      <x:c r="K1424" s="30" t="n">
        <x:v>45864</x:v>
      </x:c>
      <x:c r="L1424" s="24" t="str">
        <x:v>입금</x:v>
      </x:c>
      <x:c r="M1424" s="31" t="n">
        <x:f>IF(AND(N1424="미수",G1424&lt;&gt;"",TODAY()&gt;G1424),TODAY()-G1424,0)</x:f>
        <x:v>0</x:v>
      </x:c>
      <x:c r="N1424" s="24" t="str">
        <x:f>IF(J1424&gt;0,"미수",IF(AND(H1424&gt;0,I1424&gt;=H1424),"완납","미확인"))</x:f>
        <x:v>완납</x:v>
      </x:c>
      <x:c r="O1424" s="31" t="n">
        <x:v>69</x:v>
      </x:c>
    </x:row>
    <x:row r="1425" ht="17.25" customHeight="1">
      <x:c r="A1425" s="24" t="str">
        <x:v>SW-B-377마3268-202506</x:v>
      </x:c>
      <x:c r="B1425" s="24" t="str">
        <x:v>스위치플랜</x:v>
      </x:c>
      <x:c r="C1425" s="24" t="str">
        <x:v>SW-C-377마3268-1-NA-70</x:v>
      </x:c>
      <x:c r="D1425" s="24" t="str">
        <x:v>377마3268</x:v>
      </x:c>
      <x:c r="E1425" s="24" t="str"/>
      <x:c r="F1425" s="24" t="str">
        <x:v>2025-06</x:v>
      </x:c>
      <x:c r="G1425" s="30"/>
      <x:c r="H1425" s="32" t="n">
        <x:v>1100000</x:v>
      </x:c>
      <x:c r="I1425" s="32" t="n">
        <x:v>1100000</x:v>
      </x:c>
      <x:c r="J1425" s="32" t="n">
        <x:v>0</x:v>
      </x:c>
      <x:c r="K1425" s="30" t="n">
        <x:v>45832</x:v>
      </x:c>
      <x:c r="L1425" s="24" t="str">
        <x:v>입금</x:v>
      </x:c>
      <x:c r="M1425" s="31" t="n">
        <x:f>IF(AND(N1425="미수",G1425&lt;&gt;"",TODAY()&gt;G1425),TODAY()-G1425,0)</x:f>
        <x:v>0</x:v>
      </x:c>
      <x:c r="N1425" s="24" t="str">
        <x:f>IF(J1425&gt;0,"미수",IF(AND(H1425&gt;0,I1425&gt;=H1425),"완납","미확인"))</x:f>
        <x:v>완납</x:v>
      </x:c>
      <x:c r="O1425" s="31" t="n">
        <x:v>69</x:v>
      </x:c>
    </x:row>
    <x:row r="1426" ht="17.25" customHeight="1">
      <x:c r="A1426" s="24" t="str">
        <x:v>SW-B-377마3268-202505</x:v>
      </x:c>
      <x:c r="B1426" s="24" t="str">
        <x:v>스위치플랜</x:v>
      </x:c>
      <x:c r="C1426" s="24" t="str">
        <x:v>SW-C-377마3268-1-NA-70</x:v>
      </x:c>
      <x:c r="D1426" s="24" t="str">
        <x:v>377마3268</x:v>
      </x:c>
      <x:c r="E1426" s="24" t="str"/>
      <x:c r="F1426" s="24" t="str">
        <x:v>2025-05</x:v>
      </x:c>
      <x:c r="G1426" s="30"/>
      <x:c r="H1426" s="32" t="n">
        <x:v>1100000</x:v>
      </x:c>
      <x:c r="I1426" s="32" t="n">
        <x:v>1100000</x:v>
      </x:c>
      <x:c r="J1426" s="32" t="n">
        <x:v>0</x:v>
      </x:c>
      <x:c r="K1426" s="30" t="n">
        <x:v>45805</x:v>
      </x:c>
      <x:c r="L1426" s="24" t="str">
        <x:v>입금</x:v>
      </x:c>
      <x:c r="M1426" s="31" t="n">
        <x:f>IF(AND(N1426="미수",G1426&lt;&gt;"",TODAY()&gt;G1426),TODAY()-G1426,0)</x:f>
        <x:v>0</x:v>
      </x:c>
      <x:c r="N1426" s="24" t="str">
        <x:f>IF(J1426&gt;0,"미수",IF(AND(H1426&gt;0,I1426&gt;=H1426),"완납","미확인"))</x:f>
        <x:v>완납</x:v>
      </x:c>
      <x:c r="O1426" s="31" t="n">
        <x:v>69</x:v>
      </x:c>
    </x:row>
    <x:row r="1427" ht="17.25" customHeight="1">
      <x:c r="A1427" s="24" t="str">
        <x:v>SW-B-377마3268-202504</x:v>
      </x:c>
      <x:c r="B1427" s="24" t="str">
        <x:v>스위치플랜</x:v>
      </x:c>
      <x:c r="C1427" s="24" t="str">
        <x:v>SW-C-377마3268-1-NA-70</x:v>
      </x:c>
      <x:c r="D1427" s="24" t="str">
        <x:v>377마3268</x:v>
      </x:c>
      <x:c r="E1427" s="24" t="str"/>
      <x:c r="F1427" s="24" t="str">
        <x:v>2025-04</x:v>
      </x:c>
      <x:c r="G1427" s="30"/>
      <x:c r="H1427" s="32" t="n">
        <x:v>1100000</x:v>
      </x:c>
      <x:c r="I1427" s="32" t="n">
        <x:v>1100000</x:v>
      </x:c>
      <x:c r="J1427" s="32" t="n">
        <x:v>0</x:v>
      </x:c>
      <x:c r="K1427" s="30" t="n">
        <x:v>45777</x:v>
      </x:c>
      <x:c r="L1427" s="24" t="str">
        <x:v>입금</x:v>
      </x:c>
      <x:c r="M1427" s="31" t="n">
        <x:f>IF(AND(N1427="미수",G1427&lt;&gt;"",TODAY()&gt;G1427),TODAY()-G1427,0)</x:f>
        <x:v>0</x:v>
      </x:c>
      <x:c r="N1427" s="24" t="str">
        <x:f>IF(J1427&gt;0,"미수",IF(AND(H1427&gt;0,I1427&gt;=H1427),"완납","미확인"))</x:f>
        <x:v>완납</x:v>
      </x:c>
      <x:c r="O1427" s="31" t="n">
        <x:v>69</x:v>
      </x:c>
    </x:row>
    <x:row r="1428" ht="17.25" customHeight="1">
      <x:c r="A1428" s="24" t="str">
        <x:v>SW-B-377마3268-202503</x:v>
      </x:c>
      <x:c r="B1428" s="24" t="str">
        <x:v>스위치플랜</x:v>
      </x:c>
      <x:c r="C1428" s="24" t="str">
        <x:v>SW-C-377마3268-1-NA-70</x:v>
      </x:c>
      <x:c r="D1428" s="24" t="str">
        <x:v>377마3268</x:v>
      </x:c>
      <x:c r="E1428" s="24" t="str"/>
      <x:c r="F1428" s="24" t="str">
        <x:v>2025-03</x:v>
      </x:c>
      <x:c r="G1428" s="30"/>
      <x:c r="H1428" s="32" t="n">
        <x:v>1100000</x:v>
      </x:c>
      <x:c r="I1428" s="32" t="n">
        <x:v>1100000</x:v>
      </x:c>
      <x:c r="J1428" s="32" t="n">
        <x:v>0</x:v>
      </x:c>
      <x:c r="K1428" s="30" t="n">
        <x:v>45747</x:v>
      </x:c>
      <x:c r="L1428" s="24" t="str">
        <x:v>입금</x:v>
      </x:c>
      <x:c r="M1428" s="31" t="n">
        <x:f>IF(AND(N1428="미수",G1428&lt;&gt;"",TODAY()&gt;G1428),TODAY()-G1428,0)</x:f>
        <x:v>0</x:v>
      </x:c>
      <x:c r="N1428" s="24" t="str">
        <x:f>IF(J1428&gt;0,"미수",IF(AND(H1428&gt;0,I1428&gt;=H1428),"완납","미확인"))</x:f>
        <x:v>완납</x:v>
      </x:c>
      <x:c r="O1428" s="31" t="n">
        <x:v>69</x:v>
      </x:c>
    </x:row>
    <x:row r="1429" ht="17.25" customHeight="1">
      <x:c r="A1429" s="24" t="str">
        <x:v>SW-B-377마3268-202502</x:v>
      </x:c>
      <x:c r="B1429" s="24" t="str">
        <x:v>스위치플랜</x:v>
      </x:c>
      <x:c r="C1429" s="24" t="str">
        <x:v>SW-C-377마3268-1-NA-70</x:v>
      </x:c>
      <x:c r="D1429" s="24" t="str">
        <x:v>377마3268</x:v>
      </x:c>
      <x:c r="E1429" s="24" t="str"/>
      <x:c r="F1429" s="24" t="str">
        <x:v>2025-02</x:v>
      </x:c>
      <x:c r="G1429" s="30"/>
      <x:c r="H1429" s="32" t="n">
        <x:v>1100000</x:v>
      </x:c>
      <x:c r="I1429" s="32" t="n">
        <x:v>1100000</x:v>
      </x:c>
      <x:c r="J1429" s="32" t="n">
        <x:v>0</x:v>
      </x:c>
      <x:c r="K1429" s="30" t="n">
        <x:v>45716</x:v>
      </x:c>
      <x:c r="L1429" s="24" t="str">
        <x:v>입금</x:v>
      </x:c>
      <x:c r="M1429" s="31" t="n">
        <x:f>IF(AND(N1429="미수",G1429&lt;&gt;"",TODAY()&gt;G1429),TODAY()-G1429,0)</x:f>
        <x:v>0</x:v>
      </x:c>
      <x:c r="N1429" s="24" t="str">
        <x:f>IF(J1429&gt;0,"미수",IF(AND(H1429&gt;0,I1429&gt;=H1429),"완납","미확인"))</x:f>
        <x:v>완납</x:v>
      </x:c>
      <x:c r="O1429" s="31" t="n">
        <x:v>69</x:v>
      </x:c>
    </x:row>
    <x:row r="1430" ht="17.25" customHeight="1">
      <x:c r="A1430" s="24" t="str">
        <x:v>SW-B-377마3268-202501</x:v>
      </x:c>
      <x:c r="B1430" s="24" t="str">
        <x:v>스위치플랜</x:v>
      </x:c>
      <x:c r="C1430" s="24" t="str">
        <x:v>SW-C-377마3268-1-NA-70</x:v>
      </x:c>
      <x:c r="D1430" s="24" t="str">
        <x:v>377마3268</x:v>
      </x:c>
      <x:c r="E1430" s="24" t="str"/>
      <x:c r="F1430" s="24" t="str">
        <x:v>2025-01</x:v>
      </x:c>
      <x:c r="G1430" s="30"/>
      <x:c r="H1430" s="32" t="n">
        <x:v>1100000</x:v>
      </x:c>
      <x:c r="I1430" s="32" t="n">
        <x:v>1100000</x:v>
      </x:c>
      <x:c r="J1430" s="32" t="n">
        <x:v>0</x:v>
      </x:c>
      <x:c r="K1430" s="30" t="n">
        <x:v>45306</x:v>
      </x:c>
      <x:c r="L1430" s="24" t="str">
        <x:v>입금</x:v>
      </x:c>
      <x:c r="M1430" s="31" t="n">
        <x:f>IF(AND(N1430="미수",G1430&lt;&gt;"",TODAY()&gt;G1430),TODAY()-G1430,0)</x:f>
        <x:v>0</x:v>
      </x:c>
      <x:c r="N1430" s="24" t="str">
        <x:f>IF(J1430&gt;0,"미수",IF(AND(H1430&gt;0,I1430&gt;=H1430),"완납","미확인"))</x:f>
        <x:v>완납</x:v>
      </x:c>
      <x:c r="O1430" s="31" t="n">
        <x:v>69</x:v>
      </x:c>
    </x:row>
    <x:row r="1431" ht="17.25" customHeight="1">
      <x:c r="A1431" s="24" t="str">
        <x:v>SW-B-377마3268-202412</x:v>
      </x:c>
      <x:c r="B1431" s="24" t="str">
        <x:v>스위치플랜</x:v>
      </x:c>
      <x:c r="C1431" s="24" t="str">
        <x:v>SW-C-377마3268-1-NA-70</x:v>
      </x:c>
      <x:c r="D1431" s="24" t="str">
        <x:v>377마3268</x:v>
      </x:c>
      <x:c r="E1431" s="24" t="str"/>
      <x:c r="F1431" s="24" t="str">
        <x:v>2024-12</x:v>
      </x:c>
      <x:c r="G1431" s="30"/>
      <x:c r="H1431" s="32" t="n">
        <x:v>1100000</x:v>
      </x:c>
      <x:c r="I1431" s="32" t="n">
        <x:v>1100000</x:v>
      </x:c>
      <x:c r="J1431" s="32" t="n">
        <x:v>0</x:v>
      </x:c>
      <x:c r="K1431" s="30" t="n">
        <x:v>45636</x:v>
      </x:c>
      <x:c r="L1431" s="24" t="str">
        <x:v>입금</x:v>
      </x:c>
      <x:c r="M1431" s="31" t="n">
        <x:f>IF(AND(N1431="미수",G1431&lt;&gt;"",TODAY()&gt;G1431),TODAY()-G1431,0)</x:f>
        <x:v>0</x:v>
      </x:c>
      <x:c r="N1431" s="24" t="str">
        <x:f>IF(J1431&gt;0,"미수",IF(AND(H1431&gt;0,I1431&gt;=H1431),"완납","미확인"))</x:f>
        <x:v>완납</x:v>
      </x:c>
      <x:c r="O1431" s="31" t="n">
        <x:v>69</x:v>
      </x:c>
    </x:row>
    <x:row r="1432" ht="17.25" customHeight="1">
      <x:c r="A1432" s="24" t="str">
        <x:v>SW-B-377마3268-202411</x:v>
      </x:c>
      <x:c r="B1432" s="24" t="str">
        <x:v>스위치플랜</x:v>
      </x:c>
      <x:c r="C1432" s="24" t="str">
        <x:v>SW-C-377마3268-1-NA-70</x:v>
      </x:c>
      <x:c r="D1432" s="24" t="str">
        <x:v>377마3268</x:v>
      </x:c>
      <x:c r="E1432" s="24" t="str"/>
      <x:c r="F1432" s="24" t="str">
        <x:v>2024-11</x:v>
      </x:c>
      <x:c r="G1432" s="30"/>
      <x:c r="H1432" s="32" t="n">
        <x:v>1100000</x:v>
      </x:c>
      <x:c r="I1432" s="32" t="n">
        <x:v>1100000</x:v>
      </x:c>
      <x:c r="J1432" s="32" t="n">
        <x:v>0</x:v>
      </x:c>
      <x:c r="K1432" s="30" t="n">
        <x:v>45613</x:v>
      </x:c>
      <x:c r="L1432" s="24" t="str">
        <x:v>입금</x:v>
      </x:c>
      <x:c r="M1432" s="31" t="n">
        <x:f>IF(AND(N1432="미수",G1432&lt;&gt;"",TODAY()&gt;G1432),TODAY()-G1432,0)</x:f>
        <x:v>0</x:v>
      </x:c>
      <x:c r="N1432" s="24" t="str">
        <x:f>IF(J1432&gt;0,"미수",IF(AND(H1432&gt;0,I1432&gt;=H1432),"완납","미확인"))</x:f>
        <x:v>완납</x:v>
      </x:c>
      <x:c r="O1432" s="31" t="n">
        <x:v>69</x:v>
      </x:c>
    </x:row>
    <x:row r="1433" ht="17.25" customHeight="1">
      <x:c r="A1433" s="24" t="str">
        <x:v>SW-B-377마3268-202410</x:v>
      </x:c>
      <x:c r="B1433" s="24" t="str">
        <x:v>스위치플랜</x:v>
      </x:c>
      <x:c r="C1433" s="24" t="str">
        <x:v>SW-C-377마3268-1-NA-70</x:v>
      </x:c>
      <x:c r="D1433" s="24" t="str">
        <x:v>377마3268</x:v>
      </x:c>
      <x:c r="E1433" s="24" t="str"/>
      <x:c r="F1433" s="24" t="str">
        <x:v>2024-10</x:v>
      </x:c>
      <x:c r="G1433" s="30"/>
      <x:c r="H1433" s="32" t="n">
        <x:v>1100000</x:v>
      </x:c>
      <x:c r="I1433" s="32" t="n">
        <x:v>1100000</x:v>
      </x:c>
      <x:c r="J1433" s="32" t="n">
        <x:v>0</x:v>
      </x:c>
      <x:c r="K1433" s="30" t="n">
        <x:v>45580</x:v>
      </x:c>
      <x:c r="L1433" s="24" t="str">
        <x:v>입금</x:v>
      </x:c>
      <x:c r="M1433" s="31" t="n">
        <x:f>IF(AND(N1433="미수",G1433&lt;&gt;"",TODAY()&gt;G1433),TODAY()-G1433,0)</x:f>
        <x:v>0</x:v>
      </x:c>
      <x:c r="N1433" s="24" t="str">
        <x:f>IF(J1433&gt;0,"미수",IF(AND(H1433&gt;0,I1433&gt;=H1433),"완납","미확인"))</x:f>
        <x:v>완납</x:v>
      </x:c>
      <x:c r="O1433" s="31" t="n">
        <x:v>69</x:v>
      </x:c>
    </x:row>
    <x:row r="1434" ht="17.25" customHeight="1">
      <x:c r="A1434" s="24" t="str">
        <x:v>SW-B-377마3268-202409</x:v>
      </x:c>
      <x:c r="B1434" s="24" t="str">
        <x:v>스위치플랜</x:v>
      </x:c>
      <x:c r="C1434" s="24" t="str">
        <x:v>SW-C-377마3268-1-NA-70</x:v>
      </x:c>
      <x:c r="D1434" s="24" t="str">
        <x:v>377마3268</x:v>
      </x:c>
      <x:c r="E1434" s="24" t="str"/>
      <x:c r="F1434" s="24" t="str">
        <x:v>2024-09</x:v>
      </x:c>
      <x:c r="G1434" s="30"/>
      <x:c r="H1434" s="32" t="n">
        <x:v>1100000</x:v>
      </x:c>
      <x:c r="I1434" s="32" t="n">
        <x:v>1100000</x:v>
      </x:c>
      <x:c r="J1434" s="32" t="n">
        <x:v>0</x:v>
      </x:c>
      <x:c r="K1434" s="30" t="n">
        <x:v>45548</x:v>
      </x:c>
      <x:c r="L1434" s="24" t="str">
        <x:v>입금</x:v>
      </x:c>
      <x:c r="M1434" s="31" t="n">
        <x:f>IF(AND(N1434="미수",G1434&lt;&gt;"",TODAY()&gt;G1434),TODAY()-G1434,0)</x:f>
        <x:v>0</x:v>
      </x:c>
      <x:c r="N1434" s="24" t="str">
        <x:f>IF(J1434&gt;0,"미수",IF(AND(H1434&gt;0,I1434&gt;=H1434),"완납","미확인"))</x:f>
        <x:v>완납</x:v>
      </x:c>
      <x:c r="O1434" s="31" t="n">
        <x:v>69</x:v>
      </x:c>
    </x:row>
    <x:row r="1435" ht="17.25" customHeight="1">
      <x:c r="A1435" s="24" t="str">
        <x:v>SW-B-377마3268-202408</x:v>
      </x:c>
      <x:c r="B1435" s="24" t="str">
        <x:v>스위치플랜</x:v>
      </x:c>
      <x:c r="C1435" s="24" t="str">
        <x:v>SW-C-377마3268-1-NA-70</x:v>
      </x:c>
      <x:c r="D1435" s="24" t="str">
        <x:v>377마3268</x:v>
      </x:c>
      <x:c r="E1435" s="24" t="str"/>
      <x:c r="F1435" s="24" t="str">
        <x:v>2024-08</x:v>
      </x:c>
      <x:c r="G1435" s="30"/>
      <x:c r="H1435" s="32" t="n">
        <x:v>1100000</x:v>
      </x:c>
      <x:c r="I1435" s="32" t="n">
        <x:v>1100000</x:v>
      </x:c>
      <x:c r="J1435" s="32" t="n">
        <x:v>0</x:v>
      </x:c>
      <x:c r="K1435" s="30" t="n">
        <x:v>45518</x:v>
      </x:c>
      <x:c r="L1435" s="24" t="str">
        <x:v>입금</x:v>
      </x:c>
      <x:c r="M1435" s="31" t="n">
        <x:f>IF(AND(N1435="미수",G1435&lt;&gt;"",TODAY()&gt;G1435),TODAY()-G1435,0)</x:f>
        <x:v>0</x:v>
      </x:c>
      <x:c r="N1435" s="24" t="str">
        <x:f>IF(J1435&gt;0,"미수",IF(AND(H1435&gt;0,I1435&gt;=H1435),"완납","미확인"))</x:f>
        <x:v>완납</x:v>
      </x:c>
      <x:c r="O1435" s="31" t="n">
        <x:v>69</x:v>
      </x:c>
    </x:row>
    <x:row r="1436" ht="17.25" customHeight="1">
      <x:c r="A1436" s="24" t="str">
        <x:v>SW-B-377마3268-202407</x:v>
      </x:c>
      <x:c r="B1436" s="24" t="str">
        <x:v>스위치플랜</x:v>
      </x:c>
      <x:c r="C1436" s="24" t="str">
        <x:v>SW-C-377마3268-1-NA-70</x:v>
      </x:c>
      <x:c r="D1436" s="24" t="str">
        <x:v>377마3268</x:v>
      </x:c>
      <x:c r="E1436" s="24" t="str"/>
      <x:c r="F1436" s="24" t="str">
        <x:v>2024-07</x:v>
      </x:c>
      <x:c r="G1436" s="30"/>
      <x:c r="H1436" s="32" t="n">
        <x:v>1080000</x:v>
      </x:c>
      <x:c r="I1436" s="32" t="n">
        <x:v>1080000</x:v>
      </x:c>
      <x:c r="J1436" s="32" t="n">
        <x:v>0</x:v>
      </x:c>
      <x:c r="K1436" s="30" t="n">
        <x:v>45489</x:v>
      </x:c>
      <x:c r="L1436" s="24" t="str">
        <x:v>입금</x:v>
      </x:c>
      <x:c r="M1436" s="31" t="n">
        <x:f>IF(AND(N1436="미수",G1436&lt;&gt;"",TODAY()&gt;G1436),TODAY()-G1436,0)</x:f>
        <x:v>0</x:v>
      </x:c>
      <x:c r="N1436" s="24" t="str">
        <x:f>IF(J1436&gt;0,"미수",IF(AND(H1436&gt;0,I1436&gt;=H1436),"완납","미확인"))</x:f>
        <x:v>완납</x:v>
      </x:c>
      <x:c r="O1436" s="31" t="n">
        <x:v>69</x:v>
      </x:c>
    </x:row>
    <x:row r="1437" ht="17.25" customHeight="1">
      <x:c r="A1437" s="24" t="str">
        <x:v>SW-B-377마3268-202406</x:v>
      </x:c>
      <x:c r="B1437" s="24" t="str">
        <x:v>스위치플랜</x:v>
      </x:c>
      <x:c r="C1437" s="24" t="str">
        <x:v>SW-C-377마3268-1-NA-70</x:v>
      </x:c>
      <x:c r="D1437" s="24" t="str">
        <x:v>377마3268</x:v>
      </x:c>
      <x:c r="E1437" s="24" t="str"/>
      <x:c r="F1437" s="24" t="str">
        <x:v>2024-06</x:v>
      </x:c>
      <x:c r="G1437" s="30"/>
      <x:c r="H1437" s="32" t="n">
        <x:v>1100000</x:v>
      </x:c>
      <x:c r="I1437" s="32" t="n">
        <x:v>1100000</x:v>
      </x:c>
      <x:c r="J1437" s="32" t="n">
        <x:v>0</x:v>
      </x:c>
      <x:c r="K1437" s="30" t="n">
        <x:v>45455</x:v>
      </x:c>
      <x:c r="L1437" s="24" t="str">
        <x:v>입금</x:v>
      </x:c>
      <x:c r="M1437" s="31" t="n">
        <x:f>IF(AND(N1437="미수",G1437&lt;&gt;"",TODAY()&gt;G1437),TODAY()-G1437,0)</x:f>
        <x:v>0</x:v>
      </x:c>
      <x:c r="N1437" s="24" t="str">
        <x:f>IF(J1437&gt;0,"미수",IF(AND(H1437&gt;0,I1437&gt;=H1437),"완납","미확인"))</x:f>
        <x:v>완납</x:v>
      </x:c>
      <x:c r="O1437" s="31" t="n">
        <x:v>69</x:v>
      </x:c>
    </x:row>
    <x:row r="1438" ht="17.25" customHeight="1">
      <x:c r="A1438" s="24" t="str">
        <x:v>SW-B-104버2190-202608</x:v>
      </x:c>
      <x:c r="B1438" s="24" t="str">
        <x:v>스위치플랜</x:v>
      </x:c>
      <x:c r="C1438" s="24" t="str">
        <x:v>SW-C-104버2190-1-20240809-71</x:v>
      </x:c>
      <x:c r="D1438" s="24" t="str">
        <x:v>104버2190</x:v>
      </x:c>
      <x:c r="E1438" s="24" t="str">
        <x:v>박지혜</x:v>
      </x:c>
      <x:c r="F1438" s="24" t="str">
        <x:v>2026-08</x:v>
      </x:c>
      <x:c r="G1438" s="30" t="n">
        <x:v>46244</x:v>
      </x:c>
      <x:c r="H1438" s="32" t="n">
        <x:v>1340000</x:v>
      </x:c>
      <x:c r="I1438" s="32"/>
      <x:c r="J1438" s="32" t="n">
        <x:v>1340000</x:v>
      </x:c>
      <x:c r="K1438" s="30"/>
      <x:c r="L1438" s="24" t="str"/>
      <x:c r="M1438" s="31" t="n">
        <x:f>IF(AND(N1438="미수",G1438&lt;&gt;"",TODAY()&gt;G1438),TODAY()-G1438,0)</x:f>
        <x:v>5</x:v>
      </x:c>
      <x:c r="N1438" s="24" t="str">
        <x:f>IF(J1438&gt;0,"미수",IF(AND(H1438&gt;0,I1438&gt;=H1438),"완납","미확인"))</x:f>
        <x:v>미수</x:v>
      </x:c>
      <x:c r="O1438" s="31" t="n">
        <x:v>70</x:v>
      </x:c>
    </x:row>
    <x:row r="1439" ht="17.25" customHeight="1">
      <x:c r="A1439" s="24" t="str">
        <x:v>SW-B-104버2190-202607</x:v>
      </x:c>
      <x:c r="B1439" s="24" t="str">
        <x:v>스위치플랜</x:v>
      </x:c>
      <x:c r="C1439" s="24" t="str">
        <x:v>SW-C-104버2190-1-20240809-71</x:v>
      </x:c>
      <x:c r="D1439" s="24" t="str">
        <x:v>104버2190</x:v>
      </x:c>
      <x:c r="E1439" s="24" t="str">
        <x:v>박지혜</x:v>
      </x:c>
      <x:c r="F1439" s="24" t="str">
        <x:v>2026-07</x:v>
      </x:c>
      <x:c r="G1439" s="30" t="n">
        <x:v>46213</x:v>
      </x:c>
      <x:c r="H1439" s="32" t="n">
        <x:v>1065620</x:v>
      </x:c>
      <x:c r="I1439" s="32" t="n">
        <x:v>1065620</x:v>
      </x:c>
      <x:c r="J1439" s="32" t="n">
        <x:v>0</x:v>
      </x:c>
      <x:c r="K1439" s="30" t="n">
        <x:v>46214</x:v>
      </x:c>
      <x:c r="L1439" s="24" t="str">
        <x:v>입금</x:v>
      </x:c>
      <x:c r="M1439" s="31" t="n">
        <x:f>IF(AND(N1439="미수",G1439&lt;&gt;"",TODAY()&gt;G1439),TODAY()-G1439,0)</x:f>
        <x:v>0</x:v>
      </x:c>
      <x:c r="N1439" s="24" t="str">
        <x:f>IF(J1439&gt;0,"미수",IF(AND(H1439&gt;0,I1439&gt;=H1439),"완납","미확인"))</x:f>
        <x:v>완납</x:v>
      </x:c>
      <x:c r="O1439" s="31" t="n">
        <x:v>70</x:v>
      </x:c>
    </x:row>
    <x:row r="1440" ht="17.25" customHeight="1">
      <x:c r="A1440" s="24" t="str">
        <x:v>SW-B-104버2190-202606</x:v>
      </x:c>
      <x:c r="B1440" s="24" t="str">
        <x:v>스위치플랜</x:v>
      </x:c>
      <x:c r="C1440" s="24" t="str">
        <x:v>SW-C-104버2190-1-20240809-71</x:v>
      </x:c>
      <x:c r="D1440" s="24" t="str">
        <x:v>104버2190</x:v>
      </x:c>
      <x:c r="E1440" s="24" t="str">
        <x:v>박지혜</x:v>
      </x:c>
      <x:c r="F1440" s="24" t="str">
        <x:v>2026-06</x:v>
      </x:c>
      <x:c r="G1440" s="30" t="n">
        <x:v>46183</x:v>
      </x:c>
      <x:c r="H1440" s="32" t="n">
        <x:v>1340000</x:v>
      </x:c>
      <x:c r="I1440" s="32" t="n">
        <x:v>1340000</x:v>
      </x:c>
      <x:c r="J1440" s="32" t="n">
        <x:v>0</x:v>
      </x:c>
      <x:c r="K1440" s="30" t="n">
        <x:v>46185</x:v>
      </x:c>
      <x:c r="L1440" s="24" t="str">
        <x:v>입금</x:v>
      </x:c>
      <x:c r="M1440" s="31" t="n">
        <x:f>IF(AND(N1440="미수",G1440&lt;&gt;"",TODAY()&gt;G1440),TODAY()-G1440,0)</x:f>
        <x:v>0</x:v>
      </x:c>
      <x:c r="N1440" s="24" t="str">
        <x:f>IF(J1440&gt;0,"미수",IF(AND(H1440&gt;0,I1440&gt;=H1440),"완납","미확인"))</x:f>
        <x:v>완납</x:v>
      </x:c>
      <x:c r="O1440" s="31" t="n">
        <x:v>70</x:v>
      </x:c>
    </x:row>
    <x:row r="1441" ht="17.25" customHeight="1">
      <x:c r="A1441" s="24" t="str">
        <x:v>SW-B-104버2190-202605</x:v>
      </x:c>
      <x:c r="B1441" s="24" t="str">
        <x:v>스위치플랜</x:v>
      </x:c>
      <x:c r="C1441" s="24" t="str">
        <x:v>SW-C-104버2190-1-20240809-71</x:v>
      </x:c>
      <x:c r="D1441" s="24" t="str">
        <x:v>104버2190</x:v>
      </x:c>
      <x:c r="E1441" s="24" t="str">
        <x:v>박지혜</x:v>
      </x:c>
      <x:c r="F1441" s="24" t="str">
        <x:v>2026-05</x:v>
      </x:c>
      <x:c r="G1441" s="30" t="n">
        <x:v>46152</x:v>
      </x:c>
      <x:c r="H1441" s="32" t="n">
        <x:v>1340000</x:v>
      </x:c>
      <x:c r="I1441" s="32" t="n">
        <x:v>1340000</x:v>
      </x:c>
      <x:c r="J1441" s="32" t="n">
        <x:v>0</x:v>
      </x:c>
      <x:c r="K1441" s="30" t="n">
        <x:v>46154</x:v>
      </x:c>
      <x:c r="L1441" s="24" t="str">
        <x:v>입금</x:v>
      </x:c>
      <x:c r="M1441" s="31" t="n">
        <x:f>IF(AND(N1441="미수",G1441&lt;&gt;"",TODAY()&gt;G1441),TODAY()-G1441,0)</x:f>
        <x:v>0</x:v>
      </x:c>
      <x:c r="N1441" s="24" t="str">
        <x:f>IF(J1441&gt;0,"미수",IF(AND(H1441&gt;0,I1441&gt;=H1441),"완납","미확인"))</x:f>
        <x:v>완납</x:v>
      </x:c>
      <x:c r="O1441" s="31" t="n">
        <x:v>70</x:v>
      </x:c>
    </x:row>
    <x:row r="1442" ht="17.25" customHeight="1">
      <x:c r="A1442" s="24" t="str">
        <x:v>SW-B-104버2190-202604</x:v>
      </x:c>
      <x:c r="B1442" s="24" t="str">
        <x:v>스위치플랜</x:v>
      </x:c>
      <x:c r="C1442" s="24" t="str">
        <x:v>SW-C-104버2190-1-20240809-71</x:v>
      </x:c>
      <x:c r="D1442" s="24" t="str">
        <x:v>104버2190</x:v>
      </x:c>
      <x:c r="E1442" s="24" t="str">
        <x:v>박지혜</x:v>
      </x:c>
      <x:c r="F1442" s="24" t="str">
        <x:v>2026-04</x:v>
      </x:c>
      <x:c r="G1442" s="30" t="n">
        <x:v>46122</x:v>
      </x:c>
      <x:c r="H1442" s="32" t="n">
        <x:v>1340000</x:v>
      </x:c>
      <x:c r="I1442" s="32" t="n">
        <x:v>1340000</x:v>
      </x:c>
      <x:c r="J1442" s="32" t="n">
        <x:v>0</x:v>
      </x:c>
      <x:c r="K1442" s="30" t="n">
        <x:v>46122</x:v>
      </x:c>
      <x:c r="L1442" s="24" t="str">
        <x:v>자동</x:v>
      </x:c>
      <x:c r="M1442" s="31" t="n">
        <x:f>IF(AND(N1442="미수",G1442&lt;&gt;"",TODAY()&gt;G1442),TODAY()-G1442,0)</x:f>
        <x:v>0</x:v>
      </x:c>
      <x:c r="N1442" s="24" t="str">
        <x:f>IF(J1442&gt;0,"미수",IF(AND(H1442&gt;0,I1442&gt;=H1442),"완납","미확인"))</x:f>
        <x:v>완납</x:v>
      </x:c>
      <x:c r="O1442" s="31" t="n">
        <x:v>70</x:v>
      </x:c>
    </x:row>
    <x:row r="1443" ht="17.25" customHeight="1">
      <x:c r="A1443" s="24" t="str">
        <x:v>SW-B-104버2190-202603</x:v>
      </x:c>
      <x:c r="B1443" s="24" t="str">
        <x:v>스위치플랜</x:v>
      </x:c>
      <x:c r="C1443" s="24" t="str">
        <x:v>SW-C-104버2190-1-20240809-71</x:v>
      </x:c>
      <x:c r="D1443" s="24" t="str">
        <x:v>104버2190</x:v>
      </x:c>
      <x:c r="E1443" s="24" t="str">
        <x:v>박지혜</x:v>
      </x:c>
      <x:c r="F1443" s="24" t="str">
        <x:v>2026-03</x:v>
      </x:c>
      <x:c r="G1443" s="30" t="n">
        <x:v>46091</x:v>
      </x:c>
      <x:c r="H1443" s="32" t="n">
        <x:v>1340000</x:v>
      </x:c>
      <x:c r="I1443" s="32" t="n">
        <x:v>1340000</x:v>
      </x:c>
      <x:c r="J1443" s="32" t="n">
        <x:v>0</x:v>
      </x:c>
      <x:c r="K1443" s="30" t="n">
        <x:v>46091</x:v>
      </x:c>
      <x:c r="L1443" s="24" t="str">
        <x:v>자동</x:v>
      </x:c>
      <x:c r="M1443" s="31" t="n">
        <x:f>IF(AND(N1443="미수",G1443&lt;&gt;"",TODAY()&gt;G1443),TODAY()-G1443,0)</x:f>
        <x:v>0</x:v>
      </x:c>
      <x:c r="N1443" s="24" t="str">
        <x:f>IF(J1443&gt;0,"미수",IF(AND(H1443&gt;0,I1443&gt;=H1443),"완납","미확인"))</x:f>
        <x:v>완납</x:v>
      </x:c>
      <x:c r="O1443" s="31" t="n">
        <x:v>70</x:v>
      </x:c>
    </x:row>
    <x:row r="1444" ht="17.25" customHeight="1">
      <x:c r="A1444" s="24" t="str">
        <x:v>SW-B-104버2190-202602</x:v>
      </x:c>
      <x:c r="B1444" s="24" t="str">
        <x:v>스위치플랜</x:v>
      </x:c>
      <x:c r="C1444" s="24" t="str">
        <x:v>SW-C-104버2190-1-20240809-71</x:v>
      </x:c>
      <x:c r="D1444" s="24" t="str">
        <x:v>104버2190</x:v>
      </x:c>
      <x:c r="E1444" s="24" t="str">
        <x:v>박지혜</x:v>
      </x:c>
      <x:c r="F1444" s="24" t="str">
        <x:v>2026-02</x:v>
      </x:c>
      <x:c r="G1444" s="30" t="n">
        <x:v>46063</x:v>
      </x:c>
      <x:c r="H1444" s="32" t="n">
        <x:v>1340000</x:v>
      </x:c>
      <x:c r="I1444" s="32" t="n">
        <x:v>1340000</x:v>
      </x:c>
      <x:c r="J1444" s="32" t="n">
        <x:v>0</x:v>
      </x:c>
      <x:c r="K1444" s="30" t="n">
        <x:v>46063</x:v>
      </x:c>
      <x:c r="L1444" s="24" t="str">
        <x:v>자동</x:v>
      </x:c>
      <x:c r="M1444" s="31" t="n">
        <x:f>IF(AND(N1444="미수",G1444&lt;&gt;"",TODAY()&gt;G1444),TODAY()-G1444,0)</x:f>
        <x:v>0</x:v>
      </x:c>
      <x:c r="N1444" s="24" t="str">
        <x:f>IF(J1444&gt;0,"미수",IF(AND(H1444&gt;0,I1444&gt;=H1444),"완납","미확인"))</x:f>
        <x:v>완납</x:v>
      </x:c>
      <x:c r="O1444" s="31" t="n">
        <x:v>70</x:v>
      </x:c>
    </x:row>
    <x:row r="1445" ht="17.25" customHeight="1">
      <x:c r="A1445" s="24" t="str">
        <x:v>SW-B-104버2190-202601</x:v>
      </x:c>
      <x:c r="B1445" s="24" t="str">
        <x:v>스위치플랜</x:v>
      </x:c>
      <x:c r="C1445" s="24" t="str">
        <x:v>SW-C-104버2190-1-20240809-71</x:v>
      </x:c>
      <x:c r="D1445" s="24" t="str">
        <x:v>104버2190</x:v>
      </x:c>
      <x:c r="E1445" s="24" t="str">
        <x:v>박지혜</x:v>
      </x:c>
      <x:c r="F1445" s="24" t="str">
        <x:v>2026-01</x:v>
      </x:c>
      <x:c r="G1445" s="30" t="n">
        <x:v>46032</x:v>
      </x:c>
      <x:c r="H1445" s="32" t="n">
        <x:v>1340000</x:v>
      </x:c>
      <x:c r="I1445" s="32" t="n">
        <x:v>1340000</x:v>
      </x:c>
      <x:c r="J1445" s="32" t="n">
        <x:v>0</x:v>
      </x:c>
      <x:c r="K1445" s="30" t="n">
        <x:v>46034</x:v>
      </x:c>
      <x:c r="L1445" s="24" t="str">
        <x:v>자동</x:v>
      </x:c>
      <x:c r="M1445" s="31" t="n">
        <x:f>IF(AND(N1445="미수",G1445&lt;&gt;"",TODAY()&gt;G1445),TODAY()-G1445,0)</x:f>
        <x:v>0</x:v>
      </x:c>
      <x:c r="N1445" s="24" t="str">
        <x:f>IF(J1445&gt;0,"미수",IF(AND(H1445&gt;0,I1445&gt;=H1445),"완납","미확인"))</x:f>
        <x:v>완납</x:v>
      </x:c>
      <x:c r="O1445" s="31" t="n">
        <x:v>70</x:v>
      </x:c>
    </x:row>
    <x:row r="1446" ht="17.25" customHeight="1">
      <x:c r="A1446" s="24" t="str">
        <x:v>SW-B-104버2190-202512</x:v>
      </x:c>
      <x:c r="B1446" s="24" t="str">
        <x:v>스위치플랜</x:v>
      </x:c>
      <x:c r="C1446" s="24" t="str">
        <x:v>SW-C-104버2190-1-20240809-71</x:v>
      </x:c>
      <x:c r="D1446" s="24" t="str">
        <x:v>104버2190</x:v>
      </x:c>
      <x:c r="E1446" s="24" t="str">
        <x:v>박지혜</x:v>
      </x:c>
      <x:c r="F1446" s="24" t="str">
        <x:v>2025-12</x:v>
      </x:c>
      <x:c r="G1446" s="30" t="n">
        <x:v>46001</x:v>
      </x:c>
      <x:c r="H1446" s="32" t="n">
        <x:v>1340000</x:v>
      </x:c>
      <x:c r="I1446" s="32" t="n">
        <x:v>1340000</x:v>
      </x:c>
      <x:c r="J1446" s="32" t="n">
        <x:v>0</x:v>
      </x:c>
      <x:c r="K1446" s="30" t="n">
        <x:v>46001</x:v>
      </x:c>
      <x:c r="L1446" s="24" t="str">
        <x:v>자동</x:v>
      </x:c>
      <x:c r="M1446" s="31" t="n">
        <x:f>IF(AND(N1446="미수",G1446&lt;&gt;"",TODAY()&gt;G1446),TODAY()-G1446,0)</x:f>
        <x:v>0</x:v>
      </x:c>
      <x:c r="N1446" s="24" t="str">
        <x:f>IF(J1446&gt;0,"미수",IF(AND(H1446&gt;0,I1446&gt;=H1446),"완납","미확인"))</x:f>
        <x:v>완납</x:v>
      </x:c>
      <x:c r="O1446" s="31" t="n">
        <x:v>70</x:v>
      </x:c>
    </x:row>
    <x:row r="1447" ht="17.25" customHeight="1">
      <x:c r="A1447" s="24" t="str">
        <x:v>SW-B-104버2190-202511</x:v>
      </x:c>
      <x:c r="B1447" s="24" t="str">
        <x:v>스위치플랜</x:v>
      </x:c>
      <x:c r="C1447" s="24" t="str">
        <x:v>SW-C-104버2190-1-20240809-71</x:v>
      </x:c>
      <x:c r="D1447" s="24" t="str">
        <x:v>104버2190</x:v>
      </x:c>
      <x:c r="E1447" s="24" t="str">
        <x:v>박지혜</x:v>
      </x:c>
      <x:c r="F1447" s="24" t="str">
        <x:v>2025-11</x:v>
      </x:c>
      <x:c r="G1447" s="30" t="n">
        <x:v>45971</x:v>
      </x:c>
      <x:c r="H1447" s="32" t="n">
        <x:v>1340000</x:v>
      </x:c>
      <x:c r="I1447" s="32" t="n">
        <x:v>1340000</x:v>
      </x:c>
      <x:c r="J1447" s="32" t="n">
        <x:v>0</x:v>
      </x:c>
      <x:c r="K1447" s="30" t="n">
        <x:v>45971</x:v>
      </x:c>
      <x:c r="L1447" s="24" t="str">
        <x:v>자동</x:v>
      </x:c>
      <x:c r="M1447" s="31" t="n">
        <x:f>IF(AND(N1447="미수",G1447&lt;&gt;"",TODAY()&gt;G1447),TODAY()-G1447,0)</x:f>
        <x:v>0</x:v>
      </x:c>
      <x:c r="N1447" s="24" t="str">
        <x:f>IF(J1447&gt;0,"미수",IF(AND(H1447&gt;0,I1447&gt;=H1447),"완납","미확인"))</x:f>
        <x:v>완납</x:v>
      </x:c>
      <x:c r="O1447" s="31" t="n">
        <x:v>70</x:v>
      </x:c>
    </x:row>
    <x:row r="1448" ht="17.25" customHeight="1">
      <x:c r="A1448" s="24" t="str">
        <x:v>SW-B-104버2190-202510</x:v>
      </x:c>
      <x:c r="B1448" s="24" t="str">
        <x:v>스위치플랜</x:v>
      </x:c>
      <x:c r="C1448" s="24" t="str">
        <x:v>SW-C-104버2190-1-20240809-71</x:v>
      </x:c>
      <x:c r="D1448" s="24" t="str">
        <x:v>104버2190</x:v>
      </x:c>
      <x:c r="E1448" s="24" t="str">
        <x:v>박지혜</x:v>
      </x:c>
      <x:c r="F1448" s="24" t="str">
        <x:v>2025-10</x:v>
      </x:c>
      <x:c r="G1448" s="30" t="n">
        <x:v>45940</x:v>
      </x:c>
      <x:c r="H1448" s="32" t="n">
        <x:v>1340000</x:v>
      </x:c>
      <x:c r="I1448" s="32" t="n">
        <x:v>1340000</x:v>
      </x:c>
      <x:c r="J1448" s="32" t="n">
        <x:v>0</x:v>
      </x:c>
      <x:c r="K1448" s="30" t="n">
        <x:v>45940</x:v>
      </x:c>
      <x:c r="L1448" s="24" t="str">
        <x:v>자동</x:v>
      </x:c>
      <x:c r="M1448" s="31" t="n">
        <x:f>IF(AND(N1448="미수",G1448&lt;&gt;"",TODAY()&gt;G1448),TODAY()-G1448,0)</x:f>
        <x:v>0</x:v>
      </x:c>
      <x:c r="N1448" s="24" t="str">
        <x:f>IF(J1448&gt;0,"미수",IF(AND(H1448&gt;0,I1448&gt;=H1448),"완납","미확인"))</x:f>
        <x:v>완납</x:v>
      </x:c>
      <x:c r="O1448" s="31" t="n">
        <x:v>70</x:v>
      </x:c>
    </x:row>
    <x:row r="1449" ht="17.25" customHeight="1">
      <x:c r="A1449" s="24" t="str">
        <x:v>SW-B-104버2190-202509</x:v>
      </x:c>
      <x:c r="B1449" s="24" t="str">
        <x:v>스위치플랜</x:v>
      </x:c>
      <x:c r="C1449" s="24" t="str">
        <x:v>SW-C-104버2190-1-20240809-71</x:v>
      </x:c>
      <x:c r="D1449" s="24" t="str">
        <x:v>104버2190</x:v>
      </x:c>
      <x:c r="E1449" s="24" t="str">
        <x:v>박지혜</x:v>
      </x:c>
      <x:c r="F1449" s="24" t="str">
        <x:v>2025-09</x:v>
      </x:c>
      <x:c r="G1449" s="30" t="n">
        <x:v>45910</x:v>
      </x:c>
      <x:c r="H1449" s="32" t="n">
        <x:v>1340000</x:v>
      </x:c>
      <x:c r="I1449" s="32" t="n">
        <x:v>1340000</x:v>
      </x:c>
      <x:c r="J1449" s="32" t="n">
        <x:v>0</x:v>
      </x:c>
      <x:c r="K1449" s="30" t="n">
        <x:v>45913</x:v>
      </x:c>
      <x:c r="L1449" s="24" t="str">
        <x:v>입금</x:v>
      </x:c>
      <x:c r="M1449" s="31" t="n">
        <x:f>IF(AND(N1449="미수",G1449&lt;&gt;"",TODAY()&gt;G1449),TODAY()-G1449,0)</x:f>
        <x:v>0</x:v>
      </x:c>
      <x:c r="N1449" s="24" t="str">
        <x:f>IF(J1449&gt;0,"미수",IF(AND(H1449&gt;0,I1449&gt;=H1449),"완납","미확인"))</x:f>
        <x:v>완납</x:v>
      </x:c>
      <x:c r="O1449" s="31" t="n">
        <x:v>70</x:v>
      </x:c>
    </x:row>
    <x:row r="1450" ht="17.25" customHeight="1">
      <x:c r="A1450" s="24" t="str">
        <x:v>SW-B-104버2190-202508</x:v>
      </x:c>
      <x:c r="B1450" s="24" t="str">
        <x:v>스위치플랜</x:v>
      </x:c>
      <x:c r="C1450" s="24" t="str">
        <x:v>SW-C-104버2190-1-20240809-71</x:v>
      </x:c>
      <x:c r="D1450" s="24" t="str">
        <x:v>104버2190</x:v>
      </x:c>
      <x:c r="E1450" s="24" t="str">
        <x:v>박지혜</x:v>
      </x:c>
      <x:c r="F1450" s="24" t="str">
        <x:v>2025-08</x:v>
      </x:c>
      <x:c r="G1450" s="30" t="n">
        <x:v>45879</x:v>
      </x:c>
      <x:c r="H1450" s="32" t="n">
        <x:v>1340000</x:v>
      </x:c>
      <x:c r="I1450" s="32" t="n">
        <x:v>1340000</x:v>
      </x:c>
      <x:c r="J1450" s="32" t="n">
        <x:v>0</x:v>
      </x:c>
      <x:c r="K1450" s="30" t="n">
        <x:v>45880</x:v>
      </x:c>
      <x:c r="L1450" s="24" t="str">
        <x:v>자동</x:v>
      </x:c>
      <x:c r="M1450" s="31" t="n">
        <x:f>IF(AND(N1450="미수",G1450&lt;&gt;"",TODAY()&gt;G1450),TODAY()-G1450,0)</x:f>
        <x:v>0</x:v>
      </x:c>
      <x:c r="N1450" s="24" t="str">
        <x:f>IF(J1450&gt;0,"미수",IF(AND(H1450&gt;0,I1450&gt;=H1450),"완납","미확인"))</x:f>
        <x:v>완납</x:v>
      </x:c>
      <x:c r="O1450" s="31" t="n">
        <x:v>70</x:v>
      </x:c>
    </x:row>
    <x:row r="1451" ht="17.25" customHeight="1">
      <x:c r="A1451" s="24" t="str">
        <x:v>SW-B-104버2190-202507</x:v>
      </x:c>
      <x:c r="B1451" s="24" t="str">
        <x:v>스위치플랜</x:v>
      </x:c>
      <x:c r="C1451" s="24" t="str">
        <x:v>SW-C-104버2190-1-20240809-71</x:v>
      </x:c>
      <x:c r="D1451" s="24" t="str">
        <x:v>104버2190</x:v>
      </x:c>
      <x:c r="E1451" s="24" t="str">
        <x:v>박지혜</x:v>
      </x:c>
      <x:c r="F1451" s="24" t="str">
        <x:v>2025-07</x:v>
      </x:c>
      <x:c r="G1451" s="30" t="n">
        <x:v>45848</x:v>
      </x:c>
      <x:c r="H1451" s="32" t="n">
        <x:v>1340000</x:v>
      </x:c>
      <x:c r="I1451" s="32" t="n">
        <x:v>1340000</x:v>
      </x:c>
      <x:c r="J1451" s="32" t="n">
        <x:v>0</x:v>
      </x:c>
      <x:c r="K1451" s="30" t="n">
        <x:v>45851</x:v>
      </x:c>
      <x:c r="L1451" s="24" t="str">
        <x:v>입금</x:v>
      </x:c>
      <x:c r="M1451" s="31" t="n">
        <x:f>IF(AND(N1451="미수",G1451&lt;&gt;"",TODAY()&gt;G1451),TODAY()-G1451,0)</x:f>
        <x:v>0</x:v>
      </x:c>
      <x:c r="N1451" s="24" t="str">
        <x:f>IF(J1451&gt;0,"미수",IF(AND(H1451&gt;0,I1451&gt;=H1451),"완납","미확인"))</x:f>
        <x:v>완납</x:v>
      </x:c>
      <x:c r="O1451" s="31" t="n">
        <x:v>70</x:v>
      </x:c>
    </x:row>
    <x:row r="1452" ht="17.25" customHeight="1">
      <x:c r="A1452" s="24" t="str">
        <x:v>SW-B-104버2190-202506</x:v>
      </x:c>
      <x:c r="B1452" s="24" t="str">
        <x:v>스위치플랜</x:v>
      </x:c>
      <x:c r="C1452" s="24" t="str">
        <x:v>SW-C-104버2190-1-20240809-71</x:v>
      </x:c>
      <x:c r="D1452" s="24" t="str">
        <x:v>104버2190</x:v>
      </x:c>
      <x:c r="E1452" s="24" t="str">
        <x:v>박지혜</x:v>
      </x:c>
      <x:c r="F1452" s="24" t="str">
        <x:v>2025-06</x:v>
      </x:c>
      <x:c r="G1452" s="30" t="n">
        <x:v>45818</x:v>
      </x:c>
      <x:c r="H1452" s="32" t="n">
        <x:v>1340000</x:v>
      </x:c>
      <x:c r="I1452" s="32" t="n">
        <x:v>1340000</x:v>
      </x:c>
      <x:c r="J1452" s="32" t="n">
        <x:v>0</x:v>
      </x:c>
      <x:c r="K1452" s="30" t="n">
        <x:v>45822</x:v>
      </x:c>
      <x:c r="L1452" s="24" t="str">
        <x:v>입금</x:v>
      </x:c>
      <x:c r="M1452" s="31" t="n">
        <x:f>IF(AND(N1452="미수",G1452&lt;&gt;"",TODAY()&gt;G1452),TODAY()-G1452,0)</x:f>
        <x:v>0</x:v>
      </x:c>
      <x:c r="N1452" s="24" t="str">
        <x:f>IF(J1452&gt;0,"미수",IF(AND(H1452&gt;0,I1452&gt;=H1452),"완납","미확인"))</x:f>
        <x:v>완납</x:v>
      </x:c>
      <x:c r="O1452" s="31" t="n">
        <x:v>70</x:v>
      </x:c>
    </x:row>
    <x:row r="1453" ht="17.25" customHeight="1">
      <x:c r="A1453" s="24" t="str">
        <x:v>SW-B-104버2190-202505</x:v>
      </x:c>
      <x:c r="B1453" s="24" t="str">
        <x:v>스위치플랜</x:v>
      </x:c>
      <x:c r="C1453" s="24" t="str">
        <x:v>SW-C-104버2190-1-20240809-71</x:v>
      </x:c>
      <x:c r="D1453" s="24" t="str">
        <x:v>104버2190</x:v>
      </x:c>
      <x:c r="E1453" s="24" t="str">
        <x:v>박지혜</x:v>
      </x:c>
      <x:c r="F1453" s="24" t="str">
        <x:v>2025-05</x:v>
      </x:c>
      <x:c r="G1453" s="30" t="n">
        <x:v>45787</x:v>
      </x:c>
      <x:c r="H1453" s="32" t="n">
        <x:v>1340000</x:v>
      </x:c>
      <x:c r="I1453" s="32" t="n">
        <x:v>1340000</x:v>
      </x:c>
      <x:c r="J1453" s="32" t="n">
        <x:v>0</x:v>
      </x:c>
      <x:c r="K1453" s="30" t="n">
        <x:v>45790</x:v>
      </x:c>
      <x:c r="L1453" s="24" t="str">
        <x:v>입금</x:v>
      </x:c>
      <x:c r="M1453" s="31" t="n">
        <x:f>IF(AND(N1453="미수",G1453&lt;&gt;"",TODAY()&gt;G1453),TODAY()-G1453,0)</x:f>
        <x:v>0</x:v>
      </x:c>
      <x:c r="N1453" s="24" t="str">
        <x:f>IF(J1453&gt;0,"미수",IF(AND(H1453&gt;0,I1453&gt;=H1453),"완납","미확인"))</x:f>
        <x:v>완납</x:v>
      </x:c>
      <x:c r="O1453" s="31" t="n">
        <x:v>70</x:v>
      </x:c>
    </x:row>
    <x:row r="1454" ht="17.25" customHeight="1">
      <x:c r="A1454" s="24" t="str">
        <x:v>SW-B-104버2190-202504</x:v>
      </x:c>
      <x:c r="B1454" s="24" t="str">
        <x:v>스위치플랜</x:v>
      </x:c>
      <x:c r="C1454" s="24" t="str">
        <x:v>SW-C-104버2190-1-20240809-71</x:v>
      </x:c>
      <x:c r="D1454" s="24" t="str">
        <x:v>104버2190</x:v>
      </x:c>
      <x:c r="E1454" s="24" t="str">
        <x:v>박지혜</x:v>
      </x:c>
      <x:c r="F1454" s="24" t="str">
        <x:v>2025-04</x:v>
      </x:c>
      <x:c r="G1454" s="30" t="n">
        <x:v>45757</x:v>
      </x:c>
      <x:c r="H1454" s="32" t="n">
        <x:v>1340000</x:v>
      </x:c>
      <x:c r="I1454" s="32" t="n">
        <x:v>1340000</x:v>
      </x:c>
      <x:c r="J1454" s="32" t="n">
        <x:v>0</x:v>
      </x:c>
      <x:c r="K1454" s="30" t="n">
        <x:v>45761</x:v>
      </x:c>
      <x:c r="L1454" s="24" t="str">
        <x:v>입금</x:v>
      </x:c>
      <x:c r="M1454" s="31" t="n">
        <x:f>IF(AND(N1454="미수",G1454&lt;&gt;"",TODAY()&gt;G1454),TODAY()-G1454,0)</x:f>
        <x:v>0</x:v>
      </x:c>
      <x:c r="N1454" s="24" t="str">
        <x:f>IF(J1454&gt;0,"미수",IF(AND(H1454&gt;0,I1454&gt;=H1454),"완납","미확인"))</x:f>
        <x:v>완납</x:v>
      </x:c>
      <x:c r="O1454" s="31" t="n">
        <x:v>70</x:v>
      </x:c>
    </x:row>
    <x:row r="1455" ht="17.25" customHeight="1">
      <x:c r="A1455" s="24" t="str">
        <x:v>SW-B-104버2190-202503</x:v>
      </x:c>
      <x:c r="B1455" s="24" t="str">
        <x:v>스위치플랜</x:v>
      </x:c>
      <x:c r="C1455" s="24" t="str">
        <x:v>SW-C-104버2190-1-20240809-71</x:v>
      </x:c>
      <x:c r="D1455" s="24" t="str">
        <x:v>104버2190</x:v>
      </x:c>
      <x:c r="E1455" s="24" t="str">
        <x:v>박지혜</x:v>
      </x:c>
      <x:c r="F1455" s="24" t="str">
        <x:v>2025-03</x:v>
      </x:c>
      <x:c r="G1455" s="30" t="n">
        <x:v>45726</x:v>
      </x:c>
      <x:c r="H1455" s="32" t="n">
        <x:v>1340000</x:v>
      </x:c>
      <x:c r="I1455" s="32" t="n">
        <x:v>1340000</x:v>
      </x:c>
      <x:c r="J1455" s="32" t="n">
        <x:v>0</x:v>
      </x:c>
      <x:c r="K1455" s="30" t="n">
        <x:v>45726</x:v>
      </x:c>
      <x:c r="L1455" s="24" t="str">
        <x:v>자동</x:v>
      </x:c>
      <x:c r="M1455" s="31" t="n">
        <x:f>IF(AND(N1455="미수",G1455&lt;&gt;"",TODAY()&gt;G1455),TODAY()-G1455,0)</x:f>
        <x:v>0</x:v>
      </x:c>
      <x:c r="N1455" s="24" t="str">
        <x:f>IF(J1455&gt;0,"미수",IF(AND(H1455&gt;0,I1455&gt;=H1455),"완납","미확인"))</x:f>
        <x:v>완납</x:v>
      </x:c>
      <x:c r="O1455" s="31" t="n">
        <x:v>70</x:v>
      </x:c>
    </x:row>
    <x:row r="1456" ht="17.25" customHeight="1">
      <x:c r="A1456" s="24" t="str">
        <x:v>SW-B-104버2190-202502</x:v>
      </x:c>
      <x:c r="B1456" s="24" t="str">
        <x:v>스위치플랜</x:v>
      </x:c>
      <x:c r="C1456" s="24" t="str">
        <x:v>SW-C-104버2190-1-20240809-71</x:v>
      </x:c>
      <x:c r="D1456" s="24" t="str">
        <x:v>104버2190</x:v>
      </x:c>
      <x:c r="E1456" s="24" t="str">
        <x:v>박지혜</x:v>
      </x:c>
      <x:c r="F1456" s="24" t="str">
        <x:v>2025-02</x:v>
      </x:c>
      <x:c r="G1456" s="30" t="n">
        <x:v>45698</x:v>
      </x:c>
      <x:c r="H1456" s="32" t="n">
        <x:v>1340000</x:v>
      </x:c>
      <x:c r="I1456" s="32" t="n">
        <x:v>1340000</x:v>
      </x:c>
      <x:c r="J1456" s="32" t="n">
        <x:v>0</x:v>
      </x:c>
      <x:c r="K1456" s="30" t="n">
        <x:v>45700</x:v>
      </x:c>
      <x:c r="L1456" s="24" t="str">
        <x:v>입금</x:v>
      </x:c>
      <x:c r="M1456" s="31" t="n">
        <x:f>IF(AND(N1456="미수",G1456&lt;&gt;"",TODAY()&gt;G1456),TODAY()-G1456,0)</x:f>
        <x:v>0</x:v>
      </x:c>
      <x:c r="N1456" s="24" t="str">
        <x:f>IF(J1456&gt;0,"미수",IF(AND(H1456&gt;0,I1456&gt;=H1456),"완납","미확인"))</x:f>
        <x:v>완납</x:v>
      </x:c>
      <x:c r="O1456" s="31" t="n">
        <x:v>70</x:v>
      </x:c>
    </x:row>
    <x:row r="1457" ht="17.25" customHeight="1">
      <x:c r="A1457" s="24" t="str">
        <x:v>SW-B-104버2190-202501</x:v>
      </x:c>
      <x:c r="B1457" s="24" t="str">
        <x:v>스위치플랜</x:v>
      </x:c>
      <x:c r="C1457" s="24" t="str">
        <x:v>SW-C-104버2190-1-20240809-71</x:v>
      </x:c>
      <x:c r="D1457" s="24" t="str">
        <x:v>104버2190</x:v>
      </x:c>
      <x:c r="E1457" s="24" t="str">
        <x:v>박지혜</x:v>
      </x:c>
      <x:c r="F1457" s="24" t="str">
        <x:v>2025-01</x:v>
      </x:c>
      <x:c r="G1457" s="30" t="n">
        <x:v>45667</x:v>
      </x:c>
      <x:c r="H1457" s="32" t="n">
        <x:v>1340000</x:v>
      </x:c>
      <x:c r="I1457" s="32" t="n">
        <x:v>1340000</x:v>
      </x:c>
      <x:c r="J1457" s="32" t="n">
        <x:v>0</x:v>
      </x:c>
      <x:c r="K1457" s="30" t="n">
        <x:v>45667</x:v>
      </x:c>
      <x:c r="L1457" s="24" t="str">
        <x:v>자동</x:v>
      </x:c>
      <x:c r="M1457" s="31" t="n">
        <x:f>IF(AND(N1457="미수",G1457&lt;&gt;"",TODAY()&gt;G1457),TODAY()-G1457,0)</x:f>
        <x:v>0</x:v>
      </x:c>
      <x:c r="N1457" s="24" t="str">
        <x:f>IF(J1457&gt;0,"미수",IF(AND(H1457&gt;0,I1457&gt;=H1457),"완납","미확인"))</x:f>
        <x:v>완납</x:v>
      </x:c>
      <x:c r="O1457" s="31" t="n">
        <x:v>70</x:v>
      </x:c>
    </x:row>
    <x:row r="1458" ht="17.25" customHeight="1">
      <x:c r="A1458" s="24" t="str">
        <x:v>SW-B-104버2190-202412</x:v>
      </x:c>
      <x:c r="B1458" s="24" t="str">
        <x:v>스위치플랜</x:v>
      </x:c>
      <x:c r="C1458" s="24" t="str">
        <x:v>SW-C-104버2190-1-20240809-71</x:v>
      </x:c>
      <x:c r="D1458" s="24" t="str">
        <x:v>104버2190</x:v>
      </x:c>
      <x:c r="E1458" s="24" t="str">
        <x:v>박지혜</x:v>
      </x:c>
      <x:c r="F1458" s="24" t="str">
        <x:v>2024-12</x:v>
      </x:c>
      <x:c r="G1458" s="30" t="n">
        <x:v>45636</x:v>
      </x:c>
      <x:c r="H1458" s="32" t="n">
        <x:v>1340000</x:v>
      </x:c>
      <x:c r="I1458" s="32" t="n">
        <x:v>1340000</x:v>
      </x:c>
      <x:c r="J1458" s="32" t="n">
        <x:v>0</x:v>
      </x:c>
      <x:c r="K1458" s="30" t="n">
        <x:v>45636</x:v>
      </x:c>
      <x:c r="L1458" s="24" t="str">
        <x:v>자동</x:v>
      </x:c>
      <x:c r="M1458" s="31" t="n">
        <x:f>IF(AND(N1458="미수",G1458&lt;&gt;"",TODAY()&gt;G1458),TODAY()-G1458,0)</x:f>
        <x:v>0</x:v>
      </x:c>
      <x:c r="N1458" s="24" t="str">
        <x:f>IF(J1458&gt;0,"미수",IF(AND(H1458&gt;0,I1458&gt;=H1458),"완납","미확인"))</x:f>
        <x:v>완납</x:v>
      </x:c>
      <x:c r="O1458" s="31" t="n">
        <x:v>70</x:v>
      </x:c>
    </x:row>
    <x:row r="1459" ht="17.25" customHeight="1">
      <x:c r="A1459" s="24" t="str">
        <x:v>SW-B-104버2190-202411</x:v>
      </x:c>
      <x:c r="B1459" s="24" t="str">
        <x:v>스위치플랜</x:v>
      </x:c>
      <x:c r="C1459" s="24" t="str">
        <x:v>SW-C-104버2190-1-20240809-71</x:v>
      </x:c>
      <x:c r="D1459" s="24" t="str">
        <x:v>104버2190</x:v>
      </x:c>
      <x:c r="E1459" s="24" t="str">
        <x:v>박지혜</x:v>
      </x:c>
      <x:c r="F1459" s="24" t="str">
        <x:v>2024-11</x:v>
      </x:c>
      <x:c r="G1459" s="30" t="n">
        <x:v>45606</x:v>
      </x:c>
      <x:c r="H1459" s="32" t="n">
        <x:v>1340000</x:v>
      </x:c>
      <x:c r="I1459" s="32" t="n">
        <x:v>1340000</x:v>
      </x:c>
      <x:c r="J1459" s="32" t="n">
        <x:v>0</x:v>
      </x:c>
      <x:c r="K1459" s="30" t="n">
        <x:v>45607</x:v>
      </x:c>
      <x:c r="L1459" s="24" t="str">
        <x:v>자동</x:v>
      </x:c>
      <x:c r="M1459" s="31" t="n">
        <x:f>IF(AND(N1459="미수",G1459&lt;&gt;"",TODAY()&gt;G1459),TODAY()-G1459,0)</x:f>
        <x:v>0</x:v>
      </x:c>
      <x:c r="N1459" s="24" t="str">
        <x:f>IF(J1459&gt;0,"미수",IF(AND(H1459&gt;0,I1459&gt;=H1459),"완납","미확인"))</x:f>
        <x:v>완납</x:v>
      </x:c>
      <x:c r="O1459" s="31" t="n">
        <x:v>70</x:v>
      </x:c>
    </x:row>
    <x:row r="1460" ht="17.25" customHeight="1">
      <x:c r="A1460" s="24" t="str">
        <x:v>SW-B-104버2190-202410</x:v>
      </x:c>
      <x:c r="B1460" s="24" t="str">
        <x:v>스위치플랜</x:v>
      </x:c>
      <x:c r="C1460" s="24" t="str">
        <x:v>SW-C-104버2190-1-20240809-71</x:v>
      </x:c>
      <x:c r="D1460" s="24" t="str">
        <x:v>104버2190</x:v>
      </x:c>
      <x:c r="E1460" s="24" t="str">
        <x:v>박지혜</x:v>
      </x:c>
      <x:c r="F1460" s="24" t="str">
        <x:v>2024-10</x:v>
      </x:c>
      <x:c r="G1460" s="30" t="n">
        <x:v>45575</x:v>
      </x:c>
      <x:c r="H1460" s="32" t="n">
        <x:v>1340000</x:v>
      </x:c>
      <x:c r="I1460" s="32" t="n">
        <x:v>1340000</x:v>
      </x:c>
      <x:c r="J1460" s="32" t="n">
        <x:v>0</x:v>
      </x:c>
      <x:c r="K1460" s="30" t="n">
        <x:v>45575</x:v>
      </x:c>
      <x:c r="L1460" s="24" t="str">
        <x:v>자동</x:v>
      </x:c>
      <x:c r="M1460" s="31" t="n">
        <x:f>IF(AND(N1460="미수",G1460&lt;&gt;"",TODAY()&gt;G1460),TODAY()-G1460,0)</x:f>
        <x:v>0</x:v>
      </x:c>
      <x:c r="N1460" s="24" t="str">
        <x:f>IF(J1460&gt;0,"미수",IF(AND(H1460&gt;0,I1460&gt;=H1460),"완납","미확인"))</x:f>
        <x:v>완납</x:v>
      </x:c>
      <x:c r="O1460" s="31" t="n">
        <x:v>70</x:v>
      </x:c>
    </x:row>
    <x:row r="1461" ht="17.25" customHeight="1">
      <x:c r="A1461" s="24" t="str">
        <x:v>SW-B-104버2190-202409</x:v>
      </x:c>
      <x:c r="B1461" s="24" t="str">
        <x:v>스위치플랜</x:v>
      </x:c>
      <x:c r="C1461" s="24" t="str">
        <x:v>SW-C-104버2190-1-20240809-71</x:v>
      </x:c>
      <x:c r="D1461" s="24" t="str">
        <x:v>104버2190</x:v>
      </x:c>
      <x:c r="E1461" s="24" t="str">
        <x:v>박지혜</x:v>
      </x:c>
      <x:c r="F1461" s="24" t="str">
        <x:v>2024-09</x:v>
      </x:c>
      <x:c r="G1461" s="30" t="n">
        <x:v>45545</x:v>
      </x:c>
      <x:c r="H1461" s="32" t="n">
        <x:v>1340000</x:v>
      </x:c>
      <x:c r="I1461" s="32" t="n">
        <x:v>1340000</x:v>
      </x:c>
      <x:c r="J1461" s="32" t="n">
        <x:v>0</x:v>
      </x:c>
      <x:c r="K1461" s="30" t="n">
        <x:v>45545</x:v>
      </x:c>
      <x:c r="L1461" s="24" t="str">
        <x:v>자동</x:v>
      </x:c>
      <x:c r="M1461" s="31" t="n">
        <x:f>IF(AND(N1461="미수",G1461&lt;&gt;"",TODAY()&gt;G1461),TODAY()-G1461,0)</x:f>
        <x:v>0</x:v>
      </x:c>
      <x:c r="N1461" s="24" t="str">
        <x:f>IF(J1461&gt;0,"미수",IF(AND(H1461&gt;0,I1461&gt;=H1461),"완납","미확인"))</x:f>
        <x:v>완납</x:v>
      </x:c>
      <x:c r="O1461" s="31" t="n">
        <x:v>70</x:v>
      </x:c>
    </x:row>
    <x:row r="1462" ht="17.25" customHeight="1">
      <x:c r="A1462" s="24" t="str">
        <x:v>SW-B-104버2190-202408</x:v>
      </x:c>
      <x:c r="B1462" s="24" t="str">
        <x:v>스위치플랜</x:v>
      </x:c>
      <x:c r="C1462" s="24" t="str">
        <x:v>SW-C-104버2190-1-20240809-71</x:v>
      </x:c>
      <x:c r="D1462" s="24" t="str">
        <x:v>104버2190</x:v>
      </x:c>
      <x:c r="E1462" s="24" t="str">
        <x:v>박지혜</x:v>
      </x:c>
      <x:c r="F1462" s="24" t="str">
        <x:v>2024-08</x:v>
      </x:c>
      <x:c r="G1462" s="30" t="n">
        <x:v>45514</x:v>
      </x:c>
      <x:c r="H1462" s="32" t="n">
        <x:v>1340000</x:v>
      </x:c>
      <x:c r="I1462" s="32" t="n">
        <x:v>1340000</x:v>
      </x:c>
      <x:c r="J1462" s="32" t="n">
        <x:v>0</x:v>
      </x:c>
      <x:c r="K1462" s="30" t="n">
        <x:v>45485</x:v>
      </x:c>
      <x:c r="L1462" s="24" t="str">
        <x:v>입금</x:v>
      </x:c>
      <x:c r="M1462" s="31" t="n">
        <x:f>IF(AND(N1462="미수",G1462&lt;&gt;"",TODAY()&gt;G1462),TODAY()-G1462,0)</x:f>
        <x:v>0</x:v>
      </x:c>
      <x:c r="N1462" s="24" t="str">
        <x:f>IF(J1462&gt;0,"미수",IF(AND(H1462&gt;0,I1462&gt;=H1462),"완납","미확인"))</x:f>
        <x:v>완납</x:v>
      </x:c>
      <x:c r="O1462" s="31" t="n">
        <x:v>70</x:v>
      </x:c>
    </x:row>
    <x:row r="1463" ht="17.25" customHeight="1">
      <x:c r="A1463" s="24" t="str">
        <x:v>SW-B-155라6323-202608</x:v>
      </x:c>
      <x:c r="B1463" s="24" t="str">
        <x:v>스위치플랜</x:v>
      </x:c>
      <x:c r="C1463" s="24" t="str">
        <x:v>SW-C-155라6323-1-20250210-72</x:v>
      </x:c>
      <x:c r="D1463" s="24" t="str">
        <x:v>155라6323</x:v>
      </x:c>
      <x:c r="E1463" s="24" t="str">
        <x:v>장준</x:v>
      </x:c>
      <x:c r="F1463" s="24" t="str">
        <x:v>2026-08</x:v>
      </x:c>
      <x:c r="G1463" s="30" t="n">
        <x:v>46254</x:v>
      </x:c>
      <x:c r="H1463" s="32" t="n">
        <x:v>1320000</x:v>
      </x:c>
      <x:c r="I1463" s="32"/>
      <x:c r="J1463" s="32" t="n">
        <x:v>2640000</x:v>
      </x:c>
      <x:c r="K1463" s="30"/>
      <x:c r="L1463" s="24" t="str"/>
      <x:c r="M1463" s="31" t="n">
        <x:f>IF(AND(N1463="미수",G1463&lt;&gt;"",TODAY()&gt;G1463),TODAY()-G1463,0)</x:f>
        <x:v>0</x:v>
      </x:c>
      <x:c r="N1463" s="24" t="str">
        <x:f>IF(J1463&gt;0,"미수",IF(AND(H1463&gt;0,I1463&gt;=H1463),"완납","미확인"))</x:f>
        <x:v>미수</x:v>
      </x:c>
      <x:c r="O1463" s="31" t="n">
        <x:v>71</x:v>
      </x:c>
    </x:row>
    <x:row r="1464" ht="17.25" customHeight="1">
      <x:c r="A1464" s="24" t="str">
        <x:v>SW-B-155라6323-202607</x:v>
      </x:c>
      <x:c r="B1464" s="24" t="str">
        <x:v>스위치플랜</x:v>
      </x:c>
      <x:c r="C1464" s="24" t="str">
        <x:v>SW-C-155라6323-1-20250210-72</x:v>
      </x:c>
      <x:c r="D1464" s="24" t="str">
        <x:v>155라6323</x:v>
      </x:c>
      <x:c r="E1464" s="24" t="str">
        <x:v>장준</x:v>
      </x:c>
      <x:c r="F1464" s="24" t="str">
        <x:v>2026-07</x:v>
      </x:c>
      <x:c r="G1464" s="30" t="n">
        <x:v>46223</x:v>
      </x:c>
      <x:c r="H1464" s="32" t="n">
        <x:v>1320000</x:v>
      </x:c>
      <x:c r="I1464" s="32" t="n">
        <x:v>1320000</x:v>
      </x:c>
      <x:c r="J1464" s="32" t="n">
        <x:v>1320000</x:v>
      </x:c>
      <x:c r="K1464" s="30" t="n">
        <x:v>46228</x:v>
      </x:c>
      <x:c r="L1464" s="24" t="str">
        <x:v>입금</x:v>
      </x:c>
      <x:c r="M1464" s="31" t="n">
        <x:f>IF(AND(N1464="미수",G1464&lt;&gt;"",TODAY()&gt;G1464),TODAY()-G1464,0)</x:f>
        <x:v>26</x:v>
      </x:c>
      <x:c r="N1464" s="24" t="str">
        <x:f>IF(J1464&gt;0,"미수",IF(AND(H1464&gt;0,I1464&gt;=H1464),"완납","미확인"))</x:f>
        <x:v>미수</x:v>
      </x:c>
      <x:c r="O1464" s="31" t="n">
        <x:v>71</x:v>
      </x:c>
    </x:row>
    <x:row r="1465" ht="17.25" customHeight="1">
      <x:c r="A1465" s="24" t="str">
        <x:v>SW-B-155라6323-202606</x:v>
      </x:c>
      <x:c r="B1465" s="24" t="str">
        <x:v>스위치플랜</x:v>
      </x:c>
      <x:c r="C1465" s="24" t="str">
        <x:v>SW-C-155라6323-1-20250210-72</x:v>
      </x:c>
      <x:c r="D1465" s="24" t="str">
        <x:v>155라6323</x:v>
      </x:c>
      <x:c r="E1465" s="24" t="str">
        <x:v>장준</x:v>
      </x:c>
      <x:c r="F1465" s="24" t="str">
        <x:v>2026-06</x:v>
      </x:c>
      <x:c r="G1465" s="30" t="n">
        <x:v>46193</x:v>
      </x:c>
      <x:c r="H1465" s="32" t="n">
        <x:v>1320000</x:v>
      </x:c>
      <x:c r="I1465" s="32"/>
      <x:c r="J1465" s="32" t="n">
        <x:v>1320000</x:v>
      </x:c>
      <x:c r="K1465" s="30"/>
      <x:c r="L1465" s="24" t="str"/>
      <x:c r="M1465" s="31" t="n">
        <x:f>IF(AND(N1465="미수",G1465&lt;&gt;"",TODAY()&gt;G1465),TODAY()-G1465,0)</x:f>
        <x:v>56</x:v>
      </x:c>
      <x:c r="N1465" s="24" t="str">
        <x:f>IF(J1465&gt;0,"미수",IF(AND(H1465&gt;0,I1465&gt;=H1465),"완납","미확인"))</x:f>
        <x:v>미수</x:v>
      </x:c>
      <x:c r="O1465" s="31" t="n">
        <x:v>71</x:v>
      </x:c>
    </x:row>
    <x:row r="1466" ht="17.25" customHeight="1">
      <x:c r="A1466" s="24" t="str">
        <x:v>SW-B-155라6323-202605</x:v>
      </x:c>
      <x:c r="B1466" s="24" t="str">
        <x:v>스위치플랜</x:v>
      </x:c>
      <x:c r="C1466" s="24" t="str">
        <x:v>SW-C-155라6323-1-20250210-72</x:v>
      </x:c>
      <x:c r="D1466" s="24" t="str">
        <x:v>155라6323</x:v>
      </x:c>
      <x:c r="E1466" s="24" t="str">
        <x:v>장준</x:v>
      </x:c>
      <x:c r="F1466" s="24" t="str">
        <x:v>2026-05</x:v>
      </x:c>
      <x:c r="G1466" s="30" t="n">
        <x:v>46162</x:v>
      </x:c>
      <x:c r="H1466" s="32" t="n">
        <x:v>1320000</x:v>
      </x:c>
      <x:c r="I1466" s="32" t="n">
        <x:v>1320000</x:v>
      </x:c>
      <x:c r="J1466" s="32" t="n">
        <x:v>0</x:v>
      </x:c>
      <x:c r="K1466" s="30" t="n">
        <x:v>46163</x:v>
      </x:c>
      <x:c r="L1466" s="24" t="str">
        <x:v>입금</x:v>
      </x:c>
      <x:c r="M1466" s="31" t="n">
        <x:f>IF(AND(N1466="미수",G1466&lt;&gt;"",TODAY()&gt;G1466),TODAY()-G1466,0)</x:f>
        <x:v>0</x:v>
      </x:c>
      <x:c r="N1466" s="24" t="str">
        <x:f>IF(J1466&gt;0,"미수",IF(AND(H1466&gt;0,I1466&gt;=H1466),"완납","미확인"))</x:f>
        <x:v>완납</x:v>
      </x:c>
      <x:c r="O1466" s="31" t="n">
        <x:v>71</x:v>
      </x:c>
    </x:row>
    <x:row r="1467" ht="17.25" customHeight="1">
      <x:c r="A1467" s="24" t="str">
        <x:v>SW-B-155라6323-202604</x:v>
      </x:c>
      <x:c r="B1467" s="24" t="str">
        <x:v>스위치플랜</x:v>
      </x:c>
      <x:c r="C1467" s="24" t="str">
        <x:v>SW-C-155라6323-1-20250210-72</x:v>
      </x:c>
      <x:c r="D1467" s="24" t="str">
        <x:v>155라6323</x:v>
      </x:c>
      <x:c r="E1467" s="24" t="str">
        <x:v>장준</x:v>
      </x:c>
      <x:c r="F1467" s="24" t="str">
        <x:v>2026-04</x:v>
      </x:c>
      <x:c r="G1467" s="30" t="n">
        <x:v>46132</x:v>
      </x:c>
      <x:c r="H1467" s="32" t="n">
        <x:v>1320000</x:v>
      </x:c>
      <x:c r="I1467" s="32" t="n">
        <x:v>1320000</x:v>
      </x:c>
      <x:c r="J1467" s="32" t="n">
        <x:v>0</x:v>
      </x:c>
      <x:c r="K1467" s="30" t="n">
        <x:v>46133</x:v>
      </x:c>
      <x:c r="L1467" s="24" t="str">
        <x:v>입금</x:v>
      </x:c>
      <x:c r="M1467" s="31" t="n">
        <x:f>IF(AND(N1467="미수",G1467&lt;&gt;"",TODAY()&gt;G1467),TODAY()-G1467,0)</x:f>
        <x:v>0</x:v>
      </x:c>
      <x:c r="N1467" s="24" t="str">
        <x:f>IF(J1467&gt;0,"미수",IF(AND(H1467&gt;0,I1467&gt;=H1467),"완납","미확인"))</x:f>
        <x:v>완납</x:v>
      </x:c>
      <x:c r="O1467" s="31" t="n">
        <x:v>71</x:v>
      </x:c>
    </x:row>
    <x:row r="1468" ht="17.25" customHeight="1">
      <x:c r="A1468" s="24" t="str">
        <x:v>SW-B-155라6323-202603</x:v>
      </x:c>
      <x:c r="B1468" s="24" t="str">
        <x:v>스위치플랜</x:v>
      </x:c>
      <x:c r="C1468" s="24" t="str">
        <x:v>SW-C-155라6323-1-20250210-72</x:v>
      </x:c>
      <x:c r="D1468" s="24" t="str">
        <x:v>155라6323</x:v>
      </x:c>
      <x:c r="E1468" s="24" t="str">
        <x:v>장준</x:v>
      </x:c>
      <x:c r="F1468" s="24" t="str">
        <x:v>2026-03</x:v>
      </x:c>
      <x:c r="G1468" s="30" t="n">
        <x:v>46101</x:v>
      </x:c>
      <x:c r="H1468" s="32" t="n">
        <x:v>1320000</x:v>
      </x:c>
      <x:c r="I1468" s="32" t="n">
        <x:v>1320000</x:v>
      </x:c>
      <x:c r="J1468" s="32" t="n">
        <x:v>0</x:v>
      </x:c>
      <x:c r="K1468" s="30" t="n">
        <x:v>46104</x:v>
      </x:c>
      <x:c r="L1468" s="24" t="str">
        <x:v>입금</x:v>
      </x:c>
      <x:c r="M1468" s="31" t="n">
        <x:f>IF(AND(N1468="미수",G1468&lt;&gt;"",TODAY()&gt;G1468),TODAY()-G1468,0)</x:f>
        <x:v>0</x:v>
      </x:c>
      <x:c r="N1468" s="24" t="str">
        <x:f>IF(J1468&gt;0,"미수",IF(AND(H1468&gt;0,I1468&gt;=H1468),"완납","미확인"))</x:f>
        <x:v>완납</x:v>
      </x:c>
      <x:c r="O1468" s="31" t="n">
        <x:v>71</x:v>
      </x:c>
    </x:row>
    <x:row r="1469" ht="17.25" customHeight="1">
      <x:c r="A1469" s="24" t="str">
        <x:v>SW-B-155라6323-202602</x:v>
      </x:c>
      <x:c r="B1469" s="24" t="str">
        <x:v>스위치플랜</x:v>
      </x:c>
      <x:c r="C1469" s="24" t="str">
        <x:v>SW-C-155라6323-1-20250210-72</x:v>
      </x:c>
      <x:c r="D1469" s="24" t="str">
        <x:v>155라6323</x:v>
      </x:c>
      <x:c r="E1469" s="24" t="str">
        <x:v>장준</x:v>
      </x:c>
      <x:c r="F1469" s="24" t="str">
        <x:v>2026-02</x:v>
      </x:c>
      <x:c r="G1469" s="30" t="n">
        <x:v>46073</x:v>
      </x:c>
      <x:c r="H1469" s="32" t="n">
        <x:v>1320000</x:v>
      </x:c>
      <x:c r="I1469" s="32" t="n">
        <x:v>1320000</x:v>
      </x:c>
      <x:c r="J1469" s="32" t="n">
        <x:v>0</x:v>
      </x:c>
      <x:c r="K1469" s="30" t="n">
        <x:v>46075</x:v>
      </x:c>
      <x:c r="L1469" s="24" t="str">
        <x:v>입금</x:v>
      </x:c>
      <x:c r="M1469" s="31" t="n">
        <x:f>IF(AND(N1469="미수",G1469&lt;&gt;"",TODAY()&gt;G1469),TODAY()-G1469,0)</x:f>
        <x:v>0</x:v>
      </x:c>
      <x:c r="N1469" s="24" t="str">
        <x:f>IF(J1469&gt;0,"미수",IF(AND(H1469&gt;0,I1469&gt;=H1469),"완납","미확인"))</x:f>
        <x:v>완납</x:v>
      </x:c>
      <x:c r="O1469" s="31" t="n">
        <x:v>71</x:v>
      </x:c>
    </x:row>
    <x:row r="1470" ht="17.25" customHeight="1">
      <x:c r="A1470" s="24" t="str">
        <x:v>SW-B-155라6323-202601</x:v>
      </x:c>
      <x:c r="B1470" s="24" t="str">
        <x:v>스위치플랜</x:v>
      </x:c>
      <x:c r="C1470" s="24" t="str">
        <x:v>SW-C-155라6323-1-20250210-72</x:v>
      </x:c>
      <x:c r="D1470" s="24" t="str">
        <x:v>155라6323</x:v>
      </x:c>
      <x:c r="E1470" s="24" t="str">
        <x:v>장준</x:v>
      </x:c>
      <x:c r="F1470" s="24" t="str">
        <x:v>2026-01</x:v>
      </x:c>
      <x:c r="G1470" s="30" t="n">
        <x:v>46042</x:v>
      </x:c>
      <x:c r="H1470" s="32" t="n">
        <x:v>1320000</x:v>
      </x:c>
      <x:c r="I1470" s="32" t="n">
        <x:v>1320000</x:v>
      </x:c>
      <x:c r="J1470" s="32" t="n">
        <x:v>0</x:v>
      </x:c>
      <x:c r="K1470" s="30" t="n">
        <x:v>46043</x:v>
      </x:c>
      <x:c r="L1470" s="24" t="str">
        <x:v>입금</x:v>
      </x:c>
      <x:c r="M1470" s="31" t="n">
        <x:f>IF(AND(N1470="미수",G1470&lt;&gt;"",TODAY()&gt;G1470),TODAY()-G1470,0)</x:f>
        <x:v>0</x:v>
      </x:c>
      <x:c r="N1470" s="24" t="str">
        <x:f>IF(J1470&gt;0,"미수",IF(AND(H1470&gt;0,I1470&gt;=H1470),"완납","미확인"))</x:f>
        <x:v>완납</x:v>
      </x:c>
      <x:c r="O1470" s="31" t="n">
        <x:v>71</x:v>
      </x:c>
    </x:row>
    <x:row r="1471" ht="17.25" customHeight="1">
      <x:c r="A1471" s="24" t="str">
        <x:v>SW-B-155라6323-202512</x:v>
      </x:c>
      <x:c r="B1471" s="24" t="str">
        <x:v>스위치플랜</x:v>
      </x:c>
      <x:c r="C1471" s="24" t="str">
        <x:v>SW-C-155라6323-1-20250210-72</x:v>
      </x:c>
      <x:c r="D1471" s="24" t="str">
        <x:v>155라6323</x:v>
      </x:c>
      <x:c r="E1471" s="24" t="str">
        <x:v>장준</x:v>
      </x:c>
      <x:c r="F1471" s="24" t="str">
        <x:v>2025-12</x:v>
      </x:c>
      <x:c r="G1471" s="30" t="n">
        <x:v>46011</x:v>
      </x:c>
      <x:c r="H1471" s="32" t="n">
        <x:v>1320000</x:v>
      </x:c>
      <x:c r="I1471" s="32" t="n">
        <x:v>1320000</x:v>
      </x:c>
      <x:c r="J1471" s="32" t="n">
        <x:v>0</x:v>
      </x:c>
      <x:c r="K1471" s="30" t="n">
        <x:v>46012</x:v>
      </x:c>
      <x:c r="L1471" s="24" t="str">
        <x:v>입금</x:v>
      </x:c>
      <x:c r="M1471" s="31" t="n">
        <x:f>IF(AND(N1471="미수",G1471&lt;&gt;"",TODAY()&gt;G1471),TODAY()-G1471,0)</x:f>
        <x:v>0</x:v>
      </x:c>
      <x:c r="N1471" s="24" t="str">
        <x:f>IF(J1471&gt;0,"미수",IF(AND(H1471&gt;0,I1471&gt;=H1471),"완납","미확인"))</x:f>
        <x:v>완납</x:v>
      </x:c>
      <x:c r="O1471" s="31" t="n">
        <x:v>71</x:v>
      </x:c>
    </x:row>
    <x:row r="1472" ht="17.25" customHeight="1">
      <x:c r="A1472" s="24" t="str">
        <x:v>SW-B-155라6323-202511</x:v>
      </x:c>
      <x:c r="B1472" s="24" t="str">
        <x:v>스위치플랜</x:v>
      </x:c>
      <x:c r="C1472" s="24" t="str">
        <x:v>SW-C-155라6323-1-20250210-72</x:v>
      </x:c>
      <x:c r="D1472" s="24" t="str">
        <x:v>155라6323</x:v>
      </x:c>
      <x:c r="E1472" s="24" t="str">
        <x:v>장준</x:v>
      </x:c>
      <x:c r="F1472" s="24" t="str">
        <x:v>2025-11</x:v>
      </x:c>
      <x:c r="G1472" s="30" t="n">
        <x:v>45981</x:v>
      </x:c>
      <x:c r="H1472" s="32" t="n">
        <x:v>1320000</x:v>
      </x:c>
      <x:c r="I1472" s="32" t="n">
        <x:v>1320000</x:v>
      </x:c>
      <x:c r="J1472" s="32" t="n">
        <x:v>0</x:v>
      </x:c>
      <x:c r="K1472" s="30" t="n">
        <x:v>45982</x:v>
      </x:c>
      <x:c r="L1472" s="24" t="str">
        <x:v>입금</x:v>
      </x:c>
      <x:c r="M1472" s="31" t="n">
        <x:f>IF(AND(N1472="미수",G1472&lt;&gt;"",TODAY()&gt;G1472),TODAY()-G1472,0)</x:f>
        <x:v>0</x:v>
      </x:c>
      <x:c r="N1472" s="24" t="str">
        <x:f>IF(J1472&gt;0,"미수",IF(AND(H1472&gt;0,I1472&gt;=H1472),"완납","미확인"))</x:f>
        <x:v>완납</x:v>
      </x:c>
      <x:c r="O1472" s="31" t="n">
        <x:v>71</x:v>
      </x:c>
    </x:row>
    <x:row r="1473" ht="17.25" customHeight="1">
      <x:c r="A1473" s="24" t="str">
        <x:v>SW-B-155라6323-202510</x:v>
      </x:c>
      <x:c r="B1473" s="24" t="str">
        <x:v>스위치플랜</x:v>
      </x:c>
      <x:c r="C1473" s="24" t="str">
        <x:v>SW-C-155라6323-1-20250210-72</x:v>
      </x:c>
      <x:c r="D1473" s="24" t="str">
        <x:v>155라6323</x:v>
      </x:c>
      <x:c r="E1473" s="24" t="str">
        <x:v>장준</x:v>
      </x:c>
      <x:c r="F1473" s="24" t="str">
        <x:v>2025-10</x:v>
      </x:c>
      <x:c r="G1473" s="30" t="n">
        <x:v>45950</x:v>
      </x:c>
      <x:c r="H1473" s="32" t="n">
        <x:v>1320000</x:v>
      </x:c>
      <x:c r="I1473" s="32" t="n">
        <x:v>1320000</x:v>
      </x:c>
      <x:c r="J1473" s="32" t="n">
        <x:v>0</x:v>
      </x:c>
      <x:c r="K1473" s="30" t="n">
        <x:v>45951</x:v>
      </x:c>
      <x:c r="L1473" s="24" t="str">
        <x:v>입금</x:v>
      </x:c>
      <x:c r="M1473" s="31" t="n">
        <x:f>IF(AND(N1473="미수",G1473&lt;&gt;"",TODAY()&gt;G1473),TODAY()-G1473,0)</x:f>
        <x:v>0</x:v>
      </x:c>
      <x:c r="N1473" s="24" t="str">
        <x:f>IF(J1473&gt;0,"미수",IF(AND(H1473&gt;0,I1473&gt;=H1473),"완납","미확인"))</x:f>
        <x:v>완납</x:v>
      </x:c>
      <x:c r="O1473" s="31" t="n">
        <x:v>71</x:v>
      </x:c>
    </x:row>
    <x:row r="1474" ht="17.25" customHeight="1">
      <x:c r="A1474" s="24" t="str">
        <x:v>SW-B-155라6323-202509</x:v>
      </x:c>
      <x:c r="B1474" s="24" t="str">
        <x:v>스위치플랜</x:v>
      </x:c>
      <x:c r="C1474" s="24" t="str">
        <x:v>SW-C-155라6323-1-20250210-72</x:v>
      </x:c>
      <x:c r="D1474" s="24" t="str">
        <x:v>155라6323</x:v>
      </x:c>
      <x:c r="E1474" s="24" t="str">
        <x:v>장준</x:v>
      </x:c>
      <x:c r="F1474" s="24" t="str">
        <x:v>2025-09</x:v>
      </x:c>
      <x:c r="G1474" s="30" t="n">
        <x:v>45920</x:v>
      </x:c>
      <x:c r="H1474" s="32" t="n">
        <x:v>1320000</x:v>
      </x:c>
      <x:c r="I1474" s="32" t="n">
        <x:v>1320000</x:v>
      </x:c>
      <x:c r="J1474" s="32" t="n">
        <x:v>0</x:v>
      </x:c>
      <x:c r="K1474" s="30" t="n">
        <x:v>45922</x:v>
      </x:c>
      <x:c r="L1474" s="24" t="str">
        <x:v>입금</x:v>
      </x:c>
      <x:c r="M1474" s="31" t="n">
        <x:f>IF(AND(N1474="미수",G1474&lt;&gt;"",TODAY()&gt;G1474),TODAY()-G1474,0)</x:f>
        <x:v>0</x:v>
      </x:c>
      <x:c r="N1474" s="24" t="str">
        <x:f>IF(J1474&gt;0,"미수",IF(AND(H1474&gt;0,I1474&gt;=H1474),"완납","미확인"))</x:f>
        <x:v>완납</x:v>
      </x:c>
      <x:c r="O1474" s="31" t="n">
        <x:v>71</x:v>
      </x:c>
    </x:row>
    <x:row r="1475" ht="17.25" customHeight="1">
      <x:c r="A1475" s="24" t="str">
        <x:v>SW-B-155라6323-202508</x:v>
      </x:c>
      <x:c r="B1475" s="24" t="str">
        <x:v>스위치플랜</x:v>
      </x:c>
      <x:c r="C1475" s="24" t="str">
        <x:v>SW-C-155라6323-1-20250210-72</x:v>
      </x:c>
      <x:c r="D1475" s="24" t="str">
        <x:v>155라6323</x:v>
      </x:c>
      <x:c r="E1475" s="24" t="str">
        <x:v>장준</x:v>
      </x:c>
      <x:c r="F1475" s="24" t="str">
        <x:v>2025-08</x:v>
      </x:c>
      <x:c r="G1475" s="30" t="n">
        <x:v>45889</x:v>
      </x:c>
      <x:c r="H1475" s="32" t="n">
        <x:v>1320000</x:v>
      </x:c>
      <x:c r="I1475" s="32" t="n">
        <x:v>1320000</x:v>
      </x:c>
      <x:c r="J1475" s="32" t="n">
        <x:v>0</x:v>
      </x:c>
      <x:c r="K1475" s="30" t="n">
        <x:v>45890</x:v>
      </x:c>
      <x:c r="L1475" s="24" t="str">
        <x:v>입금</x:v>
      </x:c>
      <x:c r="M1475" s="31" t="n">
        <x:f>IF(AND(N1475="미수",G1475&lt;&gt;"",TODAY()&gt;G1475),TODAY()-G1475,0)</x:f>
        <x:v>0</x:v>
      </x:c>
      <x:c r="N1475" s="24" t="str">
        <x:f>IF(J1475&gt;0,"미수",IF(AND(H1475&gt;0,I1475&gt;=H1475),"완납","미확인"))</x:f>
        <x:v>완납</x:v>
      </x:c>
      <x:c r="O1475" s="31" t="n">
        <x:v>71</x:v>
      </x:c>
    </x:row>
    <x:row r="1476" ht="17.25" customHeight="1">
      <x:c r="A1476" s="24" t="str">
        <x:v>SW-B-155라6323-202507</x:v>
      </x:c>
      <x:c r="B1476" s="24" t="str">
        <x:v>스위치플랜</x:v>
      </x:c>
      <x:c r="C1476" s="24" t="str">
        <x:v>SW-C-155라6323-1-20250210-72</x:v>
      </x:c>
      <x:c r="D1476" s="24" t="str">
        <x:v>155라6323</x:v>
      </x:c>
      <x:c r="E1476" s="24" t="str">
        <x:v>장준</x:v>
      </x:c>
      <x:c r="F1476" s="24" t="str">
        <x:v>2025-07</x:v>
      </x:c>
      <x:c r="G1476" s="30" t="n">
        <x:v>45858</x:v>
      </x:c>
      <x:c r="H1476" s="32" t="n">
        <x:v>1320000</x:v>
      </x:c>
      <x:c r="I1476" s="32" t="n">
        <x:v>1320000</x:v>
      </x:c>
      <x:c r="J1476" s="32" t="n">
        <x:v>0</x:v>
      </x:c>
      <x:c r="K1476" s="30" t="n">
        <x:v>45859</x:v>
      </x:c>
      <x:c r="L1476" s="24" t="str">
        <x:v>입금</x:v>
      </x:c>
      <x:c r="M1476" s="31" t="n">
        <x:f>IF(AND(N1476="미수",G1476&lt;&gt;"",TODAY()&gt;G1476),TODAY()-G1476,0)</x:f>
        <x:v>0</x:v>
      </x:c>
      <x:c r="N1476" s="24" t="str">
        <x:f>IF(J1476&gt;0,"미수",IF(AND(H1476&gt;0,I1476&gt;=H1476),"완납","미확인"))</x:f>
        <x:v>완납</x:v>
      </x:c>
      <x:c r="O1476" s="31" t="n">
        <x:v>71</x:v>
      </x:c>
    </x:row>
    <x:row r="1477" ht="17.25" customHeight="1">
      <x:c r="A1477" s="24" t="str">
        <x:v>SW-B-155라6323-202506</x:v>
      </x:c>
      <x:c r="B1477" s="24" t="str">
        <x:v>스위치플랜</x:v>
      </x:c>
      <x:c r="C1477" s="24" t="str">
        <x:v>SW-C-155라6323-1-20250210-72</x:v>
      </x:c>
      <x:c r="D1477" s="24" t="str">
        <x:v>155라6323</x:v>
      </x:c>
      <x:c r="E1477" s="24" t="str">
        <x:v>장준</x:v>
      </x:c>
      <x:c r="F1477" s="24" t="str">
        <x:v>2025-06</x:v>
      </x:c>
      <x:c r="G1477" s="30" t="n">
        <x:v>45828</x:v>
      </x:c>
      <x:c r="H1477" s="32" t="n">
        <x:v>1320000</x:v>
      </x:c>
      <x:c r="I1477" s="32" t="n">
        <x:v>1320000</x:v>
      </x:c>
      <x:c r="J1477" s="32" t="n">
        <x:v>0</x:v>
      </x:c>
      <x:c r="K1477" s="30" t="n">
        <x:v>45829</x:v>
      </x:c>
      <x:c r="L1477" s="24" t="str">
        <x:v>입금</x:v>
      </x:c>
      <x:c r="M1477" s="31" t="n">
        <x:f>IF(AND(N1477="미수",G1477&lt;&gt;"",TODAY()&gt;G1477),TODAY()-G1477,0)</x:f>
        <x:v>0</x:v>
      </x:c>
      <x:c r="N1477" s="24" t="str">
        <x:f>IF(J1477&gt;0,"미수",IF(AND(H1477&gt;0,I1477&gt;=H1477),"완납","미확인"))</x:f>
        <x:v>완납</x:v>
      </x:c>
      <x:c r="O1477" s="31" t="n">
        <x:v>71</x:v>
      </x:c>
    </x:row>
    <x:row r="1478" ht="17.25" customHeight="1">
      <x:c r="A1478" s="24" t="str">
        <x:v>SW-B-155라6323-202505</x:v>
      </x:c>
      <x:c r="B1478" s="24" t="str">
        <x:v>스위치플랜</x:v>
      </x:c>
      <x:c r="C1478" s="24" t="str">
        <x:v>SW-C-155라6323-1-20250210-72</x:v>
      </x:c>
      <x:c r="D1478" s="24" t="str">
        <x:v>155라6323</x:v>
      </x:c>
      <x:c r="E1478" s="24" t="str">
        <x:v>장준</x:v>
      </x:c>
      <x:c r="F1478" s="24" t="str">
        <x:v>2025-05</x:v>
      </x:c>
      <x:c r="G1478" s="30" t="n">
        <x:v>45797</x:v>
      </x:c>
      <x:c r="H1478" s="32" t="n">
        <x:v>1320000</x:v>
      </x:c>
      <x:c r="I1478" s="32" t="n">
        <x:v>1320000</x:v>
      </x:c>
      <x:c r="J1478" s="32" t="n">
        <x:v>0</x:v>
      </x:c>
      <x:c r="K1478" s="30" t="n">
        <x:v>45798</x:v>
      </x:c>
      <x:c r="L1478" s="24" t="str">
        <x:v>입금</x:v>
      </x:c>
      <x:c r="M1478" s="31" t="n">
        <x:f>IF(AND(N1478="미수",G1478&lt;&gt;"",TODAY()&gt;G1478),TODAY()-G1478,0)</x:f>
        <x:v>0</x:v>
      </x:c>
      <x:c r="N1478" s="24" t="str">
        <x:f>IF(J1478&gt;0,"미수",IF(AND(H1478&gt;0,I1478&gt;=H1478),"완납","미확인"))</x:f>
        <x:v>완납</x:v>
      </x:c>
      <x:c r="O1478" s="31" t="n">
        <x:v>71</x:v>
      </x:c>
    </x:row>
    <x:row r="1479" ht="17.25" customHeight="1">
      <x:c r="A1479" s="24" t="str">
        <x:v>SW-B-155라6323-202504</x:v>
      </x:c>
      <x:c r="B1479" s="24" t="str">
        <x:v>스위치플랜</x:v>
      </x:c>
      <x:c r="C1479" s="24" t="str">
        <x:v>SW-C-155라6323-1-20250210-72</x:v>
      </x:c>
      <x:c r="D1479" s="24" t="str">
        <x:v>155라6323</x:v>
      </x:c>
      <x:c r="E1479" s="24" t="str">
        <x:v>장준</x:v>
      </x:c>
      <x:c r="F1479" s="24" t="str">
        <x:v>2025-04</x:v>
      </x:c>
      <x:c r="G1479" s="30" t="n">
        <x:v>45767</x:v>
      </x:c>
      <x:c r="H1479" s="32" t="n">
        <x:v>1320000</x:v>
      </x:c>
      <x:c r="I1479" s="32" t="n">
        <x:v>1320000</x:v>
      </x:c>
      <x:c r="J1479" s="32" t="n">
        <x:v>0</x:v>
      </x:c>
      <x:c r="K1479" s="30" t="n">
        <x:v>45768</x:v>
      </x:c>
      <x:c r="L1479" s="24" t="str">
        <x:v>입금</x:v>
      </x:c>
      <x:c r="M1479" s="31" t="n">
        <x:f>IF(AND(N1479="미수",G1479&lt;&gt;"",TODAY()&gt;G1479),TODAY()-G1479,0)</x:f>
        <x:v>0</x:v>
      </x:c>
      <x:c r="N1479" s="24" t="str">
        <x:f>IF(J1479&gt;0,"미수",IF(AND(H1479&gt;0,I1479&gt;=H1479),"완납","미확인"))</x:f>
        <x:v>완납</x:v>
      </x:c>
      <x:c r="O1479" s="31" t="n">
        <x:v>71</x:v>
      </x:c>
    </x:row>
    <x:row r="1480" ht="17.25" customHeight="1">
      <x:c r="A1480" s="24" t="str">
        <x:v>SW-B-155라6323-202503</x:v>
      </x:c>
      <x:c r="B1480" s="24" t="str">
        <x:v>스위치플랜</x:v>
      </x:c>
      <x:c r="C1480" s="24" t="str">
        <x:v>SW-C-155라6323-1-20250210-72</x:v>
      </x:c>
      <x:c r="D1480" s="24" t="str">
        <x:v>155라6323</x:v>
      </x:c>
      <x:c r="E1480" s="24" t="str">
        <x:v>장준</x:v>
      </x:c>
      <x:c r="F1480" s="24" t="str">
        <x:v>2025-03</x:v>
      </x:c>
      <x:c r="G1480" s="30" t="n">
        <x:v>45736</x:v>
      </x:c>
      <x:c r="H1480" s="32" t="n">
        <x:v>1760000</x:v>
      </x:c>
      <x:c r="I1480" s="32" t="n">
        <x:v>1760000</x:v>
      </x:c>
      <x:c r="J1480" s="32" t="n">
        <x:v>0</x:v>
      </x:c>
      <x:c r="K1480" s="30" t="n">
        <x:v>45736</x:v>
      </x:c>
      <x:c r="L1480" s="24" t="str">
        <x:v>입금</x:v>
      </x:c>
      <x:c r="M1480" s="31" t="n">
        <x:f>IF(AND(N1480="미수",G1480&lt;&gt;"",TODAY()&gt;G1480),TODAY()-G1480,0)</x:f>
        <x:v>0</x:v>
      </x:c>
      <x:c r="N1480" s="24" t="str">
        <x:f>IF(J1480&gt;0,"미수",IF(AND(H1480&gt;0,I1480&gt;=H1480),"완납","미확인"))</x:f>
        <x:v>완납</x:v>
      </x:c>
      <x:c r="O1480" s="31" t="n">
        <x:v>71</x:v>
      </x:c>
    </x:row>
    <x:row r="1481" ht="17.25" customHeight="1">
      <x:c r="A1481" s="24" t="str">
        <x:v>SW-B-155라6323-202502</x:v>
      </x:c>
      <x:c r="B1481" s="24" t="str">
        <x:v>스위치플랜</x:v>
      </x:c>
      <x:c r="C1481" s="24" t="str">
        <x:v>SW-C-155라6323-1-20250210-72</x:v>
      </x:c>
      <x:c r="D1481" s="24" t="str">
        <x:v>155라6323</x:v>
      </x:c>
      <x:c r="E1481" s="24" t="str">
        <x:v>장준</x:v>
      </x:c>
      <x:c r="F1481" s="24" t="str">
        <x:v>2025-02</x:v>
      </x:c>
      <x:c r="G1481" s="30" t="n">
        <x:v>45708</x:v>
      </x:c>
      <x:c r="H1481" s="32" t="n">
        <x:v>1320000</x:v>
      </x:c>
      <x:c r="I1481" s="32" t="n">
        <x:v>1320000</x:v>
      </x:c>
      <x:c r="J1481" s="32" t="n">
        <x:v>0</x:v>
      </x:c>
      <x:c r="K1481" s="30" t="n">
        <x:v>45693</x:v>
      </x:c>
      <x:c r="L1481" s="24" t="str">
        <x:v>입금</x:v>
      </x:c>
      <x:c r="M1481" s="31" t="n">
        <x:f>IF(AND(N1481="미수",G1481&lt;&gt;"",TODAY()&gt;G1481),TODAY()-G1481,0)</x:f>
        <x:v>0</x:v>
      </x:c>
      <x:c r="N1481" s="24" t="str">
        <x:f>IF(J1481&gt;0,"미수",IF(AND(H1481&gt;0,I1481&gt;=H1481),"완납","미확인"))</x:f>
        <x:v>완납</x:v>
      </x:c>
      <x:c r="O1481" s="31" t="n">
        <x:v>71</x:v>
      </x:c>
    </x:row>
    <x:row r="1482" ht="17.25" customHeight="1">
      <x:c r="A1482" s="24" t="str">
        <x:v>SW-B-325구9443-202608</x:v>
      </x:c>
      <x:c r="B1482" s="24" t="str">
        <x:v>스위치플랜</x:v>
      </x:c>
      <x:c r="C1482" s="24" t="str">
        <x:v>SW-C-325구9443-1-20250820-73</x:v>
      </x:c>
      <x:c r="D1482" s="24" t="str">
        <x:v>325구9443</x:v>
      </x:c>
      <x:c r="E1482" s="24" t="str">
        <x:v>최정훈</x:v>
      </x:c>
      <x:c r="F1482" s="24" t="str">
        <x:v>2026-08</x:v>
      </x:c>
      <x:c r="G1482" s="30" t="n">
        <x:v>46254</x:v>
      </x:c>
      <x:c r="H1482" s="32" t="n">
        <x:v>780000</x:v>
      </x:c>
      <x:c r="I1482" s="32" t="n">
        <x:v>270000</x:v>
      </x:c>
      <x:c r="J1482" s="32" t="n">
        <x:v>790000</x:v>
      </x:c>
      <x:c r="K1482" s="30" t="n">
        <x:v>46244</x:v>
      </x:c>
      <x:c r="L1482" s="24" t="str">
        <x:v>입금</x:v>
      </x:c>
      <x:c r="M1482" s="31" t="n">
        <x:f>IF(AND(N1482="미수",G1482&lt;&gt;"",TODAY()&gt;G1482),TODAY()-G1482,0)</x:f>
        <x:v>0</x:v>
      </x:c>
      <x:c r="N1482" s="24" t="str">
        <x:f>IF(J1482&gt;0,"미수",IF(AND(H1482&gt;0,I1482&gt;=H1482),"완납","미확인"))</x:f>
        <x:v>미수</x:v>
      </x:c>
      <x:c r="O1482" s="31" t="n">
        <x:v>72</x:v>
      </x:c>
    </x:row>
    <x:row r="1483" ht="17.25" customHeight="1">
      <x:c r="A1483" s="24" t="str">
        <x:v>SW-B-325구9443-202607</x:v>
      </x:c>
      <x:c r="B1483" s="24" t="str">
        <x:v>스위치플랜</x:v>
      </x:c>
      <x:c r="C1483" s="24" t="str">
        <x:v>SW-C-325구9443-1-20250820-73</x:v>
      </x:c>
      <x:c r="D1483" s="24" t="str">
        <x:v>325구9443</x:v>
      </x:c>
      <x:c r="E1483" s="24" t="str">
        <x:v>최정훈</x:v>
      </x:c>
      <x:c r="F1483" s="24" t="str">
        <x:v>2026-07</x:v>
      </x:c>
      <x:c r="G1483" s="30" t="n">
        <x:v>46223</x:v>
      </x:c>
      <x:c r="H1483" s="32" t="n">
        <x:v>780000</x:v>
      </x:c>
      <x:c r="I1483" s="32" t="n">
        <x:v>500000</x:v>
      </x:c>
      <x:c r="J1483" s="32" t="n">
        <x:v>280000</x:v>
      </x:c>
      <x:c r="K1483" s="30" t="n">
        <x:v>46224</x:v>
      </x:c>
      <x:c r="L1483" s="24" t="str">
        <x:v>입금</x:v>
      </x:c>
      <x:c r="M1483" s="31" t="n">
        <x:f>IF(AND(N1483="미수",G1483&lt;&gt;"",TODAY()&gt;G1483),TODAY()-G1483,0)</x:f>
        <x:v>26</x:v>
      </x:c>
      <x:c r="N1483" s="24" t="str">
        <x:f>IF(J1483&gt;0,"미수",IF(AND(H1483&gt;0,I1483&gt;=H1483),"완납","미확인"))</x:f>
        <x:v>미수</x:v>
      </x:c>
      <x:c r="O1483" s="31" t="n">
        <x:v>72</x:v>
      </x:c>
    </x:row>
    <x:row r="1484" ht="17.25" customHeight="1">
      <x:c r="A1484" s="24" t="str">
        <x:v>SW-B-325구9443-202606</x:v>
      </x:c>
      <x:c r="B1484" s="24" t="str">
        <x:v>스위치플랜</x:v>
      </x:c>
      <x:c r="C1484" s="24" t="str">
        <x:v>SW-C-325구9443-1-20250820-73</x:v>
      </x:c>
      <x:c r="D1484" s="24" t="str">
        <x:v>325구9443</x:v>
      </x:c>
      <x:c r="E1484" s="24" t="str">
        <x:v>최정훈</x:v>
      </x:c>
      <x:c r="F1484" s="24" t="str">
        <x:v>2026-06</x:v>
      </x:c>
      <x:c r="G1484" s="30" t="n">
        <x:v>46193</x:v>
      </x:c>
      <x:c r="H1484" s="32" t="n">
        <x:v>780000</x:v>
      </x:c>
      <x:c r="I1484" s="32" t="n">
        <x:v>780000</x:v>
      </x:c>
      <x:c r="J1484" s="32" t="n">
        <x:v>0</x:v>
      </x:c>
      <x:c r="K1484" s="30" t="n">
        <x:v>46195</x:v>
      </x:c>
      <x:c r="L1484" s="24" t="str">
        <x:v>입금</x:v>
      </x:c>
      <x:c r="M1484" s="31" t="n">
        <x:f>IF(AND(N1484="미수",G1484&lt;&gt;"",TODAY()&gt;G1484),TODAY()-G1484,0)</x:f>
        <x:v>0</x:v>
      </x:c>
      <x:c r="N1484" s="24" t="str">
        <x:f>IF(J1484&gt;0,"미수",IF(AND(H1484&gt;0,I1484&gt;=H1484),"완납","미확인"))</x:f>
        <x:v>완납</x:v>
      </x:c>
      <x:c r="O1484" s="31" t="n">
        <x:v>72</x:v>
      </x:c>
    </x:row>
    <x:row r="1485" ht="17.25" customHeight="1">
      <x:c r="A1485" s="24" t="str">
        <x:v>SW-B-325구9443-202605</x:v>
      </x:c>
      <x:c r="B1485" s="24" t="str">
        <x:v>스위치플랜</x:v>
      </x:c>
      <x:c r="C1485" s="24" t="str">
        <x:v>SW-C-325구9443-1-20250820-73</x:v>
      </x:c>
      <x:c r="D1485" s="24" t="str">
        <x:v>325구9443</x:v>
      </x:c>
      <x:c r="E1485" s="24" t="str">
        <x:v>최정훈</x:v>
      </x:c>
      <x:c r="F1485" s="24" t="str">
        <x:v>2026-05</x:v>
      </x:c>
      <x:c r="G1485" s="30" t="n">
        <x:v>46162</x:v>
      </x:c>
      <x:c r="H1485" s="32" t="n">
        <x:v>780000</x:v>
      </x:c>
      <x:c r="I1485" s="32" t="n">
        <x:v>780000</x:v>
      </x:c>
      <x:c r="J1485" s="32" t="n">
        <x:v>0</x:v>
      </x:c>
      <x:c r="K1485" s="30" t="n">
        <x:v>46162</x:v>
      </x:c>
      <x:c r="L1485" s="24" t="str">
        <x:v>입금</x:v>
      </x:c>
      <x:c r="M1485" s="31" t="n">
        <x:f>IF(AND(N1485="미수",G1485&lt;&gt;"",TODAY()&gt;G1485),TODAY()-G1485,0)</x:f>
        <x:v>0</x:v>
      </x:c>
      <x:c r="N1485" s="24" t="str">
        <x:f>IF(J1485&gt;0,"미수",IF(AND(H1485&gt;0,I1485&gt;=H1485),"완납","미확인"))</x:f>
        <x:v>완납</x:v>
      </x:c>
      <x:c r="O1485" s="31" t="n">
        <x:v>72</x:v>
      </x:c>
    </x:row>
    <x:row r="1486" ht="17.25" customHeight="1">
      <x:c r="A1486" s="24" t="str">
        <x:v>SW-B-325구9443-202604</x:v>
      </x:c>
      <x:c r="B1486" s="24" t="str">
        <x:v>스위치플랜</x:v>
      </x:c>
      <x:c r="C1486" s="24" t="str">
        <x:v>SW-C-325구9443-1-20250820-73</x:v>
      </x:c>
      <x:c r="D1486" s="24" t="str">
        <x:v>325구9443</x:v>
      </x:c>
      <x:c r="E1486" s="24" t="str">
        <x:v>최정훈</x:v>
      </x:c>
      <x:c r="F1486" s="24" t="str">
        <x:v>2026-04</x:v>
      </x:c>
      <x:c r="G1486" s="30" t="n">
        <x:v>46132</x:v>
      </x:c>
      <x:c r="H1486" s="32" t="n">
        <x:v>780000</x:v>
      </x:c>
      <x:c r="I1486" s="32" t="n">
        <x:v>1150000</x:v>
      </x:c>
      <x:c r="J1486" s="32" t="n">
        <x:v>0</x:v>
      </x:c>
      <x:c r="K1486" s="30" t="n">
        <x:v>46113</x:v>
      </x:c>
      <x:c r="L1486" s="24" t="str">
        <x:v>입금</x:v>
      </x:c>
      <x:c r="M1486" s="31" t="n">
        <x:f>IF(AND(N1486="미수",G1486&lt;&gt;"",TODAY()&gt;G1486),TODAY()-G1486,0)</x:f>
        <x:v>0</x:v>
      </x:c>
      <x:c r="N1486" s="24" t="str">
        <x:f>IF(J1486&gt;0,"미수",IF(AND(H1486&gt;0,I1486&gt;=H1486),"완납","미확인"))</x:f>
        <x:v>완납</x:v>
      </x:c>
      <x:c r="O1486" s="31" t="n">
        <x:v>72</x:v>
      </x:c>
    </x:row>
    <x:row r="1487" ht="17.25" customHeight="1">
      <x:c r="A1487" s="24" t="str">
        <x:v>SW-B-325구9443-202603</x:v>
      </x:c>
      <x:c r="B1487" s="24" t="str">
        <x:v>스위치플랜</x:v>
      </x:c>
      <x:c r="C1487" s="24" t="str">
        <x:v>SW-C-325구9443-1-20250820-73</x:v>
      </x:c>
      <x:c r="D1487" s="24" t="str">
        <x:v>325구9443</x:v>
      </x:c>
      <x:c r="E1487" s="24" t="str">
        <x:v>최정훈</x:v>
      </x:c>
      <x:c r="F1487" s="24" t="str">
        <x:v>2026-03</x:v>
      </x:c>
      <x:c r="G1487" s="30" t="n">
        <x:v>46101</x:v>
      </x:c>
      <x:c r="H1487" s="32" t="n">
        <x:v>780000</x:v>
      </x:c>
      <x:c r="I1487" s="32" t="n">
        <x:v>870000</x:v>
      </x:c>
      <x:c r="J1487" s="32" t="n">
        <x:v>370000</x:v>
      </x:c>
      <x:c r="K1487" s="30" t="n">
        <x:v>46085</x:v>
      </x:c>
      <x:c r="L1487" s="24" t="str">
        <x:v>입금</x:v>
      </x:c>
      <x:c r="M1487" s="31" t="n">
        <x:f>IF(AND(N1487="미수",G1487&lt;&gt;"",TODAY()&gt;G1487),TODAY()-G1487,0)</x:f>
        <x:v>148</x:v>
      </x:c>
      <x:c r="N1487" s="24" t="str">
        <x:f>IF(J1487&gt;0,"미수",IF(AND(H1487&gt;0,I1487&gt;=H1487),"완납","미확인"))</x:f>
        <x:v>미수</x:v>
      </x:c>
      <x:c r="O1487" s="31" t="n">
        <x:v>72</x:v>
      </x:c>
    </x:row>
    <x:row r="1488" ht="17.25" customHeight="1">
      <x:c r="A1488" s="24" t="str">
        <x:v>SW-B-325구9443-202602</x:v>
      </x:c>
      <x:c r="B1488" s="24" t="str">
        <x:v>스위치플랜</x:v>
      </x:c>
      <x:c r="C1488" s="24" t="str">
        <x:v>SW-C-325구9443-1-20250820-73</x:v>
      </x:c>
      <x:c r="D1488" s="24" t="str">
        <x:v>325구9443</x:v>
      </x:c>
      <x:c r="E1488" s="24" t="str">
        <x:v>최정훈</x:v>
      </x:c>
      <x:c r="F1488" s="24" t="str">
        <x:v>2026-02</x:v>
      </x:c>
      <x:c r="G1488" s="30" t="n">
        <x:v>46073</x:v>
      </x:c>
      <x:c r="H1488" s="32" t="n">
        <x:v>780000</x:v>
      </x:c>
      <x:c r="I1488" s="32" t="n">
        <x:v>550000</x:v>
      </x:c>
      <x:c r="J1488" s="32" t="n">
        <x:v>460000</x:v>
      </x:c>
      <x:c r="K1488" s="30" t="n">
        <x:v>46063</x:v>
      </x:c>
      <x:c r="L1488" s="24" t="str">
        <x:v>입금</x:v>
      </x:c>
      <x:c r="M1488" s="31" t="n">
        <x:f>IF(AND(N1488="미수",G1488&lt;&gt;"",TODAY()&gt;G1488),TODAY()-G1488,0)</x:f>
        <x:v>176</x:v>
      </x:c>
      <x:c r="N1488" s="24" t="str">
        <x:f>IF(J1488&gt;0,"미수",IF(AND(H1488&gt;0,I1488&gt;=H1488),"완납","미확인"))</x:f>
        <x:v>미수</x:v>
      </x:c>
      <x:c r="O1488" s="31" t="n">
        <x:v>72</x:v>
      </x:c>
    </x:row>
    <x:row r="1489" ht="17.25" customHeight="1">
      <x:c r="A1489" s="24" t="str">
        <x:v>SW-B-325구9443-202601</x:v>
      </x:c>
      <x:c r="B1489" s="24" t="str">
        <x:v>스위치플랜</x:v>
      </x:c>
      <x:c r="C1489" s="24" t="str">
        <x:v>SW-C-325구9443-1-20250820-73</x:v>
      </x:c>
      <x:c r="D1489" s="24" t="str">
        <x:v>325구9443</x:v>
      </x:c>
      <x:c r="E1489" s="24" t="str">
        <x:v>최정훈</x:v>
      </x:c>
      <x:c r="F1489" s="24" t="str">
        <x:v>2026-01</x:v>
      </x:c>
      <x:c r="G1489" s="30" t="n">
        <x:v>46042</x:v>
      </x:c>
      <x:c r="H1489" s="32" t="n">
        <x:v>780000</x:v>
      </x:c>
      <x:c r="I1489" s="32" t="n">
        <x:v>550000</x:v>
      </x:c>
      <x:c r="J1489" s="32" t="n">
        <x:v>230000</x:v>
      </x:c>
      <x:c r="K1489" s="30" t="n">
        <x:v>46035</x:v>
      </x:c>
      <x:c r="L1489" s="24" t="str">
        <x:v>입금</x:v>
      </x:c>
      <x:c r="M1489" s="31" t="n">
        <x:f>IF(AND(N1489="미수",G1489&lt;&gt;"",TODAY()&gt;G1489),TODAY()-G1489,0)</x:f>
        <x:v>207</x:v>
      </x:c>
      <x:c r="N1489" s="24" t="str">
        <x:f>IF(J1489&gt;0,"미수",IF(AND(H1489&gt;0,I1489&gt;=H1489),"완납","미확인"))</x:f>
        <x:v>미수</x:v>
      </x:c>
      <x:c r="O1489" s="31" t="n">
        <x:v>72</x:v>
      </x:c>
    </x:row>
    <x:row r="1490" ht="17.25" customHeight="1">
      <x:c r="A1490" s="24" t="str">
        <x:v>SW-B-325구9443-202512</x:v>
      </x:c>
      <x:c r="B1490" s="24" t="str">
        <x:v>스위치플랜</x:v>
      </x:c>
      <x:c r="C1490" s="24" t="str">
        <x:v>SW-C-325구9443-1-20250820-73</x:v>
      </x:c>
      <x:c r="D1490" s="24" t="str">
        <x:v>325구9443</x:v>
      </x:c>
      <x:c r="E1490" s="24" t="str">
        <x:v>최정훈</x:v>
      </x:c>
      <x:c r="F1490" s="24" t="str">
        <x:v>2025-12</x:v>
      </x:c>
      <x:c r="G1490" s="30" t="n">
        <x:v>46011</x:v>
      </x:c>
      <x:c r="H1490" s="32" t="n">
        <x:v>780000</x:v>
      </x:c>
      <x:c r="I1490" s="32" t="n">
        <x:v>780000</x:v>
      </x:c>
      <x:c r="J1490" s="32" t="n">
        <x:v>0</x:v>
      </x:c>
      <x:c r="K1490" s="30" t="n">
        <x:v>46015</x:v>
      </x:c>
      <x:c r="L1490" s="24" t="str">
        <x:v>입금</x:v>
      </x:c>
      <x:c r="M1490" s="31" t="n">
        <x:f>IF(AND(N1490="미수",G1490&lt;&gt;"",TODAY()&gt;G1490),TODAY()-G1490,0)</x:f>
        <x:v>0</x:v>
      </x:c>
      <x:c r="N1490" s="24" t="str">
        <x:f>IF(J1490&gt;0,"미수",IF(AND(H1490&gt;0,I1490&gt;=H1490),"완납","미확인"))</x:f>
        <x:v>완납</x:v>
      </x:c>
      <x:c r="O1490" s="31" t="n">
        <x:v>72</x:v>
      </x:c>
    </x:row>
    <x:row r="1491" ht="17.25" customHeight="1">
      <x:c r="A1491" s="24" t="str">
        <x:v>SW-B-325구9443-202511</x:v>
      </x:c>
      <x:c r="B1491" s="24" t="str">
        <x:v>스위치플랜</x:v>
      </x:c>
      <x:c r="C1491" s="24" t="str">
        <x:v>SW-C-325구9443-1-20250820-73</x:v>
      </x:c>
      <x:c r="D1491" s="24" t="str">
        <x:v>325구9443</x:v>
      </x:c>
      <x:c r="E1491" s="24" t="str">
        <x:v>최정훈</x:v>
      </x:c>
      <x:c r="F1491" s="24" t="str">
        <x:v>2025-11</x:v>
      </x:c>
      <x:c r="G1491" s="30" t="n">
        <x:v>45981</x:v>
      </x:c>
      <x:c r="H1491" s="32" t="n">
        <x:v>850000</x:v>
      </x:c>
      <x:c r="I1491" s="32" t="n">
        <x:v>850000</x:v>
      </x:c>
      <x:c r="J1491" s="32" t="n">
        <x:v>0</x:v>
      </x:c>
      <x:c r="K1491" s="30" t="n">
        <x:v>45986</x:v>
      </x:c>
      <x:c r="L1491" s="24" t="str">
        <x:v>입금</x:v>
      </x:c>
      <x:c r="M1491" s="31" t="n">
        <x:f>IF(AND(N1491="미수",G1491&lt;&gt;"",TODAY()&gt;G1491),TODAY()-G1491,0)</x:f>
        <x:v>0</x:v>
      </x:c>
      <x:c r="N1491" s="24" t="str">
        <x:f>IF(J1491&gt;0,"미수",IF(AND(H1491&gt;0,I1491&gt;=H1491),"완납","미확인"))</x:f>
        <x:v>완납</x:v>
      </x:c>
      <x:c r="O1491" s="31" t="n">
        <x:v>72</x:v>
      </x:c>
    </x:row>
    <x:row r="1492" ht="17.25" customHeight="1">
      <x:c r="A1492" s="24" t="str">
        <x:v>SW-B-325구9443-202510</x:v>
      </x:c>
      <x:c r="B1492" s="24" t="str">
        <x:v>스위치플랜</x:v>
      </x:c>
      <x:c r="C1492" s="24" t="str">
        <x:v>SW-C-325구9443-1-20250820-73</x:v>
      </x:c>
      <x:c r="D1492" s="24" t="str">
        <x:v>325구9443</x:v>
      </x:c>
      <x:c r="E1492" s="24" t="str">
        <x:v>최정훈</x:v>
      </x:c>
      <x:c r="F1492" s="24" t="str">
        <x:v>2025-10</x:v>
      </x:c>
      <x:c r="G1492" s="30" t="n">
        <x:v>45950</x:v>
      </x:c>
      <x:c r="H1492" s="32" t="n">
        <x:v>850000</x:v>
      </x:c>
      <x:c r="I1492" s="32" t="n">
        <x:v>850000</x:v>
      </x:c>
      <x:c r="J1492" s="32" t="n">
        <x:v>0</x:v>
      </x:c>
      <x:c r="K1492" s="30" t="n">
        <x:v>45951</x:v>
      </x:c>
      <x:c r="L1492" s="24" t="str">
        <x:v>입금</x:v>
      </x:c>
      <x:c r="M1492" s="31" t="n">
        <x:f>IF(AND(N1492="미수",G1492&lt;&gt;"",TODAY()&gt;G1492),TODAY()-G1492,0)</x:f>
        <x:v>0</x:v>
      </x:c>
      <x:c r="N1492" s="24" t="str">
        <x:f>IF(J1492&gt;0,"미수",IF(AND(H1492&gt;0,I1492&gt;=H1492),"완납","미확인"))</x:f>
        <x:v>완납</x:v>
      </x:c>
      <x:c r="O1492" s="31" t="n">
        <x:v>72</x:v>
      </x:c>
    </x:row>
    <x:row r="1493" ht="17.25" customHeight="1">
      <x:c r="A1493" s="24" t="str">
        <x:v>SW-B-325구9443-202509</x:v>
      </x:c>
      <x:c r="B1493" s="24" t="str">
        <x:v>스위치플랜</x:v>
      </x:c>
      <x:c r="C1493" s="24" t="str">
        <x:v>SW-C-325구9443-1-20250820-73</x:v>
      </x:c>
      <x:c r="D1493" s="24" t="str">
        <x:v>325구9443</x:v>
      </x:c>
      <x:c r="E1493" s="24" t="str">
        <x:v>최정훈</x:v>
      </x:c>
      <x:c r="F1493" s="24" t="str">
        <x:v>2025-09</x:v>
      </x:c>
      <x:c r="G1493" s="30" t="n">
        <x:v>45920</x:v>
      </x:c>
      <x:c r="H1493" s="32" t="n">
        <x:v>850000</x:v>
      </x:c>
      <x:c r="I1493" s="32" t="n">
        <x:v>850000</x:v>
      </x:c>
      <x:c r="J1493" s="32" t="n">
        <x:v>0</x:v>
      </x:c>
      <x:c r="K1493" s="30" t="n">
        <x:v>45918</x:v>
      </x:c>
      <x:c r="L1493" s="24" t="str">
        <x:v>입금</x:v>
      </x:c>
      <x:c r="M1493" s="31" t="n">
        <x:f>IF(AND(N1493="미수",G1493&lt;&gt;"",TODAY()&gt;G1493),TODAY()-G1493,0)</x:f>
        <x:v>0</x:v>
      </x:c>
      <x:c r="N1493" s="24" t="str">
        <x:f>IF(J1493&gt;0,"미수",IF(AND(H1493&gt;0,I1493&gt;=H1493),"완납","미확인"))</x:f>
        <x:v>완납</x:v>
      </x:c>
      <x:c r="O1493" s="31" t="n">
        <x:v>72</x:v>
      </x:c>
    </x:row>
    <x:row r="1494" ht="17.25" customHeight="1">
      <x:c r="A1494" s="24" t="str">
        <x:v>SW-B-325구9443-202508</x:v>
      </x:c>
      <x:c r="B1494" s="24" t="str">
        <x:v>스위치플랜</x:v>
      </x:c>
      <x:c r="C1494" s="24" t="str">
        <x:v>SW-C-325구9443-1-20250820-73</x:v>
      </x:c>
      <x:c r="D1494" s="24" t="str">
        <x:v>325구9443</x:v>
      </x:c>
      <x:c r="E1494" s="24" t="str">
        <x:v>최정훈</x:v>
      </x:c>
      <x:c r="F1494" s="24" t="str">
        <x:v>2025-08</x:v>
      </x:c>
      <x:c r="G1494" s="30" t="n">
        <x:v>45889</x:v>
      </x:c>
      <x:c r="H1494" s="32" t="n">
        <x:v>850000</x:v>
      </x:c>
      <x:c r="I1494" s="32" t="n">
        <x:v>850000</x:v>
      </x:c>
      <x:c r="J1494" s="32" t="n">
        <x:v>0</x:v>
      </x:c>
      <x:c r="K1494" s="30" t="n">
        <x:v>45887</x:v>
      </x:c>
      <x:c r="L1494" s="24" t="str">
        <x:v>입금</x:v>
      </x:c>
      <x:c r="M1494" s="31" t="n">
        <x:f>IF(AND(N1494="미수",G1494&lt;&gt;"",TODAY()&gt;G1494),TODAY()-G1494,0)</x:f>
        <x:v>0</x:v>
      </x:c>
      <x:c r="N1494" s="24" t="str">
        <x:f>IF(J1494&gt;0,"미수",IF(AND(H1494&gt;0,I1494&gt;=H1494),"완납","미확인"))</x:f>
        <x:v>완납</x:v>
      </x:c>
      <x:c r="O1494" s="31" t="n">
        <x:v>72</x:v>
      </x:c>
    </x:row>
    <x:row r="1495" ht="17.25" customHeight="1">
      <x:c r="A1495" s="24" t="str">
        <x:v>SW-B-325구9443-202506</x:v>
      </x:c>
      <x:c r="B1495" s="24" t="str">
        <x:v>스위치플랜</x:v>
      </x:c>
      <x:c r="C1495" s="24" t="str">
        <x:v>SW-C-325구9443-2-20250213-73</x:v>
      </x:c>
      <x:c r="D1495" s="24" t="str">
        <x:v>325구9443</x:v>
      </x:c>
      <x:c r="E1495" s="24" t="str">
        <x:v>최정훈</x:v>
      </x:c>
      <x:c r="F1495" s="24" t="str">
        <x:v>2025-06</x:v>
      </x:c>
      <x:c r="G1495" s="30" t="n">
        <x:v>45828</x:v>
      </x:c>
      <x:c r="H1495" s="32" t="n">
        <x:v>1030000</x:v>
      </x:c>
      <x:c r="I1495" s="32" t="n">
        <x:v>970000</x:v>
      </x:c>
      <x:c r="J1495" s="32" t="n">
        <x:v>60000</x:v>
      </x:c>
      <x:c r="K1495" s="30" t="n">
        <x:v>45825</x:v>
      </x:c>
      <x:c r="L1495" s="24" t="str">
        <x:v>입금</x:v>
      </x:c>
      <x:c r="M1495" s="31" t="n">
        <x:f>IF(AND(N1495="미수",G1495&lt;&gt;"",TODAY()&gt;G1495),TODAY()-G1495,0)</x:f>
        <x:v>421</x:v>
      </x:c>
      <x:c r="N1495" s="24" t="str">
        <x:f>IF(J1495&gt;0,"미수",IF(AND(H1495&gt;0,I1495&gt;=H1495),"완납","미확인"))</x:f>
        <x:v>미수</x:v>
      </x:c>
      <x:c r="O1495" s="31" t="n">
        <x:v>72</x:v>
      </x:c>
    </x:row>
    <x:row r="1496" ht="17.25" customHeight="1">
      <x:c r="A1496" s="24" t="str">
        <x:v>SW-B-325구9443-202505</x:v>
      </x:c>
      <x:c r="B1496" s="24" t="str">
        <x:v>스위치플랜</x:v>
      </x:c>
      <x:c r="C1496" s="24" t="str">
        <x:v>SW-C-325구9443-2-20250213-73</x:v>
      </x:c>
      <x:c r="D1496" s="24" t="str">
        <x:v>325구9443</x:v>
      </x:c>
      <x:c r="E1496" s="24" t="str">
        <x:v>최정훈</x:v>
      </x:c>
      <x:c r="F1496" s="24" t="str">
        <x:v>2025-05</x:v>
      </x:c>
      <x:c r="G1496" s="30" t="n">
        <x:v>45797</x:v>
      </x:c>
      <x:c r="H1496" s="32" t="n">
        <x:v>770000</x:v>
      </x:c>
      <x:c r="I1496" s="32" t="n">
        <x:v>770000</x:v>
      </x:c>
      <x:c r="J1496" s="32" t="n">
        <x:v>0</x:v>
      </x:c>
      <x:c r="K1496" s="30" t="n">
        <x:v>45802</x:v>
      </x:c>
      <x:c r="L1496" s="24" t="str">
        <x:v>입금</x:v>
      </x:c>
      <x:c r="M1496" s="31" t="n">
        <x:f>IF(AND(N1496="미수",G1496&lt;&gt;"",TODAY()&gt;G1496),TODAY()-G1496,0)</x:f>
        <x:v>0</x:v>
      </x:c>
      <x:c r="N1496" s="24" t="str">
        <x:f>IF(J1496&gt;0,"미수",IF(AND(H1496&gt;0,I1496&gt;=H1496),"완납","미확인"))</x:f>
        <x:v>완납</x:v>
      </x:c>
      <x:c r="O1496" s="31" t="n">
        <x:v>72</x:v>
      </x:c>
    </x:row>
    <x:row r="1497" ht="17.25" customHeight="1">
      <x:c r="A1497" s="24" t="str">
        <x:v>SW-B-325구9443-202504</x:v>
      </x:c>
      <x:c r="B1497" s="24" t="str">
        <x:v>스위치플랜</x:v>
      </x:c>
      <x:c r="C1497" s="24" t="str">
        <x:v>SW-C-325구9443-2-20250213-73</x:v>
      </x:c>
      <x:c r="D1497" s="24" t="str">
        <x:v>325구9443</x:v>
      </x:c>
      <x:c r="E1497" s="24" t="str">
        <x:v>최정훈</x:v>
      </x:c>
      <x:c r="F1497" s="24" t="str">
        <x:v>2025-04</x:v>
      </x:c>
      <x:c r="G1497" s="30" t="n">
        <x:v>45767</x:v>
      </x:c>
      <x:c r="H1497" s="32" t="n">
        <x:v>770000</x:v>
      </x:c>
      <x:c r="I1497" s="32" t="n">
        <x:v>800000</x:v>
      </x:c>
      <x:c r="J1497" s="32" t="n">
        <x:v>0</x:v>
      </x:c>
      <x:c r="K1497" s="30" t="n">
        <x:v>45765</x:v>
      </x:c>
      <x:c r="L1497" s="24" t="str">
        <x:v>입금</x:v>
      </x:c>
      <x:c r="M1497" s="31" t="n">
        <x:f>IF(AND(N1497="미수",G1497&lt;&gt;"",TODAY()&gt;G1497),TODAY()-G1497,0)</x:f>
        <x:v>0</x:v>
      </x:c>
      <x:c r="N1497" s="24" t="str">
        <x:f>IF(J1497&gt;0,"미수",IF(AND(H1497&gt;0,I1497&gt;=H1497),"완납","미확인"))</x:f>
        <x:v>완납</x:v>
      </x:c>
      <x:c r="O1497" s="31" t="n">
        <x:v>72</x:v>
      </x:c>
    </x:row>
    <x:row r="1498" ht="17.25" customHeight="1">
      <x:c r="A1498" s="24" t="str">
        <x:v>SW-B-325구9443-202503</x:v>
      </x:c>
      <x:c r="B1498" s="24" t="str">
        <x:v>스위치플랜</x:v>
      </x:c>
      <x:c r="C1498" s="24" t="str">
        <x:v>SW-C-325구9443-2-20250213-73</x:v>
      </x:c>
      <x:c r="D1498" s="24" t="str">
        <x:v>325구9443</x:v>
      </x:c>
      <x:c r="E1498" s="24" t="str">
        <x:v>최정훈</x:v>
      </x:c>
      <x:c r="F1498" s="24" t="str">
        <x:v>2025-03</x:v>
      </x:c>
      <x:c r="G1498" s="30" t="n">
        <x:v>45736</x:v>
      </x:c>
      <x:c r="H1498" s="32" t="n">
        <x:v>770000</x:v>
      </x:c>
      <x:c r="I1498" s="32" t="n">
        <x:v>740000</x:v>
      </x:c>
      <x:c r="J1498" s="32" t="n">
        <x:v>30000</x:v>
      </x:c>
      <x:c r="K1498" s="30" t="n">
        <x:v>45733</x:v>
      </x:c>
      <x:c r="L1498" s="24" t="str">
        <x:v>입금</x:v>
      </x:c>
      <x:c r="M1498" s="31" t="n">
        <x:f>IF(AND(N1498="미수",G1498&lt;&gt;"",TODAY()&gt;G1498),TODAY()-G1498,0)</x:f>
        <x:v>513</x:v>
      </x:c>
      <x:c r="N1498" s="24" t="str">
        <x:f>IF(J1498&gt;0,"미수",IF(AND(H1498&gt;0,I1498&gt;=H1498),"완납","미확인"))</x:f>
        <x:v>미수</x:v>
      </x:c>
      <x:c r="O1498" s="31" t="n">
        <x:v>72</x:v>
      </x:c>
    </x:row>
    <x:row r="1499" ht="17.25" customHeight="1">
      <x:c r="A1499" s="24" t="str">
        <x:v>SW-B-325구9443-202502</x:v>
      </x:c>
      <x:c r="B1499" s="24" t="str">
        <x:v>스위치플랜</x:v>
      </x:c>
      <x:c r="C1499" s="24" t="str">
        <x:v>SW-C-325구9443-2-20250213-73</x:v>
      </x:c>
      <x:c r="D1499" s="24" t="str">
        <x:v>325구9443</x:v>
      </x:c>
      <x:c r="E1499" s="24" t="str">
        <x:v>최정훈</x:v>
      </x:c>
      <x:c r="F1499" s="24" t="str">
        <x:v>2025-02</x:v>
      </x:c>
      <x:c r="G1499" s="30" t="n">
        <x:v>45708</x:v>
      </x:c>
      <x:c r="H1499" s="32" t="n">
        <x:v>770000</x:v>
      </x:c>
      <x:c r="I1499" s="32" t="n">
        <x:v>770000</x:v>
      </x:c>
      <x:c r="J1499" s="32" t="n">
        <x:v>0</x:v>
      </x:c>
      <x:c r="K1499" s="30" t="n">
        <x:v>45696</x:v>
      </x:c>
      <x:c r="L1499" s="24" t="str">
        <x:v>입금</x:v>
      </x:c>
      <x:c r="M1499" s="31" t="n">
        <x:f>IF(AND(N1499="미수",G1499&lt;&gt;"",TODAY()&gt;G1499),TODAY()-G1499,0)</x:f>
        <x:v>0</x:v>
      </x:c>
      <x:c r="N1499" s="24" t="str">
        <x:f>IF(J1499&gt;0,"미수",IF(AND(H1499&gt;0,I1499&gt;=H1499),"완납","미확인"))</x:f>
        <x:v>완납</x:v>
      </x:c>
      <x:c r="O1499" s="31" t="n">
        <x:v>72</x:v>
      </x:c>
    </x:row>
    <x:row r="1500" ht="17.25" customHeight="1">
      <x:c r="A1500" s="24" t="str">
        <x:v>SW-B-268저3547-202608</x:v>
      </x:c>
      <x:c r="B1500" s="24" t="str">
        <x:v>스위치플랜</x:v>
      </x:c>
      <x:c r="C1500" s="24" t="str">
        <x:v>SW-C-268저3547-1-20250709-74</x:v>
      </x:c>
      <x:c r="D1500" s="24" t="str">
        <x:v>268저3547</x:v>
      </x:c>
      <x:c r="E1500" s="24" t="str">
        <x:v>제이엠</x:v>
      </x:c>
      <x:c r="F1500" s="24" t="str">
        <x:v>2026-08</x:v>
      </x:c>
      <x:c r="G1500" s="30" t="n">
        <x:v>46244</x:v>
      </x:c>
      <x:c r="H1500" s="32" t="n">
        <x:v>1220000</x:v>
      </x:c>
      <x:c r="I1500" s="32"/>
      <x:c r="J1500" s="32" t="n">
        <x:v>1220000</x:v>
      </x:c>
      <x:c r="K1500" s="30"/>
      <x:c r="L1500" s="24" t="str"/>
      <x:c r="M1500" s="31" t="n">
        <x:f>IF(AND(N1500="미수",G1500&lt;&gt;"",TODAY()&gt;G1500),TODAY()-G1500,0)</x:f>
        <x:v>5</x:v>
      </x:c>
      <x:c r="N1500" s="24" t="str">
        <x:f>IF(J1500&gt;0,"미수",IF(AND(H1500&gt;0,I1500&gt;=H1500),"완납","미확인"))</x:f>
        <x:v>미수</x:v>
      </x:c>
      <x:c r="O1500" s="31" t="n">
        <x:v>73</x:v>
      </x:c>
    </x:row>
    <x:row r="1501" ht="17.25" customHeight="1">
      <x:c r="A1501" s="24" t="str">
        <x:v>SW-B-268저3547-202607</x:v>
      </x:c>
      <x:c r="B1501" s="24" t="str">
        <x:v>스위치플랜</x:v>
      </x:c>
      <x:c r="C1501" s="24" t="str">
        <x:v>SW-C-268저3547-1-20250709-74</x:v>
      </x:c>
      <x:c r="D1501" s="24" t="str">
        <x:v>268저3547</x:v>
      </x:c>
      <x:c r="E1501" s="24" t="str">
        <x:v>제이엠</x:v>
      </x:c>
      <x:c r="F1501" s="24" t="str">
        <x:v>2026-07</x:v>
      </x:c>
      <x:c r="G1501" s="30" t="n">
        <x:v>46213</x:v>
      </x:c>
      <x:c r="H1501" s="32" t="n">
        <x:v>1220000</x:v>
      </x:c>
      <x:c r="I1501" s="32" t="n">
        <x:v>1220000</x:v>
      </x:c>
      <x:c r="J1501" s="32" t="n">
        <x:v>0</x:v>
      </x:c>
      <x:c r="K1501" s="30" t="n">
        <x:v>46213</x:v>
      </x:c>
      <x:c r="L1501" s="24" t="str">
        <x:v>자동</x:v>
      </x:c>
      <x:c r="M1501" s="31" t="n">
        <x:f>IF(AND(N1501="미수",G1501&lt;&gt;"",TODAY()&gt;G1501),TODAY()-G1501,0)</x:f>
        <x:v>0</x:v>
      </x:c>
      <x:c r="N1501" s="24" t="str">
        <x:f>IF(J1501&gt;0,"미수",IF(AND(H1501&gt;0,I1501&gt;=H1501),"완납","미확인"))</x:f>
        <x:v>완납</x:v>
      </x:c>
      <x:c r="O1501" s="31" t="n">
        <x:v>73</x:v>
      </x:c>
    </x:row>
    <x:row r="1502" ht="17.25" customHeight="1">
      <x:c r="A1502" s="24" t="str">
        <x:v>SW-B-268저3547-202606</x:v>
      </x:c>
      <x:c r="B1502" s="24" t="str">
        <x:v>스위치플랜</x:v>
      </x:c>
      <x:c r="C1502" s="24" t="str">
        <x:v>SW-C-268저3547-1-20250709-74</x:v>
      </x:c>
      <x:c r="D1502" s="24" t="str">
        <x:v>268저3547</x:v>
      </x:c>
      <x:c r="E1502" s="24" t="str">
        <x:v>제이엠</x:v>
      </x:c>
      <x:c r="F1502" s="24" t="str">
        <x:v>2026-06</x:v>
      </x:c>
      <x:c r="G1502" s="30" t="n">
        <x:v>46183</x:v>
      </x:c>
      <x:c r="H1502" s="32" t="n">
        <x:v>1220000</x:v>
      </x:c>
      <x:c r="I1502" s="32" t="n">
        <x:v>1220000</x:v>
      </x:c>
      <x:c r="J1502" s="32" t="n">
        <x:v>0</x:v>
      </x:c>
      <x:c r="K1502" s="30" t="n">
        <x:v>46188</x:v>
      </x:c>
      <x:c r="L1502" s="24" t="str">
        <x:v>입금</x:v>
      </x:c>
      <x:c r="M1502" s="31" t="n">
        <x:f>IF(AND(N1502="미수",G1502&lt;&gt;"",TODAY()&gt;G1502),TODAY()-G1502,0)</x:f>
        <x:v>0</x:v>
      </x:c>
      <x:c r="N1502" s="24" t="str">
        <x:f>IF(J1502&gt;0,"미수",IF(AND(H1502&gt;0,I1502&gt;=H1502),"완납","미확인"))</x:f>
        <x:v>완납</x:v>
      </x:c>
      <x:c r="O1502" s="31" t="n">
        <x:v>73</x:v>
      </x:c>
    </x:row>
    <x:row r="1503" ht="17.25" customHeight="1">
      <x:c r="A1503" s="24" t="str">
        <x:v>SW-B-268저3547-202605</x:v>
      </x:c>
      <x:c r="B1503" s="24" t="str">
        <x:v>스위치플랜</x:v>
      </x:c>
      <x:c r="C1503" s="24" t="str">
        <x:v>SW-C-268저3547-1-20250709-74</x:v>
      </x:c>
      <x:c r="D1503" s="24" t="str">
        <x:v>268저3547</x:v>
      </x:c>
      <x:c r="E1503" s="24" t="str">
        <x:v>제이엠</x:v>
      </x:c>
      <x:c r="F1503" s="24" t="str">
        <x:v>2026-05</x:v>
      </x:c>
      <x:c r="G1503" s="30" t="n">
        <x:v>46152</x:v>
      </x:c>
      <x:c r="H1503" s="32" t="n">
        <x:v>1220000</x:v>
      </x:c>
      <x:c r="I1503" s="32" t="n">
        <x:v>1220000</x:v>
      </x:c>
      <x:c r="J1503" s="32" t="n">
        <x:v>0</x:v>
      </x:c>
      <x:c r="K1503" s="30" t="n">
        <x:v>46153</x:v>
      </x:c>
      <x:c r="L1503" s="24" t="str">
        <x:v>자동</x:v>
      </x:c>
      <x:c r="M1503" s="31" t="n">
        <x:f>IF(AND(N1503="미수",G1503&lt;&gt;"",TODAY()&gt;G1503),TODAY()-G1503,0)</x:f>
        <x:v>0</x:v>
      </x:c>
      <x:c r="N1503" s="24" t="str">
        <x:f>IF(J1503&gt;0,"미수",IF(AND(H1503&gt;0,I1503&gt;=H1503),"완납","미확인"))</x:f>
        <x:v>완납</x:v>
      </x:c>
      <x:c r="O1503" s="31" t="n">
        <x:v>73</x:v>
      </x:c>
    </x:row>
    <x:row r="1504" ht="17.25" customHeight="1">
      <x:c r="A1504" s="24" t="str">
        <x:v>SW-B-268저3547-202604</x:v>
      </x:c>
      <x:c r="B1504" s="24" t="str">
        <x:v>스위치플랜</x:v>
      </x:c>
      <x:c r="C1504" s="24" t="str">
        <x:v>SW-C-268저3547-1-20250709-74</x:v>
      </x:c>
      <x:c r="D1504" s="24" t="str">
        <x:v>268저3547</x:v>
      </x:c>
      <x:c r="E1504" s="24" t="str">
        <x:v>제이엠</x:v>
      </x:c>
      <x:c r="F1504" s="24" t="str">
        <x:v>2026-04</x:v>
      </x:c>
      <x:c r="G1504" s="30" t="n">
        <x:v>46122</x:v>
      </x:c>
      <x:c r="H1504" s="32" t="n">
        <x:v>1220000</x:v>
      </x:c>
      <x:c r="I1504" s="32" t="n">
        <x:v>1220000</x:v>
      </x:c>
      <x:c r="J1504" s="32" t="n">
        <x:v>0</x:v>
      </x:c>
      <x:c r="K1504" s="30" t="n">
        <x:v>46126</x:v>
      </x:c>
      <x:c r="L1504" s="24" t="str">
        <x:v>입금</x:v>
      </x:c>
      <x:c r="M1504" s="31" t="n">
        <x:f>IF(AND(N1504="미수",G1504&lt;&gt;"",TODAY()&gt;G1504),TODAY()-G1504,0)</x:f>
        <x:v>0</x:v>
      </x:c>
      <x:c r="N1504" s="24" t="str">
        <x:f>IF(J1504&gt;0,"미수",IF(AND(H1504&gt;0,I1504&gt;=H1504),"완납","미확인"))</x:f>
        <x:v>완납</x:v>
      </x:c>
      <x:c r="O1504" s="31" t="n">
        <x:v>73</x:v>
      </x:c>
    </x:row>
    <x:row r="1505" ht="17.25" customHeight="1">
      <x:c r="A1505" s="24" t="str">
        <x:v>SW-B-268저3547-202603</x:v>
      </x:c>
      <x:c r="B1505" s="24" t="str">
        <x:v>스위치플랜</x:v>
      </x:c>
      <x:c r="C1505" s="24" t="str">
        <x:v>SW-C-268저3547-1-20250709-74</x:v>
      </x:c>
      <x:c r="D1505" s="24" t="str">
        <x:v>268저3547</x:v>
      </x:c>
      <x:c r="E1505" s="24" t="str">
        <x:v>제이엠</x:v>
      </x:c>
      <x:c r="F1505" s="24" t="str">
        <x:v>2026-03</x:v>
      </x:c>
      <x:c r="G1505" s="30" t="n">
        <x:v>46091</x:v>
      </x:c>
      <x:c r="H1505" s="32" t="n">
        <x:v>1220000</x:v>
      </x:c>
      <x:c r="I1505" s="32" t="n">
        <x:v>1220000</x:v>
      </x:c>
      <x:c r="J1505" s="32" t="n">
        <x:v>0</x:v>
      </x:c>
      <x:c r="K1505" s="30" t="n">
        <x:v>46097</x:v>
      </x:c>
      <x:c r="L1505" s="24" t="str">
        <x:v>입금</x:v>
      </x:c>
      <x:c r="M1505" s="31" t="n">
        <x:f>IF(AND(N1505="미수",G1505&lt;&gt;"",TODAY()&gt;G1505),TODAY()-G1505,0)</x:f>
        <x:v>0</x:v>
      </x:c>
      <x:c r="N1505" s="24" t="str">
        <x:f>IF(J1505&gt;0,"미수",IF(AND(H1505&gt;0,I1505&gt;=H1505),"완납","미확인"))</x:f>
        <x:v>완납</x:v>
      </x:c>
      <x:c r="O1505" s="31" t="n">
        <x:v>73</x:v>
      </x:c>
    </x:row>
    <x:row r="1506" ht="17.25" customHeight="1">
      <x:c r="A1506" s="24" t="str">
        <x:v>SW-B-268저3547-202602</x:v>
      </x:c>
      <x:c r="B1506" s="24" t="str">
        <x:v>스위치플랜</x:v>
      </x:c>
      <x:c r="C1506" s="24" t="str">
        <x:v>SW-C-268저3547-1-20250709-74</x:v>
      </x:c>
      <x:c r="D1506" s="24" t="str">
        <x:v>268저3547</x:v>
      </x:c>
      <x:c r="E1506" s="24" t="str">
        <x:v>제이엠</x:v>
      </x:c>
      <x:c r="F1506" s="24" t="str">
        <x:v>2026-02</x:v>
      </x:c>
      <x:c r="G1506" s="30" t="n">
        <x:v>46063</x:v>
      </x:c>
      <x:c r="H1506" s="32" t="n">
        <x:v>1220000</x:v>
      </x:c>
      <x:c r="I1506" s="32" t="n">
        <x:v>1220000</x:v>
      </x:c>
      <x:c r="J1506" s="32" t="n">
        <x:v>0</x:v>
      </x:c>
      <x:c r="K1506" s="30" t="n">
        <x:v>46063</x:v>
      </x:c>
      <x:c r="L1506" s="24" t="str">
        <x:v>자동</x:v>
      </x:c>
      <x:c r="M1506" s="31" t="n">
        <x:f>IF(AND(N1506="미수",G1506&lt;&gt;"",TODAY()&gt;G1506),TODAY()-G1506,0)</x:f>
        <x:v>0</x:v>
      </x:c>
      <x:c r="N1506" s="24" t="str">
        <x:f>IF(J1506&gt;0,"미수",IF(AND(H1506&gt;0,I1506&gt;=H1506),"완납","미확인"))</x:f>
        <x:v>완납</x:v>
      </x:c>
      <x:c r="O1506" s="31" t="n">
        <x:v>73</x:v>
      </x:c>
    </x:row>
    <x:row r="1507" ht="17.25" customHeight="1">
      <x:c r="A1507" s="24" t="str">
        <x:v>SW-B-268저3547-202601</x:v>
      </x:c>
      <x:c r="B1507" s="24" t="str">
        <x:v>스위치플랜</x:v>
      </x:c>
      <x:c r="C1507" s="24" t="str">
        <x:v>SW-C-268저3547-1-20250709-74</x:v>
      </x:c>
      <x:c r="D1507" s="24" t="str">
        <x:v>268저3547</x:v>
      </x:c>
      <x:c r="E1507" s="24" t="str">
        <x:v>제이엠</x:v>
      </x:c>
      <x:c r="F1507" s="24" t="str">
        <x:v>2026-01</x:v>
      </x:c>
      <x:c r="G1507" s="30" t="n">
        <x:v>46032</x:v>
      </x:c>
      <x:c r="H1507" s="32" t="n">
        <x:v>1220000</x:v>
      </x:c>
      <x:c r="I1507" s="32" t="n">
        <x:v>1220000</x:v>
      </x:c>
      <x:c r="J1507" s="32" t="n">
        <x:v>0</x:v>
      </x:c>
      <x:c r="K1507" s="30" t="n">
        <x:v>46034</x:v>
      </x:c>
      <x:c r="L1507" s="24" t="str">
        <x:v>자동</x:v>
      </x:c>
      <x:c r="M1507" s="31" t="n">
        <x:f>IF(AND(N1507="미수",G1507&lt;&gt;"",TODAY()&gt;G1507),TODAY()-G1507,0)</x:f>
        <x:v>0</x:v>
      </x:c>
      <x:c r="N1507" s="24" t="str">
        <x:f>IF(J1507&gt;0,"미수",IF(AND(H1507&gt;0,I1507&gt;=H1507),"완납","미확인"))</x:f>
        <x:v>완납</x:v>
      </x:c>
      <x:c r="O1507" s="31" t="n">
        <x:v>73</x:v>
      </x:c>
    </x:row>
    <x:row r="1508" ht="17.25" customHeight="1">
      <x:c r="A1508" s="24" t="str">
        <x:v>SW-B-268저3547-202512</x:v>
      </x:c>
      <x:c r="B1508" s="24" t="str">
        <x:v>스위치플랜</x:v>
      </x:c>
      <x:c r="C1508" s="24" t="str">
        <x:v>SW-C-268저3547-1-20250709-74</x:v>
      </x:c>
      <x:c r="D1508" s="24" t="str">
        <x:v>268저3547</x:v>
      </x:c>
      <x:c r="E1508" s="24" t="str">
        <x:v>제이엠</x:v>
      </x:c>
      <x:c r="F1508" s="24" t="str">
        <x:v>2025-12</x:v>
      </x:c>
      <x:c r="G1508" s="30" t="n">
        <x:v>46001</x:v>
      </x:c>
      <x:c r="H1508" s="32" t="n">
        <x:v>1220000</x:v>
      </x:c>
      <x:c r="I1508" s="32" t="n">
        <x:v>1220000</x:v>
      </x:c>
      <x:c r="J1508" s="32" t="n">
        <x:v>0</x:v>
      </x:c>
      <x:c r="K1508" s="30" t="n">
        <x:v>46009</x:v>
      </x:c>
      <x:c r="L1508" s="24" t="str">
        <x:v>입금</x:v>
      </x:c>
      <x:c r="M1508" s="31" t="n">
        <x:f>IF(AND(N1508="미수",G1508&lt;&gt;"",TODAY()&gt;G1508),TODAY()-G1508,0)</x:f>
        <x:v>0</x:v>
      </x:c>
      <x:c r="N1508" s="24" t="str">
        <x:f>IF(J1508&gt;0,"미수",IF(AND(H1508&gt;0,I1508&gt;=H1508),"완납","미확인"))</x:f>
        <x:v>완납</x:v>
      </x:c>
      <x:c r="O1508" s="31" t="n">
        <x:v>73</x:v>
      </x:c>
    </x:row>
    <x:row r="1509" ht="17.25" customHeight="1">
      <x:c r="A1509" s="24" t="str">
        <x:v>SW-B-268저3547-202511</x:v>
      </x:c>
      <x:c r="B1509" s="24" t="str">
        <x:v>스위치플랜</x:v>
      </x:c>
      <x:c r="C1509" s="24" t="str">
        <x:v>SW-C-268저3547-1-20250709-74</x:v>
      </x:c>
      <x:c r="D1509" s="24" t="str">
        <x:v>268저3547</x:v>
      </x:c>
      <x:c r="E1509" s="24" t="str">
        <x:v>제이엠</x:v>
      </x:c>
      <x:c r="F1509" s="24" t="str">
        <x:v>2025-11</x:v>
      </x:c>
      <x:c r="G1509" s="30" t="n">
        <x:v>45971</x:v>
      </x:c>
      <x:c r="H1509" s="32" t="n">
        <x:v>1220000</x:v>
      </x:c>
      <x:c r="I1509" s="32" t="n">
        <x:v>1220000</x:v>
      </x:c>
      <x:c r="J1509" s="32" t="n">
        <x:v>0</x:v>
      </x:c>
      <x:c r="K1509" s="30" t="n">
        <x:v>45975</x:v>
      </x:c>
      <x:c r="L1509" s="24" t="str">
        <x:v>입금</x:v>
      </x:c>
      <x:c r="M1509" s="31" t="n">
        <x:f>IF(AND(N1509="미수",G1509&lt;&gt;"",TODAY()&gt;G1509),TODAY()-G1509,0)</x:f>
        <x:v>0</x:v>
      </x:c>
      <x:c r="N1509" s="24" t="str">
        <x:f>IF(J1509&gt;0,"미수",IF(AND(H1509&gt;0,I1509&gt;=H1509),"완납","미확인"))</x:f>
        <x:v>완납</x:v>
      </x:c>
      <x:c r="O1509" s="31" t="n">
        <x:v>73</x:v>
      </x:c>
    </x:row>
    <x:row r="1510" ht="17.25" customHeight="1">
      <x:c r="A1510" s="24" t="str">
        <x:v>SW-B-268저3547-202510</x:v>
      </x:c>
      <x:c r="B1510" s="24" t="str">
        <x:v>스위치플랜</x:v>
      </x:c>
      <x:c r="C1510" s="24" t="str">
        <x:v>SW-C-268저3547-1-20250709-74</x:v>
      </x:c>
      <x:c r="D1510" s="24" t="str">
        <x:v>268저3547</x:v>
      </x:c>
      <x:c r="E1510" s="24" t="str">
        <x:v>제이엠</x:v>
      </x:c>
      <x:c r="F1510" s="24" t="str">
        <x:v>2025-10</x:v>
      </x:c>
      <x:c r="G1510" s="30" t="n">
        <x:v>45940</x:v>
      </x:c>
      <x:c r="H1510" s="32" t="n">
        <x:v>1220000</x:v>
      </x:c>
      <x:c r="I1510" s="32" t="n">
        <x:v>1220000</x:v>
      </x:c>
      <x:c r="J1510" s="32" t="n">
        <x:v>0</x:v>
      </x:c>
      <x:c r="K1510" s="30" t="n">
        <x:v>45944</x:v>
      </x:c>
      <x:c r="L1510" s="24" t="str">
        <x:v>입금</x:v>
      </x:c>
      <x:c r="M1510" s="31" t="n">
        <x:f>IF(AND(N1510="미수",G1510&lt;&gt;"",TODAY()&gt;G1510),TODAY()-G1510,0)</x:f>
        <x:v>0</x:v>
      </x:c>
      <x:c r="N1510" s="24" t="str">
        <x:f>IF(J1510&gt;0,"미수",IF(AND(H1510&gt;0,I1510&gt;=H1510),"완납","미확인"))</x:f>
        <x:v>완납</x:v>
      </x:c>
      <x:c r="O1510" s="31" t="n">
        <x:v>73</x:v>
      </x:c>
    </x:row>
    <x:row r="1511" ht="17.25" customHeight="1">
      <x:c r="A1511" s="24" t="str">
        <x:v>SW-B-268저3547-202509</x:v>
      </x:c>
      <x:c r="B1511" s="24" t="str">
        <x:v>스위치플랜</x:v>
      </x:c>
      <x:c r="C1511" s="24" t="str">
        <x:v>SW-C-268저3547-1-20250709-74</x:v>
      </x:c>
      <x:c r="D1511" s="24" t="str">
        <x:v>268저3547</x:v>
      </x:c>
      <x:c r="E1511" s="24" t="str">
        <x:v>제이엠</x:v>
      </x:c>
      <x:c r="F1511" s="24" t="str">
        <x:v>2025-09</x:v>
      </x:c>
      <x:c r="G1511" s="30" t="n">
        <x:v>45910</x:v>
      </x:c>
      <x:c r="H1511" s="32" t="n">
        <x:v>1220000</x:v>
      </x:c>
      <x:c r="I1511" s="32" t="n">
        <x:v>1220000</x:v>
      </x:c>
      <x:c r="J1511" s="32" t="n">
        <x:v>0</x:v>
      </x:c>
      <x:c r="K1511" s="30" t="n">
        <x:v>45910</x:v>
      </x:c>
      <x:c r="L1511" s="24" t="str">
        <x:v>자동</x:v>
      </x:c>
      <x:c r="M1511" s="31" t="n">
        <x:f>IF(AND(N1511="미수",G1511&lt;&gt;"",TODAY()&gt;G1511),TODAY()-G1511,0)</x:f>
        <x:v>0</x:v>
      </x:c>
      <x:c r="N1511" s="24" t="str">
        <x:f>IF(J1511&gt;0,"미수",IF(AND(H1511&gt;0,I1511&gt;=H1511),"완납","미확인"))</x:f>
        <x:v>완납</x:v>
      </x:c>
      <x:c r="O1511" s="31" t="n">
        <x:v>73</x:v>
      </x:c>
    </x:row>
    <x:row r="1512" ht="17.25" customHeight="1">
      <x:c r="A1512" s="24" t="str">
        <x:v>SW-B-268저3547-202508</x:v>
      </x:c>
      <x:c r="B1512" s="24" t="str">
        <x:v>스위치플랜</x:v>
      </x:c>
      <x:c r="C1512" s="24" t="str">
        <x:v>SW-C-268저3547-1-20250709-74</x:v>
      </x:c>
      <x:c r="D1512" s="24" t="str">
        <x:v>268저3547</x:v>
      </x:c>
      <x:c r="E1512" s="24" t="str">
        <x:v>제이엠</x:v>
      </x:c>
      <x:c r="F1512" s="24" t="str">
        <x:v>2025-08</x:v>
      </x:c>
      <x:c r="G1512" s="30" t="n">
        <x:v>45879</x:v>
      </x:c>
      <x:c r="H1512" s="32" t="n">
        <x:v>1220000</x:v>
      </x:c>
      <x:c r="I1512" s="32" t="n">
        <x:v>1220000</x:v>
      </x:c>
      <x:c r="J1512" s="32" t="n">
        <x:v>0</x:v>
      </x:c>
      <x:c r="K1512" s="30" t="n">
        <x:v>45880</x:v>
      </x:c>
      <x:c r="L1512" s="24" t="str">
        <x:v>자동</x:v>
      </x:c>
      <x:c r="M1512" s="31" t="n">
        <x:f>IF(AND(N1512="미수",G1512&lt;&gt;"",TODAY()&gt;G1512),TODAY()-G1512,0)</x:f>
        <x:v>0</x:v>
      </x:c>
      <x:c r="N1512" s="24" t="str">
        <x:f>IF(J1512&gt;0,"미수",IF(AND(H1512&gt;0,I1512&gt;=H1512),"완납","미확인"))</x:f>
        <x:v>완납</x:v>
      </x:c>
      <x:c r="O1512" s="31" t="n">
        <x:v>73</x:v>
      </x:c>
    </x:row>
    <x:row r="1513" ht="17.25" customHeight="1">
      <x:c r="A1513" s="24" t="str">
        <x:v>SW-B-268저3547-202507</x:v>
      </x:c>
      <x:c r="B1513" s="24" t="str">
        <x:v>스위치플랜</x:v>
      </x:c>
      <x:c r="C1513" s="24" t="str">
        <x:v>SW-C-268저3547-1-20250709-74</x:v>
      </x:c>
      <x:c r="D1513" s="24" t="str">
        <x:v>268저3547</x:v>
      </x:c>
      <x:c r="E1513" s="24" t="str">
        <x:v>제이엠</x:v>
      </x:c>
      <x:c r="F1513" s="24" t="str">
        <x:v>2025-07</x:v>
      </x:c>
      <x:c r="G1513" s="30" t="n">
        <x:v>45848</x:v>
      </x:c>
      <x:c r="H1513" s="32" t="n">
        <x:v>1220000</x:v>
      </x:c>
      <x:c r="I1513" s="32" t="n">
        <x:v>1220000</x:v>
      </x:c>
      <x:c r="J1513" s="32" t="n">
        <x:v>0</x:v>
      </x:c>
      <x:c r="K1513" s="30" t="n">
        <x:v>45844</x:v>
      </x:c>
      <x:c r="L1513" s="24" t="str">
        <x:v>입금</x:v>
      </x:c>
      <x:c r="M1513" s="31" t="n">
        <x:f>IF(AND(N1513="미수",G1513&lt;&gt;"",TODAY()&gt;G1513),TODAY()-G1513,0)</x:f>
        <x:v>0</x:v>
      </x:c>
      <x:c r="N1513" s="24" t="str">
        <x:f>IF(J1513&gt;0,"미수",IF(AND(H1513&gt;0,I1513&gt;=H1513),"완납","미확인"))</x:f>
        <x:v>완납</x:v>
      </x:c>
      <x:c r="O1513" s="31" t="n">
        <x:v>73</x:v>
      </x:c>
    </x:row>
    <x:row r="1514" ht="17.25" customHeight="1">
      <x:c r="A1514" s="24" t="str">
        <x:v>SW-B-268저3547-202506</x:v>
      </x:c>
      <x:c r="B1514" s="24" t="str">
        <x:v>스위치플랜</x:v>
      </x:c>
      <x:c r="C1514" s="24" t="str">
        <x:v>SW-C-268저3547-2-20250605-74</x:v>
      </x:c>
      <x:c r="D1514" s="24" t="str">
        <x:v>268저3547</x:v>
      </x:c>
      <x:c r="E1514" s="24" t="str">
        <x:v>제이엠</x:v>
      </x:c>
      <x:c r="F1514" s="24" t="str">
        <x:v>2025-06</x:v>
      </x:c>
      <x:c r="G1514" s="30" t="n">
        <x:v>45818</x:v>
      </x:c>
      <x:c r="H1514" s="32" t="n">
        <x:v>0</x:v>
      </x:c>
      <x:c r="I1514" s="32"/>
      <x:c r="J1514" s="32" t="n">
        <x:v>0</x:v>
      </x:c>
      <x:c r="K1514" s="30"/>
      <x:c r="L1514" s="24" t="str"/>
      <x:c r="M1514" s="31" t="n">
        <x:f>IF(AND(N1514="미수",G1514&lt;&gt;"",TODAY()&gt;G1514),TODAY()-G1514,0)</x:f>
        <x:v>0</x:v>
      </x:c>
      <x:c r="N1514" s="24" t="str">
        <x:f>IF(J1514&gt;0,"미수",IF(AND(H1514&gt;0,I1514&gt;=H1514),"완납","미확인"))</x:f>
        <x:v>미확인</x:v>
      </x:c>
      <x:c r="O1514" s="31" t="n">
        <x:v>73</x:v>
      </x:c>
    </x:row>
    <x:row r="1515" ht="17.25" customHeight="1">
      <x:c r="A1515" s="24" t="str">
        <x:v>SW-B-268저3547-202505</x:v>
      </x:c>
      <x:c r="B1515" s="24" t="str">
        <x:v>스위치플랜</x:v>
      </x:c>
      <x:c r="C1515" s="24" t="str">
        <x:v>SW-C-268저3547-3-20241206-74</x:v>
      </x:c>
      <x:c r="D1515" s="24" t="str">
        <x:v>268저3547</x:v>
      </x:c>
      <x:c r="E1515" s="24" t="str">
        <x:v>제이엠</x:v>
      </x:c>
      <x:c r="F1515" s="24" t="str">
        <x:v>2025-05</x:v>
      </x:c>
      <x:c r="G1515" s="30" t="n">
        <x:v>45787</x:v>
      </x:c>
      <x:c r="H1515" s="32" t="n">
        <x:v>1300000</x:v>
      </x:c>
      <x:c r="I1515" s="32" t="n">
        <x:v>1300000</x:v>
      </x:c>
      <x:c r="J1515" s="32" t="n">
        <x:v>0</x:v>
      </x:c>
      <x:c r="K1515" s="30" t="n">
        <x:v>45785</x:v>
      </x:c>
      <x:c r="L1515" s="24" t="str">
        <x:v>입금</x:v>
      </x:c>
      <x:c r="M1515" s="31" t="n">
        <x:f>IF(AND(N1515="미수",G1515&lt;&gt;"",TODAY()&gt;G1515),TODAY()-G1515,0)</x:f>
        <x:v>0</x:v>
      </x:c>
      <x:c r="N1515" s="24" t="str">
        <x:f>IF(J1515&gt;0,"미수",IF(AND(H1515&gt;0,I1515&gt;=H1515),"완납","미확인"))</x:f>
        <x:v>완납</x:v>
      </x:c>
      <x:c r="O1515" s="31" t="n">
        <x:v>73</x:v>
      </x:c>
    </x:row>
    <x:row r="1516" ht="17.25" customHeight="1">
      <x:c r="A1516" s="24" t="str">
        <x:v>SW-B-268저3547-202504</x:v>
      </x:c>
      <x:c r="B1516" s="24" t="str">
        <x:v>스위치플랜</x:v>
      </x:c>
      <x:c r="C1516" s="24" t="str">
        <x:v>SW-C-268저3547-3-20241206-74</x:v>
      </x:c>
      <x:c r="D1516" s="24" t="str">
        <x:v>268저3547</x:v>
      </x:c>
      <x:c r="E1516" s="24" t="str">
        <x:v>제이엠</x:v>
      </x:c>
      <x:c r="F1516" s="24" t="str">
        <x:v>2025-04</x:v>
      </x:c>
      <x:c r="G1516" s="30" t="n">
        <x:v>45757</x:v>
      </x:c>
      <x:c r="H1516" s="32" t="n">
        <x:v>1300000</x:v>
      </x:c>
      <x:c r="I1516" s="32" t="n">
        <x:v>1300000</x:v>
      </x:c>
      <x:c r="J1516" s="32" t="n">
        <x:v>0</x:v>
      </x:c>
      <x:c r="K1516" s="30" t="n">
        <x:v>45754</x:v>
      </x:c>
      <x:c r="L1516" s="24" t="str">
        <x:v>입금</x:v>
      </x:c>
      <x:c r="M1516" s="31" t="n">
        <x:f>IF(AND(N1516="미수",G1516&lt;&gt;"",TODAY()&gt;G1516),TODAY()-G1516,0)</x:f>
        <x:v>0</x:v>
      </x:c>
      <x:c r="N1516" s="24" t="str">
        <x:f>IF(J1516&gt;0,"미수",IF(AND(H1516&gt;0,I1516&gt;=H1516),"완납","미확인"))</x:f>
        <x:v>완납</x:v>
      </x:c>
      <x:c r="O1516" s="31" t="n">
        <x:v>73</x:v>
      </x:c>
    </x:row>
    <x:row r="1517" ht="17.25" customHeight="1">
      <x:c r="A1517" s="24" t="str">
        <x:v>SW-B-268저3547-202503</x:v>
      </x:c>
      <x:c r="B1517" s="24" t="str">
        <x:v>스위치플랜</x:v>
      </x:c>
      <x:c r="C1517" s="24" t="str">
        <x:v>SW-C-268저3547-3-20241206-74</x:v>
      </x:c>
      <x:c r="D1517" s="24" t="str">
        <x:v>268저3547</x:v>
      </x:c>
      <x:c r="E1517" s="24" t="str">
        <x:v>제이엠</x:v>
      </x:c>
      <x:c r="F1517" s="24" t="str">
        <x:v>2025-03</x:v>
      </x:c>
      <x:c r="G1517" s="30" t="n">
        <x:v>45726</x:v>
      </x:c>
      <x:c r="H1517" s="32" t="n">
        <x:v>1300000</x:v>
      </x:c>
      <x:c r="I1517" s="32" t="n">
        <x:v>1300000</x:v>
      </x:c>
      <x:c r="J1517" s="32" t="n">
        <x:v>0</x:v>
      </x:c>
      <x:c r="K1517" s="30" t="n">
        <x:v>45721</x:v>
      </x:c>
      <x:c r="L1517" s="24" t="str">
        <x:v>입금</x:v>
      </x:c>
      <x:c r="M1517" s="31" t="n">
        <x:f>IF(AND(N1517="미수",G1517&lt;&gt;"",TODAY()&gt;G1517),TODAY()-G1517,0)</x:f>
        <x:v>0</x:v>
      </x:c>
      <x:c r="N1517" s="24" t="str">
        <x:f>IF(J1517&gt;0,"미수",IF(AND(H1517&gt;0,I1517&gt;=H1517),"완납","미확인"))</x:f>
        <x:v>완납</x:v>
      </x:c>
      <x:c r="O1517" s="31" t="n">
        <x:v>73</x:v>
      </x:c>
    </x:row>
    <x:row r="1518" ht="17.25" customHeight="1">
      <x:c r="A1518" s="24" t="str">
        <x:v>SW-B-268저3547-202502</x:v>
      </x:c>
      <x:c r="B1518" s="24" t="str">
        <x:v>스위치플랜</x:v>
      </x:c>
      <x:c r="C1518" s="24" t="str">
        <x:v>SW-C-268저3547-3-20241206-74</x:v>
      </x:c>
      <x:c r="D1518" s="24" t="str">
        <x:v>268저3547</x:v>
      </x:c>
      <x:c r="E1518" s="24" t="str">
        <x:v>제이엠</x:v>
      </x:c>
      <x:c r="F1518" s="24" t="str">
        <x:v>2025-02</x:v>
      </x:c>
      <x:c r="G1518" s="30" t="n">
        <x:v>45698</x:v>
      </x:c>
      <x:c r="H1518" s="32" t="n">
        <x:v>1300000</x:v>
      </x:c>
      <x:c r="I1518" s="32" t="n">
        <x:v>1300000</x:v>
      </x:c>
      <x:c r="J1518" s="32" t="n">
        <x:v>0</x:v>
      </x:c>
      <x:c r="K1518" s="30" t="n">
        <x:v>45693</x:v>
      </x:c>
      <x:c r="L1518" s="24" t="str">
        <x:v>자동</x:v>
      </x:c>
      <x:c r="M1518" s="31" t="n">
        <x:f>IF(AND(N1518="미수",G1518&lt;&gt;"",TODAY()&gt;G1518),TODAY()-G1518,0)</x:f>
        <x:v>0</x:v>
      </x:c>
      <x:c r="N1518" s="24" t="str">
        <x:f>IF(J1518&gt;0,"미수",IF(AND(H1518&gt;0,I1518&gt;=H1518),"완납","미확인"))</x:f>
        <x:v>완납</x:v>
      </x:c>
      <x:c r="O1518" s="31" t="n">
        <x:v>73</x:v>
      </x:c>
    </x:row>
    <x:row r="1519" ht="17.25" customHeight="1">
      <x:c r="A1519" s="24" t="str">
        <x:v>SW-B-268저3547-202501</x:v>
      </x:c>
      <x:c r="B1519" s="24" t="str">
        <x:v>스위치플랜</x:v>
      </x:c>
      <x:c r="C1519" s="24" t="str">
        <x:v>SW-C-268저3547-3-20241206-74</x:v>
      </x:c>
      <x:c r="D1519" s="24" t="str">
        <x:v>268저3547</x:v>
      </x:c>
      <x:c r="E1519" s="24" t="str">
        <x:v>제이엠</x:v>
      </x:c>
      <x:c r="F1519" s="24" t="str">
        <x:v>2025-01</x:v>
      </x:c>
      <x:c r="G1519" s="30" t="n">
        <x:v>45667</x:v>
      </x:c>
      <x:c r="H1519" s="32" t="n">
        <x:v>1320000</x:v>
      </x:c>
      <x:c r="I1519" s="32" t="n">
        <x:v>1320000</x:v>
      </x:c>
      <x:c r="J1519" s="32" t="n">
        <x:v>0</x:v>
      </x:c>
      <x:c r="K1519" s="30" t="n">
        <x:v>45664</x:v>
      </x:c>
      <x:c r="L1519" s="24" t="str">
        <x:v>입금</x:v>
      </x:c>
      <x:c r="M1519" s="31" t="n">
        <x:f>IF(AND(N1519="미수",G1519&lt;&gt;"",TODAY()&gt;G1519),TODAY()-G1519,0)</x:f>
        <x:v>0</x:v>
      </x:c>
      <x:c r="N1519" s="24" t="str">
        <x:f>IF(J1519&gt;0,"미수",IF(AND(H1519&gt;0,I1519&gt;=H1519),"완납","미확인"))</x:f>
        <x:v>완납</x:v>
      </x:c>
      <x:c r="O1519" s="31" t="n">
        <x:v>73</x:v>
      </x:c>
    </x:row>
    <x:row r="1520" ht="17.25" customHeight="1">
      <x:c r="A1520" s="24" t="str">
        <x:v>SW-B-268저3547-202412</x:v>
      </x:c>
      <x:c r="B1520" s="24" t="str">
        <x:v>스위치플랜</x:v>
      </x:c>
      <x:c r="C1520" s="24" t="str">
        <x:v>SW-C-268저3547-3-20241206-74</x:v>
      </x:c>
      <x:c r="D1520" s="24" t="str">
        <x:v>268저3547</x:v>
      </x:c>
      <x:c r="E1520" s="24" t="str">
        <x:v>제이엠</x:v>
      </x:c>
      <x:c r="F1520" s="24" t="str">
        <x:v>2024-12</x:v>
      </x:c>
      <x:c r="G1520" s="30" t="n">
        <x:v>45636</x:v>
      </x:c>
      <x:c r="H1520" s="32" t="n">
        <x:v>1320000</x:v>
      </x:c>
      <x:c r="I1520" s="32" t="n">
        <x:v>1320000</x:v>
      </x:c>
      <x:c r="J1520" s="32" t="n">
        <x:v>0</x:v>
      </x:c>
      <x:c r="K1520" s="30" t="n">
        <x:v>45629</x:v>
      </x:c>
      <x:c r="L1520" s="24" t="str">
        <x:v>입금</x:v>
      </x:c>
      <x:c r="M1520" s="31" t="n">
        <x:f>IF(AND(N1520="미수",G1520&lt;&gt;"",TODAY()&gt;G1520),TODAY()-G1520,0)</x:f>
        <x:v>0</x:v>
      </x:c>
      <x:c r="N1520" s="24" t="str">
        <x:f>IF(J1520&gt;0,"미수",IF(AND(H1520&gt;0,I1520&gt;=H1520),"완납","미확인"))</x:f>
        <x:v>완납</x:v>
      </x:c>
      <x:c r="O1520" s="31" t="n">
        <x:v>73</x:v>
      </x:c>
    </x:row>
    <x:row r="1521" ht="17.25" customHeight="1">
      <x:c r="A1521" s="24" t="str">
        <x:v>SW-B-336소9711-202608</x:v>
      </x:c>
      <x:c r="B1521" s="24" t="str">
        <x:v>스위치플랜</x:v>
      </x:c>
      <x:c r="C1521" s="24" t="str">
        <x:v>SW-C-336소9711-1-20231130-75</x:v>
      </x:c>
      <x:c r="D1521" s="24" t="str">
        <x:v>336소9711</x:v>
      </x:c>
      <x:c r="E1521" s="24" t="str">
        <x:v>문성오</x:v>
      </x:c>
      <x:c r="F1521" s="24" t="str">
        <x:v>2026-08</x:v>
      </x:c>
      <x:c r="G1521" s="30" t="n">
        <x:v>46239</x:v>
      </x:c>
      <x:c r="H1521" s="32" t="n">
        <x:v>1000000</x:v>
      </x:c>
      <x:c r="I1521" s="32" t="n">
        <x:v>1000000</x:v>
      </x:c>
      <x:c r="J1521" s="32" t="n">
        <x:v>-1000000</x:v>
      </x:c>
      <x:c r="K1521" s="30" t="n">
        <x:v>46241</x:v>
      </x:c>
      <x:c r="L1521" s="24" t="str">
        <x:v>카드</x:v>
      </x:c>
      <x:c r="M1521" s="31" t="n">
        <x:f>IF(AND(N1521="미수",G1521&lt;&gt;"",TODAY()&gt;G1521),TODAY()-G1521,0)</x:f>
        <x:v>0</x:v>
      </x:c>
      <x:c r="N1521" s="24" t="str">
        <x:f>IF(J1521&gt;0,"미수",IF(AND(H1521&gt;0,I1521&gt;=H1521),"완납","미확인"))</x:f>
        <x:v>완납</x:v>
      </x:c>
      <x:c r="O1521" s="31" t="n">
        <x:v>74</x:v>
      </x:c>
    </x:row>
    <x:row r="1522" ht="17.25" customHeight="1">
      <x:c r="A1522" s="24" t="str">
        <x:v>SW-B-336소9711-202607</x:v>
      </x:c>
      <x:c r="B1522" s="24" t="str">
        <x:v>스위치플랜</x:v>
      </x:c>
      <x:c r="C1522" s="24" t="str">
        <x:v>SW-C-336소9711-1-20231130-75</x:v>
      </x:c>
      <x:c r="D1522" s="24" t="str">
        <x:v>336소9711</x:v>
      </x:c>
      <x:c r="E1522" s="24" t="str">
        <x:v>문성오</x:v>
      </x:c>
      <x:c r="F1522" s="24" t="str">
        <x:v>2026-07</x:v>
      </x:c>
      <x:c r="G1522" s="30" t="n">
        <x:v>46208</x:v>
      </x:c>
      <x:c r="H1522" s="32" t="n">
        <x:v>1000000</x:v>
      </x:c>
      <x:c r="I1522" s="32" t="n">
        <x:v>1000000</x:v>
      </x:c>
      <x:c r="J1522" s="32" t="n">
        <x:v>-1000000</x:v>
      </x:c>
      <x:c r="K1522" s="30" t="n">
        <x:v>46210</x:v>
      </x:c>
      <x:c r="L1522" s="24" t="str">
        <x:v>카드</x:v>
      </x:c>
      <x:c r="M1522" s="31" t="n">
        <x:f>IF(AND(N1522="미수",G1522&lt;&gt;"",TODAY()&gt;G1522),TODAY()-G1522,0)</x:f>
        <x:v>0</x:v>
      </x:c>
      <x:c r="N1522" s="24" t="str">
        <x:f>IF(J1522&gt;0,"미수",IF(AND(H1522&gt;0,I1522&gt;=H1522),"완납","미확인"))</x:f>
        <x:v>완납</x:v>
      </x:c>
      <x:c r="O1522" s="31" t="n">
        <x:v>74</x:v>
      </x:c>
    </x:row>
    <x:row r="1523" ht="17.25" customHeight="1">
      <x:c r="A1523" s="24" t="str">
        <x:v>SW-B-336소9711-202606</x:v>
      </x:c>
      <x:c r="B1523" s="24" t="str">
        <x:v>스위치플랜</x:v>
      </x:c>
      <x:c r="C1523" s="24" t="str">
        <x:v>SW-C-336소9711-1-20231130-75</x:v>
      </x:c>
      <x:c r="D1523" s="24" t="str">
        <x:v>336소9711</x:v>
      </x:c>
      <x:c r="E1523" s="24" t="str">
        <x:v>문성오</x:v>
      </x:c>
      <x:c r="F1523" s="24" t="str">
        <x:v>2026-06</x:v>
      </x:c>
      <x:c r="G1523" s="30" t="n">
        <x:v>46178</x:v>
      </x:c>
      <x:c r="H1523" s="32" t="n">
        <x:v>1000000</x:v>
      </x:c>
      <x:c r="I1523" s="32" t="n">
        <x:v>1000000</x:v>
      </x:c>
      <x:c r="J1523" s="32" t="n">
        <x:v>-1000000</x:v>
      </x:c>
      <x:c r="K1523" s="30" t="n">
        <x:v>46181</x:v>
      </x:c>
      <x:c r="L1523" s="24" t="str">
        <x:v>카드</x:v>
      </x:c>
      <x:c r="M1523" s="31" t="n">
        <x:f>IF(AND(N1523="미수",G1523&lt;&gt;"",TODAY()&gt;G1523),TODAY()-G1523,0)</x:f>
        <x:v>0</x:v>
      </x:c>
      <x:c r="N1523" s="24" t="str">
        <x:f>IF(J1523&gt;0,"미수",IF(AND(H1523&gt;0,I1523&gt;=H1523),"완납","미확인"))</x:f>
        <x:v>완납</x:v>
      </x:c>
      <x:c r="O1523" s="31" t="n">
        <x:v>74</x:v>
      </x:c>
    </x:row>
    <x:row r="1524" ht="17.25" customHeight="1">
      <x:c r="A1524" s="24" t="str">
        <x:v>SW-B-336소9711-202605</x:v>
      </x:c>
      <x:c r="B1524" s="24" t="str">
        <x:v>스위치플랜</x:v>
      </x:c>
      <x:c r="C1524" s="24" t="str">
        <x:v>SW-C-336소9711-1-20231130-75</x:v>
      </x:c>
      <x:c r="D1524" s="24" t="str">
        <x:v>336소9711</x:v>
      </x:c>
      <x:c r="E1524" s="24" t="str">
        <x:v>문성오</x:v>
      </x:c>
      <x:c r="F1524" s="24" t="str">
        <x:v>2026-05</x:v>
      </x:c>
      <x:c r="G1524" s="30" t="n">
        <x:v>46147</x:v>
      </x:c>
      <x:c r="H1524" s="32" t="n">
        <x:v>1000000</x:v>
      </x:c>
      <x:c r="I1524" s="32" t="n">
        <x:v>1000000</x:v>
      </x:c>
      <x:c r="J1524" s="32" t="n">
        <x:v>-1000000</x:v>
      </x:c>
      <x:c r="K1524" s="30" t="n">
        <x:v>46149</x:v>
      </x:c>
      <x:c r="L1524" s="24" t="str">
        <x:v>입금</x:v>
      </x:c>
      <x:c r="M1524" s="31" t="n">
        <x:f>IF(AND(N1524="미수",G1524&lt;&gt;"",TODAY()&gt;G1524),TODAY()-G1524,0)</x:f>
        <x:v>0</x:v>
      </x:c>
      <x:c r="N1524" s="24" t="str">
        <x:f>IF(J1524&gt;0,"미수",IF(AND(H1524&gt;0,I1524&gt;=H1524),"완납","미확인"))</x:f>
        <x:v>완납</x:v>
      </x:c>
      <x:c r="O1524" s="31" t="n">
        <x:v>74</x:v>
      </x:c>
    </x:row>
    <x:row r="1525" ht="17.25" customHeight="1">
      <x:c r="A1525" s="24" t="str">
        <x:v>SW-B-336소9711-202604</x:v>
      </x:c>
      <x:c r="B1525" s="24" t="str">
        <x:v>스위치플랜</x:v>
      </x:c>
      <x:c r="C1525" s="24" t="str">
        <x:v>SW-C-336소9711-1-20231130-75</x:v>
      </x:c>
      <x:c r="D1525" s="24" t="str">
        <x:v>336소9711</x:v>
      </x:c>
      <x:c r="E1525" s="24" t="str">
        <x:v>문성오</x:v>
      </x:c>
      <x:c r="F1525" s="24" t="str">
        <x:v>2026-04</x:v>
      </x:c>
      <x:c r="G1525" s="30" t="n">
        <x:v>46117</x:v>
      </x:c>
      <x:c r="H1525" s="32" t="n">
        <x:v>1000000</x:v>
      </x:c>
      <x:c r="I1525" s="32" t="n">
        <x:v>1000000</x:v>
      </x:c>
      <x:c r="J1525" s="32" t="n">
        <x:v>-1000000</x:v>
      </x:c>
      <x:c r="K1525" s="30" t="n">
        <x:v>46118</x:v>
      </x:c>
      <x:c r="L1525" s="24" t="str">
        <x:v>카드</x:v>
      </x:c>
      <x:c r="M1525" s="31" t="n">
        <x:f>IF(AND(N1525="미수",G1525&lt;&gt;"",TODAY()&gt;G1525),TODAY()-G1525,0)</x:f>
        <x:v>0</x:v>
      </x:c>
      <x:c r="N1525" s="24" t="str">
        <x:f>IF(J1525&gt;0,"미수",IF(AND(H1525&gt;0,I1525&gt;=H1525),"완납","미확인"))</x:f>
        <x:v>완납</x:v>
      </x:c>
      <x:c r="O1525" s="31" t="n">
        <x:v>74</x:v>
      </x:c>
    </x:row>
    <x:row r="1526" ht="17.25" customHeight="1">
      <x:c r="A1526" s="24" t="str">
        <x:v>SW-B-336소9711-202603</x:v>
      </x:c>
      <x:c r="B1526" s="24" t="str">
        <x:v>스위치플랜</x:v>
      </x:c>
      <x:c r="C1526" s="24" t="str">
        <x:v>SW-C-336소9711-1-20231130-75</x:v>
      </x:c>
      <x:c r="D1526" s="24" t="str">
        <x:v>336소9711</x:v>
      </x:c>
      <x:c r="E1526" s="24" t="str">
        <x:v>문성오</x:v>
      </x:c>
      <x:c r="F1526" s="24" t="str">
        <x:v>2026-03</x:v>
      </x:c>
      <x:c r="G1526" s="30" t="n">
        <x:v>46086</x:v>
      </x:c>
      <x:c r="H1526" s="32" t="n">
        <x:v>1000000</x:v>
      </x:c>
      <x:c r="I1526" s="32" t="n">
        <x:v>1000000</x:v>
      </x:c>
      <x:c r="J1526" s="32" t="n">
        <x:v>-1000000</x:v>
      </x:c>
      <x:c r="K1526" s="30" t="n">
        <x:v>46086</x:v>
      </x:c>
      <x:c r="L1526" s="24" t="str">
        <x:v>카드</x:v>
      </x:c>
      <x:c r="M1526" s="31" t="n">
        <x:f>IF(AND(N1526="미수",G1526&lt;&gt;"",TODAY()&gt;G1526),TODAY()-G1526,0)</x:f>
        <x:v>0</x:v>
      </x:c>
      <x:c r="N1526" s="24" t="str">
        <x:f>IF(J1526&gt;0,"미수",IF(AND(H1526&gt;0,I1526&gt;=H1526),"완납","미확인"))</x:f>
        <x:v>완납</x:v>
      </x:c>
      <x:c r="O1526" s="31" t="n">
        <x:v>74</x:v>
      </x:c>
    </x:row>
    <x:row r="1527" ht="17.25" customHeight="1">
      <x:c r="A1527" s="24" t="str">
        <x:v>SW-B-336소9711-202602</x:v>
      </x:c>
      <x:c r="B1527" s="24" t="str">
        <x:v>스위치플랜</x:v>
      </x:c>
      <x:c r="C1527" s="24" t="str">
        <x:v>SW-C-336소9711-1-20231130-75</x:v>
      </x:c>
      <x:c r="D1527" s="24" t="str">
        <x:v>336소9711</x:v>
      </x:c>
      <x:c r="E1527" s="24" t="str">
        <x:v>문성오</x:v>
      </x:c>
      <x:c r="F1527" s="24" t="str">
        <x:v>2026-02</x:v>
      </x:c>
      <x:c r="G1527" s="30" t="n">
        <x:v>46058</x:v>
      </x:c>
      <x:c r="H1527" s="32" t="n">
        <x:v>891500</x:v>
      </x:c>
      <x:c r="I1527" s="32" t="n">
        <x:v>891500</x:v>
      </x:c>
      <x:c r="J1527" s="32" t="n">
        <x:v>-1000000</x:v>
      </x:c>
      <x:c r="K1527" s="30" t="n">
        <x:v>46059</x:v>
      </x:c>
      <x:c r="L1527" s="24" t="str">
        <x:v>카드</x:v>
      </x:c>
      <x:c r="M1527" s="31" t="n">
        <x:f>IF(AND(N1527="미수",G1527&lt;&gt;"",TODAY()&gt;G1527),TODAY()-G1527,0)</x:f>
        <x:v>0</x:v>
      </x:c>
      <x:c r="N1527" s="24" t="str">
        <x:f>IF(J1527&gt;0,"미수",IF(AND(H1527&gt;0,I1527&gt;=H1527),"완납","미확인"))</x:f>
        <x:v>완납</x:v>
      </x:c>
      <x:c r="O1527" s="31" t="n">
        <x:v>74</x:v>
      </x:c>
    </x:row>
    <x:row r="1528" ht="17.25" customHeight="1">
      <x:c r="A1528" s="24" t="str">
        <x:v>SW-B-336소9711-202601</x:v>
      </x:c>
      <x:c r="B1528" s="24" t="str">
        <x:v>스위치플랜</x:v>
      </x:c>
      <x:c r="C1528" s="24" t="str">
        <x:v>SW-C-336소9711-1-20231130-75</x:v>
      </x:c>
      <x:c r="D1528" s="24" t="str">
        <x:v>336소9711</x:v>
      </x:c>
      <x:c r="E1528" s="24" t="str">
        <x:v>문성오</x:v>
      </x:c>
      <x:c r="F1528" s="24" t="str">
        <x:v>2026-01</x:v>
      </x:c>
      <x:c r="G1528" s="30" t="n">
        <x:v>46027</x:v>
      </x:c>
      <x:c r="H1528" s="32" t="n">
        <x:v>1000000</x:v>
      </x:c>
      <x:c r="I1528" s="32" t="n">
        <x:v>2000000</x:v>
      </x:c>
      <x:c r="J1528" s="32" t="n">
        <x:v>-1000000</x:v>
      </x:c>
      <x:c r="K1528" s="30" t="n">
        <x:v>46034</x:v>
      </x:c>
      <x:c r="L1528" s="24" t="str">
        <x:v>입금</x:v>
      </x:c>
      <x:c r="M1528" s="31" t="n">
        <x:f>IF(AND(N1528="미수",G1528&lt;&gt;"",TODAY()&gt;G1528),TODAY()-G1528,0)</x:f>
        <x:v>0</x:v>
      </x:c>
      <x:c r="N1528" s="24" t="str">
        <x:f>IF(J1528&gt;0,"미수",IF(AND(H1528&gt;0,I1528&gt;=H1528),"완납","미확인"))</x:f>
        <x:v>완납</x:v>
      </x:c>
      <x:c r="O1528" s="31" t="n">
        <x:v>74</x:v>
      </x:c>
    </x:row>
    <x:row r="1529" ht="17.25" customHeight="1">
      <x:c r="A1529" s="24" t="str">
        <x:v>SW-B-336소9711-202512</x:v>
      </x:c>
      <x:c r="B1529" s="24" t="str">
        <x:v>스위치플랜</x:v>
      </x:c>
      <x:c r="C1529" s="24" t="str">
        <x:v>SW-C-336소9711-1-20231130-75</x:v>
      </x:c>
      <x:c r="D1529" s="24" t="str">
        <x:v>336소9711</x:v>
      </x:c>
      <x:c r="E1529" s="24" t="str">
        <x:v>문성오</x:v>
      </x:c>
      <x:c r="F1529" s="24" t="str">
        <x:v>2025-12</x:v>
      </x:c>
      <x:c r="G1529" s="30" t="n">
        <x:v>45996</x:v>
      </x:c>
      <x:c r="H1529" s="32" t="n">
        <x:v>1000000</x:v>
      </x:c>
      <x:c r="I1529" s="32" t="n">
        <x:v>1000000</x:v>
      </x:c>
      <x:c r="J1529" s="32" t="n">
        <x:v>0</x:v>
      </x:c>
      <x:c r="K1529" s="30" t="n">
        <x:v>45999</x:v>
      </x:c>
      <x:c r="L1529" s="24" t="str">
        <x:v>카드</x:v>
      </x:c>
      <x:c r="M1529" s="31" t="n">
        <x:f>IF(AND(N1529="미수",G1529&lt;&gt;"",TODAY()&gt;G1529),TODAY()-G1529,0)</x:f>
        <x:v>0</x:v>
      </x:c>
      <x:c r="N1529" s="24" t="str">
        <x:f>IF(J1529&gt;0,"미수",IF(AND(H1529&gt;0,I1529&gt;=H1529),"완납","미확인"))</x:f>
        <x:v>완납</x:v>
      </x:c>
      <x:c r="O1529" s="31" t="n">
        <x:v>74</x:v>
      </x:c>
    </x:row>
    <x:row r="1530" ht="17.25" customHeight="1">
      <x:c r="A1530" s="24" t="str">
        <x:v>SW-B-336소9711-202511</x:v>
      </x:c>
      <x:c r="B1530" s="24" t="str">
        <x:v>스위치플랜</x:v>
      </x:c>
      <x:c r="C1530" s="24" t="str">
        <x:v>SW-C-336소9711-1-20231130-75</x:v>
      </x:c>
      <x:c r="D1530" s="24" t="str">
        <x:v>336소9711</x:v>
      </x:c>
      <x:c r="E1530" s="24" t="str">
        <x:v>문성오</x:v>
      </x:c>
      <x:c r="F1530" s="24" t="str">
        <x:v>2025-11</x:v>
      </x:c>
      <x:c r="G1530" s="30" t="n">
        <x:v>45966</x:v>
      </x:c>
      <x:c r="H1530" s="32" t="n">
        <x:v>1000000</x:v>
      </x:c>
      <x:c r="I1530" s="32" t="n">
        <x:v>1000000</x:v>
      </x:c>
      <x:c r="J1530" s="32" t="n">
        <x:v>0</x:v>
      </x:c>
      <x:c r="K1530" s="30" t="n">
        <x:v>45966</x:v>
      </x:c>
      <x:c r="L1530" s="24" t="str">
        <x:v>카드</x:v>
      </x:c>
      <x:c r="M1530" s="31" t="n">
        <x:f>IF(AND(N1530="미수",G1530&lt;&gt;"",TODAY()&gt;G1530),TODAY()-G1530,0)</x:f>
        <x:v>0</x:v>
      </x:c>
      <x:c r="N1530" s="24" t="str">
        <x:f>IF(J1530&gt;0,"미수",IF(AND(H1530&gt;0,I1530&gt;=H1530),"완납","미확인"))</x:f>
        <x:v>완납</x:v>
      </x:c>
      <x:c r="O1530" s="31" t="n">
        <x:v>74</x:v>
      </x:c>
    </x:row>
    <x:row r="1531" ht="17.25" customHeight="1">
      <x:c r="A1531" s="24" t="str">
        <x:v>SW-B-336소9711-202510</x:v>
      </x:c>
      <x:c r="B1531" s="24" t="str">
        <x:v>스위치플랜</x:v>
      </x:c>
      <x:c r="C1531" s="24" t="str">
        <x:v>SW-C-336소9711-1-20231130-75</x:v>
      </x:c>
      <x:c r="D1531" s="24" t="str">
        <x:v>336소9711</x:v>
      </x:c>
      <x:c r="E1531" s="24" t="str">
        <x:v>문성오</x:v>
      </x:c>
      <x:c r="F1531" s="24" t="str">
        <x:v>2025-10</x:v>
      </x:c>
      <x:c r="G1531" s="30" t="n">
        <x:v>45935</x:v>
      </x:c>
      <x:c r="H1531" s="32" t="n">
        <x:v>1000000</x:v>
      </x:c>
      <x:c r="I1531" s="32" t="n">
        <x:v>1000000</x:v>
      </x:c>
      <x:c r="J1531" s="32" t="n">
        <x:v>0</x:v>
      </x:c>
      <x:c r="K1531" s="30" t="n">
        <x:v>45932</x:v>
      </x:c>
      <x:c r="L1531" s="24" t="str">
        <x:v>카드</x:v>
      </x:c>
      <x:c r="M1531" s="31" t="n">
        <x:f>IF(AND(N1531="미수",G1531&lt;&gt;"",TODAY()&gt;G1531),TODAY()-G1531,0)</x:f>
        <x:v>0</x:v>
      </x:c>
      <x:c r="N1531" s="24" t="str">
        <x:f>IF(J1531&gt;0,"미수",IF(AND(H1531&gt;0,I1531&gt;=H1531),"완납","미확인"))</x:f>
        <x:v>완납</x:v>
      </x:c>
      <x:c r="O1531" s="31" t="n">
        <x:v>74</x:v>
      </x:c>
    </x:row>
    <x:row r="1532" ht="17.25" customHeight="1">
      <x:c r="A1532" s="24" t="str">
        <x:v>SW-B-336소9711-202509</x:v>
      </x:c>
      <x:c r="B1532" s="24" t="str">
        <x:v>스위치플랜</x:v>
      </x:c>
      <x:c r="C1532" s="24" t="str">
        <x:v>SW-C-336소9711-1-20231130-75</x:v>
      </x:c>
      <x:c r="D1532" s="24" t="str">
        <x:v>336소9711</x:v>
      </x:c>
      <x:c r="E1532" s="24" t="str">
        <x:v>문성오</x:v>
      </x:c>
      <x:c r="F1532" s="24" t="str">
        <x:v>2025-09</x:v>
      </x:c>
      <x:c r="G1532" s="30" t="n">
        <x:v>45905</x:v>
      </x:c>
      <x:c r="H1532" s="32" t="n">
        <x:v>1000000</x:v>
      </x:c>
      <x:c r="I1532" s="32" t="n">
        <x:v>1000000</x:v>
      </x:c>
      <x:c r="J1532" s="32" t="n">
        <x:v>0</x:v>
      </x:c>
      <x:c r="K1532" s="30" t="n">
        <x:v>45906</x:v>
      </x:c>
      <x:c r="L1532" s="24" t="str">
        <x:v>입금</x:v>
      </x:c>
      <x:c r="M1532" s="31" t="n">
        <x:f>IF(AND(N1532="미수",G1532&lt;&gt;"",TODAY()&gt;G1532),TODAY()-G1532,0)</x:f>
        <x:v>0</x:v>
      </x:c>
      <x:c r="N1532" s="24" t="str">
        <x:f>IF(J1532&gt;0,"미수",IF(AND(H1532&gt;0,I1532&gt;=H1532),"완납","미확인"))</x:f>
        <x:v>완납</x:v>
      </x:c>
      <x:c r="O1532" s="31" t="n">
        <x:v>74</x:v>
      </x:c>
    </x:row>
    <x:row r="1533" ht="17.25" customHeight="1">
      <x:c r="A1533" s="24" t="str">
        <x:v>SW-B-336소9711-202508</x:v>
      </x:c>
      <x:c r="B1533" s="24" t="str">
        <x:v>스위치플랜</x:v>
      </x:c>
      <x:c r="C1533" s="24" t="str">
        <x:v>SW-C-336소9711-1-20231130-75</x:v>
      </x:c>
      <x:c r="D1533" s="24" t="str">
        <x:v>336소9711</x:v>
      </x:c>
      <x:c r="E1533" s="24" t="str">
        <x:v>문성오</x:v>
      </x:c>
      <x:c r="F1533" s="24" t="str">
        <x:v>2025-08</x:v>
      </x:c>
      <x:c r="G1533" s="30" t="n">
        <x:v>45874</x:v>
      </x:c>
      <x:c r="H1533" s="32" t="n">
        <x:v>1000000</x:v>
      </x:c>
      <x:c r="I1533" s="32" t="n">
        <x:v>1000000</x:v>
      </x:c>
      <x:c r="J1533" s="32" t="n">
        <x:v>0</x:v>
      </x:c>
      <x:c r="K1533" s="30" t="n">
        <x:v>45875</x:v>
      </x:c>
      <x:c r="L1533" s="24" t="str">
        <x:v>입금</x:v>
      </x:c>
      <x:c r="M1533" s="31" t="n">
        <x:f>IF(AND(N1533="미수",G1533&lt;&gt;"",TODAY()&gt;G1533),TODAY()-G1533,0)</x:f>
        <x:v>0</x:v>
      </x:c>
      <x:c r="N1533" s="24" t="str">
        <x:f>IF(J1533&gt;0,"미수",IF(AND(H1533&gt;0,I1533&gt;=H1533),"완납","미확인"))</x:f>
        <x:v>완납</x:v>
      </x:c>
      <x:c r="O1533" s="31" t="n">
        <x:v>74</x:v>
      </x:c>
    </x:row>
    <x:row r="1534" ht="17.25" customHeight="1">
      <x:c r="A1534" s="24" t="str">
        <x:v>SW-B-336소9711-202507</x:v>
      </x:c>
      <x:c r="B1534" s="24" t="str">
        <x:v>스위치플랜</x:v>
      </x:c>
      <x:c r="C1534" s="24" t="str">
        <x:v>SW-C-336소9711-1-20231130-75</x:v>
      </x:c>
      <x:c r="D1534" s="24" t="str">
        <x:v>336소9711</x:v>
      </x:c>
      <x:c r="E1534" s="24" t="str">
        <x:v>문성오</x:v>
      </x:c>
      <x:c r="F1534" s="24" t="str">
        <x:v>2025-07</x:v>
      </x:c>
      <x:c r="G1534" s="30" t="n">
        <x:v>45843</x:v>
      </x:c>
      <x:c r="H1534" s="32" t="n">
        <x:v>1000000</x:v>
      </x:c>
      <x:c r="I1534" s="32" t="n">
        <x:v>1000000</x:v>
      </x:c>
      <x:c r="J1534" s="32" t="n">
        <x:v>0</x:v>
      </x:c>
      <x:c r="K1534" s="30" t="n">
        <x:v>45843</x:v>
      </x:c>
      <x:c r="L1534" s="24" t="str">
        <x:v>입금</x:v>
      </x:c>
      <x:c r="M1534" s="31" t="n">
        <x:f>IF(AND(N1534="미수",G1534&lt;&gt;"",TODAY()&gt;G1534),TODAY()-G1534,0)</x:f>
        <x:v>0</x:v>
      </x:c>
      <x:c r="N1534" s="24" t="str">
        <x:f>IF(J1534&gt;0,"미수",IF(AND(H1534&gt;0,I1534&gt;=H1534),"완납","미확인"))</x:f>
        <x:v>완납</x:v>
      </x:c>
      <x:c r="O1534" s="31" t="n">
        <x:v>74</x:v>
      </x:c>
    </x:row>
    <x:row r="1535" ht="17.25" customHeight="1">
      <x:c r="A1535" s="24" t="str">
        <x:v>SW-B-336소9711-202506</x:v>
      </x:c>
      <x:c r="B1535" s="24" t="str">
        <x:v>스위치플랜</x:v>
      </x:c>
      <x:c r="C1535" s="24" t="str">
        <x:v>SW-C-336소9711-1-20231130-75</x:v>
      </x:c>
      <x:c r="D1535" s="24" t="str">
        <x:v>336소9711</x:v>
      </x:c>
      <x:c r="E1535" s="24" t="str">
        <x:v>문성오</x:v>
      </x:c>
      <x:c r="F1535" s="24" t="str">
        <x:v>2025-06</x:v>
      </x:c>
      <x:c r="G1535" s="30" t="n">
        <x:v>45813</x:v>
      </x:c>
      <x:c r="H1535" s="32" t="n">
        <x:v>1000000</x:v>
      </x:c>
      <x:c r="I1535" s="32" t="n">
        <x:v>1000000</x:v>
      </x:c>
      <x:c r="J1535" s="32" t="n">
        <x:v>0</x:v>
      </x:c>
      <x:c r="K1535" s="30" t="n">
        <x:v>45813</x:v>
      </x:c>
      <x:c r="L1535" s="24" t="str">
        <x:v>입금</x:v>
      </x:c>
      <x:c r="M1535" s="31" t="n">
        <x:f>IF(AND(N1535="미수",G1535&lt;&gt;"",TODAY()&gt;G1535),TODAY()-G1535,0)</x:f>
        <x:v>0</x:v>
      </x:c>
      <x:c r="N1535" s="24" t="str">
        <x:f>IF(J1535&gt;0,"미수",IF(AND(H1535&gt;0,I1535&gt;=H1535),"완납","미확인"))</x:f>
        <x:v>완납</x:v>
      </x:c>
      <x:c r="O1535" s="31" t="n">
        <x:v>74</x:v>
      </x:c>
    </x:row>
    <x:row r="1536" ht="17.25" customHeight="1">
      <x:c r="A1536" s="24" t="str">
        <x:v>SW-B-336소9711-202505</x:v>
      </x:c>
      <x:c r="B1536" s="24" t="str">
        <x:v>스위치플랜</x:v>
      </x:c>
      <x:c r="C1536" s="24" t="str">
        <x:v>SW-C-336소9711-1-20231130-75</x:v>
      </x:c>
      <x:c r="D1536" s="24" t="str">
        <x:v>336소9711</x:v>
      </x:c>
      <x:c r="E1536" s="24" t="str">
        <x:v>문성오</x:v>
      </x:c>
      <x:c r="F1536" s="24" t="str">
        <x:v>2025-05</x:v>
      </x:c>
      <x:c r="G1536" s="30" t="n">
        <x:v>45782</x:v>
      </x:c>
      <x:c r="H1536" s="32" t="n">
        <x:v>1000000</x:v>
      </x:c>
      <x:c r="I1536" s="32" t="n">
        <x:v>1000000</x:v>
      </x:c>
      <x:c r="J1536" s="32" t="n">
        <x:v>0</x:v>
      </x:c>
      <x:c r="K1536" s="30" t="n">
        <x:v>45780</x:v>
      </x:c>
      <x:c r="L1536" s="24" t="str">
        <x:v>입금</x:v>
      </x:c>
      <x:c r="M1536" s="31" t="n">
        <x:f>IF(AND(N1536="미수",G1536&lt;&gt;"",TODAY()&gt;G1536),TODAY()-G1536,0)</x:f>
        <x:v>0</x:v>
      </x:c>
      <x:c r="N1536" s="24" t="str">
        <x:f>IF(J1536&gt;0,"미수",IF(AND(H1536&gt;0,I1536&gt;=H1536),"완납","미확인"))</x:f>
        <x:v>완납</x:v>
      </x:c>
      <x:c r="O1536" s="31" t="n">
        <x:v>74</x:v>
      </x:c>
    </x:row>
    <x:row r="1537" ht="17.25" customHeight="1">
      <x:c r="A1537" s="24" t="str">
        <x:v>SW-B-336소9711-202504</x:v>
      </x:c>
      <x:c r="B1537" s="24" t="str">
        <x:v>스위치플랜</x:v>
      </x:c>
      <x:c r="C1537" s="24" t="str">
        <x:v>SW-C-336소9711-1-20231130-75</x:v>
      </x:c>
      <x:c r="D1537" s="24" t="str">
        <x:v>336소9711</x:v>
      </x:c>
      <x:c r="E1537" s="24" t="str">
        <x:v>문성오</x:v>
      </x:c>
      <x:c r="F1537" s="24" t="str">
        <x:v>2025-04</x:v>
      </x:c>
      <x:c r="G1537" s="30" t="n">
        <x:v>45752</x:v>
      </x:c>
      <x:c r="H1537" s="32" t="n">
        <x:v>1000000</x:v>
      </x:c>
      <x:c r="I1537" s="32" t="n">
        <x:v>1000000</x:v>
      </x:c>
      <x:c r="J1537" s="32" t="n">
        <x:v>0</x:v>
      </x:c>
      <x:c r="K1537" s="30" t="n">
        <x:v>45752</x:v>
      </x:c>
      <x:c r="L1537" s="24" t="str">
        <x:v>입금</x:v>
      </x:c>
      <x:c r="M1537" s="31" t="n">
        <x:f>IF(AND(N1537="미수",G1537&lt;&gt;"",TODAY()&gt;G1537),TODAY()-G1537,0)</x:f>
        <x:v>0</x:v>
      </x:c>
      <x:c r="N1537" s="24" t="str">
        <x:f>IF(J1537&gt;0,"미수",IF(AND(H1537&gt;0,I1537&gt;=H1537),"완납","미확인"))</x:f>
        <x:v>완납</x:v>
      </x:c>
      <x:c r="O1537" s="31" t="n">
        <x:v>74</x:v>
      </x:c>
    </x:row>
    <x:row r="1538" ht="17.25" customHeight="1">
      <x:c r="A1538" s="24" t="str">
        <x:v>SW-B-336소9711-202503</x:v>
      </x:c>
      <x:c r="B1538" s="24" t="str">
        <x:v>스위치플랜</x:v>
      </x:c>
      <x:c r="C1538" s="24" t="str">
        <x:v>SW-C-336소9711-1-20231130-75</x:v>
      </x:c>
      <x:c r="D1538" s="24" t="str">
        <x:v>336소9711</x:v>
      </x:c>
      <x:c r="E1538" s="24" t="str">
        <x:v>문성오</x:v>
      </x:c>
      <x:c r="F1538" s="24" t="str">
        <x:v>2025-03</x:v>
      </x:c>
      <x:c r="G1538" s="30" t="n">
        <x:v>45721</x:v>
      </x:c>
      <x:c r="H1538" s="32" t="n">
        <x:v>1000000</x:v>
      </x:c>
      <x:c r="I1538" s="32" t="n">
        <x:v>1000000</x:v>
      </x:c>
      <x:c r="J1538" s="32" t="n">
        <x:v>0</x:v>
      </x:c>
      <x:c r="K1538" s="30" t="n">
        <x:v>45721</x:v>
      </x:c>
      <x:c r="L1538" s="24" t="str">
        <x:v>입금</x:v>
      </x:c>
      <x:c r="M1538" s="31" t="n">
        <x:f>IF(AND(N1538="미수",G1538&lt;&gt;"",TODAY()&gt;G1538),TODAY()-G1538,0)</x:f>
        <x:v>0</x:v>
      </x:c>
      <x:c r="N1538" s="24" t="str">
        <x:f>IF(J1538&gt;0,"미수",IF(AND(H1538&gt;0,I1538&gt;=H1538),"완납","미확인"))</x:f>
        <x:v>완납</x:v>
      </x:c>
      <x:c r="O1538" s="31" t="n">
        <x:v>74</x:v>
      </x:c>
    </x:row>
    <x:row r="1539" ht="17.25" customHeight="1">
      <x:c r="A1539" s="24" t="str">
        <x:v>SW-B-336소9711-202502</x:v>
      </x:c>
      <x:c r="B1539" s="24" t="str">
        <x:v>스위치플랜</x:v>
      </x:c>
      <x:c r="C1539" s="24" t="str">
        <x:v>SW-C-336소9711-1-20231130-75</x:v>
      </x:c>
      <x:c r="D1539" s="24" t="str">
        <x:v>336소9711</x:v>
      </x:c>
      <x:c r="E1539" s="24" t="str">
        <x:v>문성오</x:v>
      </x:c>
      <x:c r="F1539" s="24" t="str">
        <x:v>2025-02</x:v>
      </x:c>
      <x:c r="G1539" s="30" t="n">
        <x:v>45693</x:v>
      </x:c>
      <x:c r="H1539" s="32" t="n">
        <x:v>1000000</x:v>
      </x:c>
      <x:c r="I1539" s="32" t="n">
        <x:v>1000000</x:v>
      </x:c>
      <x:c r="J1539" s="32" t="n">
        <x:v>0</x:v>
      </x:c>
      <x:c r="K1539" s="30" t="n">
        <x:v>45693</x:v>
      </x:c>
      <x:c r="L1539" s="24" t="str">
        <x:v>입금</x:v>
      </x:c>
      <x:c r="M1539" s="31" t="n">
        <x:f>IF(AND(N1539="미수",G1539&lt;&gt;"",TODAY()&gt;G1539),TODAY()-G1539,0)</x:f>
        <x:v>0</x:v>
      </x:c>
      <x:c r="N1539" s="24" t="str">
        <x:f>IF(J1539&gt;0,"미수",IF(AND(H1539&gt;0,I1539&gt;=H1539),"완납","미확인"))</x:f>
        <x:v>완납</x:v>
      </x:c>
      <x:c r="O1539" s="31" t="n">
        <x:v>74</x:v>
      </x:c>
    </x:row>
    <x:row r="1540" ht="17.25" customHeight="1">
      <x:c r="A1540" s="24" t="str">
        <x:v>SW-B-336소9711-202501</x:v>
      </x:c>
      <x:c r="B1540" s="24" t="str">
        <x:v>스위치플랜</x:v>
      </x:c>
      <x:c r="C1540" s="24" t="str">
        <x:v>SW-C-336소9711-1-20231130-75</x:v>
      </x:c>
      <x:c r="D1540" s="24" t="str">
        <x:v>336소9711</x:v>
      </x:c>
      <x:c r="E1540" s="24" t="str">
        <x:v>문성오</x:v>
      </x:c>
      <x:c r="F1540" s="24" t="str">
        <x:v>2025-01</x:v>
      </x:c>
      <x:c r="G1540" s="30" t="n">
        <x:v>45662</x:v>
      </x:c>
      <x:c r="H1540" s="32" t="n">
        <x:v>1000000</x:v>
      </x:c>
      <x:c r="I1540" s="32" t="n">
        <x:v>920000</x:v>
      </x:c>
      <x:c r="J1540" s="32" t="n">
        <x:v>0</x:v>
      </x:c>
      <x:c r="K1540" s="30" t="n">
        <x:v>45661</x:v>
      </x:c>
      <x:c r="L1540" s="24" t="str">
        <x:v>입금</x:v>
      </x:c>
      <x:c r="M1540" s="31" t="n">
        <x:f>IF(AND(N1540="미수",G1540&lt;&gt;"",TODAY()&gt;G1540),TODAY()-G1540,0)</x:f>
        <x:v>0</x:v>
      </x:c>
      <x:c r="N1540" s="24" t="str">
        <x:f>IF(J1540&gt;0,"미수",IF(AND(H1540&gt;0,I1540&gt;=H1540),"완납","미확인"))</x:f>
        <x:v>미확인</x:v>
      </x:c>
      <x:c r="O1540" s="31" t="n">
        <x:v>74</x:v>
      </x:c>
    </x:row>
    <x:row r="1541" ht="17.25" customHeight="1">
      <x:c r="A1541" s="24" t="str">
        <x:v>SW-B-336소9711-202412</x:v>
      </x:c>
      <x:c r="B1541" s="24" t="str">
        <x:v>스위치플랜</x:v>
      </x:c>
      <x:c r="C1541" s="24" t="str">
        <x:v>SW-C-336소9711-1-20231130-75</x:v>
      </x:c>
      <x:c r="D1541" s="24" t="str">
        <x:v>336소9711</x:v>
      </x:c>
      <x:c r="E1541" s="24" t="str">
        <x:v>문성오</x:v>
      </x:c>
      <x:c r="F1541" s="24" t="str">
        <x:v>2024-12</x:v>
      </x:c>
      <x:c r="G1541" s="30" t="n">
        <x:v>45631</x:v>
      </x:c>
      <x:c r="H1541" s="32" t="n">
        <x:v>920000</x:v>
      </x:c>
      <x:c r="I1541" s="32" t="n">
        <x:v>1000000</x:v>
      </x:c>
      <x:c r="J1541" s="32" t="n">
        <x:v>-80000</x:v>
      </x:c>
      <x:c r="K1541" s="30" t="n">
        <x:v>45631</x:v>
      </x:c>
      <x:c r="L1541" s="24" t="str">
        <x:v>입금</x:v>
      </x:c>
      <x:c r="M1541" s="31" t="n">
        <x:f>IF(AND(N1541="미수",G1541&lt;&gt;"",TODAY()&gt;G1541),TODAY()-G1541,0)</x:f>
        <x:v>0</x:v>
      </x:c>
      <x:c r="N1541" s="24" t="str">
        <x:f>IF(J1541&gt;0,"미수",IF(AND(H1541&gt;0,I1541&gt;=H1541),"완납","미확인"))</x:f>
        <x:v>완납</x:v>
      </x:c>
      <x:c r="O1541" s="31" t="n">
        <x:v>74</x:v>
      </x:c>
    </x:row>
    <x:row r="1542" ht="17.25" customHeight="1">
      <x:c r="A1542" s="24" t="str">
        <x:v>SW-B-336소9711-202411</x:v>
      </x:c>
      <x:c r="B1542" s="24" t="str">
        <x:v>스위치플랜</x:v>
      </x:c>
      <x:c r="C1542" s="24" t="str">
        <x:v>SW-C-336소9711-1-20231130-75</x:v>
      </x:c>
      <x:c r="D1542" s="24" t="str">
        <x:v>336소9711</x:v>
      </x:c>
      <x:c r="E1542" s="24" t="str">
        <x:v>문성오</x:v>
      </x:c>
      <x:c r="F1542" s="24" t="str">
        <x:v>2024-11</x:v>
      </x:c>
      <x:c r="G1542" s="30" t="n">
        <x:v>45601</x:v>
      </x:c>
      <x:c r="H1542" s="32" t="n">
        <x:v>1030000</x:v>
      </x:c>
      <x:c r="I1542" s="32" t="n">
        <x:v>1030000</x:v>
      </x:c>
      <x:c r="J1542" s="32" t="n">
        <x:v>0</x:v>
      </x:c>
      <x:c r="K1542" s="30" t="n">
        <x:v>45601</x:v>
      </x:c>
      <x:c r="L1542" s="24" t="str">
        <x:v>입금</x:v>
      </x:c>
      <x:c r="M1542" s="31" t="n">
        <x:f>IF(AND(N1542="미수",G1542&lt;&gt;"",TODAY()&gt;G1542),TODAY()-G1542,0)</x:f>
        <x:v>0</x:v>
      </x:c>
      <x:c r="N1542" s="24" t="str">
        <x:f>IF(J1542&gt;0,"미수",IF(AND(H1542&gt;0,I1542&gt;=H1542),"완납","미확인"))</x:f>
        <x:v>완납</x:v>
      </x:c>
      <x:c r="O1542" s="31" t="n">
        <x:v>74</x:v>
      </x:c>
    </x:row>
    <x:row r="1543" ht="17.25" customHeight="1">
      <x:c r="A1543" s="24" t="str">
        <x:v>SW-B-336소9711-202410</x:v>
      </x:c>
      <x:c r="B1543" s="24" t="str">
        <x:v>스위치플랜</x:v>
      </x:c>
      <x:c r="C1543" s="24" t="str">
        <x:v>SW-C-336소9711-1-20231130-75</x:v>
      </x:c>
      <x:c r="D1543" s="24" t="str">
        <x:v>336소9711</x:v>
      </x:c>
      <x:c r="E1543" s="24" t="str">
        <x:v>문성오</x:v>
      </x:c>
      <x:c r="F1543" s="24" t="str">
        <x:v>2024-10</x:v>
      </x:c>
      <x:c r="G1543" s="30" t="n">
        <x:v>45570</x:v>
      </x:c>
      <x:c r="H1543" s="32" t="n">
        <x:v>1030000</x:v>
      </x:c>
      <x:c r="I1543" s="32" t="n">
        <x:v>1030000</x:v>
      </x:c>
      <x:c r="J1543" s="32" t="n">
        <x:v>0</x:v>
      </x:c>
      <x:c r="K1543" s="30" t="n">
        <x:v>45570</x:v>
      </x:c>
      <x:c r="L1543" s="24" t="str"/>
      <x:c r="M1543" s="31" t="n">
        <x:f>IF(AND(N1543="미수",G1543&lt;&gt;"",TODAY()&gt;G1543),TODAY()-G1543,0)</x:f>
        <x:v>0</x:v>
      </x:c>
      <x:c r="N1543" s="24" t="str">
        <x:f>IF(J1543&gt;0,"미수",IF(AND(H1543&gt;0,I1543&gt;=H1543),"완납","미확인"))</x:f>
        <x:v>완납</x:v>
      </x:c>
      <x:c r="O1543" s="31" t="n">
        <x:v>74</x:v>
      </x:c>
    </x:row>
    <x:row r="1544" ht="17.25" customHeight="1">
      <x:c r="A1544" s="24" t="str">
        <x:v>SW-B-336소9711-202409</x:v>
      </x:c>
      <x:c r="B1544" s="24" t="str">
        <x:v>스위치플랜</x:v>
      </x:c>
      <x:c r="C1544" s="24" t="str">
        <x:v>SW-C-336소9711-1-20231130-75</x:v>
      </x:c>
      <x:c r="D1544" s="24" t="str">
        <x:v>336소9711</x:v>
      </x:c>
      <x:c r="E1544" s="24" t="str">
        <x:v>문성오</x:v>
      </x:c>
      <x:c r="F1544" s="24" t="str">
        <x:v>2024-09</x:v>
      </x:c>
      <x:c r="G1544" s="30" t="n">
        <x:v>45540</x:v>
      </x:c>
      <x:c r="H1544" s="32" t="n">
        <x:v>1030000</x:v>
      </x:c>
      <x:c r="I1544" s="32" t="n">
        <x:v>1030000</x:v>
      </x:c>
      <x:c r="J1544" s="32" t="n">
        <x:v>0</x:v>
      </x:c>
      <x:c r="K1544" s="30" t="n">
        <x:v>45539</x:v>
      </x:c>
      <x:c r="L1544" s="24" t="str">
        <x:v>입금</x:v>
      </x:c>
      <x:c r="M1544" s="31" t="n">
        <x:f>IF(AND(N1544="미수",G1544&lt;&gt;"",TODAY()&gt;G1544),TODAY()-G1544,0)</x:f>
        <x:v>0</x:v>
      </x:c>
      <x:c r="N1544" s="24" t="str">
        <x:f>IF(J1544&gt;0,"미수",IF(AND(H1544&gt;0,I1544&gt;=H1544),"완납","미확인"))</x:f>
        <x:v>완납</x:v>
      </x:c>
      <x:c r="O1544" s="31" t="n">
        <x:v>74</x:v>
      </x:c>
    </x:row>
    <x:row r="1545" ht="17.25" customHeight="1">
      <x:c r="A1545" s="24" t="str">
        <x:v>SW-B-336소9711-202408</x:v>
      </x:c>
      <x:c r="B1545" s="24" t="str">
        <x:v>스위치플랜</x:v>
      </x:c>
      <x:c r="C1545" s="24" t="str">
        <x:v>SW-C-336소9711-1-20231130-75</x:v>
      </x:c>
      <x:c r="D1545" s="24" t="str">
        <x:v>336소9711</x:v>
      </x:c>
      <x:c r="E1545" s="24" t="str">
        <x:v>문성오</x:v>
      </x:c>
      <x:c r="F1545" s="24" t="str">
        <x:v>2024-08</x:v>
      </x:c>
      <x:c r="G1545" s="30" t="n">
        <x:v>45509</x:v>
      </x:c>
      <x:c r="H1545" s="32" t="n">
        <x:v>1030000</x:v>
      </x:c>
      <x:c r="I1545" s="32" t="n">
        <x:v>1030000</x:v>
      </x:c>
      <x:c r="J1545" s="32" t="n">
        <x:v>0</x:v>
      </x:c>
      <x:c r="K1545" s="30" t="n">
        <x:v>45509</x:v>
      </x:c>
      <x:c r="L1545" s="24" t="str">
        <x:v>입금</x:v>
      </x:c>
      <x:c r="M1545" s="31" t="n">
        <x:f>IF(AND(N1545="미수",G1545&lt;&gt;"",TODAY()&gt;G1545),TODAY()-G1545,0)</x:f>
        <x:v>0</x:v>
      </x:c>
      <x:c r="N1545" s="24" t="str">
        <x:f>IF(J1545&gt;0,"미수",IF(AND(H1545&gt;0,I1545&gt;=H1545),"완납","미확인"))</x:f>
        <x:v>완납</x:v>
      </x:c>
      <x:c r="O1545" s="31" t="n">
        <x:v>74</x:v>
      </x:c>
    </x:row>
    <x:row r="1546" ht="17.25" customHeight="1">
      <x:c r="A1546" s="24" t="str">
        <x:v>SW-B-336소9711-202407</x:v>
      </x:c>
      <x:c r="B1546" s="24" t="str">
        <x:v>스위치플랜</x:v>
      </x:c>
      <x:c r="C1546" s="24" t="str">
        <x:v>SW-C-336소9711-1-20231130-75</x:v>
      </x:c>
      <x:c r="D1546" s="24" t="str">
        <x:v>336소9711</x:v>
      </x:c>
      <x:c r="E1546" s="24" t="str">
        <x:v>문성오</x:v>
      </x:c>
      <x:c r="F1546" s="24" t="str">
        <x:v>2024-07</x:v>
      </x:c>
      <x:c r="G1546" s="30" t="n">
        <x:v>45478</x:v>
      </x:c>
      <x:c r="H1546" s="32" t="n">
        <x:v>1030000</x:v>
      </x:c>
      <x:c r="I1546" s="32" t="n">
        <x:v>1030000</x:v>
      </x:c>
      <x:c r="J1546" s="32" t="n">
        <x:v>0</x:v>
      </x:c>
      <x:c r="K1546" s="30" t="n">
        <x:v>45482</x:v>
      </x:c>
      <x:c r="L1546" s="24" t="str">
        <x:v>입금</x:v>
      </x:c>
      <x:c r="M1546" s="31" t="n">
        <x:f>IF(AND(N1546="미수",G1546&lt;&gt;"",TODAY()&gt;G1546),TODAY()-G1546,0)</x:f>
        <x:v>0</x:v>
      </x:c>
      <x:c r="N1546" s="24" t="str">
        <x:f>IF(J1546&gt;0,"미수",IF(AND(H1546&gt;0,I1546&gt;=H1546),"완납","미확인"))</x:f>
        <x:v>완납</x:v>
      </x:c>
      <x:c r="O1546" s="31" t="n">
        <x:v>74</x:v>
      </x:c>
    </x:row>
    <x:row r="1547" ht="17.25" customHeight="1">
      <x:c r="A1547" s="24" t="str">
        <x:v>SW-B-336소9711-202406</x:v>
      </x:c>
      <x:c r="B1547" s="24" t="str">
        <x:v>스위치플랜</x:v>
      </x:c>
      <x:c r="C1547" s="24" t="str">
        <x:v>SW-C-336소9711-1-20231130-75</x:v>
      </x:c>
      <x:c r="D1547" s="24" t="str">
        <x:v>336소9711</x:v>
      </x:c>
      <x:c r="E1547" s="24" t="str">
        <x:v>문성오</x:v>
      </x:c>
      <x:c r="F1547" s="24" t="str">
        <x:v>2024-06</x:v>
      </x:c>
      <x:c r="G1547" s="30" t="n">
        <x:v>45448</x:v>
      </x:c>
      <x:c r="H1547" s="32" t="n">
        <x:v>1030000</x:v>
      </x:c>
      <x:c r="I1547" s="32" t="n">
        <x:v>1030000</x:v>
      </x:c>
      <x:c r="J1547" s="32" t="n">
        <x:v>0</x:v>
      </x:c>
      <x:c r="K1547" s="30" t="n">
        <x:v>45454</x:v>
      </x:c>
      <x:c r="L1547" s="24" t="str">
        <x:v>입금</x:v>
      </x:c>
      <x:c r="M1547" s="31" t="n">
        <x:f>IF(AND(N1547="미수",G1547&lt;&gt;"",TODAY()&gt;G1547),TODAY()-G1547,0)</x:f>
        <x:v>0</x:v>
      </x:c>
      <x:c r="N1547" s="24" t="str">
        <x:f>IF(J1547&gt;0,"미수",IF(AND(H1547&gt;0,I1547&gt;=H1547),"완납","미확인"))</x:f>
        <x:v>완납</x:v>
      </x:c>
      <x:c r="O1547" s="31" t="n">
        <x:v>74</x:v>
      </x:c>
    </x:row>
    <x:row r="1548" ht="17.25" customHeight="1">
      <x:c r="A1548" s="24" t="str">
        <x:v>SW-B-336소9711-202405</x:v>
      </x:c>
      <x:c r="B1548" s="24" t="str">
        <x:v>스위치플랜</x:v>
      </x:c>
      <x:c r="C1548" s="24" t="str">
        <x:v>SW-C-336소9711-1-20231130-75</x:v>
      </x:c>
      <x:c r="D1548" s="24" t="str">
        <x:v>336소9711</x:v>
      </x:c>
      <x:c r="E1548" s="24" t="str">
        <x:v>문성오</x:v>
      </x:c>
      <x:c r="F1548" s="24" t="str">
        <x:v>2024-05</x:v>
      </x:c>
      <x:c r="G1548" s="30" t="n">
        <x:v>45417</x:v>
      </x:c>
      <x:c r="H1548" s="32" t="n">
        <x:v>1030000</x:v>
      </x:c>
      <x:c r="I1548" s="32" t="n">
        <x:v>1030000</x:v>
      </x:c>
      <x:c r="J1548" s="32" t="n">
        <x:v>0</x:v>
      </x:c>
      <x:c r="K1548" s="30" t="n">
        <x:v>45414</x:v>
      </x:c>
      <x:c r="L1548" s="24" t="str">
        <x:v>입금</x:v>
      </x:c>
      <x:c r="M1548" s="31" t="n">
        <x:f>IF(AND(N1548="미수",G1548&lt;&gt;"",TODAY()&gt;G1548),TODAY()-G1548,0)</x:f>
        <x:v>0</x:v>
      </x:c>
      <x:c r="N1548" s="24" t="str">
        <x:f>IF(J1548&gt;0,"미수",IF(AND(H1548&gt;0,I1548&gt;=H1548),"완납","미확인"))</x:f>
        <x:v>완납</x:v>
      </x:c>
      <x:c r="O1548" s="31" t="n">
        <x:v>74</x:v>
      </x:c>
    </x:row>
    <x:row r="1549" ht="17.25" customHeight="1">
      <x:c r="A1549" s="24" t="str">
        <x:v>SW-B-336소9711-202404</x:v>
      </x:c>
      <x:c r="B1549" s="24" t="str">
        <x:v>스위치플랜</x:v>
      </x:c>
      <x:c r="C1549" s="24" t="str">
        <x:v>SW-C-336소9711-1-20231130-75</x:v>
      </x:c>
      <x:c r="D1549" s="24" t="str">
        <x:v>336소9711</x:v>
      </x:c>
      <x:c r="E1549" s="24" t="str">
        <x:v>문성오</x:v>
      </x:c>
      <x:c r="F1549" s="24" t="str">
        <x:v>2024-04</x:v>
      </x:c>
      <x:c r="G1549" s="30" t="n">
        <x:v>45387</x:v>
      </x:c>
      <x:c r="H1549" s="32" t="n">
        <x:v>1030000</x:v>
      </x:c>
      <x:c r="I1549" s="32" t="n">
        <x:v>1030000</x:v>
      </x:c>
      <x:c r="J1549" s="32" t="n">
        <x:v>0</x:v>
      </x:c>
      <x:c r="K1549" s="30" t="n">
        <x:v>45391</x:v>
      </x:c>
      <x:c r="L1549" s="24" t="str">
        <x:v>입금</x:v>
      </x:c>
      <x:c r="M1549" s="31" t="n">
        <x:f>IF(AND(N1549="미수",G1549&lt;&gt;"",TODAY()&gt;G1549),TODAY()-G1549,0)</x:f>
        <x:v>0</x:v>
      </x:c>
      <x:c r="N1549" s="24" t="str">
        <x:f>IF(J1549&gt;0,"미수",IF(AND(H1549&gt;0,I1549&gt;=H1549),"완납","미확인"))</x:f>
        <x:v>완납</x:v>
      </x:c>
      <x:c r="O1549" s="31" t="n">
        <x:v>74</x:v>
      </x:c>
    </x:row>
    <x:row r="1550" ht="17.25" customHeight="1">
      <x:c r="A1550" s="24" t="str">
        <x:v>SW-B-336소9711-202403</x:v>
      </x:c>
      <x:c r="B1550" s="24" t="str">
        <x:v>스위치플랜</x:v>
      </x:c>
      <x:c r="C1550" s="24" t="str">
        <x:v>SW-C-336소9711-1-20231130-75</x:v>
      </x:c>
      <x:c r="D1550" s="24" t="str">
        <x:v>336소9711</x:v>
      </x:c>
      <x:c r="E1550" s="24" t="str">
        <x:v>문성오</x:v>
      </x:c>
      <x:c r="F1550" s="24" t="str">
        <x:v>2024-03</x:v>
      </x:c>
      <x:c r="G1550" s="30" t="n">
        <x:v>45356</x:v>
      </x:c>
      <x:c r="H1550" s="32" t="n">
        <x:v>1030000</x:v>
      </x:c>
      <x:c r="I1550" s="32" t="n">
        <x:v>1030000</x:v>
      </x:c>
      <x:c r="J1550" s="32" t="n">
        <x:v>0</x:v>
      </x:c>
      <x:c r="K1550" s="30" t="n">
        <x:v>45321</x:v>
      </x:c>
      <x:c r="L1550" s="24" t="str">
        <x:v>입금</x:v>
      </x:c>
      <x:c r="M1550" s="31" t="n">
        <x:f>IF(AND(N1550="미수",G1550&lt;&gt;"",TODAY()&gt;G1550),TODAY()-G1550,0)</x:f>
        <x:v>0</x:v>
      </x:c>
      <x:c r="N1550" s="24" t="str">
        <x:f>IF(J1550&gt;0,"미수",IF(AND(H1550&gt;0,I1550&gt;=H1550),"완납","미확인"))</x:f>
        <x:v>완납</x:v>
      </x:c>
      <x:c r="O1550" s="31" t="n">
        <x:v>74</x:v>
      </x:c>
    </x:row>
    <x:row r="1551" ht="17.25" customHeight="1">
      <x:c r="A1551" s="24" t="str">
        <x:v>SW-B-336소9711-202402</x:v>
      </x:c>
      <x:c r="B1551" s="24" t="str">
        <x:v>스위치플랜</x:v>
      </x:c>
      <x:c r="C1551" s="24" t="str">
        <x:v>SW-C-336소9711-1-20231130-75</x:v>
      </x:c>
      <x:c r="D1551" s="24" t="str">
        <x:v>336소9711</x:v>
      </x:c>
      <x:c r="E1551" s="24" t="str">
        <x:v>문성오</x:v>
      </x:c>
      <x:c r="F1551" s="24" t="str">
        <x:v>2024-02</x:v>
      </x:c>
      <x:c r="G1551" s="30" t="n">
        <x:v>45327</x:v>
      </x:c>
      <x:c r="H1551" s="32" t="n">
        <x:v>1030000</x:v>
      </x:c>
      <x:c r="I1551" s="32" t="n">
        <x:v>1030000</x:v>
      </x:c>
      <x:c r="J1551" s="32" t="n">
        <x:v>0</x:v>
      </x:c>
      <x:c r="K1551" s="30" t="n">
        <x:v>45321</x:v>
      </x:c>
      <x:c r="L1551" s="24" t="str">
        <x:v>입금</x:v>
      </x:c>
      <x:c r="M1551" s="31" t="n">
        <x:f>IF(AND(N1551="미수",G1551&lt;&gt;"",TODAY()&gt;G1551),TODAY()-G1551,0)</x:f>
        <x:v>0</x:v>
      </x:c>
      <x:c r="N1551" s="24" t="str">
        <x:f>IF(J1551&gt;0,"미수",IF(AND(H1551&gt;0,I1551&gt;=H1551),"완납","미확인"))</x:f>
        <x:v>완납</x:v>
      </x:c>
      <x:c r="O1551" s="31" t="n">
        <x:v>74</x:v>
      </x:c>
    </x:row>
    <x:row r="1552" ht="17.25" customHeight="1">
      <x:c r="A1552" s="24" t="str">
        <x:v>SW-B-336소9711-202401</x:v>
      </x:c>
      <x:c r="B1552" s="24" t="str">
        <x:v>스위치플랜</x:v>
      </x:c>
      <x:c r="C1552" s="24" t="str">
        <x:v>SW-C-336소9711-1-20231130-75</x:v>
      </x:c>
      <x:c r="D1552" s="24" t="str">
        <x:v>336소9711</x:v>
      </x:c>
      <x:c r="E1552" s="24" t="str">
        <x:v>문성오</x:v>
      </x:c>
      <x:c r="F1552" s="24" t="str">
        <x:v>2024-01</x:v>
      </x:c>
      <x:c r="G1552" s="30" t="n">
        <x:v>45296</x:v>
      </x:c>
      <x:c r="H1552" s="32" t="n">
        <x:v>1030000</x:v>
      </x:c>
      <x:c r="I1552" s="32" t="n">
        <x:v>1030000</x:v>
      </x:c>
      <x:c r="J1552" s="32" t="n">
        <x:v>0</x:v>
      </x:c>
      <x:c r="K1552" s="30" t="n">
        <x:v>45657</x:v>
      </x:c>
      <x:c r="L1552" s="24" t="str">
        <x:v>입금</x:v>
      </x:c>
      <x:c r="M1552" s="31" t="n">
        <x:f>IF(AND(N1552="미수",G1552&lt;&gt;"",TODAY()&gt;G1552),TODAY()-G1552,0)</x:f>
        <x:v>0</x:v>
      </x:c>
      <x:c r="N1552" s="24" t="str">
        <x:f>IF(J1552&gt;0,"미수",IF(AND(H1552&gt;0,I1552&gt;=H1552),"완납","미확인"))</x:f>
        <x:v>완납</x:v>
      </x:c>
      <x:c r="O1552" s="31" t="n">
        <x:v>74</x:v>
      </x:c>
    </x:row>
    <x:row r="1553" ht="17.25" customHeight="1">
      <x:c r="A1553" s="24" t="str">
        <x:v>SW-B-336소9711-202312</x:v>
      </x:c>
      <x:c r="B1553" s="24" t="str">
        <x:v>스위치플랜</x:v>
      </x:c>
      <x:c r="C1553" s="24" t="str">
        <x:v>SW-C-336소9711-1-20231130-75</x:v>
      </x:c>
      <x:c r="D1553" s="24" t="str">
        <x:v>336소9711</x:v>
      </x:c>
      <x:c r="E1553" s="24" t="str">
        <x:v>문성오</x:v>
      </x:c>
      <x:c r="F1553" s="24" t="str">
        <x:v>2023-12</x:v>
      </x:c>
      <x:c r="G1553" s="30" t="n">
        <x:v>45265</x:v>
      </x:c>
      <x:c r="H1553" s="32" t="n">
        <x:v>1030000</x:v>
      </x:c>
      <x:c r="I1553" s="32" t="n">
        <x:v>1030000</x:v>
      </x:c>
      <x:c r="J1553" s="32" t="n">
        <x:v>0</x:v>
      </x:c>
      <x:c r="K1553" s="30" t="n">
        <x:v>45253</x:v>
      </x:c>
      <x:c r="L1553" s="24" t="str">
        <x:v>입금</x:v>
      </x:c>
      <x:c r="M1553" s="31" t="n">
        <x:f>IF(AND(N1553="미수",G1553&lt;&gt;"",TODAY()&gt;G1553),TODAY()-G1553,0)</x:f>
        <x:v>0</x:v>
      </x:c>
      <x:c r="N1553" s="24" t="str">
        <x:f>IF(J1553&gt;0,"미수",IF(AND(H1553&gt;0,I1553&gt;=H1553),"완납","미확인"))</x:f>
        <x:v>완납</x:v>
      </x:c>
      <x:c r="O1553" s="31" t="n">
        <x:v>74</x:v>
      </x:c>
    </x:row>
    <x:row r="1554" ht="17.25" customHeight="1">
      <x:c r="A1554" s="24" t="str">
        <x:v>SW-B-182거8282-202608</x:v>
      </x:c>
      <x:c r="B1554" s="24" t="str">
        <x:v>스위치플랜</x:v>
      </x:c>
      <x:c r="C1554" s="24" t="str">
        <x:v>SW-C-182거8282-1-20250605-76</x:v>
      </x:c>
      <x:c r="D1554" s="24" t="str">
        <x:v>182거8282</x:v>
      </x:c>
      <x:c r="E1554" s="24" t="str">
        <x:v>지승언</x:v>
      </x:c>
      <x:c r="F1554" s="24" t="str">
        <x:v>2026-08</x:v>
      </x:c>
      <x:c r="G1554" s="30" t="n">
        <x:v>46239</x:v>
      </x:c>
      <x:c r="H1554" s="32" t="n">
        <x:v>350000</x:v>
      </x:c>
      <x:c r="I1554" s="32" t="n">
        <x:v>350000</x:v>
      </x:c>
      <x:c r="J1554" s="32" t="n">
        <x:v>0</x:v>
      </x:c>
      <x:c r="K1554" s="30" t="n">
        <x:v>46239</x:v>
      </x:c>
      <x:c r="L1554" s="24" t="str">
        <x:v>자동</x:v>
      </x:c>
      <x:c r="M1554" s="31" t="n">
        <x:f>IF(AND(N1554="미수",G1554&lt;&gt;"",TODAY()&gt;G1554),TODAY()-G1554,0)</x:f>
        <x:v>0</x:v>
      </x:c>
      <x:c r="N1554" s="24" t="str">
        <x:f>IF(J1554&gt;0,"미수",IF(AND(H1554&gt;0,I1554&gt;=H1554),"완납","미확인"))</x:f>
        <x:v>완납</x:v>
      </x:c>
      <x:c r="O1554" s="31" t="n">
        <x:v>75</x:v>
      </x:c>
    </x:row>
    <x:row r="1555" ht="17.25" customHeight="1">
      <x:c r="A1555" s="24" t="str">
        <x:v>SW-B-182거8282-202607</x:v>
      </x:c>
      <x:c r="B1555" s="24" t="str">
        <x:v>스위치플랜</x:v>
      </x:c>
      <x:c r="C1555" s="24" t="str">
        <x:v>SW-C-182거8282-1-20250605-76</x:v>
      </x:c>
      <x:c r="D1555" s="24" t="str">
        <x:v>182거8282</x:v>
      </x:c>
      <x:c r="E1555" s="24" t="str">
        <x:v>지승언</x:v>
      </x:c>
      <x:c r="F1555" s="24" t="str">
        <x:v>2026-07</x:v>
      </x:c>
      <x:c r="G1555" s="30" t="n">
        <x:v>46208</x:v>
      </x:c>
      <x:c r="H1555" s="32" t="n">
        <x:v>350000</x:v>
      </x:c>
      <x:c r="I1555" s="32" t="n">
        <x:v>350000</x:v>
      </x:c>
      <x:c r="J1555" s="32" t="n">
        <x:v>0</x:v>
      </x:c>
      <x:c r="K1555" s="30" t="n">
        <x:v>46209</x:v>
      </x:c>
      <x:c r="L1555" s="24" t="str">
        <x:v>자동</x:v>
      </x:c>
      <x:c r="M1555" s="31" t="n">
        <x:f>IF(AND(N1555="미수",G1555&lt;&gt;"",TODAY()&gt;G1555),TODAY()-G1555,0)</x:f>
        <x:v>0</x:v>
      </x:c>
      <x:c r="N1555" s="24" t="str">
        <x:f>IF(J1555&gt;0,"미수",IF(AND(H1555&gt;0,I1555&gt;=H1555),"완납","미확인"))</x:f>
        <x:v>완납</x:v>
      </x:c>
      <x:c r="O1555" s="31" t="n">
        <x:v>75</x:v>
      </x:c>
    </x:row>
    <x:row r="1556" ht="17.25" customHeight="1">
      <x:c r="A1556" s="24" t="str">
        <x:v>SW-B-182거8282-202606</x:v>
      </x:c>
      <x:c r="B1556" s="24" t="str">
        <x:v>스위치플랜</x:v>
      </x:c>
      <x:c r="C1556" s="24" t="str">
        <x:v>SW-C-182거8282-1-20250605-76</x:v>
      </x:c>
      <x:c r="D1556" s="24" t="str">
        <x:v>182거8282</x:v>
      </x:c>
      <x:c r="E1556" s="24" t="str">
        <x:v>지승언</x:v>
      </x:c>
      <x:c r="F1556" s="24" t="str">
        <x:v>2026-06</x:v>
      </x:c>
      <x:c r="G1556" s="30" t="n">
        <x:v>46178</x:v>
      </x:c>
      <x:c r="H1556" s="32" t="n">
        <x:v>350000</x:v>
      </x:c>
      <x:c r="I1556" s="32" t="n">
        <x:v>350000</x:v>
      </x:c>
      <x:c r="J1556" s="32" t="n">
        <x:v>0</x:v>
      </x:c>
      <x:c r="K1556" s="30" t="n">
        <x:v>46180</x:v>
      </x:c>
      <x:c r="L1556" s="24" t="str">
        <x:v>입금</x:v>
      </x:c>
      <x:c r="M1556" s="31" t="n">
        <x:f>IF(AND(N1556="미수",G1556&lt;&gt;"",TODAY()&gt;G1556),TODAY()-G1556,0)</x:f>
        <x:v>0</x:v>
      </x:c>
      <x:c r="N1556" s="24" t="str">
        <x:f>IF(J1556&gt;0,"미수",IF(AND(H1556&gt;0,I1556&gt;=H1556),"완납","미확인"))</x:f>
        <x:v>완납</x:v>
      </x:c>
      <x:c r="O1556" s="31" t="n">
        <x:v>75</x:v>
      </x:c>
    </x:row>
    <x:row r="1557" ht="17.25" customHeight="1">
      <x:c r="A1557" s="24" t="str">
        <x:v>SW-B-182거8282-202605</x:v>
      </x:c>
      <x:c r="B1557" s="24" t="str">
        <x:v>스위치플랜</x:v>
      </x:c>
      <x:c r="C1557" s="24" t="str">
        <x:v>SW-C-182거8282-1-20250605-76</x:v>
      </x:c>
      <x:c r="D1557" s="24" t="str">
        <x:v>182거8282</x:v>
      </x:c>
      <x:c r="E1557" s="24" t="str">
        <x:v>지승언</x:v>
      </x:c>
      <x:c r="F1557" s="24" t="str">
        <x:v>2026-05</x:v>
      </x:c>
      <x:c r="G1557" s="30" t="n">
        <x:v>46147</x:v>
      </x:c>
      <x:c r="H1557" s="32" t="n">
        <x:v>350000</x:v>
      </x:c>
      <x:c r="I1557" s="32" t="n">
        <x:v>350000</x:v>
      </x:c>
      <x:c r="J1557" s="32" t="n">
        <x:v>0</x:v>
      </x:c>
      <x:c r="K1557" s="30" t="n">
        <x:v>46149</x:v>
      </x:c>
      <x:c r="L1557" s="24" t="str">
        <x:v>입금</x:v>
      </x:c>
      <x:c r="M1557" s="31" t="n">
        <x:f>IF(AND(N1557="미수",G1557&lt;&gt;"",TODAY()&gt;G1557),TODAY()-G1557,0)</x:f>
        <x:v>0</x:v>
      </x:c>
      <x:c r="N1557" s="24" t="str">
        <x:f>IF(J1557&gt;0,"미수",IF(AND(H1557&gt;0,I1557&gt;=H1557),"완납","미확인"))</x:f>
        <x:v>완납</x:v>
      </x:c>
      <x:c r="O1557" s="31" t="n">
        <x:v>75</x:v>
      </x:c>
    </x:row>
    <x:row r="1558" ht="17.25" customHeight="1">
      <x:c r="A1558" s="24" t="str">
        <x:v>SW-B-182거8282-202604</x:v>
      </x:c>
      <x:c r="B1558" s="24" t="str">
        <x:v>스위치플랜</x:v>
      </x:c>
      <x:c r="C1558" s="24" t="str">
        <x:v>SW-C-182거8282-1-20250605-76</x:v>
      </x:c>
      <x:c r="D1558" s="24" t="str">
        <x:v>182거8282</x:v>
      </x:c>
      <x:c r="E1558" s="24" t="str">
        <x:v>지승언</x:v>
      </x:c>
      <x:c r="F1558" s="24" t="str">
        <x:v>2026-04</x:v>
      </x:c>
      <x:c r="G1558" s="30" t="n">
        <x:v>46117</x:v>
      </x:c>
      <x:c r="H1558" s="32" t="n">
        <x:v>350000</x:v>
      </x:c>
      <x:c r="I1558" s="32" t="n">
        <x:v>350000</x:v>
      </x:c>
      <x:c r="J1558" s="32" t="n">
        <x:v>0</x:v>
      </x:c>
      <x:c r="K1558" s="30" t="n">
        <x:v>46118</x:v>
      </x:c>
      <x:c r="L1558" s="24" t="str">
        <x:v>자동</x:v>
      </x:c>
      <x:c r="M1558" s="31" t="n">
        <x:f>IF(AND(N1558="미수",G1558&lt;&gt;"",TODAY()&gt;G1558),TODAY()-G1558,0)</x:f>
        <x:v>0</x:v>
      </x:c>
      <x:c r="N1558" s="24" t="str">
        <x:f>IF(J1558&gt;0,"미수",IF(AND(H1558&gt;0,I1558&gt;=H1558),"완납","미확인"))</x:f>
        <x:v>완납</x:v>
      </x:c>
      <x:c r="O1558" s="31" t="n">
        <x:v>75</x:v>
      </x:c>
    </x:row>
    <x:row r="1559" ht="17.25" customHeight="1">
      <x:c r="A1559" s="24" t="str">
        <x:v>SW-B-182거8282-202603</x:v>
      </x:c>
      <x:c r="B1559" s="24" t="str">
        <x:v>스위치플랜</x:v>
      </x:c>
      <x:c r="C1559" s="24" t="str">
        <x:v>SW-C-182거8282-1-20250605-76</x:v>
      </x:c>
      <x:c r="D1559" s="24" t="str">
        <x:v>182거8282</x:v>
      </x:c>
      <x:c r="E1559" s="24" t="str">
        <x:v>지승언</x:v>
      </x:c>
      <x:c r="F1559" s="24" t="str">
        <x:v>2026-03</x:v>
      </x:c>
      <x:c r="G1559" s="30" t="n">
        <x:v>46086</x:v>
      </x:c>
      <x:c r="H1559" s="32" t="n">
        <x:v>350000</x:v>
      </x:c>
      <x:c r="I1559" s="32" t="n">
        <x:v>350000</x:v>
      </x:c>
      <x:c r="J1559" s="32" t="n">
        <x:v>0</x:v>
      </x:c>
      <x:c r="K1559" s="30" t="n">
        <x:v>46086</x:v>
      </x:c>
      <x:c r="L1559" s="24" t="str">
        <x:v>자동</x:v>
      </x:c>
      <x:c r="M1559" s="31" t="n">
        <x:f>IF(AND(N1559="미수",G1559&lt;&gt;"",TODAY()&gt;G1559),TODAY()-G1559,0)</x:f>
        <x:v>0</x:v>
      </x:c>
      <x:c r="N1559" s="24" t="str">
        <x:f>IF(J1559&gt;0,"미수",IF(AND(H1559&gt;0,I1559&gt;=H1559),"완납","미확인"))</x:f>
        <x:v>완납</x:v>
      </x:c>
      <x:c r="O1559" s="31" t="n">
        <x:v>75</x:v>
      </x:c>
    </x:row>
    <x:row r="1560" ht="17.25" customHeight="1">
      <x:c r="A1560" s="24" t="str">
        <x:v>SW-B-182거8282-202602</x:v>
      </x:c>
      <x:c r="B1560" s="24" t="str">
        <x:v>스위치플랜</x:v>
      </x:c>
      <x:c r="C1560" s="24" t="str">
        <x:v>SW-C-182거8282-1-20250605-76</x:v>
      </x:c>
      <x:c r="D1560" s="24" t="str">
        <x:v>182거8282</x:v>
      </x:c>
      <x:c r="E1560" s="24" t="str">
        <x:v>지승언</x:v>
      </x:c>
      <x:c r="F1560" s="24" t="str">
        <x:v>2026-02</x:v>
      </x:c>
      <x:c r="G1560" s="30" t="n">
        <x:v>46058</x:v>
      </x:c>
      <x:c r="H1560" s="32" t="n">
        <x:v>350000</x:v>
      </x:c>
      <x:c r="I1560" s="32" t="n">
        <x:v>350000</x:v>
      </x:c>
      <x:c r="J1560" s="32" t="n">
        <x:v>0</x:v>
      </x:c>
      <x:c r="K1560" s="30" t="n">
        <x:v>46060</x:v>
      </x:c>
      <x:c r="L1560" s="24" t="str">
        <x:v>입금</x:v>
      </x:c>
      <x:c r="M1560" s="31" t="n">
        <x:f>IF(AND(N1560="미수",G1560&lt;&gt;"",TODAY()&gt;G1560),TODAY()-G1560,0)</x:f>
        <x:v>0</x:v>
      </x:c>
      <x:c r="N1560" s="24" t="str">
        <x:f>IF(J1560&gt;0,"미수",IF(AND(H1560&gt;0,I1560&gt;=H1560),"완납","미확인"))</x:f>
        <x:v>완납</x:v>
      </x:c>
      <x:c r="O1560" s="31" t="n">
        <x:v>75</x:v>
      </x:c>
    </x:row>
    <x:row r="1561" ht="17.25" customHeight="1">
      <x:c r="A1561" s="24" t="str">
        <x:v>SW-B-182거8282-202601</x:v>
      </x:c>
      <x:c r="B1561" s="24" t="str">
        <x:v>스위치플랜</x:v>
      </x:c>
      <x:c r="C1561" s="24" t="str">
        <x:v>SW-C-182거8282-1-20250605-76</x:v>
      </x:c>
      <x:c r="D1561" s="24" t="str">
        <x:v>182거8282</x:v>
      </x:c>
      <x:c r="E1561" s="24" t="str">
        <x:v>지승언</x:v>
      </x:c>
      <x:c r="F1561" s="24" t="str">
        <x:v>2026-01</x:v>
      </x:c>
      <x:c r="G1561" s="30" t="n">
        <x:v>46027</x:v>
      </x:c>
      <x:c r="H1561" s="32" t="n">
        <x:v>350000</x:v>
      </x:c>
      <x:c r="I1561" s="32" t="n">
        <x:v>350000</x:v>
      </x:c>
      <x:c r="J1561" s="32" t="n">
        <x:v>0</x:v>
      </x:c>
      <x:c r="K1561" s="30" t="n">
        <x:v>46027</x:v>
      </x:c>
      <x:c r="L1561" s="24" t="str">
        <x:v>자동</x:v>
      </x:c>
      <x:c r="M1561" s="31" t="n">
        <x:f>IF(AND(N1561="미수",G1561&lt;&gt;"",TODAY()&gt;G1561),TODAY()-G1561,0)</x:f>
        <x:v>0</x:v>
      </x:c>
      <x:c r="N1561" s="24" t="str">
        <x:f>IF(J1561&gt;0,"미수",IF(AND(H1561&gt;0,I1561&gt;=H1561),"완납","미확인"))</x:f>
        <x:v>완납</x:v>
      </x:c>
      <x:c r="O1561" s="31" t="n">
        <x:v>75</x:v>
      </x:c>
    </x:row>
    <x:row r="1562" ht="17.25" customHeight="1">
      <x:c r="A1562" s="24" t="str">
        <x:v>SW-B-182거8282-202512</x:v>
      </x:c>
      <x:c r="B1562" s="24" t="str">
        <x:v>스위치플랜</x:v>
      </x:c>
      <x:c r="C1562" s="24" t="str">
        <x:v>SW-C-182거8282-1-20250605-76</x:v>
      </x:c>
      <x:c r="D1562" s="24" t="str">
        <x:v>182거8282</x:v>
      </x:c>
      <x:c r="E1562" s="24" t="str">
        <x:v>지승언</x:v>
      </x:c>
      <x:c r="F1562" s="24" t="str">
        <x:v>2025-12</x:v>
      </x:c>
      <x:c r="G1562" s="30" t="n">
        <x:v>45996</x:v>
      </x:c>
      <x:c r="H1562" s="32" t="n">
        <x:v>350000</x:v>
      </x:c>
      <x:c r="I1562" s="32" t="n">
        <x:v>350000</x:v>
      </x:c>
      <x:c r="J1562" s="32" t="n">
        <x:v>0</x:v>
      </x:c>
      <x:c r="K1562" s="30" t="n">
        <x:v>45996</x:v>
      </x:c>
      <x:c r="L1562" s="24" t="str">
        <x:v>자동</x:v>
      </x:c>
      <x:c r="M1562" s="31" t="n">
        <x:f>IF(AND(N1562="미수",G1562&lt;&gt;"",TODAY()&gt;G1562),TODAY()-G1562,0)</x:f>
        <x:v>0</x:v>
      </x:c>
      <x:c r="N1562" s="24" t="str">
        <x:f>IF(J1562&gt;0,"미수",IF(AND(H1562&gt;0,I1562&gt;=H1562),"완납","미확인"))</x:f>
        <x:v>완납</x:v>
      </x:c>
      <x:c r="O1562" s="31" t="n">
        <x:v>75</x:v>
      </x:c>
    </x:row>
    <x:row r="1563" ht="17.25" customHeight="1">
      <x:c r="A1563" s="24" t="str">
        <x:v>SW-B-182거8282-202511</x:v>
      </x:c>
      <x:c r="B1563" s="24" t="str">
        <x:v>스위치플랜</x:v>
      </x:c>
      <x:c r="C1563" s="24" t="str">
        <x:v>SW-C-182거8282-1-20250605-76</x:v>
      </x:c>
      <x:c r="D1563" s="24" t="str">
        <x:v>182거8282</x:v>
      </x:c>
      <x:c r="E1563" s="24" t="str">
        <x:v>지승언</x:v>
      </x:c>
      <x:c r="F1563" s="24" t="str">
        <x:v>2025-11</x:v>
      </x:c>
      <x:c r="G1563" s="30" t="n">
        <x:v>45966</x:v>
      </x:c>
      <x:c r="H1563" s="32" t="n">
        <x:v>350000</x:v>
      </x:c>
      <x:c r="I1563" s="32" t="n">
        <x:v>350000</x:v>
      </x:c>
      <x:c r="J1563" s="32" t="n">
        <x:v>0</x:v>
      </x:c>
      <x:c r="K1563" s="30" t="n">
        <x:v>45966</x:v>
      </x:c>
      <x:c r="L1563" s="24" t="str">
        <x:v>자동</x:v>
      </x:c>
      <x:c r="M1563" s="31" t="n">
        <x:f>IF(AND(N1563="미수",G1563&lt;&gt;"",TODAY()&gt;G1563),TODAY()-G1563,0)</x:f>
        <x:v>0</x:v>
      </x:c>
      <x:c r="N1563" s="24" t="str">
        <x:f>IF(J1563&gt;0,"미수",IF(AND(H1563&gt;0,I1563&gt;=H1563),"완납","미확인"))</x:f>
        <x:v>완납</x:v>
      </x:c>
      <x:c r="O1563" s="31" t="n">
        <x:v>75</x:v>
      </x:c>
    </x:row>
    <x:row r="1564" ht="17.25" customHeight="1">
      <x:c r="A1564" s="24" t="str">
        <x:v>SW-B-182거8282-202510</x:v>
      </x:c>
      <x:c r="B1564" s="24" t="str">
        <x:v>스위치플랜</x:v>
      </x:c>
      <x:c r="C1564" s="24" t="str">
        <x:v>SW-C-182거8282-1-20250605-76</x:v>
      </x:c>
      <x:c r="D1564" s="24" t="str">
        <x:v>182거8282</x:v>
      </x:c>
      <x:c r="E1564" s="24" t="str">
        <x:v>지승언</x:v>
      </x:c>
      <x:c r="F1564" s="24" t="str">
        <x:v>2025-10</x:v>
      </x:c>
      <x:c r="G1564" s="30" t="n">
        <x:v>45935</x:v>
      </x:c>
      <x:c r="H1564" s="32" t="n">
        <x:v>350000</x:v>
      </x:c>
      <x:c r="I1564" s="32" t="n">
        <x:v>350000</x:v>
      </x:c>
      <x:c r="J1564" s="32" t="n">
        <x:v>0</x:v>
      </x:c>
      <x:c r="K1564" s="30" t="n">
        <x:v>45940</x:v>
      </x:c>
      <x:c r="L1564" s="24" t="str">
        <x:v>입금</x:v>
      </x:c>
      <x:c r="M1564" s="31" t="n">
        <x:f>IF(AND(N1564="미수",G1564&lt;&gt;"",TODAY()&gt;G1564),TODAY()-G1564,0)</x:f>
        <x:v>0</x:v>
      </x:c>
      <x:c r="N1564" s="24" t="str">
        <x:f>IF(J1564&gt;0,"미수",IF(AND(H1564&gt;0,I1564&gt;=H1564),"완납","미확인"))</x:f>
        <x:v>완납</x:v>
      </x:c>
      <x:c r="O1564" s="31" t="n">
        <x:v>75</x:v>
      </x:c>
    </x:row>
    <x:row r="1565" ht="17.25" customHeight="1">
      <x:c r="A1565" s="24" t="str">
        <x:v>SW-B-182거8282-202509</x:v>
      </x:c>
      <x:c r="B1565" s="24" t="str">
        <x:v>스위치플랜</x:v>
      </x:c>
      <x:c r="C1565" s="24" t="str">
        <x:v>SW-C-182거8282-1-20250605-76</x:v>
      </x:c>
      <x:c r="D1565" s="24" t="str">
        <x:v>182거8282</x:v>
      </x:c>
      <x:c r="E1565" s="24" t="str">
        <x:v>지승언</x:v>
      </x:c>
      <x:c r="F1565" s="24" t="str">
        <x:v>2025-09</x:v>
      </x:c>
      <x:c r="G1565" s="30" t="n">
        <x:v>45905</x:v>
      </x:c>
      <x:c r="H1565" s="32" t="n">
        <x:v>350000</x:v>
      </x:c>
      <x:c r="I1565" s="32" t="n">
        <x:v>350000</x:v>
      </x:c>
      <x:c r="J1565" s="32" t="n">
        <x:v>0</x:v>
      </x:c>
      <x:c r="K1565" s="30" t="n">
        <x:v>45908</x:v>
      </x:c>
      <x:c r="L1565" s="24" t="str">
        <x:v>입금</x:v>
      </x:c>
      <x:c r="M1565" s="31" t="n">
        <x:f>IF(AND(N1565="미수",G1565&lt;&gt;"",TODAY()&gt;G1565),TODAY()-G1565,0)</x:f>
        <x:v>0</x:v>
      </x:c>
      <x:c r="N1565" s="24" t="str">
        <x:f>IF(J1565&gt;0,"미수",IF(AND(H1565&gt;0,I1565&gt;=H1565),"완납","미확인"))</x:f>
        <x:v>완납</x:v>
      </x:c>
      <x:c r="O1565" s="31" t="n">
        <x:v>75</x:v>
      </x:c>
    </x:row>
    <x:row r="1566" ht="17.25" customHeight="1">
      <x:c r="A1566" s="24" t="str">
        <x:v>SW-B-182거8282-202508</x:v>
      </x:c>
      <x:c r="B1566" s="24" t="str">
        <x:v>스위치플랜</x:v>
      </x:c>
      <x:c r="C1566" s="24" t="str">
        <x:v>SW-C-182거8282-1-20250605-76</x:v>
      </x:c>
      <x:c r="D1566" s="24" t="str">
        <x:v>182거8282</x:v>
      </x:c>
      <x:c r="E1566" s="24" t="str">
        <x:v>지승언</x:v>
      </x:c>
      <x:c r="F1566" s="24" t="str">
        <x:v>2025-08</x:v>
      </x:c>
      <x:c r="G1566" s="30" t="n">
        <x:v>45874</x:v>
      </x:c>
      <x:c r="H1566" s="32" t="n">
        <x:v>350000</x:v>
      </x:c>
      <x:c r="I1566" s="32" t="n">
        <x:v>350000</x:v>
      </x:c>
      <x:c r="J1566" s="32" t="n">
        <x:v>0</x:v>
      </x:c>
      <x:c r="K1566" s="30" t="n">
        <x:v>45875</x:v>
      </x:c>
      <x:c r="L1566" s="24" t="str">
        <x:v>입금</x:v>
      </x:c>
      <x:c r="M1566" s="31" t="n">
        <x:f>IF(AND(N1566="미수",G1566&lt;&gt;"",TODAY()&gt;G1566),TODAY()-G1566,0)</x:f>
        <x:v>0</x:v>
      </x:c>
      <x:c r="N1566" s="24" t="str">
        <x:f>IF(J1566&gt;0,"미수",IF(AND(H1566&gt;0,I1566&gt;=H1566),"완납","미확인"))</x:f>
        <x:v>완납</x:v>
      </x:c>
      <x:c r="O1566" s="31" t="n">
        <x:v>75</x:v>
      </x:c>
    </x:row>
    <x:row r="1567" ht="17.25" customHeight="1">
      <x:c r="A1567" s="24" t="str">
        <x:v>SW-B-182거8282-202507</x:v>
      </x:c>
      <x:c r="B1567" s="24" t="str">
        <x:v>스위치플랜</x:v>
      </x:c>
      <x:c r="C1567" s="24" t="str">
        <x:v>SW-C-182거8282-1-20250605-76</x:v>
      </x:c>
      <x:c r="D1567" s="24" t="str">
        <x:v>182거8282</x:v>
      </x:c>
      <x:c r="E1567" s="24" t="str">
        <x:v>지승언</x:v>
      </x:c>
      <x:c r="F1567" s="24" t="str">
        <x:v>2025-07</x:v>
      </x:c>
      <x:c r="G1567" s="30" t="n">
        <x:v>45843</x:v>
      </x:c>
      <x:c r="H1567" s="32" t="n">
        <x:v>350000</x:v>
      </x:c>
      <x:c r="I1567" s="32" t="n">
        <x:v>350000</x:v>
      </x:c>
      <x:c r="J1567" s="32" t="n">
        <x:v>0</x:v>
      </x:c>
      <x:c r="K1567" s="30" t="n">
        <x:v>45847</x:v>
      </x:c>
      <x:c r="L1567" s="24" t="str">
        <x:v>입금</x:v>
      </x:c>
      <x:c r="M1567" s="31" t="n">
        <x:f>IF(AND(N1567="미수",G1567&lt;&gt;"",TODAY()&gt;G1567),TODAY()-G1567,0)</x:f>
        <x:v>0</x:v>
      </x:c>
      <x:c r="N1567" s="24" t="str">
        <x:f>IF(J1567&gt;0,"미수",IF(AND(H1567&gt;0,I1567&gt;=H1567),"완납","미확인"))</x:f>
        <x:v>완납</x:v>
      </x:c>
      <x:c r="O1567" s="31" t="n">
        <x:v>75</x:v>
      </x:c>
    </x:row>
    <x:row r="1568" ht="17.25" customHeight="1">
      <x:c r="A1568" s="24" t="str">
        <x:v>SW-B-182거8282-202506</x:v>
      </x:c>
      <x:c r="B1568" s="24" t="str">
        <x:v>스위치플랜</x:v>
      </x:c>
      <x:c r="C1568" s="24" t="str">
        <x:v>SW-C-182거8282-1-20250605-76</x:v>
      </x:c>
      <x:c r="D1568" s="24" t="str">
        <x:v>182거8282</x:v>
      </x:c>
      <x:c r="E1568" s="24" t="str">
        <x:v>지승언</x:v>
      </x:c>
      <x:c r="F1568" s="24" t="str">
        <x:v>2025-06</x:v>
      </x:c>
      <x:c r="G1568" s="30" t="n">
        <x:v>45813</x:v>
      </x:c>
      <x:c r="H1568" s="32" t="n">
        <x:v>350000</x:v>
      </x:c>
      <x:c r="I1568" s="32" t="n">
        <x:v>350000</x:v>
      </x:c>
      <x:c r="J1568" s="32" t="n">
        <x:v>0</x:v>
      </x:c>
      <x:c r="K1568" s="30" t="n">
        <x:v>45813</x:v>
      </x:c>
      <x:c r="L1568" s="24" t="str">
        <x:v>입금</x:v>
      </x:c>
      <x:c r="M1568" s="31" t="n">
        <x:f>IF(AND(N1568="미수",G1568&lt;&gt;"",TODAY()&gt;G1568),TODAY()-G1568,0)</x:f>
        <x:v>0</x:v>
      </x:c>
      <x:c r="N1568" s="24" t="str">
        <x:f>IF(J1568&gt;0,"미수",IF(AND(H1568&gt;0,I1568&gt;=H1568),"완납","미확인"))</x:f>
        <x:v>완납</x:v>
      </x:c>
      <x:c r="O1568" s="31" t="n">
        <x:v>75</x:v>
      </x:c>
    </x:row>
    <x:row r="1569" ht="17.25" customHeight="1">
      <x:c r="A1569" s="24" t="str">
        <x:v>SW-B-165다5063-202608</x:v>
      </x:c>
      <x:c r="B1569" s="24" t="str">
        <x:v>스위치플랜</x:v>
      </x:c>
      <x:c r="C1569" s="24" t="str">
        <x:v>SW-C-165다5063-1-20250910-77</x:v>
      </x:c>
      <x:c r="D1569" s="24" t="str">
        <x:v>165다5063</x:v>
      </x:c>
      <x:c r="E1569" s="24" t="str">
        <x:v>정성</x:v>
      </x:c>
      <x:c r="F1569" s="24" t="str">
        <x:v>2026-08</x:v>
      </x:c>
      <x:c r="G1569" s="30" t="n">
        <x:v>46259</x:v>
      </x:c>
      <x:c r="H1569" s="32" t="n">
        <x:v>690000</x:v>
      </x:c>
      <x:c r="I1569" s="32" t="n">
        <x:v>690000</x:v>
      </x:c>
      <x:c r="J1569" s="32" t="n">
        <x:v>690000</x:v>
      </x:c>
      <x:c r="K1569" s="30" t="n">
        <x:v>46237</x:v>
      </x:c>
      <x:c r="L1569" s="24" t="str">
        <x:v>입금</x:v>
      </x:c>
      <x:c r="M1569" s="31" t="n">
        <x:f>IF(AND(N1569="미수",G1569&lt;&gt;"",TODAY()&gt;G1569),TODAY()-G1569,0)</x:f>
        <x:v>0</x:v>
      </x:c>
      <x:c r="N1569" s="24" t="str">
        <x:f>IF(J1569&gt;0,"미수",IF(AND(H1569&gt;0,I1569&gt;=H1569),"완납","미확인"))</x:f>
        <x:v>미수</x:v>
      </x:c>
      <x:c r="O1569" s="31" t="n">
        <x:v>76</x:v>
      </x:c>
    </x:row>
    <x:row r="1570" ht="17.25" customHeight="1">
      <x:c r="A1570" s="24" t="str">
        <x:v>SW-B-165다5063-202607</x:v>
      </x:c>
      <x:c r="B1570" s="24" t="str">
        <x:v>스위치플랜</x:v>
      </x:c>
      <x:c r="C1570" s="24" t="str">
        <x:v>SW-C-165다5063-1-20250910-77</x:v>
      </x:c>
      <x:c r="D1570" s="24" t="str">
        <x:v>165다5063</x:v>
      </x:c>
      <x:c r="E1570" s="24" t="str">
        <x:v>정성</x:v>
      </x:c>
      <x:c r="F1570" s="24" t="str">
        <x:v>2026-07</x:v>
      </x:c>
      <x:c r="G1570" s="30" t="n">
        <x:v>46228</x:v>
      </x:c>
      <x:c r="H1570" s="32" t="n">
        <x:v>690000</x:v>
      </x:c>
      <x:c r="I1570" s="32" t="n">
        <x:v>690000</x:v>
      </x:c>
      <x:c r="J1570" s="32" t="n">
        <x:v>690000</x:v>
      </x:c>
      <x:c r="K1570" s="30" t="n">
        <x:v>46210</x:v>
      </x:c>
      <x:c r="L1570" s="24" t="str">
        <x:v>입금</x:v>
      </x:c>
      <x:c r="M1570" s="31" t="n">
        <x:f>IF(AND(N1570="미수",G1570&lt;&gt;"",TODAY()&gt;G1570),TODAY()-G1570,0)</x:f>
        <x:v>21</x:v>
      </x:c>
      <x:c r="N1570" s="24" t="str">
        <x:f>IF(J1570&gt;0,"미수",IF(AND(H1570&gt;0,I1570&gt;=H1570),"완납","미확인"))</x:f>
        <x:v>미수</x:v>
      </x:c>
      <x:c r="O1570" s="31" t="n">
        <x:v>76</x:v>
      </x:c>
    </x:row>
    <x:row r="1571" ht="17.25" customHeight="1">
      <x:c r="A1571" s="24" t="str">
        <x:v>SW-B-165다5063-202606</x:v>
      </x:c>
      <x:c r="B1571" s="24" t="str">
        <x:v>스위치플랜</x:v>
      </x:c>
      <x:c r="C1571" s="24" t="str">
        <x:v>SW-C-165다5063-1-20250910-77</x:v>
      </x:c>
      <x:c r="D1571" s="24" t="str">
        <x:v>165다5063</x:v>
      </x:c>
      <x:c r="E1571" s="24" t="str">
        <x:v>정성</x:v>
      </x:c>
      <x:c r="F1571" s="24" t="str">
        <x:v>2026-06</x:v>
      </x:c>
      <x:c r="G1571" s="30" t="n">
        <x:v>46198</x:v>
      </x:c>
      <x:c r="H1571" s="32" t="n">
        <x:v>690000</x:v>
      </x:c>
      <x:c r="I1571" s="32"/>
      <x:c r="J1571" s="32" t="n">
        <x:v>690000</x:v>
      </x:c>
      <x:c r="K1571" s="30"/>
      <x:c r="L1571" s="24" t="str"/>
      <x:c r="M1571" s="31" t="n">
        <x:f>IF(AND(N1571="미수",G1571&lt;&gt;"",TODAY()&gt;G1571),TODAY()-G1571,0)</x:f>
        <x:v>51</x:v>
      </x:c>
      <x:c r="N1571" s="24" t="str">
        <x:f>IF(J1571&gt;0,"미수",IF(AND(H1571&gt;0,I1571&gt;=H1571),"완납","미확인"))</x:f>
        <x:v>미수</x:v>
      </x:c>
      <x:c r="O1571" s="31" t="n">
        <x:v>76</x:v>
      </x:c>
    </x:row>
    <x:row r="1572" ht="17.25" customHeight="1">
      <x:c r="A1572" s="24" t="str">
        <x:v>SW-B-165다5063-202605</x:v>
      </x:c>
      <x:c r="B1572" s="24" t="str">
        <x:v>스위치플랜</x:v>
      </x:c>
      <x:c r="C1572" s="24" t="str">
        <x:v>SW-C-165다5063-1-20250910-77</x:v>
      </x:c>
      <x:c r="D1572" s="24" t="str">
        <x:v>165다5063</x:v>
      </x:c>
      <x:c r="E1572" s="24" t="str">
        <x:v>정성</x:v>
      </x:c>
      <x:c r="F1572" s="24" t="str">
        <x:v>2026-05</x:v>
      </x:c>
      <x:c r="G1572" s="30" t="n">
        <x:v>46167</x:v>
      </x:c>
      <x:c r="H1572" s="32" t="n">
        <x:v>690000</x:v>
      </x:c>
      <x:c r="I1572" s="32" t="n">
        <x:v>690000</x:v>
      </x:c>
      <x:c r="J1572" s="32" t="n">
        <x:v>0</x:v>
      </x:c>
      <x:c r="K1572" s="30" t="n">
        <x:v>46171</x:v>
      </x:c>
      <x:c r="L1572" s="24" t="str">
        <x:v>입금</x:v>
      </x:c>
      <x:c r="M1572" s="31" t="n">
        <x:f>IF(AND(N1572="미수",G1572&lt;&gt;"",TODAY()&gt;G1572),TODAY()-G1572,0)</x:f>
        <x:v>0</x:v>
      </x:c>
      <x:c r="N1572" s="24" t="str">
        <x:f>IF(J1572&gt;0,"미수",IF(AND(H1572&gt;0,I1572&gt;=H1572),"완납","미확인"))</x:f>
        <x:v>완납</x:v>
      </x:c>
      <x:c r="O1572" s="31" t="n">
        <x:v>76</x:v>
      </x:c>
    </x:row>
    <x:row r="1573" ht="17.25" customHeight="1">
      <x:c r="A1573" s="24" t="str">
        <x:v>SW-B-165다5063-202604</x:v>
      </x:c>
      <x:c r="B1573" s="24" t="str">
        <x:v>스위치플랜</x:v>
      </x:c>
      <x:c r="C1573" s="24" t="str">
        <x:v>SW-C-165다5063-1-20250910-77</x:v>
      </x:c>
      <x:c r="D1573" s="24" t="str">
        <x:v>165다5063</x:v>
      </x:c>
      <x:c r="E1573" s="24" t="str">
        <x:v>정성</x:v>
      </x:c>
      <x:c r="F1573" s="24" t="str">
        <x:v>2026-04</x:v>
      </x:c>
      <x:c r="G1573" s="30" t="n">
        <x:v>46137</x:v>
      </x:c>
      <x:c r="H1573" s="32" t="n">
        <x:v>690000</x:v>
      </x:c>
      <x:c r="I1573" s="32" t="n">
        <x:v>690000</x:v>
      </x:c>
      <x:c r="J1573" s="32" t="n">
        <x:v>0</x:v>
      </x:c>
      <x:c r="K1573" s="30" t="n">
        <x:v>46142</x:v>
      </x:c>
      <x:c r="L1573" s="24" t="str">
        <x:v>입금</x:v>
      </x:c>
      <x:c r="M1573" s="31" t="n">
        <x:f>IF(AND(N1573="미수",G1573&lt;&gt;"",TODAY()&gt;G1573),TODAY()-G1573,0)</x:f>
        <x:v>0</x:v>
      </x:c>
      <x:c r="N1573" s="24" t="str">
        <x:f>IF(J1573&gt;0,"미수",IF(AND(H1573&gt;0,I1573&gt;=H1573),"완납","미확인"))</x:f>
        <x:v>완납</x:v>
      </x:c>
      <x:c r="O1573" s="31" t="n">
        <x:v>76</x:v>
      </x:c>
    </x:row>
    <x:row r="1574" ht="17.25" customHeight="1">
      <x:c r="A1574" s="24" t="str">
        <x:v>SW-B-165다5063-202603</x:v>
      </x:c>
      <x:c r="B1574" s="24" t="str">
        <x:v>스위치플랜</x:v>
      </x:c>
      <x:c r="C1574" s="24" t="str">
        <x:v>SW-C-165다5063-1-20250910-77</x:v>
      </x:c>
      <x:c r="D1574" s="24" t="str">
        <x:v>165다5063</x:v>
      </x:c>
      <x:c r="E1574" s="24" t="str">
        <x:v>정성</x:v>
      </x:c>
      <x:c r="F1574" s="24" t="str">
        <x:v>2026-03</x:v>
      </x:c>
      <x:c r="G1574" s="30" t="n">
        <x:v>46106</x:v>
      </x:c>
      <x:c r="H1574" s="32" t="n">
        <x:v>690000</x:v>
      </x:c>
      <x:c r="I1574" s="32" t="n">
        <x:v>1380000</x:v>
      </x:c>
      <x:c r="J1574" s="32" t="n">
        <x:v>0</x:v>
      </x:c>
      <x:c r="K1574" s="30" t="n">
        <x:v>46084</x:v>
      </x:c>
      <x:c r="L1574" s="24" t="str">
        <x:v>입금</x:v>
      </x:c>
      <x:c r="M1574" s="31" t="n">
        <x:f>IF(AND(N1574="미수",G1574&lt;&gt;"",TODAY()&gt;G1574),TODAY()-G1574,0)</x:f>
        <x:v>0</x:v>
      </x:c>
      <x:c r="N1574" s="24" t="str">
        <x:f>IF(J1574&gt;0,"미수",IF(AND(H1574&gt;0,I1574&gt;=H1574),"완납","미확인"))</x:f>
        <x:v>완납</x:v>
      </x:c>
      <x:c r="O1574" s="31" t="n">
        <x:v>76</x:v>
      </x:c>
    </x:row>
    <x:row r="1575" ht="17.25" customHeight="1">
      <x:c r="A1575" s="24" t="str">
        <x:v>SW-B-165다5063-202602</x:v>
      </x:c>
      <x:c r="B1575" s="24" t="str">
        <x:v>스위치플랜</x:v>
      </x:c>
      <x:c r="C1575" s="24" t="str">
        <x:v>SW-C-165다5063-1-20250910-77</x:v>
      </x:c>
      <x:c r="D1575" s="24" t="str">
        <x:v>165다5063</x:v>
      </x:c>
      <x:c r="E1575" s="24" t="str">
        <x:v>정성</x:v>
      </x:c>
      <x:c r="F1575" s="24" t="str">
        <x:v>2026-02</x:v>
      </x:c>
      <x:c r="G1575" s="30" t="n">
        <x:v>46078</x:v>
      </x:c>
      <x:c r="H1575" s="32" t="n">
        <x:v>690000</x:v>
      </x:c>
      <x:c r="I1575" s="32" t="n">
        <x:v>690000</x:v>
      </x:c>
      <x:c r="J1575" s="32" t="n">
        <x:v>690000</x:v>
      </x:c>
      <x:c r="K1575" s="30" t="n">
        <x:v>46055</x:v>
      </x:c>
      <x:c r="L1575" s="24" t="str">
        <x:v>입금</x:v>
      </x:c>
      <x:c r="M1575" s="31" t="n">
        <x:f>IF(AND(N1575="미수",G1575&lt;&gt;"",TODAY()&gt;G1575),TODAY()-G1575,0)</x:f>
        <x:v>171</x:v>
      </x:c>
      <x:c r="N1575" s="24" t="str">
        <x:f>IF(J1575&gt;0,"미수",IF(AND(H1575&gt;0,I1575&gt;=H1575),"완납","미확인"))</x:f>
        <x:v>미수</x:v>
      </x:c>
      <x:c r="O1575" s="31" t="n">
        <x:v>76</x:v>
      </x:c>
    </x:row>
    <x:row r="1576" ht="17.25" customHeight="1">
      <x:c r="A1576" s="24" t="str">
        <x:v>SW-B-165다5063-202601</x:v>
      </x:c>
      <x:c r="B1576" s="24" t="str">
        <x:v>스위치플랜</x:v>
      </x:c>
      <x:c r="C1576" s="24" t="str">
        <x:v>SW-C-165다5063-1-20250910-77</x:v>
      </x:c>
      <x:c r="D1576" s="24" t="str">
        <x:v>165다5063</x:v>
      </x:c>
      <x:c r="E1576" s="24" t="str">
        <x:v>정성</x:v>
      </x:c>
      <x:c r="F1576" s="24" t="str">
        <x:v>2026-01</x:v>
      </x:c>
      <x:c r="G1576" s="30" t="n">
        <x:v>46047</x:v>
      </x:c>
      <x:c r="H1576" s="32" t="n">
        <x:v>690000</x:v>
      </x:c>
      <x:c r="I1576" s="32"/>
      <x:c r="J1576" s="32" t="n">
        <x:v>690000</x:v>
      </x:c>
      <x:c r="K1576" s="30"/>
      <x:c r="L1576" s="24" t="str"/>
      <x:c r="M1576" s="31" t="n">
        <x:f>IF(AND(N1576="미수",G1576&lt;&gt;"",TODAY()&gt;G1576),TODAY()-G1576,0)</x:f>
        <x:v>202</x:v>
      </x:c>
      <x:c r="N1576" s="24" t="str">
        <x:f>IF(J1576&gt;0,"미수",IF(AND(H1576&gt;0,I1576&gt;=H1576),"완납","미확인"))</x:f>
        <x:v>미수</x:v>
      </x:c>
      <x:c r="O1576" s="31" t="n">
        <x:v>76</x:v>
      </x:c>
    </x:row>
    <x:row r="1577" ht="17.25" customHeight="1">
      <x:c r="A1577" s="24" t="str">
        <x:v>SW-B-165다5063-202512</x:v>
      </x:c>
      <x:c r="B1577" s="24" t="str">
        <x:v>스위치플랜</x:v>
      </x:c>
      <x:c r="C1577" s="24" t="str">
        <x:v>SW-C-165다5063-1-20250910-77</x:v>
      </x:c>
      <x:c r="D1577" s="24" t="str">
        <x:v>165다5063</x:v>
      </x:c>
      <x:c r="E1577" s="24" t="str">
        <x:v>정성</x:v>
      </x:c>
      <x:c r="F1577" s="24" t="str">
        <x:v>2025-12</x:v>
      </x:c>
      <x:c r="G1577" s="30" t="n">
        <x:v>46016</x:v>
      </x:c>
      <x:c r="H1577" s="32" t="n">
        <x:v>690000</x:v>
      </x:c>
      <x:c r="I1577" s="32" t="n">
        <x:v>1380000</x:v>
      </x:c>
      <x:c r="J1577" s="32" t="n">
        <x:v>0</x:v>
      </x:c>
      <x:c r="K1577" s="30" t="n">
        <x:v>45992</x:v>
      </x:c>
      <x:c r="L1577" s="24" t="str">
        <x:v>입금</x:v>
      </x:c>
      <x:c r="M1577" s="31" t="n">
        <x:f>IF(AND(N1577="미수",G1577&lt;&gt;"",TODAY()&gt;G1577),TODAY()-G1577,0)</x:f>
        <x:v>0</x:v>
      </x:c>
      <x:c r="N1577" s="24" t="str">
        <x:f>IF(J1577&gt;0,"미수",IF(AND(H1577&gt;0,I1577&gt;=H1577),"완납","미확인"))</x:f>
        <x:v>완납</x:v>
      </x:c>
      <x:c r="O1577" s="31" t="n">
        <x:v>76</x:v>
      </x:c>
    </x:row>
    <x:row r="1578" ht="17.25" customHeight="1">
      <x:c r="A1578" s="24" t="str">
        <x:v>SW-B-165다5063-202511</x:v>
      </x:c>
      <x:c r="B1578" s="24" t="str">
        <x:v>스위치플랜</x:v>
      </x:c>
      <x:c r="C1578" s="24" t="str">
        <x:v>SW-C-165다5063-1-20250910-77</x:v>
      </x:c>
      <x:c r="D1578" s="24" t="str">
        <x:v>165다5063</x:v>
      </x:c>
      <x:c r="E1578" s="24" t="str">
        <x:v>정성</x:v>
      </x:c>
      <x:c r="F1578" s="24" t="str">
        <x:v>2025-11</x:v>
      </x:c>
      <x:c r="G1578" s="30" t="n">
        <x:v>45986</x:v>
      </x:c>
      <x:c r="H1578" s="32" t="n">
        <x:v>690000</x:v>
      </x:c>
      <x:c r="I1578" s="32"/>
      <x:c r="J1578" s="32" t="n">
        <x:v>690000</x:v>
      </x:c>
      <x:c r="K1578" s="30"/>
      <x:c r="L1578" s="24" t="str"/>
      <x:c r="M1578" s="31" t="n">
        <x:f>IF(AND(N1578="미수",G1578&lt;&gt;"",TODAY()&gt;G1578),TODAY()-G1578,0)</x:f>
        <x:v>263</x:v>
      </x:c>
      <x:c r="N1578" s="24" t="str">
        <x:f>IF(J1578&gt;0,"미수",IF(AND(H1578&gt;0,I1578&gt;=H1578),"완납","미확인"))</x:f>
        <x:v>미수</x:v>
      </x:c>
      <x:c r="O1578" s="31" t="n">
        <x:v>76</x:v>
      </x:c>
    </x:row>
    <x:row r="1579" ht="17.25" customHeight="1">
      <x:c r="A1579" s="24" t="str">
        <x:v>SW-B-165다5063-202510</x:v>
      </x:c>
      <x:c r="B1579" s="24" t="str">
        <x:v>스위치플랜</x:v>
      </x:c>
      <x:c r="C1579" s="24" t="str">
        <x:v>SW-C-165다5063-1-20250910-77</x:v>
      </x:c>
      <x:c r="D1579" s="24" t="str">
        <x:v>165다5063</x:v>
      </x:c>
      <x:c r="E1579" s="24" t="str">
        <x:v>정성</x:v>
      </x:c>
      <x:c r="F1579" s="24" t="str">
        <x:v>2025-10</x:v>
      </x:c>
      <x:c r="G1579" s="30" t="n">
        <x:v>45955</x:v>
      </x:c>
      <x:c r="H1579" s="32" t="n">
        <x:v>690000</x:v>
      </x:c>
      <x:c r="I1579" s="32" t="n">
        <x:v>690000</x:v>
      </x:c>
      <x:c r="J1579" s="32" t="n">
        <x:v>0</x:v>
      </x:c>
      <x:c r="K1579" s="30" t="n">
        <x:v>45958</x:v>
      </x:c>
      <x:c r="L1579" s="24" t="str">
        <x:v>입금</x:v>
      </x:c>
      <x:c r="M1579" s="31" t="n">
        <x:f>IF(AND(N1579="미수",G1579&lt;&gt;"",TODAY()&gt;G1579),TODAY()-G1579,0)</x:f>
        <x:v>0</x:v>
      </x:c>
      <x:c r="N1579" s="24" t="str">
        <x:f>IF(J1579&gt;0,"미수",IF(AND(H1579&gt;0,I1579&gt;=H1579),"완납","미확인"))</x:f>
        <x:v>완납</x:v>
      </x:c>
      <x:c r="O1579" s="31" t="n">
        <x:v>76</x:v>
      </x:c>
    </x:row>
    <x:row r="1580" ht="17.25" customHeight="1">
      <x:c r="A1580" s="24" t="str">
        <x:v>SW-B-165다5063-202509</x:v>
      </x:c>
      <x:c r="B1580" s="24" t="str">
        <x:v>스위치플랜</x:v>
      </x:c>
      <x:c r="C1580" s="24" t="str">
        <x:v>SW-C-165다5063-1-20250910-77</x:v>
      </x:c>
      <x:c r="D1580" s="24" t="str">
        <x:v>165다5063</x:v>
      </x:c>
      <x:c r="E1580" s="24" t="str">
        <x:v>정성</x:v>
      </x:c>
      <x:c r="F1580" s="24" t="str">
        <x:v>2025-09</x:v>
      </x:c>
      <x:c r="G1580" s="30" t="n">
        <x:v>45925</x:v>
      </x:c>
      <x:c r="H1580" s="32" t="n">
        <x:v>805000</x:v>
      </x:c>
      <x:c r="I1580" s="32" t="n">
        <x:v>805000</x:v>
      </x:c>
      <x:c r="J1580" s="32" t="n">
        <x:v>0</x:v>
      </x:c>
      <x:c r="K1580" s="30" t="n">
        <x:v>45910</x:v>
      </x:c>
      <x:c r="L1580" s="24" t="str">
        <x:v>입금</x:v>
      </x:c>
      <x:c r="M1580" s="31" t="n">
        <x:f>IF(AND(N1580="미수",G1580&lt;&gt;"",TODAY()&gt;G1580),TODAY()-G1580,0)</x:f>
        <x:v>0</x:v>
      </x:c>
      <x:c r="N1580" s="24" t="str">
        <x:f>IF(J1580&gt;0,"미수",IF(AND(H1580&gt;0,I1580&gt;=H1580),"완납","미확인"))</x:f>
        <x:v>완납</x:v>
      </x:c>
      <x:c r="O1580" s="31" t="n">
        <x:v>76</x:v>
      </x:c>
    </x:row>
    <x:row r="1581" ht="17.25" customHeight="1">
      <x:c r="A1581" s="24" t="str">
        <x:v>SW-B-165다5063-202508</x:v>
      </x:c>
      <x:c r="B1581" s="24" t="str">
        <x:v>스위치플랜</x:v>
      </x:c>
      <x:c r="C1581" s="24" t="str">
        <x:v>SW-C-165다5063-2-20240520-77</x:v>
      </x:c>
      <x:c r="D1581" s="24" t="str">
        <x:v>165다5063</x:v>
      </x:c>
      <x:c r="E1581" s="24" t="str">
        <x:v>정성</x:v>
      </x:c>
      <x:c r="F1581" s="24" t="str">
        <x:v>2025-08</x:v>
      </x:c>
      <x:c r="G1581" s="30" t="n">
        <x:v>45894</x:v>
      </x:c>
      <x:c r="H1581" s="32" t="n">
        <x:v>690000</x:v>
      </x:c>
      <x:c r="I1581" s="32" t="n">
        <x:v>690000</x:v>
      </x:c>
      <x:c r="J1581" s="32" t="n">
        <x:v>0</x:v>
      </x:c>
      <x:c r="K1581" s="30" t="n">
        <x:v>45889</x:v>
      </x:c>
      <x:c r="L1581" s="24" t="str">
        <x:v>자동</x:v>
      </x:c>
      <x:c r="M1581" s="31" t="n">
        <x:f>IF(AND(N1581="미수",G1581&lt;&gt;"",TODAY()&gt;G1581),TODAY()-G1581,0)</x:f>
        <x:v>0</x:v>
      </x:c>
      <x:c r="N1581" s="24" t="str">
        <x:f>IF(J1581&gt;0,"미수",IF(AND(H1581&gt;0,I1581&gt;=H1581),"완납","미확인"))</x:f>
        <x:v>완납</x:v>
      </x:c>
      <x:c r="O1581" s="31" t="n">
        <x:v>76</x:v>
      </x:c>
    </x:row>
    <x:row r="1582" ht="17.25" customHeight="1">
      <x:c r="A1582" s="24" t="str">
        <x:v>SW-B-165다5063-202507</x:v>
      </x:c>
      <x:c r="B1582" s="24" t="str">
        <x:v>스위치플랜</x:v>
      </x:c>
      <x:c r="C1582" s="24" t="str">
        <x:v>SW-C-165다5063-2-20240520-77</x:v>
      </x:c>
      <x:c r="D1582" s="24" t="str">
        <x:v>165다5063</x:v>
      </x:c>
      <x:c r="E1582" s="24" t="str">
        <x:v>정성</x:v>
      </x:c>
      <x:c r="F1582" s="24" t="str">
        <x:v>2025-07</x:v>
      </x:c>
      <x:c r="G1582" s="30" t="n">
        <x:v>45863</x:v>
      </x:c>
      <x:c r="H1582" s="32" t="n">
        <x:v>690000</x:v>
      </x:c>
      <x:c r="I1582" s="32" t="n">
        <x:v>690000</x:v>
      </x:c>
      <x:c r="J1582" s="32" t="n">
        <x:v>0</x:v>
      </x:c>
      <x:c r="K1582" s="30" t="n">
        <x:v>45859</x:v>
      </x:c>
      <x:c r="L1582" s="24" t="str">
        <x:v>자동</x:v>
      </x:c>
      <x:c r="M1582" s="31" t="n">
        <x:f>IF(AND(N1582="미수",G1582&lt;&gt;"",TODAY()&gt;G1582),TODAY()-G1582,0)</x:f>
        <x:v>0</x:v>
      </x:c>
      <x:c r="N1582" s="24" t="str">
        <x:f>IF(J1582&gt;0,"미수",IF(AND(H1582&gt;0,I1582&gt;=H1582),"완납","미확인"))</x:f>
        <x:v>완납</x:v>
      </x:c>
      <x:c r="O1582" s="31" t="n">
        <x:v>76</x:v>
      </x:c>
    </x:row>
    <x:row r="1583" ht="17.25" customHeight="1">
      <x:c r="A1583" s="24" t="str">
        <x:v>SW-B-165다5063-202506</x:v>
      </x:c>
      <x:c r="B1583" s="24" t="str">
        <x:v>스위치플랜</x:v>
      </x:c>
      <x:c r="C1583" s="24" t="str">
        <x:v>SW-C-165다5063-2-20240520-77</x:v>
      </x:c>
      <x:c r="D1583" s="24" t="str">
        <x:v>165다5063</x:v>
      </x:c>
      <x:c r="E1583" s="24" t="str">
        <x:v>정성</x:v>
      </x:c>
      <x:c r="F1583" s="24" t="str">
        <x:v>2025-06</x:v>
      </x:c>
      <x:c r="G1583" s="30" t="n">
        <x:v>45833</x:v>
      </x:c>
      <x:c r="H1583" s="32" t="n">
        <x:v>690000</x:v>
      </x:c>
      <x:c r="I1583" s="32" t="n">
        <x:v>690000</x:v>
      </x:c>
      <x:c r="J1583" s="32" t="n">
        <x:v>0</x:v>
      </x:c>
      <x:c r="K1583" s="30" t="n">
        <x:v>45828</x:v>
      </x:c>
      <x:c r="L1583" s="24" t="str">
        <x:v>자동</x:v>
      </x:c>
      <x:c r="M1583" s="31" t="n">
        <x:f>IF(AND(N1583="미수",G1583&lt;&gt;"",TODAY()&gt;G1583),TODAY()-G1583,0)</x:f>
        <x:v>0</x:v>
      </x:c>
      <x:c r="N1583" s="24" t="str">
        <x:f>IF(J1583&gt;0,"미수",IF(AND(H1583&gt;0,I1583&gt;=H1583),"완납","미확인"))</x:f>
        <x:v>완납</x:v>
      </x:c>
      <x:c r="O1583" s="31" t="n">
        <x:v>76</x:v>
      </x:c>
    </x:row>
    <x:row r="1584" ht="17.25" customHeight="1">
      <x:c r="A1584" s="24" t="str">
        <x:v>SW-B-165다5063-202505</x:v>
      </x:c>
      <x:c r="B1584" s="24" t="str">
        <x:v>스위치플랜</x:v>
      </x:c>
      <x:c r="C1584" s="24" t="str">
        <x:v>SW-C-165다5063-2-20240520-77</x:v>
      </x:c>
      <x:c r="D1584" s="24" t="str">
        <x:v>165다5063</x:v>
      </x:c>
      <x:c r="E1584" s="24" t="str">
        <x:v>정성</x:v>
      </x:c>
      <x:c r="F1584" s="24" t="str">
        <x:v>2025-05</x:v>
      </x:c>
      <x:c r="G1584" s="30" t="n">
        <x:v>45802</x:v>
      </x:c>
      <x:c r="H1584" s="32" t="n">
        <x:v>690000</x:v>
      </x:c>
      <x:c r="I1584" s="32" t="n">
        <x:v>690000</x:v>
      </x:c>
      <x:c r="J1584" s="32" t="n">
        <x:v>0</x:v>
      </x:c>
      <x:c r="K1584" s="30" t="n">
        <x:v>45797</x:v>
      </x:c>
      <x:c r="L1584" s="24" t="str">
        <x:v>자동</x:v>
      </x:c>
      <x:c r="M1584" s="31" t="n">
        <x:f>IF(AND(N1584="미수",G1584&lt;&gt;"",TODAY()&gt;G1584),TODAY()-G1584,0)</x:f>
        <x:v>0</x:v>
      </x:c>
      <x:c r="N1584" s="24" t="str">
        <x:f>IF(J1584&gt;0,"미수",IF(AND(H1584&gt;0,I1584&gt;=H1584),"완납","미확인"))</x:f>
        <x:v>완납</x:v>
      </x:c>
      <x:c r="O1584" s="31" t="n">
        <x:v>76</x:v>
      </x:c>
    </x:row>
    <x:row r="1585" ht="17.25" customHeight="1">
      <x:c r="A1585" s="24" t="str">
        <x:v>SW-B-165다5063-202504</x:v>
      </x:c>
      <x:c r="B1585" s="24" t="str">
        <x:v>스위치플랜</x:v>
      </x:c>
      <x:c r="C1585" s="24" t="str">
        <x:v>SW-C-165다5063-2-20240520-77</x:v>
      </x:c>
      <x:c r="D1585" s="24" t="str">
        <x:v>165다5063</x:v>
      </x:c>
      <x:c r="E1585" s="24" t="str">
        <x:v>정성</x:v>
      </x:c>
      <x:c r="F1585" s="24" t="str">
        <x:v>2025-04</x:v>
      </x:c>
      <x:c r="G1585" s="30" t="n">
        <x:v>45772</x:v>
      </x:c>
      <x:c r="H1585" s="32" t="n">
        <x:v>690000</x:v>
      </x:c>
      <x:c r="I1585" s="32" t="n">
        <x:v>690000</x:v>
      </x:c>
      <x:c r="J1585" s="32" t="n">
        <x:v>0</x:v>
      </x:c>
      <x:c r="K1585" s="30" t="n">
        <x:v>45768</x:v>
      </x:c>
      <x:c r="L1585" s="24" t="str">
        <x:v>입금</x:v>
      </x:c>
      <x:c r="M1585" s="31" t="n">
        <x:f>IF(AND(N1585="미수",G1585&lt;&gt;"",TODAY()&gt;G1585),TODAY()-G1585,0)</x:f>
        <x:v>0</x:v>
      </x:c>
      <x:c r="N1585" s="24" t="str">
        <x:f>IF(J1585&gt;0,"미수",IF(AND(H1585&gt;0,I1585&gt;=H1585),"완납","미확인"))</x:f>
        <x:v>완납</x:v>
      </x:c>
      <x:c r="O1585" s="31" t="n">
        <x:v>76</x:v>
      </x:c>
    </x:row>
    <x:row r="1586" ht="17.25" customHeight="1">
      <x:c r="A1586" s="24" t="str">
        <x:v>SW-B-165다5063-202503</x:v>
      </x:c>
      <x:c r="B1586" s="24" t="str">
        <x:v>스위치플랜</x:v>
      </x:c>
      <x:c r="C1586" s="24" t="str">
        <x:v>SW-C-165다5063-2-20240520-77</x:v>
      </x:c>
      <x:c r="D1586" s="24" t="str">
        <x:v>165다5063</x:v>
      </x:c>
      <x:c r="E1586" s="24" t="str">
        <x:v>정성</x:v>
      </x:c>
      <x:c r="F1586" s="24" t="str">
        <x:v>2025-03</x:v>
      </x:c>
      <x:c r="G1586" s="30" t="n">
        <x:v>45741</x:v>
      </x:c>
      <x:c r="H1586" s="32" t="n">
        <x:v>690000</x:v>
      </x:c>
      <x:c r="I1586" s="32" t="n">
        <x:v>690000</x:v>
      </x:c>
      <x:c r="J1586" s="32" t="n">
        <x:v>0</x:v>
      </x:c>
      <x:c r="K1586" s="30" t="n">
        <x:v>45736</x:v>
      </x:c>
      <x:c r="L1586" s="24" t="str">
        <x:v>자동</x:v>
      </x:c>
      <x:c r="M1586" s="31" t="n">
        <x:f>IF(AND(N1586="미수",G1586&lt;&gt;"",TODAY()&gt;G1586),TODAY()-G1586,0)</x:f>
        <x:v>0</x:v>
      </x:c>
      <x:c r="N1586" s="24" t="str">
        <x:f>IF(J1586&gt;0,"미수",IF(AND(H1586&gt;0,I1586&gt;=H1586),"완납","미확인"))</x:f>
        <x:v>완납</x:v>
      </x:c>
      <x:c r="O1586" s="31" t="n">
        <x:v>76</x:v>
      </x:c>
    </x:row>
    <x:row r="1587" ht="17.25" customHeight="1">
      <x:c r="A1587" s="24" t="str">
        <x:v>SW-B-165다5063-202502</x:v>
      </x:c>
      <x:c r="B1587" s="24" t="str">
        <x:v>스위치플랜</x:v>
      </x:c>
      <x:c r="C1587" s="24" t="str">
        <x:v>SW-C-165다5063-2-20240520-77</x:v>
      </x:c>
      <x:c r="D1587" s="24" t="str">
        <x:v>165다5063</x:v>
      </x:c>
      <x:c r="E1587" s="24" t="str">
        <x:v>정성</x:v>
      </x:c>
      <x:c r="F1587" s="24" t="str">
        <x:v>2025-02</x:v>
      </x:c>
      <x:c r="G1587" s="30" t="n">
        <x:v>45713</x:v>
      </x:c>
      <x:c r="H1587" s="32" t="n">
        <x:v>690000</x:v>
      </x:c>
      <x:c r="I1587" s="32" t="n">
        <x:v>690000</x:v>
      </x:c>
      <x:c r="J1587" s="32" t="n">
        <x:v>0</x:v>
      </x:c>
      <x:c r="K1587" s="30" t="n">
        <x:v>45708</x:v>
      </x:c>
      <x:c r="L1587" s="24" t="str">
        <x:v>자동</x:v>
      </x:c>
      <x:c r="M1587" s="31" t="n">
        <x:f>IF(AND(N1587="미수",G1587&lt;&gt;"",TODAY()&gt;G1587),TODAY()-G1587,0)</x:f>
        <x:v>0</x:v>
      </x:c>
      <x:c r="N1587" s="24" t="str">
        <x:f>IF(J1587&gt;0,"미수",IF(AND(H1587&gt;0,I1587&gt;=H1587),"완납","미확인"))</x:f>
        <x:v>완납</x:v>
      </x:c>
      <x:c r="O1587" s="31" t="n">
        <x:v>76</x:v>
      </x:c>
    </x:row>
    <x:row r="1588" ht="17.25" customHeight="1">
      <x:c r="A1588" s="24" t="str">
        <x:v>SW-B-165다5063-202501</x:v>
      </x:c>
      <x:c r="B1588" s="24" t="str">
        <x:v>스위치플랜</x:v>
      </x:c>
      <x:c r="C1588" s="24" t="str">
        <x:v>SW-C-165다5063-2-20240520-77</x:v>
      </x:c>
      <x:c r="D1588" s="24" t="str">
        <x:v>165다5063</x:v>
      </x:c>
      <x:c r="E1588" s="24" t="str">
        <x:v>정성</x:v>
      </x:c>
      <x:c r="F1588" s="24" t="str">
        <x:v>2025-01</x:v>
      </x:c>
      <x:c r="G1588" s="30" t="n">
        <x:v>45682</x:v>
      </x:c>
      <x:c r="H1588" s="32" t="n">
        <x:v>690000</x:v>
      </x:c>
      <x:c r="I1588" s="32" t="n">
        <x:v>690000</x:v>
      </x:c>
      <x:c r="J1588" s="32" t="n">
        <x:v>0</x:v>
      </x:c>
      <x:c r="K1588" s="30" t="n">
        <x:v>45677</x:v>
      </x:c>
      <x:c r="L1588" s="24" t="str">
        <x:v>자동</x:v>
      </x:c>
      <x:c r="M1588" s="31" t="n">
        <x:f>IF(AND(N1588="미수",G1588&lt;&gt;"",TODAY()&gt;G1588),TODAY()-G1588,0)</x:f>
        <x:v>0</x:v>
      </x:c>
      <x:c r="N1588" s="24" t="str">
        <x:f>IF(J1588&gt;0,"미수",IF(AND(H1588&gt;0,I1588&gt;=H1588),"완납","미확인"))</x:f>
        <x:v>완납</x:v>
      </x:c>
      <x:c r="O1588" s="31" t="n">
        <x:v>76</x:v>
      </x:c>
    </x:row>
    <x:row r="1589" ht="17.25" customHeight="1">
      <x:c r="A1589" s="24" t="str">
        <x:v>SW-B-165다5063-202412</x:v>
      </x:c>
      <x:c r="B1589" s="24" t="str">
        <x:v>스위치플랜</x:v>
      </x:c>
      <x:c r="C1589" s="24" t="str">
        <x:v>SW-C-165다5063-2-20240520-77</x:v>
      </x:c>
      <x:c r="D1589" s="24" t="str">
        <x:v>165다5063</x:v>
      </x:c>
      <x:c r="E1589" s="24" t="str">
        <x:v>정성</x:v>
      </x:c>
      <x:c r="F1589" s="24" t="str">
        <x:v>2024-12</x:v>
      </x:c>
      <x:c r="G1589" s="30" t="n">
        <x:v>45651</x:v>
      </x:c>
      <x:c r="H1589" s="32" t="n">
        <x:v>690000</x:v>
      </x:c>
      <x:c r="I1589" s="32" t="n">
        <x:v>690000</x:v>
      </x:c>
      <x:c r="J1589" s="32" t="n">
        <x:v>0</x:v>
      </x:c>
      <x:c r="K1589" s="30" t="n">
        <x:v>45646</x:v>
      </x:c>
      <x:c r="L1589" s="24" t="str">
        <x:v>입금</x:v>
      </x:c>
      <x:c r="M1589" s="31" t="n">
        <x:f>IF(AND(N1589="미수",G1589&lt;&gt;"",TODAY()&gt;G1589),TODAY()-G1589,0)</x:f>
        <x:v>0</x:v>
      </x:c>
      <x:c r="N1589" s="24" t="str">
        <x:f>IF(J1589&gt;0,"미수",IF(AND(H1589&gt;0,I1589&gt;=H1589),"완납","미확인"))</x:f>
        <x:v>완납</x:v>
      </x:c>
      <x:c r="O1589" s="31" t="n">
        <x:v>76</x:v>
      </x:c>
    </x:row>
    <x:row r="1590" ht="17.25" customHeight="1">
      <x:c r="A1590" s="24" t="str">
        <x:v>SW-B-165다5063-202411</x:v>
      </x:c>
      <x:c r="B1590" s="24" t="str">
        <x:v>스위치플랜</x:v>
      </x:c>
      <x:c r="C1590" s="24" t="str">
        <x:v>SW-C-165다5063-2-20240520-77</x:v>
      </x:c>
      <x:c r="D1590" s="24" t="str">
        <x:v>165다5063</x:v>
      </x:c>
      <x:c r="E1590" s="24" t="str">
        <x:v>정성</x:v>
      </x:c>
      <x:c r="F1590" s="24" t="str">
        <x:v>2024-11</x:v>
      </x:c>
      <x:c r="G1590" s="30" t="n">
        <x:v>45621</x:v>
      </x:c>
      <x:c r="H1590" s="32" t="n">
        <x:v>690000</x:v>
      </x:c>
      <x:c r="I1590" s="32" t="n">
        <x:v>690000</x:v>
      </x:c>
      <x:c r="J1590" s="32" t="n">
        <x:v>0</x:v>
      </x:c>
      <x:c r="K1590" s="30" t="n">
        <x:v>45616</x:v>
      </x:c>
      <x:c r="L1590" s="24" t="str">
        <x:v>입금</x:v>
      </x:c>
      <x:c r="M1590" s="31" t="n">
        <x:f>IF(AND(N1590="미수",G1590&lt;&gt;"",TODAY()&gt;G1590),TODAY()-G1590,0)</x:f>
        <x:v>0</x:v>
      </x:c>
      <x:c r="N1590" s="24" t="str">
        <x:f>IF(J1590&gt;0,"미수",IF(AND(H1590&gt;0,I1590&gt;=H1590),"완납","미확인"))</x:f>
        <x:v>완납</x:v>
      </x:c>
      <x:c r="O1590" s="31" t="n">
        <x:v>76</x:v>
      </x:c>
    </x:row>
    <x:row r="1591" ht="17.25" customHeight="1">
      <x:c r="A1591" s="24" t="str">
        <x:v>SW-B-165다5063-202410</x:v>
      </x:c>
      <x:c r="B1591" s="24" t="str">
        <x:v>스위치플랜</x:v>
      </x:c>
      <x:c r="C1591" s="24" t="str">
        <x:v>SW-C-165다5063-2-20240520-77</x:v>
      </x:c>
      <x:c r="D1591" s="24" t="str">
        <x:v>165다5063</x:v>
      </x:c>
      <x:c r="E1591" s="24" t="str">
        <x:v>정성</x:v>
      </x:c>
      <x:c r="F1591" s="24" t="str">
        <x:v>2024-10</x:v>
      </x:c>
      <x:c r="G1591" s="30" t="n">
        <x:v>45590</x:v>
      </x:c>
      <x:c r="H1591" s="32" t="n">
        <x:v>690000</x:v>
      </x:c>
      <x:c r="I1591" s="32" t="n">
        <x:v>690000</x:v>
      </x:c>
      <x:c r="J1591" s="32" t="n">
        <x:v>0</x:v>
      </x:c>
      <x:c r="K1591" s="30" t="n">
        <x:v>45585</x:v>
      </x:c>
      <x:c r="L1591" s="24" t="str">
        <x:v>입금</x:v>
      </x:c>
      <x:c r="M1591" s="31" t="n">
        <x:f>IF(AND(N1591="미수",G1591&lt;&gt;"",TODAY()&gt;G1591),TODAY()-G1591,0)</x:f>
        <x:v>0</x:v>
      </x:c>
      <x:c r="N1591" s="24" t="str">
        <x:f>IF(J1591&gt;0,"미수",IF(AND(H1591&gt;0,I1591&gt;=H1591),"완납","미확인"))</x:f>
        <x:v>완납</x:v>
      </x:c>
      <x:c r="O1591" s="31" t="n">
        <x:v>76</x:v>
      </x:c>
    </x:row>
    <x:row r="1592" ht="17.25" customHeight="1">
      <x:c r="A1592" s="24" t="str">
        <x:v>SW-B-165다5063-202409</x:v>
      </x:c>
      <x:c r="B1592" s="24" t="str">
        <x:v>스위치플랜</x:v>
      </x:c>
      <x:c r="C1592" s="24" t="str">
        <x:v>SW-C-165다5063-2-20240520-77</x:v>
      </x:c>
      <x:c r="D1592" s="24" t="str">
        <x:v>165다5063</x:v>
      </x:c>
      <x:c r="E1592" s="24" t="str">
        <x:v>정성</x:v>
      </x:c>
      <x:c r="F1592" s="24" t="str">
        <x:v>2024-09</x:v>
      </x:c>
      <x:c r="G1592" s="30" t="n">
        <x:v>45560</x:v>
      </x:c>
      <x:c r="H1592" s="32" t="n">
        <x:v>690000</x:v>
      </x:c>
      <x:c r="I1592" s="32" t="n">
        <x:v>690000</x:v>
      </x:c>
      <x:c r="J1592" s="32" t="n">
        <x:v>0</x:v>
      </x:c>
      <x:c r="K1592" s="30" t="n">
        <x:v>45555</x:v>
      </x:c>
      <x:c r="L1592" s="24" t="str">
        <x:v>입금</x:v>
      </x:c>
      <x:c r="M1592" s="31" t="n">
        <x:f>IF(AND(N1592="미수",G1592&lt;&gt;"",TODAY()&gt;G1592),TODAY()-G1592,0)</x:f>
        <x:v>0</x:v>
      </x:c>
      <x:c r="N1592" s="24" t="str">
        <x:f>IF(J1592&gt;0,"미수",IF(AND(H1592&gt;0,I1592&gt;=H1592),"완납","미확인"))</x:f>
        <x:v>완납</x:v>
      </x:c>
      <x:c r="O1592" s="31" t="n">
        <x:v>76</x:v>
      </x:c>
    </x:row>
    <x:row r="1593" ht="17.25" customHeight="1">
      <x:c r="A1593" s="24" t="str">
        <x:v>SW-B-165다5063-202408</x:v>
      </x:c>
      <x:c r="B1593" s="24" t="str">
        <x:v>스위치플랜</x:v>
      </x:c>
      <x:c r="C1593" s="24" t="str">
        <x:v>SW-C-165다5063-2-20240520-77</x:v>
      </x:c>
      <x:c r="D1593" s="24" t="str">
        <x:v>165다5063</x:v>
      </x:c>
      <x:c r="E1593" s="24" t="str">
        <x:v>정성</x:v>
      </x:c>
      <x:c r="F1593" s="24" t="str">
        <x:v>2024-08</x:v>
      </x:c>
      <x:c r="G1593" s="30" t="n">
        <x:v>45529</x:v>
      </x:c>
      <x:c r="H1593" s="32" t="n">
        <x:v>690000</x:v>
      </x:c>
      <x:c r="I1593" s="32" t="n">
        <x:v>690000</x:v>
      </x:c>
      <x:c r="J1593" s="32" t="n">
        <x:v>0</x:v>
      </x:c>
      <x:c r="K1593" s="30" t="n">
        <x:v>45524</x:v>
      </x:c>
      <x:c r="L1593" s="24" t="str">
        <x:v>입금</x:v>
      </x:c>
      <x:c r="M1593" s="31" t="n">
        <x:f>IF(AND(N1593="미수",G1593&lt;&gt;"",TODAY()&gt;G1593),TODAY()-G1593,0)</x:f>
        <x:v>0</x:v>
      </x:c>
      <x:c r="N1593" s="24" t="str">
        <x:f>IF(J1593&gt;0,"미수",IF(AND(H1593&gt;0,I1593&gt;=H1593),"완납","미확인"))</x:f>
        <x:v>완납</x:v>
      </x:c>
      <x:c r="O1593" s="31" t="n">
        <x:v>76</x:v>
      </x:c>
    </x:row>
    <x:row r="1594" ht="17.25" customHeight="1">
      <x:c r="A1594" s="24" t="str">
        <x:v>SW-B-165다5063-202407</x:v>
      </x:c>
      <x:c r="B1594" s="24" t="str">
        <x:v>스위치플랜</x:v>
      </x:c>
      <x:c r="C1594" s="24" t="str">
        <x:v>SW-C-165다5063-2-20240520-77</x:v>
      </x:c>
      <x:c r="D1594" s="24" t="str">
        <x:v>165다5063</x:v>
      </x:c>
      <x:c r="E1594" s="24" t="str">
        <x:v>정성</x:v>
      </x:c>
      <x:c r="F1594" s="24" t="str">
        <x:v>2024-07</x:v>
      </x:c>
      <x:c r="G1594" s="30" t="n">
        <x:v>45498</x:v>
      </x:c>
      <x:c r="H1594" s="32" t="n">
        <x:v>690000</x:v>
      </x:c>
      <x:c r="I1594" s="32" t="n">
        <x:v>690000</x:v>
      </x:c>
      <x:c r="J1594" s="32" t="n">
        <x:v>0</x:v>
      </x:c>
      <x:c r="K1594" s="30" t="n">
        <x:v>45493</x:v>
      </x:c>
      <x:c r="L1594" s="24" t="str">
        <x:v>입금</x:v>
      </x:c>
      <x:c r="M1594" s="31" t="n">
        <x:f>IF(AND(N1594="미수",G1594&lt;&gt;"",TODAY()&gt;G1594),TODAY()-G1594,0)</x:f>
        <x:v>0</x:v>
      </x:c>
      <x:c r="N1594" s="24" t="str">
        <x:f>IF(J1594&gt;0,"미수",IF(AND(H1594&gt;0,I1594&gt;=H1594),"완납","미확인"))</x:f>
        <x:v>완납</x:v>
      </x:c>
      <x:c r="O1594" s="31" t="n">
        <x:v>76</x:v>
      </x:c>
    </x:row>
    <x:row r="1595" ht="17.25" customHeight="1">
      <x:c r="A1595" s="24" t="str">
        <x:v>SW-B-165다5063-202406</x:v>
      </x:c>
      <x:c r="B1595" s="24" t="str">
        <x:v>스위치플랜</x:v>
      </x:c>
      <x:c r="C1595" s="24" t="str">
        <x:v>SW-C-165다5063-2-20240520-77</x:v>
      </x:c>
      <x:c r="D1595" s="24" t="str">
        <x:v>165다5063</x:v>
      </x:c>
      <x:c r="E1595" s="24" t="str">
        <x:v>정성</x:v>
      </x:c>
      <x:c r="F1595" s="24" t="str">
        <x:v>2024-06</x:v>
      </x:c>
      <x:c r="G1595" s="30" t="n">
        <x:v>45468</x:v>
      </x:c>
      <x:c r="H1595" s="32" t="n">
        <x:v>690000</x:v>
      </x:c>
      <x:c r="I1595" s="32" t="n">
        <x:v>690000</x:v>
      </x:c>
      <x:c r="J1595" s="32" t="n">
        <x:v>0</x:v>
      </x:c>
      <x:c r="K1595" s="30" t="n">
        <x:v>45463</x:v>
      </x:c>
      <x:c r="L1595" s="24" t="str">
        <x:v>입금</x:v>
      </x:c>
      <x:c r="M1595" s="31" t="n">
        <x:f>IF(AND(N1595="미수",G1595&lt;&gt;"",TODAY()&gt;G1595),TODAY()-G1595,0)</x:f>
        <x:v>0</x:v>
      </x:c>
      <x:c r="N1595" s="24" t="str">
        <x:f>IF(J1595&gt;0,"미수",IF(AND(H1595&gt;0,I1595&gt;=H1595),"완납","미확인"))</x:f>
        <x:v>완납</x:v>
      </x:c>
      <x:c r="O1595" s="31" t="n">
        <x:v>76</x:v>
      </x:c>
    </x:row>
    <x:row r="1596" ht="17.25" customHeight="1">
      <x:c r="A1596" s="24" t="str">
        <x:v>SW-B-165다5063-202405</x:v>
      </x:c>
      <x:c r="B1596" s="24" t="str">
        <x:v>스위치플랜</x:v>
      </x:c>
      <x:c r="C1596" s="24" t="str">
        <x:v>SW-C-165다5063-2-20240520-77</x:v>
      </x:c>
      <x:c r="D1596" s="24" t="str">
        <x:v>165다5063</x:v>
      </x:c>
      <x:c r="E1596" s="24" t="str">
        <x:v>정성</x:v>
      </x:c>
      <x:c r="F1596" s="24" t="str">
        <x:v>2024-05</x:v>
      </x:c>
      <x:c r="G1596" s="30" t="n">
        <x:v>45437</x:v>
      </x:c>
      <x:c r="H1596" s="32" t="n">
        <x:v>690000</x:v>
      </x:c>
      <x:c r="I1596" s="32" t="n">
        <x:v>690000</x:v>
      </x:c>
      <x:c r="J1596" s="32" t="n">
        <x:v>0</x:v>
      </x:c>
      <x:c r="K1596" s="30" t="n">
        <x:v>45419</x:v>
      </x:c>
      <x:c r="L1596" s="24" t="str">
        <x:v>입금</x:v>
      </x:c>
      <x:c r="M1596" s="31" t="n">
        <x:f>IF(AND(N1596="미수",G1596&lt;&gt;"",TODAY()&gt;G1596),TODAY()-G1596,0)</x:f>
        <x:v>0</x:v>
      </x:c>
      <x:c r="N1596" s="24" t="str">
        <x:f>IF(J1596&gt;0,"미수",IF(AND(H1596&gt;0,I1596&gt;=H1596),"완납","미확인"))</x:f>
        <x:v>완납</x:v>
      </x:c>
      <x:c r="O1596" s="31" t="n">
        <x:v>76</x:v>
      </x:c>
    </x:row>
    <x:row r="1597" ht="17.25" customHeight="1">
      <x:c r="A1597" s="24" t="str">
        <x:v>SW-B-145가1781-202608</x:v>
      </x:c>
      <x:c r="B1597" s="24" t="str">
        <x:v>스위치플랜</x:v>
      </x:c>
      <x:c r="C1597" s="24" t="str">
        <x:v>SW-C-145가1781-1-20260309-78</x:v>
      </x:c>
      <x:c r="D1597" s="24" t="str">
        <x:v>145가1781</x:v>
      </x:c>
      <x:c r="E1597" s="24" t="str">
        <x:v>김용순</x:v>
      </x:c>
      <x:c r="F1597" s="24" t="str">
        <x:v>2026-08</x:v>
      </x:c>
      <x:c r="G1597" s="30" t="n">
        <x:v>46244</x:v>
      </x:c>
      <x:c r="H1597" s="32" t="n">
        <x:v>1100000</x:v>
      </x:c>
      <x:c r="I1597" s="32" t="n">
        <x:v>1100000</x:v>
      </x:c>
      <x:c r="J1597" s="32" t="n">
        <x:v>0</x:v>
      </x:c>
      <x:c r="K1597" s="30" t="n">
        <x:v>46245</x:v>
      </x:c>
      <x:c r="L1597" s="24" t="str">
        <x:v>입금</x:v>
      </x:c>
      <x:c r="M1597" s="31" t="n">
        <x:f>IF(AND(N1597="미수",G1597&lt;&gt;"",TODAY()&gt;G1597),TODAY()-G1597,0)</x:f>
        <x:v>0</x:v>
      </x:c>
      <x:c r="N1597" s="24" t="str">
        <x:f>IF(J1597&gt;0,"미수",IF(AND(H1597&gt;0,I1597&gt;=H1597),"완납","미확인"))</x:f>
        <x:v>완납</x:v>
      </x:c>
      <x:c r="O1597" s="31" t="n">
        <x:v>77</x:v>
      </x:c>
    </x:row>
    <x:row r="1598" ht="17.25" customHeight="1">
      <x:c r="A1598" s="24" t="str">
        <x:v>SW-B-145가1781-202607</x:v>
      </x:c>
      <x:c r="B1598" s="24" t="str">
        <x:v>스위치플랜</x:v>
      </x:c>
      <x:c r="C1598" s="24" t="str">
        <x:v>SW-C-145가1781-1-20260309-78</x:v>
      </x:c>
      <x:c r="D1598" s="24" t="str">
        <x:v>145가1781</x:v>
      </x:c>
      <x:c r="E1598" s="24" t="str">
        <x:v>김용순</x:v>
      </x:c>
      <x:c r="F1598" s="24" t="str">
        <x:v>2026-07</x:v>
      </x:c>
      <x:c r="G1598" s="30" t="n">
        <x:v>46213</x:v>
      </x:c>
      <x:c r="H1598" s="32" t="n">
        <x:v>1100000</x:v>
      </x:c>
      <x:c r="I1598" s="32" t="n">
        <x:v>1100000</x:v>
      </x:c>
      <x:c r="J1598" s="32" t="n">
        <x:v>0</x:v>
      </x:c>
      <x:c r="K1598" s="30" t="n">
        <x:v>46213</x:v>
      </x:c>
      <x:c r="L1598" s="24" t="str">
        <x:v>입금</x:v>
      </x:c>
      <x:c r="M1598" s="31" t="n">
        <x:f>IF(AND(N1598="미수",G1598&lt;&gt;"",TODAY()&gt;G1598),TODAY()-G1598,0)</x:f>
        <x:v>0</x:v>
      </x:c>
      <x:c r="N1598" s="24" t="str">
        <x:f>IF(J1598&gt;0,"미수",IF(AND(H1598&gt;0,I1598&gt;=H1598),"완납","미확인"))</x:f>
        <x:v>완납</x:v>
      </x:c>
      <x:c r="O1598" s="31" t="n">
        <x:v>77</x:v>
      </x:c>
    </x:row>
    <x:row r="1599" ht="17.25" customHeight="1">
      <x:c r="A1599" s="24" t="str">
        <x:v>SW-B-145가1781-202606</x:v>
      </x:c>
      <x:c r="B1599" s="24" t="str">
        <x:v>스위치플랜</x:v>
      </x:c>
      <x:c r="C1599" s="24" t="str">
        <x:v>SW-C-145가1781-1-20260309-78</x:v>
      </x:c>
      <x:c r="D1599" s="24" t="str">
        <x:v>145가1781</x:v>
      </x:c>
      <x:c r="E1599" s="24" t="str">
        <x:v>김용순</x:v>
      </x:c>
      <x:c r="F1599" s="24" t="str">
        <x:v>2026-06</x:v>
      </x:c>
      <x:c r="G1599" s="30" t="n">
        <x:v>46183</x:v>
      </x:c>
      <x:c r="H1599" s="32" t="n">
        <x:v>1100000</x:v>
      </x:c>
      <x:c r="I1599" s="32" t="n">
        <x:v>1100000</x:v>
      </x:c>
      <x:c r="J1599" s="32" t="n">
        <x:v>0</x:v>
      </x:c>
      <x:c r="K1599" s="30" t="n">
        <x:v>46183</x:v>
      </x:c>
      <x:c r="L1599" s="24" t="str">
        <x:v>입금</x:v>
      </x:c>
      <x:c r="M1599" s="31" t="n">
        <x:f>IF(AND(N1599="미수",G1599&lt;&gt;"",TODAY()&gt;G1599),TODAY()-G1599,0)</x:f>
        <x:v>0</x:v>
      </x:c>
      <x:c r="N1599" s="24" t="str">
        <x:f>IF(J1599&gt;0,"미수",IF(AND(H1599&gt;0,I1599&gt;=H1599),"완납","미확인"))</x:f>
        <x:v>완납</x:v>
      </x:c>
      <x:c r="O1599" s="31" t="n">
        <x:v>77</x:v>
      </x:c>
    </x:row>
    <x:row r="1600" ht="17.25" customHeight="1">
      <x:c r="A1600" s="24" t="str">
        <x:v>SW-B-145가1781-202605</x:v>
      </x:c>
      <x:c r="B1600" s="24" t="str">
        <x:v>스위치플랜</x:v>
      </x:c>
      <x:c r="C1600" s="24" t="str">
        <x:v>SW-C-145가1781-1-20260309-78</x:v>
      </x:c>
      <x:c r="D1600" s="24" t="str">
        <x:v>145가1781</x:v>
      </x:c>
      <x:c r="E1600" s="24" t="str">
        <x:v>김용순</x:v>
      </x:c>
      <x:c r="F1600" s="24" t="str">
        <x:v>2026-05</x:v>
      </x:c>
      <x:c r="G1600" s="30" t="n">
        <x:v>46152</x:v>
      </x:c>
      <x:c r="H1600" s="32" t="n">
        <x:v>1100000</x:v>
      </x:c>
      <x:c r="I1600" s="32" t="n">
        <x:v>1100000</x:v>
      </x:c>
      <x:c r="J1600" s="32" t="n">
        <x:v>0</x:v>
      </x:c>
      <x:c r="K1600" s="30" t="n">
        <x:v>46154</x:v>
      </x:c>
      <x:c r="L1600" s="24" t="str">
        <x:v>입금</x:v>
      </x:c>
      <x:c r="M1600" s="31" t="n">
        <x:f>IF(AND(N1600="미수",G1600&lt;&gt;"",TODAY()&gt;G1600),TODAY()-G1600,0)</x:f>
        <x:v>0</x:v>
      </x:c>
      <x:c r="N1600" s="24" t="str">
        <x:f>IF(J1600&gt;0,"미수",IF(AND(H1600&gt;0,I1600&gt;=H1600),"완납","미확인"))</x:f>
        <x:v>완납</x:v>
      </x:c>
      <x:c r="O1600" s="31" t="n">
        <x:v>77</x:v>
      </x:c>
    </x:row>
    <x:row r="1601" ht="17.25" customHeight="1">
      <x:c r="A1601" s="24" t="str">
        <x:v>SW-B-145가1781-202604</x:v>
      </x:c>
      <x:c r="B1601" s="24" t="str">
        <x:v>스위치플랜</x:v>
      </x:c>
      <x:c r="C1601" s="24" t="str">
        <x:v>SW-C-145가1781-1-20260309-78</x:v>
      </x:c>
      <x:c r="D1601" s="24" t="str">
        <x:v>145가1781</x:v>
      </x:c>
      <x:c r="E1601" s="24" t="str">
        <x:v>김용순</x:v>
      </x:c>
      <x:c r="F1601" s="24" t="str">
        <x:v>2026-04</x:v>
      </x:c>
      <x:c r="G1601" s="30" t="n">
        <x:v>46122</x:v>
      </x:c>
      <x:c r="H1601" s="32" t="n">
        <x:v>1100000</x:v>
      </x:c>
      <x:c r="I1601" s="32" t="n">
        <x:v>1100000</x:v>
      </x:c>
      <x:c r="J1601" s="32" t="n">
        <x:v>0</x:v>
      </x:c>
      <x:c r="K1601" s="30" t="n">
        <x:v>46121</x:v>
      </x:c>
      <x:c r="L1601" s="24" t="str">
        <x:v>입금</x:v>
      </x:c>
      <x:c r="M1601" s="31" t="n">
        <x:f>IF(AND(N1601="미수",G1601&lt;&gt;"",TODAY()&gt;G1601),TODAY()-G1601,0)</x:f>
        <x:v>0</x:v>
      </x:c>
      <x:c r="N1601" s="24" t="str">
        <x:f>IF(J1601&gt;0,"미수",IF(AND(H1601&gt;0,I1601&gt;=H1601),"완납","미확인"))</x:f>
        <x:v>완납</x:v>
      </x:c>
      <x:c r="O1601" s="31" t="n">
        <x:v>77</x:v>
      </x:c>
    </x:row>
    <x:row r="1602" ht="17.25" customHeight="1">
      <x:c r="A1602" s="24" t="str">
        <x:v>SW-B-145가1781-202603</x:v>
      </x:c>
      <x:c r="B1602" s="24" t="str">
        <x:v>스위치플랜</x:v>
      </x:c>
      <x:c r="C1602" s="24" t="str">
        <x:v>SW-C-145가1781-1-20260309-78</x:v>
      </x:c>
      <x:c r="D1602" s="24" t="str">
        <x:v>145가1781</x:v>
      </x:c>
      <x:c r="E1602" s="24" t="str">
        <x:v>김용순</x:v>
      </x:c>
      <x:c r="F1602" s="24" t="str">
        <x:v>2026-03</x:v>
      </x:c>
      <x:c r="G1602" s="30" t="n">
        <x:v>46091</x:v>
      </x:c>
      <x:c r="H1602" s="32" t="n">
        <x:v>1100000</x:v>
      </x:c>
      <x:c r="I1602" s="32" t="n">
        <x:v>1100000</x:v>
      </x:c>
      <x:c r="J1602" s="32" t="n">
        <x:v>0</x:v>
      </x:c>
      <x:c r="K1602" s="30" t="n">
        <x:v>46090</x:v>
      </x:c>
      <x:c r="L1602" s="24" t="str">
        <x:v>입금</x:v>
      </x:c>
      <x:c r="M1602" s="31" t="n">
        <x:f>IF(AND(N1602="미수",G1602&lt;&gt;"",TODAY()&gt;G1602),TODAY()-G1602,0)</x:f>
        <x:v>0</x:v>
      </x:c>
      <x:c r="N1602" s="24" t="str">
        <x:f>IF(J1602&gt;0,"미수",IF(AND(H1602&gt;0,I1602&gt;=H1602),"완납","미확인"))</x:f>
        <x:v>완납</x:v>
      </x:c>
      <x:c r="O1602" s="31" t="n">
        <x:v>77</x:v>
      </x:c>
    </x:row>
    <x:row r="1603" ht="17.25" customHeight="1">
      <x:c r="A1603" s="24" t="str">
        <x:v>SW-B-145가1781-202602</x:v>
      </x:c>
      <x:c r="B1603" s="24" t="str">
        <x:v>스위치플랜</x:v>
      </x:c>
      <x:c r="C1603" s="24" t="str">
        <x:v>SW-C-145가1781-3-20250912-78</x:v>
      </x:c>
      <x:c r="D1603" s="24" t="str">
        <x:v>145가1781</x:v>
      </x:c>
      <x:c r="E1603" s="24" t="str">
        <x:v>김용순</x:v>
      </x:c>
      <x:c r="F1603" s="24" t="str">
        <x:v>2026-02</x:v>
      </x:c>
      <x:c r="G1603" s="30" t="n">
        <x:v>46063</x:v>
      </x:c>
      <x:c r="H1603" s="32" t="n">
        <x:v>0</x:v>
      </x:c>
      <x:c r="I1603" s="32"/>
      <x:c r="J1603" s="32" t="n">
        <x:v>0</x:v>
      </x:c>
      <x:c r="K1603" s="30"/>
      <x:c r="L1603" s="24" t="str"/>
      <x:c r="M1603" s="31" t="n">
        <x:f>IF(AND(N1603="미수",G1603&lt;&gt;"",TODAY()&gt;G1603),TODAY()-G1603,0)</x:f>
        <x:v>0</x:v>
      </x:c>
      <x:c r="N1603" s="24" t="str">
        <x:f>IF(J1603&gt;0,"미수",IF(AND(H1603&gt;0,I1603&gt;=H1603),"완납","미확인"))</x:f>
        <x:v>미확인</x:v>
      </x:c>
      <x:c r="O1603" s="31" t="n">
        <x:v>77</x:v>
      </x:c>
    </x:row>
    <x:row r="1604" ht="17.25" customHeight="1">
      <x:c r="A1604" s="24" t="str">
        <x:v>SW-B-145가1781-202511</x:v>
      </x:c>
      <x:c r="B1604" s="24" t="str">
        <x:v>스위치플랜</x:v>
      </x:c>
      <x:c r="C1604" s="24" t="str">
        <x:v>SW-C-145가1781-3-20250912-78</x:v>
      </x:c>
      <x:c r="D1604" s="24" t="str">
        <x:v>145가1781</x:v>
      </x:c>
      <x:c r="E1604" s="24" t="str">
        <x:v>김용순</x:v>
      </x:c>
      <x:c r="F1604" s="24" t="str">
        <x:v>2025-11</x:v>
      </x:c>
      <x:c r="G1604" s="30" t="n">
        <x:v>45971</x:v>
      </x:c>
      <x:c r="H1604" s="32" t="n">
        <x:v>1430000</x:v>
      </x:c>
      <x:c r="I1604" s="32"/>
      <x:c r="J1604" s="32" t="n">
        <x:v>0</x:v>
      </x:c>
      <x:c r="K1604" s="30"/>
      <x:c r="L1604" s="24" t="str"/>
      <x:c r="M1604" s="31" t="n">
        <x:f>IF(AND(N1604="미수",G1604&lt;&gt;"",TODAY()&gt;G1604),TODAY()-G1604,0)</x:f>
        <x:v>0</x:v>
      </x:c>
      <x:c r="N1604" s="24" t="str">
        <x:f>IF(J1604&gt;0,"미수",IF(AND(H1604&gt;0,I1604&gt;=H1604),"완납","미확인"))</x:f>
        <x:v>미확인</x:v>
      </x:c>
      <x:c r="O1604" s="31" t="n">
        <x:v>77</x:v>
      </x:c>
    </x:row>
    <x:row r="1605" ht="17.25" customHeight="1">
      <x:c r="A1605" s="24" t="str">
        <x:v>SW-B-145가1781-202510</x:v>
      </x:c>
      <x:c r="B1605" s="24" t="str">
        <x:v>스위치플랜</x:v>
      </x:c>
      <x:c r="C1605" s="24" t="str">
        <x:v>SW-C-145가1781-3-20250912-78</x:v>
      </x:c>
      <x:c r="D1605" s="24" t="str">
        <x:v>145가1781</x:v>
      </x:c>
      <x:c r="E1605" s="24" t="str">
        <x:v>김용순</x:v>
      </x:c>
      <x:c r="F1605" s="24" t="str">
        <x:v>2025-10</x:v>
      </x:c>
      <x:c r="G1605" s="30" t="n">
        <x:v>45940</x:v>
      </x:c>
      <x:c r="H1605" s="32" t="n">
        <x:v>1430000</x:v>
      </x:c>
      <x:c r="I1605" s="32" t="n">
        <x:v>1430000</x:v>
      </x:c>
      <x:c r="J1605" s="32" t="n">
        <x:v>0</x:v>
      </x:c>
      <x:c r="K1605" s="30" t="n">
        <x:v>45951</x:v>
      </x:c>
      <x:c r="L1605" s="24" t="str">
        <x:v>입금</x:v>
      </x:c>
      <x:c r="M1605" s="31" t="n">
        <x:f>IF(AND(N1605="미수",G1605&lt;&gt;"",TODAY()&gt;G1605),TODAY()-G1605,0)</x:f>
        <x:v>0</x:v>
      </x:c>
      <x:c r="N1605" s="24" t="str">
        <x:f>IF(J1605&gt;0,"미수",IF(AND(H1605&gt;0,I1605&gt;=H1605),"완납","미확인"))</x:f>
        <x:v>완납</x:v>
      </x:c>
      <x:c r="O1605" s="31" t="n">
        <x:v>77</x:v>
      </x:c>
    </x:row>
    <x:row r="1606" ht="17.25" customHeight="1">
      <x:c r="A1606" s="24" t="str">
        <x:v>SW-B-145가1781-202509</x:v>
      </x:c>
      <x:c r="B1606" s="24" t="str">
        <x:v>스위치플랜</x:v>
      </x:c>
      <x:c r="C1606" s="24" t="str">
        <x:v>SW-C-145가1781-3-20250912-78</x:v>
      </x:c>
      <x:c r="D1606" s="24" t="str">
        <x:v>145가1781</x:v>
      </x:c>
      <x:c r="E1606" s="24" t="str">
        <x:v>김용순</x:v>
      </x:c>
      <x:c r="F1606" s="24" t="str">
        <x:v>2025-09</x:v>
      </x:c>
      <x:c r="G1606" s="30" t="n">
        <x:v>45910</x:v>
      </x:c>
      <x:c r="H1606" s="32" t="n">
        <x:v>1430000</x:v>
      </x:c>
      <x:c r="I1606" s="32" t="n">
        <x:v>1430000</x:v>
      </x:c>
      <x:c r="J1606" s="32" t="n">
        <x:v>0</x:v>
      </x:c>
      <x:c r="K1606" s="30" t="n">
        <x:v>45911</x:v>
      </x:c>
      <x:c r="L1606" s="24" t="str">
        <x:v>입금</x:v>
      </x:c>
      <x:c r="M1606" s="31" t="n">
        <x:f>IF(AND(N1606="미수",G1606&lt;&gt;"",TODAY()&gt;G1606),TODAY()-G1606,0)</x:f>
        <x:v>0</x:v>
      </x:c>
      <x:c r="N1606" s="24" t="str">
        <x:f>IF(J1606&gt;0,"미수",IF(AND(H1606&gt;0,I1606&gt;=H1606),"완납","미확인"))</x:f>
        <x:v>완납</x:v>
      </x:c>
      <x:c r="O1606" s="31" t="n">
        <x:v>77</x:v>
      </x:c>
    </x:row>
    <x:row r="1607" ht="17.25" customHeight="1">
      <x:c r="A1607" s="24" t="str">
        <x:v>SW-B-145가1781-202506</x:v>
      </x:c>
      <x:c r="B1607" s="24" t="str">
        <x:v>스위치플랜</x:v>
      </x:c>
      <x:c r="C1607" s="24" t="str">
        <x:v>SW-C-145가1781-4-20250221-78</x:v>
      </x:c>
      <x:c r="D1607" s="24" t="str">
        <x:v>145가1781</x:v>
      </x:c>
      <x:c r="E1607" s="24" t="str">
        <x:v>김용순</x:v>
      </x:c>
      <x:c r="F1607" s="24" t="str">
        <x:v>2025-06</x:v>
      </x:c>
      <x:c r="G1607" s="30" t="n">
        <x:v>45818</x:v>
      </x:c>
      <x:c r="H1607" s="32" t="n">
        <x:v>1590000</x:v>
      </x:c>
      <x:c r="I1607" s="32" t="n">
        <x:v>1590000</x:v>
      </x:c>
      <x:c r="J1607" s="32" t="n">
        <x:v>0</x:v>
      </x:c>
      <x:c r="K1607" s="30" t="n">
        <x:v>45838</x:v>
      </x:c>
      <x:c r="L1607" s="24" t="str">
        <x:v>입금</x:v>
      </x:c>
      <x:c r="M1607" s="31" t="n">
        <x:f>IF(AND(N1607="미수",G1607&lt;&gt;"",TODAY()&gt;G1607),TODAY()-G1607,0)</x:f>
        <x:v>0</x:v>
      </x:c>
      <x:c r="N1607" s="24" t="str">
        <x:f>IF(J1607&gt;0,"미수",IF(AND(H1607&gt;0,I1607&gt;=H1607),"완납","미확인"))</x:f>
        <x:v>완납</x:v>
      </x:c>
      <x:c r="O1607" s="31" t="n">
        <x:v>77</x:v>
      </x:c>
    </x:row>
    <x:row r="1608" ht="17.25" customHeight="1">
      <x:c r="A1608" s="24" t="str">
        <x:v>SW-B-145가1781-202505</x:v>
      </x:c>
      <x:c r="B1608" s="24" t="str">
        <x:v>스위치플랜</x:v>
      </x:c>
      <x:c r="C1608" s="24" t="str">
        <x:v>SW-C-145가1781-4-20250221-78</x:v>
      </x:c>
      <x:c r="D1608" s="24" t="str">
        <x:v>145가1781</x:v>
      </x:c>
      <x:c r="E1608" s="24" t="str">
        <x:v>김용순</x:v>
      </x:c>
      <x:c r="F1608" s="24" t="str">
        <x:v>2025-05</x:v>
      </x:c>
      <x:c r="G1608" s="30" t="n">
        <x:v>45787</x:v>
      </x:c>
      <x:c r="H1608" s="32" t="n">
        <x:v>1590000</x:v>
      </x:c>
      <x:c r="I1608" s="32" t="n">
        <x:v>1590000</x:v>
      </x:c>
      <x:c r="J1608" s="32" t="n">
        <x:v>0</x:v>
      </x:c>
      <x:c r="K1608" s="30" t="n">
        <x:v>45803</x:v>
      </x:c>
      <x:c r="L1608" s="24" t="str">
        <x:v>입금</x:v>
      </x:c>
      <x:c r="M1608" s="31" t="n">
        <x:f>IF(AND(N1608="미수",G1608&lt;&gt;"",TODAY()&gt;G1608),TODAY()-G1608,0)</x:f>
        <x:v>0</x:v>
      </x:c>
      <x:c r="N1608" s="24" t="str">
        <x:f>IF(J1608&gt;0,"미수",IF(AND(H1608&gt;0,I1608&gt;=H1608),"완납","미확인"))</x:f>
        <x:v>완납</x:v>
      </x:c>
      <x:c r="O1608" s="31" t="n">
        <x:v>77</x:v>
      </x:c>
    </x:row>
    <x:row r="1609" ht="17.25" customHeight="1">
      <x:c r="A1609" s="24" t="str">
        <x:v>SW-B-145가1781-202504</x:v>
      </x:c>
      <x:c r="B1609" s="24" t="str">
        <x:v>스위치플랜</x:v>
      </x:c>
      <x:c r="C1609" s="24" t="str">
        <x:v>SW-C-145가1781-4-20250221-78</x:v>
      </x:c>
      <x:c r="D1609" s="24" t="str">
        <x:v>145가1781</x:v>
      </x:c>
      <x:c r="E1609" s="24" t="str">
        <x:v>김용순</x:v>
      </x:c>
      <x:c r="F1609" s="24" t="str">
        <x:v>2025-04</x:v>
      </x:c>
      <x:c r="G1609" s="30" t="n">
        <x:v>45757</x:v>
      </x:c>
      <x:c r="H1609" s="32" t="n">
        <x:v>1590000</x:v>
      </x:c>
      <x:c r="I1609" s="32" t="n">
        <x:v>1590000</x:v>
      </x:c>
      <x:c r="J1609" s="32" t="n">
        <x:v>0</x:v>
      </x:c>
      <x:c r="K1609" s="30" t="n">
        <x:v>45777</x:v>
      </x:c>
      <x:c r="L1609" s="24" t="str">
        <x:v>입금</x:v>
      </x:c>
      <x:c r="M1609" s="31" t="n">
        <x:f>IF(AND(N1609="미수",G1609&lt;&gt;"",TODAY()&gt;G1609),TODAY()-G1609,0)</x:f>
        <x:v>0</x:v>
      </x:c>
      <x:c r="N1609" s="24" t="str">
        <x:f>IF(J1609&gt;0,"미수",IF(AND(H1609&gt;0,I1609&gt;=H1609),"완납","미확인"))</x:f>
        <x:v>완납</x:v>
      </x:c>
      <x:c r="O1609" s="31" t="n">
        <x:v>77</x:v>
      </x:c>
    </x:row>
    <x:row r="1610" ht="17.25" customHeight="1">
      <x:c r="A1610" s="24" t="str">
        <x:v>SW-B-145가1781-202503</x:v>
      </x:c>
      <x:c r="B1610" s="24" t="str">
        <x:v>스위치플랜</x:v>
      </x:c>
      <x:c r="C1610" s="24" t="str">
        <x:v>SW-C-145가1781-4-20250221-78</x:v>
      </x:c>
      <x:c r="D1610" s="24" t="str">
        <x:v>145가1781</x:v>
      </x:c>
      <x:c r="E1610" s="24" t="str">
        <x:v>김용순</x:v>
      </x:c>
      <x:c r="F1610" s="24" t="str">
        <x:v>2025-03</x:v>
      </x:c>
      <x:c r="G1610" s="30" t="n">
        <x:v>45726</x:v>
      </x:c>
      <x:c r="H1610" s="32" t="n">
        <x:v>1590000</x:v>
      </x:c>
      <x:c r="I1610" s="32" t="n">
        <x:v>1590000</x:v>
      </x:c>
      <x:c r="J1610" s="32" t="n">
        <x:v>0</x:v>
      </x:c>
      <x:c r="K1610" s="30" t="n">
        <x:v>45739</x:v>
      </x:c>
      <x:c r="L1610" s="24" t="str">
        <x:v>입금</x:v>
      </x:c>
      <x:c r="M1610" s="31" t="n">
        <x:f>IF(AND(N1610="미수",G1610&lt;&gt;"",TODAY()&gt;G1610),TODAY()-G1610,0)</x:f>
        <x:v>0</x:v>
      </x:c>
      <x:c r="N1610" s="24" t="str">
        <x:f>IF(J1610&gt;0,"미수",IF(AND(H1610&gt;0,I1610&gt;=H1610),"완납","미확인"))</x:f>
        <x:v>완납</x:v>
      </x:c>
      <x:c r="O1610" s="31" t="n">
        <x:v>77</x:v>
      </x:c>
    </x:row>
    <x:row r="1611" ht="17.25" customHeight="1">
      <x:c r="A1611" s="24" t="str">
        <x:v>SW-B-145가1781-202502</x:v>
      </x:c>
      <x:c r="B1611" s="24" t="str">
        <x:v>스위치플랜</x:v>
      </x:c>
      <x:c r="C1611" s="24" t="str">
        <x:v>SW-C-145가1781-4-20250221-78</x:v>
      </x:c>
      <x:c r="D1611" s="24" t="str">
        <x:v>145가1781</x:v>
      </x:c>
      <x:c r="E1611" s="24" t="str">
        <x:v>김용순</x:v>
      </x:c>
      <x:c r="F1611" s="24" t="str">
        <x:v>2025-02</x:v>
      </x:c>
      <x:c r="G1611" s="30" t="n">
        <x:v>45698</x:v>
      </x:c>
      <x:c r="H1611" s="32" t="n">
        <x:v>1590000</x:v>
      </x:c>
      <x:c r="I1611" s="32" t="n">
        <x:v>1590000</x:v>
      </x:c>
      <x:c r="J1611" s="32" t="n">
        <x:v>0</x:v>
      </x:c>
      <x:c r="K1611" s="30" t="n">
        <x:v>45698</x:v>
      </x:c>
      <x:c r="L1611" s="24" t="str">
        <x:v>입금</x:v>
      </x:c>
      <x:c r="M1611" s="31" t="n">
        <x:f>IF(AND(N1611="미수",G1611&lt;&gt;"",TODAY()&gt;G1611),TODAY()-G1611,0)</x:f>
        <x:v>0</x:v>
      </x:c>
      <x:c r="N1611" s="24" t="str">
        <x:f>IF(J1611&gt;0,"미수",IF(AND(H1611&gt;0,I1611&gt;=H1611),"완납","미확인"))</x:f>
        <x:v>완납</x:v>
      </x:c>
      <x:c r="O1611" s="31" t="n">
        <x:v>77</x:v>
      </x:c>
    </x:row>
    <x:row r="1612" ht="17.25" customHeight="1">
      <x:c r="A1612" s="24" t="str">
        <x:v>SW-B-145가1796-202608</x:v>
      </x:c>
      <x:c r="B1612" s="24" t="str">
        <x:v>스위치플랜</x:v>
      </x:c>
      <x:c r="C1612" s="24" t="str">
        <x:v>SW-C-145가1796-1-20250626-79</x:v>
      </x:c>
      <x:c r="D1612" s="24" t="str">
        <x:v>145가1796</x:v>
      </x:c>
      <x:c r="E1612" s="24" t="str">
        <x:v>정유림</x:v>
      </x:c>
      <x:c r="F1612" s="24" t="str">
        <x:v>2026-08</x:v>
      </x:c>
      <x:c r="G1612" s="30" t="n">
        <x:v>46259</x:v>
      </x:c>
      <x:c r="H1612" s="32" t="n">
        <x:v>1070000</x:v>
      </x:c>
      <x:c r="I1612" s="32"/>
      <x:c r="J1612" s="32" t="n">
        <x:v>1070000</x:v>
      </x:c>
      <x:c r="K1612" s="30"/>
      <x:c r="L1612" s="24" t="str"/>
      <x:c r="M1612" s="31" t="n">
        <x:f>IF(AND(N1612="미수",G1612&lt;&gt;"",TODAY()&gt;G1612),TODAY()-G1612,0)</x:f>
        <x:v>0</x:v>
      </x:c>
      <x:c r="N1612" s="24" t="str">
        <x:f>IF(J1612&gt;0,"미수",IF(AND(H1612&gt;0,I1612&gt;=H1612),"완납","미확인"))</x:f>
        <x:v>미수</x:v>
      </x:c>
      <x:c r="O1612" s="31" t="n">
        <x:v>78</x:v>
      </x:c>
    </x:row>
    <x:row r="1613" ht="17.25" customHeight="1">
      <x:c r="A1613" s="24" t="str">
        <x:v>SW-B-145가1796-202607</x:v>
      </x:c>
      <x:c r="B1613" s="24" t="str">
        <x:v>스위치플랜</x:v>
      </x:c>
      <x:c r="C1613" s="24" t="str">
        <x:v>SW-C-145가1796-1-20250626-79</x:v>
      </x:c>
      <x:c r="D1613" s="24" t="str">
        <x:v>145가1796</x:v>
      </x:c>
      <x:c r="E1613" s="24" t="str">
        <x:v>정유림</x:v>
      </x:c>
      <x:c r="F1613" s="24" t="str">
        <x:v>2026-07</x:v>
      </x:c>
      <x:c r="G1613" s="30" t="n">
        <x:v>46228</x:v>
      </x:c>
      <x:c r="H1613" s="32" t="n">
        <x:v>1070000</x:v>
      </x:c>
      <x:c r="I1613" s="32" t="n">
        <x:v>1070000</x:v>
      </x:c>
      <x:c r="J1613" s="32" t="n">
        <x:v>0</x:v>
      </x:c>
      <x:c r="K1613" s="30" t="n">
        <x:v>46228</x:v>
      </x:c>
      <x:c r="L1613" s="24" t="str">
        <x:v>자동</x:v>
      </x:c>
      <x:c r="M1613" s="31" t="n">
        <x:f>IF(AND(N1613="미수",G1613&lt;&gt;"",TODAY()&gt;G1613),TODAY()-G1613,0)</x:f>
        <x:v>0</x:v>
      </x:c>
      <x:c r="N1613" s="24" t="str">
        <x:f>IF(J1613&gt;0,"미수",IF(AND(H1613&gt;0,I1613&gt;=H1613),"완납","미확인"))</x:f>
        <x:v>완납</x:v>
      </x:c>
      <x:c r="O1613" s="31" t="n">
        <x:v>78</x:v>
      </x:c>
    </x:row>
    <x:row r="1614" ht="17.25" customHeight="1">
      <x:c r="A1614" s="24" t="str">
        <x:v>SW-B-145가1796-202606</x:v>
      </x:c>
      <x:c r="B1614" s="24" t="str">
        <x:v>스위치플랜</x:v>
      </x:c>
      <x:c r="C1614" s="24" t="str">
        <x:v>SW-C-145가1796-1-20250626-79</x:v>
      </x:c>
      <x:c r="D1614" s="24" t="str">
        <x:v>145가1796</x:v>
      </x:c>
      <x:c r="E1614" s="24" t="str">
        <x:v>정유림</x:v>
      </x:c>
      <x:c r="F1614" s="24" t="str">
        <x:v>2026-06</x:v>
      </x:c>
      <x:c r="G1614" s="30" t="n">
        <x:v>46198</x:v>
      </x:c>
      <x:c r="H1614" s="32" t="n">
        <x:v>1070000</x:v>
      </x:c>
      <x:c r="I1614" s="32" t="n">
        <x:v>1070000</x:v>
      </x:c>
      <x:c r="J1614" s="32" t="n">
        <x:v>0</x:v>
      </x:c>
      <x:c r="K1614" s="30" t="n">
        <x:v>46198</x:v>
      </x:c>
      <x:c r="L1614" s="24" t="str">
        <x:v>자동</x:v>
      </x:c>
      <x:c r="M1614" s="31" t="n">
        <x:f>IF(AND(N1614="미수",G1614&lt;&gt;"",TODAY()&gt;G1614),TODAY()-G1614,0)</x:f>
        <x:v>0</x:v>
      </x:c>
      <x:c r="N1614" s="24" t="str">
        <x:f>IF(J1614&gt;0,"미수",IF(AND(H1614&gt;0,I1614&gt;=H1614),"완납","미확인"))</x:f>
        <x:v>완납</x:v>
      </x:c>
      <x:c r="O1614" s="31" t="n">
        <x:v>78</x:v>
      </x:c>
    </x:row>
    <x:row r="1615" ht="17.25" customHeight="1">
      <x:c r="A1615" s="24" t="str">
        <x:v>SW-B-145가1796-202605</x:v>
      </x:c>
      <x:c r="B1615" s="24" t="str">
        <x:v>스위치플랜</x:v>
      </x:c>
      <x:c r="C1615" s="24" t="str">
        <x:v>SW-C-145가1796-1-20250626-79</x:v>
      </x:c>
      <x:c r="D1615" s="24" t="str">
        <x:v>145가1796</x:v>
      </x:c>
      <x:c r="E1615" s="24" t="str">
        <x:v>정유림</x:v>
      </x:c>
      <x:c r="F1615" s="24" t="str">
        <x:v>2026-05</x:v>
      </x:c>
      <x:c r="G1615" s="30" t="n">
        <x:v>46167</x:v>
      </x:c>
      <x:c r="H1615" s="32" t="n">
        <x:v>1070000</x:v>
      </x:c>
      <x:c r="I1615" s="32" t="n">
        <x:v>1070000</x:v>
      </x:c>
      <x:c r="J1615" s="32" t="n">
        <x:v>0</x:v>
      </x:c>
      <x:c r="K1615" s="30" t="n">
        <x:v>46168</x:v>
      </x:c>
      <x:c r="L1615" s="24" t="str">
        <x:v>자동</x:v>
      </x:c>
      <x:c r="M1615" s="31" t="n">
        <x:f>IF(AND(N1615="미수",G1615&lt;&gt;"",TODAY()&gt;G1615),TODAY()-G1615,0)</x:f>
        <x:v>0</x:v>
      </x:c>
      <x:c r="N1615" s="24" t="str">
        <x:f>IF(J1615&gt;0,"미수",IF(AND(H1615&gt;0,I1615&gt;=H1615),"완납","미확인"))</x:f>
        <x:v>완납</x:v>
      </x:c>
      <x:c r="O1615" s="31" t="n">
        <x:v>78</x:v>
      </x:c>
    </x:row>
    <x:row r="1616" ht="17.25" customHeight="1">
      <x:c r="A1616" s="24" t="str">
        <x:v>SW-B-145가1796-202604</x:v>
      </x:c>
      <x:c r="B1616" s="24" t="str">
        <x:v>스위치플랜</x:v>
      </x:c>
      <x:c r="C1616" s="24" t="str">
        <x:v>SW-C-145가1796-1-20250626-79</x:v>
      </x:c>
      <x:c r="D1616" s="24" t="str">
        <x:v>145가1796</x:v>
      </x:c>
      <x:c r="E1616" s="24" t="str">
        <x:v>정유림</x:v>
      </x:c>
      <x:c r="F1616" s="24" t="str">
        <x:v>2026-04</x:v>
      </x:c>
      <x:c r="G1616" s="30" t="n">
        <x:v>46137</x:v>
      </x:c>
      <x:c r="H1616" s="32" t="n">
        <x:v>1070000</x:v>
      </x:c>
      <x:c r="I1616" s="32" t="n">
        <x:v>1070000</x:v>
      </x:c>
      <x:c r="J1616" s="32" t="n">
        <x:v>0</x:v>
      </x:c>
      <x:c r="K1616" s="30" t="n">
        <x:v>46139</x:v>
      </x:c>
      <x:c r="L1616" s="24" t="str">
        <x:v>자동</x:v>
      </x:c>
      <x:c r="M1616" s="31" t="n">
        <x:f>IF(AND(N1616="미수",G1616&lt;&gt;"",TODAY()&gt;G1616),TODAY()-G1616,0)</x:f>
        <x:v>0</x:v>
      </x:c>
      <x:c r="N1616" s="24" t="str">
        <x:f>IF(J1616&gt;0,"미수",IF(AND(H1616&gt;0,I1616&gt;=H1616),"완납","미확인"))</x:f>
        <x:v>완납</x:v>
      </x:c>
      <x:c r="O1616" s="31" t="n">
        <x:v>78</x:v>
      </x:c>
    </x:row>
    <x:row r="1617" ht="17.25" customHeight="1">
      <x:c r="A1617" s="24" t="str">
        <x:v>SW-B-145가1796-202603</x:v>
      </x:c>
      <x:c r="B1617" s="24" t="str">
        <x:v>스위치플랜</x:v>
      </x:c>
      <x:c r="C1617" s="24" t="str">
        <x:v>SW-C-145가1796-1-20250626-79</x:v>
      </x:c>
      <x:c r="D1617" s="24" t="str">
        <x:v>145가1796</x:v>
      </x:c>
      <x:c r="E1617" s="24" t="str">
        <x:v>정유림</x:v>
      </x:c>
      <x:c r="F1617" s="24" t="str">
        <x:v>2026-03</x:v>
      </x:c>
      <x:c r="G1617" s="30" t="n">
        <x:v>46106</x:v>
      </x:c>
      <x:c r="H1617" s="32" t="n">
        <x:v>1070000</x:v>
      </x:c>
      <x:c r="I1617" s="32" t="n">
        <x:v>2140000</x:v>
      </x:c>
      <x:c r="J1617" s="32" t="n">
        <x:v>0</x:v>
      </x:c>
      <x:c r="K1617" s="30" t="n">
        <x:v>46111</x:v>
      </x:c>
      <x:c r="L1617" s="24" t="str">
        <x:v>입금</x:v>
      </x:c>
      <x:c r="M1617" s="31" t="n">
        <x:f>IF(AND(N1617="미수",G1617&lt;&gt;"",TODAY()&gt;G1617),TODAY()-G1617,0)</x:f>
        <x:v>0</x:v>
      </x:c>
      <x:c r="N1617" s="24" t="str">
        <x:f>IF(J1617&gt;0,"미수",IF(AND(H1617&gt;0,I1617&gt;=H1617),"완납","미확인"))</x:f>
        <x:v>완납</x:v>
      </x:c>
      <x:c r="O1617" s="31" t="n">
        <x:v>78</x:v>
      </x:c>
    </x:row>
    <x:row r="1618" ht="17.25" customHeight="1">
      <x:c r="A1618" s="24" t="str">
        <x:v>SW-B-145가1796-202602</x:v>
      </x:c>
      <x:c r="B1618" s="24" t="str">
        <x:v>스위치플랜</x:v>
      </x:c>
      <x:c r="C1618" s="24" t="str">
        <x:v>SW-C-145가1796-1-20250626-79</x:v>
      </x:c>
      <x:c r="D1618" s="24" t="str">
        <x:v>145가1796</x:v>
      </x:c>
      <x:c r="E1618" s="24" t="str">
        <x:v>정유림</x:v>
      </x:c>
      <x:c r="F1618" s="24" t="str">
        <x:v>2026-02</x:v>
      </x:c>
      <x:c r="G1618" s="30" t="n">
        <x:v>46078</x:v>
      </x:c>
      <x:c r="H1618" s="32" t="n">
        <x:v>1070000</x:v>
      </x:c>
      <x:c r="I1618" s="32"/>
      <x:c r="J1618" s="32" t="n">
        <x:v>1070000</x:v>
      </x:c>
      <x:c r="K1618" s="30"/>
      <x:c r="L1618" s="24" t="str"/>
      <x:c r="M1618" s="31" t="n">
        <x:f>IF(AND(N1618="미수",G1618&lt;&gt;"",TODAY()&gt;G1618),TODAY()-G1618,0)</x:f>
        <x:v>171</x:v>
      </x:c>
      <x:c r="N1618" s="24" t="str">
        <x:f>IF(J1618&gt;0,"미수",IF(AND(H1618&gt;0,I1618&gt;=H1618),"완납","미확인"))</x:f>
        <x:v>미수</x:v>
      </x:c>
      <x:c r="O1618" s="31" t="n">
        <x:v>78</x:v>
      </x:c>
    </x:row>
    <x:row r="1619" ht="17.25" customHeight="1">
      <x:c r="A1619" s="24" t="str">
        <x:v>SW-B-145가1796-202601</x:v>
      </x:c>
      <x:c r="B1619" s="24" t="str">
        <x:v>스위치플랜</x:v>
      </x:c>
      <x:c r="C1619" s="24" t="str">
        <x:v>SW-C-145가1796-1-20250626-79</x:v>
      </x:c>
      <x:c r="D1619" s="24" t="str">
        <x:v>145가1796</x:v>
      </x:c>
      <x:c r="E1619" s="24" t="str">
        <x:v>정유림</x:v>
      </x:c>
      <x:c r="F1619" s="24" t="str">
        <x:v>2026-01</x:v>
      </x:c>
      <x:c r="G1619" s="30" t="n">
        <x:v>46047</x:v>
      </x:c>
      <x:c r="H1619" s="32" t="n">
        <x:v>1070000</x:v>
      </x:c>
      <x:c r="I1619" s="32" t="n">
        <x:v>1070000</x:v>
      </x:c>
      <x:c r="J1619" s="32" t="n">
        <x:v>0</x:v>
      </x:c>
      <x:c r="K1619" s="30" t="n">
        <x:v>46048</x:v>
      </x:c>
      <x:c r="L1619" s="24" t="str">
        <x:v>자동</x:v>
      </x:c>
      <x:c r="M1619" s="31" t="n">
        <x:f>IF(AND(N1619="미수",G1619&lt;&gt;"",TODAY()&gt;G1619),TODAY()-G1619,0)</x:f>
        <x:v>0</x:v>
      </x:c>
      <x:c r="N1619" s="24" t="str">
        <x:f>IF(J1619&gt;0,"미수",IF(AND(H1619&gt;0,I1619&gt;=H1619),"완납","미확인"))</x:f>
        <x:v>완납</x:v>
      </x:c>
      <x:c r="O1619" s="31" t="n">
        <x:v>78</x:v>
      </x:c>
    </x:row>
    <x:row r="1620" ht="17.25" customHeight="1">
      <x:c r="A1620" s="24" t="str">
        <x:v>SW-B-145가1796-202512</x:v>
      </x:c>
      <x:c r="B1620" s="24" t="str">
        <x:v>스위치플랜</x:v>
      </x:c>
      <x:c r="C1620" s="24" t="str">
        <x:v>SW-C-145가1796-1-20250626-79</x:v>
      </x:c>
      <x:c r="D1620" s="24" t="str">
        <x:v>145가1796</x:v>
      </x:c>
      <x:c r="E1620" s="24" t="str">
        <x:v>정유림</x:v>
      </x:c>
      <x:c r="F1620" s="24" t="str">
        <x:v>2025-12</x:v>
      </x:c>
      <x:c r="G1620" s="30" t="n">
        <x:v>46016</x:v>
      </x:c>
      <x:c r="H1620" s="32" t="n">
        <x:v>1070000</x:v>
      </x:c>
      <x:c r="I1620" s="32" t="n">
        <x:v>1070000</x:v>
      </x:c>
      <x:c r="J1620" s="32" t="n">
        <x:v>0</x:v>
      </x:c>
      <x:c r="K1620" s="30" t="n">
        <x:v>46017</x:v>
      </x:c>
      <x:c r="L1620" s="24" t="str">
        <x:v>자동</x:v>
      </x:c>
      <x:c r="M1620" s="31" t="n">
        <x:f>IF(AND(N1620="미수",G1620&lt;&gt;"",TODAY()&gt;G1620),TODAY()-G1620,0)</x:f>
        <x:v>0</x:v>
      </x:c>
      <x:c r="N1620" s="24" t="str">
        <x:f>IF(J1620&gt;0,"미수",IF(AND(H1620&gt;0,I1620&gt;=H1620),"완납","미확인"))</x:f>
        <x:v>완납</x:v>
      </x:c>
      <x:c r="O1620" s="31" t="n">
        <x:v>78</x:v>
      </x:c>
    </x:row>
    <x:row r="1621" ht="17.25" customHeight="1">
      <x:c r="A1621" s="24" t="str">
        <x:v>SW-B-145가1796-202511</x:v>
      </x:c>
      <x:c r="B1621" s="24" t="str">
        <x:v>스위치플랜</x:v>
      </x:c>
      <x:c r="C1621" s="24" t="str">
        <x:v>SW-C-145가1796-1-20250626-79</x:v>
      </x:c>
      <x:c r="D1621" s="24" t="str">
        <x:v>145가1796</x:v>
      </x:c>
      <x:c r="E1621" s="24" t="str">
        <x:v>정유림</x:v>
      </x:c>
      <x:c r="F1621" s="24" t="str">
        <x:v>2025-11</x:v>
      </x:c>
      <x:c r="G1621" s="30" t="n">
        <x:v>45986</x:v>
      </x:c>
      <x:c r="H1621" s="32" t="n">
        <x:v>1070000</x:v>
      </x:c>
      <x:c r="I1621" s="32" t="n">
        <x:v>1070000</x:v>
      </x:c>
      <x:c r="J1621" s="32" t="n">
        <x:v>0</x:v>
      </x:c>
      <x:c r="K1621" s="30" t="n">
        <x:v>45986</x:v>
      </x:c>
      <x:c r="L1621" s="24" t="str">
        <x:v>자동</x:v>
      </x:c>
      <x:c r="M1621" s="31" t="n">
        <x:f>IF(AND(N1621="미수",G1621&lt;&gt;"",TODAY()&gt;G1621),TODAY()-G1621,0)</x:f>
        <x:v>0</x:v>
      </x:c>
      <x:c r="N1621" s="24" t="str">
        <x:f>IF(J1621&gt;0,"미수",IF(AND(H1621&gt;0,I1621&gt;=H1621),"완납","미확인"))</x:f>
        <x:v>완납</x:v>
      </x:c>
      <x:c r="O1621" s="31" t="n">
        <x:v>78</x:v>
      </x:c>
    </x:row>
    <x:row r="1622" ht="17.25" customHeight="1">
      <x:c r="A1622" s="24" t="str">
        <x:v>SW-B-145가1796-202510</x:v>
      </x:c>
      <x:c r="B1622" s="24" t="str">
        <x:v>스위치플랜</x:v>
      </x:c>
      <x:c r="C1622" s="24" t="str">
        <x:v>SW-C-145가1796-1-20250626-79</x:v>
      </x:c>
      <x:c r="D1622" s="24" t="str">
        <x:v>145가1796</x:v>
      </x:c>
      <x:c r="E1622" s="24" t="str">
        <x:v>정유림</x:v>
      </x:c>
      <x:c r="F1622" s="24" t="str">
        <x:v>2025-10</x:v>
      </x:c>
      <x:c r="G1622" s="30" t="n">
        <x:v>45955</x:v>
      </x:c>
      <x:c r="H1622" s="32" t="n">
        <x:v>1070000</x:v>
      </x:c>
      <x:c r="I1622" s="32" t="n">
        <x:v>1070000</x:v>
      </x:c>
      <x:c r="J1622" s="32" t="n">
        <x:v>0</x:v>
      </x:c>
      <x:c r="K1622" s="30" t="n">
        <x:v>45957</x:v>
      </x:c>
      <x:c r="L1622" s="24" t="str">
        <x:v>자동</x:v>
      </x:c>
      <x:c r="M1622" s="31" t="n">
        <x:f>IF(AND(N1622="미수",G1622&lt;&gt;"",TODAY()&gt;G1622),TODAY()-G1622,0)</x:f>
        <x:v>0</x:v>
      </x:c>
      <x:c r="N1622" s="24" t="str">
        <x:f>IF(J1622&gt;0,"미수",IF(AND(H1622&gt;0,I1622&gt;=H1622),"완납","미확인"))</x:f>
        <x:v>완납</x:v>
      </x:c>
      <x:c r="O1622" s="31" t="n">
        <x:v>78</x:v>
      </x:c>
    </x:row>
    <x:row r="1623" ht="17.25" customHeight="1">
      <x:c r="A1623" s="24" t="str">
        <x:v>SW-B-145가1796-202509</x:v>
      </x:c>
      <x:c r="B1623" s="24" t="str">
        <x:v>스위치플랜</x:v>
      </x:c>
      <x:c r="C1623" s="24" t="str">
        <x:v>SW-C-145가1796-1-20250626-79</x:v>
      </x:c>
      <x:c r="D1623" s="24" t="str">
        <x:v>145가1796</x:v>
      </x:c>
      <x:c r="E1623" s="24" t="str">
        <x:v>정유림</x:v>
      </x:c>
      <x:c r="F1623" s="24" t="str">
        <x:v>2025-09</x:v>
      </x:c>
      <x:c r="G1623" s="30" t="n">
        <x:v>45925</x:v>
      </x:c>
      <x:c r="H1623" s="32" t="n">
        <x:v>1070000</x:v>
      </x:c>
      <x:c r="I1623" s="32" t="n">
        <x:v>1070000</x:v>
      </x:c>
      <x:c r="J1623" s="32" t="n">
        <x:v>0</x:v>
      </x:c>
      <x:c r="K1623" s="30" t="n">
        <x:v>45925</x:v>
      </x:c>
      <x:c r="L1623" s="24" t="str">
        <x:v>자동</x:v>
      </x:c>
      <x:c r="M1623" s="31" t="n">
        <x:f>IF(AND(N1623="미수",G1623&lt;&gt;"",TODAY()&gt;G1623),TODAY()-G1623,0)</x:f>
        <x:v>0</x:v>
      </x:c>
      <x:c r="N1623" s="24" t="str">
        <x:f>IF(J1623&gt;0,"미수",IF(AND(H1623&gt;0,I1623&gt;=H1623),"완납","미확인"))</x:f>
        <x:v>완납</x:v>
      </x:c>
      <x:c r="O1623" s="31" t="n">
        <x:v>78</x:v>
      </x:c>
    </x:row>
    <x:row r="1624" ht="17.25" customHeight="1">
      <x:c r="A1624" s="24" t="str">
        <x:v>SW-B-145가1796-202508</x:v>
      </x:c>
      <x:c r="B1624" s="24" t="str">
        <x:v>스위치플랜</x:v>
      </x:c>
      <x:c r="C1624" s="24" t="str">
        <x:v>SW-C-145가1796-1-20250626-79</x:v>
      </x:c>
      <x:c r="D1624" s="24" t="str">
        <x:v>145가1796</x:v>
      </x:c>
      <x:c r="E1624" s="24" t="str">
        <x:v>정유림</x:v>
      </x:c>
      <x:c r="F1624" s="24" t="str">
        <x:v>2025-08</x:v>
      </x:c>
      <x:c r="G1624" s="30" t="n">
        <x:v>45894</x:v>
      </x:c>
      <x:c r="H1624" s="32" t="n">
        <x:v>1070000</x:v>
      </x:c>
      <x:c r="I1624" s="32" t="n">
        <x:v>1070000</x:v>
      </x:c>
      <x:c r="J1624" s="32" t="n">
        <x:v>0</x:v>
      </x:c>
      <x:c r="K1624" s="30" t="n">
        <x:v>45894</x:v>
      </x:c>
      <x:c r="L1624" s="24" t="str">
        <x:v>자동</x:v>
      </x:c>
      <x:c r="M1624" s="31" t="n">
        <x:f>IF(AND(N1624="미수",G1624&lt;&gt;"",TODAY()&gt;G1624),TODAY()-G1624,0)</x:f>
        <x:v>0</x:v>
      </x:c>
      <x:c r="N1624" s="24" t="str">
        <x:f>IF(J1624&gt;0,"미수",IF(AND(H1624&gt;0,I1624&gt;=H1624),"완납","미확인"))</x:f>
        <x:v>완납</x:v>
      </x:c>
      <x:c r="O1624" s="31" t="n">
        <x:v>78</x:v>
      </x:c>
    </x:row>
    <x:row r="1625" ht="17.25" customHeight="1">
      <x:c r="A1625" s="24" t="str">
        <x:v>SW-B-145가1796-202507</x:v>
      </x:c>
      <x:c r="B1625" s="24" t="str">
        <x:v>스위치플랜</x:v>
      </x:c>
      <x:c r="C1625" s="24" t="str">
        <x:v>SW-C-145가1796-1-20250626-79</x:v>
      </x:c>
      <x:c r="D1625" s="24" t="str">
        <x:v>145가1796</x:v>
      </x:c>
      <x:c r="E1625" s="24" t="str">
        <x:v>정유림</x:v>
      </x:c>
      <x:c r="F1625" s="24" t="str">
        <x:v>2025-07</x:v>
      </x:c>
      <x:c r="G1625" s="30" t="n">
        <x:v>45863</x:v>
      </x:c>
      <x:c r="H1625" s="32" t="n">
        <x:v>1070000</x:v>
      </x:c>
      <x:c r="I1625" s="32" t="n">
        <x:v>1070000</x:v>
      </x:c>
      <x:c r="J1625" s="32" t="n">
        <x:v>0</x:v>
      </x:c>
      <x:c r="K1625" s="30" t="n">
        <x:v>45863</x:v>
      </x:c>
      <x:c r="L1625" s="24" t="str">
        <x:v>입금</x:v>
      </x:c>
      <x:c r="M1625" s="31" t="n">
        <x:f>IF(AND(N1625="미수",G1625&lt;&gt;"",TODAY()&gt;G1625),TODAY()-G1625,0)</x:f>
        <x:v>0</x:v>
      </x:c>
      <x:c r="N1625" s="24" t="str">
        <x:f>IF(J1625&gt;0,"미수",IF(AND(H1625&gt;0,I1625&gt;=H1625),"완납","미확인"))</x:f>
        <x:v>완납</x:v>
      </x:c>
      <x:c r="O1625" s="31" t="n">
        <x:v>78</x:v>
      </x:c>
    </x:row>
    <x:row r="1626" ht="17.25" customHeight="1">
      <x:c r="A1626" s="24" t="str">
        <x:v>SW-B-145가1796-202506</x:v>
      </x:c>
      <x:c r="B1626" s="24" t="str">
        <x:v>스위치플랜</x:v>
      </x:c>
      <x:c r="C1626" s="24" t="str">
        <x:v>SW-C-145가1796-1-20250626-79</x:v>
      </x:c>
      <x:c r="D1626" s="24" t="str">
        <x:v>145가1796</x:v>
      </x:c>
      <x:c r="E1626" s="24" t="str">
        <x:v>정유림</x:v>
      </x:c>
      <x:c r="F1626" s="24" t="str">
        <x:v>2025-06</x:v>
      </x:c>
      <x:c r="G1626" s="30" t="n">
        <x:v>45833</x:v>
      </x:c>
      <x:c r="H1626" s="32" t="n">
        <x:v>1070000</x:v>
      </x:c>
      <x:c r="I1626" s="32" t="n">
        <x:v>1070000</x:v>
      </x:c>
      <x:c r="J1626" s="32" t="n">
        <x:v>0</x:v>
      </x:c>
      <x:c r="K1626" s="30" t="n">
        <x:v>45833</x:v>
      </x:c>
      <x:c r="L1626" s="24" t="str">
        <x:v>입금</x:v>
      </x:c>
      <x:c r="M1626" s="31" t="n">
        <x:f>IF(AND(N1626="미수",G1626&lt;&gt;"",TODAY()&gt;G1626),TODAY()-G1626,0)</x:f>
        <x:v>0</x:v>
      </x:c>
      <x:c r="N1626" s="24" t="str">
        <x:f>IF(J1626&gt;0,"미수",IF(AND(H1626&gt;0,I1626&gt;=H1626),"완납","미확인"))</x:f>
        <x:v>완납</x:v>
      </x:c>
      <x:c r="O1626" s="31" t="n">
        <x:v>78</x:v>
      </x:c>
    </x:row>
    <x:row r="1627" ht="17.25" customHeight="1">
      <x:c r="A1627" s="24" t="str">
        <x:v>SW-B-155라6311-202608</x:v>
      </x:c>
      <x:c r="B1627" s="24" t="str">
        <x:v>스위치플랜</x:v>
      </x:c>
      <x:c r="C1627" s="24" t="str">
        <x:v>SW-C-155라6311-1-NA-80</x:v>
      </x:c>
      <x:c r="D1627" s="24" t="str">
        <x:v>155라6311</x:v>
      </x:c>
      <x:c r="E1627" s="24" t="str"/>
      <x:c r="F1627" s="24" t="str">
        <x:v>2026-08</x:v>
      </x:c>
      <x:c r="G1627" s="30"/>
      <x:c r="H1627" s="32" t="n">
        <x:v>0</x:v>
      </x:c>
      <x:c r="I1627" s="32"/>
      <x:c r="J1627" s="32" t="n">
        <x:v>0</x:v>
      </x:c>
      <x:c r="K1627" s="30"/>
      <x:c r="L1627" s="24" t="str"/>
      <x:c r="M1627" s="31" t="n">
        <x:f>IF(AND(N1627="미수",G1627&lt;&gt;"",TODAY()&gt;G1627),TODAY()-G1627,0)</x:f>
        <x:v>0</x:v>
      </x:c>
      <x:c r="N1627" s="24" t="str">
        <x:f>IF(J1627&gt;0,"미수",IF(AND(H1627&gt;0,I1627&gt;=H1627),"완납","미확인"))</x:f>
        <x:v>미확인</x:v>
      </x:c>
      <x:c r="O1627" s="31" t="n">
        <x:v>79</x:v>
      </x:c>
    </x:row>
    <x:row r="1628" ht="17.25" customHeight="1">
      <x:c r="A1628" s="24" t="str">
        <x:v>SW-B-155라6311-202607</x:v>
      </x:c>
      <x:c r="B1628" s="24" t="str">
        <x:v>스위치플랜</x:v>
      </x:c>
      <x:c r="C1628" s="24" t="str">
        <x:v>SW-C-155라6311-1-NA-80</x:v>
      </x:c>
      <x:c r="D1628" s="24" t="str">
        <x:v>155라6311</x:v>
      </x:c>
      <x:c r="E1628" s="24" t="str"/>
      <x:c r="F1628" s="24" t="str">
        <x:v>2026-07</x:v>
      </x:c>
      <x:c r="G1628" s="30"/>
      <x:c r="H1628" s="32" t="n">
        <x:v>0</x:v>
      </x:c>
      <x:c r="I1628" s="32"/>
      <x:c r="J1628" s="32" t="n">
        <x:v>0</x:v>
      </x:c>
      <x:c r="K1628" s="30"/>
      <x:c r="L1628" s="24" t="str"/>
      <x:c r="M1628" s="31" t="n">
        <x:f>IF(AND(N1628="미수",G1628&lt;&gt;"",TODAY()&gt;G1628),TODAY()-G1628,0)</x:f>
        <x:v>0</x:v>
      </x:c>
      <x:c r="N1628" s="24" t="str">
        <x:f>IF(J1628&gt;0,"미수",IF(AND(H1628&gt;0,I1628&gt;=H1628),"완납","미확인"))</x:f>
        <x:v>미확인</x:v>
      </x:c>
      <x:c r="O1628" s="31" t="n">
        <x:v>79</x:v>
      </x:c>
    </x:row>
    <x:row r="1629" ht="17.25" customHeight="1">
      <x:c r="A1629" s="24" t="str">
        <x:v>SW-B-155라6311-202606</x:v>
      </x:c>
      <x:c r="B1629" s="24" t="str">
        <x:v>스위치플랜</x:v>
      </x:c>
      <x:c r="C1629" s="24" t="str">
        <x:v>SW-C-155라6311-1-NA-80</x:v>
      </x:c>
      <x:c r="D1629" s="24" t="str">
        <x:v>155라6311</x:v>
      </x:c>
      <x:c r="E1629" s="24" t="str"/>
      <x:c r="F1629" s="24" t="str">
        <x:v>2026-06</x:v>
      </x:c>
      <x:c r="G1629" s="30"/>
      <x:c r="H1629" s="32" t="n">
        <x:v>0</x:v>
      </x:c>
      <x:c r="I1629" s="32"/>
      <x:c r="J1629" s="32" t="n">
        <x:v>0</x:v>
      </x:c>
      <x:c r="K1629" s="30"/>
      <x:c r="L1629" s="24" t="str"/>
      <x:c r="M1629" s="31" t="n">
        <x:f>IF(AND(N1629="미수",G1629&lt;&gt;"",TODAY()&gt;G1629),TODAY()-G1629,0)</x:f>
        <x:v>0</x:v>
      </x:c>
      <x:c r="N1629" s="24" t="str">
        <x:f>IF(J1629&gt;0,"미수",IF(AND(H1629&gt;0,I1629&gt;=H1629),"완납","미확인"))</x:f>
        <x:v>미확인</x:v>
      </x:c>
      <x:c r="O1629" s="31" t="n">
        <x:v>79</x:v>
      </x:c>
    </x:row>
    <x:row r="1630" ht="17.25" customHeight="1">
      <x:c r="A1630" s="24" t="str">
        <x:v>SW-B-155라6311-202605</x:v>
      </x:c>
      <x:c r="B1630" s="24" t="str">
        <x:v>스위치플랜</x:v>
      </x:c>
      <x:c r="C1630" s="24" t="str">
        <x:v>SW-C-155라6311-1-NA-80</x:v>
      </x:c>
      <x:c r="D1630" s="24" t="str">
        <x:v>155라6311</x:v>
      </x:c>
      <x:c r="E1630" s="24" t="str"/>
      <x:c r="F1630" s="24" t="str">
        <x:v>2026-05</x:v>
      </x:c>
      <x:c r="G1630" s="30"/>
      <x:c r="H1630" s="32" t="n">
        <x:v>0</x:v>
      </x:c>
      <x:c r="I1630" s="32"/>
      <x:c r="J1630" s="32" t="n">
        <x:v>0</x:v>
      </x:c>
      <x:c r="K1630" s="30"/>
      <x:c r="L1630" s="24" t="str"/>
      <x:c r="M1630" s="31" t="n">
        <x:f>IF(AND(N1630="미수",G1630&lt;&gt;"",TODAY()&gt;G1630),TODAY()-G1630,0)</x:f>
        <x:v>0</x:v>
      </x:c>
      <x:c r="N1630" s="24" t="str">
        <x:f>IF(J1630&gt;0,"미수",IF(AND(H1630&gt;0,I1630&gt;=H1630),"완납","미확인"))</x:f>
        <x:v>미확인</x:v>
      </x:c>
      <x:c r="O1630" s="31" t="n">
        <x:v>79</x:v>
      </x:c>
    </x:row>
    <x:row r="1631" ht="17.25" customHeight="1">
      <x:c r="A1631" s="24" t="str">
        <x:v>SW-B-155라6311-202604</x:v>
      </x:c>
      <x:c r="B1631" s="24" t="str">
        <x:v>스위치플랜</x:v>
      </x:c>
      <x:c r="C1631" s="24" t="str">
        <x:v>SW-C-155라6311-1-NA-80</x:v>
      </x:c>
      <x:c r="D1631" s="24" t="str">
        <x:v>155라6311</x:v>
      </x:c>
      <x:c r="E1631" s="24" t="str"/>
      <x:c r="F1631" s="24" t="str">
        <x:v>2026-04</x:v>
      </x:c>
      <x:c r="G1631" s="30"/>
      <x:c r="H1631" s="32" t="n">
        <x:v>0</x:v>
      </x:c>
      <x:c r="I1631" s="32"/>
      <x:c r="J1631" s="32" t="n">
        <x:v>0</x:v>
      </x:c>
      <x:c r="K1631" s="30"/>
      <x:c r="L1631" s="24" t="str"/>
      <x:c r="M1631" s="31" t="n">
        <x:f>IF(AND(N1631="미수",G1631&lt;&gt;"",TODAY()&gt;G1631),TODAY()-G1631,0)</x:f>
        <x:v>0</x:v>
      </x:c>
      <x:c r="N1631" s="24" t="str">
        <x:f>IF(J1631&gt;0,"미수",IF(AND(H1631&gt;0,I1631&gt;=H1631),"완납","미확인"))</x:f>
        <x:v>미확인</x:v>
      </x:c>
      <x:c r="O1631" s="31" t="n">
        <x:v>79</x:v>
      </x:c>
    </x:row>
    <x:row r="1632" ht="17.25" customHeight="1">
      <x:c r="A1632" s="24" t="str">
        <x:v>SW-B-155라6311-202603</x:v>
      </x:c>
      <x:c r="B1632" s="24" t="str">
        <x:v>스위치플랜</x:v>
      </x:c>
      <x:c r="C1632" s="24" t="str">
        <x:v>SW-C-155라6311-1-NA-80</x:v>
      </x:c>
      <x:c r="D1632" s="24" t="str">
        <x:v>155라6311</x:v>
      </x:c>
      <x:c r="E1632" s="24" t="str"/>
      <x:c r="F1632" s="24" t="str">
        <x:v>2026-03</x:v>
      </x:c>
      <x:c r="G1632" s="30"/>
      <x:c r="H1632" s="32" t="n">
        <x:v>0</x:v>
      </x:c>
      <x:c r="I1632" s="32"/>
      <x:c r="J1632" s="32" t="n">
        <x:v>0</x:v>
      </x:c>
      <x:c r="K1632" s="30"/>
      <x:c r="L1632" s="24" t="str"/>
      <x:c r="M1632" s="31" t="n">
        <x:f>IF(AND(N1632="미수",G1632&lt;&gt;"",TODAY()&gt;G1632),TODAY()-G1632,0)</x:f>
        <x:v>0</x:v>
      </x:c>
      <x:c r="N1632" s="24" t="str">
        <x:f>IF(J1632&gt;0,"미수",IF(AND(H1632&gt;0,I1632&gt;=H1632),"완납","미확인"))</x:f>
        <x:v>미확인</x:v>
      </x:c>
      <x:c r="O1632" s="31" t="n">
        <x:v>79</x:v>
      </x:c>
    </x:row>
    <x:row r="1633" ht="17.25" customHeight="1">
      <x:c r="A1633" s="24" t="str">
        <x:v>SW-B-155라6311-202602</x:v>
      </x:c>
      <x:c r="B1633" s="24" t="str">
        <x:v>스위치플랜</x:v>
      </x:c>
      <x:c r="C1633" s="24" t="str">
        <x:v>SW-C-155라6311-1-NA-80</x:v>
      </x:c>
      <x:c r="D1633" s="24" t="str">
        <x:v>155라6311</x:v>
      </x:c>
      <x:c r="E1633" s="24" t="str"/>
      <x:c r="F1633" s="24" t="str">
        <x:v>2026-02</x:v>
      </x:c>
      <x:c r="G1633" s="30"/>
      <x:c r="H1633" s="32" t="n">
        <x:v>0</x:v>
      </x:c>
      <x:c r="I1633" s="32"/>
      <x:c r="J1633" s="32" t="n">
        <x:v>0</x:v>
      </x:c>
      <x:c r="K1633" s="30"/>
      <x:c r="L1633" s="24" t="str"/>
      <x:c r="M1633" s="31" t="n">
        <x:f>IF(AND(N1633="미수",G1633&lt;&gt;"",TODAY()&gt;G1633),TODAY()-G1633,0)</x:f>
        <x:v>0</x:v>
      </x:c>
      <x:c r="N1633" s="24" t="str">
        <x:f>IF(J1633&gt;0,"미수",IF(AND(H1633&gt;0,I1633&gt;=H1633),"완납","미확인"))</x:f>
        <x:v>미확인</x:v>
      </x:c>
      <x:c r="O1633" s="31" t="n">
        <x:v>79</x:v>
      </x:c>
    </x:row>
    <x:row r="1634" ht="17.25" customHeight="1">
      <x:c r="A1634" s="24" t="str">
        <x:v>SW-B-155라6311-202510</x:v>
      </x:c>
      <x:c r="B1634" s="24" t="str">
        <x:v>스위치플랜</x:v>
      </x:c>
      <x:c r="C1634" s="24" t="str">
        <x:v>SW-C-155라6311-1-NA-80</x:v>
      </x:c>
      <x:c r="D1634" s="24" t="str">
        <x:v>155라6311</x:v>
      </x:c>
      <x:c r="E1634" s="24" t="str"/>
      <x:c r="F1634" s="24" t="str">
        <x:v>2025-10</x:v>
      </x:c>
      <x:c r="G1634" s="30"/>
      <x:c r="H1634" s="32" t="n">
        <x:v>1400000</x:v>
      </x:c>
      <x:c r="I1634" s="32" t="n">
        <x:v>1400000</x:v>
      </x:c>
      <x:c r="J1634" s="32" t="n">
        <x:v>0</x:v>
      </x:c>
      <x:c r="K1634" s="30" t="n">
        <x:v>45947</x:v>
      </x:c>
      <x:c r="L1634" s="24" t="str">
        <x:v>입금</x:v>
      </x:c>
      <x:c r="M1634" s="31" t="n">
        <x:f>IF(AND(N1634="미수",G1634&lt;&gt;"",TODAY()&gt;G1634),TODAY()-G1634,0)</x:f>
        <x:v>0</x:v>
      </x:c>
      <x:c r="N1634" s="24" t="str">
        <x:f>IF(J1634&gt;0,"미수",IF(AND(H1634&gt;0,I1634&gt;=H1634),"완납","미확인"))</x:f>
        <x:v>완납</x:v>
      </x:c>
      <x:c r="O1634" s="31" t="n">
        <x:v>79</x:v>
      </x:c>
    </x:row>
    <x:row r="1635" ht="17.25" customHeight="1">
      <x:c r="A1635" s="24" t="str">
        <x:v>SW-B-155라6311-202509</x:v>
      </x:c>
      <x:c r="B1635" s="24" t="str">
        <x:v>스위치플랜</x:v>
      </x:c>
      <x:c r="C1635" s="24" t="str">
        <x:v>SW-C-155라6311-1-NA-80</x:v>
      </x:c>
      <x:c r="D1635" s="24" t="str">
        <x:v>155라6311</x:v>
      </x:c>
      <x:c r="E1635" s="24" t="str"/>
      <x:c r="F1635" s="24" t="str">
        <x:v>2025-09</x:v>
      </x:c>
      <x:c r="G1635" s="30"/>
      <x:c r="H1635" s="32" t="n">
        <x:v>1400000</x:v>
      </x:c>
      <x:c r="I1635" s="32" t="n">
        <x:v>1400000</x:v>
      </x:c>
      <x:c r="J1635" s="32" t="n">
        <x:v>0</x:v>
      </x:c>
      <x:c r="K1635" s="30" t="n">
        <x:v>45923</x:v>
      </x:c>
      <x:c r="L1635" s="24" t="str">
        <x:v>입금</x:v>
      </x:c>
      <x:c r="M1635" s="31" t="n">
        <x:f>IF(AND(N1635="미수",G1635&lt;&gt;"",TODAY()&gt;G1635),TODAY()-G1635,0)</x:f>
        <x:v>0</x:v>
      </x:c>
      <x:c r="N1635" s="24" t="str">
        <x:f>IF(J1635&gt;0,"미수",IF(AND(H1635&gt;0,I1635&gt;=H1635),"완납","미확인"))</x:f>
        <x:v>완납</x:v>
      </x:c>
      <x:c r="O1635" s="31" t="n">
        <x:v>79</x:v>
      </x:c>
    </x:row>
    <x:row r="1636" ht="17.25" customHeight="1">
      <x:c r="A1636" s="24" t="str">
        <x:v>SW-B-155라6311-202508</x:v>
      </x:c>
      <x:c r="B1636" s="24" t="str">
        <x:v>스위치플랜</x:v>
      </x:c>
      <x:c r="C1636" s="24" t="str">
        <x:v>SW-C-155라6311-1-NA-80</x:v>
      </x:c>
      <x:c r="D1636" s="24" t="str">
        <x:v>155라6311</x:v>
      </x:c>
      <x:c r="E1636" s="24" t="str"/>
      <x:c r="F1636" s="24" t="str">
        <x:v>2025-08</x:v>
      </x:c>
      <x:c r="G1636" s="30"/>
      <x:c r="H1636" s="32" t="n">
        <x:v>1400000</x:v>
      </x:c>
      <x:c r="I1636" s="32" t="n">
        <x:v>1400000</x:v>
      </x:c>
      <x:c r="J1636" s="32" t="n">
        <x:v>0</x:v>
      </x:c>
      <x:c r="K1636" s="30" t="n">
        <x:v>45888</x:v>
      </x:c>
      <x:c r="L1636" s="24" t="str">
        <x:v>입금</x:v>
      </x:c>
      <x:c r="M1636" s="31" t="n">
        <x:f>IF(AND(N1636="미수",G1636&lt;&gt;"",TODAY()&gt;G1636),TODAY()-G1636,0)</x:f>
        <x:v>0</x:v>
      </x:c>
      <x:c r="N1636" s="24" t="str">
        <x:f>IF(J1636&gt;0,"미수",IF(AND(H1636&gt;0,I1636&gt;=H1636),"완납","미확인"))</x:f>
        <x:v>완납</x:v>
      </x:c>
      <x:c r="O1636" s="31" t="n">
        <x:v>79</x:v>
      </x:c>
    </x:row>
    <x:row r="1637" ht="17.25" customHeight="1">
      <x:c r="A1637" s="24" t="str">
        <x:v>SW-B-155라6311-202507</x:v>
      </x:c>
      <x:c r="B1637" s="24" t="str">
        <x:v>스위치플랜</x:v>
      </x:c>
      <x:c r="C1637" s="24" t="str">
        <x:v>SW-C-155라6311-1-NA-80</x:v>
      </x:c>
      <x:c r="D1637" s="24" t="str">
        <x:v>155라6311</x:v>
      </x:c>
      <x:c r="E1637" s="24" t="str"/>
      <x:c r="F1637" s="24" t="str">
        <x:v>2025-07</x:v>
      </x:c>
      <x:c r="G1637" s="30"/>
      <x:c r="H1637" s="32" t="n">
        <x:v>1400000</x:v>
      </x:c>
      <x:c r="I1637" s="32" t="n">
        <x:v>1400000</x:v>
      </x:c>
      <x:c r="J1637" s="32" t="n">
        <x:v>0</x:v>
      </x:c>
      <x:c r="K1637" s="30" t="n">
        <x:v>45853</x:v>
      </x:c>
      <x:c r="L1637" s="24" t="str">
        <x:v>자동</x:v>
      </x:c>
      <x:c r="M1637" s="31" t="n">
        <x:f>IF(AND(N1637="미수",G1637&lt;&gt;"",TODAY()&gt;G1637),TODAY()-G1637,0)</x:f>
        <x:v>0</x:v>
      </x:c>
      <x:c r="N1637" s="24" t="str">
        <x:f>IF(J1637&gt;0,"미수",IF(AND(H1637&gt;0,I1637&gt;=H1637),"완납","미확인"))</x:f>
        <x:v>완납</x:v>
      </x:c>
      <x:c r="O1637" s="31" t="n">
        <x:v>79</x:v>
      </x:c>
    </x:row>
    <x:row r="1638" ht="17.25" customHeight="1">
      <x:c r="A1638" s="24" t="str">
        <x:v>SW-B-155라6311-202506</x:v>
      </x:c>
      <x:c r="B1638" s="24" t="str">
        <x:v>스위치플랜</x:v>
      </x:c>
      <x:c r="C1638" s="24" t="str">
        <x:v>SW-C-155라6311-1-NA-80</x:v>
      </x:c>
      <x:c r="D1638" s="24" t="str">
        <x:v>155라6311</x:v>
      </x:c>
      <x:c r="E1638" s="24" t="str"/>
      <x:c r="F1638" s="24" t="str">
        <x:v>2025-06</x:v>
      </x:c>
      <x:c r="G1638" s="30"/>
      <x:c r="H1638" s="32" t="n">
        <x:v>1400000</x:v>
      </x:c>
      <x:c r="I1638" s="32" t="n">
        <x:v>1400000</x:v>
      </x:c>
      <x:c r="J1638" s="32" t="n">
        <x:v>0</x:v>
      </x:c>
      <x:c r="K1638" s="30" t="n">
        <x:v>45824</x:v>
      </x:c>
      <x:c r="L1638" s="24" t="str">
        <x:v>입금</x:v>
      </x:c>
      <x:c r="M1638" s="31" t="n">
        <x:f>IF(AND(N1638="미수",G1638&lt;&gt;"",TODAY()&gt;G1638),TODAY()-G1638,0)</x:f>
        <x:v>0</x:v>
      </x:c>
      <x:c r="N1638" s="24" t="str">
        <x:f>IF(J1638&gt;0,"미수",IF(AND(H1638&gt;0,I1638&gt;=H1638),"완납","미확인"))</x:f>
        <x:v>완납</x:v>
      </x:c>
      <x:c r="O1638" s="31" t="n">
        <x:v>79</x:v>
      </x:c>
    </x:row>
    <x:row r="1639" ht="17.25" customHeight="1">
      <x:c r="A1639" s="24" t="str">
        <x:v>SW-B-155라6311-202505</x:v>
      </x:c>
      <x:c r="B1639" s="24" t="str">
        <x:v>스위치플랜</x:v>
      </x:c>
      <x:c r="C1639" s="24" t="str">
        <x:v>SW-C-155라6311-1-NA-80</x:v>
      </x:c>
      <x:c r="D1639" s="24" t="str">
        <x:v>155라6311</x:v>
      </x:c>
      <x:c r="E1639" s="24" t="str"/>
      <x:c r="F1639" s="24" t="str">
        <x:v>2025-05</x:v>
      </x:c>
      <x:c r="G1639" s="30"/>
      <x:c r="H1639" s="32" t="n">
        <x:v>1400000</x:v>
      </x:c>
      <x:c r="I1639" s="32" t="n">
        <x:v>1400000</x:v>
      </x:c>
      <x:c r="J1639" s="32" t="n">
        <x:v>0</x:v>
      </x:c>
      <x:c r="K1639" s="30" t="n">
        <x:v>45792</x:v>
      </x:c>
      <x:c r="L1639" s="24" t="str">
        <x:v>입금</x:v>
      </x:c>
      <x:c r="M1639" s="31" t="n">
        <x:f>IF(AND(N1639="미수",G1639&lt;&gt;"",TODAY()&gt;G1639),TODAY()-G1639,0)</x:f>
        <x:v>0</x:v>
      </x:c>
      <x:c r="N1639" s="24" t="str">
        <x:f>IF(J1639&gt;0,"미수",IF(AND(H1639&gt;0,I1639&gt;=H1639),"완납","미확인"))</x:f>
        <x:v>완납</x:v>
      </x:c>
      <x:c r="O1639" s="31" t="n">
        <x:v>79</x:v>
      </x:c>
    </x:row>
    <x:row r="1640" ht="17.25" customHeight="1">
      <x:c r="A1640" s="24" t="str">
        <x:v>SW-B-155라6331-202608</x:v>
      </x:c>
      <x:c r="B1640" s="24" t="str">
        <x:v>스위치플랜</x:v>
      </x:c>
      <x:c r="C1640" s="24" t="str">
        <x:v>SW-C-155라6331-1-20250314-81</x:v>
      </x:c>
      <x:c r="D1640" s="24" t="str">
        <x:v>155라6331</x:v>
      </x:c>
      <x:c r="E1640" s="24" t="str">
        <x:v>김지현</x:v>
      </x:c>
      <x:c r="F1640" s="24" t="str">
        <x:v>2026-08</x:v>
      </x:c>
      <x:c r="G1640" s="30" t="n">
        <x:v>46249</x:v>
      </x:c>
      <x:c r="H1640" s="32" t="n">
        <x:v>1330000</x:v>
      </x:c>
      <x:c r="I1640" s="32"/>
      <x:c r="J1640" s="32" t="n">
        <x:v>10000</x:v>
      </x:c>
      <x:c r="K1640" s="30"/>
      <x:c r="L1640" s="24" t="str"/>
      <x:c r="M1640" s="31" t="n">
        <x:f>IF(AND(N1640="미수",G1640&lt;&gt;"",TODAY()&gt;G1640),TODAY()-G1640,0)</x:f>
        <x:v>0</x:v>
      </x:c>
      <x:c r="N1640" s="24" t="str">
        <x:f>IF(J1640&gt;0,"미수",IF(AND(H1640&gt;0,I1640&gt;=H1640),"완납","미확인"))</x:f>
        <x:v>미수</x:v>
      </x:c>
      <x:c r="O1640" s="31" t="n">
        <x:v>80</x:v>
      </x:c>
    </x:row>
    <x:row r="1641" ht="17.25" customHeight="1">
      <x:c r="A1641" s="24" t="str">
        <x:v>SW-B-155라6331-202607</x:v>
      </x:c>
      <x:c r="B1641" s="24" t="str">
        <x:v>스위치플랜</x:v>
      </x:c>
      <x:c r="C1641" s="24" t="str">
        <x:v>SW-C-155라6331-1-20250314-81</x:v>
      </x:c>
      <x:c r="D1641" s="24" t="str">
        <x:v>155라6331</x:v>
      </x:c>
      <x:c r="E1641" s="24" t="str">
        <x:v>김지현</x:v>
      </x:c>
      <x:c r="F1641" s="24" t="str">
        <x:v>2026-07</x:v>
      </x:c>
      <x:c r="G1641" s="30" t="n">
        <x:v>46218</x:v>
      </x:c>
      <x:c r="H1641" s="32" t="n">
        <x:v>1330000</x:v>
      </x:c>
      <x:c r="I1641" s="32" t="n">
        <x:v>1330000</x:v>
      </x:c>
      <x:c r="J1641" s="32" t="n">
        <x:v>-1320000</x:v>
      </x:c>
      <x:c r="K1641" s="30" t="n">
        <x:v>46230</x:v>
      </x:c>
      <x:c r="L1641" s="24" t="str">
        <x:v>입금</x:v>
      </x:c>
      <x:c r="M1641" s="31" t="n">
        <x:f>IF(AND(N1641="미수",G1641&lt;&gt;"",TODAY()&gt;G1641),TODAY()-G1641,0)</x:f>
        <x:v>0</x:v>
      </x:c>
      <x:c r="N1641" s="24" t="str">
        <x:f>IF(J1641&gt;0,"미수",IF(AND(H1641&gt;0,I1641&gt;=H1641),"완납","미확인"))</x:f>
        <x:v>완납</x:v>
      </x:c>
      <x:c r="O1641" s="31" t="n">
        <x:v>80</x:v>
      </x:c>
    </x:row>
    <x:row r="1642" ht="17.25" customHeight="1">
      <x:c r="A1642" s="24" t="str">
        <x:v>SW-B-155라6331-202606</x:v>
      </x:c>
      <x:c r="B1642" s="24" t="str">
        <x:v>스위치플랜</x:v>
      </x:c>
      <x:c r="C1642" s="24" t="str">
        <x:v>SW-C-155라6331-1-20250314-81</x:v>
      </x:c>
      <x:c r="D1642" s="24" t="str">
        <x:v>155라6331</x:v>
      </x:c>
      <x:c r="E1642" s="24" t="str">
        <x:v>김지현</x:v>
      </x:c>
      <x:c r="F1642" s="24" t="str">
        <x:v>2026-06</x:v>
      </x:c>
      <x:c r="G1642" s="30" t="n">
        <x:v>46188</x:v>
      </x:c>
      <x:c r="H1642" s="32" t="n">
        <x:v>1330000</x:v>
      </x:c>
      <x:c r="I1642" s="32" t="n">
        <x:v>2980000</x:v>
      </x:c>
      <x:c r="J1642" s="32" t="n">
        <x:v>-1320000</x:v>
      </x:c>
      <x:c r="K1642" s="30" t="n">
        <x:v>46197</x:v>
      </x:c>
      <x:c r="L1642" s="24" t="str">
        <x:v>입금</x:v>
      </x:c>
      <x:c r="M1642" s="31" t="n">
        <x:f>IF(AND(N1642="미수",G1642&lt;&gt;"",TODAY()&gt;G1642),TODAY()-G1642,0)</x:f>
        <x:v>0</x:v>
      </x:c>
      <x:c r="N1642" s="24" t="str">
        <x:f>IF(J1642&gt;0,"미수",IF(AND(H1642&gt;0,I1642&gt;=H1642),"완납","미확인"))</x:f>
        <x:v>완납</x:v>
      </x:c>
      <x:c r="O1642" s="31" t="n">
        <x:v>80</x:v>
      </x:c>
    </x:row>
    <x:row r="1643" ht="17.25" customHeight="1">
      <x:c r="A1643" s="24" t="str">
        <x:v>SW-B-155라6331-202605</x:v>
      </x:c>
      <x:c r="B1643" s="24" t="str">
        <x:v>스위치플랜</x:v>
      </x:c>
      <x:c r="C1643" s="24" t="str">
        <x:v>SW-C-155라6331-1-20250314-81</x:v>
      </x:c>
      <x:c r="D1643" s="24" t="str">
        <x:v>155라6331</x:v>
      </x:c>
      <x:c r="E1643" s="24" t="str">
        <x:v>김지현</x:v>
      </x:c>
      <x:c r="F1643" s="24" t="str">
        <x:v>2026-05</x:v>
      </x:c>
      <x:c r="G1643" s="30" t="n">
        <x:v>46157</x:v>
      </x:c>
      <x:c r="H1643" s="32" t="n">
        <x:v>1330000</x:v>
      </x:c>
      <x:c r="I1643" s="32" t="n">
        <x:v>1000000</x:v>
      </x:c>
      <x:c r="J1643" s="32" t="n">
        <x:v>330000</x:v>
      </x:c>
      <x:c r="K1643" s="30" t="n">
        <x:v>46170</x:v>
      </x:c>
      <x:c r="L1643" s="24" t="str">
        <x:v>입금</x:v>
      </x:c>
      <x:c r="M1643" s="31" t="n">
        <x:f>IF(AND(N1643="미수",G1643&lt;&gt;"",TODAY()&gt;G1643),TODAY()-G1643,0)</x:f>
        <x:v>92</x:v>
      </x:c>
      <x:c r="N1643" s="24" t="str">
        <x:f>IF(J1643&gt;0,"미수",IF(AND(H1643&gt;0,I1643&gt;=H1643),"완납","미확인"))</x:f>
        <x:v>미수</x:v>
      </x:c>
      <x:c r="O1643" s="31" t="n">
        <x:v>80</x:v>
      </x:c>
    </x:row>
    <x:row r="1644" ht="17.25" customHeight="1">
      <x:c r="A1644" s="24" t="str">
        <x:v>SW-B-155라6331-202604</x:v>
      </x:c>
      <x:c r="B1644" s="24" t="str">
        <x:v>스위치플랜</x:v>
      </x:c>
      <x:c r="C1644" s="24" t="str">
        <x:v>SW-C-155라6331-1-20250314-81</x:v>
      </x:c>
      <x:c r="D1644" s="24" t="str">
        <x:v>155라6331</x:v>
      </x:c>
      <x:c r="E1644" s="24" t="str">
        <x:v>김지현</x:v>
      </x:c>
      <x:c r="F1644" s="24" t="str">
        <x:v>2026-04</x:v>
      </x:c>
      <x:c r="G1644" s="30" t="n">
        <x:v>46127</x:v>
      </x:c>
      <x:c r="H1644" s="32" t="n">
        <x:v>1330000</x:v>
      </x:c>
      <x:c r="I1644" s="32" t="n">
        <x:v>1330000</x:v>
      </x:c>
      <x:c r="J1644" s="32" t="n">
        <x:v>0</x:v>
      </x:c>
      <x:c r="K1644" s="30" t="n">
        <x:v>46132</x:v>
      </x:c>
      <x:c r="L1644" s="24" t="str">
        <x:v>입금</x:v>
      </x:c>
      <x:c r="M1644" s="31" t="n">
        <x:f>IF(AND(N1644="미수",G1644&lt;&gt;"",TODAY()&gt;G1644),TODAY()-G1644,0)</x:f>
        <x:v>0</x:v>
      </x:c>
      <x:c r="N1644" s="24" t="str">
        <x:f>IF(J1644&gt;0,"미수",IF(AND(H1644&gt;0,I1644&gt;=H1644),"완납","미확인"))</x:f>
        <x:v>완납</x:v>
      </x:c>
      <x:c r="O1644" s="31" t="n">
        <x:v>80</x:v>
      </x:c>
    </x:row>
    <x:row r="1645" ht="17.25" customHeight="1">
      <x:c r="A1645" s="24" t="str">
        <x:v>SW-B-155라6331-202603</x:v>
      </x:c>
      <x:c r="B1645" s="24" t="str">
        <x:v>스위치플랜</x:v>
      </x:c>
      <x:c r="C1645" s="24" t="str">
        <x:v>SW-C-155라6331-1-20250314-81</x:v>
      </x:c>
      <x:c r="D1645" s="24" t="str">
        <x:v>155라6331</x:v>
      </x:c>
      <x:c r="E1645" s="24" t="str">
        <x:v>김지현</x:v>
      </x:c>
      <x:c r="F1645" s="24" t="str">
        <x:v>2026-03</x:v>
      </x:c>
      <x:c r="G1645" s="30" t="n">
        <x:v>46096</x:v>
      </x:c>
      <x:c r="H1645" s="32" t="n">
        <x:v>1330000</x:v>
      </x:c>
      <x:c r="I1645" s="32" t="n">
        <x:v>2860000</x:v>
      </x:c>
      <x:c r="J1645" s="32" t="n">
        <x:v>0</x:v>
      </x:c>
      <x:c r="K1645" s="30" t="n">
        <x:v>46090</x:v>
      </x:c>
      <x:c r="L1645" s="24" t="str">
        <x:v>입금</x:v>
      </x:c>
      <x:c r="M1645" s="31" t="n">
        <x:f>IF(AND(N1645="미수",G1645&lt;&gt;"",TODAY()&gt;G1645),TODAY()-G1645,0)</x:f>
        <x:v>0</x:v>
      </x:c>
      <x:c r="N1645" s="24" t="str">
        <x:f>IF(J1645&gt;0,"미수",IF(AND(H1645&gt;0,I1645&gt;=H1645),"완납","미확인"))</x:f>
        <x:v>완납</x:v>
      </x:c>
      <x:c r="O1645" s="31" t="n">
        <x:v>80</x:v>
      </x:c>
    </x:row>
    <x:row r="1646" ht="17.25" customHeight="1">
      <x:c r="A1646" s="24" t="str">
        <x:v>SW-B-155라6331-202602</x:v>
      </x:c>
      <x:c r="B1646" s="24" t="str">
        <x:v>스위치플랜</x:v>
      </x:c>
      <x:c r="C1646" s="24" t="str">
        <x:v>SW-C-155라6331-1-20250314-81</x:v>
      </x:c>
      <x:c r="D1646" s="24" t="str">
        <x:v>155라6331</x:v>
      </x:c>
      <x:c r="E1646" s="24" t="str">
        <x:v>김지현</x:v>
      </x:c>
      <x:c r="F1646" s="24" t="str">
        <x:v>2026-02</x:v>
      </x:c>
      <x:c r="G1646" s="30" t="n">
        <x:v>46068</x:v>
      </x:c>
      <x:c r="H1646" s="32" t="n">
        <x:v>1330000</x:v>
      </x:c>
      <x:c r="I1646" s="32"/>
      <x:c r="J1646" s="32" t="n">
        <x:v>1530000</x:v>
      </x:c>
      <x:c r="K1646" s="30"/>
      <x:c r="L1646" s="24" t="str"/>
      <x:c r="M1646" s="31" t="n">
        <x:f>IF(AND(N1646="미수",G1646&lt;&gt;"",TODAY()&gt;G1646),TODAY()-G1646,0)</x:f>
        <x:v>181</x:v>
      </x:c>
      <x:c r="N1646" s="24" t="str">
        <x:f>IF(J1646&gt;0,"미수",IF(AND(H1646&gt;0,I1646&gt;=H1646),"완납","미확인"))</x:f>
        <x:v>미수</x:v>
      </x:c>
      <x:c r="O1646" s="31" t="n">
        <x:v>80</x:v>
      </x:c>
    </x:row>
    <x:row r="1647" ht="17.25" customHeight="1">
      <x:c r="A1647" s="24" t="str">
        <x:v>SW-B-155라6331-202601</x:v>
      </x:c>
      <x:c r="B1647" s="24" t="str">
        <x:v>스위치플랜</x:v>
      </x:c>
      <x:c r="C1647" s="24" t="str">
        <x:v>SW-C-155라6331-1-20250314-81</x:v>
      </x:c>
      <x:c r="D1647" s="24" t="str">
        <x:v>155라6331</x:v>
      </x:c>
      <x:c r="E1647" s="24" t="str">
        <x:v>김지현</x:v>
      </x:c>
      <x:c r="F1647" s="24" t="str">
        <x:v>2026-01</x:v>
      </x:c>
      <x:c r="G1647" s="30" t="n">
        <x:v>46037</x:v>
      </x:c>
      <x:c r="H1647" s="32" t="n">
        <x:v>1330000</x:v>
      </x:c>
      <x:c r="I1647" s="32" t="n">
        <x:v>1130000</x:v>
      </x:c>
      <x:c r="J1647" s="32" t="n">
        <x:v>200000</x:v>
      </x:c>
      <x:c r="K1647" s="30" t="n">
        <x:v>46039</x:v>
      </x:c>
      <x:c r="L1647" s="24" t="str">
        <x:v>입금</x:v>
      </x:c>
      <x:c r="M1647" s="31" t="n">
        <x:f>IF(AND(N1647="미수",G1647&lt;&gt;"",TODAY()&gt;G1647),TODAY()-G1647,0)</x:f>
        <x:v>212</x:v>
      </x:c>
      <x:c r="N1647" s="24" t="str">
        <x:f>IF(J1647&gt;0,"미수",IF(AND(H1647&gt;0,I1647&gt;=H1647),"완납","미확인"))</x:f>
        <x:v>미수</x:v>
      </x:c>
      <x:c r="O1647" s="31" t="n">
        <x:v>80</x:v>
      </x:c>
    </x:row>
    <x:row r="1648" ht="17.25" customHeight="1">
      <x:c r="A1648" s="24" t="str">
        <x:v>SW-B-155라6331-202512</x:v>
      </x:c>
      <x:c r="B1648" s="24" t="str">
        <x:v>스위치플랜</x:v>
      </x:c>
      <x:c r="C1648" s="24" t="str">
        <x:v>SW-C-155라6331-1-20250314-81</x:v>
      </x:c>
      <x:c r="D1648" s="24" t="str">
        <x:v>155라6331</x:v>
      </x:c>
      <x:c r="E1648" s="24" t="str">
        <x:v>김지현</x:v>
      </x:c>
      <x:c r="F1648" s="24" t="str">
        <x:v>2025-12</x:v>
      </x:c>
      <x:c r="G1648" s="30" t="n">
        <x:v>46006</x:v>
      </x:c>
      <x:c r="H1648" s="32" t="n">
        <x:v>1330000</x:v>
      </x:c>
      <x:c r="I1648" s="32" t="n">
        <x:v>1330000</x:v>
      </x:c>
      <x:c r="J1648" s="32" t="n">
        <x:v>0</x:v>
      </x:c>
      <x:c r="K1648" s="30" t="n">
        <x:v>46007</x:v>
      </x:c>
      <x:c r="L1648" s="24" t="str">
        <x:v>입금</x:v>
      </x:c>
      <x:c r="M1648" s="31" t="n">
        <x:f>IF(AND(N1648="미수",G1648&lt;&gt;"",TODAY()&gt;G1648),TODAY()-G1648,0)</x:f>
        <x:v>0</x:v>
      </x:c>
      <x:c r="N1648" s="24" t="str">
        <x:f>IF(J1648&gt;0,"미수",IF(AND(H1648&gt;0,I1648&gt;=H1648),"완납","미확인"))</x:f>
        <x:v>완납</x:v>
      </x:c>
      <x:c r="O1648" s="31" t="n">
        <x:v>80</x:v>
      </x:c>
    </x:row>
    <x:row r="1649" ht="17.25" customHeight="1">
      <x:c r="A1649" s="24" t="str">
        <x:v>SW-B-155라6331-202511</x:v>
      </x:c>
      <x:c r="B1649" s="24" t="str">
        <x:v>스위치플랜</x:v>
      </x:c>
      <x:c r="C1649" s="24" t="str">
        <x:v>SW-C-155라6331-1-20250314-81</x:v>
      </x:c>
      <x:c r="D1649" s="24" t="str">
        <x:v>155라6331</x:v>
      </x:c>
      <x:c r="E1649" s="24" t="str">
        <x:v>김지현</x:v>
      </x:c>
      <x:c r="F1649" s="24" t="str">
        <x:v>2025-11</x:v>
      </x:c>
      <x:c r="G1649" s="30" t="n">
        <x:v>45976</x:v>
      </x:c>
      <x:c r="H1649" s="32" t="n">
        <x:v>1330000</x:v>
      </x:c>
      <x:c r="I1649" s="32" t="n">
        <x:v>1330000</x:v>
      </x:c>
      <x:c r="J1649" s="32" t="n">
        <x:v>0</x:v>
      </x:c>
      <x:c r="K1649" s="30" t="n">
        <x:v>45979</x:v>
      </x:c>
      <x:c r="L1649" s="24" t="str">
        <x:v>입금</x:v>
      </x:c>
      <x:c r="M1649" s="31" t="n">
        <x:f>IF(AND(N1649="미수",G1649&lt;&gt;"",TODAY()&gt;G1649),TODAY()-G1649,0)</x:f>
        <x:v>0</x:v>
      </x:c>
      <x:c r="N1649" s="24" t="str">
        <x:f>IF(J1649&gt;0,"미수",IF(AND(H1649&gt;0,I1649&gt;=H1649),"완납","미확인"))</x:f>
        <x:v>완납</x:v>
      </x:c>
      <x:c r="O1649" s="31" t="n">
        <x:v>80</x:v>
      </x:c>
    </x:row>
    <x:row r="1650" ht="17.25" customHeight="1">
      <x:c r="A1650" s="24" t="str">
        <x:v>SW-B-155라6331-202510</x:v>
      </x:c>
      <x:c r="B1650" s="24" t="str">
        <x:v>스위치플랜</x:v>
      </x:c>
      <x:c r="C1650" s="24" t="str">
        <x:v>SW-C-155라6331-1-20250314-81</x:v>
      </x:c>
      <x:c r="D1650" s="24" t="str">
        <x:v>155라6331</x:v>
      </x:c>
      <x:c r="E1650" s="24" t="str">
        <x:v>김지현</x:v>
      </x:c>
      <x:c r="F1650" s="24" t="str">
        <x:v>2025-10</x:v>
      </x:c>
      <x:c r="G1650" s="30" t="n">
        <x:v>45945</x:v>
      </x:c>
      <x:c r="H1650" s="32" t="n">
        <x:v>1330000</x:v>
      </x:c>
      <x:c r="I1650" s="32" t="n">
        <x:v>1330000</x:v>
      </x:c>
      <x:c r="J1650" s="32" t="n">
        <x:v>0</x:v>
      </x:c>
      <x:c r="K1650" s="30" t="n">
        <x:v>45947</x:v>
      </x:c>
      <x:c r="L1650" s="24" t="str">
        <x:v>입금</x:v>
      </x:c>
      <x:c r="M1650" s="31" t="n">
        <x:f>IF(AND(N1650="미수",G1650&lt;&gt;"",TODAY()&gt;G1650),TODAY()-G1650,0)</x:f>
        <x:v>0</x:v>
      </x:c>
      <x:c r="N1650" s="24" t="str">
        <x:f>IF(J1650&gt;0,"미수",IF(AND(H1650&gt;0,I1650&gt;=H1650),"완납","미확인"))</x:f>
        <x:v>완납</x:v>
      </x:c>
      <x:c r="O1650" s="31" t="n">
        <x:v>80</x:v>
      </x:c>
    </x:row>
    <x:row r="1651" ht="17.25" customHeight="1">
      <x:c r="A1651" s="24" t="str">
        <x:v>SW-B-155라6331-202509</x:v>
      </x:c>
      <x:c r="B1651" s="24" t="str">
        <x:v>스위치플랜</x:v>
      </x:c>
      <x:c r="C1651" s="24" t="str">
        <x:v>SW-C-155라6331-1-20250314-81</x:v>
      </x:c>
      <x:c r="D1651" s="24" t="str">
        <x:v>155라6331</x:v>
      </x:c>
      <x:c r="E1651" s="24" t="str">
        <x:v>김지현</x:v>
      </x:c>
      <x:c r="F1651" s="24" t="str">
        <x:v>2025-09</x:v>
      </x:c>
      <x:c r="G1651" s="30" t="n">
        <x:v>45915</x:v>
      </x:c>
      <x:c r="H1651" s="32" t="n">
        <x:v>1330000</x:v>
      </x:c>
      <x:c r="I1651" s="32" t="n">
        <x:v>1330000</x:v>
      </x:c>
      <x:c r="J1651" s="32" t="n">
        <x:v>0</x:v>
      </x:c>
      <x:c r="K1651" s="30" t="n">
        <x:v>45918</x:v>
      </x:c>
      <x:c r="L1651" s="24" t="str">
        <x:v>입금</x:v>
      </x:c>
      <x:c r="M1651" s="31" t="n">
        <x:f>IF(AND(N1651="미수",G1651&lt;&gt;"",TODAY()&gt;G1651),TODAY()-G1651,0)</x:f>
        <x:v>0</x:v>
      </x:c>
      <x:c r="N1651" s="24" t="str">
        <x:f>IF(J1651&gt;0,"미수",IF(AND(H1651&gt;0,I1651&gt;=H1651),"완납","미확인"))</x:f>
        <x:v>완납</x:v>
      </x:c>
      <x:c r="O1651" s="31" t="n">
        <x:v>80</x:v>
      </x:c>
    </x:row>
    <x:row r="1652" ht="17.25" customHeight="1">
      <x:c r="A1652" s="24" t="str">
        <x:v>SW-B-155라6331-202508</x:v>
      </x:c>
      <x:c r="B1652" s="24" t="str">
        <x:v>스위치플랜</x:v>
      </x:c>
      <x:c r="C1652" s="24" t="str">
        <x:v>SW-C-155라6331-1-20250314-81</x:v>
      </x:c>
      <x:c r="D1652" s="24" t="str">
        <x:v>155라6331</x:v>
      </x:c>
      <x:c r="E1652" s="24" t="str">
        <x:v>김지현</x:v>
      </x:c>
      <x:c r="F1652" s="24" t="str">
        <x:v>2025-08</x:v>
      </x:c>
      <x:c r="G1652" s="30" t="n">
        <x:v>45884</x:v>
      </x:c>
      <x:c r="H1652" s="32" t="n">
        <x:v>1330000</x:v>
      </x:c>
      <x:c r="I1652" s="32" t="n">
        <x:v>1330000</x:v>
      </x:c>
      <x:c r="J1652" s="32" t="n">
        <x:v>0</x:v>
      </x:c>
      <x:c r="K1652" s="30" t="n">
        <x:v>45888</x:v>
      </x:c>
      <x:c r="L1652" s="24" t="str">
        <x:v>입금</x:v>
      </x:c>
      <x:c r="M1652" s="31" t="n">
        <x:f>IF(AND(N1652="미수",G1652&lt;&gt;"",TODAY()&gt;G1652),TODAY()-G1652,0)</x:f>
        <x:v>0</x:v>
      </x:c>
      <x:c r="N1652" s="24" t="str">
        <x:f>IF(J1652&gt;0,"미수",IF(AND(H1652&gt;0,I1652&gt;=H1652),"완납","미확인"))</x:f>
        <x:v>완납</x:v>
      </x:c>
      <x:c r="O1652" s="31" t="n">
        <x:v>80</x:v>
      </x:c>
    </x:row>
    <x:row r="1653" ht="17.25" customHeight="1">
      <x:c r="A1653" s="24" t="str">
        <x:v>SW-B-155라6331-202507</x:v>
      </x:c>
      <x:c r="B1653" s="24" t="str">
        <x:v>스위치플랜</x:v>
      </x:c>
      <x:c r="C1653" s="24" t="str">
        <x:v>SW-C-155라6331-1-20250314-81</x:v>
      </x:c>
      <x:c r="D1653" s="24" t="str">
        <x:v>155라6331</x:v>
      </x:c>
      <x:c r="E1653" s="24" t="str">
        <x:v>김지현</x:v>
      </x:c>
      <x:c r="F1653" s="24" t="str">
        <x:v>2025-07</x:v>
      </x:c>
      <x:c r="G1653" s="30" t="n">
        <x:v>45853</x:v>
      </x:c>
      <x:c r="H1653" s="32" t="n">
        <x:v>1330000</x:v>
      </x:c>
      <x:c r="I1653" s="32" t="n">
        <x:v>1330000</x:v>
      </x:c>
      <x:c r="J1653" s="32" t="n">
        <x:v>0</x:v>
      </x:c>
      <x:c r="K1653" s="30" t="n">
        <x:v>45861</x:v>
      </x:c>
      <x:c r="L1653" s="24" t="str">
        <x:v>입금</x:v>
      </x:c>
      <x:c r="M1653" s="31" t="n">
        <x:f>IF(AND(N1653="미수",G1653&lt;&gt;"",TODAY()&gt;G1653),TODAY()-G1653,0)</x:f>
        <x:v>0</x:v>
      </x:c>
      <x:c r="N1653" s="24" t="str">
        <x:f>IF(J1653&gt;0,"미수",IF(AND(H1653&gt;0,I1653&gt;=H1653),"완납","미확인"))</x:f>
        <x:v>완납</x:v>
      </x:c>
      <x:c r="O1653" s="31" t="n">
        <x:v>80</x:v>
      </x:c>
    </x:row>
    <x:row r="1654" ht="17.25" customHeight="1">
      <x:c r="A1654" s="24" t="str">
        <x:v>SW-B-155라6331-202506</x:v>
      </x:c>
      <x:c r="B1654" s="24" t="str">
        <x:v>스위치플랜</x:v>
      </x:c>
      <x:c r="C1654" s="24" t="str">
        <x:v>SW-C-155라6331-1-20250314-81</x:v>
      </x:c>
      <x:c r="D1654" s="24" t="str">
        <x:v>155라6331</x:v>
      </x:c>
      <x:c r="E1654" s="24" t="str">
        <x:v>김지현</x:v>
      </x:c>
      <x:c r="F1654" s="24" t="str">
        <x:v>2025-06</x:v>
      </x:c>
      <x:c r="G1654" s="30" t="n">
        <x:v>45823</x:v>
      </x:c>
      <x:c r="H1654" s="32" t="n">
        <x:v>1330000</x:v>
      </x:c>
      <x:c r="I1654" s="32" t="n">
        <x:v>1330000</x:v>
      </x:c>
      <x:c r="J1654" s="32" t="n">
        <x:v>0</x:v>
      </x:c>
      <x:c r="K1654" s="30" t="n">
        <x:v>45825</x:v>
      </x:c>
      <x:c r="L1654" s="24" t="str">
        <x:v>입금</x:v>
      </x:c>
      <x:c r="M1654" s="31" t="n">
        <x:f>IF(AND(N1654="미수",G1654&lt;&gt;"",TODAY()&gt;G1654),TODAY()-G1654,0)</x:f>
        <x:v>0</x:v>
      </x:c>
      <x:c r="N1654" s="24" t="str">
        <x:f>IF(J1654&gt;0,"미수",IF(AND(H1654&gt;0,I1654&gt;=H1654),"완납","미확인"))</x:f>
        <x:v>완납</x:v>
      </x:c>
      <x:c r="O1654" s="31" t="n">
        <x:v>80</x:v>
      </x:c>
    </x:row>
    <x:row r="1655" ht="17.25" customHeight="1">
      <x:c r="A1655" s="24" t="str">
        <x:v>SW-B-155라6331-202505</x:v>
      </x:c>
      <x:c r="B1655" s="24" t="str">
        <x:v>스위치플랜</x:v>
      </x:c>
      <x:c r="C1655" s="24" t="str">
        <x:v>SW-C-155라6331-1-20250314-81</x:v>
      </x:c>
      <x:c r="D1655" s="24" t="str">
        <x:v>155라6331</x:v>
      </x:c>
      <x:c r="E1655" s="24" t="str">
        <x:v>김지현</x:v>
      </x:c>
      <x:c r="F1655" s="24" t="str">
        <x:v>2025-05</x:v>
      </x:c>
      <x:c r="G1655" s="30" t="n">
        <x:v>45792</x:v>
      </x:c>
      <x:c r="H1655" s="32" t="n">
        <x:v>1330000</x:v>
      </x:c>
      <x:c r="I1655" s="32" t="n">
        <x:v>1330000</x:v>
      </x:c>
      <x:c r="J1655" s="32" t="n">
        <x:v>0</x:v>
      </x:c>
      <x:c r="K1655" s="30" t="n">
        <x:v>45797</x:v>
      </x:c>
      <x:c r="L1655" s="24" t="str">
        <x:v>입금</x:v>
      </x:c>
      <x:c r="M1655" s="31" t="n">
        <x:f>IF(AND(N1655="미수",G1655&lt;&gt;"",TODAY()&gt;G1655),TODAY()-G1655,0)</x:f>
        <x:v>0</x:v>
      </x:c>
      <x:c r="N1655" s="24" t="str">
        <x:f>IF(J1655&gt;0,"미수",IF(AND(H1655&gt;0,I1655&gt;=H1655),"완납","미확인"))</x:f>
        <x:v>완납</x:v>
      </x:c>
      <x:c r="O1655" s="31" t="n">
        <x:v>80</x:v>
      </x:c>
    </x:row>
    <x:row r="1656" ht="17.25" customHeight="1">
      <x:c r="A1656" s="24" t="str">
        <x:v>SW-B-155라6331-202504</x:v>
      </x:c>
      <x:c r="B1656" s="24" t="str">
        <x:v>스위치플랜</x:v>
      </x:c>
      <x:c r="C1656" s="24" t="str">
        <x:v>SW-C-155라6331-1-20250314-81</x:v>
      </x:c>
      <x:c r="D1656" s="24" t="str">
        <x:v>155라6331</x:v>
      </x:c>
      <x:c r="E1656" s="24" t="str">
        <x:v>김지현</x:v>
      </x:c>
      <x:c r="F1656" s="24" t="str">
        <x:v>2025-04</x:v>
      </x:c>
      <x:c r="G1656" s="30" t="n">
        <x:v>45762</x:v>
      </x:c>
      <x:c r="H1656" s="32" t="n">
        <x:v>1330000</x:v>
      </x:c>
      <x:c r="I1656" s="32" t="n">
        <x:v>1330000</x:v>
      </x:c>
      <x:c r="J1656" s="32" t="n">
        <x:v>0</x:v>
      </x:c>
      <x:c r="K1656" s="30" t="n">
        <x:v>45761</x:v>
      </x:c>
      <x:c r="L1656" s="24" t="str">
        <x:v>입금</x:v>
      </x:c>
      <x:c r="M1656" s="31" t="n">
        <x:f>IF(AND(N1656="미수",G1656&lt;&gt;"",TODAY()&gt;G1656),TODAY()-G1656,0)</x:f>
        <x:v>0</x:v>
      </x:c>
      <x:c r="N1656" s="24" t="str">
        <x:f>IF(J1656&gt;0,"미수",IF(AND(H1656&gt;0,I1656&gt;=H1656),"완납","미확인"))</x:f>
        <x:v>완납</x:v>
      </x:c>
      <x:c r="O1656" s="31" t="n">
        <x:v>80</x:v>
      </x:c>
    </x:row>
    <x:row r="1657" ht="17.25" customHeight="1">
      <x:c r="A1657" s="24" t="str">
        <x:v>SW-B-155라6331-202503</x:v>
      </x:c>
      <x:c r="B1657" s="24" t="str">
        <x:v>스위치플랜</x:v>
      </x:c>
      <x:c r="C1657" s="24" t="str">
        <x:v>SW-C-155라6331-1-20250314-81</x:v>
      </x:c>
      <x:c r="D1657" s="24" t="str">
        <x:v>155라6331</x:v>
      </x:c>
      <x:c r="E1657" s="24" t="str">
        <x:v>김지현</x:v>
      </x:c>
      <x:c r="F1657" s="24" t="str">
        <x:v>2025-03</x:v>
      </x:c>
      <x:c r="G1657" s="30" t="n">
        <x:v>45731</x:v>
      </x:c>
      <x:c r="H1657" s="32" t="n">
        <x:v>1330000</x:v>
      </x:c>
      <x:c r="I1657" s="32" t="n">
        <x:v>1330000</x:v>
      </x:c>
      <x:c r="J1657" s="32" t="n">
        <x:v>0</x:v>
      </x:c>
      <x:c r="K1657" s="30" t="n">
        <x:v>45728</x:v>
      </x:c>
      <x:c r="L1657" s="24" t="str">
        <x:v>입금</x:v>
      </x:c>
      <x:c r="M1657" s="31" t="n">
        <x:f>IF(AND(N1657="미수",G1657&lt;&gt;"",TODAY()&gt;G1657),TODAY()-G1657,0)</x:f>
        <x:v>0</x:v>
      </x:c>
      <x:c r="N1657" s="24" t="str">
        <x:f>IF(J1657&gt;0,"미수",IF(AND(H1657&gt;0,I1657&gt;=H1657),"완납","미확인"))</x:f>
        <x:v>완납</x:v>
      </x:c>
      <x:c r="O1657" s="31" t="n">
        <x:v>80</x:v>
      </x:c>
    </x:row>
    <x:row r="1658" ht="17.25" customHeight="1">
      <x:c r="A1658" s="24" t="str">
        <x:v>SW-B-248너5286-202608</x:v>
      </x:c>
      <x:c r="B1658" s="24" t="str">
        <x:v>스위치플랜</x:v>
      </x:c>
      <x:c r="C1658" s="24" t="str">
        <x:v>SW-C-248너5286-1-20240223-82</x:v>
      </x:c>
      <x:c r="D1658" s="24" t="str">
        <x:v>248너5286</x:v>
      </x:c>
      <x:c r="E1658" s="24" t="str">
        <x:v>김후집</x:v>
      </x:c>
      <x:c r="F1658" s="24" t="str">
        <x:v>2026-08</x:v>
      </x:c>
      <x:c r="G1658" s="30" t="n">
        <x:v>46259</x:v>
      </x:c>
      <x:c r="H1658" s="32" t="n">
        <x:v>1500000</x:v>
      </x:c>
      <x:c r="I1658" s="32"/>
      <x:c r="J1658" s="32" t="n">
        <x:v>1500000</x:v>
      </x:c>
      <x:c r="K1658" s="30"/>
      <x:c r="L1658" s="24" t="str"/>
      <x:c r="M1658" s="31" t="n">
        <x:f>IF(AND(N1658="미수",G1658&lt;&gt;"",TODAY()&gt;G1658),TODAY()-G1658,0)</x:f>
        <x:v>0</x:v>
      </x:c>
      <x:c r="N1658" s="24" t="str">
        <x:f>IF(J1658&gt;0,"미수",IF(AND(H1658&gt;0,I1658&gt;=H1658),"완납","미확인"))</x:f>
        <x:v>미수</x:v>
      </x:c>
      <x:c r="O1658" s="31" t="n">
        <x:v>81</x:v>
      </x:c>
    </x:row>
    <x:row r="1659" ht="17.25" customHeight="1">
      <x:c r="A1659" s="24" t="str">
        <x:v>SW-B-248너5286-202607</x:v>
      </x:c>
      <x:c r="B1659" s="24" t="str">
        <x:v>스위치플랜</x:v>
      </x:c>
      <x:c r="C1659" s="24" t="str">
        <x:v>SW-C-248너5286-1-20240223-82</x:v>
      </x:c>
      <x:c r="D1659" s="24" t="str">
        <x:v>248너5286</x:v>
      </x:c>
      <x:c r="E1659" s="24" t="str">
        <x:v>김후집</x:v>
      </x:c>
      <x:c r="F1659" s="24" t="str">
        <x:v>2026-07</x:v>
      </x:c>
      <x:c r="G1659" s="30" t="n">
        <x:v>46228</x:v>
      </x:c>
      <x:c r="H1659" s="32" t="n">
        <x:v>1500000</x:v>
      </x:c>
      <x:c r="I1659" s="32" t="n">
        <x:v>1500000</x:v>
      </x:c>
      <x:c r="J1659" s="32" t="n">
        <x:v>0</x:v>
      </x:c>
      <x:c r="K1659" s="30" t="n">
        <x:v>46231</x:v>
      </x:c>
      <x:c r="L1659" s="24" t="str">
        <x:v>입금</x:v>
      </x:c>
      <x:c r="M1659" s="31" t="n">
        <x:f>IF(AND(N1659="미수",G1659&lt;&gt;"",TODAY()&gt;G1659),TODAY()-G1659,0)</x:f>
        <x:v>0</x:v>
      </x:c>
      <x:c r="N1659" s="24" t="str">
        <x:f>IF(J1659&gt;0,"미수",IF(AND(H1659&gt;0,I1659&gt;=H1659),"완납","미확인"))</x:f>
        <x:v>완납</x:v>
      </x:c>
      <x:c r="O1659" s="31" t="n">
        <x:v>81</x:v>
      </x:c>
    </x:row>
    <x:row r="1660" ht="17.25" customHeight="1">
      <x:c r="A1660" s="24" t="str">
        <x:v>SW-B-248너5286-202606</x:v>
      </x:c>
      <x:c r="B1660" s="24" t="str">
        <x:v>스위치플랜</x:v>
      </x:c>
      <x:c r="C1660" s="24" t="str">
        <x:v>SW-C-248너5286-1-20240223-82</x:v>
      </x:c>
      <x:c r="D1660" s="24" t="str">
        <x:v>248너5286</x:v>
      </x:c>
      <x:c r="E1660" s="24" t="str">
        <x:v>김후집</x:v>
      </x:c>
      <x:c r="F1660" s="24" t="str">
        <x:v>2026-06</x:v>
      </x:c>
      <x:c r="G1660" s="30" t="n">
        <x:v>46198</x:v>
      </x:c>
      <x:c r="H1660" s="32" t="n">
        <x:v>1500000</x:v>
      </x:c>
      <x:c r="I1660" s="32" t="n">
        <x:v>1500000</x:v>
      </x:c>
      <x:c r="J1660" s="32" t="n">
        <x:v>0</x:v>
      </x:c>
      <x:c r="K1660" s="30" t="n">
        <x:v>46200</x:v>
      </x:c>
      <x:c r="L1660" s="24" t="str">
        <x:v>입금</x:v>
      </x:c>
      <x:c r="M1660" s="31" t="n">
        <x:f>IF(AND(N1660="미수",G1660&lt;&gt;"",TODAY()&gt;G1660),TODAY()-G1660,0)</x:f>
        <x:v>0</x:v>
      </x:c>
      <x:c r="N1660" s="24" t="str">
        <x:f>IF(J1660&gt;0,"미수",IF(AND(H1660&gt;0,I1660&gt;=H1660),"완납","미확인"))</x:f>
        <x:v>완납</x:v>
      </x:c>
      <x:c r="O1660" s="31" t="n">
        <x:v>81</x:v>
      </x:c>
    </x:row>
    <x:row r="1661" ht="17.25" customHeight="1">
      <x:c r="A1661" s="24" t="str">
        <x:v>SW-B-248너5286-202605</x:v>
      </x:c>
      <x:c r="B1661" s="24" t="str">
        <x:v>스위치플랜</x:v>
      </x:c>
      <x:c r="C1661" s="24" t="str">
        <x:v>SW-C-248너5286-1-20240223-82</x:v>
      </x:c>
      <x:c r="D1661" s="24" t="str">
        <x:v>248너5286</x:v>
      </x:c>
      <x:c r="E1661" s="24" t="str">
        <x:v>김후집</x:v>
      </x:c>
      <x:c r="F1661" s="24" t="str">
        <x:v>2026-05</x:v>
      </x:c>
      <x:c r="G1661" s="30" t="n">
        <x:v>46167</x:v>
      </x:c>
      <x:c r="H1661" s="32" t="n">
        <x:v>1500000</x:v>
      </x:c>
      <x:c r="I1661" s="32" t="n">
        <x:v>1500000</x:v>
      </x:c>
      <x:c r="J1661" s="32" t="n">
        <x:v>0</x:v>
      </x:c>
      <x:c r="K1661" s="30" t="n">
        <x:v>46168</x:v>
      </x:c>
      <x:c r="L1661" s="24" t="str">
        <x:v>입금</x:v>
      </x:c>
      <x:c r="M1661" s="31" t="n">
        <x:f>IF(AND(N1661="미수",G1661&lt;&gt;"",TODAY()&gt;G1661),TODAY()-G1661,0)</x:f>
        <x:v>0</x:v>
      </x:c>
      <x:c r="N1661" s="24" t="str">
        <x:f>IF(J1661&gt;0,"미수",IF(AND(H1661&gt;0,I1661&gt;=H1661),"완납","미확인"))</x:f>
        <x:v>완납</x:v>
      </x:c>
      <x:c r="O1661" s="31" t="n">
        <x:v>81</x:v>
      </x:c>
    </x:row>
    <x:row r="1662" ht="17.25" customHeight="1">
      <x:c r="A1662" s="24" t="str">
        <x:v>SW-B-248너5286-202604</x:v>
      </x:c>
      <x:c r="B1662" s="24" t="str">
        <x:v>스위치플랜</x:v>
      </x:c>
      <x:c r="C1662" s="24" t="str">
        <x:v>SW-C-248너5286-1-20240223-82</x:v>
      </x:c>
      <x:c r="D1662" s="24" t="str">
        <x:v>248너5286</x:v>
      </x:c>
      <x:c r="E1662" s="24" t="str">
        <x:v>김후집</x:v>
      </x:c>
      <x:c r="F1662" s="24" t="str">
        <x:v>2026-04</x:v>
      </x:c>
      <x:c r="G1662" s="30" t="n">
        <x:v>46137</x:v>
      </x:c>
      <x:c r="H1662" s="32" t="n">
        <x:v>1500000</x:v>
      </x:c>
      <x:c r="I1662" s="32" t="n">
        <x:v>1500000</x:v>
      </x:c>
      <x:c r="J1662" s="32" t="n">
        <x:v>0</x:v>
      </x:c>
      <x:c r="K1662" s="30" t="n">
        <x:v>46139</x:v>
      </x:c>
      <x:c r="L1662" s="24" t="str">
        <x:v>입금</x:v>
      </x:c>
      <x:c r="M1662" s="31" t="n">
        <x:f>IF(AND(N1662="미수",G1662&lt;&gt;"",TODAY()&gt;G1662),TODAY()-G1662,0)</x:f>
        <x:v>0</x:v>
      </x:c>
      <x:c r="N1662" s="24" t="str">
        <x:f>IF(J1662&gt;0,"미수",IF(AND(H1662&gt;0,I1662&gt;=H1662),"완납","미확인"))</x:f>
        <x:v>완납</x:v>
      </x:c>
      <x:c r="O1662" s="31" t="n">
        <x:v>81</x:v>
      </x:c>
    </x:row>
    <x:row r="1663" ht="17.25" customHeight="1">
      <x:c r="A1663" s="24" t="str">
        <x:v>SW-B-248너5286-202603</x:v>
      </x:c>
      <x:c r="B1663" s="24" t="str">
        <x:v>스위치플랜</x:v>
      </x:c>
      <x:c r="C1663" s="24" t="str">
        <x:v>SW-C-248너5286-1-20240223-82</x:v>
      </x:c>
      <x:c r="D1663" s="24" t="str">
        <x:v>248너5286</x:v>
      </x:c>
      <x:c r="E1663" s="24" t="str">
        <x:v>김후집</x:v>
      </x:c>
      <x:c r="F1663" s="24" t="str">
        <x:v>2026-03</x:v>
      </x:c>
      <x:c r="G1663" s="30" t="n">
        <x:v>46106</x:v>
      </x:c>
      <x:c r="H1663" s="32" t="n">
        <x:v>1500000</x:v>
      </x:c>
      <x:c r="I1663" s="32" t="n">
        <x:v>1500000</x:v>
      </x:c>
      <x:c r="J1663" s="32" t="n">
        <x:v>0</x:v>
      </x:c>
      <x:c r="K1663" s="30" t="n">
        <x:v>46108</x:v>
      </x:c>
      <x:c r="L1663" s="24" t="str">
        <x:v>입금</x:v>
      </x:c>
      <x:c r="M1663" s="31" t="n">
        <x:f>IF(AND(N1663="미수",G1663&lt;&gt;"",TODAY()&gt;G1663),TODAY()-G1663,0)</x:f>
        <x:v>0</x:v>
      </x:c>
      <x:c r="N1663" s="24" t="str">
        <x:f>IF(J1663&gt;0,"미수",IF(AND(H1663&gt;0,I1663&gt;=H1663),"완납","미확인"))</x:f>
        <x:v>완납</x:v>
      </x:c>
      <x:c r="O1663" s="31" t="n">
        <x:v>81</x:v>
      </x:c>
    </x:row>
    <x:row r="1664" ht="17.25" customHeight="1">
      <x:c r="A1664" s="24" t="str">
        <x:v>SW-B-248너5286-202602</x:v>
      </x:c>
      <x:c r="B1664" s="24" t="str">
        <x:v>스위치플랜</x:v>
      </x:c>
      <x:c r="C1664" s="24" t="str">
        <x:v>SW-C-248너5286-1-20240223-82</x:v>
      </x:c>
      <x:c r="D1664" s="24" t="str">
        <x:v>248너5286</x:v>
      </x:c>
      <x:c r="E1664" s="24" t="str">
        <x:v>김후집</x:v>
      </x:c>
      <x:c r="F1664" s="24" t="str">
        <x:v>2026-02</x:v>
      </x:c>
      <x:c r="G1664" s="30" t="n">
        <x:v>46078</x:v>
      </x:c>
      <x:c r="H1664" s="32" t="n">
        <x:v>1500000</x:v>
      </x:c>
      <x:c r="I1664" s="32" t="n">
        <x:v>1500000</x:v>
      </x:c>
      <x:c r="J1664" s="32" t="n">
        <x:v>0</x:v>
      </x:c>
      <x:c r="K1664" s="30" t="n">
        <x:v>46078</x:v>
      </x:c>
      <x:c r="L1664" s="24" t="str">
        <x:v>입금</x:v>
      </x:c>
      <x:c r="M1664" s="31" t="n">
        <x:f>IF(AND(N1664="미수",G1664&lt;&gt;"",TODAY()&gt;G1664),TODAY()-G1664,0)</x:f>
        <x:v>0</x:v>
      </x:c>
      <x:c r="N1664" s="24" t="str">
        <x:f>IF(J1664&gt;0,"미수",IF(AND(H1664&gt;0,I1664&gt;=H1664),"완납","미확인"))</x:f>
        <x:v>완납</x:v>
      </x:c>
      <x:c r="O1664" s="31" t="n">
        <x:v>81</x:v>
      </x:c>
    </x:row>
    <x:row r="1665" ht="17.25" customHeight="1">
      <x:c r="A1665" s="24" t="str">
        <x:v>SW-B-248너5286-202601</x:v>
      </x:c>
      <x:c r="B1665" s="24" t="str">
        <x:v>스위치플랜</x:v>
      </x:c>
      <x:c r="C1665" s="24" t="str">
        <x:v>SW-C-248너5286-1-20240223-82</x:v>
      </x:c>
      <x:c r="D1665" s="24" t="str">
        <x:v>248너5286</x:v>
      </x:c>
      <x:c r="E1665" s="24" t="str">
        <x:v>김후집</x:v>
      </x:c>
      <x:c r="F1665" s="24" t="str">
        <x:v>2026-01</x:v>
      </x:c>
      <x:c r="G1665" s="30" t="n">
        <x:v>46047</x:v>
      </x:c>
      <x:c r="H1665" s="32" t="n">
        <x:v>1500000</x:v>
      </x:c>
      <x:c r="I1665" s="32" t="n">
        <x:v>1500000</x:v>
      </x:c>
      <x:c r="J1665" s="32" t="n">
        <x:v>0</x:v>
      </x:c>
      <x:c r="K1665" s="30" t="n">
        <x:v>46045</x:v>
      </x:c>
      <x:c r="L1665" s="24" t="str">
        <x:v>입금</x:v>
      </x:c>
      <x:c r="M1665" s="31" t="n">
        <x:f>IF(AND(N1665="미수",G1665&lt;&gt;"",TODAY()&gt;G1665),TODAY()-G1665,0)</x:f>
        <x:v>0</x:v>
      </x:c>
      <x:c r="N1665" s="24" t="str">
        <x:f>IF(J1665&gt;0,"미수",IF(AND(H1665&gt;0,I1665&gt;=H1665),"완납","미확인"))</x:f>
        <x:v>완납</x:v>
      </x:c>
      <x:c r="O1665" s="31" t="n">
        <x:v>81</x:v>
      </x:c>
    </x:row>
    <x:row r="1666" ht="17.25" customHeight="1">
      <x:c r="A1666" s="24" t="str">
        <x:v>SW-B-248너5286-202512</x:v>
      </x:c>
      <x:c r="B1666" s="24" t="str">
        <x:v>스위치플랜</x:v>
      </x:c>
      <x:c r="C1666" s="24" t="str">
        <x:v>SW-C-248너5286-1-20240223-82</x:v>
      </x:c>
      <x:c r="D1666" s="24" t="str">
        <x:v>248너5286</x:v>
      </x:c>
      <x:c r="E1666" s="24" t="str">
        <x:v>김후집</x:v>
      </x:c>
      <x:c r="F1666" s="24" t="str">
        <x:v>2025-12</x:v>
      </x:c>
      <x:c r="G1666" s="30" t="n">
        <x:v>46016</x:v>
      </x:c>
      <x:c r="H1666" s="32" t="n">
        <x:v>1500000</x:v>
      </x:c>
      <x:c r="I1666" s="32" t="n">
        <x:v>1500000</x:v>
      </x:c>
      <x:c r="J1666" s="32" t="n">
        <x:v>0</x:v>
      </x:c>
      <x:c r="K1666" s="30" t="n">
        <x:v>46017</x:v>
      </x:c>
      <x:c r="L1666" s="24" t="str">
        <x:v>자동</x:v>
      </x:c>
      <x:c r="M1666" s="31" t="n">
        <x:f>IF(AND(N1666="미수",G1666&lt;&gt;"",TODAY()&gt;G1666),TODAY()-G1666,0)</x:f>
        <x:v>0</x:v>
      </x:c>
      <x:c r="N1666" s="24" t="str">
        <x:f>IF(J1666&gt;0,"미수",IF(AND(H1666&gt;0,I1666&gt;=H1666),"완납","미확인"))</x:f>
        <x:v>완납</x:v>
      </x:c>
      <x:c r="O1666" s="31" t="n">
        <x:v>81</x:v>
      </x:c>
    </x:row>
    <x:row r="1667" ht="17.25" customHeight="1">
      <x:c r="A1667" s="24" t="str">
        <x:v>SW-B-248너5286-202511</x:v>
      </x:c>
      <x:c r="B1667" s="24" t="str">
        <x:v>스위치플랜</x:v>
      </x:c>
      <x:c r="C1667" s="24" t="str">
        <x:v>SW-C-248너5286-1-20240223-82</x:v>
      </x:c>
      <x:c r="D1667" s="24" t="str">
        <x:v>248너5286</x:v>
      </x:c>
      <x:c r="E1667" s="24" t="str">
        <x:v>김후집</x:v>
      </x:c>
      <x:c r="F1667" s="24" t="str">
        <x:v>2025-11</x:v>
      </x:c>
      <x:c r="G1667" s="30" t="n">
        <x:v>45986</x:v>
      </x:c>
      <x:c r="H1667" s="32" t="n">
        <x:v>1500000</x:v>
      </x:c>
      <x:c r="I1667" s="32" t="n">
        <x:v>1500000</x:v>
      </x:c>
      <x:c r="J1667" s="32" t="n">
        <x:v>0</x:v>
      </x:c>
      <x:c r="K1667" s="30" t="n">
        <x:v>45986</x:v>
      </x:c>
      <x:c r="L1667" s="24" t="str">
        <x:v>자동</x:v>
      </x:c>
      <x:c r="M1667" s="31" t="n">
        <x:f>IF(AND(N1667="미수",G1667&lt;&gt;"",TODAY()&gt;G1667),TODAY()-G1667,0)</x:f>
        <x:v>0</x:v>
      </x:c>
      <x:c r="N1667" s="24" t="str">
        <x:f>IF(J1667&gt;0,"미수",IF(AND(H1667&gt;0,I1667&gt;=H1667),"완납","미확인"))</x:f>
        <x:v>완납</x:v>
      </x:c>
      <x:c r="O1667" s="31" t="n">
        <x:v>81</x:v>
      </x:c>
    </x:row>
    <x:row r="1668" ht="17.25" customHeight="1">
      <x:c r="A1668" s="24" t="str">
        <x:v>SW-B-248너5286-202510</x:v>
      </x:c>
      <x:c r="B1668" s="24" t="str">
        <x:v>스위치플랜</x:v>
      </x:c>
      <x:c r="C1668" s="24" t="str">
        <x:v>SW-C-248너5286-1-20240223-82</x:v>
      </x:c>
      <x:c r="D1668" s="24" t="str">
        <x:v>248너5286</x:v>
      </x:c>
      <x:c r="E1668" s="24" t="str">
        <x:v>김후집</x:v>
      </x:c>
      <x:c r="F1668" s="24" t="str">
        <x:v>2025-10</x:v>
      </x:c>
      <x:c r="G1668" s="30" t="n">
        <x:v>45955</x:v>
      </x:c>
      <x:c r="H1668" s="32" t="n">
        <x:v>1500000</x:v>
      </x:c>
      <x:c r="I1668" s="32" t="n">
        <x:v>1500000</x:v>
      </x:c>
      <x:c r="J1668" s="32" t="n">
        <x:v>0</x:v>
      </x:c>
      <x:c r="K1668" s="30" t="n">
        <x:v>45957</x:v>
      </x:c>
      <x:c r="L1668" s="24" t="str">
        <x:v>입금</x:v>
      </x:c>
      <x:c r="M1668" s="31" t="n">
        <x:f>IF(AND(N1668="미수",G1668&lt;&gt;"",TODAY()&gt;G1668),TODAY()-G1668,0)</x:f>
        <x:v>0</x:v>
      </x:c>
      <x:c r="N1668" s="24" t="str">
        <x:f>IF(J1668&gt;0,"미수",IF(AND(H1668&gt;0,I1668&gt;=H1668),"완납","미확인"))</x:f>
        <x:v>완납</x:v>
      </x:c>
      <x:c r="O1668" s="31" t="n">
        <x:v>81</x:v>
      </x:c>
    </x:row>
    <x:row r="1669" ht="17.25" customHeight="1">
      <x:c r="A1669" s="24" t="str">
        <x:v>SW-B-248너5286-202509</x:v>
      </x:c>
      <x:c r="B1669" s="24" t="str">
        <x:v>스위치플랜</x:v>
      </x:c>
      <x:c r="C1669" s="24" t="str">
        <x:v>SW-C-248너5286-1-20240223-82</x:v>
      </x:c>
      <x:c r="D1669" s="24" t="str">
        <x:v>248너5286</x:v>
      </x:c>
      <x:c r="E1669" s="24" t="str">
        <x:v>김후집</x:v>
      </x:c>
      <x:c r="F1669" s="24" t="str">
        <x:v>2025-09</x:v>
      </x:c>
      <x:c r="G1669" s="30" t="n">
        <x:v>45925</x:v>
      </x:c>
      <x:c r="H1669" s="32" t="n">
        <x:v>1500000</x:v>
      </x:c>
      <x:c r="I1669" s="32" t="n">
        <x:v>1500000</x:v>
      </x:c>
      <x:c r="J1669" s="32" t="n">
        <x:v>0</x:v>
      </x:c>
      <x:c r="K1669" s="30" t="n">
        <x:v>45925</x:v>
      </x:c>
      <x:c r="L1669" s="24" t="str">
        <x:v>자동</x:v>
      </x:c>
      <x:c r="M1669" s="31" t="n">
        <x:f>IF(AND(N1669="미수",G1669&lt;&gt;"",TODAY()&gt;G1669),TODAY()-G1669,0)</x:f>
        <x:v>0</x:v>
      </x:c>
      <x:c r="N1669" s="24" t="str">
        <x:f>IF(J1669&gt;0,"미수",IF(AND(H1669&gt;0,I1669&gt;=H1669),"완납","미확인"))</x:f>
        <x:v>완납</x:v>
      </x:c>
      <x:c r="O1669" s="31" t="n">
        <x:v>81</x:v>
      </x:c>
    </x:row>
    <x:row r="1670" ht="17.25" customHeight="1">
      <x:c r="A1670" s="24" t="str">
        <x:v>SW-B-248너5286-202508</x:v>
      </x:c>
      <x:c r="B1670" s="24" t="str">
        <x:v>스위치플랜</x:v>
      </x:c>
      <x:c r="C1670" s="24" t="str">
        <x:v>SW-C-248너5286-1-20240223-82</x:v>
      </x:c>
      <x:c r="D1670" s="24" t="str">
        <x:v>248너5286</x:v>
      </x:c>
      <x:c r="E1670" s="24" t="str">
        <x:v>김후집</x:v>
      </x:c>
      <x:c r="F1670" s="24" t="str">
        <x:v>2025-08</x:v>
      </x:c>
      <x:c r="G1670" s="30" t="n">
        <x:v>45894</x:v>
      </x:c>
      <x:c r="H1670" s="32" t="n">
        <x:v>1500000</x:v>
      </x:c>
      <x:c r="I1670" s="32" t="n">
        <x:v>1500000</x:v>
      </x:c>
      <x:c r="J1670" s="32" t="n">
        <x:v>0</x:v>
      </x:c>
      <x:c r="K1670" s="30" t="n">
        <x:v>45894</x:v>
      </x:c>
      <x:c r="L1670" s="24" t="str">
        <x:v>자동</x:v>
      </x:c>
      <x:c r="M1670" s="31" t="n">
        <x:f>IF(AND(N1670="미수",G1670&lt;&gt;"",TODAY()&gt;G1670),TODAY()-G1670,0)</x:f>
        <x:v>0</x:v>
      </x:c>
      <x:c r="N1670" s="24" t="str">
        <x:f>IF(J1670&gt;0,"미수",IF(AND(H1670&gt;0,I1670&gt;=H1670),"완납","미확인"))</x:f>
        <x:v>완납</x:v>
      </x:c>
      <x:c r="O1670" s="31" t="n">
        <x:v>81</x:v>
      </x:c>
    </x:row>
    <x:row r="1671" ht="17.25" customHeight="1">
      <x:c r="A1671" s="24" t="str">
        <x:v>SW-B-248너5286-202507</x:v>
      </x:c>
      <x:c r="B1671" s="24" t="str">
        <x:v>스위치플랜</x:v>
      </x:c>
      <x:c r="C1671" s="24" t="str">
        <x:v>SW-C-248너5286-1-20240223-82</x:v>
      </x:c>
      <x:c r="D1671" s="24" t="str">
        <x:v>248너5286</x:v>
      </x:c>
      <x:c r="E1671" s="24" t="str">
        <x:v>김후집</x:v>
      </x:c>
      <x:c r="F1671" s="24" t="str">
        <x:v>2025-07</x:v>
      </x:c>
      <x:c r="G1671" s="30" t="n">
        <x:v>45863</x:v>
      </x:c>
      <x:c r="H1671" s="32" t="n">
        <x:v>1500000</x:v>
      </x:c>
      <x:c r="I1671" s="32" t="n">
        <x:v>1500000</x:v>
      </x:c>
      <x:c r="J1671" s="32" t="n">
        <x:v>0</x:v>
      </x:c>
      <x:c r="K1671" s="30" t="n">
        <x:v>45863</x:v>
      </x:c>
      <x:c r="L1671" s="24" t="str">
        <x:v>자동</x:v>
      </x:c>
      <x:c r="M1671" s="31" t="n">
        <x:f>IF(AND(N1671="미수",G1671&lt;&gt;"",TODAY()&gt;G1671),TODAY()-G1671,0)</x:f>
        <x:v>0</x:v>
      </x:c>
      <x:c r="N1671" s="24" t="str">
        <x:f>IF(J1671&gt;0,"미수",IF(AND(H1671&gt;0,I1671&gt;=H1671),"완납","미확인"))</x:f>
        <x:v>완납</x:v>
      </x:c>
      <x:c r="O1671" s="31" t="n">
        <x:v>81</x:v>
      </x:c>
    </x:row>
    <x:row r="1672" ht="17.25" customHeight="1">
      <x:c r="A1672" s="24" t="str">
        <x:v>SW-B-248너5286-202506</x:v>
      </x:c>
      <x:c r="B1672" s="24" t="str">
        <x:v>스위치플랜</x:v>
      </x:c>
      <x:c r="C1672" s="24" t="str">
        <x:v>SW-C-248너5286-1-20240223-82</x:v>
      </x:c>
      <x:c r="D1672" s="24" t="str">
        <x:v>248너5286</x:v>
      </x:c>
      <x:c r="E1672" s="24" t="str">
        <x:v>김후집</x:v>
      </x:c>
      <x:c r="F1672" s="24" t="str">
        <x:v>2025-06</x:v>
      </x:c>
      <x:c r="G1672" s="30" t="n">
        <x:v>45833</x:v>
      </x:c>
      <x:c r="H1672" s="32" t="n">
        <x:v>1500000</x:v>
      </x:c>
      <x:c r="I1672" s="32" t="n">
        <x:v>1500000</x:v>
      </x:c>
      <x:c r="J1672" s="32" t="n">
        <x:v>0</x:v>
      </x:c>
      <x:c r="K1672" s="30" t="n">
        <x:v>45833</x:v>
      </x:c>
      <x:c r="L1672" s="24" t="str">
        <x:v>자동</x:v>
      </x:c>
      <x:c r="M1672" s="31" t="n">
        <x:f>IF(AND(N1672="미수",G1672&lt;&gt;"",TODAY()&gt;G1672),TODAY()-G1672,0)</x:f>
        <x:v>0</x:v>
      </x:c>
      <x:c r="N1672" s="24" t="str">
        <x:f>IF(J1672&gt;0,"미수",IF(AND(H1672&gt;0,I1672&gt;=H1672),"완납","미확인"))</x:f>
        <x:v>완납</x:v>
      </x:c>
      <x:c r="O1672" s="31" t="n">
        <x:v>81</x:v>
      </x:c>
    </x:row>
    <x:row r="1673" ht="17.25" customHeight="1">
      <x:c r="A1673" s="24" t="str">
        <x:v>SW-B-248너5286-202505</x:v>
      </x:c>
      <x:c r="B1673" s="24" t="str">
        <x:v>스위치플랜</x:v>
      </x:c>
      <x:c r="C1673" s="24" t="str">
        <x:v>SW-C-248너5286-1-20240223-82</x:v>
      </x:c>
      <x:c r="D1673" s="24" t="str">
        <x:v>248너5286</x:v>
      </x:c>
      <x:c r="E1673" s="24" t="str">
        <x:v>김후집</x:v>
      </x:c>
      <x:c r="F1673" s="24" t="str">
        <x:v>2025-05</x:v>
      </x:c>
      <x:c r="G1673" s="30" t="n">
        <x:v>45802</x:v>
      </x:c>
      <x:c r="H1673" s="32" t="n">
        <x:v>1500000</x:v>
      </x:c>
      <x:c r="I1673" s="32" t="n">
        <x:v>1500000</x:v>
      </x:c>
      <x:c r="J1673" s="32" t="n">
        <x:v>0</x:v>
      </x:c>
      <x:c r="K1673" s="30" t="n">
        <x:v>45803</x:v>
      </x:c>
      <x:c r="L1673" s="24" t="str">
        <x:v>자동</x:v>
      </x:c>
      <x:c r="M1673" s="31" t="n">
        <x:f>IF(AND(N1673="미수",G1673&lt;&gt;"",TODAY()&gt;G1673),TODAY()-G1673,0)</x:f>
        <x:v>0</x:v>
      </x:c>
      <x:c r="N1673" s="24" t="str">
        <x:f>IF(J1673&gt;0,"미수",IF(AND(H1673&gt;0,I1673&gt;=H1673),"완납","미확인"))</x:f>
        <x:v>완납</x:v>
      </x:c>
      <x:c r="O1673" s="31" t="n">
        <x:v>81</x:v>
      </x:c>
    </x:row>
    <x:row r="1674" ht="17.25" customHeight="1">
      <x:c r="A1674" s="24" t="str">
        <x:v>SW-B-248너5286-202504</x:v>
      </x:c>
      <x:c r="B1674" s="24" t="str">
        <x:v>스위치플랜</x:v>
      </x:c>
      <x:c r="C1674" s="24" t="str">
        <x:v>SW-C-248너5286-1-20240223-82</x:v>
      </x:c>
      <x:c r="D1674" s="24" t="str">
        <x:v>248너5286</x:v>
      </x:c>
      <x:c r="E1674" s="24" t="str">
        <x:v>김후집</x:v>
      </x:c>
      <x:c r="F1674" s="24" t="str">
        <x:v>2025-04</x:v>
      </x:c>
      <x:c r="G1674" s="30" t="n">
        <x:v>45772</x:v>
      </x:c>
      <x:c r="H1674" s="32" t="n">
        <x:v>1500000</x:v>
      </x:c>
      <x:c r="I1674" s="32" t="n">
        <x:v>1500000</x:v>
      </x:c>
      <x:c r="J1674" s="32" t="n">
        <x:v>0</x:v>
      </x:c>
      <x:c r="K1674" s="30" t="n">
        <x:v>45773</x:v>
      </x:c>
      <x:c r="L1674" s="24" t="str">
        <x:v>입금</x:v>
      </x:c>
      <x:c r="M1674" s="31" t="n">
        <x:f>IF(AND(N1674="미수",G1674&lt;&gt;"",TODAY()&gt;G1674),TODAY()-G1674,0)</x:f>
        <x:v>0</x:v>
      </x:c>
      <x:c r="N1674" s="24" t="str">
        <x:f>IF(J1674&gt;0,"미수",IF(AND(H1674&gt;0,I1674&gt;=H1674),"완납","미확인"))</x:f>
        <x:v>완납</x:v>
      </x:c>
      <x:c r="O1674" s="31" t="n">
        <x:v>81</x:v>
      </x:c>
    </x:row>
    <x:row r="1675" ht="17.25" customHeight="1">
      <x:c r="A1675" s="24" t="str">
        <x:v>SW-B-248너5286-202503</x:v>
      </x:c>
      <x:c r="B1675" s="24" t="str">
        <x:v>스위치플랜</x:v>
      </x:c>
      <x:c r="C1675" s="24" t="str">
        <x:v>SW-C-248너5286-1-20240223-82</x:v>
      </x:c>
      <x:c r="D1675" s="24" t="str">
        <x:v>248너5286</x:v>
      </x:c>
      <x:c r="E1675" s="24" t="str">
        <x:v>김후집</x:v>
      </x:c>
      <x:c r="F1675" s="24" t="str">
        <x:v>2025-03</x:v>
      </x:c>
      <x:c r="G1675" s="30" t="n">
        <x:v>45741</x:v>
      </x:c>
      <x:c r="H1675" s="32" t="n">
        <x:v>1500000</x:v>
      </x:c>
      <x:c r="I1675" s="32" t="n">
        <x:v>1500000</x:v>
      </x:c>
      <x:c r="J1675" s="32" t="n">
        <x:v>0</x:v>
      </x:c>
      <x:c r="K1675" s="30" t="n">
        <x:v>45741</x:v>
      </x:c>
      <x:c r="L1675" s="24" t="str">
        <x:v>자동</x:v>
      </x:c>
      <x:c r="M1675" s="31" t="n">
        <x:f>IF(AND(N1675="미수",G1675&lt;&gt;"",TODAY()&gt;G1675),TODAY()-G1675,0)</x:f>
        <x:v>0</x:v>
      </x:c>
      <x:c r="N1675" s="24" t="str">
        <x:f>IF(J1675&gt;0,"미수",IF(AND(H1675&gt;0,I1675&gt;=H1675),"완납","미확인"))</x:f>
        <x:v>완납</x:v>
      </x:c>
      <x:c r="O1675" s="31" t="n">
        <x:v>81</x:v>
      </x:c>
    </x:row>
    <x:row r="1676" ht="17.25" customHeight="1">
      <x:c r="A1676" s="24" t="str">
        <x:v>SW-B-248너5286-202502</x:v>
      </x:c>
      <x:c r="B1676" s="24" t="str">
        <x:v>스위치플랜</x:v>
      </x:c>
      <x:c r="C1676" s="24" t="str">
        <x:v>SW-C-248너5286-1-20240223-82</x:v>
      </x:c>
      <x:c r="D1676" s="24" t="str">
        <x:v>248너5286</x:v>
      </x:c>
      <x:c r="E1676" s="24" t="str">
        <x:v>김후집</x:v>
      </x:c>
      <x:c r="F1676" s="24" t="str">
        <x:v>2025-02</x:v>
      </x:c>
      <x:c r="G1676" s="30" t="n">
        <x:v>45713</x:v>
      </x:c>
      <x:c r="H1676" s="32" t="n">
        <x:v>1500000</x:v>
      </x:c>
      <x:c r="I1676" s="32" t="n">
        <x:v>1500000</x:v>
      </x:c>
      <x:c r="J1676" s="32" t="n">
        <x:v>0</x:v>
      </x:c>
      <x:c r="K1676" s="30" t="n">
        <x:v>45713</x:v>
      </x:c>
      <x:c r="L1676" s="24" t="str">
        <x:v>자동</x:v>
      </x:c>
      <x:c r="M1676" s="31" t="n">
        <x:f>IF(AND(N1676="미수",G1676&lt;&gt;"",TODAY()&gt;G1676),TODAY()-G1676,0)</x:f>
        <x:v>0</x:v>
      </x:c>
      <x:c r="N1676" s="24" t="str">
        <x:f>IF(J1676&gt;0,"미수",IF(AND(H1676&gt;0,I1676&gt;=H1676),"완납","미확인"))</x:f>
        <x:v>완납</x:v>
      </x:c>
      <x:c r="O1676" s="31" t="n">
        <x:v>81</x:v>
      </x:c>
    </x:row>
    <x:row r="1677" ht="17.25" customHeight="1">
      <x:c r="A1677" s="24" t="str">
        <x:v>SW-B-248너5286-202501</x:v>
      </x:c>
      <x:c r="B1677" s="24" t="str">
        <x:v>스위치플랜</x:v>
      </x:c>
      <x:c r="C1677" s="24" t="str">
        <x:v>SW-C-248너5286-1-20240223-82</x:v>
      </x:c>
      <x:c r="D1677" s="24" t="str">
        <x:v>248너5286</x:v>
      </x:c>
      <x:c r="E1677" s="24" t="str">
        <x:v>김후집</x:v>
      </x:c>
      <x:c r="F1677" s="24" t="str">
        <x:v>2025-01</x:v>
      </x:c>
      <x:c r="G1677" s="30" t="n">
        <x:v>45682</x:v>
      </x:c>
      <x:c r="H1677" s="32" t="n">
        <x:v>1500000</x:v>
      </x:c>
      <x:c r="I1677" s="32" t="n">
        <x:v>1500000</x:v>
      </x:c>
      <x:c r="J1677" s="32" t="n">
        <x:v>0</x:v>
      </x:c>
      <x:c r="K1677" s="30" t="n">
        <x:v>45688</x:v>
      </x:c>
      <x:c r="L1677" s="24" t="str">
        <x:v>자동</x:v>
      </x:c>
      <x:c r="M1677" s="31" t="n">
        <x:f>IF(AND(N1677="미수",G1677&lt;&gt;"",TODAY()&gt;G1677),TODAY()-G1677,0)</x:f>
        <x:v>0</x:v>
      </x:c>
      <x:c r="N1677" s="24" t="str">
        <x:f>IF(J1677&gt;0,"미수",IF(AND(H1677&gt;0,I1677&gt;=H1677),"완납","미확인"))</x:f>
        <x:v>완납</x:v>
      </x:c>
      <x:c r="O1677" s="31" t="n">
        <x:v>81</x:v>
      </x:c>
    </x:row>
    <x:row r="1678" ht="17.25" customHeight="1">
      <x:c r="A1678" s="24" t="str">
        <x:v>SW-B-248너5286-202412</x:v>
      </x:c>
      <x:c r="B1678" s="24" t="str">
        <x:v>스위치플랜</x:v>
      </x:c>
      <x:c r="C1678" s="24" t="str">
        <x:v>SW-C-248너5286-1-20240223-82</x:v>
      </x:c>
      <x:c r="D1678" s="24" t="str">
        <x:v>248너5286</x:v>
      </x:c>
      <x:c r="E1678" s="24" t="str">
        <x:v>김후집</x:v>
      </x:c>
      <x:c r="F1678" s="24" t="str">
        <x:v>2024-12</x:v>
      </x:c>
      <x:c r="G1678" s="30" t="n">
        <x:v>45651</x:v>
      </x:c>
      <x:c r="H1678" s="32" t="n">
        <x:v>1500000</x:v>
      </x:c>
      <x:c r="I1678" s="32" t="n">
        <x:v>1500000</x:v>
      </x:c>
      <x:c r="J1678" s="32" t="n">
        <x:v>0</x:v>
      </x:c>
      <x:c r="K1678" s="30" t="n">
        <x:v>45652</x:v>
      </x:c>
      <x:c r="L1678" s="24" t="str">
        <x:v>자동</x:v>
      </x:c>
      <x:c r="M1678" s="31" t="n">
        <x:f>IF(AND(N1678="미수",G1678&lt;&gt;"",TODAY()&gt;G1678),TODAY()-G1678,0)</x:f>
        <x:v>0</x:v>
      </x:c>
      <x:c r="N1678" s="24" t="str">
        <x:f>IF(J1678&gt;0,"미수",IF(AND(H1678&gt;0,I1678&gt;=H1678),"완납","미확인"))</x:f>
        <x:v>완납</x:v>
      </x:c>
      <x:c r="O1678" s="31" t="n">
        <x:v>81</x:v>
      </x:c>
    </x:row>
    <x:row r="1679" ht="17.25" customHeight="1">
      <x:c r="A1679" s="24" t="str">
        <x:v>SW-B-248너5286-202411</x:v>
      </x:c>
      <x:c r="B1679" s="24" t="str">
        <x:v>스위치플랜</x:v>
      </x:c>
      <x:c r="C1679" s="24" t="str">
        <x:v>SW-C-248너5286-1-20240223-82</x:v>
      </x:c>
      <x:c r="D1679" s="24" t="str">
        <x:v>248너5286</x:v>
      </x:c>
      <x:c r="E1679" s="24" t="str">
        <x:v>김후집</x:v>
      </x:c>
      <x:c r="F1679" s="24" t="str">
        <x:v>2024-11</x:v>
      </x:c>
      <x:c r="G1679" s="30" t="n">
        <x:v>45621</x:v>
      </x:c>
      <x:c r="H1679" s="32" t="n">
        <x:v>1500000</x:v>
      </x:c>
      <x:c r="I1679" s="32" t="n">
        <x:v>1500000</x:v>
      </x:c>
      <x:c r="J1679" s="32" t="n">
        <x:v>0</x:v>
      </x:c>
      <x:c r="K1679" s="30" t="n">
        <x:v>45621</x:v>
      </x:c>
      <x:c r="L1679" s="24" t="str">
        <x:v>자동</x:v>
      </x:c>
      <x:c r="M1679" s="31" t="n">
        <x:f>IF(AND(N1679="미수",G1679&lt;&gt;"",TODAY()&gt;G1679),TODAY()-G1679,0)</x:f>
        <x:v>0</x:v>
      </x:c>
      <x:c r="N1679" s="24" t="str">
        <x:f>IF(J1679&gt;0,"미수",IF(AND(H1679&gt;0,I1679&gt;=H1679),"완납","미확인"))</x:f>
        <x:v>완납</x:v>
      </x:c>
      <x:c r="O1679" s="31" t="n">
        <x:v>81</x:v>
      </x:c>
    </x:row>
    <x:row r="1680" ht="17.25" customHeight="1">
      <x:c r="A1680" s="24" t="str">
        <x:v>SW-B-248너5286-202410</x:v>
      </x:c>
      <x:c r="B1680" s="24" t="str">
        <x:v>스위치플랜</x:v>
      </x:c>
      <x:c r="C1680" s="24" t="str">
        <x:v>SW-C-248너5286-1-20240223-82</x:v>
      </x:c>
      <x:c r="D1680" s="24" t="str">
        <x:v>248너5286</x:v>
      </x:c>
      <x:c r="E1680" s="24" t="str">
        <x:v>김후집</x:v>
      </x:c>
      <x:c r="F1680" s="24" t="str">
        <x:v>2024-10</x:v>
      </x:c>
      <x:c r="G1680" s="30" t="n">
        <x:v>45590</x:v>
      </x:c>
      <x:c r="H1680" s="32" t="n">
        <x:v>1500000</x:v>
      </x:c>
      <x:c r="I1680" s="32" t="n">
        <x:v>1500000</x:v>
      </x:c>
      <x:c r="J1680" s="32" t="n">
        <x:v>0</x:v>
      </x:c>
      <x:c r="K1680" s="30" t="n">
        <x:v>45590</x:v>
      </x:c>
      <x:c r="L1680" s="24" t="str">
        <x:v>자동</x:v>
      </x:c>
      <x:c r="M1680" s="31" t="n">
        <x:f>IF(AND(N1680="미수",G1680&lt;&gt;"",TODAY()&gt;G1680),TODAY()-G1680,0)</x:f>
        <x:v>0</x:v>
      </x:c>
      <x:c r="N1680" s="24" t="str">
        <x:f>IF(J1680&gt;0,"미수",IF(AND(H1680&gt;0,I1680&gt;=H1680),"완납","미확인"))</x:f>
        <x:v>완납</x:v>
      </x:c>
      <x:c r="O1680" s="31" t="n">
        <x:v>81</x:v>
      </x:c>
    </x:row>
    <x:row r="1681" ht="17.25" customHeight="1">
      <x:c r="A1681" s="24" t="str">
        <x:v>SW-B-248너5286-202409</x:v>
      </x:c>
      <x:c r="B1681" s="24" t="str">
        <x:v>스위치플랜</x:v>
      </x:c>
      <x:c r="C1681" s="24" t="str">
        <x:v>SW-C-248너5286-1-20240223-82</x:v>
      </x:c>
      <x:c r="D1681" s="24" t="str">
        <x:v>248너5286</x:v>
      </x:c>
      <x:c r="E1681" s="24" t="str">
        <x:v>김후집</x:v>
      </x:c>
      <x:c r="F1681" s="24" t="str">
        <x:v>2024-09</x:v>
      </x:c>
      <x:c r="G1681" s="30" t="n">
        <x:v>45560</x:v>
      </x:c>
      <x:c r="H1681" s="32" t="n">
        <x:v>1500000</x:v>
      </x:c>
      <x:c r="I1681" s="32" t="n">
        <x:v>1500000</x:v>
      </x:c>
      <x:c r="J1681" s="32" t="n">
        <x:v>0</x:v>
      </x:c>
      <x:c r="K1681" s="30" t="n">
        <x:v>45560</x:v>
      </x:c>
      <x:c r="L1681" s="24" t="str">
        <x:v>자동</x:v>
      </x:c>
      <x:c r="M1681" s="31" t="n">
        <x:f>IF(AND(N1681="미수",G1681&lt;&gt;"",TODAY()&gt;G1681),TODAY()-G1681,0)</x:f>
        <x:v>0</x:v>
      </x:c>
      <x:c r="N1681" s="24" t="str">
        <x:f>IF(J1681&gt;0,"미수",IF(AND(H1681&gt;0,I1681&gt;=H1681),"완납","미확인"))</x:f>
        <x:v>완납</x:v>
      </x:c>
      <x:c r="O1681" s="31" t="n">
        <x:v>81</x:v>
      </x:c>
    </x:row>
    <x:row r="1682" ht="17.25" customHeight="1">
      <x:c r="A1682" s="24" t="str">
        <x:v>SW-B-248너5286-202408</x:v>
      </x:c>
      <x:c r="B1682" s="24" t="str">
        <x:v>스위치플랜</x:v>
      </x:c>
      <x:c r="C1682" s="24" t="str">
        <x:v>SW-C-248너5286-1-20240223-82</x:v>
      </x:c>
      <x:c r="D1682" s="24" t="str">
        <x:v>248너5286</x:v>
      </x:c>
      <x:c r="E1682" s="24" t="str">
        <x:v>김후집</x:v>
      </x:c>
      <x:c r="F1682" s="24" t="str">
        <x:v>2024-08</x:v>
      </x:c>
      <x:c r="G1682" s="30" t="n">
        <x:v>45529</x:v>
      </x:c>
      <x:c r="H1682" s="32" t="n">
        <x:v>1500000</x:v>
      </x:c>
      <x:c r="I1682" s="32" t="n">
        <x:v>1500000</x:v>
      </x:c>
      <x:c r="J1682" s="32" t="n">
        <x:v>0</x:v>
      </x:c>
      <x:c r="K1682" s="30" t="n">
        <x:v>45529</x:v>
      </x:c>
      <x:c r="L1682" s="24" t="str">
        <x:v>자동</x:v>
      </x:c>
      <x:c r="M1682" s="31" t="n">
        <x:f>IF(AND(N1682="미수",G1682&lt;&gt;"",TODAY()&gt;G1682),TODAY()-G1682,0)</x:f>
        <x:v>0</x:v>
      </x:c>
      <x:c r="N1682" s="24" t="str">
        <x:f>IF(J1682&gt;0,"미수",IF(AND(H1682&gt;0,I1682&gt;=H1682),"완납","미확인"))</x:f>
        <x:v>완납</x:v>
      </x:c>
      <x:c r="O1682" s="31" t="n">
        <x:v>81</x:v>
      </x:c>
    </x:row>
    <x:row r="1683" ht="17.25" customHeight="1">
      <x:c r="A1683" s="24" t="str">
        <x:v>SW-B-248너5286-202407</x:v>
      </x:c>
      <x:c r="B1683" s="24" t="str">
        <x:v>스위치플랜</x:v>
      </x:c>
      <x:c r="C1683" s="24" t="str">
        <x:v>SW-C-248너5286-1-20240223-82</x:v>
      </x:c>
      <x:c r="D1683" s="24" t="str">
        <x:v>248너5286</x:v>
      </x:c>
      <x:c r="E1683" s="24" t="str">
        <x:v>김후집</x:v>
      </x:c>
      <x:c r="F1683" s="24" t="str">
        <x:v>2024-07</x:v>
      </x:c>
      <x:c r="G1683" s="30" t="n">
        <x:v>45498</x:v>
      </x:c>
      <x:c r="H1683" s="32" t="n">
        <x:v>1500000</x:v>
      </x:c>
      <x:c r="I1683" s="32" t="n">
        <x:v>1500000</x:v>
      </x:c>
      <x:c r="J1683" s="32" t="n">
        <x:v>0</x:v>
      </x:c>
      <x:c r="K1683" s="30" t="n">
        <x:v>45498</x:v>
      </x:c>
      <x:c r="L1683" s="24" t="str">
        <x:v>자동</x:v>
      </x:c>
      <x:c r="M1683" s="31" t="n">
        <x:f>IF(AND(N1683="미수",G1683&lt;&gt;"",TODAY()&gt;G1683),TODAY()-G1683,0)</x:f>
        <x:v>0</x:v>
      </x:c>
      <x:c r="N1683" s="24" t="str">
        <x:f>IF(J1683&gt;0,"미수",IF(AND(H1683&gt;0,I1683&gt;=H1683),"완납","미확인"))</x:f>
        <x:v>완납</x:v>
      </x:c>
      <x:c r="O1683" s="31" t="n">
        <x:v>81</x:v>
      </x:c>
    </x:row>
    <x:row r="1684" ht="17.25" customHeight="1">
      <x:c r="A1684" s="24" t="str">
        <x:v>SW-B-248너5286-202406</x:v>
      </x:c>
      <x:c r="B1684" s="24" t="str">
        <x:v>스위치플랜</x:v>
      </x:c>
      <x:c r="C1684" s="24" t="str">
        <x:v>SW-C-248너5286-1-20240223-82</x:v>
      </x:c>
      <x:c r="D1684" s="24" t="str">
        <x:v>248너5286</x:v>
      </x:c>
      <x:c r="E1684" s="24" t="str">
        <x:v>김후집</x:v>
      </x:c>
      <x:c r="F1684" s="24" t="str">
        <x:v>2024-06</x:v>
      </x:c>
      <x:c r="G1684" s="30" t="n">
        <x:v>45468</x:v>
      </x:c>
      <x:c r="H1684" s="32" t="n">
        <x:v>1500000</x:v>
      </x:c>
      <x:c r="I1684" s="32" t="n">
        <x:v>1500000</x:v>
      </x:c>
      <x:c r="J1684" s="32" t="n">
        <x:v>0</x:v>
      </x:c>
      <x:c r="K1684" s="30" t="n">
        <x:v>45468</x:v>
      </x:c>
      <x:c r="L1684" s="24" t="str">
        <x:v>자동</x:v>
      </x:c>
      <x:c r="M1684" s="31" t="n">
        <x:f>IF(AND(N1684="미수",G1684&lt;&gt;"",TODAY()&gt;G1684),TODAY()-G1684,0)</x:f>
        <x:v>0</x:v>
      </x:c>
      <x:c r="N1684" s="24" t="str">
        <x:f>IF(J1684&gt;0,"미수",IF(AND(H1684&gt;0,I1684&gt;=H1684),"완납","미확인"))</x:f>
        <x:v>완납</x:v>
      </x:c>
      <x:c r="O1684" s="31" t="n">
        <x:v>81</x:v>
      </x:c>
    </x:row>
    <x:row r="1685" ht="17.25" customHeight="1">
      <x:c r="A1685" s="24" t="str">
        <x:v>SW-B-248너5286-202405</x:v>
      </x:c>
      <x:c r="B1685" s="24" t="str">
        <x:v>스위치플랜</x:v>
      </x:c>
      <x:c r="C1685" s="24" t="str">
        <x:v>SW-C-248너5286-1-20240223-82</x:v>
      </x:c>
      <x:c r="D1685" s="24" t="str">
        <x:v>248너5286</x:v>
      </x:c>
      <x:c r="E1685" s="24" t="str">
        <x:v>김후집</x:v>
      </x:c>
      <x:c r="F1685" s="24" t="str">
        <x:v>2024-05</x:v>
      </x:c>
      <x:c r="G1685" s="30" t="n">
        <x:v>45437</x:v>
      </x:c>
      <x:c r="H1685" s="32" t="n">
        <x:v>1500000</x:v>
      </x:c>
      <x:c r="I1685" s="32" t="n">
        <x:v>1500000</x:v>
      </x:c>
      <x:c r="J1685" s="32" t="n">
        <x:v>0</x:v>
      </x:c>
      <x:c r="K1685" s="30" t="n">
        <x:v>45437</x:v>
      </x:c>
      <x:c r="L1685" s="24" t="str">
        <x:v>자동</x:v>
      </x:c>
      <x:c r="M1685" s="31" t="n">
        <x:f>IF(AND(N1685="미수",G1685&lt;&gt;"",TODAY()&gt;G1685),TODAY()-G1685,0)</x:f>
        <x:v>0</x:v>
      </x:c>
      <x:c r="N1685" s="24" t="str">
        <x:f>IF(J1685&gt;0,"미수",IF(AND(H1685&gt;0,I1685&gt;=H1685),"완납","미확인"))</x:f>
        <x:v>완납</x:v>
      </x:c>
      <x:c r="O1685" s="31" t="n">
        <x:v>81</x:v>
      </x:c>
    </x:row>
    <x:row r="1686" ht="17.25" customHeight="1">
      <x:c r="A1686" s="24" t="str">
        <x:v>SW-B-248너5286-202404</x:v>
      </x:c>
      <x:c r="B1686" s="24" t="str">
        <x:v>스위치플랜</x:v>
      </x:c>
      <x:c r="C1686" s="24" t="str">
        <x:v>SW-C-248너5286-1-20240223-82</x:v>
      </x:c>
      <x:c r="D1686" s="24" t="str">
        <x:v>248너5286</x:v>
      </x:c>
      <x:c r="E1686" s="24" t="str">
        <x:v>김후집</x:v>
      </x:c>
      <x:c r="F1686" s="24" t="str">
        <x:v>2024-04</x:v>
      </x:c>
      <x:c r="G1686" s="30" t="n">
        <x:v>45407</x:v>
      </x:c>
      <x:c r="H1686" s="32" t="n">
        <x:v>1500000</x:v>
      </x:c>
      <x:c r="I1686" s="32" t="n">
        <x:v>1500000</x:v>
      </x:c>
      <x:c r="J1686" s="32" t="n">
        <x:v>0</x:v>
      </x:c>
      <x:c r="K1686" s="30" t="n">
        <x:v>45407</x:v>
      </x:c>
      <x:c r="L1686" s="24" t="str">
        <x:v>자동</x:v>
      </x:c>
      <x:c r="M1686" s="31" t="n">
        <x:f>IF(AND(N1686="미수",G1686&lt;&gt;"",TODAY()&gt;G1686),TODAY()-G1686,0)</x:f>
        <x:v>0</x:v>
      </x:c>
      <x:c r="N1686" s="24" t="str">
        <x:f>IF(J1686&gt;0,"미수",IF(AND(H1686&gt;0,I1686&gt;=H1686),"완납","미확인"))</x:f>
        <x:v>완납</x:v>
      </x:c>
      <x:c r="O1686" s="31" t="n">
        <x:v>81</x:v>
      </x:c>
    </x:row>
    <x:row r="1687" ht="17.25" customHeight="1">
      <x:c r="A1687" s="24" t="str">
        <x:v>SW-B-248너5286-202403</x:v>
      </x:c>
      <x:c r="B1687" s="24" t="str">
        <x:v>스위치플랜</x:v>
      </x:c>
      <x:c r="C1687" s="24" t="str">
        <x:v>SW-C-248너5286-1-20240223-82</x:v>
      </x:c>
      <x:c r="D1687" s="24" t="str">
        <x:v>248너5286</x:v>
      </x:c>
      <x:c r="E1687" s="24" t="str">
        <x:v>김후집</x:v>
      </x:c>
      <x:c r="F1687" s="24" t="str">
        <x:v>2024-03</x:v>
      </x:c>
      <x:c r="G1687" s="30" t="n">
        <x:v>45376</x:v>
      </x:c>
      <x:c r="H1687" s="32" t="n">
        <x:v>1500000</x:v>
      </x:c>
      <x:c r="I1687" s="32" t="n">
        <x:v>1500000</x:v>
      </x:c>
      <x:c r="J1687" s="32" t="n">
        <x:v>0</x:v>
      </x:c>
      <x:c r="K1687" s="30" t="n">
        <x:v>45376</x:v>
      </x:c>
      <x:c r="L1687" s="24" t="str">
        <x:v>자동</x:v>
      </x:c>
      <x:c r="M1687" s="31" t="n">
        <x:f>IF(AND(N1687="미수",G1687&lt;&gt;"",TODAY()&gt;G1687),TODAY()-G1687,0)</x:f>
        <x:v>0</x:v>
      </x:c>
      <x:c r="N1687" s="24" t="str">
        <x:f>IF(J1687&gt;0,"미수",IF(AND(H1687&gt;0,I1687&gt;=H1687),"완납","미확인"))</x:f>
        <x:v>완납</x:v>
      </x:c>
      <x:c r="O1687" s="31" t="n">
        <x:v>81</x:v>
      </x:c>
    </x:row>
    <x:row r="1688" ht="17.25" customHeight="1">
      <x:c r="A1688" s="24" t="str">
        <x:v>SW-B-248너5286-202402</x:v>
      </x:c>
      <x:c r="B1688" s="24" t="str">
        <x:v>스위치플랜</x:v>
      </x:c>
      <x:c r="C1688" s="24" t="str">
        <x:v>SW-C-248너5286-1-20240223-82</x:v>
      </x:c>
      <x:c r="D1688" s="24" t="str">
        <x:v>248너5286</x:v>
      </x:c>
      <x:c r="E1688" s="24" t="str">
        <x:v>김후집</x:v>
      </x:c>
      <x:c r="F1688" s="24" t="str">
        <x:v>2024-02</x:v>
      </x:c>
      <x:c r="G1688" s="30" t="n">
        <x:v>45347</x:v>
      </x:c>
      <x:c r="H1688" s="32" t="n">
        <x:v>1500000</x:v>
      </x:c>
      <x:c r="I1688" s="32" t="n">
        <x:v>1500000</x:v>
      </x:c>
      <x:c r="J1688" s="32" t="n">
        <x:v>0</x:v>
      </x:c>
      <x:c r="K1688" s="30" t="n">
        <x:v>45335</x:v>
      </x:c>
      <x:c r="L1688" s="24" t="str">
        <x:v>입금</x:v>
      </x:c>
      <x:c r="M1688" s="31" t="n">
        <x:f>IF(AND(N1688="미수",G1688&lt;&gt;"",TODAY()&gt;G1688),TODAY()-G1688,0)</x:f>
        <x:v>0</x:v>
      </x:c>
      <x:c r="N1688" s="24" t="str">
        <x:f>IF(J1688&gt;0,"미수",IF(AND(H1688&gt;0,I1688&gt;=H1688),"완납","미확인"))</x:f>
        <x:v>완납</x:v>
      </x:c>
      <x:c r="O1688" s="31" t="n">
        <x:v>81</x:v>
      </x:c>
    </x:row>
    <x:row r="1689" ht="17.25" customHeight="1">
      <x:c r="A1689" s="24" t="str">
        <x:v>SW-B-350수9623-202608</x:v>
      </x:c>
      <x:c r="B1689" s="24" t="str">
        <x:v>스위치플랜</x:v>
      </x:c>
      <x:c r="C1689" s="24" t="str">
        <x:v>SW-C-350수9623-1-20260504-83</x:v>
      </x:c>
      <x:c r="D1689" s="24" t="str">
        <x:v>350수9623</x:v>
      </x:c>
      <x:c r="E1689" s="24" t="str">
        <x:v>청산물류</x:v>
      </x:c>
      <x:c r="F1689" s="24" t="str">
        <x:v>2026-08</x:v>
      </x:c>
      <x:c r="G1689" s="30" t="n">
        <x:v>46239</x:v>
      </x:c>
      <x:c r="H1689" s="32" t="n">
        <x:v>1230000</x:v>
      </x:c>
      <x:c r="I1689" s="32" t="n">
        <x:v>1230000</x:v>
      </x:c>
      <x:c r="J1689" s="32" t="n">
        <x:v>0</x:v>
      </x:c>
      <x:c r="K1689" s="30" t="n">
        <x:v>46239</x:v>
      </x:c>
      <x:c r="L1689" s="24" t="str">
        <x:v>자동</x:v>
      </x:c>
      <x:c r="M1689" s="31" t="n">
        <x:f>IF(AND(N1689="미수",G1689&lt;&gt;"",TODAY()&gt;G1689),TODAY()-G1689,0)</x:f>
        <x:v>0</x:v>
      </x:c>
      <x:c r="N1689" s="24" t="str">
        <x:f>IF(J1689&gt;0,"미수",IF(AND(H1689&gt;0,I1689&gt;=H1689),"완납","미확인"))</x:f>
        <x:v>완납</x:v>
      </x:c>
      <x:c r="O1689" s="31" t="n">
        <x:v>82</x:v>
      </x:c>
    </x:row>
    <x:row r="1690" ht="17.25" customHeight="1">
      <x:c r="A1690" s="24" t="str">
        <x:v>SW-B-350수9623-202607</x:v>
      </x:c>
      <x:c r="B1690" s="24" t="str">
        <x:v>스위치플랜</x:v>
      </x:c>
      <x:c r="C1690" s="24" t="str">
        <x:v>SW-C-350수9623-1-20260504-83</x:v>
      </x:c>
      <x:c r="D1690" s="24" t="str">
        <x:v>350수9623</x:v>
      </x:c>
      <x:c r="E1690" s="24" t="str">
        <x:v>청산물류</x:v>
      </x:c>
      <x:c r="F1690" s="24" t="str">
        <x:v>2026-07</x:v>
      </x:c>
      <x:c r="G1690" s="30" t="n">
        <x:v>46208</x:v>
      </x:c>
      <x:c r="H1690" s="32" t="n">
        <x:v>1230000</x:v>
      </x:c>
      <x:c r="I1690" s="32" t="n">
        <x:v>500000</x:v>
      </x:c>
      <x:c r="J1690" s="32" t="n">
        <x:v>0</x:v>
      </x:c>
      <x:c r="K1690" s="30" t="n">
        <x:v>46219</x:v>
      </x:c>
      <x:c r="L1690" s="24" t="str">
        <x:v>입금</x:v>
      </x:c>
      <x:c r="M1690" s="31" t="n">
        <x:f>IF(AND(N1690="미수",G1690&lt;&gt;"",TODAY()&gt;G1690),TODAY()-G1690,0)</x:f>
        <x:v>0</x:v>
      </x:c>
      <x:c r="N1690" s="24" t="str">
        <x:f>IF(J1690&gt;0,"미수",IF(AND(H1690&gt;0,I1690&gt;=H1690),"완납","미확인"))</x:f>
        <x:v>미확인</x:v>
      </x:c>
      <x:c r="O1690" s="31" t="n">
        <x:v>82</x:v>
      </x:c>
    </x:row>
    <x:row r="1691" ht="17.25" customHeight="1">
      <x:c r="A1691" s="24" t="str">
        <x:v>SW-B-350수9623-202606</x:v>
      </x:c>
      <x:c r="B1691" s="24" t="str">
        <x:v>스위치플랜</x:v>
      </x:c>
      <x:c r="C1691" s="24" t="str">
        <x:v>SW-C-350수9623-1-20260504-83</x:v>
      </x:c>
      <x:c r="D1691" s="24" t="str">
        <x:v>350수9623</x:v>
      </x:c>
      <x:c r="E1691" s="24" t="str">
        <x:v>청산물류</x:v>
      </x:c>
      <x:c r="F1691" s="24" t="str">
        <x:v>2026-06</x:v>
      </x:c>
      <x:c r="G1691" s="30" t="n">
        <x:v>46178</x:v>
      </x:c>
      <x:c r="H1691" s="32" t="n">
        <x:v>1230000</x:v>
      </x:c>
      <x:c r="I1691" s="32" t="n">
        <x:v>1860000</x:v>
      </x:c>
      <x:c r="J1691" s="32" t="n">
        <x:v>-730000</x:v>
      </x:c>
      <x:c r="K1691" s="30" t="n">
        <x:v>46178</x:v>
      </x:c>
      <x:c r="L1691" s="24" t="str">
        <x:v>입금</x:v>
      </x:c>
      <x:c r="M1691" s="31" t="n">
        <x:f>IF(AND(N1691="미수",G1691&lt;&gt;"",TODAY()&gt;G1691),TODAY()-G1691,0)</x:f>
        <x:v>0</x:v>
      </x:c>
      <x:c r="N1691" s="24" t="str">
        <x:f>IF(J1691&gt;0,"미수",IF(AND(H1691&gt;0,I1691&gt;=H1691),"완납","미확인"))</x:f>
        <x:v>완납</x:v>
      </x:c>
      <x:c r="O1691" s="31" t="n">
        <x:v>82</x:v>
      </x:c>
    </x:row>
    <x:row r="1692" ht="17.25" customHeight="1">
      <x:c r="A1692" s="24" t="str">
        <x:v>SW-B-350수9623-202605</x:v>
      </x:c>
      <x:c r="B1692" s="24" t="str">
        <x:v>스위치플랜</x:v>
      </x:c>
      <x:c r="C1692" s="24" t="str">
        <x:v>SW-C-350수9623-1-20260504-83</x:v>
      </x:c>
      <x:c r="D1692" s="24" t="str">
        <x:v>350수9623</x:v>
      </x:c>
      <x:c r="E1692" s="24" t="str">
        <x:v>청산물류</x:v>
      </x:c>
      <x:c r="F1692" s="24" t="str">
        <x:v>2026-05</x:v>
      </x:c>
      <x:c r="G1692" s="30" t="n">
        <x:v>46147</x:v>
      </x:c>
      <x:c r="H1692" s="32" t="n">
        <x:v>0</x:v>
      </x:c>
      <x:c r="I1692" s="32"/>
      <x:c r="J1692" s="32" t="n">
        <x:v>-100000</x:v>
      </x:c>
      <x:c r="K1692" s="30"/>
      <x:c r="L1692" s="24" t="str"/>
      <x:c r="M1692" s="31" t="n">
        <x:f>IF(AND(N1692="미수",G1692&lt;&gt;"",TODAY()&gt;G1692),TODAY()-G1692,0)</x:f>
        <x:v>0</x:v>
      </x:c>
      <x:c r="N1692" s="24" t="str">
        <x:f>IF(J1692&gt;0,"미수",IF(AND(H1692&gt;0,I1692&gt;=H1692),"완납","미확인"))</x:f>
        <x:v>미확인</x:v>
      </x:c>
      <x:c r="O1692" s="31" t="n">
        <x:v>82</x:v>
      </x:c>
    </x:row>
    <x:row r="1693" ht="17.25" customHeight="1">
      <x:c r="A1693" s="24" t="str">
        <x:v>SW-B-350수9623-202604</x:v>
      </x:c>
      <x:c r="B1693" s="24" t="str">
        <x:v>스위치플랜</x:v>
      </x:c>
      <x:c r="C1693" s="24" t="str">
        <x:v>SW-C-350수9623-2-NA-83</x:v>
      </x:c>
      <x:c r="D1693" s="24" t="str">
        <x:v>350수9623</x:v>
      </x:c>
      <x:c r="E1693" s="24" t="str">
        <x:v>청산물류</x:v>
      </x:c>
      <x:c r="F1693" s="24" t="str">
        <x:v>2026-04</x:v>
      </x:c>
      <x:c r="G1693" s="30" t="n">
        <x:v>46117</x:v>
      </x:c>
      <x:c r="H1693" s="32" t="n">
        <x:v>0</x:v>
      </x:c>
      <x:c r="I1693" s="32" t="n">
        <x:v>100000</x:v>
      </x:c>
      <x:c r="J1693" s="32" t="n">
        <x:v>-100000</x:v>
      </x:c>
      <x:c r="K1693" s="30" t="n">
        <x:v>46128</x:v>
      </x:c>
      <x:c r="L1693" s="24" t="str">
        <x:v>입금</x:v>
      </x:c>
      <x:c r="M1693" s="31" t="n">
        <x:f>IF(AND(N1693="미수",G1693&lt;&gt;"",TODAY()&gt;G1693),TODAY()-G1693,0)</x:f>
        <x:v>0</x:v>
      </x:c>
      <x:c r="N1693" s="24" t="str">
        <x:f>IF(J1693&gt;0,"미수",IF(AND(H1693&gt;0,I1693&gt;=H1693),"완납","미확인"))</x:f>
        <x:v>미확인</x:v>
      </x:c>
      <x:c r="O1693" s="31" t="n">
        <x:v>82</x:v>
      </x:c>
    </x:row>
    <x:row r="1694" ht="17.25" customHeight="1">
      <x:c r="A1694" s="24" t="str">
        <x:v>SW-B-350수9623-202603</x:v>
      </x:c>
      <x:c r="B1694" s="24" t="str">
        <x:v>스위치플랜</x:v>
      </x:c>
      <x:c r="C1694" s="24" t="str">
        <x:v>SW-C-350수9623-2-NA-83</x:v>
      </x:c>
      <x:c r="D1694" s="24" t="str">
        <x:v>350수9623</x:v>
      </x:c>
      <x:c r="E1694" s="24" t="str">
        <x:v>청산물류</x:v>
      </x:c>
      <x:c r="F1694" s="24" t="str">
        <x:v>2026-03</x:v>
      </x:c>
      <x:c r="G1694" s="30" t="n">
        <x:v>46086</x:v>
      </x:c>
      <x:c r="H1694" s="32" t="n">
        <x:v>0</x:v>
      </x:c>
      <x:c r="I1694" s="32"/>
      <x:c r="J1694" s="32" t="n">
        <x:v>0</x:v>
      </x:c>
      <x:c r="K1694" s="30"/>
      <x:c r="L1694" s="24" t="str"/>
      <x:c r="M1694" s="31" t="n">
        <x:f>IF(AND(N1694="미수",G1694&lt;&gt;"",TODAY()&gt;G1694),TODAY()-G1694,0)</x:f>
        <x:v>0</x:v>
      </x:c>
      <x:c r="N1694" s="24" t="str">
        <x:f>IF(J1694&gt;0,"미수",IF(AND(H1694&gt;0,I1694&gt;=H1694),"완납","미확인"))</x:f>
        <x:v>미확인</x:v>
      </x:c>
      <x:c r="O1694" s="31" t="n">
        <x:v>82</x:v>
      </x:c>
    </x:row>
    <x:row r="1695" ht="17.25" customHeight="1">
      <x:c r="A1695" s="24" t="str">
        <x:v>SW-B-350수9623-202602</x:v>
      </x:c>
      <x:c r="B1695" s="24" t="str">
        <x:v>스위치플랜</x:v>
      </x:c>
      <x:c r="C1695" s="24" t="str">
        <x:v>SW-C-350수9623-2-NA-83</x:v>
      </x:c>
      <x:c r="D1695" s="24" t="str">
        <x:v>350수9623</x:v>
      </x:c>
      <x:c r="E1695" s="24" t="str">
        <x:v>청산물류</x:v>
      </x:c>
      <x:c r="F1695" s="24" t="str">
        <x:v>2026-02</x:v>
      </x:c>
      <x:c r="G1695" s="30" t="n">
        <x:v>46058</x:v>
      </x:c>
      <x:c r="H1695" s="32" t="n">
        <x:v>0</x:v>
      </x:c>
      <x:c r="I1695" s="32"/>
      <x:c r="J1695" s="32" t="n">
        <x:v>0</x:v>
      </x:c>
      <x:c r="K1695" s="30"/>
      <x:c r="L1695" s="24" t="str"/>
      <x:c r="M1695" s="31" t="n">
        <x:f>IF(AND(N1695="미수",G1695&lt;&gt;"",TODAY()&gt;G1695),TODAY()-G1695,0)</x:f>
        <x:v>0</x:v>
      </x:c>
      <x:c r="N1695" s="24" t="str">
        <x:f>IF(J1695&gt;0,"미수",IF(AND(H1695&gt;0,I1695&gt;=H1695),"완납","미확인"))</x:f>
        <x:v>미확인</x:v>
      </x:c>
      <x:c r="O1695" s="31" t="n">
        <x:v>82</x:v>
      </x:c>
    </x:row>
    <x:row r="1696" ht="17.25" customHeight="1">
      <x:c r="A1696" s="24" t="str">
        <x:v>SW-B-350수9623-202507</x:v>
      </x:c>
      <x:c r="B1696" s="24" t="str">
        <x:v>스위치플랜</x:v>
      </x:c>
      <x:c r="C1696" s="24" t="str">
        <x:v>SW-C-350수9623-2-NA-83</x:v>
      </x:c>
      <x:c r="D1696" s="24" t="str">
        <x:v>350수9623</x:v>
      </x:c>
      <x:c r="E1696" s="24" t="str">
        <x:v>청산물류</x:v>
      </x:c>
      <x:c r="F1696" s="24" t="str">
        <x:v>2025-07</x:v>
      </x:c>
      <x:c r="G1696" s="30" t="n">
        <x:v>45843</x:v>
      </x:c>
      <x:c r="H1696" s="32" t="n">
        <x:v>1600000</x:v>
      </x:c>
      <x:c r="I1696" s="32" t="n">
        <x:v>1600000</x:v>
      </x:c>
      <x:c r="J1696" s="32" t="n">
        <x:v>0</x:v>
      </x:c>
      <x:c r="K1696" s="30" t="n">
        <x:v>45869</x:v>
      </x:c>
      <x:c r="L1696" s="24" t="str">
        <x:v>입금</x:v>
      </x:c>
      <x:c r="M1696" s="31" t="n">
        <x:f>IF(AND(N1696="미수",G1696&lt;&gt;"",TODAY()&gt;G1696),TODAY()-G1696,0)</x:f>
        <x:v>0</x:v>
      </x:c>
      <x:c r="N1696" s="24" t="str">
        <x:f>IF(J1696&gt;0,"미수",IF(AND(H1696&gt;0,I1696&gt;=H1696),"완납","미확인"))</x:f>
        <x:v>완납</x:v>
      </x:c>
      <x:c r="O1696" s="31" t="n">
        <x:v>82</x:v>
      </x:c>
    </x:row>
    <x:row r="1697" ht="17.25" customHeight="1">
      <x:c r="A1697" s="24" t="str">
        <x:v>SW-B-350수9623-202506</x:v>
      </x:c>
      <x:c r="B1697" s="24" t="str">
        <x:v>스위치플랜</x:v>
      </x:c>
      <x:c r="C1697" s="24" t="str">
        <x:v>SW-C-350수9623-2-NA-83</x:v>
      </x:c>
      <x:c r="D1697" s="24" t="str">
        <x:v>350수9623</x:v>
      </x:c>
      <x:c r="E1697" s="24" t="str">
        <x:v>청산물류</x:v>
      </x:c>
      <x:c r="F1697" s="24" t="str">
        <x:v>2025-06</x:v>
      </x:c>
      <x:c r="G1697" s="30" t="n">
        <x:v>45813</x:v>
      </x:c>
      <x:c r="H1697" s="32" t="n">
        <x:v>1600000</x:v>
      </x:c>
      <x:c r="I1697" s="32" t="n">
        <x:v>1600000</x:v>
      </x:c>
      <x:c r="J1697" s="32" t="n">
        <x:v>0</x:v>
      </x:c>
      <x:c r="K1697" s="30" t="n">
        <x:v>45832</x:v>
      </x:c>
      <x:c r="L1697" s="24" t="str">
        <x:v>입금</x:v>
      </x:c>
      <x:c r="M1697" s="31" t="n">
        <x:f>IF(AND(N1697="미수",G1697&lt;&gt;"",TODAY()&gt;G1697),TODAY()-G1697,0)</x:f>
        <x:v>0</x:v>
      </x:c>
      <x:c r="N1697" s="24" t="str">
        <x:f>IF(J1697&gt;0,"미수",IF(AND(H1697&gt;0,I1697&gt;=H1697),"완납","미확인"))</x:f>
        <x:v>완납</x:v>
      </x:c>
      <x:c r="O1697" s="31" t="n">
        <x:v>82</x:v>
      </x:c>
    </x:row>
    <x:row r="1698" ht="17.25" customHeight="1">
      <x:c r="A1698" s="24" t="str">
        <x:v>SW-B-350수9623-202505</x:v>
      </x:c>
      <x:c r="B1698" s="24" t="str">
        <x:v>스위치플랜</x:v>
      </x:c>
      <x:c r="C1698" s="24" t="str">
        <x:v>SW-C-350수9623-2-NA-83</x:v>
      </x:c>
      <x:c r="D1698" s="24" t="str">
        <x:v>350수9623</x:v>
      </x:c>
      <x:c r="E1698" s="24" t="str">
        <x:v>청산물류</x:v>
      </x:c>
      <x:c r="F1698" s="24" t="str">
        <x:v>2025-05</x:v>
      </x:c>
      <x:c r="G1698" s="30" t="n">
        <x:v>45782</x:v>
      </x:c>
      <x:c r="H1698" s="32" t="n">
        <x:v>1840000</x:v>
      </x:c>
      <x:c r="I1698" s="32" t="n">
        <x:v>1840000</x:v>
      </x:c>
      <x:c r="J1698" s="32" t="n">
        <x:v>0</x:v>
      </x:c>
      <x:c r="K1698" s="30" t="n">
        <x:v>45802</x:v>
      </x:c>
      <x:c r="L1698" s="24" t="str">
        <x:v>입금</x:v>
      </x:c>
      <x:c r="M1698" s="31" t="n">
        <x:f>IF(AND(N1698="미수",G1698&lt;&gt;"",TODAY()&gt;G1698),TODAY()-G1698,0)</x:f>
        <x:v>0</x:v>
      </x:c>
      <x:c r="N1698" s="24" t="str">
        <x:f>IF(J1698&gt;0,"미수",IF(AND(H1698&gt;0,I1698&gt;=H1698),"완납","미확인"))</x:f>
        <x:v>완납</x:v>
      </x:c>
      <x:c r="O1698" s="31" t="n">
        <x:v>82</x:v>
      </x:c>
    </x:row>
    <x:row r="1699" ht="17.25" customHeight="1">
      <x:c r="A1699" s="24" t="str">
        <x:v>SW-B-350수9623-202504</x:v>
      </x:c>
      <x:c r="B1699" s="24" t="str">
        <x:v>스위치플랜</x:v>
      </x:c>
      <x:c r="C1699" s="24" t="str">
        <x:v>SW-C-350수9623-2-NA-83</x:v>
      </x:c>
      <x:c r="D1699" s="24" t="str">
        <x:v>350수9623</x:v>
      </x:c>
      <x:c r="E1699" s="24" t="str">
        <x:v>청산물류</x:v>
      </x:c>
      <x:c r="F1699" s="24" t="str">
        <x:v>2025-04</x:v>
      </x:c>
      <x:c r="G1699" s="30" t="n">
        <x:v>45752</x:v>
      </x:c>
      <x:c r="H1699" s="32" t="n">
        <x:v>1840000</x:v>
      </x:c>
      <x:c r="I1699" s="32" t="n">
        <x:v>1840000</x:v>
      </x:c>
      <x:c r="J1699" s="32" t="n">
        <x:v>0</x:v>
      </x:c>
      <x:c r="K1699" s="30" t="n">
        <x:v>45775</x:v>
      </x:c>
      <x:c r="L1699" s="24" t="str">
        <x:v>입금</x:v>
      </x:c>
      <x:c r="M1699" s="31" t="n">
        <x:f>IF(AND(N1699="미수",G1699&lt;&gt;"",TODAY()&gt;G1699),TODAY()-G1699,0)</x:f>
        <x:v>0</x:v>
      </x:c>
      <x:c r="N1699" s="24" t="str">
        <x:f>IF(J1699&gt;0,"미수",IF(AND(H1699&gt;0,I1699&gt;=H1699),"완납","미확인"))</x:f>
        <x:v>완납</x:v>
      </x:c>
      <x:c r="O1699" s="31" t="n">
        <x:v>82</x:v>
      </x:c>
    </x:row>
    <x:row r="1700" ht="17.25" customHeight="1">
      <x:c r="A1700" s="24" t="str">
        <x:v>SW-B-350수9623-202503</x:v>
      </x:c>
      <x:c r="B1700" s="24" t="str">
        <x:v>스위치플랜</x:v>
      </x:c>
      <x:c r="C1700" s="24" t="str">
        <x:v>SW-C-350수9623-2-NA-83</x:v>
      </x:c>
      <x:c r="D1700" s="24" t="str">
        <x:v>350수9623</x:v>
      </x:c>
      <x:c r="E1700" s="24" t="str">
        <x:v>청산물류</x:v>
      </x:c>
      <x:c r="F1700" s="24" t="str">
        <x:v>2025-03</x:v>
      </x:c>
      <x:c r="G1700" s="30" t="n">
        <x:v>45721</x:v>
      </x:c>
      <x:c r="H1700" s="32" t="n">
        <x:v>1840000</x:v>
      </x:c>
      <x:c r="I1700" s="32" t="n">
        <x:v>1840000</x:v>
      </x:c>
      <x:c r="J1700" s="32" t="n">
        <x:v>0</x:v>
      </x:c>
      <x:c r="K1700" s="30" t="n">
        <x:v>45742</x:v>
      </x:c>
      <x:c r="L1700" s="24" t="str">
        <x:v>입금</x:v>
      </x:c>
      <x:c r="M1700" s="31" t="n">
        <x:f>IF(AND(N1700="미수",G1700&lt;&gt;"",TODAY()&gt;G1700),TODAY()-G1700,0)</x:f>
        <x:v>0</x:v>
      </x:c>
      <x:c r="N1700" s="24" t="str">
        <x:f>IF(J1700&gt;0,"미수",IF(AND(H1700&gt;0,I1700&gt;=H1700),"완납","미확인"))</x:f>
        <x:v>완납</x:v>
      </x:c>
      <x:c r="O1700" s="31" t="n">
        <x:v>82</x:v>
      </x:c>
    </x:row>
    <x:row r="1701" ht="17.25" customHeight="1">
      <x:c r="A1701" s="24" t="str">
        <x:v>SW-B-350수9623-202502</x:v>
      </x:c>
      <x:c r="B1701" s="24" t="str">
        <x:v>스위치플랜</x:v>
      </x:c>
      <x:c r="C1701" s="24" t="str">
        <x:v>SW-C-350수9623-2-NA-83</x:v>
      </x:c>
      <x:c r="D1701" s="24" t="str">
        <x:v>350수9623</x:v>
      </x:c>
      <x:c r="E1701" s="24" t="str">
        <x:v>청산물류</x:v>
      </x:c>
      <x:c r="F1701" s="24" t="str">
        <x:v>2025-02</x:v>
      </x:c>
      <x:c r="G1701" s="30" t="n">
        <x:v>45693</x:v>
      </x:c>
      <x:c r="H1701" s="32" t="n">
        <x:v>1840000</x:v>
      </x:c>
      <x:c r="I1701" s="32" t="n">
        <x:v>1840000</x:v>
      </x:c>
      <x:c r="J1701" s="32" t="n">
        <x:v>0</x:v>
      </x:c>
      <x:c r="K1701" s="30" t="n">
        <x:v>45712</x:v>
      </x:c>
      <x:c r="L1701" s="24" t="str">
        <x:v>입금</x:v>
      </x:c>
      <x:c r="M1701" s="31" t="n">
        <x:f>IF(AND(N1701="미수",G1701&lt;&gt;"",TODAY()&gt;G1701),TODAY()-G1701,0)</x:f>
        <x:v>0</x:v>
      </x:c>
      <x:c r="N1701" s="24" t="str">
        <x:f>IF(J1701&gt;0,"미수",IF(AND(H1701&gt;0,I1701&gt;=H1701),"완납","미확인"))</x:f>
        <x:v>완납</x:v>
      </x:c>
      <x:c r="O1701" s="31" t="n">
        <x:v>82</x:v>
      </x:c>
    </x:row>
    <x:row r="1702" ht="17.25" customHeight="1">
      <x:c r="A1702" s="24" t="str">
        <x:v>SW-B-350수9623-202501</x:v>
      </x:c>
      <x:c r="B1702" s="24" t="str">
        <x:v>스위치플랜</x:v>
      </x:c>
      <x:c r="C1702" s="24" t="str">
        <x:v>SW-C-350수9623-2-NA-83</x:v>
      </x:c>
      <x:c r="D1702" s="24" t="str">
        <x:v>350수9623</x:v>
      </x:c>
      <x:c r="E1702" s="24" t="str">
        <x:v>청산물류</x:v>
      </x:c>
      <x:c r="F1702" s="24" t="str">
        <x:v>2025-01</x:v>
      </x:c>
      <x:c r="G1702" s="30" t="n">
        <x:v>45662</x:v>
      </x:c>
      <x:c r="H1702" s="32" t="n">
        <x:v>1840000</x:v>
      </x:c>
      <x:c r="I1702" s="32" t="n">
        <x:v>1840000</x:v>
      </x:c>
      <x:c r="J1702" s="32" t="n">
        <x:v>0</x:v>
      </x:c>
      <x:c r="K1702" s="30" t="n">
        <x:v>45679</x:v>
      </x:c>
      <x:c r="L1702" s="24" t="str">
        <x:v>입금</x:v>
      </x:c>
      <x:c r="M1702" s="31" t="n">
        <x:f>IF(AND(N1702="미수",G1702&lt;&gt;"",TODAY()&gt;G1702),TODAY()-G1702,0)</x:f>
        <x:v>0</x:v>
      </x:c>
      <x:c r="N1702" s="24" t="str">
        <x:f>IF(J1702&gt;0,"미수",IF(AND(H1702&gt;0,I1702&gt;=H1702),"완납","미확인"))</x:f>
        <x:v>완납</x:v>
      </x:c>
      <x:c r="O1702" s="31" t="n">
        <x:v>82</x:v>
      </x:c>
    </x:row>
    <x:row r="1703" ht="17.25" customHeight="1">
      <x:c r="A1703" s="24" t="str">
        <x:v>SW-B-350수9623-202412</x:v>
      </x:c>
      <x:c r="B1703" s="24" t="str">
        <x:v>스위치플랜</x:v>
      </x:c>
      <x:c r="C1703" s="24" t="str">
        <x:v>SW-C-350수9623-2-NA-83</x:v>
      </x:c>
      <x:c r="D1703" s="24" t="str">
        <x:v>350수9623</x:v>
      </x:c>
      <x:c r="E1703" s="24" t="str">
        <x:v>청산물류</x:v>
      </x:c>
      <x:c r="F1703" s="24" t="str">
        <x:v>2024-12</x:v>
      </x:c>
      <x:c r="G1703" s="30" t="n">
        <x:v>45631</x:v>
      </x:c>
      <x:c r="H1703" s="32" t="n">
        <x:v>1840000</x:v>
      </x:c>
      <x:c r="I1703" s="32" t="n">
        <x:v>1840000</x:v>
      </x:c>
      <x:c r="J1703" s="32" t="n">
        <x:v>0</x:v>
      </x:c>
      <x:c r="K1703" s="30" t="n">
        <x:v>45649</x:v>
      </x:c>
      <x:c r="L1703" s="24" t="str">
        <x:v>입금</x:v>
      </x:c>
      <x:c r="M1703" s="31" t="n">
        <x:f>IF(AND(N1703="미수",G1703&lt;&gt;"",TODAY()&gt;G1703),TODAY()-G1703,0)</x:f>
        <x:v>0</x:v>
      </x:c>
      <x:c r="N1703" s="24" t="str">
        <x:f>IF(J1703&gt;0,"미수",IF(AND(H1703&gt;0,I1703&gt;=H1703),"완납","미확인"))</x:f>
        <x:v>완납</x:v>
      </x:c>
      <x:c r="O1703" s="31" t="n">
        <x:v>82</x:v>
      </x:c>
    </x:row>
    <x:row r="1704" ht="17.25" customHeight="1">
      <x:c r="A1704" s="24" t="str">
        <x:v>SW-B-350수9623-202411</x:v>
      </x:c>
      <x:c r="B1704" s="24" t="str">
        <x:v>스위치플랜</x:v>
      </x:c>
      <x:c r="C1704" s="24" t="str">
        <x:v>SW-C-350수9623-2-NA-83</x:v>
      </x:c>
      <x:c r="D1704" s="24" t="str">
        <x:v>350수9623</x:v>
      </x:c>
      <x:c r="E1704" s="24" t="str">
        <x:v>청산물류</x:v>
      </x:c>
      <x:c r="F1704" s="24" t="str">
        <x:v>2024-11</x:v>
      </x:c>
      <x:c r="G1704" s="30" t="n">
        <x:v>45601</x:v>
      </x:c>
      <x:c r="H1704" s="32" t="n">
        <x:v>1840000</x:v>
      </x:c>
      <x:c r="I1704" s="32" t="n">
        <x:v>1840000</x:v>
      </x:c>
      <x:c r="J1704" s="32" t="n">
        <x:v>0</x:v>
      </x:c>
      <x:c r="K1704" s="30" t="n">
        <x:v>45618</x:v>
      </x:c>
      <x:c r="L1704" s="24" t="str">
        <x:v>입금</x:v>
      </x:c>
      <x:c r="M1704" s="31" t="n">
        <x:f>IF(AND(N1704="미수",G1704&lt;&gt;"",TODAY()&gt;G1704),TODAY()-G1704,0)</x:f>
        <x:v>0</x:v>
      </x:c>
      <x:c r="N1704" s="24" t="str">
        <x:f>IF(J1704&gt;0,"미수",IF(AND(H1704&gt;0,I1704&gt;=H1704),"완납","미확인"))</x:f>
        <x:v>완납</x:v>
      </x:c>
      <x:c r="O1704" s="31" t="n">
        <x:v>82</x:v>
      </x:c>
    </x:row>
    <x:row r="1705" ht="17.25" customHeight="1">
      <x:c r="A1705" s="24" t="str">
        <x:v>SW-B-350수9623-202410</x:v>
      </x:c>
      <x:c r="B1705" s="24" t="str">
        <x:v>스위치플랜</x:v>
      </x:c>
      <x:c r="C1705" s="24" t="str">
        <x:v>SW-C-350수9623-2-NA-83</x:v>
      </x:c>
      <x:c r="D1705" s="24" t="str">
        <x:v>350수9623</x:v>
      </x:c>
      <x:c r="E1705" s="24" t="str">
        <x:v>청산물류</x:v>
      </x:c>
      <x:c r="F1705" s="24" t="str">
        <x:v>2024-10</x:v>
      </x:c>
      <x:c r="G1705" s="30" t="n">
        <x:v>45570</x:v>
      </x:c>
      <x:c r="H1705" s="32" t="n">
        <x:v>1840000</x:v>
      </x:c>
      <x:c r="I1705" s="32" t="n">
        <x:v>1840000</x:v>
      </x:c>
      <x:c r="J1705" s="32" t="n">
        <x:v>0</x:v>
      </x:c>
      <x:c r="K1705" s="30" t="n">
        <x:v>45590</x:v>
      </x:c>
      <x:c r="L1705" s="24" t="str">
        <x:v>입금</x:v>
      </x:c>
      <x:c r="M1705" s="31" t="n">
        <x:f>IF(AND(N1705="미수",G1705&lt;&gt;"",TODAY()&gt;G1705),TODAY()-G1705,0)</x:f>
        <x:v>0</x:v>
      </x:c>
      <x:c r="N1705" s="24" t="str">
        <x:f>IF(J1705&gt;0,"미수",IF(AND(H1705&gt;0,I1705&gt;=H1705),"완납","미확인"))</x:f>
        <x:v>완납</x:v>
      </x:c>
      <x:c r="O1705" s="31" t="n">
        <x:v>82</x:v>
      </x:c>
    </x:row>
    <x:row r="1706" ht="17.25" customHeight="1">
      <x:c r="A1706" s="24" t="str">
        <x:v>SW-B-350수9623-202409</x:v>
      </x:c>
      <x:c r="B1706" s="24" t="str">
        <x:v>스위치플랜</x:v>
      </x:c>
      <x:c r="C1706" s="24" t="str">
        <x:v>SW-C-350수9623-2-NA-83</x:v>
      </x:c>
      <x:c r="D1706" s="24" t="str">
        <x:v>350수9623</x:v>
      </x:c>
      <x:c r="E1706" s="24" t="str">
        <x:v>청산물류</x:v>
      </x:c>
      <x:c r="F1706" s="24" t="str">
        <x:v>2024-09</x:v>
      </x:c>
      <x:c r="G1706" s="30" t="n">
        <x:v>45540</x:v>
      </x:c>
      <x:c r="H1706" s="32" t="n">
        <x:v>1840000</x:v>
      </x:c>
      <x:c r="I1706" s="32" t="n">
        <x:v>1840000</x:v>
      </x:c>
      <x:c r="J1706" s="32" t="n">
        <x:v>0</x:v>
      </x:c>
      <x:c r="K1706" s="30" t="n">
        <x:v>45559</x:v>
      </x:c>
      <x:c r="L1706" s="24" t="str">
        <x:v>입금</x:v>
      </x:c>
      <x:c r="M1706" s="31" t="n">
        <x:f>IF(AND(N1706="미수",G1706&lt;&gt;"",TODAY()&gt;G1706),TODAY()-G1706,0)</x:f>
        <x:v>0</x:v>
      </x:c>
      <x:c r="N1706" s="24" t="str">
        <x:f>IF(J1706&gt;0,"미수",IF(AND(H1706&gt;0,I1706&gt;=H1706),"완납","미확인"))</x:f>
        <x:v>완납</x:v>
      </x:c>
      <x:c r="O1706" s="31" t="n">
        <x:v>82</x:v>
      </x:c>
    </x:row>
    <x:row r="1707" ht="17.25" customHeight="1">
      <x:c r="A1707" s="24" t="str">
        <x:v>SW-B-350수9623-202408</x:v>
      </x:c>
      <x:c r="B1707" s="24" t="str">
        <x:v>스위치플랜</x:v>
      </x:c>
      <x:c r="C1707" s="24" t="str">
        <x:v>SW-C-350수9623-2-NA-83</x:v>
      </x:c>
      <x:c r="D1707" s="24" t="str">
        <x:v>350수9623</x:v>
      </x:c>
      <x:c r="E1707" s="24" t="str">
        <x:v>청산물류</x:v>
      </x:c>
      <x:c r="F1707" s="24" t="str">
        <x:v>2024-08</x:v>
      </x:c>
      <x:c r="G1707" s="30" t="n">
        <x:v>45509</x:v>
      </x:c>
      <x:c r="H1707" s="32" t="n">
        <x:v>1840000</x:v>
      </x:c>
      <x:c r="I1707" s="32" t="n">
        <x:v>1840000</x:v>
      </x:c>
      <x:c r="J1707" s="32" t="n">
        <x:v>0</x:v>
      </x:c>
      <x:c r="K1707" s="30" t="n">
        <x:v>45526</x:v>
      </x:c>
      <x:c r="L1707" s="24" t="str">
        <x:v>입금</x:v>
      </x:c>
      <x:c r="M1707" s="31" t="n">
        <x:f>IF(AND(N1707="미수",G1707&lt;&gt;"",TODAY()&gt;G1707),TODAY()-G1707,0)</x:f>
        <x:v>0</x:v>
      </x:c>
      <x:c r="N1707" s="24" t="str">
        <x:f>IF(J1707&gt;0,"미수",IF(AND(H1707&gt;0,I1707&gt;=H1707),"완납","미확인"))</x:f>
        <x:v>완납</x:v>
      </x:c>
      <x:c r="O1707" s="31" t="n">
        <x:v>82</x:v>
      </x:c>
    </x:row>
    <x:row r="1708" ht="17.25" customHeight="1">
      <x:c r="A1708" s="24" t="str">
        <x:v>SW-B-350수9623-202407</x:v>
      </x:c>
      <x:c r="B1708" s="24" t="str">
        <x:v>스위치플랜</x:v>
      </x:c>
      <x:c r="C1708" s="24" t="str">
        <x:v>SW-C-350수9623-2-NA-83</x:v>
      </x:c>
      <x:c r="D1708" s="24" t="str">
        <x:v>350수9623</x:v>
      </x:c>
      <x:c r="E1708" s="24" t="str">
        <x:v>청산물류</x:v>
      </x:c>
      <x:c r="F1708" s="24" t="str">
        <x:v>2024-07</x:v>
      </x:c>
      <x:c r="G1708" s="30" t="n">
        <x:v>45478</x:v>
      </x:c>
      <x:c r="H1708" s="32" t="n">
        <x:v>1840000</x:v>
      </x:c>
      <x:c r="I1708" s="32" t="n">
        <x:v>1840000</x:v>
      </x:c>
      <x:c r="J1708" s="32" t="n">
        <x:v>0</x:v>
      </x:c>
      <x:c r="K1708" s="30" t="n">
        <x:v>45496</x:v>
      </x:c>
      <x:c r="L1708" s="24" t="str">
        <x:v>입금</x:v>
      </x:c>
      <x:c r="M1708" s="31" t="n">
        <x:f>IF(AND(N1708="미수",G1708&lt;&gt;"",TODAY()&gt;G1708),TODAY()-G1708,0)</x:f>
        <x:v>0</x:v>
      </x:c>
      <x:c r="N1708" s="24" t="str">
        <x:f>IF(J1708&gt;0,"미수",IF(AND(H1708&gt;0,I1708&gt;=H1708),"완납","미확인"))</x:f>
        <x:v>완납</x:v>
      </x:c>
      <x:c r="O1708" s="31" t="n">
        <x:v>82</x:v>
      </x:c>
    </x:row>
    <x:row r="1709" ht="17.25" customHeight="1">
      <x:c r="A1709" s="24" t="str">
        <x:v>SW-B-350수9623-202406</x:v>
      </x:c>
      <x:c r="B1709" s="24" t="str">
        <x:v>스위치플랜</x:v>
      </x:c>
      <x:c r="C1709" s="24" t="str">
        <x:v>SW-C-350수9623-2-NA-83</x:v>
      </x:c>
      <x:c r="D1709" s="24" t="str">
        <x:v>350수9623</x:v>
      </x:c>
      <x:c r="E1709" s="24" t="str">
        <x:v>청산물류</x:v>
      </x:c>
      <x:c r="F1709" s="24" t="str">
        <x:v>2024-06</x:v>
      </x:c>
      <x:c r="G1709" s="30" t="n">
        <x:v>45448</x:v>
      </x:c>
      <x:c r="H1709" s="32" t="n">
        <x:v>1840000</x:v>
      </x:c>
      <x:c r="I1709" s="32" t="n">
        <x:v>1840000</x:v>
      </x:c>
      <x:c r="J1709" s="32" t="n">
        <x:v>0</x:v>
      </x:c>
      <x:c r="K1709" s="30" t="n">
        <x:v>45465</x:v>
      </x:c>
      <x:c r="L1709" s="24" t="str">
        <x:v>입금</x:v>
      </x:c>
      <x:c r="M1709" s="31" t="n">
        <x:f>IF(AND(N1709="미수",G1709&lt;&gt;"",TODAY()&gt;G1709),TODAY()-G1709,0)</x:f>
        <x:v>0</x:v>
      </x:c>
      <x:c r="N1709" s="24" t="str">
        <x:f>IF(J1709&gt;0,"미수",IF(AND(H1709&gt;0,I1709&gt;=H1709),"완납","미확인"))</x:f>
        <x:v>완납</x:v>
      </x:c>
      <x:c r="O1709" s="31" t="n">
        <x:v>82</x:v>
      </x:c>
    </x:row>
    <x:row r="1710" ht="17.25" customHeight="1">
      <x:c r="A1710" s="24" t="str">
        <x:v>SW-B-350수9623-202405</x:v>
      </x:c>
      <x:c r="B1710" s="24" t="str">
        <x:v>스위치플랜</x:v>
      </x:c>
      <x:c r="C1710" s="24" t="str">
        <x:v>SW-C-350수9623-2-NA-83</x:v>
      </x:c>
      <x:c r="D1710" s="24" t="str">
        <x:v>350수9623</x:v>
      </x:c>
      <x:c r="E1710" s="24" t="str">
        <x:v>청산물류</x:v>
      </x:c>
      <x:c r="F1710" s="24" t="str">
        <x:v>2024-05</x:v>
      </x:c>
      <x:c r="G1710" s="30" t="n">
        <x:v>45417</x:v>
      </x:c>
      <x:c r="H1710" s="32" t="n">
        <x:v>1840000</x:v>
      </x:c>
      <x:c r="I1710" s="32" t="n">
        <x:v>1840000</x:v>
      </x:c>
      <x:c r="J1710" s="32" t="n">
        <x:v>0</x:v>
      </x:c>
      <x:c r="K1710" s="30" t="n">
        <x:v>45434</x:v>
      </x:c>
      <x:c r="L1710" s="24" t="str">
        <x:v>입금</x:v>
      </x:c>
      <x:c r="M1710" s="31" t="n">
        <x:f>IF(AND(N1710="미수",G1710&lt;&gt;"",TODAY()&gt;G1710),TODAY()-G1710,0)</x:f>
        <x:v>0</x:v>
      </x:c>
      <x:c r="N1710" s="24" t="str">
        <x:f>IF(J1710&gt;0,"미수",IF(AND(H1710&gt;0,I1710&gt;=H1710),"완납","미확인"))</x:f>
        <x:v>완납</x:v>
      </x:c>
      <x:c r="O1710" s="31" t="n">
        <x:v>82</x:v>
      </x:c>
    </x:row>
    <x:row r="1711" ht="17.25" customHeight="1">
      <x:c r="A1711" s="24" t="str">
        <x:v>SW-B-350수9623-202404</x:v>
      </x:c>
      <x:c r="B1711" s="24" t="str">
        <x:v>스위치플랜</x:v>
      </x:c>
      <x:c r="C1711" s="24" t="str">
        <x:v>SW-C-350수9623-2-NA-83</x:v>
      </x:c>
      <x:c r="D1711" s="24" t="str">
        <x:v>350수9623</x:v>
      </x:c>
      <x:c r="E1711" s="24" t="str">
        <x:v>청산물류</x:v>
      </x:c>
      <x:c r="F1711" s="24" t="str">
        <x:v>2024-04</x:v>
      </x:c>
      <x:c r="G1711" s="30" t="n">
        <x:v>45387</x:v>
      </x:c>
      <x:c r="H1711" s="32" t="n">
        <x:v>1840000</x:v>
      </x:c>
      <x:c r="I1711" s="32" t="n">
        <x:v>1840000</x:v>
      </x:c>
      <x:c r="J1711" s="32" t="n">
        <x:v>0</x:v>
      </x:c>
      <x:c r="K1711" s="30" t="n">
        <x:v>45404</x:v>
      </x:c>
      <x:c r="L1711" s="24" t="str">
        <x:v>입금</x:v>
      </x:c>
      <x:c r="M1711" s="31" t="n">
        <x:f>IF(AND(N1711="미수",G1711&lt;&gt;"",TODAY()&gt;G1711),TODAY()-G1711,0)</x:f>
        <x:v>0</x:v>
      </x:c>
      <x:c r="N1711" s="24" t="str">
        <x:f>IF(J1711&gt;0,"미수",IF(AND(H1711&gt;0,I1711&gt;=H1711),"완납","미확인"))</x:f>
        <x:v>완납</x:v>
      </x:c>
      <x:c r="O1711" s="31" t="n">
        <x:v>82</x:v>
      </x:c>
    </x:row>
    <x:row r="1712" ht="17.25" customHeight="1">
      <x:c r="A1712" s="24" t="str">
        <x:v>SW-B-350수9623-202403</x:v>
      </x:c>
      <x:c r="B1712" s="24" t="str">
        <x:v>스위치플랜</x:v>
      </x:c>
      <x:c r="C1712" s="24" t="str">
        <x:v>SW-C-350수9623-2-NA-83</x:v>
      </x:c>
      <x:c r="D1712" s="24" t="str">
        <x:v>350수9623</x:v>
      </x:c>
      <x:c r="E1712" s="24" t="str">
        <x:v>청산물류</x:v>
      </x:c>
      <x:c r="F1712" s="24" t="str">
        <x:v>2024-03</x:v>
      </x:c>
      <x:c r="G1712" s="30" t="n">
        <x:v>45356</x:v>
      </x:c>
      <x:c r="H1712" s="32" t="n">
        <x:v>1840000</x:v>
      </x:c>
      <x:c r="I1712" s="32" t="n">
        <x:v>1840000</x:v>
      </x:c>
      <x:c r="J1712" s="32" t="n">
        <x:v>0</x:v>
      </x:c>
      <x:c r="K1712" s="30" t="n">
        <x:v>45373</x:v>
      </x:c>
      <x:c r="L1712" s="24" t="str">
        <x:v>입금</x:v>
      </x:c>
      <x:c r="M1712" s="31" t="n">
        <x:f>IF(AND(N1712="미수",G1712&lt;&gt;"",TODAY()&gt;G1712),TODAY()-G1712,0)</x:f>
        <x:v>0</x:v>
      </x:c>
      <x:c r="N1712" s="24" t="str">
        <x:f>IF(J1712&gt;0,"미수",IF(AND(H1712&gt;0,I1712&gt;=H1712),"완납","미확인"))</x:f>
        <x:v>완납</x:v>
      </x:c>
      <x:c r="O1712" s="31" t="n">
        <x:v>82</x:v>
      </x:c>
    </x:row>
    <x:row r="1713" ht="17.25" customHeight="1">
      <x:c r="A1713" s="24" t="str">
        <x:v>SW-B-350수9623-202402</x:v>
      </x:c>
      <x:c r="B1713" s="24" t="str">
        <x:v>스위치플랜</x:v>
      </x:c>
      <x:c r="C1713" s="24" t="str">
        <x:v>SW-C-350수9623-2-NA-83</x:v>
      </x:c>
      <x:c r="D1713" s="24" t="str">
        <x:v>350수9623</x:v>
      </x:c>
      <x:c r="E1713" s="24" t="str">
        <x:v>청산물류</x:v>
      </x:c>
      <x:c r="F1713" s="24" t="str">
        <x:v>2024-02</x:v>
      </x:c>
      <x:c r="G1713" s="30" t="n">
        <x:v>45327</x:v>
      </x:c>
      <x:c r="H1713" s="32" t="n">
        <x:v>1840000</x:v>
      </x:c>
      <x:c r="I1713" s="32" t="n">
        <x:v>1840000</x:v>
      </x:c>
      <x:c r="J1713" s="32" t="n">
        <x:v>0</x:v>
      </x:c>
      <x:c r="K1713" s="30" t="n">
        <x:v>45343</x:v>
      </x:c>
      <x:c r="L1713" s="24" t="str">
        <x:v>입금</x:v>
      </x:c>
      <x:c r="M1713" s="31" t="n">
        <x:f>IF(AND(N1713="미수",G1713&lt;&gt;"",TODAY()&gt;G1713),TODAY()-G1713,0)</x:f>
        <x:v>0</x:v>
      </x:c>
      <x:c r="N1713" s="24" t="str">
        <x:f>IF(J1713&gt;0,"미수",IF(AND(H1713&gt;0,I1713&gt;=H1713),"완납","미확인"))</x:f>
        <x:v>완납</x:v>
      </x:c>
      <x:c r="O1713" s="31" t="n">
        <x:v>82</x:v>
      </x:c>
    </x:row>
    <x:row r="1714" ht="17.25" customHeight="1">
      <x:c r="A1714" s="24" t="str">
        <x:v>SW-B-350수9623-202401</x:v>
      </x:c>
      <x:c r="B1714" s="24" t="str">
        <x:v>스위치플랜</x:v>
      </x:c>
      <x:c r="C1714" s="24" t="str">
        <x:v>SW-C-350수9623-2-NA-83</x:v>
      </x:c>
      <x:c r="D1714" s="24" t="str">
        <x:v>350수9623</x:v>
      </x:c>
      <x:c r="E1714" s="24" t="str">
        <x:v>청산물류</x:v>
      </x:c>
      <x:c r="F1714" s="24" t="str">
        <x:v>2024-01</x:v>
      </x:c>
      <x:c r="G1714" s="30" t="n">
        <x:v>45296</x:v>
      </x:c>
      <x:c r="H1714" s="32" t="n">
        <x:v>1840000</x:v>
      </x:c>
      <x:c r="I1714" s="32" t="n">
        <x:v>1840000</x:v>
      </x:c>
      <x:c r="J1714" s="32" t="n">
        <x:v>0</x:v>
      </x:c>
      <x:c r="K1714" s="30" t="n">
        <x:v>45314</x:v>
      </x:c>
      <x:c r="L1714" s="24" t="str">
        <x:v>입금</x:v>
      </x:c>
      <x:c r="M1714" s="31" t="n">
        <x:f>IF(AND(N1714="미수",G1714&lt;&gt;"",TODAY()&gt;G1714),TODAY()-G1714,0)</x:f>
        <x:v>0</x:v>
      </x:c>
      <x:c r="N1714" s="24" t="str">
        <x:f>IF(J1714&gt;0,"미수",IF(AND(H1714&gt;0,I1714&gt;=H1714),"완납","미확인"))</x:f>
        <x:v>완납</x:v>
      </x:c>
      <x:c r="O1714" s="31" t="n">
        <x:v>82</x:v>
      </x:c>
    </x:row>
    <x:row r="1715" ht="17.25" customHeight="1">
      <x:c r="A1715" s="24" t="str">
        <x:v>SW-B-350수9623-202312</x:v>
      </x:c>
      <x:c r="B1715" s="24" t="str">
        <x:v>스위치플랜</x:v>
      </x:c>
      <x:c r="C1715" s="24" t="str">
        <x:v>SW-C-350수9623-2-NA-83</x:v>
      </x:c>
      <x:c r="D1715" s="24" t="str">
        <x:v>350수9623</x:v>
      </x:c>
      <x:c r="E1715" s="24" t="str">
        <x:v>청산물류</x:v>
      </x:c>
      <x:c r="F1715" s="24" t="str">
        <x:v>2023-12</x:v>
      </x:c>
      <x:c r="G1715" s="30" t="n">
        <x:v>45265</x:v>
      </x:c>
      <x:c r="H1715" s="32" t="n">
        <x:v>1840000</x:v>
      </x:c>
      <x:c r="I1715" s="32" t="n">
        <x:v>1840000</x:v>
      </x:c>
      <x:c r="J1715" s="32" t="n">
        <x:v>0</x:v>
      </x:c>
      <x:c r="K1715" s="30" t="n">
        <x:v>45268</x:v>
      </x:c>
      <x:c r="L1715" s="24" t="str">
        <x:v>입금</x:v>
      </x:c>
      <x:c r="M1715" s="31" t="n">
        <x:f>IF(AND(N1715="미수",G1715&lt;&gt;"",TODAY()&gt;G1715),TODAY()-G1715,0)</x:f>
        <x:v>0</x:v>
      </x:c>
      <x:c r="N1715" s="24" t="str">
        <x:f>IF(J1715&gt;0,"미수",IF(AND(H1715&gt;0,I1715&gt;=H1715),"완납","미확인"))</x:f>
        <x:v>완납</x:v>
      </x:c>
      <x:c r="O1715" s="31" t="n">
        <x:v>82</x:v>
      </x:c>
    </x:row>
    <x:row r="1716" ht="17.25" customHeight="1">
      <x:c r="A1716" s="24" t="str">
        <x:v>SW-B-827버3872-202608</x:v>
      </x:c>
      <x:c r="B1716" s="24" t="str">
        <x:v>스위치플랜</x:v>
      </x:c>
      <x:c r="C1716" s="24" t="str">
        <x:v>SW-C-827버3872-1-20240528-84</x:v>
      </x:c>
      <x:c r="D1716" s="24" t="str">
        <x:v>827버3872</x:v>
      </x:c>
      <x:c r="E1716" s="24" t="str">
        <x:v>전국연합누수119</x:v>
      </x:c>
      <x:c r="F1716" s="24" t="str">
        <x:v>2026-08</x:v>
      </x:c>
      <x:c r="G1716" s="30"/>
      <x:c r="H1716" s="32" t="n">
        <x:v>660000</x:v>
      </x:c>
      <x:c r="I1716" s="32" t="n">
        <x:v>660000</x:v>
      </x:c>
      <x:c r="J1716" s="32" t="n">
        <x:v>660000</x:v>
      </x:c>
      <x:c r="K1716" s="30" t="n">
        <x:v>46237</x:v>
      </x:c>
      <x:c r="L1716" s="24" t="str">
        <x:v>입금</x:v>
      </x:c>
      <x:c r="M1716" s="31" t="n">
        <x:f>IF(AND(N1716="미수",G1716&lt;&gt;"",TODAY()&gt;G1716),TODAY()-G1716,0)</x:f>
        <x:v>0</x:v>
      </x:c>
      <x:c r="N1716" s="24" t="str">
        <x:f>IF(J1716&gt;0,"미수",IF(AND(H1716&gt;0,I1716&gt;=H1716),"완납","미확인"))</x:f>
        <x:v>미수</x:v>
      </x:c>
      <x:c r="O1716" s="31" t="n">
        <x:v>83</x:v>
      </x:c>
    </x:row>
    <x:row r="1717" ht="17.25" customHeight="1">
      <x:c r="A1717" s="24" t="str">
        <x:v>SW-B-827버3872-202607</x:v>
      </x:c>
      <x:c r="B1717" s="24" t="str">
        <x:v>스위치플랜</x:v>
      </x:c>
      <x:c r="C1717" s="24" t="str">
        <x:v>SW-C-827버3872-1-20240528-84</x:v>
      </x:c>
      <x:c r="D1717" s="24" t="str">
        <x:v>827버3872</x:v>
      </x:c>
      <x:c r="E1717" s="24" t="str">
        <x:v>전국연합누수119</x:v>
      </x:c>
      <x:c r="F1717" s="24" t="str">
        <x:v>2026-07</x:v>
      </x:c>
      <x:c r="G1717" s="30"/>
      <x:c r="H1717" s="32" t="n">
        <x:v>660000</x:v>
      </x:c>
      <x:c r="I1717" s="32" t="n">
        <x:v>660000</x:v>
      </x:c>
      <x:c r="J1717" s="32" t="n">
        <x:v>660000</x:v>
      </x:c>
      <x:c r="K1717" s="30" t="n">
        <x:v>46209</x:v>
      </x:c>
      <x:c r="L1717" s="24" t="str">
        <x:v>입금</x:v>
      </x:c>
      <x:c r="M1717" s="31" t="n">
        <x:f>IF(AND(N1717="미수",G1717&lt;&gt;"",TODAY()&gt;G1717),TODAY()-G1717,0)</x:f>
        <x:v>0</x:v>
      </x:c>
      <x:c r="N1717" s="24" t="str">
        <x:f>IF(J1717&gt;0,"미수",IF(AND(H1717&gt;0,I1717&gt;=H1717),"완납","미확인"))</x:f>
        <x:v>미수</x:v>
      </x:c>
      <x:c r="O1717" s="31" t="n">
        <x:v>83</x:v>
      </x:c>
    </x:row>
    <x:row r="1718" ht="17.25" customHeight="1">
      <x:c r="A1718" s="24" t="str">
        <x:v>SW-B-827버3872-202606</x:v>
      </x:c>
      <x:c r="B1718" s="24" t="str">
        <x:v>스위치플랜</x:v>
      </x:c>
      <x:c r="C1718" s="24" t="str">
        <x:v>SW-C-827버3872-1-20240528-84</x:v>
      </x:c>
      <x:c r="D1718" s="24" t="str">
        <x:v>827버3872</x:v>
      </x:c>
      <x:c r="E1718" s="24" t="str">
        <x:v>전국연합누수119</x:v>
      </x:c>
      <x:c r="F1718" s="24" t="str">
        <x:v>2026-06</x:v>
      </x:c>
      <x:c r="G1718" s="30"/>
      <x:c r="H1718" s="32" t="n">
        <x:v>660000</x:v>
      </x:c>
      <x:c r="I1718" s="32" t="n">
        <x:v>660000</x:v>
      </x:c>
      <x:c r="J1718" s="32" t="n">
        <x:v>660000</x:v>
      </x:c>
      <x:c r="K1718" s="30" t="n">
        <x:v>46181</x:v>
      </x:c>
      <x:c r="L1718" s="24" t="str">
        <x:v>입금</x:v>
      </x:c>
      <x:c r="M1718" s="31" t="n">
        <x:f>IF(AND(N1718="미수",G1718&lt;&gt;"",TODAY()&gt;G1718),TODAY()-G1718,0)</x:f>
        <x:v>0</x:v>
      </x:c>
      <x:c r="N1718" s="24" t="str">
        <x:f>IF(J1718&gt;0,"미수",IF(AND(H1718&gt;0,I1718&gt;=H1718),"완납","미확인"))</x:f>
        <x:v>미수</x:v>
      </x:c>
      <x:c r="O1718" s="31" t="n">
        <x:v>83</x:v>
      </x:c>
    </x:row>
    <x:row r="1719" ht="17.25" customHeight="1">
      <x:c r="A1719" s="24" t="str">
        <x:v>SW-B-827버3872-202605</x:v>
      </x:c>
      <x:c r="B1719" s="24" t="str">
        <x:v>스위치플랜</x:v>
      </x:c>
      <x:c r="C1719" s="24" t="str">
        <x:v>SW-C-827버3872-1-20240528-84</x:v>
      </x:c>
      <x:c r="D1719" s="24" t="str">
        <x:v>827버3872</x:v>
      </x:c>
      <x:c r="E1719" s="24" t="str">
        <x:v>전국연합누수119</x:v>
      </x:c>
      <x:c r="F1719" s="24" t="str">
        <x:v>2026-05</x:v>
      </x:c>
      <x:c r="G1719" s="30"/>
      <x:c r="H1719" s="32" t="n">
        <x:v>660000</x:v>
      </x:c>
      <x:c r="I1719" s="32" t="n">
        <x:v>660000</x:v>
      </x:c>
      <x:c r="J1719" s="32" t="n">
        <x:v>660000</x:v>
      </x:c>
      <x:c r="K1719" s="30" t="n">
        <x:v>46149</x:v>
      </x:c>
      <x:c r="L1719" s="24" t="str">
        <x:v>입금</x:v>
      </x:c>
      <x:c r="M1719" s="31" t="n">
        <x:f>IF(AND(N1719="미수",G1719&lt;&gt;"",TODAY()&gt;G1719),TODAY()-G1719,0)</x:f>
        <x:v>0</x:v>
      </x:c>
      <x:c r="N1719" s="24" t="str">
        <x:f>IF(J1719&gt;0,"미수",IF(AND(H1719&gt;0,I1719&gt;=H1719),"완납","미확인"))</x:f>
        <x:v>미수</x:v>
      </x:c>
      <x:c r="O1719" s="31" t="n">
        <x:v>83</x:v>
      </x:c>
    </x:row>
    <x:row r="1720" ht="17.25" customHeight="1">
      <x:c r="A1720" s="24" t="str">
        <x:v>SW-B-827버3872-202604</x:v>
      </x:c>
      <x:c r="B1720" s="24" t="str">
        <x:v>스위치플랜</x:v>
      </x:c>
      <x:c r="C1720" s="24" t="str">
        <x:v>SW-C-827버3872-1-20240528-84</x:v>
      </x:c>
      <x:c r="D1720" s="24" t="str">
        <x:v>827버3872</x:v>
      </x:c>
      <x:c r="E1720" s="24" t="str">
        <x:v>전국연합누수119</x:v>
      </x:c>
      <x:c r="F1720" s="24" t="str">
        <x:v>2026-04</x:v>
      </x:c>
      <x:c r="G1720" s="30"/>
      <x:c r="H1720" s="32" t="n">
        <x:v>660000</x:v>
      </x:c>
      <x:c r="I1720" s="32" t="n">
        <x:v>660000</x:v>
      </x:c>
      <x:c r="J1720" s="32" t="n">
        <x:v>660000</x:v>
      </x:c>
      <x:c r="K1720" s="30" t="n">
        <x:v>46128</x:v>
      </x:c>
      <x:c r="L1720" s="24" t="str">
        <x:v>입금</x:v>
      </x:c>
      <x:c r="M1720" s="31" t="n">
        <x:f>IF(AND(N1720="미수",G1720&lt;&gt;"",TODAY()&gt;G1720),TODAY()-G1720,0)</x:f>
        <x:v>0</x:v>
      </x:c>
      <x:c r="N1720" s="24" t="str">
        <x:f>IF(J1720&gt;0,"미수",IF(AND(H1720&gt;0,I1720&gt;=H1720),"완납","미확인"))</x:f>
        <x:v>미수</x:v>
      </x:c>
      <x:c r="O1720" s="31" t="n">
        <x:v>83</x:v>
      </x:c>
    </x:row>
    <x:row r="1721" ht="17.25" customHeight="1">
      <x:c r="A1721" s="24" t="str">
        <x:v>SW-B-827버3872-202603</x:v>
      </x:c>
      <x:c r="B1721" s="24" t="str">
        <x:v>스위치플랜</x:v>
      </x:c>
      <x:c r="C1721" s="24" t="str">
        <x:v>SW-C-827버3872-1-20240528-84</x:v>
      </x:c>
      <x:c r="D1721" s="24" t="str">
        <x:v>827버3872</x:v>
      </x:c>
      <x:c r="E1721" s="24" t="str">
        <x:v>전국연합누수119</x:v>
      </x:c>
      <x:c r="F1721" s="24" t="str">
        <x:v>2026-03</x:v>
      </x:c>
      <x:c r="G1721" s="30"/>
      <x:c r="H1721" s="32" t="n">
        <x:v>660000</x:v>
      </x:c>
      <x:c r="I1721" s="32" t="n">
        <x:v>660000</x:v>
      </x:c>
      <x:c r="J1721" s="32" t="n">
        <x:v>660000</x:v>
      </x:c>
      <x:c r="K1721" s="30" t="n">
        <x:v>46087</x:v>
      </x:c>
      <x:c r="L1721" s="24" t="str">
        <x:v>입금</x:v>
      </x:c>
      <x:c r="M1721" s="31" t="n">
        <x:f>IF(AND(N1721="미수",G1721&lt;&gt;"",TODAY()&gt;G1721),TODAY()-G1721,0)</x:f>
        <x:v>0</x:v>
      </x:c>
      <x:c r="N1721" s="24" t="str">
        <x:f>IF(J1721&gt;0,"미수",IF(AND(H1721&gt;0,I1721&gt;=H1721),"완납","미확인"))</x:f>
        <x:v>미수</x:v>
      </x:c>
      <x:c r="O1721" s="31" t="n">
        <x:v>83</x:v>
      </x:c>
    </x:row>
    <x:row r="1722" ht="17.25" customHeight="1">
      <x:c r="A1722" s="24" t="str">
        <x:v>SW-B-827버3872-202602</x:v>
      </x:c>
      <x:c r="B1722" s="24" t="str">
        <x:v>스위치플랜</x:v>
      </x:c>
      <x:c r="C1722" s="24" t="str">
        <x:v>SW-C-827버3872-1-20240528-84</x:v>
      </x:c>
      <x:c r="D1722" s="24" t="str">
        <x:v>827버3872</x:v>
      </x:c>
      <x:c r="E1722" s="24" t="str">
        <x:v>전국연합누수119</x:v>
      </x:c>
      <x:c r="F1722" s="24" t="str">
        <x:v>2026-02</x:v>
      </x:c>
      <x:c r="G1722" s="30"/>
      <x:c r="H1722" s="32" t="n">
        <x:v>660000</x:v>
      </x:c>
      <x:c r="I1722" s="32" t="n">
        <x:v>660000</x:v>
      </x:c>
      <x:c r="J1722" s="32" t="n">
        <x:v>660000</x:v>
      </x:c>
      <x:c r="K1722" s="30" t="n">
        <x:v>46062</x:v>
      </x:c>
      <x:c r="L1722" s="24" t="str">
        <x:v>입금</x:v>
      </x:c>
      <x:c r="M1722" s="31" t="n">
        <x:f>IF(AND(N1722="미수",G1722&lt;&gt;"",TODAY()&gt;G1722),TODAY()-G1722,0)</x:f>
        <x:v>0</x:v>
      </x:c>
      <x:c r="N1722" s="24" t="str">
        <x:f>IF(J1722&gt;0,"미수",IF(AND(H1722&gt;0,I1722&gt;=H1722),"완납","미확인"))</x:f>
        <x:v>미수</x:v>
      </x:c>
      <x:c r="O1722" s="31" t="n">
        <x:v>83</x:v>
      </x:c>
    </x:row>
    <x:row r="1723" ht="17.25" customHeight="1">
      <x:c r="A1723" s="24" t="str">
        <x:v>SW-B-827버3872-202601</x:v>
      </x:c>
      <x:c r="B1723" s="24" t="str">
        <x:v>스위치플랜</x:v>
      </x:c>
      <x:c r="C1723" s="24" t="str">
        <x:v>SW-C-827버3872-1-20240528-84</x:v>
      </x:c>
      <x:c r="D1723" s="24" t="str">
        <x:v>827버3872</x:v>
      </x:c>
      <x:c r="E1723" s="24" t="str">
        <x:v>전국연합누수119</x:v>
      </x:c>
      <x:c r="F1723" s="24" t="str">
        <x:v>2026-01</x:v>
      </x:c>
      <x:c r="G1723" s="30"/>
      <x:c r="H1723" s="32" t="n">
        <x:v>660000</x:v>
      </x:c>
      <x:c r="I1723" s="32" t="n">
        <x:v>660000</x:v>
      </x:c>
      <x:c r="J1723" s="32" t="n">
        <x:v>660000</x:v>
      </x:c>
      <x:c r="K1723" s="30" t="n">
        <x:v>46027</x:v>
      </x:c>
      <x:c r="L1723" s="24" t="str">
        <x:v>입금</x:v>
      </x:c>
      <x:c r="M1723" s="31" t="n">
        <x:f>IF(AND(N1723="미수",G1723&lt;&gt;"",TODAY()&gt;G1723),TODAY()-G1723,0)</x:f>
        <x:v>0</x:v>
      </x:c>
      <x:c r="N1723" s="24" t="str">
        <x:f>IF(J1723&gt;0,"미수",IF(AND(H1723&gt;0,I1723&gt;=H1723),"완납","미확인"))</x:f>
        <x:v>미수</x:v>
      </x:c>
      <x:c r="O1723" s="31" t="n">
        <x:v>83</x:v>
      </x:c>
    </x:row>
    <x:row r="1724" ht="17.25" customHeight="1">
      <x:c r="A1724" s="24" t="str">
        <x:v>SW-B-827버3872-202512</x:v>
      </x:c>
      <x:c r="B1724" s="24" t="str">
        <x:v>스위치플랜</x:v>
      </x:c>
      <x:c r="C1724" s="24" t="str">
        <x:v>SW-C-827버3872-1-20240528-84</x:v>
      </x:c>
      <x:c r="D1724" s="24" t="str">
        <x:v>827버3872</x:v>
      </x:c>
      <x:c r="E1724" s="24" t="str">
        <x:v>전국연합누수119</x:v>
      </x:c>
      <x:c r="F1724" s="24" t="str">
        <x:v>2025-12</x:v>
      </x:c>
      <x:c r="G1724" s="30"/>
      <x:c r="H1724" s="32" t="n">
        <x:v>660000</x:v>
      </x:c>
      <x:c r="I1724" s="32" t="n">
        <x:v>660000</x:v>
      </x:c>
      <x:c r="J1724" s="32" t="n">
        <x:v>660000</x:v>
      </x:c>
      <x:c r="K1724" s="30" t="n">
        <x:v>45995</x:v>
      </x:c>
      <x:c r="L1724" s="24" t="str">
        <x:v>입금</x:v>
      </x:c>
      <x:c r="M1724" s="31" t="n">
        <x:f>IF(AND(N1724="미수",G1724&lt;&gt;"",TODAY()&gt;G1724),TODAY()-G1724,0)</x:f>
        <x:v>0</x:v>
      </x:c>
      <x:c r="N1724" s="24" t="str">
        <x:f>IF(J1724&gt;0,"미수",IF(AND(H1724&gt;0,I1724&gt;=H1724),"완납","미확인"))</x:f>
        <x:v>미수</x:v>
      </x:c>
      <x:c r="O1724" s="31" t="n">
        <x:v>83</x:v>
      </x:c>
    </x:row>
    <x:row r="1725" ht="17.25" customHeight="1">
      <x:c r="A1725" s="24" t="str">
        <x:v>SW-B-827버3872-202511</x:v>
      </x:c>
      <x:c r="B1725" s="24" t="str">
        <x:v>스위치플랜</x:v>
      </x:c>
      <x:c r="C1725" s="24" t="str">
        <x:v>SW-C-827버3872-1-20240528-84</x:v>
      </x:c>
      <x:c r="D1725" s="24" t="str">
        <x:v>827버3872</x:v>
      </x:c>
      <x:c r="E1725" s="24" t="str">
        <x:v>전국연합누수119</x:v>
      </x:c>
      <x:c r="F1725" s="24" t="str">
        <x:v>2025-11</x:v>
      </x:c>
      <x:c r="G1725" s="30"/>
      <x:c r="H1725" s="32" t="n">
        <x:v>660000</x:v>
      </x:c>
      <x:c r="I1725" s="32" t="n">
        <x:v>660000</x:v>
      </x:c>
      <x:c r="J1725" s="32" t="n">
        <x:v>660000</x:v>
      </x:c>
      <x:c r="K1725" s="30" t="n">
        <x:v>45965</x:v>
      </x:c>
      <x:c r="L1725" s="24" t="str">
        <x:v>입금</x:v>
      </x:c>
      <x:c r="M1725" s="31" t="n">
        <x:f>IF(AND(N1725="미수",G1725&lt;&gt;"",TODAY()&gt;G1725),TODAY()-G1725,0)</x:f>
        <x:v>0</x:v>
      </x:c>
      <x:c r="N1725" s="24" t="str">
        <x:f>IF(J1725&gt;0,"미수",IF(AND(H1725&gt;0,I1725&gt;=H1725),"완납","미확인"))</x:f>
        <x:v>미수</x:v>
      </x:c>
      <x:c r="O1725" s="31" t="n">
        <x:v>83</x:v>
      </x:c>
    </x:row>
    <x:row r="1726" ht="17.25" customHeight="1">
      <x:c r="A1726" s="24" t="str">
        <x:v>SW-B-827버3872-202510</x:v>
      </x:c>
      <x:c r="B1726" s="24" t="str">
        <x:v>스위치플랜</x:v>
      </x:c>
      <x:c r="C1726" s="24" t="str">
        <x:v>SW-C-827버3872-1-20240528-84</x:v>
      </x:c>
      <x:c r="D1726" s="24" t="str">
        <x:v>827버3872</x:v>
      </x:c>
      <x:c r="E1726" s="24" t="str">
        <x:v>전국연합누수119</x:v>
      </x:c>
      <x:c r="F1726" s="24" t="str">
        <x:v>2025-10</x:v>
      </x:c>
      <x:c r="G1726" s="30"/>
      <x:c r="H1726" s="32" t="n">
        <x:v>660000</x:v>
      </x:c>
      <x:c r="I1726" s="32"/>
      <x:c r="J1726" s="32" t="n">
        <x:v>660000</x:v>
      </x:c>
      <x:c r="K1726" s="30"/>
      <x:c r="L1726" s="24" t="str"/>
      <x:c r="M1726" s="31" t="n">
        <x:f>IF(AND(N1726="미수",G1726&lt;&gt;"",TODAY()&gt;G1726),TODAY()-G1726,0)</x:f>
        <x:v>0</x:v>
      </x:c>
      <x:c r="N1726" s="24" t="str">
        <x:f>IF(J1726&gt;0,"미수",IF(AND(H1726&gt;0,I1726&gt;=H1726),"완납","미확인"))</x:f>
        <x:v>미수</x:v>
      </x:c>
      <x:c r="O1726" s="31" t="n">
        <x:v>83</x:v>
      </x:c>
    </x:row>
    <x:row r="1727" ht="17.25" customHeight="1">
      <x:c r="A1727" s="24" t="str">
        <x:v>SW-B-827버3872-202509</x:v>
      </x:c>
      <x:c r="B1727" s="24" t="str">
        <x:v>스위치플랜</x:v>
      </x:c>
      <x:c r="C1727" s="24" t="str">
        <x:v>SW-C-827버3872-1-20240528-84</x:v>
      </x:c>
      <x:c r="D1727" s="24" t="str">
        <x:v>827버3872</x:v>
      </x:c>
      <x:c r="E1727" s="24" t="str">
        <x:v>전국연합누수119</x:v>
      </x:c>
      <x:c r="F1727" s="24" t="str">
        <x:v>2025-09</x:v>
      </x:c>
      <x:c r="G1727" s="30"/>
      <x:c r="H1727" s="32" t="n">
        <x:v>660000</x:v>
      </x:c>
      <x:c r="I1727" s="32" t="n">
        <x:v>660000</x:v>
      </x:c>
      <x:c r="J1727" s="32" t="n">
        <x:v>0</x:v>
      </x:c>
      <x:c r="K1727" s="30" t="n">
        <x:v>45933</x:v>
      </x:c>
      <x:c r="L1727" s="24" t="str">
        <x:v>입금</x:v>
      </x:c>
      <x:c r="M1727" s="31" t="n">
        <x:f>IF(AND(N1727="미수",G1727&lt;&gt;"",TODAY()&gt;G1727),TODAY()-G1727,0)</x:f>
        <x:v>0</x:v>
      </x:c>
      <x:c r="N1727" s="24" t="str">
        <x:f>IF(J1727&gt;0,"미수",IF(AND(H1727&gt;0,I1727&gt;=H1727),"완납","미확인"))</x:f>
        <x:v>완납</x:v>
      </x:c>
      <x:c r="O1727" s="31" t="n">
        <x:v>83</x:v>
      </x:c>
    </x:row>
    <x:row r="1728" ht="17.25" customHeight="1">
      <x:c r="A1728" s="24" t="str">
        <x:v>SW-B-827버3872-202508</x:v>
      </x:c>
      <x:c r="B1728" s="24" t="str">
        <x:v>스위치플랜</x:v>
      </x:c>
      <x:c r="C1728" s="24" t="str">
        <x:v>SW-C-827버3872-1-20240528-84</x:v>
      </x:c>
      <x:c r="D1728" s="24" t="str">
        <x:v>827버3872</x:v>
      </x:c>
      <x:c r="E1728" s="24" t="str">
        <x:v>전국연합누수119</x:v>
      </x:c>
      <x:c r="F1728" s="24" t="str">
        <x:v>2025-08</x:v>
      </x:c>
      <x:c r="G1728" s="30"/>
      <x:c r="H1728" s="32" t="n">
        <x:v>660000</x:v>
      </x:c>
      <x:c r="I1728" s="32" t="n">
        <x:v>660000</x:v>
      </x:c>
      <x:c r="J1728" s="32" t="n">
        <x:v>0</x:v>
      </x:c>
      <x:c r="K1728" s="30" t="n">
        <x:v>45903</x:v>
      </x:c>
      <x:c r="L1728" s="24" t="str">
        <x:v>입금</x:v>
      </x:c>
      <x:c r="M1728" s="31" t="n">
        <x:f>IF(AND(N1728="미수",G1728&lt;&gt;"",TODAY()&gt;G1728),TODAY()-G1728,0)</x:f>
        <x:v>0</x:v>
      </x:c>
      <x:c r="N1728" s="24" t="str">
        <x:f>IF(J1728&gt;0,"미수",IF(AND(H1728&gt;0,I1728&gt;=H1728),"완납","미확인"))</x:f>
        <x:v>완납</x:v>
      </x:c>
      <x:c r="O1728" s="31" t="n">
        <x:v>83</x:v>
      </x:c>
    </x:row>
    <x:row r="1729" ht="17.25" customHeight="1">
      <x:c r="A1729" s="24" t="str">
        <x:v>SW-B-827버3872-202507</x:v>
      </x:c>
      <x:c r="B1729" s="24" t="str">
        <x:v>스위치플랜</x:v>
      </x:c>
      <x:c r="C1729" s="24" t="str">
        <x:v>SW-C-827버3872-1-20240528-84</x:v>
      </x:c>
      <x:c r="D1729" s="24" t="str">
        <x:v>827버3872</x:v>
      </x:c>
      <x:c r="E1729" s="24" t="str">
        <x:v>전국연합누수119</x:v>
      </x:c>
      <x:c r="F1729" s="24" t="str">
        <x:v>2025-07</x:v>
      </x:c>
      <x:c r="G1729" s="30"/>
      <x:c r="H1729" s="32" t="n">
        <x:v>660000</x:v>
      </x:c>
      <x:c r="I1729" s="32" t="n">
        <x:v>660000</x:v>
      </x:c>
      <x:c r="J1729" s="32" t="n">
        <x:v>0</x:v>
      </x:c>
      <x:c r="K1729" s="30" t="n">
        <x:v>45875</x:v>
      </x:c>
      <x:c r="L1729" s="24" t="str">
        <x:v>입금</x:v>
      </x:c>
      <x:c r="M1729" s="31" t="n">
        <x:f>IF(AND(N1729="미수",G1729&lt;&gt;"",TODAY()&gt;G1729),TODAY()-G1729,0)</x:f>
        <x:v>0</x:v>
      </x:c>
      <x:c r="N1729" s="24" t="str">
        <x:f>IF(J1729&gt;0,"미수",IF(AND(H1729&gt;0,I1729&gt;=H1729),"완납","미확인"))</x:f>
        <x:v>완납</x:v>
      </x:c>
      <x:c r="O1729" s="31" t="n">
        <x:v>83</x:v>
      </x:c>
    </x:row>
    <x:row r="1730" ht="17.25" customHeight="1">
      <x:c r="A1730" s="24" t="str">
        <x:v>SW-B-827버3872-202506</x:v>
      </x:c>
      <x:c r="B1730" s="24" t="str">
        <x:v>스위치플랜</x:v>
      </x:c>
      <x:c r="C1730" s="24" t="str">
        <x:v>SW-C-827버3872-1-20240528-84</x:v>
      </x:c>
      <x:c r="D1730" s="24" t="str">
        <x:v>827버3872</x:v>
      </x:c>
      <x:c r="E1730" s="24" t="str">
        <x:v>전국연합누수119</x:v>
      </x:c>
      <x:c r="F1730" s="24" t="str">
        <x:v>2025-06</x:v>
      </x:c>
      <x:c r="G1730" s="30"/>
      <x:c r="H1730" s="32" t="n">
        <x:v>660000</x:v>
      </x:c>
      <x:c r="I1730" s="32" t="n">
        <x:v>660000</x:v>
      </x:c>
      <x:c r="J1730" s="32" t="n">
        <x:v>0</x:v>
      </x:c>
      <x:c r="K1730" s="30" t="n">
        <x:v>45845</x:v>
      </x:c>
      <x:c r="L1730" s="24" t="str">
        <x:v>입금</x:v>
      </x:c>
      <x:c r="M1730" s="31" t="n">
        <x:f>IF(AND(N1730="미수",G1730&lt;&gt;"",TODAY()&gt;G1730),TODAY()-G1730,0)</x:f>
        <x:v>0</x:v>
      </x:c>
      <x:c r="N1730" s="24" t="str">
        <x:f>IF(J1730&gt;0,"미수",IF(AND(H1730&gt;0,I1730&gt;=H1730),"완납","미확인"))</x:f>
        <x:v>완납</x:v>
      </x:c>
      <x:c r="O1730" s="31" t="n">
        <x:v>83</x:v>
      </x:c>
    </x:row>
    <x:row r="1731" ht="17.25" customHeight="1">
      <x:c r="A1731" s="24" t="str">
        <x:v>SW-B-827버3872-202505</x:v>
      </x:c>
      <x:c r="B1731" s="24" t="str">
        <x:v>스위치플랜</x:v>
      </x:c>
      <x:c r="C1731" s="24" t="str">
        <x:v>SW-C-827버3872-1-20240528-84</x:v>
      </x:c>
      <x:c r="D1731" s="24" t="str">
        <x:v>827버3872</x:v>
      </x:c>
      <x:c r="E1731" s="24" t="str">
        <x:v>전국연합누수119</x:v>
      </x:c>
      <x:c r="F1731" s="24" t="str">
        <x:v>2025-05</x:v>
      </x:c>
      <x:c r="G1731" s="30"/>
      <x:c r="H1731" s="32" t="n">
        <x:v>660000</x:v>
      </x:c>
      <x:c r="I1731" s="32" t="n">
        <x:v>660000</x:v>
      </x:c>
      <x:c r="J1731" s="32" t="n">
        <x:v>0</x:v>
      </x:c>
      <x:c r="K1731" s="30" t="n">
        <x:v>45813</x:v>
      </x:c>
      <x:c r="L1731" s="24" t="str">
        <x:v>입금</x:v>
      </x:c>
      <x:c r="M1731" s="31" t="n">
        <x:f>IF(AND(N1731="미수",G1731&lt;&gt;"",TODAY()&gt;G1731),TODAY()-G1731,0)</x:f>
        <x:v>0</x:v>
      </x:c>
      <x:c r="N1731" s="24" t="str">
        <x:f>IF(J1731&gt;0,"미수",IF(AND(H1731&gt;0,I1731&gt;=H1731),"완납","미확인"))</x:f>
        <x:v>완납</x:v>
      </x:c>
      <x:c r="O1731" s="31" t="n">
        <x:v>83</x:v>
      </x:c>
    </x:row>
    <x:row r="1732" ht="17.25" customHeight="1">
      <x:c r="A1732" s="24" t="str">
        <x:v>SW-B-827버3872-202504</x:v>
      </x:c>
      <x:c r="B1732" s="24" t="str">
        <x:v>스위치플랜</x:v>
      </x:c>
      <x:c r="C1732" s="24" t="str">
        <x:v>SW-C-827버3872-1-20240528-84</x:v>
      </x:c>
      <x:c r="D1732" s="24" t="str">
        <x:v>827버3872</x:v>
      </x:c>
      <x:c r="E1732" s="24" t="str">
        <x:v>전국연합누수119</x:v>
      </x:c>
      <x:c r="F1732" s="24" t="str">
        <x:v>2025-04</x:v>
      </x:c>
      <x:c r="G1732" s="30"/>
      <x:c r="H1732" s="32" t="n">
        <x:v>660000</x:v>
      </x:c>
      <x:c r="I1732" s="32" t="n">
        <x:v>660000</x:v>
      </x:c>
      <x:c r="J1732" s="32" t="n">
        <x:v>0</x:v>
      </x:c>
      <x:c r="K1732" s="30" t="n">
        <x:v>45790</x:v>
      </x:c>
      <x:c r="L1732" s="24" t="str">
        <x:v>입금</x:v>
      </x:c>
      <x:c r="M1732" s="31" t="n">
        <x:f>IF(AND(N1732="미수",G1732&lt;&gt;"",TODAY()&gt;G1732),TODAY()-G1732,0)</x:f>
        <x:v>0</x:v>
      </x:c>
      <x:c r="N1732" s="24" t="str">
        <x:f>IF(J1732&gt;0,"미수",IF(AND(H1732&gt;0,I1732&gt;=H1732),"완납","미확인"))</x:f>
        <x:v>완납</x:v>
      </x:c>
      <x:c r="O1732" s="31" t="n">
        <x:v>83</x:v>
      </x:c>
    </x:row>
    <x:row r="1733" ht="17.25" customHeight="1">
      <x:c r="A1733" s="24" t="str">
        <x:v>SW-B-827버3872-202503</x:v>
      </x:c>
      <x:c r="B1733" s="24" t="str">
        <x:v>스위치플랜</x:v>
      </x:c>
      <x:c r="C1733" s="24" t="str">
        <x:v>SW-C-827버3872-1-20240528-84</x:v>
      </x:c>
      <x:c r="D1733" s="24" t="str">
        <x:v>827버3872</x:v>
      </x:c>
      <x:c r="E1733" s="24" t="str">
        <x:v>전국연합누수119</x:v>
      </x:c>
      <x:c r="F1733" s="24" t="str">
        <x:v>2025-03</x:v>
      </x:c>
      <x:c r="G1733" s="30"/>
      <x:c r="H1733" s="32" t="n">
        <x:v>660000</x:v>
      </x:c>
      <x:c r="I1733" s="32" t="n">
        <x:v>660000</x:v>
      </x:c>
      <x:c r="J1733" s="32" t="n">
        <x:v>0</x:v>
      </x:c>
      <x:c r="K1733" s="30" t="n">
        <x:v>45757</x:v>
      </x:c>
      <x:c r="L1733" s="24" t="str">
        <x:v>입금</x:v>
      </x:c>
      <x:c r="M1733" s="31" t="n">
        <x:f>IF(AND(N1733="미수",G1733&lt;&gt;"",TODAY()&gt;G1733),TODAY()-G1733,0)</x:f>
        <x:v>0</x:v>
      </x:c>
      <x:c r="N1733" s="24" t="str">
        <x:f>IF(J1733&gt;0,"미수",IF(AND(H1733&gt;0,I1733&gt;=H1733),"완납","미확인"))</x:f>
        <x:v>완납</x:v>
      </x:c>
      <x:c r="O1733" s="31" t="n">
        <x:v>83</x:v>
      </x:c>
    </x:row>
    <x:row r="1734" ht="17.25" customHeight="1">
      <x:c r="A1734" s="24" t="str">
        <x:v>SW-B-827버3872-202502</x:v>
      </x:c>
      <x:c r="B1734" s="24" t="str">
        <x:v>스위치플랜</x:v>
      </x:c>
      <x:c r="C1734" s="24" t="str">
        <x:v>SW-C-827버3872-1-20240528-84</x:v>
      </x:c>
      <x:c r="D1734" s="24" t="str">
        <x:v>827버3872</x:v>
      </x:c>
      <x:c r="E1734" s="24" t="str">
        <x:v>전국연합누수119</x:v>
      </x:c>
      <x:c r="F1734" s="24" t="str">
        <x:v>2025-02</x:v>
      </x:c>
      <x:c r="G1734" s="30"/>
      <x:c r="H1734" s="32" t="n">
        <x:v>660000</x:v>
      </x:c>
      <x:c r="I1734" s="32" t="n">
        <x:v>660000</x:v>
      </x:c>
      <x:c r="J1734" s="32" t="n">
        <x:v>0</x:v>
      </x:c>
      <x:c r="K1734" s="30" t="n">
        <x:v>45723</x:v>
      </x:c>
      <x:c r="L1734" s="24" t="str">
        <x:v>입금</x:v>
      </x:c>
      <x:c r="M1734" s="31" t="n">
        <x:f>IF(AND(N1734="미수",G1734&lt;&gt;"",TODAY()&gt;G1734),TODAY()-G1734,0)</x:f>
        <x:v>0</x:v>
      </x:c>
      <x:c r="N1734" s="24" t="str">
        <x:f>IF(J1734&gt;0,"미수",IF(AND(H1734&gt;0,I1734&gt;=H1734),"완납","미확인"))</x:f>
        <x:v>완납</x:v>
      </x:c>
      <x:c r="O1734" s="31" t="n">
        <x:v>83</x:v>
      </x:c>
    </x:row>
    <x:row r="1735" ht="17.25" customHeight="1">
      <x:c r="A1735" s="24" t="str">
        <x:v>SW-B-827버3872-202501</x:v>
      </x:c>
      <x:c r="B1735" s="24" t="str">
        <x:v>스위치플랜</x:v>
      </x:c>
      <x:c r="C1735" s="24" t="str">
        <x:v>SW-C-827버3872-1-20240528-84</x:v>
      </x:c>
      <x:c r="D1735" s="24" t="str">
        <x:v>827버3872</x:v>
      </x:c>
      <x:c r="E1735" s="24" t="str">
        <x:v>전국연합누수119</x:v>
      </x:c>
      <x:c r="F1735" s="24" t="str">
        <x:v>2025-01</x:v>
      </x:c>
      <x:c r="G1735" s="30"/>
      <x:c r="H1735" s="32" t="n">
        <x:v>660000</x:v>
      </x:c>
      <x:c r="I1735" s="32" t="n">
        <x:v>660000</x:v>
      </x:c>
      <x:c r="J1735" s="32" t="n">
        <x:v>0</x:v>
      </x:c>
      <x:c r="K1735" s="30" t="n">
        <x:v>45693</x:v>
      </x:c>
      <x:c r="L1735" s="24" t="str">
        <x:v>입금</x:v>
      </x:c>
      <x:c r="M1735" s="31" t="n">
        <x:f>IF(AND(N1735="미수",G1735&lt;&gt;"",TODAY()&gt;G1735),TODAY()-G1735,0)</x:f>
        <x:v>0</x:v>
      </x:c>
      <x:c r="N1735" s="24" t="str">
        <x:f>IF(J1735&gt;0,"미수",IF(AND(H1735&gt;0,I1735&gt;=H1735),"완납","미확인"))</x:f>
        <x:v>완납</x:v>
      </x:c>
      <x:c r="O1735" s="31" t="n">
        <x:v>83</x:v>
      </x:c>
    </x:row>
    <x:row r="1736" ht="17.25" customHeight="1">
      <x:c r="A1736" s="24" t="str">
        <x:v>SW-B-827버3872-202412</x:v>
      </x:c>
      <x:c r="B1736" s="24" t="str">
        <x:v>스위치플랜</x:v>
      </x:c>
      <x:c r="C1736" s="24" t="str">
        <x:v>SW-C-827버3872-1-20240528-84</x:v>
      </x:c>
      <x:c r="D1736" s="24" t="str">
        <x:v>827버3872</x:v>
      </x:c>
      <x:c r="E1736" s="24" t="str">
        <x:v>전국연합누수119</x:v>
      </x:c>
      <x:c r="F1736" s="24" t="str">
        <x:v>2024-12</x:v>
      </x:c>
      <x:c r="G1736" s="30"/>
      <x:c r="H1736" s="32" t="n">
        <x:v>660000</x:v>
      </x:c>
      <x:c r="I1736" s="32" t="n">
        <x:v>660000</x:v>
      </x:c>
      <x:c r="J1736" s="32" t="n">
        <x:v>0</x:v>
      </x:c>
      <x:c r="K1736" s="30" t="n">
        <x:v>45664</x:v>
      </x:c>
      <x:c r="L1736" s="24" t="str">
        <x:v>입금</x:v>
      </x:c>
      <x:c r="M1736" s="31" t="n">
        <x:f>IF(AND(N1736="미수",G1736&lt;&gt;"",TODAY()&gt;G1736),TODAY()-G1736,0)</x:f>
        <x:v>0</x:v>
      </x:c>
      <x:c r="N1736" s="24" t="str">
        <x:f>IF(J1736&gt;0,"미수",IF(AND(H1736&gt;0,I1736&gt;=H1736),"완납","미확인"))</x:f>
        <x:v>완납</x:v>
      </x:c>
      <x:c r="O1736" s="31" t="n">
        <x:v>83</x:v>
      </x:c>
    </x:row>
    <x:row r="1737" ht="17.25" customHeight="1">
      <x:c r="A1737" s="24" t="str">
        <x:v>SW-B-827버3872-202411</x:v>
      </x:c>
      <x:c r="B1737" s="24" t="str">
        <x:v>스위치플랜</x:v>
      </x:c>
      <x:c r="C1737" s="24" t="str">
        <x:v>SW-C-827버3872-1-20240528-84</x:v>
      </x:c>
      <x:c r="D1737" s="24" t="str">
        <x:v>827버3872</x:v>
      </x:c>
      <x:c r="E1737" s="24" t="str">
        <x:v>전국연합누수119</x:v>
      </x:c>
      <x:c r="F1737" s="24" t="str">
        <x:v>2024-11</x:v>
      </x:c>
      <x:c r="G1737" s="30"/>
      <x:c r="H1737" s="32" t="n">
        <x:v>660000</x:v>
      </x:c>
      <x:c r="I1737" s="32" t="n">
        <x:v>660000</x:v>
      </x:c>
      <x:c r="J1737" s="32" t="n">
        <x:v>0</x:v>
      </x:c>
      <x:c r="K1737" s="30" t="n">
        <x:v>45628</x:v>
      </x:c>
      <x:c r="L1737" s="24" t="str">
        <x:v>입금</x:v>
      </x:c>
      <x:c r="M1737" s="31" t="n">
        <x:f>IF(AND(N1737="미수",G1737&lt;&gt;"",TODAY()&gt;G1737),TODAY()-G1737,0)</x:f>
        <x:v>0</x:v>
      </x:c>
      <x:c r="N1737" s="24" t="str">
        <x:f>IF(J1737&gt;0,"미수",IF(AND(H1737&gt;0,I1737&gt;=H1737),"완납","미확인"))</x:f>
        <x:v>완납</x:v>
      </x:c>
      <x:c r="O1737" s="31" t="n">
        <x:v>83</x:v>
      </x:c>
    </x:row>
    <x:row r="1738" ht="17.25" customHeight="1">
      <x:c r="A1738" s="24" t="str">
        <x:v>SW-B-827버3872-202410</x:v>
      </x:c>
      <x:c r="B1738" s="24" t="str">
        <x:v>스위치플랜</x:v>
      </x:c>
      <x:c r="C1738" s="24" t="str">
        <x:v>SW-C-827버3872-1-20240528-84</x:v>
      </x:c>
      <x:c r="D1738" s="24" t="str">
        <x:v>827버3872</x:v>
      </x:c>
      <x:c r="E1738" s="24" t="str">
        <x:v>전국연합누수119</x:v>
      </x:c>
      <x:c r="F1738" s="24" t="str">
        <x:v>2024-10</x:v>
      </x:c>
      <x:c r="G1738" s="30"/>
      <x:c r="H1738" s="32" t="n">
        <x:v>660000</x:v>
      </x:c>
      <x:c r="I1738" s="32" t="n">
        <x:v>660000</x:v>
      </x:c>
      <x:c r="J1738" s="32" t="n">
        <x:v>0</x:v>
      </x:c>
      <x:c r="K1738" s="30" t="n">
        <x:v>45602</x:v>
      </x:c>
      <x:c r="L1738" s="24" t="str">
        <x:v>입금</x:v>
      </x:c>
      <x:c r="M1738" s="31" t="n">
        <x:f>IF(AND(N1738="미수",G1738&lt;&gt;"",TODAY()&gt;G1738),TODAY()-G1738,0)</x:f>
        <x:v>0</x:v>
      </x:c>
      <x:c r="N1738" s="24" t="str">
        <x:f>IF(J1738&gt;0,"미수",IF(AND(H1738&gt;0,I1738&gt;=H1738),"완납","미확인"))</x:f>
        <x:v>완납</x:v>
      </x:c>
      <x:c r="O1738" s="31" t="n">
        <x:v>83</x:v>
      </x:c>
    </x:row>
    <x:row r="1739" ht="17.25" customHeight="1">
      <x:c r="A1739" s="24" t="str">
        <x:v>SW-B-827버3872-202409</x:v>
      </x:c>
      <x:c r="B1739" s="24" t="str">
        <x:v>스위치플랜</x:v>
      </x:c>
      <x:c r="C1739" s="24" t="str">
        <x:v>SW-C-827버3872-1-20240528-84</x:v>
      </x:c>
      <x:c r="D1739" s="24" t="str">
        <x:v>827버3872</x:v>
      </x:c>
      <x:c r="E1739" s="24" t="str">
        <x:v>전국연합누수119</x:v>
      </x:c>
      <x:c r="F1739" s="24" t="str">
        <x:v>2024-09</x:v>
      </x:c>
      <x:c r="G1739" s="30"/>
      <x:c r="H1739" s="32" t="n">
        <x:v>660000</x:v>
      </x:c>
      <x:c r="I1739" s="32" t="n">
        <x:v>660000</x:v>
      </x:c>
      <x:c r="J1739" s="32" t="n">
        <x:v>0</x:v>
      </x:c>
      <x:c r="K1739" s="30" t="n">
        <x:v>45569</x:v>
      </x:c>
      <x:c r="L1739" s="24" t="str">
        <x:v>입금</x:v>
      </x:c>
      <x:c r="M1739" s="31" t="n">
        <x:f>IF(AND(N1739="미수",G1739&lt;&gt;"",TODAY()&gt;G1739),TODAY()-G1739,0)</x:f>
        <x:v>0</x:v>
      </x:c>
      <x:c r="N1739" s="24" t="str">
        <x:f>IF(J1739&gt;0,"미수",IF(AND(H1739&gt;0,I1739&gt;=H1739),"완납","미확인"))</x:f>
        <x:v>완납</x:v>
      </x:c>
      <x:c r="O1739" s="31" t="n">
        <x:v>83</x:v>
      </x:c>
    </x:row>
    <x:row r="1740" ht="17.25" customHeight="1">
      <x:c r="A1740" s="24" t="str">
        <x:v>SW-B-827버3872-202408</x:v>
      </x:c>
      <x:c r="B1740" s="24" t="str">
        <x:v>스위치플랜</x:v>
      </x:c>
      <x:c r="C1740" s="24" t="str">
        <x:v>SW-C-827버3872-1-20240528-84</x:v>
      </x:c>
      <x:c r="D1740" s="24" t="str">
        <x:v>827버3872</x:v>
      </x:c>
      <x:c r="E1740" s="24" t="str">
        <x:v>전국연합누수119</x:v>
      </x:c>
      <x:c r="F1740" s="24" t="str">
        <x:v>2024-08</x:v>
      </x:c>
      <x:c r="G1740" s="30"/>
      <x:c r="H1740" s="32" t="n">
        <x:v>660000</x:v>
      </x:c>
      <x:c r="I1740" s="32" t="n">
        <x:v>660000</x:v>
      </x:c>
      <x:c r="J1740" s="32" t="n">
        <x:v>0</x:v>
      </x:c>
      <x:c r="K1740" s="30" t="n">
        <x:v>45539</x:v>
      </x:c>
      <x:c r="L1740" s="24" t="str">
        <x:v>입금</x:v>
      </x:c>
      <x:c r="M1740" s="31" t="n">
        <x:f>IF(AND(N1740="미수",G1740&lt;&gt;"",TODAY()&gt;G1740),TODAY()-G1740,0)</x:f>
        <x:v>0</x:v>
      </x:c>
      <x:c r="N1740" s="24" t="str">
        <x:f>IF(J1740&gt;0,"미수",IF(AND(H1740&gt;0,I1740&gt;=H1740),"완납","미확인"))</x:f>
        <x:v>완납</x:v>
      </x:c>
      <x:c r="O1740" s="31" t="n">
        <x:v>83</x:v>
      </x:c>
    </x:row>
    <x:row r="1741" ht="17.25" customHeight="1">
      <x:c r="A1741" s="24" t="str">
        <x:v>SW-B-827버3872-202407</x:v>
      </x:c>
      <x:c r="B1741" s="24" t="str">
        <x:v>스위치플랜</x:v>
      </x:c>
      <x:c r="C1741" s="24" t="str">
        <x:v>SW-C-827버3872-1-20240528-84</x:v>
      </x:c>
      <x:c r="D1741" s="24" t="str">
        <x:v>827버3872</x:v>
      </x:c>
      <x:c r="E1741" s="24" t="str">
        <x:v>전국연합누수119</x:v>
      </x:c>
      <x:c r="F1741" s="24" t="str">
        <x:v>2024-07</x:v>
      </x:c>
      <x:c r="G1741" s="30"/>
      <x:c r="H1741" s="32" t="n">
        <x:v>660000</x:v>
      </x:c>
      <x:c r="I1741" s="32" t="n">
        <x:v>660000</x:v>
      </x:c>
      <x:c r="J1741" s="32" t="n">
        <x:v>0</x:v>
      </x:c>
      <x:c r="K1741" s="30" t="n">
        <x:v>45506</x:v>
      </x:c>
      <x:c r="L1741" s="24" t="str">
        <x:v>입금</x:v>
      </x:c>
      <x:c r="M1741" s="31" t="n">
        <x:f>IF(AND(N1741="미수",G1741&lt;&gt;"",TODAY()&gt;G1741),TODAY()-G1741,0)</x:f>
        <x:v>0</x:v>
      </x:c>
      <x:c r="N1741" s="24" t="str">
        <x:f>IF(J1741&gt;0,"미수",IF(AND(H1741&gt;0,I1741&gt;=H1741),"완납","미확인"))</x:f>
        <x:v>완납</x:v>
      </x:c>
      <x:c r="O1741" s="31" t="n">
        <x:v>83</x:v>
      </x:c>
    </x:row>
    <x:row r="1742" ht="17.25" customHeight="1">
      <x:c r="A1742" s="24" t="str">
        <x:v>SW-B-827버3872-202406</x:v>
      </x:c>
      <x:c r="B1742" s="24" t="str">
        <x:v>스위치플랜</x:v>
      </x:c>
      <x:c r="C1742" s="24" t="str">
        <x:v>SW-C-827버3872-1-20240528-84</x:v>
      </x:c>
      <x:c r="D1742" s="24" t="str">
        <x:v>827버3872</x:v>
      </x:c>
      <x:c r="E1742" s="24" t="str">
        <x:v>전국연합누수119</x:v>
      </x:c>
      <x:c r="F1742" s="24" t="str">
        <x:v>2024-06</x:v>
      </x:c>
      <x:c r="G1742" s="30"/>
      <x:c r="H1742" s="32" t="n">
        <x:v>660000</x:v>
      </x:c>
      <x:c r="I1742" s="32" t="n">
        <x:v>660000</x:v>
      </x:c>
      <x:c r="J1742" s="32" t="n">
        <x:v>0</x:v>
      </x:c>
      <x:c r="K1742" s="30" t="n">
        <x:v>45478</x:v>
      </x:c>
      <x:c r="L1742" s="24" t="str">
        <x:v>입금</x:v>
      </x:c>
      <x:c r="M1742" s="31" t="n">
        <x:f>IF(AND(N1742="미수",G1742&lt;&gt;"",TODAY()&gt;G1742),TODAY()-G1742,0)</x:f>
        <x:v>0</x:v>
      </x:c>
      <x:c r="N1742" s="24" t="str">
        <x:f>IF(J1742&gt;0,"미수",IF(AND(H1742&gt;0,I1742&gt;=H1742),"완납","미확인"))</x:f>
        <x:v>완납</x:v>
      </x:c>
      <x:c r="O1742" s="31" t="n">
        <x:v>83</x:v>
      </x:c>
    </x:row>
    <x:row r="1743" ht="17.25" customHeight="1">
      <x:c r="A1743" s="24" t="str">
        <x:v>SW-B-827버3872-202405</x:v>
      </x:c>
      <x:c r="B1743" s="24" t="str">
        <x:v>스위치플랜</x:v>
      </x:c>
      <x:c r="C1743" s="24" t="str">
        <x:v>SW-C-827버3872-1-20240528-84</x:v>
      </x:c>
      <x:c r="D1743" s="24" t="str">
        <x:v>827버3872</x:v>
      </x:c>
      <x:c r="E1743" s="24" t="str">
        <x:v>전국연합누수119</x:v>
      </x:c>
      <x:c r="F1743" s="24" t="str">
        <x:v>2024-05</x:v>
      </x:c>
      <x:c r="G1743" s="30"/>
      <x:c r="H1743" s="32" t="n">
        <x:v>660000</x:v>
      </x:c>
      <x:c r="I1743" s="32" t="n">
        <x:v>660000</x:v>
      </x:c>
      <x:c r="J1743" s="32" t="n">
        <x:v>0</x:v>
      </x:c>
      <x:c r="K1743" s="30" t="n">
        <x:v>45428</x:v>
      </x:c>
      <x:c r="L1743" s="24" t="str">
        <x:v>입금</x:v>
      </x:c>
      <x:c r="M1743" s="31" t="n">
        <x:f>IF(AND(N1743="미수",G1743&lt;&gt;"",TODAY()&gt;G1743),TODAY()-G1743,0)</x:f>
        <x:v>0</x:v>
      </x:c>
      <x:c r="N1743" s="24" t="str">
        <x:f>IF(J1743&gt;0,"미수",IF(AND(H1743&gt;0,I1743&gt;=H1743),"완납","미확인"))</x:f>
        <x:v>완납</x:v>
      </x:c>
      <x:c r="O1743" s="31" t="n">
        <x:v>83</x:v>
      </x:c>
    </x:row>
    <x:row r="1744" ht="17.25" customHeight="1">
      <x:c r="A1744" s="24" t="str">
        <x:v>SW-B-201다3498-202608</x:v>
      </x:c>
      <x:c r="B1744" s="24" t="str">
        <x:v>스위치플랜</x:v>
      </x:c>
      <x:c r="C1744" s="24" t="str">
        <x:v>SW-C-201다3498-1-20240110-85</x:v>
      </x:c>
      <x:c r="D1744" s="24" t="str">
        <x:v>201다3498</x:v>
      </x:c>
      <x:c r="E1744" s="24" t="str">
        <x:v>남정식</x:v>
      </x:c>
      <x:c r="F1744" s="24" t="str">
        <x:v>2026-08</x:v>
      </x:c>
      <x:c r="G1744" s="30" t="n">
        <x:v>46244</x:v>
      </x:c>
      <x:c r="H1744" s="32" t="n">
        <x:v>1160000</x:v>
      </x:c>
      <x:c r="I1744" s="32" t="n">
        <x:v>1160000</x:v>
      </x:c>
      <x:c r="J1744" s="32" t="n">
        <x:v>0</x:v>
      </x:c>
      <x:c r="K1744" s="30" t="n">
        <x:v>46245</x:v>
      </x:c>
      <x:c r="L1744" s="24" t="str">
        <x:v>입금</x:v>
      </x:c>
      <x:c r="M1744" s="31" t="n">
        <x:f>IF(AND(N1744="미수",G1744&lt;&gt;"",TODAY()&gt;G1744),TODAY()-G1744,0)</x:f>
        <x:v>0</x:v>
      </x:c>
      <x:c r="N1744" s="24" t="str">
        <x:f>IF(J1744&gt;0,"미수",IF(AND(H1744&gt;0,I1744&gt;=H1744),"완납","미확인"))</x:f>
        <x:v>완납</x:v>
      </x:c>
      <x:c r="O1744" s="31" t="n">
        <x:v>84</x:v>
      </x:c>
    </x:row>
    <x:row r="1745" ht="17.25" customHeight="1">
      <x:c r="A1745" s="24" t="str">
        <x:v>SW-B-201다3498-202607</x:v>
      </x:c>
      <x:c r="B1745" s="24" t="str">
        <x:v>스위치플랜</x:v>
      </x:c>
      <x:c r="C1745" s="24" t="str">
        <x:v>SW-C-201다3498-1-20240110-85</x:v>
      </x:c>
      <x:c r="D1745" s="24" t="str">
        <x:v>201다3498</x:v>
      </x:c>
      <x:c r="E1745" s="24" t="str">
        <x:v>남정식</x:v>
      </x:c>
      <x:c r="F1745" s="24" t="str">
        <x:v>2026-07</x:v>
      </x:c>
      <x:c r="G1745" s="30" t="n">
        <x:v>46213</x:v>
      </x:c>
      <x:c r="H1745" s="32" t="n">
        <x:v>1160000</x:v>
      </x:c>
      <x:c r="I1745" s="32" t="n">
        <x:v>1160000</x:v>
      </x:c>
      <x:c r="J1745" s="32" t="n">
        <x:v>0</x:v>
      </x:c>
      <x:c r="K1745" s="30" t="n">
        <x:v>46211</x:v>
      </x:c>
      <x:c r="L1745" s="24" t="str">
        <x:v>입금</x:v>
      </x:c>
      <x:c r="M1745" s="31" t="n">
        <x:f>IF(AND(N1745="미수",G1745&lt;&gt;"",TODAY()&gt;G1745),TODAY()-G1745,0)</x:f>
        <x:v>0</x:v>
      </x:c>
      <x:c r="N1745" s="24" t="str">
        <x:f>IF(J1745&gt;0,"미수",IF(AND(H1745&gt;0,I1745&gt;=H1745),"완납","미확인"))</x:f>
        <x:v>완납</x:v>
      </x:c>
      <x:c r="O1745" s="31" t="n">
        <x:v>84</x:v>
      </x:c>
    </x:row>
    <x:row r="1746" ht="17.25" customHeight="1">
      <x:c r="A1746" s="24" t="str">
        <x:v>SW-B-201다3498-202606</x:v>
      </x:c>
      <x:c r="B1746" s="24" t="str">
        <x:v>스위치플랜</x:v>
      </x:c>
      <x:c r="C1746" s="24" t="str">
        <x:v>SW-C-201다3498-1-20240110-85</x:v>
      </x:c>
      <x:c r="D1746" s="24" t="str">
        <x:v>201다3498</x:v>
      </x:c>
      <x:c r="E1746" s="24" t="str">
        <x:v>남정식</x:v>
      </x:c>
      <x:c r="F1746" s="24" t="str">
        <x:v>2026-06</x:v>
      </x:c>
      <x:c r="G1746" s="30" t="n">
        <x:v>46183</x:v>
      </x:c>
      <x:c r="H1746" s="32" t="n">
        <x:v>1160000</x:v>
      </x:c>
      <x:c r="I1746" s="32" t="n">
        <x:v>1160000</x:v>
      </x:c>
      <x:c r="J1746" s="32" t="n">
        <x:v>0</x:v>
      </x:c>
      <x:c r="K1746" s="30" t="n">
        <x:v>46182</x:v>
      </x:c>
      <x:c r="L1746" s="24" t="str">
        <x:v>입금</x:v>
      </x:c>
      <x:c r="M1746" s="31" t="n">
        <x:f>IF(AND(N1746="미수",G1746&lt;&gt;"",TODAY()&gt;G1746),TODAY()-G1746,0)</x:f>
        <x:v>0</x:v>
      </x:c>
      <x:c r="N1746" s="24" t="str">
        <x:f>IF(J1746&gt;0,"미수",IF(AND(H1746&gt;0,I1746&gt;=H1746),"완납","미확인"))</x:f>
        <x:v>완납</x:v>
      </x:c>
      <x:c r="O1746" s="31" t="n">
        <x:v>84</x:v>
      </x:c>
    </x:row>
    <x:row r="1747" ht="17.25" customHeight="1">
      <x:c r="A1747" s="24" t="str">
        <x:v>SW-B-201다3498-202605</x:v>
      </x:c>
      <x:c r="B1747" s="24" t="str">
        <x:v>스위치플랜</x:v>
      </x:c>
      <x:c r="C1747" s="24" t="str">
        <x:v>SW-C-201다3498-1-20240110-85</x:v>
      </x:c>
      <x:c r="D1747" s="24" t="str">
        <x:v>201다3498</x:v>
      </x:c>
      <x:c r="E1747" s="24" t="str">
        <x:v>남정식</x:v>
      </x:c>
      <x:c r="F1747" s="24" t="str">
        <x:v>2026-05</x:v>
      </x:c>
      <x:c r="G1747" s="30" t="n">
        <x:v>46152</x:v>
      </x:c>
      <x:c r="H1747" s="32" t="n">
        <x:v>1160000</x:v>
      </x:c>
      <x:c r="I1747" s="32" t="n">
        <x:v>1160000</x:v>
      </x:c>
      <x:c r="J1747" s="32" t="n">
        <x:v>0</x:v>
      </x:c>
      <x:c r="K1747" s="30" t="n">
        <x:v>46150</x:v>
      </x:c>
      <x:c r="L1747" s="24" t="str">
        <x:v>입금</x:v>
      </x:c>
      <x:c r="M1747" s="31" t="n">
        <x:f>IF(AND(N1747="미수",G1747&lt;&gt;"",TODAY()&gt;G1747),TODAY()-G1747,0)</x:f>
        <x:v>0</x:v>
      </x:c>
      <x:c r="N1747" s="24" t="str">
        <x:f>IF(J1747&gt;0,"미수",IF(AND(H1747&gt;0,I1747&gt;=H1747),"완납","미확인"))</x:f>
        <x:v>완납</x:v>
      </x:c>
      <x:c r="O1747" s="31" t="n">
        <x:v>84</x:v>
      </x:c>
    </x:row>
    <x:row r="1748" ht="17.25" customHeight="1">
      <x:c r="A1748" s="24" t="str">
        <x:v>SW-B-201다3498-202604</x:v>
      </x:c>
      <x:c r="B1748" s="24" t="str">
        <x:v>스위치플랜</x:v>
      </x:c>
      <x:c r="C1748" s="24" t="str">
        <x:v>SW-C-201다3498-1-20240110-85</x:v>
      </x:c>
      <x:c r="D1748" s="24" t="str">
        <x:v>201다3498</x:v>
      </x:c>
      <x:c r="E1748" s="24" t="str">
        <x:v>남정식</x:v>
      </x:c>
      <x:c r="F1748" s="24" t="str">
        <x:v>2026-04</x:v>
      </x:c>
      <x:c r="G1748" s="30" t="n">
        <x:v>46122</x:v>
      </x:c>
      <x:c r="H1748" s="32" t="n">
        <x:v>1160000</x:v>
      </x:c>
      <x:c r="I1748" s="32" t="n">
        <x:v>1160000</x:v>
      </x:c>
      <x:c r="J1748" s="32" t="n">
        <x:v>0</x:v>
      </x:c>
      <x:c r="K1748" s="30" t="n">
        <x:v>46120</x:v>
      </x:c>
      <x:c r="L1748" s="24" t="str">
        <x:v>입금</x:v>
      </x:c>
      <x:c r="M1748" s="31" t="n">
        <x:f>IF(AND(N1748="미수",G1748&lt;&gt;"",TODAY()&gt;G1748),TODAY()-G1748,0)</x:f>
        <x:v>0</x:v>
      </x:c>
      <x:c r="N1748" s="24" t="str">
        <x:f>IF(J1748&gt;0,"미수",IF(AND(H1748&gt;0,I1748&gt;=H1748),"완납","미확인"))</x:f>
        <x:v>완납</x:v>
      </x:c>
      <x:c r="O1748" s="31" t="n">
        <x:v>84</x:v>
      </x:c>
    </x:row>
    <x:row r="1749" ht="17.25" customHeight="1">
      <x:c r="A1749" s="24" t="str">
        <x:v>SW-B-201다3498-202603</x:v>
      </x:c>
      <x:c r="B1749" s="24" t="str">
        <x:v>스위치플랜</x:v>
      </x:c>
      <x:c r="C1749" s="24" t="str">
        <x:v>SW-C-201다3498-1-20240110-85</x:v>
      </x:c>
      <x:c r="D1749" s="24" t="str">
        <x:v>201다3498</x:v>
      </x:c>
      <x:c r="E1749" s="24" t="str">
        <x:v>남정식</x:v>
      </x:c>
      <x:c r="F1749" s="24" t="str">
        <x:v>2026-03</x:v>
      </x:c>
      <x:c r="G1749" s="30" t="n">
        <x:v>46091</x:v>
      </x:c>
      <x:c r="H1749" s="32" t="n">
        <x:v>1160000</x:v>
      </x:c>
      <x:c r="I1749" s="32" t="n">
        <x:v>1160000</x:v>
      </x:c>
      <x:c r="J1749" s="32" t="n">
        <x:v>0</x:v>
      </x:c>
      <x:c r="K1749" s="30" t="n">
        <x:v>46090</x:v>
      </x:c>
      <x:c r="L1749" s="24" t="str">
        <x:v>입금</x:v>
      </x:c>
      <x:c r="M1749" s="31" t="n">
        <x:f>IF(AND(N1749="미수",G1749&lt;&gt;"",TODAY()&gt;G1749),TODAY()-G1749,0)</x:f>
        <x:v>0</x:v>
      </x:c>
      <x:c r="N1749" s="24" t="str">
        <x:f>IF(J1749&gt;0,"미수",IF(AND(H1749&gt;0,I1749&gt;=H1749),"완납","미확인"))</x:f>
        <x:v>완납</x:v>
      </x:c>
      <x:c r="O1749" s="31" t="n">
        <x:v>84</x:v>
      </x:c>
    </x:row>
    <x:row r="1750" ht="17.25" customHeight="1">
      <x:c r="A1750" s="24" t="str">
        <x:v>SW-B-201다3498-202602</x:v>
      </x:c>
      <x:c r="B1750" s="24" t="str">
        <x:v>스위치플랜</x:v>
      </x:c>
      <x:c r="C1750" s="24" t="str">
        <x:v>SW-C-201다3498-1-20240110-85</x:v>
      </x:c>
      <x:c r="D1750" s="24" t="str">
        <x:v>201다3498</x:v>
      </x:c>
      <x:c r="E1750" s="24" t="str">
        <x:v>남정식</x:v>
      </x:c>
      <x:c r="F1750" s="24" t="str">
        <x:v>2026-02</x:v>
      </x:c>
      <x:c r="G1750" s="30" t="n">
        <x:v>46063</x:v>
      </x:c>
      <x:c r="H1750" s="32" t="n">
        <x:v>1160000</x:v>
      </x:c>
      <x:c r="I1750" s="32" t="n">
        <x:v>1160000</x:v>
      </x:c>
      <x:c r="J1750" s="32" t="n">
        <x:v>0</x:v>
      </x:c>
      <x:c r="K1750" s="30" t="n">
        <x:v>46062</x:v>
      </x:c>
      <x:c r="L1750" s="24" t="str">
        <x:v>입금</x:v>
      </x:c>
      <x:c r="M1750" s="31" t="n">
        <x:f>IF(AND(N1750="미수",G1750&lt;&gt;"",TODAY()&gt;G1750),TODAY()-G1750,0)</x:f>
        <x:v>0</x:v>
      </x:c>
      <x:c r="N1750" s="24" t="str">
        <x:f>IF(J1750&gt;0,"미수",IF(AND(H1750&gt;0,I1750&gt;=H1750),"완납","미확인"))</x:f>
        <x:v>완납</x:v>
      </x:c>
      <x:c r="O1750" s="31" t="n">
        <x:v>84</x:v>
      </x:c>
    </x:row>
    <x:row r="1751" ht="17.25" customHeight="1">
      <x:c r="A1751" s="24" t="str">
        <x:v>SW-B-201다3498-202601</x:v>
      </x:c>
      <x:c r="B1751" s="24" t="str">
        <x:v>스위치플랜</x:v>
      </x:c>
      <x:c r="C1751" s="24" t="str">
        <x:v>SW-C-201다3498-1-20240110-85</x:v>
      </x:c>
      <x:c r="D1751" s="24" t="str">
        <x:v>201다3498</x:v>
      </x:c>
      <x:c r="E1751" s="24" t="str">
        <x:v>남정식</x:v>
      </x:c>
      <x:c r="F1751" s="24" t="str">
        <x:v>2026-01</x:v>
      </x:c>
      <x:c r="G1751" s="30" t="n">
        <x:v>46032</x:v>
      </x:c>
      <x:c r="H1751" s="32" t="n">
        <x:v>1160000</x:v>
      </x:c>
      <x:c r="I1751" s="32" t="n">
        <x:v>1160000</x:v>
      </x:c>
      <x:c r="J1751" s="32" t="n">
        <x:v>0</x:v>
      </x:c>
      <x:c r="K1751" s="30" t="n">
        <x:v>46031</x:v>
      </x:c>
      <x:c r="L1751" s="24" t="str">
        <x:v>입금</x:v>
      </x:c>
      <x:c r="M1751" s="31" t="n">
        <x:f>IF(AND(N1751="미수",G1751&lt;&gt;"",TODAY()&gt;G1751),TODAY()-G1751,0)</x:f>
        <x:v>0</x:v>
      </x:c>
      <x:c r="N1751" s="24" t="str">
        <x:f>IF(J1751&gt;0,"미수",IF(AND(H1751&gt;0,I1751&gt;=H1751),"완납","미확인"))</x:f>
        <x:v>완납</x:v>
      </x:c>
      <x:c r="O1751" s="31" t="n">
        <x:v>84</x:v>
      </x:c>
    </x:row>
    <x:row r="1752" ht="17.25" customHeight="1">
      <x:c r="A1752" s="24" t="str">
        <x:v>SW-B-201다3498-202512</x:v>
      </x:c>
      <x:c r="B1752" s="24" t="str">
        <x:v>스위치플랜</x:v>
      </x:c>
      <x:c r="C1752" s="24" t="str">
        <x:v>SW-C-201다3498-1-20240110-85</x:v>
      </x:c>
      <x:c r="D1752" s="24" t="str">
        <x:v>201다3498</x:v>
      </x:c>
      <x:c r="E1752" s="24" t="str">
        <x:v>남정식</x:v>
      </x:c>
      <x:c r="F1752" s="24" t="str">
        <x:v>2025-12</x:v>
      </x:c>
      <x:c r="G1752" s="30" t="n">
        <x:v>46001</x:v>
      </x:c>
      <x:c r="H1752" s="32" t="n">
        <x:v>1160000</x:v>
      </x:c>
      <x:c r="I1752" s="32" t="n">
        <x:v>1160000</x:v>
      </x:c>
      <x:c r="J1752" s="32" t="n">
        <x:v>0</x:v>
      </x:c>
      <x:c r="K1752" s="30" t="n">
        <x:v>46000</x:v>
      </x:c>
      <x:c r="L1752" s="24" t="str">
        <x:v>입금</x:v>
      </x:c>
      <x:c r="M1752" s="31" t="n">
        <x:f>IF(AND(N1752="미수",G1752&lt;&gt;"",TODAY()&gt;G1752),TODAY()-G1752,0)</x:f>
        <x:v>0</x:v>
      </x:c>
      <x:c r="N1752" s="24" t="str">
        <x:f>IF(J1752&gt;0,"미수",IF(AND(H1752&gt;0,I1752&gt;=H1752),"완납","미확인"))</x:f>
        <x:v>완납</x:v>
      </x:c>
      <x:c r="O1752" s="31" t="n">
        <x:v>84</x:v>
      </x:c>
    </x:row>
    <x:row r="1753" ht="17.25" customHeight="1">
      <x:c r="A1753" s="24" t="str">
        <x:v>SW-B-201다3498-202511</x:v>
      </x:c>
      <x:c r="B1753" s="24" t="str">
        <x:v>스위치플랜</x:v>
      </x:c>
      <x:c r="C1753" s="24" t="str">
        <x:v>SW-C-201다3498-1-20240110-85</x:v>
      </x:c>
      <x:c r="D1753" s="24" t="str">
        <x:v>201다3498</x:v>
      </x:c>
      <x:c r="E1753" s="24" t="str">
        <x:v>남정식</x:v>
      </x:c>
      <x:c r="F1753" s="24" t="str">
        <x:v>2025-11</x:v>
      </x:c>
      <x:c r="G1753" s="30" t="n">
        <x:v>45971</x:v>
      </x:c>
      <x:c r="H1753" s="32" t="n">
        <x:v>1160000</x:v>
      </x:c>
      <x:c r="I1753" s="32" t="n">
        <x:v>1160000</x:v>
      </x:c>
      <x:c r="J1753" s="32" t="n">
        <x:v>0</x:v>
      </x:c>
      <x:c r="K1753" s="30" t="n">
        <x:v>45971</x:v>
      </x:c>
      <x:c r="L1753" s="24" t="str">
        <x:v>입금</x:v>
      </x:c>
      <x:c r="M1753" s="31" t="n">
        <x:f>IF(AND(N1753="미수",G1753&lt;&gt;"",TODAY()&gt;G1753),TODAY()-G1753,0)</x:f>
        <x:v>0</x:v>
      </x:c>
      <x:c r="N1753" s="24" t="str">
        <x:f>IF(J1753&gt;0,"미수",IF(AND(H1753&gt;0,I1753&gt;=H1753),"완납","미확인"))</x:f>
        <x:v>완납</x:v>
      </x:c>
      <x:c r="O1753" s="31" t="n">
        <x:v>84</x:v>
      </x:c>
    </x:row>
    <x:row r="1754" ht="17.25" customHeight="1">
      <x:c r="A1754" s="24" t="str">
        <x:v>SW-B-201다3498-202510</x:v>
      </x:c>
      <x:c r="B1754" s="24" t="str">
        <x:v>스위치플랜</x:v>
      </x:c>
      <x:c r="C1754" s="24" t="str">
        <x:v>SW-C-201다3498-1-20240110-85</x:v>
      </x:c>
      <x:c r="D1754" s="24" t="str">
        <x:v>201다3498</x:v>
      </x:c>
      <x:c r="E1754" s="24" t="str">
        <x:v>남정식</x:v>
      </x:c>
      <x:c r="F1754" s="24" t="str">
        <x:v>2025-10</x:v>
      </x:c>
      <x:c r="G1754" s="30" t="n">
        <x:v>45940</x:v>
      </x:c>
      <x:c r="H1754" s="32" t="n">
        <x:v>1160000</x:v>
      </x:c>
      <x:c r="I1754" s="32" t="n">
        <x:v>1160000</x:v>
      </x:c>
      <x:c r="J1754" s="32" t="n">
        <x:v>0</x:v>
      </x:c>
      <x:c r="K1754" s="30" t="n">
        <x:v>45939</x:v>
      </x:c>
      <x:c r="L1754" s="24" t="str">
        <x:v>입금</x:v>
      </x:c>
      <x:c r="M1754" s="31" t="n">
        <x:f>IF(AND(N1754="미수",G1754&lt;&gt;"",TODAY()&gt;G1754),TODAY()-G1754,0)</x:f>
        <x:v>0</x:v>
      </x:c>
      <x:c r="N1754" s="24" t="str">
        <x:f>IF(J1754&gt;0,"미수",IF(AND(H1754&gt;0,I1754&gt;=H1754),"완납","미확인"))</x:f>
        <x:v>완납</x:v>
      </x:c>
      <x:c r="O1754" s="31" t="n">
        <x:v>84</x:v>
      </x:c>
    </x:row>
    <x:row r="1755" ht="17.25" customHeight="1">
      <x:c r="A1755" s="24" t="str">
        <x:v>SW-B-201다3498-202509</x:v>
      </x:c>
      <x:c r="B1755" s="24" t="str">
        <x:v>스위치플랜</x:v>
      </x:c>
      <x:c r="C1755" s="24" t="str">
        <x:v>SW-C-201다3498-1-20240110-85</x:v>
      </x:c>
      <x:c r="D1755" s="24" t="str">
        <x:v>201다3498</x:v>
      </x:c>
      <x:c r="E1755" s="24" t="str">
        <x:v>남정식</x:v>
      </x:c>
      <x:c r="F1755" s="24" t="str">
        <x:v>2025-09</x:v>
      </x:c>
      <x:c r="G1755" s="30" t="n">
        <x:v>45910</x:v>
      </x:c>
      <x:c r="H1755" s="32" t="n">
        <x:v>1160000</x:v>
      </x:c>
      <x:c r="I1755" s="32" t="n">
        <x:v>1160000</x:v>
      </x:c>
      <x:c r="J1755" s="32" t="n">
        <x:v>0</x:v>
      </x:c>
      <x:c r="K1755" s="30" t="n">
        <x:v>45909</x:v>
      </x:c>
      <x:c r="L1755" s="24" t="str">
        <x:v>입금</x:v>
      </x:c>
      <x:c r="M1755" s="31" t="n">
        <x:f>IF(AND(N1755="미수",G1755&lt;&gt;"",TODAY()&gt;G1755),TODAY()-G1755,0)</x:f>
        <x:v>0</x:v>
      </x:c>
      <x:c r="N1755" s="24" t="str">
        <x:f>IF(J1755&gt;0,"미수",IF(AND(H1755&gt;0,I1755&gt;=H1755),"완납","미확인"))</x:f>
        <x:v>완납</x:v>
      </x:c>
      <x:c r="O1755" s="31" t="n">
        <x:v>84</x:v>
      </x:c>
    </x:row>
    <x:row r="1756" ht="17.25" customHeight="1">
      <x:c r="A1756" s="24" t="str">
        <x:v>SW-B-201다3498-202508</x:v>
      </x:c>
      <x:c r="B1756" s="24" t="str">
        <x:v>스위치플랜</x:v>
      </x:c>
      <x:c r="C1756" s="24" t="str">
        <x:v>SW-C-201다3498-1-20240110-85</x:v>
      </x:c>
      <x:c r="D1756" s="24" t="str">
        <x:v>201다3498</x:v>
      </x:c>
      <x:c r="E1756" s="24" t="str">
        <x:v>남정식</x:v>
      </x:c>
      <x:c r="F1756" s="24" t="str">
        <x:v>2025-08</x:v>
      </x:c>
      <x:c r="G1756" s="30" t="n">
        <x:v>45879</x:v>
      </x:c>
      <x:c r="H1756" s="32" t="n">
        <x:v>1160000</x:v>
      </x:c>
      <x:c r="I1756" s="32" t="n">
        <x:v>1160000</x:v>
      </x:c>
      <x:c r="J1756" s="32" t="n">
        <x:v>0</x:v>
      </x:c>
      <x:c r="K1756" s="30" t="n">
        <x:v>45877</x:v>
      </x:c>
      <x:c r="L1756" s="24" t="str">
        <x:v>입금</x:v>
      </x:c>
      <x:c r="M1756" s="31" t="n">
        <x:f>IF(AND(N1756="미수",G1756&lt;&gt;"",TODAY()&gt;G1756),TODAY()-G1756,0)</x:f>
        <x:v>0</x:v>
      </x:c>
      <x:c r="N1756" s="24" t="str">
        <x:f>IF(J1756&gt;0,"미수",IF(AND(H1756&gt;0,I1756&gt;=H1756),"완납","미확인"))</x:f>
        <x:v>완납</x:v>
      </x:c>
      <x:c r="O1756" s="31" t="n">
        <x:v>84</x:v>
      </x:c>
    </x:row>
    <x:row r="1757" ht="17.25" customHeight="1">
      <x:c r="A1757" s="24" t="str">
        <x:v>SW-B-201다3498-202507</x:v>
      </x:c>
      <x:c r="B1757" s="24" t="str">
        <x:v>스위치플랜</x:v>
      </x:c>
      <x:c r="C1757" s="24" t="str">
        <x:v>SW-C-201다3498-1-20240110-85</x:v>
      </x:c>
      <x:c r="D1757" s="24" t="str">
        <x:v>201다3498</x:v>
      </x:c>
      <x:c r="E1757" s="24" t="str">
        <x:v>남정식</x:v>
      </x:c>
      <x:c r="F1757" s="24" t="str">
        <x:v>2025-07</x:v>
      </x:c>
      <x:c r="G1757" s="30" t="n">
        <x:v>45848</x:v>
      </x:c>
      <x:c r="H1757" s="32" t="n">
        <x:v>1160000</x:v>
      </x:c>
      <x:c r="I1757" s="32" t="n">
        <x:v>1160000</x:v>
      </x:c>
      <x:c r="J1757" s="32" t="n">
        <x:v>0</x:v>
      </x:c>
      <x:c r="K1757" s="30" t="n">
        <x:v>45846</x:v>
      </x:c>
      <x:c r="L1757" s="24" t="str">
        <x:v>입금</x:v>
      </x:c>
      <x:c r="M1757" s="31" t="n">
        <x:f>IF(AND(N1757="미수",G1757&lt;&gt;"",TODAY()&gt;G1757),TODAY()-G1757,0)</x:f>
        <x:v>0</x:v>
      </x:c>
      <x:c r="N1757" s="24" t="str">
        <x:f>IF(J1757&gt;0,"미수",IF(AND(H1757&gt;0,I1757&gt;=H1757),"완납","미확인"))</x:f>
        <x:v>완납</x:v>
      </x:c>
      <x:c r="O1757" s="31" t="n">
        <x:v>84</x:v>
      </x:c>
    </x:row>
    <x:row r="1758" ht="17.25" customHeight="1">
      <x:c r="A1758" s="24" t="str">
        <x:v>SW-B-201다3498-202506</x:v>
      </x:c>
      <x:c r="B1758" s="24" t="str">
        <x:v>스위치플랜</x:v>
      </x:c>
      <x:c r="C1758" s="24" t="str">
        <x:v>SW-C-201다3498-1-20240110-85</x:v>
      </x:c>
      <x:c r="D1758" s="24" t="str">
        <x:v>201다3498</x:v>
      </x:c>
      <x:c r="E1758" s="24" t="str">
        <x:v>남정식</x:v>
      </x:c>
      <x:c r="F1758" s="24" t="str">
        <x:v>2025-06</x:v>
      </x:c>
      <x:c r="G1758" s="30" t="n">
        <x:v>45818</x:v>
      </x:c>
      <x:c r="H1758" s="32" t="n">
        <x:v>1160000</x:v>
      </x:c>
      <x:c r="I1758" s="32" t="n">
        <x:v>1160000</x:v>
      </x:c>
      <x:c r="J1758" s="32" t="n">
        <x:v>0</x:v>
      </x:c>
      <x:c r="K1758" s="30" t="n">
        <x:v>45817</x:v>
      </x:c>
      <x:c r="L1758" s="24" t="str">
        <x:v>입금</x:v>
      </x:c>
      <x:c r="M1758" s="31" t="n">
        <x:f>IF(AND(N1758="미수",G1758&lt;&gt;"",TODAY()&gt;G1758),TODAY()-G1758,0)</x:f>
        <x:v>0</x:v>
      </x:c>
      <x:c r="N1758" s="24" t="str">
        <x:f>IF(J1758&gt;0,"미수",IF(AND(H1758&gt;0,I1758&gt;=H1758),"완납","미확인"))</x:f>
        <x:v>완납</x:v>
      </x:c>
      <x:c r="O1758" s="31" t="n">
        <x:v>84</x:v>
      </x:c>
    </x:row>
    <x:row r="1759" ht="17.25" customHeight="1">
      <x:c r="A1759" s="24" t="str">
        <x:v>SW-B-201다3498-202505</x:v>
      </x:c>
      <x:c r="B1759" s="24" t="str">
        <x:v>스위치플랜</x:v>
      </x:c>
      <x:c r="C1759" s="24" t="str">
        <x:v>SW-C-201다3498-1-20240110-85</x:v>
      </x:c>
      <x:c r="D1759" s="24" t="str">
        <x:v>201다3498</x:v>
      </x:c>
      <x:c r="E1759" s="24" t="str">
        <x:v>남정식</x:v>
      </x:c>
      <x:c r="F1759" s="24" t="str">
        <x:v>2025-05</x:v>
      </x:c>
      <x:c r="G1759" s="30" t="n">
        <x:v>45787</x:v>
      </x:c>
      <x:c r="H1759" s="32" t="n">
        <x:v>1160000</x:v>
      </x:c>
      <x:c r="I1759" s="32" t="n">
        <x:v>1160000</x:v>
      </x:c>
      <x:c r="J1759" s="32" t="n">
        <x:v>0</x:v>
      </x:c>
      <x:c r="K1759" s="30" t="n">
        <x:v>45786</x:v>
      </x:c>
      <x:c r="L1759" s="24" t="str">
        <x:v>입금</x:v>
      </x:c>
      <x:c r="M1759" s="31" t="n">
        <x:f>IF(AND(N1759="미수",G1759&lt;&gt;"",TODAY()&gt;G1759),TODAY()-G1759,0)</x:f>
        <x:v>0</x:v>
      </x:c>
      <x:c r="N1759" s="24" t="str">
        <x:f>IF(J1759&gt;0,"미수",IF(AND(H1759&gt;0,I1759&gt;=H1759),"완납","미확인"))</x:f>
        <x:v>완납</x:v>
      </x:c>
      <x:c r="O1759" s="31" t="n">
        <x:v>84</x:v>
      </x:c>
    </x:row>
    <x:row r="1760" ht="17.25" customHeight="1">
      <x:c r="A1760" s="24" t="str">
        <x:v>SW-B-201다3498-202504</x:v>
      </x:c>
      <x:c r="B1760" s="24" t="str">
        <x:v>스위치플랜</x:v>
      </x:c>
      <x:c r="C1760" s="24" t="str">
        <x:v>SW-C-201다3498-1-20240110-85</x:v>
      </x:c>
      <x:c r="D1760" s="24" t="str">
        <x:v>201다3498</x:v>
      </x:c>
      <x:c r="E1760" s="24" t="str">
        <x:v>남정식</x:v>
      </x:c>
      <x:c r="F1760" s="24" t="str">
        <x:v>2025-04</x:v>
      </x:c>
      <x:c r="G1760" s="30" t="n">
        <x:v>45757</x:v>
      </x:c>
      <x:c r="H1760" s="32" t="n">
        <x:v>1160000</x:v>
      </x:c>
      <x:c r="I1760" s="32" t="n">
        <x:v>1160000</x:v>
      </x:c>
      <x:c r="J1760" s="32" t="n">
        <x:v>0</x:v>
      </x:c>
      <x:c r="K1760" s="30" t="n">
        <x:v>45758</x:v>
      </x:c>
      <x:c r="L1760" s="24" t="str">
        <x:v>입금</x:v>
      </x:c>
      <x:c r="M1760" s="31" t="n">
        <x:f>IF(AND(N1760="미수",G1760&lt;&gt;"",TODAY()&gt;G1760),TODAY()-G1760,0)</x:f>
        <x:v>0</x:v>
      </x:c>
      <x:c r="N1760" s="24" t="str">
        <x:f>IF(J1760&gt;0,"미수",IF(AND(H1760&gt;0,I1760&gt;=H1760),"완납","미확인"))</x:f>
        <x:v>완납</x:v>
      </x:c>
      <x:c r="O1760" s="31" t="n">
        <x:v>84</x:v>
      </x:c>
    </x:row>
    <x:row r="1761" ht="17.25" customHeight="1">
      <x:c r="A1761" s="24" t="str">
        <x:v>SW-B-201다3498-202503</x:v>
      </x:c>
      <x:c r="B1761" s="24" t="str">
        <x:v>스위치플랜</x:v>
      </x:c>
      <x:c r="C1761" s="24" t="str">
        <x:v>SW-C-201다3498-1-20240110-85</x:v>
      </x:c>
      <x:c r="D1761" s="24" t="str">
        <x:v>201다3498</x:v>
      </x:c>
      <x:c r="E1761" s="24" t="str">
        <x:v>남정식</x:v>
      </x:c>
      <x:c r="F1761" s="24" t="str">
        <x:v>2025-03</x:v>
      </x:c>
      <x:c r="G1761" s="30" t="n">
        <x:v>45726</x:v>
      </x:c>
      <x:c r="H1761" s="32" t="n">
        <x:v>1160000</x:v>
      </x:c>
      <x:c r="I1761" s="32" t="n">
        <x:v>1160000</x:v>
      </x:c>
      <x:c r="J1761" s="32" t="n">
        <x:v>0</x:v>
      </x:c>
      <x:c r="K1761" s="30" t="n">
        <x:v>45725</x:v>
      </x:c>
      <x:c r="L1761" s="24" t="str">
        <x:v>입금</x:v>
      </x:c>
      <x:c r="M1761" s="31" t="n">
        <x:f>IF(AND(N1761="미수",G1761&lt;&gt;"",TODAY()&gt;G1761),TODAY()-G1761,0)</x:f>
        <x:v>0</x:v>
      </x:c>
      <x:c r="N1761" s="24" t="str">
        <x:f>IF(J1761&gt;0,"미수",IF(AND(H1761&gt;0,I1761&gt;=H1761),"완납","미확인"))</x:f>
        <x:v>완납</x:v>
      </x:c>
      <x:c r="O1761" s="31" t="n">
        <x:v>84</x:v>
      </x:c>
    </x:row>
    <x:row r="1762" ht="17.25" customHeight="1">
      <x:c r="A1762" s="24" t="str">
        <x:v>SW-B-201다3498-202502</x:v>
      </x:c>
      <x:c r="B1762" s="24" t="str">
        <x:v>스위치플랜</x:v>
      </x:c>
      <x:c r="C1762" s="24" t="str">
        <x:v>SW-C-201다3498-1-20240110-85</x:v>
      </x:c>
      <x:c r="D1762" s="24" t="str">
        <x:v>201다3498</x:v>
      </x:c>
      <x:c r="E1762" s="24" t="str">
        <x:v>남정식</x:v>
      </x:c>
      <x:c r="F1762" s="24" t="str">
        <x:v>2025-02</x:v>
      </x:c>
      <x:c r="G1762" s="30" t="n">
        <x:v>45698</x:v>
      </x:c>
      <x:c r="H1762" s="32" t="n">
        <x:v>1160000</x:v>
      </x:c>
      <x:c r="I1762" s="32" t="n">
        <x:v>1160000</x:v>
      </x:c>
      <x:c r="J1762" s="32" t="n">
        <x:v>0</x:v>
      </x:c>
      <x:c r="K1762" s="30" t="n">
        <x:v>45698</x:v>
      </x:c>
      <x:c r="L1762" s="24" t="str">
        <x:v>입금</x:v>
      </x:c>
      <x:c r="M1762" s="31" t="n">
        <x:f>IF(AND(N1762="미수",G1762&lt;&gt;"",TODAY()&gt;G1762),TODAY()-G1762,0)</x:f>
        <x:v>0</x:v>
      </x:c>
      <x:c r="N1762" s="24" t="str">
        <x:f>IF(J1762&gt;0,"미수",IF(AND(H1762&gt;0,I1762&gt;=H1762),"완납","미확인"))</x:f>
        <x:v>완납</x:v>
      </x:c>
      <x:c r="O1762" s="31" t="n">
        <x:v>84</x:v>
      </x:c>
    </x:row>
    <x:row r="1763" ht="17.25" customHeight="1">
      <x:c r="A1763" s="24" t="str">
        <x:v>SW-B-201다3498-202501</x:v>
      </x:c>
      <x:c r="B1763" s="24" t="str">
        <x:v>스위치플랜</x:v>
      </x:c>
      <x:c r="C1763" s="24" t="str">
        <x:v>SW-C-201다3498-1-20240110-85</x:v>
      </x:c>
      <x:c r="D1763" s="24" t="str">
        <x:v>201다3498</x:v>
      </x:c>
      <x:c r="E1763" s="24" t="str">
        <x:v>남정식</x:v>
      </x:c>
      <x:c r="F1763" s="24" t="str">
        <x:v>2025-01</x:v>
      </x:c>
      <x:c r="G1763" s="30" t="n">
        <x:v>45667</x:v>
      </x:c>
      <x:c r="H1763" s="32" t="n">
        <x:v>1160000</x:v>
      </x:c>
      <x:c r="I1763" s="32" t="n">
        <x:v>1160000</x:v>
      </x:c>
      <x:c r="J1763" s="32" t="n">
        <x:v>0</x:v>
      </x:c>
      <x:c r="K1763" s="30" t="n">
        <x:v>45664</x:v>
      </x:c>
      <x:c r="L1763" s="24" t="str">
        <x:v>입금</x:v>
      </x:c>
      <x:c r="M1763" s="31" t="n">
        <x:f>IF(AND(N1763="미수",G1763&lt;&gt;"",TODAY()&gt;G1763),TODAY()-G1763,0)</x:f>
        <x:v>0</x:v>
      </x:c>
      <x:c r="N1763" s="24" t="str">
        <x:f>IF(J1763&gt;0,"미수",IF(AND(H1763&gt;0,I1763&gt;=H1763),"완납","미확인"))</x:f>
        <x:v>완납</x:v>
      </x:c>
      <x:c r="O1763" s="31" t="n">
        <x:v>84</x:v>
      </x:c>
    </x:row>
    <x:row r="1764" ht="17.25" customHeight="1">
      <x:c r="A1764" s="24" t="str">
        <x:v>SW-B-201다3498-202412</x:v>
      </x:c>
      <x:c r="B1764" s="24" t="str">
        <x:v>스위치플랜</x:v>
      </x:c>
      <x:c r="C1764" s="24" t="str">
        <x:v>SW-C-201다3498-1-20240110-85</x:v>
      </x:c>
      <x:c r="D1764" s="24" t="str">
        <x:v>201다3498</x:v>
      </x:c>
      <x:c r="E1764" s="24" t="str">
        <x:v>남정식</x:v>
      </x:c>
      <x:c r="F1764" s="24" t="str">
        <x:v>2024-12</x:v>
      </x:c>
      <x:c r="G1764" s="30" t="n">
        <x:v>45636</x:v>
      </x:c>
      <x:c r="H1764" s="32" t="n">
        <x:v>1160000</x:v>
      </x:c>
      <x:c r="I1764" s="32" t="n">
        <x:v>1160000</x:v>
      </x:c>
      <x:c r="J1764" s="32" t="n">
        <x:v>0</x:v>
      </x:c>
      <x:c r="K1764" s="30" t="n">
        <x:v>45635</x:v>
      </x:c>
      <x:c r="L1764" s="24" t="str">
        <x:v>입금</x:v>
      </x:c>
      <x:c r="M1764" s="31" t="n">
        <x:f>IF(AND(N1764="미수",G1764&lt;&gt;"",TODAY()&gt;G1764),TODAY()-G1764,0)</x:f>
        <x:v>0</x:v>
      </x:c>
      <x:c r="N1764" s="24" t="str">
        <x:f>IF(J1764&gt;0,"미수",IF(AND(H1764&gt;0,I1764&gt;=H1764),"완납","미확인"))</x:f>
        <x:v>완납</x:v>
      </x:c>
      <x:c r="O1764" s="31" t="n">
        <x:v>84</x:v>
      </x:c>
    </x:row>
    <x:row r="1765" ht="17.25" customHeight="1">
      <x:c r="A1765" s="24" t="str">
        <x:v>SW-B-201다3498-202411</x:v>
      </x:c>
      <x:c r="B1765" s="24" t="str">
        <x:v>스위치플랜</x:v>
      </x:c>
      <x:c r="C1765" s="24" t="str">
        <x:v>SW-C-201다3498-1-20240110-85</x:v>
      </x:c>
      <x:c r="D1765" s="24" t="str">
        <x:v>201다3498</x:v>
      </x:c>
      <x:c r="E1765" s="24" t="str">
        <x:v>남정식</x:v>
      </x:c>
      <x:c r="F1765" s="24" t="str">
        <x:v>2024-11</x:v>
      </x:c>
      <x:c r="G1765" s="30" t="n">
        <x:v>45606</x:v>
      </x:c>
      <x:c r="H1765" s="32" t="n">
        <x:v>1160000</x:v>
      </x:c>
      <x:c r="I1765" s="32" t="n">
        <x:v>1160000</x:v>
      </x:c>
      <x:c r="J1765" s="32" t="n">
        <x:v>0</x:v>
      </x:c>
      <x:c r="K1765" s="30" t="n">
        <x:v>45601</x:v>
      </x:c>
      <x:c r="L1765" s="24" t="str">
        <x:v>입금</x:v>
      </x:c>
      <x:c r="M1765" s="31" t="n">
        <x:f>IF(AND(N1765="미수",G1765&lt;&gt;"",TODAY()&gt;G1765),TODAY()-G1765,0)</x:f>
        <x:v>0</x:v>
      </x:c>
      <x:c r="N1765" s="24" t="str">
        <x:f>IF(J1765&gt;0,"미수",IF(AND(H1765&gt;0,I1765&gt;=H1765),"완납","미확인"))</x:f>
        <x:v>완납</x:v>
      </x:c>
      <x:c r="O1765" s="31" t="n">
        <x:v>84</x:v>
      </x:c>
    </x:row>
    <x:row r="1766" ht="17.25" customHeight="1">
      <x:c r="A1766" s="24" t="str">
        <x:v>SW-B-201다3498-202410</x:v>
      </x:c>
      <x:c r="B1766" s="24" t="str">
        <x:v>스위치플랜</x:v>
      </x:c>
      <x:c r="C1766" s="24" t="str">
        <x:v>SW-C-201다3498-1-20240110-85</x:v>
      </x:c>
      <x:c r="D1766" s="24" t="str">
        <x:v>201다3498</x:v>
      </x:c>
      <x:c r="E1766" s="24" t="str">
        <x:v>남정식</x:v>
      </x:c>
      <x:c r="F1766" s="24" t="str">
        <x:v>2024-10</x:v>
      </x:c>
      <x:c r="G1766" s="30" t="n">
        <x:v>45575</x:v>
      </x:c>
      <x:c r="H1766" s="32" t="n">
        <x:v>1160000</x:v>
      </x:c>
      <x:c r="I1766" s="32" t="n">
        <x:v>1160000</x:v>
      </x:c>
      <x:c r="J1766" s="32" t="n">
        <x:v>0</x:v>
      </x:c>
      <x:c r="K1766" s="30" t="n">
        <x:v>45572</x:v>
      </x:c>
      <x:c r="L1766" s="24" t="str">
        <x:v>입금</x:v>
      </x:c>
      <x:c r="M1766" s="31" t="n">
        <x:f>IF(AND(N1766="미수",G1766&lt;&gt;"",TODAY()&gt;G1766),TODAY()-G1766,0)</x:f>
        <x:v>0</x:v>
      </x:c>
      <x:c r="N1766" s="24" t="str">
        <x:f>IF(J1766&gt;0,"미수",IF(AND(H1766&gt;0,I1766&gt;=H1766),"완납","미확인"))</x:f>
        <x:v>완납</x:v>
      </x:c>
      <x:c r="O1766" s="31" t="n">
        <x:v>84</x:v>
      </x:c>
    </x:row>
    <x:row r="1767" ht="17.25" customHeight="1">
      <x:c r="A1767" s="24" t="str">
        <x:v>SW-B-201다3498-202409</x:v>
      </x:c>
      <x:c r="B1767" s="24" t="str">
        <x:v>스위치플랜</x:v>
      </x:c>
      <x:c r="C1767" s="24" t="str">
        <x:v>SW-C-201다3498-1-20240110-85</x:v>
      </x:c>
      <x:c r="D1767" s="24" t="str">
        <x:v>201다3498</x:v>
      </x:c>
      <x:c r="E1767" s="24" t="str">
        <x:v>남정식</x:v>
      </x:c>
      <x:c r="F1767" s="24" t="str">
        <x:v>2024-09</x:v>
      </x:c>
      <x:c r="G1767" s="30" t="n">
        <x:v>45545</x:v>
      </x:c>
      <x:c r="H1767" s="32" t="n">
        <x:v>1160000</x:v>
      </x:c>
      <x:c r="I1767" s="32" t="n">
        <x:v>1160000</x:v>
      </x:c>
      <x:c r="J1767" s="32" t="n">
        <x:v>0</x:v>
      </x:c>
      <x:c r="K1767" s="30" t="n">
        <x:v>45542</x:v>
      </x:c>
      <x:c r="L1767" s="24" t="str">
        <x:v>입금</x:v>
      </x:c>
      <x:c r="M1767" s="31" t="n">
        <x:f>IF(AND(N1767="미수",G1767&lt;&gt;"",TODAY()&gt;G1767),TODAY()-G1767,0)</x:f>
        <x:v>0</x:v>
      </x:c>
      <x:c r="N1767" s="24" t="str">
        <x:f>IF(J1767&gt;0,"미수",IF(AND(H1767&gt;0,I1767&gt;=H1767),"완납","미확인"))</x:f>
        <x:v>완납</x:v>
      </x:c>
      <x:c r="O1767" s="31" t="n">
        <x:v>84</x:v>
      </x:c>
    </x:row>
    <x:row r="1768" ht="17.25" customHeight="1">
      <x:c r="A1768" s="24" t="str">
        <x:v>SW-B-201다3498-202408</x:v>
      </x:c>
      <x:c r="B1768" s="24" t="str">
        <x:v>스위치플랜</x:v>
      </x:c>
      <x:c r="C1768" s="24" t="str">
        <x:v>SW-C-201다3498-1-20240110-85</x:v>
      </x:c>
      <x:c r="D1768" s="24" t="str">
        <x:v>201다3498</x:v>
      </x:c>
      <x:c r="E1768" s="24" t="str">
        <x:v>남정식</x:v>
      </x:c>
      <x:c r="F1768" s="24" t="str">
        <x:v>2024-08</x:v>
      </x:c>
      <x:c r="G1768" s="30" t="n">
        <x:v>45514</x:v>
      </x:c>
      <x:c r="H1768" s="32" t="n">
        <x:v>1160000</x:v>
      </x:c>
      <x:c r="I1768" s="32" t="n">
        <x:v>1160000</x:v>
      </x:c>
      <x:c r="J1768" s="32" t="n">
        <x:v>0</x:v>
      </x:c>
      <x:c r="K1768" s="30" t="n">
        <x:v>45511</x:v>
      </x:c>
      <x:c r="L1768" s="24" t="str">
        <x:v>입금</x:v>
      </x:c>
      <x:c r="M1768" s="31" t="n">
        <x:f>IF(AND(N1768="미수",G1768&lt;&gt;"",TODAY()&gt;G1768),TODAY()-G1768,0)</x:f>
        <x:v>0</x:v>
      </x:c>
      <x:c r="N1768" s="24" t="str">
        <x:f>IF(J1768&gt;0,"미수",IF(AND(H1768&gt;0,I1768&gt;=H1768),"완납","미확인"))</x:f>
        <x:v>완납</x:v>
      </x:c>
      <x:c r="O1768" s="31" t="n">
        <x:v>84</x:v>
      </x:c>
    </x:row>
    <x:row r="1769" ht="17.25" customHeight="1">
      <x:c r="A1769" s="24" t="str">
        <x:v>SW-B-201다3498-202407</x:v>
      </x:c>
      <x:c r="B1769" s="24" t="str">
        <x:v>스위치플랜</x:v>
      </x:c>
      <x:c r="C1769" s="24" t="str">
        <x:v>SW-C-201다3498-1-20240110-85</x:v>
      </x:c>
      <x:c r="D1769" s="24" t="str">
        <x:v>201다3498</x:v>
      </x:c>
      <x:c r="E1769" s="24" t="str">
        <x:v>남정식</x:v>
      </x:c>
      <x:c r="F1769" s="24" t="str">
        <x:v>2024-07</x:v>
      </x:c>
      <x:c r="G1769" s="30" t="n">
        <x:v>45483</x:v>
      </x:c>
      <x:c r="H1769" s="32" t="n">
        <x:v>1160000</x:v>
      </x:c>
      <x:c r="I1769" s="32" t="n">
        <x:v>1160000</x:v>
      </x:c>
      <x:c r="J1769" s="32" t="n">
        <x:v>0</x:v>
      </x:c>
      <x:c r="K1769" s="30" t="n">
        <x:v>45482</x:v>
      </x:c>
      <x:c r="L1769" s="24" t="str">
        <x:v>입금</x:v>
      </x:c>
      <x:c r="M1769" s="31" t="n">
        <x:f>IF(AND(N1769="미수",G1769&lt;&gt;"",TODAY()&gt;G1769),TODAY()-G1769,0)</x:f>
        <x:v>0</x:v>
      </x:c>
      <x:c r="N1769" s="24" t="str">
        <x:f>IF(J1769&gt;0,"미수",IF(AND(H1769&gt;0,I1769&gt;=H1769),"완납","미확인"))</x:f>
        <x:v>완납</x:v>
      </x:c>
      <x:c r="O1769" s="31" t="n">
        <x:v>84</x:v>
      </x:c>
    </x:row>
    <x:row r="1770" ht="17.25" customHeight="1">
      <x:c r="A1770" s="24" t="str">
        <x:v>SW-B-201다3498-202406</x:v>
      </x:c>
      <x:c r="B1770" s="24" t="str">
        <x:v>스위치플랜</x:v>
      </x:c>
      <x:c r="C1770" s="24" t="str">
        <x:v>SW-C-201다3498-1-20240110-85</x:v>
      </x:c>
      <x:c r="D1770" s="24" t="str">
        <x:v>201다3498</x:v>
      </x:c>
      <x:c r="E1770" s="24" t="str">
        <x:v>남정식</x:v>
      </x:c>
      <x:c r="F1770" s="24" t="str">
        <x:v>2024-06</x:v>
      </x:c>
      <x:c r="G1770" s="30" t="n">
        <x:v>45453</x:v>
      </x:c>
      <x:c r="H1770" s="32" t="n">
        <x:v>1160000</x:v>
      </x:c>
      <x:c r="I1770" s="32" t="n">
        <x:v>1160000</x:v>
      </x:c>
      <x:c r="J1770" s="32" t="n">
        <x:v>0</x:v>
      </x:c>
      <x:c r="K1770" s="30" t="n">
        <x:v>45450</x:v>
      </x:c>
      <x:c r="L1770" s="24" t="str">
        <x:v>입금</x:v>
      </x:c>
      <x:c r="M1770" s="31" t="n">
        <x:f>IF(AND(N1770="미수",G1770&lt;&gt;"",TODAY()&gt;G1770),TODAY()-G1770,0)</x:f>
        <x:v>0</x:v>
      </x:c>
      <x:c r="N1770" s="24" t="str">
        <x:f>IF(J1770&gt;0,"미수",IF(AND(H1770&gt;0,I1770&gt;=H1770),"완납","미확인"))</x:f>
        <x:v>완납</x:v>
      </x:c>
      <x:c r="O1770" s="31" t="n">
        <x:v>84</x:v>
      </x:c>
    </x:row>
    <x:row r="1771" ht="17.25" customHeight="1">
      <x:c r="A1771" s="24" t="str">
        <x:v>SW-B-201다3498-202405</x:v>
      </x:c>
      <x:c r="B1771" s="24" t="str">
        <x:v>스위치플랜</x:v>
      </x:c>
      <x:c r="C1771" s="24" t="str">
        <x:v>SW-C-201다3498-1-20240110-85</x:v>
      </x:c>
      <x:c r="D1771" s="24" t="str">
        <x:v>201다3498</x:v>
      </x:c>
      <x:c r="E1771" s="24" t="str">
        <x:v>남정식</x:v>
      </x:c>
      <x:c r="F1771" s="24" t="str">
        <x:v>2024-05</x:v>
      </x:c>
      <x:c r="G1771" s="30" t="n">
        <x:v>45422</x:v>
      </x:c>
      <x:c r="H1771" s="32" t="n">
        <x:v>1160000</x:v>
      </x:c>
      <x:c r="I1771" s="32" t="n">
        <x:v>1160000</x:v>
      </x:c>
      <x:c r="J1771" s="32" t="n">
        <x:v>0</x:v>
      </x:c>
      <x:c r="K1771" s="30" t="n">
        <x:v>45420</x:v>
      </x:c>
      <x:c r="L1771" s="24" t="str">
        <x:v>입금</x:v>
      </x:c>
      <x:c r="M1771" s="31" t="n">
        <x:f>IF(AND(N1771="미수",G1771&lt;&gt;"",TODAY()&gt;G1771),TODAY()-G1771,0)</x:f>
        <x:v>0</x:v>
      </x:c>
      <x:c r="N1771" s="24" t="str">
        <x:f>IF(J1771&gt;0,"미수",IF(AND(H1771&gt;0,I1771&gt;=H1771),"완납","미확인"))</x:f>
        <x:v>완납</x:v>
      </x:c>
      <x:c r="O1771" s="31" t="n">
        <x:v>84</x:v>
      </x:c>
    </x:row>
    <x:row r="1772" ht="17.25" customHeight="1">
      <x:c r="A1772" s="24" t="str">
        <x:v>SW-B-201다3498-202404</x:v>
      </x:c>
      <x:c r="B1772" s="24" t="str">
        <x:v>스위치플랜</x:v>
      </x:c>
      <x:c r="C1772" s="24" t="str">
        <x:v>SW-C-201다3498-1-20240110-85</x:v>
      </x:c>
      <x:c r="D1772" s="24" t="str">
        <x:v>201다3498</x:v>
      </x:c>
      <x:c r="E1772" s="24" t="str">
        <x:v>남정식</x:v>
      </x:c>
      <x:c r="F1772" s="24" t="str">
        <x:v>2024-04</x:v>
      </x:c>
      <x:c r="G1772" s="30" t="n">
        <x:v>45392</x:v>
      </x:c>
      <x:c r="H1772" s="32" t="n">
        <x:v>1160000</x:v>
      </x:c>
      <x:c r="I1772" s="32" t="n">
        <x:v>1160000</x:v>
      </x:c>
      <x:c r="J1772" s="32" t="n">
        <x:v>0</x:v>
      </x:c>
      <x:c r="K1772" s="30" t="n">
        <x:v>45389</x:v>
      </x:c>
      <x:c r="L1772" s="24" t="str">
        <x:v>입금</x:v>
      </x:c>
      <x:c r="M1772" s="31" t="n">
        <x:f>IF(AND(N1772="미수",G1772&lt;&gt;"",TODAY()&gt;G1772),TODAY()-G1772,0)</x:f>
        <x:v>0</x:v>
      </x:c>
      <x:c r="N1772" s="24" t="str">
        <x:f>IF(J1772&gt;0,"미수",IF(AND(H1772&gt;0,I1772&gt;=H1772),"완납","미확인"))</x:f>
        <x:v>완납</x:v>
      </x:c>
      <x:c r="O1772" s="31" t="n">
        <x:v>84</x:v>
      </x:c>
    </x:row>
    <x:row r="1773" ht="17.25" customHeight="1">
      <x:c r="A1773" s="24" t="str">
        <x:v>SW-B-201다3498-202403</x:v>
      </x:c>
      <x:c r="B1773" s="24" t="str">
        <x:v>스위치플랜</x:v>
      </x:c>
      <x:c r="C1773" s="24" t="str">
        <x:v>SW-C-201다3498-1-20240110-85</x:v>
      </x:c>
      <x:c r="D1773" s="24" t="str">
        <x:v>201다3498</x:v>
      </x:c>
      <x:c r="E1773" s="24" t="str">
        <x:v>남정식</x:v>
      </x:c>
      <x:c r="F1773" s="24" t="str">
        <x:v>2024-03</x:v>
      </x:c>
      <x:c r="G1773" s="30" t="n">
        <x:v>45361</x:v>
      </x:c>
      <x:c r="H1773" s="32" t="n">
        <x:v>1160000</x:v>
      </x:c>
      <x:c r="I1773" s="32" t="n">
        <x:v>1160000</x:v>
      </x:c>
      <x:c r="J1773" s="32" t="n">
        <x:v>0</x:v>
      </x:c>
      <x:c r="K1773" s="30" t="n">
        <x:v>45359</x:v>
      </x:c>
      <x:c r="L1773" s="24" t="str">
        <x:v>입금</x:v>
      </x:c>
      <x:c r="M1773" s="31" t="n">
        <x:f>IF(AND(N1773="미수",G1773&lt;&gt;"",TODAY()&gt;G1773),TODAY()-G1773,0)</x:f>
        <x:v>0</x:v>
      </x:c>
      <x:c r="N1773" s="24" t="str">
        <x:f>IF(J1773&gt;0,"미수",IF(AND(H1773&gt;0,I1773&gt;=H1773),"완납","미확인"))</x:f>
        <x:v>완납</x:v>
      </x:c>
      <x:c r="O1773" s="31" t="n">
        <x:v>84</x:v>
      </x:c>
    </x:row>
    <x:row r="1774" ht="17.25" customHeight="1">
      <x:c r="A1774" s="24" t="str">
        <x:v>SW-B-201다3498-202402</x:v>
      </x:c>
      <x:c r="B1774" s="24" t="str">
        <x:v>스위치플랜</x:v>
      </x:c>
      <x:c r="C1774" s="24" t="str">
        <x:v>SW-C-201다3498-1-20240110-85</x:v>
      </x:c>
      <x:c r="D1774" s="24" t="str">
        <x:v>201다3498</x:v>
      </x:c>
      <x:c r="E1774" s="24" t="str">
        <x:v>남정식</x:v>
      </x:c>
      <x:c r="F1774" s="24" t="str">
        <x:v>2024-02</x:v>
      </x:c>
      <x:c r="G1774" s="30" t="n">
        <x:v>45332</x:v>
      </x:c>
      <x:c r="H1774" s="32" t="n">
        <x:v>1160000</x:v>
      </x:c>
      <x:c r="I1774" s="32" t="n">
        <x:v>1160000</x:v>
      </x:c>
      <x:c r="J1774" s="32" t="n">
        <x:v>0</x:v>
      </x:c>
      <x:c r="K1774" s="30" t="n">
        <x:v>45329</x:v>
      </x:c>
      <x:c r="L1774" s="24" t="str">
        <x:v>입금</x:v>
      </x:c>
      <x:c r="M1774" s="31" t="n">
        <x:f>IF(AND(N1774="미수",G1774&lt;&gt;"",TODAY()&gt;G1774),TODAY()-G1774,0)</x:f>
        <x:v>0</x:v>
      </x:c>
      <x:c r="N1774" s="24" t="str">
        <x:f>IF(J1774&gt;0,"미수",IF(AND(H1774&gt;0,I1774&gt;=H1774),"완납","미확인"))</x:f>
        <x:v>완납</x:v>
      </x:c>
      <x:c r="O1774" s="31" t="n">
        <x:v>84</x:v>
      </x:c>
    </x:row>
    <x:row r="1775" ht="17.25" customHeight="1">
      <x:c r="A1775" s="24" t="str">
        <x:v>SW-B-201다3498-202401</x:v>
      </x:c>
      <x:c r="B1775" s="24" t="str">
        <x:v>스위치플랜</x:v>
      </x:c>
      <x:c r="C1775" s="24" t="str">
        <x:v>SW-C-201다3498-1-20240110-85</x:v>
      </x:c>
      <x:c r="D1775" s="24" t="str">
        <x:v>201다3498</x:v>
      </x:c>
      <x:c r="E1775" s="24" t="str">
        <x:v>남정식</x:v>
      </x:c>
      <x:c r="F1775" s="24" t="str">
        <x:v>2024-01</x:v>
      </x:c>
      <x:c r="G1775" s="30" t="n">
        <x:v>45301</x:v>
      </x:c>
      <x:c r="H1775" s="32" t="n">
        <x:v>1110000</x:v>
      </x:c>
      <x:c r="I1775" s="32" t="n">
        <x:v>1110000</x:v>
      </x:c>
      <x:c r="J1775" s="32" t="n">
        <x:v>0</x:v>
      </x:c>
      <x:c r="K1775" s="30" t="n">
        <x:v>45293</x:v>
      </x:c>
      <x:c r="L1775" s="24" t="str">
        <x:v>입금</x:v>
      </x:c>
      <x:c r="M1775" s="31" t="n">
        <x:f>IF(AND(N1775="미수",G1775&lt;&gt;"",TODAY()&gt;G1775),TODAY()-G1775,0)</x:f>
        <x:v>0</x:v>
      </x:c>
      <x:c r="N1775" s="24" t="str">
        <x:f>IF(J1775&gt;0,"미수",IF(AND(H1775&gt;0,I1775&gt;=H1775),"완납","미확인"))</x:f>
        <x:v>완납</x:v>
      </x:c>
      <x:c r="O1775" s="31" t="n">
        <x:v>84</x:v>
      </x:c>
    </x:row>
    <x:row r="1776" ht="17.25" customHeight="1">
      <x:c r="A1776" s="24" t="str">
        <x:v>SW-B-288수6402-202608</x:v>
      </x:c>
      <x:c r="B1776" s="24" t="str">
        <x:v>스위치플랜</x:v>
      </x:c>
      <x:c r="C1776" s="24" t="str">
        <x:v>SW-C-288수6402-1-20260324-86</x:v>
      </x:c>
      <x:c r="D1776" s="24" t="str">
        <x:v>288수6402</x:v>
      </x:c>
      <x:c r="E1776" s="24" t="str">
        <x:v>김서운</x:v>
      </x:c>
      <x:c r="F1776" s="24" t="str">
        <x:v>2026-08</x:v>
      </x:c>
      <x:c r="G1776" s="30" t="n">
        <x:v>46249</x:v>
      </x:c>
      <x:c r="H1776" s="32" t="n">
        <x:v>730000</x:v>
      </x:c>
      <x:c r="I1776" s="32"/>
      <x:c r="J1776" s="32" t="n">
        <x:v>730000</x:v>
      </x:c>
      <x:c r="K1776" s="30"/>
      <x:c r="L1776" s="24" t="str"/>
      <x:c r="M1776" s="31" t="n">
        <x:f>IF(AND(N1776="미수",G1776&lt;&gt;"",TODAY()&gt;G1776),TODAY()-G1776,0)</x:f>
        <x:v>0</x:v>
      </x:c>
      <x:c r="N1776" s="24" t="str">
        <x:f>IF(J1776&gt;0,"미수",IF(AND(H1776&gt;0,I1776&gt;=H1776),"완납","미확인"))</x:f>
        <x:v>미수</x:v>
      </x:c>
      <x:c r="O1776" s="31" t="n">
        <x:v>85</x:v>
      </x:c>
    </x:row>
    <x:row r="1777" ht="17.25" customHeight="1">
      <x:c r="A1777" s="24" t="str">
        <x:v>SW-B-288수6402-202607</x:v>
      </x:c>
      <x:c r="B1777" s="24" t="str">
        <x:v>스위치플랜</x:v>
      </x:c>
      <x:c r="C1777" s="24" t="str">
        <x:v>SW-C-288수6402-1-20260324-86</x:v>
      </x:c>
      <x:c r="D1777" s="24" t="str">
        <x:v>288수6402</x:v>
      </x:c>
      <x:c r="E1777" s="24" t="str">
        <x:v>김서운</x:v>
      </x:c>
      <x:c r="F1777" s="24" t="str">
        <x:v>2026-07</x:v>
      </x:c>
      <x:c r="G1777" s="30" t="n">
        <x:v>46218</x:v>
      </x:c>
      <x:c r="H1777" s="32" t="n">
        <x:v>730000</x:v>
      </x:c>
      <x:c r="I1777" s="32" t="n">
        <x:v>730000</x:v>
      </x:c>
      <x:c r="J1777" s="32" t="n">
        <x:v>0</x:v>
      </x:c>
      <x:c r="K1777" s="30" t="n">
        <x:v>46222</x:v>
      </x:c>
      <x:c r="L1777" s="24" t="str">
        <x:v>입금</x:v>
      </x:c>
      <x:c r="M1777" s="31" t="n">
        <x:f>IF(AND(N1777="미수",G1777&lt;&gt;"",TODAY()&gt;G1777),TODAY()-G1777,0)</x:f>
        <x:v>0</x:v>
      </x:c>
      <x:c r="N1777" s="24" t="str">
        <x:f>IF(J1777&gt;0,"미수",IF(AND(H1777&gt;0,I1777&gt;=H1777),"완납","미확인"))</x:f>
        <x:v>완납</x:v>
      </x:c>
      <x:c r="O1777" s="31" t="n">
        <x:v>85</x:v>
      </x:c>
    </x:row>
    <x:row r="1778" ht="17.25" customHeight="1">
      <x:c r="A1778" s="24" t="str">
        <x:v>SW-B-288수6402-202606</x:v>
      </x:c>
      <x:c r="B1778" s="24" t="str">
        <x:v>스위치플랜</x:v>
      </x:c>
      <x:c r="C1778" s="24" t="str">
        <x:v>SW-C-288수6402-1-20260324-86</x:v>
      </x:c>
      <x:c r="D1778" s="24" t="str">
        <x:v>288수6402</x:v>
      </x:c>
      <x:c r="E1778" s="24" t="str">
        <x:v>김서운</x:v>
      </x:c>
      <x:c r="F1778" s="24" t="str">
        <x:v>2026-06</x:v>
      </x:c>
      <x:c r="G1778" s="30" t="n">
        <x:v>46188</x:v>
      </x:c>
      <x:c r="H1778" s="32" t="n">
        <x:v>730000</x:v>
      </x:c>
      <x:c r="I1778" s="32" t="n">
        <x:v>730000</x:v>
      </x:c>
      <x:c r="J1778" s="32" t="n">
        <x:v>0</x:v>
      </x:c>
      <x:c r="K1778" s="30" t="n">
        <x:v>46190</x:v>
      </x:c>
      <x:c r="L1778" s="24" t="str">
        <x:v>입금</x:v>
      </x:c>
      <x:c r="M1778" s="31" t="n">
        <x:f>IF(AND(N1778="미수",G1778&lt;&gt;"",TODAY()&gt;G1778),TODAY()-G1778,0)</x:f>
        <x:v>0</x:v>
      </x:c>
      <x:c r="N1778" s="24" t="str">
        <x:f>IF(J1778&gt;0,"미수",IF(AND(H1778&gt;0,I1778&gt;=H1778),"완납","미확인"))</x:f>
        <x:v>완납</x:v>
      </x:c>
      <x:c r="O1778" s="31" t="n">
        <x:v>85</x:v>
      </x:c>
    </x:row>
    <x:row r="1779" ht="17.25" customHeight="1">
      <x:c r="A1779" s="24" t="str">
        <x:v>SW-B-288수6402-202605</x:v>
      </x:c>
      <x:c r="B1779" s="24" t="str">
        <x:v>스위치플랜</x:v>
      </x:c>
      <x:c r="C1779" s="24" t="str">
        <x:v>SW-C-288수6402-1-20260324-86</x:v>
      </x:c>
      <x:c r="D1779" s="24" t="str">
        <x:v>288수6402</x:v>
      </x:c>
      <x:c r="E1779" s="24" t="str">
        <x:v>김서운</x:v>
      </x:c>
      <x:c r="F1779" s="24" t="str">
        <x:v>2026-05</x:v>
      </x:c>
      <x:c r="G1779" s="30" t="n">
        <x:v>46157</x:v>
      </x:c>
      <x:c r="H1779" s="32" t="n">
        <x:v>730000</x:v>
      </x:c>
      <x:c r="I1779" s="32" t="n">
        <x:v>730000</x:v>
      </x:c>
      <x:c r="J1779" s="32" t="n">
        <x:v>0</x:v>
      </x:c>
      <x:c r="K1779" s="30" t="n">
        <x:v>46160</x:v>
      </x:c>
      <x:c r="L1779" s="24" t="str">
        <x:v>입금</x:v>
      </x:c>
      <x:c r="M1779" s="31" t="n">
        <x:f>IF(AND(N1779="미수",G1779&lt;&gt;"",TODAY()&gt;G1779),TODAY()-G1779,0)</x:f>
        <x:v>0</x:v>
      </x:c>
      <x:c r="N1779" s="24" t="str">
        <x:f>IF(J1779&gt;0,"미수",IF(AND(H1779&gt;0,I1779&gt;=H1779),"완납","미확인"))</x:f>
        <x:v>완납</x:v>
      </x:c>
      <x:c r="O1779" s="31" t="n">
        <x:v>85</x:v>
      </x:c>
    </x:row>
    <x:row r="1780" ht="17.25" customHeight="1">
      <x:c r="A1780" s="24" t="str">
        <x:v>SW-B-288수6402-202604</x:v>
      </x:c>
      <x:c r="B1780" s="24" t="str">
        <x:v>스위치플랜</x:v>
      </x:c>
      <x:c r="C1780" s="24" t="str">
        <x:v>SW-C-288수6402-1-20260324-86</x:v>
      </x:c>
      <x:c r="D1780" s="24" t="str">
        <x:v>288수6402</x:v>
      </x:c>
      <x:c r="E1780" s="24" t="str">
        <x:v>김서운</x:v>
      </x:c>
      <x:c r="F1780" s="24" t="str">
        <x:v>2026-04</x:v>
      </x:c>
      <x:c r="G1780" s="30" t="n">
        <x:v>46127</x:v>
      </x:c>
      <x:c r="H1780" s="32" t="n">
        <x:v>730000</x:v>
      </x:c>
      <x:c r="I1780" s="32" t="n">
        <x:v>730000</x:v>
      </x:c>
      <x:c r="J1780" s="32" t="n">
        <x:v>0</x:v>
      </x:c>
      <x:c r="K1780" s="30" t="n">
        <x:v>46128</x:v>
      </x:c>
      <x:c r="L1780" s="24" t="str">
        <x:v>입금</x:v>
      </x:c>
      <x:c r="M1780" s="31" t="n">
        <x:f>IF(AND(N1780="미수",G1780&lt;&gt;"",TODAY()&gt;G1780),TODAY()-G1780,0)</x:f>
        <x:v>0</x:v>
      </x:c>
      <x:c r="N1780" s="24" t="str">
        <x:f>IF(J1780&gt;0,"미수",IF(AND(H1780&gt;0,I1780&gt;=H1780),"완납","미확인"))</x:f>
        <x:v>완납</x:v>
      </x:c>
      <x:c r="O1780" s="31" t="n">
        <x:v>85</x:v>
      </x:c>
    </x:row>
    <x:row r="1781" ht="17.25" customHeight="1">
      <x:c r="A1781" s="24" t="str">
        <x:v>SW-B-288수6402-202603</x:v>
      </x:c>
      <x:c r="B1781" s="24" t="str">
        <x:v>스위치플랜</x:v>
      </x:c>
      <x:c r="C1781" s="24" t="str">
        <x:v>SW-C-288수6402-1-20260324-86</x:v>
      </x:c>
      <x:c r="D1781" s="24" t="str">
        <x:v>288수6402</x:v>
      </x:c>
      <x:c r="E1781" s="24" t="str">
        <x:v>김서운</x:v>
      </x:c>
      <x:c r="F1781" s="24" t="str">
        <x:v>2026-03</x:v>
      </x:c>
      <x:c r="G1781" s="30" t="n">
        <x:v>46096</x:v>
      </x:c>
      <x:c r="H1781" s="32" t="n">
        <x:v>730000</x:v>
      </x:c>
      <x:c r="I1781" s="32" t="n">
        <x:v>730000</x:v>
      </x:c>
      <x:c r="J1781" s="32" t="n">
        <x:v>0</x:v>
      </x:c>
      <x:c r="K1781" s="30" t="n">
        <x:v>46105</x:v>
      </x:c>
      <x:c r="L1781" s="24" t="str">
        <x:v>입금</x:v>
      </x:c>
      <x:c r="M1781" s="31" t="n">
        <x:f>IF(AND(N1781="미수",G1781&lt;&gt;"",TODAY()&gt;G1781),TODAY()-G1781,0)</x:f>
        <x:v>0</x:v>
      </x:c>
      <x:c r="N1781" s="24" t="str">
        <x:f>IF(J1781&gt;0,"미수",IF(AND(H1781&gt;0,I1781&gt;=H1781),"완납","미확인"))</x:f>
        <x:v>완납</x:v>
      </x:c>
      <x:c r="O1781" s="31" t="n">
        <x:v>85</x:v>
      </x:c>
    </x:row>
    <x:row r="1782" ht="17.25" customHeight="1">
      <x:c r="A1782" s="24" t="str">
        <x:v>SW-B-288수6402-202602</x:v>
      </x:c>
      <x:c r="B1782" s="24" t="str">
        <x:v>스위치플랜</x:v>
      </x:c>
      <x:c r="C1782" s="24" t="str">
        <x:v>SW-C-288수6402-2-20260225-86</x:v>
      </x:c>
      <x:c r="D1782" s="24" t="str">
        <x:v>288수6402</x:v>
      </x:c>
      <x:c r="E1782" s="24" t="str">
        <x:v>김서운</x:v>
      </x:c>
      <x:c r="F1782" s="24" t="str">
        <x:v>2026-02</x:v>
      </x:c>
      <x:c r="G1782" s="30" t="n">
        <x:v>46068</x:v>
      </x:c>
      <x:c r="H1782" s="32" t="n">
        <x:v>830000</x:v>
      </x:c>
      <x:c r="I1782" s="32" t="n">
        <x:v>830000</x:v>
      </x:c>
      <x:c r="J1782" s="32" t="n">
        <x:v>0</x:v>
      </x:c>
      <x:c r="K1782" s="30" t="n">
        <x:v>46066</x:v>
      </x:c>
      <x:c r="L1782" s="24" t="str">
        <x:v>입금</x:v>
      </x:c>
      <x:c r="M1782" s="31" t="n">
        <x:f>IF(AND(N1782="미수",G1782&lt;&gt;"",TODAY()&gt;G1782),TODAY()-G1782,0)</x:f>
        <x:v>0</x:v>
      </x:c>
      <x:c r="N1782" s="24" t="str">
        <x:f>IF(J1782&gt;0,"미수",IF(AND(H1782&gt;0,I1782&gt;=H1782),"완납","미확인"))</x:f>
        <x:v>완납</x:v>
      </x:c>
      <x:c r="O1782" s="31" t="n">
        <x:v>85</x:v>
      </x:c>
    </x:row>
    <x:row r="1783" ht="17.25" customHeight="1">
      <x:c r="A1783" s="24" t="str">
        <x:v>SW-B-288수6402-202601</x:v>
      </x:c>
      <x:c r="B1783" s="24" t="str">
        <x:v>스위치플랜</x:v>
      </x:c>
      <x:c r="C1783" s="24" t="str">
        <x:v>SW-C-288수6402-3-20260121-86</x:v>
      </x:c>
      <x:c r="D1783" s="24" t="str">
        <x:v>288수6402</x:v>
      </x:c>
      <x:c r="E1783" s="24" t="str">
        <x:v>김서운</x:v>
      </x:c>
      <x:c r="F1783" s="24" t="str">
        <x:v>2026-01</x:v>
      </x:c>
      <x:c r="G1783" s="30" t="n">
        <x:v>46037</x:v>
      </x:c>
      <x:c r="H1783" s="32" t="n">
        <x:v>830000</x:v>
      </x:c>
      <x:c r="I1783" s="32" t="n">
        <x:v>830000</x:v>
      </x:c>
      <x:c r="J1783" s="32" t="n">
        <x:v>0</x:v>
      </x:c>
      <x:c r="K1783" s="30" t="n">
        <x:v>46037</x:v>
      </x:c>
      <x:c r="L1783" s="24" t="str">
        <x:v>자동</x:v>
      </x:c>
      <x:c r="M1783" s="31" t="n">
        <x:f>IF(AND(N1783="미수",G1783&lt;&gt;"",TODAY()&gt;G1783),TODAY()-G1783,0)</x:f>
        <x:v>0</x:v>
      </x:c>
      <x:c r="N1783" s="24" t="str">
        <x:f>IF(J1783&gt;0,"미수",IF(AND(H1783&gt;0,I1783&gt;=H1783),"완납","미확인"))</x:f>
        <x:v>완납</x:v>
      </x:c>
      <x:c r="O1783" s="31" t="n">
        <x:v>85</x:v>
      </x:c>
    </x:row>
    <x:row r="1784" ht="17.25" customHeight="1">
      <x:c r="A1784" s="24" t="str">
        <x:v>SW-B-288수6402-202512</x:v>
      </x:c>
      <x:c r="B1784" s="24" t="str">
        <x:v>스위치플랜</x:v>
      </x:c>
      <x:c r="C1784" s="24" t="str">
        <x:v>SW-C-288수6402-4-20251121-86</x:v>
      </x:c>
      <x:c r="D1784" s="24" t="str">
        <x:v>288수6402</x:v>
      </x:c>
      <x:c r="E1784" s="24" t="str">
        <x:v>김서운</x:v>
      </x:c>
      <x:c r="F1784" s="24" t="str">
        <x:v>2025-12</x:v>
      </x:c>
      <x:c r="G1784" s="30" t="n">
        <x:v>46006</x:v>
      </x:c>
      <x:c r="H1784" s="32" t="n">
        <x:v>730000</x:v>
      </x:c>
      <x:c r="I1784" s="32" t="n">
        <x:v>730000</x:v>
      </x:c>
      <x:c r="J1784" s="32" t="n">
        <x:v>0</x:v>
      </x:c>
      <x:c r="K1784" s="30" t="n">
        <x:v>46007</x:v>
      </x:c>
      <x:c r="L1784" s="24" t="str">
        <x:v>입금</x:v>
      </x:c>
      <x:c r="M1784" s="31" t="n">
        <x:f>IF(AND(N1784="미수",G1784&lt;&gt;"",TODAY()&gt;G1784),TODAY()-G1784,0)</x:f>
        <x:v>0</x:v>
      </x:c>
      <x:c r="N1784" s="24" t="str">
        <x:f>IF(J1784&gt;0,"미수",IF(AND(H1784&gt;0,I1784&gt;=H1784),"완납","미확인"))</x:f>
        <x:v>완납</x:v>
      </x:c>
      <x:c r="O1784" s="31" t="n">
        <x:v>85</x:v>
      </x:c>
    </x:row>
    <x:row r="1785" ht="17.25" customHeight="1">
      <x:c r="A1785" s="24" t="str">
        <x:v>SW-B-288수6402-202511</x:v>
      </x:c>
      <x:c r="B1785" s="24" t="str">
        <x:v>스위치플랜</x:v>
      </x:c>
      <x:c r="C1785" s="24" t="str">
        <x:v>SW-C-288수6402-4-20251121-86</x:v>
      </x:c>
      <x:c r="D1785" s="24" t="str">
        <x:v>288수6402</x:v>
      </x:c>
      <x:c r="E1785" s="24" t="str">
        <x:v>김서운</x:v>
      </x:c>
      <x:c r="F1785" s="24" t="str">
        <x:v>2025-11</x:v>
      </x:c>
      <x:c r="G1785" s="30" t="n">
        <x:v>45976</x:v>
      </x:c>
      <x:c r="H1785" s="32" t="n">
        <x:v>880000</x:v>
      </x:c>
      <x:c r="I1785" s="32" t="n">
        <x:v>880000</x:v>
      </x:c>
      <x:c r="J1785" s="32" t="n">
        <x:v>0</x:v>
      </x:c>
      <x:c r="K1785" s="30" t="n">
        <x:v>45978</x:v>
      </x:c>
      <x:c r="L1785" s="24" t="str">
        <x:v>입금</x:v>
      </x:c>
      <x:c r="M1785" s="31" t="n">
        <x:f>IF(AND(N1785="미수",G1785&lt;&gt;"",TODAY()&gt;G1785),TODAY()-G1785,0)</x:f>
        <x:v>0</x:v>
      </x:c>
      <x:c r="N1785" s="24" t="str">
        <x:f>IF(J1785&gt;0,"미수",IF(AND(H1785&gt;0,I1785&gt;=H1785),"완납","미확인"))</x:f>
        <x:v>완납</x:v>
      </x:c>
      <x:c r="O1785" s="31" t="n">
        <x:v>85</x:v>
      </x:c>
    </x:row>
    <x:row r="1786" ht="17.25" customHeight="1">
      <x:c r="A1786" s="24" t="str">
        <x:v>SW-B-288수6402-202510</x:v>
      </x:c>
      <x:c r="B1786" s="24" t="str">
        <x:v>스위치플랜</x:v>
      </x:c>
      <x:c r="C1786" s="24" t="str">
        <x:v>SW-C-288수6402-1-20260324-86</x:v>
      </x:c>
      <x:c r="D1786" s="24" t="str">
        <x:v>288수6402</x:v>
      </x:c>
      <x:c r="E1786" s="24" t="str">
        <x:v>김서운</x:v>
      </x:c>
      <x:c r="F1786" s="24" t="str">
        <x:v>2025-10</x:v>
      </x:c>
      <x:c r="G1786" s="30" t="n">
        <x:v>45945</x:v>
      </x:c>
      <x:c r="H1786" s="32" t="n">
        <x:v>880000</x:v>
      </x:c>
      <x:c r="I1786" s="32" t="n">
        <x:v>880000</x:v>
      </x:c>
      <x:c r="J1786" s="32" t="n">
        <x:v>0</x:v>
      </x:c>
      <x:c r="K1786" s="30" t="n">
        <x:v>45946</x:v>
      </x:c>
      <x:c r="L1786" s="24" t="str">
        <x:v>입금</x:v>
      </x:c>
      <x:c r="M1786" s="31" t="n">
        <x:f>IF(AND(N1786="미수",G1786&lt;&gt;"",TODAY()&gt;G1786),TODAY()-G1786,0)</x:f>
        <x:v>0</x:v>
      </x:c>
      <x:c r="N1786" s="24" t="str">
        <x:f>IF(J1786&gt;0,"미수",IF(AND(H1786&gt;0,I1786&gt;=H1786),"완납","미확인"))</x:f>
        <x:v>완납</x:v>
      </x:c>
      <x:c r="O1786" s="31" t="n">
        <x:v>85</x:v>
      </x:c>
    </x:row>
    <x:row r="1787" ht="17.25" customHeight="1">
      <x:c r="A1787" s="24" t="str">
        <x:v>SW-B-288수6402-202509</x:v>
      </x:c>
      <x:c r="B1787" s="24" t="str">
        <x:v>스위치플랜</x:v>
      </x:c>
      <x:c r="C1787" s="24" t="str">
        <x:v>SW-C-288수6402-1-20260324-86</x:v>
      </x:c>
      <x:c r="D1787" s="24" t="str">
        <x:v>288수6402</x:v>
      </x:c>
      <x:c r="E1787" s="24" t="str">
        <x:v>김서운</x:v>
      </x:c>
      <x:c r="F1787" s="24" t="str">
        <x:v>2025-09</x:v>
      </x:c>
      <x:c r="G1787" s="30" t="n">
        <x:v>45915</x:v>
      </x:c>
      <x:c r="H1787" s="32" t="n">
        <x:v>830000</x:v>
      </x:c>
      <x:c r="I1787" s="32" t="n">
        <x:v>830000</x:v>
      </x:c>
      <x:c r="J1787" s="32" t="n">
        <x:v>0</x:v>
      </x:c>
      <x:c r="K1787" s="30" t="n">
        <x:v>45916</x:v>
      </x:c>
      <x:c r="L1787" s="24" t="str">
        <x:v>입금</x:v>
      </x:c>
      <x:c r="M1787" s="31" t="n">
        <x:f>IF(AND(N1787="미수",G1787&lt;&gt;"",TODAY()&gt;G1787),TODAY()-G1787,0)</x:f>
        <x:v>0</x:v>
      </x:c>
      <x:c r="N1787" s="24" t="str">
        <x:f>IF(J1787&gt;0,"미수",IF(AND(H1787&gt;0,I1787&gt;=H1787),"완납","미확인"))</x:f>
        <x:v>완납</x:v>
      </x:c>
      <x:c r="O1787" s="31" t="n">
        <x:v>85</x:v>
      </x:c>
    </x:row>
    <x:row r="1788" ht="17.25" customHeight="1">
      <x:c r="A1788" s="24" t="str">
        <x:v>SW-B-288수6402-202508</x:v>
      </x:c>
      <x:c r="B1788" s="24" t="str">
        <x:v>스위치플랜</x:v>
      </x:c>
      <x:c r="C1788" s="24" t="str">
        <x:v>SW-C-288수6402-1-20260324-86</x:v>
      </x:c>
      <x:c r="D1788" s="24" t="str">
        <x:v>288수6402</x:v>
      </x:c>
      <x:c r="E1788" s="24" t="str">
        <x:v>김서운</x:v>
      </x:c>
      <x:c r="F1788" s="24" t="str">
        <x:v>2025-08</x:v>
      </x:c>
      <x:c r="G1788" s="30" t="n">
        <x:v>45884</x:v>
      </x:c>
      <x:c r="H1788" s="32" t="n">
        <x:v>830000</x:v>
      </x:c>
      <x:c r="I1788" s="32" t="n">
        <x:v>830000</x:v>
      </x:c>
      <x:c r="J1788" s="32" t="n">
        <x:v>0</x:v>
      </x:c>
      <x:c r="K1788" s="30" t="n">
        <x:v>45886</x:v>
      </x:c>
      <x:c r="L1788" s="24" t="str">
        <x:v>입금</x:v>
      </x:c>
      <x:c r="M1788" s="31" t="n">
        <x:f>IF(AND(N1788="미수",G1788&lt;&gt;"",TODAY()&gt;G1788),TODAY()-G1788,0)</x:f>
        <x:v>0</x:v>
      </x:c>
      <x:c r="N1788" s="24" t="str">
        <x:f>IF(J1788&gt;0,"미수",IF(AND(H1788&gt;0,I1788&gt;=H1788),"완납","미확인"))</x:f>
        <x:v>완납</x:v>
      </x:c>
      <x:c r="O1788" s="31" t="n">
        <x:v>85</x:v>
      </x:c>
    </x:row>
    <x:row r="1789" ht="17.25" customHeight="1">
      <x:c r="A1789" s="24" t="str">
        <x:v>SW-B-288수6402-202507</x:v>
      </x:c>
      <x:c r="B1789" s="24" t="str">
        <x:v>스위치플랜</x:v>
      </x:c>
      <x:c r="C1789" s="24" t="str">
        <x:v>SW-C-288수6402-1-20260324-86</x:v>
      </x:c>
      <x:c r="D1789" s="24" t="str">
        <x:v>288수6402</x:v>
      </x:c>
      <x:c r="E1789" s="24" t="str">
        <x:v>김서운</x:v>
      </x:c>
      <x:c r="F1789" s="24" t="str">
        <x:v>2025-07</x:v>
      </x:c>
      <x:c r="G1789" s="30" t="n">
        <x:v>45853</x:v>
      </x:c>
      <x:c r="H1789" s="32" t="n">
        <x:v>830000</x:v>
      </x:c>
      <x:c r="I1789" s="32" t="n">
        <x:v>830000</x:v>
      </x:c>
      <x:c r="J1789" s="32" t="n">
        <x:v>0</x:v>
      </x:c>
      <x:c r="K1789" s="30" t="n">
        <x:v>45855</x:v>
      </x:c>
      <x:c r="L1789" s="24" t="str">
        <x:v>입금</x:v>
      </x:c>
      <x:c r="M1789" s="31" t="n">
        <x:f>IF(AND(N1789="미수",G1789&lt;&gt;"",TODAY()&gt;G1789),TODAY()-G1789,0)</x:f>
        <x:v>0</x:v>
      </x:c>
      <x:c r="N1789" s="24" t="str">
        <x:f>IF(J1789&gt;0,"미수",IF(AND(H1789&gt;0,I1789&gt;=H1789),"완납","미확인"))</x:f>
        <x:v>완납</x:v>
      </x:c>
      <x:c r="O1789" s="31" t="n">
        <x:v>85</x:v>
      </x:c>
    </x:row>
    <x:row r="1790" ht="17.25" customHeight="1">
      <x:c r="A1790" s="24" t="str">
        <x:v>SW-B-288수6402-202506</x:v>
      </x:c>
      <x:c r="B1790" s="24" t="str">
        <x:v>스위치플랜</x:v>
      </x:c>
      <x:c r="C1790" s="24" t="str">
        <x:v>SW-C-288수6402-1-20260324-86</x:v>
      </x:c>
      <x:c r="D1790" s="24" t="str">
        <x:v>288수6402</x:v>
      </x:c>
      <x:c r="E1790" s="24" t="str">
        <x:v>김서운</x:v>
      </x:c>
      <x:c r="F1790" s="24" t="str">
        <x:v>2025-06</x:v>
      </x:c>
      <x:c r="G1790" s="30" t="n">
        <x:v>45823</x:v>
      </x:c>
      <x:c r="H1790" s="32" t="n">
        <x:v>830000</x:v>
      </x:c>
      <x:c r="I1790" s="32" t="n">
        <x:v>830000</x:v>
      </x:c>
      <x:c r="J1790" s="32" t="n">
        <x:v>0</x:v>
      </x:c>
      <x:c r="K1790" s="30" t="n">
        <x:v>45823</x:v>
      </x:c>
      <x:c r="L1790" s="24" t="str">
        <x:v>입금</x:v>
      </x:c>
      <x:c r="M1790" s="31" t="n">
        <x:f>IF(AND(N1790="미수",G1790&lt;&gt;"",TODAY()&gt;G1790),TODAY()-G1790,0)</x:f>
        <x:v>0</x:v>
      </x:c>
      <x:c r="N1790" s="24" t="str">
        <x:f>IF(J1790&gt;0,"미수",IF(AND(H1790&gt;0,I1790&gt;=H1790),"완납","미확인"))</x:f>
        <x:v>완납</x:v>
      </x:c>
      <x:c r="O1790" s="31" t="n">
        <x:v>85</x:v>
      </x:c>
    </x:row>
    <x:row r="1791" ht="17.25" customHeight="1">
      <x:c r="A1791" s="24" t="str">
        <x:v>SW-B-288수6402-202505</x:v>
      </x:c>
      <x:c r="B1791" s="24" t="str">
        <x:v>스위치플랜</x:v>
      </x:c>
      <x:c r="C1791" s="24" t="str">
        <x:v>SW-C-288수6402-1-20260324-86</x:v>
      </x:c>
      <x:c r="D1791" s="24" t="str">
        <x:v>288수6402</x:v>
      </x:c>
      <x:c r="E1791" s="24" t="str">
        <x:v>김서운</x:v>
      </x:c>
      <x:c r="F1791" s="24" t="str">
        <x:v>2025-05</x:v>
      </x:c>
      <x:c r="G1791" s="30" t="n">
        <x:v>45792</x:v>
      </x:c>
      <x:c r="H1791" s="32" t="n">
        <x:v>830000</x:v>
      </x:c>
      <x:c r="I1791" s="32" t="n">
        <x:v>830000</x:v>
      </x:c>
      <x:c r="J1791" s="32" t="n">
        <x:v>0</x:v>
      </x:c>
      <x:c r="K1791" s="30" t="n">
        <x:v>45792</x:v>
      </x:c>
      <x:c r="L1791" s="24" t="str">
        <x:v>입금</x:v>
      </x:c>
      <x:c r="M1791" s="31" t="n">
        <x:f>IF(AND(N1791="미수",G1791&lt;&gt;"",TODAY()&gt;G1791),TODAY()-G1791,0)</x:f>
        <x:v>0</x:v>
      </x:c>
      <x:c r="N1791" s="24" t="str">
        <x:f>IF(J1791&gt;0,"미수",IF(AND(H1791&gt;0,I1791&gt;=H1791),"완납","미확인"))</x:f>
        <x:v>완납</x:v>
      </x:c>
      <x:c r="O1791" s="31" t="n">
        <x:v>85</x:v>
      </x:c>
    </x:row>
    <x:row r="1792" ht="17.25" customHeight="1">
      <x:c r="A1792" s="24" t="str">
        <x:v>SW-B-288수6402-202504</x:v>
      </x:c>
      <x:c r="B1792" s="24" t="str">
        <x:v>스위치플랜</x:v>
      </x:c>
      <x:c r="C1792" s="24" t="str">
        <x:v>SW-C-288수6402-1-20260324-86</x:v>
      </x:c>
      <x:c r="D1792" s="24" t="str">
        <x:v>288수6402</x:v>
      </x:c>
      <x:c r="E1792" s="24" t="str">
        <x:v>김서운</x:v>
      </x:c>
      <x:c r="F1792" s="24" t="str">
        <x:v>2025-04</x:v>
      </x:c>
      <x:c r="G1792" s="30" t="n">
        <x:v>45762</x:v>
      </x:c>
      <x:c r="H1792" s="32" t="n">
        <x:v>830000</x:v>
      </x:c>
      <x:c r="I1792" s="32" t="n">
        <x:v>830000</x:v>
      </x:c>
      <x:c r="J1792" s="32" t="n">
        <x:v>0</x:v>
      </x:c>
      <x:c r="K1792" s="30" t="n">
        <x:v>45764</x:v>
      </x:c>
      <x:c r="L1792" s="24" t="str">
        <x:v>입금</x:v>
      </x:c>
      <x:c r="M1792" s="31" t="n">
        <x:f>IF(AND(N1792="미수",G1792&lt;&gt;"",TODAY()&gt;G1792),TODAY()-G1792,0)</x:f>
        <x:v>0</x:v>
      </x:c>
      <x:c r="N1792" s="24" t="str">
        <x:f>IF(J1792&gt;0,"미수",IF(AND(H1792&gt;0,I1792&gt;=H1792),"완납","미확인"))</x:f>
        <x:v>완납</x:v>
      </x:c>
      <x:c r="O1792" s="31" t="n">
        <x:v>85</x:v>
      </x:c>
    </x:row>
    <x:row r="1793" ht="17.25" customHeight="1">
      <x:c r="A1793" s="24" t="str">
        <x:v>SW-B-288수6402-202503</x:v>
      </x:c>
      <x:c r="B1793" s="24" t="str">
        <x:v>스위치플랜</x:v>
      </x:c>
      <x:c r="C1793" s="24" t="str">
        <x:v>SW-C-288수6402-1-20260324-86</x:v>
      </x:c>
      <x:c r="D1793" s="24" t="str">
        <x:v>288수6402</x:v>
      </x:c>
      <x:c r="E1793" s="24" t="str">
        <x:v>김서운</x:v>
      </x:c>
      <x:c r="F1793" s="24" t="str">
        <x:v>2025-03</x:v>
      </x:c>
      <x:c r="G1793" s="30" t="n">
        <x:v>45731</x:v>
      </x:c>
      <x:c r="H1793" s="32" t="n">
        <x:v>830000</x:v>
      </x:c>
      <x:c r="I1793" s="32" t="n">
        <x:v>830000</x:v>
      </x:c>
      <x:c r="J1793" s="32" t="n">
        <x:v>0</x:v>
      </x:c>
      <x:c r="K1793" s="30" t="n">
        <x:v>45733</x:v>
      </x:c>
      <x:c r="L1793" s="24" t="str">
        <x:v>입금</x:v>
      </x:c>
      <x:c r="M1793" s="31" t="n">
        <x:f>IF(AND(N1793="미수",G1793&lt;&gt;"",TODAY()&gt;G1793),TODAY()-G1793,0)</x:f>
        <x:v>0</x:v>
      </x:c>
      <x:c r="N1793" s="24" t="str">
        <x:f>IF(J1793&gt;0,"미수",IF(AND(H1793&gt;0,I1793&gt;=H1793),"완납","미확인"))</x:f>
        <x:v>완납</x:v>
      </x:c>
      <x:c r="O1793" s="31" t="n">
        <x:v>85</x:v>
      </x:c>
    </x:row>
    <x:row r="1794" ht="17.25" customHeight="1">
      <x:c r="A1794" s="24" t="str">
        <x:v>SW-B-288수6402-202502</x:v>
      </x:c>
      <x:c r="B1794" s="24" t="str">
        <x:v>스위치플랜</x:v>
      </x:c>
      <x:c r="C1794" s="24" t="str">
        <x:v>SW-C-288수6402-1-20260324-86</x:v>
      </x:c>
      <x:c r="D1794" s="24" t="str">
        <x:v>288수6402</x:v>
      </x:c>
      <x:c r="E1794" s="24" t="str">
        <x:v>김서운</x:v>
      </x:c>
      <x:c r="F1794" s="24" t="str">
        <x:v>2025-02</x:v>
      </x:c>
      <x:c r="G1794" s="30" t="n">
        <x:v>45703</x:v>
      </x:c>
      <x:c r="H1794" s="32" t="n">
        <x:v>830000</x:v>
      </x:c>
      <x:c r="I1794" s="32" t="n">
        <x:v>830000</x:v>
      </x:c>
      <x:c r="J1794" s="32" t="n">
        <x:v>0</x:v>
      </x:c>
      <x:c r="K1794" s="30" t="n">
        <x:v>45706</x:v>
      </x:c>
      <x:c r="L1794" s="24" t="str">
        <x:v>입금</x:v>
      </x:c>
      <x:c r="M1794" s="31" t="n">
        <x:f>IF(AND(N1794="미수",G1794&lt;&gt;"",TODAY()&gt;G1794),TODAY()-G1794,0)</x:f>
        <x:v>0</x:v>
      </x:c>
      <x:c r="N1794" s="24" t="str">
        <x:f>IF(J1794&gt;0,"미수",IF(AND(H1794&gt;0,I1794&gt;=H1794),"완납","미확인"))</x:f>
        <x:v>완납</x:v>
      </x:c>
      <x:c r="O1794" s="31" t="n">
        <x:v>85</x:v>
      </x:c>
    </x:row>
    <x:row r="1795" ht="17.25" customHeight="1">
      <x:c r="A1795" s="24" t="str">
        <x:v>SW-B-288수6402-202501</x:v>
      </x:c>
      <x:c r="B1795" s="24" t="str">
        <x:v>스위치플랜</x:v>
      </x:c>
      <x:c r="C1795" s="24" t="str">
        <x:v>SW-C-288수6402-1-20260324-86</x:v>
      </x:c>
      <x:c r="D1795" s="24" t="str">
        <x:v>288수6402</x:v>
      </x:c>
      <x:c r="E1795" s="24" t="str">
        <x:v>김서운</x:v>
      </x:c>
      <x:c r="F1795" s="24" t="str">
        <x:v>2025-01</x:v>
      </x:c>
      <x:c r="G1795" s="30" t="n">
        <x:v>45672</x:v>
      </x:c>
      <x:c r="H1795" s="32" t="n">
        <x:v>830000</x:v>
      </x:c>
      <x:c r="I1795" s="32" t="n">
        <x:v>830000</x:v>
      </x:c>
      <x:c r="J1795" s="32" t="n">
        <x:v>0</x:v>
      </x:c>
      <x:c r="K1795" s="30" t="n">
        <x:v>45307</x:v>
      </x:c>
      <x:c r="L1795" s="24" t="str">
        <x:v>입금</x:v>
      </x:c>
      <x:c r="M1795" s="31" t="n">
        <x:f>IF(AND(N1795="미수",G1795&lt;&gt;"",TODAY()&gt;G1795),TODAY()-G1795,0)</x:f>
        <x:v>0</x:v>
      </x:c>
      <x:c r="N1795" s="24" t="str">
        <x:f>IF(J1795&gt;0,"미수",IF(AND(H1795&gt;0,I1795&gt;=H1795),"완납","미확인"))</x:f>
        <x:v>완납</x:v>
      </x:c>
      <x:c r="O1795" s="31" t="n">
        <x:v>85</x:v>
      </x:c>
    </x:row>
    <x:row r="1796" ht="17.25" customHeight="1">
      <x:c r="A1796" s="24" t="str">
        <x:v>SW-B-288수6402-202412</x:v>
      </x:c>
      <x:c r="B1796" s="24" t="str">
        <x:v>스위치플랜</x:v>
      </x:c>
      <x:c r="C1796" s="24" t="str">
        <x:v>SW-C-288수6402-1-20260324-86</x:v>
      </x:c>
      <x:c r="D1796" s="24" t="str">
        <x:v>288수6402</x:v>
      </x:c>
      <x:c r="E1796" s="24" t="str">
        <x:v>김서운</x:v>
      </x:c>
      <x:c r="F1796" s="24" t="str">
        <x:v>2024-12</x:v>
      </x:c>
      <x:c r="G1796" s="30" t="n">
        <x:v>45641</x:v>
      </x:c>
      <x:c r="H1796" s="32" t="n">
        <x:v>830000</x:v>
      </x:c>
      <x:c r="I1796" s="32" t="n">
        <x:v>830000</x:v>
      </x:c>
      <x:c r="J1796" s="32" t="n">
        <x:v>0</x:v>
      </x:c>
      <x:c r="K1796" s="30" t="n">
        <x:v>45641</x:v>
      </x:c>
      <x:c r="L1796" s="24" t="str">
        <x:v>입금</x:v>
      </x:c>
      <x:c r="M1796" s="31" t="n">
        <x:f>IF(AND(N1796="미수",G1796&lt;&gt;"",TODAY()&gt;G1796),TODAY()-G1796,0)</x:f>
        <x:v>0</x:v>
      </x:c>
      <x:c r="N1796" s="24" t="str">
        <x:f>IF(J1796&gt;0,"미수",IF(AND(H1796&gt;0,I1796&gt;=H1796),"완납","미확인"))</x:f>
        <x:v>완납</x:v>
      </x:c>
      <x:c r="O1796" s="31" t="n">
        <x:v>85</x:v>
      </x:c>
    </x:row>
    <x:row r="1797" ht="17.25" customHeight="1">
      <x:c r="A1797" s="24" t="str">
        <x:v>SW-B-288수6402-202411</x:v>
      </x:c>
      <x:c r="B1797" s="24" t="str">
        <x:v>스위치플랜</x:v>
      </x:c>
      <x:c r="C1797" s="24" t="str">
        <x:v>SW-C-288수6402-1-20260324-86</x:v>
      </x:c>
      <x:c r="D1797" s="24" t="str">
        <x:v>288수6402</x:v>
      </x:c>
      <x:c r="E1797" s="24" t="str">
        <x:v>김서운</x:v>
      </x:c>
      <x:c r="F1797" s="24" t="str">
        <x:v>2024-11</x:v>
      </x:c>
      <x:c r="G1797" s="30" t="n">
        <x:v>45611</x:v>
      </x:c>
      <x:c r="H1797" s="32" t="n">
        <x:v>830000</x:v>
      </x:c>
      <x:c r="I1797" s="32" t="n">
        <x:v>830000</x:v>
      </x:c>
      <x:c r="J1797" s="32" t="n">
        <x:v>0</x:v>
      </x:c>
      <x:c r="K1797" s="30" t="n">
        <x:v>45612</x:v>
      </x:c>
      <x:c r="L1797" s="24" t="str">
        <x:v>입금</x:v>
      </x:c>
      <x:c r="M1797" s="31" t="n">
        <x:f>IF(AND(N1797="미수",G1797&lt;&gt;"",TODAY()&gt;G1797),TODAY()-G1797,0)</x:f>
        <x:v>0</x:v>
      </x:c>
      <x:c r="N1797" s="24" t="str">
        <x:f>IF(J1797&gt;0,"미수",IF(AND(H1797&gt;0,I1797&gt;=H1797),"완납","미확인"))</x:f>
        <x:v>완납</x:v>
      </x:c>
      <x:c r="O1797" s="31" t="n">
        <x:v>85</x:v>
      </x:c>
    </x:row>
    <x:row r="1798" ht="17.25" customHeight="1">
      <x:c r="A1798" s="24" t="str">
        <x:v>SW-B-288수6402-202410</x:v>
      </x:c>
      <x:c r="B1798" s="24" t="str">
        <x:v>스위치플랜</x:v>
      </x:c>
      <x:c r="C1798" s="24" t="str">
        <x:v>SW-C-288수6402-1-20260324-86</x:v>
      </x:c>
      <x:c r="D1798" s="24" t="str">
        <x:v>288수6402</x:v>
      </x:c>
      <x:c r="E1798" s="24" t="str">
        <x:v>김서운</x:v>
      </x:c>
      <x:c r="F1798" s="24" t="str">
        <x:v>2024-10</x:v>
      </x:c>
      <x:c r="G1798" s="30" t="n">
        <x:v>45580</x:v>
      </x:c>
      <x:c r="H1798" s="32" t="n">
        <x:v>830000</x:v>
      </x:c>
      <x:c r="I1798" s="32" t="n">
        <x:v>830000</x:v>
      </x:c>
      <x:c r="J1798" s="32" t="n">
        <x:v>0</x:v>
      </x:c>
      <x:c r="K1798" s="30" t="n">
        <x:v>45581</x:v>
      </x:c>
      <x:c r="L1798" s="24" t="str">
        <x:v>입금</x:v>
      </x:c>
      <x:c r="M1798" s="31" t="n">
        <x:f>IF(AND(N1798="미수",G1798&lt;&gt;"",TODAY()&gt;G1798),TODAY()-G1798,0)</x:f>
        <x:v>0</x:v>
      </x:c>
      <x:c r="N1798" s="24" t="str">
        <x:f>IF(J1798&gt;0,"미수",IF(AND(H1798&gt;0,I1798&gt;=H1798),"완납","미확인"))</x:f>
        <x:v>완납</x:v>
      </x:c>
      <x:c r="O1798" s="31" t="n">
        <x:v>85</x:v>
      </x:c>
    </x:row>
    <x:row r="1799" ht="17.25" customHeight="1">
      <x:c r="A1799" s="24" t="str">
        <x:v>SW-B-288수6402-202409</x:v>
      </x:c>
      <x:c r="B1799" s="24" t="str">
        <x:v>스위치플랜</x:v>
      </x:c>
      <x:c r="C1799" s="24" t="str">
        <x:v>SW-C-288수6402-1-20260324-86</x:v>
      </x:c>
      <x:c r="D1799" s="24" t="str">
        <x:v>288수6402</x:v>
      </x:c>
      <x:c r="E1799" s="24" t="str">
        <x:v>김서운</x:v>
      </x:c>
      <x:c r="F1799" s="24" t="str">
        <x:v>2024-09</x:v>
      </x:c>
      <x:c r="G1799" s="30" t="n">
        <x:v>45550</x:v>
      </x:c>
      <x:c r="H1799" s="32" t="n">
        <x:v>830000</x:v>
      </x:c>
      <x:c r="I1799" s="32" t="n">
        <x:v>830000</x:v>
      </x:c>
      <x:c r="J1799" s="32" t="n">
        <x:v>0</x:v>
      </x:c>
      <x:c r="K1799" s="30" t="n">
        <x:v>45549</x:v>
      </x:c>
      <x:c r="L1799" s="24" t="str">
        <x:v>입금</x:v>
      </x:c>
      <x:c r="M1799" s="31" t="n">
        <x:f>IF(AND(N1799="미수",G1799&lt;&gt;"",TODAY()&gt;G1799),TODAY()-G1799,0)</x:f>
        <x:v>0</x:v>
      </x:c>
      <x:c r="N1799" s="24" t="str">
        <x:f>IF(J1799&gt;0,"미수",IF(AND(H1799&gt;0,I1799&gt;=H1799),"완납","미확인"))</x:f>
        <x:v>완납</x:v>
      </x:c>
      <x:c r="O1799" s="31" t="n">
        <x:v>85</x:v>
      </x:c>
    </x:row>
    <x:row r="1800" ht="17.25" customHeight="1">
      <x:c r="A1800" s="24" t="str">
        <x:v>SW-B-288수6402-202408</x:v>
      </x:c>
      <x:c r="B1800" s="24" t="str">
        <x:v>스위치플랜</x:v>
      </x:c>
      <x:c r="C1800" s="24" t="str">
        <x:v>SW-C-288수6402-1-20260324-86</x:v>
      </x:c>
      <x:c r="D1800" s="24" t="str">
        <x:v>288수6402</x:v>
      </x:c>
      <x:c r="E1800" s="24" t="str">
        <x:v>김서운</x:v>
      </x:c>
      <x:c r="F1800" s="24" t="str">
        <x:v>2024-08</x:v>
      </x:c>
      <x:c r="G1800" s="30" t="n">
        <x:v>45519</x:v>
      </x:c>
      <x:c r="H1800" s="32" t="n">
        <x:v>830000</x:v>
      </x:c>
      <x:c r="I1800" s="32" t="n">
        <x:v>830000</x:v>
      </x:c>
      <x:c r="J1800" s="32" t="n">
        <x:v>0</x:v>
      </x:c>
      <x:c r="K1800" s="30" t="n">
        <x:v>45506</x:v>
      </x:c>
      <x:c r="L1800" s="24" t="str">
        <x:v>입금</x:v>
      </x:c>
      <x:c r="M1800" s="31" t="n">
        <x:f>IF(AND(N1800="미수",G1800&lt;&gt;"",TODAY()&gt;G1800),TODAY()-G1800,0)</x:f>
        <x:v>0</x:v>
      </x:c>
      <x:c r="N1800" s="24" t="str">
        <x:f>IF(J1800&gt;0,"미수",IF(AND(H1800&gt;0,I1800&gt;=H1800),"완납","미확인"))</x:f>
        <x:v>완납</x:v>
      </x:c>
      <x:c r="O1800" s="31" t="n">
        <x:v>85</x:v>
      </x:c>
    </x:row>
    <x:row r="1801" ht="17.25" customHeight="1">
      <x:c r="A1801" s="24" t="str">
        <x:v>SW-B-244루2757-202608</x:v>
      </x:c>
      <x:c r="B1801" s="24" t="str">
        <x:v>스위치플랜</x:v>
      </x:c>
      <x:c r="C1801" s="24" t="str">
        <x:v>SW-C-244루2757-1-20260318-87</x:v>
      </x:c>
      <x:c r="D1801" s="24" t="str">
        <x:v>244루2757</x:v>
      </x:c>
      <x:c r="E1801" s="24" t="str">
        <x:v>홍이삭</x:v>
      </x:c>
      <x:c r="F1801" s="24" t="str">
        <x:v>2026-08</x:v>
      </x:c>
      <x:c r="G1801" s="30" t="n">
        <x:v>46254</x:v>
      </x:c>
      <x:c r="H1801" s="32" t="n">
        <x:v>380000</x:v>
      </x:c>
      <x:c r="I1801" s="32"/>
      <x:c r="J1801" s="32" t="n">
        <x:v>380000</x:v>
      </x:c>
      <x:c r="K1801" s="30"/>
      <x:c r="L1801" s="24" t="str"/>
      <x:c r="M1801" s="31" t="n">
        <x:f>IF(AND(N1801="미수",G1801&lt;&gt;"",TODAY()&gt;G1801),TODAY()-G1801,0)</x:f>
        <x:v>0</x:v>
      </x:c>
      <x:c r="N1801" s="24" t="str">
        <x:f>IF(J1801&gt;0,"미수",IF(AND(H1801&gt;0,I1801&gt;=H1801),"완납","미확인"))</x:f>
        <x:v>미수</x:v>
      </x:c>
      <x:c r="O1801" s="31" t="n">
        <x:v>86</x:v>
      </x:c>
    </x:row>
    <x:row r="1802" ht="17.25" customHeight="1">
      <x:c r="A1802" s="24" t="str">
        <x:v>SW-B-244루2757-202607</x:v>
      </x:c>
      <x:c r="B1802" s="24" t="str">
        <x:v>스위치플랜</x:v>
      </x:c>
      <x:c r="C1802" s="24" t="str">
        <x:v>SW-C-244루2757-1-20260318-87</x:v>
      </x:c>
      <x:c r="D1802" s="24" t="str">
        <x:v>244루2757</x:v>
      </x:c>
      <x:c r="E1802" s="24" t="str">
        <x:v>홍이삭</x:v>
      </x:c>
      <x:c r="F1802" s="24" t="str">
        <x:v>2026-07</x:v>
      </x:c>
      <x:c r="G1802" s="30" t="n">
        <x:v>46223</x:v>
      </x:c>
      <x:c r="H1802" s="32" t="n">
        <x:v>380000</x:v>
      </x:c>
      <x:c r="I1802" s="32" t="n">
        <x:v>380000</x:v>
      </x:c>
      <x:c r="J1802" s="32" t="n">
        <x:v>0</x:v>
      </x:c>
      <x:c r="K1802" s="30" t="n">
        <x:v>46223</x:v>
      </x:c>
      <x:c r="L1802" s="24" t="str">
        <x:v>입금</x:v>
      </x:c>
      <x:c r="M1802" s="31" t="n">
        <x:f>IF(AND(N1802="미수",G1802&lt;&gt;"",TODAY()&gt;G1802),TODAY()-G1802,0)</x:f>
        <x:v>0</x:v>
      </x:c>
      <x:c r="N1802" s="24" t="str">
        <x:f>IF(J1802&gt;0,"미수",IF(AND(H1802&gt;0,I1802&gt;=H1802),"완납","미확인"))</x:f>
        <x:v>완납</x:v>
      </x:c>
      <x:c r="O1802" s="31" t="n">
        <x:v>86</x:v>
      </x:c>
    </x:row>
    <x:row r="1803" ht="17.25" customHeight="1">
      <x:c r="A1803" s="24" t="str">
        <x:v>SW-B-244루2757-202606</x:v>
      </x:c>
      <x:c r="B1803" s="24" t="str">
        <x:v>스위치플랜</x:v>
      </x:c>
      <x:c r="C1803" s="24" t="str">
        <x:v>SW-C-244루2757-1-20260318-87</x:v>
      </x:c>
      <x:c r="D1803" s="24" t="str">
        <x:v>244루2757</x:v>
      </x:c>
      <x:c r="E1803" s="24" t="str">
        <x:v>홍이삭</x:v>
      </x:c>
      <x:c r="F1803" s="24" t="str">
        <x:v>2026-06</x:v>
      </x:c>
      <x:c r="G1803" s="30" t="n">
        <x:v>46193</x:v>
      </x:c>
      <x:c r="H1803" s="32" t="n">
        <x:v>380000</x:v>
      </x:c>
      <x:c r="I1803" s="32" t="n">
        <x:v>380000</x:v>
      </x:c>
      <x:c r="J1803" s="32" t="n">
        <x:v>0</x:v>
      </x:c>
      <x:c r="K1803" s="30" t="n">
        <x:v>46195</x:v>
      </x:c>
      <x:c r="L1803" s="24" t="str">
        <x:v>자동</x:v>
      </x:c>
      <x:c r="M1803" s="31" t="n">
        <x:f>IF(AND(N1803="미수",G1803&lt;&gt;"",TODAY()&gt;G1803),TODAY()-G1803,0)</x:f>
        <x:v>0</x:v>
      </x:c>
      <x:c r="N1803" s="24" t="str">
        <x:f>IF(J1803&gt;0,"미수",IF(AND(H1803&gt;0,I1803&gt;=H1803),"완납","미확인"))</x:f>
        <x:v>완납</x:v>
      </x:c>
      <x:c r="O1803" s="31" t="n">
        <x:v>86</x:v>
      </x:c>
    </x:row>
    <x:row r="1804" ht="17.25" customHeight="1">
      <x:c r="A1804" s="24" t="str">
        <x:v>SW-B-244루2757-202605</x:v>
      </x:c>
      <x:c r="B1804" s="24" t="str">
        <x:v>스위치플랜</x:v>
      </x:c>
      <x:c r="C1804" s="24" t="str">
        <x:v>SW-C-244루2757-1-20260318-87</x:v>
      </x:c>
      <x:c r="D1804" s="24" t="str">
        <x:v>244루2757</x:v>
      </x:c>
      <x:c r="E1804" s="24" t="str">
        <x:v>홍이삭</x:v>
      </x:c>
      <x:c r="F1804" s="24" t="str">
        <x:v>2026-05</x:v>
      </x:c>
      <x:c r="G1804" s="30" t="n">
        <x:v>46162</x:v>
      </x:c>
      <x:c r="H1804" s="32" t="n">
        <x:v>380000</x:v>
      </x:c>
      <x:c r="I1804" s="32" t="n">
        <x:v>380000</x:v>
      </x:c>
      <x:c r="J1804" s="32" t="n">
        <x:v>0</x:v>
      </x:c>
      <x:c r="K1804" s="30" t="n">
        <x:v>46162</x:v>
      </x:c>
      <x:c r="L1804" s="24" t="str">
        <x:v>입금</x:v>
      </x:c>
      <x:c r="M1804" s="31" t="n">
        <x:f>IF(AND(N1804="미수",G1804&lt;&gt;"",TODAY()&gt;G1804),TODAY()-G1804,0)</x:f>
        <x:v>0</x:v>
      </x:c>
      <x:c r="N1804" s="24" t="str">
        <x:f>IF(J1804&gt;0,"미수",IF(AND(H1804&gt;0,I1804&gt;=H1804),"완납","미확인"))</x:f>
        <x:v>완납</x:v>
      </x:c>
      <x:c r="O1804" s="31" t="n">
        <x:v>86</x:v>
      </x:c>
    </x:row>
    <x:row r="1805" ht="17.25" customHeight="1">
      <x:c r="A1805" s="24" t="str">
        <x:v>SW-B-244루2757-202604</x:v>
      </x:c>
      <x:c r="B1805" s="24" t="str">
        <x:v>스위치플랜</x:v>
      </x:c>
      <x:c r="C1805" s="24" t="str">
        <x:v>SW-C-244루2757-1-20260318-87</x:v>
      </x:c>
      <x:c r="D1805" s="24" t="str">
        <x:v>244루2757</x:v>
      </x:c>
      <x:c r="E1805" s="24" t="str">
        <x:v>홍이삭</x:v>
      </x:c>
      <x:c r="F1805" s="24" t="str">
        <x:v>2026-04</x:v>
      </x:c>
      <x:c r="G1805" s="30" t="n">
        <x:v>46132</x:v>
      </x:c>
      <x:c r="H1805" s="32" t="n">
        <x:v>280000</x:v>
      </x:c>
      <x:c r="I1805" s="32" t="n">
        <x:v>180000</x:v>
      </x:c>
      <x:c r="J1805" s="32" t="n">
        <x:v>0</x:v>
      </x:c>
      <x:c r="K1805" s="30" t="n">
        <x:v>46132</x:v>
      </x:c>
      <x:c r="L1805" s="24" t="str">
        <x:v>입금</x:v>
      </x:c>
      <x:c r="M1805" s="31" t="n">
        <x:f>IF(AND(N1805="미수",G1805&lt;&gt;"",TODAY()&gt;G1805),TODAY()-G1805,0)</x:f>
        <x:v>0</x:v>
      </x:c>
      <x:c r="N1805" s="24" t="str">
        <x:f>IF(J1805&gt;0,"미수",IF(AND(H1805&gt;0,I1805&gt;=H1805),"완납","미확인"))</x:f>
        <x:v>미확인</x:v>
      </x:c>
      <x:c r="O1805" s="31" t="n">
        <x:v>86</x:v>
      </x:c>
    </x:row>
    <x:row r="1806" ht="17.25" customHeight="1">
      <x:c r="A1806" s="24" t="str">
        <x:v>SW-B-244루2757-202603</x:v>
      </x:c>
      <x:c r="B1806" s="24" t="str">
        <x:v>스위치플랜</x:v>
      </x:c>
      <x:c r="C1806" s="24" t="str">
        <x:v>SW-C-244루2757-1-20260318-87</x:v>
      </x:c>
      <x:c r="D1806" s="24" t="str">
        <x:v>244루2757</x:v>
      </x:c>
      <x:c r="E1806" s="24" t="str">
        <x:v>홍이삭</x:v>
      </x:c>
      <x:c r="F1806" s="24" t="str">
        <x:v>2026-03</x:v>
      </x:c>
      <x:c r="G1806" s="30" t="n">
        <x:v>46101</x:v>
      </x:c>
      <x:c r="H1806" s="32" t="n">
        <x:v>0</x:v>
      </x:c>
      <x:c r="I1806" s="32" t="n">
        <x:v>100000</x:v>
      </x:c>
      <x:c r="J1806" s="32" t="n">
        <x:v>-100000</x:v>
      </x:c>
      <x:c r="K1806" s="30" t="n">
        <x:v>46099</x:v>
      </x:c>
      <x:c r="L1806" s="24" t="str">
        <x:v>입금</x:v>
      </x:c>
      <x:c r="M1806" s="31" t="n">
        <x:f>IF(AND(N1806="미수",G1806&lt;&gt;"",TODAY()&gt;G1806),TODAY()-G1806,0)</x:f>
        <x:v>0</x:v>
      </x:c>
      <x:c r="N1806" s="24" t="str">
        <x:f>IF(J1806&gt;0,"미수",IF(AND(H1806&gt;0,I1806&gt;=H1806),"완납","미확인"))</x:f>
        <x:v>미확인</x:v>
      </x:c>
      <x:c r="O1806" s="31" t="n">
        <x:v>86</x:v>
      </x:c>
    </x:row>
    <x:row r="1807" ht="17.25" customHeight="1">
      <x:c r="A1807" s="24" t="str">
        <x:v>SW-B-244루2757-202602</x:v>
      </x:c>
      <x:c r="B1807" s="24" t="str">
        <x:v>스위치플랜</x:v>
      </x:c>
      <x:c r="C1807" s="24" t="str">
        <x:v>SW-C-244루2757-2-20240308-87</x:v>
      </x:c>
      <x:c r="D1807" s="24" t="str">
        <x:v>244루2757</x:v>
      </x:c>
      <x:c r="E1807" s="24" t="str">
        <x:v>홍이삭</x:v>
      </x:c>
      <x:c r="F1807" s="24" t="str">
        <x:v>2026-02</x:v>
      </x:c>
      <x:c r="G1807" s="30" t="n">
        <x:v>46073</x:v>
      </x:c>
      <x:c r="H1807" s="32" t="n">
        <x:v>470000</x:v>
      </x:c>
      <x:c r="I1807" s="32" t="n">
        <x:v>470000</x:v>
      </x:c>
      <x:c r="J1807" s="32" t="n">
        <x:v>0</x:v>
      </x:c>
      <x:c r="K1807" s="30" t="n">
        <x:v>46062</x:v>
      </x:c>
      <x:c r="L1807" s="24" t="str">
        <x:v>입금</x:v>
      </x:c>
      <x:c r="M1807" s="31" t="n">
        <x:f>IF(AND(N1807="미수",G1807&lt;&gt;"",TODAY()&gt;G1807),TODAY()-G1807,0)</x:f>
        <x:v>0</x:v>
      </x:c>
      <x:c r="N1807" s="24" t="str">
        <x:f>IF(J1807&gt;0,"미수",IF(AND(H1807&gt;0,I1807&gt;=H1807),"완납","미확인"))</x:f>
        <x:v>완납</x:v>
      </x:c>
      <x:c r="O1807" s="31" t="n">
        <x:v>86</x:v>
      </x:c>
    </x:row>
    <x:row r="1808" ht="17.25" customHeight="1">
      <x:c r="A1808" s="24" t="str">
        <x:v>SW-B-244루2757-202601</x:v>
      </x:c>
      <x:c r="B1808" s="24" t="str">
        <x:v>스위치플랜</x:v>
      </x:c>
      <x:c r="C1808" s="24" t="str">
        <x:v>SW-C-244루2757-2-20240308-87</x:v>
      </x:c>
      <x:c r="D1808" s="24" t="str">
        <x:v>244루2757</x:v>
      </x:c>
      <x:c r="E1808" s="24" t="str">
        <x:v>홍이삭</x:v>
      </x:c>
      <x:c r="F1808" s="24" t="str">
        <x:v>2026-01</x:v>
      </x:c>
      <x:c r="G1808" s="30" t="n">
        <x:v>46042</x:v>
      </x:c>
      <x:c r="H1808" s="32" t="n">
        <x:v>470000</x:v>
      </x:c>
      <x:c r="I1808" s="32" t="n">
        <x:v>470000</x:v>
      </x:c>
      <x:c r="J1808" s="32" t="n">
        <x:v>0</x:v>
      </x:c>
      <x:c r="K1808" s="30" t="n">
        <x:v>46034</x:v>
      </x:c>
      <x:c r="L1808" s="24" t="str">
        <x:v>입금</x:v>
      </x:c>
      <x:c r="M1808" s="31" t="n">
        <x:f>IF(AND(N1808="미수",G1808&lt;&gt;"",TODAY()&gt;G1808),TODAY()-G1808,0)</x:f>
        <x:v>0</x:v>
      </x:c>
      <x:c r="N1808" s="24" t="str">
        <x:f>IF(J1808&gt;0,"미수",IF(AND(H1808&gt;0,I1808&gt;=H1808),"완납","미확인"))</x:f>
        <x:v>완납</x:v>
      </x:c>
      <x:c r="O1808" s="31" t="n">
        <x:v>86</x:v>
      </x:c>
    </x:row>
    <x:row r="1809" ht="17.25" customHeight="1">
      <x:c r="A1809" s="24" t="str">
        <x:v>SW-B-244루2757-202512</x:v>
      </x:c>
      <x:c r="B1809" s="24" t="str">
        <x:v>스위치플랜</x:v>
      </x:c>
      <x:c r="C1809" s="24" t="str">
        <x:v>SW-C-244루2757-2-20240308-87</x:v>
      </x:c>
      <x:c r="D1809" s="24" t="str">
        <x:v>244루2757</x:v>
      </x:c>
      <x:c r="E1809" s="24" t="str">
        <x:v>홍이삭</x:v>
      </x:c>
      <x:c r="F1809" s="24" t="str">
        <x:v>2025-12</x:v>
      </x:c>
      <x:c r="G1809" s="30" t="n">
        <x:v>46011</x:v>
      </x:c>
      <x:c r="H1809" s="32" t="n">
        <x:v>470000</x:v>
      </x:c>
      <x:c r="I1809" s="32" t="n">
        <x:v>470000</x:v>
      </x:c>
      <x:c r="J1809" s="32" t="n">
        <x:v>0</x:v>
      </x:c>
      <x:c r="K1809" s="30" t="n">
        <x:v>46002</x:v>
      </x:c>
      <x:c r="L1809" s="24" t="str">
        <x:v>입금</x:v>
      </x:c>
      <x:c r="M1809" s="31" t="n">
        <x:f>IF(AND(N1809="미수",G1809&lt;&gt;"",TODAY()&gt;G1809),TODAY()-G1809,0)</x:f>
        <x:v>0</x:v>
      </x:c>
      <x:c r="N1809" s="24" t="str">
        <x:f>IF(J1809&gt;0,"미수",IF(AND(H1809&gt;0,I1809&gt;=H1809),"완납","미확인"))</x:f>
        <x:v>완납</x:v>
      </x:c>
      <x:c r="O1809" s="31" t="n">
        <x:v>86</x:v>
      </x:c>
    </x:row>
    <x:row r="1810" ht="17.25" customHeight="1">
      <x:c r="A1810" s="24" t="str">
        <x:v>SW-B-244루2757-202511</x:v>
      </x:c>
      <x:c r="B1810" s="24" t="str">
        <x:v>스위치플랜</x:v>
      </x:c>
      <x:c r="C1810" s="24" t="str">
        <x:v>SW-C-244루2757-2-20240308-87</x:v>
      </x:c>
      <x:c r="D1810" s="24" t="str">
        <x:v>244루2757</x:v>
      </x:c>
      <x:c r="E1810" s="24" t="str">
        <x:v>홍이삭</x:v>
      </x:c>
      <x:c r="F1810" s="24" t="str">
        <x:v>2025-11</x:v>
      </x:c>
      <x:c r="G1810" s="30" t="n">
        <x:v>45981</x:v>
      </x:c>
      <x:c r="H1810" s="32" t="n">
        <x:v>470000</x:v>
      </x:c>
      <x:c r="I1810" s="32" t="n">
        <x:v>470000</x:v>
      </x:c>
      <x:c r="J1810" s="32" t="n">
        <x:v>0</x:v>
      </x:c>
      <x:c r="K1810" s="30" t="n">
        <x:v>45971</x:v>
      </x:c>
      <x:c r="L1810" s="24" t="str">
        <x:v>입금</x:v>
      </x:c>
      <x:c r="M1810" s="31" t="n">
        <x:f>IF(AND(N1810="미수",G1810&lt;&gt;"",TODAY()&gt;G1810),TODAY()-G1810,0)</x:f>
        <x:v>0</x:v>
      </x:c>
      <x:c r="N1810" s="24" t="str">
        <x:f>IF(J1810&gt;0,"미수",IF(AND(H1810&gt;0,I1810&gt;=H1810),"완납","미확인"))</x:f>
        <x:v>완납</x:v>
      </x:c>
      <x:c r="O1810" s="31" t="n">
        <x:v>86</x:v>
      </x:c>
    </x:row>
    <x:row r="1811" ht="17.25" customHeight="1">
      <x:c r="A1811" s="24" t="str">
        <x:v>SW-B-244루2757-202510</x:v>
      </x:c>
      <x:c r="B1811" s="24" t="str">
        <x:v>스위치플랜</x:v>
      </x:c>
      <x:c r="C1811" s="24" t="str">
        <x:v>SW-C-244루2757-2-20240308-87</x:v>
      </x:c>
      <x:c r="D1811" s="24" t="str">
        <x:v>244루2757</x:v>
      </x:c>
      <x:c r="E1811" s="24" t="str">
        <x:v>홍이삭</x:v>
      </x:c>
      <x:c r="F1811" s="24" t="str">
        <x:v>2025-10</x:v>
      </x:c>
      <x:c r="G1811" s="30" t="n">
        <x:v>45950</x:v>
      </x:c>
      <x:c r="H1811" s="32" t="n">
        <x:v>470000</x:v>
      </x:c>
      <x:c r="I1811" s="32" t="n">
        <x:v>470000</x:v>
      </x:c>
      <x:c r="J1811" s="32" t="n">
        <x:v>0</x:v>
      </x:c>
      <x:c r="K1811" s="30" t="n">
        <x:v>45938</x:v>
      </x:c>
      <x:c r="L1811" s="24" t="str">
        <x:v>입금</x:v>
      </x:c>
      <x:c r="M1811" s="31" t="n">
        <x:f>IF(AND(N1811="미수",G1811&lt;&gt;"",TODAY()&gt;G1811),TODAY()-G1811,0)</x:f>
        <x:v>0</x:v>
      </x:c>
      <x:c r="N1811" s="24" t="str">
        <x:f>IF(J1811&gt;0,"미수",IF(AND(H1811&gt;0,I1811&gt;=H1811),"완납","미확인"))</x:f>
        <x:v>완납</x:v>
      </x:c>
      <x:c r="O1811" s="31" t="n">
        <x:v>86</x:v>
      </x:c>
    </x:row>
    <x:row r="1812" ht="17.25" customHeight="1">
      <x:c r="A1812" s="24" t="str">
        <x:v>SW-B-244루2757-202509</x:v>
      </x:c>
      <x:c r="B1812" s="24" t="str">
        <x:v>스위치플랜</x:v>
      </x:c>
      <x:c r="C1812" s="24" t="str">
        <x:v>SW-C-244루2757-2-20240308-87</x:v>
      </x:c>
      <x:c r="D1812" s="24" t="str">
        <x:v>244루2757</x:v>
      </x:c>
      <x:c r="E1812" s="24" t="str">
        <x:v>홍이삭</x:v>
      </x:c>
      <x:c r="F1812" s="24" t="str">
        <x:v>2025-09</x:v>
      </x:c>
      <x:c r="G1812" s="30" t="n">
        <x:v>45920</x:v>
      </x:c>
      <x:c r="H1812" s="32" t="n">
        <x:v>470000</x:v>
      </x:c>
      <x:c r="I1812" s="32" t="n">
        <x:v>470000</x:v>
      </x:c>
      <x:c r="J1812" s="32" t="n">
        <x:v>0</x:v>
      </x:c>
      <x:c r="K1812" s="30" t="n">
        <x:v>45910</x:v>
      </x:c>
      <x:c r="L1812" s="24" t="str">
        <x:v>자동</x:v>
      </x:c>
      <x:c r="M1812" s="31" t="n">
        <x:f>IF(AND(N1812="미수",G1812&lt;&gt;"",TODAY()&gt;G1812),TODAY()-G1812,0)</x:f>
        <x:v>0</x:v>
      </x:c>
      <x:c r="N1812" s="24" t="str">
        <x:f>IF(J1812&gt;0,"미수",IF(AND(H1812&gt;0,I1812&gt;=H1812),"완납","미확인"))</x:f>
        <x:v>완납</x:v>
      </x:c>
      <x:c r="O1812" s="31" t="n">
        <x:v>86</x:v>
      </x:c>
    </x:row>
    <x:row r="1813" ht="17.25" customHeight="1">
      <x:c r="A1813" s="24" t="str">
        <x:v>SW-B-244루2757-202508</x:v>
      </x:c>
      <x:c r="B1813" s="24" t="str">
        <x:v>스위치플랜</x:v>
      </x:c>
      <x:c r="C1813" s="24" t="str">
        <x:v>SW-C-244루2757-2-20240308-87</x:v>
      </x:c>
      <x:c r="D1813" s="24" t="str">
        <x:v>244루2757</x:v>
      </x:c>
      <x:c r="E1813" s="24" t="str">
        <x:v>홍이삭</x:v>
      </x:c>
      <x:c r="F1813" s="24" t="str">
        <x:v>2025-08</x:v>
      </x:c>
      <x:c r="G1813" s="30" t="n">
        <x:v>45889</x:v>
      </x:c>
      <x:c r="H1813" s="32" t="n">
        <x:v>470000</x:v>
      </x:c>
      <x:c r="I1813" s="32" t="n">
        <x:v>470000</x:v>
      </x:c>
      <x:c r="J1813" s="32" t="n">
        <x:v>0</x:v>
      </x:c>
      <x:c r="K1813" s="30" t="n">
        <x:v>45881</x:v>
      </x:c>
      <x:c r="L1813" s="24" t="str">
        <x:v>입금</x:v>
      </x:c>
      <x:c r="M1813" s="31" t="n">
        <x:f>IF(AND(N1813="미수",G1813&lt;&gt;"",TODAY()&gt;G1813),TODAY()-G1813,0)</x:f>
        <x:v>0</x:v>
      </x:c>
      <x:c r="N1813" s="24" t="str">
        <x:f>IF(J1813&gt;0,"미수",IF(AND(H1813&gt;0,I1813&gt;=H1813),"완납","미확인"))</x:f>
        <x:v>완납</x:v>
      </x:c>
      <x:c r="O1813" s="31" t="n">
        <x:v>86</x:v>
      </x:c>
    </x:row>
    <x:row r="1814" ht="17.25" customHeight="1">
      <x:c r="A1814" s="24" t="str">
        <x:v>SW-B-244루2757-202507</x:v>
      </x:c>
      <x:c r="B1814" s="24" t="str">
        <x:v>스위치플랜</x:v>
      </x:c>
      <x:c r="C1814" s="24" t="str">
        <x:v>SW-C-244루2757-2-20240308-87</x:v>
      </x:c>
      <x:c r="D1814" s="24" t="str">
        <x:v>244루2757</x:v>
      </x:c>
      <x:c r="E1814" s="24" t="str">
        <x:v>홍이삭</x:v>
      </x:c>
      <x:c r="F1814" s="24" t="str">
        <x:v>2025-07</x:v>
      </x:c>
      <x:c r="G1814" s="30" t="n">
        <x:v>45858</x:v>
      </x:c>
      <x:c r="H1814" s="32" t="n">
        <x:v>470000</x:v>
      </x:c>
      <x:c r="I1814" s="32" t="n">
        <x:v>470000</x:v>
      </x:c>
      <x:c r="J1814" s="32" t="n">
        <x:v>0</x:v>
      </x:c>
      <x:c r="K1814" s="30" t="n">
        <x:v>45847</x:v>
      </x:c>
      <x:c r="L1814" s="24" t="str">
        <x:v>입금</x:v>
      </x:c>
      <x:c r="M1814" s="31" t="n">
        <x:f>IF(AND(N1814="미수",G1814&lt;&gt;"",TODAY()&gt;G1814),TODAY()-G1814,0)</x:f>
        <x:v>0</x:v>
      </x:c>
      <x:c r="N1814" s="24" t="str">
        <x:f>IF(J1814&gt;0,"미수",IF(AND(H1814&gt;0,I1814&gt;=H1814),"완납","미확인"))</x:f>
        <x:v>완납</x:v>
      </x:c>
      <x:c r="O1814" s="31" t="n">
        <x:v>86</x:v>
      </x:c>
    </x:row>
    <x:row r="1815" ht="17.25" customHeight="1">
      <x:c r="A1815" s="24" t="str">
        <x:v>SW-B-244루2757-202506</x:v>
      </x:c>
      <x:c r="B1815" s="24" t="str">
        <x:v>스위치플랜</x:v>
      </x:c>
      <x:c r="C1815" s="24" t="str">
        <x:v>SW-C-244루2757-2-20240308-87</x:v>
      </x:c>
      <x:c r="D1815" s="24" t="str">
        <x:v>244루2757</x:v>
      </x:c>
      <x:c r="E1815" s="24" t="str">
        <x:v>홍이삭</x:v>
      </x:c>
      <x:c r="F1815" s="24" t="str">
        <x:v>2025-06</x:v>
      </x:c>
      <x:c r="G1815" s="30" t="n">
        <x:v>45828</x:v>
      </x:c>
      <x:c r="H1815" s="32" t="n">
        <x:v>470000</x:v>
      </x:c>
      <x:c r="I1815" s="32" t="n">
        <x:v>470000</x:v>
      </x:c>
      <x:c r="J1815" s="32" t="n">
        <x:v>0</x:v>
      </x:c>
      <x:c r="K1815" s="30" t="n">
        <x:v>45817</x:v>
      </x:c>
      <x:c r="L1815" s="24" t="str">
        <x:v>입금</x:v>
      </x:c>
      <x:c r="M1815" s="31" t="n">
        <x:f>IF(AND(N1815="미수",G1815&lt;&gt;"",TODAY()&gt;G1815),TODAY()-G1815,0)</x:f>
        <x:v>0</x:v>
      </x:c>
      <x:c r="N1815" s="24" t="str">
        <x:f>IF(J1815&gt;0,"미수",IF(AND(H1815&gt;0,I1815&gt;=H1815),"완납","미확인"))</x:f>
        <x:v>완납</x:v>
      </x:c>
      <x:c r="O1815" s="31" t="n">
        <x:v>86</x:v>
      </x:c>
    </x:row>
    <x:row r="1816" ht="17.25" customHeight="1">
      <x:c r="A1816" s="24" t="str">
        <x:v>SW-B-244루2757-202505</x:v>
      </x:c>
      <x:c r="B1816" s="24" t="str">
        <x:v>스위치플랜</x:v>
      </x:c>
      <x:c r="C1816" s="24" t="str">
        <x:v>SW-C-244루2757-2-20240308-87</x:v>
      </x:c>
      <x:c r="D1816" s="24" t="str">
        <x:v>244루2757</x:v>
      </x:c>
      <x:c r="E1816" s="24" t="str">
        <x:v>홍이삭</x:v>
      </x:c>
      <x:c r="F1816" s="24" t="str">
        <x:v>2025-05</x:v>
      </x:c>
      <x:c r="G1816" s="30" t="n">
        <x:v>45797</x:v>
      </x:c>
      <x:c r="H1816" s="32" t="n">
        <x:v>470000</x:v>
      </x:c>
      <x:c r="I1816" s="32" t="n">
        <x:v>470000</x:v>
      </x:c>
      <x:c r="J1816" s="32" t="n">
        <x:v>0</x:v>
      </x:c>
      <x:c r="K1816" s="30" t="n">
        <x:v>45787</x:v>
      </x:c>
      <x:c r="L1816" s="24" t="str">
        <x:v>입금</x:v>
      </x:c>
      <x:c r="M1816" s="31" t="n">
        <x:f>IF(AND(N1816="미수",G1816&lt;&gt;"",TODAY()&gt;G1816),TODAY()-G1816,0)</x:f>
        <x:v>0</x:v>
      </x:c>
      <x:c r="N1816" s="24" t="str">
        <x:f>IF(J1816&gt;0,"미수",IF(AND(H1816&gt;0,I1816&gt;=H1816),"완납","미확인"))</x:f>
        <x:v>완납</x:v>
      </x:c>
      <x:c r="O1816" s="31" t="n">
        <x:v>86</x:v>
      </x:c>
    </x:row>
    <x:row r="1817" ht="17.25" customHeight="1">
      <x:c r="A1817" s="24" t="str">
        <x:v>SW-B-244루2757-202504</x:v>
      </x:c>
      <x:c r="B1817" s="24" t="str">
        <x:v>스위치플랜</x:v>
      </x:c>
      <x:c r="C1817" s="24" t="str">
        <x:v>SW-C-244루2757-2-20240308-87</x:v>
      </x:c>
      <x:c r="D1817" s="24" t="str">
        <x:v>244루2757</x:v>
      </x:c>
      <x:c r="E1817" s="24" t="str">
        <x:v>홍이삭</x:v>
      </x:c>
      <x:c r="F1817" s="24" t="str">
        <x:v>2025-04</x:v>
      </x:c>
      <x:c r="G1817" s="30" t="n">
        <x:v>45767</x:v>
      </x:c>
      <x:c r="H1817" s="32" t="n">
        <x:v>470000</x:v>
      </x:c>
      <x:c r="I1817" s="32" t="n">
        <x:v>470000</x:v>
      </x:c>
      <x:c r="J1817" s="32" t="n">
        <x:v>0</x:v>
      </x:c>
      <x:c r="K1817" s="30" t="n">
        <x:v>45757</x:v>
      </x:c>
      <x:c r="L1817" s="24" t="str">
        <x:v>자동</x:v>
      </x:c>
      <x:c r="M1817" s="31" t="n">
        <x:f>IF(AND(N1817="미수",G1817&lt;&gt;"",TODAY()&gt;G1817),TODAY()-G1817,0)</x:f>
        <x:v>0</x:v>
      </x:c>
      <x:c r="N1817" s="24" t="str">
        <x:f>IF(J1817&gt;0,"미수",IF(AND(H1817&gt;0,I1817&gt;=H1817),"완납","미확인"))</x:f>
        <x:v>완납</x:v>
      </x:c>
      <x:c r="O1817" s="31" t="n">
        <x:v>86</x:v>
      </x:c>
    </x:row>
    <x:row r="1818" ht="17.25" customHeight="1">
      <x:c r="A1818" s="24" t="str">
        <x:v>SW-B-244루2757-202503</x:v>
      </x:c>
      <x:c r="B1818" s="24" t="str">
        <x:v>스위치플랜</x:v>
      </x:c>
      <x:c r="C1818" s="24" t="str">
        <x:v>SW-C-244루2757-2-20240308-87</x:v>
      </x:c>
      <x:c r="D1818" s="24" t="str">
        <x:v>244루2757</x:v>
      </x:c>
      <x:c r="E1818" s="24" t="str">
        <x:v>홍이삭</x:v>
      </x:c>
      <x:c r="F1818" s="24" t="str">
        <x:v>2025-03</x:v>
      </x:c>
      <x:c r="G1818" s="30" t="n">
        <x:v>45736</x:v>
      </x:c>
      <x:c r="H1818" s="32" t="n">
        <x:v>470000</x:v>
      </x:c>
      <x:c r="I1818" s="32" t="n">
        <x:v>470000</x:v>
      </x:c>
      <x:c r="J1818" s="32" t="n">
        <x:v>0</x:v>
      </x:c>
      <x:c r="K1818" s="30" t="n">
        <x:v>45726</x:v>
      </x:c>
      <x:c r="L1818" s="24" t="str">
        <x:v>입금</x:v>
      </x:c>
      <x:c r="M1818" s="31" t="n">
        <x:f>IF(AND(N1818="미수",G1818&lt;&gt;"",TODAY()&gt;G1818),TODAY()-G1818,0)</x:f>
        <x:v>0</x:v>
      </x:c>
      <x:c r="N1818" s="24" t="str">
        <x:f>IF(J1818&gt;0,"미수",IF(AND(H1818&gt;0,I1818&gt;=H1818),"완납","미확인"))</x:f>
        <x:v>완납</x:v>
      </x:c>
      <x:c r="O1818" s="31" t="n">
        <x:v>86</x:v>
      </x:c>
    </x:row>
    <x:row r="1819" ht="17.25" customHeight="1">
      <x:c r="A1819" s="24" t="str">
        <x:v>SW-B-244루2757-202502</x:v>
      </x:c>
      <x:c r="B1819" s="24" t="str">
        <x:v>스위치플랜</x:v>
      </x:c>
      <x:c r="C1819" s="24" t="str">
        <x:v>SW-C-244루2757-2-20240308-87</x:v>
      </x:c>
      <x:c r="D1819" s="24" t="str">
        <x:v>244루2757</x:v>
      </x:c>
      <x:c r="E1819" s="24" t="str">
        <x:v>홍이삭</x:v>
      </x:c>
      <x:c r="F1819" s="24" t="str">
        <x:v>2025-02</x:v>
      </x:c>
      <x:c r="G1819" s="30" t="n">
        <x:v>45708</x:v>
      </x:c>
      <x:c r="H1819" s="32" t="n">
        <x:v>470000</x:v>
      </x:c>
      <x:c r="I1819" s="32" t="n">
        <x:v>470000</x:v>
      </x:c>
      <x:c r="J1819" s="32" t="n">
        <x:v>0</x:v>
      </x:c>
      <x:c r="K1819" s="30" t="n">
        <x:v>45698</x:v>
      </x:c>
      <x:c r="L1819" s="24" t="str">
        <x:v>입금</x:v>
      </x:c>
      <x:c r="M1819" s="31" t="n">
        <x:f>IF(AND(N1819="미수",G1819&lt;&gt;"",TODAY()&gt;G1819),TODAY()-G1819,0)</x:f>
        <x:v>0</x:v>
      </x:c>
      <x:c r="N1819" s="24" t="str">
        <x:f>IF(J1819&gt;0,"미수",IF(AND(H1819&gt;0,I1819&gt;=H1819),"완납","미확인"))</x:f>
        <x:v>완납</x:v>
      </x:c>
      <x:c r="O1819" s="31" t="n">
        <x:v>86</x:v>
      </x:c>
    </x:row>
    <x:row r="1820" ht="17.25" customHeight="1">
      <x:c r="A1820" s="24" t="str">
        <x:v>SW-B-244루2757-202501</x:v>
      </x:c>
      <x:c r="B1820" s="24" t="str">
        <x:v>스위치플랜</x:v>
      </x:c>
      <x:c r="C1820" s="24" t="str">
        <x:v>SW-C-244루2757-2-20240308-87</x:v>
      </x:c>
      <x:c r="D1820" s="24" t="str">
        <x:v>244루2757</x:v>
      </x:c>
      <x:c r="E1820" s="24" t="str">
        <x:v>홍이삭</x:v>
      </x:c>
      <x:c r="F1820" s="24" t="str">
        <x:v>2025-01</x:v>
      </x:c>
      <x:c r="G1820" s="30" t="n">
        <x:v>45677</x:v>
      </x:c>
      <x:c r="H1820" s="32" t="n">
        <x:v>470000</x:v>
      </x:c>
      <x:c r="I1820" s="32" t="n">
        <x:v>470000</x:v>
      </x:c>
      <x:c r="J1820" s="32" t="n">
        <x:v>0</x:v>
      </x:c>
      <x:c r="K1820" s="30" t="n">
        <x:v>45665</x:v>
      </x:c>
      <x:c r="L1820" s="24" t="str">
        <x:v>입금</x:v>
      </x:c>
      <x:c r="M1820" s="31" t="n">
        <x:f>IF(AND(N1820="미수",G1820&lt;&gt;"",TODAY()&gt;G1820),TODAY()-G1820,0)</x:f>
        <x:v>0</x:v>
      </x:c>
      <x:c r="N1820" s="24" t="str">
        <x:f>IF(J1820&gt;0,"미수",IF(AND(H1820&gt;0,I1820&gt;=H1820),"완납","미확인"))</x:f>
        <x:v>완납</x:v>
      </x:c>
      <x:c r="O1820" s="31" t="n">
        <x:v>86</x:v>
      </x:c>
    </x:row>
    <x:row r="1821" ht="17.25" customHeight="1">
      <x:c r="A1821" s="24" t="str">
        <x:v>SW-B-244루2757-202412</x:v>
      </x:c>
      <x:c r="B1821" s="24" t="str">
        <x:v>스위치플랜</x:v>
      </x:c>
      <x:c r="C1821" s="24" t="str">
        <x:v>SW-C-244루2757-2-20240308-87</x:v>
      </x:c>
      <x:c r="D1821" s="24" t="str">
        <x:v>244루2757</x:v>
      </x:c>
      <x:c r="E1821" s="24" t="str">
        <x:v>홍이삭</x:v>
      </x:c>
      <x:c r="F1821" s="24" t="str">
        <x:v>2024-12</x:v>
      </x:c>
      <x:c r="G1821" s="30" t="n">
        <x:v>45646</x:v>
      </x:c>
      <x:c r="H1821" s="32" t="n">
        <x:v>470000</x:v>
      </x:c>
      <x:c r="I1821" s="32" t="n">
        <x:v>470000</x:v>
      </x:c>
      <x:c r="J1821" s="32" t="n">
        <x:v>0</x:v>
      </x:c>
      <x:c r="K1821" s="30" t="n">
        <x:v>45631</x:v>
      </x:c>
      <x:c r="L1821" s="24" t="str">
        <x:v>입금</x:v>
      </x:c>
      <x:c r="M1821" s="31" t="n">
        <x:f>IF(AND(N1821="미수",G1821&lt;&gt;"",TODAY()&gt;G1821),TODAY()-G1821,0)</x:f>
        <x:v>0</x:v>
      </x:c>
      <x:c r="N1821" s="24" t="str">
        <x:f>IF(J1821&gt;0,"미수",IF(AND(H1821&gt;0,I1821&gt;=H1821),"완납","미확인"))</x:f>
        <x:v>완납</x:v>
      </x:c>
      <x:c r="O1821" s="31" t="n">
        <x:v>86</x:v>
      </x:c>
    </x:row>
    <x:row r="1822" ht="17.25" customHeight="1">
      <x:c r="A1822" s="24" t="str">
        <x:v>SW-B-244루2757-202411</x:v>
      </x:c>
      <x:c r="B1822" s="24" t="str">
        <x:v>스위치플랜</x:v>
      </x:c>
      <x:c r="C1822" s="24" t="str">
        <x:v>SW-C-244루2757-2-20240308-87</x:v>
      </x:c>
      <x:c r="D1822" s="24" t="str">
        <x:v>244루2757</x:v>
      </x:c>
      <x:c r="E1822" s="24" t="str">
        <x:v>홍이삭</x:v>
      </x:c>
      <x:c r="F1822" s="24" t="str">
        <x:v>2024-11</x:v>
      </x:c>
      <x:c r="G1822" s="30" t="n">
        <x:v>45616</x:v>
      </x:c>
      <x:c r="H1822" s="32" t="n">
        <x:v>470000</x:v>
      </x:c>
      <x:c r="I1822" s="32" t="n">
        <x:v>470000</x:v>
      </x:c>
      <x:c r="J1822" s="32" t="n">
        <x:v>0</x:v>
      </x:c>
      <x:c r="K1822" s="30" t="n">
        <x:v>45598</x:v>
      </x:c>
      <x:c r="L1822" s="24" t="str">
        <x:v>입금</x:v>
      </x:c>
      <x:c r="M1822" s="31" t="n">
        <x:f>IF(AND(N1822="미수",G1822&lt;&gt;"",TODAY()&gt;G1822),TODAY()-G1822,0)</x:f>
        <x:v>0</x:v>
      </x:c>
      <x:c r="N1822" s="24" t="str">
        <x:f>IF(J1822&gt;0,"미수",IF(AND(H1822&gt;0,I1822&gt;=H1822),"완납","미확인"))</x:f>
        <x:v>완납</x:v>
      </x:c>
      <x:c r="O1822" s="31" t="n">
        <x:v>86</x:v>
      </x:c>
    </x:row>
    <x:row r="1823" ht="17.25" customHeight="1">
      <x:c r="A1823" s="24" t="str">
        <x:v>SW-B-244루2757-202410</x:v>
      </x:c>
      <x:c r="B1823" s="24" t="str">
        <x:v>스위치플랜</x:v>
      </x:c>
      <x:c r="C1823" s="24" t="str">
        <x:v>SW-C-244루2757-2-20240308-87</x:v>
      </x:c>
      <x:c r="D1823" s="24" t="str">
        <x:v>244루2757</x:v>
      </x:c>
      <x:c r="E1823" s="24" t="str">
        <x:v>홍이삭</x:v>
      </x:c>
      <x:c r="F1823" s="24" t="str">
        <x:v>2024-10</x:v>
      </x:c>
      <x:c r="G1823" s="30" t="n">
        <x:v>45585</x:v>
      </x:c>
      <x:c r="H1823" s="32" t="n">
        <x:v>470000</x:v>
      </x:c>
      <x:c r="I1823" s="32" t="n">
        <x:v>470000</x:v>
      </x:c>
      <x:c r="J1823" s="32" t="n">
        <x:v>0</x:v>
      </x:c>
      <x:c r="K1823" s="30" t="n">
        <x:v>45574</x:v>
      </x:c>
      <x:c r="L1823" s="24" t="str">
        <x:v>입금</x:v>
      </x:c>
      <x:c r="M1823" s="31" t="n">
        <x:f>IF(AND(N1823="미수",G1823&lt;&gt;"",TODAY()&gt;G1823),TODAY()-G1823,0)</x:f>
        <x:v>0</x:v>
      </x:c>
      <x:c r="N1823" s="24" t="str">
        <x:f>IF(J1823&gt;0,"미수",IF(AND(H1823&gt;0,I1823&gt;=H1823),"완납","미확인"))</x:f>
        <x:v>완납</x:v>
      </x:c>
      <x:c r="O1823" s="31" t="n">
        <x:v>86</x:v>
      </x:c>
    </x:row>
    <x:row r="1824" ht="17.25" customHeight="1">
      <x:c r="A1824" s="24" t="str">
        <x:v>SW-B-244루2757-202409</x:v>
      </x:c>
      <x:c r="B1824" s="24" t="str">
        <x:v>스위치플랜</x:v>
      </x:c>
      <x:c r="C1824" s="24" t="str">
        <x:v>SW-C-244루2757-2-20240308-87</x:v>
      </x:c>
      <x:c r="D1824" s="24" t="str">
        <x:v>244루2757</x:v>
      </x:c>
      <x:c r="E1824" s="24" t="str">
        <x:v>홍이삭</x:v>
      </x:c>
      <x:c r="F1824" s="24" t="str">
        <x:v>2024-09</x:v>
      </x:c>
      <x:c r="G1824" s="30" t="n">
        <x:v>45555</x:v>
      </x:c>
      <x:c r="H1824" s="32" t="n">
        <x:v>470000</x:v>
      </x:c>
      <x:c r="I1824" s="32" t="n">
        <x:v>470000</x:v>
      </x:c>
      <x:c r="J1824" s="32" t="n">
        <x:v>0</x:v>
      </x:c>
      <x:c r="K1824" s="30" t="n">
        <x:v>45545</x:v>
      </x:c>
      <x:c r="L1824" s="24" t="str">
        <x:v>입금</x:v>
      </x:c>
      <x:c r="M1824" s="31" t="n">
        <x:f>IF(AND(N1824="미수",G1824&lt;&gt;"",TODAY()&gt;G1824),TODAY()-G1824,0)</x:f>
        <x:v>0</x:v>
      </x:c>
      <x:c r="N1824" s="24" t="str">
        <x:f>IF(J1824&gt;0,"미수",IF(AND(H1824&gt;0,I1824&gt;=H1824),"완납","미확인"))</x:f>
        <x:v>완납</x:v>
      </x:c>
      <x:c r="O1824" s="31" t="n">
        <x:v>86</x:v>
      </x:c>
    </x:row>
    <x:row r="1825" ht="17.25" customHeight="1">
      <x:c r="A1825" s="24" t="str">
        <x:v>SW-B-244루2757-202408</x:v>
      </x:c>
      <x:c r="B1825" s="24" t="str">
        <x:v>스위치플랜</x:v>
      </x:c>
      <x:c r="C1825" s="24" t="str">
        <x:v>SW-C-244루2757-2-20240308-87</x:v>
      </x:c>
      <x:c r="D1825" s="24" t="str">
        <x:v>244루2757</x:v>
      </x:c>
      <x:c r="E1825" s="24" t="str">
        <x:v>홍이삭</x:v>
      </x:c>
      <x:c r="F1825" s="24" t="str">
        <x:v>2024-08</x:v>
      </x:c>
      <x:c r="G1825" s="30" t="n">
        <x:v>45524</x:v>
      </x:c>
      <x:c r="H1825" s="32" t="n">
        <x:v>470000</x:v>
      </x:c>
      <x:c r="I1825" s="32" t="n">
        <x:v>470000</x:v>
      </x:c>
      <x:c r="J1825" s="32" t="n">
        <x:v>0</x:v>
      </x:c>
      <x:c r="K1825" s="30" t="n">
        <x:v>45483</x:v>
      </x:c>
      <x:c r="L1825" s="24" t="str">
        <x:v>자동</x:v>
      </x:c>
      <x:c r="M1825" s="31" t="n">
        <x:f>IF(AND(N1825="미수",G1825&lt;&gt;"",TODAY()&gt;G1825),TODAY()-G1825,0)</x:f>
        <x:v>0</x:v>
      </x:c>
      <x:c r="N1825" s="24" t="str">
        <x:f>IF(J1825&gt;0,"미수",IF(AND(H1825&gt;0,I1825&gt;=H1825),"완납","미확인"))</x:f>
        <x:v>완납</x:v>
      </x:c>
      <x:c r="O1825" s="31" t="n">
        <x:v>86</x:v>
      </x:c>
    </x:row>
    <x:row r="1826" ht="17.25" customHeight="1">
      <x:c r="A1826" s="24" t="str">
        <x:v>SW-B-244루2757-202407</x:v>
      </x:c>
      <x:c r="B1826" s="24" t="str">
        <x:v>스위치플랜</x:v>
      </x:c>
      <x:c r="C1826" s="24" t="str">
        <x:v>SW-C-244루2757-2-20240308-87</x:v>
      </x:c>
      <x:c r="D1826" s="24" t="str">
        <x:v>244루2757</x:v>
      </x:c>
      <x:c r="E1826" s="24" t="str">
        <x:v>홍이삭</x:v>
      </x:c>
      <x:c r="F1826" s="24" t="str">
        <x:v>2024-07</x:v>
      </x:c>
      <x:c r="G1826" s="30" t="n">
        <x:v>45493</x:v>
      </x:c>
      <x:c r="H1826" s="32" t="n">
        <x:v>470000</x:v>
      </x:c>
      <x:c r="I1826" s="32" t="n">
        <x:v>470000</x:v>
      </x:c>
      <x:c r="J1826" s="32" t="n">
        <x:v>0</x:v>
      </x:c>
      <x:c r="K1826" s="30" t="n">
        <x:v>45483</x:v>
      </x:c>
      <x:c r="L1826" s="24" t="str">
        <x:v>입금</x:v>
      </x:c>
      <x:c r="M1826" s="31" t="n">
        <x:f>IF(AND(N1826="미수",G1826&lt;&gt;"",TODAY()&gt;G1826),TODAY()-G1826,0)</x:f>
        <x:v>0</x:v>
      </x:c>
      <x:c r="N1826" s="24" t="str">
        <x:f>IF(J1826&gt;0,"미수",IF(AND(H1826&gt;0,I1826&gt;=H1826),"완납","미확인"))</x:f>
        <x:v>완납</x:v>
      </x:c>
      <x:c r="O1826" s="31" t="n">
        <x:v>86</x:v>
      </x:c>
    </x:row>
    <x:row r="1827" ht="17.25" customHeight="1">
      <x:c r="A1827" s="24" t="str">
        <x:v>SW-B-244루2757-202406</x:v>
      </x:c>
      <x:c r="B1827" s="24" t="str">
        <x:v>스위치플랜</x:v>
      </x:c>
      <x:c r="C1827" s="24" t="str">
        <x:v>SW-C-244루2757-2-20240308-87</x:v>
      </x:c>
      <x:c r="D1827" s="24" t="str">
        <x:v>244루2757</x:v>
      </x:c>
      <x:c r="E1827" s="24" t="str">
        <x:v>홍이삭</x:v>
      </x:c>
      <x:c r="F1827" s="24" t="str">
        <x:v>2024-06</x:v>
      </x:c>
      <x:c r="G1827" s="30" t="n">
        <x:v>45463</x:v>
      </x:c>
      <x:c r="H1827" s="32" t="n">
        <x:v>470000</x:v>
      </x:c>
      <x:c r="I1827" s="32" t="n">
        <x:v>470000</x:v>
      </x:c>
      <x:c r="J1827" s="32" t="n">
        <x:v>0</x:v>
      </x:c>
      <x:c r="K1827" s="30" t="n">
        <x:v>45453</x:v>
      </x:c>
      <x:c r="L1827" s="24" t="str">
        <x:v>입금</x:v>
      </x:c>
      <x:c r="M1827" s="31" t="n">
        <x:f>IF(AND(N1827="미수",G1827&lt;&gt;"",TODAY()&gt;G1827),TODAY()-G1827,0)</x:f>
        <x:v>0</x:v>
      </x:c>
      <x:c r="N1827" s="24" t="str">
        <x:f>IF(J1827&gt;0,"미수",IF(AND(H1827&gt;0,I1827&gt;=H1827),"완납","미확인"))</x:f>
        <x:v>완납</x:v>
      </x:c>
      <x:c r="O1827" s="31" t="n">
        <x:v>86</x:v>
      </x:c>
    </x:row>
    <x:row r="1828" ht="17.25" customHeight="1">
      <x:c r="A1828" s="24" t="str">
        <x:v>SW-B-244루2757-202405</x:v>
      </x:c>
      <x:c r="B1828" s="24" t="str">
        <x:v>스위치플랜</x:v>
      </x:c>
      <x:c r="C1828" s="24" t="str">
        <x:v>SW-C-244루2757-2-20240308-87</x:v>
      </x:c>
      <x:c r="D1828" s="24" t="str">
        <x:v>244루2757</x:v>
      </x:c>
      <x:c r="E1828" s="24" t="str">
        <x:v>홍이삭</x:v>
      </x:c>
      <x:c r="F1828" s="24" t="str">
        <x:v>2024-05</x:v>
      </x:c>
      <x:c r="G1828" s="30" t="n">
        <x:v>45432</x:v>
      </x:c>
      <x:c r="H1828" s="32" t="n">
        <x:v>470000</x:v>
      </x:c>
      <x:c r="I1828" s="32" t="n">
        <x:v>470000</x:v>
      </x:c>
      <x:c r="J1828" s="32" t="n">
        <x:v>0</x:v>
      </x:c>
      <x:c r="K1828" s="30" t="n">
        <x:v>45422</x:v>
      </x:c>
      <x:c r="L1828" s="24" t="str">
        <x:v>입금</x:v>
      </x:c>
      <x:c r="M1828" s="31" t="n">
        <x:f>IF(AND(N1828="미수",G1828&lt;&gt;"",TODAY()&gt;G1828),TODAY()-G1828,0)</x:f>
        <x:v>0</x:v>
      </x:c>
      <x:c r="N1828" s="24" t="str">
        <x:f>IF(J1828&gt;0,"미수",IF(AND(H1828&gt;0,I1828&gt;=H1828),"완납","미확인"))</x:f>
        <x:v>완납</x:v>
      </x:c>
      <x:c r="O1828" s="31" t="n">
        <x:v>86</x:v>
      </x:c>
    </x:row>
    <x:row r="1829" ht="17.25" customHeight="1">
      <x:c r="A1829" s="24" t="str">
        <x:v>SW-B-244루2757-202404</x:v>
      </x:c>
      <x:c r="B1829" s="24" t="str">
        <x:v>스위치플랜</x:v>
      </x:c>
      <x:c r="C1829" s="24" t="str">
        <x:v>SW-C-244루2757-2-20240308-87</x:v>
      </x:c>
      <x:c r="D1829" s="24" t="str">
        <x:v>244루2757</x:v>
      </x:c>
      <x:c r="E1829" s="24" t="str">
        <x:v>홍이삭</x:v>
      </x:c>
      <x:c r="F1829" s="24" t="str">
        <x:v>2024-04</x:v>
      </x:c>
      <x:c r="G1829" s="30" t="n">
        <x:v>45402</x:v>
      </x:c>
      <x:c r="H1829" s="32" t="n">
        <x:v>470000</x:v>
      </x:c>
      <x:c r="I1829" s="32" t="n">
        <x:v>470000</x:v>
      </x:c>
      <x:c r="J1829" s="32" t="n">
        <x:v>0</x:v>
      </x:c>
      <x:c r="K1829" s="30" t="n">
        <x:v>45394</x:v>
      </x:c>
      <x:c r="L1829" s="24" t="str">
        <x:v>입금</x:v>
      </x:c>
      <x:c r="M1829" s="31" t="n">
        <x:f>IF(AND(N1829="미수",G1829&lt;&gt;"",TODAY()&gt;G1829),TODAY()-G1829,0)</x:f>
        <x:v>0</x:v>
      </x:c>
      <x:c r="N1829" s="24" t="str">
        <x:f>IF(J1829&gt;0,"미수",IF(AND(H1829&gt;0,I1829&gt;=H1829),"완납","미확인"))</x:f>
        <x:v>완납</x:v>
      </x:c>
      <x:c r="O1829" s="31" t="n">
        <x:v>86</x:v>
      </x:c>
    </x:row>
    <x:row r="1830" ht="17.25" customHeight="1">
      <x:c r="A1830" s="24" t="str">
        <x:v>SW-B-244루2757-202403</x:v>
      </x:c>
      <x:c r="B1830" s="24" t="str">
        <x:v>스위치플랜</x:v>
      </x:c>
      <x:c r="C1830" s="24" t="str">
        <x:v>SW-C-244루2757-2-20240308-87</x:v>
      </x:c>
      <x:c r="D1830" s="24" t="str">
        <x:v>244루2757</x:v>
      </x:c>
      <x:c r="E1830" s="24" t="str">
        <x:v>홍이삭</x:v>
      </x:c>
      <x:c r="F1830" s="24" t="str">
        <x:v>2024-03</x:v>
      </x:c>
      <x:c r="G1830" s="30" t="n">
        <x:v>45371</x:v>
      </x:c>
      <x:c r="H1830" s="32" t="n">
        <x:v>470000</x:v>
      </x:c>
      <x:c r="I1830" s="32" t="n">
        <x:v>470000</x:v>
      </x:c>
      <x:c r="J1830" s="32" t="n">
        <x:v>0</x:v>
      </x:c>
      <x:c r="K1830" s="30" t="n">
        <x:v>45349</x:v>
      </x:c>
      <x:c r="L1830" s="24" t="str">
        <x:v>입금</x:v>
      </x:c>
      <x:c r="M1830" s="31" t="n">
        <x:f>IF(AND(N1830="미수",G1830&lt;&gt;"",TODAY()&gt;G1830),TODAY()-G1830,0)</x:f>
        <x:v>0</x:v>
      </x:c>
      <x:c r="N1830" s="24" t="str">
        <x:f>IF(J1830&gt;0,"미수",IF(AND(H1830&gt;0,I1830&gt;=H1830),"완납","미확인"))</x:f>
        <x:v>완납</x:v>
      </x:c>
      <x:c r="O1830" s="31" t="n">
        <x:v>86</x:v>
      </x:c>
    </x:row>
    <x:row r="1831" ht="17.25" customHeight="1">
      <x:c r="A1831" s="24" t="str">
        <x:v>SW-B-330모8787-202608</x:v>
      </x:c>
      <x:c r="B1831" s="24" t="str">
        <x:v>스위치플랜</x:v>
      </x:c>
      <x:c r="C1831" s="24" t="str">
        <x:v>SW-C-330모8787-1-20250524-88</x:v>
      </x:c>
      <x:c r="D1831" s="24" t="str">
        <x:v>330모8787</x:v>
      </x:c>
      <x:c r="E1831" s="24" t="str">
        <x:v>이상원</x:v>
      </x:c>
      <x:c r="F1831" s="24" t="str">
        <x:v>2026-08</x:v>
      </x:c>
      <x:c r="G1831" s="30" t="n">
        <x:v>46244</x:v>
      </x:c>
      <x:c r="H1831" s="32" t="n">
        <x:v>1010000</x:v>
      </x:c>
      <x:c r="I1831" s="32" t="n">
        <x:v>1010000</x:v>
      </x:c>
      <x:c r="J1831" s="32" t="n">
        <x:v>0</x:v>
      </x:c>
      <x:c r="K1831" s="30" t="n">
        <x:v>46244</x:v>
      </x:c>
      <x:c r="L1831" s="24" t="str">
        <x:v>입금</x:v>
      </x:c>
      <x:c r="M1831" s="31" t="n">
        <x:f>IF(AND(N1831="미수",G1831&lt;&gt;"",TODAY()&gt;G1831),TODAY()-G1831,0)</x:f>
        <x:v>0</x:v>
      </x:c>
      <x:c r="N1831" s="24" t="str">
        <x:f>IF(J1831&gt;0,"미수",IF(AND(H1831&gt;0,I1831&gt;=H1831),"완납","미확인"))</x:f>
        <x:v>완납</x:v>
      </x:c>
      <x:c r="O1831" s="31" t="n">
        <x:v>87</x:v>
      </x:c>
    </x:row>
    <x:row r="1832" ht="17.25" customHeight="1">
      <x:c r="A1832" s="24" t="str">
        <x:v>SW-B-330모8787-202607</x:v>
      </x:c>
      <x:c r="B1832" s="24" t="str">
        <x:v>스위치플랜</x:v>
      </x:c>
      <x:c r="C1832" s="24" t="str">
        <x:v>SW-C-330모8787-1-20250524-88</x:v>
      </x:c>
      <x:c r="D1832" s="24" t="str">
        <x:v>330모8787</x:v>
      </x:c>
      <x:c r="E1832" s="24" t="str">
        <x:v>이상원</x:v>
      </x:c>
      <x:c r="F1832" s="24" t="str">
        <x:v>2026-07</x:v>
      </x:c>
      <x:c r="G1832" s="30" t="n">
        <x:v>46213</x:v>
      </x:c>
      <x:c r="H1832" s="32" t="n">
        <x:v>1010000</x:v>
      </x:c>
      <x:c r="I1832" s="32" t="n">
        <x:v>1010000</x:v>
      </x:c>
      <x:c r="J1832" s="32" t="n">
        <x:v>0</x:v>
      </x:c>
      <x:c r="K1832" s="30" t="n">
        <x:v>46209</x:v>
      </x:c>
      <x:c r="L1832" s="24" t="str">
        <x:v>자동</x:v>
      </x:c>
      <x:c r="M1832" s="31" t="n">
        <x:f>IF(AND(N1832="미수",G1832&lt;&gt;"",TODAY()&gt;G1832),TODAY()-G1832,0)</x:f>
        <x:v>0</x:v>
      </x:c>
      <x:c r="N1832" s="24" t="str">
        <x:f>IF(J1832&gt;0,"미수",IF(AND(H1832&gt;0,I1832&gt;=H1832),"완납","미확인"))</x:f>
        <x:v>완납</x:v>
      </x:c>
      <x:c r="O1832" s="31" t="n">
        <x:v>87</x:v>
      </x:c>
    </x:row>
    <x:row r="1833" ht="17.25" customHeight="1">
      <x:c r="A1833" s="24" t="str">
        <x:v>SW-B-330모8787-202606</x:v>
      </x:c>
      <x:c r="B1833" s="24" t="str">
        <x:v>스위치플랜</x:v>
      </x:c>
      <x:c r="C1833" s="24" t="str">
        <x:v>SW-C-330모8787-1-20250524-88</x:v>
      </x:c>
      <x:c r="D1833" s="24" t="str">
        <x:v>330모8787</x:v>
      </x:c>
      <x:c r="E1833" s="24" t="str">
        <x:v>이상원</x:v>
      </x:c>
      <x:c r="F1833" s="24" t="str">
        <x:v>2026-06</x:v>
      </x:c>
      <x:c r="G1833" s="30" t="n">
        <x:v>46183</x:v>
      </x:c>
      <x:c r="H1833" s="32" t="n">
        <x:v>1010000</x:v>
      </x:c>
      <x:c r="I1833" s="32" t="n">
        <x:v>1010000</x:v>
      </x:c>
      <x:c r="J1833" s="32" t="n">
        <x:v>0</x:v>
      </x:c>
      <x:c r="K1833" s="30" t="n">
        <x:v>46183</x:v>
      </x:c>
      <x:c r="L1833" s="24" t="str">
        <x:v>입금</x:v>
      </x:c>
      <x:c r="M1833" s="31" t="n">
        <x:f>IF(AND(N1833="미수",G1833&lt;&gt;"",TODAY()&gt;G1833),TODAY()-G1833,0)</x:f>
        <x:v>0</x:v>
      </x:c>
      <x:c r="N1833" s="24" t="str">
        <x:f>IF(J1833&gt;0,"미수",IF(AND(H1833&gt;0,I1833&gt;=H1833),"완납","미확인"))</x:f>
        <x:v>완납</x:v>
      </x:c>
      <x:c r="O1833" s="31" t="n">
        <x:v>87</x:v>
      </x:c>
    </x:row>
    <x:row r="1834" ht="17.25" customHeight="1">
      <x:c r="A1834" s="24" t="str">
        <x:v>SW-B-330모8787-202605</x:v>
      </x:c>
      <x:c r="B1834" s="24" t="str">
        <x:v>스위치플랜</x:v>
      </x:c>
      <x:c r="C1834" s="24" t="str">
        <x:v>SW-C-330모8787-1-20250524-88</x:v>
      </x:c>
      <x:c r="D1834" s="24" t="str">
        <x:v>330모8787</x:v>
      </x:c>
      <x:c r="E1834" s="24" t="str">
        <x:v>이상원</x:v>
      </x:c>
      <x:c r="F1834" s="24" t="str">
        <x:v>2026-05</x:v>
      </x:c>
      <x:c r="G1834" s="30" t="n">
        <x:v>46152</x:v>
      </x:c>
      <x:c r="H1834" s="32" t="n">
        <x:v>1010000</x:v>
      </x:c>
      <x:c r="I1834" s="32" t="n">
        <x:v>1010000</x:v>
      </x:c>
      <x:c r="J1834" s="32" t="n">
        <x:v>0</x:v>
      </x:c>
      <x:c r="K1834" s="30" t="n">
        <x:v>46154</x:v>
      </x:c>
      <x:c r="L1834" s="24" t="str">
        <x:v>입금</x:v>
      </x:c>
      <x:c r="M1834" s="31" t="n">
        <x:f>IF(AND(N1834="미수",G1834&lt;&gt;"",TODAY()&gt;G1834),TODAY()-G1834,0)</x:f>
        <x:v>0</x:v>
      </x:c>
      <x:c r="N1834" s="24" t="str">
        <x:f>IF(J1834&gt;0,"미수",IF(AND(H1834&gt;0,I1834&gt;=H1834),"완납","미확인"))</x:f>
        <x:v>완납</x:v>
      </x:c>
      <x:c r="O1834" s="31" t="n">
        <x:v>87</x:v>
      </x:c>
    </x:row>
    <x:row r="1835" ht="17.25" customHeight="1">
      <x:c r="A1835" s="24" t="str">
        <x:v>SW-B-330모8787-202604</x:v>
      </x:c>
      <x:c r="B1835" s="24" t="str">
        <x:v>스위치플랜</x:v>
      </x:c>
      <x:c r="C1835" s="24" t="str">
        <x:v>SW-C-330모8787-1-20250524-88</x:v>
      </x:c>
      <x:c r="D1835" s="24" t="str">
        <x:v>330모8787</x:v>
      </x:c>
      <x:c r="E1835" s="24" t="str">
        <x:v>이상원</x:v>
      </x:c>
      <x:c r="F1835" s="24" t="str">
        <x:v>2026-04</x:v>
      </x:c>
      <x:c r="G1835" s="30" t="n">
        <x:v>46122</x:v>
      </x:c>
      <x:c r="H1835" s="32" t="n">
        <x:v>1010000</x:v>
      </x:c>
      <x:c r="I1835" s="32" t="n">
        <x:v>1010000</x:v>
      </x:c>
      <x:c r="J1835" s="32" t="n">
        <x:v>0</x:v>
      </x:c>
      <x:c r="K1835" s="30" t="n">
        <x:v>46122</x:v>
      </x:c>
      <x:c r="L1835" s="24" t="str">
        <x:v>입금</x:v>
      </x:c>
      <x:c r="M1835" s="31" t="n">
        <x:f>IF(AND(N1835="미수",G1835&lt;&gt;"",TODAY()&gt;G1835),TODAY()-G1835,0)</x:f>
        <x:v>0</x:v>
      </x:c>
      <x:c r="N1835" s="24" t="str">
        <x:f>IF(J1835&gt;0,"미수",IF(AND(H1835&gt;0,I1835&gt;=H1835),"완납","미확인"))</x:f>
        <x:v>완납</x:v>
      </x:c>
      <x:c r="O1835" s="31" t="n">
        <x:v>87</x:v>
      </x:c>
    </x:row>
    <x:row r="1836" ht="17.25" customHeight="1">
      <x:c r="A1836" s="24" t="str">
        <x:v>SW-B-330모8787-202603</x:v>
      </x:c>
      <x:c r="B1836" s="24" t="str">
        <x:v>스위치플랜</x:v>
      </x:c>
      <x:c r="C1836" s="24" t="str">
        <x:v>SW-C-330모8787-1-20250524-88</x:v>
      </x:c>
      <x:c r="D1836" s="24" t="str">
        <x:v>330모8787</x:v>
      </x:c>
      <x:c r="E1836" s="24" t="str">
        <x:v>이상원</x:v>
      </x:c>
      <x:c r="F1836" s="24" t="str">
        <x:v>2026-03</x:v>
      </x:c>
      <x:c r="G1836" s="30" t="n">
        <x:v>46091</x:v>
      </x:c>
      <x:c r="H1836" s="32" t="n">
        <x:v>1010000</x:v>
      </x:c>
      <x:c r="I1836" s="32" t="n">
        <x:v>1010000</x:v>
      </x:c>
      <x:c r="J1836" s="32" t="n">
        <x:v>0</x:v>
      </x:c>
      <x:c r="K1836" s="30" t="n">
        <x:v>46094</x:v>
      </x:c>
      <x:c r="L1836" s="24" t="str">
        <x:v>입금</x:v>
      </x:c>
      <x:c r="M1836" s="31" t="n">
        <x:f>IF(AND(N1836="미수",G1836&lt;&gt;"",TODAY()&gt;G1836),TODAY()-G1836,0)</x:f>
        <x:v>0</x:v>
      </x:c>
      <x:c r="N1836" s="24" t="str">
        <x:f>IF(J1836&gt;0,"미수",IF(AND(H1836&gt;0,I1836&gt;=H1836),"완납","미확인"))</x:f>
        <x:v>완납</x:v>
      </x:c>
      <x:c r="O1836" s="31" t="n">
        <x:v>87</x:v>
      </x:c>
    </x:row>
    <x:row r="1837" ht="17.25" customHeight="1">
      <x:c r="A1837" s="24" t="str">
        <x:v>SW-B-330모8787-202602</x:v>
      </x:c>
      <x:c r="B1837" s="24" t="str">
        <x:v>스위치플랜</x:v>
      </x:c>
      <x:c r="C1837" s="24" t="str">
        <x:v>SW-C-330모8787-1-20250524-88</x:v>
      </x:c>
      <x:c r="D1837" s="24" t="str">
        <x:v>330모8787</x:v>
      </x:c>
      <x:c r="E1837" s="24" t="str">
        <x:v>이상원</x:v>
      </x:c>
      <x:c r="F1837" s="24" t="str">
        <x:v>2026-02</x:v>
      </x:c>
      <x:c r="G1837" s="30" t="n">
        <x:v>46063</x:v>
      </x:c>
      <x:c r="H1837" s="32" t="n">
        <x:v>1010000</x:v>
      </x:c>
      <x:c r="I1837" s="32" t="n">
        <x:v>1010000</x:v>
      </x:c>
      <x:c r="J1837" s="32" t="n">
        <x:v>0</x:v>
      </x:c>
      <x:c r="K1837" s="30" t="n">
        <x:v>46063</x:v>
      </x:c>
      <x:c r="L1837" s="24" t="str">
        <x:v>입금</x:v>
      </x:c>
      <x:c r="M1837" s="31" t="n">
        <x:f>IF(AND(N1837="미수",G1837&lt;&gt;"",TODAY()&gt;G1837),TODAY()-G1837,0)</x:f>
        <x:v>0</x:v>
      </x:c>
      <x:c r="N1837" s="24" t="str">
        <x:f>IF(J1837&gt;0,"미수",IF(AND(H1837&gt;0,I1837&gt;=H1837),"완납","미확인"))</x:f>
        <x:v>완납</x:v>
      </x:c>
      <x:c r="O1837" s="31" t="n">
        <x:v>87</x:v>
      </x:c>
    </x:row>
    <x:row r="1838" ht="17.25" customHeight="1">
      <x:c r="A1838" s="24" t="str">
        <x:v>SW-B-330모8787-202601</x:v>
      </x:c>
      <x:c r="B1838" s="24" t="str">
        <x:v>스위치플랜</x:v>
      </x:c>
      <x:c r="C1838" s="24" t="str">
        <x:v>SW-C-330모8787-1-20250524-88</x:v>
      </x:c>
      <x:c r="D1838" s="24" t="str">
        <x:v>330모8787</x:v>
      </x:c>
      <x:c r="E1838" s="24" t="str">
        <x:v>이상원</x:v>
      </x:c>
      <x:c r="F1838" s="24" t="str">
        <x:v>2026-01</x:v>
      </x:c>
      <x:c r="G1838" s="30" t="n">
        <x:v>46032</x:v>
      </x:c>
      <x:c r="H1838" s="32" t="n">
        <x:v>1010000</x:v>
      </x:c>
      <x:c r="I1838" s="32" t="n">
        <x:v>1010000</x:v>
      </x:c>
      <x:c r="J1838" s="32" t="n">
        <x:v>0</x:v>
      </x:c>
      <x:c r="K1838" s="30" t="n">
        <x:v>46034</x:v>
      </x:c>
      <x:c r="L1838" s="24" t="str">
        <x:v>입금</x:v>
      </x:c>
      <x:c r="M1838" s="31" t="n">
        <x:f>IF(AND(N1838="미수",G1838&lt;&gt;"",TODAY()&gt;G1838),TODAY()-G1838,0)</x:f>
        <x:v>0</x:v>
      </x:c>
      <x:c r="N1838" s="24" t="str">
        <x:f>IF(J1838&gt;0,"미수",IF(AND(H1838&gt;0,I1838&gt;=H1838),"완납","미확인"))</x:f>
        <x:v>완납</x:v>
      </x:c>
      <x:c r="O1838" s="31" t="n">
        <x:v>87</x:v>
      </x:c>
    </x:row>
    <x:row r="1839" ht="17.25" customHeight="1">
      <x:c r="A1839" s="24" t="str">
        <x:v>SW-B-330모8787-202512</x:v>
      </x:c>
      <x:c r="B1839" s="24" t="str">
        <x:v>스위치플랜</x:v>
      </x:c>
      <x:c r="C1839" s="24" t="str">
        <x:v>SW-C-330모8787-1-20250524-88</x:v>
      </x:c>
      <x:c r="D1839" s="24" t="str">
        <x:v>330모8787</x:v>
      </x:c>
      <x:c r="E1839" s="24" t="str">
        <x:v>이상원</x:v>
      </x:c>
      <x:c r="F1839" s="24" t="str">
        <x:v>2025-12</x:v>
      </x:c>
      <x:c r="G1839" s="30" t="n">
        <x:v>46001</x:v>
      </x:c>
      <x:c r="H1839" s="32" t="n">
        <x:v>1010000</x:v>
      </x:c>
      <x:c r="I1839" s="32" t="n">
        <x:v>1010000</x:v>
      </x:c>
      <x:c r="J1839" s="32" t="n">
        <x:v>0</x:v>
      </x:c>
      <x:c r="K1839" s="30" t="n">
        <x:v>46002</x:v>
      </x:c>
      <x:c r="L1839" s="24" t="str">
        <x:v>입금</x:v>
      </x:c>
      <x:c r="M1839" s="31" t="n">
        <x:f>IF(AND(N1839="미수",G1839&lt;&gt;"",TODAY()&gt;G1839),TODAY()-G1839,0)</x:f>
        <x:v>0</x:v>
      </x:c>
      <x:c r="N1839" s="24" t="str">
        <x:f>IF(J1839&gt;0,"미수",IF(AND(H1839&gt;0,I1839&gt;=H1839),"완납","미확인"))</x:f>
        <x:v>완납</x:v>
      </x:c>
      <x:c r="O1839" s="31" t="n">
        <x:v>87</x:v>
      </x:c>
    </x:row>
    <x:row r="1840" ht="17.25" customHeight="1">
      <x:c r="A1840" s="24" t="str">
        <x:v>SW-B-330모8787-202511</x:v>
      </x:c>
      <x:c r="B1840" s="24" t="str">
        <x:v>스위치플랜</x:v>
      </x:c>
      <x:c r="C1840" s="24" t="str">
        <x:v>SW-C-330모8787-1-20250524-88</x:v>
      </x:c>
      <x:c r="D1840" s="24" t="str">
        <x:v>330모8787</x:v>
      </x:c>
      <x:c r="E1840" s="24" t="str">
        <x:v>이상원</x:v>
      </x:c>
      <x:c r="F1840" s="24" t="str">
        <x:v>2025-11</x:v>
      </x:c>
      <x:c r="G1840" s="30" t="n">
        <x:v>45971</x:v>
      </x:c>
      <x:c r="H1840" s="32" t="n">
        <x:v>1010000</x:v>
      </x:c>
      <x:c r="I1840" s="32" t="n">
        <x:v>1010000</x:v>
      </x:c>
      <x:c r="J1840" s="32" t="n">
        <x:v>0</x:v>
      </x:c>
      <x:c r="K1840" s="30" t="n">
        <x:v>45971</x:v>
      </x:c>
      <x:c r="L1840" s="24" t="str">
        <x:v>입금</x:v>
      </x:c>
      <x:c r="M1840" s="31" t="n">
        <x:f>IF(AND(N1840="미수",G1840&lt;&gt;"",TODAY()&gt;G1840),TODAY()-G1840,0)</x:f>
        <x:v>0</x:v>
      </x:c>
      <x:c r="N1840" s="24" t="str">
        <x:f>IF(J1840&gt;0,"미수",IF(AND(H1840&gt;0,I1840&gt;=H1840),"완납","미확인"))</x:f>
        <x:v>완납</x:v>
      </x:c>
      <x:c r="O1840" s="31" t="n">
        <x:v>87</x:v>
      </x:c>
    </x:row>
    <x:row r="1841" ht="17.25" customHeight="1">
      <x:c r="A1841" s="24" t="str">
        <x:v>SW-B-330모8787-202510</x:v>
      </x:c>
      <x:c r="B1841" s="24" t="str">
        <x:v>스위치플랜</x:v>
      </x:c>
      <x:c r="C1841" s="24" t="str">
        <x:v>SW-C-330모8787-1-20250524-88</x:v>
      </x:c>
      <x:c r="D1841" s="24" t="str">
        <x:v>330모8787</x:v>
      </x:c>
      <x:c r="E1841" s="24" t="str">
        <x:v>이상원</x:v>
      </x:c>
      <x:c r="F1841" s="24" t="str">
        <x:v>2025-10</x:v>
      </x:c>
      <x:c r="G1841" s="30" t="n">
        <x:v>45940</x:v>
      </x:c>
      <x:c r="H1841" s="32" t="n">
        <x:v>1010000</x:v>
      </x:c>
      <x:c r="I1841" s="32" t="n">
        <x:v>1010000</x:v>
      </x:c>
      <x:c r="J1841" s="32" t="n">
        <x:v>0</x:v>
      </x:c>
      <x:c r="K1841" s="30" t="n">
        <x:v>45940</x:v>
      </x:c>
      <x:c r="L1841" s="24" t="str">
        <x:v>입금</x:v>
      </x:c>
      <x:c r="M1841" s="31" t="n">
        <x:f>IF(AND(N1841="미수",G1841&lt;&gt;"",TODAY()&gt;G1841),TODAY()-G1841,0)</x:f>
        <x:v>0</x:v>
      </x:c>
      <x:c r="N1841" s="24" t="str">
        <x:f>IF(J1841&gt;0,"미수",IF(AND(H1841&gt;0,I1841&gt;=H1841),"완납","미확인"))</x:f>
        <x:v>완납</x:v>
      </x:c>
      <x:c r="O1841" s="31" t="n">
        <x:v>87</x:v>
      </x:c>
    </x:row>
    <x:row r="1842" ht="17.25" customHeight="1">
      <x:c r="A1842" s="24" t="str">
        <x:v>SW-B-330모8787-202509</x:v>
      </x:c>
      <x:c r="B1842" s="24" t="str">
        <x:v>스위치플랜</x:v>
      </x:c>
      <x:c r="C1842" s="24" t="str">
        <x:v>SW-C-330모8787-1-20250524-88</x:v>
      </x:c>
      <x:c r="D1842" s="24" t="str">
        <x:v>330모8787</x:v>
      </x:c>
      <x:c r="E1842" s="24" t="str">
        <x:v>이상원</x:v>
      </x:c>
      <x:c r="F1842" s="24" t="str">
        <x:v>2025-09</x:v>
      </x:c>
      <x:c r="G1842" s="30" t="n">
        <x:v>45910</x:v>
      </x:c>
      <x:c r="H1842" s="32" t="n">
        <x:v>1010000</x:v>
      </x:c>
      <x:c r="I1842" s="32" t="n">
        <x:v>1010000</x:v>
      </x:c>
      <x:c r="J1842" s="32" t="n">
        <x:v>0</x:v>
      </x:c>
      <x:c r="K1842" s="30" t="n">
        <x:v>45910</x:v>
      </x:c>
      <x:c r="L1842" s="24" t="str">
        <x:v>입금</x:v>
      </x:c>
      <x:c r="M1842" s="31" t="n">
        <x:f>IF(AND(N1842="미수",G1842&lt;&gt;"",TODAY()&gt;G1842),TODAY()-G1842,0)</x:f>
        <x:v>0</x:v>
      </x:c>
      <x:c r="N1842" s="24" t="str">
        <x:f>IF(J1842&gt;0,"미수",IF(AND(H1842&gt;0,I1842&gt;=H1842),"완납","미확인"))</x:f>
        <x:v>완납</x:v>
      </x:c>
      <x:c r="O1842" s="31" t="n">
        <x:v>87</x:v>
      </x:c>
    </x:row>
    <x:row r="1843" ht="17.25" customHeight="1">
      <x:c r="A1843" s="24" t="str">
        <x:v>SW-B-330모8787-202508</x:v>
      </x:c>
      <x:c r="B1843" s="24" t="str">
        <x:v>스위치플랜</x:v>
      </x:c>
      <x:c r="C1843" s="24" t="str">
        <x:v>SW-C-330모8787-1-20250524-88</x:v>
      </x:c>
      <x:c r="D1843" s="24" t="str">
        <x:v>330모8787</x:v>
      </x:c>
      <x:c r="E1843" s="24" t="str">
        <x:v>이상원</x:v>
      </x:c>
      <x:c r="F1843" s="24" t="str">
        <x:v>2025-08</x:v>
      </x:c>
      <x:c r="G1843" s="30" t="n">
        <x:v>45879</x:v>
      </x:c>
      <x:c r="H1843" s="32" t="n">
        <x:v>1010000</x:v>
      </x:c>
      <x:c r="I1843" s="32" t="n">
        <x:v>1010000</x:v>
      </x:c>
      <x:c r="J1843" s="32" t="n">
        <x:v>0</x:v>
      </x:c>
      <x:c r="K1843" s="30" t="n">
        <x:v>45879</x:v>
      </x:c>
      <x:c r="L1843" s="24" t="str">
        <x:v>입금</x:v>
      </x:c>
      <x:c r="M1843" s="31" t="n">
        <x:f>IF(AND(N1843="미수",G1843&lt;&gt;"",TODAY()&gt;G1843),TODAY()-G1843,0)</x:f>
        <x:v>0</x:v>
      </x:c>
      <x:c r="N1843" s="24" t="str">
        <x:f>IF(J1843&gt;0,"미수",IF(AND(H1843&gt;0,I1843&gt;=H1843),"완납","미확인"))</x:f>
        <x:v>완납</x:v>
      </x:c>
      <x:c r="O1843" s="31" t="n">
        <x:v>87</x:v>
      </x:c>
    </x:row>
    <x:row r="1844" ht="17.25" customHeight="1">
      <x:c r="A1844" s="24" t="str">
        <x:v>SW-B-330모8787-202507</x:v>
      </x:c>
      <x:c r="B1844" s="24" t="str">
        <x:v>스위치플랜</x:v>
      </x:c>
      <x:c r="C1844" s="24" t="str">
        <x:v>SW-C-330모8787-1-20250524-88</x:v>
      </x:c>
      <x:c r="D1844" s="24" t="str">
        <x:v>330모8787</x:v>
      </x:c>
      <x:c r="E1844" s="24" t="str">
        <x:v>이상원</x:v>
      </x:c>
      <x:c r="F1844" s="24" t="str">
        <x:v>2025-07</x:v>
      </x:c>
      <x:c r="G1844" s="30" t="n">
        <x:v>45848</x:v>
      </x:c>
      <x:c r="H1844" s="32" t="n">
        <x:v>1010000</x:v>
      </x:c>
      <x:c r="I1844" s="32" t="n">
        <x:v>1010000</x:v>
      </x:c>
      <x:c r="J1844" s="32" t="n">
        <x:v>0</x:v>
      </x:c>
      <x:c r="K1844" s="30" t="n">
        <x:v>45848</x:v>
      </x:c>
      <x:c r="L1844" s="24" t="str">
        <x:v>입금</x:v>
      </x:c>
      <x:c r="M1844" s="31" t="n">
        <x:f>IF(AND(N1844="미수",G1844&lt;&gt;"",TODAY()&gt;G1844),TODAY()-G1844,0)</x:f>
        <x:v>0</x:v>
      </x:c>
      <x:c r="N1844" s="24" t="str">
        <x:f>IF(J1844&gt;0,"미수",IF(AND(H1844&gt;0,I1844&gt;=H1844),"완납","미확인"))</x:f>
        <x:v>완납</x:v>
      </x:c>
      <x:c r="O1844" s="31" t="n">
        <x:v>87</x:v>
      </x:c>
    </x:row>
    <x:row r="1845" ht="17.25" customHeight="1">
      <x:c r="A1845" s="24" t="str">
        <x:v>SW-B-330모8787-202506</x:v>
      </x:c>
      <x:c r="B1845" s="24" t="str">
        <x:v>스위치플랜</x:v>
      </x:c>
      <x:c r="C1845" s="24" t="str">
        <x:v>SW-C-330모8787-1-20250524-88</x:v>
      </x:c>
      <x:c r="D1845" s="24" t="str">
        <x:v>330모8787</x:v>
      </x:c>
      <x:c r="E1845" s="24" t="str">
        <x:v>이상원</x:v>
      </x:c>
      <x:c r="F1845" s="24" t="str">
        <x:v>2025-06</x:v>
      </x:c>
      <x:c r="G1845" s="30" t="n">
        <x:v>45818</x:v>
      </x:c>
      <x:c r="H1845" s="32" t="n">
        <x:v>1010000</x:v>
      </x:c>
      <x:c r="I1845" s="32" t="n">
        <x:v>1010000</x:v>
      </x:c>
      <x:c r="J1845" s="32" t="n">
        <x:v>0</x:v>
      </x:c>
      <x:c r="K1845" s="30" t="n">
        <x:v>45820</x:v>
      </x:c>
      <x:c r="L1845" s="24" t="str">
        <x:v>입금</x:v>
      </x:c>
      <x:c r="M1845" s="31" t="n">
        <x:f>IF(AND(N1845="미수",G1845&lt;&gt;"",TODAY()&gt;G1845),TODAY()-G1845,0)</x:f>
        <x:v>0</x:v>
      </x:c>
      <x:c r="N1845" s="24" t="str">
        <x:f>IF(J1845&gt;0,"미수",IF(AND(H1845&gt;0,I1845&gt;=H1845),"완납","미확인"))</x:f>
        <x:v>완납</x:v>
      </x:c>
      <x:c r="O1845" s="31" t="n">
        <x:v>87</x:v>
      </x:c>
    </x:row>
    <x:row r="1846" ht="17.25" customHeight="1">
      <x:c r="A1846" s="24" t="str">
        <x:v>SW-B-330모8787-202505</x:v>
      </x:c>
      <x:c r="B1846" s="24" t="str">
        <x:v>스위치플랜</x:v>
      </x:c>
      <x:c r="C1846" s="24" t="str">
        <x:v>SW-C-330모8787-1-20250524-88</x:v>
      </x:c>
      <x:c r="D1846" s="24" t="str">
        <x:v>330모8787</x:v>
      </x:c>
      <x:c r="E1846" s="24" t="str">
        <x:v>이상원</x:v>
      </x:c>
      <x:c r="F1846" s="24" t="str">
        <x:v>2025-05</x:v>
      </x:c>
      <x:c r="G1846" s="30" t="n">
        <x:v>45787</x:v>
      </x:c>
      <x:c r="H1846" s="32" t="n">
        <x:v>1100000</x:v>
      </x:c>
      <x:c r="I1846" s="32" t="n">
        <x:v>1100000</x:v>
      </x:c>
      <x:c r="J1846" s="32" t="n">
        <x:v>0</x:v>
      </x:c>
      <x:c r="K1846" s="30" t="n">
        <x:v>45787</x:v>
      </x:c>
      <x:c r="L1846" s="24" t="str">
        <x:v>입금</x:v>
      </x:c>
      <x:c r="M1846" s="31" t="n">
        <x:f>IF(AND(N1846="미수",G1846&lt;&gt;"",TODAY()&gt;G1846),TODAY()-G1846,0)</x:f>
        <x:v>0</x:v>
      </x:c>
      <x:c r="N1846" s="24" t="str">
        <x:f>IF(J1846&gt;0,"미수",IF(AND(H1846&gt;0,I1846&gt;=H1846),"완납","미확인"))</x:f>
        <x:v>완납</x:v>
      </x:c>
      <x:c r="O1846" s="31" t="n">
        <x:v>87</x:v>
      </x:c>
    </x:row>
    <x:row r="1847" ht="17.25" customHeight="1">
      <x:c r="A1847" s="24" t="str">
        <x:v>SW-B-330모8787-202504</x:v>
      </x:c>
      <x:c r="B1847" s="24" t="str">
        <x:v>스위치플랜</x:v>
      </x:c>
      <x:c r="C1847" s="24" t="str">
        <x:v>SW-C-330모8787-2-20241102-88</x:v>
      </x:c>
      <x:c r="D1847" s="24" t="str">
        <x:v>330모8787</x:v>
      </x:c>
      <x:c r="E1847" s="24" t="str">
        <x:v>이상원</x:v>
      </x:c>
      <x:c r="F1847" s="24" t="str">
        <x:v>2025-04</x:v>
      </x:c>
      <x:c r="G1847" s="30" t="n">
        <x:v>45757</x:v>
      </x:c>
      <x:c r="H1847" s="32" t="n">
        <x:v>1100000</x:v>
      </x:c>
      <x:c r="I1847" s="32" t="n">
        <x:v>1100000</x:v>
      </x:c>
      <x:c r="J1847" s="32" t="n">
        <x:v>0</x:v>
      </x:c>
      <x:c r="K1847" s="30" t="n">
        <x:v>45756</x:v>
      </x:c>
      <x:c r="L1847" s="24" t="str">
        <x:v>입금</x:v>
      </x:c>
      <x:c r="M1847" s="31" t="n">
        <x:f>IF(AND(N1847="미수",G1847&lt;&gt;"",TODAY()&gt;G1847),TODAY()-G1847,0)</x:f>
        <x:v>0</x:v>
      </x:c>
      <x:c r="N1847" s="24" t="str">
        <x:f>IF(J1847&gt;0,"미수",IF(AND(H1847&gt;0,I1847&gt;=H1847),"완납","미확인"))</x:f>
        <x:v>완납</x:v>
      </x:c>
      <x:c r="O1847" s="31" t="n">
        <x:v>87</x:v>
      </x:c>
    </x:row>
    <x:row r="1848" ht="17.25" customHeight="1">
      <x:c r="A1848" s="24" t="str">
        <x:v>SW-B-330모8787-202503</x:v>
      </x:c>
      <x:c r="B1848" s="24" t="str">
        <x:v>스위치플랜</x:v>
      </x:c>
      <x:c r="C1848" s="24" t="str">
        <x:v>SW-C-330모8787-2-20241102-88</x:v>
      </x:c>
      <x:c r="D1848" s="24" t="str">
        <x:v>330모8787</x:v>
      </x:c>
      <x:c r="E1848" s="24" t="str">
        <x:v>이상원</x:v>
      </x:c>
      <x:c r="F1848" s="24" t="str">
        <x:v>2025-03</x:v>
      </x:c>
      <x:c r="G1848" s="30" t="n">
        <x:v>45726</x:v>
      </x:c>
      <x:c r="H1848" s="32" t="n">
        <x:v>1100000</x:v>
      </x:c>
      <x:c r="I1848" s="32" t="n">
        <x:v>1100000</x:v>
      </x:c>
      <x:c r="J1848" s="32" t="n">
        <x:v>0</x:v>
      </x:c>
      <x:c r="K1848" s="30" t="n">
        <x:v>45726</x:v>
      </x:c>
      <x:c r="L1848" s="24" t="str">
        <x:v>입금</x:v>
      </x:c>
      <x:c r="M1848" s="31" t="n">
        <x:f>IF(AND(N1848="미수",G1848&lt;&gt;"",TODAY()&gt;G1848),TODAY()-G1848,0)</x:f>
        <x:v>0</x:v>
      </x:c>
      <x:c r="N1848" s="24" t="str">
        <x:f>IF(J1848&gt;0,"미수",IF(AND(H1848&gt;0,I1848&gt;=H1848),"완납","미확인"))</x:f>
        <x:v>완납</x:v>
      </x:c>
      <x:c r="O1848" s="31" t="n">
        <x:v>87</x:v>
      </x:c>
    </x:row>
    <x:row r="1849" ht="17.25" customHeight="1">
      <x:c r="A1849" s="24" t="str">
        <x:v>SW-B-330모8787-202502</x:v>
      </x:c>
      <x:c r="B1849" s="24" t="str">
        <x:v>스위치플랜</x:v>
      </x:c>
      <x:c r="C1849" s="24" t="str">
        <x:v>SW-C-330모8787-2-20241102-88</x:v>
      </x:c>
      <x:c r="D1849" s="24" t="str">
        <x:v>330모8787</x:v>
      </x:c>
      <x:c r="E1849" s="24" t="str">
        <x:v>이상원</x:v>
      </x:c>
      <x:c r="F1849" s="24" t="str">
        <x:v>2025-02</x:v>
      </x:c>
      <x:c r="G1849" s="30" t="n">
        <x:v>45698</x:v>
      </x:c>
      <x:c r="H1849" s="32" t="n">
        <x:v>1100000</x:v>
      </x:c>
      <x:c r="I1849" s="32" t="n">
        <x:v>1100000</x:v>
      </x:c>
      <x:c r="J1849" s="32" t="n">
        <x:v>0</x:v>
      </x:c>
      <x:c r="K1849" s="30" t="n">
        <x:v>45698</x:v>
      </x:c>
      <x:c r="L1849" s="24" t="str">
        <x:v>입금</x:v>
      </x:c>
      <x:c r="M1849" s="31" t="n">
        <x:f>IF(AND(N1849="미수",G1849&lt;&gt;"",TODAY()&gt;G1849),TODAY()-G1849,0)</x:f>
        <x:v>0</x:v>
      </x:c>
      <x:c r="N1849" s="24" t="str">
        <x:f>IF(J1849&gt;0,"미수",IF(AND(H1849&gt;0,I1849&gt;=H1849),"완납","미확인"))</x:f>
        <x:v>완납</x:v>
      </x:c>
      <x:c r="O1849" s="31" t="n">
        <x:v>87</x:v>
      </x:c>
    </x:row>
    <x:row r="1850" ht="17.25" customHeight="1">
      <x:c r="A1850" s="24" t="str">
        <x:v>SW-B-330모8787-202501</x:v>
      </x:c>
      <x:c r="B1850" s="24" t="str">
        <x:v>스위치플랜</x:v>
      </x:c>
      <x:c r="C1850" s="24" t="str">
        <x:v>SW-C-330모8787-2-20241102-88</x:v>
      </x:c>
      <x:c r="D1850" s="24" t="str">
        <x:v>330모8787</x:v>
      </x:c>
      <x:c r="E1850" s="24" t="str">
        <x:v>이상원</x:v>
      </x:c>
      <x:c r="F1850" s="24" t="str">
        <x:v>2025-01</x:v>
      </x:c>
      <x:c r="G1850" s="30" t="n">
        <x:v>45667</x:v>
      </x:c>
      <x:c r="H1850" s="32" t="n">
        <x:v>1100000</x:v>
      </x:c>
      <x:c r="I1850" s="32" t="n">
        <x:v>1100000</x:v>
      </x:c>
      <x:c r="J1850" s="32" t="n">
        <x:v>0</x:v>
      </x:c>
      <x:c r="K1850" s="30" t="n">
        <x:v>45667</x:v>
      </x:c>
      <x:c r="L1850" s="24" t="str">
        <x:v>입금</x:v>
      </x:c>
      <x:c r="M1850" s="31" t="n">
        <x:f>IF(AND(N1850="미수",G1850&lt;&gt;"",TODAY()&gt;G1850),TODAY()-G1850,0)</x:f>
        <x:v>0</x:v>
      </x:c>
      <x:c r="N1850" s="24" t="str">
        <x:f>IF(J1850&gt;0,"미수",IF(AND(H1850&gt;0,I1850&gt;=H1850),"완납","미확인"))</x:f>
        <x:v>완납</x:v>
      </x:c>
      <x:c r="O1850" s="31" t="n">
        <x:v>87</x:v>
      </x:c>
    </x:row>
    <x:row r="1851" ht="17.25" customHeight="1">
      <x:c r="A1851" s="24" t="str">
        <x:v>SW-B-330모8787-202412</x:v>
      </x:c>
      <x:c r="B1851" s="24" t="str">
        <x:v>스위치플랜</x:v>
      </x:c>
      <x:c r="C1851" s="24" t="str">
        <x:v>SW-C-330모8787-2-20241102-88</x:v>
      </x:c>
      <x:c r="D1851" s="24" t="str">
        <x:v>330모8787</x:v>
      </x:c>
      <x:c r="E1851" s="24" t="str">
        <x:v>이상원</x:v>
      </x:c>
      <x:c r="F1851" s="24" t="str">
        <x:v>2024-12</x:v>
      </x:c>
      <x:c r="G1851" s="30" t="n">
        <x:v>45636</x:v>
      </x:c>
      <x:c r="H1851" s="32" t="n">
        <x:v>1020000</x:v>
      </x:c>
      <x:c r="I1851" s="32" t="n">
        <x:v>1020000</x:v>
      </x:c>
      <x:c r="J1851" s="32" t="n">
        <x:v>0</x:v>
      </x:c>
      <x:c r="K1851" s="30" t="n">
        <x:v>45627</x:v>
      </x:c>
      <x:c r="L1851" s="24" t="str">
        <x:v>입금</x:v>
      </x:c>
      <x:c r="M1851" s="31" t="n">
        <x:f>IF(AND(N1851="미수",G1851&lt;&gt;"",TODAY()&gt;G1851),TODAY()-G1851,0)</x:f>
        <x:v>0</x:v>
      </x:c>
      <x:c r="N1851" s="24" t="str">
        <x:f>IF(J1851&gt;0,"미수",IF(AND(H1851&gt;0,I1851&gt;=H1851),"완납","미확인"))</x:f>
        <x:v>완납</x:v>
      </x:c>
      <x:c r="O1851" s="31" t="n">
        <x:v>87</x:v>
      </x:c>
    </x:row>
    <x:row r="1852" ht="17.25" customHeight="1">
      <x:c r="A1852" s="24" t="str">
        <x:v>SW-B-330모8787-202411</x:v>
      </x:c>
      <x:c r="B1852" s="24" t="str">
        <x:v>스위치플랜</x:v>
      </x:c>
      <x:c r="C1852" s="24" t="str">
        <x:v>SW-C-330모8787-2-20241102-88</x:v>
      </x:c>
      <x:c r="D1852" s="24" t="str">
        <x:v>330모8787</x:v>
      </x:c>
      <x:c r="E1852" s="24" t="str">
        <x:v>이상원</x:v>
      </x:c>
      <x:c r="F1852" s="24" t="str">
        <x:v>2024-11</x:v>
      </x:c>
      <x:c r="G1852" s="30" t="n">
        <x:v>45606</x:v>
      </x:c>
      <x:c r="H1852" s="32" t="n">
        <x:v>1100000</x:v>
      </x:c>
      <x:c r="I1852" s="32" t="n">
        <x:v>1100000</x:v>
      </x:c>
      <x:c r="J1852" s="32" t="n">
        <x:v>0</x:v>
      </x:c>
      <x:c r="K1852" s="30" t="n">
        <x:v>45597</x:v>
      </x:c>
      <x:c r="L1852" s="24" t="str">
        <x:v>입금</x:v>
      </x:c>
      <x:c r="M1852" s="31" t="n">
        <x:f>IF(AND(N1852="미수",G1852&lt;&gt;"",TODAY()&gt;G1852),TODAY()-G1852,0)</x:f>
        <x:v>0</x:v>
      </x:c>
      <x:c r="N1852" s="24" t="str">
        <x:f>IF(J1852&gt;0,"미수",IF(AND(H1852&gt;0,I1852&gt;=H1852),"완납","미확인"))</x:f>
        <x:v>완납</x:v>
      </x:c>
      <x:c r="O1852" s="31" t="n">
        <x:v>87</x:v>
      </x:c>
    </x:row>
    <x:row r="1853" ht="17.25" customHeight="1">
      <x:c r="A1853" s="24" t="str">
        <x:v>SW-B-186고4026-202608</x:v>
      </x:c>
      <x:c r="B1853" s="24" t="str">
        <x:v>스위치플랜</x:v>
      </x:c>
      <x:c r="C1853" s="24" t="str">
        <x:v>SW-C-186고4026-1-20240530-89</x:v>
      </x:c>
      <x:c r="D1853" s="24" t="str">
        <x:v>186고4026</x:v>
      </x:c>
      <x:c r="E1853" s="24" t="str">
        <x:v>김경호</x:v>
      </x:c>
      <x:c r="F1853" s="24" t="str">
        <x:v>2026-08</x:v>
      </x:c>
      <x:c r="G1853" s="30"/>
      <x:c r="H1853" s="32" t="n">
        <x:v>1100000</x:v>
      </x:c>
      <x:c r="I1853" s="32"/>
      <x:c r="J1853" s="32" t="n">
        <x:v>1100000</x:v>
      </x:c>
      <x:c r="K1853" s="30"/>
      <x:c r="L1853" s="24" t="str"/>
      <x:c r="M1853" s="31" t="n">
        <x:f>IF(AND(N1853="미수",G1853&lt;&gt;"",TODAY()&gt;G1853),TODAY()-G1853,0)</x:f>
        <x:v>0</x:v>
      </x:c>
      <x:c r="N1853" s="24" t="str">
        <x:f>IF(J1853&gt;0,"미수",IF(AND(H1853&gt;0,I1853&gt;=H1853),"완납","미확인"))</x:f>
        <x:v>미수</x:v>
      </x:c>
      <x:c r="O1853" s="31" t="n">
        <x:v>88</x:v>
      </x:c>
    </x:row>
    <x:row r="1854" ht="17.25" customHeight="1">
      <x:c r="A1854" s="24" t="str">
        <x:v>SW-B-186고4026-202607</x:v>
      </x:c>
      <x:c r="B1854" s="24" t="str">
        <x:v>스위치플랜</x:v>
      </x:c>
      <x:c r="C1854" s="24" t="str">
        <x:v>SW-C-186고4026-1-20240530-89</x:v>
      </x:c>
      <x:c r="D1854" s="24" t="str">
        <x:v>186고4026</x:v>
      </x:c>
      <x:c r="E1854" s="24" t="str">
        <x:v>김경호</x:v>
      </x:c>
      <x:c r="F1854" s="24" t="str">
        <x:v>2026-07</x:v>
      </x:c>
      <x:c r="G1854" s="30"/>
      <x:c r="H1854" s="32" t="n">
        <x:v>1100000</x:v>
      </x:c>
      <x:c r="I1854" s="32" t="n">
        <x:v>1100000</x:v>
      </x:c>
      <x:c r="J1854" s="32" t="n">
        <x:v>0</x:v>
      </x:c>
      <x:c r="K1854" s="30" t="n">
        <x:v>46234</x:v>
      </x:c>
      <x:c r="L1854" s="24" t="str">
        <x:v>자동</x:v>
      </x:c>
      <x:c r="M1854" s="31" t="n">
        <x:f>IF(AND(N1854="미수",G1854&lt;&gt;"",TODAY()&gt;G1854),TODAY()-G1854,0)</x:f>
        <x:v>0</x:v>
      </x:c>
      <x:c r="N1854" s="24" t="str">
        <x:f>IF(J1854&gt;0,"미수",IF(AND(H1854&gt;0,I1854&gt;=H1854),"완납","미확인"))</x:f>
        <x:v>완납</x:v>
      </x:c>
      <x:c r="O1854" s="31" t="n">
        <x:v>88</x:v>
      </x:c>
    </x:row>
    <x:row r="1855" ht="17.25" customHeight="1">
      <x:c r="A1855" s="24" t="str">
        <x:v>SW-B-186고4026-202606</x:v>
      </x:c>
      <x:c r="B1855" s="24" t="str">
        <x:v>스위치플랜</x:v>
      </x:c>
      <x:c r="C1855" s="24" t="str">
        <x:v>SW-C-186고4026-1-20240530-89</x:v>
      </x:c>
      <x:c r="D1855" s="24" t="str">
        <x:v>186고4026</x:v>
      </x:c>
      <x:c r="E1855" s="24" t="str">
        <x:v>김경호</x:v>
      </x:c>
      <x:c r="F1855" s="24" t="str">
        <x:v>2026-06</x:v>
      </x:c>
      <x:c r="G1855" s="30"/>
      <x:c r="H1855" s="32" t="n">
        <x:v>1100000</x:v>
      </x:c>
      <x:c r="I1855" s="32" t="n">
        <x:v>1100000</x:v>
      </x:c>
      <x:c r="J1855" s="32" t="n">
        <x:v>0</x:v>
      </x:c>
      <x:c r="K1855" s="30" t="n">
        <x:v>46203</x:v>
      </x:c>
      <x:c r="L1855" s="24" t="str">
        <x:v>자동</x:v>
      </x:c>
      <x:c r="M1855" s="31" t="n">
        <x:f>IF(AND(N1855="미수",G1855&lt;&gt;"",TODAY()&gt;G1855),TODAY()-G1855,0)</x:f>
        <x:v>0</x:v>
      </x:c>
      <x:c r="N1855" s="24" t="str">
        <x:f>IF(J1855&gt;0,"미수",IF(AND(H1855&gt;0,I1855&gt;=H1855),"완납","미확인"))</x:f>
        <x:v>완납</x:v>
      </x:c>
      <x:c r="O1855" s="31" t="n">
        <x:v>88</x:v>
      </x:c>
    </x:row>
    <x:row r="1856" ht="17.25" customHeight="1">
      <x:c r="A1856" s="24" t="str">
        <x:v>SW-B-186고4026-202605</x:v>
      </x:c>
      <x:c r="B1856" s="24" t="str">
        <x:v>스위치플랜</x:v>
      </x:c>
      <x:c r="C1856" s="24" t="str">
        <x:v>SW-C-186고4026-1-20240530-89</x:v>
      </x:c>
      <x:c r="D1856" s="24" t="str">
        <x:v>186고4026</x:v>
      </x:c>
      <x:c r="E1856" s="24" t="str">
        <x:v>김경호</x:v>
      </x:c>
      <x:c r="F1856" s="24" t="str">
        <x:v>2026-05</x:v>
      </x:c>
      <x:c r="G1856" s="30"/>
      <x:c r="H1856" s="32" t="n">
        <x:v>1100000</x:v>
      </x:c>
      <x:c r="I1856" s="32" t="n">
        <x:v>1100000</x:v>
      </x:c>
      <x:c r="J1856" s="32" t="n">
        <x:v>0</x:v>
      </x:c>
      <x:c r="K1856" s="30" t="n">
        <x:v>46173</x:v>
      </x:c>
      <x:c r="L1856" s="24" t="str">
        <x:v>자동</x:v>
      </x:c>
      <x:c r="M1856" s="31" t="n">
        <x:f>IF(AND(N1856="미수",G1856&lt;&gt;"",TODAY()&gt;G1856),TODAY()-G1856,0)</x:f>
        <x:v>0</x:v>
      </x:c>
      <x:c r="N1856" s="24" t="str">
        <x:f>IF(J1856&gt;0,"미수",IF(AND(H1856&gt;0,I1856&gt;=H1856),"완납","미확인"))</x:f>
        <x:v>완납</x:v>
      </x:c>
      <x:c r="O1856" s="31" t="n">
        <x:v>88</x:v>
      </x:c>
    </x:row>
    <x:row r="1857" ht="17.25" customHeight="1">
      <x:c r="A1857" s="24" t="str">
        <x:v>SW-B-186고4026-202604</x:v>
      </x:c>
      <x:c r="B1857" s="24" t="str">
        <x:v>스위치플랜</x:v>
      </x:c>
      <x:c r="C1857" s="24" t="str">
        <x:v>SW-C-186고4026-1-20240530-89</x:v>
      </x:c>
      <x:c r="D1857" s="24" t="str">
        <x:v>186고4026</x:v>
      </x:c>
      <x:c r="E1857" s="24" t="str">
        <x:v>김경호</x:v>
      </x:c>
      <x:c r="F1857" s="24" t="str">
        <x:v>2026-04</x:v>
      </x:c>
      <x:c r="G1857" s="30"/>
      <x:c r="H1857" s="32" t="n">
        <x:v>1100000</x:v>
      </x:c>
      <x:c r="I1857" s="32" t="n">
        <x:v>1100000</x:v>
      </x:c>
      <x:c r="J1857" s="32" t="n">
        <x:v>0</x:v>
      </x:c>
      <x:c r="K1857" s="30" t="n">
        <x:v>46142</x:v>
      </x:c>
      <x:c r="L1857" s="24" t="str">
        <x:v>자동</x:v>
      </x:c>
      <x:c r="M1857" s="31" t="n">
        <x:f>IF(AND(N1857="미수",G1857&lt;&gt;"",TODAY()&gt;G1857),TODAY()-G1857,0)</x:f>
        <x:v>0</x:v>
      </x:c>
      <x:c r="N1857" s="24" t="str">
        <x:f>IF(J1857&gt;0,"미수",IF(AND(H1857&gt;0,I1857&gt;=H1857),"완납","미확인"))</x:f>
        <x:v>완납</x:v>
      </x:c>
      <x:c r="O1857" s="31" t="n">
        <x:v>88</x:v>
      </x:c>
    </x:row>
    <x:row r="1858" ht="17.25" customHeight="1">
      <x:c r="A1858" s="24" t="str">
        <x:v>SW-B-186고4026-202603</x:v>
      </x:c>
      <x:c r="B1858" s="24" t="str">
        <x:v>스위치플랜</x:v>
      </x:c>
      <x:c r="C1858" s="24" t="str">
        <x:v>SW-C-186고4026-1-20240530-89</x:v>
      </x:c>
      <x:c r="D1858" s="24" t="str">
        <x:v>186고4026</x:v>
      </x:c>
      <x:c r="E1858" s="24" t="str">
        <x:v>김경호</x:v>
      </x:c>
      <x:c r="F1858" s="24" t="str">
        <x:v>2026-03</x:v>
      </x:c>
      <x:c r="G1858" s="30"/>
      <x:c r="H1858" s="32" t="n">
        <x:v>1100000</x:v>
      </x:c>
      <x:c r="I1858" s="32" t="n">
        <x:v>1100000</x:v>
      </x:c>
      <x:c r="J1858" s="32" t="n">
        <x:v>0</x:v>
      </x:c>
      <x:c r="K1858" s="30" t="n">
        <x:v>46112</x:v>
      </x:c>
      <x:c r="L1858" s="24" t="str">
        <x:v>자동</x:v>
      </x:c>
      <x:c r="M1858" s="31" t="n">
        <x:f>IF(AND(N1858="미수",G1858&lt;&gt;"",TODAY()&gt;G1858),TODAY()-G1858,0)</x:f>
        <x:v>0</x:v>
      </x:c>
      <x:c r="N1858" s="24" t="str">
        <x:f>IF(J1858&gt;0,"미수",IF(AND(H1858&gt;0,I1858&gt;=H1858),"완납","미확인"))</x:f>
        <x:v>완납</x:v>
      </x:c>
      <x:c r="O1858" s="31" t="n">
        <x:v>88</x:v>
      </x:c>
    </x:row>
    <x:row r="1859" ht="17.25" customHeight="1">
      <x:c r="A1859" s="24" t="str">
        <x:v>SW-B-186고4026-202602</x:v>
      </x:c>
      <x:c r="B1859" s="24" t="str">
        <x:v>스위치플랜</x:v>
      </x:c>
      <x:c r="C1859" s="24" t="str">
        <x:v>SW-C-186고4026-1-20240530-89</x:v>
      </x:c>
      <x:c r="D1859" s="24" t="str">
        <x:v>186고4026</x:v>
      </x:c>
      <x:c r="E1859" s="24" t="str">
        <x:v>김경호</x:v>
      </x:c>
      <x:c r="F1859" s="24" t="str">
        <x:v>2026-02</x:v>
      </x:c>
      <x:c r="G1859" s="30"/>
      <x:c r="H1859" s="32" t="n">
        <x:v>1100000</x:v>
      </x:c>
      <x:c r="I1859" s="32" t="n">
        <x:v>1100000</x:v>
      </x:c>
      <x:c r="J1859" s="32" t="n">
        <x:v>0</x:v>
      </x:c>
      <x:c r="K1859" s="30" t="n">
        <x:v>46080</x:v>
      </x:c>
      <x:c r="L1859" s="24" t="str">
        <x:v>자동</x:v>
      </x:c>
      <x:c r="M1859" s="31" t="n">
        <x:f>IF(AND(N1859="미수",G1859&lt;&gt;"",TODAY()&gt;G1859),TODAY()-G1859,0)</x:f>
        <x:v>0</x:v>
      </x:c>
      <x:c r="N1859" s="24" t="str">
        <x:f>IF(J1859&gt;0,"미수",IF(AND(H1859&gt;0,I1859&gt;=H1859),"완납","미확인"))</x:f>
        <x:v>완납</x:v>
      </x:c>
      <x:c r="O1859" s="31" t="n">
        <x:v>88</x:v>
      </x:c>
    </x:row>
    <x:row r="1860" ht="17.25" customHeight="1">
      <x:c r="A1860" s="24" t="str">
        <x:v>SW-B-186고4026-202601</x:v>
      </x:c>
      <x:c r="B1860" s="24" t="str">
        <x:v>스위치플랜</x:v>
      </x:c>
      <x:c r="C1860" s="24" t="str">
        <x:v>SW-C-186고4026-1-20240530-89</x:v>
      </x:c>
      <x:c r="D1860" s="24" t="str">
        <x:v>186고4026</x:v>
      </x:c>
      <x:c r="E1860" s="24" t="str">
        <x:v>김경호</x:v>
      </x:c>
      <x:c r="F1860" s="24" t="str">
        <x:v>2026-01</x:v>
      </x:c>
      <x:c r="G1860" s="30"/>
      <x:c r="H1860" s="32" t="n">
        <x:v>1100000</x:v>
      </x:c>
      <x:c r="I1860" s="32" t="n">
        <x:v>1100000</x:v>
      </x:c>
      <x:c r="J1860" s="32" t="n">
        <x:v>0</x:v>
      </x:c>
      <x:c r="K1860" s="30" t="n">
        <x:v>46052</x:v>
      </x:c>
      <x:c r="L1860" s="24" t="str">
        <x:v>자동</x:v>
      </x:c>
      <x:c r="M1860" s="31" t="n">
        <x:f>IF(AND(N1860="미수",G1860&lt;&gt;"",TODAY()&gt;G1860),TODAY()-G1860,0)</x:f>
        <x:v>0</x:v>
      </x:c>
      <x:c r="N1860" s="24" t="str">
        <x:f>IF(J1860&gt;0,"미수",IF(AND(H1860&gt;0,I1860&gt;=H1860),"완납","미확인"))</x:f>
        <x:v>완납</x:v>
      </x:c>
      <x:c r="O1860" s="31" t="n">
        <x:v>88</x:v>
      </x:c>
    </x:row>
    <x:row r="1861" ht="17.25" customHeight="1">
      <x:c r="A1861" s="24" t="str">
        <x:v>SW-B-186고4026-202512</x:v>
      </x:c>
      <x:c r="B1861" s="24" t="str">
        <x:v>스위치플랜</x:v>
      </x:c>
      <x:c r="C1861" s="24" t="str">
        <x:v>SW-C-186고4026-1-20240530-89</x:v>
      </x:c>
      <x:c r="D1861" s="24" t="str">
        <x:v>186고4026</x:v>
      </x:c>
      <x:c r="E1861" s="24" t="str">
        <x:v>김경호</x:v>
      </x:c>
      <x:c r="F1861" s="24" t="str">
        <x:v>2025-12</x:v>
      </x:c>
      <x:c r="G1861" s="30"/>
      <x:c r="H1861" s="32" t="n">
        <x:v>1100000</x:v>
      </x:c>
      <x:c r="I1861" s="32" t="n">
        <x:v>1100000</x:v>
      </x:c>
      <x:c r="J1861" s="32" t="n">
        <x:v>0</x:v>
      </x:c>
      <x:c r="K1861" s="30" t="n">
        <x:v>46022</x:v>
      </x:c>
      <x:c r="L1861" s="24" t="str">
        <x:v>자동</x:v>
      </x:c>
      <x:c r="M1861" s="31" t="n">
        <x:f>IF(AND(N1861="미수",G1861&lt;&gt;"",TODAY()&gt;G1861),TODAY()-G1861,0)</x:f>
        <x:v>0</x:v>
      </x:c>
      <x:c r="N1861" s="24" t="str">
        <x:f>IF(J1861&gt;0,"미수",IF(AND(H1861&gt;0,I1861&gt;=H1861),"완납","미확인"))</x:f>
        <x:v>완납</x:v>
      </x:c>
      <x:c r="O1861" s="31" t="n">
        <x:v>88</x:v>
      </x:c>
    </x:row>
    <x:row r="1862" ht="17.25" customHeight="1">
      <x:c r="A1862" s="24" t="str">
        <x:v>SW-B-186고4026-202511</x:v>
      </x:c>
      <x:c r="B1862" s="24" t="str">
        <x:v>스위치플랜</x:v>
      </x:c>
      <x:c r="C1862" s="24" t="str">
        <x:v>SW-C-186고4026-1-20240530-89</x:v>
      </x:c>
      <x:c r="D1862" s="24" t="str">
        <x:v>186고4026</x:v>
      </x:c>
      <x:c r="E1862" s="24" t="str">
        <x:v>김경호</x:v>
      </x:c>
      <x:c r="F1862" s="24" t="str">
        <x:v>2025-11</x:v>
      </x:c>
      <x:c r="G1862" s="30"/>
      <x:c r="H1862" s="32" t="n">
        <x:v>1100000</x:v>
      </x:c>
      <x:c r="I1862" s="32" t="n">
        <x:v>1100000</x:v>
      </x:c>
      <x:c r="J1862" s="32" t="n">
        <x:v>0</x:v>
      </x:c>
      <x:c r="K1862" s="30" t="n">
        <x:v>45989</x:v>
      </x:c>
      <x:c r="L1862" s="24" t="str">
        <x:v>자동</x:v>
      </x:c>
      <x:c r="M1862" s="31" t="n">
        <x:f>IF(AND(N1862="미수",G1862&lt;&gt;"",TODAY()&gt;G1862),TODAY()-G1862,0)</x:f>
        <x:v>0</x:v>
      </x:c>
      <x:c r="N1862" s="24" t="str">
        <x:f>IF(J1862&gt;0,"미수",IF(AND(H1862&gt;0,I1862&gt;=H1862),"완납","미확인"))</x:f>
        <x:v>완납</x:v>
      </x:c>
      <x:c r="O1862" s="31" t="n">
        <x:v>88</x:v>
      </x:c>
    </x:row>
    <x:row r="1863" ht="17.25" customHeight="1">
      <x:c r="A1863" s="24" t="str">
        <x:v>SW-B-186고4026-202510</x:v>
      </x:c>
      <x:c r="B1863" s="24" t="str">
        <x:v>스위치플랜</x:v>
      </x:c>
      <x:c r="C1863" s="24" t="str">
        <x:v>SW-C-186고4026-1-20240530-89</x:v>
      </x:c>
      <x:c r="D1863" s="24" t="str">
        <x:v>186고4026</x:v>
      </x:c>
      <x:c r="E1863" s="24" t="str">
        <x:v>김경호</x:v>
      </x:c>
      <x:c r="F1863" s="24" t="str">
        <x:v>2025-10</x:v>
      </x:c>
      <x:c r="G1863" s="30"/>
      <x:c r="H1863" s="32" t="n">
        <x:v>1100000</x:v>
      </x:c>
      <x:c r="I1863" s="32" t="n">
        <x:v>1100000</x:v>
      </x:c>
      <x:c r="J1863" s="32" t="n">
        <x:v>0</x:v>
      </x:c>
      <x:c r="K1863" s="30" t="n">
        <x:v>45961</x:v>
      </x:c>
      <x:c r="L1863" s="24" t="str">
        <x:v>자동</x:v>
      </x:c>
      <x:c r="M1863" s="31" t="n">
        <x:f>IF(AND(N1863="미수",G1863&lt;&gt;"",TODAY()&gt;G1863),TODAY()-G1863,0)</x:f>
        <x:v>0</x:v>
      </x:c>
      <x:c r="N1863" s="24" t="str">
        <x:f>IF(J1863&gt;0,"미수",IF(AND(H1863&gt;0,I1863&gt;=H1863),"완납","미확인"))</x:f>
        <x:v>완납</x:v>
      </x:c>
      <x:c r="O1863" s="31" t="n">
        <x:v>88</x:v>
      </x:c>
    </x:row>
    <x:row r="1864" ht="17.25" customHeight="1">
      <x:c r="A1864" s="24" t="str">
        <x:v>SW-B-186고4026-202509</x:v>
      </x:c>
      <x:c r="B1864" s="24" t="str">
        <x:v>스위치플랜</x:v>
      </x:c>
      <x:c r="C1864" s="24" t="str">
        <x:v>SW-C-186고4026-1-20240530-89</x:v>
      </x:c>
      <x:c r="D1864" s="24" t="str">
        <x:v>186고4026</x:v>
      </x:c>
      <x:c r="E1864" s="24" t="str">
        <x:v>김경호</x:v>
      </x:c>
      <x:c r="F1864" s="24" t="str">
        <x:v>2025-09</x:v>
      </x:c>
      <x:c r="G1864" s="30"/>
      <x:c r="H1864" s="32" t="n">
        <x:v>1100000</x:v>
      </x:c>
      <x:c r="I1864" s="32" t="n">
        <x:v>1100000</x:v>
      </x:c>
      <x:c r="J1864" s="32" t="n">
        <x:v>0</x:v>
      </x:c>
      <x:c r="K1864" s="30" t="n">
        <x:v>45930</x:v>
      </x:c>
      <x:c r="L1864" s="24" t="str">
        <x:v>자동</x:v>
      </x:c>
      <x:c r="M1864" s="31" t="n">
        <x:f>IF(AND(N1864="미수",G1864&lt;&gt;"",TODAY()&gt;G1864),TODAY()-G1864,0)</x:f>
        <x:v>0</x:v>
      </x:c>
      <x:c r="N1864" s="24" t="str">
        <x:f>IF(J1864&gt;0,"미수",IF(AND(H1864&gt;0,I1864&gt;=H1864),"완납","미확인"))</x:f>
        <x:v>완납</x:v>
      </x:c>
      <x:c r="O1864" s="31" t="n">
        <x:v>88</x:v>
      </x:c>
    </x:row>
    <x:row r="1865" ht="17.25" customHeight="1">
      <x:c r="A1865" s="24" t="str">
        <x:v>SW-B-186고4026-202508</x:v>
      </x:c>
      <x:c r="B1865" s="24" t="str">
        <x:v>스위치플랜</x:v>
      </x:c>
      <x:c r="C1865" s="24" t="str">
        <x:v>SW-C-186고4026-1-20240530-89</x:v>
      </x:c>
      <x:c r="D1865" s="24" t="str">
        <x:v>186고4026</x:v>
      </x:c>
      <x:c r="E1865" s="24" t="str">
        <x:v>김경호</x:v>
      </x:c>
      <x:c r="F1865" s="24" t="str">
        <x:v>2025-08</x:v>
      </x:c>
      <x:c r="G1865" s="30"/>
      <x:c r="H1865" s="32" t="n">
        <x:v>1100000</x:v>
      </x:c>
      <x:c r="I1865" s="32" t="n">
        <x:v>1100000</x:v>
      </x:c>
      <x:c r="J1865" s="32" t="n">
        <x:v>0</x:v>
      </x:c>
      <x:c r="K1865" s="30" t="n">
        <x:v>45901</x:v>
      </x:c>
      <x:c r="L1865" s="24" t="str">
        <x:v>자동</x:v>
      </x:c>
      <x:c r="M1865" s="31" t="n">
        <x:f>IF(AND(N1865="미수",G1865&lt;&gt;"",TODAY()&gt;G1865),TODAY()-G1865,0)</x:f>
        <x:v>0</x:v>
      </x:c>
      <x:c r="N1865" s="24" t="str">
        <x:f>IF(J1865&gt;0,"미수",IF(AND(H1865&gt;0,I1865&gt;=H1865),"완납","미확인"))</x:f>
        <x:v>완납</x:v>
      </x:c>
      <x:c r="O1865" s="31" t="n">
        <x:v>88</x:v>
      </x:c>
    </x:row>
    <x:row r="1866" ht="17.25" customHeight="1">
      <x:c r="A1866" s="24" t="str">
        <x:v>SW-B-186고4026-202507</x:v>
      </x:c>
      <x:c r="B1866" s="24" t="str">
        <x:v>스위치플랜</x:v>
      </x:c>
      <x:c r="C1866" s="24" t="str">
        <x:v>SW-C-186고4026-1-20240530-89</x:v>
      </x:c>
      <x:c r="D1866" s="24" t="str">
        <x:v>186고4026</x:v>
      </x:c>
      <x:c r="E1866" s="24" t="str">
        <x:v>김경호</x:v>
      </x:c>
      <x:c r="F1866" s="24" t="str">
        <x:v>2025-07</x:v>
      </x:c>
      <x:c r="G1866" s="30"/>
      <x:c r="H1866" s="32" t="n">
        <x:v>1100000</x:v>
      </x:c>
      <x:c r="I1866" s="32" t="n">
        <x:v>1100000</x:v>
      </x:c>
      <x:c r="J1866" s="32" t="n">
        <x:v>0</x:v>
      </x:c>
      <x:c r="K1866" s="30" t="n">
        <x:v>45869</x:v>
      </x:c>
      <x:c r="L1866" s="24" t="str">
        <x:v>자동</x:v>
      </x:c>
      <x:c r="M1866" s="31" t="n">
        <x:f>IF(AND(N1866="미수",G1866&lt;&gt;"",TODAY()&gt;G1866),TODAY()-G1866,0)</x:f>
        <x:v>0</x:v>
      </x:c>
      <x:c r="N1866" s="24" t="str">
        <x:f>IF(J1866&gt;0,"미수",IF(AND(H1866&gt;0,I1866&gt;=H1866),"완납","미확인"))</x:f>
        <x:v>완납</x:v>
      </x:c>
      <x:c r="O1866" s="31" t="n">
        <x:v>88</x:v>
      </x:c>
    </x:row>
    <x:row r="1867" ht="17.25" customHeight="1">
      <x:c r="A1867" s="24" t="str">
        <x:v>SW-B-186고4026-202506</x:v>
      </x:c>
      <x:c r="B1867" s="24" t="str">
        <x:v>스위치플랜</x:v>
      </x:c>
      <x:c r="C1867" s="24" t="str">
        <x:v>SW-C-186고4026-1-20240530-89</x:v>
      </x:c>
      <x:c r="D1867" s="24" t="str">
        <x:v>186고4026</x:v>
      </x:c>
      <x:c r="E1867" s="24" t="str">
        <x:v>김경호</x:v>
      </x:c>
      <x:c r="F1867" s="24" t="str">
        <x:v>2025-06</x:v>
      </x:c>
      <x:c r="G1867" s="30"/>
      <x:c r="H1867" s="32" t="n">
        <x:v>1100000</x:v>
      </x:c>
      <x:c r="I1867" s="32" t="n">
        <x:v>1100000</x:v>
      </x:c>
      <x:c r="J1867" s="32" t="n">
        <x:v>0</x:v>
      </x:c>
      <x:c r="K1867" s="30" t="n">
        <x:v>45838</x:v>
      </x:c>
      <x:c r="L1867" s="24" t="str">
        <x:v>자동</x:v>
      </x:c>
      <x:c r="M1867" s="31" t="n">
        <x:f>IF(AND(N1867="미수",G1867&lt;&gt;"",TODAY()&gt;G1867),TODAY()-G1867,0)</x:f>
        <x:v>0</x:v>
      </x:c>
      <x:c r="N1867" s="24" t="str">
        <x:f>IF(J1867&gt;0,"미수",IF(AND(H1867&gt;0,I1867&gt;=H1867),"완납","미확인"))</x:f>
        <x:v>완납</x:v>
      </x:c>
      <x:c r="O1867" s="31" t="n">
        <x:v>88</x:v>
      </x:c>
    </x:row>
    <x:row r="1868" ht="17.25" customHeight="1">
      <x:c r="A1868" s="24" t="str">
        <x:v>SW-B-186고4026-202505</x:v>
      </x:c>
      <x:c r="B1868" s="24" t="str">
        <x:v>스위치플랜</x:v>
      </x:c>
      <x:c r="C1868" s="24" t="str">
        <x:v>SW-C-186고4026-1-20240530-89</x:v>
      </x:c>
      <x:c r="D1868" s="24" t="str">
        <x:v>186고4026</x:v>
      </x:c>
      <x:c r="E1868" s="24" t="str">
        <x:v>김경호</x:v>
      </x:c>
      <x:c r="F1868" s="24" t="str">
        <x:v>2025-05</x:v>
      </x:c>
      <x:c r="G1868" s="30"/>
      <x:c r="H1868" s="32" t="n">
        <x:v>1100000</x:v>
      </x:c>
      <x:c r="I1868" s="32" t="n">
        <x:v>1100000</x:v>
      </x:c>
      <x:c r="J1868" s="32" t="n">
        <x:v>0</x:v>
      </x:c>
      <x:c r="K1868" s="30" t="n">
        <x:v>45807</x:v>
      </x:c>
      <x:c r="L1868" s="24" t="str">
        <x:v>입금</x:v>
      </x:c>
      <x:c r="M1868" s="31" t="n">
        <x:f>IF(AND(N1868="미수",G1868&lt;&gt;"",TODAY()&gt;G1868),TODAY()-G1868,0)</x:f>
        <x:v>0</x:v>
      </x:c>
      <x:c r="N1868" s="24" t="str">
        <x:f>IF(J1868&gt;0,"미수",IF(AND(H1868&gt;0,I1868&gt;=H1868),"완납","미확인"))</x:f>
        <x:v>완납</x:v>
      </x:c>
      <x:c r="O1868" s="31" t="n">
        <x:v>88</x:v>
      </x:c>
    </x:row>
    <x:row r="1869" ht="17.25" customHeight="1">
      <x:c r="A1869" s="24" t="str">
        <x:v>SW-B-186고4026-202504</x:v>
      </x:c>
      <x:c r="B1869" s="24" t="str">
        <x:v>스위치플랜</x:v>
      </x:c>
      <x:c r="C1869" s="24" t="str">
        <x:v>SW-C-186고4026-1-20240530-89</x:v>
      </x:c>
      <x:c r="D1869" s="24" t="str">
        <x:v>186고4026</x:v>
      </x:c>
      <x:c r="E1869" s="24" t="str">
        <x:v>김경호</x:v>
      </x:c>
      <x:c r="F1869" s="24" t="str">
        <x:v>2025-04</x:v>
      </x:c>
      <x:c r="G1869" s="30"/>
      <x:c r="H1869" s="32" t="n">
        <x:v>1100000</x:v>
      </x:c>
      <x:c r="I1869" s="32" t="n">
        <x:v>1100000</x:v>
      </x:c>
      <x:c r="J1869" s="32" t="n">
        <x:v>0</x:v>
      </x:c>
      <x:c r="K1869" s="30" t="n">
        <x:v>45777</x:v>
      </x:c>
      <x:c r="L1869" s="24" t="str">
        <x:v>자동</x:v>
      </x:c>
      <x:c r="M1869" s="31" t="n">
        <x:f>IF(AND(N1869="미수",G1869&lt;&gt;"",TODAY()&gt;G1869),TODAY()-G1869,0)</x:f>
        <x:v>0</x:v>
      </x:c>
      <x:c r="N1869" s="24" t="str">
        <x:f>IF(J1869&gt;0,"미수",IF(AND(H1869&gt;0,I1869&gt;=H1869),"완납","미확인"))</x:f>
        <x:v>완납</x:v>
      </x:c>
      <x:c r="O1869" s="31" t="n">
        <x:v>88</x:v>
      </x:c>
    </x:row>
    <x:row r="1870" ht="17.25" customHeight="1">
      <x:c r="A1870" s="24" t="str">
        <x:v>SW-B-186고4026-202503</x:v>
      </x:c>
      <x:c r="B1870" s="24" t="str">
        <x:v>스위치플랜</x:v>
      </x:c>
      <x:c r="C1870" s="24" t="str">
        <x:v>SW-C-186고4026-1-20240530-89</x:v>
      </x:c>
      <x:c r="D1870" s="24" t="str">
        <x:v>186고4026</x:v>
      </x:c>
      <x:c r="E1870" s="24" t="str">
        <x:v>김경호</x:v>
      </x:c>
      <x:c r="F1870" s="24" t="str">
        <x:v>2025-03</x:v>
      </x:c>
      <x:c r="G1870" s="30"/>
      <x:c r="H1870" s="32" t="n">
        <x:v>1100000</x:v>
      </x:c>
      <x:c r="I1870" s="32" t="n">
        <x:v>1100000</x:v>
      </x:c>
      <x:c r="J1870" s="32" t="n">
        <x:v>0</x:v>
      </x:c>
      <x:c r="K1870" s="30" t="n">
        <x:v>45747</x:v>
      </x:c>
      <x:c r="L1870" s="24" t="str">
        <x:v>자동</x:v>
      </x:c>
      <x:c r="M1870" s="31" t="n">
        <x:f>IF(AND(N1870="미수",G1870&lt;&gt;"",TODAY()&gt;G1870),TODAY()-G1870,0)</x:f>
        <x:v>0</x:v>
      </x:c>
      <x:c r="N1870" s="24" t="str">
        <x:f>IF(J1870&gt;0,"미수",IF(AND(H1870&gt;0,I1870&gt;=H1870),"완납","미확인"))</x:f>
        <x:v>완납</x:v>
      </x:c>
      <x:c r="O1870" s="31" t="n">
        <x:v>88</x:v>
      </x:c>
    </x:row>
    <x:row r="1871" ht="17.25" customHeight="1">
      <x:c r="A1871" s="24" t="str">
        <x:v>SW-B-186고4026-202502</x:v>
      </x:c>
      <x:c r="B1871" s="24" t="str">
        <x:v>스위치플랜</x:v>
      </x:c>
      <x:c r="C1871" s="24" t="str">
        <x:v>SW-C-186고4026-1-20240530-89</x:v>
      </x:c>
      <x:c r="D1871" s="24" t="str">
        <x:v>186고4026</x:v>
      </x:c>
      <x:c r="E1871" s="24" t="str">
        <x:v>김경호</x:v>
      </x:c>
      <x:c r="F1871" s="24" t="str">
        <x:v>2025-02</x:v>
      </x:c>
      <x:c r="G1871" s="30"/>
      <x:c r="H1871" s="32" t="n">
        <x:v>1100000</x:v>
      </x:c>
      <x:c r="I1871" s="32" t="n">
        <x:v>1100000</x:v>
      </x:c>
      <x:c r="J1871" s="32" t="n">
        <x:v>0</x:v>
      </x:c>
      <x:c r="K1871" s="30" t="n">
        <x:v>45716</x:v>
      </x:c>
      <x:c r="L1871" s="24" t="str">
        <x:v>자동</x:v>
      </x:c>
      <x:c r="M1871" s="31" t="n">
        <x:f>IF(AND(N1871="미수",G1871&lt;&gt;"",TODAY()&gt;G1871),TODAY()-G1871,0)</x:f>
        <x:v>0</x:v>
      </x:c>
      <x:c r="N1871" s="24" t="str">
        <x:f>IF(J1871&gt;0,"미수",IF(AND(H1871&gt;0,I1871&gt;=H1871),"완납","미확인"))</x:f>
        <x:v>완납</x:v>
      </x:c>
      <x:c r="O1871" s="31" t="n">
        <x:v>88</x:v>
      </x:c>
    </x:row>
    <x:row r="1872" ht="17.25" customHeight="1">
      <x:c r="A1872" s="24" t="str">
        <x:v>SW-B-186고4026-202501</x:v>
      </x:c>
      <x:c r="B1872" s="24" t="str">
        <x:v>스위치플랜</x:v>
      </x:c>
      <x:c r="C1872" s="24" t="str">
        <x:v>SW-C-186고4026-1-20240530-89</x:v>
      </x:c>
      <x:c r="D1872" s="24" t="str">
        <x:v>186고4026</x:v>
      </x:c>
      <x:c r="E1872" s="24" t="str">
        <x:v>김경호</x:v>
      </x:c>
      <x:c r="F1872" s="24" t="str">
        <x:v>2025-01</x:v>
      </x:c>
      <x:c r="G1872" s="30"/>
      <x:c r="H1872" s="32" t="n">
        <x:v>1100000</x:v>
      </x:c>
      <x:c r="I1872" s="32" t="n">
        <x:v>1100000</x:v>
      </x:c>
      <x:c r="J1872" s="32" t="n">
        <x:v>0</x:v>
      </x:c>
      <x:c r="K1872" s="30" t="n">
        <x:v>45688</x:v>
      </x:c>
      <x:c r="L1872" s="24" t="str">
        <x:v>자동</x:v>
      </x:c>
      <x:c r="M1872" s="31" t="n">
        <x:f>IF(AND(N1872="미수",G1872&lt;&gt;"",TODAY()&gt;G1872),TODAY()-G1872,0)</x:f>
        <x:v>0</x:v>
      </x:c>
      <x:c r="N1872" s="24" t="str">
        <x:f>IF(J1872&gt;0,"미수",IF(AND(H1872&gt;0,I1872&gt;=H1872),"완납","미확인"))</x:f>
        <x:v>완납</x:v>
      </x:c>
      <x:c r="O1872" s="31" t="n">
        <x:v>88</x:v>
      </x:c>
    </x:row>
    <x:row r="1873" ht="17.25" customHeight="1">
      <x:c r="A1873" s="24" t="str">
        <x:v>SW-B-186고4026-202412</x:v>
      </x:c>
      <x:c r="B1873" s="24" t="str">
        <x:v>스위치플랜</x:v>
      </x:c>
      <x:c r="C1873" s="24" t="str">
        <x:v>SW-C-186고4026-1-20240530-89</x:v>
      </x:c>
      <x:c r="D1873" s="24" t="str">
        <x:v>186고4026</x:v>
      </x:c>
      <x:c r="E1873" s="24" t="str">
        <x:v>김경호</x:v>
      </x:c>
      <x:c r="F1873" s="24" t="str">
        <x:v>2024-12</x:v>
      </x:c>
      <x:c r="G1873" s="30"/>
      <x:c r="H1873" s="32" t="n">
        <x:v>1100000</x:v>
      </x:c>
      <x:c r="I1873" s="32" t="n">
        <x:v>1100000</x:v>
      </x:c>
      <x:c r="J1873" s="32" t="n">
        <x:v>0</x:v>
      </x:c>
      <x:c r="K1873" s="30" t="n">
        <x:v>45657</x:v>
      </x:c>
      <x:c r="L1873" s="24" t="str">
        <x:v>자동</x:v>
      </x:c>
      <x:c r="M1873" s="31" t="n">
        <x:f>IF(AND(N1873="미수",G1873&lt;&gt;"",TODAY()&gt;G1873),TODAY()-G1873,0)</x:f>
        <x:v>0</x:v>
      </x:c>
      <x:c r="N1873" s="24" t="str">
        <x:f>IF(J1873&gt;0,"미수",IF(AND(H1873&gt;0,I1873&gt;=H1873),"완납","미확인"))</x:f>
        <x:v>완납</x:v>
      </x:c>
      <x:c r="O1873" s="31" t="n">
        <x:v>88</x:v>
      </x:c>
    </x:row>
    <x:row r="1874" ht="17.25" customHeight="1">
      <x:c r="A1874" s="24" t="str">
        <x:v>SW-B-186고4026-202411</x:v>
      </x:c>
      <x:c r="B1874" s="24" t="str">
        <x:v>스위치플랜</x:v>
      </x:c>
      <x:c r="C1874" s="24" t="str">
        <x:v>SW-C-186고4026-1-20240530-89</x:v>
      </x:c>
      <x:c r="D1874" s="24" t="str">
        <x:v>186고4026</x:v>
      </x:c>
      <x:c r="E1874" s="24" t="str">
        <x:v>김경호</x:v>
      </x:c>
      <x:c r="F1874" s="24" t="str">
        <x:v>2024-11</x:v>
      </x:c>
      <x:c r="G1874" s="30"/>
      <x:c r="H1874" s="32" t="n">
        <x:v>1100000</x:v>
      </x:c>
      <x:c r="I1874" s="32" t="n">
        <x:v>1100000</x:v>
      </x:c>
      <x:c r="J1874" s="32" t="n">
        <x:v>0</x:v>
      </x:c>
      <x:c r="K1874" s="30" t="n">
        <x:v>45625</x:v>
      </x:c>
      <x:c r="L1874" s="24" t="str">
        <x:v>자동</x:v>
      </x:c>
      <x:c r="M1874" s="31" t="n">
        <x:f>IF(AND(N1874="미수",G1874&lt;&gt;"",TODAY()&gt;G1874),TODAY()-G1874,0)</x:f>
        <x:v>0</x:v>
      </x:c>
      <x:c r="N1874" s="24" t="str">
        <x:f>IF(J1874&gt;0,"미수",IF(AND(H1874&gt;0,I1874&gt;=H1874),"완납","미확인"))</x:f>
        <x:v>완납</x:v>
      </x:c>
      <x:c r="O1874" s="31" t="n">
        <x:v>88</x:v>
      </x:c>
    </x:row>
    <x:row r="1875" ht="17.25" customHeight="1">
      <x:c r="A1875" s="24" t="str">
        <x:v>SW-B-186고4026-202410</x:v>
      </x:c>
      <x:c r="B1875" s="24" t="str">
        <x:v>스위치플랜</x:v>
      </x:c>
      <x:c r="C1875" s="24" t="str">
        <x:v>SW-C-186고4026-1-20240530-89</x:v>
      </x:c>
      <x:c r="D1875" s="24" t="str">
        <x:v>186고4026</x:v>
      </x:c>
      <x:c r="E1875" s="24" t="str">
        <x:v>김경호</x:v>
      </x:c>
      <x:c r="F1875" s="24" t="str">
        <x:v>2024-10</x:v>
      </x:c>
      <x:c r="G1875" s="30"/>
      <x:c r="H1875" s="32" t="n">
        <x:v>1100000</x:v>
      </x:c>
      <x:c r="I1875" s="32" t="n">
        <x:v>1100000</x:v>
      </x:c>
      <x:c r="J1875" s="32" t="n">
        <x:v>0</x:v>
      </x:c>
      <x:c r="K1875" s="30" t="n">
        <x:v>45596</x:v>
      </x:c>
      <x:c r="L1875" s="24" t="str">
        <x:v>자동</x:v>
      </x:c>
      <x:c r="M1875" s="31" t="n">
        <x:f>IF(AND(N1875="미수",G1875&lt;&gt;"",TODAY()&gt;G1875),TODAY()-G1875,0)</x:f>
        <x:v>0</x:v>
      </x:c>
      <x:c r="N1875" s="24" t="str">
        <x:f>IF(J1875&gt;0,"미수",IF(AND(H1875&gt;0,I1875&gt;=H1875),"완납","미확인"))</x:f>
        <x:v>완납</x:v>
      </x:c>
      <x:c r="O1875" s="31" t="n">
        <x:v>88</x:v>
      </x:c>
    </x:row>
    <x:row r="1876" ht="17.25" customHeight="1">
      <x:c r="A1876" s="24" t="str">
        <x:v>SW-B-186고4026-202409</x:v>
      </x:c>
      <x:c r="B1876" s="24" t="str">
        <x:v>스위치플랜</x:v>
      </x:c>
      <x:c r="C1876" s="24" t="str">
        <x:v>SW-C-186고4026-1-20240530-89</x:v>
      </x:c>
      <x:c r="D1876" s="24" t="str">
        <x:v>186고4026</x:v>
      </x:c>
      <x:c r="E1876" s="24" t="str">
        <x:v>김경호</x:v>
      </x:c>
      <x:c r="F1876" s="24" t="str">
        <x:v>2024-09</x:v>
      </x:c>
      <x:c r="G1876" s="30"/>
      <x:c r="H1876" s="32" t="n">
        <x:v>1100000</x:v>
      </x:c>
      <x:c r="I1876" s="32" t="n">
        <x:v>1100000</x:v>
      </x:c>
      <x:c r="J1876" s="32" t="n">
        <x:v>0</x:v>
      </x:c>
      <x:c r="K1876" s="30" t="n">
        <x:v>45565</x:v>
      </x:c>
      <x:c r="L1876" s="24" t="str">
        <x:v>자동</x:v>
      </x:c>
      <x:c r="M1876" s="31" t="n">
        <x:f>IF(AND(N1876="미수",G1876&lt;&gt;"",TODAY()&gt;G1876),TODAY()-G1876,0)</x:f>
        <x:v>0</x:v>
      </x:c>
      <x:c r="N1876" s="24" t="str">
        <x:f>IF(J1876&gt;0,"미수",IF(AND(H1876&gt;0,I1876&gt;=H1876),"완납","미확인"))</x:f>
        <x:v>완납</x:v>
      </x:c>
      <x:c r="O1876" s="31" t="n">
        <x:v>88</x:v>
      </x:c>
    </x:row>
    <x:row r="1877" ht="17.25" customHeight="1">
      <x:c r="A1877" s="24" t="str">
        <x:v>SW-B-186고4026-202408</x:v>
      </x:c>
      <x:c r="B1877" s="24" t="str">
        <x:v>스위치플랜</x:v>
      </x:c>
      <x:c r="C1877" s="24" t="str">
        <x:v>SW-C-186고4026-1-20240530-89</x:v>
      </x:c>
      <x:c r="D1877" s="24" t="str">
        <x:v>186고4026</x:v>
      </x:c>
      <x:c r="E1877" s="24" t="str">
        <x:v>김경호</x:v>
      </x:c>
      <x:c r="F1877" s="24" t="str">
        <x:v>2024-08</x:v>
      </x:c>
      <x:c r="G1877" s="30"/>
      <x:c r="H1877" s="32" t="n">
        <x:v>1100000</x:v>
      </x:c>
      <x:c r="I1877" s="32" t="n">
        <x:v>1100000</x:v>
      </x:c>
      <x:c r="J1877" s="32" t="n">
        <x:v>0</x:v>
      </x:c>
      <x:c r="K1877" s="30" t="n">
        <x:v>45535</x:v>
      </x:c>
      <x:c r="L1877" s="24" t="str">
        <x:v>자동</x:v>
      </x:c>
      <x:c r="M1877" s="31" t="n">
        <x:f>IF(AND(N1877="미수",G1877&lt;&gt;"",TODAY()&gt;G1877),TODAY()-G1877,0)</x:f>
        <x:v>0</x:v>
      </x:c>
      <x:c r="N1877" s="24" t="str">
        <x:f>IF(J1877&gt;0,"미수",IF(AND(H1877&gt;0,I1877&gt;=H1877),"완납","미확인"))</x:f>
        <x:v>완납</x:v>
      </x:c>
      <x:c r="O1877" s="31" t="n">
        <x:v>88</x:v>
      </x:c>
    </x:row>
    <x:row r="1878" ht="17.25" customHeight="1">
      <x:c r="A1878" s="24" t="str">
        <x:v>SW-B-186고4026-202407</x:v>
      </x:c>
      <x:c r="B1878" s="24" t="str">
        <x:v>스위치플랜</x:v>
      </x:c>
      <x:c r="C1878" s="24" t="str">
        <x:v>SW-C-186고4026-1-20240530-89</x:v>
      </x:c>
      <x:c r="D1878" s="24" t="str">
        <x:v>186고4026</x:v>
      </x:c>
      <x:c r="E1878" s="24" t="str">
        <x:v>김경호</x:v>
      </x:c>
      <x:c r="F1878" s="24" t="str">
        <x:v>2024-07</x:v>
      </x:c>
      <x:c r="G1878" s="30"/>
      <x:c r="H1878" s="32" t="n">
        <x:v>1100000</x:v>
      </x:c>
      <x:c r="I1878" s="32" t="n">
        <x:v>1100000</x:v>
      </x:c>
      <x:c r="J1878" s="32" t="n">
        <x:v>0</x:v>
      </x:c>
      <x:c r="K1878" s="30" t="n">
        <x:v>45504</x:v>
      </x:c>
      <x:c r="L1878" s="24" t="str">
        <x:v>자동</x:v>
      </x:c>
      <x:c r="M1878" s="31" t="n">
        <x:f>IF(AND(N1878="미수",G1878&lt;&gt;"",TODAY()&gt;G1878),TODAY()-G1878,0)</x:f>
        <x:v>0</x:v>
      </x:c>
      <x:c r="N1878" s="24" t="str">
        <x:f>IF(J1878&gt;0,"미수",IF(AND(H1878&gt;0,I1878&gt;=H1878),"완납","미확인"))</x:f>
        <x:v>완납</x:v>
      </x:c>
      <x:c r="O1878" s="31" t="n">
        <x:v>88</x:v>
      </x:c>
    </x:row>
    <x:row r="1879" ht="17.25" customHeight="1">
      <x:c r="A1879" s="24" t="str">
        <x:v>SW-B-186고4026-202406</x:v>
      </x:c>
      <x:c r="B1879" s="24" t="str">
        <x:v>스위치플랜</x:v>
      </x:c>
      <x:c r="C1879" s="24" t="str">
        <x:v>SW-C-186고4026-1-20240530-89</x:v>
      </x:c>
      <x:c r="D1879" s="24" t="str">
        <x:v>186고4026</x:v>
      </x:c>
      <x:c r="E1879" s="24" t="str">
        <x:v>김경호</x:v>
      </x:c>
      <x:c r="F1879" s="24" t="str">
        <x:v>2024-06</x:v>
      </x:c>
      <x:c r="G1879" s="30"/>
      <x:c r="H1879" s="32" t="n">
        <x:v>1100000</x:v>
      </x:c>
      <x:c r="I1879" s="32" t="n">
        <x:v>1100000</x:v>
      </x:c>
      <x:c r="J1879" s="32" t="n">
        <x:v>0</x:v>
      </x:c>
      <x:c r="K1879" s="30" t="n">
        <x:v>45473</x:v>
      </x:c>
      <x:c r="L1879" s="24" t="str">
        <x:v>자동</x:v>
      </x:c>
      <x:c r="M1879" s="31" t="n">
        <x:f>IF(AND(N1879="미수",G1879&lt;&gt;"",TODAY()&gt;G1879),TODAY()-G1879,0)</x:f>
        <x:v>0</x:v>
      </x:c>
      <x:c r="N1879" s="24" t="str">
        <x:f>IF(J1879&gt;0,"미수",IF(AND(H1879&gt;0,I1879&gt;=H1879),"완납","미확인"))</x:f>
        <x:v>완납</x:v>
      </x:c>
      <x:c r="O1879" s="31" t="n">
        <x:v>88</x:v>
      </x:c>
    </x:row>
    <x:row r="1880" ht="17.25" customHeight="1">
      <x:c r="A1880" s="24" t="str">
        <x:v>SW-B-186고4026-202405</x:v>
      </x:c>
      <x:c r="B1880" s="24" t="str">
        <x:v>스위치플랜</x:v>
      </x:c>
      <x:c r="C1880" s="24" t="str">
        <x:v>SW-C-186고4026-1-20240530-89</x:v>
      </x:c>
      <x:c r="D1880" s="24" t="str">
        <x:v>186고4026</x:v>
      </x:c>
      <x:c r="E1880" s="24" t="str">
        <x:v>김경호</x:v>
      </x:c>
      <x:c r="F1880" s="24" t="str">
        <x:v>2024-05</x:v>
      </x:c>
      <x:c r="G1880" s="30"/>
      <x:c r="H1880" s="32" t="n">
        <x:v>1100000</x:v>
      </x:c>
      <x:c r="I1880" s="32" t="n">
        <x:v>1100000</x:v>
      </x:c>
      <x:c r="J1880" s="32" t="n">
        <x:v>0</x:v>
      </x:c>
      <x:c r="K1880" s="30" t="n">
        <x:v>45432</x:v>
      </x:c>
      <x:c r="L1880" s="24" t="str">
        <x:v>입금</x:v>
      </x:c>
      <x:c r="M1880" s="31" t="n">
        <x:f>IF(AND(N1880="미수",G1880&lt;&gt;"",TODAY()&gt;G1880),TODAY()-G1880,0)</x:f>
        <x:v>0</x:v>
      </x:c>
      <x:c r="N1880" s="24" t="str">
        <x:f>IF(J1880&gt;0,"미수",IF(AND(H1880&gt;0,I1880&gt;=H1880),"완납","미확인"))</x:f>
        <x:v>완납</x:v>
      </x:c>
      <x:c r="O1880" s="31" t="n">
        <x:v>88</x:v>
      </x:c>
    </x:row>
    <x:row r="1881" ht="17.25" customHeight="1">
      <x:c r="A1881" s="24" t="str">
        <x:v>SW-B-151나8783-202608</x:v>
      </x:c>
      <x:c r="B1881" s="24" t="str">
        <x:v>스위치플랜</x:v>
      </x:c>
      <x:c r="C1881" s="24" t="str">
        <x:v>SW-C-151나8783-1-20260410-90</x:v>
      </x:c>
      <x:c r="D1881" s="24" t="str">
        <x:v>151나8783</x:v>
      </x:c>
      <x:c r="E1881" s="24" t="str">
        <x:v>황우정</x:v>
      </x:c>
      <x:c r="F1881" s="24" t="str">
        <x:v>2026-08</x:v>
      </x:c>
      <x:c r="G1881" s="30" t="n">
        <x:v>46254</x:v>
      </x:c>
      <x:c r="H1881" s="32" t="n">
        <x:v>880000</x:v>
      </x:c>
      <x:c r="I1881" s="32"/>
      <x:c r="J1881" s="32" t="n">
        <x:v>1760000</x:v>
      </x:c>
      <x:c r="K1881" s="30"/>
      <x:c r="L1881" s="24" t="str"/>
      <x:c r="M1881" s="31" t="n">
        <x:f>IF(AND(N1881="미수",G1881&lt;&gt;"",TODAY()&gt;G1881),TODAY()-G1881,0)</x:f>
        <x:v>0</x:v>
      </x:c>
      <x:c r="N1881" s="24" t="str">
        <x:f>IF(J1881&gt;0,"미수",IF(AND(H1881&gt;0,I1881&gt;=H1881),"완납","미확인"))</x:f>
        <x:v>미수</x:v>
      </x:c>
      <x:c r="O1881" s="31" t="n">
        <x:v>89</x:v>
      </x:c>
    </x:row>
    <x:row r="1882" ht="17.25" customHeight="1">
      <x:c r="A1882" s="24" t="str">
        <x:v>SW-B-151나8783-202607</x:v>
      </x:c>
      <x:c r="B1882" s="24" t="str">
        <x:v>스위치플랜</x:v>
      </x:c>
      <x:c r="C1882" s="24" t="str">
        <x:v>SW-C-151나8783-1-20260410-90</x:v>
      </x:c>
      <x:c r="D1882" s="24" t="str">
        <x:v>151나8783</x:v>
      </x:c>
      <x:c r="E1882" s="24" t="str">
        <x:v>황우정</x:v>
      </x:c>
      <x:c r="F1882" s="24" t="str">
        <x:v>2026-07</x:v>
      </x:c>
      <x:c r="G1882" s="30" t="n">
        <x:v>46223</x:v>
      </x:c>
      <x:c r="H1882" s="32" t="n">
        <x:v>880000</x:v>
      </x:c>
      <x:c r="I1882" s="32"/>
      <x:c r="J1882" s="32" t="n">
        <x:v>880000</x:v>
      </x:c>
      <x:c r="K1882" s="30"/>
      <x:c r="L1882" s="24" t="str"/>
      <x:c r="M1882" s="31" t="n">
        <x:f>IF(AND(N1882="미수",G1882&lt;&gt;"",TODAY()&gt;G1882),TODAY()-G1882,0)</x:f>
        <x:v>26</x:v>
      </x:c>
      <x:c r="N1882" s="24" t="str">
        <x:f>IF(J1882&gt;0,"미수",IF(AND(H1882&gt;0,I1882&gt;=H1882),"완납","미확인"))</x:f>
        <x:v>미수</x:v>
      </x:c>
      <x:c r="O1882" s="31" t="n">
        <x:v>89</x:v>
      </x:c>
    </x:row>
    <x:row r="1883" ht="17.25" customHeight="1">
      <x:c r="A1883" s="24" t="str">
        <x:v>SW-B-151나8783-202606</x:v>
      </x:c>
      <x:c r="B1883" s="24" t="str">
        <x:v>스위치플랜</x:v>
      </x:c>
      <x:c r="C1883" s="24" t="str">
        <x:v>SW-C-151나8783-1-20260410-90</x:v>
      </x:c>
      <x:c r="D1883" s="24" t="str">
        <x:v>151나8783</x:v>
      </x:c>
      <x:c r="E1883" s="24" t="str">
        <x:v>황우정</x:v>
      </x:c>
      <x:c r="F1883" s="24" t="str">
        <x:v>2026-06</x:v>
      </x:c>
      <x:c r="G1883" s="30" t="n">
        <x:v>46193</x:v>
      </x:c>
      <x:c r="H1883" s="32" t="n">
        <x:v>880000</x:v>
      </x:c>
      <x:c r="I1883" s="32" t="n">
        <x:v>880000</x:v>
      </x:c>
      <x:c r="J1883" s="32" t="n">
        <x:v>0</x:v>
      </x:c>
      <x:c r="K1883" s="30" t="n">
        <x:v>46195</x:v>
      </x:c>
      <x:c r="L1883" s="24" t="str">
        <x:v>자동</x:v>
      </x:c>
      <x:c r="M1883" s="31" t="n">
        <x:f>IF(AND(N1883="미수",G1883&lt;&gt;"",TODAY()&gt;G1883),TODAY()-G1883,0)</x:f>
        <x:v>0</x:v>
      </x:c>
      <x:c r="N1883" s="24" t="str">
        <x:f>IF(J1883&gt;0,"미수",IF(AND(H1883&gt;0,I1883&gt;=H1883),"완납","미확인"))</x:f>
        <x:v>완납</x:v>
      </x:c>
      <x:c r="O1883" s="31" t="n">
        <x:v>89</x:v>
      </x:c>
    </x:row>
    <x:row r="1884" ht="17.25" customHeight="1">
      <x:c r="A1884" s="24" t="str">
        <x:v>SW-B-151나8783-202605</x:v>
      </x:c>
      <x:c r="B1884" s="24" t="str">
        <x:v>스위치플랜</x:v>
      </x:c>
      <x:c r="C1884" s="24" t="str">
        <x:v>SW-C-151나8783-1-20260410-90</x:v>
      </x:c>
      <x:c r="D1884" s="24" t="str">
        <x:v>151나8783</x:v>
      </x:c>
      <x:c r="E1884" s="24" t="str">
        <x:v>황우정</x:v>
      </x:c>
      <x:c r="F1884" s="24" t="str">
        <x:v>2026-05</x:v>
      </x:c>
      <x:c r="G1884" s="30" t="n">
        <x:v>46162</x:v>
      </x:c>
      <x:c r="H1884" s="32" t="n">
        <x:v>880000</x:v>
      </x:c>
      <x:c r="I1884" s="32" t="n">
        <x:v>880000</x:v>
      </x:c>
      <x:c r="J1884" s="32" t="n">
        <x:v>0</x:v>
      </x:c>
      <x:c r="K1884" s="30" t="n">
        <x:v>46164</x:v>
      </x:c>
      <x:c r="L1884" s="24" t="str">
        <x:v>입금</x:v>
      </x:c>
      <x:c r="M1884" s="31" t="n">
        <x:f>IF(AND(N1884="미수",G1884&lt;&gt;"",TODAY()&gt;G1884),TODAY()-G1884,0)</x:f>
        <x:v>0</x:v>
      </x:c>
      <x:c r="N1884" s="24" t="str">
        <x:f>IF(J1884&gt;0,"미수",IF(AND(H1884&gt;0,I1884&gt;=H1884),"완납","미확인"))</x:f>
        <x:v>완납</x:v>
      </x:c>
      <x:c r="O1884" s="31" t="n">
        <x:v>89</x:v>
      </x:c>
    </x:row>
    <x:row r="1885" ht="17.25" customHeight="1">
      <x:c r="A1885" s="24" t="str">
        <x:v>SW-B-151나8783-202604</x:v>
      </x:c>
      <x:c r="B1885" s="24" t="str">
        <x:v>스위치플랜</x:v>
      </x:c>
      <x:c r="C1885" s="24" t="str">
        <x:v>SW-C-151나8783-1-20260410-90</x:v>
      </x:c>
      <x:c r="D1885" s="24" t="str">
        <x:v>151나8783</x:v>
      </x:c>
      <x:c r="E1885" s="24" t="str">
        <x:v>황우정</x:v>
      </x:c>
      <x:c r="F1885" s="24" t="str">
        <x:v>2026-04</x:v>
      </x:c>
      <x:c r="G1885" s="30" t="n">
        <x:v>46132</x:v>
      </x:c>
      <x:c r="H1885" s="32" t="n">
        <x:v>880000</x:v>
      </x:c>
      <x:c r="I1885" s="32" t="n">
        <x:v>880000</x:v>
      </x:c>
      <x:c r="J1885" s="32" t="n">
        <x:v>0</x:v>
      </x:c>
      <x:c r="K1885" s="30" t="n">
        <x:v>46136</x:v>
      </x:c>
      <x:c r="L1885" s="24" t="str">
        <x:v>입금</x:v>
      </x:c>
      <x:c r="M1885" s="31" t="n">
        <x:f>IF(AND(N1885="미수",G1885&lt;&gt;"",TODAY()&gt;G1885),TODAY()-G1885,0)</x:f>
        <x:v>0</x:v>
      </x:c>
      <x:c r="N1885" s="24" t="str">
        <x:f>IF(J1885&gt;0,"미수",IF(AND(H1885&gt;0,I1885&gt;=H1885),"완납","미확인"))</x:f>
        <x:v>완납</x:v>
      </x:c>
      <x:c r="O1885" s="31" t="n">
        <x:v>89</x:v>
      </x:c>
    </x:row>
    <x:row r="1886" ht="17.25" customHeight="1">
      <x:c r="A1886" s="24" t="str">
        <x:v>SW-B-151나8783-202603</x:v>
      </x:c>
      <x:c r="B1886" s="24" t="str">
        <x:v>스위치플랜</x:v>
      </x:c>
      <x:c r="C1886" s="24" t="str">
        <x:v>SW-C-151나8783-2-20250619-90</x:v>
      </x:c>
      <x:c r="D1886" s="24" t="str">
        <x:v>151나8783</x:v>
      </x:c>
      <x:c r="E1886" s="24" t="str">
        <x:v>황우정</x:v>
      </x:c>
      <x:c r="F1886" s="24" t="str">
        <x:v>2026-03</x:v>
      </x:c>
      <x:c r="G1886" s="30" t="n">
        <x:v>46101</x:v>
      </x:c>
      <x:c r="H1886" s="32" t="n">
        <x:v>950000</x:v>
      </x:c>
      <x:c r="I1886" s="32" t="n">
        <x:v>950000</x:v>
      </x:c>
      <x:c r="J1886" s="32" t="n">
        <x:v>0</x:v>
      </x:c>
      <x:c r="K1886" s="30" t="n">
        <x:v>46106</x:v>
      </x:c>
      <x:c r="L1886" s="24" t="str">
        <x:v>입금</x:v>
      </x:c>
      <x:c r="M1886" s="31" t="n">
        <x:f>IF(AND(N1886="미수",G1886&lt;&gt;"",TODAY()&gt;G1886),TODAY()-G1886,0)</x:f>
        <x:v>0</x:v>
      </x:c>
      <x:c r="N1886" s="24" t="str">
        <x:f>IF(J1886&gt;0,"미수",IF(AND(H1886&gt;0,I1886&gt;=H1886),"완납","미확인"))</x:f>
        <x:v>완납</x:v>
      </x:c>
      <x:c r="O1886" s="31" t="n">
        <x:v>89</x:v>
      </x:c>
    </x:row>
    <x:row r="1887" ht="17.25" customHeight="1">
      <x:c r="A1887" s="24" t="str">
        <x:v>SW-B-151나8783-202602</x:v>
      </x:c>
      <x:c r="B1887" s="24" t="str">
        <x:v>스위치플랜</x:v>
      </x:c>
      <x:c r="C1887" s="24" t="str">
        <x:v>SW-C-151나8783-2-20250619-90</x:v>
      </x:c>
      <x:c r="D1887" s="24" t="str">
        <x:v>151나8783</x:v>
      </x:c>
      <x:c r="E1887" s="24" t="str">
        <x:v>황우정</x:v>
      </x:c>
      <x:c r="F1887" s="24" t="str">
        <x:v>2026-02</x:v>
      </x:c>
      <x:c r="G1887" s="30" t="n">
        <x:v>46073</x:v>
      </x:c>
      <x:c r="H1887" s="32" t="n">
        <x:v>950000</x:v>
      </x:c>
      <x:c r="I1887" s="32" t="n">
        <x:v>950000</x:v>
      </x:c>
      <x:c r="J1887" s="32" t="n">
        <x:v>0</x:v>
      </x:c>
      <x:c r="K1887" s="30" t="n">
        <x:v>46076</x:v>
      </x:c>
      <x:c r="L1887" s="24" t="str">
        <x:v>입금</x:v>
      </x:c>
      <x:c r="M1887" s="31" t="n">
        <x:f>IF(AND(N1887="미수",G1887&lt;&gt;"",TODAY()&gt;G1887),TODAY()-G1887,0)</x:f>
        <x:v>0</x:v>
      </x:c>
      <x:c r="N1887" s="24" t="str">
        <x:f>IF(J1887&gt;0,"미수",IF(AND(H1887&gt;0,I1887&gt;=H1887),"완납","미확인"))</x:f>
        <x:v>완납</x:v>
      </x:c>
      <x:c r="O1887" s="31" t="n">
        <x:v>89</x:v>
      </x:c>
    </x:row>
    <x:row r="1888" ht="17.25" customHeight="1">
      <x:c r="A1888" s="24" t="str">
        <x:v>SW-B-151나8783-202601</x:v>
      </x:c>
      <x:c r="B1888" s="24" t="str">
        <x:v>스위치플랜</x:v>
      </x:c>
      <x:c r="C1888" s="24" t="str">
        <x:v>SW-C-151나8783-2-20250619-90</x:v>
      </x:c>
      <x:c r="D1888" s="24" t="str">
        <x:v>151나8783</x:v>
      </x:c>
      <x:c r="E1888" s="24" t="str">
        <x:v>황우정</x:v>
      </x:c>
      <x:c r="F1888" s="24" t="str">
        <x:v>2026-01</x:v>
      </x:c>
      <x:c r="G1888" s="30" t="n">
        <x:v>46042</x:v>
      </x:c>
      <x:c r="H1888" s="32" t="n">
        <x:v>950000</x:v>
      </x:c>
      <x:c r="I1888" s="32" t="n">
        <x:v>950000</x:v>
      </x:c>
      <x:c r="J1888" s="32" t="n">
        <x:v>0</x:v>
      </x:c>
      <x:c r="K1888" s="30" t="n">
        <x:v>46042</x:v>
      </x:c>
      <x:c r="L1888" s="24" t="str">
        <x:v>입금</x:v>
      </x:c>
      <x:c r="M1888" s="31" t="n">
        <x:f>IF(AND(N1888="미수",G1888&lt;&gt;"",TODAY()&gt;G1888),TODAY()-G1888,0)</x:f>
        <x:v>0</x:v>
      </x:c>
      <x:c r="N1888" s="24" t="str">
        <x:f>IF(J1888&gt;0,"미수",IF(AND(H1888&gt;0,I1888&gt;=H1888),"완납","미확인"))</x:f>
        <x:v>완납</x:v>
      </x:c>
      <x:c r="O1888" s="31" t="n">
        <x:v>89</x:v>
      </x:c>
    </x:row>
    <x:row r="1889" ht="17.25" customHeight="1">
      <x:c r="A1889" s="24" t="str">
        <x:v>SW-B-151나8783-202512</x:v>
      </x:c>
      <x:c r="B1889" s="24" t="str">
        <x:v>스위치플랜</x:v>
      </x:c>
      <x:c r="C1889" s="24" t="str">
        <x:v>SW-C-151나8783-2-20250619-90</x:v>
      </x:c>
      <x:c r="D1889" s="24" t="str">
        <x:v>151나8783</x:v>
      </x:c>
      <x:c r="E1889" s="24" t="str">
        <x:v>황우정</x:v>
      </x:c>
      <x:c r="F1889" s="24" t="str">
        <x:v>2025-12</x:v>
      </x:c>
      <x:c r="G1889" s="30" t="n">
        <x:v>46011</x:v>
      </x:c>
      <x:c r="H1889" s="32" t="n">
        <x:v>950000</x:v>
      </x:c>
      <x:c r="I1889" s="32" t="n">
        <x:v>950000</x:v>
      </x:c>
      <x:c r="J1889" s="32" t="n">
        <x:v>0</x:v>
      </x:c>
      <x:c r="K1889" s="30" t="n">
        <x:v>46014</x:v>
      </x:c>
      <x:c r="L1889" s="24" t="str">
        <x:v>입금</x:v>
      </x:c>
      <x:c r="M1889" s="31" t="n">
        <x:f>IF(AND(N1889="미수",G1889&lt;&gt;"",TODAY()&gt;G1889),TODAY()-G1889,0)</x:f>
        <x:v>0</x:v>
      </x:c>
      <x:c r="N1889" s="24" t="str">
        <x:f>IF(J1889&gt;0,"미수",IF(AND(H1889&gt;0,I1889&gt;=H1889),"완납","미확인"))</x:f>
        <x:v>완납</x:v>
      </x:c>
      <x:c r="O1889" s="31" t="n">
        <x:v>89</x:v>
      </x:c>
    </x:row>
    <x:row r="1890" ht="17.25" customHeight="1">
      <x:c r="A1890" s="24" t="str">
        <x:v>SW-B-151나8783-202511</x:v>
      </x:c>
      <x:c r="B1890" s="24" t="str">
        <x:v>스위치플랜</x:v>
      </x:c>
      <x:c r="C1890" s="24" t="str">
        <x:v>SW-C-151나8783-2-20250619-90</x:v>
      </x:c>
      <x:c r="D1890" s="24" t="str">
        <x:v>151나8783</x:v>
      </x:c>
      <x:c r="E1890" s="24" t="str">
        <x:v>황우정</x:v>
      </x:c>
      <x:c r="F1890" s="24" t="str">
        <x:v>2025-11</x:v>
      </x:c>
      <x:c r="G1890" s="30" t="n">
        <x:v>45981</x:v>
      </x:c>
      <x:c r="H1890" s="32" t="n">
        <x:v>950000</x:v>
      </x:c>
      <x:c r="I1890" s="32" t="n">
        <x:v>950000</x:v>
      </x:c>
      <x:c r="J1890" s="32" t="n">
        <x:v>0</x:v>
      </x:c>
      <x:c r="K1890" s="30" t="n">
        <x:v>45975</x:v>
      </x:c>
      <x:c r="L1890" s="24" t="str">
        <x:v>입금</x:v>
      </x:c>
      <x:c r="M1890" s="31" t="n">
        <x:f>IF(AND(N1890="미수",G1890&lt;&gt;"",TODAY()&gt;G1890),TODAY()-G1890,0)</x:f>
        <x:v>0</x:v>
      </x:c>
      <x:c r="N1890" s="24" t="str">
        <x:f>IF(J1890&gt;0,"미수",IF(AND(H1890&gt;0,I1890&gt;=H1890),"완납","미확인"))</x:f>
        <x:v>완납</x:v>
      </x:c>
      <x:c r="O1890" s="31" t="n">
        <x:v>89</x:v>
      </x:c>
    </x:row>
    <x:row r="1891" ht="17.25" customHeight="1">
      <x:c r="A1891" s="24" t="str">
        <x:v>SW-B-151나8783-202510</x:v>
      </x:c>
      <x:c r="B1891" s="24" t="str">
        <x:v>스위치플랜</x:v>
      </x:c>
      <x:c r="C1891" s="24" t="str">
        <x:v>SW-C-151나8783-2-20250619-90</x:v>
      </x:c>
      <x:c r="D1891" s="24" t="str">
        <x:v>151나8783</x:v>
      </x:c>
      <x:c r="E1891" s="24" t="str">
        <x:v>황우정</x:v>
      </x:c>
      <x:c r="F1891" s="24" t="str">
        <x:v>2025-10</x:v>
      </x:c>
      <x:c r="G1891" s="30" t="n">
        <x:v>45950</x:v>
      </x:c>
      <x:c r="H1891" s="32" t="n">
        <x:v>950000</x:v>
      </x:c>
      <x:c r="I1891" s="32" t="n">
        <x:v>950000</x:v>
      </x:c>
      <x:c r="J1891" s="32" t="n">
        <x:v>0</x:v>
      </x:c>
      <x:c r="K1891" s="30" t="n">
        <x:v>45944</x:v>
      </x:c>
      <x:c r="L1891" s="24" t="str">
        <x:v>입금</x:v>
      </x:c>
      <x:c r="M1891" s="31" t="n">
        <x:f>IF(AND(N1891="미수",G1891&lt;&gt;"",TODAY()&gt;G1891),TODAY()-G1891,0)</x:f>
        <x:v>0</x:v>
      </x:c>
      <x:c r="N1891" s="24" t="str">
        <x:f>IF(J1891&gt;0,"미수",IF(AND(H1891&gt;0,I1891&gt;=H1891),"완납","미확인"))</x:f>
        <x:v>완납</x:v>
      </x:c>
      <x:c r="O1891" s="31" t="n">
        <x:v>89</x:v>
      </x:c>
    </x:row>
    <x:row r="1892" ht="17.25" customHeight="1">
      <x:c r="A1892" s="24" t="str">
        <x:v>SW-B-151나8783-202509</x:v>
      </x:c>
      <x:c r="B1892" s="24" t="str">
        <x:v>스위치플랜</x:v>
      </x:c>
      <x:c r="C1892" s="24" t="str">
        <x:v>SW-C-151나8783-2-20250619-90</x:v>
      </x:c>
      <x:c r="D1892" s="24" t="str">
        <x:v>151나8783</x:v>
      </x:c>
      <x:c r="E1892" s="24" t="str">
        <x:v>황우정</x:v>
      </x:c>
      <x:c r="F1892" s="24" t="str">
        <x:v>2025-09</x:v>
      </x:c>
      <x:c r="G1892" s="30" t="n">
        <x:v>45920</x:v>
      </x:c>
      <x:c r="H1892" s="32" t="n">
        <x:v>950000</x:v>
      </x:c>
      <x:c r="I1892" s="32" t="n">
        <x:v>950000</x:v>
      </x:c>
      <x:c r="J1892" s="32" t="n">
        <x:v>0</x:v>
      </x:c>
      <x:c r="K1892" s="30" t="n">
        <x:v>45910</x:v>
      </x:c>
      <x:c r="L1892" s="24" t="str">
        <x:v>입금</x:v>
      </x:c>
      <x:c r="M1892" s="31" t="n">
        <x:f>IF(AND(N1892="미수",G1892&lt;&gt;"",TODAY()&gt;G1892),TODAY()-G1892,0)</x:f>
        <x:v>0</x:v>
      </x:c>
      <x:c r="N1892" s="24" t="str">
        <x:f>IF(J1892&gt;0,"미수",IF(AND(H1892&gt;0,I1892&gt;=H1892),"완납","미확인"))</x:f>
        <x:v>완납</x:v>
      </x:c>
      <x:c r="O1892" s="31" t="n">
        <x:v>89</x:v>
      </x:c>
    </x:row>
    <x:row r="1893" ht="17.25" customHeight="1">
      <x:c r="A1893" s="24" t="str">
        <x:v>SW-B-151나8783-202508</x:v>
      </x:c>
      <x:c r="B1893" s="24" t="str">
        <x:v>스위치플랜</x:v>
      </x:c>
      <x:c r="C1893" s="24" t="str">
        <x:v>SW-C-151나8783-2-20250619-90</x:v>
      </x:c>
      <x:c r="D1893" s="24" t="str">
        <x:v>151나8783</x:v>
      </x:c>
      <x:c r="E1893" s="24" t="str">
        <x:v>황우정</x:v>
      </x:c>
      <x:c r="F1893" s="24" t="str">
        <x:v>2025-08</x:v>
      </x:c>
      <x:c r="G1893" s="30" t="n">
        <x:v>45889</x:v>
      </x:c>
      <x:c r="H1893" s="32" t="n">
        <x:v>950000</x:v>
      </x:c>
      <x:c r="I1893" s="32" t="n">
        <x:v>950000</x:v>
      </x:c>
      <x:c r="J1893" s="32" t="n">
        <x:v>0</x:v>
      </x:c>
      <x:c r="K1893" s="30" t="n">
        <x:v>45879</x:v>
      </x:c>
      <x:c r="L1893" s="24" t="str">
        <x:v>입금</x:v>
      </x:c>
      <x:c r="M1893" s="31" t="n">
        <x:f>IF(AND(N1893="미수",G1893&lt;&gt;"",TODAY()&gt;G1893),TODAY()-G1893,0)</x:f>
        <x:v>0</x:v>
      </x:c>
      <x:c r="N1893" s="24" t="str">
        <x:f>IF(J1893&gt;0,"미수",IF(AND(H1893&gt;0,I1893&gt;=H1893),"완납","미확인"))</x:f>
        <x:v>완납</x:v>
      </x:c>
      <x:c r="O1893" s="31" t="n">
        <x:v>89</x:v>
      </x:c>
    </x:row>
    <x:row r="1894" ht="17.25" customHeight="1">
      <x:c r="A1894" s="24" t="str">
        <x:v>SW-B-151나8783-202507</x:v>
      </x:c>
      <x:c r="B1894" s="24" t="str">
        <x:v>스위치플랜</x:v>
      </x:c>
      <x:c r="C1894" s="24" t="str">
        <x:v>SW-C-151나8783-2-20250619-90</x:v>
      </x:c>
      <x:c r="D1894" s="24" t="str">
        <x:v>151나8783</x:v>
      </x:c>
      <x:c r="E1894" s="24" t="str">
        <x:v>황우정</x:v>
      </x:c>
      <x:c r="F1894" s="24" t="str">
        <x:v>2025-07</x:v>
      </x:c>
      <x:c r="G1894" s="30" t="n">
        <x:v>45858</x:v>
      </x:c>
      <x:c r="H1894" s="32" t="n">
        <x:v>950000</x:v>
      </x:c>
      <x:c r="I1894" s="32" t="n">
        <x:v>950000</x:v>
      </x:c>
      <x:c r="J1894" s="32" t="n">
        <x:v>0</x:v>
      </x:c>
      <x:c r="K1894" s="30" t="n">
        <x:v>45859</x:v>
      </x:c>
      <x:c r="L1894" s="24" t="str">
        <x:v>입금</x:v>
      </x:c>
      <x:c r="M1894" s="31" t="n">
        <x:f>IF(AND(N1894="미수",G1894&lt;&gt;"",TODAY()&gt;G1894),TODAY()-G1894,0)</x:f>
        <x:v>0</x:v>
      </x:c>
      <x:c r="N1894" s="24" t="str">
        <x:f>IF(J1894&gt;0,"미수",IF(AND(H1894&gt;0,I1894&gt;=H1894),"완납","미확인"))</x:f>
        <x:v>완납</x:v>
      </x:c>
      <x:c r="O1894" s="31" t="n">
        <x:v>89</x:v>
      </x:c>
    </x:row>
    <x:row r="1895" ht="17.25" customHeight="1">
      <x:c r="A1895" s="24" t="str">
        <x:v>SW-B-151나8783-202506</x:v>
      </x:c>
      <x:c r="B1895" s="24" t="str">
        <x:v>스위치플랜</x:v>
      </x:c>
      <x:c r="C1895" s="24" t="str">
        <x:v>SW-C-151나8783-2-20250619-90</x:v>
      </x:c>
      <x:c r="D1895" s="24" t="str">
        <x:v>151나8783</x:v>
      </x:c>
      <x:c r="E1895" s="24" t="str">
        <x:v>황우정</x:v>
      </x:c>
      <x:c r="F1895" s="24" t="str">
        <x:v>2025-06</x:v>
      </x:c>
      <x:c r="G1895" s="30" t="n">
        <x:v>45828</x:v>
      </x:c>
      <x:c r="H1895" s="32" t="n">
        <x:v>950000</x:v>
      </x:c>
      <x:c r="I1895" s="32" t="n">
        <x:v>950000</x:v>
      </x:c>
      <x:c r="J1895" s="32" t="n">
        <x:v>0</x:v>
      </x:c>
      <x:c r="K1895" s="30" t="n">
        <x:v>45818</x:v>
      </x:c>
      <x:c r="L1895" s="24" t="str">
        <x:v>입금</x:v>
      </x:c>
      <x:c r="M1895" s="31" t="n">
        <x:f>IF(AND(N1895="미수",G1895&lt;&gt;"",TODAY()&gt;G1895),TODAY()-G1895,0)</x:f>
        <x:v>0</x:v>
      </x:c>
      <x:c r="N1895" s="24" t="str">
        <x:f>IF(J1895&gt;0,"미수",IF(AND(H1895&gt;0,I1895&gt;=H1895),"완납","미확인"))</x:f>
        <x:v>완납</x:v>
      </x:c>
      <x:c r="O1895" s="31" t="n">
        <x:v>89</x:v>
      </x:c>
    </x:row>
    <x:row r="1896" ht="17.25" customHeight="1">
      <x:c r="A1896" s="24" t="str">
        <x:v>SW-B-181조8459-202608</x:v>
      </x:c>
      <x:c r="B1896" s="24" t="str">
        <x:v>스위치플랜</x:v>
      </x:c>
      <x:c r="C1896" s="24" t="str">
        <x:v>SW-C-181조8459-1-20260420-91</x:v>
      </x:c>
      <x:c r="D1896" s="24" t="str">
        <x:v>181조8459</x:v>
      </x:c>
      <x:c r="E1896" s="24" t="str">
        <x:v>배성호</x:v>
      </x:c>
      <x:c r="F1896" s="24" t="str">
        <x:v>2026-08</x:v>
      </x:c>
      <x:c r="G1896" s="30" t="n">
        <x:v>46254</x:v>
      </x:c>
      <x:c r="H1896" s="32" t="n">
        <x:v>370000</x:v>
      </x:c>
      <x:c r="I1896" s="32"/>
      <x:c r="J1896" s="32" t="n">
        <x:v>70000</x:v>
      </x:c>
      <x:c r="K1896" s="30"/>
      <x:c r="L1896" s="24" t="str"/>
      <x:c r="M1896" s="31" t="n">
        <x:f>IF(AND(N1896="미수",G1896&lt;&gt;"",TODAY()&gt;G1896),TODAY()-G1896,0)</x:f>
        <x:v>0</x:v>
      </x:c>
      <x:c r="N1896" s="24" t="str">
        <x:f>IF(J1896&gt;0,"미수",IF(AND(H1896&gt;0,I1896&gt;=H1896),"완납","미확인"))</x:f>
        <x:v>미수</x:v>
      </x:c>
      <x:c r="O1896" s="31" t="n">
        <x:v>90</x:v>
      </x:c>
    </x:row>
    <x:row r="1897" ht="17.25" customHeight="1">
      <x:c r="A1897" s="24" t="str">
        <x:v>SW-B-181조8459-202607</x:v>
      </x:c>
      <x:c r="B1897" s="24" t="str">
        <x:v>스위치플랜</x:v>
      </x:c>
      <x:c r="C1897" s="24" t="str">
        <x:v>SW-C-181조8459-1-20260420-91</x:v>
      </x:c>
      <x:c r="D1897" s="24" t="str">
        <x:v>181조8459</x:v>
      </x:c>
      <x:c r="E1897" s="24" t="str">
        <x:v>배성호</x:v>
      </x:c>
      <x:c r="F1897" s="24" t="str">
        <x:v>2026-07</x:v>
      </x:c>
      <x:c r="G1897" s="30" t="n">
        <x:v>46223</x:v>
      </x:c>
      <x:c r="H1897" s="32" t="n">
        <x:v>370000</x:v>
      </x:c>
      <x:c r="I1897" s="32" t="n">
        <x:v>370000</x:v>
      </x:c>
      <x:c r="J1897" s="32" t="n">
        <x:v>-300000</x:v>
      </x:c>
      <x:c r="K1897" s="30" t="n">
        <x:v>46224</x:v>
      </x:c>
      <x:c r="L1897" s="24" t="str">
        <x:v>입금</x:v>
      </x:c>
      <x:c r="M1897" s="31" t="n">
        <x:f>IF(AND(N1897="미수",G1897&lt;&gt;"",TODAY()&gt;G1897),TODAY()-G1897,0)</x:f>
        <x:v>0</x:v>
      </x:c>
      <x:c r="N1897" s="24" t="str">
        <x:f>IF(J1897&gt;0,"미수",IF(AND(H1897&gt;0,I1897&gt;=H1897),"완납","미확인"))</x:f>
        <x:v>완납</x:v>
      </x:c>
      <x:c r="O1897" s="31" t="n">
        <x:v>90</x:v>
      </x:c>
    </x:row>
    <x:row r="1898" ht="17.25" customHeight="1">
      <x:c r="A1898" s="24" t="str">
        <x:v>SW-B-181조8459-202606</x:v>
      </x:c>
      <x:c r="B1898" s="24" t="str">
        <x:v>스위치플랜</x:v>
      </x:c>
      <x:c r="C1898" s="24" t="str">
        <x:v>SW-C-181조8459-1-20260420-91</x:v>
      </x:c>
      <x:c r="D1898" s="24" t="str">
        <x:v>181조8459</x:v>
      </x:c>
      <x:c r="E1898" s="24" t="str">
        <x:v>배성호</x:v>
      </x:c>
      <x:c r="F1898" s="24" t="str">
        <x:v>2026-06</x:v>
      </x:c>
      <x:c r="G1898" s="30" t="n">
        <x:v>46193</x:v>
      </x:c>
      <x:c r="H1898" s="32" t="n">
        <x:v>370000</x:v>
      </x:c>
      <x:c r="I1898" s="32" t="n">
        <x:v>370000</x:v>
      </x:c>
      <x:c r="J1898" s="32" t="n">
        <x:v>-300000</x:v>
      </x:c>
      <x:c r="K1898" s="30" t="n">
        <x:v>46195</x:v>
      </x:c>
      <x:c r="L1898" s="24" t="str">
        <x:v>입금</x:v>
      </x:c>
      <x:c r="M1898" s="31" t="n">
        <x:f>IF(AND(N1898="미수",G1898&lt;&gt;"",TODAY()&gt;G1898),TODAY()-G1898,0)</x:f>
        <x:v>0</x:v>
      </x:c>
      <x:c r="N1898" s="24" t="str">
        <x:f>IF(J1898&gt;0,"미수",IF(AND(H1898&gt;0,I1898&gt;=H1898),"완납","미확인"))</x:f>
        <x:v>완납</x:v>
      </x:c>
      <x:c r="O1898" s="31" t="n">
        <x:v>90</x:v>
      </x:c>
    </x:row>
    <x:row r="1899" ht="17.25" customHeight="1">
      <x:c r="A1899" s="24" t="str">
        <x:v>SW-B-181조8459-202605</x:v>
      </x:c>
      <x:c r="B1899" s="24" t="str">
        <x:v>스위치플랜</x:v>
      </x:c>
      <x:c r="C1899" s="24" t="str">
        <x:v>SW-C-181조8459-1-20260420-91</x:v>
      </x:c>
      <x:c r="D1899" s="24" t="str">
        <x:v>181조8459</x:v>
      </x:c>
      <x:c r="E1899" s="24" t="str">
        <x:v>배성호</x:v>
      </x:c>
      <x:c r="F1899" s="24" t="str">
        <x:v>2026-05</x:v>
      </x:c>
      <x:c r="G1899" s="30" t="n">
        <x:v>46162</x:v>
      </x:c>
      <x:c r="H1899" s="32" t="n">
        <x:v>370000</x:v>
      </x:c>
      <x:c r="I1899" s="32" t="n">
        <x:v>370000</x:v>
      </x:c>
      <x:c r="J1899" s="32" t="n">
        <x:v>-300000</x:v>
      </x:c>
      <x:c r="K1899" s="30" t="n">
        <x:v>46162</x:v>
      </x:c>
      <x:c r="L1899" s="24" t="str">
        <x:v>입금</x:v>
      </x:c>
      <x:c r="M1899" s="31" t="n">
        <x:f>IF(AND(N1899="미수",G1899&lt;&gt;"",TODAY()&gt;G1899),TODAY()-G1899,0)</x:f>
        <x:v>0</x:v>
      </x:c>
      <x:c r="N1899" s="24" t="str">
        <x:f>IF(J1899&gt;0,"미수",IF(AND(H1899&gt;0,I1899&gt;=H1899),"완납","미확인"))</x:f>
        <x:v>완납</x:v>
      </x:c>
      <x:c r="O1899" s="31" t="n">
        <x:v>90</x:v>
      </x:c>
    </x:row>
    <x:row r="1900" ht="17.25" customHeight="1">
      <x:c r="A1900" s="24" t="str">
        <x:v>SW-B-181조8459-202604</x:v>
      </x:c>
      <x:c r="B1900" s="24" t="str">
        <x:v>스위치플랜</x:v>
      </x:c>
      <x:c r="C1900" s="24" t="str">
        <x:v>SW-C-181조8459-1-20260420-91</x:v>
      </x:c>
      <x:c r="D1900" s="24" t="str">
        <x:v>181조8459</x:v>
      </x:c>
      <x:c r="E1900" s="24" t="str">
        <x:v>배성호</x:v>
      </x:c>
      <x:c r="F1900" s="24" t="str">
        <x:v>2026-04</x:v>
      </x:c>
      <x:c r="G1900" s="30" t="n">
        <x:v>46132</x:v>
      </x:c>
      <x:c r="H1900" s="32" t="n">
        <x:v>0</x:v>
      </x:c>
      <x:c r="I1900" s="32" t="n">
        <x:v>300000</x:v>
      </x:c>
      <x:c r="J1900" s="32" t="n">
        <x:v>-300000</x:v>
      </x:c>
      <x:c r="K1900" s="30" t="n">
        <x:v>46132</x:v>
      </x:c>
      <x:c r="L1900" s="24" t="str">
        <x:v>입금</x:v>
      </x:c>
      <x:c r="M1900" s="31" t="n">
        <x:f>IF(AND(N1900="미수",G1900&lt;&gt;"",TODAY()&gt;G1900),TODAY()-G1900,0)</x:f>
        <x:v>0</x:v>
      </x:c>
      <x:c r="N1900" s="24" t="str">
        <x:f>IF(J1900&gt;0,"미수",IF(AND(H1900&gt;0,I1900&gt;=H1900),"완납","미확인"))</x:f>
        <x:v>미확인</x:v>
      </x:c>
      <x:c r="O1900" s="31" t="n">
        <x:v>90</x:v>
      </x:c>
    </x:row>
    <x:row r="1901" ht="17.25" customHeight="1">
      <x:c r="A1901" s="24" t="str">
        <x:v>SW-B-181조8459-202603</x:v>
      </x:c>
      <x:c r="B1901" s="24" t="str">
        <x:v>스위치플랜</x:v>
      </x:c>
      <x:c r="C1901" s="24" t="str">
        <x:v>SW-C-181조8459-2-20250411-91</x:v>
      </x:c>
      <x:c r="D1901" s="24" t="str">
        <x:v>181조8459</x:v>
      </x:c>
      <x:c r="E1901" s="24" t="str">
        <x:v>배성호</x:v>
      </x:c>
      <x:c r="F1901" s="24" t="str">
        <x:v>2026-03</x:v>
      </x:c>
      <x:c r="G1901" s="30" t="n">
        <x:v>46101</x:v>
      </x:c>
      <x:c r="H1901" s="32" t="n">
        <x:v>0</x:v>
      </x:c>
      <x:c r="I1901" s="32"/>
      <x:c r="J1901" s="32" t="n">
        <x:v>0</x:v>
      </x:c>
      <x:c r="K1901" s="30"/>
      <x:c r="L1901" s="24" t="str"/>
      <x:c r="M1901" s="31" t="n">
        <x:f>IF(AND(N1901="미수",G1901&lt;&gt;"",TODAY()&gt;G1901),TODAY()-G1901,0)</x:f>
        <x:v>0</x:v>
      </x:c>
      <x:c r="N1901" s="24" t="str">
        <x:f>IF(J1901&gt;0,"미수",IF(AND(H1901&gt;0,I1901&gt;=H1901),"완납","미확인"))</x:f>
        <x:v>미확인</x:v>
      </x:c>
      <x:c r="O1901" s="31" t="n">
        <x:v>90</x:v>
      </x:c>
    </x:row>
    <x:row r="1902" ht="17.25" customHeight="1">
      <x:c r="A1902" s="24" t="str">
        <x:v>SW-B-181조8459-202602</x:v>
      </x:c>
      <x:c r="B1902" s="24" t="str">
        <x:v>스위치플랜</x:v>
      </x:c>
      <x:c r="C1902" s="24" t="str">
        <x:v>SW-C-181조8459-2-20250411-91</x:v>
      </x:c>
      <x:c r="D1902" s="24" t="str">
        <x:v>181조8459</x:v>
      </x:c>
      <x:c r="E1902" s="24" t="str">
        <x:v>배성호</x:v>
      </x:c>
      <x:c r="F1902" s="24" t="str">
        <x:v>2026-02</x:v>
      </x:c>
      <x:c r="G1902" s="30" t="n">
        <x:v>46073</x:v>
      </x:c>
      <x:c r="H1902" s="32" t="n">
        <x:v>500000</x:v>
      </x:c>
      <x:c r="I1902" s="32" t="n">
        <x:v>500000</x:v>
      </x:c>
      <x:c r="J1902" s="32" t="n">
        <x:v>0</x:v>
      </x:c>
      <x:c r="K1902" s="30" t="n">
        <x:v>46071</x:v>
      </x:c>
      <x:c r="L1902" s="24" t="str">
        <x:v>입금</x:v>
      </x:c>
      <x:c r="M1902" s="31" t="n">
        <x:f>IF(AND(N1902="미수",G1902&lt;&gt;"",TODAY()&gt;G1902),TODAY()-G1902,0)</x:f>
        <x:v>0</x:v>
      </x:c>
      <x:c r="N1902" s="24" t="str">
        <x:f>IF(J1902&gt;0,"미수",IF(AND(H1902&gt;0,I1902&gt;=H1902),"완납","미확인"))</x:f>
        <x:v>완납</x:v>
      </x:c>
      <x:c r="O1902" s="31" t="n">
        <x:v>90</x:v>
      </x:c>
    </x:row>
    <x:row r="1903" ht="17.25" customHeight="1">
      <x:c r="A1903" s="24" t="str">
        <x:v>SW-B-181조8459-202601</x:v>
      </x:c>
      <x:c r="B1903" s="24" t="str">
        <x:v>스위치플랜</x:v>
      </x:c>
      <x:c r="C1903" s="24" t="str">
        <x:v>SW-C-181조8459-2-20250411-91</x:v>
      </x:c>
      <x:c r="D1903" s="24" t="str">
        <x:v>181조8459</x:v>
      </x:c>
      <x:c r="E1903" s="24" t="str">
        <x:v>배성호</x:v>
      </x:c>
      <x:c r="F1903" s="24" t="str">
        <x:v>2026-01</x:v>
      </x:c>
      <x:c r="G1903" s="30" t="n">
        <x:v>46042</x:v>
      </x:c>
      <x:c r="H1903" s="32" t="n">
        <x:v>500000</x:v>
      </x:c>
      <x:c r="I1903" s="32" t="n">
        <x:v>500000</x:v>
      </x:c>
      <x:c r="J1903" s="32" t="n">
        <x:v>0</x:v>
      </x:c>
      <x:c r="K1903" s="30" t="n">
        <x:v>46037</x:v>
      </x:c>
      <x:c r="L1903" s="24" t="str">
        <x:v>입금</x:v>
      </x:c>
      <x:c r="M1903" s="31" t="n">
        <x:f>IF(AND(N1903="미수",G1903&lt;&gt;"",TODAY()&gt;G1903),TODAY()-G1903,0)</x:f>
        <x:v>0</x:v>
      </x:c>
      <x:c r="N1903" s="24" t="str">
        <x:f>IF(J1903&gt;0,"미수",IF(AND(H1903&gt;0,I1903&gt;=H1903),"완납","미확인"))</x:f>
        <x:v>완납</x:v>
      </x:c>
      <x:c r="O1903" s="31" t="n">
        <x:v>90</x:v>
      </x:c>
    </x:row>
    <x:row r="1904" ht="17.25" customHeight="1">
      <x:c r="A1904" s="24" t="str">
        <x:v>SW-B-181조8459-202512</x:v>
      </x:c>
      <x:c r="B1904" s="24" t="str">
        <x:v>스위치플랜</x:v>
      </x:c>
      <x:c r="C1904" s="24" t="str">
        <x:v>SW-C-181조8459-2-20250411-91</x:v>
      </x:c>
      <x:c r="D1904" s="24" t="str">
        <x:v>181조8459</x:v>
      </x:c>
      <x:c r="E1904" s="24" t="str">
        <x:v>배성호</x:v>
      </x:c>
      <x:c r="F1904" s="24" t="str">
        <x:v>2025-12</x:v>
      </x:c>
      <x:c r="G1904" s="30" t="n">
        <x:v>46011</x:v>
      </x:c>
      <x:c r="H1904" s="32" t="n">
        <x:v>584000</x:v>
      </x:c>
      <x:c r="I1904" s="32" t="n">
        <x:v>584000</x:v>
      </x:c>
      <x:c r="J1904" s="32" t="n">
        <x:v>0</x:v>
      </x:c>
      <x:c r="K1904" s="30" t="n">
        <x:v>46000</x:v>
      </x:c>
      <x:c r="L1904" s="24" t="str">
        <x:v>입금</x:v>
      </x:c>
      <x:c r="M1904" s="31" t="n">
        <x:f>IF(AND(N1904="미수",G1904&lt;&gt;"",TODAY()&gt;G1904),TODAY()-G1904,0)</x:f>
        <x:v>0</x:v>
      </x:c>
      <x:c r="N1904" s="24" t="str">
        <x:f>IF(J1904&gt;0,"미수",IF(AND(H1904&gt;0,I1904&gt;=H1904),"완납","미확인"))</x:f>
        <x:v>완납</x:v>
      </x:c>
      <x:c r="O1904" s="31" t="n">
        <x:v>90</x:v>
      </x:c>
    </x:row>
    <x:row r="1905" ht="17.25" customHeight="1">
      <x:c r="A1905" s="24" t="str">
        <x:v>SW-B-181조8459-202511</x:v>
      </x:c>
      <x:c r="B1905" s="24" t="str">
        <x:v>스위치플랜</x:v>
      </x:c>
      <x:c r="C1905" s="24" t="str">
        <x:v>SW-C-181조8459-2-20250411-91</x:v>
      </x:c>
      <x:c r="D1905" s="24" t="str">
        <x:v>181조8459</x:v>
      </x:c>
      <x:c r="E1905" s="24" t="str">
        <x:v>배성호</x:v>
      </x:c>
      <x:c r="F1905" s="24" t="str">
        <x:v>2025-11</x:v>
      </x:c>
      <x:c r="G1905" s="30" t="n">
        <x:v>45981</x:v>
      </x:c>
      <x:c r="H1905" s="32" t="n">
        <x:v>500000</x:v>
      </x:c>
      <x:c r="I1905" s="32" t="n">
        <x:v>500000</x:v>
      </x:c>
      <x:c r="J1905" s="32" t="n">
        <x:v>0</x:v>
      </x:c>
      <x:c r="K1905" s="30" t="n">
        <x:v>45974</x:v>
      </x:c>
      <x:c r="L1905" s="24" t="str">
        <x:v>입금</x:v>
      </x:c>
      <x:c r="M1905" s="31" t="n">
        <x:f>IF(AND(N1905="미수",G1905&lt;&gt;"",TODAY()&gt;G1905),TODAY()-G1905,0)</x:f>
        <x:v>0</x:v>
      </x:c>
      <x:c r="N1905" s="24" t="str">
        <x:f>IF(J1905&gt;0,"미수",IF(AND(H1905&gt;0,I1905&gt;=H1905),"완납","미확인"))</x:f>
        <x:v>완납</x:v>
      </x:c>
      <x:c r="O1905" s="31" t="n">
        <x:v>90</x:v>
      </x:c>
    </x:row>
    <x:row r="1906" ht="17.25" customHeight="1">
      <x:c r="A1906" s="24" t="str">
        <x:v>SW-B-181조8459-202510</x:v>
      </x:c>
      <x:c r="B1906" s="24" t="str">
        <x:v>스위치플랜</x:v>
      </x:c>
      <x:c r="C1906" s="24" t="str">
        <x:v>SW-C-181조8459-2-20250411-91</x:v>
      </x:c>
      <x:c r="D1906" s="24" t="str">
        <x:v>181조8459</x:v>
      </x:c>
      <x:c r="E1906" s="24" t="str">
        <x:v>배성호</x:v>
      </x:c>
      <x:c r="F1906" s="24" t="str">
        <x:v>2025-10</x:v>
      </x:c>
      <x:c r="G1906" s="30" t="n">
        <x:v>45950</x:v>
      </x:c>
      <x:c r="H1906" s="32" t="n">
        <x:v>500000</x:v>
      </x:c>
      <x:c r="I1906" s="32" t="n">
        <x:v>500000</x:v>
      </x:c>
      <x:c r="J1906" s="32" t="n">
        <x:v>0</x:v>
      </x:c>
      <x:c r="K1906" s="30" t="n">
        <x:v>45944</x:v>
      </x:c>
      <x:c r="L1906" s="24" t="str">
        <x:v>입금</x:v>
      </x:c>
      <x:c r="M1906" s="31" t="n">
        <x:f>IF(AND(N1906="미수",G1906&lt;&gt;"",TODAY()&gt;G1906),TODAY()-G1906,0)</x:f>
        <x:v>0</x:v>
      </x:c>
      <x:c r="N1906" s="24" t="str">
        <x:f>IF(J1906&gt;0,"미수",IF(AND(H1906&gt;0,I1906&gt;=H1906),"완납","미확인"))</x:f>
        <x:v>완납</x:v>
      </x:c>
      <x:c r="O1906" s="31" t="n">
        <x:v>90</x:v>
      </x:c>
    </x:row>
    <x:row r="1907" ht="17.25" customHeight="1">
      <x:c r="A1907" s="24" t="str">
        <x:v>SW-B-181조8459-202509</x:v>
      </x:c>
      <x:c r="B1907" s="24" t="str">
        <x:v>스위치플랜</x:v>
      </x:c>
      <x:c r="C1907" s="24" t="str">
        <x:v>SW-C-181조8459-2-20250411-91</x:v>
      </x:c>
      <x:c r="D1907" s="24" t="str">
        <x:v>181조8459</x:v>
      </x:c>
      <x:c r="E1907" s="24" t="str">
        <x:v>배성호</x:v>
      </x:c>
      <x:c r="F1907" s="24" t="str">
        <x:v>2025-09</x:v>
      </x:c>
      <x:c r="G1907" s="30" t="n">
        <x:v>45920</x:v>
      </x:c>
      <x:c r="H1907" s="32" t="n">
        <x:v>500000</x:v>
      </x:c>
      <x:c r="I1907" s="32" t="n">
        <x:v>500000</x:v>
      </x:c>
      <x:c r="J1907" s="32" t="n">
        <x:v>0</x:v>
      </x:c>
      <x:c r="K1907" s="30" t="n">
        <x:v>45910</x:v>
      </x:c>
      <x:c r="L1907" s="24" t="str">
        <x:v>입금</x:v>
      </x:c>
      <x:c r="M1907" s="31" t="n">
        <x:f>IF(AND(N1907="미수",G1907&lt;&gt;"",TODAY()&gt;G1907),TODAY()-G1907,0)</x:f>
        <x:v>0</x:v>
      </x:c>
      <x:c r="N1907" s="24" t="str">
        <x:f>IF(J1907&gt;0,"미수",IF(AND(H1907&gt;0,I1907&gt;=H1907),"완납","미확인"))</x:f>
        <x:v>완납</x:v>
      </x:c>
      <x:c r="O1907" s="31" t="n">
        <x:v>90</x:v>
      </x:c>
    </x:row>
    <x:row r="1908" ht="17.25" customHeight="1">
      <x:c r="A1908" s="24" t="str">
        <x:v>SW-B-181조8459-202508</x:v>
      </x:c>
      <x:c r="B1908" s="24" t="str">
        <x:v>스위치플랜</x:v>
      </x:c>
      <x:c r="C1908" s="24" t="str">
        <x:v>SW-C-181조8459-2-20250411-91</x:v>
      </x:c>
      <x:c r="D1908" s="24" t="str">
        <x:v>181조8459</x:v>
      </x:c>
      <x:c r="E1908" s="24" t="str">
        <x:v>배성호</x:v>
      </x:c>
      <x:c r="F1908" s="24" t="str">
        <x:v>2025-08</x:v>
      </x:c>
      <x:c r="G1908" s="30" t="n">
        <x:v>45889</x:v>
      </x:c>
      <x:c r="H1908" s="32" t="n">
        <x:v>500000</x:v>
      </x:c>
      <x:c r="I1908" s="32" t="n">
        <x:v>500000</x:v>
      </x:c>
      <x:c r="J1908" s="32" t="n">
        <x:v>0</x:v>
      </x:c>
      <x:c r="K1908" s="30" t="n">
        <x:v>45879</x:v>
      </x:c>
      <x:c r="L1908" s="24" t="str">
        <x:v>입금</x:v>
      </x:c>
      <x:c r="M1908" s="31" t="n">
        <x:f>IF(AND(N1908="미수",G1908&lt;&gt;"",TODAY()&gt;G1908),TODAY()-G1908,0)</x:f>
        <x:v>0</x:v>
      </x:c>
      <x:c r="N1908" s="24" t="str">
        <x:f>IF(J1908&gt;0,"미수",IF(AND(H1908&gt;0,I1908&gt;=H1908),"완납","미확인"))</x:f>
        <x:v>완납</x:v>
      </x:c>
      <x:c r="O1908" s="31" t="n">
        <x:v>90</x:v>
      </x:c>
    </x:row>
    <x:row r="1909" ht="17.25" customHeight="1">
      <x:c r="A1909" s="24" t="str">
        <x:v>SW-B-181조8459-202507</x:v>
      </x:c>
      <x:c r="B1909" s="24" t="str">
        <x:v>스위치플랜</x:v>
      </x:c>
      <x:c r="C1909" s="24" t="str">
        <x:v>SW-C-181조8459-2-20250411-91</x:v>
      </x:c>
      <x:c r="D1909" s="24" t="str">
        <x:v>181조8459</x:v>
      </x:c>
      <x:c r="E1909" s="24" t="str">
        <x:v>배성호</x:v>
      </x:c>
      <x:c r="F1909" s="24" t="str">
        <x:v>2025-07</x:v>
      </x:c>
      <x:c r="G1909" s="30" t="n">
        <x:v>45858</x:v>
      </x:c>
      <x:c r="H1909" s="32" t="n">
        <x:v>500000</x:v>
      </x:c>
      <x:c r="I1909" s="32" t="n">
        <x:v>500000</x:v>
      </x:c>
      <x:c r="J1909" s="32" t="n">
        <x:v>0</x:v>
      </x:c>
      <x:c r="K1909" s="30" t="n">
        <x:v>45848</x:v>
      </x:c>
      <x:c r="L1909" s="24" t="str">
        <x:v>입금</x:v>
      </x:c>
      <x:c r="M1909" s="31" t="n">
        <x:f>IF(AND(N1909="미수",G1909&lt;&gt;"",TODAY()&gt;G1909),TODAY()-G1909,0)</x:f>
        <x:v>0</x:v>
      </x:c>
      <x:c r="N1909" s="24" t="str">
        <x:f>IF(J1909&gt;0,"미수",IF(AND(H1909&gt;0,I1909&gt;=H1909),"완납","미확인"))</x:f>
        <x:v>완납</x:v>
      </x:c>
      <x:c r="O1909" s="31" t="n">
        <x:v>90</x:v>
      </x:c>
    </x:row>
    <x:row r="1910" ht="17.25" customHeight="1">
      <x:c r="A1910" s="24" t="str">
        <x:v>SW-B-181조8459-202506</x:v>
      </x:c>
      <x:c r="B1910" s="24" t="str">
        <x:v>스위치플랜</x:v>
      </x:c>
      <x:c r="C1910" s="24" t="str">
        <x:v>SW-C-181조8459-2-20250411-91</x:v>
      </x:c>
      <x:c r="D1910" s="24" t="str">
        <x:v>181조8459</x:v>
      </x:c>
      <x:c r="E1910" s="24" t="str">
        <x:v>배성호</x:v>
      </x:c>
      <x:c r="F1910" s="24" t="str">
        <x:v>2025-06</x:v>
      </x:c>
      <x:c r="G1910" s="30" t="n">
        <x:v>45828</x:v>
      </x:c>
      <x:c r="H1910" s="32" t="n">
        <x:v>500000</x:v>
      </x:c>
      <x:c r="I1910" s="32" t="n">
        <x:v>500000</x:v>
      </x:c>
      <x:c r="J1910" s="32" t="n">
        <x:v>0</x:v>
      </x:c>
      <x:c r="K1910" s="30" t="n">
        <x:v>45818</x:v>
      </x:c>
      <x:c r="L1910" s="24" t="str">
        <x:v>입금</x:v>
      </x:c>
      <x:c r="M1910" s="31" t="n">
        <x:f>IF(AND(N1910="미수",G1910&lt;&gt;"",TODAY()&gt;G1910),TODAY()-G1910,0)</x:f>
        <x:v>0</x:v>
      </x:c>
      <x:c r="N1910" s="24" t="str">
        <x:f>IF(J1910&gt;0,"미수",IF(AND(H1910&gt;0,I1910&gt;=H1910),"완납","미확인"))</x:f>
        <x:v>완납</x:v>
      </x:c>
      <x:c r="O1910" s="31" t="n">
        <x:v>90</x:v>
      </x:c>
    </x:row>
    <x:row r="1911" ht="17.25" customHeight="1">
      <x:c r="A1911" s="24" t="str">
        <x:v>SW-B-181조8459-202505</x:v>
      </x:c>
      <x:c r="B1911" s="24" t="str">
        <x:v>스위치플랜</x:v>
      </x:c>
      <x:c r="C1911" s="24" t="str">
        <x:v>SW-C-181조8459-2-20250411-91</x:v>
      </x:c>
      <x:c r="D1911" s="24" t="str">
        <x:v>181조8459</x:v>
      </x:c>
      <x:c r="E1911" s="24" t="str">
        <x:v>배성호</x:v>
      </x:c>
      <x:c r="F1911" s="24" t="str">
        <x:v>2025-05</x:v>
      </x:c>
      <x:c r="G1911" s="30" t="n">
        <x:v>45797</x:v>
      </x:c>
      <x:c r="H1911" s="32" t="n">
        <x:v>500000</x:v>
      </x:c>
      <x:c r="I1911" s="32" t="n">
        <x:v>500000</x:v>
      </x:c>
      <x:c r="J1911" s="32" t="n">
        <x:v>0</x:v>
      </x:c>
      <x:c r="K1911" s="30" t="n">
        <x:v>45787</x:v>
      </x:c>
      <x:c r="L1911" s="24" t="str">
        <x:v>입금</x:v>
      </x:c>
      <x:c r="M1911" s="31" t="n">
        <x:f>IF(AND(N1911="미수",G1911&lt;&gt;"",TODAY()&gt;G1911),TODAY()-G1911,0)</x:f>
        <x:v>0</x:v>
      </x:c>
      <x:c r="N1911" s="24" t="str">
        <x:f>IF(J1911&gt;0,"미수",IF(AND(H1911&gt;0,I1911&gt;=H1911),"완납","미확인"))</x:f>
        <x:v>완납</x:v>
      </x:c>
      <x:c r="O1911" s="31" t="n">
        <x:v>90</x:v>
      </x:c>
    </x:row>
    <x:row r="1912" ht="17.25" customHeight="1">
      <x:c r="A1912" s="24" t="str">
        <x:v>SW-B-181조8459-202504</x:v>
      </x:c>
      <x:c r="B1912" s="24" t="str">
        <x:v>스위치플랜</x:v>
      </x:c>
      <x:c r="C1912" s="24" t="str">
        <x:v>SW-C-181조8459-2-20250411-91</x:v>
      </x:c>
      <x:c r="D1912" s="24" t="str">
        <x:v>181조8459</x:v>
      </x:c>
      <x:c r="E1912" s="24" t="str">
        <x:v>배성호</x:v>
      </x:c>
      <x:c r="F1912" s="24" t="str">
        <x:v>2025-04</x:v>
      </x:c>
      <x:c r="G1912" s="30" t="n">
        <x:v>45767</x:v>
      </x:c>
      <x:c r="H1912" s="32" t="n">
        <x:v>500000</x:v>
      </x:c>
      <x:c r="I1912" s="32" t="n">
        <x:v>500000</x:v>
      </x:c>
      <x:c r="J1912" s="32" t="n">
        <x:v>0</x:v>
      </x:c>
      <x:c r="K1912" s="30" t="n">
        <x:v>45757</x:v>
      </x:c>
      <x:c r="L1912" s="24" t="str">
        <x:v>입금</x:v>
      </x:c>
      <x:c r="M1912" s="31" t="n">
        <x:f>IF(AND(N1912="미수",G1912&lt;&gt;"",TODAY()&gt;G1912),TODAY()-G1912,0)</x:f>
        <x:v>0</x:v>
      </x:c>
      <x:c r="N1912" s="24" t="str">
        <x:f>IF(J1912&gt;0,"미수",IF(AND(H1912&gt;0,I1912&gt;=H1912),"완납","미확인"))</x:f>
        <x:v>완납</x:v>
      </x:c>
      <x:c r="O1912" s="31" t="n">
        <x:v>90</x:v>
      </x:c>
    </x:row>
    <x:row r="1913" ht="17.25" customHeight="1">
      <x:c r="A1913" s="24" t="str">
        <x:v>SW-B-120라5445-202608</x:v>
      </x:c>
      <x:c r="B1913" s="24" t="str">
        <x:v>스위치플랜</x:v>
      </x:c>
      <x:c r="C1913" s="24" t="str">
        <x:v>SW-C-120라5445-1-20231208-92</x:v>
      </x:c>
      <x:c r="D1913" s="24" t="str">
        <x:v>120라5445</x:v>
      </x:c>
      <x:c r="E1913" s="24" t="str">
        <x:v>백민정</x:v>
      </x:c>
      <x:c r="F1913" s="24" t="str">
        <x:v>2026-08</x:v>
      </x:c>
      <x:c r="G1913" s="30" t="n">
        <x:v>46249</x:v>
      </x:c>
      <x:c r="H1913" s="32" t="n">
        <x:v>540000</x:v>
      </x:c>
      <x:c r="I1913" s="32"/>
      <x:c r="J1913" s="32" t="n">
        <x:v>540000</x:v>
      </x:c>
      <x:c r="K1913" s="30"/>
      <x:c r="L1913" s="24" t="str"/>
      <x:c r="M1913" s="31" t="n">
        <x:f>IF(AND(N1913="미수",G1913&lt;&gt;"",TODAY()&gt;G1913),TODAY()-G1913,0)</x:f>
        <x:v>0</x:v>
      </x:c>
      <x:c r="N1913" s="24" t="str">
        <x:f>IF(J1913&gt;0,"미수",IF(AND(H1913&gt;0,I1913&gt;=H1913),"완납","미확인"))</x:f>
        <x:v>미수</x:v>
      </x:c>
      <x:c r="O1913" s="31" t="n">
        <x:v>91</x:v>
      </x:c>
    </x:row>
    <x:row r="1914" ht="17.25" customHeight="1">
      <x:c r="A1914" s="24" t="str">
        <x:v>SW-B-120라5445-202607</x:v>
      </x:c>
      <x:c r="B1914" s="24" t="str">
        <x:v>스위치플랜</x:v>
      </x:c>
      <x:c r="C1914" s="24" t="str">
        <x:v>SW-C-120라5445-1-20231208-92</x:v>
      </x:c>
      <x:c r="D1914" s="24" t="str">
        <x:v>120라5445</x:v>
      </x:c>
      <x:c r="E1914" s="24" t="str">
        <x:v>백민정</x:v>
      </x:c>
      <x:c r="F1914" s="24" t="str">
        <x:v>2026-07</x:v>
      </x:c>
      <x:c r="G1914" s="30" t="n">
        <x:v>46218</x:v>
      </x:c>
      <x:c r="H1914" s="32" t="n">
        <x:v>540000</x:v>
      </x:c>
      <x:c r="I1914" s="32" t="n">
        <x:v>540000</x:v>
      </x:c>
      <x:c r="J1914" s="32" t="n">
        <x:v>0</x:v>
      </x:c>
      <x:c r="K1914" s="30" t="n">
        <x:v>46232</x:v>
      </x:c>
      <x:c r="L1914" s="24" t="str">
        <x:v>입금</x:v>
      </x:c>
      <x:c r="M1914" s="31" t="n">
        <x:f>IF(AND(N1914="미수",G1914&lt;&gt;"",TODAY()&gt;G1914),TODAY()-G1914,0)</x:f>
        <x:v>0</x:v>
      </x:c>
      <x:c r="N1914" s="24" t="str">
        <x:f>IF(J1914&gt;0,"미수",IF(AND(H1914&gt;0,I1914&gt;=H1914),"완납","미확인"))</x:f>
        <x:v>완납</x:v>
      </x:c>
      <x:c r="O1914" s="31" t="n">
        <x:v>91</x:v>
      </x:c>
    </x:row>
    <x:row r="1915" ht="17.25" customHeight="1">
      <x:c r="A1915" s="24" t="str">
        <x:v>SW-B-120라5445-202606</x:v>
      </x:c>
      <x:c r="B1915" s="24" t="str">
        <x:v>스위치플랜</x:v>
      </x:c>
      <x:c r="C1915" s="24" t="str">
        <x:v>SW-C-120라5445-1-20231208-92</x:v>
      </x:c>
      <x:c r="D1915" s="24" t="str">
        <x:v>120라5445</x:v>
      </x:c>
      <x:c r="E1915" s="24" t="str">
        <x:v>백민정</x:v>
      </x:c>
      <x:c r="F1915" s="24" t="str">
        <x:v>2026-06</x:v>
      </x:c>
      <x:c r="G1915" s="30" t="n">
        <x:v>46188</x:v>
      </x:c>
      <x:c r="H1915" s="32" t="n">
        <x:v>540000</x:v>
      </x:c>
      <x:c r="I1915" s="32" t="n">
        <x:v>540000</x:v>
      </x:c>
      <x:c r="J1915" s="32" t="n">
        <x:v>0</x:v>
      </x:c>
      <x:c r="K1915" s="30" t="n">
        <x:v>46188</x:v>
      </x:c>
      <x:c r="L1915" s="24" t="str">
        <x:v>입금</x:v>
      </x:c>
      <x:c r="M1915" s="31" t="n">
        <x:f>IF(AND(N1915="미수",G1915&lt;&gt;"",TODAY()&gt;G1915),TODAY()-G1915,0)</x:f>
        <x:v>0</x:v>
      </x:c>
      <x:c r="N1915" s="24" t="str">
        <x:f>IF(J1915&gt;0,"미수",IF(AND(H1915&gt;0,I1915&gt;=H1915),"완납","미확인"))</x:f>
        <x:v>완납</x:v>
      </x:c>
      <x:c r="O1915" s="31" t="n">
        <x:v>91</x:v>
      </x:c>
    </x:row>
    <x:row r="1916" ht="17.25" customHeight="1">
      <x:c r="A1916" s="24" t="str">
        <x:v>SW-B-120라5445-202605</x:v>
      </x:c>
      <x:c r="B1916" s="24" t="str">
        <x:v>스위치플랜</x:v>
      </x:c>
      <x:c r="C1916" s="24" t="str">
        <x:v>SW-C-120라5445-1-20231208-92</x:v>
      </x:c>
      <x:c r="D1916" s="24" t="str">
        <x:v>120라5445</x:v>
      </x:c>
      <x:c r="E1916" s="24" t="str">
        <x:v>백민정</x:v>
      </x:c>
      <x:c r="F1916" s="24" t="str">
        <x:v>2026-05</x:v>
      </x:c>
      <x:c r="G1916" s="30" t="n">
        <x:v>46157</x:v>
      </x:c>
      <x:c r="H1916" s="32" t="n">
        <x:v>540000</x:v>
      </x:c>
      <x:c r="I1916" s="32" t="n">
        <x:v>540000</x:v>
      </x:c>
      <x:c r="J1916" s="32" t="n">
        <x:v>0</x:v>
      </x:c>
      <x:c r="K1916" s="30" t="n">
        <x:v>46157</x:v>
      </x:c>
      <x:c r="L1916" s="24" t="str">
        <x:v>입금</x:v>
      </x:c>
      <x:c r="M1916" s="31" t="n">
        <x:f>IF(AND(N1916="미수",G1916&lt;&gt;"",TODAY()&gt;G1916),TODAY()-G1916,0)</x:f>
        <x:v>0</x:v>
      </x:c>
      <x:c r="N1916" s="24" t="str">
        <x:f>IF(J1916&gt;0,"미수",IF(AND(H1916&gt;0,I1916&gt;=H1916),"완납","미확인"))</x:f>
        <x:v>완납</x:v>
      </x:c>
      <x:c r="O1916" s="31" t="n">
        <x:v>91</x:v>
      </x:c>
    </x:row>
    <x:row r="1917" ht="17.25" customHeight="1">
      <x:c r="A1917" s="24" t="str">
        <x:v>SW-B-120라5445-202604</x:v>
      </x:c>
      <x:c r="B1917" s="24" t="str">
        <x:v>스위치플랜</x:v>
      </x:c>
      <x:c r="C1917" s="24" t="str">
        <x:v>SW-C-120라5445-1-20231208-92</x:v>
      </x:c>
      <x:c r="D1917" s="24" t="str">
        <x:v>120라5445</x:v>
      </x:c>
      <x:c r="E1917" s="24" t="str">
        <x:v>백민정</x:v>
      </x:c>
      <x:c r="F1917" s="24" t="str">
        <x:v>2026-04</x:v>
      </x:c>
      <x:c r="G1917" s="30" t="n">
        <x:v>46127</x:v>
      </x:c>
      <x:c r="H1917" s="32" t="n">
        <x:v>540000</x:v>
      </x:c>
      <x:c r="I1917" s="32" t="n">
        <x:v>540000</x:v>
      </x:c>
      <x:c r="J1917" s="32" t="n">
        <x:v>0</x:v>
      </x:c>
      <x:c r="K1917" s="30" t="n">
        <x:v>46127</x:v>
      </x:c>
      <x:c r="L1917" s="24" t="str">
        <x:v>입금</x:v>
      </x:c>
      <x:c r="M1917" s="31" t="n">
        <x:f>IF(AND(N1917="미수",G1917&lt;&gt;"",TODAY()&gt;G1917),TODAY()-G1917,0)</x:f>
        <x:v>0</x:v>
      </x:c>
      <x:c r="N1917" s="24" t="str">
        <x:f>IF(J1917&gt;0,"미수",IF(AND(H1917&gt;0,I1917&gt;=H1917),"완납","미확인"))</x:f>
        <x:v>완납</x:v>
      </x:c>
      <x:c r="O1917" s="31" t="n">
        <x:v>91</x:v>
      </x:c>
    </x:row>
    <x:row r="1918" ht="17.25" customHeight="1">
      <x:c r="A1918" s="24" t="str">
        <x:v>SW-B-120라5445-202603</x:v>
      </x:c>
      <x:c r="B1918" s="24" t="str">
        <x:v>스위치플랜</x:v>
      </x:c>
      <x:c r="C1918" s="24" t="str">
        <x:v>SW-C-120라5445-1-20231208-92</x:v>
      </x:c>
      <x:c r="D1918" s="24" t="str">
        <x:v>120라5445</x:v>
      </x:c>
      <x:c r="E1918" s="24" t="str">
        <x:v>백민정</x:v>
      </x:c>
      <x:c r="F1918" s="24" t="str">
        <x:v>2026-03</x:v>
      </x:c>
      <x:c r="G1918" s="30" t="n">
        <x:v>46096</x:v>
      </x:c>
      <x:c r="H1918" s="32" t="n">
        <x:v>463000</x:v>
      </x:c>
      <x:c r="I1918" s="32" t="n">
        <x:v>803000</x:v>
      </x:c>
      <x:c r="J1918" s="32" t="n">
        <x:v>0</x:v>
      </x:c>
      <x:c r="K1918" s="30" t="n">
        <x:v>46082</x:v>
      </x:c>
      <x:c r="L1918" s="24" t="str">
        <x:v>입금</x:v>
      </x:c>
      <x:c r="M1918" s="31" t="n">
        <x:f>IF(AND(N1918="미수",G1918&lt;&gt;"",TODAY()&gt;G1918),TODAY()-G1918,0)</x:f>
        <x:v>0</x:v>
      </x:c>
      <x:c r="N1918" s="24" t="str">
        <x:f>IF(J1918&gt;0,"미수",IF(AND(H1918&gt;0,I1918&gt;=H1918),"완납","미확인"))</x:f>
        <x:v>완납</x:v>
      </x:c>
      <x:c r="O1918" s="31" t="n">
        <x:v>91</x:v>
      </x:c>
    </x:row>
    <x:row r="1919" ht="17.25" customHeight="1">
      <x:c r="A1919" s="24" t="str">
        <x:v>SW-B-120라5445-202602</x:v>
      </x:c>
      <x:c r="B1919" s="24" t="str">
        <x:v>스위치플랜</x:v>
      </x:c>
      <x:c r="C1919" s="24" t="str">
        <x:v>SW-C-120라5445-1-20231208-92</x:v>
      </x:c>
      <x:c r="D1919" s="24" t="str">
        <x:v>120라5445</x:v>
      </x:c>
      <x:c r="E1919" s="24" t="str">
        <x:v>백민정</x:v>
      </x:c>
      <x:c r="F1919" s="24" t="str">
        <x:v>2026-02</x:v>
      </x:c>
      <x:c r="G1919" s="30" t="n">
        <x:v>46068</x:v>
      </x:c>
      <x:c r="H1919" s="32" t="n">
        <x:v>540000</x:v>
      </x:c>
      <x:c r="I1919" s="32" t="n">
        <x:v>200000</x:v>
      </x:c>
      <x:c r="J1919" s="32" t="n">
        <x:v>340000</x:v>
      </x:c>
      <x:c r="K1919" s="30" t="n">
        <x:v>46071</x:v>
      </x:c>
      <x:c r="L1919" s="24" t="str">
        <x:v>입금</x:v>
      </x:c>
      <x:c r="M1919" s="31" t="n">
        <x:f>IF(AND(N1919="미수",G1919&lt;&gt;"",TODAY()&gt;G1919),TODAY()-G1919,0)</x:f>
        <x:v>181</x:v>
      </x:c>
      <x:c r="N1919" s="24" t="str">
        <x:f>IF(J1919&gt;0,"미수",IF(AND(H1919&gt;0,I1919&gt;=H1919),"완납","미확인"))</x:f>
        <x:v>미수</x:v>
      </x:c>
      <x:c r="O1919" s="31" t="n">
        <x:v>91</x:v>
      </x:c>
    </x:row>
    <x:row r="1920" ht="17.25" customHeight="1">
      <x:c r="A1920" s="24" t="str">
        <x:v>SW-B-120라5445-202601</x:v>
      </x:c>
      <x:c r="B1920" s="24" t="str">
        <x:v>스위치플랜</x:v>
      </x:c>
      <x:c r="C1920" s="24" t="str">
        <x:v>SW-C-120라5445-1-20231208-92</x:v>
      </x:c>
      <x:c r="D1920" s="24" t="str">
        <x:v>120라5445</x:v>
      </x:c>
      <x:c r="E1920" s="24" t="str">
        <x:v>백민정</x:v>
      </x:c>
      <x:c r="F1920" s="24" t="str">
        <x:v>2026-01</x:v>
      </x:c>
      <x:c r="G1920" s="30" t="n">
        <x:v>46037</x:v>
      </x:c>
      <x:c r="H1920" s="32" t="n">
        <x:v>540000</x:v>
      </x:c>
      <x:c r="I1920" s="32" t="n">
        <x:v>880000</x:v>
      </x:c>
      <x:c r="J1920" s="32" t="n">
        <x:v>0</x:v>
      </x:c>
      <x:c r="K1920" s="30" t="n">
        <x:v>46023</x:v>
      </x:c>
      <x:c r="L1920" s="24" t="str">
        <x:v>입금</x:v>
      </x:c>
      <x:c r="M1920" s="31" t="n">
        <x:f>IF(AND(N1920="미수",G1920&lt;&gt;"",TODAY()&gt;G1920),TODAY()-G1920,0)</x:f>
        <x:v>0</x:v>
      </x:c>
      <x:c r="N1920" s="24" t="str">
        <x:f>IF(J1920&gt;0,"미수",IF(AND(H1920&gt;0,I1920&gt;=H1920),"완납","미확인"))</x:f>
        <x:v>완납</x:v>
      </x:c>
      <x:c r="O1920" s="31" t="n">
        <x:v>91</x:v>
      </x:c>
    </x:row>
    <x:row r="1921" ht="17.25" customHeight="1">
      <x:c r="A1921" s="24" t="str">
        <x:v>SW-B-120라5445-202512</x:v>
      </x:c>
      <x:c r="B1921" s="24" t="str">
        <x:v>스위치플랜</x:v>
      </x:c>
      <x:c r="C1921" s="24" t="str">
        <x:v>SW-C-120라5445-1-20231208-92</x:v>
      </x:c>
      <x:c r="D1921" s="24" t="str">
        <x:v>120라5445</x:v>
      </x:c>
      <x:c r="E1921" s="24" t="str">
        <x:v>백민정</x:v>
      </x:c>
      <x:c r="F1921" s="24" t="str">
        <x:v>2025-12</x:v>
      </x:c>
      <x:c r="G1921" s="30" t="n">
        <x:v>46006</x:v>
      </x:c>
      <x:c r="H1921" s="32" t="n">
        <x:v>540000</x:v>
      </x:c>
      <x:c r="I1921" s="32" t="n">
        <x:v>450000</x:v>
      </x:c>
      <x:c r="J1921" s="32" t="n">
        <x:v>340000</x:v>
      </x:c>
      <x:c r="K1921" s="30" t="n">
        <x:v>45992</x:v>
      </x:c>
      <x:c r="L1921" s="24" t="str">
        <x:v>입금</x:v>
      </x:c>
      <x:c r="M1921" s="31" t="n">
        <x:f>IF(AND(N1921="미수",G1921&lt;&gt;"",TODAY()&gt;G1921),TODAY()-G1921,0)</x:f>
        <x:v>243</x:v>
      </x:c>
      <x:c r="N1921" s="24" t="str">
        <x:f>IF(J1921&gt;0,"미수",IF(AND(H1921&gt;0,I1921&gt;=H1921),"완납","미확인"))</x:f>
        <x:v>미수</x:v>
      </x:c>
      <x:c r="O1921" s="31" t="n">
        <x:v>91</x:v>
      </x:c>
    </x:row>
    <x:row r="1922" ht="17.25" customHeight="1">
      <x:c r="A1922" s="24" t="str">
        <x:v>SW-B-120라5445-202511</x:v>
      </x:c>
      <x:c r="B1922" s="24" t="str">
        <x:v>스위치플랜</x:v>
      </x:c>
      <x:c r="C1922" s="24" t="str">
        <x:v>SW-C-120라5445-1-20231208-92</x:v>
      </x:c>
      <x:c r="D1922" s="24" t="str">
        <x:v>120라5445</x:v>
      </x:c>
      <x:c r="E1922" s="24" t="str">
        <x:v>백민정</x:v>
      </x:c>
      <x:c r="F1922" s="24" t="str">
        <x:v>2025-11</x:v>
      </x:c>
      <x:c r="G1922" s="30" t="n">
        <x:v>45976</x:v>
      </x:c>
      <x:c r="H1922" s="32" t="n">
        <x:v>540000</x:v>
      </x:c>
      <x:c r="I1922" s="32" t="n">
        <x:v>320000</x:v>
      </x:c>
      <x:c r="J1922" s="32" t="n">
        <x:v>250000</x:v>
      </x:c>
      <x:c r="K1922" s="30" t="n">
        <x:v>45978</x:v>
      </x:c>
      <x:c r="L1922" s="24" t="str">
        <x:v>입금</x:v>
      </x:c>
      <x:c r="M1922" s="31" t="n">
        <x:f>IF(AND(N1922="미수",G1922&lt;&gt;"",TODAY()&gt;G1922),TODAY()-G1922,0)</x:f>
        <x:v>273</x:v>
      </x:c>
      <x:c r="N1922" s="24" t="str">
        <x:f>IF(J1922&gt;0,"미수",IF(AND(H1922&gt;0,I1922&gt;=H1922),"완납","미확인"))</x:f>
        <x:v>미수</x:v>
      </x:c>
      <x:c r="O1922" s="31" t="n">
        <x:v>91</x:v>
      </x:c>
    </x:row>
    <x:row r="1923" ht="17.25" customHeight="1">
      <x:c r="A1923" s="24" t="str">
        <x:v>SW-B-120라5445-202510</x:v>
      </x:c>
      <x:c r="B1923" s="24" t="str">
        <x:v>스위치플랜</x:v>
      </x:c>
      <x:c r="C1923" s="24" t="str">
        <x:v>SW-C-120라5445-1-20231208-92</x:v>
      </x:c>
      <x:c r="D1923" s="24" t="str">
        <x:v>120라5445</x:v>
      </x:c>
      <x:c r="E1923" s="24" t="str">
        <x:v>백민정</x:v>
      </x:c>
      <x:c r="F1923" s="24" t="str">
        <x:v>2025-10</x:v>
      </x:c>
      <x:c r="G1923" s="30" t="n">
        <x:v>45945</x:v>
      </x:c>
      <x:c r="H1923" s="32" t="n">
        <x:v>540000</x:v>
      </x:c>
      <x:c r="I1923" s="32" t="n">
        <x:v>510000</x:v>
      </x:c>
      <x:c r="J1923" s="32" t="n">
        <x:v>30000</x:v>
      </x:c>
      <x:c r="K1923" s="30" t="n">
        <x:v>45945</x:v>
      </x:c>
      <x:c r="L1923" s="24" t="str">
        <x:v>입금</x:v>
      </x:c>
      <x:c r="M1923" s="31" t="n">
        <x:f>IF(AND(N1923="미수",G1923&lt;&gt;"",TODAY()&gt;G1923),TODAY()-G1923,0)</x:f>
        <x:v>304</x:v>
      </x:c>
      <x:c r="N1923" s="24" t="str">
        <x:f>IF(J1923&gt;0,"미수",IF(AND(H1923&gt;0,I1923&gt;=H1923),"완납","미확인"))</x:f>
        <x:v>미수</x:v>
      </x:c>
      <x:c r="O1923" s="31" t="n">
        <x:v>91</x:v>
      </x:c>
    </x:row>
    <x:row r="1924" ht="17.25" customHeight="1">
      <x:c r="A1924" s="24" t="str">
        <x:v>SW-B-120라5445-202509</x:v>
      </x:c>
      <x:c r="B1924" s="24" t="str">
        <x:v>스위치플랜</x:v>
      </x:c>
      <x:c r="C1924" s="24" t="str">
        <x:v>SW-C-120라5445-1-20231208-92</x:v>
      </x:c>
      <x:c r="D1924" s="24" t="str">
        <x:v>120라5445</x:v>
      </x:c>
      <x:c r="E1924" s="24" t="str">
        <x:v>백민정</x:v>
      </x:c>
      <x:c r="F1924" s="24" t="str">
        <x:v>2025-09</x:v>
      </x:c>
      <x:c r="G1924" s="30" t="n">
        <x:v>45915</x:v>
      </x:c>
      <x:c r="H1924" s="32" t="n">
        <x:v>540000</x:v>
      </x:c>
      <x:c r="I1924" s="32" t="n">
        <x:v>540000</x:v>
      </x:c>
      <x:c r="J1924" s="32" t="n">
        <x:v>0</x:v>
      </x:c>
      <x:c r="K1924" s="30" t="n">
        <x:v>45915</x:v>
      </x:c>
      <x:c r="L1924" s="24" t="str">
        <x:v>입금</x:v>
      </x:c>
      <x:c r="M1924" s="31" t="n">
        <x:f>IF(AND(N1924="미수",G1924&lt;&gt;"",TODAY()&gt;G1924),TODAY()-G1924,0)</x:f>
        <x:v>0</x:v>
      </x:c>
      <x:c r="N1924" s="24" t="str">
        <x:f>IF(J1924&gt;0,"미수",IF(AND(H1924&gt;0,I1924&gt;=H1924),"완납","미확인"))</x:f>
        <x:v>완납</x:v>
      </x:c>
      <x:c r="O1924" s="31" t="n">
        <x:v>91</x:v>
      </x:c>
    </x:row>
    <x:row r="1925" ht="17.25" customHeight="1">
      <x:c r="A1925" s="24" t="str">
        <x:v>SW-B-120라5445-202508</x:v>
      </x:c>
      <x:c r="B1925" s="24" t="str">
        <x:v>스위치플랜</x:v>
      </x:c>
      <x:c r="C1925" s="24" t="str">
        <x:v>SW-C-120라5445-1-20231208-92</x:v>
      </x:c>
      <x:c r="D1925" s="24" t="str">
        <x:v>120라5445</x:v>
      </x:c>
      <x:c r="E1925" s="24" t="str">
        <x:v>백민정</x:v>
      </x:c>
      <x:c r="F1925" s="24" t="str">
        <x:v>2025-08</x:v>
      </x:c>
      <x:c r="G1925" s="30" t="n">
        <x:v>45884</x:v>
      </x:c>
      <x:c r="H1925" s="32" t="n">
        <x:v>540000</x:v>
      </x:c>
      <x:c r="I1925" s="32" t="n">
        <x:v>540000</x:v>
      </x:c>
      <x:c r="J1925" s="32" t="n">
        <x:v>0</x:v>
      </x:c>
      <x:c r="K1925" s="30" t="n">
        <x:v>45883</x:v>
      </x:c>
      <x:c r="L1925" s="24" t="str">
        <x:v>입금</x:v>
      </x:c>
      <x:c r="M1925" s="31" t="n">
        <x:f>IF(AND(N1925="미수",G1925&lt;&gt;"",TODAY()&gt;G1925),TODAY()-G1925,0)</x:f>
        <x:v>0</x:v>
      </x:c>
      <x:c r="N1925" s="24" t="str">
        <x:f>IF(J1925&gt;0,"미수",IF(AND(H1925&gt;0,I1925&gt;=H1925),"완납","미확인"))</x:f>
        <x:v>완납</x:v>
      </x:c>
      <x:c r="O1925" s="31" t="n">
        <x:v>91</x:v>
      </x:c>
    </x:row>
    <x:row r="1926" ht="17.25" customHeight="1">
      <x:c r="A1926" s="24" t="str">
        <x:v>SW-B-120라5445-202507</x:v>
      </x:c>
      <x:c r="B1926" s="24" t="str">
        <x:v>스위치플랜</x:v>
      </x:c>
      <x:c r="C1926" s="24" t="str">
        <x:v>SW-C-120라5445-1-20231208-92</x:v>
      </x:c>
      <x:c r="D1926" s="24" t="str">
        <x:v>120라5445</x:v>
      </x:c>
      <x:c r="E1926" s="24" t="str">
        <x:v>백민정</x:v>
      </x:c>
      <x:c r="F1926" s="24" t="str">
        <x:v>2025-07</x:v>
      </x:c>
      <x:c r="G1926" s="30" t="n">
        <x:v>45853</x:v>
      </x:c>
      <x:c r="H1926" s="32" t="n">
        <x:v>540000</x:v>
      </x:c>
      <x:c r="I1926" s="32" t="n">
        <x:v>540000</x:v>
      </x:c>
      <x:c r="J1926" s="32" t="n">
        <x:v>0</x:v>
      </x:c>
      <x:c r="K1926" s="30" t="n">
        <x:v>45855</x:v>
      </x:c>
      <x:c r="L1926" s="24" t="str">
        <x:v>입금</x:v>
      </x:c>
      <x:c r="M1926" s="31" t="n">
        <x:f>IF(AND(N1926="미수",G1926&lt;&gt;"",TODAY()&gt;G1926),TODAY()-G1926,0)</x:f>
        <x:v>0</x:v>
      </x:c>
      <x:c r="N1926" s="24" t="str">
        <x:f>IF(J1926&gt;0,"미수",IF(AND(H1926&gt;0,I1926&gt;=H1926),"완납","미확인"))</x:f>
        <x:v>완납</x:v>
      </x:c>
      <x:c r="O1926" s="31" t="n">
        <x:v>91</x:v>
      </x:c>
    </x:row>
    <x:row r="1927" ht="17.25" customHeight="1">
      <x:c r="A1927" s="24" t="str">
        <x:v>SW-B-120라5445-202506</x:v>
      </x:c>
      <x:c r="B1927" s="24" t="str">
        <x:v>스위치플랜</x:v>
      </x:c>
      <x:c r="C1927" s="24" t="str">
        <x:v>SW-C-120라5445-1-20231208-92</x:v>
      </x:c>
      <x:c r="D1927" s="24" t="str">
        <x:v>120라5445</x:v>
      </x:c>
      <x:c r="E1927" s="24" t="str">
        <x:v>백민정</x:v>
      </x:c>
      <x:c r="F1927" s="24" t="str">
        <x:v>2025-06</x:v>
      </x:c>
      <x:c r="G1927" s="30" t="n">
        <x:v>45823</x:v>
      </x:c>
      <x:c r="H1927" s="32" t="n">
        <x:v>630000</x:v>
      </x:c>
      <x:c r="I1927" s="32" t="n">
        <x:v>630000</x:v>
      </x:c>
      <x:c r="J1927" s="32" t="n">
        <x:v>0</x:v>
      </x:c>
      <x:c r="K1927" s="30" t="n">
        <x:v>45823</x:v>
      </x:c>
      <x:c r="L1927" s="24" t="str">
        <x:v>입금</x:v>
      </x:c>
      <x:c r="M1927" s="31" t="n">
        <x:f>IF(AND(N1927="미수",G1927&lt;&gt;"",TODAY()&gt;G1927),TODAY()-G1927,0)</x:f>
        <x:v>0</x:v>
      </x:c>
      <x:c r="N1927" s="24" t="str">
        <x:f>IF(J1927&gt;0,"미수",IF(AND(H1927&gt;0,I1927&gt;=H1927),"완납","미확인"))</x:f>
        <x:v>완납</x:v>
      </x:c>
      <x:c r="O1927" s="31" t="n">
        <x:v>91</x:v>
      </x:c>
    </x:row>
    <x:row r="1928" ht="17.25" customHeight="1">
      <x:c r="A1928" s="24" t="str">
        <x:v>SW-B-120라5445-202505</x:v>
      </x:c>
      <x:c r="B1928" s="24" t="str">
        <x:v>스위치플랜</x:v>
      </x:c>
      <x:c r="C1928" s="24" t="str">
        <x:v>SW-C-120라5445-1-20231208-92</x:v>
      </x:c>
      <x:c r="D1928" s="24" t="str">
        <x:v>120라5445</x:v>
      </x:c>
      <x:c r="E1928" s="24" t="str">
        <x:v>백민정</x:v>
      </x:c>
      <x:c r="F1928" s="24" t="str">
        <x:v>2025-05</x:v>
      </x:c>
      <x:c r="G1928" s="30" t="n">
        <x:v>45792</x:v>
      </x:c>
      <x:c r="H1928" s="32" t="n">
        <x:v>540000</x:v>
      </x:c>
      <x:c r="I1928" s="32" t="n">
        <x:v>540000</x:v>
      </x:c>
      <x:c r="J1928" s="32" t="n">
        <x:v>0</x:v>
      </x:c>
      <x:c r="K1928" s="30" t="n">
        <x:v>45792</x:v>
      </x:c>
      <x:c r="L1928" s="24" t="str">
        <x:v>입금</x:v>
      </x:c>
      <x:c r="M1928" s="31" t="n">
        <x:f>IF(AND(N1928="미수",G1928&lt;&gt;"",TODAY()&gt;G1928),TODAY()-G1928,0)</x:f>
        <x:v>0</x:v>
      </x:c>
      <x:c r="N1928" s="24" t="str">
        <x:f>IF(J1928&gt;0,"미수",IF(AND(H1928&gt;0,I1928&gt;=H1928),"완납","미확인"))</x:f>
        <x:v>완납</x:v>
      </x:c>
      <x:c r="O1928" s="31" t="n">
        <x:v>91</x:v>
      </x:c>
    </x:row>
    <x:row r="1929" ht="17.25" customHeight="1">
      <x:c r="A1929" s="24" t="str">
        <x:v>SW-B-120라5445-202504</x:v>
      </x:c>
      <x:c r="B1929" s="24" t="str">
        <x:v>스위치플랜</x:v>
      </x:c>
      <x:c r="C1929" s="24" t="str">
        <x:v>SW-C-120라5445-1-20231208-92</x:v>
      </x:c>
      <x:c r="D1929" s="24" t="str">
        <x:v>120라5445</x:v>
      </x:c>
      <x:c r="E1929" s="24" t="str">
        <x:v>백민정</x:v>
      </x:c>
      <x:c r="F1929" s="24" t="str">
        <x:v>2025-04</x:v>
      </x:c>
      <x:c r="G1929" s="30" t="n">
        <x:v>45762</x:v>
      </x:c>
      <x:c r="H1929" s="32" t="n">
        <x:v>490000</x:v>
      </x:c>
      <x:c r="I1929" s="32" t="n">
        <x:v>490000</x:v>
      </x:c>
      <x:c r="J1929" s="32" t="n">
        <x:v>0</x:v>
      </x:c>
      <x:c r="K1929" s="30" t="n">
        <x:v>45762</x:v>
      </x:c>
      <x:c r="L1929" s="24" t="str">
        <x:v>입금</x:v>
      </x:c>
      <x:c r="M1929" s="31" t="n">
        <x:f>IF(AND(N1929="미수",G1929&lt;&gt;"",TODAY()&gt;G1929),TODAY()-G1929,0)</x:f>
        <x:v>0</x:v>
      </x:c>
      <x:c r="N1929" s="24" t="str">
        <x:f>IF(J1929&gt;0,"미수",IF(AND(H1929&gt;0,I1929&gt;=H1929),"완납","미확인"))</x:f>
        <x:v>완납</x:v>
      </x:c>
      <x:c r="O1929" s="31" t="n">
        <x:v>91</x:v>
      </x:c>
    </x:row>
    <x:row r="1930" ht="17.25" customHeight="1">
      <x:c r="A1930" s="24" t="str">
        <x:v>SW-B-120라5445-202503</x:v>
      </x:c>
      <x:c r="B1930" s="24" t="str">
        <x:v>스위치플랜</x:v>
      </x:c>
      <x:c r="C1930" s="24" t="str">
        <x:v>SW-C-120라5445-1-20231208-92</x:v>
      </x:c>
      <x:c r="D1930" s="24" t="str">
        <x:v>120라5445</x:v>
      </x:c>
      <x:c r="E1930" s="24" t="str">
        <x:v>백민정</x:v>
      </x:c>
      <x:c r="F1930" s="24" t="str">
        <x:v>2025-03</x:v>
      </x:c>
      <x:c r="G1930" s="30" t="n">
        <x:v>45731</x:v>
      </x:c>
      <x:c r="H1930" s="32" t="n">
        <x:v>540000</x:v>
      </x:c>
      <x:c r="I1930" s="32" t="n">
        <x:v>540000</x:v>
      </x:c>
      <x:c r="J1930" s="32" t="n">
        <x:v>0</x:v>
      </x:c>
      <x:c r="K1930" s="30" t="n">
        <x:v>45726</x:v>
      </x:c>
      <x:c r="L1930" s="24" t="str">
        <x:v>입금</x:v>
      </x:c>
      <x:c r="M1930" s="31" t="n">
        <x:f>IF(AND(N1930="미수",G1930&lt;&gt;"",TODAY()&gt;G1930),TODAY()-G1930,0)</x:f>
        <x:v>0</x:v>
      </x:c>
      <x:c r="N1930" s="24" t="str">
        <x:f>IF(J1930&gt;0,"미수",IF(AND(H1930&gt;0,I1930&gt;=H1930),"완납","미확인"))</x:f>
        <x:v>완납</x:v>
      </x:c>
      <x:c r="O1930" s="31" t="n">
        <x:v>91</x:v>
      </x:c>
    </x:row>
    <x:row r="1931" ht="17.25" customHeight="1">
      <x:c r="A1931" s="24" t="str">
        <x:v>SW-B-120라5445-202502</x:v>
      </x:c>
      <x:c r="B1931" s="24" t="str">
        <x:v>스위치플랜</x:v>
      </x:c>
      <x:c r="C1931" s="24" t="str">
        <x:v>SW-C-120라5445-1-20231208-92</x:v>
      </x:c>
      <x:c r="D1931" s="24" t="str">
        <x:v>120라5445</x:v>
      </x:c>
      <x:c r="E1931" s="24" t="str">
        <x:v>백민정</x:v>
      </x:c>
      <x:c r="F1931" s="24" t="str">
        <x:v>2025-02</x:v>
      </x:c>
      <x:c r="G1931" s="30" t="n">
        <x:v>45703</x:v>
      </x:c>
      <x:c r="H1931" s="32" t="n">
        <x:v>540000</x:v>
      </x:c>
      <x:c r="I1931" s="32" t="n">
        <x:v>540000</x:v>
      </x:c>
      <x:c r="J1931" s="32" t="n">
        <x:v>0</x:v>
      </x:c>
      <x:c r="K1931" s="30" t="n">
        <x:v>45696</x:v>
      </x:c>
      <x:c r="L1931" s="24" t="str">
        <x:v>입금</x:v>
      </x:c>
      <x:c r="M1931" s="31" t="n">
        <x:f>IF(AND(N1931="미수",G1931&lt;&gt;"",TODAY()&gt;G1931),TODAY()-G1931,0)</x:f>
        <x:v>0</x:v>
      </x:c>
      <x:c r="N1931" s="24" t="str">
        <x:f>IF(J1931&gt;0,"미수",IF(AND(H1931&gt;0,I1931&gt;=H1931),"완납","미확인"))</x:f>
        <x:v>완납</x:v>
      </x:c>
      <x:c r="O1931" s="31" t="n">
        <x:v>91</x:v>
      </x:c>
    </x:row>
    <x:row r="1932" ht="17.25" customHeight="1">
      <x:c r="A1932" s="24" t="str">
        <x:v>SW-B-120라5445-202501</x:v>
      </x:c>
      <x:c r="B1932" s="24" t="str">
        <x:v>스위치플랜</x:v>
      </x:c>
      <x:c r="C1932" s="24" t="str">
        <x:v>SW-C-120라5445-1-20231208-92</x:v>
      </x:c>
      <x:c r="D1932" s="24" t="str">
        <x:v>120라5445</x:v>
      </x:c>
      <x:c r="E1932" s="24" t="str">
        <x:v>백민정</x:v>
      </x:c>
      <x:c r="F1932" s="24" t="str">
        <x:v>2025-01</x:v>
      </x:c>
      <x:c r="G1932" s="30" t="n">
        <x:v>45672</x:v>
      </x:c>
      <x:c r="H1932" s="32" t="n">
        <x:v>540000</x:v>
      </x:c>
      <x:c r="I1932" s="32" t="n">
        <x:v>540000</x:v>
      </x:c>
      <x:c r="J1932" s="32" t="n">
        <x:v>0</x:v>
      </x:c>
      <x:c r="K1932" s="30" t="n">
        <x:v>45665</x:v>
      </x:c>
      <x:c r="L1932" s="24" t="str">
        <x:v>입금</x:v>
      </x:c>
      <x:c r="M1932" s="31" t="n">
        <x:f>IF(AND(N1932="미수",G1932&lt;&gt;"",TODAY()&gt;G1932),TODAY()-G1932,0)</x:f>
        <x:v>0</x:v>
      </x:c>
      <x:c r="N1932" s="24" t="str">
        <x:f>IF(J1932&gt;0,"미수",IF(AND(H1932&gt;0,I1932&gt;=H1932),"완납","미확인"))</x:f>
        <x:v>완납</x:v>
      </x:c>
      <x:c r="O1932" s="31" t="n">
        <x:v>91</x:v>
      </x:c>
    </x:row>
    <x:row r="1933" ht="17.25" customHeight="1">
      <x:c r="A1933" s="24" t="str">
        <x:v>SW-B-120라5445-202412</x:v>
      </x:c>
      <x:c r="B1933" s="24" t="str">
        <x:v>스위치플랜</x:v>
      </x:c>
      <x:c r="C1933" s="24" t="str">
        <x:v>SW-C-120라5445-1-20231208-92</x:v>
      </x:c>
      <x:c r="D1933" s="24" t="str">
        <x:v>120라5445</x:v>
      </x:c>
      <x:c r="E1933" s="24" t="str">
        <x:v>백민정</x:v>
      </x:c>
      <x:c r="F1933" s="24" t="str">
        <x:v>2024-12</x:v>
      </x:c>
      <x:c r="G1933" s="30" t="n">
        <x:v>45641</x:v>
      </x:c>
      <x:c r="H1933" s="32" t="n">
        <x:v>490000</x:v>
      </x:c>
      <x:c r="I1933" s="32" t="n">
        <x:v>490000</x:v>
      </x:c>
      <x:c r="J1933" s="32" t="n">
        <x:v>0</x:v>
      </x:c>
      <x:c r="K1933" s="30" t="n">
        <x:v>45637</x:v>
      </x:c>
      <x:c r="L1933" s="24" t="str">
        <x:v>입금</x:v>
      </x:c>
      <x:c r="M1933" s="31" t="n">
        <x:f>IF(AND(N1933="미수",G1933&lt;&gt;"",TODAY()&gt;G1933),TODAY()-G1933,0)</x:f>
        <x:v>0</x:v>
      </x:c>
      <x:c r="N1933" s="24" t="str">
        <x:f>IF(J1933&gt;0,"미수",IF(AND(H1933&gt;0,I1933&gt;=H1933),"완납","미확인"))</x:f>
        <x:v>완납</x:v>
      </x:c>
      <x:c r="O1933" s="31" t="n">
        <x:v>91</x:v>
      </x:c>
    </x:row>
    <x:row r="1934" ht="17.25" customHeight="1">
      <x:c r="A1934" s="24" t="str">
        <x:v>SW-B-120라5445-202411</x:v>
      </x:c>
      <x:c r="B1934" s="24" t="str">
        <x:v>스위치플랜</x:v>
      </x:c>
      <x:c r="C1934" s="24" t="str">
        <x:v>SW-C-120라5445-1-20231208-92</x:v>
      </x:c>
      <x:c r="D1934" s="24" t="str">
        <x:v>120라5445</x:v>
      </x:c>
      <x:c r="E1934" s="24" t="str">
        <x:v>백민정</x:v>
      </x:c>
      <x:c r="F1934" s="24" t="str">
        <x:v>2024-11</x:v>
      </x:c>
      <x:c r="G1934" s="30" t="n">
        <x:v>45611</x:v>
      </x:c>
      <x:c r="H1934" s="32" t="n">
        <x:v>540000</x:v>
      </x:c>
      <x:c r="I1934" s="32" t="n">
        <x:v>540000</x:v>
      </x:c>
      <x:c r="J1934" s="32" t="n">
        <x:v>0</x:v>
      </x:c>
      <x:c r="K1934" s="30" t="n">
        <x:v>45607</x:v>
      </x:c>
      <x:c r="L1934" s="24" t="str">
        <x:v>입금</x:v>
      </x:c>
      <x:c r="M1934" s="31" t="n">
        <x:f>IF(AND(N1934="미수",G1934&lt;&gt;"",TODAY()&gt;G1934),TODAY()-G1934,0)</x:f>
        <x:v>0</x:v>
      </x:c>
      <x:c r="N1934" s="24" t="str">
        <x:f>IF(J1934&gt;0,"미수",IF(AND(H1934&gt;0,I1934&gt;=H1934),"완납","미확인"))</x:f>
        <x:v>완납</x:v>
      </x:c>
      <x:c r="O1934" s="31" t="n">
        <x:v>91</x:v>
      </x:c>
    </x:row>
    <x:row r="1935" ht="17.25" customHeight="1">
      <x:c r="A1935" s="24" t="str">
        <x:v>SW-B-120라5445-202410</x:v>
      </x:c>
      <x:c r="B1935" s="24" t="str">
        <x:v>스위치플랜</x:v>
      </x:c>
      <x:c r="C1935" s="24" t="str">
        <x:v>SW-C-120라5445-1-20231208-92</x:v>
      </x:c>
      <x:c r="D1935" s="24" t="str">
        <x:v>120라5445</x:v>
      </x:c>
      <x:c r="E1935" s="24" t="str">
        <x:v>백민정</x:v>
      </x:c>
      <x:c r="F1935" s="24" t="str">
        <x:v>2024-10</x:v>
      </x:c>
      <x:c r="G1935" s="30" t="n">
        <x:v>45580</x:v>
      </x:c>
      <x:c r="H1935" s="32" t="n">
        <x:v>540000</x:v>
      </x:c>
      <x:c r="I1935" s="32" t="n">
        <x:v>540000</x:v>
      </x:c>
      <x:c r="J1935" s="32" t="n">
        <x:v>0</x:v>
      </x:c>
      <x:c r="K1935" s="30" t="n">
        <x:v>45574</x:v>
      </x:c>
      <x:c r="L1935" s="24" t="str">
        <x:v>입금</x:v>
      </x:c>
      <x:c r="M1935" s="31" t="n">
        <x:f>IF(AND(N1935="미수",G1935&lt;&gt;"",TODAY()&gt;G1935),TODAY()-G1935,0)</x:f>
        <x:v>0</x:v>
      </x:c>
      <x:c r="N1935" s="24" t="str">
        <x:f>IF(J1935&gt;0,"미수",IF(AND(H1935&gt;0,I1935&gt;=H1935),"완납","미확인"))</x:f>
        <x:v>완납</x:v>
      </x:c>
      <x:c r="O1935" s="31" t="n">
        <x:v>91</x:v>
      </x:c>
    </x:row>
    <x:row r="1936" ht="17.25" customHeight="1">
      <x:c r="A1936" s="24" t="str">
        <x:v>SW-B-120라5445-202409</x:v>
      </x:c>
      <x:c r="B1936" s="24" t="str">
        <x:v>스위치플랜</x:v>
      </x:c>
      <x:c r="C1936" s="24" t="str">
        <x:v>SW-C-120라5445-1-20231208-92</x:v>
      </x:c>
      <x:c r="D1936" s="24" t="str">
        <x:v>120라5445</x:v>
      </x:c>
      <x:c r="E1936" s="24" t="str">
        <x:v>백민정</x:v>
      </x:c>
      <x:c r="F1936" s="24" t="str">
        <x:v>2024-09</x:v>
      </x:c>
      <x:c r="G1936" s="30" t="n">
        <x:v>45550</x:v>
      </x:c>
      <x:c r="H1936" s="32" t="n">
        <x:v>540000</x:v>
      </x:c>
      <x:c r="I1936" s="32" t="n">
        <x:v>540000</x:v>
      </x:c>
      <x:c r="J1936" s="32" t="n">
        <x:v>0</x:v>
      </x:c>
      <x:c r="K1936" s="30" t="n">
        <x:v>45539</x:v>
      </x:c>
      <x:c r="L1936" s="24" t="str">
        <x:v>입금</x:v>
      </x:c>
      <x:c r="M1936" s="31" t="n">
        <x:f>IF(AND(N1936="미수",G1936&lt;&gt;"",TODAY()&gt;G1936),TODAY()-G1936,0)</x:f>
        <x:v>0</x:v>
      </x:c>
      <x:c r="N1936" s="24" t="str">
        <x:f>IF(J1936&gt;0,"미수",IF(AND(H1936&gt;0,I1936&gt;=H1936),"완납","미확인"))</x:f>
        <x:v>완납</x:v>
      </x:c>
      <x:c r="O1936" s="31" t="n">
        <x:v>91</x:v>
      </x:c>
    </x:row>
    <x:row r="1937" ht="17.25" customHeight="1">
      <x:c r="A1937" s="24" t="str">
        <x:v>SW-B-120라5445-202408</x:v>
      </x:c>
      <x:c r="B1937" s="24" t="str">
        <x:v>스위치플랜</x:v>
      </x:c>
      <x:c r="C1937" s="24" t="str">
        <x:v>SW-C-120라5445-1-20231208-92</x:v>
      </x:c>
      <x:c r="D1937" s="24" t="str">
        <x:v>120라5445</x:v>
      </x:c>
      <x:c r="E1937" s="24" t="str">
        <x:v>백민정</x:v>
      </x:c>
      <x:c r="F1937" s="24" t="str">
        <x:v>2024-08</x:v>
      </x:c>
      <x:c r="G1937" s="30" t="n">
        <x:v>45519</x:v>
      </x:c>
      <x:c r="H1937" s="32" t="n">
        <x:v>540000</x:v>
      </x:c>
      <x:c r="I1937" s="32" t="n">
        <x:v>540000</x:v>
      </x:c>
      <x:c r="J1937" s="32" t="n">
        <x:v>0</x:v>
      </x:c>
      <x:c r="K1937" s="30" t="n">
        <x:v>45516</x:v>
      </x:c>
      <x:c r="L1937" s="24" t="str">
        <x:v>입금</x:v>
      </x:c>
      <x:c r="M1937" s="31" t="n">
        <x:f>IF(AND(N1937="미수",G1937&lt;&gt;"",TODAY()&gt;G1937),TODAY()-G1937,0)</x:f>
        <x:v>0</x:v>
      </x:c>
      <x:c r="N1937" s="24" t="str">
        <x:f>IF(J1937&gt;0,"미수",IF(AND(H1937&gt;0,I1937&gt;=H1937),"완납","미확인"))</x:f>
        <x:v>완납</x:v>
      </x:c>
      <x:c r="O1937" s="31" t="n">
        <x:v>91</x:v>
      </x:c>
    </x:row>
    <x:row r="1938" ht="17.25" customHeight="1">
      <x:c r="A1938" s="24" t="str">
        <x:v>SW-B-120라5445-202407</x:v>
      </x:c>
      <x:c r="B1938" s="24" t="str">
        <x:v>스위치플랜</x:v>
      </x:c>
      <x:c r="C1938" s="24" t="str">
        <x:v>SW-C-120라5445-1-20231208-92</x:v>
      </x:c>
      <x:c r="D1938" s="24" t="str">
        <x:v>120라5445</x:v>
      </x:c>
      <x:c r="E1938" s="24" t="str">
        <x:v>백민정</x:v>
      </x:c>
      <x:c r="F1938" s="24" t="str">
        <x:v>2024-07</x:v>
      </x:c>
      <x:c r="G1938" s="30" t="n">
        <x:v>45488</x:v>
      </x:c>
      <x:c r="H1938" s="32" t="n">
        <x:v>540000</x:v>
      </x:c>
      <x:c r="I1938" s="32" t="n">
        <x:v>540000</x:v>
      </x:c>
      <x:c r="J1938" s="32" t="n">
        <x:v>0</x:v>
      </x:c>
      <x:c r="K1938" s="30" t="n">
        <x:v>45476</x:v>
      </x:c>
      <x:c r="L1938" s="24" t="str">
        <x:v>입금</x:v>
      </x:c>
      <x:c r="M1938" s="31" t="n">
        <x:f>IF(AND(N1938="미수",G1938&lt;&gt;"",TODAY()&gt;G1938),TODAY()-G1938,0)</x:f>
        <x:v>0</x:v>
      </x:c>
      <x:c r="N1938" s="24" t="str">
        <x:f>IF(J1938&gt;0,"미수",IF(AND(H1938&gt;0,I1938&gt;=H1938),"완납","미확인"))</x:f>
        <x:v>완납</x:v>
      </x:c>
      <x:c r="O1938" s="31" t="n">
        <x:v>91</x:v>
      </x:c>
    </x:row>
    <x:row r="1939" ht="17.25" customHeight="1">
      <x:c r="A1939" s="24" t="str">
        <x:v>SW-B-120라5445-202406</x:v>
      </x:c>
      <x:c r="B1939" s="24" t="str">
        <x:v>스위치플랜</x:v>
      </x:c>
      <x:c r="C1939" s="24" t="str">
        <x:v>SW-C-120라5445-1-20231208-92</x:v>
      </x:c>
      <x:c r="D1939" s="24" t="str">
        <x:v>120라5445</x:v>
      </x:c>
      <x:c r="E1939" s="24" t="str">
        <x:v>백민정</x:v>
      </x:c>
      <x:c r="F1939" s="24" t="str">
        <x:v>2024-06</x:v>
      </x:c>
      <x:c r="G1939" s="30" t="n">
        <x:v>45458</x:v>
      </x:c>
      <x:c r="H1939" s="32" t="n">
        <x:v>540000</x:v>
      </x:c>
      <x:c r="I1939" s="32" t="n">
        <x:v>540000</x:v>
      </x:c>
      <x:c r="J1939" s="32" t="n">
        <x:v>0</x:v>
      </x:c>
      <x:c r="K1939" s="30" t="n">
        <x:v>45454</x:v>
      </x:c>
      <x:c r="L1939" s="24" t="str">
        <x:v>입금</x:v>
      </x:c>
      <x:c r="M1939" s="31" t="n">
        <x:f>IF(AND(N1939="미수",G1939&lt;&gt;"",TODAY()&gt;G1939),TODAY()-G1939,0)</x:f>
        <x:v>0</x:v>
      </x:c>
      <x:c r="N1939" s="24" t="str">
        <x:f>IF(J1939&gt;0,"미수",IF(AND(H1939&gt;0,I1939&gt;=H1939),"완납","미확인"))</x:f>
        <x:v>완납</x:v>
      </x:c>
      <x:c r="O1939" s="31" t="n">
        <x:v>91</x:v>
      </x:c>
    </x:row>
    <x:row r="1940" ht="17.25" customHeight="1">
      <x:c r="A1940" s="24" t="str">
        <x:v>SW-B-120라5445-202405</x:v>
      </x:c>
      <x:c r="B1940" s="24" t="str">
        <x:v>스위치플랜</x:v>
      </x:c>
      <x:c r="C1940" s="24" t="str">
        <x:v>SW-C-120라5445-1-20231208-92</x:v>
      </x:c>
      <x:c r="D1940" s="24" t="str">
        <x:v>120라5445</x:v>
      </x:c>
      <x:c r="E1940" s="24" t="str">
        <x:v>백민정</x:v>
      </x:c>
      <x:c r="F1940" s="24" t="str">
        <x:v>2024-05</x:v>
      </x:c>
      <x:c r="G1940" s="30" t="n">
        <x:v>45427</x:v>
      </x:c>
      <x:c r="H1940" s="32" t="n">
        <x:v>540000</x:v>
      </x:c>
      <x:c r="I1940" s="32" t="n">
        <x:v>540000</x:v>
      </x:c>
      <x:c r="J1940" s="32" t="n">
        <x:v>0</x:v>
      </x:c>
      <x:c r="K1940" s="30" t="n">
        <x:v>45421</x:v>
      </x:c>
      <x:c r="L1940" s="24" t="str">
        <x:v>입금</x:v>
      </x:c>
      <x:c r="M1940" s="31" t="n">
        <x:f>IF(AND(N1940="미수",G1940&lt;&gt;"",TODAY()&gt;G1940),TODAY()-G1940,0)</x:f>
        <x:v>0</x:v>
      </x:c>
      <x:c r="N1940" s="24" t="str">
        <x:f>IF(J1940&gt;0,"미수",IF(AND(H1940&gt;0,I1940&gt;=H1940),"완납","미확인"))</x:f>
        <x:v>완납</x:v>
      </x:c>
      <x:c r="O1940" s="31" t="n">
        <x:v>91</x:v>
      </x:c>
    </x:row>
    <x:row r="1941" ht="17.25" customHeight="1">
      <x:c r="A1941" s="24" t="str">
        <x:v>SW-B-120라5445-202404</x:v>
      </x:c>
      <x:c r="B1941" s="24" t="str">
        <x:v>스위치플랜</x:v>
      </x:c>
      <x:c r="C1941" s="24" t="str">
        <x:v>SW-C-120라5445-1-20231208-92</x:v>
      </x:c>
      <x:c r="D1941" s="24" t="str">
        <x:v>120라5445</x:v>
      </x:c>
      <x:c r="E1941" s="24" t="str">
        <x:v>백민정</x:v>
      </x:c>
      <x:c r="F1941" s="24" t="str">
        <x:v>2024-04</x:v>
      </x:c>
      <x:c r="G1941" s="30" t="n">
        <x:v>45397</x:v>
      </x:c>
      <x:c r="H1941" s="32" t="n">
        <x:v>540000</x:v>
      </x:c>
      <x:c r="I1941" s="32" t="n">
        <x:v>540000</x:v>
      </x:c>
      <x:c r="J1941" s="32" t="n">
        <x:v>0</x:v>
      </x:c>
      <x:c r="K1941" s="30" t="n">
        <x:v>45392</x:v>
      </x:c>
      <x:c r="L1941" s="24" t="str">
        <x:v>입금</x:v>
      </x:c>
      <x:c r="M1941" s="31" t="n">
        <x:f>IF(AND(N1941="미수",G1941&lt;&gt;"",TODAY()&gt;G1941),TODAY()-G1941,0)</x:f>
        <x:v>0</x:v>
      </x:c>
      <x:c r="N1941" s="24" t="str">
        <x:f>IF(J1941&gt;0,"미수",IF(AND(H1941&gt;0,I1941&gt;=H1941),"완납","미확인"))</x:f>
        <x:v>완납</x:v>
      </x:c>
      <x:c r="O1941" s="31" t="n">
        <x:v>91</x:v>
      </x:c>
    </x:row>
    <x:row r="1942" ht="17.25" customHeight="1">
      <x:c r="A1942" s="24" t="str">
        <x:v>SW-B-120라5445-202403</x:v>
      </x:c>
      <x:c r="B1942" s="24" t="str">
        <x:v>스위치플랜</x:v>
      </x:c>
      <x:c r="C1942" s="24" t="str">
        <x:v>SW-C-120라5445-1-20231208-92</x:v>
      </x:c>
      <x:c r="D1942" s="24" t="str">
        <x:v>120라5445</x:v>
      </x:c>
      <x:c r="E1942" s="24" t="str">
        <x:v>백민정</x:v>
      </x:c>
      <x:c r="F1942" s="24" t="str">
        <x:v>2024-03</x:v>
      </x:c>
      <x:c r="G1942" s="30" t="n">
        <x:v>45366</x:v>
      </x:c>
      <x:c r="H1942" s="32" t="n">
        <x:v>540000</x:v>
      </x:c>
      <x:c r="I1942" s="32" t="n">
        <x:v>540000</x:v>
      </x:c>
      <x:c r="J1942" s="32" t="n">
        <x:v>0</x:v>
      </x:c>
      <x:c r="K1942" s="30" t="n">
        <x:v>45361</x:v>
      </x:c>
      <x:c r="L1942" s="24" t="str">
        <x:v>입금</x:v>
      </x:c>
      <x:c r="M1942" s="31" t="n">
        <x:f>IF(AND(N1942="미수",G1942&lt;&gt;"",TODAY()&gt;G1942),TODAY()-G1942,0)</x:f>
        <x:v>0</x:v>
      </x:c>
      <x:c r="N1942" s="24" t="str">
        <x:f>IF(J1942&gt;0,"미수",IF(AND(H1942&gt;0,I1942&gt;=H1942),"완납","미확인"))</x:f>
        <x:v>완납</x:v>
      </x:c>
      <x:c r="O1942" s="31" t="n">
        <x:v>91</x:v>
      </x:c>
    </x:row>
    <x:row r="1943" ht="17.25" customHeight="1">
      <x:c r="A1943" s="24" t="str">
        <x:v>SW-B-120라5445-202402</x:v>
      </x:c>
      <x:c r="B1943" s="24" t="str">
        <x:v>스위치플랜</x:v>
      </x:c>
      <x:c r="C1943" s="24" t="str">
        <x:v>SW-C-120라5445-1-20231208-92</x:v>
      </x:c>
      <x:c r="D1943" s="24" t="str">
        <x:v>120라5445</x:v>
      </x:c>
      <x:c r="E1943" s="24" t="str">
        <x:v>백민정</x:v>
      </x:c>
      <x:c r="F1943" s="24" t="str">
        <x:v>2024-02</x:v>
      </x:c>
      <x:c r="G1943" s="30" t="n">
        <x:v>45337</x:v>
      </x:c>
      <x:c r="H1943" s="32" t="n">
        <x:v>540000</x:v>
      </x:c>
      <x:c r="I1943" s="32" t="n">
        <x:v>540000</x:v>
      </x:c>
      <x:c r="J1943" s="32" t="n">
        <x:v>0</x:v>
      </x:c>
      <x:c r="K1943" s="30" t="n">
        <x:v>45330</x:v>
      </x:c>
      <x:c r="L1943" s="24" t="str">
        <x:v>입금</x:v>
      </x:c>
      <x:c r="M1943" s="31" t="n">
        <x:f>IF(AND(N1943="미수",G1943&lt;&gt;"",TODAY()&gt;G1943),TODAY()-G1943,0)</x:f>
        <x:v>0</x:v>
      </x:c>
      <x:c r="N1943" s="24" t="str">
        <x:f>IF(J1943&gt;0,"미수",IF(AND(H1943&gt;0,I1943&gt;=H1943),"완납","미확인"))</x:f>
        <x:v>완납</x:v>
      </x:c>
      <x:c r="O1943" s="31" t="n">
        <x:v>91</x:v>
      </x:c>
    </x:row>
    <x:row r="1944" ht="17.25" customHeight="1">
      <x:c r="A1944" s="24" t="str">
        <x:v>SW-B-120라5445-202401</x:v>
      </x:c>
      <x:c r="B1944" s="24" t="str">
        <x:v>스위치플랜</x:v>
      </x:c>
      <x:c r="C1944" s="24" t="str">
        <x:v>SW-C-120라5445-1-20231208-92</x:v>
      </x:c>
      <x:c r="D1944" s="24" t="str">
        <x:v>120라5445</x:v>
      </x:c>
      <x:c r="E1944" s="24" t="str">
        <x:v>백민정</x:v>
      </x:c>
      <x:c r="F1944" s="24" t="str">
        <x:v>2024-01</x:v>
      </x:c>
      <x:c r="G1944" s="30" t="n">
        <x:v>45306</x:v>
      </x:c>
      <x:c r="H1944" s="32" t="n">
        <x:v>540000</x:v>
      </x:c>
      <x:c r="I1944" s="32" t="n">
        <x:v>540000</x:v>
      </x:c>
      <x:c r="J1944" s="32" t="n">
        <x:v>0</x:v>
      </x:c>
      <x:c r="K1944" s="30" t="n">
        <x:v>45301</x:v>
      </x:c>
      <x:c r="L1944" s="24" t="str">
        <x:v>입금</x:v>
      </x:c>
      <x:c r="M1944" s="31" t="n">
        <x:f>IF(AND(N1944="미수",G1944&lt;&gt;"",TODAY()&gt;G1944),TODAY()-G1944,0)</x:f>
        <x:v>0</x:v>
      </x:c>
      <x:c r="N1944" s="24" t="str">
        <x:f>IF(J1944&gt;0,"미수",IF(AND(H1944&gt;0,I1944&gt;=H1944),"완납","미확인"))</x:f>
        <x:v>완납</x:v>
      </x:c>
      <x:c r="O1944" s="31" t="n">
        <x:v>91</x:v>
      </x:c>
    </x:row>
    <x:row r="1945" ht="17.25" customHeight="1">
      <x:c r="A1945" s="24" t="str">
        <x:v>SW-B-120라5445-202312</x:v>
      </x:c>
      <x:c r="B1945" s="24" t="str">
        <x:v>스위치플랜</x:v>
      </x:c>
      <x:c r="C1945" s="24" t="str">
        <x:v>SW-C-120라5445-1-20231208-92</x:v>
      </x:c>
      <x:c r="D1945" s="24" t="str">
        <x:v>120라5445</x:v>
      </x:c>
      <x:c r="E1945" s="24" t="str">
        <x:v>백민정</x:v>
      </x:c>
      <x:c r="F1945" s="24" t="str">
        <x:v>2023-12</x:v>
      </x:c>
      <x:c r="G1945" s="30" t="n">
        <x:v>45275</x:v>
      </x:c>
      <x:c r="H1945" s="32" t="n">
        <x:v>540000</x:v>
      </x:c>
      <x:c r="I1945" s="32" t="n">
        <x:v>540000</x:v>
      </x:c>
      <x:c r="J1945" s="32" t="n">
        <x:v>0</x:v>
      </x:c>
      <x:c r="K1945" s="30" t="n">
        <x:v>45261</x:v>
      </x:c>
      <x:c r="L1945" s="24" t="str">
        <x:v>입금</x:v>
      </x:c>
      <x:c r="M1945" s="31" t="n">
        <x:f>IF(AND(N1945="미수",G1945&lt;&gt;"",TODAY()&gt;G1945),TODAY()-G1945,0)</x:f>
        <x:v>0</x:v>
      </x:c>
      <x:c r="N1945" s="24" t="str">
        <x:f>IF(J1945&gt;0,"미수",IF(AND(H1945&gt;0,I1945&gt;=H1945),"완납","미확인"))</x:f>
        <x:v>완납</x:v>
      </x:c>
      <x:c r="O1945" s="31" t="n">
        <x:v>91</x:v>
      </x:c>
    </x:row>
    <x:row r="1946" ht="17.25" customHeight="1">
      <x:c r="A1946" s="24" t="str">
        <x:v>SW-B-363소9788-202608</x:v>
      </x:c>
      <x:c r="B1946" s="24" t="str">
        <x:v>스위치플랜</x:v>
      </x:c>
      <x:c r="C1946" s="24" t="str">
        <x:v>SW-C-363소9788-1-20250529-93</x:v>
      </x:c>
      <x:c r="D1946" s="24" t="str">
        <x:v>363소9788</x:v>
      </x:c>
      <x:c r="E1946" s="24" t="str">
        <x:v>김기남</x:v>
      </x:c>
      <x:c r="F1946" s="24" t="str">
        <x:v>2026-08</x:v>
      </x:c>
      <x:c r="G1946" s="30" t="n">
        <x:v>46259</x:v>
      </x:c>
      <x:c r="H1946" s="32" t="n">
        <x:v>360000</x:v>
      </x:c>
      <x:c r="I1946" s="32"/>
      <x:c r="J1946" s="32" t="n">
        <x:v>360000</x:v>
      </x:c>
      <x:c r="K1946" s="30"/>
      <x:c r="L1946" s="24" t="str"/>
      <x:c r="M1946" s="31" t="n">
        <x:f>IF(AND(N1946="미수",G1946&lt;&gt;"",TODAY()&gt;G1946),TODAY()-G1946,0)</x:f>
        <x:v>0</x:v>
      </x:c>
      <x:c r="N1946" s="24" t="str">
        <x:f>IF(J1946&gt;0,"미수",IF(AND(H1946&gt;0,I1946&gt;=H1946),"완납","미확인"))</x:f>
        <x:v>미수</x:v>
      </x:c>
      <x:c r="O1946" s="31" t="n">
        <x:v>92</x:v>
      </x:c>
    </x:row>
    <x:row r="1947" ht="17.25" customHeight="1">
      <x:c r="A1947" s="24" t="str">
        <x:v>SW-B-363소9788-202607</x:v>
      </x:c>
      <x:c r="B1947" s="24" t="str">
        <x:v>스위치플랜</x:v>
      </x:c>
      <x:c r="C1947" s="24" t="str">
        <x:v>SW-C-363소9788-1-20250529-93</x:v>
      </x:c>
      <x:c r="D1947" s="24" t="str">
        <x:v>363소9788</x:v>
      </x:c>
      <x:c r="E1947" s="24" t="str">
        <x:v>김기남</x:v>
      </x:c>
      <x:c r="F1947" s="24" t="str">
        <x:v>2026-07</x:v>
      </x:c>
      <x:c r="G1947" s="30" t="n">
        <x:v>46228</x:v>
      </x:c>
      <x:c r="H1947" s="32" t="n">
        <x:v>360000</x:v>
      </x:c>
      <x:c r="I1947" s="32" t="n">
        <x:v>360000</x:v>
      </x:c>
      <x:c r="J1947" s="32" t="n">
        <x:v>0</x:v>
      </x:c>
      <x:c r="K1947" s="30" t="n">
        <x:v>46232</x:v>
      </x:c>
      <x:c r="L1947" s="24" t="str">
        <x:v>입금</x:v>
      </x:c>
      <x:c r="M1947" s="31" t="n">
        <x:f>IF(AND(N1947="미수",G1947&lt;&gt;"",TODAY()&gt;G1947),TODAY()-G1947,0)</x:f>
        <x:v>0</x:v>
      </x:c>
      <x:c r="N1947" s="24" t="str">
        <x:f>IF(J1947&gt;0,"미수",IF(AND(H1947&gt;0,I1947&gt;=H1947),"완납","미확인"))</x:f>
        <x:v>완납</x:v>
      </x:c>
      <x:c r="O1947" s="31" t="n">
        <x:v>92</x:v>
      </x:c>
    </x:row>
    <x:row r="1948" ht="17.25" customHeight="1">
      <x:c r="A1948" s="24" t="str">
        <x:v>SW-B-363소9788-202606</x:v>
      </x:c>
      <x:c r="B1948" s="24" t="str">
        <x:v>스위치플랜</x:v>
      </x:c>
      <x:c r="C1948" s="24" t="str">
        <x:v>SW-C-363소9788-1-20250529-93</x:v>
      </x:c>
      <x:c r="D1948" s="24" t="str">
        <x:v>363소9788</x:v>
      </x:c>
      <x:c r="E1948" s="24" t="str">
        <x:v>김기남</x:v>
      </x:c>
      <x:c r="F1948" s="24" t="str">
        <x:v>2026-06</x:v>
      </x:c>
      <x:c r="G1948" s="30" t="n">
        <x:v>46198</x:v>
      </x:c>
      <x:c r="H1948" s="32" t="n">
        <x:v>360000</x:v>
      </x:c>
      <x:c r="I1948" s="32" t="n">
        <x:v>260000</x:v>
      </x:c>
      <x:c r="J1948" s="32" t="n">
        <x:v>0</x:v>
      </x:c>
      <x:c r="K1948" s="30" t="n">
        <x:v>46199</x:v>
      </x:c>
      <x:c r="L1948" s="24" t="str">
        <x:v>입금</x:v>
      </x:c>
      <x:c r="M1948" s="31" t="n">
        <x:f>IF(AND(N1948="미수",G1948&lt;&gt;"",TODAY()&gt;G1948),TODAY()-G1948,0)</x:f>
        <x:v>0</x:v>
      </x:c>
      <x:c r="N1948" s="24" t="str">
        <x:f>IF(J1948&gt;0,"미수",IF(AND(H1948&gt;0,I1948&gt;=H1948),"완납","미확인"))</x:f>
        <x:v>미확인</x:v>
      </x:c>
      <x:c r="O1948" s="31" t="n">
        <x:v>92</x:v>
      </x:c>
    </x:row>
    <x:row r="1949" ht="17.25" customHeight="1">
      <x:c r="A1949" s="24" t="str">
        <x:v>SW-B-363소9788-202605</x:v>
      </x:c>
      <x:c r="B1949" s="24" t="str">
        <x:v>스위치플랜</x:v>
      </x:c>
      <x:c r="C1949" s="24" t="str">
        <x:v>SW-C-363소9788-1-20250529-93</x:v>
      </x:c>
      <x:c r="D1949" s="24" t="str">
        <x:v>363소9788</x:v>
      </x:c>
      <x:c r="E1949" s="24" t="str">
        <x:v>김기남</x:v>
      </x:c>
      <x:c r="F1949" s="24" t="str">
        <x:v>2026-05</x:v>
      </x:c>
      <x:c r="G1949" s="30" t="n">
        <x:v>46167</x:v>
      </x:c>
      <x:c r="H1949" s="32" t="n">
        <x:v>0</x:v>
      </x:c>
      <x:c r="I1949" s="32" t="n">
        <x:v>100000</x:v>
      </x:c>
      <x:c r="J1949" s="32" t="n">
        <x:v>-100000</x:v>
      </x:c>
      <x:c r="K1949" s="30" t="n">
        <x:v>46168</x:v>
      </x:c>
      <x:c r="L1949" s="24" t="str">
        <x:v>입금</x:v>
      </x:c>
      <x:c r="M1949" s="31" t="n">
        <x:f>IF(AND(N1949="미수",G1949&lt;&gt;"",TODAY()&gt;G1949),TODAY()-G1949,0)</x:f>
        <x:v>0</x:v>
      </x:c>
      <x:c r="N1949" s="24" t="str">
        <x:f>IF(J1949&gt;0,"미수",IF(AND(H1949&gt;0,I1949&gt;=H1949),"완납","미확인"))</x:f>
        <x:v>미확인</x:v>
      </x:c>
      <x:c r="O1949" s="31" t="n">
        <x:v>92</x:v>
      </x:c>
    </x:row>
    <x:row r="1950" ht="17.25" customHeight="1">
      <x:c r="A1950" s="24" t="str">
        <x:v>SW-B-363소9788-202604</x:v>
      </x:c>
      <x:c r="B1950" s="24" t="str">
        <x:v>스위치플랜</x:v>
      </x:c>
      <x:c r="C1950" s="24" t="str">
        <x:v>SW-C-363소9788-1-20250529-93</x:v>
      </x:c>
      <x:c r="D1950" s="24" t="str">
        <x:v>363소9788</x:v>
      </x:c>
      <x:c r="E1950" s="24" t="str">
        <x:v>김기남</x:v>
      </x:c>
      <x:c r="F1950" s="24" t="str">
        <x:v>2026-04</x:v>
      </x:c>
      <x:c r="G1950" s="30" t="n">
        <x:v>46137</x:v>
      </x:c>
      <x:c r="H1950" s="32" t="n">
        <x:v>460000</x:v>
      </x:c>
      <x:c r="I1950" s="32" t="n">
        <x:v>460000</x:v>
      </x:c>
      <x:c r="J1950" s="32" t="n">
        <x:v>0</x:v>
      </x:c>
      <x:c r="K1950" s="30" t="n">
        <x:v>46122</x:v>
      </x:c>
      <x:c r="L1950" s="24" t="str">
        <x:v>자동</x:v>
      </x:c>
      <x:c r="M1950" s="31" t="n">
        <x:f>IF(AND(N1950="미수",G1950&lt;&gt;"",TODAY()&gt;G1950),TODAY()-G1950,0)</x:f>
        <x:v>0</x:v>
      </x:c>
      <x:c r="N1950" s="24" t="str">
        <x:f>IF(J1950&gt;0,"미수",IF(AND(H1950&gt;0,I1950&gt;=H1950),"완납","미확인"))</x:f>
        <x:v>완납</x:v>
      </x:c>
      <x:c r="O1950" s="31" t="n">
        <x:v>92</x:v>
      </x:c>
    </x:row>
    <x:row r="1951" ht="17.25" customHeight="1">
      <x:c r="A1951" s="24" t="str">
        <x:v>SW-B-363소9788-202603</x:v>
      </x:c>
      <x:c r="B1951" s="24" t="str">
        <x:v>스위치플랜</x:v>
      </x:c>
      <x:c r="C1951" s="24" t="str">
        <x:v>SW-C-363소9788-1-20250529-93</x:v>
      </x:c>
      <x:c r="D1951" s="24" t="str">
        <x:v>363소9788</x:v>
      </x:c>
      <x:c r="E1951" s="24" t="str">
        <x:v>김기남</x:v>
      </x:c>
      <x:c r="F1951" s="24" t="str">
        <x:v>2026-03</x:v>
      </x:c>
      <x:c r="G1951" s="30" t="n">
        <x:v>46106</x:v>
      </x:c>
      <x:c r="H1951" s="32" t="n">
        <x:v>460000</x:v>
      </x:c>
      <x:c r="I1951" s="32" t="n">
        <x:v>460000</x:v>
      </x:c>
      <x:c r="J1951" s="32" t="n">
        <x:v>0</x:v>
      </x:c>
      <x:c r="K1951" s="30" t="n">
        <x:v>46091</x:v>
      </x:c>
      <x:c r="L1951" s="24" t="str">
        <x:v>자동</x:v>
      </x:c>
      <x:c r="M1951" s="31" t="n">
        <x:f>IF(AND(N1951="미수",G1951&lt;&gt;"",TODAY()&gt;G1951),TODAY()-G1951,0)</x:f>
        <x:v>0</x:v>
      </x:c>
      <x:c r="N1951" s="24" t="str">
        <x:f>IF(J1951&gt;0,"미수",IF(AND(H1951&gt;0,I1951&gt;=H1951),"완납","미확인"))</x:f>
        <x:v>완납</x:v>
      </x:c>
      <x:c r="O1951" s="31" t="n">
        <x:v>92</x:v>
      </x:c>
    </x:row>
    <x:row r="1952" ht="17.25" customHeight="1">
      <x:c r="A1952" s="24" t="str">
        <x:v>SW-B-363소9788-202602</x:v>
      </x:c>
      <x:c r="B1952" s="24" t="str">
        <x:v>스위치플랜</x:v>
      </x:c>
      <x:c r="C1952" s="24" t="str">
        <x:v>SW-C-363소9788-1-20250529-93</x:v>
      </x:c>
      <x:c r="D1952" s="24" t="str">
        <x:v>363소9788</x:v>
      </x:c>
      <x:c r="E1952" s="24" t="str">
        <x:v>김기남</x:v>
      </x:c>
      <x:c r="F1952" s="24" t="str">
        <x:v>2026-02</x:v>
      </x:c>
      <x:c r="G1952" s="30" t="n">
        <x:v>46078</x:v>
      </x:c>
      <x:c r="H1952" s="32" t="n">
        <x:v>460000</x:v>
      </x:c>
      <x:c r="I1952" s="32" t="n">
        <x:v>460000</x:v>
      </x:c>
      <x:c r="J1952" s="32" t="n">
        <x:v>0</x:v>
      </x:c>
      <x:c r="K1952" s="30" t="n">
        <x:v>46063</x:v>
      </x:c>
      <x:c r="L1952" s="24" t="str">
        <x:v>자동</x:v>
      </x:c>
      <x:c r="M1952" s="31" t="n">
        <x:f>IF(AND(N1952="미수",G1952&lt;&gt;"",TODAY()&gt;G1952),TODAY()-G1952,0)</x:f>
        <x:v>0</x:v>
      </x:c>
      <x:c r="N1952" s="24" t="str">
        <x:f>IF(J1952&gt;0,"미수",IF(AND(H1952&gt;0,I1952&gt;=H1952),"완납","미확인"))</x:f>
        <x:v>완납</x:v>
      </x:c>
      <x:c r="O1952" s="31" t="n">
        <x:v>92</x:v>
      </x:c>
    </x:row>
    <x:row r="1953" ht="17.25" customHeight="1">
      <x:c r="A1953" s="24" t="str">
        <x:v>SW-B-363소9788-202601</x:v>
      </x:c>
      <x:c r="B1953" s="24" t="str">
        <x:v>스위치플랜</x:v>
      </x:c>
      <x:c r="C1953" s="24" t="str">
        <x:v>SW-C-363소9788-1-20250529-93</x:v>
      </x:c>
      <x:c r="D1953" s="24" t="str">
        <x:v>363소9788</x:v>
      </x:c>
      <x:c r="E1953" s="24" t="str">
        <x:v>김기남</x:v>
      </x:c>
      <x:c r="F1953" s="24" t="str">
        <x:v>2026-01</x:v>
      </x:c>
      <x:c r="G1953" s="30" t="n">
        <x:v>46047</x:v>
      </x:c>
      <x:c r="H1953" s="32" t="n">
        <x:v>460000</x:v>
      </x:c>
      <x:c r="I1953" s="32" t="n">
        <x:v>460000</x:v>
      </x:c>
      <x:c r="J1953" s="32" t="n">
        <x:v>0</x:v>
      </x:c>
      <x:c r="K1953" s="30" t="n">
        <x:v>46034</x:v>
      </x:c>
      <x:c r="L1953" s="24" t="str">
        <x:v>자동</x:v>
      </x:c>
      <x:c r="M1953" s="31" t="n">
        <x:f>IF(AND(N1953="미수",G1953&lt;&gt;"",TODAY()&gt;G1953),TODAY()-G1953,0)</x:f>
        <x:v>0</x:v>
      </x:c>
      <x:c r="N1953" s="24" t="str">
        <x:f>IF(J1953&gt;0,"미수",IF(AND(H1953&gt;0,I1953&gt;=H1953),"완납","미확인"))</x:f>
        <x:v>완납</x:v>
      </x:c>
      <x:c r="O1953" s="31" t="n">
        <x:v>92</x:v>
      </x:c>
    </x:row>
    <x:row r="1954" ht="17.25" customHeight="1">
      <x:c r="A1954" s="24" t="str">
        <x:v>SW-B-363소9788-202512</x:v>
      </x:c>
      <x:c r="B1954" s="24" t="str">
        <x:v>스위치플랜</x:v>
      </x:c>
      <x:c r="C1954" s="24" t="str">
        <x:v>SW-C-363소9788-1-20250529-93</x:v>
      </x:c>
      <x:c r="D1954" s="24" t="str">
        <x:v>363소9788</x:v>
      </x:c>
      <x:c r="E1954" s="24" t="str">
        <x:v>김기남</x:v>
      </x:c>
      <x:c r="F1954" s="24" t="str">
        <x:v>2025-12</x:v>
      </x:c>
      <x:c r="G1954" s="30" t="n">
        <x:v>46016</x:v>
      </x:c>
      <x:c r="H1954" s="32" t="n">
        <x:v>460000</x:v>
      </x:c>
      <x:c r="I1954" s="32" t="n">
        <x:v>460000</x:v>
      </x:c>
      <x:c r="J1954" s="32" t="n">
        <x:v>0</x:v>
      </x:c>
      <x:c r="K1954" s="30" t="n">
        <x:v>46001</x:v>
      </x:c>
      <x:c r="L1954" s="24" t="str">
        <x:v>자동</x:v>
      </x:c>
      <x:c r="M1954" s="31" t="n">
        <x:f>IF(AND(N1954="미수",G1954&lt;&gt;"",TODAY()&gt;G1954),TODAY()-G1954,0)</x:f>
        <x:v>0</x:v>
      </x:c>
      <x:c r="N1954" s="24" t="str">
        <x:f>IF(J1954&gt;0,"미수",IF(AND(H1954&gt;0,I1954&gt;=H1954),"완납","미확인"))</x:f>
        <x:v>완납</x:v>
      </x:c>
      <x:c r="O1954" s="31" t="n">
        <x:v>92</x:v>
      </x:c>
    </x:row>
    <x:row r="1955" ht="17.25" customHeight="1">
      <x:c r="A1955" s="24" t="str">
        <x:v>SW-B-363소9788-202511</x:v>
      </x:c>
      <x:c r="B1955" s="24" t="str">
        <x:v>스위치플랜</x:v>
      </x:c>
      <x:c r="C1955" s="24" t="str">
        <x:v>SW-C-363소9788-1-20250529-93</x:v>
      </x:c>
      <x:c r="D1955" s="24" t="str">
        <x:v>363소9788</x:v>
      </x:c>
      <x:c r="E1955" s="24" t="str">
        <x:v>김기남</x:v>
      </x:c>
      <x:c r="F1955" s="24" t="str">
        <x:v>2025-11</x:v>
      </x:c>
      <x:c r="G1955" s="30" t="n">
        <x:v>45986</x:v>
      </x:c>
      <x:c r="H1955" s="32" t="n">
        <x:v>460000</x:v>
      </x:c>
      <x:c r="I1955" s="32" t="n">
        <x:v>460000</x:v>
      </x:c>
      <x:c r="J1955" s="32" t="n">
        <x:v>0</x:v>
      </x:c>
      <x:c r="K1955" s="30" t="n">
        <x:v>45971</x:v>
      </x:c>
      <x:c r="L1955" s="24" t="str">
        <x:v>자동</x:v>
      </x:c>
      <x:c r="M1955" s="31" t="n">
        <x:f>IF(AND(N1955="미수",G1955&lt;&gt;"",TODAY()&gt;G1955),TODAY()-G1955,0)</x:f>
        <x:v>0</x:v>
      </x:c>
      <x:c r="N1955" s="24" t="str">
        <x:f>IF(J1955&gt;0,"미수",IF(AND(H1955&gt;0,I1955&gt;=H1955),"완납","미확인"))</x:f>
        <x:v>완납</x:v>
      </x:c>
      <x:c r="O1955" s="31" t="n">
        <x:v>92</x:v>
      </x:c>
    </x:row>
    <x:row r="1956" ht="17.25" customHeight="1">
      <x:c r="A1956" s="24" t="str">
        <x:v>SW-B-363소9788-202510</x:v>
      </x:c>
      <x:c r="B1956" s="24" t="str">
        <x:v>스위치플랜</x:v>
      </x:c>
      <x:c r="C1956" s="24" t="str">
        <x:v>SW-C-363소9788-1-20250529-93</x:v>
      </x:c>
      <x:c r="D1956" s="24" t="str">
        <x:v>363소9788</x:v>
      </x:c>
      <x:c r="E1956" s="24" t="str">
        <x:v>김기남</x:v>
      </x:c>
      <x:c r="F1956" s="24" t="str">
        <x:v>2025-10</x:v>
      </x:c>
      <x:c r="G1956" s="30" t="n">
        <x:v>45955</x:v>
      </x:c>
      <x:c r="H1956" s="32" t="n">
        <x:v>460000</x:v>
      </x:c>
      <x:c r="I1956" s="32" t="n">
        <x:v>460000</x:v>
      </x:c>
      <x:c r="J1956" s="32" t="n">
        <x:v>0</x:v>
      </x:c>
      <x:c r="K1956" s="30" t="n">
        <x:v>45940</x:v>
      </x:c>
      <x:c r="L1956" s="24" t="str">
        <x:v>자동</x:v>
      </x:c>
      <x:c r="M1956" s="31" t="n">
        <x:f>IF(AND(N1956="미수",G1956&lt;&gt;"",TODAY()&gt;G1956),TODAY()-G1956,0)</x:f>
        <x:v>0</x:v>
      </x:c>
      <x:c r="N1956" s="24" t="str">
        <x:f>IF(J1956&gt;0,"미수",IF(AND(H1956&gt;0,I1956&gt;=H1956),"완납","미확인"))</x:f>
        <x:v>완납</x:v>
      </x:c>
      <x:c r="O1956" s="31" t="n">
        <x:v>92</x:v>
      </x:c>
    </x:row>
    <x:row r="1957" ht="17.25" customHeight="1">
      <x:c r="A1957" s="24" t="str">
        <x:v>SW-B-363소9788-202509</x:v>
      </x:c>
      <x:c r="B1957" s="24" t="str">
        <x:v>스위치플랜</x:v>
      </x:c>
      <x:c r="C1957" s="24" t="str">
        <x:v>SW-C-363소9788-1-20250529-93</x:v>
      </x:c>
      <x:c r="D1957" s="24" t="str">
        <x:v>363소9788</x:v>
      </x:c>
      <x:c r="E1957" s="24" t="str">
        <x:v>김기남</x:v>
      </x:c>
      <x:c r="F1957" s="24" t="str">
        <x:v>2025-09</x:v>
      </x:c>
      <x:c r="G1957" s="30" t="n">
        <x:v>45925</x:v>
      </x:c>
      <x:c r="H1957" s="32" t="n">
        <x:v>460000</x:v>
      </x:c>
      <x:c r="I1957" s="32" t="n">
        <x:v>460000</x:v>
      </x:c>
      <x:c r="J1957" s="32" t="n">
        <x:v>0</x:v>
      </x:c>
      <x:c r="K1957" s="30" t="n">
        <x:v>45910</x:v>
      </x:c>
      <x:c r="L1957" s="24" t="str">
        <x:v>자동</x:v>
      </x:c>
      <x:c r="M1957" s="31" t="n">
        <x:f>IF(AND(N1957="미수",G1957&lt;&gt;"",TODAY()&gt;G1957),TODAY()-G1957,0)</x:f>
        <x:v>0</x:v>
      </x:c>
      <x:c r="N1957" s="24" t="str">
        <x:f>IF(J1957&gt;0,"미수",IF(AND(H1957&gt;0,I1957&gt;=H1957),"완납","미확인"))</x:f>
        <x:v>완납</x:v>
      </x:c>
      <x:c r="O1957" s="31" t="n">
        <x:v>92</x:v>
      </x:c>
    </x:row>
    <x:row r="1958" ht="17.25" customHeight="1">
      <x:c r="A1958" s="24" t="str">
        <x:v>SW-B-363소9788-202508</x:v>
      </x:c>
      <x:c r="B1958" s="24" t="str">
        <x:v>스위치플랜</x:v>
      </x:c>
      <x:c r="C1958" s="24" t="str">
        <x:v>SW-C-363소9788-1-20250529-93</x:v>
      </x:c>
      <x:c r="D1958" s="24" t="str">
        <x:v>363소9788</x:v>
      </x:c>
      <x:c r="E1958" s="24" t="str">
        <x:v>김기남</x:v>
      </x:c>
      <x:c r="F1958" s="24" t="str">
        <x:v>2025-08</x:v>
      </x:c>
      <x:c r="G1958" s="30" t="n">
        <x:v>45894</x:v>
      </x:c>
      <x:c r="H1958" s="32" t="n">
        <x:v>460000</x:v>
      </x:c>
      <x:c r="I1958" s="32" t="n">
        <x:v>460000</x:v>
      </x:c>
      <x:c r="J1958" s="32" t="n">
        <x:v>0</x:v>
      </x:c>
      <x:c r="K1958" s="30" t="n">
        <x:v>45880</x:v>
      </x:c>
      <x:c r="L1958" s="24" t="str">
        <x:v>자동</x:v>
      </x:c>
      <x:c r="M1958" s="31" t="n">
        <x:f>IF(AND(N1958="미수",G1958&lt;&gt;"",TODAY()&gt;G1958),TODAY()-G1958,0)</x:f>
        <x:v>0</x:v>
      </x:c>
      <x:c r="N1958" s="24" t="str">
        <x:f>IF(J1958&gt;0,"미수",IF(AND(H1958&gt;0,I1958&gt;=H1958),"완납","미확인"))</x:f>
        <x:v>완납</x:v>
      </x:c>
      <x:c r="O1958" s="31" t="n">
        <x:v>92</x:v>
      </x:c>
    </x:row>
    <x:row r="1959" ht="17.25" customHeight="1">
      <x:c r="A1959" s="24" t="str">
        <x:v>SW-B-363소9788-202507</x:v>
      </x:c>
      <x:c r="B1959" s="24" t="str">
        <x:v>스위치플랜</x:v>
      </x:c>
      <x:c r="C1959" s="24" t="str">
        <x:v>SW-C-363소9788-1-20250529-93</x:v>
      </x:c>
      <x:c r="D1959" s="24" t="str">
        <x:v>363소9788</x:v>
      </x:c>
      <x:c r="E1959" s="24" t="str">
        <x:v>김기남</x:v>
      </x:c>
      <x:c r="F1959" s="24" t="str">
        <x:v>2025-07</x:v>
      </x:c>
      <x:c r="G1959" s="30" t="n">
        <x:v>45863</x:v>
      </x:c>
      <x:c r="H1959" s="32" t="n">
        <x:v>460000</x:v>
      </x:c>
      <x:c r="I1959" s="32" t="n">
        <x:v>460000</x:v>
      </x:c>
      <x:c r="J1959" s="32" t="n">
        <x:v>0</x:v>
      </x:c>
      <x:c r="K1959" s="30" t="n">
        <x:v>45848</x:v>
      </x:c>
      <x:c r="L1959" s="24" t="str">
        <x:v>자동</x:v>
      </x:c>
      <x:c r="M1959" s="31" t="n">
        <x:f>IF(AND(N1959="미수",G1959&lt;&gt;"",TODAY()&gt;G1959),TODAY()-G1959,0)</x:f>
        <x:v>0</x:v>
      </x:c>
      <x:c r="N1959" s="24" t="str">
        <x:f>IF(J1959&gt;0,"미수",IF(AND(H1959&gt;0,I1959&gt;=H1959),"완납","미확인"))</x:f>
        <x:v>완납</x:v>
      </x:c>
      <x:c r="O1959" s="31" t="n">
        <x:v>92</x:v>
      </x:c>
    </x:row>
    <x:row r="1960" ht="17.25" customHeight="1">
      <x:c r="A1960" s="24" t="str">
        <x:v>SW-B-363소9788-202506</x:v>
      </x:c>
      <x:c r="B1960" s="24" t="str">
        <x:v>스위치플랜</x:v>
      </x:c>
      <x:c r="C1960" s="24" t="str">
        <x:v>SW-C-363소9788-1-20250529-93</x:v>
      </x:c>
      <x:c r="D1960" s="24" t="str">
        <x:v>363소9788</x:v>
      </x:c>
      <x:c r="E1960" s="24" t="str">
        <x:v>김기남</x:v>
      </x:c>
      <x:c r="F1960" s="24" t="str">
        <x:v>2025-06</x:v>
      </x:c>
      <x:c r="G1960" s="30" t="n">
        <x:v>45833</x:v>
      </x:c>
      <x:c r="H1960" s="32" t="n">
        <x:v>460000</x:v>
      </x:c>
      <x:c r="I1960" s="32" t="n">
        <x:v>460000</x:v>
      </x:c>
      <x:c r="J1960" s="32" t="n">
        <x:v>0</x:v>
      </x:c>
      <x:c r="K1960" s="30" t="n">
        <x:v>45818</x:v>
      </x:c>
      <x:c r="L1960" s="24" t="str">
        <x:v>자동</x:v>
      </x:c>
      <x:c r="M1960" s="31" t="n">
        <x:f>IF(AND(N1960="미수",G1960&lt;&gt;"",TODAY()&gt;G1960),TODAY()-G1960,0)</x:f>
        <x:v>0</x:v>
      </x:c>
      <x:c r="N1960" s="24" t="str">
        <x:f>IF(J1960&gt;0,"미수",IF(AND(H1960&gt;0,I1960&gt;=H1960),"완납","미확인"))</x:f>
        <x:v>완납</x:v>
      </x:c>
      <x:c r="O1960" s="31" t="n">
        <x:v>92</x:v>
      </x:c>
    </x:row>
    <x:row r="1961" ht="17.25" customHeight="1">
      <x:c r="A1961" s="24" t="str">
        <x:v>SW-B-363소9788-202505</x:v>
      </x:c>
      <x:c r="B1961" s="24" t="str">
        <x:v>스위치플랜</x:v>
      </x:c>
      <x:c r="C1961" s="24" t="str">
        <x:v>SW-C-363소9788-1-20250529-93</x:v>
      </x:c>
      <x:c r="D1961" s="24" t="str">
        <x:v>363소9788</x:v>
      </x:c>
      <x:c r="E1961" s="24" t="str">
        <x:v>김기남</x:v>
      </x:c>
      <x:c r="F1961" s="24" t="str">
        <x:v>2025-05</x:v>
      </x:c>
      <x:c r="G1961" s="30" t="n">
        <x:v>45802</x:v>
      </x:c>
      <x:c r="H1961" s="32" t="n">
        <x:v>460000</x:v>
      </x:c>
      <x:c r="I1961" s="32" t="n">
        <x:v>460000</x:v>
      </x:c>
      <x:c r="J1961" s="32" t="n">
        <x:v>0</x:v>
      </x:c>
      <x:c r="K1961" s="30" t="n">
        <x:v>45789</x:v>
      </x:c>
      <x:c r="L1961" s="24" t="str">
        <x:v>자동</x:v>
      </x:c>
      <x:c r="M1961" s="31" t="n">
        <x:f>IF(AND(N1961="미수",G1961&lt;&gt;"",TODAY()&gt;G1961),TODAY()-G1961,0)</x:f>
        <x:v>0</x:v>
      </x:c>
      <x:c r="N1961" s="24" t="str">
        <x:f>IF(J1961&gt;0,"미수",IF(AND(H1961&gt;0,I1961&gt;=H1961),"완납","미확인"))</x:f>
        <x:v>완납</x:v>
      </x:c>
      <x:c r="O1961" s="31" t="n">
        <x:v>92</x:v>
      </x:c>
    </x:row>
    <x:row r="1962" ht="17.25" customHeight="1">
      <x:c r="A1962" s="24" t="str">
        <x:v>SW-B-363소9788-202504</x:v>
      </x:c>
      <x:c r="B1962" s="24" t="str">
        <x:v>스위치플랜</x:v>
      </x:c>
      <x:c r="C1962" s="24" t="str">
        <x:v>SW-C-363소9788-2-20240307-93</x:v>
      </x:c>
      <x:c r="D1962" s="24" t="str">
        <x:v>363소9788</x:v>
      </x:c>
      <x:c r="E1962" s="24" t="str">
        <x:v>김기남</x:v>
      </x:c>
      <x:c r="F1962" s="24" t="str">
        <x:v>2025-04</x:v>
      </x:c>
      <x:c r="G1962" s="30" t="n">
        <x:v>45772</x:v>
      </x:c>
      <x:c r="H1962" s="32" t="n">
        <x:v>460000</x:v>
      </x:c>
      <x:c r="I1962" s="32" t="n">
        <x:v>460000</x:v>
      </x:c>
      <x:c r="J1962" s="32" t="n">
        <x:v>0</x:v>
      </x:c>
      <x:c r="K1962" s="30" t="n">
        <x:v>45757</x:v>
      </x:c>
      <x:c r="L1962" s="24" t="str">
        <x:v>자동</x:v>
      </x:c>
      <x:c r="M1962" s="31" t="n">
        <x:f>IF(AND(N1962="미수",G1962&lt;&gt;"",TODAY()&gt;G1962),TODAY()-G1962,0)</x:f>
        <x:v>0</x:v>
      </x:c>
      <x:c r="N1962" s="24" t="str">
        <x:f>IF(J1962&gt;0,"미수",IF(AND(H1962&gt;0,I1962&gt;=H1962),"완납","미확인"))</x:f>
        <x:v>완납</x:v>
      </x:c>
      <x:c r="O1962" s="31" t="n">
        <x:v>92</x:v>
      </x:c>
    </x:row>
    <x:row r="1963" ht="17.25" customHeight="1">
      <x:c r="A1963" s="24" t="str">
        <x:v>SW-B-363소9788-202503</x:v>
      </x:c>
      <x:c r="B1963" s="24" t="str">
        <x:v>스위치플랜</x:v>
      </x:c>
      <x:c r="C1963" s="24" t="str">
        <x:v>SW-C-363소9788-2-20240307-93</x:v>
      </x:c>
      <x:c r="D1963" s="24" t="str">
        <x:v>363소9788</x:v>
      </x:c>
      <x:c r="E1963" s="24" t="str">
        <x:v>김기남</x:v>
      </x:c>
      <x:c r="F1963" s="24" t="str">
        <x:v>2025-03</x:v>
      </x:c>
      <x:c r="G1963" s="30" t="n">
        <x:v>45741</x:v>
      </x:c>
      <x:c r="H1963" s="32" t="n">
        <x:v>460000</x:v>
      </x:c>
      <x:c r="I1963" s="32" t="n">
        <x:v>460000</x:v>
      </x:c>
      <x:c r="J1963" s="32" t="n">
        <x:v>0</x:v>
      </x:c>
      <x:c r="K1963" s="30" t="n">
        <x:v>45726</x:v>
      </x:c>
      <x:c r="L1963" s="24" t="str">
        <x:v>자동</x:v>
      </x:c>
      <x:c r="M1963" s="31" t="n">
        <x:f>IF(AND(N1963="미수",G1963&lt;&gt;"",TODAY()&gt;G1963),TODAY()-G1963,0)</x:f>
        <x:v>0</x:v>
      </x:c>
      <x:c r="N1963" s="24" t="str">
        <x:f>IF(J1963&gt;0,"미수",IF(AND(H1963&gt;0,I1963&gt;=H1963),"완납","미확인"))</x:f>
        <x:v>완납</x:v>
      </x:c>
      <x:c r="O1963" s="31" t="n">
        <x:v>92</x:v>
      </x:c>
    </x:row>
    <x:row r="1964" ht="17.25" customHeight="1">
      <x:c r="A1964" s="24" t="str">
        <x:v>SW-B-363소9788-202502</x:v>
      </x:c>
      <x:c r="B1964" s="24" t="str">
        <x:v>스위치플랜</x:v>
      </x:c>
      <x:c r="C1964" s="24" t="str">
        <x:v>SW-C-363소9788-2-20240307-93</x:v>
      </x:c>
      <x:c r="D1964" s="24" t="str">
        <x:v>363소9788</x:v>
      </x:c>
      <x:c r="E1964" s="24" t="str">
        <x:v>김기남</x:v>
      </x:c>
      <x:c r="F1964" s="24" t="str">
        <x:v>2025-02</x:v>
      </x:c>
      <x:c r="G1964" s="30" t="n">
        <x:v>45713</x:v>
      </x:c>
      <x:c r="H1964" s="32" t="n">
        <x:v>460000</x:v>
      </x:c>
      <x:c r="I1964" s="32" t="n">
        <x:v>460000</x:v>
      </x:c>
      <x:c r="J1964" s="32" t="n">
        <x:v>0</x:v>
      </x:c>
      <x:c r="K1964" s="30" t="n">
        <x:v>45698</x:v>
      </x:c>
      <x:c r="L1964" s="24" t="str">
        <x:v>자동</x:v>
      </x:c>
      <x:c r="M1964" s="31" t="n">
        <x:f>IF(AND(N1964="미수",G1964&lt;&gt;"",TODAY()&gt;G1964),TODAY()-G1964,0)</x:f>
        <x:v>0</x:v>
      </x:c>
      <x:c r="N1964" s="24" t="str">
        <x:f>IF(J1964&gt;0,"미수",IF(AND(H1964&gt;0,I1964&gt;=H1964),"완납","미확인"))</x:f>
        <x:v>완납</x:v>
      </x:c>
      <x:c r="O1964" s="31" t="n">
        <x:v>92</x:v>
      </x:c>
    </x:row>
    <x:row r="1965" ht="17.25" customHeight="1">
      <x:c r="A1965" s="24" t="str">
        <x:v>SW-B-363소9788-202501</x:v>
      </x:c>
      <x:c r="B1965" s="24" t="str">
        <x:v>스위치플랜</x:v>
      </x:c>
      <x:c r="C1965" s="24" t="str">
        <x:v>SW-C-363소9788-2-20240307-93</x:v>
      </x:c>
      <x:c r="D1965" s="24" t="str">
        <x:v>363소9788</x:v>
      </x:c>
      <x:c r="E1965" s="24" t="str">
        <x:v>김기남</x:v>
      </x:c>
      <x:c r="F1965" s="24" t="str">
        <x:v>2025-01</x:v>
      </x:c>
      <x:c r="G1965" s="30" t="n">
        <x:v>45682</x:v>
      </x:c>
      <x:c r="H1965" s="32" t="n">
        <x:v>460000</x:v>
      </x:c>
      <x:c r="I1965" s="32" t="n">
        <x:v>460000</x:v>
      </x:c>
      <x:c r="J1965" s="32" t="n">
        <x:v>0</x:v>
      </x:c>
      <x:c r="K1965" s="30" t="n">
        <x:v>45667</x:v>
      </x:c>
      <x:c r="L1965" s="24" t="str">
        <x:v>자동</x:v>
      </x:c>
      <x:c r="M1965" s="31" t="n">
        <x:f>IF(AND(N1965="미수",G1965&lt;&gt;"",TODAY()&gt;G1965),TODAY()-G1965,0)</x:f>
        <x:v>0</x:v>
      </x:c>
      <x:c r="N1965" s="24" t="str">
        <x:f>IF(J1965&gt;0,"미수",IF(AND(H1965&gt;0,I1965&gt;=H1965),"완납","미확인"))</x:f>
        <x:v>완납</x:v>
      </x:c>
      <x:c r="O1965" s="31" t="n">
        <x:v>92</x:v>
      </x:c>
    </x:row>
    <x:row r="1966" ht="17.25" customHeight="1">
      <x:c r="A1966" s="24" t="str">
        <x:v>SW-B-363소9788-202412</x:v>
      </x:c>
      <x:c r="B1966" s="24" t="str">
        <x:v>스위치플랜</x:v>
      </x:c>
      <x:c r="C1966" s="24" t="str">
        <x:v>SW-C-363소9788-2-20240307-93</x:v>
      </x:c>
      <x:c r="D1966" s="24" t="str">
        <x:v>363소9788</x:v>
      </x:c>
      <x:c r="E1966" s="24" t="str">
        <x:v>김기남</x:v>
      </x:c>
      <x:c r="F1966" s="24" t="str">
        <x:v>2024-12</x:v>
      </x:c>
      <x:c r="G1966" s="30" t="n">
        <x:v>45651</x:v>
      </x:c>
      <x:c r="H1966" s="32" t="n">
        <x:v>460000</x:v>
      </x:c>
      <x:c r="I1966" s="32" t="n">
        <x:v>460000</x:v>
      </x:c>
      <x:c r="J1966" s="32" t="n">
        <x:v>0</x:v>
      </x:c>
      <x:c r="K1966" s="30" t="n">
        <x:v>45636</x:v>
      </x:c>
      <x:c r="L1966" s="24" t="str">
        <x:v>자동</x:v>
      </x:c>
      <x:c r="M1966" s="31" t="n">
        <x:f>IF(AND(N1966="미수",G1966&lt;&gt;"",TODAY()&gt;G1966),TODAY()-G1966,0)</x:f>
        <x:v>0</x:v>
      </x:c>
      <x:c r="N1966" s="24" t="str">
        <x:f>IF(J1966&gt;0,"미수",IF(AND(H1966&gt;0,I1966&gt;=H1966),"완납","미확인"))</x:f>
        <x:v>완납</x:v>
      </x:c>
      <x:c r="O1966" s="31" t="n">
        <x:v>92</x:v>
      </x:c>
    </x:row>
    <x:row r="1967" ht="17.25" customHeight="1">
      <x:c r="A1967" s="24" t="str">
        <x:v>SW-B-363소9788-202411</x:v>
      </x:c>
      <x:c r="B1967" s="24" t="str">
        <x:v>스위치플랜</x:v>
      </x:c>
      <x:c r="C1967" s="24" t="str">
        <x:v>SW-C-363소9788-2-20240307-93</x:v>
      </x:c>
      <x:c r="D1967" s="24" t="str">
        <x:v>363소9788</x:v>
      </x:c>
      <x:c r="E1967" s="24" t="str">
        <x:v>김기남</x:v>
      </x:c>
      <x:c r="F1967" s="24" t="str">
        <x:v>2024-11</x:v>
      </x:c>
      <x:c r="G1967" s="30" t="n">
        <x:v>45621</x:v>
      </x:c>
      <x:c r="H1967" s="32" t="n">
        <x:v>460000</x:v>
      </x:c>
      <x:c r="I1967" s="32" t="n">
        <x:v>460000</x:v>
      </x:c>
      <x:c r="J1967" s="32" t="n">
        <x:v>0</x:v>
      </x:c>
      <x:c r="K1967" s="30" t="n">
        <x:v>45607</x:v>
      </x:c>
      <x:c r="L1967" s="24" t="str">
        <x:v>자동</x:v>
      </x:c>
      <x:c r="M1967" s="31" t="n">
        <x:f>IF(AND(N1967="미수",G1967&lt;&gt;"",TODAY()&gt;G1967),TODAY()-G1967,0)</x:f>
        <x:v>0</x:v>
      </x:c>
      <x:c r="N1967" s="24" t="str">
        <x:f>IF(J1967&gt;0,"미수",IF(AND(H1967&gt;0,I1967&gt;=H1967),"완납","미확인"))</x:f>
        <x:v>완납</x:v>
      </x:c>
      <x:c r="O1967" s="31" t="n">
        <x:v>92</x:v>
      </x:c>
    </x:row>
    <x:row r="1968" ht="17.25" customHeight="1">
      <x:c r="A1968" s="24" t="str">
        <x:v>SW-B-363소9788-202410</x:v>
      </x:c>
      <x:c r="B1968" s="24" t="str">
        <x:v>스위치플랜</x:v>
      </x:c>
      <x:c r="C1968" s="24" t="str">
        <x:v>SW-C-363소9788-2-20240307-93</x:v>
      </x:c>
      <x:c r="D1968" s="24" t="str">
        <x:v>363소9788</x:v>
      </x:c>
      <x:c r="E1968" s="24" t="str">
        <x:v>김기남</x:v>
      </x:c>
      <x:c r="F1968" s="24" t="str">
        <x:v>2024-10</x:v>
      </x:c>
      <x:c r="G1968" s="30" t="n">
        <x:v>45590</x:v>
      </x:c>
      <x:c r="H1968" s="32" t="n">
        <x:v>460000</x:v>
      </x:c>
      <x:c r="I1968" s="32" t="n">
        <x:v>460000</x:v>
      </x:c>
      <x:c r="J1968" s="32" t="n">
        <x:v>0</x:v>
      </x:c>
      <x:c r="K1968" s="30" t="n">
        <x:v>45575</x:v>
      </x:c>
      <x:c r="L1968" s="24" t="str">
        <x:v>자동</x:v>
      </x:c>
      <x:c r="M1968" s="31" t="n">
        <x:f>IF(AND(N1968="미수",G1968&lt;&gt;"",TODAY()&gt;G1968),TODAY()-G1968,0)</x:f>
        <x:v>0</x:v>
      </x:c>
      <x:c r="N1968" s="24" t="str">
        <x:f>IF(J1968&gt;0,"미수",IF(AND(H1968&gt;0,I1968&gt;=H1968),"완납","미확인"))</x:f>
        <x:v>완납</x:v>
      </x:c>
      <x:c r="O1968" s="31" t="n">
        <x:v>92</x:v>
      </x:c>
    </x:row>
    <x:row r="1969" ht="17.25" customHeight="1">
      <x:c r="A1969" s="24" t="str">
        <x:v>SW-B-363소9788-202409</x:v>
      </x:c>
      <x:c r="B1969" s="24" t="str">
        <x:v>스위치플랜</x:v>
      </x:c>
      <x:c r="C1969" s="24" t="str">
        <x:v>SW-C-363소9788-2-20240307-93</x:v>
      </x:c>
      <x:c r="D1969" s="24" t="str">
        <x:v>363소9788</x:v>
      </x:c>
      <x:c r="E1969" s="24" t="str">
        <x:v>김기남</x:v>
      </x:c>
      <x:c r="F1969" s="24" t="str">
        <x:v>2024-09</x:v>
      </x:c>
      <x:c r="G1969" s="30" t="n">
        <x:v>45560</x:v>
      </x:c>
      <x:c r="H1969" s="32" t="n">
        <x:v>460000</x:v>
      </x:c>
      <x:c r="I1969" s="32" t="n">
        <x:v>460000</x:v>
      </x:c>
      <x:c r="J1969" s="32" t="n">
        <x:v>0</x:v>
      </x:c>
      <x:c r="K1969" s="30" t="n">
        <x:v>45545</x:v>
      </x:c>
      <x:c r="L1969" s="24" t="str">
        <x:v>자동</x:v>
      </x:c>
      <x:c r="M1969" s="31" t="n">
        <x:f>IF(AND(N1969="미수",G1969&lt;&gt;"",TODAY()&gt;G1969),TODAY()-G1969,0)</x:f>
        <x:v>0</x:v>
      </x:c>
      <x:c r="N1969" s="24" t="str">
        <x:f>IF(J1969&gt;0,"미수",IF(AND(H1969&gt;0,I1969&gt;=H1969),"완납","미확인"))</x:f>
        <x:v>완납</x:v>
      </x:c>
      <x:c r="O1969" s="31" t="n">
        <x:v>92</x:v>
      </x:c>
    </x:row>
    <x:row r="1970" ht="17.25" customHeight="1">
      <x:c r="A1970" s="24" t="str">
        <x:v>SW-B-363소9788-202408</x:v>
      </x:c>
      <x:c r="B1970" s="24" t="str">
        <x:v>스위치플랜</x:v>
      </x:c>
      <x:c r="C1970" s="24" t="str">
        <x:v>SW-C-363소9788-2-20240307-93</x:v>
      </x:c>
      <x:c r="D1970" s="24" t="str">
        <x:v>363소9788</x:v>
      </x:c>
      <x:c r="E1970" s="24" t="str">
        <x:v>김기남</x:v>
      </x:c>
      <x:c r="F1970" s="24" t="str">
        <x:v>2024-08</x:v>
      </x:c>
      <x:c r="G1970" s="30" t="n">
        <x:v>45529</x:v>
      </x:c>
      <x:c r="H1970" s="32" t="n">
        <x:v>460000</x:v>
      </x:c>
      <x:c r="I1970" s="32" t="n">
        <x:v>460000</x:v>
      </x:c>
      <x:c r="J1970" s="32" t="n">
        <x:v>0</x:v>
      </x:c>
      <x:c r="K1970" s="30" t="n">
        <x:v>45516</x:v>
      </x:c>
      <x:c r="L1970" s="24" t="str">
        <x:v>자동</x:v>
      </x:c>
      <x:c r="M1970" s="31" t="n">
        <x:f>IF(AND(N1970="미수",G1970&lt;&gt;"",TODAY()&gt;G1970),TODAY()-G1970,0)</x:f>
        <x:v>0</x:v>
      </x:c>
      <x:c r="N1970" s="24" t="str">
        <x:f>IF(J1970&gt;0,"미수",IF(AND(H1970&gt;0,I1970&gt;=H1970),"완납","미확인"))</x:f>
        <x:v>완납</x:v>
      </x:c>
      <x:c r="O1970" s="31" t="n">
        <x:v>92</x:v>
      </x:c>
    </x:row>
    <x:row r="1971" ht="17.25" customHeight="1">
      <x:c r="A1971" s="24" t="str">
        <x:v>SW-B-363소9788-202407</x:v>
      </x:c>
      <x:c r="B1971" s="24" t="str">
        <x:v>스위치플랜</x:v>
      </x:c>
      <x:c r="C1971" s="24" t="str">
        <x:v>SW-C-363소9788-2-20240307-93</x:v>
      </x:c>
      <x:c r="D1971" s="24" t="str">
        <x:v>363소9788</x:v>
      </x:c>
      <x:c r="E1971" s="24" t="str">
        <x:v>김기남</x:v>
      </x:c>
      <x:c r="F1971" s="24" t="str">
        <x:v>2024-07</x:v>
      </x:c>
      <x:c r="G1971" s="30" t="n">
        <x:v>45498</x:v>
      </x:c>
      <x:c r="H1971" s="32" t="n">
        <x:v>460000</x:v>
      </x:c>
      <x:c r="I1971" s="32" t="n">
        <x:v>460000</x:v>
      </x:c>
      <x:c r="J1971" s="32" t="n">
        <x:v>0</x:v>
      </x:c>
      <x:c r="K1971" s="30" t="n">
        <x:v>45484</x:v>
      </x:c>
      <x:c r="L1971" s="24" t="str">
        <x:v>자동</x:v>
      </x:c>
      <x:c r="M1971" s="31" t="n">
        <x:f>IF(AND(N1971="미수",G1971&lt;&gt;"",TODAY()&gt;G1971),TODAY()-G1971,0)</x:f>
        <x:v>0</x:v>
      </x:c>
      <x:c r="N1971" s="24" t="str">
        <x:f>IF(J1971&gt;0,"미수",IF(AND(H1971&gt;0,I1971&gt;=H1971),"완납","미확인"))</x:f>
        <x:v>완납</x:v>
      </x:c>
      <x:c r="O1971" s="31" t="n">
        <x:v>92</x:v>
      </x:c>
    </x:row>
    <x:row r="1972" ht="17.25" customHeight="1">
      <x:c r="A1972" s="24" t="str">
        <x:v>SW-B-363소9788-202406</x:v>
      </x:c>
      <x:c r="B1972" s="24" t="str">
        <x:v>스위치플랜</x:v>
      </x:c>
      <x:c r="C1972" s="24" t="str">
        <x:v>SW-C-363소9788-2-20240307-93</x:v>
      </x:c>
      <x:c r="D1972" s="24" t="str">
        <x:v>363소9788</x:v>
      </x:c>
      <x:c r="E1972" s="24" t="str">
        <x:v>김기남</x:v>
      </x:c>
      <x:c r="F1972" s="24" t="str">
        <x:v>2024-06</x:v>
      </x:c>
      <x:c r="G1972" s="30" t="n">
        <x:v>45468</x:v>
      </x:c>
      <x:c r="H1972" s="32" t="n">
        <x:v>460000</x:v>
      </x:c>
      <x:c r="I1972" s="32" t="n">
        <x:v>460000</x:v>
      </x:c>
      <x:c r="J1972" s="32" t="n">
        <x:v>0</x:v>
      </x:c>
      <x:c r="K1972" s="30" t="n">
        <x:v>45453</x:v>
      </x:c>
      <x:c r="L1972" s="24" t="str">
        <x:v>자동</x:v>
      </x:c>
      <x:c r="M1972" s="31" t="n">
        <x:f>IF(AND(N1972="미수",G1972&lt;&gt;"",TODAY()&gt;G1972),TODAY()-G1972,0)</x:f>
        <x:v>0</x:v>
      </x:c>
      <x:c r="N1972" s="24" t="str">
        <x:f>IF(J1972&gt;0,"미수",IF(AND(H1972&gt;0,I1972&gt;=H1972),"완납","미확인"))</x:f>
        <x:v>완납</x:v>
      </x:c>
      <x:c r="O1972" s="31" t="n">
        <x:v>92</x:v>
      </x:c>
    </x:row>
    <x:row r="1973" ht="17.25" customHeight="1">
      <x:c r="A1973" s="24" t="str">
        <x:v>SW-B-363소9788-202405</x:v>
      </x:c>
      <x:c r="B1973" s="24" t="str">
        <x:v>스위치플랜</x:v>
      </x:c>
      <x:c r="C1973" s="24" t="str">
        <x:v>SW-C-363소9788-2-20240307-93</x:v>
      </x:c>
      <x:c r="D1973" s="24" t="str">
        <x:v>363소9788</x:v>
      </x:c>
      <x:c r="E1973" s="24" t="str">
        <x:v>김기남</x:v>
      </x:c>
      <x:c r="F1973" s="24" t="str">
        <x:v>2024-05</x:v>
      </x:c>
      <x:c r="G1973" s="30" t="n">
        <x:v>45437</x:v>
      </x:c>
      <x:c r="H1973" s="32" t="n">
        <x:v>460000</x:v>
      </x:c>
      <x:c r="I1973" s="32" t="n">
        <x:v>460000</x:v>
      </x:c>
      <x:c r="J1973" s="32" t="n">
        <x:v>0</x:v>
      </x:c>
      <x:c r="K1973" s="30" t="n">
        <x:v>45422</x:v>
      </x:c>
      <x:c r="L1973" s="24" t="str">
        <x:v>자동</x:v>
      </x:c>
      <x:c r="M1973" s="31" t="n">
        <x:f>IF(AND(N1973="미수",G1973&lt;&gt;"",TODAY()&gt;G1973),TODAY()-G1973,0)</x:f>
        <x:v>0</x:v>
      </x:c>
      <x:c r="N1973" s="24" t="str">
        <x:f>IF(J1973&gt;0,"미수",IF(AND(H1973&gt;0,I1973&gt;=H1973),"완납","미확인"))</x:f>
        <x:v>완납</x:v>
      </x:c>
      <x:c r="O1973" s="31" t="n">
        <x:v>92</x:v>
      </x:c>
    </x:row>
    <x:row r="1974" ht="17.25" customHeight="1">
      <x:c r="A1974" s="24" t="str">
        <x:v>SW-B-363소9788-202404</x:v>
      </x:c>
      <x:c r="B1974" s="24" t="str">
        <x:v>스위치플랜</x:v>
      </x:c>
      <x:c r="C1974" s="24" t="str">
        <x:v>SW-C-363소9788-2-20240307-93</x:v>
      </x:c>
      <x:c r="D1974" s="24" t="str">
        <x:v>363소9788</x:v>
      </x:c>
      <x:c r="E1974" s="24" t="str">
        <x:v>김기남</x:v>
      </x:c>
      <x:c r="F1974" s="24" t="str">
        <x:v>2024-04</x:v>
      </x:c>
      <x:c r="G1974" s="30" t="n">
        <x:v>45407</x:v>
      </x:c>
      <x:c r="H1974" s="32" t="n">
        <x:v>460000</x:v>
      </x:c>
      <x:c r="I1974" s="32" t="n">
        <x:v>460000</x:v>
      </x:c>
      <x:c r="J1974" s="32" t="n">
        <x:v>0</x:v>
      </x:c>
      <x:c r="K1974" s="30" t="n">
        <x:v>45392</x:v>
      </x:c>
      <x:c r="L1974" s="24" t="str">
        <x:v>자동</x:v>
      </x:c>
      <x:c r="M1974" s="31" t="n">
        <x:f>IF(AND(N1974="미수",G1974&lt;&gt;"",TODAY()&gt;G1974),TODAY()-G1974,0)</x:f>
        <x:v>0</x:v>
      </x:c>
      <x:c r="N1974" s="24" t="str">
        <x:f>IF(J1974&gt;0,"미수",IF(AND(H1974&gt;0,I1974&gt;=H1974),"완납","미확인"))</x:f>
        <x:v>완납</x:v>
      </x:c>
      <x:c r="O1974" s="31" t="n">
        <x:v>92</x:v>
      </x:c>
    </x:row>
    <x:row r="1975" ht="17.25" customHeight="1">
      <x:c r="A1975" s="24" t="str">
        <x:v>SW-B-363소9788-202403</x:v>
      </x:c>
      <x:c r="B1975" s="24" t="str">
        <x:v>스위치플랜</x:v>
      </x:c>
      <x:c r="C1975" s="24" t="str">
        <x:v>SW-C-363소9788-2-20240307-93</x:v>
      </x:c>
      <x:c r="D1975" s="24" t="str">
        <x:v>363소9788</x:v>
      </x:c>
      <x:c r="E1975" s="24" t="str">
        <x:v>김기남</x:v>
      </x:c>
      <x:c r="F1975" s="24" t="str">
        <x:v>2024-03</x:v>
      </x:c>
      <x:c r="G1975" s="30" t="n">
        <x:v>45376</x:v>
      </x:c>
      <x:c r="H1975" s="32" t="n">
        <x:v>460000</x:v>
      </x:c>
      <x:c r="I1975" s="32" t="n">
        <x:v>460000</x:v>
      </x:c>
      <x:c r="J1975" s="32" t="n">
        <x:v>0</x:v>
      </x:c>
      <x:c r="K1975" s="30" t="n">
        <x:v>45348</x:v>
      </x:c>
      <x:c r="L1975" s="24" t="str">
        <x:v>입금</x:v>
      </x:c>
      <x:c r="M1975" s="31" t="n">
        <x:f>IF(AND(N1975="미수",G1975&lt;&gt;"",TODAY()&gt;G1975),TODAY()-G1975,0)</x:f>
        <x:v>0</x:v>
      </x:c>
      <x:c r="N1975" s="24" t="str">
        <x:f>IF(J1975&gt;0,"미수",IF(AND(H1975&gt;0,I1975&gt;=H1975),"완납","미확인"))</x:f>
        <x:v>완납</x:v>
      </x:c>
      <x:c r="O1975" s="31" t="n">
        <x:v>92</x:v>
      </x:c>
    </x:row>
    <x:row r="1976" ht="17.25" customHeight="1">
      <x:c r="A1976" s="24" t="str">
        <x:v>SW-B-162버2918-202608</x:v>
      </x:c>
      <x:c r="B1976" s="24" t="str">
        <x:v>스위치플랜</x:v>
      </x:c>
      <x:c r="C1976" s="24" t="str">
        <x:v>SW-C-162버2918-1-20240709-94</x:v>
      </x:c>
      <x:c r="D1976" s="24" t="str">
        <x:v>162버2918</x:v>
      </x:c>
      <x:c r="E1976" s="24" t="str">
        <x:v>박소희</x:v>
      </x:c>
      <x:c r="F1976" s="24" t="str">
        <x:v>2026-08</x:v>
      </x:c>
      <x:c r="G1976" s="30" t="n">
        <x:v>46244</x:v>
      </x:c>
      <x:c r="H1976" s="32" t="n">
        <x:v>950000</x:v>
      </x:c>
      <x:c r="I1976" s="32" t="n">
        <x:v>950000</x:v>
      </x:c>
      <x:c r="J1976" s="32" t="n">
        <x:v>0</x:v>
      </x:c>
      <x:c r="K1976" s="30" t="n">
        <x:v>46244</x:v>
      </x:c>
      <x:c r="L1976" s="24" t="str">
        <x:v>입금</x:v>
      </x:c>
      <x:c r="M1976" s="31" t="n">
        <x:f>IF(AND(N1976="미수",G1976&lt;&gt;"",TODAY()&gt;G1976),TODAY()-G1976,0)</x:f>
        <x:v>0</x:v>
      </x:c>
      <x:c r="N1976" s="24" t="str">
        <x:f>IF(J1976&gt;0,"미수",IF(AND(H1976&gt;0,I1976&gt;=H1976),"완납","미확인"))</x:f>
        <x:v>완납</x:v>
      </x:c>
      <x:c r="O1976" s="31" t="n">
        <x:v>93</x:v>
      </x:c>
    </x:row>
    <x:row r="1977" ht="17.25" customHeight="1">
      <x:c r="A1977" s="24" t="str">
        <x:v>SW-B-162버2918-202607</x:v>
      </x:c>
      <x:c r="B1977" s="24" t="str">
        <x:v>스위치플랜</x:v>
      </x:c>
      <x:c r="C1977" s="24" t="str">
        <x:v>SW-C-162버2918-1-20240709-94</x:v>
      </x:c>
      <x:c r="D1977" s="24" t="str">
        <x:v>162버2918</x:v>
      </x:c>
      <x:c r="E1977" s="24" t="str">
        <x:v>박소희</x:v>
      </x:c>
      <x:c r="F1977" s="24" t="str">
        <x:v>2026-07</x:v>
      </x:c>
      <x:c r="G1977" s="30" t="n">
        <x:v>46213</x:v>
      </x:c>
      <x:c r="H1977" s="32" t="n">
        <x:v>950000</x:v>
      </x:c>
      <x:c r="I1977" s="32" t="n">
        <x:v>950000</x:v>
      </x:c>
      <x:c r="J1977" s="32" t="n">
        <x:v>0</x:v>
      </x:c>
      <x:c r="K1977" s="30" t="n">
        <x:v>46213</x:v>
      </x:c>
      <x:c r="L1977" s="24" t="str">
        <x:v>입금</x:v>
      </x:c>
      <x:c r="M1977" s="31" t="n">
        <x:f>IF(AND(N1977="미수",G1977&lt;&gt;"",TODAY()&gt;G1977),TODAY()-G1977,0)</x:f>
        <x:v>0</x:v>
      </x:c>
      <x:c r="N1977" s="24" t="str">
        <x:f>IF(J1977&gt;0,"미수",IF(AND(H1977&gt;0,I1977&gt;=H1977),"완납","미확인"))</x:f>
        <x:v>완납</x:v>
      </x:c>
      <x:c r="O1977" s="31" t="n">
        <x:v>93</x:v>
      </x:c>
    </x:row>
    <x:row r="1978" ht="17.25" customHeight="1">
      <x:c r="A1978" s="24" t="str">
        <x:v>SW-B-162버2918-202606</x:v>
      </x:c>
      <x:c r="B1978" s="24" t="str">
        <x:v>스위치플랜</x:v>
      </x:c>
      <x:c r="C1978" s="24" t="str">
        <x:v>SW-C-162버2918-1-20240709-94</x:v>
      </x:c>
      <x:c r="D1978" s="24" t="str">
        <x:v>162버2918</x:v>
      </x:c>
      <x:c r="E1978" s="24" t="str">
        <x:v>박소희</x:v>
      </x:c>
      <x:c r="F1978" s="24" t="str">
        <x:v>2026-06</x:v>
      </x:c>
      <x:c r="G1978" s="30" t="n">
        <x:v>46183</x:v>
      </x:c>
      <x:c r="H1978" s="32" t="n">
        <x:v>950000</x:v>
      </x:c>
      <x:c r="I1978" s="32" t="n">
        <x:v>950000</x:v>
      </x:c>
      <x:c r="J1978" s="32" t="n">
        <x:v>0</x:v>
      </x:c>
      <x:c r="K1978" s="30" t="n">
        <x:v>46182</x:v>
      </x:c>
      <x:c r="L1978" s="24" t="str">
        <x:v>입금</x:v>
      </x:c>
      <x:c r="M1978" s="31" t="n">
        <x:f>IF(AND(N1978="미수",G1978&lt;&gt;"",TODAY()&gt;G1978),TODAY()-G1978,0)</x:f>
        <x:v>0</x:v>
      </x:c>
      <x:c r="N1978" s="24" t="str">
        <x:f>IF(J1978&gt;0,"미수",IF(AND(H1978&gt;0,I1978&gt;=H1978),"완납","미확인"))</x:f>
        <x:v>완납</x:v>
      </x:c>
      <x:c r="O1978" s="31" t="n">
        <x:v>93</x:v>
      </x:c>
    </x:row>
    <x:row r="1979" ht="17.25" customHeight="1">
      <x:c r="A1979" s="24" t="str">
        <x:v>SW-B-162버2918-202605</x:v>
      </x:c>
      <x:c r="B1979" s="24" t="str">
        <x:v>스위치플랜</x:v>
      </x:c>
      <x:c r="C1979" s="24" t="str">
        <x:v>SW-C-162버2918-1-20240709-94</x:v>
      </x:c>
      <x:c r="D1979" s="24" t="str">
        <x:v>162버2918</x:v>
      </x:c>
      <x:c r="E1979" s="24" t="str">
        <x:v>박소희</x:v>
      </x:c>
      <x:c r="F1979" s="24" t="str">
        <x:v>2026-05</x:v>
      </x:c>
      <x:c r="G1979" s="30" t="n">
        <x:v>46152</x:v>
      </x:c>
      <x:c r="H1979" s="32" t="n">
        <x:v>950000</x:v>
      </x:c>
      <x:c r="I1979" s="32" t="n">
        <x:v>950000</x:v>
      </x:c>
      <x:c r="J1979" s="32" t="n">
        <x:v>0</x:v>
      </x:c>
      <x:c r="K1979" s="30" t="n">
        <x:v>46154</x:v>
      </x:c>
      <x:c r="L1979" s="24" t="str">
        <x:v>입금</x:v>
      </x:c>
      <x:c r="M1979" s="31" t="n">
        <x:f>IF(AND(N1979="미수",G1979&lt;&gt;"",TODAY()&gt;G1979),TODAY()-G1979,0)</x:f>
        <x:v>0</x:v>
      </x:c>
      <x:c r="N1979" s="24" t="str">
        <x:f>IF(J1979&gt;0,"미수",IF(AND(H1979&gt;0,I1979&gt;=H1979),"완납","미확인"))</x:f>
        <x:v>완납</x:v>
      </x:c>
      <x:c r="O1979" s="31" t="n">
        <x:v>93</x:v>
      </x:c>
    </x:row>
    <x:row r="1980" ht="17.25" customHeight="1">
      <x:c r="A1980" s="24" t="str">
        <x:v>SW-B-162버2918-202604</x:v>
      </x:c>
      <x:c r="B1980" s="24" t="str">
        <x:v>스위치플랜</x:v>
      </x:c>
      <x:c r="C1980" s="24" t="str">
        <x:v>SW-C-162버2918-1-20240709-94</x:v>
      </x:c>
      <x:c r="D1980" s="24" t="str">
        <x:v>162버2918</x:v>
      </x:c>
      <x:c r="E1980" s="24" t="str">
        <x:v>박소희</x:v>
      </x:c>
      <x:c r="F1980" s="24" t="str">
        <x:v>2026-04</x:v>
      </x:c>
      <x:c r="G1980" s="30" t="n">
        <x:v>46122</x:v>
      </x:c>
      <x:c r="H1980" s="32" t="n">
        <x:v>950000</x:v>
      </x:c>
      <x:c r="I1980" s="32" t="n">
        <x:v>950000</x:v>
      </x:c>
      <x:c r="J1980" s="32" t="n">
        <x:v>0</x:v>
      </x:c>
      <x:c r="K1980" s="30" t="n">
        <x:v>46126</x:v>
      </x:c>
      <x:c r="L1980" s="24" t="str">
        <x:v>입금</x:v>
      </x:c>
      <x:c r="M1980" s="31" t="n">
        <x:f>IF(AND(N1980="미수",G1980&lt;&gt;"",TODAY()&gt;G1980),TODAY()-G1980,0)</x:f>
        <x:v>0</x:v>
      </x:c>
      <x:c r="N1980" s="24" t="str">
        <x:f>IF(J1980&gt;0,"미수",IF(AND(H1980&gt;0,I1980&gt;=H1980),"완납","미확인"))</x:f>
        <x:v>완납</x:v>
      </x:c>
      <x:c r="O1980" s="31" t="n">
        <x:v>93</x:v>
      </x:c>
    </x:row>
    <x:row r="1981" ht="17.25" customHeight="1">
      <x:c r="A1981" s="24" t="str">
        <x:v>SW-B-162버2918-202603</x:v>
      </x:c>
      <x:c r="B1981" s="24" t="str">
        <x:v>스위치플랜</x:v>
      </x:c>
      <x:c r="C1981" s="24" t="str">
        <x:v>SW-C-162버2918-1-20240709-94</x:v>
      </x:c>
      <x:c r="D1981" s="24" t="str">
        <x:v>162버2918</x:v>
      </x:c>
      <x:c r="E1981" s="24" t="str">
        <x:v>박소희</x:v>
      </x:c>
      <x:c r="F1981" s="24" t="str">
        <x:v>2026-03</x:v>
      </x:c>
      <x:c r="G1981" s="30" t="n">
        <x:v>46091</x:v>
      </x:c>
      <x:c r="H1981" s="32" t="n">
        <x:v>950000</x:v>
      </x:c>
      <x:c r="I1981" s="32" t="n">
        <x:v>950000</x:v>
      </x:c>
      <x:c r="J1981" s="32" t="n">
        <x:v>0</x:v>
      </x:c>
      <x:c r="K1981" s="30" t="n">
        <x:v>46092</x:v>
      </x:c>
      <x:c r="L1981" s="24" t="str">
        <x:v>입금</x:v>
      </x:c>
      <x:c r="M1981" s="31" t="n">
        <x:f>IF(AND(N1981="미수",G1981&lt;&gt;"",TODAY()&gt;G1981),TODAY()-G1981,0)</x:f>
        <x:v>0</x:v>
      </x:c>
      <x:c r="N1981" s="24" t="str">
        <x:f>IF(J1981&gt;0,"미수",IF(AND(H1981&gt;0,I1981&gt;=H1981),"완납","미확인"))</x:f>
        <x:v>완납</x:v>
      </x:c>
      <x:c r="O1981" s="31" t="n">
        <x:v>93</x:v>
      </x:c>
    </x:row>
    <x:row r="1982" ht="17.25" customHeight="1">
      <x:c r="A1982" s="24" t="str">
        <x:v>SW-B-162버2918-202602</x:v>
      </x:c>
      <x:c r="B1982" s="24" t="str">
        <x:v>스위치플랜</x:v>
      </x:c>
      <x:c r="C1982" s="24" t="str">
        <x:v>SW-C-162버2918-1-20240709-94</x:v>
      </x:c>
      <x:c r="D1982" s="24" t="str">
        <x:v>162버2918</x:v>
      </x:c>
      <x:c r="E1982" s="24" t="str">
        <x:v>박소희</x:v>
      </x:c>
      <x:c r="F1982" s="24" t="str">
        <x:v>2026-02</x:v>
      </x:c>
      <x:c r="G1982" s="30" t="n">
        <x:v>46063</x:v>
      </x:c>
      <x:c r="H1982" s="32" t="n">
        <x:v>950000</x:v>
      </x:c>
      <x:c r="I1982" s="32" t="n">
        <x:v>950000</x:v>
      </x:c>
      <x:c r="J1982" s="32" t="n">
        <x:v>0</x:v>
      </x:c>
      <x:c r="K1982" s="30" t="n">
        <x:v>46063</x:v>
      </x:c>
      <x:c r="L1982" s="24" t="str">
        <x:v>입금</x:v>
      </x:c>
      <x:c r="M1982" s="31" t="n">
        <x:f>IF(AND(N1982="미수",G1982&lt;&gt;"",TODAY()&gt;G1982),TODAY()-G1982,0)</x:f>
        <x:v>0</x:v>
      </x:c>
      <x:c r="N1982" s="24" t="str">
        <x:f>IF(J1982&gt;0,"미수",IF(AND(H1982&gt;0,I1982&gt;=H1982),"완납","미확인"))</x:f>
        <x:v>완납</x:v>
      </x:c>
      <x:c r="O1982" s="31" t="n">
        <x:v>93</x:v>
      </x:c>
    </x:row>
    <x:row r="1983" ht="17.25" customHeight="1">
      <x:c r="A1983" s="24" t="str">
        <x:v>SW-B-162버2918-202601</x:v>
      </x:c>
      <x:c r="B1983" s="24" t="str">
        <x:v>스위치플랜</x:v>
      </x:c>
      <x:c r="C1983" s="24" t="str">
        <x:v>SW-C-162버2918-1-20240709-94</x:v>
      </x:c>
      <x:c r="D1983" s="24" t="str">
        <x:v>162버2918</x:v>
      </x:c>
      <x:c r="E1983" s="24" t="str">
        <x:v>박소희</x:v>
      </x:c>
      <x:c r="F1983" s="24" t="str">
        <x:v>2026-01</x:v>
      </x:c>
      <x:c r="G1983" s="30" t="n">
        <x:v>46032</x:v>
      </x:c>
      <x:c r="H1983" s="32" t="n">
        <x:v>950000</x:v>
      </x:c>
      <x:c r="I1983" s="32" t="n">
        <x:v>950000</x:v>
      </x:c>
      <x:c r="J1983" s="32" t="n">
        <x:v>0</x:v>
      </x:c>
      <x:c r="K1983" s="30" t="n">
        <x:v>46035</x:v>
      </x:c>
      <x:c r="L1983" s="24" t="str">
        <x:v>입금</x:v>
      </x:c>
      <x:c r="M1983" s="31" t="n">
        <x:f>IF(AND(N1983="미수",G1983&lt;&gt;"",TODAY()&gt;G1983),TODAY()-G1983,0)</x:f>
        <x:v>0</x:v>
      </x:c>
      <x:c r="N1983" s="24" t="str">
        <x:f>IF(J1983&gt;0,"미수",IF(AND(H1983&gt;0,I1983&gt;=H1983),"완납","미확인"))</x:f>
        <x:v>완납</x:v>
      </x:c>
      <x:c r="O1983" s="31" t="n">
        <x:v>93</x:v>
      </x:c>
    </x:row>
    <x:row r="1984" ht="17.25" customHeight="1">
      <x:c r="A1984" s="24" t="str">
        <x:v>SW-B-162버2918-202512</x:v>
      </x:c>
      <x:c r="B1984" s="24" t="str">
        <x:v>스위치플랜</x:v>
      </x:c>
      <x:c r="C1984" s="24" t="str">
        <x:v>SW-C-162버2918-1-20240709-94</x:v>
      </x:c>
      <x:c r="D1984" s="24" t="str">
        <x:v>162버2918</x:v>
      </x:c>
      <x:c r="E1984" s="24" t="str">
        <x:v>박소희</x:v>
      </x:c>
      <x:c r="F1984" s="24" t="str">
        <x:v>2025-12</x:v>
      </x:c>
      <x:c r="G1984" s="30" t="n">
        <x:v>46001</x:v>
      </x:c>
      <x:c r="H1984" s="32" t="n">
        <x:v>950000</x:v>
      </x:c>
      <x:c r="I1984" s="32" t="n">
        <x:v>950000</x:v>
      </x:c>
      <x:c r="J1984" s="32" t="n">
        <x:v>0</x:v>
      </x:c>
      <x:c r="K1984" s="30" t="n">
        <x:v>46002</x:v>
      </x:c>
      <x:c r="L1984" s="24" t="str">
        <x:v>입금</x:v>
      </x:c>
      <x:c r="M1984" s="31" t="n">
        <x:f>IF(AND(N1984="미수",G1984&lt;&gt;"",TODAY()&gt;G1984),TODAY()-G1984,0)</x:f>
        <x:v>0</x:v>
      </x:c>
      <x:c r="N1984" s="24" t="str">
        <x:f>IF(J1984&gt;0,"미수",IF(AND(H1984&gt;0,I1984&gt;=H1984),"완납","미확인"))</x:f>
        <x:v>완납</x:v>
      </x:c>
      <x:c r="O1984" s="31" t="n">
        <x:v>93</x:v>
      </x:c>
    </x:row>
    <x:row r="1985" ht="17.25" customHeight="1">
      <x:c r="A1985" s="24" t="str">
        <x:v>SW-B-162버2918-202511</x:v>
      </x:c>
      <x:c r="B1985" s="24" t="str">
        <x:v>스위치플랜</x:v>
      </x:c>
      <x:c r="C1985" s="24" t="str">
        <x:v>SW-C-162버2918-1-20240709-94</x:v>
      </x:c>
      <x:c r="D1985" s="24" t="str">
        <x:v>162버2918</x:v>
      </x:c>
      <x:c r="E1985" s="24" t="str">
        <x:v>박소희</x:v>
      </x:c>
      <x:c r="F1985" s="24" t="str">
        <x:v>2025-11</x:v>
      </x:c>
      <x:c r="G1985" s="30" t="n">
        <x:v>45971</x:v>
      </x:c>
      <x:c r="H1985" s="32" t="n">
        <x:v>950000</x:v>
      </x:c>
      <x:c r="I1985" s="32" t="n">
        <x:v>950000</x:v>
      </x:c>
      <x:c r="J1985" s="32" t="n">
        <x:v>0</x:v>
      </x:c>
      <x:c r="K1985" s="30" t="n">
        <x:v>45974</x:v>
      </x:c>
      <x:c r="L1985" s="24" t="str">
        <x:v>입금</x:v>
      </x:c>
      <x:c r="M1985" s="31" t="n">
        <x:f>IF(AND(N1985="미수",G1985&lt;&gt;"",TODAY()&gt;G1985),TODAY()-G1985,0)</x:f>
        <x:v>0</x:v>
      </x:c>
      <x:c r="N1985" s="24" t="str">
        <x:f>IF(J1985&gt;0,"미수",IF(AND(H1985&gt;0,I1985&gt;=H1985),"완납","미확인"))</x:f>
        <x:v>완납</x:v>
      </x:c>
      <x:c r="O1985" s="31" t="n">
        <x:v>93</x:v>
      </x:c>
    </x:row>
    <x:row r="1986" ht="17.25" customHeight="1">
      <x:c r="A1986" s="24" t="str">
        <x:v>SW-B-162버2918-202510</x:v>
      </x:c>
      <x:c r="B1986" s="24" t="str">
        <x:v>스위치플랜</x:v>
      </x:c>
      <x:c r="C1986" s="24" t="str">
        <x:v>SW-C-162버2918-1-20240709-94</x:v>
      </x:c>
      <x:c r="D1986" s="24" t="str">
        <x:v>162버2918</x:v>
      </x:c>
      <x:c r="E1986" s="24" t="str">
        <x:v>박소희</x:v>
      </x:c>
      <x:c r="F1986" s="24" t="str">
        <x:v>2025-10</x:v>
      </x:c>
      <x:c r="G1986" s="30" t="n">
        <x:v>45940</x:v>
      </x:c>
      <x:c r="H1986" s="32" t="n">
        <x:v>950000</x:v>
      </x:c>
      <x:c r="I1986" s="32" t="n">
        <x:v>950000</x:v>
      </x:c>
      <x:c r="J1986" s="32" t="n">
        <x:v>0</x:v>
      </x:c>
      <x:c r="K1986" s="30" t="n">
        <x:v>45943</x:v>
      </x:c>
      <x:c r="L1986" s="24" t="str">
        <x:v>입금</x:v>
      </x:c>
      <x:c r="M1986" s="31" t="n">
        <x:f>IF(AND(N1986="미수",G1986&lt;&gt;"",TODAY()&gt;G1986),TODAY()-G1986,0)</x:f>
        <x:v>0</x:v>
      </x:c>
      <x:c r="N1986" s="24" t="str">
        <x:f>IF(J1986&gt;0,"미수",IF(AND(H1986&gt;0,I1986&gt;=H1986),"완납","미확인"))</x:f>
        <x:v>완납</x:v>
      </x:c>
      <x:c r="O1986" s="31" t="n">
        <x:v>93</x:v>
      </x:c>
    </x:row>
    <x:row r="1987" ht="17.25" customHeight="1">
      <x:c r="A1987" s="24" t="str">
        <x:v>SW-B-162버2918-202509</x:v>
      </x:c>
      <x:c r="B1987" s="24" t="str">
        <x:v>스위치플랜</x:v>
      </x:c>
      <x:c r="C1987" s="24" t="str">
        <x:v>SW-C-162버2918-1-20240709-94</x:v>
      </x:c>
      <x:c r="D1987" s="24" t="str">
        <x:v>162버2918</x:v>
      </x:c>
      <x:c r="E1987" s="24" t="str">
        <x:v>박소희</x:v>
      </x:c>
      <x:c r="F1987" s="24" t="str">
        <x:v>2025-09</x:v>
      </x:c>
      <x:c r="G1987" s="30" t="n">
        <x:v>45910</x:v>
      </x:c>
      <x:c r="H1987" s="32" t="n">
        <x:v>950000</x:v>
      </x:c>
      <x:c r="I1987" s="32" t="n">
        <x:v>950000</x:v>
      </x:c>
      <x:c r="J1987" s="32" t="n">
        <x:v>0</x:v>
      </x:c>
      <x:c r="K1987" s="30" t="n">
        <x:v>45912</x:v>
      </x:c>
      <x:c r="L1987" s="24" t="str">
        <x:v>입금</x:v>
      </x:c>
      <x:c r="M1987" s="31" t="n">
        <x:f>IF(AND(N1987="미수",G1987&lt;&gt;"",TODAY()&gt;G1987),TODAY()-G1987,0)</x:f>
        <x:v>0</x:v>
      </x:c>
      <x:c r="N1987" s="24" t="str">
        <x:f>IF(J1987&gt;0,"미수",IF(AND(H1987&gt;0,I1987&gt;=H1987),"완납","미확인"))</x:f>
        <x:v>완납</x:v>
      </x:c>
      <x:c r="O1987" s="31" t="n">
        <x:v>93</x:v>
      </x:c>
    </x:row>
    <x:row r="1988" ht="17.25" customHeight="1">
      <x:c r="A1988" s="24" t="str">
        <x:v>SW-B-162버2918-202508</x:v>
      </x:c>
      <x:c r="B1988" s="24" t="str">
        <x:v>스위치플랜</x:v>
      </x:c>
      <x:c r="C1988" s="24" t="str">
        <x:v>SW-C-162버2918-1-20240709-94</x:v>
      </x:c>
      <x:c r="D1988" s="24" t="str">
        <x:v>162버2918</x:v>
      </x:c>
      <x:c r="E1988" s="24" t="str">
        <x:v>박소희</x:v>
      </x:c>
      <x:c r="F1988" s="24" t="str">
        <x:v>2025-08</x:v>
      </x:c>
      <x:c r="G1988" s="30" t="n">
        <x:v>45879</x:v>
      </x:c>
      <x:c r="H1988" s="32" t="n">
        <x:v>950000</x:v>
      </x:c>
      <x:c r="I1988" s="32" t="n">
        <x:v>950000</x:v>
      </x:c>
      <x:c r="J1988" s="32" t="n">
        <x:v>0</x:v>
      </x:c>
      <x:c r="K1988" s="30" t="n">
        <x:v>45881</x:v>
      </x:c>
      <x:c r="L1988" s="24" t="str">
        <x:v>입금</x:v>
      </x:c>
      <x:c r="M1988" s="31" t="n">
        <x:f>IF(AND(N1988="미수",G1988&lt;&gt;"",TODAY()&gt;G1988),TODAY()-G1988,0)</x:f>
        <x:v>0</x:v>
      </x:c>
      <x:c r="N1988" s="24" t="str">
        <x:f>IF(J1988&gt;0,"미수",IF(AND(H1988&gt;0,I1988&gt;=H1988),"완납","미확인"))</x:f>
        <x:v>완납</x:v>
      </x:c>
      <x:c r="O1988" s="31" t="n">
        <x:v>93</x:v>
      </x:c>
    </x:row>
    <x:row r="1989" ht="17.25" customHeight="1">
      <x:c r="A1989" s="24" t="str">
        <x:v>SW-B-162버2918-202507</x:v>
      </x:c>
      <x:c r="B1989" s="24" t="str">
        <x:v>스위치플랜</x:v>
      </x:c>
      <x:c r="C1989" s="24" t="str">
        <x:v>SW-C-162버2918-1-20240709-94</x:v>
      </x:c>
      <x:c r="D1989" s="24" t="str">
        <x:v>162버2918</x:v>
      </x:c>
      <x:c r="E1989" s="24" t="str">
        <x:v>박소희</x:v>
      </x:c>
      <x:c r="F1989" s="24" t="str">
        <x:v>2025-07</x:v>
      </x:c>
      <x:c r="G1989" s="30" t="n">
        <x:v>45848</x:v>
      </x:c>
      <x:c r="H1989" s="32" t="n">
        <x:v>950000</x:v>
      </x:c>
      <x:c r="I1989" s="32" t="n">
        <x:v>950000</x:v>
      </x:c>
      <x:c r="J1989" s="32" t="n">
        <x:v>0</x:v>
      </x:c>
      <x:c r="K1989" s="30" t="n">
        <x:v>45849</x:v>
      </x:c>
      <x:c r="L1989" s="24" t="str">
        <x:v>입금</x:v>
      </x:c>
      <x:c r="M1989" s="31" t="n">
        <x:f>IF(AND(N1989="미수",G1989&lt;&gt;"",TODAY()&gt;G1989),TODAY()-G1989,0)</x:f>
        <x:v>0</x:v>
      </x:c>
      <x:c r="N1989" s="24" t="str">
        <x:f>IF(J1989&gt;0,"미수",IF(AND(H1989&gt;0,I1989&gt;=H1989),"완납","미확인"))</x:f>
        <x:v>완납</x:v>
      </x:c>
      <x:c r="O1989" s="31" t="n">
        <x:v>93</x:v>
      </x:c>
    </x:row>
    <x:row r="1990" ht="17.25" customHeight="1">
      <x:c r="A1990" s="24" t="str">
        <x:v>SW-B-162버2918-202506</x:v>
      </x:c>
      <x:c r="B1990" s="24" t="str">
        <x:v>스위치플랜</x:v>
      </x:c>
      <x:c r="C1990" s="24" t="str">
        <x:v>SW-C-162버2918-1-20240709-94</x:v>
      </x:c>
      <x:c r="D1990" s="24" t="str">
        <x:v>162버2918</x:v>
      </x:c>
      <x:c r="E1990" s="24" t="str">
        <x:v>박소희</x:v>
      </x:c>
      <x:c r="F1990" s="24" t="str">
        <x:v>2025-06</x:v>
      </x:c>
      <x:c r="G1990" s="30" t="n">
        <x:v>45818</x:v>
      </x:c>
      <x:c r="H1990" s="32" t="n">
        <x:v>950000</x:v>
      </x:c>
      <x:c r="I1990" s="32" t="n">
        <x:v>950000</x:v>
      </x:c>
      <x:c r="J1990" s="32" t="n">
        <x:v>0</x:v>
      </x:c>
      <x:c r="K1990" s="30" t="n">
        <x:v>45818</x:v>
      </x:c>
      <x:c r="L1990" s="24" t="str">
        <x:v>입금</x:v>
      </x:c>
      <x:c r="M1990" s="31" t="n">
        <x:f>IF(AND(N1990="미수",G1990&lt;&gt;"",TODAY()&gt;G1990),TODAY()-G1990,0)</x:f>
        <x:v>0</x:v>
      </x:c>
      <x:c r="N1990" s="24" t="str">
        <x:f>IF(J1990&gt;0,"미수",IF(AND(H1990&gt;0,I1990&gt;=H1990),"완납","미확인"))</x:f>
        <x:v>완납</x:v>
      </x:c>
      <x:c r="O1990" s="31" t="n">
        <x:v>93</x:v>
      </x:c>
    </x:row>
    <x:row r="1991" ht="17.25" customHeight="1">
      <x:c r="A1991" s="24" t="str">
        <x:v>SW-B-162버2918-202505</x:v>
      </x:c>
      <x:c r="B1991" s="24" t="str">
        <x:v>스위치플랜</x:v>
      </x:c>
      <x:c r="C1991" s="24" t="str">
        <x:v>SW-C-162버2918-1-20240709-94</x:v>
      </x:c>
      <x:c r="D1991" s="24" t="str">
        <x:v>162버2918</x:v>
      </x:c>
      <x:c r="E1991" s="24" t="str">
        <x:v>박소희</x:v>
      </x:c>
      <x:c r="F1991" s="24" t="str">
        <x:v>2025-05</x:v>
      </x:c>
      <x:c r="G1991" s="30" t="n">
        <x:v>45787</x:v>
      </x:c>
      <x:c r="H1991" s="32" t="n">
        <x:v>950000</x:v>
      </x:c>
      <x:c r="I1991" s="32" t="n">
        <x:v>950000</x:v>
      </x:c>
      <x:c r="J1991" s="32" t="n">
        <x:v>0</x:v>
      </x:c>
      <x:c r="K1991" s="30" t="n">
        <x:v>45790</x:v>
      </x:c>
      <x:c r="L1991" s="24" t="str">
        <x:v>입금</x:v>
      </x:c>
      <x:c r="M1991" s="31" t="n">
        <x:f>IF(AND(N1991="미수",G1991&lt;&gt;"",TODAY()&gt;G1991),TODAY()-G1991,0)</x:f>
        <x:v>0</x:v>
      </x:c>
      <x:c r="N1991" s="24" t="str">
        <x:f>IF(J1991&gt;0,"미수",IF(AND(H1991&gt;0,I1991&gt;=H1991),"완납","미확인"))</x:f>
        <x:v>완납</x:v>
      </x:c>
      <x:c r="O1991" s="31" t="n">
        <x:v>93</x:v>
      </x:c>
    </x:row>
    <x:row r="1992" ht="17.25" customHeight="1">
      <x:c r="A1992" s="24" t="str">
        <x:v>SW-B-162버2918-202504</x:v>
      </x:c>
      <x:c r="B1992" s="24" t="str">
        <x:v>스위치플랜</x:v>
      </x:c>
      <x:c r="C1992" s="24" t="str">
        <x:v>SW-C-162버2918-1-20240709-94</x:v>
      </x:c>
      <x:c r="D1992" s="24" t="str">
        <x:v>162버2918</x:v>
      </x:c>
      <x:c r="E1992" s="24" t="str">
        <x:v>박소희</x:v>
      </x:c>
      <x:c r="F1992" s="24" t="str">
        <x:v>2025-04</x:v>
      </x:c>
      <x:c r="G1992" s="30" t="n">
        <x:v>45757</x:v>
      </x:c>
      <x:c r="H1992" s="32" t="n">
        <x:v>950000</x:v>
      </x:c>
      <x:c r="I1992" s="32" t="n">
        <x:v>950000</x:v>
      </x:c>
      <x:c r="J1992" s="32" t="n">
        <x:v>0</x:v>
      </x:c>
      <x:c r="K1992" s="30" t="n">
        <x:v>45755</x:v>
      </x:c>
      <x:c r="L1992" s="24" t="str">
        <x:v>입금</x:v>
      </x:c>
      <x:c r="M1992" s="31" t="n">
        <x:f>IF(AND(N1992="미수",G1992&lt;&gt;"",TODAY()&gt;G1992),TODAY()-G1992,0)</x:f>
        <x:v>0</x:v>
      </x:c>
      <x:c r="N1992" s="24" t="str">
        <x:f>IF(J1992&gt;0,"미수",IF(AND(H1992&gt;0,I1992&gt;=H1992),"완납","미확인"))</x:f>
        <x:v>완납</x:v>
      </x:c>
      <x:c r="O1992" s="31" t="n">
        <x:v>93</x:v>
      </x:c>
    </x:row>
    <x:row r="1993" ht="17.25" customHeight="1">
      <x:c r="A1993" s="24" t="str">
        <x:v>SW-B-162버2918-202503</x:v>
      </x:c>
      <x:c r="B1993" s="24" t="str">
        <x:v>스위치플랜</x:v>
      </x:c>
      <x:c r="C1993" s="24" t="str">
        <x:v>SW-C-162버2918-1-20240709-94</x:v>
      </x:c>
      <x:c r="D1993" s="24" t="str">
        <x:v>162버2918</x:v>
      </x:c>
      <x:c r="E1993" s="24" t="str">
        <x:v>박소희</x:v>
      </x:c>
      <x:c r="F1993" s="24" t="str">
        <x:v>2025-03</x:v>
      </x:c>
      <x:c r="G1993" s="30" t="n">
        <x:v>45726</x:v>
      </x:c>
      <x:c r="H1993" s="32" t="n">
        <x:v>950000</x:v>
      </x:c>
      <x:c r="I1993" s="32" t="n">
        <x:v>950000</x:v>
      </x:c>
      <x:c r="J1993" s="32" t="n">
        <x:v>0</x:v>
      </x:c>
      <x:c r="K1993" s="30" t="n">
        <x:v>45726</x:v>
      </x:c>
      <x:c r="L1993" s="24" t="str">
        <x:v>자동</x:v>
      </x:c>
      <x:c r="M1993" s="31" t="n">
        <x:f>IF(AND(N1993="미수",G1993&lt;&gt;"",TODAY()&gt;G1993),TODAY()-G1993,0)</x:f>
        <x:v>0</x:v>
      </x:c>
      <x:c r="N1993" s="24" t="str">
        <x:f>IF(J1993&gt;0,"미수",IF(AND(H1993&gt;0,I1993&gt;=H1993),"완납","미확인"))</x:f>
        <x:v>완납</x:v>
      </x:c>
      <x:c r="O1993" s="31" t="n">
        <x:v>93</x:v>
      </x:c>
    </x:row>
    <x:row r="1994" ht="17.25" customHeight="1">
      <x:c r="A1994" s="24" t="str">
        <x:v>SW-B-162버2918-202502</x:v>
      </x:c>
      <x:c r="B1994" s="24" t="str">
        <x:v>스위치플랜</x:v>
      </x:c>
      <x:c r="C1994" s="24" t="str">
        <x:v>SW-C-162버2918-1-20240709-94</x:v>
      </x:c>
      <x:c r="D1994" s="24" t="str">
        <x:v>162버2918</x:v>
      </x:c>
      <x:c r="E1994" s="24" t="str">
        <x:v>박소희</x:v>
      </x:c>
      <x:c r="F1994" s="24" t="str">
        <x:v>2025-02</x:v>
      </x:c>
      <x:c r="G1994" s="30" t="n">
        <x:v>45698</x:v>
      </x:c>
      <x:c r="H1994" s="32" t="n">
        <x:v>950000</x:v>
      </x:c>
      <x:c r="I1994" s="32" t="n">
        <x:v>950000</x:v>
      </x:c>
      <x:c r="J1994" s="32" t="n">
        <x:v>0</x:v>
      </x:c>
      <x:c r="K1994" s="30" t="n">
        <x:v>45698</x:v>
      </x:c>
      <x:c r="L1994" s="24" t="str">
        <x:v>자동</x:v>
      </x:c>
      <x:c r="M1994" s="31" t="n">
        <x:f>IF(AND(N1994="미수",G1994&lt;&gt;"",TODAY()&gt;G1994),TODAY()-G1994,0)</x:f>
        <x:v>0</x:v>
      </x:c>
      <x:c r="N1994" s="24" t="str">
        <x:f>IF(J1994&gt;0,"미수",IF(AND(H1994&gt;0,I1994&gt;=H1994),"완납","미확인"))</x:f>
        <x:v>완납</x:v>
      </x:c>
      <x:c r="O1994" s="31" t="n">
        <x:v>93</x:v>
      </x:c>
    </x:row>
    <x:row r="1995" ht="17.25" customHeight="1">
      <x:c r="A1995" s="24" t="str">
        <x:v>SW-B-162버2918-202501</x:v>
      </x:c>
      <x:c r="B1995" s="24" t="str">
        <x:v>스위치플랜</x:v>
      </x:c>
      <x:c r="C1995" s="24" t="str">
        <x:v>SW-C-162버2918-1-20240709-94</x:v>
      </x:c>
      <x:c r="D1995" s="24" t="str">
        <x:v>162버2918</x:v>
      </x:c>
      <x:c r="E1995" s="24" t="str">
        <x:v>박소희</x:v>
      </x:c>
      <x:c r="F1995" s="24" t="str">
        <x:v>2025-01</x:v>
      </x:c>
      <x:c r="G1995" s="30" t="n">
        <x:v>45667</x:v>
      </x:c>
      <x:c r="H1995" s="32" t="n">
        <x:v>950000</x:v>
      </x:c>
      <x:c r="I1995" s="32" t="n">
        <x:v>950000</x:v>
      </x:c>
      <x:c r="J1995" s="32" t="n">
        <x:v>0</x:v>
      </x:c>
      <x:c r="K1995" s="30" t="n">
        <x:v>45670</x:v>
      </x:c>
      <x:c r="L1995" s="24" t="str">
        <x:v>입금</x:v>
      </x:c>
      <x:c r="M1995" s="31" t="n">
        <x:f>IF(AND(N1995="미수",G1995&lt;&gt;"",TODAY()&gt;G1995),TODAY()-G1995,0)</x:f>
        <x:v>0</x:v>
      </x:c>
      <x:c r="N1995" s="24" t="str">
        <x:f>IF(J1995&gt;0,"미수",IF(AND(H1995&gt;0,I1995&gt;=H1995),"완납","미확인"))</x:f>
        <x:v>완납</x:v>
      </x:c>
      <x:c r="O1995" s="31" t="n">
        <x:v>93</x:v>
      </x:c>
    </x:row>
    <x:row r="1996" ht="17.25" customHeight="1">
      <x:c r="A1996" s="24" t="str">
        <x:v>SW-B-162버2918-202412</x:v>
      </x:c>
      <x:c r="B1996" s="24" t="str">
        <x:v>스위치플랜</x:v>
      </x:c>
      <x:c r="C1996" s="24" t="str">
        <x:v>SW-C-162버2918-1-20240709-94</x:v>
      </x:c>
      <x:c r="D1996" s="24" t="str">
        <x:v>162버2918</x:v>
      </x:c>
      <x:c r="E1996" s="24" t="str">
        <x:v>박소희</x:v>
      </x:c>
      <x:c r="F1996" s="24" t="str">
        <x:v>2024-12</x:v>
      </x:c>
      <x:c r="G1996" s="30" t="n">
        <x:v>45636</x:v>
      </x:c>
      <x:c r="H1996" s="32" t="n">
        <x:v>950000</x:v>
      </x:c>
      <x:c r="I1996" s="32" t="n">
        <x:v>950000</x:v>
      </x:c>
      <x:c r="J1996" s="32" t="n">
        <x:v>0</x:v>
      </x:c>
      <x:c r="K1996" s="30" t="n">
        <x:v>45638</x:v>
      </x:c>
      <x:c r="L1996" s="24" t="str">
        <x:v>입금</x:v>
      </x:c>
      <x:c r="M1996" s="31" t="n">
        <x:f>IF(AND(N1996="미수",G1996&lt;&gt;"",TODAY()&gt;G1996),TODAY()-G1996,0)</x:f>
        <x:v>0</x:v>
      </x:c>
      <x:c r="N1996" s="24" t="str">
        <x:f>IF(J1996&gt;0,"미수",IF(AND(H1996&gt;0,I1996&gt;=H1996),"완납","미확인"))</x:f>
        <x:v>완납</x:v>
      </x:c>
      <x:c r="O1996" s="31" t="n">
        <x:v>93</x:v>
      </x:c>
    </x:row>
    <x:row r="1997" ht="17.25" customHeight="1">
      <x:c r="A1997" s="24" t="str">
        <x:v>SW-B-162버2918-202411</x:v>
      </x:c>
      <x:c r="B1997" s="24" t="str">
        <x:v>스위치플랜</x:v>
      </x:c>
      <x:c r="C1997" s="24" t="str">
        <x:v>SW-C-162버2918-1-20240709-94</x:v>
      </x:c>
      <x:c r="D1997" s="24" t="str">
        <x:v>162버2918</x:v>
      </x:c>
      <x:c r="E1997" s="24" t="str">
        <x:v>박소희</x:v>
      </x:c>
      <x:c r="F1997" s="24" t="str">
        <x:v>2024-11</x:v>
      </x:c>
      <x:c r="G1997" s="30" t="n">
        <x:v>45606</x:v>
      </x:c>
      <x:c r="H1997" s="32" t="n">
        <x:v>950000</x:v>
      </x:c>
      <x:c r="I1997" s="32" t="n">
        <x:v>950000</x:v>
      </x:c>
      <x:c r="J1997" s="32" t="n">
        <x:v>0</x:v>
      </x:c>
      <x:c r="K1997" s="30" t="n">
        <x:v>45608</x:v>
      </x:c>
      <x:c r="L1997" s="24" t="str">
        <x:v>입금</x:v>
      </x:c>
      <x:c r="M1997" s="31" t="n">
        <x:f>IF(AND(N1997="미수",G1997&lt;&gt;"",TODAY()&gt;G1997),TODAY()-G1997,0)</x:f>
        <x:v>0</x:v>
      </x:c>
      <x:c r="N1997" s="24" t="str">
        <x:f>IF(J1997&gt;0,"미수",IF(AND(H1997&gt;0,I1997&gt;=H1997),"완납","미확인"))</x:f>
        <x:v>완납</x:v>
      </x:c>
      <x:c r="O1997" s="31" t="n">
        <x:v>93</x:v>
      </x:c>
    </x:row>
    <x:row r="1998" ht="17.25" customHeight="1">
      <x:c r="A1998" s="24" t="str">
        <x:v>SW-B-162버2918-202410</x:v>
      </x:c>
      <x:c r="B1998" s="24" t="str">
        <x:v>스위치플랜</x:v>
      </x:c>
      <x:c r="C1998" s="24" t="str">
        <x:v>SW-C-162버2918-1-20240709-94</x:v>
      </x:c>
      <x:c r="D1998" s="24" t="str">
        <x:v>162버2918</x:v>
      </x:c>
      <x:c r="E1998" s="24" t="str">
        <x:v>박소희</x:v>
      </x:c>
      <x:c r="F1998" s="24" t="str">
        <x:v>2024-10</x:v>
      </x:c>
      <x:c r="G1998" s="30" t="n">
        <x:v>45575</x:v>
      </x:c>
      <x:c r="H1998" s="32" t="n">
        <x:v>950000</x:v>
      </x:c>
      <x:c r="I1998" s="32" t="n">
        <x:v>950000</x:v>
      </x:c>
      <x:c r="J1998" s="32" t="n">
        <x:v>0</x:v>
      </x:c>
      <x:c r="K1998" s="30" t="n">
        <x:v>45576</x:v>
      </x:c>
      <x:c r="L1998" s="24" t="str">
        <x:v>입금</x:v>
      </x:c>
      <x:c r="M1998" s="31" t="n">
        <x:f>IF(AND(N1998="미수",G1998&lt;&gt;"",TODAY()&gt;G1998),TODAY()-G1998,0)</x:f>
        <x:v>0</x:v>
      </x:c>
      <x:c r="N1998" s="24" t="str">
        <x:f>IF(J1998&gt;0,"미수",IF(AND(H1998&gt;0,I1998&gt;=H1998),"완납","미확인"))</x:f>
        <x:v>완납</x:v>
      </x:c>
      <x:c r="O1998" s="31" t="n">
        <x:v>93</x:v>
      </x:c>
    </x:row>
    <x:row r="1999" ht="17.25" customHeight="1">
      <x:c r="A1999" s="24" t="str">
        <x:v>SW-B-162버2918-202409</x:v>
      </x:c>
      <x:c r="B1999" s="24" t="str">
        <x:v>스위치플랜</x:v>
      </x:c>
      <x:c r="C1999" s="24" t="str">
        <x:v>SW-C-162버2918-1-20240709-94</x:v>
      </x:c>
      <x:c r="D1999" s="24" t="str">
        <x:v>162버2918</x:v>
      </x:c>
      <x:c r="E1999" s="24" t="str">
        <x:v>박소희</x:v>
      </x:c>
      <x:c r="F1999" s="24" t="str">
        <x:v>2024-09</x:v>
      </x:c>
      <x:c r="G1999" s="30" t="n">
        <x:v>45545</x:v>
      </x:c>
      <x:c r="H1999" s="32" t="n">
        <x:v>950000</x:v>
      </x:c>
      <x:c r="I1999" s="32" t="n">
        <x:v>950000</x:v>
      </x:c>
      <x:c r="J1999" s="32" t="n">
        <x:v>0</x:v>
      </x:c>
      <x:c r="K1999" s="30" t="n">
        <x:v>45545</x:v>
      </x:c>
      <x:c r="L1999" s="24" t="str">
        <x:v>자동</x:v>
      </x:c>
      <x:c r="M1999" s="31" t="n">
        <x:f>IF(AND(N1999="미수",G1999&lt;&gt;"",TODAY()&gt;G1999),TODAY()-G1999,0)</x:f>
        <x:v>0</x:v>
      </x:c>
      <x:c r="N1999" s="24" t="str">
        <x:f>IF(J1999&gt;0,"미수",IF(AND(H1999&gt;0,I1999&gt;=H1999),"완납","미확인"))</x:f>
        <x:v>완납</x:v>
      </x:c>
      <x:c r="O1999" s="31" t="n">
        <x:v>93</x:v>
      </x:c>
    </x:row>
    <x:row r="2000" ht="17.25" customHeight="1">
      <x:c r="A2000" s="24" t="str">
        <x:v>SW-B-162버2918-202408</x:v>
      </x:c>
      <x:c r="B2000" s="24" t="str">
        <x:v>스위치플랜</x:v>
      </x:c>
      <x:c r="C2000" s="24" t="str">
        <x:v>SW-C-162버2918-1-20240709-94</x:v>
      </x:c>
      <x:c r="D2000" s="24" t="str">
        <x:v>162버2918</x:v>
      </x:c>
      <x:c r="E2000" s="24" t="str">
        <x:v>박소희</x:v>
      </x:c>
      <x:c r="F2000" s="24" t="str">
        <x:v>2024-08</x:v>
      </x:c>
      <x:c r="G2000" s="30" t="n">
        <x:v>45514</x:v>
      </x:c>
      <x:c r="H2000" s="32" t="n">
        <x:v>950000</x:v>
      </x:c>
      <x:c r="I2000" s="32" t="n">
        <x:v>950000</x:v>
      </x:c>
      <x:c r="J2000" s="32" t="n">
        <x:v>0</x:v>
      </x:c>
      <x:c r="K2000" s="30" t="n">
        <x:v>45516</x:v>
      </x:c>
      <x:c r="L2000" s="24" t="str">
        <x:v>입금</x:v>
      </x:c>
      <x:c r="M2000" s="31" t="n">
        <x:f>IF(AND(N2000="미수",G2000&lt;&gt;"",TODAY()&gt;G2000),TODAY()-G2000,0)</x:f>
        <x:v>0</x:v>
      </x:c>
      <x:c r="N2000" s="24" t="str">
        <x:f>IF(J2000&gt;0,"미수",IF(AND(H2000&gt;0,I2000&gt;=H2000),"완납","미확인"))</x:f>
        <x:v>완납</x:v>
      </x:c>
      <x:c r="O2000" s="31" t="n">
        <x:v>93</x:v>
      </x:c>
    </x:row>
    <x:row r="2001" ht="17.25" customHeight="1">
      <x:c r="A2001" s="24" t="str">
        <x:v>SW-B-162버2918-202407</x:v>
      </x:c>
      <x:c r="B2001" s="24" t="str">
        <x:v>스위치플랜</x:v>
      </x:c>
      <x:c r="C2001" s="24" t="str">
        <x:v>SW-C-162버2918-1-20240709-94</x:v>
      </x:c>
      <x:c r="D2001" s="24" t="str">
        <x:v>162버2918</x:v>
      </x:c>
      <x:c r="E2001" s="24" t="str">
        <x:v>박소희</x:v>
      </x:c>
      <x:c r="F2001" s="24" t="str">
        <x:v>2024-07</x:v>
      </x:c>
      <x:c r="G2001" s="30" t="n">
        <x:v>45483</x:v>
      </x:c>
      <x:c r="H2001" s="32" t="n">
        <x:v>950000</x:v>
      </x:c>
      <x:c r="I2001" s="32" t="n">
        <x:v>950000</x:v>
      </x:c>
      <x:c r="J2001" s="32" t="n">
        <x:v>0</x:v>
      </x:c>
      <x:c r="K2001" s="30" t="n">
        <x:v>45468</x:v>
      </x:c>
      <x:c r="L2001" s="24" t="str">
        <x:v>입금</x:v>
      </x:c>
      <x:c r="M2001" s="31" t="n">
        <x:f>IF(AND(N2001="미수",G2001&lt;&gt;"",TODAY()&gt;G2001),TODAY()-G2001,0)</x:f>
        <x:v>0</x:v>
      </x:c>
      <x:c r="N2001" s="24" t="str">
        <x:f>IF(J2001&gt;0,"미수",IF(AND(H2001&gt;0,I2001&gt;=H2001),"완납","미확인"))</x:f>
        <x:v>완납</x:v>
      </x:c>
      <x:c r="O2001" s="31" t="n">
        <x:v>93</x:v>
      </x:c>
    </x:row>
    <x:row r="2002" ht="17.25" customHeight="1">
      <x:c r="A2002" s="24" t="str">
        <x:v>SW-B-286주8294-202608</x:v>
      </x:c>
      <x:c r="B2002" s="24" t="str">
        <x:v>스위치플랜</x:v>
      </x:c>
      <x:c r="C2002" s="24" t="str">
        <x:v>SW-C-286주8294-1-20250328-95</x:v>
      </x:c>
      <x:c r="D2002" s="24" t="str">
        <x:v>286주8294</x:v>
      </x:c>
      <x:c r="E2002" s="24" t="str">
        <x:v>성진우</x:v>
      </x:c>
      <x:c r="F2002" s="24" t="str">
        <x:v>2026-08</x:v>
      </x:c>
      <x:c r="G2002" s="30" t="n">
        <x:v>46249</x:v>
      </x:c>
      <x:c r="H2002" s="32" t="n">
        <x:v>1020000</x:v>
      </x:c>
      <x:c r="I2002" s="32"/>
      <x:c r="J2002" s="32" t="n">
        <x:v>1020000</x:v>
      </x:c>
      <x:c r="K2002" s="30"/>
      <x:c r="L2002" s="24" t="str"/>
      <x:c r="M2002" s="31" t="n">
        <x:f>IF(AND(N2002="미수",G2002&lt;&gt;"",TODAY()&gt;G2002),TODAY()-G2002,0)</x:f>
        <x:v>0</x:v>
      </x:c>
      <x:c r="N2002" s="24" t="str">
        <x:f>IF(J2002&gt;0,"미수",IF(AND(H2002&gt;0,I2002&gt;=H2002),"완납","미확인"))</x:f>
        <x:v>미수</x:v>
      </x:c>
      <x:c r="O2002" s="31" t="n">
        <x:v>94</x:v>
      </x:c>
    </x:row>
    <x:row r="2003" ht="17.25" customHeight="1">
      <x:c r="A2003" s="24" t="str">
        <x:v>SW-B-286주8294-202607</x:v>
      </x:c>
      <x:c r="B2003" s="24" t="str">
        <x:v>스위치플랜</x:v>
      </x:c>
      <x:c r="C2003" s="24" t="str">
        <x:v>SW-C-286주8294-1-20250328-95</x:v>
      </x:c>
      <x:c r="D2003" s="24" t="str">
        <x:v>286주8294</x:v>
      </x:c>
      <x:c r="E2003" s="24" t="str">
        <x:v>성진우</x:v>
      </x:c>
      <x:c r="F2003" s="24" t="str">
        <x:v>2026-07</x:v>
      </x:c>
      <x:c r="G2003" s="30" t="n">
        <x:v>46218</x:v>
      </x:c>
      <x:c r="H2003" s="32" t="n">
        <x:v>1020000</x:v>
      </x:c>
      <x:c r="I2003" s="32" t="n">
        <x:v>1020000</x:v>
      </x:c>
      <x:c r="J2003" s="32" t="n">
        <x:v>0</x:v>
      </x:c>
      <x:c r="K2003" s="30" t="n">
        <x:v>46226</x:v>
      </x:c>
      <x:c r="L2003" s="24" t="str">
        <x:v>입금</x:v>
      </x:c>
      <x:c r="M2003" s="31" t="n">
        <x:f>IF(AND(N2003="미수",G2003&lt;&gt;"",TODAY()&gt;G2003),TODAY()-G2003,0)</x:f>
        <x:v>0</x:v>
      </x:c>
      <x:c r="N2003" s="24" t="str">
        <x:f>IF(J2003&gt;0,"미수",IF(AND(H2003&gt;0,I2003&gt;=H2003),"완납","미확인"))</x:f>
        <x:v>완납</x:v>
      </x:c>
      <x:c r="O2003" s="31" t="n">
        <x:v>94</x:v>
      </x:c>
    </x:row>
    <x:row r="2004" ht="17.25" customHeight="1">
      <x:c r="A2004" s="24" t="str">
        <x:v>SW-B-286주8294-202606</x:v>
      </x:c>
      <x:c r="B2004" s="24" t="str">
        <x:v>스위치플랜</x:v>
      </x:c>
      <x:c r="C2004" s="24" t="str">
        <x:v>SW-C-286주8294-1-20250328-95</x:v>
      </x:c>
      <x:c r="D2004" s="24" t="str">
        <x:v>286주8294</x:v>
      </x:c>
      <x:c r="E2004" s="24" t="str">
        <x:v>성진우</x:v>
      </x:c>
      <x:c r="F2004" s="24" t="str">
        <x:v>2026-06</x:v>
      </x:c>
      <x:c r="G2004" s="30" t="n">
        <x:v>46188</x:v>
      </x:c>
      <x:c r="H2004" s="32" t="n">
        <x:v>1020000</x:v>
      </x:c>
      <x:c r="I2004" s="32" t="n">
        <x:v>1020000</x:v>
      </x:c>
      <x:c r="J2004" s="32" t="n">
        <x:v>0</x:v>
      </x:c>
      <x:c r="K2004" s="30" t="n">
        <x:v>46183</x:v>
      </x:c>
      <x:c r="L2004" s="24" t="str">
        <x:v>입금</x:v>
      </x:c>
      <x:c r="M2004" s="31" t="n">
        <x:f>IF(AND(N2004="미수",G2004&lt;&gt;"",TODAY()&gt;G2004),TODAY()-G2004,0)</x:f>
        <x:v>0</x:v>
      </x:c>
      <x:c r="N2004" s="24" t="str">
        <x:f>IF(J2004&gt;0,"미수",IF(AND(H2004&gt;0,I2004&gt;=H2004),"완납","미확인"))</x:f>
        <x:v>완납</x:v>
      </x:c>
      <x:c r="O2004" s="31" t="n">
        <x:v>94</x:v>
      </x:c>
    </x:row>
    <x:row r="2005" ht="17.25" customHeight="1">
      <x:c r="A2005" s="24" t="str">
        <x:v>SW-B-286주8294-202605</x:v>
      </x:c>
      <x:c r="B2005" s="24" t="str">
        <x:v>스위치플랜</x:v>
      </x:c>
      <x:c r="C2005" s="24" t="str">
        <x:v>SW-C-286주8294-1-20250328-95</x:v>
      </x:c>
      <x:c r="D2005" s="24" t="str">
        <x:v>286주8294</x:v>
      </x:c>
      <x:c r="E2005" s="24" t="str">
        <x:v>성진우</x:v>
      </x:c>
      <x:c r="F2005" s="24" t="str">
        <x:v>2026-05</x:v>
      </x:c>
      <x:c r="G2005" s="30" t="n">
        <x:v>46157</x:v>
      </x:c>
      <x:c r="H2005" s="32" t="n">
        <x:v>1020000</x:v>
      </x:c>
      <x:c r="I2005" s="32" t="n">
        <x:v>1020000</x:v>
      </x:c>
      <x:c r="J2005" s="32" t="n">
        <x:v>0</x:v>
      </x:c>
      <x:c r="K2005" s="30" t="n">
        <x:v>46155</x:v>
      </x:c>
      <x:c r="L2005" s="24" t="str">
        <x:v>입금</x:v>
      </x:c>
      <x:c r="M2005" s="31" t="n">
        <x:f>IF(AND(N2005="미수",G2005&lt;&gt;"",TODAY()&gt;G2005),TODAY()-G2005,0)</x:f>
        <x:v>0</x:v>
      </x:c>
      <x:c r="N2005" s="24" t="str">
        <x:f>IF(J2005&gt;0,"미수",IF(AND(H2005&gt;0,I2005&gt;=H2005),"완납","미확인"))</x:f>
        <x:v>완납</x:v>
      </x:c>
      <x:c r="O2005" s="31" t="n">
        <x:v>94</x:v>
      </x:c>
    </x:row>
    <x:row r="2006" ht="17.25" customHeight="1">
      <x:c r="A2006" s="24" t="str">
        <x:v>SW-B-286주8294-202604</x:v>
      </x:c>
      <x:c r="B2006" s="24" t="str">
        <x:v>스위치플랜</x:v>
      </x:c>
      <x:c r="C2006" s="24" t="str">
        <x:v>SW-C-286주8294-1-20250328-95</x:v>
      </x:c>
      <x:c r="D2006" s="24" t="str">
        <x:v>286주8294</x:v>
      </x:c>
      <x:c r="E2006" s="24" t="str">
        <x:v>성진우</x:v>
      </x:c>
      <x:c r="F2006" s="24" t="str">
        <x:v>2026-04</x:v>
      </x:c>
      <x:c r="G2006" s="30" t="n">
        <x:v>46127</x:v>
      </x:c>
      <x:c r="H2006" s="32" t="n">
        <x:v>1020000</x:v>
      </x:c>
      <x:c r="I2006" s="32" t="n">
        <x:v>1020000</x:v>
      </x:c>
      <x:c r="J2006" s="32" t="n">
        <x:v>0</x:v>
      </x:c>
      <x:c r="K2006" s="30" t="n">
        <x:v>46127</x:v>
      </x:c>
      <x:c r="L2006" s="24" t="str">
        <x:v>자동</x:v>
      </x:c>
      <x:c r="M2006" s="31" t="n">
        <x:f>IF(AND(N2006="미수",G2006&lt;&gt;"",TODAY()&gt;G2006),TODAY()-G2006,0)</x:f>
        <x:v>0</x:v>
      </x:c>
      <x:c r="N2006" s="24" t="str">
        <x:f>IF(J2006&gt;0,"미수",IF(AND(H2006&gt;0,I2006&gt;=H2006),"완납","미확인"))</x:f>
        <x:v>완납</x:v>
      </x:c>
      <x:c r="O2006" s="31" t="n">
        <x:v>94</x:v>
      </x:c>
    </x:row>
    <x:row r="2007" ht="17.25" customHeight="1">
      <x:c r="A2007" s="24" t="str">
        <x:v>SW-B-286주8294-202603</x:v>
      </x:c>
      <x:c r="B2007" s="24" t="str">
        <x:v>스위치플랜</x:v>
      </x:c>
      <x:c r="C2007" s="24" t="str">
        <x:v>SW-C-286주8294-1-20250328-95</x:v>
      </x:c>
      <x:c r="D2007" s="24" t="str">
        <x:v>286주8294</x:v>
      </x:c>
      <x:c r="E2007" s="24" t="str">
        <x:v>성진우</x:v>
      </x:c>
      <x:c r="F2007" s="24" t="str">
        <x:v>2026-03</x:v>
      </x:c>
      <x:c r="G2007" s="30" t="n">
        <x:v>46096</x:v>
      </x:c>
      <x:c r="H2007" s="32" t="n">
        <x:v>1020000</x:v>
      </x:c>
      <x:c r="I2007" s="32" t="n">
        <x:v>1020000</x:v>
      </x:c>
      <x:c r="J2007" s="32" t="n">
        <x:v>0</x:v>
      </x:c>
      <x:c r="K2007" s="30" t="n">
        <x:v>46097</x:v>
      </x:c>
      <x:c r="L2007" s="24" t="str">
        <x:v>자동</x:v>
      </x:c>
      <x:c r="M2007" s="31" t="n">
        <x:f>IF(AND(N2007="미수",G2007&lt;&gt;"",TODAY()&gt;G2007),TODAY()-G2007,0)</x:f>
        <x:v>0</x:v>
      </x:c>
      <x:c r="N2007" s="24" t="str">
        <x:f>IF(J2007&gt;0,"미수",IF(AND(H2007&gt;0,I2007&gt;=H2007),"완납","미확인"))</x:f>
        <x:v>완납</x:v>
      </x:c>
      <x:c r="O2007" s="31" t="n">
        <x:v>94</x:v>
      </x:c>
    </x:row>
    <x:row r="2008" ht="17.25" customHeight="1">
      <x:c r="A2008" s="24" t="str">
        <x:v>SW-B-286주8294-202602</x:v>
      </x:c>
      <x:c r="B2008" s="24" t="str">
        <x:v>스위치플랜</x:v>
      </x:c>
      <x:c r="C2008" s="24" t="str">
        <x:v>SW-C-286주8294-1-20250328-95</x:v>
      </x:c>
      <x:c r="D2008" s="24" t="str">
        <x:v>286주8294</x:v>
      </x:c>
      <x:c r="E2008" s="24" t="str">
        <x:v>성진우</x:v>
      </x:c>
      <x:c r="F2008" s="24" t="str">
        <x:v>2026-02</x:v>
      </x:c>
      <x:c r="G2008" s="30" t="n">
        <x:v>46068</x:v>
      </x:c>
      <x:c r="H2008" s="32" t="n">
        <x:v>1020000</x:v>
      </x:c>
      <x:c r="I2008" s="32" t="n">
        <x:v>1020000</x:v>
      </x:c>
      <x:c r="J2008" s="32" t="n">
        <x:v>0</x:v>
      </x:c>
      <x:c r="K2008" s="30" t="n">
        <x:v>46072</x:v>
      </x:c>
      <x:c r="L2008" s="24" t="str">
        <x:v>자동</x:v>
      </x:c>
      <x:c r="M2008" s="31" t="n">
        <x:f>IF(AND(N2008="미수",G2008&lt;&gt;"",TODAY()&gt;G2008),TODAY()-G2008,0)</x:f>
        <x:v>0</x:v>
      </x:c>
      <x:c r="N2008" s="24" t="str">
        <x:f>IF(J2008&gt;0,"미수",IF(AND(H2008&gt;0,I2008&gt;=H2008),"완납","미확인"))</x:f>
        <x:v>완납</x:v>
      </x:c>
      <x:c r="O2008" s="31" t="n">
        <x:v>94</x:v>
      </x:c>
    </x:row>
    <x:row r="2009" ht="17.25" customHeight="1">
      <x:c r="A2009" s="24" t="str">
        <x:v>SW-B-286주8294-202601</x:v>
      </x:c>
      <x:c r="B2009" s="24" t="str">
        <x:v>스위치플랜</x:v>
      </x:c>
      <x:c r="C2009" s="24" t="str">
        <x:v>SW-C-286주8294-1-20250328-95</x:v>
      </x:c>
      <x:c r="D2009" s="24" t="str">
        <x:v>286주8294</x:v>
      </x:c>
      <x:c r="E2009" s="24" t="str">
        <x:v>성진우</x:v>
      </x:c>
      <x:c r="F2009" s="24" t="str">
        <x:v>2026-01</x:v>
      </x:c>
      <x:c r="G2009" s="30" t="n">
        <x:v>46037</x:v>
      </x:c>
      <x:c r="H2009" s="32" t="n">
        <x:v>1020000</x:v>
      </x:c>
      <x:c r="I2009" s="32" t="n">
        <x:v>1020000</x:v>
      </x:c>
      <x:c r="J2009" s="32" t="n">
        <x:v>0</x:v>
      </x:c>
      <x:c r="K2009" s="30" t="n">
        <x:v>46037</x:v>
      </x:c>
      <x:c r="L2009" s="24" t="str">
        <x:v>자동</x:v>
      </x:c>
      <x:c r="M2009" s="31" t="n">
        <x:f>IF(AND(N2009="미수",G2009&lt;&gt;"",TODAY()&gt;G2009),TODAY()-G2009,0)</x:f>
        <x:v>0</x:v>
      </x:c>
      <x:c r="N2009" s="24" t="str">
        <x:f>IF(J2009&gt;0,"미수",IF(AND(H2009&gt;0,I2009&gt;=H2009),"완납","미확인"))</x:f>
        <x:v>완납</x:v>
      </x:c>
      <x:c r="O2009" s="31" t="n">
        <x:v>94</x:v>
      </x:c>
    </x:row>
    <x:row r="2010" ht="17.25" customHeight="1">
      <x:c r="A2010" s="24" t="str">
        <x:v>SW-B-286주8294-202512</x:v>
      </x:c>
      <x:c r="B2010" s="24" t="str">
        <x:v>스위치플랜</x:v>
      </x:c>
      <x:c r="C2010" s="24" t="str">
        <x:v>SW-C-286주8294-1-20250328-95</x:v>
      </x:c>
      <x:c r="D2010" s="24" t="str">
        <x:v>286주8294</x:v>
      </x:c>
      <x:c r="E2010" s="24" t="str">
        <x:v>성진우</x:v>
      </x:c>
      <x:c r="F2010" s="24" t="str">
        <x:v>2025-12</x:v>
      </x:c>
      <x:c r="G2010" s="30" t="n">
        <x:v>46006</x:v>
      </x:c>
      <x:c r="H2010" s="32" t="n">
        <x:v>1020000</x:v>
      </x:c>
      <x:c r="I2010" s="32" t="n">
        <x:v>1020000</x:v>
      </x:c>
      <x:c r="J2010" s="32" t="n">
        <x:v>0</x:v>
      </x:c>
      <x:c r="K2010" s="30" t="n">
        <x:v>46006</x:v>
      </x:c>
      <x:c r="L2010" s="24" t="str">
        <x:v>자동</x:v>
      </x:c>
      <x:c r="M2010" s="31" t="n">
        <x:f>IF(AND(N2010="미수",G2010&lt;&gt;"",TODAY()&gt;G2010),TODAY()-G2010,0)</x:f>
        <x:v>0</x:v>
      </x:c>
      <x:c r="N2010" s="24" t="str">
        <x:f>IF(J2010&gt;0,"미수",IF(AND(H2010&gt;0,I2010&gt;=H2010),"완납","미확인"))</x:f>
        <x:v>완납</x:v>
      </x:c>
      <x:c r="O2010" s="31" t="n">
        <x:v>94</x:v>
      </x:c>
    </x:row>
    <x:row r="2011" ht="17.25" customHeight="1">
      <x:c r="A2011" s="24" t="str">
        <x:v>SW-B-286주8294-202511</x:v>
      </x:c>
      <x:c r="B2011" s="24" t="str">
        <x:v>스위치플랜</x:v>
      </x:c>
      <x:c r="C2011" s="24" t="str">
        <x:v>SW-C-286주8294-1-20250328-95</x:v>
      </x:c>
      <x:c r="D2011" s="24" t="str">
        <x:v>286주8294</x:v>
      </x:c>
      <x:c r="E2011" s="24" t="str">
        <x:v>성진우</x:v>
      </x:c>
      <x:c r="F2011" s="24" t="str">
        <x:v>2025-11</x:v>
      </x:c>
      <x:c r="G2011" s="30" t="n">
        <x:v>45976</x:v>
      </x:c>
      <x:c r="H2011" s="32" t="n">
        <x:v>1020000</x:v>
      </x:c>
      <x:c r="I2011" s="32" t="n">
        <x:v>1020000</x:v>
      </x:c>
      <x:c r="J2011" s="32" t="n">
        <x:v>0</x:v>
      </x:c>
      <x:c r="K2011" s="30" t="n">
        <x:v>45978</x:v>
      </x:c>
      <x:c r="L2011" s="24" t="str">
        <x:v>자동</x:v>
      </x:c>
      <x:c r="M2011" s="31" t="n">
        <x:f>IF(AND(N2011="미수",G2011&lt;&gt;"",TODAY()&gt;G2011),TODAY()-G2011,0)</x:f>
        <x:v>0</x:v>
      </x:c>
      <x:c r="N2011" s="24" t="str">
        <x:f>IF(J2011&gt;0,"미수",IF(AND(H2011&gt;0,I2011&gt;=H2011),"완납","미확인"))</x:f>
        <x:v>완납</x:v>
      </x:c>
      <x:c r="O2011" s="31" t="n">
        <x:v>94</x:v>
      </x:c>
    </x:row>
    <x:row r="2012" ht="17.25" customHeight="1">
      <x:c r="A2012" s="24" t="str">
        <x:v>SW-B-286주8294-202510</x:v>
      </x:c>
      <x:c r="B2012" s="24" t="str">
        <x:v>스위치플랜</x:v>
      </x:c>
      <x:c r="C2012" s="24" t="str">
        <x:v>SW-C-286주8294-1-20250328-95</x:v>
      </x:c>
      <x:c r="D2012" s="24" t="str">
        <x:v>286주8294</x:v>
      </x:c>
      <x:c r="E2012" s="24" t="str">
        <x:v>성진우</x:v>
      </x:c>
      <x:c r="F2012" s="24" t="str">
        <x:v>2025-10</x:v>
      </x:c>
      <x:c r="G2012" s="30" t="n">
        <x:v>45945</x:v>
      </x:c>
      <x:c r="H2012" s="32" t="n">
        <x:v>1020000</x:v>
      </x:c>
      <x:c r="I2012" s="32" t="n">
        <x:v>1020000</x:v>
      </x:c>
      <x:c r="J2012" s="32" t="n">
        <x:v>0</x:v>
      </x:c>
      <x:c r="K2012" s="30" t="n">
        <x:v>45945</x:v>
      </x:c>
      <x:c r="L2012" s="24" t="str">
        <x:v>자동</x:v>
      </x:c>
      <x:c r="M2012" s="31" t="n">
        <x:f>IF(AND(N2012="미수",G2012&lt;&gt;"",TODAY()&gt;G2012),TODAY()-G2012,0)</x:f>
        <x:v>0</x:v>
      </x:c>
      <x:c r="N2012" s="24" t="str">
        <x:f>IF(J2012&gt;0,"미수",IF(AND(H2012&gt;0,I2012&gt;=H2012),"완납","미확인"))</x:f>
        <x:v>완납</x:v>
      </x:c>
      <x:c r="O2012" s="31" t="n">
        <x:v>94</x:v>
      </x:c>
    </x:row>
    <x:row r="2013" ht="17.25" customHeight="1">
      <x:c r="A2013" s="24" t="str">
        <x:v>SW-B-286주8294-202509</x:v>
      </x:c>
      <x:c r="B2013" s="24" t="str">
        <x:v>스위치플랜</x:v>
      </x:c>
      <x:c r="C2013" s="24" t="str">
        <x:v>SW-C-286주8294-1-20250328-95</x:v>
      </x:c>
      <x:c r="D2013" s="24" t="str">
        <x:v>286주8294</x:v>
      </x:c>
      <x:c r="E2013" s="24" t="str">
        <x:v>성진우</x:v>
      </x:c>
      <x:c r="F2013" s="24" t="str">
        <x:v>2025-09</x:v>
      </x:c>
      <x:c r="G2013" s="30" t="n">
        <x:v>45915</x:v>
      </x:c>
      <x:c r="H2013" s="32" t="n">
        <x:v>1020000</x:v>
      </x:c>
      <x:c r="I2013" s="32" t="n">
        <x:v>1020000</x:v>
      </x:c>
      <x:c r="J2013" s="32" t="n">
        <x:v>0</x:v>
      </x:c>
      <x:c r="K2013" s="30" t="n">
        <x:v>45911</x:v>
      </x:c>
      <x:c r="L2013" s="24" t="str">
        <x:v>입금</x:v>
      </x:c>
      <x:c r="M2013" s="31" t="n">
        <x:f>IF(AND(N2013="미수",G2013&lt;&gt;"",TODAY()&gt;G2013),TODAY()-G2013,0)</x:f>
        <x:v>0</x:v>
      </x:c>
      <x:c r="N2013" s="24" t="str">
        <x:f>IF(J2013&gt;0,"미수",IF(AND(H2013&gt;0,I2013&gt;=H2013),"완납","미확인"))</x:f>
        <x:v>완납</x:v>
      </x:c>
      <x:c r="O2013" s="31" t="n">
        <x:v>94</x:v>
      </x:c>
    </x:row>
    <x:row r="2014" ht="17.25" customHeight="1">
      <x:c r="A2014" s="24" t="str">
        <x:v>SW-B-286주8294-202508</x:v>
      </x:c>
      <x:c r="B2014" s="24" t="str">
        <x:v>스위치플랜</x:v>
      </x:c>
      <x:c r="C2014" s="24" t="str">
        <x:v>SW-C-286주8294-1-20250328-95</x:v>
      </x:c>
      <x:c r="D2014" s="24" t="str">
        <x:v>286주8294</x:v>
      </x:c>
      <x:c r="E2014" s="24" t="str">
        <x:v>성진우</x:v>
      </x:c>
      <x:c r="F2014" s="24" t="str">
        <x:v>2025-08</x:v>
      </x:c>
      <x:c r="G2014" s="30" t="n">
        <x:v>45884</x:v>
      </x:c>
      <x:c r="H2014" s="32" t="n">
        <x:v>1020000</x:v>
      </x:c>
      <x:c r="I2014" s="32" t="n">
        <x:v>1020000</x:v>
      </x:c>
      <x:c r="J2014" s="32" t="n">
        <x:v>0</x:v>
      </x:c>
      <x:c r="K2014" s="30" t="n">
        <x:v>45887</x:v>
      </x:c>
      <x:c r="L2014" s="24" t="str">
        <x:v>입금</x:v>
      </x:c>
      <x:c r="M2014" s="31" t="n">
        <x:f>IF(AND(N2014="미수",G2014&lt;&gt;"",TODAY()&gt;G2014),TODAY()-G2014,0)</x:f>
        <x:v>0</x:v>
      </x:c>
      <x:c r="N2014" s="24" t="str">
        <x:f>IF(J2014&gt;0,"미수",IF(AND(H2014&gt;0,I2014&gt;=H2014),"완납","미확인"))</x:f>
        <x:v>완납</x:v>
      </x:c>
      <x:c r="O2014" s="31" t="n">
        <x:v>94</x:v>
      </x:c>
    </x:row>
    <x:row r="2015" ht="17.25" customHeight="1">
      <x:c r="A2015" s="24" t="str">
        <x:v>SW-B-286주8294-202507</x:v>
      </x:c>
      <x:c r="B2015" s="24" t="str">
        <x:v>스위치플랜</x:v>
      </x:c>
      <x:c r="C2015" s="24" t="str">
        <x:v>SW-C-286주8294-1-20250328-95</x:v>
      </x:c>
      <x:c r="D2015" s="24" t="str">
        <x:v>286주8294</x:v>
      </x:c>
      <x:c r="E2015" s="24" t="str">
        <x:v>성진우</x:v>
      </x:c>
      <x:c r="F2015" s="24" t="str">
        <x:v>2025-07</x:v>
      </x:c>
      <x:c r="G2015" s="30" t="n">
        <x:v>45853</x:v>
      </x:c>
      <x:c r="H2015" s="32" t="n">
        <x:v>1020000</x:v>
      </x:c>
      <x:c r="I2015" s="32" t="n">
        <x:v>1020000</x:v>
      </x:c>
      <x:c r="J2015" s="32" t="n">
        <x:v>0</x:v>
      </x:c>
      <x:c r="K2015" s="30" t="n">
        <x:v>45853</x:v>
      </x:c>
      <x:c r="L2015" s="24" t="str">
        <x:v>입금</x:v>
      </x:c>
      <x:c r="M2015" s="31" t="n">
        <x:f>IF(AND(N2015="미수",G2015&lt;&gt;"",TODAY()&gt;G2015),TODAY()-G2015,0)</x:f>
        <x:v>0</x:v>
      </x:c>
      <x:c r="N2015" s="24" t="str">
        <x:f>IF(J2015&gt;0,"미수",IF(AND(H2015&gt;0,I2015&gt;=H2015),"완납","미확인"))</x:f>
        <x:v>완납</x:v>
      </x:c>
      <x:c r="O2015" s="31" t="n">
        <x:v>94</x:v>
      </x:c>
    </x:row>
    <x:row r="2016" ht="17.25" customHeight="1">
      <x:c r="A2016" s="24" t="str">
        <x:v>SW-B-286주8294-202506</x:v>
      </x:c>
      <x:c r="B2016" s="24" t="str">
        <x:v>스위치플랜</x:v>
      </x:c>
      <x:c r="C2016" s="24" t="str">
        <x:v>SW-C-286주8294-1-20250328-95</x:v>
      </x:c>
      <x:c r="D2016" s="24" t="str">
        <x:v>286주8294</x:v>
      </x:c>
      <x:c r="E2016" s="24" t="str">
        <x:v>성진우</x:v>
      </x:c>
      <x:c r="F2016" s="24" t="str">
        <x:v>2025-06</x:v>
      </x:c>
      <x:c r="G2016" s="30" t="n">
        <x:v>45823</x:v>
      </x:c>
      <x:c r="H2016" s="32" t="n">
        <x:v>1020000</x:v>
      </x:c>
      <x:c r="I2016" s="32" t="n">
        <x:v>1020000</x:v>
      </x:c>
      <x:c r="J2016" s="32" t="n">
        <x:v>0</x:v>
      </x:c>
      <x:c r="K2016" s="30" t="n">
        <x:v>45824</x:v>
      </x:c>
      <x:c r="L2016" s="24" t="str">
        <x:v>입금</x:v>
      </x:c>
      <x:c r="M2016" s="31" t="n">
        <x:f>IF(AND(N2016="미수",G2016&lt;&gt;"",TODAY()&gt;G2016),TODAY()-G2016,0)</x:f>
        <x:v>0</x:v>
      </x:c>
      <x:c r="N2016" s="24" t="str">
        <x:f>IF(J2016&gt;0,"미수",IF(AND(H2016&gt;0,I2016&gt;=H2016),"완납","미확인"))</x:f>
        <x:v>완납</x:v>
      </x:c>
      <x:c r="O2016" s="31" t="n">
        <x:v>94</x:v>
      </x:c>
    </x:row>
    <x:row r="2017" ht="17.25" customHeight="1">
      <x:c r="A2017" s="24" t="str">
        <x:v>SW-B-286주8294-202505</x:v>
      </x:c>
      <x:c r="B2017" s="24" t="str">
        <x:v>스위치플랜</x:v>
      </x:c>
      <x:c r="C2017" s="24" t="str">
        <x:v>SW-C-286주8294-1-20250328-95</x:v>
      </x:c>
      <x:c r="D2017" s="24" t="str">
        <x:v>286주8294</x:v>
      </x:c>
      <x:c r="E2017" s="24" t="str">
        <x:v>성진우</x:v>
      </x:c>
      <x:c r="F2017" s="24" t="str">
        <x:v>2025-05</x:v>
      </x:c>
      <x:c r="G2017" s="30" t="n">
        <x:v>45792</x:v>
      </x:c>
      <x:c r="H2017" s="32" t="n">
        <x:v>1020000</x:v>
      </x:c>
      <x:c r="I2017" s="32" t="n">
        <x:v>1020000</x:v>
      </x:c>
      <x:c r="J2017" s="32" t="n">
        <x:v>0</x:v>
      </x:c>
      <x:c r="K2017" s="30" t="n">
        <x:v>45792</x:v>
      </x:c>
      <x:c r="L2017" s="24" t="str">
        <x:v>입금</x:v>
      </x:c>
      <x:c r="M2017" s="31" t="n">
        <x:f>IF(AND(N2017="미수",G2017&lt;&gt;"",TODAY()&gt;G2017),TODAY()-G2017,0)</x:f>
        <x:v>0</x:v>
      </x:c>
      <x:c r="N2017" s="24" t="str">
        <x:f>IF(J2017&gt;0,"미수",IF(AND(H2017&gt;0,I2017&gt;=H2017),"완납","미확인"))</x:f>
        <x:v>완납</x:v>
      </x:c>
      <x:c r="O2017" s="31" t="n">
        <x:v>94</x:v>
      </x:c>
    </x:row>
    <x:row r="2018" ht="17.25" customHeight="1">
      <x:c r="A2018" s="24" t="str">
        <x:v>SW-B-286주8294-202504</x:v>
      </x:c>
      <x:c r="B2018" s="24" t="str">
        <x:v>스위치플랜</x:v>
      </x:c>
      <x:c r="C2018" s="24" t="str">
        <x:v>SW-C-286주8294-1-20250328-95</x:v>
      </x:c>
      <x:c r="D2018" s="24" t="str">
        <x:v>286주8294</x:v>
      </x:c>
      <x:c r="E2018" s="24" t="str">
        <x:v>성진우</x:v>
      </x:c>
      <x:c r="F2018" s="24" t="str">
        <x:v>2025-04</x:v>
      </x:c>
      <x:c r="G2018" s="30" t="n">
        <x:v>45762</x:v>
      </x:c>
      <x:c r="H2018" s="32" t="n">
        <x:v>1020000</x:v>
      </x:c>
      <x:c r="I2018" s="32" t="n">
        <x:v>1020000</x:v>
      </x:c>
      <x:c r="J2018" s="32" t="n">
        <x:v>0</x:v>
      </x:c>
      <x:c r="K2018" s="30" t="n">
        <x:v>45758</x:v>
      </x:c>
      <x:c r="L2018" s="24" t="str">
        <x:v>입금</x:v>
      </x:c>
      <x:c r="M2018" s="31" t="n">
        <x:f>IF(AND(N2018="미수",G2018&lt;&gt;"",TODAY()&gt;G2018),TODAY()-G2018,0)</x:f>
        <x:v>0</x:v>
      </x:c>
      <x:c r="N2018" s="24" t="str">
        <x:f>IF(J2018&gt;0,"미수",IF(AND(H2018&gt;0,I2018&gt;=H2018),"완납","미확인"))</x:f>
        <x:v>완납</x:v>
      </x:c>
      <x:c r="O2018" s="31" t="n">
        <x:v>94</x:v>
      </x:c>
    </x:row>
    <x:row r="2019" ht="17.25" customHeight="1">
      <x:c r="A2019" s="24" t="str">
        <x:v>SW-B-347다5712-202608</x:v>
      </x:c>
      <x:c r="B2019" s="24" t="str">
        <x:v>스위치플랜</x:v>
      </x:c>
      <x:c r="C2019" s="24" t="str">
        <x:v>SW-C-347다5712-1-20240319-96</x:v>
      </x:c>
      <x:c r="D2019" s="24" t="str">
        <x:v>347다5712</x:v>
      </x:c>
      <x:c r="E2019" s="24" t="str">
        <x:v>이은진</x:v>
      </x:c>
      <x:c r="F2019" s="24" t="str">
        <x:v>2026-08</x:v>
      </x:c>
      <x:c r="G2019" s="30" t="n">
        <x:v>46254</x:v>
      </x:c>
      <x:c r="H2019" s="32" t="n">
        <x:v>510000</x:v>
      </x:c>
      <x:c r="I2019" s="32"/>
      <x:c r="J2019" s="32" t="n">
        <x:v>510000</x:v>
      </x:c>
      <x:c r="K2019" s="30"/>
      <x:c r="L2019" s="24" t="str"/>
      <x:c r="M2019" s="31" t="n">
        <x:f>IF(AND(N2019="미수",G2019&lt;&gt;"",TODAY()&gt;G2019),TODAY()-G2019,0)</x:f>
        <x:v>0</x:v>
      </x:c>
      <x:c r="N2019" s="24" t="str">
        <x:f>IF(J2019&gt;0,"미수",IF(AND(H2019&gt;0,I2019&gt;=H2019),"완납","미확인"))</x:f>
        <x:v>미수</x:v>
      </x:c>
      <x:c r="O2019" s="31" t="n">
        <x:v>95</x:v>
      </x:c>
    </x:row>
    <x:row r="2020" ht="17.25" customHeight="1">
      <x:c r="A2020" s="24" t="str">
        <x:v>SW-B-347다5712-202607</x:v>
      </x:c>
      <x:c r="B2020" s="24" t="str">
        <x:v>스위치플랜</x:v>
      </x:c>
      <x:c r="C2020" s="24" t="str">
        <x:v>SW-C-347다5712-1-20240319-96</x:v>
      </x:c>
      <x:c r="D2020" s="24" t="str">
        <x:v>347다5712</x:v>
      </x:c>
      <x:c r="E2020" s="24" t="str">
        <x:v>이은진</x:v>
      </x:c>
      <x:c r="F2020" s="24" t="str">
        <x:v>2026-07</x:v>
      </x:c>
      <x:c r="G2020" s="30" t="n">
        <x:v>46223</x:v>
      </x:c>
      <x:c r="H2020" s="32" t="n">
        <x:v>510000</x:v>
      </x:c>
      <x:c r="I2020" s="32" t="n">
        <x:v>510000</x:v>
      </x:c>
      <x:c r="J2020" s="32" t="n">
        <x:v>0</x:v>
      </x:c>
      <x:c r="K2020" s="30" t="n">
        <x:v>46227</x:v>
      </x:c>
      <x:c r="L2020" s="24" t="str">
        <x:v>입금</x:v>
      </x:c>
      <x:c r="M2020" s="31" t="n">
        <x:f>IF(AND(N2020="미수",G2020&lt;&gt;"",TODAY()&gt;G2020),TODAY()-G2020,0)</x:f>
        <x:v>0</x:v>
      </x:c>
      <x:c r="N2020" s="24" t="str">
        <x:f>IF(J2020&gt;0,"미수",IF(AND(H2020&gt;0,I2020&gt;=H2020),"완납","미확인"))</x:f>
        <x:v>완납</x:v>
      </x:c>
      <x:c r="O2020" s="31" t="n">
        <x:v>95</x:v>
      </x:c>
    </x:row>
    <x:row r="2021" ht="17.25" customHeight="1">
      <x:c r="A2021" s="24" t="str">
        <x:v>SW-B-347다5712-202606</x:v>
      </x:c>
      <x:c r="B2021" s="24" t="str">
        <x:v>스위치플랜</x:v>
      </x:c>
      <x:c r="C2021" s="24" t="str">
        <x:v>SW-C-347다5712-1-20240319-96</x:v>
      </x:c>
      <x:c r="D2021" s="24" t="str">
        <x:v>347다5712</x:v>
      </x:c>
      <x:c r="E2021" s="24" t="str">
        <x:v>이은진</x:v>
      </x:c>
      <x:c r="F2021" s="24" t="str">
        <x:v>2026-06</x:v>
      </x:c>
      <x:c r="G2021" s="30" t="n">
        <x:v>46193</x:v>
      </x:c>
      <x:c r="H2021" s="32" t="n">
        <x:v>510000</x:v>
      </x:c>
      <x:c r="I2021" s="32" t="n">
        <x:v>510000</x:v>
      </x:c>
      <x:c r="J2021" s="32" t="n">
        <x:v>0</x:v>
      </x:c>
      <x:c r="K2021" s="30" t="n">
        <x:v>46198</x:v>
      </x:c>
      <x:c r="L2021" s="24" t="str">
        <x:v>입금</x:v>
      </x:c>
      <x:c r="M2021" s="31" t="n">
        <x:f>IF(AND(N2021="미수",G2021&lt;&gt;"",TODAY()&gt;G2021),TODAY()-G2021,0)</x:f>
        <x:v>0</x:v>
      </x:c>
      <x:c r="N2021" s="24" t="str">
        <x:f>IF(J2021&gt;0,"미수",IF(AND(H2021&gt;0,I2021&gt;=H2021),"완납","미확인"))</x:f>
        <x:v>완납</x:v>
      </x:c>
      <x:c r="O2021" s="31" t="n">
        <x:v>95</x:v>
      </x:c>
    </x:row>
    <x:row r="2022" ht="17.25" customHeight="1">
      <x:c r="A2022" s="24" t="str">
        <x:v>SW-B-347다5712-202605</x:v>
      </x:c>
      <x:c r="B2022" s="24" t="str">
        <x:v>스위치플랜</x:v>
      </x:c>
      <x:c r="C2022" s="24" t="str">
        <x:v>SW-C-347다5712-1-20240319-96</x:v>
      </x:c>
      <x:c r="D2022" s="24" t="str">
        <x:v>347다5712</x:v>
      </x:c>
      <x:c r="E2022" s="24" t="str">
        <x:v>이은진</x:v>
      </x:c>
      <x:c r="F2022" s="24" t="str">
        <x:v>2026-05</x:v>
      </x:c>
      <x:c r="G2022" s="30" t="n">
        <x:v>46162</x:v>
      </x:c>
      <x:c r="H2022" s="32" t="n">
        <x:v>510000</x:v>
      </x:c>
      <x:c r="I2022" s="32" t="n">
        <x:v>510000</x:v>
      </x:c>
      <x:c r="J2022" s="32" t="n">
        <x:v>0</x:v>
      </x:c>
      <x:c r="K2022" s="30" t="n">
        <x:v>46167</x:v>
      </x:c>
      <x:c r="L2022" s="24" t="str">
        <x:v>입금</x:v>
      </x:c>
      <x:c r="M2022" s="31" t="n">
        <x:f>IF(AND(N2022="미수",G2022&lt;&gt;"",TODAY()&gt;G2022),TODAY()-G2022,0)</x:f>
        <x:v>0</x:v>
      </x:c>
      <x:c r="N2022" s="24" t="str">
        <x:f>IF(J2022&gt;0,"미수",IF(AND(H2022&gt;0,I2022&gt;=H2022),"완납","미확인"))</x:f>
        <x:v>완납</x:v>
      </x:c>
      <x:c r="O2022" s="31" t="n">
        <x:v>95</x:v>
      </x:c>
    </x:row>
    <x:row r="2023" ht="17.25" customHeight="1">
      <x:c r="A2023" s="24" t="str">
        <x:v>SW-B-347다5712-202604</x:v>
      </x:c>
      <x:c r="B2023" s="24" t="str">
        <x:v>스위치플랜</x:v>
      </x:c>
      <x:c r="C2023" s="24" t="str">
        <x:v>SW-C-347다5712-1-20240319-96</x:v>
      </x:c>
      <x:c r="D2023" s="24" t="str">
        <x:v>347다5712</x:v>
      </x:c>
      <x:c r="E2023" s="24" t="str">
        <x:v>이은진</x:v>
      </x:c>
      <x:c r="F2023" s="24" t="str">
        <x:v>2026-04</x:v>
      </x:c>
      <x:c r="G2023" s="30" t="n">
        <x:v>46132</x:v>
      </x:c>
      <x:c r="H2023" s="32" t="n">
        <x:v>510000</x:v>
      </x:c>
      <x:c r="I2023" s="32" t="n">
        <x:v>510000</x:v>
      </x:c>
      <x:c r="J2023" s="32" t="n">
        <x:v>0</x:v>
      </x:c>
      <x:c r="K2023" s="30" t="n">
        <x:v>46136</x:v>
      </x:c>
      <x:c r="L2023" s="24" t="str">
        <x:v>입금</x:v>
      </x:c>
      <x:c r="M2023" s="31" t="n">
        <x:f>IF(AND(N2023="미수",G2023&lt;&gt;"",TODAY()&gt;G2023),TODAY()-G2023,0)</x:f>
        <x:v>0</x:v>
      </x:c>
      <x:c r="N2023" s="24" t="str">
        <x:f>IF(J2023&gt;0,"미수",IF(AND(H2023&gt;0,I2023&gt;=H2023),"완납","미확인"))</x:f>
        <x:v>완납</x:v>
      </x:c>
      <x:c r="O2023" s="31" t="n">
        <x:v>95</x:v>
      </x:c>
    </x:row>
    <x:row r="2024" ht="17.25" customHeight="1">
      <x:c r="A2024" s="24" t="str">
        <x:v>SW-B-347다5712-202603</x:v>
      </x:c>
      <x:c r="B2024" s="24" t="str">
        <x:v>스위치플랜</x:v>
      </x:c>
      <x:c r="C2024" s="24" t="str">
        <x:v>SW-C-347다5712-1-20240319-96</x:v>
      </x:c>
      <x:c r="D2024" s="24" t="str">
        <x:v>347다5712</x:v>
      </x:c>
      <x:c r="E2024" s="24" t="str">
        <x:v>이은진</x:v>
      </x:c>
      <x:c r="F2024" s="24" t="str">
        <x:v>2026-03</x:v>
      </x:c>
      <x:c r="G2024" s="30" t="n">
        <x:v>46101</x:v>
      </x:c>
      <x:c r="H2024" s="32" t="n">
        <x:v>510000</x:v>
      </x:c>
      <x:c r="I2024" s="32" t="n">
        <x:v>510000</x:v>
      </x:c>
      <x:c r="J2024" s="32" t="n">
        <x:v>0</x:v>
      </x:c>
      <x:c r="K2024" s="30" t="n">
        <x:v>46106</x:v>
      </x:c>
      <x:c r="L2024" s="24" t="str">
        <x:v>입금</x:v>
      </x:c>
      <x:c r="M2024" s="31" t="n">
        <x:f>IF(AND(N2024="미수",G2024&lt;&gt;"",TODAY()&gt;G2024),TODAY()-G2024,0)</x:f>
        <x:v>0</x:v>
      </x:c>
      <x:c r="N2024" s="24" t="str">
        <x:f>IF(J2024&gt;0,"미수",IF(AND(H2024&gt;0,I2024&gt;=H2024),"완납","미확인"))</x:f>
        <x:v>완납</x:v>
      </x:c>
      <x:c r="O2024" s="31" t="n">
        <x:v>95</x:v>
      </x:c>
    </x:row>
    <x:row r="2025" ht="17.25" customHeight="1">
      <x:c r="A2025" s="24" t="str">
        <x:v>SW-B-347다5712-202602</x:v>
      </x:c>
      <x:c r="B2025" s="24" t="str">
        <x:v>스위치플랜</x:v>
      </x:c>
      <x:c r="C2025" s="24" t="str">
        <x:v>SW-C-347다5712-1-20240319-96</x:v>
      </x:c>
      <x:c r="D2025" s="24" t="str">
        <x:v>347다5712</x:v>
      </x:c>
      <x:c r="E2025" s="24" t="str">
        <x:v>이은진</x:v>
      </x:c>
      <x:c r="F2025" s="24" t="str">
        <x:v>2026-02</x:v>
      </x:c>
      <x:c r="G2025" s="30" t="n">
        <x:v>46073</x:v>
      </x:c>
      <x:c r="H2025" s="32" t="n">
        <x:v>510000</x:v>
      </x:c>
      <x:c r="I2025" s="32" t="n">
        <x:v>510000</x:v>
      </x:c>
      <x:c r="J2025" s="32" t="n">
        <x:v>0</x:v>
      </x:c>
      <x:c r="K2025" s="30" t="n">
        <x:v>46078</x:v>
      </x:c>
      <x:c r="L2025" s="24" t="str">
        <x:v>입금</x:v>
      </x:c>
      <x:c r="M2025" s="31" t="n">
        <x:f>IF(AND(N2025="미수",G2025&lt;&gt;"",TODAY()&gt;G2025),TODAY()-G2025,0)</x:f>
        <x:v>0</x:v>
      </x:c>
      <x:c r="N2025" s="24" t="str">
        <x:f>IF(J2025&gt;0,"미수",IF(AND(H2025&gt;0,I2025&gt;=H2025),"완납","미확인"))</x:f>
        <x:v>완납</x:v>
      </x:c>
      <x:c r="O2025" s="31" t="n">
        <x:v>95</x:v>
      </x:c>
    </x:row>
    <x:row r="2026" ht="17.25" customHeight="1">
      <x:c r="A2026" s="24" t="str">
        <x:v>SW-B-347다5712-202601</x:v>
      </x:c>
      <x:c r="B2026" s="24" t="str">
        <x:v>스위치플랜</x:v>
      </x:c>
      <x:c r="C2026" s="24" t="str">
        <x:v>SW-C-347다5712-1-20240319-96</x:v>
      </x:c>
      <x:c r="D2026" s="24" t="str">
        <x:v>347다5712</x:v>
      </x:c>
      <x:c r="E2026" s="24" t="str">
        <x:v>이은진</x:v>
      </x:c>
      <x:c r="F2026" s="24" t="str">
        <x:v>2026-01</x:v>
      </x:c>
      <x:c r="G2026" s="30" t="n">
        <x:v>46042</x:v>
      </x:c>
      <x:c r="H2026" s="32" t="n">
        <x:v>510000</x:v>
      </x:c>
      <x:c r="I2026" s="32" t="n">
        <x:v>510000</x:v>
      </x:c>
      <x:c r="J2026" s="32" t="n">
        <x:v>0</x:v>
      </x:c>
      <x:c r="K2026" s="30" t="n">
        <x:v>46045</x:v>
      </x:c>
      <x:c r="L2026" s="24" t="str">
        <x:v>입금</x:v>
      </x:c>
      <x:c r="M2026" s="31" t="n">
        <x:f>IF(AND(N2026="미수",G2026&lt;&gt;"",TODAY()&gt;G2026),TODAY()-G2026,0)</x:f>
        <x:v>0</x:v>
      </x:c>
      <x:c r="N2026" s="24" t="str">
        <x:f>IF(J2026&gt;0,"미수",IF(AND(H2026&gt;0,I2026&gt;=H2026),"완납","미확인"))</x:f>
        <x:v>완납</x:v>
      </x:c>
      <x:c r="O2026" s="31" t="n">
        <x:v>95</x:v>
      </x:c>
    </x:row>
    <x:row r="2027" ht="17.25" customHeight="1">
      <x:c r="A2027" s="24" t="str">
        <x:v>SW-B-347다5712-202512</x:v>
      </x:c>
      <x:c r="B2027" s="24" t="str">
        <x:v>스위치플랜</x:v>
      </x:c>
      <x:c r="C2027" s="24" t="str">
        <x:v>SW-C-347다5712-1-20240319-96</x:v>
      </x:c>
      <x:c r="D2027" s="24" t="str">
        <x:v>347다5712</x:v>
      </x:c>
      <x:c r="E2027" s="24" t="str">
        <x:v>이은진</x:v>
      </x:c>
      <x:c r="F2027" s="24" t="str">
        <x:v>2025-12</x:v>
      </x:c>
      <x:c r="G2027" s="30" t="n">
        <x:v>46011</x:v>
      </x:c>
      <x:c r="H2027" s="32" t="n">
        <x:v>510000</x:v>
      </x:c>
      <x:c r="I2027" s="32" t="n">
        <x:v>510000</x:v>
      </x:c>
      <x:c r="J2027" s="32" t="n">
        <x:v>0</x:v>
      </x:c>
      <x:c r="K2027" s="30" t="n">
        <x:v>46015</x:v>
      </x:c>
      <x:c r="L2027" s="24" t="str">
        <x:v>입금</x:v>
      </x:c>
      <x:c r="M2027" s="31" t="n">
        <x:f>IF(AND(N2027="미수",G2027&lt;&gt;"",TODAY()&gt;G2027),TODAY()-G2027,0)</x:f>
        <x:v>0</x:v>
      </x:c>
      <x:c r="N2027" s="24" t="str">
        <x:f>IF(J2027&gt;0,"미수",IF(AND(H2027&gt;0,I2027&gt;=H2027),"완납","미확인"))</x:f>
        <x:v>완납</x:v>
      </x:c>
      <x:c r="O2027" s="31" t="n">
        <x:v>95</x:v>
      </x:c>
    </x:row>
    <x:row r="2028" ht="17.25" customHeight="1">
      <x:c r="A2028" s="24" t="str">
        <x:v>SW-B-347다5712-202511</x:v>
      </x:c>
      <x:c r="B2028" s="24" t="str">
        <x:v>스위치플랜</x:v>
      </x:c>
      <x:c r="C2028" s="24" t="str">
        <x:v>SW-C-347다5712-1-20240319-96</x:v>
      </x:c>
      <x:c r="D2028" s="24" t="str">
        <x:v>347다5712</x:v>
      </x:c>
      <x:c r="E2028" s="24" t="str">
        <x:v>이은진</x:v>
      </x:c>
      <x:c r="F2028" s="24" t="str">
        <x:v>2025-11</x:v>
      </x:c>
      <x:c r="G2028" s="30" t="n">
        <x:v>45981</x:v>
      </x:c>
      <x:c r="H2028" s="32" t="n">
        <x:v>510000</x:v>
      </x:c>
      <x:c r="I2028" s="32" t="n">
        <x:v>510000</x:v>
      </x:c>
      <x:c r="J2028" s="32" t="n">
        <x:v>0</x:v>
      </x:c>
      <x:c r="K2028" s="30" t="n">
        <x:v>45985</x:v>
      </x:c>
      <x:c r="L2028" s="24" t="str">
        <x:v>입금</x:v>
      </x:c>
      <x:c r="M2028" s="31" t="n">
        <x:f>IF(AND(N2028="미수",G2028&lt;&gt;"",TODAY()&gt;G2028),TODAY()-G2028,0)</x:f>
        <x:v>0</x:v>
      </x:c>
      <x:c r="N2028" s="24" t="str">
        <x:f>IF(J2028&gt;0,"미수",IF(AND(H2028&gt;0,I2028&gt;=H2028),"완납","미확인"))</x:f>
        <x:v>완납</x:v>
      </x:c>
      <x:c r="O2028" s="31" t="n">
        <x:v>95</x:v>
      </x:c>
    </x:row>
    <x:row r="2029" ht="17.25" customHeight="1">
      <x:c r="A2029" s="24" t="str">
        <x:v>SW-B-347다5712-202510</x:v>
      </x:c>
      <x:c r="B2029" s="24" t="str">
        <x:v>스위치플랜</x:v>
      </x:c>
      <x:c r="C2029" s="24" t="str">
        <x:v>SW-C-347다5712-1-20240319-96</x:v>
      </x:c>
      <x:c r="D2029" s="24" t="str">
        <x:v>347다5712</x:v>
      </x:c>
      <x:c r="E2029" s="24" t="str">
        <x:v>이은진</x:v>
      </x:c>
      <x:c r="F2029" s="24" t="str">
        <x:v>2025-10</x:v>
      </x:c>
      <x:c r="G2029" s="30" t="n">
        <x:v>45950</x:v>
      </x:c>
      <x:c r="H2029" s="32" t="n">
        <x:v>510000</x:v>
      </x:c>
      <x:c r="I2029" s="32" t="n">
        <x:v>510000</x:v>
      </x:c>
      <x:c r="J2029" s="32" t="n">
        <x:v>0</x:v>
      </x:c>
      <x:c r="K2029" s="30" t="n">
        <x:v>45954</x:v>
      </x:c>
      <x:c r="L2029" s="24" t="str">
        <x:v>입금</x:v>
      </x:c>
      <x:c r="M2029" s="31" t="n">
        <x:f>IF(AND(N2029="미수",G2029&lt;&gt;"",TODAY()&gt;G2029),TODAY()-G2029,0)</x:f>
        <x:v>0</x:v>
      </x:c>
      <x:c r="N2029" s="24" t="str">
        <x:f>IF(J2029&gt;0,"미수",IF(AND(H2029&gt;0,I2029&gt;=H2029),"완납","미확인"))</x:f>
        <x:v>완납</x:v>
      </x:c>
      <x:c r="O2029" s="31" t="n">
        <x:v>95</x:v>
      </x:c>
    </x:row>
    <x:row r="2030" ht="17.25" customHeight="1">
      <x:c r="A2030" s="24" t="str">
        <x:v>SW-B-347다5712-202509</x:v>
      </x:c>
      <x:c r="B2030" s="24" t="str">
        <x:v>스위치플랜</x:v>
      </x:c>
      <x:c r="C2030" s="24" t="str">
        <x:v>SW-C-347다5712-1-20240319-96</x:v>
      </x:c>
      <x:c r="D2030" s="24" t="str">
        <x:v>347다5712</x:v>
      </x:c>
      <x:c r="E2030" s="24" t="str">
        <x:v>이은진</x:v>
      </x:c>
      <x:c r="F2030" s="24" t="str">
        <x:v>2025-09</x:v>
      </x:c>
      <x:c r="G2030" s="30" t="n">
        <x:v>45920</x:v>
      </x:c>
      <x:c r="H2030" s="32" t="n">
        <x:v>510000</x:v>
      </x:c>
      <x:c r="I2030" s="32" t="n">
        <x:v>510000</x:v>
      </x:c>
      <x:c r="J2030" s="32" t="n">
        <x:v>0</x:v>
      </x:c>
      <x:c r="K2030" s="30" t="n">
        <x:v>45923</x:v>
      </x:c>
      <x:c r="L2030" s="24" t="str">
        <x:v>입금</x:v>
      </x:c>
      <x:c r="M2030" s="31" t="n">
        <x:f>IF(AND(N2030="미수",G2030&lt;&gt;"",TODAY()&gt;G2030),TODAY()-G2030,0)</x:f>
        <x:v>0</x:v>
      </x:c>
      <x:c r="N2030" s="24" t="str">
        <x:f>IF(J2030&gt;0,"미수",IF(AND(H2030&gt;0,I2030&gt;=H2030),"완납","미확인"))</x:f>
        <x:v>완납</x:v>
      </x:c>
      <x:c r="O2030" s="31" t="n">
        <x:v>95</x:v>
      </x:c>
    </x:row>
    <x:row r="2031" ht="17.25" customHeight="1">
      <x:c r="A2031" s="24" t="str">
        <x:v>SW-B-347다5712-202508</x:v>
      </x:c>
      <x:c r="B2031" s="24" t="str">
        <x:v>스위치플랜</x:v>
      </x:c>
      <x:c r="C2031" s="24" t="str">
        <x:v>SW-C-347다5712-1-20240319-96</x:v>
      </x:c>
      <x:c r="D2031" s="24" t="str">
        <x:v>347다5712</x:v>
      </x:c>
      <x:c r="E2031" s="24" t="str">
        <x:v>이은진</x:v>
      </x:c>
      <x:c r="F2031" s="24" t="str">
        <x:v>2025-08</x:v>
      </x:c>
      <x:c r="G2031" s="30" t="n">
        <x:v>45889</x:v>
      </x:c>
      <x:c r="H2031" s="32" t="n">
        <x:v>510000</x:v>
      </x:c>
      <x:c r="I2031" s="32" t="n">
        <x:v>510000</x:v>
      </x:c>
      <x:c r="J2031" s="32" t="n">
        <x:v>0</x:v>
      </x:c>
      <x:c r="K2031" s="30" t="n">
        <x:v>45894</x:v>
      </x:c>
      <x:c r="L2031" s="24" t="str">
        <x:v>입금</x:v>
      </x:c>
      <x:c r="M2031" s="31" t="n">
        <x:f>IF(AND(N2031="미수",G2031&lt;&gt;"",TODAY()&gt;G2031),TODAY()-G2031,0)</x:f>
        <x:v>0</x:v>
      </x:c>
      <x:c r="N2031" s="24" t="str">
        <x:f>IF(J2031&gt;0,"미수",IF(AND(H2031&gt;0,I2031&gt;=H2031),"완납","미확인"))</x:f>
        <x:v>완납</x:v>
      </x:c>
      <x:c r="O2031" s="31" t="n">
        <x:v>95</x:v>
      </x:c>
    </x:row>
    <x:row r="2032" ht="17.25" customHeight="1">
      <x:c r="A2032" s="24" t="str">
        <x:v>SW-B-347다5712-202507</x:v>
      </x:c>
      <x:c r="B2032" s="24" t="str">
        <x:v>스위치플랜</x:v>
      </x:c>
      <x:c r="C2032" s="24" t="str">
        <x:v>SW-C-347다5712-1-20240319-96</x:v>
      </x:c>
      <x:c r="D2032" s="24" t="str">
        <x:v>347다5712</x:v>
      </x:c>
      <x:c r="E2032" s="24" t="str">
        <x:v>이은진</x:v>
      </x:c>
      <x:c r="F2032" s="24" t="str">
        <x:v>2025-07</x:v>
      </x:c>
      <x:c r="G2032" s="30" t="n">
        <x:v>45858</x:v>
      </x:c>
      <x:c r="H2032" s="32" t="n">
        <x:v>510000</x:v>
      </x:c>
      <x:c r="I2032" s="32" t="n">
        <x:v>510000</x:v>
      </x:c>
      <x:c r="J2032" s="32" t="n">
        <x:v>0</x:v>
      </x:c>
      <x:c r="K2032" s="30" t="n">
        <x:v>45860</x:v>
      </x:c>
      <x:c r="L2032" s="24" t="str">
        <x:v>입금</x:v>
      </x:c>
      <x:c r="M2032" s="31" t="n">
        <x:f>IF(AND(N2032="미수",G2032&lt;&gt;"",TODAY()&gt;G2032),TODAY()-G2032,0)</x:f>
        <x:v>0</x:v>
      </x:c>
      <x:c r="N2032" s="24" t="str">
        <x:f>IF(J2032&gt;0,"미수",IF(AND(H2032&gt;0,I2032&gt;=H2032),"완납","미확인"))</x:f>
        <x:v>완납</x:v>
      </x:c>
      <x:c r="O2032" s="31" t="n">
        <x:v>95</x:v>
      </x:c>
    </x:row>
    <x:row r="2033" ht="17.25" customHeight="1">
      <x:c r="A2033" s="24" t="str">
        <x:v>SW-B-347다5712-202506</x:v>
      </x:c>
      <x:c r="B2033" s="24" t="str">
        <x:v>스위치플랜</x:v>
      </x:c>
      <x:c r="C2033" s="24" t="str">
        <x:v>SW-C-347다5712-1-20240319-96</x:v>
      </x:c>
      <x:c r="D2033" s="24" t="str">
        <x:v>347다5712</x:v>
      </x:c>
      <x:c r="E2033" s="24" t="str">
        <x:v>이은진</x:v>
      </x:c>
      <x:c r="F2033" s="24" t="str">
        <x:v>2025-06</x:v>
      </x:c>
      <x:c r="G2033" s="30" t="n">
        <x:v>45828</x:v>
      </x:c>
      <x:c r="H2033" s="32" t="n">
        <x:v>510000</x:v>
      </x:c>
      <x:c r="I2033" s="32" t="n">
        <x:v>510000</x:v>
      </x:c>
      <x:c r="J2033" s="32" t="n">
        <x:v>0</x:v>
      </x:c>
      <x:c r="K2033" s="30" t="n">
        <x:v>45831</x:v>
      </x:c>
      <x:c r="L2033" s="24" t="str">
        <x:v>입금</x:v>
      </x:c>
      <x:c r="M2033" s="31" t="n">
        <x:f>IF(AND(N2033="미수",G2033&lt;&gt;"",TODAY()&gt;G2033),TODAY()-G2033,0)</x:f>
        <x:v>0</x:v>
      </x:c>
      <x:c r="N2033" s="24" t="str">
        <x:f>IF(J2033&gt;0,"미수",IF(AND(H2033&gt;0,I2033&gt;=H2033),"완납","미확인"))</x:f>
        <x:v>완납</x:v>
      </x:c>
      <x:c r="O2033" s="31" t="n">
        <x:v>95</x:v>
      </x:c>
    </x:row>
    <x:row r="2034" ht="17.25" customHeight="1">
      <x:c r="A2034" s="24" t="str">
        <x:v>SW-B-347다5712-202505</x:v>
      </x:c>
      <x:c r="B2034" s="24" t="str">
        <x:v>스위치플랜</x:v>
      </x:c>
      <x:c r="C2034" s="24" t="str">
        <x:v>SW-C-347다5712-1-20240319-96</x:v>
      </x:c>
      <x:c r="D2034" s="24" t="str">
        <x:v>347다5712</x:v>
      </x:c>
      <x:c r="E2034" s="24" t="str">
        <x:v>이은진</x:v>
      </x:c>
      <x:c r="F2034" s="24" t="str">
        <x:v>2025-05</x:v>
      </x:c>
      <x:c r="G2034" s="30" t="n">
        <x:v>45797</x:v>
      </x:c>
      <x:c r="H2034" s="32" t="n">
        <x:v>510000</x:v>
      </x:c>
      <x:c r="I2034" s="32" t="n">
        <x:v>510000</x:v>
      </x:c>
      <x:c r="J2034" s="32" t="n">
        <x:v>0</x:v>
      </x:c>
      <x:c r="K2034" s="30" t="n">
        <x:v>45800</x:v>
      </x:c>
      <x:c r="L2034" s="24" t="str">
        <x:v>입금</x:v>
      </x:c>
      <x:c r="M2034" s="31" t="n">
        <x:f>IF(AND(N2034="미수",G2034&lt;&gt;"",TODAY()&gt;G2034),TODAY()-G2034,0)</x:f>
        <x:v>0</x:v>
      </x:c>
      <x:c r="N2034" s="24" t="str">
        <x:f>IF(J2034&gt;0,"미수",IF(AND(H2034&gt;0,I2034&gt;=H2034),"완납","미확인"))</x:f>
        <x:v>완납</x:v>
      </x:c>
      <x:c r="O2034" s="31" t="n">
        <x:v>95</x:v>
      </x:c>
    </x:row>
    <x:row r="2035" ht="17.25" customHeight="1">
      <x:c r="A2035" s="24" t="str">
        <x:v>SW-B-347다5712-202504</x:v>
      </x:c>
      <x:c r="B2035" s="24" t="str">
        <x:v>스위치플랜</x:v>
      </x:c>
      <x:c r="C2035" s="24" t="str">
        <x:v>SW-C-347다5712-1-20240319-96</x:v>
      </x:c>
      <x:c r="D2035" s="24" t="str">
        <x:v>347다5712</x:v>
      </x:c>
      <x:c r="E2035" s="24" t="str">
        <x:v>이은진</x:v>
      </x:c>
      <x:c r="F2035" s="24" t="str">
        <x:v>2025-04</x:v>
      </x:c>
      <x:c r="G2035" s="30" t="n">
        <x:v>45767</x:v>
      </x:c>
      <x:c r="H2035" s="32" t="n">
        <x:v>510000</x:v>
      </x:c>
      <x:c r="I2035" s="32" t="n">
        <x:v>510000</x:v>
      </x:c>
      <x:c r="J2035" s="32" t="n">
        <x:v>0</x:v>
      </x:c>
      <x:c r="K2035" s="30" t="n">
        <x:v>45769</x:v>
      </x:c>
      <x:c r="L2035" s="24" t="str">
        <x:v>입금</x:v>
      </x:c>
      <x:c r="M2035" s="31" t="n">
        <x:f>IF(AND(N2035="미수",G2035&lt;&gt;"",TODAY()&gt;G2035),TODAY()-G2035,0)</x:f>
        <x:v>0</x:v>
      </x:c>
      <x:c r="N2035" s="24" t="str">
        <x:f>IF(J2035&gt;0,"미수",IF(AND(H2035&gt;0,I2035&gt;=H2035),"완납","미확인"))</x:f>
        <x:v>완납</x:v>
      </x:c>
      <x:c r="O2035" s="31" t="n">
        <x:v>95</x:v>
      </x:c>
    </x:row>
    <x:row r="2036" ht="17.25" customHeight="1">
      <x:c r="A2036" s="24" t="str">
        <x:v>SW-B-347다5712-202503</x:v>
      </x:c>
      <x:c r="B2036" s="24" t="str">
        <x:v>스위치플랜</x:v>
      </x:c>
      <x:c r="C2036" s="24" t="str">
        <x:v>SW-C-347다5712-1-20240319-96</x:v>
      </x:c>
      <x:c r="D2036" s="24" t="str">
        <x:v>347다5712</x:v>
      </x:c>
      <x:c r="E2036" s="24" t="str">
        <x:v>이은진</x:v>
      </x:c>
      <x:c r="F2036" s="24" t="str">
        <x:v>2025-03</x:v>
      </x:c>
      <x:c r="G2036" s="30" t="n">
        <x:v>45736</x:v>
      </x:c>
      <x:c r="H2036" s="32" t="n">
        <x:v>510000</x:v>
      </x:c>
      <x:c r="I2036" s="32" t="n">
        <x:v>510000</x:v>
      </x:c>
      <x:c r="J2036" s="32" t="n">
        <x:v>0</x:v>
      </x:c>
      <x:c r="K2036" s="30" t="n">
        <x:v>45738</x:v>
      </x:c>
      <x:c r="L2036" s="24" t="str">
        <x:v>입금</x:v>
      </x:c>
      <x:c r="M2036" s="31" t="n">
        <x:f>IF(AND(N2036="미수",G2036&lt;&gt;"",TODAY()&gt;G2036),TODAY()-G2036,0)</x:f>
        <x:v>0</x:v>
      </x:c>
      <x:c r="N2036" s="24" t="str">
        <x:f>IF(J2036&gt;0,"미수",IF(AND(H2036&gt;0,I2036&gt;=H2036),"완납","미확인"))</x:f>
        <x:v>완납</x:v>
      </x:c>
      <x:c r="O2036" s="31" t="n">
        <x:v>95</x:v>
      </x:c>
    </x:row>
    <x:row r="2037" ht="17.25" customHeight="1">
      <x:c r="A2037" s="24" t="str">
        <x:v>SW-B-347다5712-202502</x:v>
      </x:c>
      <x:c r="B2037" s="24" t="str">
        <x:v>스위치플랜</x:v>
      </x:c>
      <x:c r="C2037" s="24" t="str">
        <x:v>SW-C-347다5712-1-20240319-96</x:v>
      </x:c>
      <x:c r="D2037" s="24" t="str">
        <x:v>347다5712</x:v>
      </x:c>
      <x:c r="E2037" s="24" t="str">
        <x:v>이은진</x:v>
      </x:c>
      <x:c r="F2037" s="24" t="str">
        <x:v>2025-02</x:v>
      </x:c>
      <x:c r="G2037" s="30" t="n">
        <x:v>45708</x:v>
      </x:c>
      <x:c r="H2037" s="32" t="n">
        <x:v>510000</x:v>
      </x:c>
      <x:c r="I2037" s="32" t="n">
        <x:v>510000</x:v>
      </x:c>
      <x:c r="J2037" s="32" t="n">
        <x:v>0</x:v>
      </x:c>
      <x:c r="K2037" s="30" t="n">
        <x:v>45709</x:v>
      </x:c>
      <x:c r="L2037" s="24" t="str">
        <x:v>입금</x:v>
      </x:c>
      <x:c r="M2037" s="31" t="n">
        <x:f>IF(AND(N2037="미수",G2037&lt;&gt;"",TODAY()&gt;G2037),TODAY()-G2037,0)</x:f>
        <x:v>0</x:v>
      </x:c>
      <x:c r="N2037" s="24" t="str">
        <x:f>IF(J2037&gt;0,"미수",IF(AND(H2037&gt;0,I2037&gt;=H2037),"완납","미확인"))</x:f>
        <x:v>완납</x:v>
      </x:c>
      <x:c r="O2037" s="31" t="n">
        <x:v>95</x:v>
      </x:c>
    </x:row>
    <x:row r="2038" ht="17.25" customHeight="1">
      <x:c r="A2038" s="24" t="str">
        <x:v>SW-B-347다5712-202501</x:v>
      </x:c>
      <x:c r="B2038" s="24" t="str">
        <x:v>스위치플랜</x:v>
      </x:c>
      <x:c r="C2038" s="24" t="str">
        <x:v>SW-C-347다5712-1-20240319-96</x:v>
      </x:c>
      <x:c r="D2038" s="24" t="str">
        <x:v>347다5712</x:v>
      </x:c>
      <x:c r="E2038" s="24" t="str">
        <x:v>이은진</x:v>
      </x:c>
      <x:c r="F2038" s="24" t="str">
        <x:v>2025-01</x:v>
      </x:c>
      <x:c r="G2038" s="30" t="n">
        <x:v>45677</x:v>
      </x:c>
      <x:c r="H2038" s="32" t="n">
        <x:v>510000</x:v>
      </x:c>
      <x:c r="I2038" s="32" t="n">
        <x:v>510000</x:v>
      </x:c>
      <x:c r="J2038" s="32" t="n">
        <x:v>0</x:v>
      </x:c>
      <x:c r="K2038" s="30" t="n">
        <x:v>45678</x:v>
      </x:c>
      <x:c r="L2038" s="24" t="str">
        <x:v>입금</x:v>
      </x:c>
      <x:c r="M2038" s="31" t="n">
        <x:f>IF(AND(N2038="미수",G2038&lt;&gt;"",TODAY()&gt;G2038),TODAY()-G2038,0)</x:f>
        <x:v>0</x:v>
      </x:c>
      <x:c r="N2038" s="24" t="str">
        <x:f>IF(J2038&gt;0,"미수",IF(AND(H2038&gt;0,I2038&gt;=H2038),"완납","미확인"))</x:f>
        <x:v>완납</x:v>
      </x:c>
      <x:c r="O2038" s="31" t="n">
        <x:v>95</x:v>
      </x:c>
    </x:row>
    <x:row r="2039" ht="17.25" customHeight="1">
      <x:c r="A2039" s="24" t="str">
        <x:v>SW-B-347다5712-202412</x:v>
      </x:c>
      <x:c r="B2039" s="24" t="str">
        <x:v>스위치플랜</x:v>
      </x:c>
      <x:c r="C2039" s="24" t="str">
        <x:v>SW-C-347다5712-1-20240319-96</x:v>
      </x:c>
      <x:c r="D2039" s="24" t="str">
        <x:v>347다5712</x:v>
      </x:c>
      <x:c r="E2039" s="24" t="str">
        <x:v>이은진</x:v>
      </x:c>
      <x:c r="F2039" s="24" t="str">
        <x:v>2024-12</x:v>
      </x:c>
      <x:c r="G2039" s="30" t="n">
        <x:v>45646</x:v>
      </x:c>
      <x:c r="H2039" s="32" t="n">
        <x:v>510000</x:v>
      </x:c>
      <x:c r="I2039" s="32" t="n">
        <x:v>510000</x:v>
      </x:c>
      <x:c r="J2039" s="32" t="n">
        <x:v>0</x:v>
      </x:c>
      <x:c r="K2039" s="30" t="n">
        <x:v>45649</x:v>
      </x:c>
      <x:c r="L2039" s="24" t="str">
        <x:v>입금</x:v>
      </x:c>
      <x:c r="M2039" s="31" t="n">
        <x:f>IF(AND(N2039="미수",G2039&lt;&gt;"",TODAY()&gt;G2039),TODAY()-G2039,0)</x:f>
        <x:v>0</x:v>
      </x:c>
      <x:c r="N2039" s="24" t="str">
        <x:f>IF(J2039&gt;0,"미수",IF(AND(H2039&gt;0,I2039&gt;=H2039),"완납","미확인"))</x:f>
        <x:v>완납</x:v>
      </x:c>
      <x:c r="O2039" s="31" t="n">
        <x:v>95</x:v>
      </x:c>
    </x:row>
    <x:row r="2040" ht="17.25" customHeight="1">
      <x:c r="A2040" s="24" t="str">
        <x:v>SW-B-347다5712-202411</x:v>
      </x:c>
      <x:c r="B2040" s="24" t="str">
        <x:v>스위치플랜</x:v>
      </x:c>
      <x:c r="C2040" s="24" t="str">
        <x:v>SW-C-347다5712-1-20240319-96</x:v>
      </x:c>
      <x:c r="D2040" s="24" t="str">
        <x:v>347다5712</x:v>
      </x:c>
      <x:c r="E2040" s="24" t="str">
        <x:v>이은진</x:v>
      </x:c>
      <x:c r="F2040" s="24" t="str">
        <x:v>2024-11</x:v>
      </x:c>
      <x:c r="G2040" s="30" t="n">
        <x:v>45616</x:v>
      </x:c>
      <x:c r="H2040" s="32" t="n">
        <x:v>510000</x:v>
      </x:c>
      <x:c r="I2040" s="32" t="n">
        <x:v>510000</x:v>
      </x:c>
      <x:c r="J2040" s="32" t="n">
        <x:v>0</x:v>
      </x:c>
      <x:c r="K2040" s="30" t="n">
        <x:v>45616</x:v>
      </x:c>
      <x:c r="L2040" s="24" t="str">
        <x:v>입금</x:v>
      </x:c>
      <x:c r="M2040" s="31" t="n">
        <x:f>IF(AND(N2040="미수",G2040&lt;&gt;"",TODAY()&gt;G2040),TODAY()-G2040,0)</x:f>
        <x:v>0</x:v>
      </x:c>
      <x:c r="N2040" s="24" t="str">
        <x:f>IF(J2040&gt;0,"미수",IF(AND(H2040&gt;0,I2040&gt;=H2040),"완납","미확인"))</x:f>
        <x:v>완납</x:v>
      </x:c>
      <x:c r="O2040" s="31" t="n">
        <x:v>95</x:v>
      </x:c>
    </x:row>
    <x:row r="2041" ht="17.25" customHeight="1">
      <x:c r="A2041" s="24" t="str">
        <x:v>SW-B-347다5712-202410</x:v>
      </x:c>
      <x:c r="B2041" s="24" t="str">
        <x:v>스위치플랜</x:v>
      </x:c>
      <x:c r="C2041" s="24" t="str">
        <x:v>SW-C-347다5712-1-20240319-96</x:v>
      </x:c>
      <x:c r="D2041" s="24" t="str">
        <x:v>347다5712</x:v>
      </x:c>
      <x:c r="E2041" s="24" t="str">
        <x:v>이은진</x:v>
      </x:c>
      <x:c r="F2041" s="24" t="str">
        <x:v>2024-10</x:v>
      </x:c>
      <x:c r="G2041" s="30" t="n">
        <x:v>45585</x:v>
      </x:c>
      <x:c r="H2041" s="32" t="n">
        <x:v>510000</x:v>
      </x:c>
      <x:c r="I2041" s="32" t="n">
        <x:v>510000</x:v>
      </x:c>
      <x:c r="J2041" s="32" t="n">
        <x:v>0</x:v>
      </x:c>
      <x:c r="K2041" s="30" t="n">
        <x:v>45586</x:v>
      </x:c>
      <x:c r="L2041" s="24" t="str">
        <x:v>입금</x:v>
      </x:c>
      <x:c r="M2041" s="31" t="n">
        <x:f>IF(AND(N2041="미수",G2041&lt;&gt;"",TODAY()&gt;G2041),TODAY()-G2041,0)</x:f>
        <x:v>0</x:v>
      </x:c>
      <x:c r="N2041" s="24" t="str">
        <x:f>IF(J2041&gt;0,"미수",IF(AND(H2041&gt;0,I2041&gt;=H2041),"완납","미확인"))</x:f>
        <x:v>완납</x:v>
      </x:c>
      <x:c r="O2041" s="31" t="n">
        <x:v>95</x:v>
      </x:c>
    </x:row>
    <x:row r="2042" ht="17.25" customHeight="1">
      <x:c r="A2042" s="24" t="str">
        <x:v>SW-B-347다5712-202409</x:v>
      </x:c>
      <x:c r="B2042" s="24" t="str">
        <x:v>스위치플랜</x:v>
      </x:c>
      <x:c r="C2042" s="24" t="str">
        <x:v>SW-C-347다5712-1-20240319-96</x:v>
      </x:c>
      <x:c r="D2042" s="24" t="str">
        <x:v>347다5712</x:v>
      </x:c>
      <x:c r="E2042" s="24" t="str">
        <x:v>이은진</x:v>
      </x:c>
      <x:c r="F2042" s="24" t="str">
        <x:v>2024-09</x:v>
      </x:c>
      <x:c r="G2042" s="30" t="n">
        <x:v>45555</x:v>
      </x:c>
      <x:c r="H2042" s="32" t="n">
        <x:v>510000</x:v>
      </x:c>
      <x:c r="I2042" s="32" t="n">
        <x:v>510000</x:v>
      </x:c>
      <x:c r="J2042" s="32" t="n">
        <x:v>0</x:v>
      </x:c>
      <x:c r="K2042" s="30" t="n">
        <x:v>45558</x:v>
      </x:c>
      <x:c r="L2042" s="24" t="str">
        <x:v>입금</x:v>
      </x:c>
      <x:c r="M2042" s="31" t="n">
        <x:f>IF(AND(N2042="미수",G2042&lt;&gt;"",TODAY()&gt;G2042),TODAY()-G2042,0)</x:f>
        <x:v>0</x:v>
      </x:c>
      <x:c r="N2042" s="24" t="str">
        <x:f>IF(J2042&gt;0,"미수",IF(AND(H2042&gt;0,I2042&gt;=H2042),"완납","미확인"))</x:f>
        <x:v>완납</x:v>
      </x:c>
      <x:c r="O2042" s="31" t="n">
        <x:v>95</x:v>
      </x:c>
    </x:row>
    <x:row r="2043" ht="17.25" customHeight="1">
      <x:c r="A2043" s="24" t="str">
        <x:v>SW-B-347다5712-202408</x:v>
      </x:c>
      <x:c r="B2043" s="24" t="str">
        <x:v>스위치플랜</x:v>
      </x:c>
      <x:c r="C2043" s="24" t="str">
        <x:v>SW-C-347다5712-1-20240319-96</x:v>
      </x:c>
      <x:c r="D2043" s="24" t="str">
        <x:v>347다5712</x:v>
      </x:c>
      <x:c r="E2043" s="24" t="str">
        <x:v>이은진</x:v>
      </x:c>
      <x:c r="F2043" s="24" t="str">
        <x:v>2024-08</x:v>
      </x:c>
      <x:c r="G2043" s="30" t="n">
        <x:v>45524</x:v>
      </x:c>
      <x:c r="H2043" s="32" t="n">
        <x:v>510000</x:v>
      </x:c>
      <x:c r="I2043" s="32" t="n">
        <x:v>510000</x:v>
      </x:c>
      <x:c r="J2043" s="32" t="n">
        <x:v>0</x:v>
      </x:c>
      <x:c r="K2043" s="30" t="n">
        <x:v>45525</x:v>
      </x:c>
      <x:c r="L2043" s="24" t="str">
        <x:v>입금</x:v>
      </x:c>
      <x:c r="M2043" s="31" t="n">
        <x:f>IF(AND(N2043="미수",G2043&lt;&gt;"",TODAY()&gt;G2043),TODAY()-G2043,0)</x:f>
        <x:v>0</x:v>
      </x:c>
      <x:c r="N2043" s="24" t="str">
        <x:f>IF(J2043&gt;0,"미수",IF(AND(H2043&gt;0,I2043&gt;=H2043),"완납","미확인"))</x:f>
        <x:v>완납</x:v>
      </x:c>
      <x:c r="O2043" s="31" t="n">
        <x:v>95</x:v>
      </x:c>
    </x:row>
    <x:row r="2044" ht="17.25" customHeight="1">
      <x:c r="A2044" s="24" t="str">
        <x:v>SW-B-347다5712-202407</x:v>
      </x:c>
      <x:c r="B2044" s="24" t="str">
        <x:v>스위치플랜</x:v>
      </x:c>
      <x:c r="C2044" s="24" t="str">
        <x:v>SW-C-347다5712-1-20240319-96</x:v>
      </x:c>
      <x:c r="D2044" s="24" t="str">
        <x:v>347다5712</x:v>
      </x:c>
      <x:c r="E2044" s="24" t="str">
        <x:v>이은진</x:v>
      </x:c>
      <x:c r="F2044" s="24" t="str">
        <x:v>2024-07</x:v>
      </x:c>
      <x:c r="G2044" s="30" t="n">
        <x:v>45493</x:v>
      </x:c>
      <x:c r="H2044" s="32" t="n">
        <x:v>510000</x:v>
      </x:c>
      <x:c r="I2044" s="32" t="n">
        <x:v>510000</x:v>
      </x:c>
      <x:c r="J2044" s="32" t="n">
        <x:v>0</x:v>
      </x:c>
      <x:c r="K2044" s="30" t="n">
        <x:v>45496</x:v>
      </x:c>
      <x:c r="L2044" s="24" t="str">
        <x:v>입금</x:v>
      </x:c>
      <x:c r="M2044" s="31" t="n">
        <x:f>IF(AND(N2044="미수",G2044&lt;&gt;"",TODAY()&gt;G2044),TODAY()-G2044,0)</x:f>
        <x:v>0</x:v>
      </x:c>
      <x:c r="N2044" s="24" t="str">
        <x:f>IF(J2044&gt;0,"미수",IF(AND(H2044&gt;0,I2044&gt;=H2044),"완납","미확인"))</x:f>
        <x:v>완납</x:v>
      </x:c>
      <x:c r="O2044" s="31" t="n">
        <x:v>95</x:v>
      </x:c>
    </x:row>
    <x:row r="2045" ht="17.25" customHeight="1">
      <x:c r="A2045" s="24" t="str">
        <x:v>SW-B-347다5712-202406</x:v>
      </x:c>
      <x:c r="B2045" s="24" t="str">
        <x:v>스위치플랜</x:v>
      </x:c>
      <x:c r="C2045" s="24" t="str">
        <x:v>SW-C-347다5712-1-20240319-96</x:v>
      </x:c>
      <x:c r="D2045" s="24" t="str">
        <x:v>347다5712</x:v>
      </x:c>
      <x:c r="E2045" s="24" t="str">
        <x:v>이은진</x:v>
      </x:c>
      <x:c r="F2045" s="24" t="str">
        <x:v>2024-06</x:v>
      </x:c>
      <x:c r="G2045" s="30" t="n">
        <x:v>45463</x:v>
      </x:c>
      <x:c r="H2045" s="32" t="n">
        <x:v>510000</x:v>
      </x:c>
      <x:c r="I2045" s="32" t="n">
        <x:v>510000</x:v>
      </x:c>
      <x:c r="J2045" s="32" t="n">
        <x:v>0</x:v>
      </x:c>
      <x:c r="K2045" s="30" t="n">
        <x:v>45468</x:v>
      </x:c>
      <x:c r="L2045" s="24" t="str">
        <x:v>입금</x:v>
      </x:c>
      <x:c r="M2045" s="31" t="n">
        <x:f>IF(AND(N2045="미수",G2045&lt;&gt;"",TODAY()&gt;G2045),TODAY()-G2045,0)</x:f>
        <x:v>0</x:v>
      </x:c>
      <x:c r="N2045" s="24" t="str">
        <x:f>IF(J2045&gt;0,"미수",IF(AND(H2045&gt;0,I2045&gt;=H2045),"완납","미확인"))</x:f>
        <x:v>완납</x:v>
      </x:c>
      <x:c r="O2045" s="31" t="n">
        <x:v>95</x:v>
      </x:c>
    </x:row>
    <x:row r="2046" ht="17.25" customHeight="1">
      <x:c r="A2046" s="24" t="str">
        <x:v>SW-B-347다5712-202405</x:v>
      </x:c>
      <x:c r="B2046" s="24" t="str">
        <x:v>스위치플랜</x:v>
      </x:c>
      <x:c r="C2046" s="24" t="str">
        <x:v>SW-C-347다5712-1-20240319-96</x:v>
      </x:c>
      <x:c r="D2046" s="24" t="str">
        <x:v>347다5712</x:v>
      </x:c>
      <x:c r="E2046" s="24" t="str">
        <x:v>이은진</x:v>
      </x:c>
      <x:c r="F2046" s="24" t="str">
        <x:v>2024-05</x:v>
      </x:c>
      <x:c r="G2046" s="30" t="n">
        <x:v>45432</x:v>
      </x:c>
      <x:c r="H2046" s="32" t="n">
        <x:v>510000</x:v>
      </x:c>
      <x:c r="I2046" s="32" t="n">
        <x:v>510000</x:v>
      </x:c>
      <x:c r="J2046" s="32" t="n">
        <x:v>0</x:v>
      </x:c>
      <x:c r="K2046" s="30" t="n">
        <x:v>45432</x:v>
      </x:c>
      <x:c r="L2046" s="24" t="str">
        <x:v>입금</x:v>
      </x:c>
      <x:c r="M2046" s="31" t="n">
        <x:f>IF(AND(N2046="미수",G2046&lt;&gt;"",TODAY()&gt;G2046),TODAY()-G2046,0)</x:f>
        <x:v>0</x:v>
      </x:c>
      <x:c r="N2046" s="24" t="str">
        <x:f>IF(J2046&gt;0,"미수",IF(AND(H2046&gt;0,I2046&gt;=H2046),"완납","미확인"))</x:f>
        <x:v>완납</x:v>
      </x:c>
      <x:c r="O2046" s="31" t="n">
        <x:v>95</x:v>
      </x:c>
    </x:row>
    <x:row r="2047" ht="17.25" customHeight="1">
      <x:c r="A2047" s="24" t="str">
        <x:v>SW-B-347다5712-202404</x:v>
      </x:c>
      <x:c r="B2047" s="24" t="str">
        <x:v>스위치플랜</x:v>
      </x:c>
      <x:c r="C2047" s="24" t="str">
        <x:v>SW-C-347다5712-1-20240319-96</x:v>
      </x:c>
      <x:c r="D2047" s="24" t="str">
        <x:v>347다5712</x:v>
      </x:c>
      <x:c r="E2047" s="24" t="str">
        <x:v>이은진</x:v>
      </x:c>
      <x:c r="F2047" s="24" t="str">
        <x:v>2024-04</x:v>
      </x:c>
      <x:c r="G2047" s="30" t="n">
        <x:v>45402</x:v>
      </x:c>
      <x:c r="H2047" s="32" t="n">
        <x:v>510000</x:v>
      </x:c>
      <x:c r="I2047" s="32" t="n">
        <x:v>510000</x:v>
      </x:c>
      <x:c r="J2047" s="32" t="n">
        <x:v>0</x:v>
      </x:c>
      <x:c r="K2047" s="30" t="n">
        <x:v>45402</x:v>
      </x:c>
      <x:c r="L2047" s="24" t="str">
        <x:v>입금</x:v>
      </x:c>
      <x:c r="M2047" s="31" t="n">
        <x:f>IF(AND(N2047="미수",G2047&lt;&gt;"",TODAY()&gt;G2047),TODAY()-G2047,0)</x:f>
        <x:v>0</x:v>
      </x:c>
      <x:c r="N2047" s="24" t="str">
        <x:f>IF(J2047&gt;0,"미수",IF(AND(H2047&gt;0,I2047&gt;=H2047),"완납","미확인"))</x:f>
        <x:v>완납</x:v>
      </x:c>
      <x:c r="O2047" s="31" t="n">
        <x:v>95</x:v>
      </x:c>
    </x:row>
    <x:row r="2048" ht="17.25" customHeight="1">
      <x:c r="A2048" s="24" t="str">
        <x:v>SW-B-347다5712-202403</x:v>
      </x:c>
      <x:c r="B2048" s="24" t="str">
        <x:v>스위치플랜</x:v>
      </x:c>
      <x:c r="C2048" s="24" t="str">
        <x:v>SW-C-347다5712-1-20240319-96</x:v>
      </x:c>
      <x:c r="D2048" s="24" t="str">
        <x:v>347다5712</x:v>
      </x:c>
      <x:c r="E2048" s="24" t="str">
        <x:v>이은진</x:v>
      </x:c>
      <x:c r="F2048" s="24" t="str">
        <x:v>2024-03</x:v>
      </x:c>
      <x:c r="G2048" s="30" t="n">
        <x:v>45371</x:v>
      </x:c>
      <x:c r="H2048" s="32" t="n">
        <x:v>510000</x:v>
      </x:c>
      <x:c r="I2048" s="32" t="n">
        <x:v>510000</x:v>
      </x:c>
      <x:c r="J2048" s="32" t="n">
        <x:v>0</x:v>
      </x:c>
      <x:c r="K2048" s="30" t="n">
        <x:v>45362</x:v>
      </x:c>
      <x:c r="L2048" s="24" t="str">
        <x:v>입금</x:v>
      </x:c>
      <x:c r="M2048" s="31" t="n">
        <x:f>IF(AND(N2048="미수",G2048&lt;&gt;"",TODAY()&gt;G2048),TODAY()-G2048,0)</x:f>
        <x:v>0</x:v>
      </x:c>
      <x:c r="N2048" s="24" t="str">
        <x:f>IF(J2048&gt;0,"미수",IF(AND(H2048&gt;0,I2048&gt;=H2048),"완납","미확인"))</x:f>
        <x:v>완납</x:v>
      </x:c>
      <x:c r="O2048" s="31" t="n">
        <x:v>95</x:v>
      </x:c>
    </x:row>
    <x:row r="2049" ht="17.25" customHeight="1">
      <x:c r="A2049" s="24" t="str">
        <x:v>SW-B-257구2888-202608</x:v>
      </x:c>
      <x:c r="B2049" s="24" t="str">
        <x:v>스위치플랜</x:v>
      </x:c>
      <x:c r="C2049" s="24" t="str">
        <x:v>SW-C-257구2888-1-NA-97</x:v>
      </x:c>
      <x:c r="D2049" s="24" t="str">
        <x:v>257구2888</x:v>
      </x:c>
      <x:c r="E2049" s="24" t="str"/>
      <x:c r="F2049" s="24" t="str">
        <x:v>2026-08</x:v>
      </x:c>
      <x:c r="G2049" s="30"/>
      <x:c r="H2049" s="32" t="n">
        <x:v>0</x:v>
      </x:c>
      <x:c r="I2049" s="32"/>
      <x:c r="J2049" s="32" t="n">
        <x:v>0</x:v>
      </x:c>
      <x:c r="K2049" s="30"/>
      <x:c r="L2049" s="24" t="str"/>
      <x:c r="M2049" s="31" t="n">
        <x:f>IF(AND(N2049="미수",G2049&lt;&gt;"",TODAY()&gt;G2049),TODAY()-G2049,0)</x:f>
        <x:v>0</x:v>
      </x:c>
      <x:c r="N2049" s="24" t="str">
        <x:f>IF(J2049&gt;0,"미수",IF(AND(H2049&gt;0,I2049&gt;=H2049),"완납","미확인"))</x:f>
        <x:v>미확인</x:v>
      </x:c>
      <x:c r="O2049" s="31" t="n">
        <x:v>96</x:v>
      </x:c>
    </x:row>
    <x:row r="2050" ht="17.25" customHeight="1">
      <x:c r="A2050" s="24" t="str">
        <x:v>SW-B-257구2888-202607</x:v>
      </x:c>
      <x:c r="B2050" s="24" t="str">
        <x:v>스위치플랜</x:v>
      </x:c>
      <x:c r="C2050" s="24" t="str">
        <x:v>SW-C-257구2888-1-NA-97</x:v>
      </x:c>
      <x:c r="D2050" s="24" t="str">
        <x:v>257구2888</x:v>
      </x:c>
      <x:c r="E2050" s="24" t="str"/>
      <x:c r="F2050" s="24" t="str">
        <x:v>2026-07</x:v>
      </x:c>
      <x:c r="G2050" s="30"/>
      <x:c r="H2050" s="32" t="n">
        <x:v>0</x:v>
      </x:c>
      <x:c r="I2050" s="32"/>
      <x:c r="J2050" s="32" t="n">
        <x:v>0</x:v>
      </x:c>
      <x:c r="K2050" s="30"/>
      <x:c r="L2050" s="24" t="str"/>
      <x:c r="M2050" s="31" t="n">
        <x:f>IF(AND(N2050="미수",G2050&lt;&gt;"",TODAY()&gt;G2050),TODAY()-G2050,0)</x:f>
        <x:v>0</x:v>
      </x:c>
      <x:c r="N2050" s="24" t="str">
        <x:f>IF(J2050&gt;0,"미수",IF(AND(H2050&gt;0,I2050&gt;=H2050),"완납","미확인"))</x:f>
        <x:v>미확인</x:v>
      </x:c>
      <x:c r="O2050" s="31" t="n">
        <x:v>96</x:v>
      </x:c>
    </x:row>
    <x:row r="2051" ht="17.25" customHeight="1">
      <x:c r="A2051" s="24" t="str">
        <x:v>SW-B-257구2888-202606</x:v>
      </x:c>
      <x:c r="B2051" s="24" t="str">
        <x:v>스위치플랜</x:v>
      </x:c>
      <x:c r="C2051" s="24" t="str">
        <x:v>SW-C-257구2888-1-NA-97</x:v>
      </x:c>
      <x:c r="D2051" s="24" t="str">
        <x:v>257구2888</x:v>
      </x:c>
      <x:c r="E2051" s="24" t="str"/>
      <x:c r="F2051" s="24" t="str">
        <x:v>2026-06</x:v>
      </x:c>
      <x:c r="G2051" s="30"/>
      <x:c r="H2051" s="32" t="n">
        <x:v>680000</x:v>
      </x:c>
      <x:c r="I2051" s="32"/>
      <x:c r="J2051" s="32" t="n">
        <x:v>680000</x:v>
      </x:c>
      <x:c r="K2051" s="30"/>
      <x:c r="L2051" s="24" t="str"/>
      <x:c r="M2051" s="31" t="n">
        <x:f>IF(AND(N2051="미수",G2051&lt;&gt;"",TODAY()&gt;G2051),TODAY()-G2051,0)</x:f>
        <x:v>0</x:v>
      </x:c>
      <x:c r="N2051" s="24" t="str">
        <x:f>IF(J2051&gt;0,"미수",IF(AND(H2051&gt;0,I2051&gt;=H2051),"완납","미확인"))</x:f>
        <x:v>미수</x:v>
      </x:c>
      <x:c r="O2051" s="31" t="n">
        <x:v>96</x:v>
      </x:c>
    </x:row>
    <x:row r="2052" ht="17.25" customHeight="1">
      <x:c r="A2052" s="24" t="str">
        <x:v>SW-B-257구2888-202605</x:v>
      </x:c>
      <x:c r="B2052" s="24" t="str">
        <x:v>스위치플랜</x:v>
      </x:c>
      <x:c r="C2052" s="24" t="str">
        <x:v>SW-C-257구2888-1-NA-97</x:v>
      </x:c>
      <x:c r="D2052" s="24" t="str">
        <x:v>257구2888</x:v>
      </x:c>
      <x:c r="E2052" s="24" t="str"/>
      <x:c r="F2052" s="24" t="str">
        <x:v>2026-05</x:v>
      </x:c>
      <x:c r="G2052" s="30"/>
      <x:c r="H2052" s="32" t="n">
        <x:v>680000</x:v>
      </x:c>
      <x:c r="I2052" s="32" t="n">
        <x:v>680000</x:v>
      </x:c>
      <x:c r="J2052" s="32" t="n">
        <x:v>0</x:v>
      </x:c>
      <x:c r="K2052" s="30" t="n">
        <x:v>46162</x:v>
      </x:c>
      <x:c r="L2052" s="24" t="str">
        <x:v>입금</x:v>
      </x:c>
      <x:c r="M2052" s="31" t="n">
        <x:f>IF(AND(N2052="미수",G2052&lt;&gt;"",TODAY()&gt;G2052),TODAY()-G2052,0)</x:f>
        <x:v>0</x:v>
      </x:c>
      <x:c r="N2052" s="24" t="str">
        <x:f>IF(J2052&gt;0,"미수",IF(AND(H2052&gt;0,I2052&gt;=H2052),"완납","미확인"))</x:f>
        <x:v>완납</x:v>
      </x:c>
      <x:c r="O2052" s="31" t="n">
        <x:v>96</x:v>
      </x:c>
    </x:row>
    <x:row r="2053" ht="17.25" customHeight="1">
      <x:c r="A2053" s="24" t="str">
        <x:v>SW-B-257구2888-202604</x:v>
      </x:c>
      <x:c r="B2053" s="24" t="str">
        <x:v>스위치플랜</x:v>
      </x:c>
      <x:c r="C2053" s="24" t="str">
        <x:v>SW-C-257구2888-1-NA-97</x:v>
      </x:c>
      <x:c r="D2053" s="24" t="str">
        <x:v>257구2888</x:v>
      </x:c>
      <x:c r="E2053" s="24" t="str"/>
      <x:c r="F2053" s="24" t="str">
        <x:v>2026-04</x:v>
      </x:c>
      <x:c r="G2053" s="30"/>
      <x:c r="H2053" s="32" t="n">
        <x:v>680000</x:v>
      </x:c>
      <x:c r="I2053" s="32" t="n">
        <x:v>680000</x:v>
      </x:c>
      <x:c r="J2053" s="32" t="n">
        <x:v>0</x:v>
      </x:c>
      <x:c r="K2053" s="30" t="n">
        <x:v>46132</x:v>
      </x:c>
      <x:c r="L2053" s="24" t="str">
        <x:v>입금</x:v>
      </x:c>
      <x:c r="M2053" s="31" t="n">
        <x:f>IF(AND(N2053="미수",G2053&lt;&gt;"",TODAY()&gt;G2053),TODAY()-G2053,0)</x:f>
        <x:v>0</x:v>
      </x:c>
      <x:c r="N2053" s="24" t="str">
        <x:f>IF(J2053&gt;0,"미수",IF(AND(H2053&gt;0,I2053&gt;=H2053),"완납","미확인"))</x:f>
        <x:v>완납</x:v>
      </x:c>
      <x:c r="O2053" s="31" t="n">
        <x:v>96</x:v>
      </x:c>
    </x:row>
    <x:row r="2054" ht="17.25" customHeight="1">
      <x:c r="A2054" s="24" t="str">
        <x:v>SW-B-257구2888-202603</x:v>
      </x:c>
      <x:c r="B2054" s="24" t="str">
        <x:v>스위치플랜</x:v>
      </x:c>
      <x:c r="C2054" s="24" t="str">
        <x:v>SW-C-257구2888-1-NA-97</x:v>
      </x:c>
      <x:c r="D2054" s="24" t="str">
        <x:v>257구2888</x:v>
      </x:c>
      <x:c r="E2054" s="24" t="str"/>
      <x:c r="F2054" s="24" t="str">
        <x:v>2026-03</x:v>
      </x:c>
      <x:c r="G2054" s="30"/>
      <x:c r="H2054" s="32" t="n">
        <x:v>680000</x:v>
      </x:c>
      <x:c r="I2054" s="32" t="n">
        <x:v>680000</x:v>
      </x:c>
      <x:c r="J2054" s="32" t="n">
        <x:v>0</x:v>
      </x:c>
      <x:c r="K2054" s="30" t="n">
        <x:v>46102</x:v>
      </x:c>
      <x:c r="L2054" s="24" t="str">
        <x:v>입금</x:v>
      </x:c>
      <x:c r="M2054" s="31" t="n">
        <x:f>IF(AND(N2054="미수",G2054&lt;&gt;"",TODAY()&gt;G2054),TODAY()-G2054,0)</x:f>
        <x:v>0</x:v>
      </x:c>
      <x:c r="N2054" s="24" t="str">
        <x:f>IF(J2054&gt;0,"미수",IF(AND(H2054&gt;0,I2054&gt;=H2054),"완납","미확인"))</x:f>
        <x:v>완납</x:v>
      </x:c>
      <x:c r="O2054" s="31" t="n">
        <x:v>96</x:v>
      </x:c>
    </x:row>
    <x:row r="2055" ht="17.25" customHeight="1">
      <x:c r="A2055" s="24" t="str">
        <x:v>SW-B-257구2888-202602</x:v>
      </x:c>
      <x:c r="B2055" s="24" t="str">
        <x:v>스위치플랜</x:v>
      </x:c>
      <x:c r="C2055" s="24" t="str">
        <x:v>SW-C-257구2888-1-NA-97</x:v>
      </x:c>
      <x:c r="D2055" s="24" t="str">
        <x:v>257구2888</x:v>
      </x:c>
      <x:c r="E2055" s="24" t="str"/>
      <x:c r="F2055" s="24" t="str">
        <x:v>2026-02</x:v>
      </x:c>
      <x:c r="G2055" s="30"/>
      <x:c r="H2055" s="32" t="n">
        <x:v>680000</x:v>
      </x:c>
      <x:c r="I2055" s="32" t="n">
        <x:v>680000</x:v>
      </x:c>
      <x:c r="J2055" s="32" t="n">
        <x:v>0</x:v>
      </x:c>
      <x:c r="K2055" s="30" t="n">
        <x:v>46076</x:v>
      </x:c>
      <x:c r="L2055" s="24" t="str">
        <x:v>입금</x:v>
      </x:c>
      <x:c r="M2055" s="31" t="n">
        <x:f>IF(AND(N2055="미수",G2055&lt;&gt;"",TODAY()&gt;G2055),TODAY()-G2055,0)</x:f>
        <x:v>0</x:v>
      </x:c>
      <x:c r="N2055" s="24" t="str">
        <x:f>IF(J2055&gt;0,"미수",IF(AND(H2055&gt;0,I2055&gt;=H2055),"완납","미확인"))</x:f>
        <x:v>완납</x:v>
      </x:c>
      <x:c r="O2055" s="31" t="n">
        <x:v>96</x:v>
      </x:c>
    </x:row>
    <x:row r="2056" ht="17.25" customHeight="1">
      <x:c r="A2056" s="24" t="str">
        <x:v>SW-B-257구2888-202601</x:v>
      </x:c>
      <x:c r="B2056" s="24" t="str">
        <x:v>스위치플랜</x:v>
      </x:c>
      <x:c r="C2056" s="24" t="str">
        <x:v>SW-C-257구2888-1-NA-97</x:v>
      </x:c>
      <x:c r="D2056" s="24" t="str">
        <x:v>257구2888</x:v>
      </x:c>
      <x:c r="E2056" s="24" t="str"/>
      <x:c r="F2056" s="24" t="str">
        <x:v>2026-01</x:v>
      </x:c>
      <x:c r="G2056" s="30"/>
      <x:c r="H2056" s="32" t="n">
        <x:v>680000</x:v>
      </x:c>
      <x:c r="I2056" s="32" t="n">
        <x:v>680000</x:v>
      </x:c>
      <x:c r="J2056" s="32" t="n">
        <x:v>0</x:v>
      </x:c>
      <x:c r="K2056" s="30" t="n">
        <x:v>46042</x:v>
      </x:c>
      <x:c r="L2056" s="24" t="str">
        <x:v>입금</x:v>
      </x:c>
      <x:c r="M2056" s="31" t="n">
        <x:f>IF(AND(N2056="미수",G2056&lt;&gt;"",TODAY()&gt;G2056),TODAY()-G2056,0)</x:f>
        <x:v>0</x:v>
      </x:c>
      <x:c r="N2056" s="24" t="str">
        <x:f>IF(J2056&gt;0,"미수",IF(AND(H2056&gt;0,I2056&gt;=H2056),"완납","미확인"))</x:f>
        <x:v>완납</x:v>
      </x:c>
      <x:c r="O2056" s="31" t="n">
        <x:v>96</x:v>
      </x:c>
    </x:row>
    <x:row r="2057" ht="17.25" customHeight="1">
      <x:c r="A2057" s="24" t="str">
        <x:v>SW-B-257구2888-202512</x:v>
      </x:c>
      <x:c r="B2057" s="24" t="str">
        <x:v>스위치플랜</x:v>
      </x:c>
      <x:c r="C2057" s="24" t="str">
        <x:v>SW-C-257구2888-1-NA-97</x:v>
      </x:c>
      <x:c r="D2057" s="24" t="str">
        <x:v>257구2888</x:v>
      </x:c>
      <x:c r="E2057" s="24" t="str"/>
      <x:c r="F2057" s="24" t="str">
        <x:v>2025-12</x:v>
      </x:c>
      <x:c r="G2057" s="30"/>
      <x:c r="H2057" s="32" t="n">
        <x:v>680000</x:v>
      </x:c>
      <x:c r="I2057" s="32" t="n">
        <x:v>680000</x:v>
      </x:c>
      <x:c r="J2057" s="32" t="n">
        <x:v>0</x:v>
      </x:c>
      <x:c r="K2057" s="30" t="n">
        <x:v>46013</x:v>
      </x:c>
      <x:c r="L2057" s="24" t="str">
        <x:v>입금</x:v>
      </x:c>
      <x:c r="M2057" s="31" t="n">
        <x:f>IF(AND(N2057="미수",G2057&lt;&gt;"",TODAY()&gt;G2057),TODAY()-G2057,0)</x:f>
        <x:v>0</x:v>
      </x:c>
      <x:c r="N2057" s="24" t="str">
        <x:f>IF(J2057&gt;0,"미수",IF(AND(H2057&gt;0,I2057&gt;=H2057),"완납","미확인"))</x:f>
        <x:v>완납</x:v>
      </x:c>
      <x:c r="O2057" s="31" t="n">
        <x:v>96</x:v>
      </x:c>
    </x:row>
    <x:row r="2058" ht="17.25" customHeight="1">
      <x:c r="A2058" s="24" t="str">
        <x:v>SW-B-257구2888-202511</x:v>
      </x:c>
      <x:c r="B2058" s="24" t="str">
        <x:v>스위치플랜</x:v>
      </x:c>
      <x:c r="C2058" s="24" t="str">
        <x:v>SW-C-257구2888-1-NA-97</x:v>
      </x:c>
      <x:c r="D2058" s="24" t="str">
        <x:v>257구2888</x:v>
      </x:c>
      <x:c r="E2058" s="24" t="str"/>
      <x:c r="F2058" s="24" t="str">
        <x:v>2025-11</x:v>
      </x:c>
      <x:c r="G2058" s="30"/>
      <x:c r="H2058" s="32" t="n">
        <x:v>680000</x:v>
      </x:c>
      <x:c r="I2058" s="32" t="n">
        <x:v>680000</x:v>
      </x:c>
      <x:c r="J2058" s="32" t="n">
        <x:v>0</x:v>
      </x:c>
      <x:c r="K2058" s="30" t="n">
        <x:v>45981</x:v>
      </x:c>
      <x:c r="L2058" s="24" t="str">
        <x:v>입금</x:v>
      </x:c>
      <x:c r="M2058" s="31" t="n">
        <x:f>IF(AND(N2058="미수",G2058&lt;&gt;"",TODAY()&gt;G2058),TODAY()-G2058,0)</x:f>
        <x:v>0</x:v>
      </x:c>
      <x:c r="N2058" s="24" t="str">
        <x:f>IF(J2058&gt;0,"미수",IF(AND(H2058&gt;0,I2058&gt;=H2058),"완납","미확인"))</x:f>
        <x:v>완납</x:v>
      </x:c>
      <x:c r="O2058" s="31" t="n">
        <x:v>96</x:v>
      </x:c>
    </x:row>
    <x:row r="2059" ht="17.25" customHeight="1">
      <x:c r="A2059" s="24" t="str">
        <x:v>SW-B-257구2888-202510</x:v>
      </x:c>
      <x:c r="B2059" s="24" t="str">
        <x:v>스위치플랜</x:v>
      </x:c>
      <x:c r="C2059" s="24" t="str">
        <x:v>SW-C-257구2888-1-NA-97</x:v>
      </x:c>
      <x:c r="D2059" s="24" t="str">
        <x:v>257구2888</x:v>
      </x:c>
      <x:c r="E2059" s="24" t="str"/>
      <x:c r="F2059" s="24" t="str">
        <x:v>2025-10</x:v>
      </x:c>
      <x:c r="G2059" s="30"/>
      <x:c r="H2059" s="32" t="n">
        <x:v>680000</x:v>
      </x:c>
      <x:c r="I2059" s="32" t="n">
        <x:v>680000</x:v>
      </x:c>
      <x:c r="J2059" s="32" t="n">
        <x:v>0</x:v>
      </x:c>
      <x:c r="K2059" s="30" t="n">
        <x:v>45950</x:v>
      </x:c>
      <x:c r="L2059" s="24" t="str">
        <x:v>입금</x:v>
      </x:c>
      <x:c r="M2059" s="31" t="n">
        <x:f>IF(AND(N2059="미수",G2059&lt;&gt;"",TODAY()&gt;G2059),TODAY()-G2059,0)</x:f>
        <x:v>0</x:v>
      </x:c>
      <x:c r="N2059" s="24" t="str">
        <x:f>IF(J2059&gt;0,"미수",IF(AND(H2059&gt;0,I2059&gt;=H2059),"완납","미확인"))</x:f>
        <x:v>완납</x:v>
      </x:c>
      <x:c r="O2059" s="31" t="n">
        <x:v>96</x:v>
      </x:c>
    </x:row>
    <x:row r="2060" ht="17.25" customHeight="1">
      <x:c r="A2060" s="24" t="str">
        <x:v>SW-B-257구2888-202509</x:v>
      </x:c>
      <x:c r="B2060" s="24" t="str">
        <x:v>스위치플랜</x:v>
      </x:c>
      <x:c r="C2060" s="24" t="str">
        <x:v>SW-C-257구2888-1-NA-97</x:v>
      </x:c>
      <x:c r="D2060" s="24" t="str">
        <x:v>257구2888</x:v>
      </x:c>
      <x:c r="E2060" s="24" t="str"/>
      <x:c r="F2060" s="24" t="str">
        <x:v>2025-09</x:v>
      </x:c>
      <x:c r="G2060" s="30"/>
      <x:c r="H2060" s="32" t="n">
        <x:v>680000</x:v>
      </x:c>
      <x:c r="I2060" s="32" t="n">
        <x:v>680000</x:v>
      </x:c>
      <x:c r="J2060" s="32" t="n">
        <x:v>0</x:v>
      </x:c>
      <x:c r="K2060" s="30" t="n">
        <x:v>45919</x:v>
      </x:c>
      <x:c r="L2060" s="24" t="str">
        <x:v>입금</x:v>
      </x:c>
      <x:c r="M2060" s="31" t="n">
        <x:f>IF(AND(N2060="미수",G2060&lt;&gt;"",TODAY()&gt;G2060),TODAY()-G2060,0)</x:f>
        <x:v>0</x:v>
      </x:c>
      <x:c r="N2060" s="24" t="str">
        <x:f>IF(J2060&gt;0,"미수",IF(AND(H2060&gt;0,I2060&gt;=H2060),"완납","미확인"))</x:f>
        <x:v>완납</x:v>
      </x:c>
      <x:c r="O2060" s="31" t="n">
        <x:v>96</x:v>
      </x:c>
    </x:row>
    <x:row r="2061" ht="17.25" customHeight="1">
      <x:c r="A2061" s="24" t="str">
        <x:v>SW-B-257구2888-202508</x:v>
      </x:c>
      <x:c r="B2061" s="24" t="str">
        <x:v>스위치플랜</x:v>
      </x:c>
      <x:c r="C2061" s="24" t="str">
        <x:v>SW-C-257구2888-1-NA-97</x:v>
      </x:c>
      <x:c r="D2061" s="24" t="str">
        <x:v>257구2888</x:v>
      </x:c>
      <x:c r="E2061" s="24" t="str"/>
      <x:c r="F2061" s="24" t="str">
        <x:v>2025-08</x:v>
      </x:c>
      <x:c r="G2061" s="30"/>
      <x:c r="H2061" s="32" t="n">
        <x:v>680000</x:v>
      </x:c>
      <x:c r="I2061" s="32" t="n">
        <x:v>680000</x:v>
      </x:c>
      <x:c r="J2061" s="32" t="n">
        <x:v>0</x:v>
      </x:c>
      <x:c r="K2061" s="30" t="n">
        <x:v>45888</x:v>
      </x:c>
      <x:c r="L2061" s="24" t="str">
        <x:v>입금</x:v>
      </x:c>
      <x:c r="M2061" s="31" t="n">
        <x:f>IF(AND(N2061="미수",G2061&lt;&gt;"",TODAY()&gt;G2061),TODAY()-G2061,0)</x:f>
        <x:v>0</x:v>
      </x:c>
      <x:c r="N2061" s="24" t="str">
        <x:f>IF(J2061&gt;0,"미수",IF(AND(H2061&gt;0,I2061&gt;=H2061),"완납","미확인"))</x:f>
        <x:v>완납</x:v>
      </x:c>
      <x:c r="O2061" s="31" t="n">
        <x:v>96</x:v>
      </x:c>
    </x:row>
    <x:row r="2062" ht="17.25" customHeight="1">
      <x:c r="A2062" s="24" t="str">
        <x:v>SW-B-257구2888-202507</x:v>
      </x:c>
      <x:c r="B2062" s="24" t="str">
        <x:v>스위치플랜</x:v>
      </x:c>
      <x:c r="C2062" s="24" t="str">
        <x:v>SW-C-257구2888-1-NA-97</x:v>
      </x:c>
      <x:c r="D2062" s="24" t="str">
        <x:v>257구2888</x:v>
      </x:c>
      <x:c r="E2062" s="24" t="str"/>
      <x:c r="F2062" s="24" t="str">
        <x:v>2025-07</x:v>
      </x:c>
      <x:c r="G2062" s="30"/>
      <x:c r="H2062" s="32" t="n">
        <x:v>680000</x:v>
      </x:c>
      <x:c r="I2062" s="32" t="n">
        <x:v>680000</x:v>
      </x:c>
      <x:c r="J2062" s="32" t="n">
        <x:v>0</x:v>
      </x:c>
      <x:c r="K2062" s="30" t="n">
        <x:v>45855</x:v>
      </x:c>
      <x:c r="L2062" s="24" t="str">
        <x:v>입금</x:v>
      </x:c>
      <x:c r="M2062" s="31" t="n">
        <x:f>IF(AND(N2062="미수",G2062&lt;&gt;"",TODAY()&gt;G2062),TODAY()-G2062,0)</x:f>
        <x:v>0</x:v>
      </x:c>
      <x:c r="N2062" s="24" t="str">
        <x:f>IF(J2062&gt;0,"미수",IF(AND(H2062&gt;0,I2062&gt;=H2062),"완납","미확인"))</x:f>
        <x:v>완납</x:v>
      </x:c>
      <x:c r="O2062" s="31" t="n">
        <x:v>96</x:v>
      </x:c>
    </x:row>
    <x:row r="2063" ht="17.25" customHeight="1">
      <x:c r="A2063" s="24" t="str">
        <x:v>SW-B-257구2888-202506</x:v>
      </x:c>
      <x:c r="B2063" s="24" t="str">
        <x:v>스위치플랜</x:v>
      </x:c>
      <x:c r="C2063" s="24" t="str">
        <x:v>SW-C-257구2888-1-NA-97</x:v>
      </x:c>
      <x:c r="D2063" s="24" t="str">
        <x:v>257구2888</x:v>
      </x:c>
      <x:c r="E2063" s="24" t="str"/>
      <x:c r="F2063" s="24" t="str">
        <x:v>2025-06</x:v>
      </x:c>
      <x:c r="G2063" s="30"/>
      <x:c r="H2063" s="32" t="n">
        <x:v>680000</x:v>
      </x:c>
      <x:c r="I2063" s="32" t="n">
        <x:v>680000</x:v>
      </x:c>
      <x:c r="J2063" s="32" t="n">
        <x:v>0</x:v>
      </x:c>
      <x:c r="K2063" s="30" t="n">
        <x:v>45826</x:v>
      </x:c>
      <x:c r="L2063" s="24" t="str">
        <x:v>입금</x:v>
      </x:c>
      <x:c r="M2063" s="31" t="n">
        <x:f>IF(AND(N2063="미수",G2063&lt;&gt;"",TODAY()&gt;G2063),TODAY()-G2063,0)</x:f>
        <x:v>0</x:v>
      </x:c>
      <x:c r="N2063" s="24" t="str">
        <x:f>IF(J2063&gt;0,"미수",IF(AND(H2063&gt;0,I2063&gt;=H2063),"완납","미확인"))</x:f>
        <x:v>완납</x:v>
      </x:c>
      <x:c r="O2063" s="31" t="n">
        <x:v>96</x:v>
      </x:c>
    </x:row>
    <x:row r="2064" ht="17.25" customHeight="1">
      <x:c r="A2064" s="24" t="str">
        <x:v>SW-B-257구2888-202505</x:v>
      </x:c>
      <x:c r="B2064" s="24" t="str">
        <x:v>스위치플랜</x:v>
      </x:c>
      <x:c r="C2064" s="24" t="str">
        <x:v>SW-C-257구2888-1-NA-97</x:v>
      </x:c>
      <x:c r="D2064" s="24" t="str">
        <x:v>257구2888</x:v>
      </x:c>
      <x:c r="E2064" s="24" t="str"/>
      <x:c r="F2064" s="24" t="str">
        <x:v>2025-05</x:v>
      </x:c>
      <x:c r="G2064" s="30"/>
      <x:c r="H2064" s="32" t="n">
        <x:v>680000</x:v>
      </x:c>
      <x:c r="I2064" s="32" t="n">
        <x:v>680000</x:v>
      </x:c>
      <x:c r="J2064" s="32" t="n">
        <x:v>0</x:v>
      </x:c>
      <x:c r="K2064" s="30" t="n">
        <x:v>45797</x:v>
      </x:c>
      <x:c r="L2064" s="24" t="str">
        <x:v>입금</x:v>
      </x:c>
      <x:c r="M2064" s="31" t="n">
        <x:f>IF(AND(N2064="미수",G2064&lt;&gt;"",TODAY()&gt;G2064),TODAY()-G2064,0)</x:f>
        <x:v>0</x:v>
      </x:c>
      <x:c r="N2064" s="24" t="str">
        <x:f>IF(J2064&gt;0,"미수",IF(AND(H2064&gt;0,I2064&gt;=H2064),"완납","미확인"))</x:f>
        <x:v>완납</x:v>
      </x:c>
      <x:c r="O2064" s="31" t="n">
        <x:v>96</x:v>
      </x:c>
    </x:row>
    <x:row r="2065" ht="17.25" customHeight="1">
      <x:c r="A2065" s="24" t="str">
        <x:v>SW-B-257구2888-202504</x:v>
      </x:c>
      <x:c r="B2065" s="24" t="str">
        <x:v>스위치플랜</x:v>
      </x:c>
      <x:c r="C2065" s="24" t="str">
        <x:v>SW-C-257구2888-1-NA-97</x:v>
      </x:c>
      <x:c r="D2065" s="24" t="str">
        <x:v>257구2888</x:v>
      </x:c>
      <x:c r="E2065" s="24" t="str"/>
      <x:c r="F2065" s="24" t="str">
        <x:v>2025-04</x:v>
      </x:c>
      <x:c r="G2065" s="30"/>
      <x:c r="H2065" s="32" t="n">
        <x:v>680000</x:v>
      </x:c>
      <x:c r="I2065" s="32" t="n">
        <x:v>680000</x:v>
      </x:c>
      <x:c r="J2065" s="32" t="n">
        <x:v>0</x:v>
      </x:c>
      <x:c r="K2065" s="30" t="n">
        <x:v>45767</x:v>
      </x:c>
      <x:c r="L2065" s="24" t="str">
        <x:v>입금</x:v>
      </x:c>
      <x:c r="M2065" s="31" t="n">
        <x:f>IF(AND(N2065="미수",G2065&lt;&gt;"",TODAY()&gt;G2065),TODAY()-G2065,0)</x:f>
        <x:v>0</x:v>
      </x:c>
      <x:c r="N2065" s="24" t="str">
        <x:f>IF(J2065&gt;0,"미수",IF(AND(H2065&gt;0,I2065&gt;=H2065),"완납","미확인"))</x:f>
        <x:v>완납</x:v>
      </x:c>
      <x:c r="O2065" s="31" t="n">
        <x:v>96</x:v>
      </x:c>
    </x:row>
    <x:row r="2066" ht="17.25" customHeight="1">
      <x:c r="A2066" s="24" t="str">
        <x:v>SW-B-257구2888-202503</x:v>
      </x:c>
      <x:c r="B2066" s="24" t="str">
        <x:v>스위치플랜</x:v>
      </x:c>
      <x:c r="C2066" s="24" t="str">
        <x:v>SW-C-257구2888-1-NA-97</x:v>
      </x:c>
      <x:c r="D2066" s="24" t="str">
        <x:v>257구2888</x:v>
      </x:c>
      <x:c r="E2066" s="24" t="str"/>
      <x:c r="F2066" s="24" t="str">
        <x:v>2025-03</x:v>
      </x:c>
      <x:c r="G2066" s="30"/>
      <x:c r="H2066" s="32" t="n">
        <x:v>580000</x:v>
      </x:c>
      <x:c r="I2066" s="32" t="n">
        <x:v>580000</x:v>
      </x:c>
      <x:c r="J2066" s="32" t="n">
        <x:v>0</x:v>
      </x:c>
      <x:c r="K2066" s="30" t="n">
        <x:v>45734</x:v>
      </x:c>
      <x:c r="L2066" s="24" t="str">
        <x:v>입금</x:v>
      </x:c>
      <x:c r="M2066" s="31" t="n">
        <x:f>IF(AND(N2066="미수",G2066&lt;&gt;"",TODAY()&gt;G2066),TODAY()-G2066,0)</x:f>
        <x:v>0</x:v>
      </x:c>
      <x:c r="N2066" s="24" t="str">
        <x:f>IF(J2066&gt;0,"미수",IF(AND(H2066&gt;0,I2066&gt;=H2066),"완납","미확인"))</x:f>
        <x:v>완납</x:v>
      </x:c>
      <x:c r="O2066" s="31" t="n">
        <x:v>96</x:v>
      </x:c>
    </x:row>
    <x:row r="2067" ht="17.25" customHeight="1">
      <x:c r="A2067" s="24" t="str">
        <x:v>SW-B-257구2888-202502</x:v>
      </x:c>
      <x:c r="B2067" s="24" t="str">
        <x:v>스위치플랜</x:v>
      </x:c>
      <x:c r="C2067" s="24" t="str">
        <x:v>SW-C-257구2888-1-NA-97</x:v>
      </x:c>
      <x:c r="D2067" s="24" t="str">
        <x:v>257구2888</x:v>
      </x:c>
      <x:c r="E2067" s="24" t="str"/>
      <x:c r="F2067" s="24" t="str">
        <x:v>2025-02</x:v>
      </x:c>
      <x:c r="G2067" s="30"/>
      <x:c r="H2067" s="32" t="n">
        <x:v>680000</x:v>
      </x:c>
      <x:c r="I2067" s="32" t="n">
        <x:v>680000</x:v>
      </x:c>
      <x:c r="J2067" s="32" t="n">
        <x:v>0</x:v>
      </x:c>
      <x:c r="K2067" s="30" t="n">
        <x:v>45696</x:v>
      </x:c>
      <x:c r="L2067" s="24" t="str">
        <x:v>입금</x:v>
      </x:c>
      <x:c r="M2067" s="31" t="n">
        <x:f>IF(AND(N2067="미수",G2067&lt;&gt;"",TODAY()&gt;G2067),TODAY()-G2067,0)</x:f>
        <x:v>0</x:v>
      </x:c>
      <x:c r="N2067" s="24" t="str">
        <x:f>IF(J2067&gt;0,"미수",IF(AND(H2067&gt;0,I2067&gt;=H2067),"완납","미확인"))</x:f>
        <x:v>완납</x:v>
      </x:c>
      <x:c r="O2067" s="31" t="n">
        <x:v>96</x:v>
      </x:c>
    </x:row>
    <x:row r="2068" ht="17.25" customHeight="1">
      <x:c r="A2068" s="24" t="str">
        <x:v>SW-B-126서4223-202608</x:v>
      </x:c>
      <x:c r="B2068" s="24" t="str">
        <x:v>스위치플랜</x:v>
      </x:c>
      <x:c r="C2068" s="24" t="str">
        <x:v>SW-C-126서4223-1-20260616-98</x:v>
      </x:c>
      <x:c r="D2068" s="24" t="str">
        <x:v>126서4223</x:v>
      </x:c>
      <x:c r="E2068" s="24" t="str">
        <x:v>김민창</x:v>
      </x:c>
      <x:c r="F2068" s="24" t="str">
        <x:v>2026-08</x:v>
      </x:c>
      <x:c r="G2068" s="30" t="n">
        <x:v>46249</x:v>
      </x:c>
      <x:c r="H2068" s="32" t="n">
        <x:v>690000</x:v>
      </x:c>
      <x:c r="I2068" s="32"/>
      <x:c r="J2068" s="32" t="n">
        <x:v>720000</x:v>
      </x:c>
      <x:c r="K2068" s="30"/>
      <x:c r="L2068" s="24" t="str"/>
      <x:c r="M2068" s="31" t="n">
        <x:f>IF(AND(N2068="미수",G2068&lt;&gt;"",TODAY()&gt;G2068),TODAY()-G2068,0)</x:f>
        <x:v>0</x:v>
      </x:c>
      <x:c r="N2068" s="24" t="str">
        <x:f>IF(J2068&gt;0,"미수",IF(AND(H2068&gt;0,I2068&gt;=H2068),"완납","미확인"))</x:f>
        <x:v>미수</x:v>
      </x:c>
      <x:c r="O2068" s="31" t="n">
        <x:v>97</x:v>
      </x:c>
    </x:row>
    <x:row r="2069" ht="17.25" customHeight="1">
      <x:c r="A2069" s="24" t="str">
        <x:v>SW-B-126서4223-202607</x:v>
      </x:c>
      <x:c r="B2069" s="24" t="str">
        <x:v>스위치플랜</x:v>
      </x:c>
      <x:c r="C2069" s="24" t="str">
        <x:v>SW-C-126서4223-1-20260616-98</x:v>
      </x:c>
      <x:c r="D2069" s="24" t="str">
        <x:v>126서4223</x:v>
      </x:c>
      <x:c r="E2069" s="24" t="str">
        <x:v>김민창</x:v>
      </x:c>
      <x:c r="F2069" s="24" t="str">
        <x:v>2026-07</x:v>
      </x:c>
      <x:c r="G2069" s="30" t="n">
        <x:v>46218</x:v>
      </x:c>
      <x:c r="H2069" s="32" t="n">
        <x:v>310000</x:v>
      </x:c>
      <x:c r="I2069" s="32" t="n">
        <x:v>300000</x:v>
      </x:c>
      <x:c r="J2069" s="32" t="n">
        <x:v>30000</x:v>
      </x:c>
      <x:c r="K2069" s="30" t="n">
        <x:v>46223</x:v>
      </x:c>
      <x:c r="L2069" s="24" t="str">
        <x:v>입금</x:v>
      </x:c>
      <x:c r="M2069" s="31" t="n">
        <x:f>IF(AND(N2069="미수",G2069&lt;&gt;"",TODAY()&gt;G2069),TODAY()-G2069,0)</x:f>
        <x:v>31</x:v>
      </x:c>
      <x:c r="N2069" s="24" t="str">
        <x:f>IF(J2069&gt;0,"미수",IF(AND(H2069&gt;0,I2069&gt;=H2069),"완납","미확인"))</x:f>
        <x:v>미수</x:v>
      </x:c>
      <x:c r="O2069" s="31" t="n">
        <x:v>97</x:v>
      </x:c>
    </x:row>
    <x:row r="2070" ht="17.25" customHeight="1">
      <x:c r="A2070" s="24" t="str">
        <x:v>SW-B-126서4223-202606</x:v>
      </x:c>
      <x:c r="B2070" s="24" t="str">
        <x:v>스위치플랜</x:v>
      </x:c>
      <x:c r="C2070" s="24" t="str">
        <x:v>SW-C-126서4223-1-20260616-98</x:v>
      </x:c>
      <x:c r="D2070" s="24" t="str">
        <x:v>126서4223</x:v>
      </x:c>
      <x:c r="E2070" s="24" t="str">
        <x:v>김민창</x:v>
      </x:c>
      <x:c r="F2070" s="24" t="str">
        <x:v>2026-06</x:v>
      </x:c>
      <x:c r="G2070" s="30" t="n">
        <x:v>46188</x:v>
      </x:c>
      <x:c r="H2070" s="32" t="n">
        <x:v>1070000</x:v>
      </x:c>
      <x:c r="I2070" s="32" t="n">
        <x:v>1250000</x:v>
      </x:c>
      <x:c r="J2070" s="32" t="n">
        <x:v>20000</x:v>
      </x:c>
      <x:c r="K2070" s="30" t="n">
        <x:v>46183</x:v>
      </x:c>
      <x:c r="L2070" s="24" t="str">
        <x:v>입금</x:v>
      </x:c>
      <x:c r="M2070" s="31" t="n">
        <x:f>IF(AND(N2070="미수",G2070&lt;&gt;"",TODAY()&gt;G2070),TODAY()-G2070,0)</x:f>
        <x:v>61</x:v>
      </x:c>
      <x:c r="N2070" s="24" t="str">
        <x:f>IF(J2070&gt;0,"미수",IF(AND(H2070&gt;0,I2070&gt;=H2070),"완납","미확인"))</x:f>
        <x:v>미수</x:v>
      </x:c>
      <x:c r="O2070" s="31" t="n">
        <x:v>97</x:v>
      </x:c>
    </x:row>
    <x:row r="2071" ht="17.25" customHeight="1">
      <x:c r="A2071" s="24" t="str">
        <x:v>SW-B-126서4223-202605</x:v>
      </x:c>
      <x:c r="B2071" s="24" t="str">
        <x:v>스위치플랜</x:v>
      </x:c>
      <x:c r="C2071" s="24" t="str">
        <x:v>SW-C-126서4223-2-20250617-98</x:v>
      </x:c>
      <x:c r="D2071" s="24" t="str">
        <x:v>126서4223</x:v>
      </x:c>
      <x:c r="E2071" s="24" t="str">
        <x:v>김민창</x:v>
      </x:c>
      <x:c r="F2071" s="24" t="str">
        <x:v>2026-05</x:v>
      </x:c>
      <x:c r="G2071" s="30" t="n">
        <x:v>46157</x:v>
      </x:c>
      <x:c r="H2071" s="32" t="n">
        <x:v>1070000</x:v>
      </x:c>
      <x:c r="I2071" s="32" t="n">
        <x:v>1240000</x:v>
      </x:c>
      <x:c r="J2071" s="32" t="n">
        <x:v>200000</x:v>
      </x:c>
      <x:c r="K2071" s="30" t="n">
        <x:v>46150</x:v>
      </x:c>
      <x:c r="L2071" s="24" t="str">
        <x:v>입금</x:v>
      </x:c>
      <x:c r="M2071" s="31" t="n">
        <x:f>IF(AND(N2071="미수",G2071&lt;&gt;"",TODAY()&gt;G2071),TODAY()-G2071,0)</x:f>
        <x:v>92</x:v>
      </x:c>
      <x:c r="N2071" s="24" t="str">
        <x:f>IF(J2071&gt;0,"미수",IF(AND(H2071&gt;0,I2071&gt;=H2071),"완납","미확인"))</x:f>
        <x:v>미수</x:v>
      </x:c>
      <x:c r="O2071" s="31" t="n">
        <x:v>97</x:v>
      </x:c>
    </x:row>
    <x:row r="2072" ht="17.25" customHeight="1">
      <x:c r="A2072" s="24" t="str">
        <x:v>SW-B-126서4223-202604</x:v>
      </x:c>
      <x:c r="B2072" s="24" t="str">
        <x:v>스위치플랜</x:v>
      </x:c>
      <x:c r="C2072" s="24" t="str">
        <x:v>SW-C-126서4223-2-20250617-98</x:v>
      </x:c>
      <x:c r="D2072" s="24" t="str">
        <x:v>126서4223</x:v>
      </x:c>
      <x:c r="E2072" s="24" t="str">
        <x:v>김민창</x:v>
      </x:c>
      <x:c r="F2072" s="24" t="str">
        <x:v>2026-04</x:v>
      </x:c>
      <x:c r="G2072" s="30" t="n">
        <x:v>46127</x:v>
      </x:c>
      <x:c r="H2072" s="32" t="n">
        <x:v>1070000</x:v>
      </x:c>
      <x:c r="I2072" s="32" t="n">
        <x:v>700000</x:v>
      </x:c>
      <x:c r="J2072" s="32" t="n">
        <x:v>370000</x:v>
      </x:c>
      <x:c r="K2072" s="30" t="n">
        <x:v>46128</x:v>
      </x:c>
      <x:c r="L2072" s="24" t="str">
        <x:v>입금</x:v>
      </x:c>
      <x:c r="M2072" s="31" t="n">
        <x:f>IF(AND(N2072="미수",G2072&lt;&gt;"",TODAY()&gt;G2072),TODAY()-G2072,0)</x:f>
        <x:v>122</x:v>
      </x:c>
      <x:c r="N2072" s="24" t="str">
        <x:f>IF(J2072&gt;0,"미수",IF(AND(H2072&gt;0,I2072&gt;=H2072),"완납","미확인"))</x:f>
        <x:v>미수</x:v>
      </x:c>
      <x:c r="O2072" s="31" t="n">
        <x:v>97</x:v>
      </x:c>
    </x:row>
    <x:row r="2073" ht="17.25" customHeight="1">
      <x:c r="A2073" s="24" t="str">
        <x:v>SW-B-126서4223-202603</x:v>
      </x:c>
      <x:c r="B2073" s="24" t="str">
        <x:v>스위치플랜</x:v>
      </x:c>
      <x:c r="C2073" s="24" t="str">
        <x:v>SW-C-126서4223-2-20250617-98</x:v>
      </x:c>
      <x:c r="D2073" s="24" t="str">
        <x:v>126서4223</x:v>
      </x:c>
      <x:c r="E2073" s="24" t="str">
        <x:v>김민창</x:v>
      </x:c>
      <x:c r="F2073" s="24" t="str">
        <x:v>2026-03</x:v>
      </x:c>
      <x:c r="G2073" s="30" t="n">
        <x:v>46096</x:v>
      </x:c>
      <x:c r="H2073" s="32" t="n">
        <x:v>1070000</x:v>
      </x:c>
      <x:c r="I2073" s="32" t="n">
        <x:v>1270000</x:v>
      </x:c>
      <x:c r="J2073" s="32" t="n">
        <x:v>0</x:v>
      </x:c>
      <x:c r="K2073" s="30" t="n">
        <x:v>46091</x:v>
      </x:c>
      <x:c r="L2073" s="24" t="str">
        <x:v>입금</x:v>
      </x:c>
      <x:c r="M2073" s="31" t="n">
        <x:f>IF(AND(N2073="미수",G2073&lt;&gt;"",TODAY()&gt;G2073),TODAY()-G2073,0)</x:f>
        <x:v>0</x:v>
      </x:c>
      <x:c r="N2073" s="24" t="str">
        <x:f>IF(J2073&gt;0,"미수",IF(AND(H2073&gt;0,I2073&gt;=H2073),"완납","미확인"))</x:f>
        <x:v>완납</x:v>
      </x:c>
      <x:c r="O2073" s="31" t="n">
        <x:v>97</x:v>
      </x:c>
    </x:row>
    <x:row r="2074" ht="17.25" customHeight="1">
      <x:c r="A2074" s="24" t="str">
        <x:v>SW-B-126서4223-202602</x:v>
      </x:c>
      <x:c r="B2074" s="24" t="str">
        <x:v>스위치플랜</x:v>
      </x:c>
      <x:c r="C2074" s="24" t="str">
        <x:v>SW-C-126서4223-2-20250617-98</x:v>
      </x:c>
      <x:c r="D2074" s="24" t="str">
        <x:v>126서4223</x:v>
      </x:c>
      <x:c r="E2074" s="24" t="str">
        <x:v>김민창</x:v>
      </x:c>
      <x:c r="F2074" s="24" t="str">
        <x:v>2026-02</x:v>
      </x:c>
      <x:c r="G2074" s="30" t="n">
        <x:v>46068</x:v>
      </x:c>
      <x:c r="H2074" s="32" t="n">
        <x:v>1070000</x:v>
      </x:c>
      <x:c r="I2074" s="32" t="n">
        <x:v>870000</x:v>
      </x:c>
      <x:c r="J2074" s="32" t="n">
        <x:v>200000</x:v>
      </x:c>
      <x:c r="K2074" s="30" t="n">
        <x:v>46071</x:v>
      </x:c>
      <x:c r="L2074" s="24" t="str">
        <x:v>입금</x:v>
      </x:c>
      <x:c r="M2074" s="31" t="n">
        <x:f>IF(AND(N2074="미수",G2074&lt;&gt;"",TODAY()&gt;G2074),TODAY()-G2074,0)</x:f>
        <x:v>181</x:v>
      </x:c>
      <x:c r="N2074" s="24" t="str">
        <x:f>IF(J2074&gt;0,"미수",IF(AND(H2074&gt;0,I2074&gt;=H2074),"완납","미확인"))</x:f>
        <x:v>미수</x:v>
      </x:c>
      <x:c r="O2074" s="31" t="n">
        <x:v>97</x:v>
      </x:c>
    </x:row>
    <x:row r="2075" ht="17.25" customHeight="1">
      <x:c r="A2075" s="24" t="str">
        <x:v>SW-B-126서4223-202601</x:v>
      </x:c>
      <x:c r="B2075" s="24" t="str">
        <x:v>스위치플랜</x:v>
      </x:c>
      <x:c r="C2075" s="24" t="str">
        <x:v>SW-C-126서4223-2-20250617-98</x:v>
      </x:c>
      <x:c r="D2075" s="24" t="str">
        <x:v>126서4223</x:v>
      </x:c>
      <x:c r="E2075" s="24" t="str">
        <x:v>김민창</x:v>
      </x:c>
      <x:c r="F2075" s="24" t="str">
        <x:v>2026-01</x:v>
      </x:c>
      <x:c r="G2075" s="30" t="n">
        <x:v>46037</x:v>
      </x:c>
      <x:c r="H2075" s="32" t="n">
        <x:v>1070000</x:v>
      </x:c>
      <x:c r="I2075" s="32" t="n">
        <x:v>1070000</x:v>
      </x:c>
      <x:c r="J2075" s="32" t="n">
        <x:v>0</x:v>
      </x:c>
      <x:c r="K2075" s="30" t="n">
        <x:v>46031</x:v>
      </x:c>
      <x:c r="L2075" s="24" t="str">
        <x:v>입금</x:v>
      </x:c>
      <x:c r="M2075" s="31" t="n">
        <x:f>IF(AND(N2075="미수",G2075&lt;&gt;"",TODAY()&gt;G2075),TODAY()-G2075,0)</x:f>
        <x:v>0</x:v>
      </x:c>
      <x:c r="N2075" s="24" t="str">
        <x:f>IF(J2075&gt;0,"미수",IF(AND(H2075&gt;0,I2075&gt;=H2075),"완납","미확인"))</x:f>
        <x:v>완납</x:v>
      </x:c>
      <x:c r="O2075" s="31" t="n">
        <x:v>97</x:v>
      </x:c>
    </x:row>
    <x:row r="2076" ht="17.25" customHeight="1">
      <x:c r="A2076" s="24" t="str">
        <x:v>SW-B-126서4223-202512</x:v>
      </x:c>
      <x:c r="B2076" s="24" t="str">
        <x:v>스위치플랜</x:v>
      </x:c>
      <x:c r="C2076" s="24" t="str">
        <x:v>SW-C-126서4223-2-20250617-98</x:v>
      </x:c>
      <x:c r="D2076" s="24" t="str">
        <x:v>126서4223</x:v>
      </x:c>
      <x:c r="E2076" s="24" t="str">
        <x:v>김민창</x:v>
      </x:c>
      <x:c r="F2076" s="24" t="str">
        <x:v>2025-12</x:v>
      </x:c>
      <x:c r="G2076" s="30" t="n">
        <x:v>46006</x:v>
      </x:c>
      <x:c r="H2076" s="32" t="n">
        <x:v>1070000</x:v>
      </x:c>
      <x:c r="I2076" s="32" t="n">
        <x:v>1070000</x:v>
      </x:c>
      <x:c r="J2076" s="32" t="n">
        <x:v>0</x:v>
      </x:c>
      <x:c r="K2076" s="30" t="n">
        <x:v>46001</x:v>
      </x:c>
      <x:c r="L2076" s="24" t="str">
        <x:v>입금</x:v>
      </x:c>
      <x:c r="M2076" s="31" t="n">
        <x:f>IF(AND(N2076="미수",G2076&lt;&gt;"",TODAY()&gt;G2076),TODAY()-G2076,0)</x:f>
        <x:v>0</x:v>
      </x:c>
      <x:c r="N2076" s="24" t="str">
        <x:f>IF(J2076&gt;0,"미수",IF(AND(H2076&gt;0,I2076&gt;=H2076),"완납","미확인"))</x:f>
        <x:v>완납</x:v>
      </x:c>
      <x:c r="O2076" s="31" t="n">
        <x:v>97</x:v>
      </x:c>
    </x:row>
    <x:row r="2077" ht="17.25" customHeight="1">
      <x:c r="A2077" s="24" t="str">
        <x:v>SW-B-126서4223-202511</x:v>
      </x:c>
      <x:c r="B2077" s="24" t="str">
        <x:v>스위치플랜</x:v>
      </x:c>
      <x:c r="C2077" s="24" t="str">
        <x:v>SW-C-126서4223-2-20250617-98</x:v>
      </x:c>
      <x:c r="D2077" s="24" t="str">
        <x:v>126서4223</x:v>
      </x:c>
      <x:c r="E2077" s="24" t="str">
        <x:v>김민창</x:v>
      </x:c>
      <x:c r="F2077" s="24" t="str">
        <x:v>2025-11</x:v>
      </x:c>
      <x:c r="G2077" s="30" t="n">
        <x:v>45976</x:v>
      </x:c>
      <x:c r="H2077" s="32" t="n">
        <x:v>1070000</x:v>
      </x:c>
      <x:c r="I2077" s="32" t="n">
        <x:v>1070000</x:v>
      </x:c>
      <x:c r="J2077" s="32" t="n">
        <x:v>0</x:v>
      </x:c>
      <x:c r="K2077" s="30" t="n">
        <x:v>45978</x:v>
      </x:c>
      <x:c r="L2077" s="24" t="str">
        <x:v>입금</x:v>
      </x:c>
      <x:c r="M2077" s="31" t="n">
        <x:f>IF(AND(N2077="미수",G2077&lt;&gt;"",TODAY()&gt;G2077),TODAY()-G2077,0)</x:f>
        <x:v>0</x:v>
      </x:c>
      <x:c r="N2077" s="24" t="str">
        <x:f>IF(J2077&gt;0,"미수",IF(AND(H2077&gt;0,I2077&gt;=H2077),"완납","미확인"))</x:f>
        <x:v>완납</x:v>
      </x:c>
      <x:c r="O2077" s="31" t="n">
        <x:v>97</x:v>
      </x:c>
    </x:row>
    <x:row r="2078" ht="17.25" customHeight="1">
      <x:c r="A2078" s="24" t="str">
        <x:v>SW-B-126서4223-202510</x:v>
      </x:c>
      <x:c r="B2078" s="24" t="str">
        <x:v>스위치플랜</x:v>
      </x:c>
      <x:c r="C2078" s="24" t="str">
        <x:v>SW-C-126서4223-2-20250617-98</x:v>
      </x:c>
      <x:c r="D2078" s="24" t="str">
        <x:v>126서4223</x:v>
      </x:c>
      <x:c r="E2078" s="24" t="str">
        <x:v>김민창</x:v>
      </x:c>
      <x:c r="F2078" s="24" t="str">
        <x:v>2025-10</x:v>
      </x:c>
      <x:c r="G2078" s="30" t="n">
        <x:v>45945</x:v>
      </x:c>
      <x:c r="H2078" s="32" t="n">
        <x:v>1070000</x:v>
      </x:c>
      <x:c r="I2078" s="32" t="n">
        <x:v>1070000</x:v>
      </x:c>
      <x:c r="J2078" s="32" t="n">
        <x:v>0</x:v>
      </x:c>
      <x:c r="K2078" s="30" t="n">
        <x:v>45937</x:v>
      </x:c>
      <x:c r="L2078" s="24" t="str">
        <x:v>입금</x:v>
      </x:c>
      <x:c r="M2078" s="31" t="n">
        <x:f>IF(AND(N2078="미수",G2078&lt;&gt;"",TODAY()&gt;G2078),TODAY()-G2078,0)</x:f>
        <x:v>0</x:v>
      </x:c>
      <x:c r="N2078" s="24" t="str">
        <x:f>IF(J2078&gt;0,"미수",IF(AND(H2078&gt;0,I2078&gt;=H2078),"완납","미확인"))</x:f>
        <x:v>완납</x:v>
      </x:c>
      <x:c r="O2078" s="31" t="n">
        <x:v>97</x:v>
      </x:c>
    </x:row>
    <x:row r="2079" ht="17.25" customHeight="1">
      <x:c r="A2079" s="24" t="str">
        <x:v>SW-B-126서4223-202509</x:v>
      </x:c>
      <x:c r="B2079" s="24" t="str">
        <x:v>스위치플랜</x:v>
      </x:c>
      <x:c r="C2079" s="24" t="str">
        <x:v>SW-C-126서4223-2-20250617-98</x:v>
      </x:c>
      <x:c r="D2079" s="24" t="str">
        <x:v>126서4223</x:v>
      </x:c>
      <x:c r="E2079" s="24" t="str">
        <x:v>김민창</x:v>
      </x:c>
      <x:c r="F2079" s="24" t="str">
        <x:v>2025-09</x:v>
      </x:c>
      <x:c r="G2079" s="30" t="n">
        <x:v>45915</x:v>
      </x:c>
      <x:c r="H2079" s="32" t="n">
        <x:v>1070000</x:v>
      </x:c>
      <x:c r="I2079" s="32" t="n">
        <x:v>1070000</x:v>
      </x:c>
      <x:c r="J2079" s="32" t="n">
        <x:v>0</x:v>
      </x:c>
      <x:c r="K2079" s="30" t="n">
        <x:v>45910</x:v>
      </x:c>
      <x:c r="L2079" s="24" t="str">
        <x:v>입금</x:v>
      </x:c>
      <x:c r="M2079" s="31" t="n">
        <x:f>IF(AND(N2079="미수",G2079&lt;&gt;"",TODAY()&gt;G2079),TODAY()-G2079,0)</x:f>
        <x:v>0</x:v>
      </x:c>
      <x:c r="N2079" s="24" t="str">
        <x:f>IF(J2079&gt;0,"미수",IF(AND(H2079&gt;0,I2079&gt;=H2079),"완납","미확인"))</x:f>
        <x:v>완납</x:v>
      </x:c>
      <x:c r="O2079" s="31" t="n">
        <x:v>97</x:v>
      </x:c>
    </x:row>
    <x:row r="2080" ht="17.25" customHeight="1">
      <x:c r="A2080" s="24" t="str">
        <x:v>SW-B-126서4223-202508</x:v>
      </x:c>
      <x:c r="B2080" s="24" t="str">
        <x:v>스위치플랜</x:v>
      </x:c>
      <x:c r="C2080" s="24" t="str">
        <x:v>SW-C-126서4223-2-20250617-98</x:v>
      </x:c>
      <x:c r="D2080" s="24" t="str">
        <x:v>126서4223</x:v>
      </x:c>
      <x:c r="E2080" s="24" t="str">
        <x:v>김민창</x:v>
      </x:c>
      <x:c r="F2080" s="24" t="str">
        <x:v>2025-08</x:v>
      </x:c>
      <x:c r="G2080" s="30" t="n">
        <x:v>45884</x:v>
      </x:c>
      <x:c r="H2080" s="32" t="n">
        <x:v>1070000</x:v>
      </x:c>
      <x:c r="I2080" s="32" t="n">
        <x:v>1070000</x:v>
      </x:c>
      <x:c r="J2080" s="32" t="n">
        <x:v>0</x:v>
      </x:c>
      <x:c r="K2080" s="30" t="n">
        <x:v>45887</x:v>
      </x:c>
      <x:c r="L2080" s="24" t="str">
        <x:v>입금</x:v>
      </x:c>
      <x:c r="M2080" s="31" t="n">
        <x:f>IF(AND(N2080="미수",G2080&lt;&gt;"",TODAY()&gt;G2080),TODAY()-G2080,0)</x:f>
        <x:v>0</x:v>
      </x:c>
      <x:c r="N2080" s="24" t="str">
        <x:f>IF(J2080&gt;0,"미수",IF(AND(H2080&gt;0,I2080&gt;=H2080),"완납","미확인"))</x:f>
        <x:v>완납</x:v>
      </x:c>
      <x:c r="O2080" s="31" t="n">
        <x:v>97</x:v>
      </x:c>
    </x:row>
    <x:row r="2081" ht="17.25" customHeight="1">
      <x:c r="A2081" s="24" t="str">
        <x:v>SW-B-126서4223-202507</x:v>
      </x:c>
      <x:c r="B2081" s="24" t="str">
        <x:v>스위치플랜</x:v>
      </x:c>
      <x:c r="C2081" s="24" t="str">
        <x:v>SW-C-126서4223-2-20250617-98</x:v>
      </x:c>
      <x:c r="D2081" s="24" t="str">
        <x:v>126서4223</x:v>
      </x:c>
      <x:c r="E2081" s="24" t="str">
        <x:v>김민창</x:v>
      </x:c>
      <x:c r="F2081" s="24" t="str">
        <x:v>2025-07</x:v>
      </x:c>
      <x:c r="G2081" s="30" t="n">
        <x:v>45853</x:v>
      </x:c>
      <x:c r="H2081" s="32" t="n">
        <x:v>1070000</x:v>
      </x:c>
      <x:c r="I2081" s="32" t="n">
        <x:v>1070000</x:v>
      </x:c>
      <x:c r="J2081" s="32" t="n">
        <x:v>0</x:v>
      </x:c>
      <x:c r="K2081" s="30" t="n">
        <x:v>45849</x:v>
      </x:c>
      <x:c r="L2081" s="24" t="str">
        <x:v>입금</x:v>
      </x:c>
      <x:c r="M2081" s="31" t="n">
        <x:f>IF(AND(N2081="미수",G2081&lt;&gt;"",TODAY()&gt;G2081),TODAY()-G2081,0)</x:f>
        <x:v>0</x:v>
      </x:c>
      <x:c r="N2081" s="24" t="str">
        <x:f>IF(J2081&gt;0,"미수",IF(AND(H2081&gt;0,I2081&gt;=H2081),"완납","미확인"))</x:f>
        <x:v>완납</x:v>
      </x:c>
      <x:c r="O2081" s="31" t="n">
        <x:v>97</x:v>
      </x:c>
    </x:row>
    <x:row r="2082" ht="17.25" customHeight="1">
      <x:c r="A2082" s="24" t="str">
        <x:v>SW-B-126서4223-202506</x:v>
      </x:c>
      <x:c r="B2082" s="24" t="str">
        <x:v>스위치플랜</x:v>
      </x:c>
      <x:c r="C2082" s="24" t="str">
        <x:v>SW-C-126서4223-2-20250617-98</x:v>
      </x:c>
      <x:c r="D2082" s="24" t="str">
        <x:v>126서4223</x:v>
      </x:c>
      <x:c r="E2082" s="24" t="str">
        <x:v>김민창</x:v>
      </x:c>
      <x:c r="F2082" s="24" t="str">
        <x:v>2025-06</x:v>
      </x:c>
      <x:c r="G2082" s="30" t="n">
        <x:v>45823</x:v>
      </x:c>
      <x:c r="H2082" s="32" t="n">
        <x:v>1070000</x:v>
      </x:c>
      <x:c r="I2082" s="32" t="n">
        <x:v>1070000</x:v>
      </x:c>
      <x:c r="J2082" s="32" t="n">
        <x:v>0</x:v>
      </x:c>
      <x:c r="K2082" s="30" t="n">
        <x:v>45818</x:v>
      </x:c>
      <x:c r="L2082" s="24" t="str">
        <x:v>입금</x:v>
      </x:c>
      <x:c r="M2082" s="31" t="n">
        <x:f>IF(AND(N2082="미수",G2082&lt;&gt;"",TODAY()&gt;G2082),TODAY()-G2082,0)</x:f>
        <x:v>0</x:v>
      </x:c>
      <x:c r="N2082" s="24" t="str">
        <x:f>IF(J2082&gt;0,"미수",IF(AND(H2082&gt;0,I2082&gt;=H2082),"완납","미확인"))</x:f>
        <x:v>완납</x:v>
      </x:c>
      <x:c r="O2082" s="31" t="n">
        <x:v>97</x:v>
      </x:c>
    </x:row>
    <x:row r="2083" ht="17.25" customHeight="1">
      <x:c r="A2083" s="24" t="str">
        <x:v>SW-B-391서7476-202608</x:v>
      </x:c>
      <x:c r="B2083" s="24" t="str">
        <x:v>스위치플랜</x:v>
      </x:c>
      <x:c r="C2083" s="24" t="str">
        <x:v>SW-C-391서7476-1-20260115-99</x:v>
      </x:c>
      <x:c r="D2083" s="24" t="str">
        <x:v>391서7476</x:v>
      </x:c>
      <x:c r="E2083" s="24" t="str">
        <x:v>태재완</x:v>
      </x:c>
      <x:c r="F2083" s="24" t="str">
        <x:v>2026-08</x:v>
      </x:c>
      <x:c r="G2083" s="30" t="n">
        <x:v>46249</x:v>
      </x:c>
      <x:c r="H2083" s="32" t="n">
        <x:v>1000000</x:v>
      </x:c>
      <x:c r="I2083" s="32"/>
      <x:c r="J2083" s="32" t="n">
        <x:v>1760000</x:v>
      </x:c>
      <x:c r="K2083" s="30"/>
      <x:c r="L2083" s="24" t="str"/>
      <x:c r="M2083" s="31" t="n">
        <x:f>IF(AND(N2083="미수",G2083&lt;&gt;"",TODAY()&gt;G2083),TODAY()-G2083,0)</x:f>
        <x:v>0</x:v>
      </x:c>
      <x:c r="N2083" s="24" t="str">
        <x:f>IF(J2083&gt;0,"미수",IF(AND(H2083&gt;0,I2083&gt;=H2083),"완납","미확인"))</x:f>
        <x:v>미수</x:v>
      </x:c>
      <x:c r="O2083" s="31" t="n">
        <x:v>98</x:v>
      </x:c>
    </x:row>
    <x:row r="2084" ht="17.25" customHeight="1">
      <x:c r="A2084" s="24" t="str">
        <x:v>SW-B-391서7476-202607</x:v>
      </x:c>
      <x:c r="B2084" s="24" t="str">
        <x:v>스위치플랜</x:v>
      </x:c>
      <x:c r="C2084" s="24" t="str">
        <x:v>SW-C-391서7476-1-20260115-99</x:v>
      </x:c>
      <x:c r="D2084" s="24" t="str">
        <x:v>391서7476</x:v>
      </x:c>
      <x:c r="E2084" s="24" t="str">
        <x:v>태재완</x:v>
      </x:c>
      <x:c r="F2084" s="24" t="str">
        <x:v>2026-07</x:v>
      </x:c>
      <x:c r="G2084" s="30" t="n">
        <x:v>46218</x:v>
      </x:c>
      <x:c r="H2084" s="32" t="n">
        <x:v>1000000</x:v>
      </x:c>
      <x:c r="I2084" s="32" t="n">
        <x:v>1000000</x:v>
      </x:c>
      <x:c r="J2084" s="32" t="n">
        <x:v>760000</x:v>
      </x:c>
      <x:c r="K2084" s="30" t="n">
        <x:v>46223</x:v>
      </x:c>
      <x:c r="L2084" s="24" t="str">
        <x:v>입금</x:v>
      </x:c>
      <x:c r="M2084" s="31" t="n">
        <x:f>IF(AND(N2084="미수",G2084&lt;&gt;"",TODAY()&gt;G2084),TODAY()-G2084,0)</x:f>
        <x:v>31</x:v>
      </x:c>
      <x:c r="N2084" s="24" t="str">
        <x:f>IF(J2084&gt;0,"미수",IF(AND(H2084&gt;0,I2084&gt;=H2084),"완납","미확인"))</x:f>
        <x:v>미수</x:v>
      </x:c>
      <x:c r="O2084" s="31" t="n">
        <x:v>98</x:v>
      </x:c>
    </x:row>
    <x:row r="2085" ht="17.25" customHeight="1">
      <x:c r="A2085" s="24" t="str">
        <x:v>SW-B-391서7476-202606</x:v>
      </x:c>
      <x:c r="B2085" s="24" t="str">
        <x:v>스위치플랜</x:v>
      </x:c>
      <x:c r="C2085" s="24" t="str">
        <x:v>SW-C-391서7476-1-20260115-99</x:v>
      </x:c>
      <x:c r="D2085" s="24" t="str">
        <x:v>391서7476</x:v>
      </x:c>
      <x:c r="E2085" s="24" t="str">
        <x:v>태재완</x:v>
      </x:c>
      <x:c r="F2085" s="24" t="str">
        <x:v>2026-06</x:v>
      </x:c>
      <x:c r="G2085" s="30" t="n">
        <x:v>46188</x:v>
      </x:c>
      <x:c r="H2085" s="32" t="n">
        <x:v>1000000</x:v>
      </x:c>
      <x:c r="I2085" s="32" t="n">
        <x:v>240000</x:v>
      </x:c>
      <x:c r="J2085" s="32" t="n">
        <x:v>760000</x:v>
      </x:c>
      <x:c r="K2085" s="30" t="n">
        <x:v>46195</x:v>
      </x:c>
      <x:c r="L2085" s="24" t="str">
        <x:v>입금</x:v>
      </x:c>
      <x:c r="M2085" s="31" t="n">
        <x:f>IF(AND(N2085="미수",G2085&lt;&gt;"",TODAY()&gt;G2085),TODAY()-G2085,0)</x:f>
        <x:v>61</x:v>
      </x:c>
      <x:c r="N2085" s="24" t="str">
        <x:f>IF(J2085&gt;0,"미수",IF(AND(H2085&gt;0,I2085&gt;=H2085),"완납","미확인"))</x:f>
        <x:v>미수</x:v>
      </x:c>
      <x:c r="O2085" s="31" t="n">
        <x:v>98</x:v>
      </x:c>
    </x:row>
    <x:row r="2086" ht="17.25" customHeight="1">
      <x:c r="A2086" s="24" t="str">
        <x:v>SW-B-391서7476-202605</x:v>
      </x:c>
      <x:c r="B2086" s="24" t="str">
        <x:v>스위치플랜</x:v>
      </x:c>
      <x:c r="C2086" s="24" t="str">
        <x:v>SW-C-391서7476-1-20260115-99</x:v>
      </x:c>
      <x:c r="D2086" s="24" t="str">
        <x:v>391서7476</x:v>
      </x:c>
      <x:c r="E2086" s="24" t="str">
        <x:v>태재완</x:v>
      </x:c>
      <x:c r="F2086" s="24" t="str">
        <x:v>2026-05</x:v>
      </x:c>
      <x:c r="G2086" s="30" t="n">
        <x:v>46157</x:v>
      </x:c>
      <x:c r="H2086" s="32" t="n">
        <x:v>1000000</x:v>
      </x:c>
      <x:c r="I2086" s="32" t="n">
        <x:v>1000000</x:v>
      </x:c>
      <x:c r="J2086" s="32" t="n">
        <x:v>0</x:v>
      </x:c>
      <x:c r="K2086" s="30" t="n">
        <x:v>46164</x:v>
      </x:c>
      <x:c r="L2086" s="24" t="str">
        <x:v>입금</x:v>
      </x:c>
      <x:c r="M2086" s="31" t="n">
        <x:f>IF(AND(N2086="미수",G2086&lt;&gt;"",TODAY()&gt;G2086),TODAY()-G2086,0)</x:f>
        <x:v>0</x:v>
      </x:c>
      <x:c r="N2086" s="24" t="str">
        <x:f>IF(J2086&gt;0,"미수",IF(AND(H2086&gt;0,I2086&gt;=H2086),"완납","미확인"))</x:f>
        <x:v>완납</x:v>
      </x:c>
      <x:c r="O2086" s="31" t="n">
        <x:v>98</x:v>
      </x:c>
    </x:row>
    <x:row r="2087" ht="17.25" customHeight="1">
      <x:c r="A2087" s="24" t="str">
        <x:v>SW-B-391서7476-202604</x:v>
      </x:c>
      <x:c r="B2087" s="24" t="str">
        <x:v>스위치플랜</x:v>
      </x:c>
      <x:c r="C2087" s="24" t="str">
        <x:v>SW-C-391서7476-1-20260115-99</x:v>
      </x:c>
      <x:c r="D2087" s="24" t="str">
        <x:v>391서7476</x:v>
      </x:c>
      <x:c r="E2087" s="24" t="str">
        <x:v>태재완</x:v>
      </x:c>
      <x:c r="F2087" s="24" t="str">
        <x:v>2026-04</x:v>
      </x:c>
      <x:c r="G2087" s="30" t="n">
        <x:v>46127</x:v>
      </x:c>
      <x:c r="H2087" s="32" t="n">
        <x:v>1000000</x:v>
      </x:c>
      <x:c r="I2087" s="32" t="n">
        <x:v>1000000</x:v>
      </x:c>
      <x:c r="J2087" s="32" t="n">
        <x:v>0</x:v>
      </x:c>
      <x:c r="K2087" s="30" t="n">
        <x:v>46128</x:v>
      </x:c>
      <x:c r="L2087" s="24" t="str">
        <x:v>입금</x:v>
      </x:c>
      <x:c r="M2087" s="31" t="n">
        <x:f>IF(AND(N2087="미수",G2087&lt;&gt;"",TODAY()&gt;G2087),TODAY()-G2087,0)</x:f>
        <x:v>0</x:v>
      </x:c>
      <x:c r="N2087" s="24" t="str">
        <x:f>IF(J2087&gt;0,"미수",IF(AND(H2087&gt;0,I2087&gt;=H2087),"완납","미확인"))</x:f>
        <x:v>완납</x:v>
      </x:c>
      <x:c r="O2087" s="31" t="n">
        <x:v>98</x:v>
      </x:c>
    </x:row>
    <x:row r="2088" ht="17.25" customHeight="1">
      <x:c r="A2088" s="24" t="str">
        <x:v>SW-B-391서7476-202603</x:v>
      </x:c>
      <x:c r="B2088" s="24" t="str">
        <x:v>스위치플랜</x:v>
      </x:c>
      <x:c r="C2088" s="24" t="str">
        <x:v>SW-C-391서7476-1-20260115-99</x:v>
      </x:c>
      <x:c r="D2088" s="24" t="str">
        <x:v>391서7476</x:v>
      </x:c>
      <x:c r="E2088" s="24" t="str">
        <x:v>태재완</x:v>
      </x:c>
      <x:c r="F2088" s="24" t="str">
        <x:v>2026-03</x:v>
      </x:c>
      <x:c r="G2088" s="30" t="n">
        <x:v>46096</x:v>
      </x:c>
      <x:c r="H2088" s="32" t="n">
        <x:v>1000000</x:v>
      </x:c>
      <x:c r="I2088" s="32" t="n">
        <x:v>1000000</x:v>
      </x:c>
      <x:c r="J2088" s="32" t="n">
        <x:v>0</x:v>
      </x:c>
      <x:c r="K2088" s="30" t="n">
        <x:v>46098</x:v>
      </x:c>
      <x:c r="L2088" s="24" t="str">
        <x:v>입금</x:v>
      </x:c>
      <x:c r="M2088" s="31" t="n">
        <x:f>IF(AND(N2088="미수",G2088&lt;&gt;"",TODAY()&gt;G2088),TODAY()-G2088,0)</x:f>
        <x:v>0</x:v>
      </x:c>
      <x:c r="N2088" s="24" t="str">
        <x:f>IF(J2088&gt;0,"미수",IF(AND(H2088&gt;0,I2088&gt;=H2088),"완납","미확인"))</x:f>
        <x:v>완납</x:v>
      </x:c>
      <x:c r="O2088" s="31" t="n">
        <x:v>98</x:v>
      </x:c>
    </x:row>
    <x:row r="2089" ht="17.25" customHeight="1">
      <x:c r="A2089" s="24" t="str">
        <x:v>SW-B-391서7476-202602</x:v>
      </x:c>
      <x:c r="B2089" s="24" t="str">
        <x:v>스위치플랜</x:v>
      </x:c>
      <x:c r="C2089" s="24" t="str">
        <x:v>SW-C-391서7476-1-20260115-99</x:v>
      </x:c>
      <x:c r="D2089" s="24" t="str">
        <x:v>391서7476</x:v>
      </x:c>
      <x:c r="E2089" s="24" t="str">
        <x:v>태재완</x:v>
      </x:c>
      <x:c r="F2089" s="24" t="str">
        <x:v>2026-02</x:v>
      </x:c>
      <x:c r="G2089" s="30" t="n">
        <x:v>46068</x:v>
      </x:c>
      <x:c r="H2089" s="32" t="n">
        <x:v>1000000</x:v>
      </x:c>
      <x:c r="I2089" s="32" t="n">
        <x:v>1000000</x:v>
      </x:c>
      <x:c r="J2089" s="32" t="n">
        <x:v>0</x:v>
      </x:c>
      <x:c r="K2089" s="30" t="n">
        <x:v>46072</x:v>
      </x:c>
      <x:c r="L2089" s="24" t="str">
        <x:v>자동</x:v>
      </x:c>
      <x:c r="M2089" s="31" t="n">
        <x:f>IF(AND(N2089="미수",G2089&lt;&gt;"",TODAY()&gt;G2089),TODAY()-G2089,0)</x:f>
        <x:v>0</x:v>
      </x:c>
      <x:c r="N2089" s="24" t="str">
        <x:f>IF(J2089&gt;0,"미수",IF(AND(H2089&gt;0,I2089&gt;=H2089),"완납","미확인"))</x:f>
        <x:v>완납</x:v>
      </x:c>
      <x:c r="O2089" s="31" t="n">
        <x:v>98</x:v>
      </x:c>
    </x:row>
    <x:row r="2090" ht="17.25" customHeight="1">
      <x:c r="A2090" s="24" t="str">
        <x:v>SW-B-391서7476-202601</x:v>
      </x:c>
      <x:c r="B2090" s="24" t="str">
        <x:v>스위치플랜</x:v>
      </x:c>
      <x:c r="C2090" s="24" t="str">
        <x:v>SW-C-391서7476-1-20260115-99</x:v>
      </x:c>
      <x:c r="D2090" s="24" t="str">
        <x:v>391서7476</x:v>
      </x:c>
      <x:c r="E2090" s="24" t="str">
        <x:v>태재완</x:v>
      </x:c>
      <x:c r="F2090" s="24" t="str">
        <x:v>2026-01</x:v>
      </x:c>
      <x:c r="G2090" s="30" t="n">
        <x:v>46037</x:v>
      </x:c>
      <x:c r="H2090" s="32" t="n">
        <x:v>1000000</x:v>
      </x:c>
      <x:c r="I2090" s="32" t="n">
        <x:v>1000000</x:v>
      </x:c>
      <x:c r="J2090" s="32" t="n">
        <x:v>0</x:v>
      </x:c>
      <x:c r="K2090" s="30" t="n">
        <x:v>46036</x:v>
      </x:c>
      <x:c r="L2090" s="24" t="str">
        <x:v>입금</x:v>
      </x:c>
      <x:c r="M2090" s="31" t="n">
        <x:f>IF(AND(N2090="미수",G2090&lt;&gt;"",TODAY()&gt;G2090),TODAY()-G2090,0)</x:f>
        <x:v>0</x:v>
      </x:c>
      <x:c r="N2090" s="24" t="str">
        <x:f>IF(J2090&gt;0,"미수",IF(AND(H2090&gt;0,I2090&gt;=H2090),"완납","미확인"))</x:f>
        <x:v>완납</x:v>
      </x:c>
      <x:c r="O2090" s="31" t="n">
        <x:v>98</x:v>
      </x:c>
    </x:row>
    <x:row r="2091" ht="17.25" customHeight="1">
      <x:c r="A2091" s="24" t="str">
        <x:v>SW-B-391서7476-202512</x:v>
      </x:c>
      <x:c r="B2091" s="24" t="str">
        <x:v>스위치플랜</x:v>
      </x:c>
      <x:c r="C2091" s="24" t="str">
        <x:v>SW-C-391서7476-2-20250704-99</x:v>
      </x:c>
      <x:c r="D2091" s="24" t="str">
        <x:v>391서7476</x:v>
      </x:c>
      <x:c r="E2091" s="24" t="str">
        <x:v>태재완</x:v>
      </x:c>
      <x:c r="F2091" s="24" t="str">
        <x:v>2025-12</x:v>
      </x:c>
      <x:c r="G2091" s="30" t="n">
        <x:v>46006</x:v>
      </x:c>
      <x:c r="H2091" s="32" t="n">
        <x:v>1000000</x:v>
      </x:c>
      <x:c r="I2091" s="32"/>
      <x:c r="J2091" s="32" t="n">
        <x:v>0</x:v>
      </x:c>
      <x:c r="K2091" s="30"/>
      <x:c r="L2091" s="24" t="str"/>
      <x:c r="M2091" s="31" t="n">
        <x:f>IF(AND(N2091="미수",G2091&lt;&gt;"",TODAY()&gt;G2091),TODAY()-G2091,0)</x:f>
        <x:v>0</x:v>
      </x:c>
      <x:c r="N2091" s="24" t="str">
        <x:f>IF(J2091&gt;0,"미수",IF(AND(H2091&gt;0,I2091&gt;=H2091),"완납","미확인"))</x:f>
        <x:v>미확인</x:v>
      </x:c>
      <x:c r="O2091" s="31" t="n">
        <x:v>98</x:v>
      </x:c>
    </x:row>
    <x:row r="2092" ht="17.25" customHeight="1">
      <x:c r="A2092" s="24" t="str">
        <x:v>SW-B-391서7476-202511</x:v>
      </x:c>
      <x:c r="B2092" s="24" t="str">
        <x:v>스위치플랜</x:v>
      </x:c>
      <x:c r="C2092" s="24" t="str">
        <x:v>SW-C-391서7476-2-20250704-99</x:v>
      </x:c>
      <x:c r="D2092" s="24" t="str">
        <x:v>391서7476</x:v>
      </x:c>
      <x:c r="E2092" s="24" t="str">
        <x:v>태재완</x:v>
      </x:c>
      <x:c r="F2092" s="24" t="str">
        <x:v>2025-11</x:v>
      </x:c>
      <x:c r="G2092" s="30" t="n">
        <x:v>45976</x:v>
      </x:c>
      <x:c r="H2092" s="32" t="n">
        <x:v>1000000</x:v>
      </x:c>
      <x:c r="I2092" s="32" t="n">
        <x:v>1000000</x:v>
      </x:c>
      <x:c r="J2092" s="32" t="n">
        <x:v>0</x:v>
      </x:c>
      <x:c r="K2092" s="30" t="n">
        <x:v>45967</x:v>
      </x:c>
      <x:c r="L2092" s="24" t="str">
        <x:v>입금</x:v>
      </x:c>
      <x:c r="M2092" s="31" t="n">
        <x:f>IF(AND(N2092="미수",G2092&lt;&gt;"",TODAY()&gt;G2092),TODAY()-G2092,0)</x:f>
        <x:v>0</x:v>
      </x:c>
      <x:c r="N2092" s="24" t="str">
        <x:f>IF(J2092&gt;0,"미수",IF(AND(H2092&gt;0,I2092&gt;=H2092),"완납","미확인"))</x:f>
        <x:v>완납</x:v>
      </x:c>
      <x:c r="O2092" s="31" t="n">
        <x:v>98</x:v>
      </x:c>
    </x:row>
    <x:row r="2093" ht="17.25" customHeight="1">
      <x:c r="A2093" s="24" t="str">
        <x:v>SW-B-391서7476-202510</x:v>
      </x:c>
      <x:c r="B2093" s="24" t="str">
        <x:v>스위치플랜</x:v>
      </x:c>
      <x:c r="C2093" s="24" t="str">
        <x:v>SW-C-391서7476-2-20250704-99</x:v>
      </x:c>
      <x:c r="D2093" s="24" t="str">
        <x:v>391서7476</x:v>
      </x:c>
      <x:c r="E2093" s="24" t="str">
        <x:v>태재완</x:v>
      </x:c>
      <x:c r="F2093" s="24" t="str">
        <x:v>2025-10</x:v>
      </x:c>
      <x:c r="G2093" s="30" t="n">
        <x:v>45945</x:v>
      </x:c>
      <x:c r="H2093" s="32" t="n">
        <x:v>1000000</x:v>
      </x:c>
      <x:c r="I2093" s="32" t="n">
        <x:v>1000000</x:v>
      </x:c>
      <x:c r="J2093" s="32" t="n">
        <x:v>0</x:v>
      </x:c>
      <x:c r="K2093" s="30" t="n">
        <x:v>45950</x:v>
      </x:c>
      <x:c r="L2093" s="24" t="str">
        <x:v>입금</x:v>
      </x:c>
      <x:c r="M2093" s="31" t="n">
        <x:f>IF(AND(N2093="미수",G2093&lt;&gt;"",TODAY()&gt;G2093),TODAY()-G2093,0)</x:f>
        <x:v>0</x:v>
      </x:c>
      <x:c r="N2093" s="24" t="str">
        <x:f>IF(J2093&gt;0,"미수",IF(AND(H2093&gt;0,I2093&gt;=H2093),"완납","미확인"))</x:f>
        <x:v>완납</x:v>
      </x:c>
      <x:c r="O2093" s="31" t="n">
        <x:v>98</x:v>
      </x:c>
    </x:row>
    <x:row r="2094" ht="17.25" customHeight="1">
      <x:c r="A2094" s="24" t="str">
        <x:v>SW-B-391서7476-202509</x:v>
      </x:c>
      <x:c r="B2094" s="24" t="str">
        <x:v>스위치플랜</x:v>
      </x:c>
      <x:c r="C2094" s="24" t="str">
        <x:v>SW-C-391서7476-2-20250704-99</x:v>
      </x:c>
      <x:c r="D2094" s="24" t="str">
        <x:v>391서7476</x:v>
      </x:c>
      <x:c r="E2094" s="24" t="str">
        <x:v>태재완</x:v>
      </x:c>
      <x:c r="F2094" s="24" t="str">
        <x:v>2025-09</x:v>
      </x:c>
      <x:c r="G2094" s="30" t="n">
        <x:v>45915</x:v>
      </x:c>
      <x:c r="H2094" s="32" t="n">
        <x:v>1000000</x:v>
      </x:c>
      <x:c r="I2094" s="32" t="n">
        <x:v>1000000</x:v>
      </x:c>
      <x:c r="J2094" s="32" t="n">
        <x:v>0</x:v>
      </x:c>
      <x:c r="K2094" s="30" t="n">
        <x:v>45903</x:v>
      </x:c>
      <x:c r="L2094" s="24" t="str">
        <x:v>입금</x:v>
      </x:c>
      <x:c r="M2094" s="31" t="n">
        <x:f>IF(AND(N2094="미수",G2094&lt;&gt;"",TODAY()&gt;G2094),TODAY()-G2094,0)</x:f>
        <x:v>0</x:v>
      </x:c>
      <x:c r="N2094" s="24" t="str">
        <x:f>IF(J2094&gt;0,"미수",IF(AND(H2094&gt;0,I2094&gt;=H2094),"완납","미확인"))</x:f>
        <x:v>완납</x:v>
      </x:c>
      <x:c r="O2094" s="31" t="n">
        <x:v>98</x:v>
      </x:c>
    </x:row>
    <x:row r="2095" ht="17.25" customHeight="1">
      <x:c r="A2095" s="24" t="str">
        <x:v>SW-B-391서7476-202508</x:v>
      </x:c>
      <x:c r="B2095" s="24" t="str">
        <x:v>스위치플랜</x:v>
      </x:c>
      <x:c r="C2095" s="24" t="str">
        <x:v>SW-C-391서7476-2-20250704-99</x:v>
      </x:c>
      <x:c r="D2095" s="24" t="str">
        <x:v>391서7476</x:v>
      </x:c>
      <x:c r="E2095" s="24" t="str">
        <x:v>태재완</x:v>
      </x:c>
      <x:c r="F2095" s="24" t="str">
        <x:v>2025-08</x:v>
      </x:c>
      <x:c r="G2095" s="30" t="n">
        <x:v>45884</x:v>
      </x:c>
      <x:c r="H2095" s="32" t="n">
        <x:v>1000000</x:v>
      </x:c>
      <x:c r="I2095" s="32" t="n">
        <x:v>1000000</x:v>
      </x:c>
      <x:c r="J2095" s="32" t="n">
        <x:v>0</x:v>
      </x:c>
      <x:c r="K2095" s="30" t="n">
        <x:v>45867</x:v>
      </x:c>
      <x:c r="L2095" s="24" t="str">
        <x:v>입금</x:v>
      </x:c>
      <x:c r="M2095" s="31" t="n">
        <x:f>IF(AND(N2095="미수",G2095&lt;&gt;"",TODAY()&gt;G2095),TODAY()-G2095,0)</x:f>
        <x:v>0</x:v>
      </x:c>
      <x:c r="N2095" s="24" t="str">
        <x:f>IF(J2095&gt;0,"미수",IF(AND(H2095&gt;0,I2095&gt;=H2095),"완납","미확인"))</x:f>
        <x:v>완납</x:v>
      </x:c>
      <x:c r="O2095" s="31" t="n">
        <x:v>98</x:v>
      </x:c>
    </x:row>
    <x:row r="2096" ht="17.25" customHeight="1">
      <x:c r="A2096" s="24" t="str">
        <x:v>SW-B-391서7476-202507</x:v>
      </x:c>
      <x:c r="B2096" s="24" t="str">
        <x:v>스위치플랜</x:v>
      </x:c>
      <x:c r="C2096" s="24" t="str">
        <x:v>SW-C-391서7476-2-20250704-99</x:v>
      </x:c>
      <x:c r="D2096" s="24" t="str">
        <x:v>391서7476</x:v>
      </x:c>
      <x:c r="E2096" s="24" t="str">
        <x:v>태재완</x:v>
      </x:c>
      <x:c r="F2096" s="24" t="str">
        <x:v>2025-07</x:v>
      </x:c>
      <x:c r="G2096" s="30" t="n">
        <x:v>45853</x:v>
      </x:c>
      <x:c r="H2096" s="32" t="n">
        <x:v>1000000</x:v>
      </x:c>
      <x:c r="I2096" s="32" t="n">
        <x:v>1000000</x:v>
      </x:c>
      <x:c r="J2096" s="32" t="n">
        <x:v>0</x:v>
      </x:c>
      <x:c r="K2096" s="30" t="n">
        <x:v>45842</x:v>
      </x:c>
      <x:c r="L2096" s="24" t="str">
        <x:v>입금</x:v>
      </x:c>
      <x:c r="M2096" s="31" t="n">
        <x:f>IF(AND(N2096="미수",G2096&lt;&gt;"",TODAY()&gt;G2096),TODAY()-G2096,0)</x:f>
        <x:v>0</x:v>
      </x:c>
      <x:c r="N2096" s="24" t="str">
        <x:f>IF(J2096&gt;0,"미수",IF(AND(H2096&gt;0,I2096&gt;=H2096),"완납","미확인"))</x:f>
        <x:v>완납</x:v>
      </x:c>
      <x:c r="O2096" s="31" t="n">
        <x:v>98</x:v>
      </x:c>
    </x:row>
    <x:row r="2097" ht="17.25" customHeight="1">
      <x:c r="A2097" s="24" t="str">
        <x:v>SW-B-391서7476-202505</x:v>
      </x:c>
      <x:c r="B2097" s="24" t="str">
        <x:v>스위치플랜</x:v>
      </x:c>
      <x:c r="C2097" s="24" t="str">
        <x:v>SW-C-391서7476-3-20250409-99</x:v>
      </x:c>
      <x:c r="D2097" s="24" t="str">
        <x:v>391서7476</x:v>
      </x:c>
      <x:c r="E2097" s="24" t="str">
        <x:v>태재완</x:v>
      </x:c>
      <x:c r="F2097" s="24" t="str">
        <x:v>2025-05</x:v>
      </x:c>
      <x:c r="G2097" s="30" t="n">
        <x:v>45792</x:v>
      </x:c>
      <x:c r="H2097" s="32" t="n">
        <x:v>950000</x:v>
      </x:c>
      <x:c r="I2097" s="32" t="n">
        <x:v>950000</x:v>
      </x:c>
      <x:c r="J2097" s="32" t="n">
        <x:v>0</x:v>
      </x:c>
      <x:c r="K2097" s="30" t="n">
        <x:v>45789</x:v>
      </x:c>
      <x:c r="L2097" s="24" t="str">
        <x:v>입금</x:v>
      </x:c>
      <x:c r="M2097" s="31" t="n">
        <x:f>IF(AND(N2097="미수",G2097&lt;&gt;"",TODAY()&gt;G2097),TODAY()-G2097,0)</x:f>
        <x:v>0</x:v>
      </x:c>
      <x:c r="N2097" s="24" t="str">
        <x:f>IF(J2097&gt;0,"미수",IF(AND(H2097&gt;0,I2097&gt;=H2097),"완납","미확인"))</x:f>
        <x:v>완납</x:v>
      </x:c>
      <x:c r="O2097" s="31" t="n">
        <x:v>98</x:v>
      </x:c>
    </x:row>
    <x:row r="2098" ht="17.25" customHeight="1">
      <x:c r="A2098" s="24" t="str">
        <x:v>SW-B-391서7476-202504</x:v>
      </x:c>
      <x:c r="B2098" s="24" t="str">
        <x:v>스위치플랜</x:v>
      </x:c>
      <x:c r="C2098" s="24" t="str">
        <x:v>SW-C-391서7476-3-20250409-99</x:v>
      </x:c>
      <x:c r="D2098" s="24" t="str">
        <x:v>391서7476</x:v>
      </x:c>
      <x:c r="E2098" s="24" t="str">
        <x:v>태재완</x:v>
      </x:c>
      <x:c r="F2098" s="24" t="str">
        <x:v>2025-04</x:v>
      </x:c>
      <x:c r="G2098" s="30" t="n">
        <x:v>45762</x:v>
      </x:c>
      <x:c r="H2098" s="32" t="n">
        <x:v>950000</x:v>
      </x:c>
      <x:c r="I2098" s="32" t="n">
        <x:v>950000</x:v>
      </x:c>
      <x:c r="J2098" s="32" t="n">
        <x:v>0</x:v>
      </x:c>
      <x:c r="K2098" s="30" t="n">
        <x:v>45755</x:v>
      </x:c>
      <x:c r="L2098" s="24" t="str">
        <x:v>입금</x:v>
      </x:c>
      <x:c r="M2098" s="31" t="n">
        <x:f>IF(AND(N2098="미수",G2098&lt;&gt;"",TODAY()&gt;G2098),TODAY()-G2098,0)</x:f>
        <x:v>0</x:v>
      </x:c>
      <x:c r="N2098" s="24" t="str">
        <x:f>IF(J2098&gt;0,"미수",IF(AND(H2098&gt;0,I2098&gt;=H2098),"완납","미확인"))</x:f>
        <x:v>완납</x:v>
      </x:c>
      <x:c r="O2098" s="31" t="n">
        <x:v>98</x:v>
      </x:c>
    </x:row>
    <x:row r="2099" ht="17.25" customHeight="1">
      <x:c r="A2099" s="24" t="str">
        <x:v>SW-B-139우7166-202608</x:v>
      </x:c>
      <x:c r="B2099" s="24" t="str">
        <x:v>스위치플랜</x:v>
      </x:c>
      <x:c r="C2099" s="24" t="str">
        <x:v>SW-C-139우7166-1-20231127-100</x:v>
      </x:c>
      <x:c r="D2099" s="24" t="str">
        <x:v>139우7166</x:v>
      </x:c>
      <x:c r="E2099" s="24" t="str">
        <x:v>박진택</x:v>
      </x:c>
      <x:c r="F2099" s="24" t="str">
        <x:v>2026-08</x:v>
      </x:c>
      <x:c r="G2099" s="30" t="n">
        <x:v>46259</x:v>
      </x:c>
      <x:c r="H2099" s="32" t="n">
        <x:v>750000</x:v>
      </x:c>
      <x:c r="I2099" s="32"/>
      <x:c r="J2099" s="32" t="n">
        <x:v>1500000</x:v>
      </x:c>
      <x:c r="K2099" s="30"/>
      <x:c r="L2099" s="24" t="str"/>
      <x:c r="M2099" s="31" t="n">
        <x:f>IF(AND(N2099="미수",G2099&lt;&gt;"",TODAY()&gt;G2099),TODAY()-G2099,0)</x:f>
        <x:v>0</x:v>
      </x:c>
      <x:c r="N2099" s="24" t="str">
        <x:f>IF(J2099&gt;0,"미수",IF(AND(H2099&gt;0,I2099&gt;=H2099),"완납","미확인"))</x:f>
        <x:v>미수</x:v>
      </x:c>
      <x:c r="O2099" s="31" t="n">
        <x:v>99</x:v>
      </x:c>
    </x:row>
    <x:row r="2100" ht="17.25" customHeight="1">
      <x:c r="A2100" s="24" t="str">
        <x:v>SW-B-139우7166-202607</x:v>
      </x:c>
      <x:c r="B2100" s="24" t="str">
        <x:v>스위치플랜</x:v>
      </x:c>
      <x:c r="C2100" s="24" t="str">
        <x:v>SW-C-139우7166-1-20231127-100</x:v>
      </x:c>
      <x:c r="D2100" s="24" t="str">
        <x:v>139우7166</x:v>
      </x:c>
      <x:c r="E2100" s="24" t="str">
        <x:v>박진택</x:v>
      </x:c>
      <x:c r="F2100" s="24" t="str">
        <x:v>2026-07</x:v>
      </x:c>
      <x:c r="G2100" s="30" t="n">
        <x:v>46228</x:v>
      </x:c>
      <x:c r="H2100" s="32" t="n">
        <x:v>750000</x:v>
      </x:c>
      <x:c r="I2100" s="32" t="n">
        <x:v>750000</x:v>
      </x:c>
      <x:c r="J2100" s="32" t="n">
        <x:v>750000</x:v>
      </x:c>
      <x:c r="K2100" s="30" t="n">
        <x:v>46213</x:v>
      </x:c>
      <x:c r="L2100" s="24" t="str">
        <x:v>입금</x:v>
      </x:c>
      <x:c r="M2100" s="31" t="n">
        <x:f>IF(AND(N2100="미수",G2100&lt;&gt;"",TODAY()&gt;G2100),TODAY()-G2100,0)</x:f>
        <x:v>21</x:v>
      </x:c>
      <x:c r="N2100" s="24" t="str">
        <x:f>IF(J2100&gt;0,"미수",IF(AND(H2100&gt;0,I2100&gt;=H2100),"완납","미확인"))</x:f>
        <x:v>미수</x:v>
      </x:c>
      <x:c r="O2100" s="31" t="n">
        <x:v>99</x:v>
      </x:c>
    </x:row>
    <x:row r="2101" ht="17.25" customHeight="1">
      <x:c r="A2101" s="24" t="str">
        <x:v>SW-B-139우7166-202606</x:v>
      </x:c>
      <x:c r="B2101" s="24" t="str">
        <x:v>스위치플랜</x:v>
      </x:c>
      <x:c r="C2101" s="24" t="str">
        <x:v>SW-C-139우7166-1-20231127-100</x:v>
      </x:c>
      <x:c r="D2101" s="24" t="str">
        <x:v>139우7166</x:v>
      </x:c>
      <x:c r="E2101" s="24" t="str">
        <x:v>박진택</x:v>
      </x:c>
      <x:c r="F2101" s="24" t="str">
        <x:v>2026-06</x:v>
      </x:c>
      <x:c r="G2101" s="30" t="n">
        <x:v>46198</x:v>
      </x:c>
      <x:c r="H2101" s="32" t="n">
        <x:v>750000</x:v>
      </x:c>
      <x:c r="I2101" s="32"/>
      <x:c r="J2101" s="32" t="n">
        <x:v>750000</x:v>
      </x:c>
      <x:c r="K2101" s="30"/>
      <x:c r="L2101" s="24" t="str"/>
      <x:c r="M2101" s="31" t="n">
        <x:f>IF(AND(N2101="미수",G2101&lt;&gt;"",TODAY()&gt;G2101),TODAY()-G2101,0)</x:f>
        <x:v>51</x:v>
      </x:c>
      <x:c r="N2101" s="24" t="str">
        <x:f>IF(J2101&gt;0,"미수",IF(AND(H2101&gt;0,I2101&gt;=H2101),"완납","미확인"))</x:f>
        <x:v>미수</x:v>
      </x:c>
      <x:c r="O2101" s="31" t="n">
        <x:v>99</x:v>
      </x:c>
    </x:row>
    <x:row r="2102" ht="17.25" customHeight="1">
      <x:c r="A2102" s="24" t="str">
        <x:v>SW-B-139우7166-202605</x:v>
      </x:c>
      <x:c r="B2102" s="24" t="str">
        <x:v>스위치플랜</x:v>
      </x:c>
      <x:c r="C2102" s="24" t="str">
        <x:v>SW-C-139우7166-1-20231127-100</x:v>
      </x:c>
      <x:c r="D2102" s="24" t="str">
        <x:v>139우7166</x:v>
      </x:c>
      <x:c r="E2102" s="24" t="str">
        <x:v>박진택</x:v>
      </x:c>
      <x:c r="F2102" s="24" t="str">
        <x:v>2026-05</x:v>
      </x:c>
      <x:c r="G2102" s="30" t="n">
        <x:v>46167</x:v>
      </x:c>
      <x:c r="H2102" s="32" t="n">
        <x:v>750000</x:v>
      </x:c>
      <x:c r="I2102" s="32" t="n">
        <x:v>1500000</x:v>
      </x:c>
      <x:c r="J2102" s="32" t="n">
        <x:v>0</x:v>
      </x:c>
      <x:c r="K2102" s="30" t="n">
        <x:v>46146</x:v>
      </x:c>
      <x:c r="L2102" s="24" t="str">
        <x:v>입금</x:v>
      </x:c>
      <x:c r="M2102" s="31" t="n">
        <x:f>IF(AND(N2102="미수",G2102&lt;&gt;"",TODAY()&gt;G2102),TODAY()-G2102,0)</x:f>
        <x:v>0</x:v>
      </x:c>
      <x:c r="N2102" s="24" t="str">
        <x:f>IF(J2102&gt;0,"미수",IF(AND(H2102&gt;0,I2102&gt;=H2102),"완납","미확인"))</x:f>
        <x:v>완납</x:v>
      </x:c>
      <x:c r="O2102" s="31" t="n">
        <x:v>99</x:v>
      </x:c>
    </x:row>
    <x:row r="2103" ht="17.25" customHeight="1">
      <x:c r="A2103" s="24" t="str">
        <x:v>SW-B-139우7166-202604</x:v>
      </x:c>
      <x:c r="B2103" s="24" t="str">
        <x:v>스위치플랜</x:v>
      </x:c>
      <x:c r="C2103" s="24" t="str">
        <x:v>SW-C-139우7166-1-20231127-100</x:v>
      </x:c>
      <x:c r="D2103" s="24" t="str">
        <x:v>139우7166</x:v>
      </x:c>
      <x:c r="E2103" s="24" t="str">
        <x:v>박진택</x:v>
      </x:c>
      <x:c r="F2103" s="24" t="str">
        <x:v>2026-04</x:v>
      </x:c>
      <x:c r="G2103" s="30" t="n">
        <x:v>46137</x:v>
      </x:c>
      <x:c r="H2103" s="32" t="n">
        <x:v>750000</x:v>
      </x:c>
      <x:c r="I2103" s="32"/>
      <x:c r="J2103" s="32" t="n">
        <x:v>750000</x:v>
      </x:c>
      <x:c r="K2103" s="30"/>
      <x:c r="L2103" s="24" t="str"/>
      <x:c r="M2103" s="31" t="n">
        <x:f>IF(AND(N2103="미수",G2103&lt;&gt;"",TODAY()&gt;G2103),TODAY()-G2103,0)</x:f>
        <x:v>112</x:v>
      </x:c>
      <x:c r="N2103" s="24" t="str">
        <x:f>IF(J2103&gt;0,"미수",IF(AND(H2103&gt;0,I2103&gt;=H2103),"완납","미확인"))</x:f>
        <x:v>미수</x:v>
      </x:c>
      <x:c r="O2103" s="31" t="n">
        <x:v>99</x:v>
      </x:c>
    </x:row>
    <x:row r="2104" ht="17.25" customHeight="1">
      <x:c r="A2104" s="24" t="str">
        <x:v>SW-B-139우7166-202603</x:v>
      </x:c>
      <x:c r="B2104" s="24" t="str">
        <x:v>스위치플랜</x:v>
      </x:c>
      <x:c r="C2104" s="24" t="str">
        <x:v>SW-C-139우7166-1-20231127-100</x:v>
      </x:c>
      <x:c r="D2104" s="24" t="str">
        <x:v>139우7166</x:v>
      </x:c>
      <x:c r="E2104" s="24" t="str">
        <x:v>박진택</x:v>
      </x:c>
      <x:c r="F2104" s="24" t="str">
        <x:v>2026-03</x:v>
      </x:c>
      <x:c r="G2104" s="30" t="n">
        <x:v>46106</x:v>
      </x:c>
      <x:c r="H2104" s="32" t="n">
        <x:v>750000</x:v>
      </x:c>
      <x:c r="I2104" s="32" t="n">
        <x:v>1500000</x:v>
      </x:c>
      <x:c r="J2104" s="32" t="n">
        <x:v>0</x:v>
      </x:c>
      <x:c r="K2104" s="30" t="n">
        <x:v>46084</x:v>
      </x:c>
      <x:c r="L2104" s="24" t="str">
        <x:v>입금</x:v>
      </x:c>
      <x:c r="M2104" s="31" t="n">
        <x:f>IF(AND(N2104="미수",G2104&lt;&gt;"",TODAY()&gt;G2104),TODAY()-G2104,0)</x:f>
        <x:v>0</x:v>
      </x:c>
      <x:c r="N2104" s="24" t="str">
        <x:f>IF(J2104&gt;0,"미수",IF(AND(H2104&gt;0,I2104&gt;=H2104),"완납","미확인"))</x:f>
        <x:v>완납</x:v>
      </x:c>
      <x:c r="O2104" s="31" t="n">
        <x:v>99</x:v>
      </x:c>
    </x:row>
    <x:row r="2105" ht="17.25" customHeight="1">
      <x:c r="A2105" s="24" t="str">
        <x:v>SW-B-139우7166-202602</x:v>
      </x:c>
      <x:c r="B2105" s="24" t="str">
        <x:v>스위치플랜</x:v>
      </x:c>
      <x:c r="C2105" s="24" t="str">
        <x:v>SW-C-139우7166-1-20231127-100</x:v>
      </x:c>
      <x:c r="D2105" s="24" t="str">
        <x:v>139우7166</x:v>
      </x:c>
      <x:c r="E2105" s="24" t="str">
        <x:v>박진택</x:v>
      </x:c>
      <x:c r="F2105" s="24" t="str">
        <x:v>2026-02</x:v>
      </x:c>
      <x:c r="G2105" s="30" t="n">
        <x:v>46078</x:v>
      </x:c>
      <x:c r="H2105" s="32" t="n">
        <x:v>750000</x:v>
      </x:c>
      <x:c r="I2105" s="32"/>
      <x:c r="J2105" s="32" t="n">
        <x:v>750000</x:v>
      </x:c>
      <x:c r="K2105" s="30"/>
      <x:c r="L2105" s="24" t="str"/>
      <x:c r="M2105" s="31" t="n">
        <x:f>IF(AND(N2105="미수",G2105&lt;&gt;"",TODAY()&gt;G2105),TODAY()-G2105,0)</x:f>
        <x:v>171</x:v>
      </x:c>
      <x:c r="N2105" s="24" t="str">
        <x:f>IF(J2105&gt;0,"미수",IF(AND(H2105&gt;0,I2105&gt;=H2105),"완납","미확인"))</x:f>
        <x:v>미수</x:v>
      </x:c>
      <x:c r="O2105" s="31" t="n">
        <x:v>99</x:v>
      </x:c>
    </x:row>
    <x:row r="2106" ht="17.25" customHeight="1">
      <x:c r="A2106" s="24" t="str">
        <x:v>SW-B-139우7166-202601</x:v>
      </x:c>
      <x:c r="B2106" s="24" t="str">
        <x:v>스위치플랜</x:v>
      </x:c>
      <x:c r="C2106" s="24" t="str">
        <x:v>SW-C-139우7166-1-20231127-100</x:v>
      </x:c>
      <x:c r="D2106" s="24" t="str">
        <x:v>139우7166</x:v>
      </x:c>
      <x:c r="E2106" s="24" t="str">
        <x:v>박진택</x:v>
      </x:c>
      <x:c r="F2106" s="24" t="str">
        <x:v>2026-01</x:v>
      </x:c>
      <x:c r="G2106" s="30" t="n">
        <x:v>46047</x:v>
      </x:c>
      <x:c r="H2106" s="32" t="n">
        <x:v>750000</x:v>
      </x:c>
      <x:c r="I2106" s="32" t="n">
        <x:v>1500000</x:v>
      </x:c>
      <x:c r="J2106" s="32" t="n">
        <x:v>0</x:v>
      </x:c>
      <x:c r="K2106" s="30" t="n">
        <x:v>46024</x:v>
      </x:c>
      <x:c r="L2106" s="24" t="str">
        <x:v>입금</x:v>
      </x:c>
      <x:c r="M2106" s="31" t="n">
        <x:f>IF(AND(N2106="미수",G2106&lt;&gt;"",TODAY()&gt;G2106),TODAY()-G2106,0)</x:f>
        <x:v>0</x:v>
      </x:c>
      <x:c r="N2106" s="24" t="str">
        <x:f>IF(J2106&gt;0,"미수",IF(AND(H2106&gt;0,I2106&gt;=H2106),"완납","미확인"))</x:f>
        <x:v>완납</x:v>
      </x:c>
      <x:c r="O2106" s="31" t="n">
        <x:v>99</x:v>
      </x:c>
    </x:row>
    <x:row r="2107" ht="17.25" customHeight="1">
      <x:c r="A2107" s="24" t="str">
        <x:v>SW-B-139우7166-202512</x:v>
      </x:c>
      <x:c r="B2107" s="24" t="str">
        <x:v>스위치플랜</x:v>
      </x:c>
      <x:c r="C2107" s="24" t="str">
        <x:v>SW-C-139우7166-1-20231127-100</x:v>
      </x:c>
      <x:c r="D2107" s="24" t="str">
        <x:v>139우7166</x:v>
      </x:c>
      <x:c r="E2107" s="24" t="str">
        <x:v>박진택</x:v>
      </x:c>
      <x:c r="F2107" s="24" t="str">
        <x:v>2025-12</x:v>
      </x:c>
      <x:c r="G2107" s="30" t="n">
        <x:v>46016</x:v>
      </x:c>
      <x:c r="H2107" s="32" t="n">
        <x:v>750000</x:v>
      </x:c>
      <x:c r="I2107" s="32"/>
      <x:c r="J2107" s="32" t="n">
        <x:v>750000</x:v>
      </x:c>
      <x:c r="K2107" s="30"/>
      <x:c r="L2107" s="24" t="str"/>
      <x:c r="M2107" s="31" t="n">
        <x:f>IF(AND(N2107="미수",G2107&lt;&gt;"",TODAY()&gt;G2107),TODAY()-G2107,0)</x:f>
        <x:v>233</x:v>
      </x:c>
      <x:c r="N2107" s="24" t="str">
        <x:f>IF(J2107&gt;0,"미수",IF(AND(H2107&gt;0,I2107&gt;=H2107),"완납","미확인"))</x:f>
        <x:v>미수</x:v>
      </x:c>
      <x:c r="O2107" s="31" t="n">
        <x:v>99</x:v>
      </x:c>
    </x:row>
    <x:row r="2108" ht="17.25" customHeight="1">
      <x:c r="A2108" s="24" t="str">
        <x:v>SW-B-139우7166-202511</x:v>
      </x:c>
      <x:c r="B2108" s="24" t="str">
        <x:v>스위치플랜</x:v>
      </x:c>
      <x:c r="C2108" s="24" t="str">
        <x:v>SW-C-139우7166-1-20231127-100</x:v>
      </x:c>
      <x:c r="D2108" s="24" t="str">
        <x:v>139우7166</x:v>
      </x:c>
      <x:c r="E2108" s="24" t="str">
        <x:v>박진택</x:v>
      </x:c>
      <x:c r="F2108" s="24" t="str">
        <x:v>2025-11</x:v>
      </x:c>
      <x:c r="G2108" s="30" t="n">
        <x:v>45986</x:v>
      </x:c>
      <x:c r="H2108" s="32" t="n">
        <x:v>750000</x:v>
      </x:c>
      <x:c r="I2108" s="32" t="n">
        <x:v>750000</x:v>
      </x:c>
      <x:c r="J2108" s="32" t="n">
        <x:v>0</x:v>
      </x:c>
      <x:c r="K2108" s="30" t="n">
        <x:v>45986</x:v>
      </x:c>
      <x:c r="L2108" s="24" t="str">
        <x:v>자동</x:v>
      </x:c>
      <x:c r="M2108" s="31" t="n">
        <x:f>IF(AND(N2108="미수",G2108&lt;&gt;"",TODAY()&gt;G2108),TODAY()-G2108,0)</x:f>
        <x:v>0</x:v>
      </x:c>
      <x:c r="N2108" s="24" t="str">
        <x:f>IF(J2108&gt;0,"미수",IF(AND(H2108&gt;0,I2108&gt;=H2108),"완납","미확인"))</x:f>
        <x:v>완납</x:v>
      </x:c>
      <x:c r="O2108" s="31" t="n">
        <x:v>99</x:v>
      </x:c>
    </x:row>
    <x:row r="2109" ht="17.25" customHeight="1">
      <x:c r="A2109" s="24" t="str">
        <x:v>SW-B-139우7166-202510</x:v>
      </x:c>
      <x:c r="B2109" s="24" t="str">
        <x:v>스위치플랜</x:v>
      </x:c>
      <x:c r="C2109" s="24" t="str">
        <x:v>SW-C-139우7166-1-20231127-100</x:v>
      </x:c>
      <x:c r="D2109" s="24" t="str">
        <x:v>139우7166</x:v>
      </x:c>
      <x:c r="E2109" s="24" t="str">
        <x:v>박진택</x:v>
      </x:c>
      <x:c r="F2109" s="24" t="str">
        <x:v>2025-10</x:v>
      </x:c>
      <x:c r="G2109" s="30" t="n">
        <x:v>45955</x:v>
      </x:c>
      <x:c r="H2109" s="32" t="n">
        <x:v>750000</x:v>
      </x:c>
      <x:c r="I2109" s="32" t="n">
        <x:v>750000</x:v>
      </x:c>
      <x:c r="J2109" s="32" t="n">
        <x:v>0</x:v>
      </x:c>
      <x:c r="K2109" s="30" t="n">
        <x:v>45957</x:v>
      </x:c>
      <x:c r="L2109" s="24" t="str">
        <x:v>자동</x:v>
      </x:c>
      <x:c r="M2109" s="31" t="n">
        <x:f>IF(AND(N2109="미수",G2109&lt;&gt;"",TODAY()&gt;G2109),TODAY()-G2109,0)</x:f>
        <x:v>0</x:v>
      </x:c>
      <x:c r="N2109" s="24" t="str">
        <x:f>IF(J2109&gt;0,"미수",IF(AND(H2109&gt;0,I2109&gt;=H2109),"완납","미확인"))</x:f>
        <x:v>완납</x:v>
      </x:c>
      <x:c r="O2109" s="31" t="n">
        <x:v>99</x:v>
      </x:c>
    </x:row>
    <x:row r="2110" ht="17.25" customHeight="1">
      <x:c r="A2110" s="24" t="str">
        <x:v>SW-B-139우7166-202509</x:v>
      </x:c>
      <x:c r="B2110" s="24" t="str">
        <x:v>스위치플랜</x:v>
      </x:c>
      <x:c r="C2110" s="24" t="str">
        <x:v>SW-C-139우7166-1-20231127-100</x:v>
      </x:c>
      <x:c r="D2110" s="24" t="str">
        <x:v>139우7166</x:v>
      </x:c>
      <x:c r="E2110" s="24" t="str">
        <x:v>박진택</x:v>
      </x:c>
      <x:c r="F2110" s="24" t="str">
        <x:v>2025-09</x:v>
      </x:c>
      <x:c r="G2110" s="30" t="n">
        <x:v>45925</x:v>
      </x:c>
      <x:c r="H2110" s="32" t="n">
        <x:v>750000</x:v>
      </x:c>
      <x:c r="I2110" s="32" t="n">
        <x:v>750000</x:v>
      </x:c>
      <x:c r="J2110" s="32" t="n">
        <x:v>0</x:v>
      </x:c>
      <x:c r="K2110" s="30" t="n">
        <x:v>45925</x:v>
      </x:c>
      <x:c r="L2110" s="24" t="str">
        <x:v>자동</x:v>
      </x:c>
      <x:c r="M2110" s="31" t="n">
        <x:f>IF(AND(N2110="미수",G2110&lt;&gt;"",TODAY()&gt;G2110),TODAY()-G2110,0)</x:f>
        <x:v>0</x:v>
      </x:c>
      <x:c r="N2110" s="24" t="str">
        <x:f>IF(J2110&gt;0,"미수",IF(AND(H2110&gt;0,I2110&gt;=H2110),"완납","미확인"))</x:f>
        <x:v>완납</x:v>
      </x:c>
      <x:c r="O2110" s="31" t="n">
        <x:v>99</x:v>
      </x:c>
    </x:row>
    <x:row r="2111" ht="17.25" customHeight="1">
      <x:c r="A2111" s="24" t="str">
        <x:v>SW-B-139우7166-202508</x:v>
      </x:c>
      <x:c r="B2111" s="24" t="str">
        <x:v>스위치플랜</x:v>
      </x:c>
      <x:c r="C2111" s="24" t="str">
        <x:v>SW-C-139우7166-1-20231127-100</x:v>
      </x:c>
      <x:c r="D2111" s="24" t="str">
        <x:v>139우7166</x:v>
      </x:c>
      <x:c r="E2111" s="24" t="str">
        <x:v>박진택</x:v>
      </x:c>
      <x:c r="F2111" s="24" t="str">
        <x:v>2025-08</x:v>
      </x:c>
      <x:c r="G2111" s="30" t="n">
        <x:v>45894</x:v>
      </x:c>
      <x:c r="H2111" s="32" t="n">
        <x:v>750000</x:v>
      </x:c>
      <x:c r="I2111" s="32" t="n">
        <x:v>750000</x:v>
      </x:c>
      <x:c r="J2111" s="32" t="n">
        <x:v>0</x:v>
      </x:c>
      <x:c r="K2111" s="30" t="n">
        <x:v>45894</x:v>
      </x:c>
      <x:c r="L2111" s="24" t="str">
        <x:v>자동</x:v>
      </x:c>
      <x:c r="M2111" s="31" t="n">
        <x:f>IF(AND(N2111="미수",G2111&lt;&gt;"",TODAY()&gt;G2111),TODAY()-G2111,0)</x:f>
        <x:v>0</x:v>
      </x:c>
      <x:c r="N2111" s="24" t="str">
        <x:f>IF(J2111&gt;0,"미수",IF(AND(H2111&gt;0,I2111&gt;=H2111),"완납","미확인"))</x:f>
        <x:v>완납</x:v>
      </x:c>
      <x:c r="O2111" s="31" t="n">
        <x:v>99</x:v>
      </x:c>
    </x:row>
    <x:row r="2112" ht="17.25" customHeight="1">
      <x:c r="A2112" s="24" t="str">
        <x:v>SW-B-139우7166-202507</x:v>
      </x:c>
      <x:c r="B2112" s="24" t="str">
        <x:v>스위치플랜</x:v>
      </x:c>
      <x:c r="C2112" s="24" t="str">
        <x:v>SW-C-139우7166-1-20231127-100</x:v>
      </x:c>
      <x:c r="D2112" s="24" t="str">
        <x:v>139우7166</x:v>
      </x:c>
      <x:c r="E2112" s="24" t="str">
        <x:v>박진택</x:v>
      </x:c>
      <x:c r="F2112" s="24" t="str">
        <x:v>2025-07</x:v>
      </x:c>
      <x:c r="G2112" s="30" t="n">
        <x:v>45863</x:v>
      </x:c>
      <x:c r="H2112" s="32" t="n">
        <x:v>750000</x:v>
      </x:c>
      <x:c r="I2112" s="32" t="n">
        <x:v>750000</x:v>
      </x:c>
      <x:c r="J2112" s="32" t="n">
        <x:v>0</x:v>
      </x:c>
      <x:c r="K2112" s="30" t="n">
        <x:v>45863</x:v>
      </x:c>
      <x:c r="L2112" s="24" t="str">
        <x:v>자동</x:v>
      </x:c>
      <x:c r="M2112" s="31" t="n">
        <x:f>IF(AND(N2112="미수",G2112&lt;&gt;"",TODAY()&gt;G2112),TODAY()-G2112,0)</x:f>
        <x:v>0</x:v>
      </x:c>
      <x:c r="N2112" s="24" t="str">
        <x:f>IF(J2112&gt;0,"미수",IF(AND(H2112&gt;0,I2112&gt;=H2112),"완납","미확인"))</x:f>
        <x:v>완납</x:v>
      </x:c>
      <x:c r="O2112" s="31" t="n">
        <x:v>99</x:v>
      </x:c>
    </x:row>
    <x:row r="2113" ht="17.25" customHeight="1">
      <x:c r="A2113" s="24" t="str">
        <x:v>SW-B-139우7166-202506</x:v>
      </x:c>
      <x:c r="B2113" s="24" t="str">
        <x:v>스위치플랜</x:v>
      </x:c>
      <x:c r="C2113" s="24" t="str">
        <x:v>SW-C-139우7166-1-20231127-100</x:v>
      </x:c>
      <x:c r="D2113" s="24" t="str">
        <x:v>139우7166</x:v>
      </x:c>
      <x:c r="E2113" s="24" t="str">
        <x:v>박진택</x:v>
      </x:c>
      <x:c r="F2113" s="24" t="str">
        <x:v>2025-06</x:v>
      </x:c>
      <x:c r="G2113" s="30" t="n">
        <x:v>45833</x:v>
      </x:c>
      <x:c r="H2113" s="32" t="n">
        <x:v>750000</x:v>
      </x:c>
      <x:c r="I2113" s="32" t="n">
        <x:v>750000</x:v>
      </x:c>
      <x:c r="J2113" s="32" t="n">
        <x:v>0</x:v>
      </x:c>
      <x:c r="K2113" s="30" t="n">
        <x:v>45833</x:v>
      </x:c>
      <x:c r="L2113" s="24" t="str">
        <x:v>자동</x:v>
      </x:c>
      <x:c r="M2113" s="31" t="n">
        <x:f>IF(AND(N2113="미수",G2113&lt;&gt;"",TODAY()&gt;G2113),TODAY()-G2113,0)</x:f>
        <x:v>0</x:v>
      </x:c>
      <x:c r="N2113" s="24" t="str">
        <x:f>IF(J2113&gt;0,"미수",IF(AND(H2113&gt;0,I2113&gt;=H2113),"완납","미확인"))</x:f>
        <x:v>완납</x:v>
      </x:c>
      <x:c r="O2113" s="31" t="n">
        <x:v>99</x:v>
      </x:c>
    </x:row>
    <x:row r="2114" ht="17.25" customHeight="1">
      <x:c r="A2114" s="24" t="str">
        <x:v>SW-B-139우7166-202505</x:v>
      </x:c>
      <x:c r="B2114" s="24" t="str">
        <x:v>스위치플랜</x:v>
      </x:c>
      <x:c r="C2114" s="24" t="str">
        <x:v>SW-C-139우7166-1-20231127-100</x:v>
      </x:c>
      <x:c r="D2114" s="24" t="str">
        <x:v>139우7166</x:v>
      </x:c>
      <x:c r="E2114" s="24" t="str">
        <x:v>박진택</x:v>
      </x:c>
      <x:c r="F2114" s="24" t="str">
        <x:v>2025-05</x:v>
      </x:c>
      <x:c r="G2114" s="30" t="n">
        <x:v>45802</x:v>
      </x:c>
      <x:c r="H2114" s="32" t="n">
        <x:v>750000</x:v>
      </x:c>
      <x:c r="I2114" s="32" t="n">
        <x:v>750000</x:v>
      </x:c>
      <x:c r="J2114" s="32" t="n">
        <x:v>0</x:v>
      </x:c>
      <x:c r="K2114" s="30" t="n">
        <x:v>45803</x:v>
      </x:c>
      <x:c r="L2114" s="24" t="str">
        <x:v>자동</x:v>
      </x:c>
      <x:c r="M2114" s="31" t="n">
        <x:f>IF(AND(N2114="미수",G2114&lt;&gt;"",TODAY()&gt;G2114),TODAY()-G2114,0)</x:f>
        <x:v>0</x:v>
      </x:c>
      <x:c r="N2114" s="24" t="str">
        <x:f>IF(J2114&gt;0,"미수",IF(AND(H2114&gt;0,I2114&gt;=H2114),"완납","미확인"))</x:f>
        <x:v>완납</x:v>
      </x:c>
      <x:c r="O2114" s="31" t="n">
        <x:v>99</x:v>
      </x:c>
    </x:row>
    <x:row r="2115" ht="17.25" customHeight="1">
      <x:c r="A2115" s="24" t="str">
        <x:v>SW-B-139우7166-202504</x:v>
      </x:c>
      <x:c r="B2115" s="24" t="str">
        <x:v>스위치플랜</x:v>
      </x:c>
      <x:c r="C2115" s="24" t="str">
        <x:v>SW-C-139우7166-1-20231127-100</x:v>
      </x:c>
      <x:c r="D2115" s="24" t="str">
        <x:v>139우7166</x:v>
      </x:c>
      <x:c r="E2115" s="24" t="str">
        <x:v>박진택</x:v>
      </x:c>
      <x:c r="F2115" s="24" t="str">
        <x:v>2025-04</x:v>
      </x:c>
      <x:c r="G2115" s="30" t="n">
        <x:v>45772</x:v>
      </x:c>
      <x:c r="H2115" s="32" t="n">
        <x:v>750000</x:v>
      </x:c>
      <x:c r="I2115" s="32" t="n">
        <x:v>750000</x:v>
      </x:c>
      <x:c r="J2115" s="32" t="n">
        <x:v>0</x:v>
      </x:c>
      <x:c r="K2115" s="30" t="n">
        <x:v>45772</x:v>
      </x:c>
      <x:c r="L2115" s="24" t="str">
        <x:v>자동</x:v>
      </x:c>
      <x:c r="M2115" s="31" t="n">
        <x:f>IF(AND(N2115="미수",G2115&lt;&gt;"",TODAY()&gt;G2115),TODAY()-G2115,0)</x:f>
        <x:v>0</x:v>
      </x:c>
      <x:c r="N2115" s="24" t="str">
        <x:f>IF(J2115&gt;0,"미수",IF(AND(H2115&gt;0,I2115&gt;=H2115),"완납","미확인"))</x:f>
        <x:v>완납</x:v>
      </x:c>
      <x:c r="O2115" s="31" t="n">
        <x:v>99</x:v>
      </x:c>
    </x:row>
    <x:row r="2116" ht="17.25" customHeight="1">
      <x:c r="A2116" s="24" t="str">
        <x:v>SW-B-139우7166-202503</x:v>
      </x:c>
      <x:c r="B2116" s="24" t="str">
        <x:v>스위치플랜</x:v>
      </x:c>
      <x:c r="C2116" s="24" t="str">
        <x:v>SW-C-139우7166-1-20231127-100</x:v>
      </x:c>
      <x:c r="D2116" s="24" t="str">
        <x:v>139우7166</x:v>
      </x:c>
      <x:c r="E2116" s="24" t="str">
        <x:v>박진택</x:v>
      </x:c>
      <x:c r="F2116" s="24" t="str">
        <x:v>2025-03</x:v>
      </x:c>
      <x:c r="G2116" s="30" t="n">
        <x:v>45741</x:v>
      </x:c>
      <x:c r="H2116" s="32" t="n">
        <x:v>750000</x:v>
      </x:c>
      <x:c r="I2116" s="32" t="n">
        <x:v>750000</x:v>
      </x:c>
      <x:c r="J2116" s="32" t="n">
        <x:v>0</x:v>
      </x:c>
      <x:c r="K2116" s="30" t="n">
        <x:v>45741</x:v>
      </x:c>
      <x:c r="L2116" s="24" t="str">
        <x:v>자동</x:v>
      </x:c>
      <x:c r="M2116" s="31" t="n">
        <x:f>IF(AND(N2116="미수",G2116&lt;&gt;"",TODAY()&gt;G2116),TODAY()-G2116,0)</x:f>
        <x:v>0</x:v>
      </x:c>
      <x:c r="N2116" s="24" t="str">
        <x:f>IF(J2116&gt;0,"미수",IF(AND(H2116&gt;0,I2116&gt;=H2116),"완납","미확인"))</x:f>
        <x:v>완납</x:v>
      </x:c>
      <x:c r="O2116" s="31" t="n">
        <x:v>99</x:v>
      </x:c>
    </x:row>
    <x:row r="2117" ht="17.25" customHeight="1">
      <x:c r="A2117" s="24" t="str">
        <x:v>SW-B-139우7166-202502</x:v>
      </x:c>
      <x:c r="B2117" s="24" t="str">
        <x:v>스위치플랜</x:v>
      </x:c>
      <x:c r="C2117" s="24" t="str">
        <x:v>SW-C-139우7166-1-20231127-100</x:v>
      </x:c>
      <x:c r="D2117" s="24" t="str">
        <x:v>139우7166</x:v>
      </x:c>
      <x:c r="E2117" s="24" t="str">
        <x:v>박진택</x:v>
      </x:c>
      <x:c r="F2117" s="24" t="str">
        <x:v>2025-02</x:v>
      </x:c>
      <x:c r="G2117" s="30" t="n">
        <x:v>45713</x:v>
      </x:c>
      <x:c r="H2117" s="32" t="n">
        <x:v>750000</x:v>
      </x:c>
      <x:c r="I2117" s="32" t="n">
        <x:v>750000</x:v>
      </x:c>
      <x:c r="J2117" s="32" t="n">
        <x:v>0</x:v>
      </x:c>
      <x:c r="K2117" s="30" t="n">
        <x:v>45713</x:v>
      </x:c>
      <x:c r="L2117" s="24" t="str">
        <x:v>자동</x:v>
      </x:c>
      <x:c r="M2117" s="31" t="n">
        <x:f>IF(AND(N2117="미수",G2117&lt;&gt;"",TODAY()&gt;G2117),TODAY()-G2117,0)</x:f>
        <x:v>0</x:v>
      </x:c>
      <x:c r="N2117" s="24" t="str">
        <x:f>IF(J2117&gt;0,"미수",IF(AND(H2117&gt;0,I2117&gt;=H2117),"완납","미확인"))</x:f>
        <x:v>완납</x:v>
      </x:c>
      <x:c r="O2117" s="31" t="n">
        <x:v>99</x:v>
      </x:c>
    </x:row>
    <x:row r="2118" ht="17.25" customHeight="1">
      <x:c r="A2118" s="24" t="str">
        <x:v>SW-B-139우7166-202501</x:v>
      </x:c>
      <x:c r="B2118" s="24" t="str">
        <x:v>스위치플랜</x:v>
      </x:c>
      <x:c r="C2118" s="24" t="str">
        <x:v>SW-C-139우7166-1-20231127-100</x:v>
      </x:c>
      <x:c r="D2118" s="24" t="str">
        <x:v>139우7166</x:v>
      </x:c>
      <x:c r="E2118" s="24" t="str">
        <x:v>박진택</x:v>
      </x:c>
      <x:c r="F2118" s="24" t="str">
        <x:v>2025-01</x:v>
      </x:c>
      <x:c r="G2118" s="30" t="n">
        <x:v>45682</x:v>
      </x:c>
      <x:c r="H2118" s="32" t="n">
        <x:v>750000</x:v>
      </x:c>
      <x:c r="I2118" s="32" t="n">
        <x:v>750000</x:v>
      </x:c>
      <x:c r="J2118" s="32" t="n">
        <x:v>0</x:v>
      </x:c>
      <x:c r="K2118" s="30" t="n">
        <x:v>45688</x:v>
      </x:c>
      <x:c r="L2118" s="24" t="str">
        <x:v>자동</x:v>
      </x:c>
      <x:c r="M2118" s="31" t="n">
        <x:f>IF(AND(N2118="미수",G2118&lt;&gt;"",TODAY()&gt;G2118),TODAY()-G2118,0)</x:f>
        <x:v>0</x:v>
      </x:c>
      <x:c r="N2118" s="24" t="str">
        <x:f>IF(J2118&gt;0,"미수",IF(AND(H2118&gt;0,I2118&gt;=H2118),"완납","미확인"))</x:f>
        <x:v>완납</x:v>
      </x:c>
      <x:c r="O2118" s="31" t="n">
        <x:v>99</x:v>
      </x:c>
    </x:row>
    <x:row r="2119" ht="17.25" customHeight="1">
      <x:c r="A2119" s="24" t="str">
        <x:v>SW-B-139우7166-202412</x:v>
      </x:c>
      <x:c r="B2119" s="24" t="str">
        <x:v>스위치플랜</x:v>
      </x:c>
      <x:c r="C2119" s="24" t="str">
        <x:v>SW-C-139우7166-1-20231127-100</x:v>
      </x:c>
      <x:c r="D2119" s="24" t="str">
        <x:v>139우7166</x:v>
      </x:c>
      <x:c r="E2119" s="24" t="str">
        <x:v>박진택</x:v>
      </x:c>
      <x:c r="F2119" s="24" t="str">
        <x:v>2024-12</x:v>
      </x:c>
      <x:c r="G2119" s="30" t="n">
        <x:v>45651</x:v>
      </x:c>
      <x:c r="H2119" s="32" t="n">
        <x:v>750000</x:v>
      </x:c>
      <x:c r="I2119" s="32" t="n">
        <x:v>750000</x:v>
      </x:c>
      <x:c r="J2119" s="32" t="n">
        <x:v>0</x:v>
      </x:c>
      <x:c r="K2119" s="30" t="n">
        <x:v>45652</x:v>
      </x:c>
      <x:c r="L2119" s="24" t="str">
        <x:v>자동</x:v>
      </x:c>
      <x:c r="M2119" s="31" t="n">
        <x:f>IF(AND(N2119="미수",G2119&lt;&gt;"",TODAY()&gt;G2119),TODAY()-G2119,0)</x:f>
        <x:v>0</x:v>
      </x:c>
      <x:c r="N2119" s="24" t="str">
        <x:f>IF(J2119&gt;0,"미수",IF(AND(H2119&gt;0,I2119&gt;=H2119),"완납","미확인"))</x:f>
        <x:v>완납</x:v>
      </x:c>
      <x:c r="O2119" s="31" t="n">
        <x:v>99</x:v>
      </x:c>
    </x:row>
    <x:row r="2120" ht="17.25" customHeight="1">
      <x:c r="A2120" s="24" t="str">
        <x:v>SW-B-139우7166-202411</x:v>
      </x:c>
      <x:c r="B2120" s="24" t="str">
        <x:v>스위치플랜</x:v>
      </x:c>
      <x:c r="C2120" s="24" t="str">
        <x:v>SW-C-139우7166-1-20231127-100</x:v>
      </x:c>
      <x:c r="D2120" s="24" t="str">
        <x:v>139우7166</x:v>
      </x:c>
      <x:c r="E2120" s="24" t="str">
        <x:v>박진택</x:v>
      </x:c>
      <x:c r="F2120" s="24" t="str">
        <x:v>2024-11</x:v>
      </x:c>
      <x:c r="G2120" s="30" t="n">
        <x:v>45621</x:v>
      </x:c>
      <x:c r="H2120" s="32" t="n">
        <x:v>750000</x:v>
      </x:c>
      <x:c r="I2120" s="32" t="n">
        <x:v>750000</x:v>
      </x:c>
      <x:c r="J2120" s="32" t="n">
        <x:v>0</x:v>
      </x:c>
      <x:c r="K2120" s="30" t="n">
        <x:v>45621</x:v>
      </x:c>
      <x:c r="L2120" s="24" t="str">
        <x:v>자동</x:v>
      </x:c>
      <x:c r="M2120" s="31" t="n">
        <x:f>IF(AND(N2120="미수",G2120&lt;&gt;"",TODAY()&gt;G2120),TODAY()-G2120,0)</x:f>
        <x:v>0</x:v>
      </x:c>
      <x:c r="N2120" s="24" t="str">
        <x:f>IF(J2120&gt;0,"미수",IF(AND(H2120&gt;0,I2120&gt;=H2120),"완납","미확인"))</x:f>
        <x:v>완납</x:v>
      </x:c>
      <x:c r="O2120" s="31" t="n">
        <x:v>99</x:v>
      </x:c>
    </x:row>
    <x:row r="2121" ht="17.25" customHeight="1">
      <x:c r="A2121" s="24" t="str">
        <x:v>SW-B-139우7166-202410</x:v>
      </x:c>
      <x:c r="B2121" s="24" t="str">
        <x:v>스위치플랜</x:v>
      </x:c>
      <x:c r="C2121" s="24" t="str">
        <x:v>SW-C-139우7166-1-20231127-100</x:v>
      </x:c>
      <x:c r="D2121" s="24" t="str">
        <x:v>139우7166</x:v>
      </x:c>
      <x:c r="E2121" s="24" t="str">
        <x:v>박진택</x:v>
      </x:c>
      <x:c r="F2121" s="24" t="str">
        <x:v>2024-10</x:v>
      </x:c>
      <x:c r="G2121" s="30" t="n">
        <x:v>45590</x:v>
      </x:c>
      <x:c r="H2121" s="32" t="n">
        <x:v>750000</x:v>
      </x:c>
      <x:c r="I2121" s="32" t="n">
        <x:v>750000</x:v>
      </x:c>
      <x:c r="J2121" s="32" t="n">
        <x:v>0</x:v>
      </x:c>
      <x:c r="K2121" s="30" t="n">
        <x:v>45590</x:v>
      </x:c>
      <x:c r="L2121" s="24" t="str">
        <x:v>자동</x:v>
      </x:c>
      <x:c r="M2121" s="31" t="n">
        <x:f>IF(AND(N2121="미수",G2121&lt;&gt;"",TODAY()&gt;G2121),TODAY()-G2121,0)</x:f>
        <x:v>0</x:v>
      </x:c>
      <x:c r="N2121" s="24" t="str">
        <x:f>IF(J2121&gt;0,"미수",IF(AND(H2121&gt;0,I2121&gt;=H2121),"완납","미확인"))</x:f>
        <x:v>완납</x:v>
      </x:c>
      <x:c r="O2121" s="31" t="n">
        <x:v>99</x:v>
      </x:c>
    </x:row>
    <x:row r="2122" ht="17.25" customHeight="1">
      <x:c r="A2122" s="24" t="str">
        <x:v>SW-B-139우7166-202409</x:v>
      </x:c>
      <x:c r="B2122" s="24" t="str">
        <x:v>스위치플랜</x:v>
      </x:c>
      <x:c r="C2122" s="24" t="str">
        <x:v>SW-C-139우7166-1-20231127-100</x:v>
      </x:c>
      <x:c r="D2122" s="24" t="str">
        <x:v>139우7166</x:v>
      </x:c>
      <x:c r="E2122" s="24" t="str">
        <x:v>박진택</x:v>
      </x:c>
      <x:c r="F2122" s="24" t="str">
        <x:v>2024-09</x:v>
      </x:c>
      <x:c r="G2122" s="30" t="n">
        <x:v>45560</x:v>
      </x:c>
      <x:c r="H2122" s="32" t="n">
        <x:v>750000</x:v>
      </x:c>
      <x:c r="I2122" s="32" t="n">
        <x:v>750000</x:v>
      </x:c>
      <x:c r="J2122" s="32" t="n">
        <x:v>0</x:v>
      </x:c>
      <x:c r="K2122" s="30" t="n">
        <x:v>45560</x:v>
      </x:c>
      <x:c r="L2122" s="24" t="str">
        <x:v>자동</x:v>
      </x:c>
      <x:c r="M2122" s="31" t="n">
        <x:f>IF(AND(N2122="미수",G2122&lt;&gt;"",TODAY()&gt;G2122),TODAY()-G2122,0)</x:f>
        <x:v>0</x:v>
      </x:c>
      <x:c r="N2122" s="24" t="str">
        <x:f>IF(J2122&gt;0,"미수",IF(AND(H2122&gt;0,I2122&gt;=H2122),"완납","미확인"))</x:f>
        <x:v>완납</x:v>
      </x:c>
      <x:c r="O2122" s="31" t="n">
        <x:v>99</x:v>
      </x:c>
    </x:row>
    <x:row r="2123" ht="17.25" customHeight="1">
      <x:c r="A2123" s="24" t="str">
        <x:v>SW-B-139우7166-202408</x:v>
      </x:c>
      <x:c r="B2123" s="24" t="str">
        <x:v>스위치플랜</x:v>
      </x:c>
      <x:c r="C2123" s="24" t="str">
        <x:v>SW-C-139우7166-1-20231127-100</x:v>
      </x:c>
      <x:c r="D2123" s="24" t="str">
        <x:v>139우7166</x:v>
      </x:c>
      <x:c r="E2123" s="24" t="str">
        <x:v>박진택</x:v>
      </x:c>
      <x:c r="F2123" s="24" t="str">
        <x:v>2024-08</x:v>
      </x:c>
      <x:c r="G2123" s="30" t="n">
        <x:v>45529</x:v>
      </x:c>
      <x:c r="H2123" s="32" t="n">
        <x:v>750000</x:v>
      </x:c>
      <x:c r="I2123" s="32" t="n">
        <x:v>750000</x:v>
      </x:c>
      <x:c r="J2123" s="32" t="n">
        <x:v>0</x:v>
      </x:c>
      <x:c r="K2123" s="30" t="n">
        <x:v>45529</x:v>
      </x:c>
      <x:c r="L2123" s="24" t="str">
        <x:v>자동</x:v>
      </x:c>
      <x:c r="M2123" s="31" t="n">
        <x:f>IF(AND(N2123="미수",G2123&lt;&gt;"",TODAY()&gt;G2123),TODAY()-G2123,0)</x:f>
        <x:v>0</x:v>
      </x:c>
      <x:c r="N2123" s="24" t="str">
        <x:f>IF(J2123&gt;0,"미수",IF(AND(H2123&gt;0,I2123&gt;=H2123),"완납","미확인"))</x:f>
        <x:v>완납</x:v>
      </x:c>
      <x:c r="O2123" s="31" t="n">
        <x:v>99</x:v>
      </x:c>
    </x:row>
    <x:row r="2124" ht="17.25" customHeight="1">
      <x:c r="A2124" s="24" t="str">
        <x:v>SW-B-139우7166-202407</x:v>
      </x:c>
      <x:c r="B2124" s="24" t="str">
        <x:v>스위치플랜</x:v>
      </x:c>
      <x:c r="C2124" s="24" t="str">
        <x:v>SW-C-139우7166-1-20231127-100</x:v>
      </x:c>
      <x:c r="D2124" s="24" t="str">
        <x:v>139우7166</x:v>
      </x:c>
      <x:c r="E2124" s="24" t="str">
        <x:v>박진택</x:v>
      </x:c>
      <x:c r="F2124" s="24" t="str">
        <x:v>2024-07</x:v>
      </x:c>
      <x:c r="G2124" s="30" t="n">
        <x:v>45498</x:v>
      </x:c>
      <x:c r="H2124" s="32" t="n">
        <x:v>750000</x:v>
      </x:c>
      <x:c r="I2124" s="32" t="n">
        <x:v>750000</x:v>
      </x:c>
      <x:c r="J2124" s="32" t="n">
        <x:v>0</x:v>
      </x:c>
      <x:c r="K2124" s="30" t="n">
        <x:v>45498</x:v>
      </x:c>
      <x:c r="L2124" s="24" t="str">
        <x:v>자동</x:v>
      </x:c>
      <x:c r="M2124" s="31" t="n">
        <x:f>IF(AND(N2124="미수",G2124&lt;&gt;"",TODAY()&gt;G2124),TODAY()-G2124,0)</x:f>
        <x:v>0</x:v>
      </x:c>
      <x:c r="N2124" s="24" t="str">
        <x:f>IF(J2124&gt;0,"미수",IF(AND(H2124&gt;0,I2124&gt;=H2124),"완납","미확인"))</x:f>
        <x:v>완납</x:v>
      </x:c>
      <x:c r="O2124" s="31" t="n">
        <x:v>99</x:v>
      </x:c>
    </x:row>
    <x:row r="2125" ht="17.25" customHeight="1">
      <x:c r="A2125" s="24" t="str">
        <x:v>SW-B-139우7166-202406</x:v>
      </x:c>
      <x:c r="B2125" s="24" t="str">
        <x:v>스위치플랜</x:v>
      </x:c>
      <x:c r="C2125" s="24" t="str">
        <x:v>SW-C-139우7166-1-20231127-100</x:v>
      </x:c>
      <x:c r="D2125" s="24" t="str">
        <x:v>139우7166</x:v>
      </x:c>
      <x:c r="E2125" s="24" t="str">
        <x:v>박진택</x:v>
      </x:c>
      <x:c r="F2125" s="24" t="str">
        <x:v>2024-06</x:v>
      </x:c>
      <x:c r="G2125" s="30" t="n">
        <x:v>45468</x:v>
      </x:c>
      <x:c r="H2125" s="32" t="n">
        <x:v>750000</x:v>
      </x:c>
      <x:c r="I2125" s="32" t="n">
        <x:v>750000</x:v>
      </x:c>
      <x:c r="J2125" s="32" t="n">
        <x:v>0</x:v>
      </x:c>
      <x:c r="K2125" s="30" t="n">
        <x:v>45468</x:v>
      </x:c>
      <x:c r="L2125" s="24" t="str">
        <x:v>자동</x:v>
      </x:c>
      <x:c r="M2125" s="31" t="n">
        <x:f>IF(AND(N2125="미수",G2125&lt;&gt;"",TODAY()&gt;G2125),TODAY()-G2125,0)</x:f>
        <x:v>0</x:v>
      </x:c>
      <x:c r="N2125" s="24" t="str">
        <x:f>IF(J2125&gt;0,"미수",IF(AND(H2125&gt;0,I2125&gt;=H2125),"완납","미확인"))</x:f>
        <x:v>완납</x:v>
      </x:c>
      <x:c r="O2125" s="31" t="n">
        <x:v>99</x:v>
      </x:c>
    </x:row>
    <x:row r="2126" ht="17.25" customHeight="1">
      <x:c r="A2126" s="24" t="str">
        <x:v>SW-B-139우7166-202405</x:v>
      </x:c>
      <x:c r="B2126" s="24" t="str">
        <x:v>스위치플랜</x:v>
      </x:c>
      <x:c r="C2126" s="24" t="str">
        <x:v>SW-C-139우7166-1-20231127-100</x:v>
      </x:c>
      <x:c r="D2126" s="24" t="str">
        <x:v>139우7166</x:v>
      </x:c>
      <x:c r="E2126" s="24" t="str">
        <x:v>박진택</x:v>
      </x:c>
      <x:c r="F2126" s="24" t="str">
        <x:v>2024-05</x:v>
      </x:c>
      <x:c r="G2126" s="30" t="n">
        <x:v>45437</x:v>
      </x:c>
      <x:c r="H2126" s="32" t="n">
        <x:v>750000</x:v>
      </x:c>
      <x:c r="I2126" s="32" t="n">
        <x:v>750000</x:v>
      </x:c>
      <x:c r="J2126" s="32" t="n">
        <x:v>0</x:v>
      </x:c>
      <x:c r="K2126" s="30" t="n">
        <x:v>45437</x:v>
      </x:c>
      <x:c r="L2126" s="24" t="str">
        <x:v>자동</x:v>
      </x:c>
      <x:c r="M2126" s="31" t="n">
        <x:f>IF(AND(N2126="미수",G2126&lt;&gt;"",TODAY()&gt;G2126),TODAY()-G2126,0)</x:f>
        <x:v>0</x:v>
      </x:c>
      <x:c r="N2126" s="24" t="str">
        <x:f>IF(J2126&gt;0,"미수",IF(AND(H2126&gt;0,I2126&gt;=H2126),"완납","미확인"))</x:f>
        <x:v>완납</x:v>
      </x:c>
      <x:c r="O2126" s="31" t="n">
        <x:v>99</x:v>
      </x:c>
    </x:row>
    <x:row r="2127" ht="17.25" customHeight="1">
      <x:c r="A2127" s="24" t="str">
        <x:v>SW-B-139우7166-202404</x:v>
      </x:c>
      <x:c r="B2127" s="24" t="str">
        <x:v>스위치플랜</x:v>
      </x:c>
      <x:c r="C2127" s="24" t="str">
        <x:v>SW-C-139우7166-1-20231127-100</x:v>
      </x:c>
      <x:c r="D2127" s="24" t="str">
        <x:v>139우7166</x:v>
      </x:c>
      <x:c r="E2127" s="24" t="str">
        <x:v>박진택</x:v>
      </x:c>
      <x:c r="F2127" s="24" t="str">
        <x:v>2024-04</x:v>
      </x:c>
      <x:c r="G2127" s="30" t="n">
        <x:v>45407</x:v>
      </x:c>
      <x:c r="H2127" s="32" t="n">
        <x:v>750000</x:v>
      </x:c>
      <x:c r="I2127" s="32" t="n">
        <x:v>750000</x:v>
      </x:c>
      <x:c r="J2127" s="32" t="n">
        <x:v>0</x:v>
      </x:c>
      <x:c r="K2127" s="30" t="n">
        <x:v>45407</x:v>
      </x:c>
      <x:c r="L2127" s="24" t="str">
        <x:v>자동</x:v>
      </x:c>
      <x:c r="M2127" s="31" t="n">
        <x:f>IF(AND(N2127="미수",G2127&lt;&gt;"",TODAY()&gt;G2127),TODAY()-G2127,0)</x:f>
        <x:v>0</x:v>
      </x:c>
      <x:c r="N2127" s="24" t="str">
        <x:f>IF(J2127&gt;0,"미수",IF(AND(H2127&gt;0,I2127&gt;=H2127),"완납","미확인"))</x:f>
        <x:v>완납</x:v>
      </x:c>
      <x:c r="O2127" s="31" t="n">
        <x:v>99</x:v>
      </x:c>
    </x:row>
    <x:row r="2128" ht="17.25" customHeight="1">
      <x:c r="A2128" s="24" t="str">
        <x:v>SW-B-139우7166-202403</x:v>
      </x:c>
      <x:c r="B2128" s="24" t="str">
        <x:v>스위치플랜</x:v>
      </x:c>
      <x:c r="C2128" s="24" t="str">
        <x:v>SW-C-139우7166-1-20231127-100</x:v>
      </x:c>
      <x:c r="D2128" s="24" t="str">
        <x:v>139우7166</x:v>
      </x:c>
      <x:c r="E2128" s="24" t="str">
        <x:v>박진택</x:v>
      </x:c>
      <x:c r="F2128" s="24" t="str">
        <x:v>2024-03</x:v>
      </x:c>
      <x:c r="G2128" s="30" t="n">
        <x:v>45376</x:v>
      </x:c>
      <x:c r="H2128" s="32" t="n">
        <x:v>750000</x:v>
      </x:c>
      <x:c r="I2128" s="32" t="n">
        <x:v>750000</x:v>
      </x:c>
      <x:c r="J2128" s="32" t="n">
        <x:v>0</x:v>
      </x:c>
      <x:c r="K2128" s="30" t="n">
        <x:v>45376</x:v>
      </x:c>
      <x:c r="L2128" s="24" t="str">
        <x:v>자동</x:v>
      </x:c>
      <x:c r="M2128" s="31" t="n">
        <x:f>IF(AND(N2128="미수",G2128&lt;&gt;"",TODAY()&gt;G2128),TODAY()-G2128,0)</x:f>
        <x:v>0</x:v>
      </x:c>
      <x:c r="N2128" s="24" t="str">
        <x:f>IF(J2128&gt;0,"미수",IF(AND(H2128&gt;0,I2128&gt;=H2128),"완납","미확인"))</x:f>
        <x:v>완납</x:v>
      </x:c>
      <x:c r="O2128" s="31" t="n">
        <x:v>99</x:v>
      </x:c>
    </x:row>
    <x:row r="2129" ht="17.25" customHeight="1">
      <x:c r="A2129" s="24" t="str">
        <x:v>SW-B-139우7166-202402</x:v>
      </x:c>
      <x:c r="B2129" s="24" t="str">
        <x:v>스위치플랜</x:v>
      </x:c>
      <x:c r="C2129" s="24" t="str">
        <x:v>SW-C-139우7166-1-20231127-100</x:v>
      </x:c>
      <x:c r="D2129" s="24" t="str">
        <x:v>139우7166</x:v>
      </x:c>
      <x:c r="E2129" s="24" t="str">
        <x:v>박진택</x:v>
      </x:c>
      <x:c r="F2129" s="24" t="str">
        <x:v>2024-02</x:v>
      </x:c>
      <x:c r="G2129" s="30" t="n">
        <x:v>45347</x:v>
      </x:c>
      <x:c r="H2129" s="32" t="n">
        <x:v>750000</x:v>
      </x:c>
      <x:c r="I2129" s="32" t="n">
        <x:v>750000</x:v>
      </x:c>
      <x:c r="J2129" s="32" t="n">
        <x:v>0</x:v>
      </x:c>
      <x:c r="K2129" s="30" t="n">
        <x:v>45348</x:v>
      </x:c>
      <x:c r="L2129" s="24" t="str">
        <x:v>자동</x:v>
      </x:c>
      <x:c r="M2129" s="31" t="n">
        <x:f>IF(AND(N2129="미수",G2129&lt;&gt;"",TODAY()&gt;G2129),TODAY()-G2129,0)</x:f>
        <x:v>0</x:v>
      </x:c>
      <x:c r="N2129" s="24" t="str">
        <x:f>IF(J2129&gt;0,"미수",IF(AND(H2129&gt;0,I2129&gt;=H2129),"완납","미확인"))</x:f>
        <x:v>완납</x:v>
      </x:c>
      <x:c r="O2129" s="31" t="n">
        <x:v>99</x:v>
      </x:c>
    </x:row>
    <x:row r="2130" ht="17.25" customHeight="1">
      <x:c r="A2130" s="24" t="str">
        <x:v>SW-B-139우7166-202401</x:v>
      </x:c>
      <x:c r="B2130" s="24" t="str">
        <x:v>스위치플랜</x:v>
      </x:c>
      <x:c r="C2130" s="24" t="str">
        <x:v>SW-C-139우7166-1-20231127-100</x:v>
      </x:c>
      <x:c r="D2130" s="24" t="str">
        <x:v>139우7166</x:v>
      </x:c>
      <x:c r="E2130" s="24" t="str">
        <x:v>박진택</x:v>
      </x:c>
      <x:c r="F2130" s="24" t="str">
        <x:v>2024-01</x:v>
      </x:c>
      <x:c r="G2130" s="30" t="n">
        <x:v>45316</x:v>
      </x:c>
      <x:c r="H2130" s="32" t="n">
        <x:v>750000</x:v>
      </x:c>
      <x:c r="I2130" s="32" t="n">
        <x:v>750000</x:v>
      </x:c>
      <x:c r="J2130" s="32" t="n">
        <x:v>0</x:v>
      </x:c>
      <x:c r="K2130" s="30" t="n">
        <x:v>45316</x:v>
      </x:c>
      <x:c r="L2130" s="24" t="str">
        <x:v>자동</x:v>
      </x:c>
      <x:c r="M2130" s="31" t="n">
        <x:f>IF(AND(N2130="미수",G2130&lt;&gt;"",TODAY()&gt;G2130),TODAY()-G2130,0)</x:f>
        <x:v>0</x:v>
      </x:c>
      <x:c r="N2130" s="24" t="str">
        <x:f>IF(J2130&gt;0,"미수",IF(AND(H2130&gt;0,I2130&gt;=H2130),"완납","미확인"))</x:f>
        <x:v>완납</x:v>
      </x:c>
      <x:c r="O2130" s="31" t="n">
        <x:v>99</x:v>
      </x:c>
    </x:row>
    <x:row r="2131" ht="17.25" customHeight="1">
      <x:c r="A2131" s="24" t="str">
        <x:v>SW-B-139우7166-202312</x:v>
      </x:c>
      <x:c r="B2131" s="24" t="str">
        <x:v>스위치플랜</x:v>
      </x:c>
      <x:c r="C2131" s="24" t="str">
        <x:v>SW-C-139우7166-1-20231127-100</x:v>
      </x:c>
      <x:c r="D2131" s="24" t="str">
        <x:v>139우7166</x:v>
      </x:c>
      <x:c r="E2131" s="24" t="str">
        <x:v>박진택</x:v>
      </x:c>
      <x:c r="F2131" s="24" t="str">
        <x:v>2023-12</x:v>
      </x:c>
      <x:c r="G2131" s="30" t="n">
        <x:v>45285</x:v>
      </x:c>
      <x:c r="H2131" s="32" t="n">
        <x:v>750000</x:v>
      </x:c>
      <x:c r="I2131" s="32" t="n">
        <x:v>750000</x:v>
      </x:c>
      <x:c r="J2131" s="32" t="n">
        <x:v>0</x:v>
      </x:c>
      <x:c r="K2131" s="30" t="n">
        <x:v>45289</x:v>
      </x:c>
      <x:c r="L2131" s="24" t="str">
        <x:v>자동</x:v>
      </x:c>
      <x:c r="M2131" s="31" t="n">
        <x:f>IF(AND(N2131="미수",G2131&lt;&gt;"",TODAY()&gt;G2131),TODAY()-G2131,0)</x:f>
        <x:v>0</x:v>
      </x:c>
      <x:c r="N2131" s="24" t="str">
        <x:f>IF(J2131&gt;0,"미수",IF(AND(H2131&gt;0,I2131&gt;=H2131),"완납","미확인"))</x:f>
        <x:v>완납</x:v>
      </x:c>
      <x:c r="O2131" s="31" t="n">
        <x:v>99</x:v>
      </x:c>
    </x:row>
    <x:row r="2132" ht="17.25" customHeight="1">
      <x:c r="A2132" s="24" t="str">
        <x:v>SW-B-41호8300-202608</x:v>
      </x:c>
      <x:c r="B2132" s="24" t="str">
        <x:v>스위치플랜</x:v>
      </x:c>
      <x:c r="C2132" s="24" t="str">
        <x:v>SW-C-41호8300-1-NA-101</x:v>
      </x:c>
      <x:c r="D2132" s="24" t="str">
        <x:v>41호8300</x:v>
      </x:c>
      <x:c r="E2132" s="24" t="str">
        <x:v>강태리부장</x:v>
      </x:c>
      <x:c r="F2132" s="24" t="str">
        <x:v>2026-08</x:v>
      </x:c>
      <x:c r="G2132" s="30"/>
      <x:c r="H2132" s="32" t="n">
        <x:v>0</x:v>
      </x:c>
      <x:c r="I2132" s="32"/>
      <x:c r="J2132" s="32" t="n">
        <x:v>0</x:v>
      </x:c>
      <x:c r="K2132" s="30"/>
      <x:c r="L2132" s="24" t="str"/>
      <x:c r="M2132" s="31" t="n">
        <x:f>IF(AND(N2132="미수",G2132&lt;&gt;"",TODAY()&gt;G2132),TODAY()-G2132,0)</x:f>
        <x:v>0</x:v>
      </x:c>
      <x:c r="N2132" s="24" t="str">
        <x:f>IF(J2132&gt;0,"미수",IF(AND(H2132&gt;0,I2132&gt;=H2132),"완납","미확인"))</x:f>
        <x:v>미확인</x:v>
      </x:c>
      <x:c r="O2132" s="31" t="n">
        <x:v>100</x:v>
      </x:c>
    </x:row>
    <x:row r="2133" ht="17.25" customHeight="1">
      <x:c r="A2133" s="24" t="str">
        <x:v>SW-B-41호8300-202607</x:v>
      </x:c>
      <x:c r="B2133" s="24" t="str">
        <x:v>스위치플랜</x:v>
      </x:c>
      <x:c r="C2133" s="24" t="str">
        <x:v>SW-C-41호8300-1-NA-101</x:v>
      </x:c>
      <x:c r="D2133" s="24" t="str">
        <x:v>41호8300</x:v>
      </x:c>
      <x:c r="E2133" s="24" t="str">
        <x:v>강태리부장</x:v>
      </x:c>
      <x:c r="F2133" s="24" t="str">
        <x:v>2026-07</x:v>
      </x:c>
      <x:c r="G2133" s="30"/>
      <x:c r="H2133" s="32" t="n">
        <x:v>0</x:v>
      </x:c>
      <x:c r="I2133" s="32"/>
      <x:c r="J2133" s="32" t="n">
        <x:v>0</x:v>
      </x:c>
      <x:c r="K2133" s="30"/>
      <x:c r="L2133" s="24" t="str"/>
      <x:c r="M2133" s="31" t="n">
        <x:f>IF(AND(N2133="미수",G2133&lt;&gt;"",TODAY()&gt;G2133),TODAY()-G2133,0)</x:f>
        <x:v>0</x:v>
      </x:c>
      <x:c r="N2133" s="24" t="str">
        <x:f>IF(J2133&gt;0,"미수",IF(AND(H2133&gt;0,I2133&gt;=H2133),"완납","미확인"))</x:f>
        <x:v>미확인</x:v>
      </x:c>
      <x:c r="O2133" s="31" t="n">
        <x:v>100</x:v>
      </x:c>
    </x:row>
    <x:row r="2134" ht="17.25" customHeight="1">
      <x:c r="A2134" s="24" t="str">
        <x:v>SW-B-41호8300-202606</x:v>
      </x:c>
      <x:c r="B2134" s="24" t="str">
        <x:v>스위치플랜</x:v>
      </x:c>
      <x:c r="C2134" s="24" t="str">
        <x:v>SW-C-41호8300-1-NA-101</x:v>
      </x:c>
      <x:c r="D2134" s="24" t="str">
        <x:v>41호8300</x:v>
      </x:c>
      <x:c r="E2134" s="24" t="str">
        <x:v>강태리부장</x:v>
      </x:c>
      <x:c r="F2134" s="24" t="str">
        <x:v>2026-06</x:v>
      </x:c>
      <x:c r="G2134" s="30"/>
      <x:c r="H2134" s="32" t="n">
        <x:v>0</x:v>
      </x:c>
      <x:c r="I2134" s="32"/>
      <x:c r="J2134" s="32" t="n">
        <x:v>0</x:v>
      </x:c>
      <x:c r="K2134" s="30"/>
      <x:c r="L2134" s="24" t="str"/>
      <x:c r="M2134" s="31" t="n">
        <x:f>IF(AND(N2134="미수",G2134&lt;&gt;"",TODAY()&gt;G2134),TODAY()-G2134,0)</x:f>
        <x:v>0</x:v>
      </x:c>
      <x:c r="N2134" s="24" t="str">
        <x:f>IF(J2134&gt;0,"미수",IF(AND(H2134&gt;0,I2134&gt;=H2134),"완납","미확인"))</x:f>
        <x:v>미확인</x:v>
      </x:c>
      <x:c r="O2134" s="31" t="n">
        <x:v>100</x:v>
      </x:c>
    </x:row>
    <x:row r="2135" ht="17.25" customHeight="1">
      <x:c r="A2135" s="24" t="str">
        <x:v>SW-B-41호8300-202605</x:v>
      </x:c>
      <x:c r="B2135" s="24" t="str">
        <x:v>스위치플랜</x:v>
      </x:c>
      <x:c r="C2135" s="24" t="str">
        <x:v>SW-C-41호8300-1-NA-101</x:v>
      </x:c>
      <x:c r="D2135" s="24" t="str">
        <x:v>41호8300</x:v>
      </x:c>
      <x:c r="E2135" s="24" t="str">
        <x:v>강태리부장</x:v>
      </x:c>
      <x:c r="F2135" s="24" t="str">
        <x:v>2026-05</x:v>
      </x:c>
      <x:c r="G2135" s="30"/>
      <x:c r="H2135" s="32" t="n">
        <x:v>0</x:v>
      </x:c>
      <x:c r="I2135" s="32"/>
      <x:c r="J2135" s="32" t="n">
        <x:v>0</x:v>
      </x:c>
      <x:c r="K2135" s="30"/>
      <x:c r="L2135" s="24" t="str"/>
      <x:c r="M2135" s="31" t="n">
        <x:f>IF(AND(N2135="미수",G2135&lt;&gt;"",TODAY()&gt;G2135),TODAY()-G2135,0)</x:f>
        <x:v>0</x:v>
      </x:c>
      <x:c r="N2135" s="24" t="str">
        <x:f>IF(J2135&gt;0,"미수",IF(AND(H2135&gt;0,I2135&gt;=H2135),"완납","미확인"))</x:f>
        <x:v>미확인</x:v>
      </x:c>
      <x:c r="O2135" s="31" t="n">
        <x:v>100</x:v>
      </x:c>
    </x:row>
    <x:row r="2136" ht="17.25" customHeight="1">
      <x:c r="A2136" s="24" t="str">
        <x:v>SW-B-41호8300-202604</x:v>
      </x:c>
      <x:c r="B2136" s="24" t="str">
        <x:v>스위치플랜</x:v>
      </x:c>
      <x:c r="C2136" s="24" t="str">
        <x:v>SW-C-41호8300-1-NA-101</x:v>
      </x:c>
      <x:c r="D2136" s="24" t="str">
        <x:v>41호8300</x:v>
      </x:c>
      <x:c r="E2136" s="24" t="str">
        <x:v>강태리부장</x:v>
      </x:c>
      <x:c r="F2136" s="24" t="str">
        <x:v>2026-04</x:v>
      </x:c>
      <x:c r="G2136" s="30"/>
      <x:c r="H2136" s="32" t="n">
        <x:v>0</x:v>
      </x:c>
      <x:c r="I2136" s="32"/>
      <x:c r="J2136" s="32" t="n">
        <x:v>0</x:v>
      </x:c>
      <x:c r="K2136" s="30"/>
      <x:c r="L2136" s="24" t="str"/>
      <x:c r="M2136" s="31" t="n">
        <x:f>IF(AND(N2136="미수",G2136&lt;&gt;"",TODAY()&gt;G2136),TODAY()-G2136,0)</x:f>
        <x:v>0</x:v>
      </x:c>
      <x:c r="N2136" s="24" t="str">
        <x:f>IF(J2136&gt;0,"미수",IF(AND(H2136&gt;0,I2136&gt;=H2136),"완납","미확인"))</x:f>
        <x:v>미확인</x:v>
      </x:c>
      <x:c r="O2136" s="31" t="n">
        <x:v>100</x:v>
      </x:c>
    </x:row>
    <x:row r="2137" ht="17.25" customHeight="1">
      <x:c r="A2137" s="24" t="str">
        <x:v>SW-B-41호8300-202603</x:v>
      </x:c>
      <x:c r="B2137" s="24" t="str">
        <x:v>스위치플랜</x:v>
      </x:c>
      <x:c r="C2137" s="24" t="str">
        <x:v>SW-C-41호8300-1-NA-101</x:v>
      </x:c>
      <x:c r="D2137" s="24" t="str">
        <x:v>41호8300</x:v>
      </x:c>
      <x:c r="E2137" s="24" t="str">
        <x:v>강태리부장</x:v>
      </x:c>
      <x:c r="F2137" s="24" t="str">
        <x:v>2026-03</x:v>
      </x:c>
      <x:c r="G2137" s="30"/>
      <x:c r="H2137" s="32" t="n">
        <x:v>0</x:v>
      </x:c>
      <x:c r="I2137" s="32"/>
      <x:c r="J2137" s="32" t="n">
        <x:v>0</x:v>
      </x:c>
      <x:c r="K2137" s="30"/>
      <x:c r="L2137" s="24" t="str"/>
      <x:c r="M2137" s="31" t="n">
        <x:f>IF(AND(N2137="미수",G2137&lt;&gt;"",TODAY()&gt;G2137),TODAY()-G2137,0)</x:f>
        <x:v>0</x:v>
      </x:c>
      <x:c r="N2137" s="24" t="str">
        <x:f>IF(J2137&gt;0,"미수",IF(AND(H2137&gt;0,I2137&gt;=H2137),"완납","미확인"))</x:f>
        <x:v>미확인</x:v>
      </x:c>
      <x:c r="O2137" s="31" t="n">
        <x:v>100</x:v>
      </x:c>
    </x:row>
    <x:row r="2138" ht="17.25" customHeight="1">
      <x:c r="A2138" s="24" t="str">
        <x:v>SW-B-41호8300-202602</x:v>
      </x:c>
      <x:c r="B2138" s="24" t="str">
        <x:v>스위치플랜</x:v>
      </x:c>
      <x:c r="C2138" s="24" t="str">
        <x:v>SW-C-41호8300-1-NA-101</x:v>
      </x:c>
      <x:c r="D2138" s="24" t="str">
        <x:v>41호8300</x:v>
      </x:c>
      <x:c r="E2138" s="24" t="str">
        <x:v>강태리부장</x:v>
      </x:c>
      <x:c r="F2138" s="24" t="str">
        <x:v>2026-02</x:v>
      </x:c>
      <x:c r="G2138" s="30"/>
      <x:c r="H2138" s="32" t="n">
        <x:v>0</x:v>
      </x:c>
      <x:c r="I2138" s="32"/>
      <x:c r="J2138" s="32" t="n">
        <x:v>0</x:v>
      </x:c>
      <x:c r="K2138" s="30"/>
      <x:c r="L2138" s="24" t="str"/>
      <x:c r="M2138" s="31" t="n">
        <x:f>IF(AND(N2138="미수",G2138&lt;&gt;"",TODAY()&gt;G2138),TODAY()-G2138,0)</x:f>
        <x:v>0</x:v>
      </x:c>
      <x:c r="N2138" s="24" t="str">
        <x:f>IF(J2138&gt;0,"미수",IF(AND(H2138&gt;0,I2138&gt;=H2138),"완납","미확인"))</x:f>
        <x:v>미확인</x:v>
      </x:c>
      <x:c r="O2138" s="31" t="n">
        <x:v>100</x:v>
      </x:c>
    </x:row>
    <x:row r="2139" ht="17.25" customHeight="1">
      <x:c r="A2139" s="24" t="str">
        <x:v>SW-B-41호8301-202608</x:v>
      </x:c>
      <x:c r="B2139" s="24" t="str">
        <x:v>스위치플랜</x:v>
      </x:c>
      <x:c r="C2139" s="24" t="str">
        <x:v>SW-C-41호8301-1-NA-102</x:v>
      </x:c>
      <x:c r="D2139" s="24" t="str">
        <x:v>41호8301</x:v>
      </x:c>
      <x:c r="E2139" s="24" t="str">
        <x:v>정구희차장</x:v>
      </x:c>
      <x:c r="F2139" s="24" t="str">
        <x:v>2026-08</x:v>
      </x:c>
      <x:c r="G2139" s="30"/>
      <x:c r="H2139" s="32" t="n">
        <x:v>0</x:v>
      </x:c>
      <x:c r="I2139" s="32"/>
      <x:c r="J2139" s="32" t="n">
        <x:v>0</x:v>
      </x:c>
      <x:c r="K2139" s="30"/>
      <x:c r="L2139" s="24" t="str"/>
      <x:c r="M2139" s="31" t="n">
        <x:f>IF(AND(N2139="미수",G2139&lt;&gt;"",TODAY()&gt;G2139),TODAY()-G2139,0)</x:f>
        <x:v>0</x:v>
      </x:c>
      <x:c r="N2139" s="24" t="str">
        <x:f>IF(J2139&gt;0,"미수",IF(AND(H2139&gt;0,I2139&gt;=H2139),"완납","미확인"))</x:f>
        <x:v>미확인</x:v>
      </x:c>
      <x:c r="O2139" s="31" t="n">
        <x:v>101</x:v>
      </x:c>
    </x:row>
    <x:row r="2140" ht="17.25" customHeight="1">
      <x:c r="A2140" s="24" t="str">
        <x:v>SW-B-41호8301-202607</x:v>
      </x:c>
      <x:c r="B2140" s="24" t="str">
        <x:v>스위치플랜</x:v>
      </x:c>
      <x:c r="C2140" s="24" t="str">
        <x:v>SW-C-41호8301-1-NA-102</x:v>
      </x:c>
      <x:c r="D2140" s="24" t="str">
        <x:v>41호8301</x:v>
      </x:c>
      <x:c r="E2140" s="24" t="str">
        <x:v>정구희차장</x:v>
      </x:c>
      <x:c r="F2140" s="24" t="str">
        <x:v>2026-07</x:v>
      </x:c>
      <x:c r="G2140" s="30"/>
      <x:c r="H2140" s="32" t="n">
        <x:v>0</x:v>
      </x:c>
      <x:c r="I2140" s="32"/>
      <x:c r="J2140" s="32" t="n">
        <x:v>0</x:v>
      </x:c>
      <x:c r="K2140" s="30"/>
      <x:c r="L2140" s="24" t="str"/>
      <x:c r="M2140" s="31" t="n">
        <x:f>IF(AND(N2140="미수",G2140&lt;&gt;"",TODAY()&gt;G2140),TODAY()-G2140,0)</x:f>
        <x:v>0</x:v>
      </x:c>
      <x:c r="N2140" s="24" t="str">
        <x:f>IF(J2140&gt;0,"미수",IF(AND(H2140&gt;0,I2140&gt;=H2140),"완납","미확인"))</x:f>
        <x:v>미확인</x:v>
      </x:c>
      <x:c r="O2140" s="31" t="n">
        <x:v>101</x:v>
      </x:c>
    </x:row>
    <x:row r="2141" ht="17.25" customHeight="1">
      <x:c r="A2141" s="24" t="str">
        <x:v>SW-B-41호8301-202606</x:v>
      </x:c>
      <x:c r="B2141" s="24" t="str">
        <x:v>스위치플랜</x:v>
      </x:c>
      <x:c r="C2141" s="24" t="str">
        <x:v>SW-C-41호8301-1-NA-102</x:v>
      </x:c>
      <x:c r="D2141" s="24" t="str">
        <x:v>41호8301</x:v>
      </x:c>
      <x:c r="E2141" s="24" t="str">
        <x:v>정구희차장</x:v>
      </x:c>
      <x:c r="F2141" s="24" t="str">
        <x:v>2026-06</x:v>
      </x:c>
      <x:c r="G2141" s="30"/>
      <x:c r="H2141" s="32" t="n">
        <x:v>0</x:v>
      </x:c>
      <x:c r="I2141" s="32"/>
      <x:c r="J2141" s="32" t="n">
        <x:v>0</x:v>
      </x:c>
      <x:c r="K2141" s="30"/>
      <x:c r="L2141" s="24" t="str"/>
      <x:c r="M2141" s="31" t="n">
        <x:f>IF(AND(N2141="미수",G2141&lt;&gt;"",TODAY()&gt;G2141),TODAY()-G2141,0)</x:f>
        <x:v>0</x:v>
      </x:c>
      <x:c r="N2141" s="24" t="str">
        <x:f>IF(J2141&gt;0,"미수",IF(AND(H2141&gt;0,I2141&gt;=H2141),"완납","미확인"))</x:f>
        <x:v>미확인</x:v>
      </x:c>
      <x:c r="O2141" s="31" t="n">
        <x:v>101</x:v>
      </x:c>
    </x:row>
    <x:row r="2142" ht="17.25" customHeight="1">
      <x:c r="A2142" s="24" t="str">
        <x:v>SW-B-41호8301-202605</x:v>
      </x:c>
      <x:c r="B2142" s="24" t="str">
        <x:v>스위치플랜</x:v>
      </x:c>
      <x:c r="C2142" s="24" t="str">
        <x:v>SW-C-41호8301-1-NA-102</x:v>
      </x:c>
      <x:c r="D2142" s="24" t="str">
        <x:v>41호8301</x:v>
      </x:c>
      <x:c r="E2142" s="24" t="str">
        <x:v>정구희차장</x:v>
      </x:c>
      <x:c r="F2142" s="24" t="str">
        <x:v>2026-05</x:v>
      </x:c>
      <x:c r="G2142" s="30"/>
      <x:c r="H2142" s="32" t="n">
        <x:v>0</x:v>
      </x:c>
      <x:c r="I2142" s="32"/>
      <x:c r="J2142" s="32" t="n">
        <x:v>0</x:v>
      </x:c>
      <x:c r="K2142" s="30"/>
      <x:c r="L2142" s="24" t="str"/>
      <x:c r="M2142" s="31" t="n">
        <x:f>IF(AND(N2142="미수",G2142&lt;&gt;"",TODAY()&gt;G2142),TODAY()-G2142,0)</x:f>
        <x:v>0</x:v>
      </x:c>
      <x:c r="N2142" s="24" t="str">
        <x:f>IF(J2142&gt;0,"미수",IF(AND(H2142&gt;0,I2142&gt;=H2142),"완납","미확인"))</x:f>
        <x:v>미확인</x:v>
      </x:c>
      <x:c r="O2142" s="31" t="n">
        <x:v>101</x:v>
      </x:c>
    </x:row>
    <x:row r="2143" ht="17.25" customHeight="1">
      <x:c r="A2143" s="24" t="str">
        <x:v>SW-B-41호8301-202604</x:v>
      </x:c>
      <x:c r="B2143" s="24" t="str">
        <x:v>스위치플랜</x:v>
      </x:c>
      <x:c r="C2143" s="24" t="str">
        <x:v>SW-C-41호8301-1-NA-102</x:v>
      </x:c>
      <x:c r="D2143" s="24" t="str">
        <x:v>41호8301</x:v>
      </x:c>
      <x:c r="E2143" s="24" t="str">
        <x:v>정구희차장</x:v>
      </x:c>
      <x:c r="F2143" s="24" t="str">
        <x:v>2026-04</x:v>
      </x:c>
      <x:c r="G2143" s="30"/>
      <x:c r="H2143" s="32" t="n">
        <x:v>0</x:v>
      </x:c>
      <x:c r="I2143" s="32"/>
      <x:c r="J2143" s="32" t="n">
        <x:v>0</x:v>
      </x:c>
      <x:c r="K2143" s="30"/>
      <x:c r="L2143" s="24" t="str"/>
      <x:c r="M2143" s="31" t="n">
        <x:f>IF(AND(N2143="미수",G2143&lt;&gt;"",TODAY()&gt;G2143),TODAY()-G2143,0)</x:f>
        <x:v>0</x:v>
      </x:c>
      <x:c r="N2143" s="24" t="str">
        <x:f>IF(J2143&gt;0,"미수",IF(AND(H2143&gt;0,I2143&gt;=H2143),"완납","미확인"))</x:f>
        <x:v>미확인</x:v>
      </x:c>
      <x:c r="O2143" s="31" t="n">
        <x:v>101</x:v>
      </x:c>
    </x:row>
    <x:row r="2144" ht="17.25" customHeight="1">
      <x:c r="A2144" s="24" t="str">
        <x:v>SW-B-41호8301-202603</x:v>
      </x:c>
      <x:c r="B2144" s="24" t="str">
        <x:v>스위치플랜</x:v>
      </x:c>
      <x:c r="C2144" s="24" t="str">
        <x:v>SW-C-41호8301-1-NA-102</x:v>
      </x:c>
      <x:c r="D2144" s="24" t="str">
        <x:v>41호8301</x:v>
      </x:c>
      <x:c r="E2144" s="24" t="str">
        <x:v>정구희차장</x:v>
      </x:c>
      <x:c r="F2144" s="24" t="str">
        <x:v>2026-03</x:v>
      </x:c>
      <x:c r="G2144" s="30"/>
      <x:c r="H2144" s="32" t="n">
        <x:v>0</x:v>
      </x:c>
      <x:c r="I2144" s="32"/>
      <x:c r="J2144" s="32" t="n">
        <x:v>0</x:v>
      </x:c>
      <x:c r="K2144" s="30"/>
      <x:c r="L2144" s="24" t="str"/>
      <x:c r="M2144" s="31" t="n">
        <x:f>IF(AND(N2144="미수",G2144&lt;&gt;"",TODAY()&gt;G2144),TODAY()-G2144,0)</x:f>
        <x:v>0</x:v>
      </x:c>
      <x:c r="N2144" s="24" t="str">
        <x:f>IF(J2144&gt;0,"미수",IF(AND(H2144&gt;0,I2144&gt;=H2144),"완납","미확인"))</x:f>
        <x:v>미확인</x:v>
      </x:c>
      <x:c r="O2144" s="31" t="n">
        <x:v>101</x:v>
      </x:c>
    </x:row>
    <x:row r="2145" ht="17.25" customHeight="1">
      <x:c r="A2145" s="24" t="str">
        <x:v>SW-B-41호8301-202602</x:v>
      </x:c>
      <x:c r="B2145" s="24" t="str">
        <x:v>스위치플랜</x:v>
      </x:c>
      <x:c r="C2145" s="24" t="str">
        <x:v>SW-C-41호8301-1-NA-102</x:v>
      </x:c>
      <x:c r="D2145" s="24" t="str">
        <x:v>41호8301</x:v>
      </x:c>
      <x:c r="E2145" s="24" t="str">
        <x:v>정구희차장</x:v>
      </x:c>
      <x:c r="F2145" s="24" t="str">
        <x:v>2026-02</x:v>
      </x:c>
      <x:c r="G2145" s="30"/>
      <x:c r="H2145" s="32" t="n">
        <x:v>0</x:v>
      </x:c>
      <x:c r="I2145" s="32"/>
      <x:c r="J2145" s="32" t="n">
        <x:v>0</x:v>
      </x:c>
      <x:c r="K2145" s="30"/>
      <x:c r="L2145" s="24" t="str"/>
      <x:c r="M2145" s="31" t="n">
        <x:f>IF(AND(N2145="미수",G2145&lt;&gt;"",TODAY()&gt;G2145),TODAY()-G2145,0)</x:f>
        <x:v>0</x:v>
      </x:c>
      <x:c r="N2145" s="24" t="str">
        <x:f>IF(J2145&gt;0,"미수",IF(AND(H2145&gt;0,I2145&gt;=H2145),"완납","미확인"))</x:f>
        <x:v>미확인</x:v>
      </x:c>
      <x:c r="O2145" s="31" t="n">
        <x:v>101</x:v>
      </x:c>
    </x:row>
    <x:row r="2146" ht="17.25" customHeight="1">
      <x:c r="A2146" s="24" t="str">
        <x:v>SW-B-41호8302-202608</x:v>
      </x:c>
      <x:c r="B2146" s="24" t="str">
        <x:v>스위치플랜</x:v>
      </x:c>
      <x:c r="C2146" s="24" t="str">
        <x:v>SW-C-41호8302-1-20260317-103</x:v>
      </x:c>
      <x:c r="D2146" s="24" t="str">
        <x:v>41호8302</x:v>
      </x:c>
      <x:c r="E2146" s="24" t="str">
        <x:v>김성은</x:v>
      </x:c>
      <x:c r="F2146" s="24" t="str">
        <x:v>2026-08</x:v>
      </x:c>
      <x:c r="G2146" s="30" t="n">
        <x:v>46249</x:v>
      </x:c>
      <x:c r="H2146" s="32" t="n">
        <x:v>700000</x:v>
      </x:c>
      <x:c r="I2146" s="32" t="n">
        <x:v>700000</x:v>
      </x:c>
      <x:c r="J2146" s="32" t="n">
        <x:v>0</x:v>
      </x:c>
      <x:c r="K2146" s="30" t="n">
        <x:v>46246</x:v>
      </x:c>
      <x:c r="L2146" s="24" t="str">
        <x:v>입금</x:v>
      </x:c>
      <x:c r="M2146" s="31" t="n">
        <x:f>IF(AND(N2146="미수",G2146&lt;&gt;"",TODAY()&gt;G2146),TODAY()-G2146,0)</x:f>
        <x:v>0</x:v>
      </x:c>
      <x:c r="N2146" s="24" t="str">
        <x:f>IF(J2146&gt;0,"미수",IF(AND(H2146&gt;0,I2146&gt;=H2146),"완납","미확인"))</x:f>
        <x:v>완납</x:v>
      </x:c>
      <x:c r="O2146" s="31" t="n">
        <x:v>102</x:v>
      </x:c>
    </x:row>
    <x:row r="2147" ht="17.25" customHeight="1">
      <x:c r="A2147" s="24" t="str">
        <x:v>SW-B-41호8302-202607</x:v>
      </x:c>
      <x:c r="B2147" s="24" t="str">
        <x:v>스위치플랜</x:v>
      </x:c>
      <x:c r="C2147" s="24" t="str">
        <x:v>SW-C-41호8302-1-20260317-103</x:v>
      </x:c>
      <x:c r="D2147" s="24" t="str">
        <x:v>41호8302</x:v>
      </x:c>
      <x:c r="E2147" s="24" t="str">
        <x:v>김성은</x:v>
      </x:c>
      <x:c r="F2147" s="24" t="str">
        <x:v>2026-07</x:v>
      </x:c>
      <x:c r="G2147" s="30" t="n">
        <x:v>46218</x:v>
      </x:c>
      <x:c r="H2147" s="32" t="n">
        <x:v>700000</x:v>
      </x:c>
      <x:c r="I2147" s="32" t="n">
        <x:v>700000</x:v>
      </x:c>
      <x:c r="J2147" s="32" t="n">
        <x:v>0</x:v>
      </x:c>
      <x:c r="K2147" s="30" t="n">
        <x:v>46218</x:v>
      </x:c>
      <x:c r="L2147" s="24" t="str">
        <x:v>자동</x:v>
      </x:c>
      <x:c r="M2147" s="31" t="n">
        <x:f>IF(AND(N2147="미수",G2147&lt;&gt;"",TODAY()&gt;G2147),TODAY()-G2147,0)</x:f>
        <x:v>0</x:v>
      </x:c>
      <x:c r="N2147" s="24" t="str">
        <x:f>IF(J2147&gt;0,"미수",IF(AND(H2147&gt;0,I2147&gt;=H2147),"완납","미확인"))</x:f>
        <x:v>완납</x:v>
      </x:c>
      <x:c r="O2147" s="31" t="n">
        <x:v>102</x:v>
      </x:c>
    </x:row>
    <x:row r="2148" ht="17.25" customHeight="1">
      <x:c r="A2148" s="24" t="str">
        <x:v>SW-B-41호8302-202606</x:v>
      </x:c>
      <x:c r="B2148" s="24" t="str">
        <x:v>스위치플랜</x:v>
      </x:c>
      <x:c r="C2148" s="24" t="str">
        <x:v>SW-C-41호8302-1-20260317-103</x:v>
      </x:c>
      <x:c r="D2148" s="24" t="str">
        <x:v>41호8302</x:v>
      </x:c>
      <x:c r="E2148" s="24" t="str">
        <x:v>김성은</x:v>
      </x:c>
      <x:c r="F2148" s="24" t="str">
        <x:v>2026-06</x:v>
      </x:c>
      <x:c r="G2148" s="30" t="n">
        <x:v>46188</x:v>
      </x:c>
      <x:c r="H2148" s="32" t="n">
        <x:v>700000</x:v>
      </x:c>
      <x:c r="I2148" s="32" t="n">
        <x:v>700000</x:v>
      </x:c>
      <x:c r="J2148" s="32" t="n">
        <x:v>0</x:v>
      </x:c>
      <x:c r="K2148" s="30" t="n">
        <x:v>46177</x:v>
      </x:c>
      <x:c r="L2148" s="24" t="str">
        <x:v>입금</x:v>
      </x:c>
      <x:c r="M2148" s="31" t="n">
        <x:f>IF(AND(N2148="미수",G2148&lt;&gt;"",TODAY()&gt;G2148),TODAY()-G2148,0)</x:f>
        <x:v>0</x:v>
      </x:c>
      <x:c r="N2148" s="24" t="str">
        <x:f>IF(J2148&gt;0,"미수",IF(AND(H2148&gt;0,I2148&gt;=H2148),"완납","미확인"))</x:f>
        <x:v>완납</x:v>
      </x:c>
      <x:c r="O2148" s="31" t="n">
        <x:v>102</x:v>
      </x:c>
    </x:row>
    <x:row r="2149" ht="17.25" customHeight="1">
      <x:c r="A2149" s="24" t="str">
        <x:v>SW-B-41호8302-202605</x:v>
      </x:c>
      <x:c r="B2149" s="24" t="str">
        <x:v>스위치플랜</x:v>
      </x:c>
      <x:c r="C2149" s="24" t="str">
        <x:v>SW-C-41호8302-1-20260317-103</x:v>
      </x:c>
      <x:c r="D2149" s="24" t="str">
        <x:v>41호8302</x:v>
      </x:c>
      <x:c r="E2149" s="24" t="str">
        <x:v>김성은</x:v>
      </x:c>
      <x:c r="F2149" s="24" t="str">
        <x:v>2026-05</x:v>
      </x:c>
      <x:c r="G2149" s="30" t="n">
        <x:v>46157</x:v>
      </x:c>
      <x:c r="H2149" s="32" t="n">
        <x:v>700000</x:v>
      </x:c>
      <x:c r="I2149" s="32" t="n">
        <x:v>700000</x:v>
      </x:c>
      <x:c r="J2149" s="32" t="n">
        <x:v>0</x:v>
      </x:c>
      <x:c r="K2149" s="30" t="n">
        <x:v>46148</x:v>
      </x:c>
      <x:c r="L2149" s="24" t="str">
        <x:v>입금</x:v>
      </x:c>
      <x:c r="M2149" s="31" t="n">
        <x:f>IF(AND(N2149="미수",G2149&lt;&gt;"",TODAY()&gt;G2149),TODAY()-G2149,0)</x:f>
        <x:v>0</x:v>
      </x:c>
      <x:c r="N2149" s="24" t="str">
        <x:f>IF(J2149&gt;0,"미수",IF(AND(H2149&gt;0,I2149&gt;=H2149),"완납","미확인"))</x:f>
        <x:v>완납</x:v>
      </x:c>
      <x:c r="O2149" s="31" t="n">
        <x:v>102</x:v>
      </x:c>
    </x:row>
    <x:row r="2150" ht="17.25" customHeight="1">
      <x:c r="A2150" s="24" t="str">
        <x:v>SW-B-41호8302-202604</x:v>
      </x:c>
      <x:c r="B2150" s="24" t="str">
        <x:v>스위치플랜</x:v>
      </x:c>
      <x:c r="C2150" s="24" t="str">
        <x:v>SW-C-41호8302-1-20260317-103</x:v>
      </x:c>
      <x:c r="D2150" s="24" t="str">
        <x:v>41호8302</x:v>
      </x:c>
      <x:c r="E2150" s="24" t="str">
        <x:v>김성은</x:v>
      </x:c>
      <x:c r="F2150" s="24" t="str">
        <x:v>2026-04</x:v>
      </x:c>
      <x:c r="G2150" s="30" t="n">
        <x:v>46127</x:v>
      </x:c>
      <x:c r="H2150" s="32" t="n">
        <x:v>700000</x:v>
      </x:c>
      <x:c r="I2150" s="32" t="n">
        <x:v>700000</x:v>
      </x:c>
      <x:c r="J2150" s="32" t="n">
        <x:v>0</x:v>
      </x:c>
      <x:c r="K2150" s="30" t="n">
        <x:v>46121</x:v>
      </x:c>
      <x:c r="L2150" s="24" t="str">
        <x:v>입금</x:v>
      </x:c>
      <x:c r="M2150" s="31" t="n">
        <x:f>IF(AND(N2150="미수",G2150&lt;&gt;"",TODAY()&gt;G2150),TODAY()-G2150,0)</x:f>
        <x:v>0</x:v>
      </x:c>
      <x:c r="N2150" s="24" t="str">
        <x:f>IF(J2150&gt;0,"미수",IF(AND(H2150&gt;0,I2150&gt;=H2150),"완납","미확인"))</x:f>
        <x:v>완납</x:v>
      </x:c>
      <x:c r="O2150" s="31" t="n">
        <x:v>102</x:v>
      </x:c>
    </x:row>
    <x:row r="2151" ht="17.25" customHeight="1">
      <x:c r="A2151" s="24" t="str">
        <x:v>SW-B-41호8302-202603</x:v>
      </x:c>
      <x:c r="B2151" s="24" t="str">
        <x:v>스위치플랜</x:v>
      </x:c>
      <x:c r="C2151" s="24" t="str">
        <x:v>SW-C-41호8302-1-20260317-103</x:v>
      </x:c>
      <x:c r="D2151" s="24" t="str">
        <x:v>41호8302</x:v>
      </x:c>
      <x:c r="E2151" s="24" t="str">
        <x:v>김성은</x:v>
      </x:c>
      <x:c r="F2151" s="24" t="str">
        <x:v>2026-03</x:v>
      </x:c>
      <x:c r="G2151" s="30" t="n">
        <x:v>46096</x:v>
      </x:c>
      <x:c r="H2151" s="32" t="n">
        <x:v>700000</x:v>
      </x:c>
      <x:c r="I2151" s="32" t="n">
        <x:v>700000</x:v>
      </x:c>
      <x:c r="J2151" s="32" t="n">
        <x:v>0</x:v>
      </x:c>
      <x:c r="K2151" s="30" t="n">
        <x:v>46097</x:v>
      </x:c>
      <x:c r="L2151" s="24" t="str">
        <x:v>입금</x:v>
      </x:c>
      <x:c r="M2151" s="31" t="n">
        <x:f>IF(AND(N2151="미수",G2151&lt;&gt;"",TODAY()&gt;G2151),TODAY()-G2151,0)</x:f>
        <x:v>0</x:v>
      </x:c>
      <x:c r="N2151" s="24" t="str">
        <x:f>IF(J2151&gt;0,"미수",IF(AND(H2151&gt;0,I2151&gt;=H2151),"완납","미확인"))</x:f>
        <x:v>완납</x:v>
      </x:c>
      <x:c r="O2151" s="31" t="n">
        <x:v>102</x:v>
      </x:c>
    </x:row>
    <x:row r="2152" ht="17.25" customHeight="1">
      <x:c r="A2152" s="24" t="str">
        <x:v>SW-B-41호8302-202602</x:v>
      </x:c>
      <x:c r="B2152" s="24" t="str">
        <x:v>스위치플랜</x:v>
      </x:c>
      <x:c r="C2152" s="24" t="str">
        <x:v>SW-C-41호8302-1-20260317-103</x:v>
      </x:c>
      <x:c r="D2152" s="24" t="str">
        <x:v>41호8302</x:v>
      </x:c>
      <x:c r="E2152" s="24" t="str">
        <x:v>김성은</x:v>
      </x:c>
      <x:c r="F2152" s="24" t="str">
        <x:v>2026-02</x:v>
      </x:c>
      <x:c r="G2152" s="30" t="n">
        <x:v>46068</x:v>
      </x:c>
      <x:c r="H2152" s="32" t="n">
        <x:v>0</x:v>
      </x:c>
      <x:c r="I2152" s="32"/>
      <x:c r="J2152" s="32" t="n">
        <x:v>0</x:v>
      </x:c>
      <x:c r="K2152" s="30"/>
      <x:c r="L2152" s="24" t="str"/>
      <x:c r="M2152" s="31" t="n">
        <x:f>IF(AND(N2152="미수",G2152&lt;&gt;"",TODAY()&gt;G2152),TODAY()-G2152,0)</x:f>
        <x:v>0</x:v>
      </x:c>
      <x:c r="N2152" s="24" t="str">
        <x:f>IF(J2152&gt;0,"미수",IF(AND(H2152&gt;0,I2152&gt;=H2152),"완납","미확인"))</x:f>
        <x:v>미확인</x:v>
      </x:c>
      <x:c r="O2152" s="31" t="n">
        <x:v>102</x:v>
      </x:c>
    </x:row>
    <x:row r="2153" ht="17.25" customHeight="1">
      <x:c r="A2153" s="24" t="str">
        <x:v>SW-B-41호8303-202608</x:v>
      </x:c>
      <x:c r="B2153" s="24" t="str">
        <x:v>스위치플랜</x:v>
      </x:c>
      <x:c r="C2153" s="24" t="str">
        <x:v>SW-C-41호8303-1-20260226-104</x:v>
      </x:c>
      <x:c r="D2153" s="24" t="str">
        <x:v>41호8303</x:v>
      </x:c>
      <x:c r="E2153" s="24" t="str">
        <x:v>또바기</x:v>
      </x:c>
      <x:c r="F2153" s="24" t="str">
        <x:v>2026-08</x:v>
      </x:c>
      <x:c r="G2153" s="30" t="n">
        <x:v>46259</x:v>
      </x:c>
      <x:c r="H2153" s="32" t="n">
        <x:v>700000</x:v>
      </x:c>
      <x:c r="I2153" s="32"/>
      <x:c r="J2153" s="32" t="n">
        <x:v>700000</x:v>
      </x:c>
      <x:c r="K2153" s="30"/>
      <x:c r="L2153" s="24" t="str"/>
      <x:c r="M2153" s="31" t="n">
        <x:f>IF(AND(N2153="미수",G2153&lt;&gt;"",TODAY()&gt;G2153),TODAY()-G2153,0)</x:f>
        <x:v>0</x:v>
      </x:c>
      <x:c r="N2153" s="24" t="str">
        <x:f>IF(J2153&gt;0,"미수",IF(AND(H2153&gt;0,I2153&gt;=H2153),"완납","미확인"))</x:f>
        <x:v>미수</x:v>
      </x:c>
      <x:c r="O2153" s="31" t="n">
        <x:v>103</x:v>
      </x:c>
    </x:row>
    <x:row r="2154" ht="17.25" customHeight="1">
      <x:c r="A2154" s="24" t="str">
        <x:v>SW-B-41호8303-202607</x:v>
      </x:c>
      <x:c r="B2154" s="24" t="str">
        <x:v>스위치플랜</x:v>
      </x:c>
      <x:c r="C2154" s="24" t="str">
        <x:v>SW-C-41호8303-1-20260226-104</x:v>
      </x:c>
      <x:c r="D2154" s="24" t="str">
        <x:v>41호8303</x:v>
      </x:c>
      <x:c r="E2154" s="24" t="str">
        <x:v>또바기</x:v>
      </x:c>
      <x:c r="F2154" s="24" t="str">
        <x:v>2026-07</x:v>
      </x:c>
      <x:c r="G2154" s="30" t="n">
        <x:v>46228</x:v>
      </x:c>
      <x:c r="H2154" s="32" t="n">
        <x:v>700000</x:v>
      </x:c>
      <x:c r="I2154" s="32" t="n">
        <x:v>700000</x:v>
      </x:c>
      <x:c r="J2154" s="32" t="n">
        <x:v>0</x:v>
      </x:c>
      <x:c r="K2154" s="30" t="n">
        <x:v>46227</x:v>
      </x:c>
      <x:c r="L2154" s="24" t="str">
        <x:v>입금</x:v>
      </x:c>
      <x:c r="M2154" s="31" t="n">
        <x:f>IF(AND(N2154="미수",G2154&lt;&gt;"",TODAY()&gt;G2154),TODAY()-G2154,0)</x:f>
        <x:v>0</x:v>
      </x:c>
      <x:c r="N2154" s="24" t="str">
        <x:f>IF(J2154&gt;0,"미수",IF(AND(H2154&gt;0,I2154&gt;=H2154),"완납","미확인"))</x:f>
        <x:v>완납</x:v>
      </x:c>
      <x:c r="O2154" s="31" t="n">
        <x:v>103</x:v>
      </x:c>
    </x:row>
    <x:row r="2155" ht="17.25" customHeight="1">
      <x:c r="A2155" s="24" t="str">
        <x:v>SW-B-41호8303-202606</x:v>
      </x:c>
      <x:c r="B2155" s="24" t="str">
        <x:v>스위치플랜</x:v>
      </x:c>
      <x:c r="C2155" s="24" t="str">
        <x:v>SW-C-41호8303-1-20260226-104</x:v>
      </x:c>
      <x:c r="D2155" s="24" t="str">
        <x:v>41호8303</x:v>
      </x:c>
      <x:c r="E2155" s="24" t="str">
        <x:v>또바기</x:v>
      </x:c>
      <x:c r="F2155" s="24" t="str">
        <x:v>2026-06</x:v>
      </x:c>
      <x:c r="G2155" s="30" t="n">
        <x:v>46198</x:v>
      </x:c>
      <x:c r="H2155" s="32" t="n">
        <x:v>700000</x:v>
      </x:c>
      <x:c r="I2155" s="32" t="n">
        <x:v>700000</x:v>
      </x:c>
      <x:c r="J2155" s="32" t="n">
        <x:v>0</x:v>
      </x:c>
      <x:c r="K2155" s="30" t="n">
        <x:v>46199</x:v>
      </x:c>
      <x:c r="L2155" s="24" t="str">
        <x:v>입금</x:v>
      </x:c>
      <x:c r="M2155" s="31" t="n">
        <x:f>IF(AND(N2155="미수",G2155&lt;&gt;"",TODAY()&gt;G2155),TODAY()-G2155,0)</x:f>
        <x:v>0</x:v>
      </x:c>
      <x:c r="N2155" s="24" t="str">
        <x:f>IF(J2155&gt;0,"미수",IF(AND(H2155&gt;0,I2155&gt;=H2155),"완납","미확인"))</x:f>
        <x:v>완납</x:v>
      </x:c>
      <x:c r="O2155" s="31" t="n">
        <x:v>103</x:v>
      </x:c>
    </x:row>
    <x:row r="2156" ht="17.25" customHeight="1">
      <x:c r="A2156" s="24" t="str">
        <x:v>SW-B-41호8303-202605</x:v>
      </x:c>
      <x:c r="B2156" s="24" t="str">
        <x:v>스위치플랜</x:v>
      </x:c>
      <x:c r="C2156" s="24" t="str">
        <x:v>SW-C-41호8303-1-20260226-104</x:v>
      </x:c>
      <x:c r="D2156" s="24" t="str">
        <x:v>41호8303</x:v>
      </x:c>
      <x:c r="E2156" s="24" t="str">
        <x:v>또바기</x:v>
      </x:c>
      <x:c r="F2156" s="24" t="str">
        <x:v>2026-05</x:v>
      </x:c>
      <x:c r="G2156" s="30" t="n">
        <x:v>46167</x:v>
      </x:c>
      <x:c r="H2156" s="32" t="n">
        <x:v>700000</x:v>
      </x:c>
      <x:c r="I2156" s="32" t="n">
        <x:v>700000</x:v>
      </x:c>
      <x:c r="J2156" s="32" t="n">
        <x:v>0</x:v>
      </x:c>
      <x:c r="K2156" s="30" t="n">
        <x:v>46170</x:v>
      </x:c>
      <x:c r="L2156" s="24" t="str">
        <x:v>입금</x:v>
      </x:c>
      <x:c r="M2156" s="31" t="n">
        <x:f>IF(AND(N2156="미수",G2156&lt;&gt;"",TODAY()&gt;G2156),TODAY()-G2156,0)</x:f>
        <x:v>0</x:v>
      </x:c>
      <x:c r="N2156" s="24" t="str">
        <x:f>IF(J2156&gt;0,"미수",IF(AND(H2156&gt;0,I2156&gt;=H2156),"완납","미확인"))</x:f>
        <x:v>완납</x:v>
      </x:c>
      <x:c r="O2156" s="31" t="n">
        <x:v>103</x:v>
      </x:c>
    </x:row>
    <x:row r="2157" ht="17.25" customHeight="1">
      <x:c r="A2157" s="24" t="str">
        <x:v>SW-B-41호8303-202604</x:v>
      </x:c>
      <x:c r="B2157" s="24" t="str">
        <x:v>스위치플랜</x:v>
      </x:c>
      <x:c r="C2157" s="24" t="str">
        <x:v>SW-C-41호8303-1-20260226-104</x:v>
      </x:c>
      <x:c r="D2157" s="24" t="str">
        <x:v>41호8303</x:v>
      </x:c>
      <x:c r="E2157" s="24" t="str">
        <x:v>또바기</x:v>
      </x:c>
      <x:c r="F2157" s="24" t="str">
        <x:v>2026-04</x:v>
      </x:c>
      <x:c r="G2157" s="30" t="n">
        <x:v>46137</x:v>
      </x:c>
      <x:c r="H2157" s="32" t="n">
        <x:v>700000</x:v>
      </x:c>
      <x:c r="I2157" s="32" t="n">
        <x:v>700000</x:v>
      </x:c>
      <x:c r="J2157" s="32" t="n">
        <x:v>0</x:v>
      </x:c>
      <x:c r="K2157" s="30" t="n">
        <x:v>46139</x:v>
      </x:c>
      <x:c r="L2157" s="24" t="str">
        <x:v>자동</x:v>
      </x:c>
      <x:c r="M2157" s="31" t="n">
        <x:f>IF(AND(N2157="미수",G2157&lt;&gt;"",TODAY()&gt;G2157),TODAY()-G2157,0)</x:f>
        <x:v>0</x:v>
      </x:c>
      <x:c r="N2157" s="24" t="str">
        <x:f>IF(J2157&gt;0,"미수",IF(AND(H2157&gt;0,I2157&gt;=H2157),"완납","미확인"))</x:f>
        <x:v>완납</x:v>
      </x:c>
      <x:c r="O2157" s="31" t="n">
        <x:v>103</x:v>
      </x:c>
    </x:row>
    <x:row r="2158" ht="17.25" customHeight="1">
      <x:c r="A2158" s="24" t="str">
        <x:v>SW-B-41호8303-202603</x:v>
      </x:c>
      <x:c r="B2158" s="24" t="str">
        <x:v>스위치플랜</x:v>
      </x:c>
      <x:c r="C2158" s="24" t="str">
        <x:v>SW-C-41호8303-1-20260226-104</x:v>
      </x:c>
      <x:c r="D2158" s="24" t="str">
        <x:v>41호8303</x:v>
      </x:c>
      <x:c r="E2158" s="24" t="str">
        <x:v>또바기</x:v>
      </x:c>
      <x:c r="F2158" s="24" t="str">
        <x:v>2026-03</x:v>
      </x:c>
      <x:c r="G2158" s="30" t="n">
        <x:v>46106</x:v>
      </x:c>
      <x:c r="H2158" s="32" t="n">
        <x:v>700000</x:v>
      </x:c>
      <x:c r="I2158" s="32" t="n">
        <x:v>700000</x:v>
      </x:c>
      <x:c r="J2158" s="32" t="n">
        <x:v>0</x:v>
      </x:c>
      <x:c r="K2158" s="30" t="n">
        <x:v>46106</x:v>
      </x:c>
      <x:c r="L2158" s="24" t="str">
        <x:v>자동</x:v>
      </x:c>
      <x:c r="M2158" s="31" t="n">
        <x:f>IF(AND(N2158="미수",G2158&lt;&gt;"",TODAY()&gt;G2158),TODAY()-G2158,0)</x:f>
        <x:v>0</x:v>
      </x:c>
      <x:c r="N2158" s="24" t="str">
        <x:f>IF(J2158&gt;0,"미수",IF(AND(H2158&gt;0,I2158&gt;=H2158),"완납","미확인"))</x:f>
        <x:v>완납</x:v>
      </x:c>
      <x:c r="O2158" s="31" t="n">
        <x:v>103</x:v>
      </x:c>
    </x:row>
    <x:row r="2159" ht="17.25" customHeight="1">
      <x:c r="A2159" s="24" t="str">
        <x:v>SW-B-41호8303-202602</x:v>
      </x:c>
      <x:c r="B2159" s="24" t="str">
        <x:v>스위치플랜</x:v>
      </x:c>
      <x:c r="C2159" s="24" t="str">
        <x:v>SW-C-41호8303-1-20260226-104</x:v>
      </x:c>
      <x:c r="D2159" s="24" t="str">
        <x:v>41호8303</x:v>
      </x:c>
      <x:c r="E2159" s="24" t="str">
        <x:v>또바기</x:v>
      </x:c>
      <x:c r="F2159" s="24" t="str">
        <x:v>2026-02</x:v>
      </x:c>
      <x:c r="G2159" s="30" t="n">
        <x:v>46078</x:v>
      </x:c>
      <x:c r="H2159" s="32" t="n">
        <x:v>700000</x:v>
      </x:c>
      <x:c r="I2159" s="32" t="n">
        <x:v>700000</x:v>
      </x:c>
      <x:c r="J2159" s="32" t="n">
        <x:v>0</x:v>
      </x:c>
      <x:c r="K2159" s="30" t="n">
        <x:v>46078</x:v>
      </x:c>
      <x:c r="L2159" s="24" t="str">
        <x:v>입금</x:v>
      </x:c>
      <x:c r="M2159" s="31" t="n">
        <x:f>IF(AND(N2159="미수",G2159&lt;&gt;"",TODAY()&gt;G2159),TODAY()-G2159,0)</x:f>
        <x:v>0</x:v>
      </x:c>
      <x:c r="N2159" s="24" t="str">
        <x:f>IF(J2159&gt;0,"미수",IF(AND(H2159&gt;0,I2159&gt;=H2159),"완납","미확인"))</x:f>
        <x:v>완납</x:v>
      </x:c>
      <x:c r="O2159" s="31" t="n">
        <x:v>103</x:v>
      </x:c>
    </x:row>
    <x:row r="2160" ht="17.25" customHeight="1">
      <x:c r="A2160" s="24" t="str">
        <x:v>SW-B-41호8304-202608</x:v>
      </x:c>
      <x:c r="B2160" s="24" t="str">
        <x:v>스위치플랜</x:v>
      </x:c>
      <x:c r="C2160" s="24" t="str">
        <x:v>SW-C-41호8304-1-NA-105</x:v>
      </x:c>
      <x:c r="D2160" s="24" t="str">
        <x:v>41호8304</x:v>
      </x:c>
      <x:c r="E2160" s="24" t="str"/>
      <x:c r="F2160" s="24" t="str">
        <x:v>2026-08</x:v>
      </x:c>
      <x:c r="G2160" s="30"/>
      <x:c r="H2160" s="32" t="n">
        <x:v>0</x:v>
      </x:c>
      <x:c r="I2160" s="32"/>
      <x:c r="J2160" s="32" t="n">
        <x:v>-300000</x:v>
      </x:c>
      <x:c r="K2160" s="30"/>
      <x:c r="L2160" s="24" t="str"/>
      <x:c r="M2160" s="31" t="n">
        <x:f>IF(AND(N2160="미수",G2160&lt;&gt;"",TODAY()&gt;G2160),TODAY()-G2160,0)</x:f>
        <x:v>0</x:v>
      </x:c>
      <x:c r="N2160" s="24" t="str">
        <x:f>IF(J2160&gt;0,"미수",IF(AND(H2160&gt;0,I2160&gt;=H2160),"완납","미확인"))</x:f>
        <x:v>미확인</x:v>
      </x:c>
      <x:c r="O2160" s="31" t="n">
        <x:v>104</x:v>
      </x:c>
    </x:row>
    <x:row r="2161" ht="17.25" customHeight="1">
      <x:c r="A2161" s="24" t="str">
        <x:v>SW-B-41호8304-202607</x:v>
      </x:c>
      <x:c r="B2161" s="24" t="str">
        <x:v>스위치플랜</x:v>
      </x:c>
      <x:c r="C2161" s="24" t="str">
        <x:v>SW-C-41호8304-1-NA-105</x:v>
      </x:c>
      <x:c r="D2161" s="24" t="str">
        <x:v>41호8304</x:v>
      </x:c>
      <x:c r="E2161" s="24" t="str"/>
      <x:c r="F2161" s="24" t="str">
        <x:v>2026-07</x:v>
      </x:c>
      <x:c r="G2161" s="30"/>
      <x:c r="H2161" s="32" t="n">
        <x:v>0</x:v>
      </x:c>
      <x:c r="I2161" s="32"/>
      <x:c r="J2161" s="32" t="n">
        <x:v>-300000</x:v>
      </x:c>
      <x:c r="K2161" s="30"/>
      <x:c r="L2161" s="24" t="str"/>
      <x:c r="M2161" s="31" t="n">
        <x:f>IF(AND(N2161="미수",G2161&lt;&gt;"",TODAY()&gt;G2161),TODAY()-G2161,0)</x:f>
        <x:v>0</x:v>
      </x:c>
      <x:c r="N2161" s="24" t="str">
        <x:f>IF(J2161&gt;0,"미수",IF(AND(H2161&gt;0,I2161&gt;=H2161),"완납","미확인"))</x:f>
        <x:v>미확인</x:v>
      </x:c>
      <x:c r="O2161" s="31" t="n">
        <x:v>104</x:v>
      </x:c>
    </x:row>
    <x:row r="2162" ht="17.25" customHeight="1">
      <x:c r="A2162" s="24" t="str">
        <x:v>SW-B-41호8304-202606</x:v>
      </x:c>
      <x:c r="B2162" s="24" t="str">
        <x:v>스위치플랜</x:v>
      </x:c>
      <x:c r="C2162" s="24" t="str">
        <x:v>SW-C-41호8304-1-NA-105</x:v>
      </x:c>
      <x:c r="D2162" s="24" t="str">
        <x:v>41호8304</x:v>
      </x:c>
      <x:c r="E2162" s="24" t="str"/>
      <x:c r="F2162" s="24" t="str">
        <x:v>2026-06</x:v>
      </x:c>
      <x:c r="G2162" s="30"/>
      <x:c r="H2162" s="32" t="n">
        <x:v>0</x:v>
      </x:c>
      <x:c r="I2162" s="32"/>
      <x:c r="J2162" s="32" t="n">
        <x:v>-300000</x:v>
      </x:c>
      <x:c r="K2162" s="30"/>
      <x:c r="L2162" s="24" t="str"/>
      <x:c r="M2162" s="31" t="n">
        <x:f>IF(AND(N2162="미수",G2162&lt;&gt;"",TODAY()&gt;G2162),TODAY()-G2162,0)</x:f>
        <x:v>0</x:v>
      </x:c>
      <x:c r="N2162" s="24" t="str">
        <x:f>IF(J2162&gt;0,"미수",IF(AND(H2162&gt;0,I2162&gt;=H2162),"완납","미확인"))</x:f>
        <x:v>미확인</x:v>
      </x:c>
      <x:c r="O2162" s="31" t="n">
        <x:v>104</x:v>
      </x:c>
    </x:row>
    <x:row r="2163" ht="17.25" customHeight="1">
      <x:c r="A2163" s="24" t="str">
        <x:v>SW-B-41호8304-202605</x:v>
      </x:c>
      <x:c r="B2163" s="24" t="str">
        <x:v>스위치플랜</x:v>
      </x:c>
      <x:c r="C2163" s="24" t="str">
        <x:v>SW-C-41호8304-1-NA-105</x:v>
      </x:c>
      <x:c r="D2163" s="24" t="str">
        <x:v>41호8304</x:v>
      </x:c>
      <x:c r="E2163" s="24" t="str"/>
      <x:c r="F2163" s="24" t="str">
        <x:v>2026-05</x:v>
      </x:c>
      <x:c r="G2163" s="30"/>
      <x:c r="H2163" s="32" t="n">
        <x:v>0</x:v>
      </x:c>
      <x:c r="I2163" s="32" t="n">
        <x:v>300000</x:v>
      </x:c>
      <x:c r="J2163" s="32" t="n">
        <x:v>-300000</x:v>
      </x:c>
      <x:c r="K2163" s="30" t="n">
        <x:v>46146</x:v>
      </x:c>
      <x:c r="L2163" s="24" t="str">
        <x:v>입금</x:v>
      </x:c>
      <x:c r="M2163" s="31" t="n">
        <x:f>IF(AND(N2163="미수",G2163&lt;&gt;"",TODAY()&gt;G2163),TODAY()-G2163,0)</x:f>
        <x:v>0</x:v>
      </x:c>
      <x:c r="N2163" s="24" t="str">
        <x:f>IF(J2163&gt;0,"미수",IF(AND(H2163&gt;0,I2163&gt;=H2163),"완납","미확인"))</x:f>
        <x:v>미확인</x:v>
      </x:c>
      <x:c r="O2163" s="31" t="n">
        <x:v>104</x:v>
      </x:c>
    </x:row>
    <x:row r="2164" ht="17.25" customHeight="1">
      <x:c r="A2164" s="24" t="str">
        <x:v>SW-B-41호8304-202604</x:v>
      </x:c>
      <x:c r="B2164" s="24" t="str">
        <x:v>스위치플랜</x:v>
      </x:c>
      <x:c r="C2164" s="24" t="str">
        <x:v>SW-C-41호8304-1-NA-105</x:v>
      </x:c>
      <x:c r="D2164" s="24" t="str">
        <x:v>41호8304</x:v>
      </x:c>
      <x:c r="E2164" s="24" t="str"/>
      <x:c r="F2164" s="24" t="str">
        <x:v>2026-04</x:v>
      </x:c>
      <x:c r="G2164" s="30"/>
      <x:c r="H2164" s="32" t="n">
        <x:v>0</x:v>
      </x:c>
      <x:c r="I2164" s="32"/>
      <x:c r="J2164" s="32" t="n">
        <x:v>0</x:v>
      </x:c>
      <x:c r="K2164" s="30"/>
      <x:c r="L2164" s="24" t="str"/>
      <x:c r="M2164" s="31" t="n">
        <x:f>IF(AND(N2164="미수",G2164&lt;&gt;"",TODAY()&gt;G2164),TODAY()-G2164,0)</x:f>
        <x:v>0</x:v>
      </x:c>
      <x:c r="N2164" s="24" t="str">
        <x:f>IF(J2164&gt;0,"미수",IF(AND(H2164&gt;0,I2164&gt;=H2164),"완납","미확인"))</x:f>
        <x:v>미확인</x:v>
      </x:c>
      <x:c r="O2164" s="31" t="n">
        <x:v>104</x:v>
      </x:c>
    </x:row>
    <x:row r="2165" ht="17.25" customHeight="1">
      <x:c r="A2165" s="24" t="str">
        <x:v>SW-B-41호8304-202603</x:v>
      </x:c>
      <x:c r="B2165" s="24" t="str">
        <x:v>스위치플랜</x:v>
      </x:c>
      <x:c r="C2165" s="24" t="str">
        <x:v>SW-C-41호8304-1-NA-105</x:v>
      </x:c>
      <x:c r="D2165" s="24" t="str">
        <x:v>41호8304</x:v>
      </x:c>
      <x:c r="E2165" s="24" t="str"/>
      <x:c r="F2165" s="24" t="str">
        <x:v>2026-03</x:v>
      </x:c>
      <x:c r="G2165" s="30"/>
      <x:c r="H2165" s="32" t="n">
        <x:v>700000</x:v>
      </x:c>
      <x:c r="I2165" s="32" t="n">
        <x:v>700000</x:v>
      </x:c>
      <x:c r="J2165" s="32" t="n">
        <x:v>0</x:v>
      </x:c>
      <x:c r="K2165" s="30" t="n">
        <x:v>46093</x:v>
      </x:c>
      <x:c r="L2165" s="24" t="str">
        <x:v>입금</x:v>
      </x:c>
      <x:c r="M2165" s="31" t="n">
        <x:f>IF(AND(N2165="미수",G2165&lt;&gt;"",TODAY()&gt;G2165),TODAY()-G2165,0)</x:f>
        <x:v>0</x:v>
      </x:c>
      <x:c r="N2165" s="24" t="str">
        <x:f>IF(J2165&gt;0,"미수",IF(AND(H2165&gt;0,I2165&gt;=H2165),"완납","미확인"))</x:f>
        <x:v>완납</x:v>
      </x:c>
      <x:c r="O2165" s="31" t="n">
        <x:v>104</x:v>
      </x:c>
    </x:row>
    <x:row r="2166" ht="17.25" customHeight="1">
      <x:c r="A2166" s="24" t="str">
        <x:v>SW-B-41호8304-202602</x:v>
      </x:c>
      <x:c r="B2166" s="24" t="str">
        <x:v>스위치플랜</x:v>
      </x:c>
      <x:c r="C2166" s="24" t="str">
        <x:v>SW-C-41호8304-1-NA-105</x:v>
      </x:c>
      <x:c r="D2166" s="24" t="str">
        <x:v>41호8304</x:v>
      </x:c>
      <x:c r="E2166" s="24" t="str"/>
      <x:c r="F2166" s="24" t="str">
        <x:v>2026-02</x:v>
      </x:c>
      <x:c r="G2166" s="30"/>
      <x:c r="H2166" s="32" t="n">
        <x:v>700000</x:v>
      </x:c>
      <x:c r="I2166" s="32" t="n">
        <x:v>700000</x:v>
      </x:c>
      <x:c r="J2166" s="32" t="n">
        <x:v>0</x:v>
      </x:c>
      <x:c r="K2166" s="30" t="n">
        <x:v>46062</x:v>
      </x:c>
      <x:c r="L2166" s="24" t="str">
        <x:v>입금</x:v>
      </x:c>
      <x:c r="M2166" s="31" t="n">
        <x:f>IF(AND(N2166="미수",G2166&lt;&gt;"",TODAY()&gt;G2166),TODAY()-G2166,0)</x:f>
        <x:v>0</x:v>
      </x:c>
      <x:c r="N2166" s="24" t="str">
        <x:f>IF(J2166&gt;0,"미수",IF(AND(H2166&gt;0,I2166&gt;=H2166),"완납","미확인"))</x:f>
        <x:v>완납</x:v>
      </x:c>
      <x:c r="O2166" s="31" t="n">
        <x:v>104</x:v>
      </x:c>
    </x:row>
    <x:row r="2167" ht="17.25" customHeight="1">
      <x:c r="A2167" s="24" t="str">
        <x:v>SW-B-41호8306-202608</x:v>
      </x:c>
      <x:c r="B2167" s="24" t="str">
        <x:v>스위치플랜</x:v>
      </x:c>
      <x:c r="C2167" s="24" t="str">
        <x:v>SW-C-41호8306-1-NA-106</x:v>
      </x:c>
      <x:c r="D2167" s="24" t="str">
        <x:v>41호8306</x:v>
      </x:c>
      <x:c r="E2167" s="24" t="str"/>
      <x:c r="F2167" s="24" t="str">
        <x:v>2026-08</x:v>
      </x:c>
      <x:c r="G2167" s="30"/>
      <x:c r="H2167" s="32" t="n">
        <x:v>0</x:v>
      </x:c>
      <x:c r="I2167" s="32"/>
      <x:c r="J2167" s="32" t="n">
        <x:v>0</x:v>
      </x:c>
      <x:c r="K2167" s="30"/>
      <x:c r="L2167" s="24" t="str"/>
      <x:c r="M2167" s="31" t="n">
        <x:f>IF(AND(N2167="미수",G2167&lt;&gt;"",TODAY()&gt;G2167),TODAY()-G2167,0)</x:f>
        <x:v>0</x:v>
      </x:c>
      <x:c r="N2167" s="24" t="str">
        <x:f>IF(J2167&gt;0,"미수",IF(AND(H2167&gt;0,I2167&gt;=H2167),"완납","미확인"))</x:f>
        <x:v>미확인</x:v>
      </x:c>
      <x:c r="O2167" s="31" t="n">
        <x:v>105</x:v>
      </x:c>
    </x:row>
    <x:row r="2168" ht="17.25" customHeight="1">
      <x:c r="A2168" s="24" t="str">
        <x:v>SW-B-41호8306-202607</x:v>
      </x:c>
      <x:c r="B2168" s="24" t="str">
        <x:v>스위치플랜</x:v>
      </x:c>
      <x:c r="C2168" s="24" t="str">
        <x:v>SW-C-41호8306-1-NA-106</x:v>
      </x:c>
      <x:c r="D2168" s="24" t="str">
        <x:v>41호8306</x:v>
      </x:c>
      <x:c r="E2168" s="24" t="str"/>
      <x:c r="F2168" s="24" t="str">
        <x:v>2026-07</x:v>
      </x:c>
      <x:c r="G2168" s="30"/>
      <x:c r="H2168" s="32" t="n">
        <x:v>0</x:v>
      </x:c>
      <x:c r="I2168" s="32"/>
      <x:c r="J2168" s="32" t="n">
        <x:v>0</x:v>
      </x:c>
      <x:c r="K2168" s="30"/>
      <x:c r="L2168" s="24" t="str"/>
      <x:c r="M2168" s="31" t="n">
        <x:f>IF(AND(N2168="미수",G2168&lt;&gt;"",TODAY()&gt;G2168),TODAY()-G2168,0)</x:f>
        <x:v>0</x:v>
      </x:c>
      <x:c r="N2168" s="24" t="str">
        <x:f>IF(J2168&gt;0,"미수",IF(AND(H2168&gt;0,I2168&gt;=H2168),"완납","미확인"))</x:f>
        <x:v>미확인</x:v>
      </x:c>
      <x:c r="O2168" s="31" t="n">
        <x:v>105</x:v>
      </x:c>
    </x:row>
    <x:row r="2169" ht="17.25" customHeight="1">
      <x:c r="A2169" s="24" t="str">
        <x:v>SW-B-41호8306-202606</x:v>
      </x:c>
      <x:c r="B2169" s="24" t="str">
        <x:v>스위치플랜</x:v>
      </x:c>
      <x:c r="C2169" s="24" t="str">
        <x:v>SW-C-41호8306-1-NA-106</x:v>
      </x:c>
      <x:c r="D2169" s="24" t="str">
        <x:v>41호8306</x:v>
      </x:c>
      <x:c r="E2169" s="24" t="str"/>
      <x:c r="F2169" s="24" t="str">
        <x:v>2026-06</x:v>
      </x:c>
      <x:c r="G2169" s="30"/>
      <x:c r="H2169" s="32" t="n">
        <x:v>0</x:v>
      </x:c>
      <x:c r="I2169" s="32"/>
      <x:c r="J2169" s="32" t="n">
        <x:v>0</x:v>
      </x:c>
      <x:c r="K2169" s="30"/>
      <x:c r="L2169" s="24" t="str"/>
      <x:c r="M2169" s="31" t="n">
        <x:f>IF(AND(N2169="미수",G2169&lt;&gt;"",TODAY()&gt;G2169),TODAY()-G2169,0)</x:f>
        <x:v>0</x:v>
      </x:c>
      <x:c r="N2169" s="24" t="str">
        <x:f>IF(J2169&gt;0,"미수",IF(AND(H2169&gt;0,I2169&gt;=H2169),"완납","미확인"))</x:f>
        <x:v>미확인</x:v>
      </x:c>
      <x:c r="O2169" s="31" t="n">
        <x:v>105</x:v>
      </x:c>
    </x:row>
    <x:row r="2170" ht="17.25" customHeight="1">
      <x:c r="A2170" s="24" t="str">
        <x:v>SW-B-41호8306-202605</x:v>
      </x:c>
      <x:c r="B2170" s="24" t="str">
        <x:v>스위치플랜</x:v>
      </x:c>
      <x:c r="C2170" s="24" t="str">
        <x:v>SW-C-41호8306-1-NA-106</x:v>
      </x:c>
      <x:c r="D2170" s="24" t="str">
        <x:v>41호8306</x:v>
      </x:c>
      <x:c r="E2170" s="24" t="str"/>
      <x:c r="F2170" s="24" t="str">
        <x:v>2026-05</x:v>
      </x:c>
      <x:c r="G2170" s="30"/>
      <x:c r="H2170" s="32" t="n">
        <x:v>700000</x:v>
      </x:c>
      <x:c r="I2170" s="32" t="n">
        <x:v>700000</x:v>
      </x:c>
      <x:c r="J2170" s="32" t="n">
        <x:v>0</x:v>
      </x:c>
      <x:c r="K2170" s="30" t="n">
        <x:v>46150</x:v>
      </x:c>
      <x:c r="L2170" s="24" t="str">
        <x:v>입금</x:v>
      </x:c>
      <x:c r="M2170" s="31" t="n">
        <x:f>IF(AND(N2170="미수",G2170&lt;&gt;"",TODAY()&gt;G2170),TODAY()-G2170,0)</x:f>
        <x:v>0</x:v>
      </x:c>
      <x:c r="N2170" s="24" t="str">
        <x:f>IF(J2170&gt;0,"미수",IF(AND(H2170&gt;0,I2170&gt;=H2170),"완납","미확인"))</x:f>
        <x:v>완납</x:v>
      </x:c>
      <x:c r="O2170" s="31" t="n">
        <x:v>105</x:v>
      </x:c>
    </x:row>
    <x:row r="2171" ht="17.25" customHeight="1">
      <x:c r="A2171" s="24" t="str">
        <x:v>SW-B-41호8306-202604</x:v>
      </x:c>
      <x:c r="B2171" s="24" t="str">
        <x:v>스위치플랜</x:v>
      </x:c>
      <x:c r="C2171" s="24" t="str">
        <x:v>SW-C-41호8306-1-NA-106</x:v>
      </x:c>
      <x:c r="D2171" s="24" t="str">
        <x:v>41호8306</x:v>
      </x:c>
      <x:c r="E2171" s="24" t="str"/>
      <x:c r="F2171" s="24" t="str">
        <x:v>2026-04</x:v>
      </x:c>
      <x:c r="G2171" s="30"/>
      <x:c r="H2171" s="32" t="n">
        <x:v>700000</x:v>
      </x:c>
      <x:c r="I2171" s="32" t="n">
        <x:v>700000</x:v>
      </x:c>
      <x:c r="J2171" s="32" t="n">
        <x:v>0</x:v>
      </x:c>
      <x:c r="K2171" s="30" t="n">
        <x:v>46120</x:v>
      </x:c>
      <x:c r="L2171" s="24" t="str">
        <x:v>입금</x:v>
      </x:c>
      <x:c r="M2171" s="31" t="n">
        <x:f>IF(AND(N2171="미수",G2171&lt;&gt;"",TODAY()&gt;G2171),TODAY()-G2171,0)</x:f>
        <x:v>0</x:v>
      </x:c>
      <x:c r="N2171" s="24" t="str">
        <x:f>IF(J2171&gt;0,"미수",IF(AND(H2171&gt;0,I2171&gt;=H2171),"완납","미확인"))</x:f>
        <x:v>완납</x:v>
      </x:c>
      <x:c r="O2171" s="31" t="n">
        <x:v>105</x:v>
      </x:c>
    </x:row>
    <x:row r="2172" ht="17.25" customHeight="1">
      <x:c r="A2172" s="24" t="str">
        <x:v>SW-B-41호8306-202603</x:v>
      </x:c>
      <x:c r="B2172" s="24" t="str">
        <x:v>스위치플랜</x:v>
      </x:c>
      <x:c r="C2172" s="24" t="str">
        <x:v>SW-C-41호8306-1-NA-106</x:v>
      </x:c>
      <x:c r="D2172" s="24" t="str">
        <x:v>41호8306</x:v>
      </x:c>
      <x:c r="E2172" s="24" t="str"/>
      <x:c r="F2172" s="24" t="str">
        <x:v>2026-03</x:v>
      </x:c>
      <x:c r="G2172" s="30"/>
      <x:c r="H2172" s="32" t="n">
        <x:v>700000</x:v>
      </x:c>
      <x:c r="I2172" s="32" t="n">
        <x:v>700000</x:v>
      </x:c>
      <x:c r="J2172" s="32" t="n">
        <x:v>0</x:v>
      </x:c>
      <x:c r="K2172" s="30" t="n">
        <x:v>46091</x:v>
      </x:c>
      <x:c r="L2172" s="24" t="str">
        <x:v>입금</x:v>
      </x:c>
      <x:c r="M2172" s="31" t="n">
        <x:f>IF(AND(N2172="미수",G2172&lt;&gt;"",TODAY()&gt;G2172),TODAY()-G2172,0)</x:f>
        <x:v>0</x:v>
      </x:c>
      <x:c r="N2172" s="24" t="str">
        <x:f>IF(J2172&gt;0,"미수",IF(AND(H2172&gt;0,I2172&gt;=H2172),"완납","미확인"))</x:f>
        <x:v>완납</x:v>
      </x:c>
      <x:c r="O2172" s="31" t="n">
        <x:v>105</x:v>
      </x:c>
    </x:row>
    <x:row r="2173" ht="17.25" customHeight="1">
      <x:c r="A2173" s="24" t="str">
        <x:v>SW-B-41호8306-202602</x:v>
      </x:c>
      <x:c r="B2173" s="24" t="str">
        <x:v>스위치플랜</x:v>
      </x:c>
      <x:c r="C2173" s="24" t="str">
        <x:v>SW-C-41호8306-1-NA-106</x:v>
      </x:c>
      <x:c r="D2173" s="24" t="str">
        <x:v>41호8306</x:v>
      </x:c>
      <x:c r="E2173" s="24" t="str"/>
      <x:c r="F2173" s="24" t="str">
        <x:v>2026-02</x:v>
      </x:c>
      <x:c r="G2173" s="30"/>
      <x:c r="H2173" s="32" t="n">
        <x:v>0</x:v>
      </x:c>
      <x:c r="I2173" s="32"/>
      <x:c r="J2173" s="32" t="n">
        <x:v>0</x:v>
      </x:c>
      <x:c r="K2173" s="30"/>
      <x:c r="L2173" s="24" t="str"/>
      <x:c r="M2173" s="31" t="n">
        <x:f>IF(AND(N2173="미수",G2173&lt;&gt;"",TODAY()&gt;G2173),TODAY()-G2173,0)</x:f>
        <x:v>0</x:v>
      </x:c>
      <x:c r="N2173" s="24" t="str">
        <x:f>IF(J2173&gt;0,"미수",IF(AND(H2173&gt;0,I2173&gt;=H2173),"완납","미확인"))</x:f>
        <x:v>미확인</x:v>
      </x:c>
      <x:c r="O2173" s="31" t="n">
        <x:v>105</x:v>
      </x:c>
    </x:row>
    <x:row r="2174" ht="17.25" customHeight="1">
      <x:c r="A2174" s="24" t="str">
        <x:v>SW-B-41호8307-202608</x:v>
      </x:c>
      <x:c r="B2174" s="24" t="str">
        <x:v>스위치플랜</x:v>
      </x:c>
      <x:c r="C2174" s="24" t="str">
        <x:v>SW-C-41호8307-1-20260310-107</x:v>
      </x:c>
      <x:c r="D2174" s="24" t="str">
        <x:v>41호8307</x:v>
      </x:c>
      <x:c r="E2174" s="24" t="str">
        <x:v>박진용</x:v>
      </x:c>
      <x:c r="F2174" s="24" t="str">
        <x:v>2026-08</x:v>
      </x:c>
      <x:c r="G2174" s="30" t="n">
        <x:v>46244</x:v>
      </x:c>
      <x:c r="H2174" s="32" t="n">
        <x:v>700000</x:v>
      </x:c>
      <x:c r="I2174" s="32"/>
      <x:c r="J2174" s="32" t="n">
        <x:v>700000</x:v>
      </x:c>
      <x:c r="K2174" s="30"/>
      <x:c r="L2174" s="24" t="str"/>
      <x:c r="M2174" s="31" t="n">
        <x:f>IF(AND(N2174="미수",G2174&lt;&gt;"",TODAY()&gt;G2174),TODAY()-G2174,0)</x:f>
        <x:v>5</x:v>
      </x:c>
      <x:c r="N2174" s="24" t="str">
        <x:f>IF(J2174&gt;0,"미수",IF(AND(H2174&gt;0,I2174&gt;=H2174),"완납","미확인"))</x:f>
        <x:v>미수</x:v>
      </x:c>
      <x:c r="O2174" s="31" t="n">
        <x:v>106</x:v>
      </x:c>
    </x:row>
    <x:row r="2175" ht="17.25" customHeight="1">
      <x:c r="A2175" s="24" t="str">
        <x:v>SW-B-41호8307-202607</x:v>
      </x:c>
      <x:c r="B2175" s="24" t="str">
        <x:v>스위치플랜</x:v>
      </x:c>
      <x:c r="C2175" s="24" t="str">
        <x:v>SW-C-41호8307-1-20260310-107</x:v>
      </x:c>
      <x:c r="D2175" s="24" t="str">
        <x:v>41호8307</x:v>
      </x:c>
      <x:c r="E2175" s="24" t="str">
        <x:v>박진용</x:v>
      </x:c>
      <x:c r="F2175" s="24" t="str">
        <x:v>2026-07</x:v>
      </x:c>
      <x:c r="G2175" s="30" t="n">
        <x:v>46213</x:v>
      </x:c>
      <x:c r="H2175" s="32" t="n">
        <x:v>700000</x:v>
      </x:c>
      <x:c r="I2175" s="32" t="n">
        <x:v>700000</x:v>
      </x:c>
      <x:c r="J2175" s="32" t="n">
        <x:v>0</x:v>
      </x:c>
      <x:c r="K2175" s="30" t="n">
        <x:v>46215</x:v>
      </x:c>
      <x:c r="L2175" s="24" t="str">
        <x:v>입금</x:v>
      </x:c>
      <x:c r="M2175" s="31" t="n">
        <x:f>IF(AND(N2175="미수",G2175&lt;&gt;"",TODAY()&gt;G2175),TODAY()-G2175,0)</x:f>
        <x:v>0</x:v>
      </x:c>
      <x:c r="N2175" s="24" t="str">
        <x:f>IF(J2175&gt;0,"미수",IF(AND(H2175&gt;0,I2175&gt;=H2175),"완납","미확인"))</x:f>
        <x:v>완납</x:v>
      </x:c>
      <x:c r="O2175" s="31" t="n">
        <x:v>106</x:v>
      </x:c>
    </x:row>
    <x:row r="2176" ht="17.25" customHeight="1">
      <x:c r="A2176" s="24" t="str">
        <x:v>SW-B-41호8307-202606</x:v>
      </x:c>
      <x:c r="B2176" s="24" t="str">
        <x:v>스위치플랜</x:v>
      </x:c>
      <x:c r="C2176" s="24" t="str">
        <x:v>SW-C-41호8307-1-20260310-107</x:v>
      </x:c>
      <x:c r="D2176" s="24" t="str">
        <x:v>41호8307</x:v>
      </x:c>
      <x:c r="E2176" s="24" t="str">
        <x:v>박진용</x:v>
      </x:c>
      <x:c r="F2176" s="24" t="str">
        <x:v>2026-06</x:v>
      </x:c>
      <x:c r="G2176" s="30" t="n">
        <x:v>46183</x:v>
      </x:c>
      <x:c r="H2176" s="32" t="n">
        <x:v>700000</x:v>
      </x:c>
      <x:c r="I2176" s="32" t="n">
        <x:v>700000</x:v>
      </x:c>
      <x:c r="J2176" s="32" t="n">
        <x:v>0</x:v>
      </x:c>
      <x:c r="K2176" s="30" t="n">
        <x:v>46183</x:v>
      </x:c>
      <x:c r="L2176" s="24" t="str">
        <x:v>입금</x:v>
      </x:c>
      <x:c r="M2176" s="31" t="n">
        <x:f>IF(AND(N2176="미수",G2176&lt;&gt;"",TODAY()&gt;G2176),TODAY()-G2176,0)</x:f>
        <x:v>0</x:v>
      </x:c>
      <x:c r="N2176" s="24" t="str">
        <x:f>IF(J2176&gt;0,"미수",IF(AND(H2176&gt;0,I2176&gt;=H2176),"완납","미확인"))</x:f>
        <x:v>완납</x:v>
      </x:c>
      <x:c r="O2176" s="31" t="n">
        <x:v>106</x:v>
      </x:c>
    </x:row>
    <x:row r="2177" ht="17.25" customHeight="1">
      <x:c r="A2177" s="24" t="str">
        <x:v>SW-B-41호8307-202605</x:v>
      </x:c>
      <x:c r="B2177" s="24" t="str">
        <x:v>스위치플랜</x:v>
      </x:c>
      <x:c r="C2177" s="24" t="str">
        <x:v>SW-C-41호8307-1-20260310-107</x:v>
      </x:c>
      <x:c r="D2177" s="24" t="str">
        <x:v>41호8307</x:v>
      </x:c>
      <x:c r="E2177" s="24" t="str">
        <x:v>박진용</x:v>
      </x:c>
      <x:c r="F2177" s="24" t="str">
        <x:v>2026-05</x:v>
      </x:c>
      <x:c r="G2177" s="30" t="n">
        <x:v>46152</x:v>
      </x:c>
      <x:c r="H2177" s="32" t="n">
        <x:v>700000</x:v>
      </x:c>
      <x:c r="I2177" s="32" t="n">
        <x:v>700000</x:v>
      </x:c>
      <x:c r="J2177" s="32" t="n">
        <x:v>0</x:v>
      </x:c>
      <x:c r="K2177" s="30" t="n">
        <x:v>46153</x:v>
      </x:c>
      <x:c r="L2177" s="24" t="str">
        <x:v>입금</x:v>
      </x:c>
      <x:c r="M2177" s="31" t="n">
        <x:f>IF(AND(N2177="미수",G2177&lt;&gt;"",TODAY()&gt;G2177),TODAY()-G2177,0)</x:f>
        <x:v>0</x:v>
      </x:c>
      <x:c r="N2177" s="24" t="str">
        <x:f>IF(J2177&gt;0,"미수",IF(AND(H2177&gt;0,I2177&gt;=H2177),"완납","미확인"))</x:f>
        <x:v>완납</x:v>
      </x:c>
      <x:c r="O2177" s="31" t="n">
        <x:v>106</x:v>
      </x:c>
    </x:row>
    <x:row r="2178" ht="17.25" customHeight="1">
      <x:c r="A2178" s="24" t="str">
        <x:v>SW-B-41호8307-202604</x:v>
      </x:c>
      <x:c r="B2178" s="24" t="str">
        <x:v>스위치플랜</x:v>
      </x:c>
      <x:c r="C2178" s="24" t="str">
        <x:v>SW-C-41호8307-1-20260310-107</x:v>
      </x:c>
      <x:c r="D2178" s="24" t="str">
        <x:v>41호8307</x:v>
      </x:c>
      <x:c r="E2178" s="24" t="str">
        <x:v>박진용</x:v>
      </x:c>
      <x:c r="F2178" s="24" t="str">
        <x:v>2026-04</x:v>
      </x:c>
      <x:c r="G2178" s="30" t="n">
        <x:v>46122</x:v>
      </x:c>
      <x:c r="H2178" s="32" t="n">
        <x:v>800000</x:v>
      </x:c>
      <x:c r="I2178" s="32" t="n">
        <x:v>800000</x:v>
      </x:c>
      <x:c r="J2178" s="32" t="n">
        <x:v>0</x:v>
      </x:c>
      <x:c r="K2178" s="30" t="n">
        <x:v>46122</x:v>
      </x:c>
      <x:c r="L2178" s="24" t="str">
        <x:v>입금</x:v>
      </x:c>
      <x:c r="M2178" s="31" t="n">
        <x:f>IF(AND(N2178="미수",G2178&lt;&gt;"",TODAY()&gt;G2178),TODAY()-G2178,0)</x:f>
        <x:v>0</x:v>
      </x:c>
      <x:c r="N2178" s="24" t="str">
        <x:f>IF(J2178&gt;0,"미수",IF(AND(H2178&gt;0,I2178&gt;=H2178),"완납","미확인"))</x:f>
        <x:v>완납</x:v>
      </x:c>
      <x:c r="O2178" s="31" t="n">
        <x:v>106</x:v>
      </x:c>
    </x:row>
    <x:row r="2179" ht="17.25" customHeight="1">
      <x:c r="A2179" s="24" t="str">
        <x:v>SW-B-41호8307-202603</x:v>
      </x:c>
      <x:c r="B2179" s="24" t="str">
        <x:v>스위치플랜</x:v>
      </x:c>
      <x:c r="C2179" s="24" t="str">
        <x:v>SW-C-41호8307-1-20260310-107</x:v>
      </x:c>
      <x:c r="D2179" s="24" t="str">
        <x:v>41호8307</x:v>
      </x:c>
      <x:c r="E2179" s="24" t="str">
        <x:v>박진용</x:v>
      </x:c>
      <x:c r="F2179" s="24" t="str">
        <x:v>2026-03</x:v>
      </x:c>
      <x:c r="G2179" s="30" t="n">
        <x:v>46091</x:v>
      </x:c>
      <x:c r="H2179" s="32" t="n">
        <x:v>800000</x:v>
      </x:c>
      <x:c r="I2179" s="32" t="n">
        <x:v>800000</x:v>
      </x:c>
      <x:c r="J2179" s="32" t="n">
        <x:v>0</x:v>
      </x:c>
      <x:c r="K2179" s="30" t="n">
        <x:v>46090</x:v>
      </x:c>
      <x:c r="L2179" s="24" t="str">
        <x:v>입금</x:v>
      </x:c>
      <x:c r="M2179" s="31" t="n">
        <x:f>IF(AND(N2179="미수",G2179&lt;&gt;"",TODAY()&gt;G2179),TODAY()-G2179,0)</x:f>
        <x:v>0</x:v>
      </x:c>
      <x:c r="N2179" s="24" t="str">
        <x:f>IF(J2179&gt;0,"미수",IF(AND(H2179&gt;0,I2179&gt;=H2179),"완납","미확인"))</x:f>
        <x:v>완납</x:v>
      </x:c>
      <x:c r="O2179" s="31" t="n">
        <x:v>106</x:v>
      </x:c>
    </x:row>
    <x:row r="2180" ht="17.25" customHeight="1">
      <x:c r="A2180" s="24" t="str">
        <x:v>SW-B-41호8307-202602</x:v>
      </x:c>
      <x:c r="B2180" s="24" t="str">
        <x:v>스위치플랜</x:v>
      </x:c>
      <x:c r="C2180" s="24" t="str">
        <x:v>SW-C-41호8307-1-20260310-107</x:v>
      </x:c>
      <x:c r="D2180" s="24" t="str">
        <x:v>41호8307</x:v>
      </x:c>
      <x:c r="E2180" s="24" t="str">
        <x:v>박진용</x:v>
      </x:c>
      <x:c r="F2180" s="24" t="str">
        <x:v>2026-02</x:v>
      </x:c>
      <x:c r="G2180" s="30" t="n">
        <x:v>46063</x:v>
      </x:c>
      <x:c r="H2180" s="32" t="n">
        <x:v>0</x:v>
      </x:c>
      <x:c r="I2180" s="32"/>
      <x:c r="J2180" s="32" t="n">
        <x:v>0</x:v>
      </x:c>
      <x:c r="K2180" s="30"/>
      <x:c r="L2180" s="24" t="str"/>
      <x:c r="M2180" s="31" t="n">
        <x:f>IF(AND(N2180="미수",G2180&lt;&gt;"",TODAY()&gt;G2180),TODAY()-G2180,0)</x:f>
        <x:v>0</x:v>
      </x:c>
      <x:c r="N2180" s="24" t="str">
        <x:f>IF(J2180&gt;0,"미수",IF(AND(H2180&gt;0,I2180&gt;=H2180),"완납","미확인"))</x:f>
        <x:v>미확인</x:v>
      </x:c>
      <x:c r="O2180" s="31" t="n">
        <x:v>106</x:v>
      </x:c>
    </x:row>
    <x:row r="2181" ht="17.25" customHeight="1">
      <x:c r="A2181" s="24" t="str">
        <x:v>SW-B-17하3915-202608</x:v>
      </x:c>
      <x:c r="B2181" s="24" t="str">
        <x:v>스위치플랜</x:v>
      </x:c>
      <x:c r="C2181" s="24" t="str">
        <x:v>SW-C-17하3915-1-20260415-108</x:v>
      </x:c>
      <x:c r="D2181" s="24" t="str">
        <x:v>17하3915</x:v>
      </x:c>
      <x:c r="E2181" s="24" t="str">
        <x:v>천설</x:v>
      </x:c>
      <x:c r="F2181" s="24" t="str">
        <x:v>2026-08</x:v>
      </x:c>
      <x:c r="G2181" s="30" t="n">
        <x:v>46249</x:v>
      </x:c>
      <x:c r="H2181" s="32" t="n">
        <x:v>730000</x:v>
      </x:c>
      <x:c r="I2181" s="32"/>
      <x:c r="J2181" s="32" t="n">
        <x:v>730000</x:v>
      </x:c>
      <x:c r="K2181" s="30"/>
      <x:c r="L2181" s="24" t="str"/>
      <x:c r="M2181" s="31" t="n">
        <x:f>IF(AND(N2181="미수",G2181&lt;&gt;"",TODAY()&gt;G2181),TODAY()-G2181,0)</x:f>
        <x:v>0</x:v>
      </x:c>
      <x:c r="N2181" s="24" t="str">
        <x:f>IF(J2181&gt;0,"미수",IF(AND(H2181&gt;0,I2181&gt;=H2181),"완납","미확인"))</x:f>
        <x:v>미수</x:v>
      </x:c>
      <x:c r="O2181" s="31" t="n">
        <x:v>107</x:v>
      </x:c>
    </x:row>
    <x:row r="2182" ht="17.25" customHeight="1">
      <x:c r="A2182" s="24" t="str">
        <x:v>SW-B-17하3915-202607</x:v>
      </x:c>
      <x:c r="B2182" s="24" t="str">
        <x:v>스위치플랜</x:v>
      </x:c>
      <x:c r="C2182" s="24" t="str">
        <x:v>SW-C-17하3915-1-20260415-108</x:v>
      </x:c>
      <x:c r="D2182" s="24" t="str">
        <x:v>17하3915</x:v>
      </x:c>
      <x:c r="E2182" s="24" t="str">
        <x:v>천설</x:v>
      </x:c>
      <x:c r="F2182" s="24" t="str">
        <x:v>2026-07</x:v>
      </x:c>
      <x:c r="G2182" s="30" t="n">
        <x:v>46218</x:v>
      </x:c>
      <x:c r="H2182" s="32" t="n">
        <x:v>730000</x:v>
      </x:c>
      <x:c r="I2182" s="32" t="n">
        <x:v>730000</x:v>
      </x:c>
      <x:c r="J2182" s="32" t="n">
        <x:v>0</x:v>
      </x:c>
      <x:c r="K2182" s="30" t="n">
        <x:v>46218</x:v>
      </x:c>
      <x:c r="L2182" s="24" t="str">
        <x:v>자동</x:v>
      </x:c>
      <x:c r="M2182" s="31" t="n">
        <x:f>IF(AND(N2182="미수",G2182&lt;&gt;"",TODAY()&gt;G2182),TODAY()-G2182,0)</x:f>
        <x:v>0</x:v>
      </x:c>
      <x:c r="N2182" s="24" t="str">
        <x:f>IF(J2182&gt;0,"미수",IF(AND(H2182&gt;0,I2182&gt;=H2182),"완납","미확인"))</x:f>
        <x:v>완납</x:v>
      </x:c>
      <x:c r="O2182" s="31" t="n">
        <x:v>107</x:v>
      </x:c>
    </x:row>
    <x:row r="2183" ht="17.25" customHeight="1">
      <x:c r="A2183" s="24" t="str">
        <x:v>SW-B-17하3915-202606</x:v>
      </x:c>
      <x:c r="B2183" s="24" t="str">
        <x:v>스위치플랜</x:v>
      </x:c>
      <x:c r="C2183" s="24" t="str">
        <x:v>SW-C-17하3915-1-20260415-108</x:v>
      </x:c>
      <x:c r="D2183" s="24" t="str">
        <x:v>17하3915</x:v>
      </x:c>
      <x:c r="E2183" s="24" t="str">
        <x:v>천설</x:v>
      </x:c>
      <x:c r="F2183" s="24" t="str">
        <x:v>2026-06</x:v>
      </x:c>
      <x:c r="G2183" s="30" t="n">
        <x:v>46188</x:v>
      </x:c>
      <x:c r="H2183" s="32" t="n">
        <x:v>730000</x:v>
      </x:c>
      <x:c r="I2183" s="32" t="n">
        <x:v>730000</x:v>
      </x:c>
      <x:c r="J2183" s="32" t="n">
        <x:v>0</x:v>
      </x:c>
      <x:c r="K2183" s="30" t="n">
        <x:v>46188</x:v>
      </x:c>
      <x:c r="L2183" s="24" t="str">
        <x:v>자동</x:v>
      </x:c>
      <x:c r="M2183" s="31" t="n">
        <x:f>IF(AND(N2183="미수",G2183&lt;&gt;"",TODAY()&gt;G2183),TODAY()-G2183,0)</x:f>
        <x:v>0</x:v>
      </x:c>
      <x:c r="N2183" s="24" t="str">
        <x:f>IF(J2183&gt;0,"미수",IF(AND(H2183&gt;0,I2183&gt;=H2183),"완납","미확인"))</x:f>
        <x:v>완납</x:v>
      </x:c>
      <x:c r="O2183" s="31" t="n">
        <x:v>107</x:v>
      </x:c>
    </x:row>
    <x:row r="2184" ht="17.25" customHeight="1">
      <x:c r="A2184" s="24" t="str">
        <x:v>SW-B-17하3915-202605</x:v>
      </x:c>
      <x:c r="B2184" s="24" t="str">
        <x:v>스위치플랜</x:v>
      </x:c>
      <x:c r="C2184" s="24" t="str">
        <x:v>SW-C-17하3915-1-20260415-108</x:v>
      </x:c>
      <x:c r="D2184" s="24" t="str">
        <x:v>17하3915</x:v>
      </x:c>
      <x:c r="E2184" s="24" t="str">
        <x:v>천설</x:v>
      </x:c>
      <x:c r="F2184" s="24" t="str">
        <x:v>2026-05</x:v>
      </x:c>
      <x:c r="G2184" s="30" t="n">
        <x:v>46157</x:v>
      </x:c>
      <x:c r="H2184" s="32" t="n">
        <x:v>730000</x:v>
      </x:c>
      <x:c r="I2184" s="32" t="n">
        <x:v>730000</x:v>
      </x:c>
      <x:c r="J2184" s="32" t="n">
        <x:v>0</x:v>
      </x:c>
      <x:c r="K2184" s="30" t="n">
        <x:v>46157</x:v>
      </x:c>
      <x:c r="L2184" s="24" t="str">
        <x:v>자동</x:v>
      </x:c>
      <x:c r="M2184" s="31" t="n">
        <x:f>IF(AND(N2184="미수",G2184&lt;&gt;"",TODAY()&gt;G2184),TODAY()-G2184,0)</x:f>
        <x:v>0</x:v>
      </x:c>
      <x:c r="N2184" s="24" t="str">
        <x:f>IF(J2184&gt;0,"미수",IF(AND(H2184&gt;0,I2184&gt;=H2184),"완납","미확인"))</x:f>
        <x:v>완납</x:v>
      </x:c>
      <x:c r="O2184" s="31" t="n">
        <x:v>107</x:v>
      </x:c>
    </x:row>
    <x:row r="2185" ht="17.25" customHeight="1">
      <x:c r="A2185" s="24" t="str">
        <x:v>SW-B-17하3915-202604</x:v>
      </x:c>
      <x:c r="B2185" s="24" t="str">
        <x:v>스위치플랜</x:v>
      </x:c>
      <x:c r="C2185" s="24" t="str">
        <x:v>SW-C-17하3915-1-20260415-108</x:v>
      </x:c>
      <x:c r="D2185" s="24" t="str">
        <x:v>17하3915</x:v>
      </x:c>
      <x:c r="E2185" s="24" t="str">
        <x:v>천설</x:v>
      </x:c>
      <x:c r="F2185" s="24" t="str">
        <x:v>2026-04</x:v>
      </x:c>
      <x:c r="G2185" s="30" t="n">
        <x:v>46127</x:v>
      </x:c>
      <x:c r="H2185" s="32" t="n">
        <x:v>730000</x:v>
      </x:c>
      <x:c r="I2185" s="32" t="n">
        <x:v>730000</x:v>
      </x:c>
      <x:c r="J2185" s="32" t="n">
        <x:v>0</x:v>
      </x:c>
      <x:c r="K2185" s="30" t="n">
        <x:v>46126</x:v>
      </x:c>
      <x:c r="L2185" s="24" t="str">
        <x:v>입금</x:v>
      </x:c>
      <x:c r="M2185" s="31" t="n">
        <x:f>IF(AND(N2185="미수",G2185&lt;&gt;"",TODAY()&gt;G2185),TODAY()-G2185,0)</x:f>
        <x:v>0</x:v>
      </x:c>
      <x:c r="N2185" s="24" t="str">
        <x:f>IF(J2185&gt;0,"미수",IF(AND(H2185&gt;0,I2185&gt;=H2185),"완납","미확인"))</x:f>
        <x:v>완납</x:v>
      </x:c>
      <x:c r="O2185" s="31" t="n">
        <x:v>107</x:v>
      </x:c>
    </x:row>
    <x:row r="2186" ht="17.25" customHeight="1">
      <x:c r="A2186" s="24" t="str">
        <x:v>SW-B-17하3915-202603</x:v>
      </x:c>
      <x:c r="B2186" s="24" t="str">
        <x:v>스위치플랜</x:v>
      </x:c>
      <x:c r="C2186" s="24" t="str">
        <x:v>SW-C-17하3915-1-20260415-108</x:v>
      </x:c>
      <x:c r="D2186" s="24" t="str">
        <x:v>17하3915</x:v>
      </x:c>
      <x:c r="E2186" s="24" t="str">
        <x:v>천설</x:v>
      </x:c>
      <x:c r="F2186" s="24" t="str">
        <x:v>2026-03</x:v>
      </x:c>
      <x:c r="G2186" s="30" t="n">
        <x:v>46096</x:v>
      </x:c>
      <x:c r="H2186" s="32" t="n">
        <x:v>0</x:v>
      </x:c>
      <x:c r="I2186" s="32"/>
      <x:c r="J2186" s="32" t="n">
        <x:v>0</x:v>
      </x:c>
      <x:c r="K2186" s="30"/>
      <x:c r="L2186" s="24" t="str"/>
      <x:c r="M2186" s="31" t="n">
        <x:f>IF(AND(N2186="미수",G2186&lt;&gt;"",TODAY()&gt;G2186),TODAY()-G2186,0)</x:f>
        <x:v>0</x:v>
      </x:c>
      <x:c r="N2186" s="24" t="str">
        <x:f>IF(J2186&gt;0,"미수",IF(AND(H2186&gt;0,I2186&gt;=H2186),"완납","미확인"))</x:f>
        <x:v>미확인</x:v>
      </x:c>
      <x:c r="O2186" s="31" t="n">
        <x:v>107</x:v>
      </x:c>
    </x:row>
    <x:row r="2187" ht="17.25" customHeight="1">
      <x:c r="A2187" s="24" t="str">
        <x:v>SW-B-17하3915-202602</x:v>
      </x:c>
      <x:c r="B2187" s="24" t="str">
        <x:v>스위치플랜</x:v>
      </x:c>
      <x:c r="C2187" s="24" t="str">
        <x:v>SW-C-17하3915-1-20260415-108</x:v>
      </x:c>
      <x:c r="D2187" s="24" t="str">
        <x:v>17하3915</x:v>
      </x:c>
      <x:c r="E2187" s="24" t="str">
        <x:v>천설</x:v>
      </x:c>
      <x:c r="F2187" s="24" t="str">
        <x:v>2026-02</x:v>
      </x:c>
      <x:c r="G2187" s="30" t="n">
        <x:v>46068</x:v>
      </x:c>
      <x:c r="H2187" s="32" t="n">
        <x:v>0</x:v>
      </x:c>
      <x:c r="I2187" s="32"/>
      <x:c r="J2187" s="32" t="n">
        <x:v>0</x:v>
      </x:c>
      <x:c r="K2187" s="30"/>
      <x:c r="L2187" s="24" t="str"/>
      <x:c r="M2187" s="31" t="n">
        <x:f>IF(AND(N2187="미수",G2187&lt;&gt;"",TODAY()&gt;G2187),TODAY()-G2187,0)</x:f>
        <x:v>0</x:v>
      </x:c>
      <x:c r="N2187" s="24" t="str">
        <x:f>IF(J2187&gt;0,"미수",IF(AND(H2187&gt;0,I2187&gt;=H2187),"완납","미확인"))</x:f>
        <x:v>미확인</x:v>
      </x:c>
      <x:c r="O2187" s="31" t="n">
        <x:v>107</x:v>
      </x:c>
    </x:row>
    <x:row r="2188" ht="17.25" customHeight="1">
      <x:c r="A2188" s="24" t="str">
        <x:v>SW-B-17하3922-202608</x:v>
      </x:c>
      <x:c r="B2188" s="24" t="str">
        <x:v>스위치플랜</x:v>
      </x:c>
      <x:c r="C2188" s="24" t="str">
        <x:v>SW-C-17하3922-1-20260227-109</x:v>
      </x:c>
      <x:c r="D2188" s="24" t="str">
        <x:v>17하3922</x:v>
      </x:c>
      <x:c r="E2188" s="24" t="str">
        <x:v>김상호</x:v>
      </x:c>
      <x:c r="F2188" s="24" t="str">
        <x:v>2026-08</x:v>
      </x:c>
      <x:c r="G2188" s="30" t="n">
        <x:v>46259</x:v>
      </x:c>
      <x:c r="H2188" s="32" t="n">
        <x:v>800000</x:v>
      </x:c>
      <x:c r="I2188" s="32"/>
      <x:c r="J2188" s="32" t="n">
        <x:v>1600000</x:v>
      </x:c>
      <x:c r="K2188" s="30"/>
      <x:c r="L2188" s="24" t="str"/>
      <x:c r="M2188" s="31" t="n">
        <x:f>IF(AND(N2188="미수",G2188&lt;&gt;"",TODAY()&gt;G2188),TODAY()-G2188,0)</x:f>
        <x:v>0</x:v>
      </x:c>
      <x:c r="N2188" s="24" t="str">
        <x:f>IF(J2188&gt;0,"미수",IF(AND(H2188&gt;0,I2188&gt;=H2188),"완납","미확인"))</x:f>
        <x:v>미수</x:v>
      </x:c>
      <x:c r="O2188" s="31" t="n">
        <x:v>108</x:v>
      </x:c>
    </x:row>
    <x:row r="2189" ht="17.25" customHeight="1">
      <x:c r="A2189" s="24" t="str">
        <x:v>SW-B-17하3922-202607</x:v>
      </x:c>
      <x:c r="B2189" s="24" t="str">
        <x:v>스위치플랜</x:v>
      </x:c>
      <x:c r="C2189" s="24" t="str">
        <x:v>SW-C-17하3922-1-20260227-109</x:v>
      </x:c>
      <x:c r="D2189" s="24" t="str">
        <x:v>17하3922</x:v>
      </x:c>
      <x:c r="E2189" s="24" t="str">
        <x:v>김상호</x:v>
      </x:c>
      <x:c r="F2189" s="24" t="str">
        <x:v>2026-07</x:v>
      </x:c>
      <x:c r="G2189" s="30" t="n">
        <x:v>46228</x:v>
      </x:c>
      <x:c r="H2189" s="32" t="n">
        <x:v>800000</x:v>
      </x:c>
      <x:c r="I2189" s="32" t="n">
        <x:v>800000</x:v>
      </x:c>
      <x:c r="J2189" s="32" t="n">
        <x:v>800000</x:v>
      </x:c>
      <x:c r="K2189" s="30" t="n">
        <x:v>46213</x:v>
      </x:c>
      <x:c r="L2189" s="24" t="str">
        <x:v>입금</x:v>
      </x:c>
      <x:c r="M2189" s="31" t="n">
        <x:f>IF(AND(N2189="미수",G2189&lt;&gt;"",TODAY()&gt;G2189),TODAY()-G2189,0)</x:f>
        <x:v>21</x:v>
      </x:c>
      <x:c r="N2189" s="24" t="str">
        <x:f>IF(J2189&gt;0,"미수",IF(AND(H2189&gt;0,I2189&gt;=H2189),"완납","미확인"))</x:f>
        <x:v>미수</x:v>
      </x:c>
      <x:c r="O2189" s="31" t="n">
        <x:v>108</x:v>
      </x:c>
    </x:row>
    <x:row r="2190" ht="17.25" customHeight="1">
      <x:c r="A2190" s="24" t="str">
        <x:v>SW-B-17하3922-202606</x:v>
      </x:c>
      <x:c r="B2190" s="24" t="str">
        <x:v>스위치플랜</x:v>
      </x:c>
      <x:c r="C2190" s="24" t="str">
        <x:v>SW-C-17하3922-1-20260227-109</x:v>
      </x:c>
      <x:c r="D2190" s="24" t="str">
        <x:v>17하3922</x:v>
      </x:c>
      <x:c r="E2190" s="24" t="str">
        <x:v>김상호</x:v>
      </x:c>
      <x:c r="F2190" s="24" t="str">
        <x:v>2026-06</x:v>
      </x:c>
      <x:c r="G2190" s="30" t="n">
        <x:v>46198</x:v>
      </x:c>
      <x:c r="H2190" s="32" t="n">
        <x:v>800000</x:v>
      </x:c>
      <x:c r="I2190" s="32"/>
      <x:c r="J2190" s="32" t="n">
        <x:v>800000</x:v>
      </x:c>
      <x:c r="K2190" s="30"/>
      <x:c r="L2190" s="24" t="str"/>
      <x:c r="M2190" s="31" t="n">
        <x:f>IF(AND(N2190="미수",G2190&lt;&gt;"",TODAY()&gt;G2190),TODAY()-G2190,0)</x:f>
        <x:v>51</x:v>
      </x:c>
      <x:c r="N2190" s="24" t="str">
        <x:f>IF(J2190&gt;0,"미수",IF(AND(H2190&gt;0,I2190&gt;=H2190),"완납","미확인"))</x:f>
        <x:v>미수</x:v>
      </x:c>
      <x:c r="O2190" s="31" t="n">
        <x:v>108</x:v>
      </x:c>
    </x:row>
    <x:row r="2191" ht="17.25" customHeight="1">
      <x:c r="A2191" s="24" t="str">
        <x:v>SW-B-17하3922-202605</x:v>
      </x:c>
      <x:c r="B2191" s="24" t="str">
        <x:v>스위치플랜</x:v>
      </x:c>
      <x:c r="C2191" s="24" t="str">
        <x:v>SW-C-17하3922-1-20260227-109</x:v>
      </x:c>
      <x:c r="D2191" s="24" t="str">
        <x:v>17하3922</x:v>
      </x:c>
      <x:c r="E2191" s="24" t="str">
        <x:v>김상호</x:v>
      </x:c>
      <x:c r="F2191" s="24" t="str">
        <x:v>2026-05</x:v>
      </x:c>
      <x:c r="G2191" s="30" t="n">
        <x:v>46167</x:v>
      </x:c>
      <x:c r="H2191" s="32" t="n">
        <x:v>800000</x:v>
      </x:c>
      <x:c r="I2191" s="32" t="n">
        <x:v>800000</x:v>
      </x:c>
      <x:c r="J2191" s="32" t="n">
        <x:v>0</x:v>
      </x:c>
      <x:c r="K2191" s="30" t="n">
        <x:v>46172</x:v>
      </x:c>
      <x:c r="L2191" s="24" t="str">
        <x:v>입금</x:v>
      </x:c>
      <x:c r="M2191" s="31" t="n">
        <x:f>IF(AND(N2191="미수",G2191&lt;&gt;"",TODAY()&gt;G2191),TODAY()-G2191,0)</x:f>
        <x:v>0</x:v>
      </x:c>
      <x:c r="N2191" s="24" t="str">
        <x:f>IF(J2191&gt;0,"미수",IF(AND(H2191&gt;0,I2191&gt;=H2191),"완납","미확인"))</x:f>
        <x:v>완납</x:v>
      </x:c>
      <x:c r="O2191" s="31" t="n">
        <x:v>108</x:v>
      </x:c>
    </x:row>
    <x:row r="2192" ht="17.25" customHeight="1">
      <x:c r="A2192" s="24" t="str">
        <x:v>SW-B-17하3922-202604</x:v>
      </x:c>
      <x:c r="B2192" s="24" t="str">
        <x:v>스위치플랜</x:v>
      </x:c>
      <x:c r="C2192" s="24" t="str">
        <x:v>SW-C-17하3922-1-20260227-109</x:v>
      </x:c>
      <x:c r="D2192" s="24" t="str">
        <x:v>17하3922</x:v>
      </x:c>
      <x:c r="E2192" s="24" t="str">
        <x:v>김상호</x:v>
      </x:c>
      <x:c r="F2192" s="24" t="str">
        <x:v>2026-04</x:v>
      </x:c>
      <x:c r="G2192" s="30" t="n">
        <x:v>46137</x:v>
      </x:c>
      <x:c r="H2192" s="32" t="n">
        <x:v>800000</x:v>
      </x:c>
      <x:c r="I2192" s="32" t="n">
        <x:v>800000</x:v>
      </x:c>
      <x:c r="J2192" s="32" t="n">
        <x:v>0</x:v>
      </x:c>
      <x:c r="K2192" s="30" t="n">
        <x:v>46140</x:v>
      </x:c>
      <x:c r="L2192" s="24" t="str">
        <x:v>입금</x:v>
      </x:c>
      <x:c r="M2192" s="31" t="n">
        <x:f>IF(AND(N2192="미수",G2192&lt;&gt;"",TODAY()&gt;G2192),TODAY()-G2192,0)</x:f>
        <x:v>0</x:v>
      </x:c>
      <x:c r="N2192" s="24" t="str">
        <x:f>IF(J2192&gt;0,"미수",IF(AND(H2192&gt;0,I2192&gt;=H2192),"완납","미확인"))</x:f>
        <x:v>완납</x:v>
      </x:c>
      <x:c r="O2192" s="31" t="n">
        <x:v>108</x:v>
      </x:c>
    </x:row>
    <x:row r="2193" ht="17.25" customHeight="1">
      <x:c r="A2193" s="24" t="str">
        <x:v>SW-B-17하3922-202603</x:v>
      </x:c>
      <x:c r="B2193" s="24" t="str">
        <x:v>스위치플랜</x:v>
      </x:c>
      <x:c r="C2193" s="24" t="str">
        <x:v>SW-C-17하3922-1-20260227-109</x:v>
      </x:c>
      <x:c r="D2193" s="24" t="str">
        <x:v>17하3922</x:v>
      </x:c>
      <x:c r="E2193" s="24" t="str">
        <x:v>김상호</x:v>
      </x:c>
      <x:c r="F2193" s="24" t="str">
        <x:v>2026-03</x:v>
      </x:c>
      <x:c r="G2193" s="30" t="n">
        <x:v>46106</x:v>
      </x:c>
      <x:c r="H2193" s="32" t="n">
        <x:v>800000</x:v>
      </x:c>
      <x:c r="I2193" s="32" t="n">
        <x:v>800000</x:v>
      </x:c>
      <x:c r="J2193" s="32" t="n">
        <x:v>0</x:v>
      </x:c>
      <x:c r="K2193" s="30" t="n">
        <x:v>46110</x:v>
      </x:c>
      <x:c r="L2193" s="24" t="str">
        <x:v>입금</x:v>
      </x:c>
      <x:c r="M2193" s="31" t="n">
        <x:f>IF(AND(N2193="미수",G2193&lt;&gt;"",TODAY()&gt;G2193),TODAY()-G2193,0)</x:f>
        <x:v>0</x:v>
      </x:c>
      <x:c r="N2193" s="24" t="str">
        <x:f>IF(J2193&gt;0,"미수",IF(AND(H2193&gt;0,I2193&gt;=H2193),"완납","미확인"))</x:f>
        <x:v>완납</x:v>
      </x:c>
      <x:c r="O2193" s="31" t="n">
        <x:v>108</x:v>
      </x:c>
    </x:row>
    <x:row r="2194" ht="17.25" customHeight="1">
      <x:c r="A2194" s="24" t="str">
        <x:v>SW-B-17하3922-202602</x:v>
      </x:c>
      <x:c r="B2194" s="24" t="str">
        <x:v>스위치플랜</x:v>
      </x:c>
      <x:c r="C2194" s="24" t="str">
        <x:v>SW-C-17하3922-1-20260227-109</x:v>
      </x:c>
      <x:c r="D2194" s="24" t="str">
        <x:v>17하3922</x:v>
      </x:c>
      <x:c r="E2194" s="24" t="str">
        <x:v>김상호</x:v>
      </x:c>
      <x:c r="F2194" s="24" t="str">
        <x:v>2026-02</x:v>
      </x:c>
      <x:c r="G2194" s="30" t="n">
        <x:v>46078</x:v>
      </x:c>
      <x:c r="H2194" s="32" t="n">
        <x:v>800000</x:v>
      </x:c>
      <x:c r="I2194" s="32" t="n">
        <x:v>800000</x:v>
      </x:c>
      <x:c r="J2194" s="32" t="n">
        <x:v>0</x:v>
      </x:c>
      <x:c r="K2194" s="30" t="n">
        <x:v>46077</x:v>
      </x:c>
      <x:c r="L2194" s="24" t="str">
        <x:v>입금</x:v>
      </x:c>
      <x:c r="M2194" s="31" t="n">
        <x:f>IF(AND(N2194="미수",G2194&lt;&gt;"",TODAY()&gt;G2194),TODAY()-G2194,0)</x:f>
        <x:v>0</x:v>
      </x:c>
      <x:c r="N2194" s="24" t="str">
        <x:f>IF(J2194&gt;0,"미수",IF(AND(H2194&gt;0,I2194&gt;=H2194),"완납","미확인"))</x:f>
        <x:v>완납</x:v>
      </x:c>
      <x:c r="O2194" s="31" t="n">
        <x:v>108</x:v>
      </x:c>
    </x:row>
    <x:row r="2195" ht="17.25" customHeight="1">
      <x:c r="A2195" s="24" t="str">
        <x:v>SW-B-75두7416-202608</x:v>
      </x:c>
      <x:c r="B2195" s="24" t="str">
        <x:v>스위치플랜</x:v>
      </x:c>
      <x:c r="C2195" s="24" t="str">
        <x:v>SW-C-75두7416-1-26-110</x:v>
      </x:c>
      <x:c r="D2195" s="24" t="str">
        <x:v>75두7416</x:v>
      </x:c>
      <x:c r="E2195" s="24" t="str">
        <x:v>이훈7416</x:v>
      </x:c>
      <x:c r="F2195" s="24" t="str">
        <x:v>2026-08</x:v>
      </x:c>
      <x:c r="G2195" s="30"/>
      <x:c r="H2195" s="32" t="n">
        <x:v>630000</x:v>
      </x:c>
      <x:c r="I2195" s="32"/>
      <x:c r="J2195" s="32" t="n">
        <x:v>2520000</x:v>
      </x:c>
      <x:c r="K2195" s="30"/>
      <x:c r="L2195" s="24" t="str"/>
      <x:c r="M2195" s="31" t="n">
        <x:f>IF(AND(N2195="미수",G2195&lt;&gt;"",TODAY()&gt;G2195),TODAY()-G2195,0)</x:f>
        <x:v>0</x:v>
      </x:c>
      <x:c r="N2195" s="24" t="str">
        <x:f>IF(J2195&gt;0,"미수",IF(AND(H2195&gt;0,I2195&gt;=H2195),"완납","미확인"))</x:f>
        <x:v>미수</x:v>
      </x:c>
      <x:c r="O2195" s="31" t="n">
        <x:v>109</x:v>
      </x:c>
    </x:row>
    <x:row r="2196" ht="17.25" customHeight="1">
      <x:c r="A2196" s="24" t="str">
        <x:v>SW-B-75두7416-202607</x:v>
      </x:c>
      <x:c r="B2196" s="24" t="str">
        <x:v>스위치플랜</x:v>
      </x:c>
      <x:c r="C2196" s="24" t="str">
        <x:v>SW-C-75두7416-1-26-110</x:v>
      </x:c>
      <x:c r="D2196" s="24" t="str">
        <x:v>75두7416</x:v>
      </x:c>
      <x:c r="E2196" s="24" t="str">
        <x:v>이훈7416</x:v>
      </x:c>
      <x:c r="F2196" s="24" t="str">
        <x:v>2026-07</x:v>
      </x:c>
      <x:c r="G2196" s="30"/>
      <x:c r="H2196" s="32" t="n">
        <x:v>630000</x:v>
      </x:c>
      <x:c r="I2196" s="32"/>
      <x:c r="J2196" s="32" t="n">
        <x:v>1890000</x:v>
      </x:c>
      <x:c r="K2196" s="30"/>
      <x:c r="L2196" s="24" t="str"/>
      <x:c r="M2196" s="31" t="n">
        <x:f>IF(AND(N2196="미수",G2196&lt;&gt;"",TODAY()&gt;G2196),TODAY()-G2196,0)</x:f>
        <x:v>0</x:v>
      </x:c>
      <x:c r="N2196" s="24" t="str">
        <x:f>IF(J2196&gt;0,"미수",IF(AND(H2196&gt;0,I2196&gt;=H2196),"완납","미확인"))</x:f>
        <x:v>미수</x:v>
      </x:c>
      <x:c r="O2196" s="31" t="n">
        <x:v>109</x:v>
      </x:c>
    </x:row>
    <x:row r="2197" ht="17.25" customHeight="1">
      <x:c r="A2197" s="24" t="str">
        <x:v>SW-B-75두7416-202606</x:v>
      </x:c>
      <x:c r="B2197" s="24" t="str">
        <x:v>스위치플랜</x:v>
      </x:c>
      <x:c r="C2197" s="24" t="str">
        <x:v>SW-C-75두7416-1-26-110</x:v>
      </x:c>
      <x:c r="D2197" s="24" t="str">
        <x:v>75두7416</x:v>
      </x:c>
      <x:c r="E2197" s="24" t="str">
        <x:v>이훈7416</x:v>
      </x:c>
      <x:c r="F2197" s="24" t="str">
        <x:v>2026-06</x:v>
      </x:c>
      <x:c r="G2197" s="30"/>
      <x:c r="H2197" s="32" t="n">
        <x:v>630000</x:v>
      </x:c>
      <x:c r="I2197" s="32"/>
      <x:c r="J2197" s="32" t="n">
        <x:v>1260000</x:v>
      </x:c>
      <x:c r="K2197" s="30"/>
      <x:c r="L2197" s="24" t="str"/>
      <x:c r="M2197" s="31" t="n">
        <x:f>IF(AND(N2197="미수",G2197&lt;&gt;"",TODAY()&gt;G2197),TODAY()-G2197,0)</x:f>
        <x:v>0</x:v>
      </x:c>
      <x:c r="N2197" s="24" t="str">
        <x:f>IF(J2197&gt;0,"미수",IF(AND(H2197&gt;0,I2197&gt;=H2197),"완납","미확인"))</x:f>
        <x:v>미수</x:v>
      </x:c>
      <x:c r="O2197" s="31" t="n">
        <x:v>109</x:v>
      </x:c>
    </x:row>
    <x:row r="2198" ht="17.25" customHeight="1">
      <x:c r="A2198" s="24" t="str">
        <x:v>SW-B-75두7416-202605</x:v>
      </x:c>
      <x:c r="B2198" s="24" t="str">
        <x:v>스위치플랜</x:v>
      </x:c>
      <x:c r="C2198" s="24" t="str">
        <x:v>SW-C-75두7416-1-26-110</x:v>
      </x:c>
      <x:c r="D2198" s="24" t="str">
        <x:v>75두7416</x:v>
      </x:c>
      <x:c r="E2198" s="24" t="str">
        <x:v>이훈7416</x:v>
      </x:c>
      <x:c r="F2198" s="24" t="str">
        <x:v>2026-05</x:v>
      </x:c>
      <x:c r="G2198" s="30"/>
      <x:c r="H2198" s="32" t="n">
        <x:v>630000</x:v>
      </x:c>
      <x:c r="I2198" s="32"/>
      <x:c r="J2198" s="32" t="n">
        <x:v>630000</x:v>
      </x:c>
      <x:c r="K2198" s="30"/>
      <x:c r="L2198" s="24" t="str"/>
      <x:c r="M2198" s="31" t="n">
        <x:f>IF(AND(N2198="미수",G2198&lt;&gt;"",TODAY()&gt;G2198),TODAY()-G2198,0)</x:f>
        <x:v>0</x:v>
      </x:c>
      <x:c r="N2198" s="24" t="str">
        <x:f>IF(J2198&gt;0,"미수",IF(AND(H2198&gt;0,I2198&gt;=H2198),"완납","미확인"))</x:f>
        <x:v>미수</x:v>
      </x:c>
      <x:c r="O2198" s="31" t="n">
        <x:v>109</x:v>
      </x:c>
    </x:row>
    <x:row r="2199" ht="17.25" customHeight="1">
      <x:c r="A2199" s="24" t="str">
        <x:v>SW-B-75두7416-202604</x:v>
      </x:c>
      <x:c r="B2199" s="24" t="str">
        <x:v>스위치플랜</x:v>
      </x:c>
      <x:c r="C2199" s="24" t="str">
        <x:v>SW-C-75두7416-1-26-110</x:v>
      </x:c>
      <x:c r="D2199" s="24" t="str">
        <x:v>75두7416</x:v>
      </x:c>
      <x:c r="E2199" s="24" t="str">
        <x:v>이훈7416</x:v>
      </x:c>
      <x:c r="F2199" s="24" t="str">
        <x:v>2026-04</x:v>
      </x:c>
      <x:c r="G2199" s="30"/>
      <x:c r="H2199" s="32" t="n">
        <x:v>0</x:v>
      </x:c>
      <x:c r="I2199" s="32"/>
      <x:c r="J2199" s="32"/>
      <x:c r="K2199" s="30"/>
      <x:c r="L2199" s="24" t="str"/>
      <x:c r="M2199" s="31" t="n">
        <x:f>IF(AND(N2199="미수",G2199&lt;&gt;"",TODAY()&gt;G2199),TODAY()-G2199,0)</x:f>
        <x:v>0</x:v>
      </x:c>
      <x:c r="N2199" s="24" t="str">
        <x:f>IF(J2199&gt;0,"미수",IF(AND(H2199&gt;0,I2199&gt;=H2199),"완납","미확인"))</x:f>
        <x:v>미확인</x:v>
      </x:c>
      <x:c r="O2199" s="31" t="n">
        <x:v>109</x:v>
      </x:c>
    </x:row>
    <x:row r="2200" ht="17.25" customHeight="1">
      <x:c r="A2200" s="24" t="str">
        <x:v>SW-B-75두7416-202603</x:v>
      </x:c>
      <x:c r="B2200" s="24" t="str">
        <x:v>스위치플랜</x:v>
      </x:c>
      <x:c r="C2200" s="24" t="str">
        <x:v>SW-C-75두7416-1-26-110</x:v>
      </x:c>
      <x:c r="D2200" s="24" t="str">
        <x:v>75두7416</x:v>
      </x:c>
      <x:c r="E2200" s="24" t="str">
        <x:v>이훈7416</x:v>
      </x:c>
      <x:c r="F2200" s="24" t="str">
        <x:v>2026-03</x:v>
      </x:c>
      <x:c r="G2200" s="30"/>
      <x:c r="H2200" s="32" t="n">
        <x:v>0</x:v>
      </x:c>
      <x:c r="I2200" s="32"/>
      <x:c r="J2200" s="32"/>
      <x:c r="K2200" s="30"/>
      <x:c r="L2200" s="24" t="str"/>
      <x:c r="M2200" s="31" t="n">
        <x:f>IF(AND(N2200="미수",G2200&lt;&gt;"",TODAY()&gt;G2200),TODAY()-G2200,0)</x:f>
        <x:v>0</x:v>
      </x:c>
      <x:c r="N2200" s="24" t="str">
        <x:f>IF(J2200&gt;0,"미수",IF(AND(H2200&gt;0,I2200&gt;=H2200),"완납","미확인"))</x:f>
        <x:v>미확인</x:v>
      </x:c>
      <x:c r="O2200" s="31" t="n">
        <x:v>109</x:v>
      </x:c>
    </x:row>
    <x:row r="2201" ht="17.25" customHeight="1">
      <x:c r="A2201" s="24" t="str">
        <x:v>SW-B-75두7416-202602</x:v>
      </x:c>
      <x:c r="B2201" s="24" t="str">
        <x:v>스위치플랜</x:v>
      </x:c>
      <x:c r="C2201" s="24" t="str">
        <x:v>SW-C-75두7416-1-26-110</x:v>
      </x:c>
      <x:c r="D2201" s="24" t="str">
        <x:v>75두7416</x:v>
      </x:c>
      <x:c r="E2201" s="24" t="str">
        <x:v>이훈7416</x:v>
      </x:c>
      <x:c r="F2201" s="24" t="str">
        <x:v>2026-02</x:v>
      </x:c>
      <x:c r="G2201" s="30"/>
      <x:c r="H2201" s="32" t="n">
        <x:v>0</x:v>
      </x:c>
      <x:c r="I2201" s="32"/>
      <x:c r="J2201" s="32"/>
      <x:c r="K2201" s="30"/>
      <x:c r="L2201" s="24" t="str"/>
      <x:c r="M2201" s="31" t="n">
        <x:f>IF(AND(N2201="미수",G2201&lt;&gt;"",TODAY()&gt;G2201),TODAY()-G2201,0)</x:f>
        <x:v>0</x:v>
      </x:c>
      <x:c r="N2201" s="24" t="str">
        <x:f>IF(J2201&gt;0,"미수",IF(AND(H2201&gt;0,I2201&gt;=H2201),"완납","미확인"))</x:f>
        <x:v>미확인</x:v>
      </x:c>
      <x:c r="O2201" s="31" t="n">
        <x:v>109</x:v>
      </x:c>
    </x:row>
    <x:row r="2202" ht="17.25" customHeight="1">
      <x:c r="A2202" s="24" t="str">
        <x:v>PR-B-66어1934-202608</x:v>
      </x:c>
      <x:c r="B2202" s="24" t="str">
        <x:v>프라임구독</x:v>
      </x:c>
      <x:c r="C2202" s="24" t="str">
        <x:v>PR-C-66어1934-1-20220526-183</x:v>
      </x:c>
      <x:c r="D2202" s="24" t="str">
        <x:v>66어1934</x:v>
      </x:c>
      <x:c r="E2202" s="24" t="str">
        <x:v>박진훈</x:v>
      </x:c>
      <x:c r="F2202" s="24" t="str">
        <x:v>2026-08</x:v>
      </x:c>
      <x:c r="G2202" s="30" t="n">
        <x:v>46259</x:v>
      </x:c>
      <x:c r="H2202" s="32"/>
      <x:c r="I2202" s="32"/>
      <x:c r="J2202" s="32" t="n">
        <x:v>2700000</x:v>
      </x:c>
      <x:c r="K2202" s="30"/>
      <x:c r="L2202" s="24" t="str"/>
      <x:c r="M2202" s="31" t="n">
        <x:f>IF(AND(N2202="미수",G2202&lt;&gt;"",TODAY()&gt;G2202),TODAY()-G2202,0)</x:f>
        <x:v>0</x:v>
      </x:c>
      <x:c r="N2202" s="24" t="str">
        <x:f>IF(J2202&gt;0,"미수",IF(AND(H2202&gt;0,I2202&gt;=H2202),"완납","미확인"))</x:f>
        <x:v>미수</x:v>
      </x:c>
      <x:c r="O2202" s="31" t="n">
        <x:v>3</x:v>
      </x:c>
    </x:row>
    <x:row r="2203" ht="17.25" customHeight="1">
      <x:c r="A2203" s="24" t="str">
        <x:v>PR-B-66어1934-202607</x:v>
      </x:c>
      <x:c r="B2203" s="24" t="str">
        <x:v>프라임구독</x:v>
      </x:c>
      <x:c r="C2203" s="24" t="str">
        <x:v>PR-C-66어1934-1-20220526-183</x:v>
      </x:c>
      <x:c r="D2203" s="24" t="str">
        <x:v>66어1934</x:v>
      </x:c>
      <x:c r="E2203" s="24" t="str">
        <x:v>박진훈</x:v>
      </x:c>
      <x:c r="F2203" s="24" t="str">
        <x:v>2026-07</x:v>
      </x:c>
      <x:c r="G2203" s="30" t="n">
        <x:v>46228</x:v>
      </x:c>
      <x:c r="H2203" s="32"/>
      <x:c r="I2203" s="32" t="n">
        <x:v>1000000</x:v>
      </x:c>
      <x:c r="J2203" s="32" t="n">
        <x:v>2700000</x:v>
      </x:c>
      <x:c r="K2203" s="30" t="n">
        <x:v>46212</x:v>
      </x:c>
      <x:c r="L2203" s="24" t="str">
        <x:v>입금</x:v>
      </x:c>
      <x:c r="M2203" s="31" t="n">
        <x:f>IF(AND(N2203="미수",G2203&lt;&gt;"",TODAY()&gt;G2203),TODAY()-G2203,0)</x:f>
        <x:v>21</x:v>
      </x:c>
      <x:c r="N2203" s="24" t="str">
        <x:f>IF(J2203&gt;0,"미수",IF(AND(H2203&gt;0,I2203&gt;=H2203),"완납","미확인"))</x:f>
        <x:v>미수</x:v>
      </x:c>
      <x:c r="O2203" s="31" t="n">
        <x:v>3</x:v>
      </x:c>
    </x:row>
    <x:row r="2204" ht="17.25" customHeight="1">
      <x:c r="A2204" s="24" t="str">
        <x:v>PR-B-66어1934-202606</x:v>
      </x:c>
      <x:c r="B2204" s="24" t="str">
        <x:v>프라임구독</x:v>
      </x:c>
      <x:c r="C2204" s="24" t="str">
        <x:v>PR-C-66어1934-1-20220526-183</x:v>
      </x:c>
      <x:c r="D2204" s="24" t="str">
        <x:v>66어1934</x:v>
      </x:c>
      <x:c r="E2204" s="24" t="str">
        <x:v>박진훈</x:v>
      </x:c>
      <x:c r="F2204" s="24" t="str">
        <x:v>2026-06</x:v>
      </x:c>
      <x:c r="G2204" s="30" t="n">
        <x:v>46198</x:v>
      </x:c>
      <x:c r="H2204" s="32"/>
      <x:c r="I2204" s="32"/>
      <x:c r="J2204" s="32" t="n">
        <x:v>3700000</x:v>
      </x:c>
      <x:c r="K2204" s="30"/>
      <x:c r="L2204" s="24" t="str"/>
      <x:c r="M2204" s="31" t="n">
        <x:f>IF(AND(N2204="미수",G2204&lt;&gt;"",TODAY()&gt;G2204),TODAY()-G2204,0)</x:f>
        <x:v>51</x:v>
      </x:c>
      <x:c r="N2204" s="24" t="str">
        <x:f>IF(J2204&gt;0,"미수",IF(AND(H2204&gt;0,I2204&gt;=H2204),"완납","미확인"))</x:f>
        <x:v>미수</x:v>
      </x:c>
      <x:c r="O2204" s="31" t="n">
        <x:v>3</x:v>
      </x:c>
    </x:row>
    <x:row r="2205" ht="17.25" customHeight="1">
      <x:c r="A2205" s="24" t="str">
        <x:v>PR-B-66어1934-202605</x:v>
      </x:c>
      <x:c r="B2205" s="24" t="str">
        <x:v>프라임구독</x:v>
      </x:c>
      <x:c r="C2205" s="24" t="str">
        <x:v>PR-C-66어1934-1-20220526-183</x:v>
      </x:c>
      <x:c r="D2205" s="24" t="str">
        <x:v>66어1934</x:v>
      </x:c>
      <x:c r="E2205" s="24" t="str">
        <x:v>박진훈</x:v>
      </x:c>
      <x:c r="F2205" s="24" t="str">
        <x:v>2026-05</x:v>
      </x:c>
      <x:c r="G2205" s="30" t="n">
        <x:v>46167</x:v>
      </x:c>
      <x:c r="H2205" s="32"/>
      <x:c r="I2205" s="32"/>
      <x:c r="J2205" s="32" t="n">
        <x:v>3700000</x:v>
      </x:c>
      <x:c r="K2205" s="30"/>
      <x:c r="L2205" s="24" t="str"/>
      <x:c r="M2205" s="31" t="n">
        <x:f>IF(AND(N2205="미수",G2205&lt;&gt;"",TODAY()&gt;G2205),TODAY()-G2205,0)</x:f>
        <x:v>82</x:v>
      </x:c>
      <x:c r="N2205" s="24" t="str">
        <x:f>IF(J2205&gt;0,"미수",IF(AND(H2205&gt;0,I2205&gt;=H2205),"완납","미확인"))</x:f>
        <x:v>미수</x:v>
      </x:c>
      <x:c r="O2205" s="31" t="n">
        <x:v>3</x:v>
      </x:c>
    </x:row>
    <x:row r="2206" ht="17.25" customHeight="1">
      <x:c r="A2206" s="24" t="str">
        <x:v>PR-B-66어1934-202604</x:v>
      </x:c>
      <x:c r="B2206" s="24" t="str">
        <x:v>프라임구독</x:v>
      </x:c>
      <x:c r="C2206" s="24" t="str">
        <x:v>PR-C-66어1934-1-20220526-183</x:v>
      </x:c>
      <x:c r="D2206" s="24" t="str">
        <x:v>66어1934</x:v>
      </x:c>
      <x:c r="E2206" s="24" t="str">
        <x:v>박진훈</x:v>
      </x:c>
      <x:c r="F2206" s="24" t="str">
        <x:v>2026-04</x:v>
      </x:c>
      <x:c r="G2206" s="30" t="n">
        <x:v>46137</x:v>
      </x:c>
      <x:c r="H2206" s="32"/>
      <x:c r="I2206" s="32"/>
      <x:c r="J2206" s="32" t="n">
        <x:v>3700000</x:v>
      </x:c>
      <x:c r="K2206" s="30"/>
      <x:c r="L2206" s="24" t="str"/>
      <x:c r="M2206" s="31" t="n">
        <x:f>IF(AND(N2206="미수",G2206&lt;&gt;"",TODAY()&gt;G2206),TODAY()-G2206,0)</x:f>
        <x:v>112</x:v>
      </x:c>
      <x:c r="N2206" s="24" t="str">
        <x:f>IF(J2206&gt;0,"미수",IF(AND(H2206&gt;0,I2206&gt;=H2206),"완납","미확인"))</x:f>
        <x:v>미수</x:v>
      </x:c>
      <x:c r="O2206" s="31" t="n">
        <x:v>3</x:v>
      </x:c>
    </x:row>
    <x:row r="2207" ht="17.25" customHeight="1">
      <x:c r="A2207" s="24" t="str">
        <x:v>PR-B-66어1934-202603</x:v>
      </x:c>
      <x:c r="B2207" s="24" t="str">
        <x:v>프라임구독</x:v>
      </x:c>
      <x:c r="C2207" s="24" t="str">
        <x:v>PR-C-66어1934-1-20220526-183</x:v>
      </x:c>
      <x:c r="D2207" s="24" t="str">
        <x:v>66어1934</x:v>
      </x:c>
      <x:c r="E2207" s="24" t="str">
        <x:v>박진훈</x:v>
      </x:c>
      <x:c r="F2207" s="24" t="str">
        <x:v>2026-03</x:v>
      </x:c>
      <x:c r="G2207" s="30" t="n">
        <x:v>46106</x:v>
      </x:c>
      <x:c r="H2207" s="32"/>
      <x:c r="I2207" s="32"/>
      <x:c r="J2207" s="32" t="n">
        <x:v>3700000</x:v>
      </x:c>
      <x:c r="K2207" s="30"/>
      <x:c r="L2207" s="24" t="str"/>
      <x:c r="M2207" s="31" t="n">
        <x:f>IF(AND(N2207="미수",G2207&lt;&gt;"",TODAY()&gt;G2207),TODAY()-G2207,0)</x:f>
        <x:v>143</x:v>
      </x:c>
      <x:c r="N2207" s="24" t="str">
        <x:f>IF(J2207&gt;0,"미수",IF(AND(H2207&gt;0,I2207&gt;=H2207),"완납","미확인"))</x:f>
        <x:v>미수</x:v>
      </x:c>
      <x:c r="O2207" s="31" t="n">
        <x:v>3</x:v>
      </x:c>
    </x:row>
    <x:row r="2208" ht="17.25" customHeight="1">
      <x:c r="A2208" s="24" t="str">
        <x:v>PR-B-66어1934-202602</x:v>
      </x:c>
      <x:c r="B2208" s="24" t="str">
        <x:v>프라임구독</x:v>
      </x:c>
      <x:c r="C2208" s="24" t="str">
        <x:v>PR-C-66어1934-1-20220526-183</x:v>
      </x:c>
      <x:c r="D2208" s="24" t="str">
        <x:v>66어1934</x:v>
      </x:c>
      <x:c r="E2208" s="24" t="str">
        <x:v>박진훈</x:v>
      </x:c>
      <x:c r="F2208" s="24" t="str">
        <x:v>2026-02</x:v>
      </x:c>
      <x:c r="G2208" s="30" t="n">
        <x:v>46078</x:v>
      </x:c>
      <x:c r="H2208" s="32"/>
      <x:c r="I2208" s="32"/>
      <x:c r="J2208" s="32" t="n">
        <x:v>3700000</x:v>
      </x:c>
      <x:c r="K2208" s="30"/>
      <x:c r="L2208" s="24" t="str"/>
      <x:c r="M2208" s="31" t="n">
        <x:f>IF(AND(N2208="미수",G2208&lt;&gt;"",TODAY()&gt;G2208),TODAY()-G2208,0)</x:f>
        <x:v>171</x:v>
      </x:c>
      <x:c r="N2208" s="24" t="str">
        <x:f>IF(J2208&gt;0,"미수",IF(AND(H2208&gt;0,I2208&gt;=H2208),"완납","미확인"))</x:f>
        <x:v>미수</x:v>
      </x:c>
      <x:c r="O2208" s="31" t="n">
        <x:v>3</x:v>
      </x:c>
    </x:row>
    <x:row r="2209" ht="17.25" customHeight="1">
      <x:c r="A2209" s="24" t="str">
        <x:v>PR-B-66어1934-202601</x:v>
      </x:c>
      <x:c r="B2209" s="24" t="str">
        <x:v>프라임구독</x:v>
      </x:c>
      <x:c r="C2209" s="24" t="str">
        <x:v>PR-C-66어1934-1-20220526-183</x:v>
      </x:c>
      <x:c r="D2209" s="24" t="str">
        <x:v>66어1934</x:v>
      </x:c>
      <x:c r="E2209" s="24" t="str">
        <x:v>박진훈</x:v>
      </x:c>
      <x:c r="F2209" s="24" t="str">
        <x:v>2026-01</x:v>
      </x:c>
      <x:c r="G2209" s="30" t="n">
        <x:v>46047</x:v>
      </x:c>
      <x:c r="H2209" s="32"/>
      <x:c r="I2209" s="32"/>
      <x:c r="J2209" s="32" t="n">
        <x:v>3700000</x:v>
      </x:c>
      <x:c r="K2209" s="30"/>
      <x:c r="L2209" s="24" t="str"/>
      <x:c r="M2209" s="31" t="n">
        <x:f>IF(AND(N2209="미수",G2209&lt;&gt;"",TODAY()&gt;G2209),TODAY()-G2209,0)</x:f>
        <x:v>202</x:v>
      </x:c>
      <x:c r="N2209" s="24" t="str">
        <x:f>IF(J2209&gt;0,"미수",IF(AND(H2209&gt;0,I2209&gt;=H2209),"완납","미확인"))</x:f>
        <x:v>미수</x:v>
      </x:c>
      <x:c r="O2209" s="31" t="n">
        <x:v>3</x:v>
      </x:c>
    </x:row>
    <x:row r="2210" ht="17.25" customHeight="1">
      <x:c r="A2210" s="24" t="str">
        <x:v>PR-B-66어1934-202512</x:v>
      </x:c>
      <x:c r="B2210" s="24" t="str">
        <x:v>프라임구독</x:v>
      </x:c>
      <x:c r="C2210" s="24" t="str">
        <x:v>PR-C-66어1934-1-20220526-183</x:v>
      </x:c>
      <x:c r="D2210" s="24" t="str">
        <x:v>66어1934</x:v>
      </x:c>
      <x:c r="E2210" s="24" t="str">
        <x:v>박진훈</x:v>
      </x:c>
      <x:c r="F2210" s="24" t="str">
        <x:v>2025-12</x:v>
      </x:c>
      <x:c r="G2210" s="30" t="n">
        <x:v>46016</x:v>
      </x:c>
      <x:c r="H2210" s="32"/>
      <x:c r="I2210" s="32"/>
      <x:c r="J2210" s="32" t="n">
        <x:v>3700000</x:v>
      </x:c>
      <x:c r="K2210" s="30"/>
      <x:c r="L2210" s="24" t="str"/>
      <x:c r="M2210" s="31" t="n">
        <x:f>IF(AND(N2210="미수",G2210&lt;&gt;"",TODAY()&gt;G2210),TODAY()-G2210,0)</x:f>
        <x:v>233</x:v>
      </x:c>
      <x:c r="N2210" s="24" t="str">
        <x:f>IF(J2210&gt;0,"미수",IF(AND(H2210&gt;0,I2210&gt;=H2210),"완납","미확인"))</x:f>
        <x:v>미수</x:v>
      </x:c>
      <x:c r="O2210" s="31" t="n">
        <x:v>3</x:v>
      </x:c>
    </x:row>
    <x:row r="2211" ht="17.25" customHeight="1">
      <x:c r="A2211" s="24" t="str">
        <x:v>PR-B-66어1934-202511</x:v>
      </x:c>
      <x:c r="B2211" s="24" t="str">
        <x:v>프라임구독</x:v>
      </x:c>
      <x:c r="C2211" s="24" t="str">
        <x:v>PR-C-66어1934-1-20220526-183</x:v>
      </x:c>
      <x:c r="D2211" s="24" t="str">
        <x:v>66어1934</x:v>
      </x:c>
      <x:c r="E2211" s="24" t="str">
        <x:v>박진훈</x:v>
      </x:c>
      <x:c r="F2211" s="24" t="str">
        <x:v>2025-11</x:v>
      </x:c>
      <x:c r="G2211" s="30" t="n">
        <x:v>45986</x:v>
      </x:c>
      <x:c r="H2211" s="32" t="n">
        <x:v>0</x:v>
      </x:c>
      <x:c r="I2211" s="32"/>
      <x:c r="J2211" s="32" t="n">
        <x:v>3700000</x:v>
      </x:c>
      <x:c r="K2211" s="30"/>
      <x:c r="L2211" s="24" t="str"/>
      <x:c r="M2211" s="31" t="n">
        <x:f>IF(AND(N2211="미수",G2211&lt;&gt;"",TODAY()&gt;G2211),TODAY()-G2211,0)</x:f>
        <x:v>263</x:v>
      </x:c>
      <x:c r="N2211" s="24" t="str">
        <x:f>IF(J2211&gt;0,"미수",IF(AND(H2211&gt;0,I2211&gt;=H2211),"완납","미확인"))</x:f>
        <x:v>미수</x:v>
      </x:c>
      <x:c r="O2211" s="31" t="n">
        <x:v>3</x:v>
      </x:c>
    </x:row>
    <x:row r="2212" ht="17.25" customHeight="1">
      <x:c r="A2212" s="24" t="str">
        <x:v>PR-B-66어1934-202510</x:v>
      </x:c>
      <x:c r="B2212" s="24" t="str">
        <x:v>프라임구독</x:v>
      </x:c>
      <x:c r="C2212" s="24" t="str">
        <x:v>PR-C-66어1934-1-20220526-183</x:v>
      </x:c>
      <x:c r="D2212" s="24" t="str">
        <x:v>66어1934</x:v>
      </x:c>
      <x:c r="E2212" s="24" t="str">
        <x:v>박진훈</x:v>
      </x:c>
      <x:c r="F2212" s="24" t="str">
        <x:v>2025-10</x:v>
      </x:c>
      <x:c r="G2212" s="30" t="n">
        <x:v>45955</x:v>
      </x:c>
      <x:c r="H2212" s="32" t="n">
        <x:v>0</x:v>
      </x:c>
      <x:c r="I2212" s="32"/>
      <x:c r="J2212" s="32" t="n">
        <x:v>3700000</x:v>
      </x:c>
      <x:c r="K2212" s="30"/>
      <x:c r="L2212" s="24" t="str"/>
      <x:c r="M2212" s="31" t="n">
        <x:f>IF(AND(N2212="미수",G2212&lt;&gt;"",TODAY()&gt;G2212),TODAY()-G2212,0)</x:f>
        <x:v>294</x:v>
      </x:c>
      <x:c r="N2212" s="24" t="str">
        <x:f>IF(J2212&gt;0,"미수",IF(AND(H2212&gt;0,I2212&gt;=H2212),"완납","미확인"))</x:f>
        <x:v>미수</x:v>
      </x:c>
      <x:c r="O2212" s="31" t="n">
        <x:v>3</x:v>
      </x:c>
    </x:row>
    <x:row r="2213" ht="17.25" customHeight="1">
      <x:c r="A2213" s="24" t="str">
        <x:v>PR-B-66어1934-202509</x:v>
      </x:c>
      <x:c r="B2213" s="24" t="str">
        <x:v>프라임구독</x:v>
      </x:c>
      <x:c r="C2213" s="24" t="str">
        <x:v>PR-C-66어1934-1-20220526-183</x:v>
      </x:c>
      <x:c r="D2213" s="24" t="str">
        <x:v>66어1934</x:v>
      </x:c>
      <x:c r="E2213" s="24" t="str">
        <x:v>박진훈</x:v>
      </x:c>
      <x:c r="F2213" s="24" t="str">
        <x:v>2025-09</x:v>
      </x:c>
      <x:c r="G2213" s="30" t="n">
        <x:v>45925</x:v>
      </x:c>
      <x:c r="H2213" s="32" t="n">
        <x:v>0</x:v>
      </x:c>
      <x:c r="I2213" s="32" t="n">
        <x:v>350000</x:v>
      </x:c>
      <x:c r="J2213" s="32" t="n">
        <x:v>3700000</x:v>
      </x:c>
      <x:c r="K2213" s="30" t="n">
        <x:v>45896</x:v>
      </x:c>
      <x:c r="L2213" s="24" t="str">
        <x:v>입금</x:v>
      </x:c>
      <x:c r="M2213" s="31" t="n">
        <x:f>IF(AND(N2213="미수",G2213&lt;&gt;"",TODAY()&gt;G2213),TODAY()-G2213,0)</x:f>
        <x:v>324</x:v>
      </x:c>
      <x:c r="N2213" s="24" t="str">
        <x:f>IF(J2213&gt;0,"미수",IF(AND(H2213&gt;0,I2213&gt;=H2213),"완납","미확인"))</x:f>
        <x:v>미수</x:v>
      </x:c>
      <x:c r="O2213" s="31" t="n">
        <x:v>3</x:v>
      </x:c>
    </x:row>
    <x:row r="2214" ht="17.25" customHeight="1">
      <x:c r="A2214" s="24" t="str">
        <x:v>PR-B-66어1934-202508</x:v>
      </x:c>
      <x:c r="B2214" s="24" t="str">
        <x:v>프라임구독</x:v>
      </x:c>
      <x:c r="C2214" s="24" t="str">
        <x:v>PR-C-66어1934-1-20220526-183</x:v>
      </x:c>
      <x:c r="D2214" s="24" t="str">
        <x:v>66어1934</x:v>
      </x:c>
      <x:c r="E2214" s="24" t="str">
        <x:v>박진훈</x:v>
      </x:c>
      <x:c r="F2214" s="24" t="str">
        <x:v>2025-08</x:v>
      </x:c>
      <x:c r="G2214" s="30" t="n">
        <x:v>45894</x:v>
      </x:c>
      <x:c r="H2214" s="32" t="n">
        <x:v>0</x:v>
      </x:c>
      <x:c r="I2214" s="32"/>
      <x:c r="J2214" s="32" t="n">
        <x:v>4050000</x:v>
      </x:c>
      <x:c r="K2214" s="30"/>
      <x:c r="L2214" s="24" t="str"/>
      <x:c r="M2214" s="31" t="n">
        <x:f>IF(AND(N2214="미수",G2214&lt;&gt;"",TODAY()&gt;G2214),TODAY()-G2214,0)</x:f>
        <x:v>355</x:v>
      </x:c>
      <x:c r="N2214" s="24" t="str">
        <x:f>IF(J2214&gt;0,"미수",IF(AND(H2214&gt;0,I2214&gt;=H2214),"완납","미확인"))</x:f>
        <x:v>미수</x:v>
      </x:c>
      <x:c r="O2214" s="31" t="n">
        <x:v>3</x:v>
      </x:c>
    </x:row>
    <x:row r="2215" ht="17.25" customHeight="1">
      <x:c r="A2215" s="24" t="str">
        <x:v>PR-B-66어1934-202507</x:v>
      </x:c>
      <x:c r="B2215" s="24" t="str">
        <x:v>프라임구독</x:v>
      </x:c>
      <x:c r="C2215" s="24" t="str">
        <x:v>PR-C-66어1934-1-20220526-183</x:v>
      </x:c>
      <x:c r="D2215" s="24" t="str">
        <x:v>66어1934</x:v>
      </x:c>
      <x:c r="E2215" s="24" t="str">
        <x:v>박진훈</x:v>
      </x:c>
      <x:c r="F2215" s="24" t="str">
        <x:v>2025-07</x:v>
      </x:c>
      <x:c r="G2215" s="30" t="n">
        <x:v>45863</x:v>
      </x:c>
      <x:c r="H2215" s="32" t="n">
        <x:v>0</x:v>
      </x:c>
      <x:c r="I2215" s="32"/>
      <x:c r="J2215" s="32" t="n">
        <x:v>4050000</x:v>
      </x:c>
      <x:c r="K2215" s="30"/>
      <x:c r="L2215" s="24" t="str"/>
      <x:c r="M2215" s="31" t="n">
        <x:f>IF(AND(N2215="미수",G2215&lt;&gt;"",TODAY()&gt;G2215),TODAY()-G2215,0)</x:f>
        <x:v>386</x:v>
      </x:c>
      <x:c r="N2215" s="24" t="str">
        <x:f>IF(J2215&gt;0,"미수",IF(AND(H2215&gt;0,I2215&gt;=H2215),"완납","미확인"))</x:f>
        <x:v>미수</x:v>
      </x:c>
      <x:c r="O2215" s="31" t="n">
        <x:v>3</x:v>
      </x:c>
    </x:row>
    <x:row r="2216" ht="17.25" customHeight="1">
      <x:c r="A2216" s="24" t="str">
        <x:v>PR-B-66어1934-202506</x:v>
      </x:c>
      <x:c r="B2216" s="24" t="str">
        <x:v>프라임구독</x:v>
      </x:c>
      <x:c r="C2216" s="24" t="str">
        <x:v>PR-C-66어1934-1-20220526-183</x:v>
      </x:c>
      <x:c r="D2216" s="24" t="str">
        <x:v>66어1934</x:v>
      </x:c>
      <x:c r="E2216" s="24" t="str">
        <x:v>박진훈</x:v>
      </x:c>
      <x:c r="F2216" s="24" t="str">
        <x:v>2025-06</x:v>
      </x:c>
      <x:c r="G2216" s="30" t="n">
        <x:v>45833</x:v>
      </x:c>
      <x:c r="H2216" s="32"/>
      <x:c r="I2216" s="32"/>
      <x:c r="J2216" s="32" t="n">
        <x:v>4050000</x:v>
      </x:c>
      <x:c r="K2216" s="30"/>
      <x:c r="L2216" s="24" t="str"/>
      <x:c r="M2216" s="31" t="n">
        <x:f>IF(AND(N2216="미수",G2216&lt;&gt;"",TODAY()&gt;G2216),TODAY()-G2216,0)</x:f>
        <x:v>416</x:v>
      </x:c>
      <x:c r="N2216" s="24" t="str">
        <x:f>IF(J2216&gt;0,"미수",IF(AND(H2216&gt;0,I2216&gt;=H2216),"완납","미확인"))</x:f>
        <x:v>미수</x:v>
      </x:c>
      <x:c r="O2216" s="31" t="n">
        <x:v>3</x:v>
      </x:c>
    </x:row>
    <x:row r="2217" ht="17.25" customHeight="1">
      <x:c r="A2217" s="24" t="str">
        <x:v>PR-B-66어1934-202505</x:v>
      </x:c>
      <x:c r="B2217" s="24" t="str">
        <x:v>프라임구독</x:v>
      </x:c>
      <x:c r="C2217" s="24" t="str">
        <x:v>PR-C-66어1934-1-20220526-183</x:v>
      </x:c>
      <x:c r="D2217" s="24" t="str">
        <x:v>66어1934</x:v>
      </x:c>
      <x:c r="E2217" s="24" t="str">
        <x:v>박진훈</x:v>
      </x:c>
      <x:c r="F2217" s="24" t="str">
        <x:v>2025-05</x:v>
      </x:c>
      <x:c r="G2217" s="30" t="n">
        <x:v>45802</x:v>
      </x:c>
      <x:c r="H2217" s="32" t="n">
        <x:v>350000</x:v>
      </x:c>
      <x:c r="I2217" s="32" t="n">
        <x:v>350000</x:v>
      </x:c>
      <x:c r="J2217" s="32" t="n">
        <x:v>4050000</x:v>
      </x:c>
      <x:c r="K2217" s="30" t="n">
        <x:v>45800</x:v>
      </x:c>
      <x:c r="L2217" s="24" t="str">
        <x:v>입금</x:v>
      </x:c>
      <x:c r="M2217" s="31" t="n">
        <x:f>IF(AND(N2217="미수",G2217&lt;&gt;"",TODAY()&gt;G2217),TODAY()-G2217,0)</x:f>
        <x:v>447</x:v>
      </x:c>
      <x:c r="N2217" s="24" t="str">
        <x:f>IF(J2217&gt;0,"미수",IF(AND(H2217&gt;0,I2217&gt;=H2217),"완납","미확인"))</x:f>
        <x:v>미수</x:v>
      </x:c>
      <x:c r="O2217" s="31" t="n">
        <x:v>3</x:v>
      </x:c>
    </x:row>
    <x:row r="2218" ht="17.25" customHeight="1">
      <x:c r="A2218" s="24" t="str">
        <x:v>PR-B-66어1934-202504</x:v>
      </x:c>
      <x:c r="B2218" s="24" t="str">
        <x:v>프라임구독</x:v>
      </x:c>
      <x:c r="C2218" s="24" t="str">
        <x:v>PR-C-66어1934-1-20220526-183</x:v>
      </x:c>
      <x:c r="D2218" s="24" t="str">
        <x:v>66어1934</x:v>
      </x:c>
      <x:c r="E2218" s="24" t="str">
        <x:v>박진훈</x:v>
      </x:c>
      <x:c r="F2218" s="24" t="str">
        <x:v>2025-04</x:v>
      </x:c>
      <x:c r="G2218" s="30" t="n">
        <x:v>45772</x:v>
      </x:c>
      <x:c r="H2218" s="32" t="n">
        <x:v>350000</x:v>
      </x:c>
      <x:c r="I2218" s="32" t="n">
        <x:v>350000</x:v>
      </x:c>
      <x:c r="J2218" s="32" t="n">
        <x:v>4050000</x:v>
      </x:c>
      <x:c r="K2218" s="30" t="n">
        <x:v>45765</x:v>
      </x:c>
      <x:c r="L2218" s="24" t="str">
        <x:v>입금</x:v>
      </x:c>
      <x:c r="M2218" s="31" t="n">
        <x:f>IF(AND(N2218="미수",G2218&lt;&gt;"",TODAY()&gt;G2218),TODAY()-G2218,0)</x:f>
        <x:v>477</x:v>
      </x:c>
      <x:c r="N2218" s="24" t="str">
        <x:f>IF(J2218&gt;0,"미수",IF(AND(H2218&gt;0,I2218&gt;=H2218),"완납","미확인"))</x:f>
        <x:v>미수</x:v>
      </x:c>
      <x:c r="O2218" s="31" t="n">
        <x:v>3</x:v>
      </x:c>
    </x:row>
    <x:row r="2219" ht="17.25" customHeight="1">
      <x:c r="A2219" s="24" t="str">
        <x:v>PR-B-66어1934-202503</x:v>
      </x:c>
      <x:c r="B2219" s="24" t="str">
        <x:v>프라임구독</x:v>
      </x:c>
      <x:c r="C2219" s="24" t="str">
        <x:v>PR-C-66어1934-1-20220526-183</x:v>
      </x:c>
      <x:c r="D2219" s="24" t="str">
        <x:v>66어1934</x:v>
      </x:c>
      <x:c r="E2219" s="24" t="str">
        <x:v>박진훈</x:v>
      </x:c>
      <x:c r="F2219" s="24" t="str">
        <x:v>2025-03</x:v>
      </x:c>
      <x:c r="G2219" s="30" t="n">
        <x:v>45741</x:v>
      </x:c>
      <x:c r="H2219" s="32" t="n">
        <x:v>350000</x:v>
      </x:c>
      <x:c r="I2219" s="32"/>
      <x:c r="J2219" s="32" t="n">
        <x:v>4050000</x:v>
      </x:c>
      <x:c r="K2219" s="30"/>
      <x:c r="L2219" s="24" t="str"/>
      <x:c r="M2219" s="31" t="n">
        <x:f>IF(AND(N2219="미수",G2219&lt;&gt;"",TODAY()&gt;G2219),TODAY()-G2219,0)</x:f>
        <x:v>508</x:v>
      </x:c>
      <x:c r="N2219" s="24" t="str">
        <x:f>IF(J2219&gt;0,"미수",IF(AND(H2219&gt;0,I2219&gt;=H2219),"완납","미확인"))</x:f>
        <x:v>미수</x:v>
      </x:c>
      <x:c r="O2219" s="31" t="n">
        <x:v>3</x:v>
      </x:c>
    </x:row>
    <x:row r="2220" ht="17.25" customHeight="1">
      <x:c r="A2220" s="24" t="str">
        <x:v>PR-B-66어1934-202502</x:v>
      </x:c>
      <x:c r="B2220" s="24" t="str">
        <x:v>프라임구독</x:v>
      </x:c>
      <x:c r="C2220" s="24" t="str">
        <x:v>PR-C-66어1934-1-20220526-183</x:v>
      </x:c>
      <x:c r="D2220" s="24" t="str">
        <x:v>66어1934</x:v>
      </x:c>
      <x:c r="E2220" s="24" t="str">
        <x:v>박진훈</x:v>
      </x:c>
      <x:c r="F2220" s="24" t="str">
        <x:v>2025-02</x:v>
      </x:c>
      <x:c r="G2220" s="30" t="n">
        <x:v>45713</x:v>
      </x:c>
      <x:c r="H2220" s="32" t="n">
        <x:v>350000</x:v>
      </x:c>
      <x:c r="I2220" s="32"/>
      <x:c r="J2220" s="32" t="n">
        <x:v>3700000</x:v>
      </x:c>
      <x:c r="K2220" s="30"/>
      <x:c r="L2220" s="24" t="str"/>
      <x:c r="M2220" s="31" t="n">
        <x:f>IF(AND(N2220="미수",G2220&lt;&gt;"",TODAY()&gt;G2220),TODAY()-G2220,0)</x:f>
        <x:v>536</x:v>
      </x:c>
      <x:c r="N2220" s="24" t="str">
        <x:f>IF(J2220&gt;0,"미수",IF(AND(H2220&gt;0,I2220&gt;=H2220),"완납","미확인"))</x:f>
        <x:v>미수</x:v>
      </x:c>
      <x:c r="O2220" s="31" t="n">
        <x:v>3</x:v>
      </x:c>
    </x:row>
    <x:row r="2221" ht="17.25" customHeight="1">
      <x:c r="A2221" s="24" t="str">
        <x:v>PR-B-66어1934-202501</x:v>
      </x:c>
      <x:c r="B2221" s="24" t="str">
        <x:v>프라임구독</x:v>
      </x:c>
      <x:c r="C2221" s="24" t="str">
        <x:v>PR-C-66어1934-1-20220526-183</x:v>
      </x:c>
      <x:c r="D2221" s="24" t="str">
        <x:v>66어1934</x:v>
      </x:c>
      <x:c r="E2221" s="24" t="str">
        <x:v>박진훈</x:v>
      </x:c>
      <x:c r="F2221" s="24" t="str">
        <x:v>2025-01</x:v>
      </x:c>
      <x:c r="G2221" s="30" t="n">
        <x:v>45682</x:v>
      </x:c>
      <x:c r="H2221" s="32" t="n">
        <x:v>350000</x:v>
      </x:c>
      <x:c r="I2221" s="32"/>
      <x:c r="J2221" s="32" t="n">
        <x:v>3350000</x:v>
      </x:c>
      <x:c r="K2221" s="30"/>
      <x:c r="L2221" s="24" t="str"/>
      <x:c r="M2221" s="31" t="n">
        <x:f>IF(AND(N2221="미수",G2221&lt;&gt;"",TODAY()&gt;G2221),TODAY()-G2221,0)</x:f>
        <x:v>567</x:v>
      </x:c>
      <x:c r="N2221" s="24" t="str">
        <x:f>IF(J2221&gt;0,"미수",IF(AND(H2221&gt;0,I2221&gt;=H2221),"완납","미확인"))</x:f>
        <x:v>미수</x:v>
      </x:c>
      <x:c r="O2221" s="31" t="n">
        <x:v>3</x:v>
      </x:c>
    </x:row>
    <x:row r="2222" ht="17.25" customHeight="1">
      <x:c r="A2222" s="24" t="str">
        <x:v>PR-B-66어1934-202412</x:v>
      </x:c>
      <x:c r="B2222" s="24" t="str">
        <x:v>프라임구독</x:v>
      </x:c>
      <x:c r="C2222" s="24" t="str">
        <x:v>PR-C-66어1934-1-20220526-183</x:v>
      </x:c>
      <x:c r="D2222" s="24" t="str">
        <x:v>66어1934</x:v>
      </x:c>
      <x:c r="E2222" s="24" t="str">
        <x:v>박진훈</x:v>
      </x:c>
      <x:c r="F2222" s="24" t="str">
        <x:v>2024-12</x:v>
      </x:c>
      <x:c r="G2222" s="30" t="n">
        <x:v>45651</x:v>
      </x:c>
      <x:c r="H2222" s="32" t="n">
        <x:v>350000</x:v>
      </x:c>
      <x:c r="I2222" s="32"/>
      <x:c r="J2222" s="32" t="n">
        <x:v>3000000</x:v>
      </x:c>
      <x:c r="K2222" s="30"/>
      <x:c r="L2222" s="24" t="str"/>
      <x:c r="M2222" s="31" t="n">
        <x:f>IF(AND(N2222="미수",G2222&lt;&gt;"",TODAY()&gt;G2222),TODAY()-G2222,0)</x:f>
        <x:v>598</x:v>
      </x:c>
      <x:c r="N2222" s="24" t="str">
        <x:f>IF(J2222&gt;0,"미수",IF(AND(H2222&gt;0,I2222&gt;=H2222),"완납","미확인"))</x:f>
        <x:v>미수</x:v>
      </x:c>
      <x:c r="O2222" s="31" t="n">
        <x:v>3</x:v>
      </x:c>
    </x:row>
    <x:row r="2223" ht="17.25" customHeight="1">
      <x:c r="A2223" s="24" t="str">
        <x:v>PR-B-66어1934-202411</x:v>
      </x:c>
      <x:c r="B2223" s="24" t="str">
        <x:v>프라임구독</x:v>
      </x:c>
      <x:c r="C2223" s="24" t="str">
        <x:v>PR-C-66어1934-1-20220526-183</x:v>
      </x:c>
      <x:c r="D2223" s="24" t="str">
        <x:v>66어1934</x:v>
      </x:c>
      <x:c r="E2223" s="24" t="str">
        <x:v>박진훈</x:v>
      </x:c>
      <x:c r="F2223" s="24" t="str">
        <x:v>2024-11</x:v>
      </x:c>
      <x:c r="G2223" s="30" t="n">
        <x:v>45621</x:v>
      </x:c>
      <x:c r="H2223" s="32" t="n">
        <x:v>350000</x:v>
      </x:c>
      <x:c r="I2223" s="32"/>
      <x:c r="J2223" s="32" t="n">
        <x:v>2650000</x:v>
      </x:c>
      <x:c r="K2223" s="30"/>
      <x:c r="L2223" s="24" t="str"/>
      <x:c r="M2223" s="31" t="n">
        <x:f>IF(AND(N2223="미수",G2223&lt;&gt;"",TODAY()&gt;G2223),TODAY()-G2223,0)</x:f>
        <x:v>628</x:v>
      </x:c>
      <x:c r="N2223" s="24" t="str">
        <x:f>IF(J2223&gt;0,"미수",IF(AND(H2223&gt;0,I2223&gt;=H2223),"완납","미확인"))</x:f>
        <x:v>미수</x:v>
      </x:c>
      <x:c r="O2223" s="31" t="n">
        <x:v>3</x:v>
      </x:c>
    </x:row>
    <x:row r="2224" ht="17.25" customHeight="1">
      <x:c r="A2224" s="24" t="str">
        <x:v>PR-B-66어1934-202410</x:v>
      </x:c>
      <x:c r="B2224" s="24" t="str">
        <x:v>프라임구독</x:v>
      </x:c>
      <x:c r="C2224" s="24" t="str">
        <x:v>PR-C-66어1934-1-20220526-183</x:v>
      </x:c>
      <x:c r="D2224" s="24" t="str">
        <x:v>66어1934</x:v>
      </x:c>
      <x:c r="E2224" s="24" t="str">
        <x:v>박진훈</x:v>
      </x:c>
      <x:c r="F2224" s="24" t="str">
        <x:v>2024-10</x:v>
      </x:c>
      <x:c r="G2224" s="30" t="n">
        <x:v>45590</x:v>
      </x:c>
      <x:c r="H2224" s="32" t="n">
        <x:v>350000</x:v>
      </x:c>
      <x:c r="I2224" s="32"/>
      <x:c r="J2224" s="32" t="n">
        <x:v>2300000</x:v>
      </x:c>
      <x:c r="K2224" s="30"/>
      <x:c r="L2224" s="24" t="str"/>
      <x:c r="M2224" s="31" t="n">
        <x:f>IF(AND(N2224="미수",G2224&lt;&gt;"",TODAY()&gt;G2224),TODAY()-G2224,0)</x:f>
        <x:v>659</x:v>
      </x:c>
      <x:c r="N2224" s="24" t="str">
        <x:f>IF(J2224&gt;0,"미수",IF(AND(H2224&gt;0,I2224&gt;=H2224),"완납","미확인"))</x:f>
        <x:v>미수</x:v>
      </x:c>
      <x:c r="O2224" s="31" t="n">
        <x:v>3</x:v>
      </x:c>
    </x:row>
    <x:row r="2225" ht="17.25" customHeight="1">
      <x:c r="A2225" s="24" t="str">
        <x:v>PR-B-66어1934-202409</x:v>
      </x:c>
      <x:c r="B2225" s="24" t="str">
        <x:v>프라임구독</x:v>
      </x:c>
      <x:c r="C2225" s="24" t="str">
        <x:v>PR-C-66어1934-1-20220526-183</x:v>
      </x:c>
      <x:c r="D2225" s="24" t="str">
        <x:v>66어1934</x:v>
      </x:c>
      <x:c r="E2225" s="24" t="str">
        <x:v>박진훈</x:v>
      </x:c>
      <x:c r="F2225" s="24" t="str">
        <x:v>2024-09</x:v>
      </x:c>
      <x:c r="G2225" s="30" t="n">
        <x:v>45560</x:v>
      </x:c>
      <x:c r="H2225" s="32" t="n">
        <x:v>350000</x:v>
      </x:c>
      <x:c r="I2225" s="32"/>
      <x:c r="J2225" s="32" t="n">
        <x:v>1950000</x:v>
      </x:c>
      <x:c r="K2225" s="30"/>
      <x:c r="L2225" s="24" t="str"/>
      <x:c r="M2225" s="31" t="n">
        <x:f>IF(AND(N2225="미수",G2225&lt;&gt;"",TODAY()&gt;G2225),TODAY()-G2225,0)</x:f>
        <x:v>689</x:v>
      </x:c>
      <x:c r="N2225" s="24" t="str">
        <x:f>IF(J2225&gt;0,"미수",IF(AND(H2225&gt;0,I2225&gt;=H2225),"완납","미확인"))</x:f>
        <x:v>미수</x:v>
      </x:c>
      <x:c r="O2225" s="31" t="n">
        <x:v>3</x:v>
      </x:c>
    </x:row>
    <x:row r="2226" ht="17.25" customHeight="1">
      <x:c r="A2226" s="24" t="str">
        <x:v>PR-B-66어1934-202408</x:v>
      </x:c>
      <x:c r="B2226" s="24" t="str">
        <x:v>프라임구독</x:v>
      </x:c>
      <x:c r="C2226" s="24" t="str">
        <x:v>PR-C-66어1934-1-20220526-183</x:v>
      </x:c>
      <x:c r="D2226" s="24" t="str">
        <x:v>66어1934</x:v>
      </x:c>
      <x:c r="E2226" s="24" t="str">
        <x:v>박진훈</x:v>
      </x:c>
      <x:c r="F2226" s="24" t="str">
        <x:v>2024-08</x:v>
      </x:c>
      <x:c r="G2226" s="30" t="n">
        <x:v>45529</x:v>
      </x:c>
      <x:c r="H2226" s="32" t="n">
        <x:v>350000</x:v>
      </x:c>
      <x:c r="I2226" s="32"/>
      <x:c r="J2226" s="32" t="n">
        <x:v>1600000</x:v>
      </x:c>
      <x:c r="K2226" s="30"/>
      <x:c r="L2226" s="24" t="str"/>
      <x:c r="M2226" s="31" t="n">
        <x:f>IF(AND(N2226="미수",G2226&lt;&gt;"",TODAY()&gt;G2226),TODAY()-G2226,0)</x:f>
        <x:v>720</x:v>
      </x:c>
      <x:c r="N2226" s="24" t="str">
        <x:f>IF(J2226&gt;0,"미수",IF(AND(H2226&gt;0,I2226&gt;=H2226),"완납","미확인"))</x:f>
        <x:v>미수</x:v>
      </x:c>
      <x:c r="O2226" s="31" t="n">
        <x:v>3</x:v>
      </x:c>
    </x:row>
    <x:row r="2227" ht="17.25" customHeight="1">
      <x:c r="A2227" s="24" t="str">
        <x:v>PR-B-66어1934-202407</x:v>
      </x:c>
      <x:c r="B2227" s="24" t="str">
        <x:v>프라임구독</x:v>
      </x:c>
      <x:c r="C2227" s="24" t="str">
        <x:v>PR-C-66어1934-1-20220526-183</x:v>
      </x:c>
      <x:c r="D2227" s="24" t="str">
        <x:v>66어1934</x:v>
      </x:c>
      <x:c r="E2227" s="24" t="str">
        <x:v>박진훈</x:v>
      </x:c>
      <x:c r="F2227" s="24" t="str">
        <x:v>2024-07</x:v>
      </x:c>
      <x:c r="G2227" s="30" t="n">
        <x:v>45498</x:v>
      </x:c>
      <x:c r="H2227" s="32" t="n">
        <x:v>1250000</x:v>
      </x:c>
      <x:c r="I2227" s="32"/>
      <x:c r="J2227" s="32" t="n">
        <x:v>1250000</x:v>
      </x:c>
      <x:c r="K2227" s="30"/>
      <x:c r="L2227" s="24" t="str"/>
      <x:c r="M2227" s="31" t="n">
        <x:f>IF(AND(N2227="미수",G2227&lt;&gt;"",TODAY()&gt;G2227),TODAY()-G2227,0)</x:f>
        <x:v>751</x:v>
      </x:c>
      <x:c r="N2227" s="24" t="str">
        <x:f>IF(J2227&gt;0,"미수",IF(AND(H2227&gt;0,I2227&gt;=H2227),"완납","미확인"))</x:f>
        <x:v>미수</x:v>
      </x:c>
      <x:c r="O2227" s="31" t="n">
        <x:v>3</x:v>
      </x:c>
    </x:row>
    <x:row r="2228" ht="17.25" customHeight="1">
      <x:c r="A2228" s="24" t="str">
        <x:v>PR-B-66어1934-202406</x:v>
      </x:c>
      <x:c r="B2228" s="24" t="str">
        <x:v>프라임구독</x:v>
      </x:c>
      <x:c r="C2228" s="24" t="str">
        <x:v>PR-C-66어1934-1-20220526-183</x:v>
      </x:c>
      <x:c r="D2228" s="24" t="str">
        <x:v>66어1934</x:v>
      </x:c>
      <x:c r="E2228" s="24" t="str">
        <x:v>박진훈</x:v>
      </x:c>
      <x:c r="F2228" s="24" t="str">
        <x:v>2024-06</x:v>
      </x:c>
      <x:c r="G2228" s="30" t="n">
        <x:v>45468</x:v>
      </x:c>
      <x:c r="H2228" s="32"/>
      <x:c r="I2228" s="32"/>
      <x:c r="J2228" s="32" t="n">
        <x:v>0</x:v>
      </x:c>
      <x:c r="K2228" s="30"/>
      <x:c r="L2228" s="24" t="str"/>
      <x:c r="M2228" s="31" t="n">
        <x:f>IF(AND(N2228="미수",G2228&lt;&gt;"",TODAY()&gt;G2228),TODAY()-G2228,0)</x:f>
        <x:v>0</x:v>
      </x:c>
      <x:c r="N2228" s="24" t="str">
        <x:f>IF(J2228&gt;0,"미수",IF(AND(H2228&gt;0,I2228&gt;=H2228),"완납","미확인"))</x:f>
        <x:v>미확인</x:v>
      </x:c>
      <x:c r="O2228" s="31" t="n">
        <x:v>3</x:v>
      </x:c>
    </x:row>
    <x:row r="2229" ht="17.25" customHeight="1">
      <x:c r="A2229" s="24" t="str">
        <x:v>PR-B-66어1934-202405</x:v>
      </x:c>
      <x:c r="B2229" s="24" t="str">
        <x:v>프라임구독</x:v>
      </x:c>
      <x:c r="C2229" s="24" t="str">
        <x:v>PR-C-66어1934-1-20220526-183</x:v>
      </x:c>
      <x:c r="D2229" s="24" t="str">
        <x:v>66어1934</x:v>
      </x:c>
      <x:c r="E2229" s="24" t="str">
        <x:v>박진훈</x:v>
      </x:c>
      <x:c r="F2229" s="24" t="str">
        <x:v>2024-05</x:v>
      </x:c>
      <x:c r="G2229" s="30" t="n">
        <x:v>45437</x:v>
      </x:c>
      <x:c r="H2229" s="32"/>
      <x:c r="I2229" s="32"/>
      <x:c r="J2229" s="32" t="n">
        <x:v>0</x:v>
      </x:c>
      <x:c r="K2229" s="30"/>
      <x:c r="L2229" s="24" t="str"/>
      <x:c r="M2229" s="31" t="n">
        <x:f>IF(AND(N2229="미수",G2229&lt;&gt;"",TODAY()&gt;G2229),TODAY()-G2229,0)</x:f>
        <x:v>0</x:v>
      </x:c>
      <x:c r="N2229" s="24" t="str">
        <x:f>IF(J2229&gt;0,"미수",IF(AND(H2229&gt;0,I2229&gt;=H2229),"완납","미확인"))</x:f>
        <x:v>미확인</x:v>
      </x:c>
      <x:c r="O2229" s="31" t="n">
        <x:v>3</x:v>
      </x:c>
    </x:row>
    <x:row r="2230" ht="17.25" customHeight="1">
      <x:c r="A2230" s="24" t="str">
        <x:v>PR-B-27오1144-202608</x:v>
      </x:c>
      <x:c r="B2230" s="24" t="str">
        <x:v>프라임구독</x:v>
      </x:c>
      <x:c r="C2230" s="24" t="str">
        <x:v>PR-C-27오1144-1-20220708-104</x:v>
      </x:c>
      <x:c r="D2230" s="24" t="str">
        <x:v>27오1144</x:v>
      </x:c>
      <x:c r="E2230" s="24" t="str">
        <x:v>김현규</x:v>
      </x:c>
      <x:c r="F2230" s="24" t="str">
        <x:v>2026-08</x:v>
      </x:c>
      <x:c r="G2230" s="30" t="n">
        <x:v>46254</x:v>
      </x:c>
      <x:c r="H2230" s="32"/>
      <x:c r="I2230" s="32"/>
      <x:c r="J2230" s="32" t="n">
        <x:v>0</x:v>
      </x:c>
      <x:c r="K2230" s="30"/>
      <x:c r="L2230" s="24" t="str"/>
      <x:c r="M2230" s="31" t="n">
        <x:f>IF(AND(N2230="미수",G2230&lt;&gt;"",TODAY()&gt;G2230),TODAY()-G2230,0)</x:f>
        <x:v>0</x:v>
      </x:c>
      <x:c r="N2230" s="24" t="str">
        <x:f>IF(J2230&gt;0,"미수",IF(AND(H2230&gt;0,I2230&gt;=H2230),"완납","미확인"))</x:f>
        <x:v>미확인</x:v>
      </x:c>
      <x:c r="O2230" s="31" t="n">
        <x:v>4</x:v>
      </x:c>
    </x:row>
    <x:row r="2231" ht="17.25" customHeight="1">
      <x:c r="A2231" s="24" t="str">
        <x:v>PR-B-27오1144-202607</x:v>
      </x:c>
      <x:c r="B2231" s="24" t="str">
        <x:v>프라임구독</x:v>
      </x:c>
      <x:c r="C2231" s="24" t="str">
        <x:v>PR-C-27오1144-1-20220708-104</x:v>
      </x:c>
      <x:c r="D2231" s="24" t="str">
        <x:v>27오1144</x:v>
      </x:c>
      <x:c r="E2231" s="24" t="str">
        <x:v>김현규</x:v>
      </x:c>
      <x:c r="F2231" s="24" t="str">
        <x:v>2026-07</x:v>
      </x:c>
      <x:c r="G2231" s="30" t="n">
        <x:v>46223</x:v>
      </x:c>
      <x:c r="H2231" s="32"/>
      <x:c r="I2231" s="32"/>
      <x:c r="J2231" s="32" t="n">
        <x:v>0</x:v>
      </x:c>
      <x:c r="K2231" s="30"/>
      <x:c r="L2231" s="24" t="str"/>
      <x:c r="M2231" s="31" t="n">
        <x:f>IF(AND(N2231="미수",G2231&lt;&gt;"",TODAY()&gt;G2231),TODAY()-G2231,0)</x:f>
        <x:v>0</x:v>
      </x:c>
      <x:c r="N2231" s="24" t="str">
        <x:f>IF(J2231&gt;0,"미수",IF(AND(H2231&gt;0,I2231&gt;=H2231),"완납","미확인"))</x:f>
        <x:v>미확인</x:v>
      </x:c>
      <x:c r="O2231" s="31" t="n">
        <x:v>4</x:v>
      </x:c>
    </x:row>
    <x:row r="2232" ht="17.25" customHeight="1">
      <x:c r="A2232" s="24" t="str">
        <x:v>PR-B-27오1144-202606</x:v>
      </x:c>
      <x:c r="B2232" s="24" t="str">
        <x:v>프라임구독</x:v>
      </x:c>
      <x:c r="C2232" s="24" t="str">
        <x:v>PR-C-27오1144-1-20220708-104</x:v>
      </x:c>
      <x:c r="D2232" s="24" t="str">
        <x:v>27오1144</x:v>
      </x:c>
      <x:c r="E2232" s="24" t="str">
        <x:v>김현규</x:v>
      </x:c>
      <x:c r="F2232" s="24" t="str">
        <x:v>2026-06</x:v>
      </x:c>
      <x:c r="G2232" s="30" t="n">
        <x:v>46193</x:v>
      </x:c>
      <x:c r="H2232" s="32"/>
      <x:c r="I2232" s="32"/>
      <x:c r="J2232" s="32" t="n">
        <x:v>0</x:v>
      </x:c>
      <x:c r="K2232" s="30"/>
      <x:c r="L2232" s="24" t="str"/>
      <x:c r="M2232" s="31" t="n">
        <x:f>IF(AND(N2232="미수",G2232&lt;&gt;"",TODAY()&gt;G2232),TODAY()-G2232,0)</x:f>
        <x:v>0</x:v>
      </x:c>
      <x:c r="N2232" s="24" t="str">
        <x:f>IF(J2232&gt;0,"미수",IF(AND(H2232&gt;0,I2232&gt;=H2232),"완납","미확인"))</x:f>
        <x:v>미확인</x:v>
      </x:c>
      <x:c r="O2232" s="31" t="n">
        <x:v>4</x:v>
      </x:c>
    </x:row>
    <x:row r="2233" ht="17.25" customHeight="1">
      <x:c r="A2233" s="24" t="str">
        <x:v>PR-B-27오1144-202605</x:v>
      </x:c>
      <x:c r="B2233" s="24" t="str">
        <x:v>프라임구독</x:v>
      </x:c>
      <x:c r="C2233" s="24" t="str">
        <x:v>PR-C-27오1144-1-20220708-104</x:v>
      </x:c>
      <x:c r="D2233" s="24" t="str">
        <x:v>27오1144</x:v>
      </x:c>
      <x:c r="E2233" s="24" t="str">
        <x:v>김현규</x:v>
      </x:c>
      <x:c r="F2233" s="24" t="str">
        <x:v>2026-05</x:v>
      </x:c>
      <x:c r="G2233" s="30" t="n">
        <x:v>46162</x:v>
      </x:c>
      <x:c r="H2233" s="32"/>
      <x:c r="I2233" s="32"/>
      <x:c r="J2233" s="32" t="n">
        <x:v>0</x:v>
      </x:c>
      <x:c r="K2233" s="30"/>
      <x:c r="L2233" s="24" t="str"/>
      <x:c r="M2233" s="31" t="n">
        <x:f>IF(AND(N2233="미수",G2233&lt;&gt;"",TODAY()&gt;G2233),TODAY()-G2233,0)</x:f>
        <x:v>0</x:v>
      </x:c>
      <x:c r="N2233" s="24" t="str">
        <x:f>IF(J2233&gt;0,"미수",IF(AND(H2233&gt;0,I2233&gt;=H2233),"완납","미확인"))</x:f>
        <x:v>미확인</x:v>
      </x:c>
      <x:c r="O2233" s="31" t="n">
        <x:v>4</x:v>
      </x:c>
    </x:row>
    <x:row r="2234" ht="17.25" customHeight="1">
      <x:c r="A2234" s="24" t="str">
        <x:v>PR-B-27오1144-202604</x:v>
      </x:c>
      <x:c r="B2234" s="24" t="str">
        <x:v>프라임구독</x:v>
      </x:c>
      <x:c r="C2234" s="24" t="str">
        <x:v>PR-C-27오1144-1-20220708-104</x:v>
      </x:c>
      <x:c r="D2234" s="24" t="str">
        <x:v>27오1144</x:v>
      </x:c>
      <x:c r="E2234" s="24" t="str">
        <x:v>김현규</x:v>
      </x:c>
      <x:c r="F2234" s="24" t="str">
        <x:v>2026-04</x:v>
      </x:c>
      <x:c r="G2234" s="30" t="n">
        <x:v>46132</x:v>
      </x:c>
      <x:c r="H2234" s="32"/>
      <x:c r="I2234" s="32"/>
      <x:c r="J2234" s="32" t="n">
        <x:v>0</x:v>
      </x:c>
      <x:c r="K2234" s="30"/>
      <x:c r="L2234" s="24" t="str"/>
      <x:c r="M2234" s="31" t="n">
        <x:f>IF(AND(N2234="미수",G2234&lt;&gt;"",TODAY()&gt;G2234),TODAY()-G2234,0)</x:f>
        <x:v>0</x:v>
      </x:c>
      <x:c r="N2234" s="24" t="str">
        <x:f>IF(J2234&gt;0,"미수",IF(AND(H2234&gt;0,I2234&gt;=H2234),"완납","미확인"))</x:f>
        <x:v>미확인</x:v>
      </x:c>
      <x:c r="O2234" s="31" t="n">
        <x:v>4</x:v>
      </x:c>
    </x:row>
    <x:row r="2235" ht="17.25" customHeight="1">
      <x:c r="A2235" s="24" t="str">
        <x:v>PR-B-27오1144-202603</x:v>
      </x:c>
      <x:c r="B2235" s="24" t="str">
        <x:v>프라임구독</x:v>
      </x:c>
      <x:c r="C2235" s="24" t="str">
        <x:v>PR-C-27오1144-1-20220708-104</x:v>
      </x:c>
      <x:c r="D2235" s="24" t="str">
        <x:v>27오1144</x:v>
      </x:c>
      <x:c r="E2235" s="24" t="str">
        <x:v>김현규</x:v>
      </x:c>
      <x:c r="F2235" s="24" t="str">
        <x:v>2026-03</x:v>
      </x:c>
      <x:c r="G2235" s="30" t="n">
        <x:v>46101</x:v>
      </x:c>
      <x:c r="H2235" s="32"/>
      <x:c r="I2235" s="32" t="n">
        <x:v>1150000</x:v>
      </x:c>
      <x:c r="J2235" s="32" t="n">
        <x:v>0</x:v>
      </x:c>
      <x:c r="K2235" s="30" t="n">
        <x:v>46093</x:v>
      </x:c>
      <x:c r="L2235" s="24" t="str">
        <x:v>입금</x:v>
      </x:c>
      <x:c r="M2235" s="31" t="n">
        <x:f>IF(AND(N2235="미수",G2235&lt;&gt;"",TODAY()&gt;G2235),TODAY()-G2235,0)</x:f>
        <x:v>0</x:v>
      </x:c>
      <x:c r="N2235" s="24" t="str">
        <x:f>IF(J2235&gt;0,"미수",IF(AND(H2235&gt;0,I2235&gt;=H2235),"완납","미확인"))</x:f>
        <x:v>미확인</x:v>
      </x:c>
      <x:c r="O2235" s="31" t="n">
        <x:v>4</x:v>
      </x:c>
    </x:row>
    <x:row r="2236" ht="17.25" customHeight="1">
      <x:c r="A2236" s="24" t="str">
        <x:v>PR-B-27오1144-202602</x:v>
      </x:c>
      <x:c r="B2236" s="24" t="str">
        <x:v>프라임구독</x:v>
      </x:c>
      <x:c r="C2236" s="24" t="str">
        <x:v>PR-C-27오1144-1-20220708-104</x:v>
      </x:c>
      <x:c r="D2236" s="24" t="str">
        <x:v>27오1144</x:v>
      </x:c>
      <x:c r="E2236" s="24" t="str">
        <x:v>김현규</x:v>
      </x:c>
      <x:c r="F2236" s="24" t="str">
        <x:v>2026-02</x:v>
      </x:c>
      <x:c r="G2236" s="30" t="n">
        <x:v>46073</x:v>
      </x:c>
      <x:c r="H2236" s="32"/>
      <x:c r="I2236" s="32"/>
      <x:c r="J2236" s="32" t="n">
        <x:v>1150000</x:v>
      </x:c>
      <x:c r="K2236" s="30"/>
      <x:c r="L2236" s="24" t="str"/>
      <x:c r="M2236" s="31" t="n">
        <x:f>IF(AND(N2236="미수",G2236&lt;&gt;"",TODAY()&gt;G2236),TODAY()-G2236,0)</x:f>
        <x:v>176</x:v>
      </x:c>
      <x:c r="N2236" s="24" t="str">
        <x:f>IF(J2236&gt;0,"미수",IF(AND(H2236&gt;0,I2236&gt;=H2236),"완납","미확인"))</x:f>
        <x:v>미수</x:v>
      </x:c>
      <x:c r="O2236" s="31" t="n">
        <x:v>4</x:v>
      </x:c>
    </x:row>
    <x:row r="2237" ht="17.25" customHeight="1">
      <x:c r="A2237" s="24" t="str">
        <x:v>PR-B-27오1144-202601</x:v>
      </x:c>
      <x:c r="B2237" s="24" t="str">
        <x:v>프라임구독</x:v>
      </x:c>
      <x:c r="C2237" s="24" t="str">
        <x:v>PR-C-27오1144-1-20220708-104</x:v>
      </x:c>
      <x:c r="D2237" s="24" t="str">
        <x:v>27오1144</x:v>
      </x:c>
      <x:c r="E2237" s="24" t="str">
        <x:v>김현규</x:v>
      </x:c>
      <x:c r="F2237" s="24" t="str">
        <x:v>2026-01</x:v>
      </x:c>
      <x:c r="G2237" s="30" t="n">
        <x:v>46042</x:v>
      </x:c>
      <x:c r="H2237" s="32"/>
      <x:c r="I2237" s="32" t="n">
        <x:v>1100000</x:v>
      </x:c>
      <x:c r="J2237" s="32" t="n">
        <x:v>1150000</x:v>
      </x:c>
      <x:c r="K2237" s="30" t="n">
        <x:v>46050</x:v>
      </x:c>
      <x:c r="L2237" s="24" t="str">
        <x:v>입금</x:v>
      </x:c>
      <x:c r="M2237" s="31" t="n">
        <x:f>IF(AND(N2237="미수",G2237&lt;&gt;"",TODAY()&gt;G2237),TODAY()-G2237,0)</x:f>
        <x:v>207</x:v>
      </x:c>
      <x:c r="N2237" s="24" t="str">
        <x:f>IF(J2237&gt;0,"미수",IF(AND(H2237&gt;0,I2237&gt;=H2237),"완납","미확인"))</x:f>
        <x:v>미수</x:v>
      </x:c>
      <x:c r="O2237" s="31" t="n">
        <x:v>4</x:v>
      </x:c>
    </x:row>
    <x:row r="2238" ht="17.25" customHeight="1">
      <x:c r="A2238" s="24" t="str">
        <x:v>PR-B-27오1144-202512</x:v>
      </x:c>
      <x:c r="B2238" s="24" t="str">
        <x:v>프라임구독</x:v>
      </x:c>
      <x:c r="C2238" s="24" t="str">
        <x:v>PR-C-27오1144-1-20220708-104</x:v>
      </x:c>
      <x:c r="D2238" s="24" t="str">
        <x:v>27오1144</x:v>
      </x:c>
      <x:c r="E2238" s="24" t="str">
        <x:v>김현규</x:v>
      </x:c>
      <x:c r="F2238" s="24" t="str">
        <x:v>2025-12</x:v>
      </x:c>
      <x:c r="G2238" s="30" t="n">
        <x:v>46011</x:v>
      </x:c>
      <x:c r="H2238" s="32"/>
      <x:c r="I2238" s="32"/>
      <x:c r="J2238" s="32" t="n">
        <x:v>2250000</x:v>
      </x:c>
      <x:c r="K2238" s="30"/>
      <x:c r="L2238" s="24" t="str"/>
      <x:c r="M2238" s="31" t="n">
        <x:f>IF(AND(N2238="미수",G2238&lt;&gt;"",TODAY()&gt;G2238),TODAY()-G2238,0)</x:f>
        <x:v>238</x:v>
      </x:c>
      <x:c r="N2238" s="24" t="str">
        <x:f>IF(J2238&gt;0,"미수",IF(AND(H2238&gt;0,I2238&gt;=H2238),"완납","미확인"))</x:f>
        <x:v>미수</x:v>
      </x:c>
      <x:c r="O2238" s="31" t="n">
        <x:v>4</x:v>
      </x:c>
    </x:row>
    <x:row r="2239" ht="17.25" customHeight="1">
      <x:c r="A2239" s="24" t="str">
        <x:v>PR-B-27오1144-202511</x:v>
      </x:c>
      <x:c r="B2239" s="24" t="str">
        <x:v>프라임구독</x:v>
      </x:c>
      <x:c r="C2239" s="24" t="str">
        <x:v>PR-C-27오1144-1-20220708-104</x:v>
      </x:c>
      <x:c r="D2239" s="24" t="str">
        <x:v>27오1144</x:v>
      </x:c>
      <x:c r="E2239" s="24" t="str">
        <x:v>김현규</x:v>
      </x:c>
      <x:c r="F2239" s="24" t="str">
        <x:v>2025-11</x:v>
      </x:c>
      <x:c r="G2239" s="30" t="n">
        <x:v>45981</x:v>
      </x:c>
      <x:c r="H2239" s="32"/>
      <x:c r="I2239" s="32"/>
      <x:c r="J2239" s="32" t="n">
        <x:v>2250000</x:v>
      </x:c>
      <x:c r="K2239" s="30"/>
      <x:c r="L2239" s="24" t="str"/>
      <x:c r="M2239" s="31" t="n">
        <x:f>IF(AND(N2239="미수",G2239&lt;&gt;"",TODAY()&gt;G2239),TODAY()-G2239,0)</x:f>
        <x:v>268</x:v>
      </x:c>
      <x:c r="N2239" s="24" t="str">
        <x:f>IF(J2239&gt;0,"미수",IF(AND(H2239&gt;0,I2239&gt;=H2239),"완납","미확인"))</x:f>
        <x:v>미수</x:v>
      </x:c>
      <x:c r="O2239" s="31" t="n">
        <x:v>4</x:v>
      </x:c>
    </x:row>
    <x:row r="2240" ht="17.25" customHeight="1">
      <x:c r="A2240" s="24" t="str">
        <x:v>PR-B-27오1144-202510</x:v>
      </x:c>
      <x:c r="B2240" s="24" t="str">
        <x:v>프라임구독</x:v>
      </x:c>
      <x:c r="C2240" s="24" t="str">
        <x:v>PR-C-27오1144-1-20220708-104</x:v>
      </x:c>
      <x:c r="D2240" s="24" t="str">
        <x:v>27오1144</x:v>
      </x:c>
      <x:c r="E2240" s="24" t="str">
        <x:v>김현규</x:v>
      </x:c>
      <x:c r="F2240" s="24" t="str">
        <x:v>2025-10</x:v>
      </x:c>
      <x:c r="G2240" s="30" t="n">
        <x:v>45950</x:v>
      </x:c>
      <x:c r="H2240" s="32"/>
      <x:c r="I2240" s="32"/>
      <x:c r="J2240" s="32" t="n">
        <x:v>2250000</x:v>
      </x:c>
      <x:c r="K2240" s="30"/>
      <x:c r="L2240" s="24" t="str"/>
      <x:c r="M2240" s="31" t="n">
        <x:f>IF(AND(N2240="미수",G2240&lt;&gt;"",TODAY()&gt;G2240),TODAY()-G2240,0)</x:f>
        <x:v>299</x:v>
      </x:c>
      <x:c r="N2240" s="24" t="str">
        <x:f>IF(J2240&gt;0,"미수",IF(AND(H2240&gt;0,I2240&gt;=H2240),"완납","미확인"))</x:f>
        <x:v>미수</x:v>
      </x:c>
      <x:c r="O2240" s="31" t="n">
        <x:v>4</x:v>
      </x:c>
    </x:row>
    <x:row r="2241" ht="17.25" customHeight="1">
      <x:c r="A2241" s="24" t="str">
        <x:v>PR-B-27오1144-202509</x:v>
      </x:c>
      <x:c r="B2241" s="24" t="str">
        <x:v>프라임구독</x:v>
      </x:c>
      <x:c r="C2241" s="24" t="str">
        <x:v>PR-C-27오1144-1-20220708-104</x:v>
      </x:c>
      <x:c r="D2241" s="24" t="str">
        <x:v>27오1144</x:v>
      </x:c>
      <x:c r="E2241" s="24" t="str">
        <x:v>김현규</x:v>
      </x:c>
      <x:c r="F2241" s="24" t="str">
        <x:v>2025-09</x:v>
      </x:c>
      <x:c r="G2241" s="30" t="n">
        <x:v>45920</x:v>
      </x:c>
      <x:c r="H2241" s="32"/>
      <x:c r="I2241" s="32"/>
      <x:c r="J2241" s="32" t="n">
        <x:v>2250000</x:v>
      </x:c>
      <x:c r="K2241" s="30"/>
      <x:c r="L2241" s="24" t="str"/>
      <x:c r="M2241" s="31" t="n">
        <x:f>IF(AND(N2241="미수",G2241&lt;&gt;"",TODAY()&gt;G2241),TODAY()-G2241,0)</x:f>
        <x:v>329</x:v>
      </x:c>
      <x:c r="N2241" s="24" t="str">
        <x:f>IF(J2241&gt;0,"미수",IF(AND(H2241&gt;0,I2241&gt;=H2241),"완납","미확인"))</x:f>
        <x:v>미수</x:v>
      </x:c>
      <x:c r="O2241" s="31" t="n">
        <x:v>4</x:v>
      </x:c>
    </x:row>
    <x:row r="2242" ht="17.25" customHeight="1">
      <x:c r="A2242" s="24" t="str">
        <x:v>PR-B-27오1144-202508</x:v>
      </x:c>
      <x:c r="B2242" s="24" t="str">
        <x:v>프라임구독</x:v>
      </x:c>
      <x:c r="C2242" s="24" t="str">
        <x:v>PR-C-27오1144-1-20220708-104</x:v>
      </x:c>
      <x:c r="D2242" s="24" t="str">
        <x:v>27오1144</x:v>
      </x:c>
      <x:c r="E2242" s="24" t="str">
        <x:v>김현규</x:v>
      </x:c>
      <x:c r="F2242" s="24" t="str">
        <x:v>2025-08</x:v>
      </x:c>
      <x:c r="G2242" s="30" t="n">
        <x:v>45889</x:v>
      </x:c>
      <x:c r="H2242" s="32"/>
      <x:c r="I2242" s="32"/>
      <x:c r="J2242" s="32" t="n">
        <x:v>2250000</x:v>
      </x:c>
      <x:c r="K2242" s="30"/>
      <x:c r="L2242" s="24" t="str"/>
      <x:c r="M2242" s="31" t="n">
        <x:f>IF(AND(N2242="미수",G2242&lt;&gt;"",TODAY()&gt;G2242),TODAY()-G2242,0)</x:f>
        <x:v>360</x:v>
      </x:c>
      <x:c r="N2242" s="24" t="str">
        <x:f>IF(J2242&gt;0,"미수",IF(AND(H2242&gt;0,I2242&gt;=H2242),"완납","미확인"))</x:f>
        <x:v>미수</x:v>
      </x:c>
      <x:c r="O2242" s="31" t="n">
        <x:v>4</x:v>
      </x:c>
    </x:row>
    <x:row r="2243" ht="17.25" customHeight="1">
      <x:c r="A2243" s="24" t="str">
        <x:v>PR-B-27오1144-202507</x:v>
      </x:c>
      <x:c r="B2243" s="24" t="str">
        <x:v>프라임구독</x:v>
      </x:c>
      <x:c r="C2243" s="24" t="str">
        <x:v>PR-C-27오1144-1-20220708-104</x:v>
      </x:c>
      <x:c r="D2243" s="24" t="str">
        <x:v>27오1144</x:v>
      </x:c>
      <x:c r="E2243" s="24" t="str">
        <x:v>김현규</x:v>
      </x:c>
      <x:c r="F2243" s="24" t="str">
        <x:v>2025-07</x:v>
      </x:c>
      <x:c r="G2243" s="30" t="n">
        <x:v>45858</x:v>
      </x:c>
      <x:c r="H2243" s="32" t="n">
        <x:v>750000</x:v>
      </x:c>
      <x:c r="I2243" s="32"/>
      <x:c r="J2243" s="32" t="n">
        <x:v>2250000</x:v>
      </x:c>
      <x:c r="K2243" s="30"/>
      <x:c r="L2243" s="24" t="str"/>
      <x:c r="M2243" s="31" t="n">
        <x:f>IF(AND(N2243="미수",G2243&lt;&gt;"",TODAY()&gt;G2243),TODAY()-G2243,0)</x:f>
        <x:v>391</x:v>
      </x:c>
      <x:c r="N2243" s="24" t="str">
        <x:f>IF(J2243&gt;0,"미수",IF(AND(H2243&gt;0,I2243&gt;=H2243),"완납","미확인"))</x:f>
        <x:v>미수</x:v>
      </x:c>
      <x:c r="O2243" s="31" t="n">
        <x:v>4</x:v>
      </x:c>
    </x:row>
    <x:row r="2244" ht="17.25" customHeight="1">
      <x:c r="A2244" s="24" t="str">
        <x:v>PR-B-27오1144-202506</x:v>
      </x:c>
      <x:c r="B2244" s="24" t="str">
        <x:v>프라임구독</x:v>
      </x:c>
      <x:c r="C2244" s="24" t="str">
        <x:v>PR-C-27오1144-1-20220708-104</x:v>
      </x:c>
      <x:c r="D2244" s="24" t="str">
        <x:v>27오1144</x:v>
      </x:c>
      <x:c r="E2244" s="24" t="str">
        <x:v>김현규</x:v>
      </x:c>
      <x:c r="F2244" s="24" t="str">
        <x:v>2025-06</x:v>
      </x:c>
      <x:c r="G2244" s="30" t="n">
        <x:v>45828</x:v>
      </x:c>
      <x:c r="H2244" s="32" t="n">
        <x:v>750000</x:v>
      </x:c>
      <x:c r="I2244" s="32"/>
      <x:c r="J2244" s="32" t="n">
        <x:v>1500000</x:v>
      </x:c>
      <x:c r="K2244" s="30"/>
      <x:c r="L2244" s="24" t="str"/>
      <x:c r="M2244" s="31" t="n">
        <x:f>IF(AND(N2244="미수",G2244&lt;&gt;"",TODAY()&gt;G2244),TODAY()-G2244,0)</x:f>
        <x:v>421</x:v>
      </x:c>
      <x:c r="N2244" s="24" t="str">
        <x:f>IF(J2244&gt;0,"미수",IF(AND(H2244&gt;0,I2244&gt;=H2244),"완납","미확인"))</x:f>
        <x:v>미수</x:v>
      </x:c>
      <x:c r="O2244" s="31" t="n">
        <x:v>4</x:v>
      </x:c>
    </x:row>
    <x:row r="2245" ht="17.25" customHeight="1">
      <x:c r="A2245" s="24" t="str">
        <x:v>PR-B-27오1144-202505</x:v>
      </x:c>
      <x:c r="B2245" s="24" t="str">
        <x:v>프라임구독</x:v>
      </x:c>
      <x:c r="C2245" s="24" t="str">
        <x:v>PR-C-27오1144-1-20220708-104</x:v>
      </x:c>
      <x:c r="D2245" s="24" t="str">
        <x:v>27오1144</x:v>
      </x:c>
      <x:c r="E2245" s="24" t="str">
        <x:v>김현규</x:v>
      </x:c>
      <x:c r="F2245" s="24" t="str">
        <x:v>2025-05</x:v>
      </x:c>
      <x:c r="G2245" s="30" t="n">
        <x:v>45797</x:v>
      </x:c>
      <x:c r="H2245" s="32" t="n">
        <x:v>750000</x:v>
      </x:c>
      <x:c r="I2245" s="32" t="n">
        <x:v>2250000</x:v>
      </x:c>
      <x:c r="J2245" s="32" t="n">
        <x:v>750000</x:v>
      </x:c>
      <x:c r="K2245" s="30" t="n">
        <x:v>45782</x:v>
      </x:c>
      <x:c r="L2245" s="24" t="str">
        <x:v>입금</x:v>
      </x:c>
      <x:c r="M2245" s="31" t="n">
        <x:f>IF(AND(N2245="미수",G2245&lt;&gt;"",TODAY()&gt;G2245),TODAY()-G2245,0)</x:f>
        <x:v>452</x:v>
      </x:c>
      <x:c r="N2245" s="24" t="str">
        <x:f>IF(J2245&gt;0,"미수",IF(AND(H2245&gt;0,I2245&gt;=H2245),"완납","미확인"))</x:f>
        <x:v>미수</x:v>
      </x:c>
      <x:c r="O2245" s="31" t="n">
        <x:v>4</x:v>
      </x:c>
    </x:row>
    <x:row r="2246" ht="17.25" customHeight="1">
      <x:c r="A2246" s="24" t="str">
        <x:v>PR-B-27오1144-202504</x:v>
      </x:c>
      <x:c r="B2246" s="24" t="str">
        <x:v>프라임구독</x:v>
      </x:c>
      <x:c r="C2246" s="24" t="str">
        <x:v>PR-C-27오1144-1-20220708-104</x:v>
      </x:c>
      <x:c r="D2246" s="24" t="str">
        <x:v>27오1144</x:v>
      </x:c>
      <x:c r="E2246" s="24" t="str">
        <x:v>김현규</x:v>
      </x:c>
      <x:c r="F2246" s="24" t="str">
        <x:v>2025-04</x:v>
      </x:c>
      <x:c r="G2246" s="30" t="n">
        <x:v>45767</x:v>
      </x:c>
      <x:c r="H2246" s="32" t="n">
        <x:v>750000</x:v>
      </x:c>
      <x:c r="I2246" s="32"/>
      <x:c r="J2246" s="32" t="n">
        <x:v>2250000</x:v>
      </x:c>
      <x:c r="K2246" s="30"/>
      <x:c r="L2246" s="24" t="str"/>
      <x:c r="M2246" s="31" t="n">
        <x:f>IF(AND(N2246="미수",G2246&lt;&gt;"",TODAY()&gt;G2246),TODAY()-G2246,0)</x:f>
        <x:v>482</x:v>
      </x:c>
      <x:c r="N2246" s="24" t="str">
        <x:f>IF(J2246&gt;0,"미수",IF(AND(H2246&gt;0,I2246&gt;=H2246),"완납","미확인"))</x:f>
        <x:v>미수</x:v>
      </x:c>
      <x:c r="O2246" s="31" t="n">
        <x:v>4</x:v>
      </x:c>
    </x:row>
    <x:row r="2247" ht="17.25" customHeight="1">
      <x:c r="A2247" s="24" t="str">
        <x:v>PR-B-27오1144-202503</x:v>
      </x:c>
      <x:c r="B2247" s="24" t="str">
        <x:v>프라임구독</x:v>
      </x:c>
      <x:c r="C2247" s="24" t="str">
        <x:v>PR-C-27오1144-1-20220708-104</x:v>
      </x:c>
      <x:c r="D2247" s="24" t="str">
        <x:v>27오1144</x:v>
      </x:c>
      <x:c r="E2247" s="24" t="str">
        <x:v>김현규</x:v>
      </x:c>
      <x:c r="F2247" s="24" t="str">
        <x:v>2025-03</x:v>
      </x:c>
      <x:c r="G2247" s="30" t="n">
        <x:v>45736</x:v>
      </x:c>
      <x:c r="H2247" s="32" t="n">
        <x:v>750000</x:v>
      </x:c>
      <x:c r="I2247" s="32"/>
      <x:c r="J2247" s="32" t="n">
        <x:v>1500000</x:v>
      </x:c>
      <x:c r="K2247" s="30"/>
      <x:c r="L2247" s="24" t="str"/>
      <x:c r="M2247" s="31" t="n">
        <x:f>IF(AND(N2247="미수",G2247&lt;&gt;"",TODAY()&gt;G2247),TODAY()-G2247,0)</x:f>
        <x:v>513</x:v>
      </x:c>
      <x:c r="N2247" s="24" t="str">
        <x:f>IF(J2247&gt;0,"미수",IF(AND(H2247&gt;0,I2247&gt;=H2247),"완납","미확인"))</x:f>
        <x:v>미수</x:v>
      </x:c>
      <x:c r="O2247" s="31" t="n">
        <x:v>4</x:v>
      </x:c>
    </x:row>
    <x:row r="2248" ht="17.25" customHeight="1">
      <x:c r="A2248" s="24" t="str">
        <x:v>PR-B-27오1144-202502</x:v>
      </x:c>
      <x:c r="B2248" s="24" t="str">
        <x:v>프라임구독</x:v>
      </x:c>
      <x:c r="C2248" s="24" t="str">
        <x:v>PR-C-27오1144-1-20220708-104</x:v>
      </x:c>
      <x:c r="D2248" s="24" t="str">
        <x:v>27오1144</x:v>
      </x:c>
      <x:c r="E2248" s="24" t="str">
        <x:v>김현규</x:v>
      </x:c>
      <x:c r="F2248" s="24" t="str">
        <x:v>2025-02</x:v>
      </x:c>
      <x:c r="G2248" s="30" t="n">
        <x:v>45708</x:v>
      </x:c>
      <x:c r="H2248" s="32" t="n">
        <x:v>750000</x:v>
      </x:c>
      <x:c r="I2248" s="32"/>
      <x:c r="J2248" s="32" t="n">
        <x:v>750000</x:v>
      </x:c>
      <x:c r="K2248" s="30"/>
      <x:c r="L2248" s="24" t="str"/>
      <x:c r="M2248" s="31" t="n">
        <x:f>IF(AND(N2248="미수",G2248&lt;&gt;"",TODAY()&gt;G2248),TODAY()-G2248,0)</x:f>
        <x:v>541</x:v>
      </x:c>
      <x:c r="N2248" s="24" t="str">
        <x:f>IF(J2248&gt;0,"미수",IF(AND(H2248&gt;0,I2248&gt;=H2248),"완납","미확인"))</x:f>
        <x:v>미수</x:v>
      </x:c>
      <x:c r="O2248" s="31" t="n">
        <x:v>4</x:v>
      </x:c>
    </x:row>
    <x:row r="2249" ht="17.25" customHeight="1">
      <x:c r="A2249" s="24" t="str">
        <x:v>PR-B-27오1144-202501</x:v>
      </x:c>
      <x:c r="B2249" s="24" t="str">
        <x:v>프라임구독</x:v>
      </x:c>
      <x:c r="C2249" s="24" t="str">
        <x:v>PR-C-27오1144-1-20220708-104</x:v>
      </x:c>
      <x:c r="D2249" s="24" t="str">
        <x:v>27오1144</x:v>
      </x:c>
      <x:c r="E2249" s="24" t="str">
        <x:v>김현규</x:v>
      </x:c>
      <x:c r="F2249" s="24" t="str">
        <x:v>2025-01</x:v>
      </x:c>
      <x:c r="G2249" s="30" t="n">
        <x:v>45677</x:v>
      </x:c>
      <x:c r="H2249" s="32" t="n">
        <x:v>750000</x:v>
      </x:c>
      <x:c r="I2249" s="32" t="n">
        <x:v>750000</x:v>
      </x:c>
      <x:c r="J2249" s="32" t="n">
        <x:v>0</x:v>
      </x:c>
      <x:c r="K2249" s="30" t="n">
        <x:v>45681</x:v>
      </x:c>
      <x:c r="L2249" s="24" t="str">
        <x:v>입금</x:v>
      </x:c>
      <x:c r="M2249" s="31" t="n">
        <x:f>IF(AND(N2249="미수",G2249&lt;&gt;"",TODAY()&gt;G2249),TODAY()-G2249,0)</x:f>
        <x:v>0</x:v>
      </x:c>
      <x:c r="N2249" s="24" t="str">
        <x:f>IF(J2249&gt;0,"미수",IF(AND(H2249&gt;0,I2249&gt;=H2249),"완납","미확인"))</x:f>
        <x:v>완납</x:v>
      </x:c>
      <x:c r="O2249" s="31" t="n">
        <x:v>4</x:v>
      </x:c>
    </x:row>
    <x:row r="2250" ht="17.25" customHeight="1">
      <x:c r="A2250" s="24" t="str">
        <x:v>PR-B-27오1144-202412</x:v>
      </x:c>
      <x:c r="B2250" s="24" t="str">
        <x:v>프라임구독</x:v>
      </x:c>
      <x:c r="C2250" s="24" t="str">
        <x:v>PR-C-27오1144-1-20220708-104</x:v>
      </x:c>
      <x:c r="D2250" s="24" t="str">
        <x:v>27오1144</x:v>
      </x:c>
      <x:c r="E2250" s="24" t="str">
        <x:v>김현규</x:v>
      </x:c>
      <x:c r="F2250" s="24" t="str">
        <x:v>2024-12</x:v>
      </x:c>
      <x:c r="G2250" s="30" t="n">
        <x:v>45646</x:v>
      </x:c>
      <x:c r="H2250" s="32" t="n">
        <x:v>750000</x:v>
      </x:c>
      <x:c r="I2250" s="32" t="n">
        <x:v>750000</x:v>
      </x:c>
      <x:c r="J2250" s="32" t="n">
        <x:v>0</x:v>
      </x:c>
      <x:c r="K2250" s="30" t="n">
        <x:v>45650</x:v>
      </x:c>
      <x:c r="L2250" s="24" t="str">
        <x:v>입금</x:v>
      </x:c>
      <x:c r="M2250" s="31" t="n">
        <x:f>IF(AND(N2250="미수",G2250&lt;&gt;"",TODAY()&gt;G2250),TODAY()-G2250,0)</x:f>
        <x:v>0</x:v>
      </x:c>
      <x:c r="N2250" s="24" t="str">
        <x:f>IF(J2250&gt;0,"미수",IF(AND(H2250&gt;0,I2250&gt;=H2250),"완납","미확인"))</x:f>
        <x:v>완납</x:v>
      </x:c>
      <x:c r="O2250" s="31" t="n">
        <x:v>4</x:v>
      </x:c>
    </x:row>
    <x:row r="2251" ht="17.25" customHeight="1">
      <x:c r="A2251" s="24" t="str">
        <x:v>PR-B-27오1144-202411</x:v>
      </x:c>
      <x:c r="B2251" s="24" t="str">
        <x:v>프라임구독</x:v>
      </x:c>
      <x:c r="C2251" s="24" t="str">
        <x:v>PR-C-27오1144-1-20220708-104</x:v>
      </x:c>
      <x:c r="D2251" s="24" t="str">
        <x:v>27오1144</x:v>
      </x:c>
      <x:c r="E2251" s="24" t="str">
        <x:v>김현규</x:v>
      </x:c>
      <x:c r="F2251" s="24" t="str">
        <x:v>2024-11</x:v>
      </x:c>
      <x:c r="G2251" s="30" t="n">
        <x:v>45616</x:v>
      </x:c>
      <x:c r="H2251" s="32" t="n">
        <x:v>750000</x:v>
      </x:c>
      <x:c r="I2251" s="32" t="n">
        <x:v>750000</x:v>
      </x:c>
      <x:c r="J2251" s="32" t="n">
        <x:v>0</x:v>
      </x:c>
      <x:c r="K2251" s="30" t="n">
        <x:v>45617</x:v>
      </x:c>
      <x:c r="L2251" s="24" t="str">
        <x:v>입금</x:v>
      </x:c>
      <x:c r="M2251" s="31" t="n">
        <x:f>IF(AND(N2251="미수",G2251&lt;&gt;"",TODAY()&gt;G2251),TODAY()-G2251,0)</x:f>
        <x:v>0</x:v>
      </x:c>
      <x:c r="N2251" s="24" t="str">
        <x:f>IF(J2251&gt;0,"미수",IF(AND(H2251&gt;0,I2251&gt;=H2251),"완납","미확인"))</x:f>
        <x:v>완납</x:v>
      </x:c>
      <x:c r="O2251" s="31" t="n">
        <x:v>4</x:v>
      </x:c>
    </x:row>
    <x:row r="2252" ht="17.25" customHeight="1">
      <x:c r="A2252" s="24" t="str">
        <x:v>PR-B-27오1144-202410</x:v>
      </x:c>
      <x:c r="B2252" s="24" t="str">
        <x:v>프라임구독</x:v>
      </x:c>
      <x:c r="C2252" s="24" t="str">
        <x:v>PR-C-27오1144-1-20220708-104</x:v>
      </x:c>
      <x:c r="D2252" s="24" t="str">
        <x:v>27오1144</x:v>
      </x:c>
      <x:c r="E2252" s="24" t="str">
        <x:v>김현규</x:v>
      </x:c>
      <x:c r="F2252" s="24" t="str">
        <x:v>2024-10</x:v>
      </x:c>
      <x:c r="G2252" s="30" t="n">
        <x:v>45585</x:v>
      </x:c>
      <x:c r="H2252" s="32" t="n">
        <x:v>750000</x:v>
      </x:c>
      <x:c r="I2252" s="32" t="n">
        <x:v>750000</x:v>
      </x:c>
      <x:c r="J2252" s="32" t="n">
        <x:v>0</x:v>
      </x:c>
      <x:c r="K2252" s="30" t="n">
        <x:v>45586</x:v>
      </x:c>
      <x:c r="L2252" s="24" t="str">
        <x:v>입금</x:v>
      </x:c>
      <x:c r="M2252" s="31" t="n">
        <x:f>IF(AND(N2252="미수",G2252&lt;&gt;"",TODAY()&gt;G2252),TODAY()-G2252,0)</x:f>
        <x:v>0</x:v>
      </x:c>
      <x:c r="N2252" s="24" t="str">
        <x:f>IF(J2252&gt;0,"미수",IF(AND(H2252&gt;0,I2252&gt;=H2252),"완납","미확인"))</x:f>
        <x:v>완납</x:v>
      </x:c>
      <x:c r="O2252" s="31" t="n">
        <x:v>4</x:v>
      </x:c>
    </x:row>
    <x:row r="2253" ht="17.25" customHeight="1">
      <x:c r="A2253" s="24" t="str">
        <x:v>PR-B-27오1144-202409</x:v>
      </x:c>
      <x:c r="B2253" s="24" t="str">
        <x:v>프라임구독</x:v>
      </x:c>
      <x:c r="C2253" s="24" t="str">
        <x:v>PR-C-27오1144-1-20220708-104</x:v>
      </x:c>
      <x:c r="D2253" s="24" t="str">
        <x:v>27오1144</x:v>
      </x:c>
      <x:c r="E2253" s="24" t="str">
        <x:v>김현규</x:v>
      </x:c>
      <x:c r="F2253" s="24" t="str">
        <x:v>2024-09</x:v>
      </x:c>
      <x:c r="G2253" s="30" t="n">
        <x:v>45555</x:v>
      </x:c>
      <x:c r="H2253" s="32" t="n">
        <x:v>750000</x:v>
      </x:c>
      <x:c r="I2253" s="32" t="n">
        <x:v>750000</x:v>
      </x:c>
      <x:c r="J2253" s="32" t="n">
        <x:v>0</x:v>
      </x:c>
      <x:c r="K2253" s="30" t="n">
        <x:v>45560</x:v>
      </x:c>
      <x:c r="L2253" s="24" t="str">
        <x:v>입금</x:v>
      </x:c>
      <x:c r="M2253" s="31" t="n">
        <x:f>IF(AND(N2253="미수",G2253&lt;&gt;"",TODAY()&gt;G2253),TODAY()-G2253,0)</x:f>
        <x:v>0</x:v>
      </x:c>
      <x:c r="N2253" s="24" t="str">
        <x:f>IF(J2253&gt;0,"미수",IF(AND(H2253&gt;0,I2253&gt;=H2253),"완납","미확인"))</x:f>
        <x:v>완납</x:v>
      </x:c>
      <x:c r="O2253" s="31" t="n">
        <x:v>4</x:v>
      </x:c>
    </x:row>
    <x:row r="2254" ht="17.25" customHeight="1">
      <x:c r="A2254" s="24" t="str">
        <x:v>PR-B-27오1144-202408</x:v>
      </x:c>
      <x:c r="B2254" s="24" t="str">
        <x:v>프라임구독</x:v>
      </x:c>
      <x:c r="C2254" s="24" t="str">
        <x:v>PR-C-27오1144-1-20220708-104</x:v>
      </x:c>
      <x:c r="D2254" s="24" t="str">
        <x:v>27오1144</x:v>
      </x:c>
      <x:c r="E2254" s="24" t="str">
        <x:v>김현규</x:v>
      </x:c>
      <x:c r="F2254" s="24" t="str">
        <x:v>2024-08</x:v>
      </x:c>
      <x:c r="G2254" s="30" t="n">
        <x:v>45524</x:v>
      </x:c>
      <x:c r="H2254" s="32" t="n">
        <x:v>670000</x:v>
      </x:c>
      <x:c r="I2254" s="32" t="n">
        <x:v>670000</x:v>
      </x:c>
      <x:c r="J2254" s="32" t="n">
        <x:v>0</x:v>
      </x:c>
      <x:c r="K2254" s="30" t="n">
        <x:v>45548</x:v>
      </x:c>
      <x:c r="L2254" s="24" t="str">
        <x:v>입금</x:v>
      </x:c>
      <x:c r="M2254" s="31" t="n">
        <x:f>IF(AND(N2254="미수",G2254&lt;&gt;"",TODAY()&gt;G2254),TODAY()-G2254,0)</x:f>
        <x:v>0</x:v>
      </x:c>
      <x:c r="N2254" s="24" t="str">
        <x:f>IF(J2254&gt;0,"미수",IF(AND(H2254&gt;0,I2254&gt;=H2254),"완납","미확인"))</x:f>
        <x:v>완납</x:v>
      </x:c>
      <x:c r="O2254" s="31" t="n">
        <x:v>4</x:v>
      </x:c>
    </x:row>
    <x:row r="2255" ht="17.25" customHeight="1">
      <x:c r="A2255" s="24" t="str">
        <x:v>PR-B-27오1144-202407</x:v>
      </x:c>
      <x:c r="B2255" s="24" t="str">
        <x:v>프라임구독</x:v>
      </x:c>
      <x:c r="C2255" s="24" t="str">
        <x:v>PR-C-27오1144-1-20220708-104</x:v>
      </x:c>
      <x:c r="D2255" s="24" t="str">
        <x:v>27오1144</x:v>
      </x:c>
      <x:c r="E2255" s="24" t="str">
        <x:v>김현규</x:v>
      </x:c>
      <x:c r="F2255" s="24" t="str">
        <x:v>2024-07</x:v>
      </x:c>
      <x:c r="G2255" s="30" t="n">
        <x:v>45493</x:v>
      </x:c>
      <x:c r="H2255" s="32" t="n">
        <x:v>750000</x:v>
      </x:c>
      <x:c r="I2255" s="32" t="n">
        <x:v>750000</x:v>
      </x:c>
      <x:c r="J2255" s="32" t="n">
        <x:v>0</x:v>
      </x:c>
      <x:c r="K2255" s="30" t="n">
        <x:v>45494</x:v>
      </x:c>
      <x:c r="L2255" s="24" t="str">
        <x:v>입금</x:v>
      </x:c>
      <x:c r="M2255" s="31" t="n">
        <x:f>IF(AND(N2255="미수",G2255&lt;&gt;"",TODAY()&gt;G2255),TODAY()-G2255,0)</x:f>
        <x:v>0</x:v>
      </x:c>
      <x:c r="N2255" s="24" t="str">
        <x:f>IF(J2255&gt;0,"미수",IF(AND(H2255&gt;0,I2255&gt;=H2255),"완납","미확인"))</x:f>
        <x:v>완납</x:v>
      </x:c>
      <x:c r="O2255" s="31" t="n">
        <x:v>4</x:v>
      </x:c>
    </x:row>
    <x:row r="2256" ht="17.25" customHeight="1">
      <x:c r="A2256" s="24" t="str">
        <x:v>PR-B-27오1144-202406</x:v>
      </x:c>
      <x:c r="B2256" s="24" t="str">
        <x:v>프라임구독</x:v>
      </x:c>
      <x:c r="C2256" s="24" t="str">
        <x:v>PR-C-27오1144-1-20220708-104</x:v>
      </x:c>
      <x:c r="D2256" s="24" t="str">
        <x:v>27오1144</x:v>
      </x:c>
      <x:c r="E2256" s="24" t="str">
        <x:v>김현규</x:v>
      </x:c>
      <x:c r="F2256" s="24" t="str">
        <x:v>2024-06</x:v>
      </x:c>
      <x:c r="G2256" s="30" t="n">
        <x:v>45463</x:v>
      </x:c>
      <x:c r="H2256" s="32" t="n">
        <x:v>750000</x:v>
      </x:c>
      <x:c r="I2256" s="32" t="n">
        <x:v>750000</x:v>
      </x:c>
      <x:c r="J2256" s="32" t="n">
        <x:v>0</x:v>
      </x:c>
      <x:c r="K2256" s="30" t="n">
        <x:v>45474</x:v>
      </x:c>
      <x:c r="L2256" s="24" t="str"/>
      <x:c r="M2256" s="31" t="n">
        <x:f>IF(AND(N2256="미수",G2256&lt;&gt;"",TODAY()&gt;G2256),TODAY()-G2256,0)</x:f>
        <x:v>0</x:v>
      </x:c>
      <x:c r="N2256" s="24" t="str">
        <x:f>IF(J2256&gt;0,"미수",IF(AND(H2256&gt;0,I2256&gt;=H2256),"완납","미확인"))</x:f>
        <x:v>완납</x:v>
      </x:c>
      <x:c r="O2256" s="31" t="n">
        <x:v>4</x:v>
      </x:c>
    </x:row>
    <x:row r="2257" ht="17.25" customHeight="1">
      <x:c r="A2257" s="24" t="str">
        <x:v>PR-B-27오1144-202405</x:v>
      </x:c>
      <x:c r="B2257" s="24" t="str">
        <x:v>프라임구독</x:v>
      </x:c>
      <x:c r="C2257" s="24" t="str">
        <x:v>PR-C-27오1144-1-20220708-104</x:v>
      </x:c>
      <x:c r="D2257" s="24" t="str">
        <x:v>27오1144</x:v>
      </x:c>
      <x:c r="E2257" s="24" t="str">
        <x:v>김현규</x:v>
      </x:c>
      <x:c r="F2257" s="24" t="str">
        <x:v>2024-05</x:v>
      </x:c>
      <x:c r="G2257" s="30" t="n">
        <x:v>45432</x:v>
      </x:c>
      <x:c r="H2257" s="32" t="n">
        <x:v>750000</x:v>
      </x:c>
      <x:c r="I2257" s="32" t="n">
        <x:v>750000</x:v>
      </x:c>
      <x:c r="J2257" s="32" t="n">
        <x:v>0</x:v>
      </x:c>
      <x:c r="K2257" s="30" t="n">
        <x:v>45441</x:v>
      </x:c>
      <x:c r="L2257" s="24" t="str"/>
      <x:c r="M2257" s="31" t="n">
        <x:f>IF(AND(N2257="미수",G2257&lt;&gt;"",TODAY()&gt;G2257),TODAY()-G2257,0)</x:f>
        <x:v>0</x:v>
      </x:c>
      <x:c r="N2257" s="24" t="str">
        <x:f>IF(J2257&gt;0,"미수",IF(AND(H2257&gt;0,I2257&gt;=H2257),"완납","미확인"))</x:f>
        <x:v>완납</x:v>
      </x:c>
      <x:c r="O2257" s="31" t="n">
        <x:v>4</x:v>
      </x:c>
    </x:row>
    <x:row r="2258" ht="17.25" customHeight="1">
      <x:c r="A2258" s="24" t="str">
        <x:v>PR-B-76버5489-202608</x:v>
      </x:c>
      <x:c r="B2258" s="24" t="str">
        <x:v>프라임구독</x:v>
      </x:c>
      <x:c r="C2258" s="24" t="str">
        <x:v>PR-C-76버5489-1-20220816-194</x:v>
      </x:c>
      <x:c r="D2258" s="24" t="str">
        <x:v>76버5489</x:v>
      </x:c>
      <x:c r="E2258" s="24" t="str">
        <x:v>한샘</x:v>
      </x:c>
      <x:c r="F2258" s="24" t="str">
        <x:v>2026-08</x:v>
      </x:c>
      <x:c r="G2258" s="30" t="n">
        <x:v>46254</x:v>
      </x:c>
      <x:c r="H2258" s="32"/>
      <x:c r="I2258" s="32"/>
      <x:c r="J2258" s="32" t="n">
        <x:v>4850000</x:v>
      </x:c>
      <x:c r="K2258" s="30"/>
      <x:c r="L2258" s="24" t="str"/>
      <x:c r="M2258" s="31" t="n">
        <x:f>IF(AND(N2258="미수",G2258&lt;&gt;"",TODAY()&gt;G2258),TODAY()-G2258,0)</x:f>
        <x:v>0</x:v>
      </x:c>
      <x:c r="N2258" s="24" t="str">
        <x:f>IF(J2258&gt;0,"미수",IF(AND(H2258&gt;0,I2258&gt;=H2258),"완납","미확인"))</x:f>
        <x:v>미수</x:v>
      </x:c>
      <x:c r="O2258" s="31" t="n">
        <x:v>5</x:v>
      </x:c>
    </x:row>
    <x:row r="2259" ht="17.25" customHeight="1">
      <x:c r="A2259" s="24" t="str">
        <x:v>PR-B-76버5489-202607</x:v>
      </x:c>
      <x:c r="B2259" s="24" t="str">
        <x:v>프라임구독</x:v>
      </x:c>
      <x:c r="C2259" s="24" t="str">
        <x:v>PR-C-76버5489-1-20220816-194</x:v>
      </x:c>
      <x:c r="D2259" s="24" t="str">
        <x:v>76버5489</x:v>
      </x:c>
      <x:c r="E2259" s="24" t="str">
        <x:v>한샘</x:v>
      </x:c>
      <x:c r="F2259" s="24" t="str">
        <x:v>2026-07</x:v>
      </x:c>
      <x:c r="G2259" s="30" t="n">
        <x:v>46223</x:v>
      </x:c>
      <x:c r="H2259" s="32"/>
      <x:c r="I2259" s="32"/>
      <x:c r="J2259" s="32" t="n">
        <x:v>4850000</x:v>
      </x:c>
      <x:c r="K2259" s="30"/>
      <x:c r="L2259" s="24" t="str"/>
      <x:c r="M2259" s="31" t="n">
        <x:f>IF(AND(N2259="미수",G2259&lt;&gt;"",TODAY()&gt;G2259),TODAY()-G2259,0)</x:f>
        <x:v>26</x:v>
      </x:c>
      <x:c r="N2259" s="24" t="str">
        <x:f>IF(J2259&gt;0,"미수",IF(AND(H2259&gt;0,I2259&gt;=H2259),"완납","미확인"))</x:f>
        <x:v>미수</x:v>
      </x:c>
      <x:c r="O2259" s="31" t="n">
        <x:v>5</x:v>
      </x:c>
    </x:row>
    <x:row r="2260" ht="17.25" customHeight="1">
      <x:c r="A2260" s="24" t="str">
        <x:v>PR-B-76버5489-202606</x:v>
      </x:c>
      <x:c r="B2260" s="24" t="str">
        <x:v>프라임구독</x:v>
      </x:c>
      <x:c r="C2260" s="24" t="str">
        <x:v>PR-C-76버5489-1-20220816-194</x:v>
      </x:c>
      <x:c r="D2260" s="24" t="str">
        <x:v>76버5489</x:v>
      </x:c>
      <x:c r="E2260" s="24" t="str">
        <x:v>한샘</x:v>
      </x:c>
      <x:c r="F2260" s="24" t="str">
        <x:v>2026-06</x:v>
      </x:c>
      <x:c r="G2260" s="30" t="n">
        <x:v>46193</x:v>
      </x:c>
      <x:c r="H2260" s="32"/>
      <x:c r="I2260" s="32"/>
      <x:c r="J2260" s="32" t="n">
        <x:v>4850000</x:v>
      </x:c>
      <x:c r="K2260" s="30"/>
      <x:c r="L2260" s="24" t="str"/>
      <x:c r="M2260" s="31" t="n">
        <x:f>IF(AND(N2260="미수",G2260&lt;&gt;"",TODAY()&gt;G2260),TODAY()-G2260,0)</x:f>
        <x:v>56</x:v>
      </x:c>
      <x:c r="N2260" s="24" t="str">
        <x:f>IF(J2260&gt;0,"미수",IF(AND(H2260&gt;0,I2260&gt;=H2260),"완납","미확인"))</x:f>
        <x:v>미수</x:v>
      </x:c>
      <x:c r="O2260" s="31" t="n">
        <x:v>5</x:v>
      </x:c>
    </x:row>
    <x:row r="2261" ht="17.25" customHeight="1">
      <x:c r="A2261" s="24" t="str">
        <x:v>PR-B-76버5489-202605</x:v>
      </x:c>
      <x:c r="B2261" s="24" t="str">
        <x:v>프라임구독</x:v>
      </x:c>
      <x:c r="C2261" s="24" t="str">
        <x:v>PR-C-76버5489-1-20220816-194</x:v>
      </x:c>
      <x:c r="D2261" s="24" t="str">
        <x:v>76버5489</x:v>
      </x:c>
      <x:c r="E2261" s="24" t="str">
        <x:v>한샘</x:v>
      </x:c>
      <x:c r="F2261" s="24" t="str">
        <x:v>2026-05</x:v>
      </x:c>
      <x:c r="G2261" s="30" t="n">
        <x:v>46162</x:v>
      </x:c>
      <x:c r="H2261" s="32"/>
      <x:c r="I2261" s="32"/>
      <x:c r="J2261" s="32" t="n">
        <x:v>4850000</x:v>
      </x:c>
      <x:c r="K2261" s="30"/>
      <x:c r="L2261" s="24" t="str"/>
      <x:c r="M2261" s="31" t="n">
        <x:f>IF(AND(N2261="미수",G2261&lt;&gt;"",TODAY()&gt;G2261),TODAY()-G2261,0)</x:f>
        <x:v>87</x:v>
      </x:c>
      <x:c r="N2261" s="24" t="str">
        <x:f>IF(J2261&gt;0,"미수",IF(AND(H2261&gt;0,I2261&gt;=H2261),"완납","미확인"))</x:f>
        <x:v>미수</x:v>
      </x:c>
      <x:c r="O2261" s="31" t="n">
        <x:v>5</x:v>
      </x:c>
    </x:row>
    <x:row r="2262" ht="17.25" customHeight="1">
      <x:c r="A2262" s="24" t="str">
        <x:v>PR-B-76버5489-202604</x:v>
      </x:c>
      <x:c r="B2262" s="24" t="str">
        <x:v>프라임구독</x:v>
      </x:c>
      <x:c r="C2262" s="24" t="str">
        <x:v>PR-C-76버5489-1-20220816-194</x:v>
      </x:c>
      <x:c r="D2262" s="24" t="str">
        <x:v>76버5489</x:v>
      </x:c>
      <x:c r="E2262" s="24" t="str">
        <x:v>한샘</x:v>
      </x:c>
      <x:c r="F2262" s="24" t="str">
        <x:v>2026-04</x:v>
      </x:c>
      <x:c r="G2262" s="30" t="n">
        <x:v>46132</x:v>
      </x:c>
      <x:c r="H2262" s="32"/>
      <x:c r="I2262" s="32"/>
      <x:c r="J2262" s="32" t="n">
        <x:v>4850000</x:v>
      </x:c>
      <x:c r="K2262" s="30"/>
      <x:c r="L2262" s="24" t="str"/>
      <x:c r="M2262" s="31" t="n">
        <x:f>IF(AND(N2262="미수",G2262&lt;&gt;"",TODAY()&gt;G2262),TODAY()-G2262,0)</x:f>
        <x:v>117</x:v>
      </x:c>
      <x:c r="N2262" s="24" t="str">
        <x:f>IF(J2262&gt;0,"미수",IF(AND(H2262&gt;0,I2262&gt;=H2262),"완납","미확인"))</x:f>
        <x:v>미수</x:v>
      </x:c>
      <x:c r="O2262" s="31" t="n">
        <x:v>5</x:v>
      </x:c>
    </x:row>
    <x:row r="2263" ht="17.25" customHeight="1">
      <x:c r="A2263" s="24" t="str">
        <x:v>PR-B-76버5489-202603</x:v>
      </x:c>
      <x:c r="B2263" s="24" t="str">
        <x:v>프라임구독</x:v>
      </x:c>
      <x:c r="C2263" s="24" t="str">
        <x:v>PR-C-76버5489-1-20220816-194</x:v>
      </x:c>
      <x:c r="D2263" s="24" t="str">
        <x:v>76버5489</x:v>
      </x:c>
      <x:c r="E2263" s="24" t="str">
        <x:v>한샘</x:v>
      </x:c>
      <x:c r="F2263" s="24" t="str">
        <x:v>2026-03</x:v>
      </x:c>
      <x:c r="G2263" s="30" t="n">
        <x:v>46101</x:v>
      </x:c>
      <x:c r="H2263" s="32"/>
      <x:c r="I2263" s="32"/>
      <x:c r="J2263" s="32" t="n">
        <x:v>4850000</x:v>
      </x:c>
      <x:c r="K2263" s="30"/>
      <x:c r="L2263" s="24" t="str"/>
      <x:c r="M2263" s="31" t="n">
        <x:f>IF(AND(N2263="미수",G2263&lt;&gt;"",TODAY()&gt;G2263),TODAY()-G2263,0)</x:f>
        <x:v>148</x:v>
      </x:c>
      <x:c r="N2263" s="24" t="str">
        <x:f>IF(J2263&gt;0,"미수",IF(AND(H2263&gt;0,I2263&gt;=H2263),"완납","미확인"))</x:f>
        <x:v>미수</x:v>
      </x:c>
      <x:c r="O2263" s="31" t="n">
        <x:v>5</x:v>
      </x:c>
    </x:row>
    <x:row r="2264" ht="17.25" customHeight="1">
      <x:c r="A2264" s="24" t="str">
        <x:v>PR-B-76버5489-202602</x:v>
      </x:c>
      <x:c r="B2264" s="24" t="str">
        <x:v>프라임구독</x:v>
      </x:c>
      <x:c r="C2264" s="24" t="str">
        <x:v>PR-C-76버5489-1-20220816-194</x:v>
      </x:c>
      <x:c r="D2264" s="24" t="str">
        <x:v>76버5489</x:v>
      </x:c>
      <x:c r="E2264" s="24" t="str">
        <x:v>한샘</x:v>
      </x:c>
      <x:c r="F2264" s="24" t="str">
        <x:v>2026-02</x:v>
      </x:c>
      <x:c r="G2264" s="30" t="n">
        <x:v>46073</x:v>
      </x:c>
      <x:c r="H2264" s="32"/>
      <x:c r="I2264" s="32"/>
      <x:c r="J2264" s="32" t="n">
        <x:v>4850000</x:v>
      </x:c>
      <x:c r="K2264" s="30"/>
      <x:c r="L2264" s="24" t="str"/>
      <x:c r="M2264" s="31" t="n">
        <x:f>IF(AND(N2264="미수",G2264&lt;&gt;"",TODAY()&gt;G2264),TODAY()-G2264,0)</x:f>
        <x:v>176</x:v>
      </x:c>
      <x:c r="N2264" s="24" t="str">
        <x:f>IF(J2264&gt;0,"미수",IF(AND(H2264&gt;0,I2264&gt;=H2264),"완납","미확인"))</x:f>
        <x:v>미수</x:v>
      </x:c>
      <x:c r="O2264" s="31" t="n">
        <x:v>5</x:v>
      </x:c>
    </x:row>
    <x:row r="2265" ht="17.25" customHeight="1">
      <x:c r="A2265" s="24" t="str">
        <x:v>PR-B-76버5489-202601</x:v>
      </x:c>
      <x:c r="B2265" s="24" t="str">
        <x:v>프라임구독</x:v>
      </x:c>
      <x:c r="C2265" s="24" t="str">
        <x:v>PR-C-76버5489-1-20220816-194</x:v>
      </x:c>
      <x:c r="D2265" s="24" t="str">
        <x:v>76버5489</x:v>
      </x:c>
      <x:c r="E2265" s="24" t="str">
        <x:v>한샘</x:v>
      </x:c>
      <x:c r="F2265" s="24" t="str">
        <x:v>2026-01</x:v>
      </x:c>
      <x:c r="G2265" s="30" t="n">
        <x:v>46042</x:v>
      </x:c>
      <x:c r="H2265" s="32"/>
      <x:c r="I2265" s="32"/>
      <x:c r="J2265" s="32" t="n">
        <x:v>4850000</x:v>
      </x:c>
      <x:c r="K2265" s="30"/>
      <x:c r="L2265" s="24" t="str"/>
      <x:c r="M2265" s="31" t="n">
        <x:f>IF(AND(N2265="미수",G2265&lt;&gt;"",TODAY()&gt;G2265),TODAY()-G2265,0)</x:f>
        <x:v>207</x:v>
      </x:c>
      <x:c r="N2265" s="24" t="str">
        <x:f>IF(J2265&gt;0,"미수",IF(AND(H2265&gt;0,I2265&gt;=H2265),"완납","미확인"))</x:f>
        <x:v>미수</x:v>
      </x:c>
      <x:c r="O2265" s="31" t="n">
        <x:v>5</x:v>
      </x:c>
    </x:row>
    <x:row r="2266" ht="17.25" customHeight="1">
      <x:c r="A2266" s="24" t="str">
        <x:v>PR-B-76버5489-202512</x:v>
      </x:c>
      <x:c r="B2266" s="24" t="str">
        <x:v>프라임구독</x:v>
      </x:c>
      <x:c r="C2266" s="24" t="str">
        <x:v>PR-C-76버5489-1-20220816-194</x:v>
      </x:c>
      <x:c r="D2266" s="24" t="str">
        <x:v>76버5489</x:v>
      </x:c>
      <x:c r="E2266" s="24" t="str">
        <x:v>한샘</x:v>
      </x:c>
      <x:c r="F2266" s="24" t="str">
        <x:v>2025-12</x:v>
      </x:c>
      <x:c r="G2266" s="30" t="n">
        <x:v>46011</x:v>
      </x:c>
      <x:c r="H2266" s="32"/>
      <x:c r="I2266" s="32"/>
      <x:c r="J2266" s="32" t="n">
        <x:v>4850000</x:v>
      </x:c>
      <x:c r="K2266" s="30"/>
      <x:c r="L2266" s="24" t="str"/>
      <x:c r="M2266" s="31" t="n">
        <x:f>IF(AND(N2266="미수",G2266&lt;&gt;"",TODAY()&gt;G2266),TODAY()-G2266,0)</x:f>
        <x:v>238</x:v>
      </x:c>
      <x:c r="N2266" s="24" t="str">
        <x:f>IF(J2266&gt;0,"미수",IF(AND(H2266&gt;0,I2266&gt;=H2266),"완납","미확인"))</x:f>
        <x:v>미수</x:v>
      </x:c>
      <x:c r="O2266" s="31" t="n">
        <x:v>5</x:v>
      </x:c>
    </x:row>
    <x:row r="2267" ht="17.25" customHeight="1">
      <x:c r="A2267" s="24" t="str">
        <x:v>PR-B-76버5489-202511</x:v>
      </x:c>
      <x:c r="B2267" s="24" t="str">
        <x:v>프라임구독</x:v>
      </x:c>
      <x:c r="C2267" s="24" t="str">
        <x:v>PR-C-76버5489-1-20220816-194</x:v>
      </x:c>
      <x:c r="D2267" s="24" t="str">
        <x:v>76버5489</x:v>
      </x:c>
      <x:c r="E2267" s="24" t="str">
        <x:v>한샘</x:v>
      </x:c>
      <x:c r="F2267" s="24" t="str">
        <x:v>2025-11</x:v>
      </x:c>
      <x:c r="G2267" s="30" t="n">
        <x:v>45981</x:v>
      </x:c>
      <x:c r="H2267" s="32"/>
      <x:c r="I2267" s="32"/>
      <x:c r="J2267" s="32" t="n">
        <x:v>4850000</x:v>
      </x:c>
      <x:c r="K2267" s="30"/>
      <x:c r="L2267" s="24" t="str"/>
      <x:c r="M2267" s="31" t="n">
        <x:f>IF(AND(N2267="미수",G2267&lt;&gt;"",TODAY()&gt;G2267),TODAY()-G2267,0)</x:f>
        <x:v>268</x:v>
      </x:c>
      <x:c r="N2267" s="24" t="str">
        <x:f>IF(J2267&gt;0,"미수",IF(AND(H2267&gt;0,I2267&gt;=H2267),"완납","미확인"))</x:f>
        <x:v>미수</x:v>
      </x:c>
      <x:c r="O2267" s="31" t="n">
        <x:v>5</x:v>
      </x:c>
    </x:row>
    <x:row r="2268" ht="17.25" customHeight="1">
      <x:c r="A2268" s="24" t="str">
        <x:v>PR-B-76버5489-202510</x:v>
      </x:c>
      <x:c r="B2268" s="24" t="str">
        <x:v>프라임구독</x:v>
      </x:c>
      <x:c r="C2268" s="24" t="str">
        <x:v>PR-C-76버5489-1-20220816-194</x:v>
      </x:c>
      <x:c r="D2268" s="24" t="str">
        <x:v>76버5489</x:v>
      </x:c>
      <x:c r="E2268" s="24" t="str">
        <x:v>한샘</x:v>
      </x:c>
      <x:c r="F2268" s="24" t="str">
        <x:v>2025-10</x:v>
      </x:c>
      <x:c r="G2268" s="30" t="n">
        <x:v>45950</x:v>
      </x:c>
      <x:c r="H2268" s="32" t="n">
        <x:v>545000</x:v>
      </x:c>
      <x:c r="I2268" s="32"/>
      <x:c r="J2268" s="32" t="n">
        <x:v>4850000</x:v>
      </x:c>
      <x:c r="K2268" s="30"/>
      <x:c r="L2268" s="24" t="str"/>
      <x:c r="M2268" s="31" t="n">
        <x:f>IF(AND(N2268="미수",G2268&lt;&gt;"",TODAY()&gt;G2268),TODAY()-G2268,0)</x:f>
        <x:v>299</x:v>
      </x:c>
      <x:c r="N2268" s="24" t="str">
        <x:f>IF(J2268&gt;0,"미수",IF(AND(H2268&gt;0,I2268&gt;=H2268),"완납","미확인"))</x:f>
        <x:v>미수</x:v>
      </x:c>
      <x:c r="O2268" s="31" t="n">
        <x:v>5</x:v>
      </x:c>
    </x:row>
    <x:row r="2269" ht="17.25" customHeight="1">
      <x:c r="A2269" s="24" t="str">
        <x:v>PR-B-76버5489-202509</x:v>
      </x:c>
      <x:c r="B2269" s="24" t="str">
        <x:v>프라임구독</x:v>
      </x:c>
      <x:c r="C2269" s="24" t="str">
        <x:v>PR-C-76버5489-1-20220816-194</x:v>
      </x:c>
      <x:c r="D2269" s="24" t="str">
        <x:v>76버5489</x:v>
      </x:c>
      <x:c r="E2269" s="24" t="str">
        <x:v>한샘</x:v>
      </x:c>
      <x:c r="F2269" s="24" t="str">
        <x:v>2025-09</x:v>
      </x:c>
      <x:c r="G2269" s="30" t="n">
        <x:v>45920</x:v>
      </x:c>
      <x:c r="H2269" s="32" t="n">
        <x:v>545000</x:v>
      </x:c>
      <x:c r="I2269" s="32"/>
      <x:c r="J2269" s="32" t="n">
        <x:v>4305000</x:v>
      </x:c>
      <x:c r="K2269" s="30"/>
      <x:c r="L2269" s="24" t="str"/>
      <x:c r="M2269" s="31" t="n">
        <x:f>IF(AND(N2269="미수",G2269&lt;&gt;"",TODAY()&gt;G2269),TODAY()-G2269,0)</x:f>
        <x:v>329</x:v>
      </x:c>
      <x:c r="N2269" s="24" t="str">
        <x:f>IF(J2269&gt;0,"미수",IF(AND(H2269&gt;0,I2269&gt;=H2269),"완납","미확인"))</x:f>
        <x:v>미수</x:v>
      </x:c>
      <x:c r="O2269" s="31" t="n">
        <x:v>5</x:v>
      </x:c>
    </x:row>
    <x:row r="2270" ht="17.25" customHeight="1">
      <x:c r="A2270" s="24" t="str">
        <x:v>PR-B-76버5489-202508</x:v>
      </x:c>
      <x:c r="B2270" s="24" t="str">
        <x:v>프라임구독</x:v>
      </x:c>
      <x:c r="C2270" s="24" t="str">
        <x:v>PR-C-76버5489-1-20220816-194</x:v>
      </x:c>
      <x:c r="D2270" s="24" t="str">
        <x:v>76버5489</x:v>
      </x:c>
      <x:c r="E2270" s="24" t="str">
        <x:v>한샘</x:v>
      </x:c>
      <x:c r="F2270" s="24" t="str">
        <x:v>2025-08</x:v>
      </x:c>
      <x:c r="G2270" s="30" t="n">
        <x:v>45889</x:v>
      </x:c>
      <x:c r="H2270" s="32" t="n">
        <x:v>545000</x:v>
      </x:c>
      <x:c r="I2270" s="32" t="n">
        <x:v>545000</x:v>
      </x:c>
      <x:c r="J2270" s="32" t="n">
        <x:v>3760000</x:v>
      </x:c>
      <x:c r="K2270" s="30" t="n">
        <x:v>45889</x:v>
      </x:c>
      <x:c r="L2270" s="24" t="str">
        <x:v>자동</x:v>
      </x:c>
      <x:c r="M2270" s="31" t="n">
        <x:f>IF(AND(N2270="미수",G2270&lt;&gt;"",TODAY()&gt;G2270),TODAY()-G2270,0)</x:f>
        <x:v>360</x:v>
      </x:c>
      <x:c r="N2270" s="24" t="str">
        <x:f>IF(J2270&gt;0,"미수",IF(AND(H2270&gt;0,I2270&gt;=H2270),"완납","미확인"))</x:f>
        <x:v>미수</x:v>
      </x:c>
      <x:c r="O2270" s="31" t="n">
        <x:v>5</x:v>
      </x:c>
    </x:row>
    <x:row r="2271" ht="17.25" customHeight="1">
      <x:c r="A2271" s="24" t="str">
        <x:v>PR-B-76버5489-202507</x:v>
      </x:c>
      <x:c r="B2271" s="24" t="str">
        <x:v>프라임구독</x:v>
      </x:c>
      <x:c r="C2271" s="24" t="str">
        <x:v>PR-C-76버5489-1-20220816-194</x:v>
      </x:c>
      <x:c r="D2271" s="24" t="str">
        <x:v>76버5489</x:v>
      </x:c>
      <x:c r="E2271" s="24" t="str">
        <x:v>한샘</x:v>
      </x:c>
      <x:c r="F2271" s="24" t="str">
        <x:v>2025-07</x:v>
      </x:c>
      <x:c r="G2271" s="30" t="n">
        <x:v>45858</x:v>
      </x:c>
      <x:c r="H2271" s="32" t="n">
        <x:v>545000</x:v>
      </x:c>
      <x:c r="I2271" s="32" t="n">
        <x:v>545000</x:v>
      </x:c>
      <x:c r="J2271" s="32" t="n">
        <x:v>3760000</x:v>
      </x:c>
      <x:c r="K2271" s="30" t="n">
        <x:v>45860</x:v>
      </x:c>
      <x:c r="L2271" s="24" t="str">
        <x:v>입금</x:v>
      </x:c>
      <x:c r="M2271" s="31" t="n">
        <x:f>IF(AND(N2271="미수",G2271&lt;&gt;"",TODAY()&gt;G2271),TODAY()-G2271,0)</x:f>
        <x:v>391</x:v>
      </x:c>
      <x:c r="N2271" s="24" t="str">
        <x:f>IF(J2271&gt;0,"미수",IF(AND(H2271&gt;0,I2271&gt;=H2271),"완납","미확인"))</x:f>
        <x:v>미수</x:v>
      </x:c>
      <x:c r="O2271" s="31" t="n">
        <x:v>5</x:v>
      </x:c>
    </x:row>
    <x:row r="2272" ht="17.25" customHeight="1">
      <x:c r="A2272" s="24" t="str">
        <x:v>PR-B-76버5489-202506</x:v>
      </x:c>
      <x:c r="B2272" s="24" t="str">
        <x:v>프라임구독</x:v>
      </x:c>
      <x:c r="C2272" s="24" t="str">
        <x:v>PR-C-76버5489-1-20220816-194</x:v>
      </x:c>
      <x:c r="D2272" s="24" t="str">
        <x:v>76버5489</x:v>
      </x:c>
      <x:c r="E2272" s="24" t="str">
        <x:v>한샘</x:v>
      </x:c>
      <x:c r="F2272" s="24" t="str">
        <x:v>2025-06</x:v>
      </x:c>
      <x:c r="G2272" s="30" t="n">
        <x:v>45828</x:v>
      </x:c>
      <x:c r="H2272" s="32" t="n">
        <x:v>545000</x:v>
      </x:c>
      <x:c r="I2272" s="32"/>
      <x:c r="J2272" s="32" t="n">
        <x:v>3760000</x:v>
      </x:c>
      <x:c r="K2272" s="30"/>
      <x:c r="L2272" s="24" t="str"/>
      <x:c r="M2272" s="31" t="n">
        <x:f>IF(AND(N2272="미수",G2272&lt;&gt;"",TODAY()&gt;G2272),TODAY()-G2272,0)</x:f>
        <x:v>421</x:v>
      </x:c>
      <x:c r="N2272" s="24" t="str">
        <x:f>IF(J2272&gt;0,"미수",IF(AND(H2272&gt;0,I2272&gt;=H2272),"완납","미확인"))</x:f>
        <x:v>미수</x:v>
      </x:c>
      <x:c r="O2272" s="31" t="n">
        <x:v>5</x:v>
      </x:c>
    </x:row>
    <x:row r="2273" ht="17.25" customHeight="1">
      <x:c r="A2273" s="24" t="str">
        <x:v>PR-B-76버5489-202505</x:v>
      </x:c>
      <x:c r="B2273" s="24" t="str">
        <x:v>프라임구독</x:v>
      </x:c>
      <x:c r="C2273" s="24" t="str">
        <x:v>PR-C-76버5489-1-20220816-194</x:v>
      </x:c>
      <x:c r="D2273" s="24" t="str">
        <x:v>76버5489</x:v>
      </x:c>
      <x:c r="E2273" s="24" t="str">
        <x:v>한샘</x:v>
      </x:c>
      <x:c r="F2273" s="24" t="str">
        <x:v>2025-05</x:v>
      </x:c>
      <x:c r="G2273" s="30" t="n">
        <x:v>45797</x:v>
      </x:c>
      <x:c r="H2273" s="32" t="n">
        <x:v>545000</x:v>
      </x:c>
      <x:c r="I2273" s="32"/>
      <x:c r="J2273" s="32" t="n">
        <x:v>3215000</x:v>
      </x:c>
      <x:c r="K2273" s="30"/>
      <x:c r="L2273" s="24" t="str"/>
      <x:c r="M2273" s="31" t="n">
        <x:f>IF(AND(N2273="미수",G2273&lt;&gt;"",TODAY()&gt;G2273),TODAY()-G2273,0)</x:f>
        <x:v>452</x:v>
      </x:c>
      <x:c r="N2273" s="24" t="str">
        <x:f>IF(J2273&gt;0,"미수",IF(AND(H2273&gt;0,I2273&gt;=H2273),"완납","미확인"))</x:f>
        <x:v>미수</x:v>
      </x:c>
      <x:c r="O2273" s="31" t="n">
        <x:v>5</x:v>
      </x:c>
    </x:row>
    <x:row r="2274" ht="17.25" customHeight="1">
      <x:c r="A2274" s="24" t="str">
        <x:v>PR-B-76버5489-202504</x:v>
      </x:c>
      <x:c r="B2274" s="24" t="str">
        <x:v>프라임구독</x:v>
      </x:c>
      <x:c r="C2274" s="24" t="str">
        <x:v>PR-C-76버5489-1-20220816-194</x:v>
      </x:c>
      <x:c r="D2274" s="24" t="str">
        <x:v>76버5489</x:v>
      </x:c>
      <x:c r="E2274" s="24" t="str">
        <x:v>한샘</x:v>
      </x:c>
      <x:c r="F2274" s="24" t="str">
        <x:v>2025-04</x:v>
      </x:c>
      <x:c r="G2274" s="30" t="n">
        <x:v>45767</x:v>
      </x:c>
      <x:c r="H2274" s="32" t="n">
        <x:v>545000</x:v>
      </x:c>
      <x:c r="I2274" s="32"/>
      <x:c r="J2274" s="32" t="n">
        <x:v>2670000</x:v>
      </x:c>
      <x:c r="K2274" s="30"/>
      <x:c r="L2274" s="24" t="str"/>
      <x:c r="M2274" s="31" t="n">
        <x:f>IF(AND(N2274="미수",G2274&lt;&gt;"",TODAY()&gt;G2274),TODAY()-G2274,0)</x:f>
        <x:v>482</x:v>
      </x:c>
      <x:c r="N2274" s="24" t="str">
        <x:f>IF(J2274&gt;0,"미수",IF(AND(H2274&gt;0,I2274&gt;=H2274),"완납","미확인"))</x:f>
        <x:v>미수</x:v>
      </x:c>
      <x:c r="O2274" s="31" t="n">
        <x:v>5</x:v>
      </x:c>
    </x:row>
    <x:row r="2275" ht="17.25" customHeight="1">
      <x:c r="A2275" s="24" t="str">
        <x:v>PR-B-76버5489-202503</x:v>
      </x:c>
      <x:c r="B2275" s="24" t="str">
        <x:v>프라임구독</x:v>
      </x:c>
      <x:c r="C2275" s="24" t="str">
        <x:v>PR-C-76버5489-1-20220816-194</x:v>
      </x:c>
      <x:c r="D2275" s="24" t="str">
        <x:v>76버5489</x:v>
      </x:c>
      <x:c r="E2275" s="24" t="str">
        <x:v>한샘</x:v>
      </x:c>
      <x:c r="F2275" s="24" t="str">
        <x:v>2025-03</x:v>
      </x:c>
      <x:c r="G2275" s="30" t="n">
        <x:v>45736</x:v>
      </x:c>
      <x:c r="H2275" s="32" t="n">
        <x:v>545000</x:v>
      </x:c>
      <x:c r="I2275" s="32"/>
      <x:c r="J2275" s="32" t="n">
        <x:v>2125000</x:v>
      </x:c>
      <x:c r="K2275" s="30"/>
      <x:c r="L2275" s="24" t="str"/>
      <x:c r="M2275" s="31" t="n">
        <x:f>IF(AND(N2275="미수",G2275&lt;&gt;"",TODAY()&gt;G2275),TODAY()-G2275,0)</x:f>
        <x:v>513</x:v>
      </x:c>
      <x:c r="N2275" s="24" t="str">
        <x:f>IF(J2275&gt;0,"미수",IF(AND(H2275&gt;0,I2275&gt;=H2275),"완납","미확인"))</x:f>
        <x:v>미수</x:v>
      </x:c>
      <x:c r="O2275" s="31" t="n">
        <x:v>5</x:v>
      </x:c>
    </x:row>
    <x:row r="2276" ht="17.25" customHeight="1">
      <x:c r="A2276" s="24" t="str">
        <x:v>PR-B-76버5489-202502</x:v>
      </x:c>
      <x:c r="B2276" s="24" t="str">
        <x:v>프라임구독</x:v>
      </x:c>
      <x:c r="C2276" s="24" t="str">
        <x:v>PR-C-76버5489-1-20220816-194</x:v>
      </x:c>
      <x:c r="D2276" s="24" t="str">
        <x:v>76버5489</x:v>
      </x:c>
      <x:c r="E2276" s="24" t="str">
        <x:v>한샘</x:v>
      </x:c>
      <x:c r="F2276" s="24" t="str">
        <x:v>2025-02</x:v>
      </x:c>
      <x:c r="G2276" s="30" t="n">
        <x:v>45708</x:v>
      </x:c>
      <x:c r="H2276" s="32" t="n">
        <x:v>545000</x:v>
      </x:c>
      <x:c r="I2276" s="32"/>
      <x:c r="J2276" s="32" t="n">
        <x:v>1580000</x:v>
      </x:c>
      <x:c r="K2276" s="30"/>
      <x:c r="L2276" s="24" t="str"/>
      <x:c r="M2276" s="31" t="n">
        <x:f>IF(AND(N2276="미수",G2276&lt;&gt;"",TODAY()&gt;G2276),TODAY()-G2276,0)</x:f>
        <x:v>541</x:v>
      </x:c>
      <x:c r="N2276" s="24" t="str">
        <x:f>IF(J2276&gt;0,"미수",IF(AND(H2276&gt;0,I2276&gt;=H2276),"완납","미확인"))</x:f>
        <x:v>미수</x:v>
      </x:c>
      <x:c r="O2276" s="31" t="n">
        <x:v>5</x:v>
      </x:c>
    </x:row>
    <x:row r="2277" ht="17.25" customHeight="1">
      <x:c r="A2277" s="24" t="str">
        <x:v>PR-B-76버5489-202501</x:v>
      </x:c>
      <x:c r="B2277" s="24" t="str">
        <x:v>프라임구독</x:v>
      </x:c>
      <x:c r="C2277" s="24" t="str">
        <x:v>PR-C-76버5489-1-20220816-194</x:v>
      </x:c>
      <x:c r="D2277" s="24" t="str">
        <x:v>76버5489</x:v>
      </x:c>
      <x:c r="E2277" s="24" t="str">
        <x:v>한샘</x:v>
      </x:c>
      <x:c r="F2277" s="24" t="str">
        <x:v>2025-01</x:v>
      </x:c>
      <x:c r="G2277" s="30" t="n">
        <x:v>45677</x:v>
      </x:c>
      <x:c r="H2277" s="32" t="n">
        <x:v>545000</x:v>
      </x:c>
      <x:c r="I2277" s="32"/>
      <x:c r="J2277" s="32" t="n">
        <x:v>1035000</x:v>
      </x:c>
      <x:c r="K2277" s="30"/>
      <x:c r="L2277" s="24" t="str"/>
      <x:c r="M2277" s="31" t="n">
        <x:f>IF(AND(N2277="미수",G2277&lt;&gt;"",TODAY()&gt;G2277),TODAY()-G2277,0)</x:f>
        <x:v>572</x:v>
      </x:c>
      <x:c r="N2277" s="24" t="str">
        <x:f>IF(J2277&gt;0,"미수",IF(AND(H2277&gt;0,I2277&gt;=H2277),"완납","미확인"))</x:f>
        <x:v>미수</x:v>
      </x:c>
      <x:c r="O2277" s="31" t="n">
        <x:v>5</x:v>
      </x:c>
    </x:row>
    <x:row r="2278" ht="17.25" customHeight="1">
      <x:c r="A2278" s="24" t="str">
        <x:v>PR-B-76버5489-202412</x:v>
      </x:c>
      <x:c r="B2278" s="24" t="str">
        <x:v>프라임구독</x:v>
      </x:c>
      <x:c r="C2278" s="24" t="str">
        <x:v>PR-C-76버5489-1-20220816-194</x:v>
      </x:c>
      <x:c r="D2278" s="24" t="str">
        <x:v>76버5489</x:v>
      </x:c>
      <x:c r="E2278" s="24" t="str">
        <x:v>한샘</x:v>
      </x:c>
      <x:c r="F2278" s="24" t="str">
        <x:v>2024-12</x:v>
      </x:c>
      <x:c r="G2278" s="30" t="n">
        <x:v>45646</x:v>
      </x:c>
      <x:c r="H2278" s="32" t="n">
        <x:v>545000</x:v>
      </x:c>
      <x:c r="I2278" s="32" t="n">
        <x:v>55000</x:v>
      </x:c>
      <x:c r="J2278" s="32" t="n">
        <x:v>490000</x:v>
      </x:c>
      <x:c r="K2278" s="30" t="n">
        <x:v>45650</x:v>
      </x:c>
      <x:c r="L2278" s="24" t="str">
        <x:v>입금</x:v>
      </x:c>
      <x:c r="M2278" s="31" t="n">
        <x:f>IF(AND(N2278="미수",G2278&lt;&gt;"",TODAY()&gt;G2278),TODAY()-G2278,0)</x:f>
        <x:v>603</x:v>
      </x:c>
      <x:c r="N2278" s="24" t="str">
        <x:f>IF(J2278&gt;0,"미수",IF(AND(H2278&gt;0,I2278&gt;=H2278),"완납","미확인"))</x:f>
        <x:v>미수</x:v>
      </x:c>
      <x:c r="O2278" s="31" t="n">
        <x:v>5</x:v>
      </x:c>
    </x:row>
    <x:row r="2279" ht="17.25" customHeight="1">
      <x:c r="A2279" s="24" t="str">
        <x:v>PR-B-76버5489-202411</x:v>
      </x:c>
      <x:c r="B2279" s="24" t="str">
        <x:v>프라임구독</x:v>
      </x:c>
      <x:c r="C2279" s="24" t="str">
        <x:v>PR-C-76버5489-1-20220816-194</x:v>
      </x:c>
      <x:c r="D2279" s="24" t="str">
        <x:v>76버5489</x:v>
      </x:c>
      <x:c r="E2279" s="24" t="str">
        <x:v>한샘</x:v>
      </x:c>
      <x:c r="F2279" s="24" t="str">
        <x:v>2024-11</x:v>
      </x:c>
      <x:c r="G2279" s="30" t="n">
        <x:v>45616</x:v>
      </x:c>
      <x:c r="H2279" s="32" t="n">
        <x:v>545000</x:v>
      </x:c>
      <x:c r="I2279" s="32" t="n">
        <x:v>545000</x:v>
      </x:c>
      <x:c r="J2279" s="32" t="n">
        <x:v>0</x:v>
      </x:c>
      <x:c r="K2279" s="30" t="n">
        <x:v>45650</x:v>
      </x:c>
      <x:c r="L2279" s="24" t="str">
        <x:v>입금</x:v>
      </x:c>
      <x:c r="M2279" s="31" t="n">
        <x:f>IF(AND(N2279="미수",G2279&lt;&gt;"",TODAY()&gt;G2279),TODAY()-G2279,0)</x:f>
        <x:v>0</x:v>
      </x:c>
      <x:c r="N2279" s="24" t="str">
        <x:f>IF(J2279&gt;0,"미수",IF(AND(H2279&gt;0,I2279&gt;=H2279),"완납","미확인"))</x:f>
        <x:v>완납</x:v>
      </x:c>
      <x:c r="O2279" s="31" t="n">
        <x:v>5</x:v>
      </x:c>
    </x:row>
    <x:row r="2280" ht="17.25" customHeight="1">
      <x:c r="A2280" s="24" t="str">
        <x:v>PR-B-76버5489-202410</x:v>
      </x:c>
      <x:c r="B2280" s="24" t="str">
        <x:v>프라임구독</x:v>
      </x:c>
      <x:c r="C2280" s="24" t="str">
        <x:v>PR-C-76버5489-1-20220816-194</x:v>
      </x:c>
      <x:c r="D2280" s="24" t="str">
        <x:v>76버5489</x:v>
      </x:c>
      <x:c r="E2280" s="24" t="str">
        <x:v>한샘</x:v>
      </x:c>
      <x:c r="F2280" s="24" t="str">
        <x:v>2024-10</x:v>
      </x:c>
      <x:c r="G2280" s="30" t="n">
        <x:v>45585</x:v>
      </x:c>
      <x:c r="H2280" s="32" t="n">
        <x:v>545000</x:v>
      </x:c>
      <x:c r="I2280" s="32" t="n">
        <x:v>545000</x:v>
      </x:c>
      <x:c r="J2280" s="32" t="n">
        <x:v>0</x:v>
      </x:c>
      <x:c r="K2280" s="30" t="n">
        <x:v>45616</x:v>
      </x:c>
      <x:c r="L2280" s="24" t="str">
        <x:v>자동</x:v>
      </x:c>
      <x:c r="M2280" s="31" t="n">
        <x:f>IF(AND(N2280="미수",G2280&lt;&gt;"",TODAY()&gt;G2280),TODAY()-G2280,0)</x:f>
        <x:v>0</x:v>
      </x:c>
      <x:c r="N2280" s="24" t="str">
        <x:f>IF(J2280&gt;0,"미수",IF(AND(H2280&gt;0,I2280&gt;=H2280),"완납","미확인"))</x:f>
        <x:v>완납</x:v>
      </x:c>
      <x:c r="O2280" s="31" t="n">
        <x:v>5</x:v>
      </x:c>
    </x:row>
    <x:row r="2281" ht="17.25" customHeight="1">
      <x:c r="A2281" s="24" t="str">
        <x:v>PR-B-76버5489-202409</x:v>
      </x:c>
      <x:c r="B2281" s="24" t="str">
        <x:v>프라임구독</x:v>
      </x:c>
      <x:c r="C2281" s="24" t="str">
        <x:v>PR-C-76버5489-1-20220816-194</x:v>
      </x:c>
      <x:c r="D2281" s="24" t="str">
        <x:v>76버5489</x:v>
      </x:c>
      <x:c r="E2281" s="24" t="str">
        <x:v>한샘</x:v>
      </x:c>
      <x:c r="F2281" s="24" t="str">
        <x:v>2024-09</x:v>
      </x:c>
      <x:c r="G2281" s="30" t="n">
        <x:v>45555</x:v>
      </x:c>
      <x:c r="H2281" s="32" t="n">
        <x:v>545000</x:v>
      </x:c>
      <x:c r="I2281" s="32" t="n">
        <x:v>545000</x:v>
      </x:c>
      <x:c r="J2281" s="32" t="n">
        <x:v>0</x:v>
      </x:c>
      <x:c r="K2281" s="30" t="n">
        <x:v>45580</x:v>
      </x:c>
      <x:c r="L2281" s="24" t="str">
        <x:v>입금</x:v>
      </x:c>
      <x:c r="M2281" s="31" t="n">
        <x:f>IF(AND(N2281="미수",G2281&lt;&gt;"",TODAY()&gt;G2281),TODAY()-G2281,0)</x:f>
        <x:v>0</x:v>
      </x:c>
      <x:c r="N2281" s="24" t="str">
        <x:f>IF(J2281&gt;0,"미수",IF(AND(H2281&gt;0,I2281&gt;=H2281),"완납","미확인"))</x:f>
        <x:v>완납</x:v>
      </x:c>
      <x:c r="O2281" s="31" t="n">
        <x:v>5</x:v>
      </x:c>
    </x:row>
    <x:row r="2282" ht="17.25" customHeight="1">
      <x:c r="A2282" s="24" t="str">
        <x:v>PR-B-76버5489-202408</x:v>
      </x:c>
      <x:c r="B2282" s="24" t="str">
        <x:v>프라임구독</x:v>
      </x:c>
      <x:c r="C2282" s="24" t="str">
        <x:v>PR-C-76버5489-1-20220816-194</x:v>
      </x:c>
      <x:c r="D2282" s="24" t="str">
        <x:v>76버5489</x:v>
      </x:c>
      <x:c r="E2282" s="24" t="str">
        <x:v>한샘</x:v>
      </x:c>
      <x:c r="F2282" s="24" t="str">
        <x:v>2024-08</x:v>
      </x:c>
      <x:c r="G2282" s="30" t="n">
        <x:v>45524</x:v>
      </x:c>
      <x:c r="H2282" s="32" t="n">
        <x:v>545000</x:v>
      </x:c>
      <x:c r="I2282" s="32" t="n">
        <x:v>545000</x:v>
      </x:c>
      <x:c r="J2282" s="32" t="n">
        <x:v>0</x:v>
      </x:c>
      <x:c r="K2282" s="30" t="n">
        <x:v>45548</x:v>
      </x:c>
      <x:c r="L2282" s="24" t="str">
        <x:v>입금</x:v>
      </x:c>
      <x:c r="M2282" s="31" t="n">
        <x:f>IF(AND(N2282="미수",G2282&lt;&gt;"",TODAY()&gt;G2282),TODAY()-G2282,0)</x:f>
        <x:v>0</x:v>
      </x:c>
      <x:c r="N2282" s="24" t="str">
        <x:f>IF(J2282&gt;0,"미수",IF(AND(H2282&gt;0,I2282&gt;=H2282),"완납","미확인"))</x:f>
        <x:v>완납</x:v>
      </x:c>
      <x:c r="O2282" s="31" t="n">
        <x:v>5</x:v>
      </x:c>
    </x:row>
    <x:row r="2283" ht="17.25" customHeight="1">
      <x:c r="A2283" s="24" t="str">
        <x:v>PR-B-76버5489-202407</x:v>
      </x:c>
      <x:c r="B2283" s="24" t="str">
        <x:v>프라임구독</x:v>
      </x:c>
      <x:c r="C2283" s="24" t="str">
        <x:v>PR-C-76버5489-1-20220816-194</x:v>
      </x:c>
      <x:c r="D2283" s="24" t="str">
        <x:v>76버5489</x:v>
      </x:c>
      <x:c r="E2283" s="24" t="str">
        <x:v>한샘</x:v>
      </x:c>
      <x:c r="F2283" s="24" t="str">
        <x:v>2024-07</x:v>
      </x:c>
      <x:c r="G2283" s="30" t="n">
        <x:v>45493</x:v>
      </x:c>
      <x:c r="H2283" s="32" t="n">
        <x:v>545000</x:v>
      </x:c>
      <x:c r="I2283" s="32" t="n">
        <x:v>545000</x:v>
      </x:c>
      <x:c r="J2283" s="32" t="n">
        <x:v>0</x:v>
      </x:c>
      <x:c r="K2283" s="30" t="n">
        <x:v>45493</x:v>
      </x:c>
      <x:c r="L2283" s="24" t="str">
        <x:v>자동</x:v>
      </x:c>
      <x:c r="M2283" s="31" t="n">
        <x:f>IF(AND(N2283="미수",G2283&lt;&gt;"",TODAY()&gt;G2283),TODAY()-G2283,0)</x:f>
        <x:v>0</x:v>
      </x:c>
      <x:c r="N2283" s="24" t="str">
        <x:f>IF(J2283&gt;0,"미수",IF(AND(H2283&gt;0,I2283&gt;=H2283),"완납","미확인"))</x:f>
        <x:v>완납</x:v>
      </x:c>
      <x:c r="O2283" s="31" t="n">
        <x:v>5</x:v>
      </x:c>
    </x:row>
    <x:row r="2284" ht="17.25" customHeight="1">
      <x:c r="A2284" s="24" t="str">
        <x:v>PR-B-76버5489-202406</x:v>
      </x:c>
      <x:c r="B2284" s="24" t="str">
        <x:v>프라임구독</x:v>
      </x:c>
      <x:c r="C2284" s="24" t="str">
        <x:v>PR-C-76버5489-1-20220816-194</x:v>
      </x:c>
      <x:c r="D2284" s="24" t="str">
        <x:v>76버5489</x:v>
      </x:c>
      <x:c r="E2284" s="24" t="str">
        <x:v>한샘</x:v>
      </x:c>
      <x:c r="F2284" s="24" t="str">
        <x:v>2024-06</x:v>
      </x:c>
      <x:c r="G2284" s="30" t="n">
        <x:v>45463</x:v>
      </x:c>
      <x:c r="H2284" s="32" t="n">
        <x:v>545000</x:v>
      </x:c>
      <x:c r="I2284" s="32" t="n">
        <x:v>545000</x:v>
      </x:c>
      <x:c r="J2284" s="32" t="n">
        <x:v>0</x:v>
      </x:c>
      <x:c r="K2284" s="30" t="n">
        <x:v>45464</x:v>
      </x:c>
      <x:c r="L2284" s="24" t="str"/>
      <x:c r="M2284" s="31" t="n">
        <x:f>IF(AND(N2284="미수",G2284&lt;&gt;"",TODAY()&gt;G2284),TODAY()-G2284,0)</x:f>
        <x:v>0</x:v>
      </x:c>
      <x:c r="N2284" s="24" t="str">
        <x:f>IF(J2284&gt;0,"미수",IF(AND(H2284&gt;0,I2284&gt;=H2284),"완납","미확인"))</x:f>
        <x:v>완납</x:v>
      </x:c>
      <x:c r="O2284" s="31" t="n">
        <x:v>5</x:v>
      </x:c>
    </x:row>
    <x:row r="2285" ht="17.25" customHeight="1">
      <x:c r="A2285" s="24" t="str">
        <x:v>PR-B-76버5489-202405</x:v>
      </x:c>
      <x:c r="B2285" s="24" t="str">
        <x:v>프라임구독</x:v>
      </x:c>
      <x:c r="C2285" s="24" t="str">
        <x:v>PR-C-76버5489-1-20220816-194</x:v>
      </x:c>
      <x:c r="D2285" s="24" t="str">
        <x:v>76버5489</x:v>
      </x:c>
      <x:c r="E2285" s="24" t="str">
        <x:v>한샘</x:v>
      </x:c>
      <x:c r="F2285" s="24" t="str">
        <x:v>2024-05</x:v>
      </x:c>
      <x:c r="G2285" s="30" t="n">
        <x:v>45432</x:v>
      </x:c>
      <x:c r="H2285" s="32" t="n">
        <x:v>545000</x:v>
      </x:c>
      <x:c r="I2285" s="32" t="n">
        <x:v>545000</x:v>
      </x:c>
      <x:c r="J2285" s="32" t="n">
        <x:v>0</x:v>
      </x:c>
      <x:c r="K2285" s="30" t="n">
        <x:v>45432</x:v>
      </x:c>
      <x:c r="L2285" s="24" t="str"/>
      <x:c r="M2285" s="31" t="n">
        <x:f>IF(AND(N2285="미수",G2285&lt;&gt;"",TODAY()&gt;G2285),TODAY()-G2285,0)</x:f>
        <x:v>0</x:v>
      </x:c>
      <x:c r="N2285" s="24" t="str">
        <x:f>IF(J2285&gt;0,"미수",IF(AND(H2285&gt;0,I2285&gt;=H2285),"완납","미확인"))</x:f>
        <x:v>완납</x:v>
      </x:c>
      <x:c r="O2285" s="31" t="n">
        <x:v>5</x:v>
      </x:c>
    </x:row>
    <x:row r="2286" ht="17.25" customHeight="1">
      <x:c r="A2286" s="24" t="str">
        <x:v>PR-B-41누0758-202608</x:v>
      </x:c>
      <x:c r="B2286" s="24" t="str">
        <x:v>프라임구독</x:v>
      </x:c>
      <x:c r="C2286" s="24" t="str">
        <x:v>PR-C-41누0758-1-20221125-143</x:v>
      </x:c>
      <x:c r="D2286" s="24" t="str">
        <x:v>41누0758</x:v>
      </x:c>
      <x:c r="E2286" s="24" t="str">
        <x:v>장두식</x:v>
      </x:c>
      <x:c r="F2286" s="24" t="str">
        <x:v>2026-08</x:v>
      </x:c>
      <x:c r="G2286" s="30" t="n">
        <x:v>46254</x:v>
      </x:c>
      <x:c r="H2286" s="32"/>
      <x:c r="I2286" s="32"/>
      <x:c r="J2286" s="32" t="n">
        <x:v>2105000</x:v>
      </x:c>
      <x:c r="K2286" s="30"/>
      <x:c r="L2286" s="24" t="str"/>
      <x:c r="M2286" s="31" t="n">
        <x:f>IF(AND(N2286="미수",G2286&lt;&gt;"",TODAY()&gt;G2286),TODAY()-G2286,0)</x:f>
        <x:v>0</x:v>
      </x:c>
      <x:c r="N2286" s="24" t="str">
        <x:f>IF(J2286&gt;0,"미수",IF(AND(H2286&gt;0,I2286&gt;=H2286),"완납","미확인"))</x:f>
        <x:v>미수</x:v>
      </x:c>
      <x:c r="O2286" s="31" t="n">
        <x:v>6</x:v>
      </x:c>
    </x:row>
    <x:row r="2287" ht="17.25" customHeight="1">
      <x:c r="A2287" s="24" t="str">
        <x:v>PR-B-41누0758-202607</x:v>
      </x:c>
      <x:c r="B2287" s="24" t="str">
        <x:v>프라임구독</x:v>
      </x:c>
      <x:c r="C2287" s="24" t="str">
        <x:v>PR-C-41누0758-1-20221125-143</x:v>
      </x:c>
      <x:c r="D2287" s="24" t="str">
        <x:v>41누0758</x:v>
      </x:c>
      <x:c r="E2287" s="24" t="str">
        <x:v>장두식</x:v>
      </x:c>
      <x:c r="F2287" s="24" t="str">
        <x:v>2026-07</x:v>
      </x:c>
      <x:c r="G2287" s="30" t="n">
        <x:v>46223</x:v>
      </x:c>
      <x:c r="H2287" s="32"/>
      <x:c r="I2287" s="32"/>
      <x:c r="J2287" s="32" t="n">
        <x:v>2105000</x:v>
      </x:c>
      <x:c r="K2287" s="30"/>
      <x:c r="L2287" s="24" t="str"/>
      <x:c r="M2287" s="31" t="n">
        <x:f>IF(AND(N2287="미수",G2287&lt;&gt;"",TODAY()&gt;G2287),TODAY()-G2287,0)</x:f>
        <x:v>26</x:v>
      </x:c>
      <x:c r="N2287" s="24" t="str">
        <x:f>IF(J2287&gt;0,"미수",IF(AND(H2287&gt;0,I2287&gt;=H2287),"완납","미확인"))</x:f>
        <x:v>미수</x:v>
      </x:c>
      <x:c r="O2287" s="31" t="n">
        <x:v>6</x:v>
      </x:c>
    </x:row>
    <x:row r="2288" ht="17.25" customHeight="1">
      <x:c r="A2288" s="24" t="str">
        <x:v>PR-B-41누0758-202606</x:v>
      </x:c>
      <x:c r="B2288" s="24" t="str">
        <x:v>프라임구독</x:v>
      </x:c>
      <x:c r="C2288" s="24" t="str">
        <x:v>PR-C-41누0758-1-20221125-143</x:v>
      </x:c>
      <x:c r="D2288" s="24" t="str">
        <x:v>41누0758</x:v>
      </x:c>
      <x:c r="E2288" s="24" t="str">
        <x:v>장두식</x:v>
      </x:c>
      <x:c r="F2288" s="24" t="str">
        <x:v>2026-06</x:v>
      </x:c>
      <x:c r="G2288" s="30" t="n">
        <x:v>46193</x:v>
      </x:c>
      <x:c r="H2288" s="32"/>
      <x:c r="I2288" s="32"/>
      <x:c r="J2288" s="32" t="n">
        <x:v>2105000</x:v>
      </x:c>
      <x:c r="K2288" s="30"/>
      <x:c r="L2288" s="24" t="str"/>
      <x:c r="M2288" s="31" t="n">
        <x:f>IF(AND(N2288="미수",G2288&lt;&gt;"",TODAY()&gt;G2288),TODAY()-G2288,0)</x:f>
        <x:v>56</x:v>
      </x:c>
      <x:c r="N2288" s="24" t="str">
        <x:f>IF(J2288&gt;0,"미수",IF(AND(H2288&gt;0,I2288&gt;=H2288),"완납","미확인"))</x:f>
        <x:v>미수</x:v>
      </x:c>
      <x:c r="O2288" s="31" t="n">
        <x:v>6</x:v>
      </x:c>
    </x:row>
    <x:row r="2289" ht="17.25" customHeight="1">
      <x:c r="A2289" s="24" t="str">
        <x:v>PR-B-41누0758-202605</x:v>
      </x:c>
      <x:c r="B2289" s="24" t="str">
        <x:v>프라임구독</x:v>
      </x:c>
      <x:c r="C2289" s="24" t="str">
        <x:v>PR-C-41누0758-1-20221125-143</x:v>
      </x:c>
      <x:c r="D2289" s="24" t="str">
        <x:v>41누0758</x:v>
      </x:c>
      <x:c r="E2289" s="24" t="str">
        <x:v>장두식</x:v>
      </x:c>
      <x:c r="F2289" s="24" t="str">
        <x:v>2026-05</x:v>
      </x:c>
      <x:c r="G2289" s="30" t="n">
        <x:v>46162</x:v>
      </x:c>
      <x:c r="H2289" s="32"/>
      <x:c r="I2289" s="32"/>
      <x:c r="J2289" s="32" t="n">
        <x:v>2105000</x:v>
      </x:c>
      <x:c r="K2289" s="30"/>
      <x:c r="L2289" s="24" t="str"/>
      <x:c r="M2289" s="31" t="n">
        <x:f>IF(AND(N2289="미수",G2289&lt;&gt;"",TODAY()&gt;G2289),TODAY()-G2289,0)</x:f>
        <x:v>87</x:v>
      </x:c>
      <x:c r="N2289" s="24" t="str">
        <x:f>IF(J2289&gt;0,"미수",IF(AND(H2289&gt;0,I2289&gt;=H2289),"완납","미확인"))</x:f>
        <x:v>미수</x:v>
      </x:c>
      <x:c r="O2289" s="31" t="n">
        <x:v>6</x:v>
      </x:c>
    </x:row>
    <x:row r="2290" ht="17.25" customHeight="1">
      <x:c r="A2290" s="24" t="str">
        <x:v>PR-B-41누0758-202604</x:v>
      </x:c>
      <x:c r="B2290" s="24" t="str">
        <x:v>프라임구독</x:v>
      </x:c>
      <x:c r="C2290" s="24" t="str">
        <x:v>PR-C-41누0758-1-20221125-143</x:v>
      </x:c>
      <x:c r="D2290" s="24" t="str">
        <x:v>41누0758</x:v>
      </x:c>
      <x:c r="E2290" s="24" t="str">
        <x:v>장두식</x:v>
      </x:c>
      <x:c r="F2290" s="24" t="str">
        <x:v>2026-04</x:v>
      </x:c>
      <x:c r="G2290" s="30" t="n">
        <x:v>46132</x:v>
      </x:c>
      <x:c r="H2290" s="32"/>
      <x:c r="I2290" s="32"/>
      <x:c r="J2290" s="32" t="n">
        <x:v>2105000</x:v>
      </x:c>
      <x:c r="K2290" s="30"/>
      <x:c r="L2290" s="24" t="str"/>
      <x:c r="M2290" s="31" t="n">
        <x:f>IF(AND(N2290="미수",G2290&lt;&gt;"",TODAY()&gt;G2290),TODAY()-G2290,0)</x:f>
        <x:v>117</x:v>
      </x:c>
      <x:c r="N2290" s="24" t="str">
        <x:f>IF(J2290&gt;0,"미수",IF(AND(H2290&gt;0,I2290&gt;=H2290),"완납","미확인"))</x:f>
        <x:v>미수</x:v>
      </x:c>
      <x:c r="O2290" s="31" t="n">
        <x:v>6</x:v>
      </x:c>
    </x:row>
    <x:row r="2291" ht="17.25" customHeight="1">
      <x:c r="A2291" s="24" t="str">
        <x:v>PR-B-41누0758-202603</x:v>
      </x:c>
      <x:c r="B2291" s="24" t="str">
        <x:v>프라임구독</x:v>
      </x:c>
      <x:c r="C2291" s="24" t="str">
        <x:v>PR-C-41누0758-1-20221125-143</x:v>
      </x:c>
      <x:c r="D2291" s="24" t="str">
        <x:v>41누0758</x:v>
      </x:c>
      <x:c r="E2291" s="24" t="str">
        <x:v>장두식</x:v>
      </x:c>
      <x:c r="F2291" s="24" t="str">
        <x:v>2026-03</x:v>
      </x:c>
      <x:c r="G2291" s="30" t="n">
        <x:v>46101</x:v>
      </x:c>
      <x:c r="H2291" s="32"/>
      <x:c r="I2291" s="32"/>
      <x:c r="J2291" s="32" t="n">
        <x:v>2105000</x:v>
      </x:c>
      <x:c r="K2291" s="30"/>
      <x:c r="L2291" s="24" t="str"/>
      <x:c r="M2291" s="31" t="n">
        <x:f>IF(AND(N2291="미수",G2291&lt;&gt;"",TODAY()&gt;G2291),TODAY()-G2291,0)</x:f>
        <x:v>148</x:v>
      </x:c>
      <x:c r="N2291" s="24" t="str">
        <x:f>IF(J2291&gt;0,"미수",IF(AND(H2291&gt;0,I2291&gt;=H2291),"완납","미확인"))</x:f>
        <x:v>미수</x:v>
      </x:c>
      <x:c r="O2291" s="31" t="n">
        <x:v>6</x:v>
      </x:c>
    </x:row>
    <x:row r="2292" ht="17.25" customHeight="1">
      <x:c r="A2292" s="24" t="str">
        <x:v>PR-B-41누0758-202602</x:v>
      </x:c>
      <x:c r="B2292" s="24" t="str">
        <x:v>프라임구독</x:v>
      </x:c>
      <x:c r="C2292" s="24" t="str">
        <x:v>PR-C-41누0758-1-20221125-143</x:v>
      </x:c>
      <x:c r="D2292" s="24" t="str">
        <x:v>41누0758</x:v>
      </x:c>
      <x:c r="E2292" s="24" t="str">
        <x:v>장두식</x:v>
      </x:c>
      <x:c r="F2292" s="24" t="str">
        <x:v>2026-02</x:v>
      </x:c>
      <x:c r="G2292" s="30" t="n">
        <x:v>46073</x:v>
      </x:c>
      <x:c r="H2292" s="32"/>
      <x:c r="I2292" s="32"/>
      <x:c r="J2292" s="32" t="n">
        <x:v>2105000</x:v>
      </x:c>
      <x:c r="K2292" s="30"/>
      <x:c r="L2292" s="24" t="str"/>
      <x:c r="M2292" s="31" t="n">
        <x:f>IF(AND(N2292="미수",G2292&lt;&gt;"",TODAY()&gt;G2292),TODAY()-G2292,0)</x:f>
        <x:v>176</x:v>
      </x:c>
      <x:c r="N2292" s="24" t="str">
        <x:f>IF(J2292&gt;0,"미수",IF(AND(H2292&gt;0,I2292&gt;=H2292),"완납","미확인"))</x:f>
        <x:v>미수</x:v>
      </x:c>
      <x:c r="O2292" s="31" t="n">
        <x:v>6</x:v>
      </x:c>
    </x:row>
    <x:row r="2293" ht="17.25" customHeight="1">
      <x:c r="A2293" s="24" t="str">
        <x:v>PR-B-41누0758-202601</x:v>
      </x:c>
      <x:c r="B2293" s="24" t="str">
        <x:v>프라임구독</x:v>
      </x:c>
      <x:c r="C2293" s="24" t="str">
        <x:v>PR-C-41누0758-1-20221125-143</x:v>
      </x:c>
      <x:c r="D2293" s="24" t="str">
        <x:v>41누0758</x:v>
      </x:c>
      <x:c r="E2293" s="24" t="str">
        <x:v>장두식</x:v>
      </x:c>
      <x:c r="F2293" s="24" t="str">
        <x:v>2026-01</x:v>
      </x:c>
      <x:c r="G2293" s="30" t="n">
        <x:v>46042</x:v>
      </x:c>
      <x:c r="H2293" s="32" t="n">
        <x:v>421000</x:v>
      </x:c>
      <x:c r="I2293" s="32"/>
      <x:c r="J2293" s="32" t="n">
        <x:v>2105000</x:v>
      </x:c>
      <x:c r="K2293" s="30"/>
      <x:c r="L2293" s="24" t="str"/>
      <x:c r="M2293" s="31" t="n">
        <x:f>IF(AND(N2293="미수",G2293&lt;&gt;"",TODAY()&gt;G2293),TODAY()-G2293,0)</x:f>
        <x:v>207</x:v>
      </x:c>
      <x:c r="N2293" s="24" t="str">
        <x:f>IF(J2293&gt;0,"미수",IF(AND(H2293&gt;0,I2293&gt;=H2293),"완납","미확인"))</x:f>
        <x:v>미수</x:v>
      </x:c>
      <x:c r="O2293" s="31" t="n">
        <x:v>6</x:v>
      </x:c>
    </x:row>
    <x:row r="2294" ht="17.25" customHeight="1">
      <x:c r="A2294" s="24" t="str">
        <x:v>PR-B-41누0758-202512</x:v>
      </x:c>
      <x:c r="B2294" s="24" t="str">
        <x:v>프라임구독</x:v>
      </x:c>
      <x:c r="C2294" s="24" t="str">
        <x:v>PR-C-41누0758-1-20221125-143</x:v>
      </x:c>
      <x:c r="D2294" s="24" t="str">
        <x:v>41누0758</x:v>
      </x:c>
      <x:c r="E2294" s="24" t="str">
        <x:v>장두식</x:v>
      </x:c>
      <x:c r="F2294" s="24" t="str">
        <x:v>2025-12</x:v>
      </x:c>
      <x:c r="G2294" s="30" t="n">
        <x:v>46011</x:v>
      </x:c>
      <x:c r="H2294" s="32" t="n">
        <x:v>421000</x:v>
      </x:c>
      <x:c r="I2294" s="32"/>
      <x:c r="J2294" s="32" t="n">
        <x:v>1684000</x:v>
      </x:c>
      <x:c r="K2294" s="30"/>
      <x:c r="L2294" s="24" t="str"/>
      <x:c r="M2294" s="31" t="n">
        <x:f>IF(AND(N2294="미수",G2294&lt;&gt;"",TODAY()&gt;G2294),TODAY()-G2294,0)</x:f>
        <x:v>238</x:v>
      </x:c>
      <x:c r="N2294" s="24" t="str">
        <x:f>IF(J2294&gt;0,"미수",IF(AND(H2294&gt;0,I2294&gt;=H2294),"완납","미확인"))</x:f>
        <x:v>미수</x:v>
      </x:c>
      <x:c r="O2294" s="31" t="n">
        <x:v>6</x:v>
      </x:c>
    </x:row>
    <x:row r="2295" ht="17.25" customHeight="1">
      <x:c r="A2295" s="24" t="str">
        <x:v>PR-B-41누0758-202511</x:v>
      </x:c>
      <x:c r="B2295" s="24" t="str">
        <x:v>프라임구독</x:v>
      </x:c>
      <x:c r="C2295" s="24" t="str">
        <x:v>PR-C-41누0758-1-20221125-143</x:v>
      </x:c>
      <x:c r="D2295" s="24" t="str">
        <x:v>41누0758</x:v>
      </x:c>
      <x:c r="E2295" s="24" t="str">
        <x:v>장두식</x:v>
      </x:c>
      <x:c r="F2295" s="24" t="str">
        <x:v>2025-11</x:v>
      </x:c>
      <x:c r="G2295" s="30" t="n">
        <x:v>45981</x:v>
      </x:c>
      <x:c r="H2295" s="32" t="n">
        <x:v>421000</x:v>
      </x:c>
      <x:c r="I2295" s="32" t="n">
        <x:v>421000</x:v>
      </x:c>
      <x:c r="J2295" s="32" t="n">
        <x:v>1263000</x:v>
      </x:c>
      <x:c r="K2295" s="30" t="n">
        <x:v>45980</x:v>
      </x:c>
      <x:c r="L2295" s="24" t="str">
        <x:v>입금</x:v>
      </x:c>
      <x:c r="M2295" s="31" t="n">
        <x:f>IF(AND(N2295="미수",G2295&lt;&gt;"",TODAY()&gt;G2295),TODAY()-G2295,0)</x:f>
        <x:v>268</x:v>
      </x:c>
      <x:c r="N2295" s="24" t="str">
        <x:f>IF(J2295&gt;0,"미수",IF(AND(H2295&gt;0,I2295&gt;=H2295),"완납","미확인"))</x:f>
        <x:v>미수</x:v>
      </x:c>
      <x:c r="O2295" s="31" t="n">
        <x:v>6</x:v>
      </x:c>
    </x:row>
    <x:row r="2296" ht="17.25" customHeight="1">
      <x:c r="A2296" s="24" t="str">
        <x:v>PR-B-41누0758-202510</x:v>
      </x:c>
      <x:c r="B2296" s="24" t="str">
        <x:v>프라임구독</x:v>
      </x:c>
      <x:c r="C2296" s="24" t="str">
        <x:v>PR-C-41누0758-1-20221125-143</x:v>
      </x:c>
      <x:c r="D2296" s="24" t="str">
        <x:v>41누0758</x:v>
      </x:c>
      <x:c r="E2296" s="24" t="str">
        <x:v>장두식</x:v>
      </x:c>
      <x:c r="F2296" s="24" t="str">
        <x:v>2025-10</x:v>
      </x:c>
      <x:c r="G2296" s="30" t="n">
        <x:v>45950</x:v>
      </x:c>
      <x:c r="H2296" s="32" t="n">
        <x:v>421000</x:v>
      </x:c>
      <x:c r="I2296" s="32"/>
      <x:c r="J2296" s="32" t="n">
        <x:v>1263000</x:v>
      </x:c>
      <x:c r="K2296" s="30"/>
      <x:c r="L2296" s="24" t="str"/>
      <x:c r="M2296" s="31" t="n">
        <x:f>IF(AND(N2296="미수",G2296&lt;&gt;"",TODAY()&gt;G2296),TODAY()-G2296,0)</x:f>
        <x:v>299</x:v>
      </x:c>
      <x:c r="N2296" s="24" t="str">
        <x:f>IF(J2296&gt;0,"미수",IF(AND(H2296&gt;0,I2296&gt;=H2296),"완납","미확인"))</x:f>
        <x:v>미수</x:v>
      </x:c>
      <x:c r="O2296" s="31" t="n">
        <x:v>6</x:v>
      </x:c>
    </x:row>
    <x:row r="2297" ht="17.25" customHeight="1">
      <x:c r="A2297" s="24" t="str">
        <x:v>PR-B-41누0758-202509</x:v>
      </x:c>
      <x:c r="B2297" s="24" t="str">
        <x:v>프라임구독</x:v>
      </x:c>
      <x:c r="C2297" s="24" t="str">
        <x:v>PR-C-41누0758-1-20221125-143</x:v>
      </x:c>
      <x:c r="D2297" s="24" t="str">
        <x:v>41누0758</x:v>
      </x:c>
      <x:c r="E2297" s="24" t="str">
        <x:v>장두식</x:v>
      </x:c>
      <x:c r="F2297" s="24" t="str">
        <x:v>2025-09</x:v>
      </x:c>
      <x:c r="G2297" s="30" t="n">
        <x:v>45920</x:v>
      </x:c>
      <x:c r="H2297" s="32" t="n">
        <x:v>421000</x:v>
      </x:c>
      <x:c r="I2297" s="32" t="n">
        <x:v>421000</x:v>
      </x:c>
      <x:c r="J2297" s="32" t="n">
        <x:v>842000</x:v>
      </x:c>
      <x:c r="K2297" s="30" t="n">
        <x:v>45929</x:v>
      </x:c>
      <x:c r="L2297" s="24" t="str">
        <x:v>입금</x:v>
      </x:c>
      <x:c r="M2297" s="31" t="n">
        <x:f>IF(AND(N2297="미수",G2297&lt;&gt;"",TODAY()&gt;G2297),TODAY()-G2297,0)</x:f>
        <x:v>329</x:v>
      </x:c>
      <x:c r="N2297" s="24" t="str">
        <x:f>IF(J2297&gt;0,"미수",IF(AND(H2297&gt;0,I2297&gt;=H2297),"완납","미확인"))</x:f>
        <x:v>미수</x:v>
      </x:c>
      <x:c r="O2297" s="31" t="n">
        <x:v>6</x:v>
      </x:c>
    </x:row>
    <x:row r="2298" ht="17.25" customHeight="1">
      <x:c r="A2298" s="24" t="str">
        <x:v>PR-B-41누0758-202508</x:v>
      </x:c>
      <x:c r="B2298" s="24" t="str">
        <x:v>프라임구독</x:v>
      </x:c>
      <x:c r="C2298" s="24" t="str">
        <x:v>PR-C-41누0758-1-20221125-143</x:v>
      </x:c>
      <x:c r="D2298" s="24" t="str">
        <x:v>41누0758</x:v>
      </x:c>
      <x:c r="E2298" s="24" t="str">
        <x:v>장두식</x:v>
      </x:c>
      <x:c r="F2298" s="24" t="str">
        <x:v>2025-08</x:v>
      </x:c>
      <x:c r="G2298" s="30" t="n">
        <x:v>45889</x:v>
      </x:c>
      <x:c r="H2298" s="32" t="n">
        <x:v>421000</x:v>
      </x:c>
      <x:c r="I2298" s="32"/>
      <x:c r="J2298" s="32" t="n">
        <x:v>842000</x:v>
      </x:c>
      <x:c r="K2298" s="30"/>
      <x:c r="L2298" s="24" t="str"/>
      <x:c r="M2298" s="31" t="n">
        <x:f>IF(AND(N2298="미수",G2298&lt;&gt;"",TODAY()&gt;G2298),TODAY()-G2298,0)</x:f>
        <x:v>360</x:v>
      </x:c>
      <x:c r="N2298" s="24" t="str">
        <x:f>IF(J2298&gt;0,"미수",IF(AND(H2298&gt;0,I2298&gt;=H2298),"완납","미확인"))</x:f>
        <x:v>미수</x:v>
      </x:c>
      <x:c r="O2298" s="31" t="n">
        <x:v>6</x:v>
      </x:c>
    </x:row>
    <x:row r="2299" ht="17.25" customHeight="1">
      <x:c r="A2299" s="24" t="str">
        <x:v>PR-B-41누0758-202507</x:v>
      </x:c>
      <x:c r="B2299" s="24" t="str">
        <x:v>프라임구독</x:v>
      </x:c>
      <x:c r="C2299" s="24" t="str">
        <x:v>PR-C-41누0758-1-20221125-143</x:v>
      </x:c>
      <x:c r="D2299" s="24" t="str">
        <x:v>41누0758</x:v>
      </x:c>
      <x:c r="E2299" s="24" t="str">
        <x:v>장두식</x:v>
      </x:c>
      <x:c r="F2299" s="24" t="str">
        <x:v>2025-07</x:v>
      </x:c>
      <x:c r="G2299" s="30" t="n">
        <x:v>45858</x:v>
      </x:c>
      <x:c r="H2299" s="32" t="n">
        <x:v>421000</x:v>
      </x:c>
      <x:c r="I2299" s="32" t="n">
        <x:v>421000</x:v>
      </x:c>
      <x:c r="J2299" s="32" t="n">
        <x:v>421000</x:v>
      </x:c>
      <x:c r="K2299" s="30" t="n">
        <x:v>45861</x:v>
      </x:c>
      <x:c r="L2299" s="24" t="str">
        <x:v>입금</x:v>
      </x:c>
      <x:c r="M2299" s="31" t="n">
        <x:f>IF(AND(N2299="미수",G2299&lt;&gt;"",TODAY()&gt;G2299),TODAY()-G2299,0)</x:f>
        <x:v>391</x:v>
      </x:c>
      <x:c r="N2299" s="24" t="str">
        <x:f>IF(J2299&gt;0,"미수",IF(AND(H2299&gt;0,I2299&gt;=H2299),"완납","미확인"))</x:f>
        <x:v>미수</x:v>
      </x:c>
      <x:c r="O2299" s="31" t="n">
        <x:v>6</x:v>
      </x:c>
    </x:row>
    <x:row r="2300" ht="17.25" customHeight="1">
      <x:c r="A2300" s="24" t="str">
        <x:v>PR-B-41누0758-202506</x:v>
      </x:c>
      <x:c r="B2300" s="24" t="str">
        <x:v>프라임구독</x:v>
      </x:c>
      <x:c r="C2300" s="24" t="str">
        <x:v>PR-C-41누0758-1-20221125-143</x:v>
      </x:c>
      <x:c r="D2300" s="24" t="str">
        <x:v>41누0758</x:v>
      </x:c>
      <x:c r="E2300" s="24" t="str">
        <x:v>장두식</x:v>
      </x:c>
      <x:c r="F2300" s="24" t="str">
        <x:v>2025-06</x:v>
      </x:c>
      <x:c r="G2300" s="30" t="n">
        <x:v>45828</x:v>
      </x:c>
      <x:c r="H2300" s="32" t="n">
        <x:v>421000</x:v>
      </x:c>
      <x:c r="I2300" s="32"/>
      <x:c r="J2300" s="32" t="n">
        <x:v>421000</x:v>
      </x:c>
      <x:c r="K2300" s="30"/>
      <x:c r="L2300" s="24" t="str"/>
      <x:c r="M2300" s="31" t="n">
        <x:f>IF(AND(N2300="미수",G2300&lt;&gt;"",TODAY()&gt;G2300),TODAY()-G2300,0)</x:f>
        <x:v>421</x:v>
      </x:c>
      <x:c r="N2300" s="24" t="str">
        <x:f>IF(J2300&gt;0,"미수",IF(AND(H2300&gt;0,I2300&gt;=H2300),"완납","미확인"))</x:f>
        <x:v>미수</x:v>
      </x:c>
      <x:c r="O2300" s="31" t="n">
        <x:v>6</x:v>
      </x:c>
    </x:row>
    <x:row r="2301" ht="17.25" customHeight="1">
      <x:c r="A2301" s="24" t="str">
        <x:v>PR-B-41누0758-202505</x:v>
      </x:c>
      <x:c r="B2301" s="24" t="str">
        <x:v>프라임구독</x:v>
      </x:c>
      <x:c r="C2301" s="24" t="str">
        <x:v>PR-C-41누0758-1-20221125-143</x:v>
      </x:c>
      <x:c r="D2301" s="24" t="str">
        <x:v>41누0758</x:v>
      </x:c>
      <x:c r="E2301" s="24" t="str">
        <x:v>장두식</x:v>
      </x:c>
      <x:c r="F2301" s="24" t="str">
        <x:v>2025-05</x:v>
      </x:c>
      <x:c r="G2301" s="30" t="n">
        <x:v>45797</x:v>
      </x:c>
      <x:c r="H2301" s="32" t="n">
        <x:v>421000</x:v>
      </x:c>
      <x:c r="I2301" s="32" t="n">
        <x:v>421000</x:v>
      </x:c>
      <x:c r="J2301" s="32" t="n">
        <x:v>0</x:v>
      </x:c>
      <x:c r="K2301" s="30" t="n">
        <x:v>45790</x:v>
      </x:c>
      <x:c r="L2301" s="24" t="str">
        <x:v>입금</x:v>
      </x:c>
      <x:c r="M2301" s="31" t="n">
        <x:f>IF(AND(N2301="미수",G2301&lt;&gt;"",TODAY()&gt;G2301),TODAY()-G2301,0)</x:f>
        <x:v>0</x:v>
      </x:c>
      <x:c r="N2301" s="24" t="str">
        <x:f>IF(J2301&gt;0,"미수",IF(AND(H2301&gt;0,I2301&gt;=H2301),"완납","미확인"))</x:f>
        <x:v>완납</x:v>
      </x:c>
      <x:c r="O2301" s="31" t="n">
        <x:v>6</x:v>
      </x:c>
    </x:row>
    <x:row r="2302" ht="17.25" customHeight="1">
      <x:c r="A2302" s="24" t="str">
        <x:v>PR-B-41누0758-202504</x:v>
      </x:c>
      <x:c r="B2302" s="24" t="str">
        <x:v>프라임구독</x:v>
      </x:c>
      <x:c r="C2302" s="24" t="str">
        <x:v>PR-C-41누0758-1-20221125-143</x:v>
      </x:c>
      <x:c r="D2302" s="24" t="str">
        <x:v>41누0758</x:v>
      </x:c>
      <x:c r="E2302" s="24" t="str">
        <x:v>장두식</x:v>
      </x:c>
      <x:c r="F2302" s="24" t="str">
        <x:v>2025-04</x:v>
      </x:c>
      <x:c r="G2302" s="30" t="n">
        <x:v>45767</x:v>
      </x:c>
      <x:c r="H2302" s="32" t="n">
        <x:v>421000</x:v>
      </x:c>
      <x:c r="I2302" s="32" t="n">
        <x:v>3368000</x:v>
      </x:c>
      <x:c r="J2302" s="32" t="n">
        <x:v>0</x:v>
      </x:c>
      <x:c r="K2302" s="30" t="n">
        <x:v>45773</x:v>
      </x:c>
      <x:c r="L2302" s="24" t="str">
        <x:v>입금</x:v>
      </x:c>
      <x:c r="M2302" s="31" t="n">
        <x:f>IF(AND(N2302="미수",G2302&lt;&gt;"",TODAY()&gt;G2302),TODAY()-G2302,0)</x:f>
        <x:v>0</x:v>
      </x:c>
      <x:c r="N2302" s="24" t="str">
        <x:f>IF(J2302&gt;0,"미수",IF(AND(H2302&gt;0,I2302&gt;=H2302),"완납","미확인"))</x:f>
        <x:v>완납</x:v>
      </x:c>
      <x:c r="O2302" s="31" t="n">
        <x:v>6</x:v>
      </x:c>
    </x:row>
    <x:row r="2303" ht="17.25" customHeight="1">
      <x:c r="A2303" s="24" t="str">
        <x:v>PR-B-41누0758-202503</x:v>
      </x:c>
      <x:c r="B2303" s="24" t="str">
        <x:v>프라임구독</x:v>
      </x:c>
      <x:c r="C2303" s="24" t="str">
        <x:v>PR-C-41누0758-1-20221125-143</x:v>
      </x:c>
      <x:c r="D2303" s="24" t="str">
        <x:v>41누0758</x:v>
      </x:c>
      <x:c r="E2303" s="24" t="str">
        <x:v>장두식</x:v>
      </x:c>
      <x:c r="F2303" s="24" t="str">
        <x:v>2025-03</x:v>
      </x:c>
      <x:c r="G2303" s="30" t="n">
        <x:v>45736</x:v>
      </x:c>
      <x:c r="H2303" s="32" t="n">
        <x:v>421000</x:v>
      </x:c>
      <x:c r="I2303" s="32"/>
      <x:c r="J2303" s="32" t="n">
        <x:v>2947000</x:v>
      </x:c>
      <x:c r="K2303" s="30"/>
      <x:c r="L2303" s="24" t="str"/>
      <x:c r="M2303" s="31" t="n">
        <x:f>IF(AND(N2303="미수",G2303&lt;&gt;"",TODAY()&gt;G2303),TODAY()-G2303,0)</x:f>
        <x:v>513</x:v>
      </x:c>
      <x:c r="N2303" s="24" t="str">
        <x:f>IF(J2303&gt;0,"미수",IF(AND(H2303&gt;0,I2303&gt;=H2303),"완납","미확인"))</x:f>
        <x:v>미수</x:v>
      </x:c>
      <x:c r="O2303" s="31" t="n">
        <x:v>6</x:v>
      </x:c>
    </x:row>
    <x:row r="2304" ht="17.25" customHeight="1">
      <x:c r="A2304" s="24" t="str">
        <x:v>PR-B-41누0758-202502</x:v>
      </x:c>
      <x:c r="B2304" s="24" t="str">
        <x:v>프라임구독</x:v>
      </x:c>
      <x:c r="C2304" s="24" t="str">
        <x:v>PR-C-41누0758-1-20221125-143</x:v>
      </x:c>
      <x:c r="D2304" s="24" t="str">
        <x:v>41누0758</x:v>
      </x:c>
      <x:c r="E2304" s="24" t="str">
        <x:v>장두식</x:v>
      </x:c>
      <x:c r="F2304" s="24" t="str">
        <x:v>2025-02</x:v>
      </x:c>
      <x:c r="G2304" s="30" t="n">
        <x:v>45708</x:v>
      </x:c>
      <x:c r="H2304" s="32" t="n">
        <x:v>421000</x:v>
      </x:c>
      <x:c r="I2304" s="32"/>
      <x:c r="J2304" s="32" t="n">
        <x:v>2526000</x:v>
      </x:c>
      <x:c r="K2304" s="30"/>
      <x:c r="L2304" s="24" t="str"/>
      <x:c r="M2304" s="31" t="n">
        <x:f>IF(AND(N2304="미수",G2304&lt;&gt;"",TODAY()&gt;G2304),TODAY()-G2304,0)</x:f>
        <x:v>541</x:v>
      </x:c>
      <x:c r="N2304" s="24" t="str">
        <x:f>IF(J2304&gt;0,"미수",IF(AND(H2304&gt;0,I2304&gt;=H2304),"완납","미확인"))</x:f>
        <x:v>미수</x:v>
      </x:c>
      <x:c r="O2304" s="31" t="n">
        <x:v>6</x:v>
      </x:c>
    </x:row>
    <x:row r="2305" ht="17.25" customHeight="1">
      <x:c r="A2305" s="24" t="str">
        <x:v>PR-B-41누0758-202501</x:v>
      </x:c>
      <x:c r="B2305" s="24" t="str">
        <x:v>프라임구독</x:v>
      </x:c>
      <x:c r="C2305" s="24" t="str">
        <x:v>PR-C-41누0758-1-20221125-143</x:v>
      </x:c>
      <x:c r="D2305" s="24" t="str">
        <x:v>41누0758</x:v>
      </x:c>
      <x:c r="E2305" s="24" t="str">
        <x:v>장두식</x:v>
      </x:c>
      <x:c r="F2305" s="24" t="str">
        <x:v>2025-01</x:v>
      </x:c>
      <x:c r="G2305" s="30" t="n">
        <x:v>45677</x:v>
      </x:c>
      <x:c r="H2305" s="32" t="n">
        <x:v>421000</x:v>
      </x:c>
      <x:c r="I2305" s="32"/>
      <x:c r="J2305" s="32" t="n">
        <x:v>2105000</x:v>
      </x:c>
      <x:c r="K2305" s="30"/>
      <x:c r="L2305" s="24" t="str"/>
      <x:c r="M2305" s="31" t="n">
        <x:f>IF(AND(N2305="미수",G2305&lt;&gt;"",TODAY()&gt;G2305),TODAY()-G2305,0)</x:f>
        <x:v>572</x:v>
      </x:c>
      <x:c r="N2305" s="24" t="str">
        <x:f>IF(J2305&gt;0,"미수",IF(AND(H2305&gt;0,I2305&gt;=H2305),"완납","미확인"))</x:f>
        <x:v>미수</x:v>
      </x:c>
      <x:c r="O2305" s="31" t="n">
        <x:v>6</x:v>
      </x:c>
    </x:row>
    <x:row r="2306" ht="17.25" customHeight="1">
      <x:c r="A2306" s="24" t="str">
        <x:v>PR-B-41누0758-202412</x:v>
      </x:c>
      <x:c r="B2306" s="24" t="str">
        <x:v>프라임구독</x:v>
      </x:c>
      <x:c r="C2306" s="24" t="str">
        <x:v>PR-C-41누0758-1-20221125-143</x:v>
      </x:c>
      <x:c r="D2306" s="24" t="str">
        <x:v>41누0758</x:v>
      </x:c>
      <x:c r="E2306" s="24" t="str">
        <x:v>장두식</x:v>
      </x:c>
      <x:c r="F2306" s="24" t="str">
        <x:v>2024-12</x:v>
      </x:c>
      <x:c r="G2306" s="30" t="n">
        <x:v>45646</x:v>
      </x:c>
      <x:c r="H2306" s="32" t="n">
        <x:v>421000</x:v>
      </x:c>
      <x:c r="I2306" s="32"/>
      <x:c r="J2306" s="32" t="n">
        <x:v>1684000</x:v>
      </x:c>
      <x:c r="K2306" s="30"/>
      <x:c r="L2306" s="24" t="str"/>
      <x:c r="M2306" s="31" t="n">
        <x:f>IF(AND(N2306="미수",G2306&lt;&gt;"",TODAY()&gt;G2306),TODAY()-G2306,0)</x:f>
        <x:v>603</x:v>
      </x:c>
      <x:c r="N2306" s="24" t="str">
        <x:f>IF(J2306&gt;0,"미수",IF(AND(H2306&gt;0,I2306&gt;=H2306),"완납","미확인"))</x:f>
        <x:v>미수</x:v>
      </x:c>
      <x:c r="O2306" s="31" t="n">
        <x:v>6</x:v>
      </x:c>
    </x:row>
    <x:row r="2307" ht="17.25" customHeight="1">
      <x:c r="A2307" s="24" t="str">
        <x:v>PR-B-41누0758-202411</x:v>
      </x:c>
      <x:c r="B2307" s="24" t="str">
        <x:v>프라임구독</x:v>
      </x:c>
      <x:c r="C2307" s="24" t="str">
        <x:v>PR-C-41누0758-1-20221125-143</x:v>
      </x:c>
      <x:c r="D2307" s="24" t="str">
        <x:v>41누0758</x:v>
      </x:c>
      <x:c r="E2307" s="24" t="str">
        <x:v>장두식</x:v>
      </x:c>
      <x:c r="F2307" s="24" t="str">
        <x:v>2024-11</x:v>
      </x:c>
      <x:c r="G2307" s="30" t="n">
        <x:v>45616</x:v>
      </x:c>
      <x:c r="H2307" s="32" t="n">
        <x:v>421000</x:v>
      </x:c>
      <x:c r="I2307" s="32"/>
      <x:c r="J2307" s="32" t="n">
        <x:v>1263000</x:v>
      </x:c>
      <x:c r="K2307" s="30"/>
      <x:c r="L2307" s="24" t="str"/>
      <x:c r="M2307" s="31" t="n">
        <x:f>IF(AND(N2307="미수",G2307&lt;&gt;"",TODAY()&gt;G2307),TODAY()-G2307,0)</x:f>
        <x:v>633</x:v>
      </x:c>
      <x:c r="N2307" s="24" t="str">
        <x:f>IF(J2307&gt;0,"미수",IF(AND(H2307&gt;0,I2307&gt;=H2307),"완납","미확인"))</x:f>
        <x:v>미수</x:v>
      </x:c>
      <x:c r="O2307" s="31" t="n">
        <x:v>6</x:v>
      </x:c>
    </x:row>
    <x:row r="2308" ht="17.25" customHeight="1">
      <x:c r="A2308" s="24" t="str">
        <x:v>PR-B-41누0758-202410</x:v>
      </x:c>
      <x:c r="B2308" s="24" t="str">
        <x:v>프라임구독</x:v>
      </x:c>
      <x:c r="C2308" s="24" t="str">
        <x:v>PR-C-41누0758-1-20221125-143</x:v>
      </x:c>
      <x:c r="D2308" s="24" t="str">
        <x:v>41누0758</x:v>
      </x:c>
      <x:c r="E2308" s="24" t="str">
        <x:v>장두식</x:v>
      </x:c>
      <x:c r="F2308" s="24" t="str">
        <x:v>2024-10</x:v>
      </x:c>
      <x:c r="G2308" s="30" t="n">
        <x:v>45585</x:v>
      </x:c>
      <x:c r="H2308" s="32" t="n">
        <x:v>421000</x:v>
      </x:c>
      <x:c r="I2308" s="32"/>
      <x:c r="J2308" s="32" t="n">
        <x:v>842000</x:v>
      </x:c>
      <x:c r="K2308" s="30"/>
      <x:c r="L2308" s="24" t="str"/>
      <x:c r="M2308" s="31" t="n">
        <x:f>IF(AND(N2308="미수",G2308&lt;&gt;"",TODAY()&gt;G2308),TODAY()-G2308,0)</x:f>
        <x:v>664</x:v>
      </x:c>
      <x:c r="N2308" s="24" t="str">
        <x:f>IF(J2308&gt;0,"미수",IF(AND(H2308&gt;0,I2308&gt;=H2308),"완납","미확인"))</x:f>
        <x:v>미수</x:v>
      </x:c>
      <x:c r="O2308" s="31" t="n">
        <x:v>6</x:v>
      </x:c>
    </x:row>
    <x:row r="2309" ht="17.25" customHeight="1">
      <x:c r="A2309" s="24" t="str">
        <x:v>PR-B-41누0758-202409</x:v>
      </x:c>
      <x:c r="B2309" s="24" t="str">
        <x:v>프라임구독</x:v>
      </x:c>
      <x:c r="C2309" s="24" t="str">
        <x:v>PR-C-41누0758-1-20221125-143</x:v>
      </x:c>
      <x:c r="D2309" s="24" t="str">
        <x:v>41누0758</x:v>
      </x:c>
      <x:c r="E2309" s="24" t="str">
        <x:v>장두식</x:v>
      </x:c>
      <x:c r="F2309" s="24" t="str">
        <x:v>2024-09</x:v>
      </x:c>
      <x:c r="G2309" s="30" t="n">
        <x:v>45555</x:v>
      </x:c>
      <x:c r="H2309" s="32" t="n">
        <x:v>421000</x:v>
      </x:c>
      <x:c r="I2309" s="32"/>
      <x:c r="J2309" s="32" t="n">
        <x:v>421000</x:v>
      </x:c>
      <x:c r="K2309" s="30"/>
      <x:c r="L2309" s="24" t="str"/>
      <x:c r="M2309" s="31" t="n">
        <x:f>IF(AND(N2309="미수",G2309&lt;&gt;"",TODAY()&gt;G2309),TODAY()-G2309,0)</x:f>
        <x:v>694</x:v>
      </x:c>
      <x:c r="N2309" s="24" t="str">
        <x:f>IF(J2309&gt;0,"미수",IF(AND(H2309&gt;0,I2309&gt;=H2309),"완납","미확인"))</x:f>
        <x:v>미수</x:v>
      </x:c>
      <x:c r="O2309" s="31" t="n">
        <x:v>6</x:v>
      </x:c>
    </x:row>
    <x:row r="2310" ht="17.25" customHeight="1">
      <x:c r="A2310" s="24" t="str">
        <x:v>PR-B-41누0758-202408</x:v>
      </x:c>
      <x:c r="B2310" s="24" t="str">
        <x:v>프라임구독</x:v>
      </x:c>
      <x:c r="C2310" s="24" t="str">
        <x:v>PR-C-41누0758-1-20221125-143</x:v>
      </x:c>
      <x:c r="D2310" s="24" t="str">
        <x:v>41누0758</x:v>
      </x:c>
      <x:c r="E2310" s="24" t="str">
        <x:v>장두식</x:v>
      </x:c>
      <x:c r="F2310" s="24" t="str">
        <x:v>2024-08</x:v>
      </x:c>
      <x:c r="G2310" s="30" t="n">
        <x:v>45524</x:v>
      </x:c>
      <x:c r="H2310" s="32" t="n">
        <x:v>421000</x:v>
      </x:c>
      <x:c r="I2310" s="32" t="n">
        <x:v>421000</x:v>
      </x:c>
      <x:c r="J2310" s="32" t="n">
        <x:v>0</x:v>
      </x:c>
      <x:c r="K2310" s="30" t="n">
        <x:v>45567</x:v>
      </x:c>
      <x:c r="L2310" s="24" t="str">
        <x:v>입금</x:v>
      </x:c>
      <x:c r="M2310" s="31" t="n">
        <x:f>IF(AND(N2310="미수",G2310&lt;&gt;"",TODAY()&gt;G2310),TODAY()-G2310,0)</x:f>
        <x:v>0</x:v>
      </x:c>
      <x:c r="N2310" s="24" t="str">
        <x:f>IF(J2310&gt;0,"미수",IF(AND(H2310&gt;0,I2310&gt;=H2310),"완납","미확인"))</x:f>
        <x:v>완납</x:v>
      </x:c>
      <x:c r="O2310" s="31" t="n">
        <x:v>6</x:v>
      </x:c>
    </x:row>
    <x:row r="2311" ht="17.25" customHeight="1">
      <x:c r="A2311" s="24" t="str">
        <x:v>PR-B-41누0758-202407</x:v>
      </x:c>
      <x:c r="B2311" s="24" t="str">
        <x:v>프라임구독</x:v>
      </x:c>
      <x:c r="C2311" s="24" t="str">
        <x:v>PR-C-41누0758-1-20221125-143</x:v>
      </x:c>
      <x:c r="D2311" s="24" t="str">
        <x:v>41누0758</x:v>
      </x:c>
      <x:c r="E2311" s="24" t="str">
        <x:v>장두식</x:v>
      </x:c>
      <x:c r="F2311" s="24" t="str">
        <x:v>2024-07</x:v>
      </x:c>
      <x:c r="G2311" s="30" t="n">
        <x:v>45493</x:v>
      </x:c>
      <x:c r="H2311" s="32" t="n">
        <x:v>421000</x:v>
      </x:c>
      <x:c r="I2311" s="32" t="n">
        <x:v>421000</x:v>
      </x:c>
      <x:c r="J2311" s="32" t="n">
        <x:v>0</x:v>
      </x:c>
      <x:c r="K2311" s="30" t="n">
        <x:v>45489</x:v>
      </x:c>
      <x:c r="L2311" s="24" t="str">
        <x:v>입금</x:v>
      </x:c>
      <x:c r="M2311" s="31" t="n">
        <x:f>IF(AND(N2311="미수",G2311&lt;&gt;"",TODAY()&gt;G2311),TODAY()-G2311,0)</x:f>
        <x:v>0</x:v>
      </x:c>
      <x:c r="N2311" s="24" t="str">
        <x:f>IF(J2311&gt;0,"미수",IF(AND(H2311&gt;0,I2311&gt;=H2311),"완납","미확인"))</x:f>
        <x:v>완납</x:v>
      </x:c>
      <x:c r="O2311" s="31" t="n">
        <x:v>6</x:v>
      </x:c>
    </x:row>
    <x:row r="2312" ht="17.25" customHeight="1">
      <x:c r="A2312" s="24" t="str">
        <x:v>PR-B-41누0758-202406</x:v>
      </x:c>
      <x:c r="B2312" s="24" t="str">
        <x:v>프라임구독</x:v>
      </x:c>
      <x:c r="C2312" s="24" t="str">
        <x:v>PR-C-41누0758-1-20221125-143</x:v>
      </x:c>
      <x:c r="D2312" s="24" t="str">
        <x:v>41누0758</x:v>
      </x:c>
      <x:c r="E2312" s="24" t="str">
        <x:v>장두식</x:v>
      </x:c>
      <x:c r="F2312" s="24" t="str">
        <x:v>2024-06</x:v>
      </x:c>
      <x:c r="G2312" s="30" t="n">
        <x:v>45463</x:v>
      </x:c>
      <x:c r="H2312" s="32" t="n">
        <x:v>421000</x:v>
      </x:c>
      <x:c r="I2312" s="32" t="n">
        <x:v>421000</x:v>
      </x:c>
      <x:c r="J2312" s="32" t="n">
        <x:v>0</x:v>
      </x:c>
      <x:c r="K2312" s="30" t="n">
        <x:v>45454</x:v>
      </x:c>
      <x:c r="L2312" s="24" t="str"/>
      <x:c r="M2312" s="31" t="n">
        <x:f>IF(AND(N2312="미수",G2312&lt;&gt;"",TODAY()&gt;G2312),TODAY()-G2312,0)</x:f>
        <x:v>0</x:v>
      </x:c>
      <x:c r="N2312" s="24" t="str">
        <x:f>IF(J2312&gt;0,"미수",IF(AND(H2312&gt;0,I2312&gt;=H2312),"완납","미확인"))</x:f>
        <x:v>완납</x:v>
      </x:c>
      <x:c r="O2312" s="31" t="n">
        <x:v>6</x:v>
      </x:c>
    </x:row>
    <x:row r="2313" ht="17.25" customHeight="1">
      <x:c r="A2313" s="24" t="str">
        <x:v>PR-B-67구7368-202608</x:v>
      </x:c>
      <x:c r="B2313" s="24" t="str">
        <x:v>프라임구독</x:v>
      </x:c>
      <x:c r="C2313" s="24" t="str">
        <x:v>PR-C-67구7368-1-20230103-186</x:v>
      </x:c>
      <x:c r="D2313" s="24" t="str">
        <x:v>67구7368</x:v>
      </x:c>
      <x:c r="E2313" s="24" t="str">
        <x:v>드림하우징</x:v>
      </x:c>
      <x:c r="F2313" s="24" t="str">
        <x:v>2026-08</x:v>
      </x:c>
      <x:c r="G2313" s="30" t="n">
        <x:v>46264</x:v>
      </x:c>
      <x:c r="H2313" s="32"/>
      <x:c r="I2313" s="32"/>
      <x:c r="J2313" s="32" t="n">
        <x:v>8486000</x:v>
      </x:c>
      <x:c r="K2313" s="30"/>
      <x:c r="L2313" s="24" t="str"/>
      <x:c r="M2313" s="31" t="n">
        <x:f>IF(AND(N2313="미수",G2313&lt;&gt;"",TODAY()&gt;G2313),TODAY()-G2313,0)</x:f>
        <x:v>0</x:v>
      </x:c>
      <x:c r="N2313" s="24" t="str">
        <x:f>IF(J2313&gt;0,"미수",IF(AND(H2313&gt;0,I2313&gt;=H2313),"완납","미확인"))</x:f>
        <x:v>미수</x:v>
      </x:c>
      <x:c r="O2313" s="31" t="n">
        <x:v>7</x:v>
      </x:c>
    </x:row>
    <x:row r="2314" ht="17.25" customHeight="1">
      <x:c r="A2314" s="24" t="str">
        <x:v>PR-B-67구7368-202607</x:v>
      </x:c>
      <x:c r="B2314" s="24" t="str">
        <x:v>프라임구독</x:v>
      </x:c>
      <x:c r="C2314" s="24" t="str">
        <x:v>PR-C-67구7368-1-20230103-186</x:v>
      </x:c>
      <x:c r="D2314" s="24" t="str">
        <x:v>67구7368</x:v>
      </x:c>
      <x:c r="E2314" s="24" t="str">
        <x:v>드림하우징</x:v>
      </x:c>
      <x:c r="F2314" s="24" t="str">
        <x:v>2026-07</x:v>
      </x:c>
      <x:c r="G2314" s="30" t="n">
        <x:v>46233</x:v>
      </x:c>
      <x:c r="H2314" s="32"/>
      <x:c r="I2314" s="32"/>
      <x:c r="J2314" s="32" t="n">
        <x:v>8486000</x:v>
      </x:c>
      <x:c r="K2314" s="30"/>
      <x:c r="L2314" s="24" t="str"/>
      <x:c r="M2314" s="31" t="n">
        <x:f>IF(AND(N2314="미수",G2314&lt;&gt;"",TODAY()&gt;G2314),TODAY()-G2314,0)</x:f>
        <x:v>16</x:v>
      </x:c>
      <x:c r="N2314" s="24" t="str">
        <x:f>IF(J2314&gt;0,"미수",IF(AND(H2314&gt;0,I2314&gt;=H2314),"완납","미확인"))</x:f>
        <x:v>미수</x:v>
      </x:c>
      <x:c r="O2314" s="31" t="n">
        <x:v>7</x:v>
      </x:c>
    </x:row>
    <x:row r="2315" ht="17.25" customHeight="1">
      <x:c r="A2315" s="24" t="str">
        <x:v>PR-B-67구7368-202606</x:v>
      </x:c>
      <x:c r="B2315" s="24" t="str">
        <x:v>프라임구독</x:v>
      </x:c>
      <x:c r="C2315" s="24" t="str">
        <x:v>PR-C-67구7368-1-20230103-186</x:v>
      </x:c>
      <x:c r="D2315" s="24" t="str">
        <x:v>67구7368</x:v>
      </x:c>
      <x:c r="E2315" s="24" t="str">
        <x:v>드림하우징</x:v>
      </x:c>
      <x:c r="F2315" s="24" t="str">
        <x:v>2026-06</x:v>
      </x:c>
      <x:c r="G2315" s="30" t="n">
        <x:v>46203</x:v>
      </x:c>
      <x:c r="H2315" s="32"/>
      <x:c r="I2315" s="32"/>
      <x:c r="J2315" s="32" t="n">
        <x:v>8486000</x:v>
      </x:c>
      <x:c r="K2315" s="30"/>
      <x:c r="L2315" s="24" t="str"/>
      <x:c r="M2315" s="31" t="n">
        <x:f>IF(AND(N2315="미수",G2315&lt;&gt;"",TODAY()&gt;G2315),TODAY()-G2315,0)</x:f>
        <x:v>46</x:v>
      </x:c>
      <x:c r="N2315" s="24" t="str">
        <x:f>IF(J2315&gt;0,"미수",IF(AND(H2315&gt;0,I2315&gt;=H2315),"완납","미확인"))</x:f>
        <x:v>미수</x:v>
      </x:c>
      <x:c r="O2315" s="31" t="n">
        <x:v>7</x:v>
      </x:c>
    </x:row>
    <x:row r="2316" ht="17.25" customHeight="1">
      <x:c r="A2316" s="24" t="str">
        <x:v>PR-B-67구7368-202605</x:v>
      </x:c>
      <x:c r="B2316" s="24" t="str">
        <x:v>프라임구독</x:v>
      </x:c>
      <x:c r="C2316" s="24" t="str">
        <x:v>PR-C-67구7368-1-20230103-186</x:v>
      </x:c>
      <x:c r="D2316" s="24" t="str">
        <x:v>67구7368</x:v>
      </x:c>
      <x:c r="E2316" s="24" t="str">
        <x:v>드림하우징</x:v>
      </x:c>
      <x:c r="F2316" s="24" t="str">
        <x:v>2026-05</x:v>
      </x:c>
      <x:c r="G2316" s="30" t="n">
        <x:v>46172</x:v>
      </x:c>
      <x:c r="H2316" s="32"/>
      <x:c r="I2316" s="32"/>
      <x:c r="J2316" s="32" t="n">
        <x:v>8486000</x:v>
      </x:c>
      <x:c r="K2316" s="30"/>
      <x:c r="L2316" s="24" t="str"/>
      <x:c r="M2316" s="31" t="n">
        <x:f>IF(AND(N2316="미수",G2316&lt;&gt;"",TODAY()&gt;G2316),TODAY()-G2316,0)</x:f>
        <x:v>77</x:v>
      </x:c>
      <x:c r="N2316" s="24" t="str">
        <x:f>IF(J2316&gt;0,"미수",IF(AND(H2316&gt;0,I2316&gt;=H2316),"완납","미확인"))</x:f>
        <x:v>미수</x:v>
      </x:c>
      <x:c r="O2316" s="31" t="n">
        <x:v>7</x:v>
      </x:c>
    </x:row>
    <x:row r="2317" ht="17.25" customHeight="1">
      <x:c r="A2317" s="24" t="str">
        <x:v>PR-B-67구7368-202604</x:v>
      </x:c>
      <x:c r="B2317" s="24" t="str">
        <x:v>프라임구독</x:v>
      </x:c>
      <x:c r="C2317" s="24" t="str">
        <x:v>PR-C-67구7368-1-20230103-186</x:v>
      </x:c>
      <x:c r="D2317" s="24" t="str">
        <x:v>67구7368</x:v>
      </x:c>
      <x:c r="E2317" s="24" t="str">
        <x:v>드림하우징</x:v>
      </x:c>
      <x:c r="F2317" s="24" t="str">
        <x:v>2026-04</x:v>
      </x:c>
      <x:c r="G2317" s="30" t="n">
        <x:v>46142</x:v>
      </x:c>
      <x:c r="H2317" s="32"/>
      <x:c r="I2317" s="32"/>
      <x:c r="J2317" s="32" t="n">
        <x:v>8486000</x:v>
      </x:c>
      <x:c r="K2317" s="30"/>
      <x:c r="L2317" s="24" t="str"/>
      <x:c r="M2317" s="31" t="n">
        <x:f>IF(AND(N2317="미수",G2317&lt;&gt;"",TODAY()&gt;G2317),TODAY()-G2317,0)</x:f>
        <x:v>107</x:v>
      </x:c>
      <x:c r="N2317" s="24" t="str">
        <x:f>IF(J2317&gt;0,"미수",IF(AND(H2317&gt;0,I2317&gt;=H2317),"완납","미확인"))</x:f>
        <x:v>미수</x:v>
      </x:c>
      <x:c r="O2317" s="31" t="n">
        <x:v>7</x:v>
      </x:c>
    </x:row>
    <x:row r="2318" ht="17.25" customHeight="1">
      <x:c r="A2318" s="24" t="str">
        <x:v>PR-B-67구7368-202603</x:v>
      </x:c>
      <x:c r="B2318" s="24" t="str">
        <x:v>프라임구독</x:v>
      </x:c>
      <x:c r="C2318" s="24" t="str">
        <x:v>PR-C-67구7368-1-20230103-186</x:v>
      </x:c>
      <x:c r="D2318" s="24" t="str">
        <x:v>67구7368</x:v>
      </x:c>
      <x:c r="E2318" s="24" t="str">
        <x:v>드림하우징</x:v>
      </x:c>
      <x:c r="F2318" s="24" t="str">
        <x:v>2026-03</x:v>
      </x:c>
      <x:c r="G2318" s="30" t="n">
        <x:v>46111</x:v>
      </x:c>
      <x:c r="H2318" s="32"/>
      <x:c r="I2318" s="32"/>
      <x:c r="J2318" s="32" t="n">
        <x:v>8486000</x:v>
      </x:c>
      <x:c r="K2318" s="30"/>
      <x:c r="L2318" s="24" t="str"/>
      <x:c r="M2318" s="31" t="n">
        <x:f>IF(AND(N2318="미수",G2318&lt;&gt;"",TODAY()&gt;G2318),TODAY()-G2318,0)</x:f>
        <x:v>138</x:v>
      </x:c>
      <x:c r="N2318" s="24" t="str">
        <x:f>IF(J2318&gt;0,"미수",IF(AND(H2318&gt;0,I2318&gt;=H2318),"완납","미확인"))</x:f>
        <x:v>미수</x:v>
      </x:c>
      <x:c r="O2318" s="31" t="n">
        <x:v>7</x:v>
      </x:c>
    </x:row>
    <x:row r="2319" ht="17.25" customHeight="1">
      <x:c r="A2319" s="24" t="str">
        <x:v>PR-B-67구7368-202602</x:v>
      </x:c>
      <x:c r="B2319" s="24" t="str">
        <x:v>프라임구독</x:v>
      </x:c>
      <x:c r="C2319" s="24" t="str">
        <x:v>PR-C-67구7368-1-20230103-186</x:v>
      </x:c>
      <x:c r="D2319" s="24" t="str">
        <x:v>67구7368</x:v>
      </x:c>
      <x:c r="E2319" s="24" t="str">
        <x:v>드림하우징</x:v>
      </x:c>
      <x:c r="F2319" s="24" t="str">
        <x:v>2026-02</x:v>
      </x:c>
      <x:c r="G2319" s="30" t="n">
        <x:v>46081</x:v>
      </x:c>
      <x:c r="H2319" s="32"/>
      <x:c r="I2319" s="32"/>
      <x:c r="J2319" s="32" t="n">
        <x:v>8486000</x:v>
      </x:c>
      <x:c r="K2319" s="30"/>
      <x:c r="L2319" s="24" t="str"/>
      <x:c r="M2319" s="31" t="n">
        <x:f>IF(AND(N2319="미수",G2319&lt;&gt;"",TODAY()&gt;G2319),TODAY()-G2319,0)</x:f>
        <x:v>168</x:v>
      </x:c>
      <x:c r="N2319" s="24" t="str">
        <x:f>IF(J2319&gt;0,"미수",IF(AND(H2319&gt;0,I2319&gt;=H2319),"완납","미확인"))</x:f>
        <x:v>미수</x:v>
      </x:c>
      <x:c r="O2319" s="31" t="n">
        <x:v>7</x:v>
      </x:c>
    </x:row>
    <x:row r="2320" ht="17.25" customHeight="1">
      <x:c r="A2320" s="24" t="str">
        <x:v>PR-B-67구7368-202601</x:v>
      </x:c>
      <x:c r="B2320" s="24" t="str">
        <x:v>프라임구독</x:v>
      </x:c>
      <x:c r="C2320" s="24" t="str">
        <x:v>PR-C-67구7368-1-20230103-186</x:v>
      </x:c>
      <x:c r="D2320" s="24" t="str">
        <x:v>67구7368</x:v>
      </x:c>
      <x:c r="E2320" s="24" t="str">
        <x:v>드림하우징</x:v>
      </x:c>
      <x:c r="F2320" s="24" t="str">
        <x:v>2026-01</x:v>
      </x:c>
      <x:c r="G2320" s="30" t="n">
        <x:v>46052</x:v>
      </x:c>
      <x:c r="H2320" s="32" t="n">
        <x:v>1054000</x:v>
      </x:c>
      <x:c r="I2320" s="32" t="n">
        <x:v>1000000</x:v>
      </x:c>
      <x:c r="J2320" s="32" t="n">
        <x:v>8486000</x:v>
      </x:c>
      <x:c r="K2320" s="30" t="n">
        <x:v>46029</x:v>
      </x:c>
      <x:c r="L2320" s="24" t="str">
        <x:v>입금</x:v>
      </x:c>
      <x:c r="M2320" s="31" t="n">
        <x:f>IF(AND(N2320="미수",G2320&lt;&gt;"",TODAY()&gt;G2320),TODAY()-G2320,0)</x:f>
        <x:v>197</x:v>
      </x:c>
      <x:c r="N2320" s="24" t="str">
        <x:f>IF(J2320&gt;0,"미수",IF(AND(H2320&gt;0,I2320&gt;=H2320),"완납","미확인"))</x:f>
        <x:v>미수</x:v>
      </x:c>
      <x:c r="O2320" s="31" t="n">
        <x:v>7</x:v>
      </x:c>
    </x:row>
    <x:row r="2321" ht="17.25" customHeight="1">
      <x:c r="A2321" s="24" t="str">
        <x:v>PR-B-67구7368-202512</x:v>
      </x:c>
      <x:c r="B2321" s="24" t="str">
        <x:v>프라임구독</x:v>
      </x:c>
      <x:c r="C2321" s="24" t="str">
        <x:v>PR-C-67구7368-1-20230103-186</x:v>
      </x:c>
      <x:c r="D2321" s="24" t="str">
        <x:v>67구7368</x:v>
      </x:c>
      <x:c r="E2321" s="24" t="str">
        <x:v>드림하우징</x:v>
      </x:c>
      <x:c r="F2321" s="24" t="str">
        <x:v>2025-12</x:v>
      </x:c>
      <x:c r="G2321" s="30" t="n">
        <x:v>46021</x:v>
      </x:c>
      <x:c r="H2321" s="32" t="n">
        <x:v>1054000</x:v>
      </x:c>
      <x:c r="I2321" s="32"/>
      <x:c r="J2321" s="32" t="n">
        <x:v>8432000</x:v>
      </x:c>
      <x:c r="K2321" s="30"/>
      <x:c r="L2321" s="24" t="str"/>
      <x:c r="M2321" s="31" t="n">
        <x:f>IF(AND(N2321="미수",G2321&lt;&gt;"",TODAY()&gt;G2321),TODAY()-G2321,0)</x:f>
        <x:v>228</x:v>
      </x:c>
      <x:c r="N2321" s="24" t="str">
        <x:f>IF(J2321&gt;0,"미수",IF(AND(H2321&gt;0,I2321&gt;=H2321),"완납","미확인"))</x:f>
        <x:v>미수</x:v>
      </x:c>
      <x:c r="O2321" s="31" t="n">
        <x:v>7</x:v>
      </x:c>
    </x:row>
    <x:row r="2322" ht="17.25" customHeight="1">
      <x:c r="A2322" s="24" t="str">
        <x:v>PR-B-67구7368-202511</x:v>
      </x:c>
      <x:c r="B2322" s="24" t="str">
        <x:v>프라임구독</x:v>
      </x:c>
      <x:c r="C2322" s="24" t="str">
        <x:v>PR-C-67구7368-1-20230103-186</x:v>
      </x:c>
      <x:c r="D2322" s="24" t="str">
        <x:v>67구7368</x:v>
      </x:c>
      <x:c r="E2322" s="24" t="str">
        <x:v>드림하우징</x:v>
      </x:c>
      <x:c r="F2322" s="24" t="str">
        <x:v>2025-11</x:v>
      </x:c>
      <x:c r="G2322" s="30" t="n">
        <x:v>45991</x:v>
      </x:c>
      <x:c r="H2322" s="32" t="n">
        <x:v>1054000</x:v>
      </x:c>
      <x:c r="I2322" s="32"/>
      <x:c r="J2322" s="32" t="n">
        <x:v>7378000</x:v>
      </x:c>
      <x:c r="K2322" s="30"/>
      <x:c r="L2322" s="24" t="str"/>
      <x:c r="M2322" s="31" t="n">
        <x:f>IF(AND(N2322="미수",G2322&lt;&gt;"",TODAY()&gt;G2322),TODAY()-G2322,0)</x:f>
        <x:v>258</x:v>
      </x:c>
      <x:c r="N2322" s="24" t="str">
        <x:f>IF(J2322&gt;0,"미수",IF(AND(H2322&gt;0,I2322&gt;=H2322),"완납","미확인"))</x:f>
        <x:v>미수</x:v>
      </x:c>
      <x:c r="O2322" s="31" t="n">
        <x:v>7</x:v>
      </x:c>
    </x:row>
    <x:row r="2323" ht="17.25" customHeight="1">
      <x:c r="A2323" s="24" t="str">
        <x:v>PR-B-67구7368-202510</x:v>
      </x:c>
      <x:c r="B2323" s="24" t="str">
        <x:v>프라임구독</x:v>
      </x:c>
      <x:c r="C2323" s="24" t="str">
        <x:v>PR-C-67구7368-1-20230103-186</x:v>
      </x:c>
      <x:c r="D2323" s="24" t="str">
        <x:v>67구7368</x:v>
      </x:c>
      <x:c r="E2323" s="24" t="str">
        <x:v>드림하우징</x:v>
      </x:c>
      <x:c r="F2323" s="24" t="str">
        <x:v>2025-10</x:v>
      </x:c>
      <x:c r="G2323" s="30" t="n">
        <x:v>45960</x:v>
      </x:c>
      <x:c r="H2323" s="32" t="n">
        <x:v>1054000</x:v>
      </x:c>
      <x:c r="I2323" s="32"/>
      <x:c r="J2323" s="32" t="n">
        <x:v>6324000</x:v>
      </x:c>
      <x:c r="K2323" s="30"/>
      <x:c r="L2323" s="24" t="str"/>
      <x:c r="M2323" s="31" t="n">
        <x:f>IF(AND(N2323="미수",G2323&lt;&gt;"",TODAY()&gt;G2323),TODAY()-G2323,0)</x:f>
        <x:v>289</x:v>
      </x:c>
      <x:c r="N2323" s="24" t="str">
        <x:f>IF(J2323&gt;0,"미수",IF(AND(H2323&gt;0,I2323&gt;=H2323),"완납","미확인"))</x:f>
        <x:v>미수</x:v>
      </x:c>
      <x:c r="O2323" s="31" t="n">
        <x:v>7</x:v>
      </x:c>
    </x:row>
    <x:row r="2324" ht="17.25" customHeight="1">
      <x:c r="A2324" s="24" t="str">
        <x:v>PR-B-67구7368-202509</x:v>
      </x:c>
      <x:c r="B2324" s="24" t="str">
        <x:v>프라임구독</x:v>
      </x:c>
      <x:c r="C2324" s="24" t="str">
        <x:v>PR-C-67구7368-1-20230103-186</x:v>
      </x:c>
      <x:c r="D2324" s="24" t="str">
        <x:v>67구7368</x:v>
      </x:c>
      <x:c r="E2324" s="24" t="str">
        <x:v>드림하우징</x:v>
      </x:c>
      <x:c r="F2324" s="24" t="str">
        <x:v>2025-09</x:v>
      </x:c>
      <x:c r="G2324" s="30" t="n">
        <x:v>45930</x:v>
      </x:c>
      <x:c r="H2324" s="32" t="n">
        <x:v>1054000</x:v>
      </x:c>
      <x:c r="I2324" s="32"/>
      <x:c r="J2324" s="32" t="n">
        <x:v>5270000</x:v>
      </x:c>
      <x:c r="K2324" s="30"/>
      <x:c r="L2324" s="24" t="str"/>
      <x:c r="M2324" s="31" t="n">
        <x:f>IF(AND(N2324="미수",G2324&lt;&gt;"",TODAY()&gt;G2324),TODAY()-G2324,0)</x:f>
        <x:v>319</x:v>
      </x:c>
      <x:c r="N2324" s="24" t="str">
        <x:f>IF(J2324&gt;0,"미수",IF(AND(H2324&gt;0,I2324&gt;=H2324),"완납","미확인"))</x:f>
        <x:v>미수</x:v>
      </x:c>
      <x:c r="O2324" s="31" t="n">
        <x:v>7</x:v>
      </x:c>
    </x:row>
    <x:row r="2325" ht="17.25" customHeight="1">
      <x:c r="A2325" s="24" t="str">
        <x:v>PR-B-67구7368-202508</x:v>
      </x:c>
      <x:c r="B2325" s="24" t="str">
        <x:v>프라임구독</x:v>
      </x:c>
      <x:c r="C2325" s="24" t="str">
        <x:v>PR-C-67구7368-1-20230103-186</x:v>
      </x:c>
      <x:c r="D2325" s="24" t="str">
        <x:v>67구7368</x:v>
      </x:c>
      <x:c r="E2325" s="24" t="str">
        <x:v>드림하우징</x:v>
      </x:c>
      <x:c r="F2325" s="24" t="str">
        <x:v>2025-08</x:v>
      </x:c>
      <x:c r="G2325" s="30" t="n">
        <x:v>45899</x:v>
      </x:c>
      <x:c r="H2325" s="32" t="n">
        <x:v>1054000</x:v>
      </x:c>
      <x:c r="I2325" s="32"/>
      <x:c r="J2325" s="32" t="n">
        <x:v>4216000</x:v>
      </x:c>
      <x:c r="K2325" s="30"/>
      <x:c r="L2325" s="24" t="str"/>
      <x:c r="M2325" s="31" t="n">
        <x:f>IF(AND(N2325="미수",G2325&lt;&gt;"",TODAY()&gt;G2325),TODAY()-G2325,0)</x:f>
        <x:v>350</x:v>
      </x:c>
      <x:c r="N2325" s="24" t="str">
        <x:f>IF(J2325&gt;0,"미수",IF(AND(H2325&gt;0,I2325&gt;=H2325),"완납","미확인"))</x:f>
        <x:v>미수</x:v>
      </x:c>
      <x:c r="O2325" s="31" t="n">
        <x:v>7</x:v>
      </x:c>
    </x:row>
    <x:row r="2326" ht="17.25" customHeight="1">
      <x:c r="A2326" s="24" t="str">
        <x:v>PR-B-67구7368-202507</x:v>
      </x:c>
      <x:c r="B2326" s="24" t="str">
        <x:v>프라임구독</x:v>
      </x:c>
      <x:c r="C2326" s="24" t="str">
        <x:v>PR-C-67구7368-1-20230103-186</x:v>
      </x:c>
      <x:c r="D2326" s="24" t="str">
        <x:v>67구7368</x:v>
      </x:c>
      <x:c r="E2326" s="24" t="str">
        <x:v>드림하우징</x:v>
      </x:c>
      <x:c r="F2326" s="24" t="str">
        <x:v>2025-07</x:v>
      </x:c>
      <x:c r="G2326" s="30" t="n">
        <x:v>45868</x:v>
      </x:c>
      <x:c r="H2326" s="32" t="n">
        <x:v>1054000</x:v>
      </x:c>
      <x:c r="I2326" s="32"/>
      <x:c r="J2326" s="32" t="n">
        <x:v>3162000</x:v>
      </x:c>
      <x:c r="K2326" s="30"/>
      <x:c r="L2326" s="24" t="str"/>
      <x:c r="M2326" s="31" t="n">
        <x:f>IF(AND(N2326="미수",G2326&lt;&gt;"",TODAY()&gt;G2326),TODAY()-G2326,0)</x:f>
        <x:v>381</x:v>
      </x:c>
      <x:c r="N2326" s="24" t="str">
        <x:f>IF(J2326&gt;0,"미수",IF(AND(H2326&gt;0,I2326&gt;=H2326),"완납","미확인"))</x:f>
        <x:v>미수</x:v>
      </x:c>
      <x:c r="O2326" s="31" t="n">
        <x:v>7</x:v>
      </x:c>
    </x:row>
    <x:row r="2327" ht="17.25" customHeight="1">
      <x:c r="A2327" s="24" t="str">
        <x:v>PR-B-67구7368-202506</x:v>
      </x:c>
      <x:c r="B2327" s="24" t="str">
        <x:v>프라임구독</x:v>
      </x:c>
      <x:c r="C2327" s="24" t="str">
        <x:v>PR-C-67구7368-1-20230103-186</x:v>
      </x:c>
      <x:c r="D2327" s="24" t="str">
        <x:v>67구7368</x:v>
      </x:c>
      <x:c r="E2327" s="24" t="str">
        <x:v>드림하우징</x:v>
      </x:c>
      <x:c r="F2327" s="24" t="str">
        <x:v>2025-06</x:v>
      </x:c>
      <x:c r="G2327" s="30" t="n">
        <x:v>45838</x:v>
      </x:c>
      <x:c r="H2327" s="32" t="n">
        <x:v>1054000</x:v>
      </x:c>
      <x:c r="I2327" s="32" t="n">
        <x:v>3162000</x:v>
      </x:c>
      <x:c r="J2327" s="32" t="n">
        <x:v>2108000</x:v>
      </x:c>
      <x:c r="K2327" s="30" t="n">
        <x:v>45819</x:v>
      </x:c>
      <x:c r="L2327" s="24" t="str">
        <x:v>카드</x:v>
      </x:c>
      <x:c r="M2327" s="31" t="n">
        <x:f>IF(AND(N2327="미수",G2327&lt;&gt;"",TODAY()&gt;G2327),TODAY()-G2327,0)</x:f>
        <x:v>411</x:v>
      </x:c>
      <x:c r="N2327" s="24" t="str">
        <x:f>IF(J2327&gt;0,"미수",IF(AND(H2327&gt;0,I2327&gt;=H2327),"완납","미확인"))</x:f>
        <x:v>미수</x:v>
      </x:c>
      <x:c r="O2327" s="31" t="n">
        <x:v>7</x:v>
      </x:c>
    </x:row>
    <x:row r="2328" ht="17.25" customHeight="1">
      <x:c r="A2328" s="24" t="str">
        <x:v>PR-B-67구7368-202505</x:v>
      </x:c>
      <x:c r="B2328" s="24" t="str">
        <x:v>프라임구독</x:v>
      </x:c>
      <x:c r="C2328" s="24" t="str">
        <x:v>PR-C-67구7368-1-20230103-186</x:v>
      </x:c>
      <x:c r="D2328" s="24" t="str">
        <x:v>67구7368</x:v>
      </x:c>
      <x:c r="E2328" s="24" t="str">
        <x:v>드림하우징</x:v>
      </x:c>
      <x:c r="F2328" s="24" t="str">
        <x:v>2025-05</x:v>
      </x:c>
      <x:c r="G2328" s="30" t="n">
        <x:v>45807</x:v>
      </x:c>
      <x:c r="H2328" s="32" t="n">
        <x:v>1054000</x:v>
      </x:c>
      <x:c r="I2328" s="32"/>
      <x:c r="J2328" s="32" t="n">
        <x:v>4216000</x:v>
      </x:c>
      <x:c r="K2328" s="30"/>
      <x:c r="L2328" s="24" t="str"/>
      <x:c r="M2328" s="31" t="n">
        <x:f>IF(AND(N2328="미수",G2328&lt;&gt;"",TODAY()&gt;G2328),TODAY()-G2328,0)</x:f>
        <x:v>442</x:v>
      </x:c>
      <x:c r="N2328" s="24" t="str">
        <x:f>IF(J2328&gt;0,"미수",IF(AND(H2328&gt;0,I2328&gt;=H2328),"완납","미확인"))</x:f>
        <x:v>미수</x:v>
      </x:c>
      <x:c r="O2328" s="31" t="n">
        <x:v>7</x:v>
      </x:c>
    </x:row>
    <x:row r="2329" ht="17.25" customHeight="1">
      <x:c r="A2329" s="24" t="str">
        <x:v>PR-B-67구7368-202504</x:v>
      </x:c>
      <x:c r="B2329" s="24" t="str">
        <x:v>프라임구독</x:v>
      </x:c>
      <x:c r="C2329" s="24" t="str">
        <x:v>PR-C-67구7368-1-20230103-186</x:v>
      </x:c>
      <x:c r="D2329" s="24" t="str">
        <x:v>67구7368</x:v>
      </x:c>
      <x:c r="E2329" s="24" t="str">
        <x:v>드림하우징</x:v>
      </x:c>
      <x:c r="F2329" s="24" t="str">
        <x:v>2025-04</x:v>
      </x:c>
      <x:c r="G2329" s="30" t="n">
        <x:v>45777</x:v>
      </x:c>
      <x:c r="H2329" s="32" t="n">
        <x:v>1054000</x:v>
      </x:c>
      <x:c r="I2329" s="32"/>
      <x:c r="J2329" s="32" t="n">
        <x:v>3162000</x:v>
      </x:c>
      <x:c r="K2329" s="30"/>
      <x:c r="L2329" s="24" t="str"/>
      <x:c r="M2329" s="31" t="n">
        <x:f>IF(AND(N2329="미수",G2329&lt;&gt;"",TODAY()&gt;G2329),TODAY()-G2329,0)</x:f>
        <x:v>472</x:v>
      </x:c>
      <x:c r="N2329" s="24" t="str">
        <x:f>IF(J2329&gt;0,"미수",IF(AND(H2329&gt;0,I2329&gt;=H2329),"완납","미확인"))</x:f>
        <x:v>미수</x:v>
      </x:c>
      <x:c r="O2329" s="31" t="n">
        <x:v>7</x:v>
      </x:c>
    </x:row>
    <x:row r="2330" ht="17.25" customHeight="1">
      <x:c r="A2330" s="24" t="str">
        <x:v>PR-B-67구7368-202503</x:v>
      </x:c>
      <x:c r="B2330" s="24" t="str">
        <x:v>프라임구독</x:v>
      </x:c>
      <x:c r="C2330" s="24" t="str">
        <x:v>PR-C-67구7368-1-20230103-186</x:v>
      </x:c>
      <x:c r="D2330" s="24" t="str">
        <x:v>67구7368</x:v>
      </x:c>
      <x:c r="E2330" s="24" t="str">
        <x:v>드림하우징</x:v>
      </x:c>
      <x:c r="F2330" s="24" t="str">
        <x:v>2025-03</x:v>
      </x:c>
      <x:c r="G2330" s="30" t="n">
        <x:v>45746</x:v>
      </x:c>
      <x:c r="H2330" s="32" t="n">
        <x:v>1054000</x:v>
      </x:c>
      <x:c r="I2330" s="32" t="n">
        <x:v>2108000</x:v>
      </x:c>
      <x:c r="J2330" s="32" t="n">
        <x:v>2108000</x:v>
      </x:c>
      <x:c r="K2330" s="30" t="n">
        <x:v>45744</x:v>
      </x:c>
      <x:c r="L2330" s="24" t="str">
        <x:v>카드</x:v>
      </x:c>
      <x:c r="M2330" s="31" t="n">
        <x:f>IF(AND(N2330="미수",G2330&lt;&gt;"",TODAY()&gt;G2330),TODAY()-G2330,0)</x:f>
        <x:v>503</x:v>
      </x:c>
      <x:c r="N2330" s="24" t="str">
        <x:f>IF(J2330&gt;0,"미수",IF(AND(H2330&gt;0,I2330&gt;=H2330),"완납","미확인"))</x:f>
        <x:v>미수</x:v>
      </x:c>
      <x:c r="O2330" s="31" t="n">
        <x:v>7</x:v>
      </x:c>
    </x:row>
    <x:row r="2331" ht="17.25" customHeight="1">
      <x:c r="A2331" s="24" t="str">
        <x:v>PR-B-67구7368-202502</x:v>
      </x:c>
      <x:c r="B2331" s="24" t="str">
        <x:v>프라임구독</x:v>
      </x:c>
      <x:c r="C2331" s="24" t="str">
        <x:v>PR-C-67구7368-1-20230103-186</x:v>
      </x:c>
      <x:c r="D2331" s="24" t="str">
        <x:v>67구7368</x:v>
      </x:c>
      <x:c r="E2331" s="24" t="str">
        <x:v>드림하우징</x:v>
      </x:c>
      <x:c r="F2331" s="24" t="str">
        <x:v>2025-02</x:v>
      </x:c>
      <x:c r="G2331" s="30" t="n">
        <x:v>45716</x:v>
      </x:c>
      <x:c r="H2331" s="32" t="n">
        <x:v>1054000</x:v>
      </x:c>
      <x:c r="I2331" s="32"/>
      <x:c r="J2331" s="32" t="n">
        <x:v>3162000</x:v>
      </x:c>
      <x:c r="K2331" s="30"/>
      <x:c r="L2331" s="24" t="str"/>
      <x:c r="M2331" s="31" t="n">
        <x:f>IF(AND(N2331="미수",G2331&lt;&gt;"",TODAY()&gt;G2331),TODAY()-G2331,0)</x:f>
        <x:v>533</x:v>
      </x:c>
      <x:c r="N2331" s="24" t="str">
        <x:f>IF(J2331&gt;0,"미수",IF(AND(H2331&gt;0,I2331&gt;=H2331),"완납","미확인"))</x:f>
        <x:v>미수</x:v>
      </x:c>
      <x:c r="O2331" s="31" t="n">
        <x:v>7</x:v>
      </x:c>
    </x:row>
    <x:row r="2332" ht="17.25" customHeight="1">
      <x:c r="A2332" s="24" t="str">
        <x:v>PR-B-67구7368-202501</x:v>
      </x:c>
      <x:c r="B2332" s="24" t="str">
        <x:v>프라임구독</x:v>
      </x:c>
      <x:c r="C2332" s="24" t="str">
        <x:v>PR-C-67구7368-1-20230103-186</x:v>
      </x:c>
      <x:c r="D2332" s="24" t="str">
        <x:v>67구7368</x:v>
      </x:c>
      <x:c r="E2332" s="24" t="str">
        <x:v>드림하우징</x:v>
      </x:c>
      <x:c r="F2332" s="24" t="str">
        <x:v>2025-01</x:v>
      </x:c>
      <x:c r="G2332" s="30" t="n">
        <x:v>45687</x:v>
      </x:c>
      <x:c r="H2332" s="32" t="n">
        <x:v>1054000</x:v>
      </x:c>
      <x:c r="I2332" s="32"/>
      <x:c r="J2332" s="32" t="n">
        <x:v>2108000</x:v>
      </x:c>
      <x:c r="K2332" s="30"/>
      <x:c r="L2332" s="24" t="str"/>
      <x:c r="M2332" s="31" t="n">
        <x:f>IF(AND(N2332="미수",G2332&lt;&gt;"",TODAY()&gt;G2332),TODAY()-G2332,0)</x:f>
        <x:v>562</x:v>
      </x:c>
      <x:c r="N2332" s="24" t="str">
        <x:f>IF(J2332&gt;0,"미수",IF(AND(H2332&gt;0,I2332&gt;=H2332),"완납","미확인"))</x:f>
        <x:v>미수</x:v>
      </x:c>
      <x:c r="O2332" s="31" t="n">
        <x:v>7</x:v>
      </x:c>
    </x:row>
    <x:row r="2333" ht="17.25" customHeight="1">
      <x:c r="A2333" s="24" t="str">
        <x:v>PR-B-67구7368-202412</x:v>
      </x:c>
      <x:c r="B2333" s="24" t="str">
        <x:v>프라임구독</x:v>
      </x:c>
      <x:c r="C2333" s="24" t="str">
        <x:v>PR-C-67구7368-1-20230103-186</x:v>
      </x:c>
      <x:c r="D2333" s="24" t="str">
        <x:v>67구7368</x:v>
      </x:c>
      <x:c r="E2333" s="24" t="str">
        <x:v>드림하우징</x:v>
      </x:c>
      <x:c r="F2333" s="24" t="str">
        <x:v>2024-12</x:v>
      </x:c>
      <x:c r="G2333" s="30" t="n">
        <x:v>45656</x:v>
      </x:c>
      <x:c r="H2333" s="32" t="n">
        <x:v>1054000</x:v>
      </x:c>
      <x:c r="I2333" s="32"/>
      <x:c r="J2333" s="32" t="n">
        <x:v>1054000</x:v>
      </x:c>
      <x:c r="K2333" s="30"/>
      <x:c r="L2333" s="24" t="str"/>
      <x:c r="M2333" s="31" t="n">
        <x:f>IF(AND(N2333="미수",G2333&lt;&gt;"",TODAY()&gt;G2333),TODAY()-G2333,0)</x:f>
        <x:v>593</x:v>
      </x:c>
      <x:c r="N2333" s="24" t="str">
        <x:f>IF(J2333&gt;0,"미수",IF(AND(H2333&gt;0,I2333&gt;=H2333),"완납","미확인"))</x:f>
        <x:v>미수</x:v>
      </x:c>
      <x:c r="O2333" s="31" t="n">
        <x:v>7</x:v>
      </x:c>
    </x:row>
    <x:row r="2334" ht="17.25" customHeight="1">
      <x:c r="A2334" s="24" t="str">
        <x:v>PR-B-67구7368-202411</x:v>
      </x:c>
      <x:c r="B2334" s="24" t="str">
        <x:v>프라임구독</x:v>
      </x:c>
      <x:c r="C2334" s="24" t="str">
        <x:v>PR-C-67구7368-1-20230103-186</x:v>
      </x:c>
      <x:c r="D2334" s="24" t="str">
        <x:v>67구7368</x:v>
      </x:c>
      <x:c r="E2334" s="24" t="str">
        <x:v>드림하우징</x:v>
      </x:c>
      <x:c r="F2334" s="24" t="str">
        <x:v>2024-11</x:v>
      </x:c>
      <x:c r="G2334" s="30" t="n">
        <x:v>45626</x:v>
      </x:c>
      <x:c r="H2334" s="32" t="n">
        <x:v>1054000</x:v>
      </x:c>
      <x:c r="I2334" s="32" t="n">
        <x:v>1054000</x:v>
      </x:c>
      <x:c r="J2334" s="32" t="n">
        <x:v>0</x:v>
      </x:c>
      <x:c r="K2334" s="30" t="n">
        <x:v>45644</x:v>
      </x:c>
      <x:c r="L2334" s="24" t="str">
        <x:v>입금</x:v>
      </x:c>
      <x:c r="M2334" s="31" t="n">
        <x:f>IF(AND(N2334="미수",G2334&lt;&gt;"",TODAY()&gt;G2334),TODAY()-G2334,0)</x:f>
        <x:v>0</x:v>
      </x:c>
      <x:c r="N2334" s="24" t="str">
        <x:f>IF(J2334&gt;0,"미수",IF(AND(H2334&gt;0,I2334&gt;=H2334),"완납","미확인"))</x:f>
        <x:v>완납</x:v>
      </x:c>
      <x:c r="O2334" s="31" t="n">
        <x:v>7</x:v>
      </x:c>
    </x:row>
    <x:row r="2335" ht="17.25" customHeight="1">
      <x:c r="A2335" s="24" t="str">
        <x:v>PR-B-67구7368-202410</x:v>
      </x:c>
      <x:c r="B2335" s="24" t="str">
        <x:v>프라임구독</x:v>
      </x:c>
      <x:c r="C2335" s="24" t="str">
        <x:v>PR-C-67구7368-1-20230103-186</x:v>
      </x:c>
      <x:c r="D2335" s="24" t="str">
        <x:v>67구7368</x:v>
      </x:c>
      <x:c r="E2335" s="24" t="str">
        <x:v>드림하우징</x:v>
      </x:c>
      <x:c r="F2335" s="24" t="str">
        <x:v>2024-10</x:v>
      </x:c>
      <x:c r="G2335" s="30" t="n">
        <x:v>45595</x:v>
      </x:c>
      <x:c r="H2335" s="32" t="n">
        <x:v>1054000</x:v>
      </x:c>
      <x:c r="I2335" s="32" t="n">
        <x:v>1054000</x:v>
      </x:c>
      <x:c r="J2335" s="32" t="n">
        <x:v>0</x:v>
      </x:c>
      <x:c r="K2335" s="30" t="n">
        <x:v>45597</x:v>
      </x:c>
      <x:c r="L2335" s="24" t="str">
        <x:v>입금</x:v>
      </x:c>
      <x:c r="M2335" s="31" t="n">
        <x:f>IF(AND(N2335="미수",G2335&lt;&gt;"",TODAY()&gt;G2335),TODAY()-G2335,0)</x:f>
        <x:v>0</x:v>
      </x:c>
      <x:c r="N2335" s="24" t="str">
        <x:f>IF(J2335&gt;0,"미수",IF(AND(H2335&gt;0,I2335&gt;=H2335),"완납","미확인"))</x:f>
        <x:v>완납</x:v>
      </x:c>
      <x:c r="O2335" s="31" t="n">
        <x:v>7</x:v>
      </x:c>
    </x:row>
    <x:row r="2336" ht="17.25" customHeight="1">
      <x:c r="A2336" s="24" t="str">
        <x:v>PR-B-67구7368-202409</x:v>
      </x:c>
      <x:c r="B2336" s="24" t="str">
        <x:v>프라임구독</x:v>
      </x:c>
      <x:c r="C2336" s="24" t="str">
        <x:v>PR-C-67구7368-1-20230103-186</x:v>
      </x:c>
      <x:c r="D2336" s="24" t="str">
        <x:v>67구7368</x:v>
      </x:c>
      <x:c r="E2336" s="24" t="str">
        <x:v>드림하우징</x:v>
      </x:c>
      <x:c r="F2336" s="24" t="str">
        <x:v>2024-09</x:v>
      </x:c>
      <x:c r="G2336" s="30" t="n">
        <x:v>45565</x:v>
      </x:c>
      <x:c r="H2336" s="32" t="n">
        <x:v>1054000</x:v>
      </x:c>
      <x:c r="I2336" s="32" t="n">
        <x:v>1054000</x:v>
      </x:c>
      <x:c r="J2336" s="32" t="n">
        <x:v>0</x:v>
      </x:c>
      <x:c r="K2336" s="30" t="n">
        <x:v>45575</x:v>
      </x:c>
      <x:c r="L2336" s="24" t="str">
        <x:v>입금</x:v>
      </x:c>
      <x:c r="M2336" s="31" t="n">
        <x:f>IF(AND(N2336="미수",G2336&lt;&gt;"",TODAY()&gt;G2336),TODAY()-G2336,0)</x:f>
        <x:v>0</x:v>
      </x:c>
      <x:c r="N2336" s="24" t="str">
        <x:f>IF(J2336&gt;0,"미수",IF(AND(H2336&gt;0,I2336&gt;=H2336),"완납","미확인"))</x:f>
        <x:v>완납</x:v>
      </x:c>
      <x:c r="O2336" s="31" t="n">
        <x:v>7</x:v>
      </x:c>
    </x:row>
    <x:row r="2337" ht="17.25" customHeight="1">
      <x:c r="A2337" s="24" t="str">
        <x:v>PR-B-67구7368-202408</x:v>
      </x:c>
      <x:c r="B2337" s="24" t="str">
        <x:v>프라임구독</x:v>
      </x:c>
      <x:c r="C2337" s="24" t="str">
        <x:v>PR-C-67구7368-1-20230103-186</x:v>
      </x:c>
      <x:c r="D2337" s="24" t="str">
        <x:v>67구7368</x:v>
      </x:c>
      <x:c r="E2337" s="24" t="str">
        <x:v>드림하우징</x:v>
      </x:c>
      <x:c r="F2337" s="24" t="str">
        <x:v>2024-08</x:v>
      </x:c>
      <x:c r="G2337" s="30" t="n">
        <x:v>45534</x:v>
      </x:c>
      <x:c r="H2337" s="32" t="n">
        <x:v>1054000</x:v>
      </x:c>
      <x:c r="I2337" s="32" t="n">
        <x:v>1054000</x:v>
      </x:c>
      <x:c r="J2337" s="32" t="n">
        <x:v>0</x:v>
      </x:c>
      <x:c r="K2337" s="30" t="n">
        <x:v>45559</x:v>
      </x:c>
      <x:c r="L2337" s="24" t="str">
        <x:v>입금</x:v>
      </x:c>
      <x:c r="M2337" s="31" t="n">
        <x:f>IF(AND(N2337="미수",G2337&lt;&gt;"",TODAY()&gt;G2337),TODAY()-G2337,0)</x:f>
        <x:v>0</x:v>
      </x:c>
      <x:c r="N2337" s="24" t="str">
        <x:f>IF(J2337&gt;0,"미수",IF(AND(H2337&gt;0,I2337&gt;=H2337),"완납","미확인"))</x:f>
        <x:v>완납</x:v>
      </x:c>
      <x:c r="O2337" s="31" t="n">
        <x:v>7</x:v>
      </x:c>
    </x:row>
    <x:row r="2338" ht="17.25" customHeight="1">
      <x:c r="A2338" s="24" t="str">
        <x:v>PR-B-67구7368-202407</x:v>
      </x:c>
      <x:c r="B2338" s="24" t="str">
        <x:v>프라임구독</x:v>
      </x:c>
      <x:c r="C2338" s="24" t="str">
        <x:v>PR-C-67구7368-1-20230103-186</x:v>
      </x:c>
      <x:c r="D2338" s="24" t="str">
        <x:v>67구7368</x:v>
      </x:c>
      <x:c r="E2338" s="24" t="str">
        <x:v>드림하우징</x:v>
      </x:c>
      <x:c r="F2338" s="24" t="str">
        <x:v>2024-07</x:v>
      </x:c>
      <x:c r="G2338" s="30" t="n">
        <x:v>45503</x:v>
      </x:c>
      <x:c r="H2338" s="32" t="n">
        <x:v>1054000</x:v>
      </x:c>
      <x:c r="I2338" s="32" t="n">
        <x:v>1054000</x:v>
      </x:c>
      <x:c r="J2338" s="32" t="n">
        <x:v>0</x:v>
      </x:c>
      <x:c r="K2338" s="30" t="n">
        <x:v>45523</x:v>
      </x:c>
      <x:c r="L2338" s="24" t="str">
        <x:v>입금</x:v>
      </x:c>
      <x:c r="M2338" s="31" t="n">
        <x:f>IF(AND(N2338="미수",G2338&lt;&gt;"",TODAY()&gt;G2338),TODAY()-G2338,0)</x:f>
        <x:v>0</x:v>
      </x:c>
      <x:c r="N2338" s="24" t="str">
        <x:f>IF(J2338&gt;0,"미수",IF(AND(H2338&gt;0,I2338&gt;=H2338),"완납","미확인"))</x:f>
        <x:v>완납</x:v>
      </x:c>
      <x:c r="O2338" s="31" t="n">
        <x:v>7</x:v>
      </x:c>
    </x:row>
    <x:row r="2339" ht="17.25" customHeight="1">
      <x:c r="A2339" s="24" t="str">
        <x:v>PR-B-67구7368-202406</x:v>
      </x:c>
      <x:c r="B2339" s="24" t="str">
        <x:v>프라임구독</x:v>
      </x:c>
      <x:c r="C2339" s="24" t="str">
        <x:v>PR-C-67구7368-1-20230103-186</x:v>
      </x:c>
      <x:c r="D2339" s="24" t="str">
        <x:v>67구7368</x:v>
      </x:c>
      <x:c r="E2339" s="24" t="str">
        <x:v>드림하우징</x:v>
      </x:c>
      <x:c r="F2339" s="24" t="str">
        <x:v>2024-06</x:v>
      </x:c>
      <x:c r="G2339" s="30" t="n">
        <x:v>45473</x:v>
      </x:c>
      <x:c r="H2339" s="32" t="n">
        <x:v>1054000</x:v>
      </x:c>
      <x:c r="I2339" s="32" t="n">
        <x:v>1054000</x:v>
      </x:c>
      <x:c r="J2339" s="32" t="n">
        <x:v>0</x:v>
      </x:c>
      <x:c r="K2339" s="30" t="n">
        <x:v>45475</x:v>
      </x:c>
      <x:c r="L2339" s="24" t="str"/>
      <x:c r="M2339" s="31" t="n">
        <x:f>IF(AND(N2339="미수",G2339&lt;&gt;"",TODAY()&gt;G2339),TODAY()-G2339,0)</x:f>
        <x:v>0</x:v>
      </x:c>
      <x:c r="N2339" s="24" t="str">
        <x:f>IF(J2339&gt;0,"미수",IF(AND(H2339&gt;0,I2339&gt;=H2339),"완납","미확인"))</x:f>
        <x:v>완납</x:v>
      </x:c>
      <x:c r="O2339" s="31" t="n">
        <x:v>7</x:v>
      </x:c>
    </x:row>
    <x:row r="2340" ht="17.25" customHeight="1">
      <x:c r="A2340" s="24" t="str">
        <x:v>PR-B-67구7368-202405</x:v>
      </x:c>
      <x:c r="B2340" s="24" t="str">
        <x:v>프라임구독</x:v>
      </x:c>
      <x:c r="C2340" s="24" t="str">
        <x:v>PR-C-67구7368-1-20230103-186</x:v>
      </x:c>
      <x:c r="D2340" s="24" t="str">
        <x:v>67구7368</x:v>
      </x:c>
      <x:c r="E2340" s="24" t="str">
        <x:v>드림하우징</x:v>
      </x:c>
      <x:c r="F2340" s="24" t="str">
        <x:v>2024-05</x:v>
      </x:c>
      <x:c r="G2340" s="30" t="n">
        <x:v>45442</x:v>
      </x:c>
      <x:c r="H2340" s="32" t="n">
        <x:v>1054000</x:v>
      </x:c>
      <x:c r="I2340" s="32" t="n">
        <x:v>1054000</x:v>
      </x:c>
      <x:c r="J2340" s="32" t="n">
        <x:v>0</x:v>
      </x:c>
      <x:c r="K2340" s="30" t="n">
        <x:v>45446</x:v>
      </x:c>
      <x:c r="L2340" s="24" t="str"/>
      <x:c r="M2340" s="31" t="n">
        <x:f>IF(AND(N2340="미수",G2340&lt;&gt;"",TODAY()&gt;G2340),TODAY()-G2340,0)</x:f>
        <x:v>0</x:v>
      </x:c>
      <x:c r="N2340" s="24" t="str">
        <x:f>IF(J2340&gt;0,"미수",IF(AND(H2340&gt;0,I2340&gt;=H2340),"완납","미확인"))</x:f>
        <x:v>완납</x:v>
      </x:c>
      <x:c r="O2340" s="31" t="n">
        <x:v>7</x:v>
      </x:c>
    </x:row>
    <x:row r="2341" ht="17.25" customHeight="1">
      <x:c r="A2341" s="24" t="str">
        <x:v>PR-B-358다8942-202608</x:v>
      </x:c>
      <x:c r="B2341" s="24" t="str">
        <x:v>프라임구독</x:v>
      </x:c>
      <x:c r="C2341" s="24" t="str">
        <x:v>PR-C-358다8942-1-20230112-122</x:v>
      </x:c>
      <x:c r="D2341" s="24" t="str">
        <x:v>358다8942</x:v>
      </x:c>
      <x:c r="E2341" s="24" t="str">
        <x:v>김종범</x:v>
      </x:c>
      <x:c r="F2341" s="24" t="str">
        <x:v>2026-08</x:v>
      </x:c>
      <x:c r="G2341" s="30" t="n">
        <x:v>46244</x:v>
      </x:c>
      <x:c r="H2341" s="32"/>
      <x:c r="I2341" s="32"/>
      <x:c r="J2341" s="32" t="n">
        <x:v>4416000</x:v>
      </x:c>
      <x:c r="K2341" s="30"/>
      <x:c r="L2341" s="24" t="str"/>
      <x:c r="M2341" s="31" t="n">
        <x:f>IF(AND(N2341="미수",G2341&lt;&gt;"",TODAY()&gt;G2341),TODAY()-G2341,0)</x:f>
        <x:v>5</x:v>
      </x:c>
      <x:c r="N2341" s="24" t="str">
        <x:f>IF(J2341&gt;0,"미수",IF(AND(H2341&gt;0,I2341&gt;=H2341),"완납","미확인"))</x:f>
        <x:v>미수</x:v>
      </x:c>
      <x:c r="O2341" s="31" t="n">
        <x:v>8</x:v>
      </x:c>
    </x:row>
    <x:row r="2342" ht="17.25" customHeight="1">
      <x:c r="A2342" s="24" t="str">
        <x:v>PR-B-358다8942-202607</x:v>
      </x:c>
      <x:c r="B2342" s="24" t="str">
        <x:v>프라임구독</x:v>
      </x:c>
      <x:c r="C2342" s="24" t="str">
        <x:v>PR-C-358다8942-1-20230112-122</x:v>
      </x:c>
      <x:c r="D2342" s="24" t="str">
        <x:v>358다8942</x:v>
      </x:c>
      <x:c r="E2342" s="24" t="str">
        <x:v>김종범</x:v>
      </x:c>
      <x:c r="F2342" s="24" t="str">
        <x:v>2026-07</x:v>
      </x:c>
      <x:c r="G2342" s="30" t="n">
        <x:v>46213</x:v>
      </x:c>
      <x:c r="H2342" s="32"/>
      <x:c r="I2342" s="32"/>
      <x:c r="J2342" s="32" t="n">
        <x:v>4416000</x:v>
      </x:c>
      <x:c r="K2342" s="30"/>
      <x:c r="L2342" s="24" t="str"/>
      <x:c r="M2342" s="31" t="n">
        <x:f>IF(AND(N2342="미수",G2342&lt;&gt;"",TODAY()&gt;G2342),TODAY()-G2342,0)</x:f>
        <x:v>36</x:v>
      </x:c>
      <x:c r="N2342" s="24" t="str">
        <x:f>IF(J2342&gt;0,"미수",IF(AND(H2342&gt;0,I2342&gt;=H2342),"완납","미확인"))</x:f>
        <x:v>미수</x:v>
      </x:c>
      <x:c r="O2342" s="31" t="n">
        <x:v>8</x:v>
      </x:c>
    </x:row>
    <x:row r="2343" ht="17.25" customHeight="1">
      <x:c r="A2343" s="24" t="str">
        <x:v>PR-B-358다8942-202606</x:v>
      </x:c>
      <x:c r="B2343" s="24" t="str">
        <x:v>프라임구독</x:v>
      </x:c>
      <x:c r="C2343" s="24" t="str">
        <x:v>PR-C-358다8942-1-20230112-122</x:v>
      </x:c>
      <x:c r="D2343" s="24" t="str">
        <x:v>358다8942</x:v>
      </x:c>
      <x:c r="E2343" s="24" t="str">
        <x:v>김종범</x:v>
      </x:c>
      <x:c r="F2343" s="24" t="str">
        <x:v>2026-06</x:v>
      </x:c>
      <x:c r="G2343" s="30" t="n">
        <x:v>46183</x:v>
      </x:c>
      <x:c r="H2343" s="32"/>
      <x:c r="I2343" s="32"/>
      <x:c r="J2343" s="32" t="n">
        <x:v>4416000</x:v>
      </x:c>
      <x:c r="K2343" s="30"/>
      <x:c r="L2343" s="24" t="str"/>
      <x:c r="M2343" s="31" t="n">
        <x:f>IF(AND(N2343="미수",G2343&lt;&gt;"",TODAY()&gt;G2343),TODAY()-G2343,0)</x:f>
        <x:v>66</x:v>
      </x:c>
      <x:c r="N2343" s="24" t="str">
        <x:f>IF(J2343&gt;0,"미수",IF(AND(H2343&gt;0,I2343&gt;=H2343),"완납","미확인"))</x:f>
        <x:v>미수</x:v>
      </x:c>
      <x:c r="O2343" s="31" t="n">
        <x:v>8</x:v>
      </x:c>
    </x:row>
    <x:row r="2344" ht="17.25" customHeight="1">
      <x:c r="A2344" s="24" t="str">
        <x:v>PR-B-358다8942-202605</x:v>
      </x:c>
      <x:c r="B2344" s="24" t="str">
        <x:v>프라임구독</x:v>
      </x:c>
      <x:c r="C2344" s="24" t="str">
        <x:v>PR-C-358다8942-1-20230112-122</x:v>
      </x:c>
      <x:c r="D2344" s="24" t="str">
        <x:v>358다8942</x:v>
      </x:c>
      <x:c r="E2344" s="24" t="str">
        <x:v>김종범</x:v>
      </x:c>
      <x:c r="F2344" s="24" t="str">
        <x:v>2026-05</x:v>
      </x:c>
      <x:c r="G2344" s="30" t="n">
        <x:v>46152</x:v>
      </x:c>
      <x:c r="H2344" s="32"/>
      <x:c r="I2344" s="32"/>
      <x:c r="J2344" s="32" t="n">
        <x:v>4416000</x:v>
      </x:c>
      <x:c r="K2344" s="30"/>
      <x:c r="L2344" s="24" t="str"/>
      <x:c r="M2344" s="31" t="n">
        <x:f>IF(AND(N2344="미수",G2344&lt;&gt;"",TODAY()&gt;G2344),TODAY()-G2344,0)</x:f>
        <x:v>97</x:v>
      </x:c>
      <x:c r="N2344" s="24" t="str">
        <x:f>IF(J2344&gt;0,"미수",IF(AND(H2344&gt;0,I2344&gt;=H2344),"완납","미확인"))</x:f>
        <x:v>미수</x:v>
      </x:c>
      <x:c r="O2344" s="31" t="n">
        <x:v>8</x:v>
      </x:c>
    </x:row>
    <x:row r="2345" ht="17.25" customHeight="1">
      <x:c r="A2345" s="24" t="str">
        <x:v>PR-B-358다8942-202604</x:v>
      </x:c>
      <x:c r="B2345" s="24" t="str">
        <x:v>프라임구독</x:v>
      </x:c>
      <x:c r="C2345" s="24" t="str">
        <x:v>PR-C-358다8942-1-20230112-122</x:v>
      </x:c>
      <x:c r="D2345" s="24" t="str">
        <x:v>358다8942</x:v>
      </x:c>
      <x:c r="E2345" s="24" t="str">
        <x:v>김종범</x:v>
      </x:c>
      <x:c r="F2345" s="24" t="str">
        <x:v>2026-04</x:v>
      </x:c>
      <x:c r="G2345" s="30" t="n">
        <x:v>46122</x:v>
      </x:c>
      <x:c r="H2345" s="32"/>
      <x:c r="I2345" s="32"/>
      <x:c r="J2345" s="32" t="n">
        <x:v>4416000</x:v>
      </x:c>
      <x:c r="K2345" s="30"/>
      <x:c r="L2345" s="24" t="str"/>
      <x:c r="M2345" s="31" t="n">
        <x:f>IF(AND(N2345="미수",G2345&lt;&gt;"",TODAY()&gt;G2345),TODAY()-G2345,0)</x:f>
        <x:v>127</x:v>
      </x:c>
      <x:c r="N2345" s="24" t="str">
        <x:f>IF(J2345&gt;0,"미수",IF(AND(H2345&gt;0,I2345&gt;=H2345),"완납","미확인"))</x:f>
        <x:v>미수</x:v>
      </x:c>
      <x:c r="O2345" s="31" t="n">
        <x:v>8</x:v>
      </x:c>
    </x:row>
    <x:row r="2346" ht="17.25" customHeight="1">
      <x:c r="A2346" s="24" t="str">
        <x:v>PR-B-358다8942-202603</x:v>
      </x:c>
      <x:c r="B2346" s="24" t="str">
        <x:v>프라임구독</x:v>
      </x:c>
      <x:c r="C2346" s="24" t="str">
        <x:v>PR-C-358다8942-1-20230112-122</x:v>
      </x:c>
      <x:c r="D2346" s="24" t="str">
        <x:v>358다8942</x:v>
      </x:c>
      <x:c r="E2346" s="24" t="str">
        <x:v>김종범</x:v>
      </x:c>
      <x:c r="F2346" s="24" t="str">
        <x:v>2026-03</x:v>
      </x:c>
      <x:c r="G2346" s="30" t="n">
        <x:v>46091</x:v>
      </x:c>
      <x:c r="H2346" s="32"/>
      <x:c r="I2346" s="32"/>
      <x:c r="J2346" s="32" t="n">
        <x:v>4416000</x:v>
      </x:c>
      <x:c r="K2346" s="30"/>
      <x:c r="L2346" s="24" t="str"/>
      <x:c r="M2346" s="31" t="n">
        <x:f>IF(AND(N2346="미수",G2346&lt;&gt;"",TODAY()&gt;G2346),TODAY()-G2346,0)</x:f>
        <x:v>158</x:v>
      </x:c>
      <x:c r="N2346" s="24" t="str">
        <x:f>IF(J2346&gt;0,"미수",IF(AND(H2346&gt;0,I2346&gt;=H2346),"완납","미확인"))</x:f>
        <x:v>미수</x:v>
      </x:c>
      <x:c r="O2346" s="31" t="n">
        <x:v>8</x:v>
      </x:c>
    </x:row>
    <x:row r="2347" ht="17.25" customHeight="1">
      <x:c r="A2347" s="24" t="str">
        <x:v>PR-B-358다8942-202602</x:v>
      </x:c>
      <x:c r="B2347" s="24" t="str">
        <x:v>프라임구독</x:v>
      </x:c>
      <x:c r="C2347" s="24" t="str">
        <x:v>PR-C-358다8942-1-20230112-122</x:v>
      </x:c>
      <x:c r="D2347" s="24" t="str">
        <x:v>358다8942</x:v>
      </x:c>
      <x:c r="E2347" s="24" t="str">
        <x:v>김종범</x:v>
      </x:c>
      <x:c r="F2347" s="24" t="str">
        <x:v>2026-02</x:v>
      </x:c>
      <x:c r="G2347" s="30" t="n">
        <x:v>46063</x:v>
      </x:c>
      <x:c r="H2347" s="32"/>
      <x:c r="I2347" s="32"/>
      <x:c r="J2347" s="32" t="n">
        <x:v>4416000</x:v>
      </x:c>
      <x:c r="K2347" s="30"/>
      <x:c r="L2347" s="24" t="str"/>
      <x:c r="M2347" s="31" t="n">
        <x:f>IF(AND(N2347="미수",G2347&lt;&gt;"",TODAY()&gt;G2347),TODAY()-G2347,0)</x:f>
        <x:v>186</x:v>
      </x:c>
      <x:c r="N2347" s="24" t="str">
        <x:f>IF(J2347&gt;0,"미수",IF(AND(H2347&gt;0,I2347&gt;=H2347),"완납","미확인"))</x:f>
        <x:v>미수</x:v>
      </x:c>
      <x:c r="O2347" s="31" t="n">
        <x:v>8</x:v>
      </x:c>
    </x:row>
    <x:row r="2348" ht="17.25" customHeight="1">
      <x:c r="A2348" s="24" t="str">
        <x:v>PR-B-358다8942-202601</x:v>
      </x:c>
      <x:c r="B2348" s="24" t="str">
        <x:v>프라임구독</x:v>
      </x:c>
      <x:c r="C2348" s="24" t="str">
        <x:v>PR-C-358다8942-1-20230112-122</x:v>
      </x:c>
      <x:c r="D2348" s="24" t="str">
        <x:v>358다8942</x:v>
      </x:c>
      <x:c r="E2348" s="24" t="str">
        <x:v>김종범</x:v>
      </x:c>
      <x:c r="F2348" s="24" t="str">
        <x:v>2026-01</x:v>
      </x:c>
      <x:c r="G2348" s="30" t="n">
        <x:v>46032</x:v>
      </x:c>
      <x:c r="H2348" s="32" t="n">
        <x:v>736000</x:v>
      </x:c>
      <x:c r="I2348" s="32"/>
      <x:c r="J2348" s="32" t="n">
        <x:v>4416000</x:v>
      </x:c>
      <x:c r="K2348" s="30"/>
      <x:c r="L2348" s="24" t="str"/>
      <x:c r="M2348" s="31" t="n">
        <x:f>IF(AND(N2348="미수",G2348&lt;&gt;"",TODAY()&gt;G2348),TODAY()-G2348,0)</x:f>
        <x:v>217</x:v>
      </x:c>
      <x:c r="N2348" s="24" t="str">
        <x:f>IF(J2348&gt;0,"미수",IF(AND(H2348&gt;0,I2348&gt;=H2348),"완납","미확인"))</x:f>
        <x:v>미수</x:v>
      </x:c>
      <x:c r="O2348" s="31" t="n">
        <x:v>8</x:v>
      </x:c>
    </x:row>
    <x:row r="2349" ht="17.25" customHeight="1">
      <x:c r="A2349" s="24" t="str">
        <x:v>PR-B-358다8942-202512</x:v>
      </x:c>
      <x:c r="B2349" s="24" t="str">
        <x:v>프라임구독</x:v>
      </x:c>
      <x:c r="C2349" s="24" t="str">
        <x:v>PR-C-358다8942-1-20230112-122</x:v>
      </x:c>
      <x:c r="D2349" s="24" t="str">
        <x:v>358다8942</x:v>
      </x:c>
      <x:c r="E2349" s="24" t="str">
        <x:v>김종범</x:v>
      </x:c>
      <x:c r="F2349" s="24" t="str">
        <x:v>2025-12</x:v>
      </x:c>
      <x:c r="G2349" s="30" t="n">
        <x:v>46001</x:v>
      </x:c>
      <x:c r="H2349" s="32" t="n">
        <x:v>736000</x:v>
      </x:c>
      <x:c r="I2349" s="32"/>
      <x:c r="J2349" s="32" t="n">
        <x:v>3680000</x:v>
      </x:c>
      <x:c r="K2349" s="30"/>
      <x:c r="L2349" s="24" t="str"/>
      <x:c r="M2349" s="31" t="n">
        <x:f>IF(AND(N2349="미수",G2349&lt;&gt;"",TODAY()&gt;G2349),TODAY()-G2349,0)</x:f>
        <x:v>248</x:v>
      </x:c>
      <x:c r="N2349" s="24" t="str">
        <x:f>IF(J2349&gt;0,"미수",IF(AND(H2349&gt;0,I2349&gt;=H2349),"완납","미확인"))</x:f>
        <x:v>미수</x:v>
      </x:c>
      <x:c r="O2349" s="31" t="n">
        <x:v>8</x:v>
      </x:c>
    </x:row>
    <x:row r="2350" ht="17.25" customHeight="1">
      <x:c r="A2350" s="24" t="str">
        <x:v>PR-B-358다8942-202511</x:v>
      </x:c>
      <x:c r="B2350" s="24" t="str">
        <x:v>프라임구독</x:v>
      </x:c>
      <x:c r="C2350" s="24" t="str">
        <x:v>PR-C-358다8942-1-20230112-122</x:v>
      </x:c>
      <x:c r="D2350" s="24" t="str">
        <x:v>358다8942</x:v>
      </x:c>
      <x:c r="E2350" s="24" t="str">
        <x:v>김종범</x:v>
      </x:c>
      <x:c r="F2350" s="24" t="str">
        <x:v>2025-11</x:v>
      </x:c>
      <x:c r="G2350" s="30" t="n">
        <x:v>45971</x:v>
      </x:c>
      <x:c r="H2350" s="32" t="n">
        <x:v>736000</x:v>
      </x:c>
      <x:c r="I2350" s="32"/>
      <x:c r="J2350" s="32" t="n">
        <x:v>2944000</x:v>
      </x:c>
      <x:c r="K2350" s="30"/>
      <x:c r="L2350" s="24" t="str"/>
      <x:c r="M2350" s="31" t="n">
        <x:f>IF(AND(N2350="미수",G2350&lt;&gt;"",TODAY()&gt;G2350),TODAY()-G2350,0)</x:f>
        <x:v>278</x:v>
      </x:c>
      <x:c r="N2350" s="24" t="str">
        <x:f>IF(J2350&gt;0,"미수",IF(AND(H2350&gt;0,I2350&gt;=H2350),"완납","미확인"))</x:f>
        <x:v>미수</x:v>
      </x:c>
      <x:c r="O2350" s="31" t="n">
        <x:v>8</x:v>
      </x:c>
    </x:row>
    <x:row r="2351" ht="17.25" customHeight="1">
      <x:c r="A2351" s="24" t="str">
        <x:v>PR-B-358다8942-202510</x:v>
      </x:c>
      <x:c r="B2351" s="24" t="str">
        <x:v>프라임구독</x:v>
      </x:c>
      <x:c r="C2351" s="24" t="str">
        <x:v>PR-C-358다8942-1-20230112-122</x:v>
      </x:c>
      <x:c r="D2351" s="24" t="str">
        <x:v>358다8942</x:v>
      </x:c>
      <x:c r="E2351" s="24" t="str">
        <x:v>김종범</x:v>
      </x:c>
      <x:c r="F2351" s="24" t="str">
        <x:v>2025-10</x:v>
      </x:c>
      <x:c r="G2351" s="30" t="n">
        <x:v>45940</x:v>
      </x:c>
      <x:c r="H2351" s="32" t="n">
        <x:v>736000</x:v>
      </x:c>
      <x:c r="I2351" s="32"/>
      <x:c r="J2351" s="32" t="n">
        <x:v>2208000</x:v>
      </x:c>
      <x:c r="K2351" s="30"/>
      <x:c r="L2351" s="24" t="str"/>
      <x:c r="M2351" s="31" t="n">
        <x:f>IF(AND(N2351="미수",G2351&lt;&gt;"",TODAY()&gt;G2351),TODAY()-G2351,0)</x:f>
        <x:v>309</x:v>
      </x:c>
      <x:c r="N2351" s="24" t="str">
        <x:f>IF(J2351&gt;0,"미수",IF(AND(H2351&gt;0,I2351&gt;=H2351),"완납","미확인"))</x:f>
        <x:v>미수</x:v>
      </x:c>
      <x:c r="O2351" s="31" t="n">
        <x:v>8</x:v>
      </x:c>
    </x:row>
    <x:row r="2352" ht="17.25" customHeight="1">
      <x:c r="A2352" s="24" t="str">
        <x:v>PR-B-358다8942-202509</x:v>
      </x:c>
      <x:c r="B2352" s="24" t="str">
        <x:v>프라임구독</x:v>
      </x:c>
      <x:c r="C2352" s="24" t="str">
        <x:v>PR-C-358다8942-1-20230112-122</x:v>
      </x:c>
      <x:c r="D2352" s="24" t="str">
        <x:v>358다8942</x:v>
      </x:c>
      <x:c r="E2352" s="24" t="str">
        <x:v>김종범</x:v>
      </x:c>
      <x:c r="F2352" s="24" t="str">
        <x:v>2025-09</x:v>
      </x:c>
      <x:c r="G2352" s="30" t="n">
        <x:v>45910</x:v>
      </x:c>
      <x:c r="H2352" s="32" t="n">
        <x:v>736000</x:v>
      </x:c>
      <x:c r="I2352" s="32"/>
      <x:c r="J2352" s="32" t="n">
        <x:v>1472000</x:v>
      </x:c>
      <x:c r="K2352" s="30"/>
      <x:c r="L2352" s="24" t="str"/>
      <x:c r="M2352" s="31" t="n">
        <x:f>IF(AND(N2352="미수",G2352&lt;&gt;"",TODAY()&gt;G2352),TODAY()-G2352,0)</x:f>
        <x:v>339</x:v>
      </x:c>
      <x:c r="N2352" s="24" t="str">
        <x:f>IF(J2352&gt;0,"미수",IF(AND(H2352&gt;0,I2352&gt;=H2352),"완납","미확인"))</x:f>
        <x:v>미수</x:v>
      </x:c>
      <x:c r="O2352" s="31" t="n">
        <x:v>8</x:v>
      </x:c>
    </x:row>
    <x:row r="2353" ht="17.25" customHeight="1">
      <x:c r="A2353" s="24" t="str">
        <x:v>PR-B-358다8942-202508</x:v>
      </x:c>
      <x:c r="B2353" s="24" t="str">
        <x:v>프라임구독</x:v>
      </x:c>
      <x:c r="C2353" s="24" t="str">
        <x:v>PR-C-358다8942-1-20230112-122</x:v>
      </x:c>
      <x:c r="D2353" s="24" t="str">
        <x:v>358다8942</x:v>
      </x:c>
      <x:c r="E2353" s="24" t="str">
        <x:v>김종범</x:v>
      </x:c>
      <x:c r="F2353" s="24" t="str">
        <x:v>2025-08</x:v>
      </x:c>
      <x:c r="G2353" s="30" t="n">
        <x:v>45879</x:v>
      </x:c>
      <x:c r="H2353" s="32" t="n">
        <x:v>736000</x:v>
      </x:c>
      <x:c r="I2353" s="32"/>
      <x:c r="J2353" s="32" t="n">
        <x:v>736000</x:v>
      </x:c>
      <x:c r="K2353" s="30"/>
      <x:c r="L2353" s="24" t="str"/>
      <x:c r="M2353" s="31" t="n">
        <x:f>IF(AND(N2353="미수",G2353&lt;&gt;"",TODAY()&gt;G2353),TODAY()-G2353,0)</x:f>
        <x:v>370</x:v>
      </x:c>
      <x:c r="N2353" s="24" t="str">
        <x:f>IF(J2353&gt;0,"미수",IF(AND(H2353&gt;0,I2353&gt;=H2353),"완납","미확인"))</x:f>
        <x:v>미수</x:v>
      </x:c>
      <x:c r="O2353" s="31" t="n">
        <x:v>8</x:v>
      </x:c>
    </x:row>
    <x:row r="2354" ht="17.25" customHeight="1">
      <x:c r="A2354" s="24" t="str">
        <x:v>PR-B-358다8942-202507</x:v>
      </x:c>
      <x:c r="B2354" s="24" t="str">
        <x:v>프라임구독</x:v>
      </x:c>
      <x:c r="C2354" s="24" t="str">
        <x:v>PR-C-358다8942-1-20230112-122</x:v>
      </x:c>
      <x:c r="D2354" s="24" t="str">
        <x:v>358다8942</x:v>
      </x:c>
      <x:c r="E2354" s="24" t="str">
        <x:v>김종범</x:v>
      </x:c>
      <x:c r="F2354" s="24" t="str">
        <x:v>2025-07</x:v>
      </x:c>
      <x:c r="G2354" s="30" t="n">
        <x:v>45848</x:v>
      </x:c>
      <x:c r="H2354" s="32"/>
      <x:c r="I2354" s="32" t="n">
        <x:v>2208000</x:v>
      </x:c>
      <x:c r="J2354" s="32" t="n">
        <x:v>0</x:v>
      </x:c>
      <x:c r="K2354" s="30" t="n">
        <x:v>45849</x:v>
      </x:c>
      <x:c r="L2354" s="24" t="str">
        <x:v>입금</x:v>
      </x:c>
      <x:c r="M2354" s="31" t="n">
        <x:f>IF(AND(N2354="미수",G2354&lt;&gt;"",TODAY()&gt;G2354),TODAY()-G2354,0)</x:f>
        <x:v>0</x:v>
      </x:c>
      <x:c r="N2354" s="24" t="str">
        <x:f>IF(J2354&gt;0,"미수",IF(AND(H2354&gt;0,I2354&gt;=H2354),"완납","미확인"))</x:f>
        <x:v>미확인</x:v>
      </x:c>
      <x:c r="O2354" s="31" t="n">
        <x:v>8</x:v>
      </x:c>
    </x:row>
    <x:row r="2355" ht="17.25" customHeight="1">
      <x:c r="A2355" s="24" t="str">
        <x:v>PR-B-358다8942-202506</x:v>
      </x:c>
      <x:c r="B2355" s="24" t="str">
        <x:v>프라임구독</x:v>
      </x:c>
      <x:c r="C2355" s="24" t="str">
        <x:v>PR-C-358다8942-1-20230112-122</x:v>
      </x:c>
      <x:c r="D2355" s="24" t="str">
        <x:v>358다8942</x:v>
      </x:c>
      <x:c r="E2355" s="24" t="str">
        <x:v>김종범</x:v>
      </x:c>
      <x:c r="F2355" s="24" t="str">
        <x:v>2025-06</x:v>
      </x:c>
      <x:c r="G2355" s="30" t="n">
        <x:v>45818</x:v>
      </x:c>
      <x:c r="H2355" s="32" t="n">
        <x:v>736000</x:v>
      </x:c>
      <x:c r="I2355" s="32"/>
      <x:c r="J2355" s="32" t="n">
        <x:v>2208000</x:v>
      </x:c>
      <x:c r="K2355" s="30"/>
      <x:c r="L2355" s="24" t="str"/>
      <x:c r="M2355" s="31" t="n">
        <x:f>IF(AND(N2355="미수",G2355&lt;&gt;"",TODAY()&gt;G2355),TODAY()-G2355,0)</x:f>
        <x:v>431</x:v>
      </x:c>
      <x:c r="N2355" s="24" t="str">
        <x:f>IF(J2355&gt;0,"미수",IF(AND(H2355&gt;0,I2355&gt;=H2355),"완납","미확인"))</x:f>
        <x:v>미수</x:v>
      </x:c>
      <x:c r="O2355" s="31" t="n">
        <x:v>8</x:v>
      </x:c>
    </x:row>
    <x:row r="2356" ht="17.25" customHeight="1">
      <x:c r="A2356" s="24" t="str">
        <x:v>PR-B-358다8942-202505</x:v>
      </x:c>
      <x:c r="B2356" s="24" t="str">
        <x:v>프라임구독</x:v>
      </x:c>
      <x:c r="C2356" s="24" t="str">
        <x:v>PR-C-358다8942-1-20230112-122</x:v>
      </x:c>
      <x:c r="D2356" s="24" t="str">
        <x:v>358다8942</x:v>
      </x:c>
      <x:c r="E2356" s="24" t="str">
        <x:v>김종범</x:v>
      </x:c>
      <x:c r="F2356" s="24" t="str">
        <x:v>2025-05</x:v>
      </x:c>
      <x:c r="G2356" s="30" t="n">
        <x:v>45787</x:v>
      </x:c>
      <x:c r="H2356" s="32" t="n">
        <x:v>736000</x:v>
      </x:c>
      <x:c r="I2356" s="32"/>
      <x:c r="J2356" s="32" t="n">
        <x:v>1472000</x:v>
      </x:c>
      <x:c r="K2356" s="30"/>
      <x:c r="L2356" s="24" t="str"/>
      <x:c r="M2356" s="31" t="n">
        <x:f>IF(AND(N2356="미수",G2356&lt;&gt;"",TODAY()&gt;G2356),TODAY()-G2356,0)</x:f>
        <x:v>462</x:v>
      </x:c>
      <x:c r="N2356" s="24" t="str">
        <x:f>IF(J2356&gt;0,"미수",IF(AND(H2356&gt;0,I2356&gt;=H2356),"완납","미확인"))</x:f>
        <x:v>미수</x:v>
      </x:c>
      <x:c r="O2356" s="31" t="n">
        <x:v>8</x:v>
      </x:c>
    </x:row>
    <x:row r="2357" ht="17.25" customHeight="1">
      <x:c r="A2357" s="24" t="str">
        <x:v>PR-B-358다8942-202504</x:v>
      </x:c>
      <x:c r="B2357" s="24" t="str">
        <x:v>프라임구독</x:v>
      </x:c>
      <x:c r="C2357" s="24" t="str">
        <x:v>PR-C-358다8942-1-20230112-122</x:v>
      </x:c>
      <x:c r="D2357" s="24" t="str">
        <x:v>358다8942</x:v>
      </x:c>
      <x:c r="E2357" s="24" t="str">
        <x:v>김종범</x:v>
      </x:c>
      <x:c r="F2357" s="24" t="str">
        <x:v>2025-04</x:v>
      </x:c>
      <x:c r="G2357" s="30" t="n">
        <x:v>45757</x:v>
      </x:c>
      <x:c r="H2357" s="32" t="n">
        <x:v>736000</x:v>
      </x:c>
      <x:c r="I2357" s="32" t="n">
        <x:v>736000</x:v>
      </x:c>
      <x:c r="J2357" s="32" t="n">
        <x:v>736000</x:v>
      </x:c>
      <x:c r="K2357" s="30" t="n">
        <x:v>45757</x:v>
      </x:c>
      <x:c r="L2357" s="24" t="str">
        <x:v>자동</x:v>
      </x:c>
      <x:c r="M2357" s="31" t="n">
        <x:f>IF(AND(N2357="미수",G2357&lt;&gt;"",TODAY()&gt;G2357),TODAY()-G2357,0)</x:f>
        <x:v>492</x:v>
      </x:c>
      <x:c r="N2357" s="24" t="str">
        <x:f>IF(J2357&gt;0,"미수",IF(AND(H2357&gt;0,I2357&gt;=H2357),"완납","미확인"))</x:f>
        <x:v>미수</x:v>
      </x:c>
      <x:c r="O2357" s="31" t="n">
        <x:v>8</x:v>
      </x:c>
    </x:row>
    <x:row r="2358" ht="17.25" customHeight="1">
      <x:c r="A2358" s="24" t="str">
        <x:v>PR-B-358다8942-202503</x:v>
      </x:c>
      <x:c r="B2358" s="24" t="str">
        <x:v>프라임구독</x:v>
      </x:c>
      <x:c r="C2358" s="24" t="str">
        <x:v>PR-C-358다8942-1-20230112-122</x:v>
      </x:c>
      <x:c r="D2358" s="24" t="str">
        <x:v>358다8942</x:v>
      </x:c>
      <x:c r="E2358" s="24" t="str">
        <x:v>김종범</x:v>
      </x:c>
      <x:c r="F2358" s="24" t="str">
        <x:v>2025-03</x:v>
      </x:c>
      <x:c r="G2358" s="30" t="n">
        <x:v>45726</x:v>
      </x:c>
      <x:c r="H2358" s="32" t="n">
        <x:v>736000</x:v>
      </x:c>
      <x:c r="I2358" s="32"/>
      <x:c r="J2358" s="32" t="n">
        <x:v>736000</x:v>
      </x:c>
      <x:c r="K2358" s="30"/>
      <x:c r="L2358" s="24" t="str"/>
      <x:c r="M2358" s="31" t="n">
        <x:f>IF(AND(N2358="미수",G2358&lt;&gt;"",TODAY()&gt;G2358),TODAY()-G2358,0)</x:f>
        <x:v>523</x:v>
      </x:c>
      <x:c r="N2358" s="24" t="str">
        <x:f>IF(J2358&gt;0,"미수",IF(AND(H2358&gt;0,I2358&gt;=H2358),"완납","미확인"))</x:f>
        <x:v>미수</x:v>
      </x:c>
      <x:c r="O2358" s="31" t="n">
        <x:v>8</x:v>
      </x:c>
    </x:row>
    <x:row r="2359" ht="17.25" customHeight="1">
      <x:c r="A2359" s="24" t="str">
        <x:v>PR-B-358다8942-202502</x:v>
      </x:c>
      <x:c r="B2359" s="24" t="str">
        <x:v>프라임구독</x:v>
      </x:c>
      <x:c r="C2359" s="24" t="str">
        <x:v>PR-C-358다8942-1-20230112-122</x:v>
      </x:c>
      <x:c r="D2359" s="24" t="str">
        <x:v>358다8942</x:v>
      </x:c>
      <x:c r="E2359" s="24" t="str">
        <x:v>김종범</x:v>
      </x:c>
      <x:c r="F2359" s="24" t="str">
        <x:v>2025-02</x:v>
      </x:c>
      <x:c r="G2359" s="30" t="n">
        <x:v>45698</x:v>
      </x:c>
      <x:c r="H2359" s="32" t="n">
        <x:v>736000</x:v>
      </x:c>
      <x:c r="I2359" s="32" t="n">
        <x:v>736000</x:v>
      </x:c>
      <x:c r="J2359" s="32" t="n">
        <x:v>0</x:v>
      </x:c>
      <x:c r="K2359" s="30" t="n">
        <x:v>45698</x:v>
      </x:c>
      <x:c r="L2359" s="24" t="str">
        <x:v>자동</x:v>
      </x:c>
      <x:c r="M2359" s="31" t="n">
        <x:f>IF(AND(N2359="미수",G2359&lt;&gt;"",TODAY()&gt;G2359),TODAY()-G2359,0)</x:f>
        <x:v>0</x:v>
      </x:c>
      <x:c r="N2359" s="24" t="str">
        <x:f>IF(J2359&gt;0,"미수",IF(AND(H2359&gt;0,I2359&gt;=H2359),"완납","미확인"))</x:f>
        <x:v>완납</x:v>
      </x:c>
      <x:c r="O2359" s="31" t="n">
        <x:v>8</x:v>
      </x:c>
    </x:row>
    <x:row r="2360" ht="17.25" customHeight="1">
      <x:c r="A2360" s="24" t="str">
        <x:v>PR-B-358다8942-202501</x:v>
      </x:c>
      <x:c r="B2360" s="24" t="str">
        <x:v>프라임구독</x:v>
      </x:c>
      <x:c r="C2360" s="24" t="str">
        <x:v>PR-C-358다8942-1-20230112-122</x:v>
      </x:c>
      <x:c r="D2360" s="24" t="str">
        <x:v>358다8942</x:v>
      </x:c>
      <x:c r="E2360" s="24" t="str">
        <x:v>김종범</x:v>
      </x:c>
      <x:c r="F2360" s="24" t="str">
        <x:v>2025-01</x:v>
      </x:c>
      <x:c r="G2360" s="30" t="n">
        <x:v>45667</x:v>
      </x:c>
      <x:c r="H2360" s="32" t="n">
        <x:v>736000</x:v>
      </x:c>
      <x:c r="I2360" s="32" t="n">
        <x:v>736000</x:v>
      </x:c>
      <x:c r="J2360" s="32" t="n">
        <x:v>0</x:v>
      </x:c>
      <x:c r="K2360" s="30" t="n">
        <x:v>45667</x:v>
      </x:c>
      <x:c r="L2360" s="24" t="str">
        <x:v>자동</x:v>
      </x:c>
      <x:c r="M2360" s="31" t="n">
        <x:f>IF(AND(N2360="미수",G2360&lt;&gt;"",TODAY()&gt;G2360),TODAY()-G2360,0)</x:f>
        <x:v>0</x:v>
      </x:c>
      <x:c r="N2360" s="24" t="str">
        <x:f>IF(J2360&gt;0,"미수",IF(AND(H2360&gt;0,I2360&gt;=H2360),"완납","미확인"))</x:f>
        <x:v>완납</x:v>
      </x:c>
      <x:c r="O2360" s="31" t="n">
        <x:v>8</x:v>
      </x:c>
    </x:row>
    <x:row r="2361" ht="17.25" customHeight="1">
      <x:c r="A2361" s="24" t="str">
        <x:v>PR-B-358다8942-202412</x:v>
      </x:c>
      <x:c r="B2361" s="24" t="str">
        <x:v>프라임구독</x:v>
      </x:c>
      <x:c r="C2361" s="24" t="str">
        <x:v>PR-C-358다8942-1-20230112-122</x:v>
      </x:c>
      <x:c r="D2361" s="24" t="str">
        <x:v>358다8942</x:v>
      </x:c>
      <x:c r="E2361" s="24" t="str">
        <x:v>김종범</x:v>
      </x:c>
      <x:c r="F2361" s="24" t="str">
        <x:v>2024-12</x:v>
      </x:c>
      <x:c r="G2361" s="30" t="n">
        <x:v>45636</x:v>
      </x:c>
      <x:c r="H2361" s="32" t="n">
        <x:v>736000</x:v>
      </x:c>
      <x:c r="I2361" s="32" t="n">
        <x:v>736000</x:v>
      </x:c>
      <x:c r="J2361" s="32" t="n">
        <x:v>0</x:v>
      </x:c>
      <x:c r="K2361" s="30" t="n">
        <x:v>45636</x:v>
      </x:c>
      <x:c r="L2361" s="24" t="str">
        <x:v>자동</x:v>
      </x:c>
      <x:c r="M2361" s="31" t="n">
        <x:f>IF(AND(N2361="미수",G2361&lt;&gt;"",TODAY()&gt;G2361),TODAY()-G2361,0)</x:f>
        <x:v>0</x:v>
      </x:c>
      <x:c r="N2361" s="24" t="str">
        <x:f>IF(J2361&gt;0,"미수",IF(AND(H2361&gt;0,I2361&gt;=H2361),"완납","미확인"))</x:f>
        <x:v>완납</x:v>
      </x:c>
      <x:c r="O2361" s="31" t="n">
        <x:v>8</x:v>
      </x:c>
    </x:row>
    <x:row r="2362" ht="17.25" customHeight="1">
      <x:c r="A2362" s="24" t="str">
        <x:v>PR-B-358다8942-202411</x:v>
      </x:c>
      <x:c r="B2362" s="24" t="str">
        <x:v>프라임구독</x:v>
      </x:c>
      <x:c r="C2362" s="24" t="str">
        <x:v>PR-C-358다8942-1-20230112-122</x:v>
      </x:c>
      <x:c r="D2362" s="24" t="str">
        <x:v>358다8942</x:v>
      </x:c>
      <x:c r="E2362" s="24" t="str">
        <x:v>김종범</x:v>
      </x:c>
      <x:c r="F2362" s="24" t="str">
        <x:v>2024-11</x:v>
      </x:c>
      <x:c r="G2362" s="30" t="n">
        <x:v>45606</x:v>
      </x:c>
      <x:c r="H2362" s="32" t="n">
        <x:v>736000</x:v>
      </x:c>
      <x:c r="I2362" s="32" t="n">
        <x:v>736000</x:v>
      </x:c>
      <x:c r="J2362" s="32" t="n">
        <x:v>0</x:v>
      </x:c>
      <x:c r="K2362" s="30" t="n">
        <x:v>45612</x:v>
      </x:c>
      <x:c r="L2362" s="24" t="str">
        <x:v>입금</x:v>
      </x:c>
      <x:c r="M2362" s="31" t="n">
        <x:f>IF(AND(N2362="미수",G2362&lt;&gt;"",TODAY()&gt;G2362),TODAY()-G2362,0)</x:f>
        <x:v>0</x:v>
      </x:c>
      <x:c r="N2362" s="24" t="str">
        <x:f>IF(J2362&gt;0,"미수",IF(AND(H2362&gt;0,I2362&gt;=H2362),"완납","미확인"))</x:f>
        <x:v>완납</x:v>
      </x:c>
      <x:c r="O2362" s="31" t="n">
        <x:v>8</x:v>
      </x:c>
    </x:row>
    <x:row r="2363" ht="17.25" customHeight="1">
      <x:c r="A2363" s="24" t="str">
        <x:v>PR-B-358다8942-202410</x:v>
      </x:c>
      <x:c r="B2363" s="24" t="str">
        <x:v>프라임구독</x:v>
      </x:c>
      <x:c r="C2363" s="24" t="str">
        <x:v>PR-C-358다8942-1-20230112-122</x:v>
      </x:c>
      <x:c r="D2363" s="24" t="str">
        <x:v>358다8942</x:v>
      </x:c>
      <x:c r="E2363" s="24" t="str">
        <x:v>김종범</x:v>
      </x:c>
      <x:c r="F2363" s="24" t="str">
        <x:v>2024-10</x:v>
      </x:c>
      <x:c r="G2363" s="30" t="n">
        <x:v>45575</x:v>
      </x:c>
      <x:c r="H2363" s="32" t="n">
        <x:v>736000</x:v>
      </x:c>
      <x:c r="I2363" s="32" t="n">
        <x:v>736000</x:v>
      </x:c>
      <x:c r="J2363" s="32" t="n">
        <x:v>0</x:v>
      </x:c>
      <x:c r="K2363" s="30" t="n">
        <x:v>45575</x:v>
      </x:c>
      <x:c r="L2363" s="24" t="str">
        <x:v>자동</x:v>
      </x:c>
      <x:c r="M2363" s="31" t="n">
        <x:f>IF(AND(N2363="미수",G2363&lt;&gt;"",TODAY()&gt;G2363),TODAY()-G2363,0)</x:f>
        <x:v>0</x:v>
      </x:c>
      <x:c r="N2363" s="24" t="str">
        <x:f>IF(J2363&gt;0,"미수",IF(AND(H2363&gt;0,I2363&gt;=H2363),"완납","미확인"))</x:f>
        <x:v>완납</x:v>
      </x:c>
      <x:c r="O2363" s="31" t="n">
        <x:v>8</x:v>
      </x:c>
    </x:row>
    <x:row r="2364" ht="17.25" customHeight="1">
      <x:c r="A2364" s="24" t="str">
        <x:v>PR-B-358다8942-202409</x:v>
      </x:c>
      <x:c r="B2364" s="24" t="str">
        <x:v>프라임구독</x:v>
      </x:c>
      <x:c r="C2364" s="24" t="str">
        <x:v>PR-C-358다8942-1-20230112-122</x:v>
      </x:c>
      <x:c r="D2364" s="24" t="str">
        <x:v>358다8942</x:v>
      </x:c>
      <x:c r="E2364" s="24" t="str">
        <x:v>김종범</x:v>
      </x:c>
      <x:c r="F2364" s="24" t="str">
        <x:v>2024-09</x:v>
      </x:c>
      <x:c r="G2364" s="30" t="n">
        <x:v>45545</x:v>
      </x:c>
      <x:c r="H2364" s="32" t="n">
        <x:v>736000</x:v>
      </x:c>
      <x:c r="I2364" s="32" t="n">
        <x:v>736000</x:v>
      </x:c>
      <x:c r="J2364" s="32" t="n">
        <x:v>0</x:v>
      </x:c>
      <x:c r="K2364" s="30" t="n">
        <x:v>45546</x:v>
      </x:c>
      <x:c r="L2364" s="24" t="str">
        <x:v>입금</x:v>
      </x:c>
      <x:c r="M2364" s="31" t="n">
        <x:f>IF(AND(N2364="미수",G2364&lt;&gt;"",TODAY()&gt;G2364),TODAY()-G2364,0)</x:f>
        <x:v>0</x:v>
      </x:c>
      <x:c r="N2364" s="24" t="str">
        <x:f>IF(J2364&gt;0,"미수",IF(AND(H2364&gt;0,I2364&gt;=H2364),"완납","미확인"))</x:f>
        <x:v>완납</x:v>
      </x:c>
      <x:c r="O2364" s="31" t="n">
        <x:v>8</x:v>
      </x:c>
    </x:row>
    <x:row r="2365" ht="17.25" customHeight="1">
      <x:c r="A2365" s="24" t="str">
        <x:v>PR-B-358다8942-202408</x:v>
      </x:c>
      <x:c r="B2365" s="24" t="str">
        <x:v>프라임구독</x:v>
      </x:c>
      <x:c r="C2365" s="24" t="str">
        <x:v>PR-C-358다8942-1-20230112-122</x:v>
      </x:c>
      <x:c r="D2365" s="24" t="str">
        <x:v>358다8942</x:v>
      </x:c>
      <x:c r="E2365" s="24" t="str">
        <x:v>김종범</x:v>
      </x:c>
      <x:c r="F2365" s="24" t="str">
        <x:v>2024-08</x:v>
      </x:c>
      <x:c r="G2365" s="30" t="n">
        <x:v>45514</x:v>
      </x:c>
      <x:c r="H2365" s="32" t="n">
        <x:v>736000</x:v>
      </x:c>
      <x:c r="I2365" s="32" t="n">
        <x:v>736000</x:v>
      </x:c>
      <x:c r="J2365" s="32" t="n">
        <x:v>0</x:v>
      </x:c>
      <x:c r="K2365" s="30" t="n">
        <x:v>45514</x:v>
      </x:c>
      <x:c r="L2365" s="24" t="str">
        <x:v>자동</x:v>
      </x:c>
      <x:c r="M2365" s="31" t="n">
        <x:f>IF(AND(N2365="미수",G2365&lt;&gt;"",TODAY()&gt;G2365),TODAY()-G2365,0)</x:f>
        <x:v>0</x:v>
      </x:c>
      <x:c r="N2365" s="24" t="str">
        <x:f>IF(J2365&gt;0,"미수",IF(AND(H2365&gt;0,I2365&gt;=H2365),"완납","미확인"))</x:f>
        <x:v>완납</x:v>
      </x:c>
      <x:c r="O2365" s="31" t="n">
        <x:v>8</x:v>
      </x:c>
    </x:row>
    <x:row r="2366" ht="17.25" customHeight="1">
      <x:c r="A2366" s="24" t="str">
        <x:v>PR-B-358다8942-202407</x:v>
      </x:c>
      <x:c r="B2366" s="24" t="str">
        <x:v>프라임구독</x:v>
      </x:c>
      <x:c r="C2366" s="24" t="str">
        <x:v>PR-C-358다8942-1-20230112-122</x:v>
      </x:c>
      <x:c r="D2366" s="24" t="str">
        <x:v>358다8942</x:v>
      </x:c>
      <x:c r="E2366" s="24" t="str">
        <x:v>김종범</x:v>
      </x:c>
      <x:c r="F2366" s="24" t="str">
        <x:v>2024-07</x:v>
      </x:c>
      <x:c r="G2366" s="30" t="n">
        <x:v>45483</x:v>
      </x:c>
      <x:c r="H2366" s="32" t="n">
        <x:v>736000</x:v>
      </x:c>
      <x:c r="I2366" s="32" t="n">
        <x:v>736000</x:v>
      </x:c>
      <x:c r="J2366" s="32" t="n">
        <x:v>0</x:v>
      </x:c>
      <x:c r="K2366" s="30" t="n">
        <x:v>45483</x:v>
      </x:c>
      <x:c r="L2366" s="24" t="str">
        <x:v>자동</x:v>
      </x:c>
      <x:c r="M2366" s="31" t="n">
        <x:f>IF(AND(N2366="미수",G2366&lt;&gt;"",TODAY()&gt;G2366),TODAY()-G2366,0)</x:f>
        <x:v>0</x:v>
      </x:c>
      <x:c r="N2366" s="24" t="str">
        <x:f>IF(J2366&gt;0,"미수",IF(AND(H2366&gt;0,I2366&gt;=H2366),"완납","미확인"))</x:f>
        <x:v>완납</x:v>
      </x:c>
      <x:c r="O2366" s="31" t="n">
        <x:v>8</x:v>
      </x:c>
    </x:row>
    <x:row r="2367" ht="17.25" customHeight="1">
      <x:c r="A2367" s="24" t="str">
        <x:v>PR-B-358다8942-202406</x:v>
      </x:c>
      <x:c r="B2367" s="24" t="str">
        <x:v>프라임구독</x:v>
      </x:c>
      <x:c r="C2367" s="24" t="str">
        <x:v>PR-C-358다8942-1-20230112-122</x:v>
      </x:c>
      <x:c r="D2367" s="24" t="str">
        <x:v>358다8942</x:v>
      </x:c>
      <x:c r="E2367" s="24" t="str">
        <x:v>김종범</x:v>
      </x:c>
      <x:c r="F2367" s="24" t="str">
        <x:v>2024-06</x:v>
      </x:c>
      <x:c r="G2367" s="30" t="n">
        <x:v>45453</x:v>
      </x:c>
      <x:c r="H2367" s="32" t="n">
        <x:v>736000</x:v>
      </x:c>
      <x:c r="I2367" s="32" t="n">
        <x:v>736000</x:v>
      </x:c>
      <x:c r="J2367" s="32" t="n">
        <x:v>0</x:v>
      </x:c>
      <x:c r="K2367" s="30" t="n">
        <x:v>45453</x:v>
      </x:c>
      <x:c r="L2367" s="24" t="str"/>
      <x:c r="M2367" s="31" t="n">
        <x:f>IF(AND(N2367="미수",G2367&lt;&gt;"",TODAY()&gt;G2367),TODAY()-G2367,0)</x:f>
        <x:v>0</x:v>
      </x:c>
      <x:c r="N2367" s="24" t="str">
        <x:f>IF(J2367&gt;0,"미수",IF(AND(H2367&gt;0,I2367&gt;=H2367),"완납","미확인"))</x:f>
        <x:v>완납</x:v>
      </x:c>
      <x:c r="O2367" s="31" t="n">
        <x:v>8</x:v>
      </x:c>
    </x:row>
    <x:row r="2368" ht="17.25" customHeight="1">
      <x:c r="A2368" s="24" t="str">
        <x:v>PR-B-358다8942-202405</x:v>
      </x:c>
      <x:c r="B2368" s="24" t="str">
        <x:v>프라임구독</x:v>
      </x:c>
      <x:c r="C2368" s="24" t="str">
        <x:v>PR-C-358다8942-1-20230112-122</x:v>
      </x:c>
      <x:c r="D2368" s="24" t="str">
        <x:v>358다8942</x:v>
      </x:c>
      <x:c r="E2368" s="24" t="str">
        <x:v>김종범</x:v>
      </x:c>
      <x:c r="F2368" s="24" t="str">
        <x:v>2024-05</x:v>
      </x:c>
      <x:c r="G2368" s="30" t="n">
        <x:v>45422</x:v>
      </x:c>
      <x:c r="H2368" s="32" t="n">
        <x:v>736000</x:v>
      </x:c>
      <x:c r="I2368" s="32" t="n">
        <x:v>736000</x:v>
      </x:c>
      <x:c r="J2368" s="32" t="n">
        <x:v>0</x:v>
      </x:c>
      <x:c r="K2368" s="30" t="n">
        <x:v>45422</x:v>
      </x:c>
      <x:c r="L2368" s="24" t="str"/>
      <x:c r="M2368" s="31" t="n">
        <x:f>IF(AND(N2368="미수",G2368&lt;&gt;"",TODAY()&gt;G2368),TODAY()-G2368,0)</x:f>
        <x:v>0</x:v>
      </x:c>
      <x:c r="N2368" s="24" t="str">
        <x:f>IF(J2368&gt;0,"미수",IF(AND(H2368&gt;0,I2368&gt;=H2368),"완납","미확인"))</x:f>
        <x:v>완납</x:v>
      </x:c>
      <x:c r="O2368" s="31" t="n">
        <x:v>8</x:v>
      </x:c>
    </x:row>
    <x:row r="2369" ht="17.25" customHeight="1">
      <x:c r="A2369" s="24" t="str">
        <x:v>PR-B-119두7903-202608</x:v>
      </x:c>
      <x:c r="B2369" s="24" t="str">
        <x:v>프라임구독</x:v>
      </x:c>
      <x:c r="C2369" s="24" t="str">
        <x:v>PR-C-119두7903-1-20230113-29</x:v>
      </x:c>
      <x:c r="D2369" s="24" t="str">
        <x:v>119두7903</x:v>
      </x:c>
      <x:c r="E2369" s="24" t="str">
        <x:v>이보영</x:v>
      </x:c>
      <x:c r="F2369" s="24" t="str">
        <x:v>2026-08</x:v>
      </x:c>
      <x:c r="G2369" s="30" t="n">
        <x:v>46254</x:v>
      </x:c>
      <x:c r="H2369" s="32"/>
      <x:c r="I2369" s="32"/>
      <x:c r="J2369" s="32" t="n">
        <x:v>2055000</x:v>
      </x:c>
      <x:c r="K2369" s="30"/>
      <x:c r="L2369" s="24" t="str"/>
      <x:c r="M2369" s="31" t="n">
        <x:f>IF(AND(N2369="미수",G2369&lt;&gt;"",TODAY()&gt;G2369),TODAY()-G2369,0)</x:f>
        <x:v>0</x:v>
      </x:c>
      <x:c r="N2369" s="24" t="str">
        <x:f>IF(J2369&gt;0,"미수",IF(AND(H2369&gt;0,I2369&gt;=H2369),"완납","미확인"))</x:f>
        <x:v>미수</x:v>
      </x:c>
      <x:c r="O2369" s="31" t="n">
        <x:v>9</x:v>
      </x:c>
    </x:row>
    <x:row r="2370" ht="17.25" customHeight="1">
      <x:c r="A2370" s="24" t="str">
        <x:v>PR-B-119두7903-202607</x:v>
      </x:c>
      <x:c r="B2370" s="24" t="str">
        <x:v>프라임구독</x:v>
      </x:c>
      <x:c r="C2370" s="24" t="str">
        <x:v>PR-C-119두7903-1-20230113-29</x:v>
      </x:c>
      <x:c r="D2370" s="24" t="str">
        <x:v>119두7903</x:v>
      </x:c>
      <x:c r="E2370" s="24" t="str">
        <x:v>이보영</x:v>
      </x:c>
      <x:c r="F2370" s="24" t="str">
        <x:v>2026-07</x:v>
      </x:c>
      <x:c r="G2370" s="30" t="n">
        <x:v>46223</x:v>
      </x:c>
      <x:c r="H2370" s="32"/>
      <x:c r="I2370" s="32"/>
      <x:c r="J2370" s="32" t="n">
        <x:v>2055000</x:v>
      </x:c>
      <x:c r="K2370" s="30"/>
      <x:c r="L2370" s="24" t="str"/>
      <x:c r="M2370" s="31" t="n">
        <x:f>IF(AND(N2370="미수",G2370&lt;&gt;"",TODAY()&gt;G2370),TODAY()-G2370,0)</x:f>
        <x:v>26</x:v>
      </x:c>
      <x:c r="N2370" s="24" t="str">
        <x:f>IF(J2370&gt;0,"미수",IF(AND(H2370&gt;0,I2370&gt;=H2370),"완납","미확인"))</x:f>
        <x:v>미수</x:v>
      </x:c>
      <x:c r="O2370" s="31" t="n">
        <x:v>9</x:v>
      </x:c>
    </x:row>
    <x:row r="2371" ht="17.25" customHeight="1">
      <x:c r="A2371" s="24" t="str">
        <x:v>PR-B-119두7903-202606</x:v>
      </x:c>
      <x:c r="B2371" s="24" t="str">
        <x:v>프라임구독</x:v>
      </x:c>
      <x:c r="C2371" s="24" t="str">
        <x:v>PR-C-119두7903-1-20230113-29</x:v>
      </x:c>
      <x:c r="D2371" s="24" t="str">
        <x:v>119두7903</x:v>
      </x:c>
      <x:c r="E2371" s="24" t="str">
        <x:v>이보영</x:v>
      </x:c>
      <x:c r="F2371" s="24" t="str">
        <x:v>2026-06</x:v>
      </x:c>
      <x:c r="G2371" s="30" t="n">
        <x:v>46193</x:v>
      </x:c>
      <x:c r="H2371" s="32"/>
      <x:c r="I2371" s="32"/>
      <x:c r="J2371" s="32" t="n">
        <x:v>2055000</x:v>
      </x:c>
      <x:c r="K2371" s="30"/>
      <x:c r="L2371" s="24" t="str"/>
      <x:c r="M2371" s="31" t="n">
        <x:f>IF(AND(N2371="미수",G2371&lt;&gt;"",TODAY()&gt;G2371),TODAY()-G2371,0)</x:f>
        <x:v>56</x:v>
      </x:c>
      <x:c r="N2371" s="24" t="str">
        <x:f>IF(J2371&gt;0,"미수",IF(AND(H2371&gt;0,I2371&gt;=H2371),"완납","미확인"))</x:f>
        <x:v>미수</x:v>
      </x:c>
      <x:c r="O2371" s="31" t="n">
        <x:v>9</x:v>
      </x:c>
    </x:row>
    <x:row r="2372" ht="17.25" customHeight="1">
      <x:c r="A2372" s="24" t="str">
        <x:v>PR-B-119두7903-202605</x:v>
      </x:c>
      <x:c r="B2372" s="24" t="str">
        <x:v>프라임구독</x:v>
      </x:c>
      <x:c r="C2372" s="24" t="str">
        <x:v>PR-C-119두7903-1-20230113-29</x:v>
      </x:c>
      <x:c r="D2372" s="24" t="str">
        <x:v>119두7903</x:v>
      </x:c>
      <x:c r="E2372" s="24" t="str">
        <x:v>이보영</x:v>
      </x:c>
      <x:c r="F2372" s="24" t="str">
        <x:v>2026-05</x:v>
      </x:c>
      <x:c r="G2372" s="30" t="n">
        <x:v>46162</x:v>
      </x:c>
      <x:c r="H2372" s="32"/>
      <x:c r="I2372" s="32"/>
      <x:c r="J2372" s="32" t="n">
        <x:v>2055000</x:v>
      </x:c>
      <x:c r="K2372" s="30"/>
      <x:c r="L2372" s="24" t="str"/>
      <x:c r="M2372" s="31" t="n">
        <x:f>IF(AND(N2372="미수",G2372&lt;&gt;"",TODAY()&gt;G2372),TODAY()-G2372,0)</x:f>
        <x:v>87</x:v>
      </x:c>
      <x:c r="N2372" s="24" t="str">
        <x:f>IF(J2372&gt;0,"미수",IF(AND(H2372&gt;0,I2372&gt;=H2372),"완납","미확인"))</x:f>
        <x:v>미수</x:v>
      </x:c>
      <x:c r="O2372" s="31" t="n">
        <x:v>9</x:v>
      </x:c>
    </x:row>
    <x:row r="2373" ht="17.25" customHeight="1">
      <x:c r="A2373" s="24" t="str">
        <x:v>PR-B-119두7903-202604</x:v>
      </x:c>
      <x:c r="B2373" s="24" t="str">
        <x:v>프라임구독</x:v>
      </x:c>
      <x:c r="C2373" s="24" t="str">
        <x:v>PR-C-119두7903-1-20230113-29</x:v>
      </x:c>
      <x:c r="D2373" s="24" t="str">
        <x:v>119두7903</x:v>
      </x:c>
      <x:c r="E2373" s="24" t="str">
        <x:v>이보영</x:v>
      </x:c>
      <x:c r="F2373" s="24" t="str">
        <x:v>2026-04</x:v>
      </x:c>
      <x:c r="G2373" s="30" t="n">
        <x:v>46132</x:v>
      </x:c>
      <x:c r="H2373" s="32"/>
      <x:c r="I2373" s="32"/>
      <x:c r="J2373" s="32" t="n">
        <x:v>2055000</x:v>
      </x:c>
      <x:c r="K2373" s="30"/>
      <x:c r="L2373" s="24" t="str"/>
      <x:c r="M2373" s="31" t="n">
        <x:f>IF(AND(N2373="미수",G2373&lt;&gt;"",TODAY()&gt;G2373),TODAY()-G2373,0)</x:f>
        <x:v>117</x:v>
      </x:c>
      <x:c r="N2373" s="24" t="str">
        <x:f>IF(J2373&gt;0,"미수",IF(AND(H2373&gt;0,I2373&gt;=H2373),"완납","미확인"))</x:f>
        <x:v>미수</x:v>
      </x:c>
      <x:c r="O2373" s="31" t="n">
        <x:v>9</x:v>
      </x:c>
    </x:row>
    <x:row r="2374" ht="17.25" customHeight="1">
      <x:c r="A2374" s="24" t="str">
        <x:v>PR-B-119두7903-202603</x:v>
      </x:c>
      <x:c r="B2374" s="24" t="str">
        <x:v>프라임구독</x:v>
      </x:c>
      <x:c r="C2374" s="24" t="str">
        <x:v>PR-C-119두7903-1-20230113-29</x:v>
      </x:c>
      <x:c r="D2374" s="24" t="str">
        <x:v>119두7903</x:v>
      </x:c>
      <x:c r="E2374" s="24" t="str">
        <x:v>이보영</x:v>
      </x:c>
      <x:c r="F2374" s="24" t="str">
        <x:v>2026-03</x:v>
      </x:c>
      <x:c r="G2374" s="30" t="n">
        <x:v>46101</x:v>
      </x:c>
      <x:c r="H2374" s="32" t="n">
        <x:v>685000</x:v>
      </x:c>
      <x:c r="I2374" s="32"/>
      <x:c r="J2374" s="32" t="n">
        <x:v>2055000</x:v>
      </x:c>
      <x:c r="K2374" s="30"/>
      <x:c r="L2374" s="24" t="str"/>
      <x:c r="M2374" s="31" t="n">
        <x:f>IF(AND(N2374="미수",G2374&lt;&gt;"",TODAY()&gt;G2374),TODAY()-G2374,0)</x:f>
        <x:v>148</x:v>
      </x:c>
      <x:c r="N2374" s="24" t="str">
        <x:f>IF(J2374&gt;0,"미수",IF(AND(H2374&gt;0,I2374&gt;=H2374),"완납","미확인"))</x:f>
        <x:v>미수</x:v>
      </x:c>
      <x:c r="O2374" s="31" t="n">
        <x:v>9</x:v>
      </x:c>
    </x:row>
    <x:row r="2375" ht="17.25" customHeight="1">
      <x:c r="A2375" s="24" t="str">
        <x:v>PR-B-119두7903-202602</x:v>
      </x:c>
      <x:c r="B2375" s="24" t="str">
        <x:v>프라임구독</x:v>
      </x:c>
      <x:c r="C2375" s="24" t="str">
        <x:v>PR-C-119두7903-1-20230113-29</x:v>
      </x:c>
      <x:c r="D2375" s="24" t="str">
        <x:v>119두7903</x:v>
      </x:c>
      <x:c r="E2375" s="24" t="str">
        <x:v>이보영</x:v>
      </x:c>
      <x:c r="F2375" s="24" t="str">
        <x:v>2026-02</x:v>
      </x:c>
      <x:c r="G2375" s="30" t="n">
        <x:v>46073</x:v>
      </x:c>
      <x:c r="H2375" s="32" t="n">
        <x:v>685000</x:v>
      </x:c>
      <x:c r="I2375" s="32" t="n">
        <x:v>685000</x:v>
      </x:c>
      <x:c r="J2375" s="32" t="n">
        <x:v>1370000</x:v>
      </x:c>
      <x:c r="K2375" s="30" t="n">
        <x:v>46055</x:v>
      </x:c>
      <x:c r="L2375" s="24" t="str">
        <x:v>입금</x:v>
      </x:c>
      <x:c r="M2375" s="31" t="n">
        <x:f>IF(AND(N2375="미수",G2375&lt;&gt;"",TODAY()&gt;G2375),TODAY()-G2375,0)</x:f>
        <x:v>176</x:v>
      </x:c>
      <x:c r="N2375" s="24" t="str">
        <x:f>IF(J2375&gt;0,"미수",IF(AND(H2375&gt;0,I2375&gt;=H2375),"완납","미확인"))</x:f>
        <x:v>미수</x:v>
      </x:c>
      <x:c r="O2375" s="31" t="n">
        <x:v>9</x:v>
      </x:c>
    </x:row>
    <x:row r="2376" ht="17.25" customHeight="1">
      <x:c r="A2376" s="24" t="str">
        <x:v>PR-B-119두7903-202601</x:v>
      </x:c>
      <x:c r="B2376" s="24" t="str">
        <x:v>프라임구독</x:v>
      </x:c>
      <x:c r="C2376" s="24" t="str">
        <x:v>PR-C-119두7903-1-20230113-29</x:v>
      </x:c>
      <x:c r="D2376" s="24" t="str">
        <x:v>119두7903</x:v>
      </x:c>
      <x:c r="E2376" s="24" t="str">
        <x:v>이보영</x:v>
      </x:c>
      <x:c r="F2376" s="24" t="str">
        <x:v>2026-01</x:v>
      </x:c>
      <x:c r="G2376" s="30" t="n">
        <x:v>46042</x:v>
      </x:c>
      <x:c r="H2376" s="32" t="n">
        <x:v>685000</x:v>
      </x:c>
      <x:c r="I2376" s="32" t="n">
        <x:v>685000</x:v>
      </x:c>
      <x:c r="J2376" s="32" t="n">
        <x:v>1370000</x:v>
      </x:c>
      <x:c r="K2376" s="30" t="n">
        <x:v>46025</x:v>
      </x:c>
      <x:c r="L2376" s="24" t="str">
        <x:v>입금</x:v>
      </x:c>
      <x:c r="M2376" s="31" t="n">
        <x:f>IF(AND(N2376="미수",G2376&lt;&gt;"",TODAY()&gt;G2376),TODAY()-G2376,0)</x:f>
        <x:v>207</x:v>
      </x:c>
      <x:c r="N2376" s="24" t="str">
        <x:f>IF(J2376&gt;0,"미수",IF(AND(H2376&gt;0,I2376&gt;=H2376),"완납","미확인"))</x:f>
        <x:v>미수</x:v>
      </x:c>
      <x:c r="O2376" s="31" t="n">
        <x:v>9</x:v>
      </x:c>
    </x:row>
    <x:row r="2377" ht="17.25" customHeight="1">
      <x:c r="A2377" s="24" t="str">
        <x:v>PR-B-119두7903-202512</x:v>
      </x:c>
      <x:c r="B2377" s="24" t="str">
        <x:v>프라임구독</x:v>
      </x:c>
      <x:c r="C2377" s="24" t="str">
        <x:v>PR-C-119두7903-1-20230113-29</x:v>
      </x:c>
      <x:c r="D2377" s="24" t="str">
        <x:v>119두7903</x:v>
      </x:c>
      <x:c r="E2377" s="24" t="str">
        <x:v>이보영</x:v>
      </x:c>
      <x:c r="F2377" s="24" t="str">
        <x:v>2025-12</x:v>
      </x:c>
      <x:c r="G2377" s="30" t="n">
        <x:v>46011</x:v>
      </x:c>
      <x:c r="H2377" s="32" t="n">
        <x:v>685000</x:v>
      </x:c>
      <x:c r="I2377" s="32"/>
      <x:c r="J2377" s="32" t="n">
        <x:v>1370000</x:v>
      </x:c>
      <x:c r="K2377" s="30"/>
      <x:c r="L2377" s="24" t="str"/>
      <x:c r="M2377" s="31" t="n">
        <x:f>IF(AND(N2377="미수",G2377&lt;&gt;"",TODAY()&gt;G2377),TODAY()-G2377,0)</x:f>
        <x:v>238</x:v>
      </x:c>
      <x:c r="N2377" s="24" t="str">
        <x:f>IF(J2377&gt;0,"미수",IF(AND(H2377&gt;0,I2377&gt;=H2377),"완납","미확인"))</x:f>
        <x:v>미수</x:v>
      </x:c>
      <x:c r="O2377" s="31" t="n">
        <x:v>9</x:v>
      </x:c>
    </x:row>
    <x:row r="2378" ht="17.25" customHeight="1">
      <x:c r="A2378" s="24" t="str">
        <x:v>PR-B-119두7903-202511</x:v>
      </x:c>
      <x:c r="B2378" s="24" t="str">
        <x:v>프라임구독</x:v>
      </x:c>
      <x:c r="C2378" s="24" t="str">
        <x:v>PR-C-119두7903-1-20230113-29</x:v>
      </x:c>
      <x:c r="D2378" s="24" t="str">
        <x:v>119두7903</x:v>
      </x:c>
      <x:c r="E2378" s="24" t="str">
        <x:v>이보영</x:v>
      </x:c>
      <x:c r="F2378" s="24" t="str">
        <x:v>2025-11</x:v>
      </x:c>
      <x:c r="G2378" s="30" t="n">
        <x:v>45981</x:v>
      </x:c>
      <x:c r="H2378" s="32" t="n">
        <x:v>685000</x:v>
      </x:c>
      <x:c r="I2378" s="32" t="n">
        <x:v>685000</x:v>
      </x:c>
      <x:c r="J2378" s="32" t="n">
        <x:v>685000</x:v>
      </x:c>
      <x:c r="K2378" s="30" t="n">
        <x:v>45991</x:v>
      </x:c>
      <x:c r="L2378" s="24" t="str">
        <x:v>입금</x:v>
      </x:c>
      <x:c r="M2378" s="31" t="n">
        <x:f>IF(AND(N2378="미수",G2378&lt;&gt;"",TODAY()&gt;G2378),TODAY()-G2378,0)</x:f>
        <x:v>268</x:v>
      </x:c>
      <x:c r="N2378" s="24" t="str">
        <x:f>IF(J2378&gt;0,"미수",IF(AND(H2378&gt;0,I2378&gt;=H2378),"완납","미확인"))</x:f>
        <x:v>미수</x:v>
      </x:c>
      <x:c r="O2378" s="31" t="n">
        <x:v>9</x:v>
      </x:c>
    </x:row>
    <x:row r="2379" ht="17.25" customHeight="1">
      <x:c r="A2379" s="24" t="str">
        <x:v>PR-B-119두7903-202510</x:v>
      </x:c>
      <x:c r="B2379" s="24" t="str">
        <x:v>프라임구독</x:v>
      </x:c>
      <x:c r="C2379" s="24" t="str">
        <x:v>PR-C-119두7903-1-20230113-29</x:v>
      </x:c>
      <x:c r="D2379" s="24" t="str">
        <x:v>119두7903</x:v>
      </x:c>
      <x:c r="E2379" s="24" t="str">
        <x:v>이보영</x:v>
      </x:c>
      <x:c r="F2379" s="24" t="str">
        <x:v>2025-10</x:v>
      </x:c>
      <x:c r="G2379" s="30" t="n">
        <x:v>45950</x:v>
      </x:c>
      <x:c r="H2379" s="32" t="n">
        <x:v>685000</x:v>
      </x:c>
      <x:c r="I2379" s="32" t="n">
        <x:v>685000</x:v>
      </x:c>
      <x:c r="J2379" s="32" t="n">
        <x:v>685000</x:v>
      </x:c>
      <x:c r="K2379" s="30" t="n">
        <x:v>45961</x:v>
      </x:c>
      <x:c r="L2379" s="24" t="str">
        <x:v>입금</x:v>
      </x:c>
      <x:c r="M2379" s="31" t="n">
        <x:f>IF(AND(N2379="미수",G2379&lt;&gt;"",TODAY()&gt;G2379),TODAY()-G2379,0)</x:f>
        <x:v>299</x:v>
      </x:c>
      <x:c r="N2379" s="24" t="str">
        <x:f>IF(J2379&gt;0,"미수",IF(AND(H2379&gt;0,I2379&gt;=H2379),"완납","미확인"))</x:f>
        <x:v>미수</x:v>
      </x:c>
      <x:c r="O2379" s="31" t="n">
        <x:v>9</x:v>
      </x:c>
    </x:row>
    <x:row r="2380" ht="17.25" customHeight="1">
      <x:c r="A2380" s="24" t="str">
        <x:v>PR-B-119두7903-202509</x:v>
      </x:c>
      <x:c r="B2380" s="24" t="str">
        <x:v>프라임구독</x:v>
      </x:c>
      <x:c r="C2380" s="24" t="str">
        <x:v>PR-C-119두7903-1-20230113-29</x:v>
      </x:c>
      <x:c r="D2380" s="24" t="str">
        <x:v>119두7903</x:v>
      </x:c>
      <x:c r="E2380" s="24" t="str">
        <x:v>이보영</x:v>
      </x:c>
      <x:c r="F2380" s="24" t="str">
        <x:v>2025-09</x:v>
      </x:c>
      <x:c r="G2380" s="30" t="n">
        <x:v>45920</x:v>
      </x:c>
      <x:c r="H2380" s="32" t="n">
        <x:v>685000</x:v>
      </x:c>
      <x:c r="I2380" s="32" t="n">
        <x:v>685000</x:v>
      </x:c>
      <x:c r="J2380" s="32" t="n">
        <x:v>685000</x:v>
      </x:c>
      <x:c r="K2380" s="30" t="n">
        <x:v>45930</x:v>
      </x:c>
      <x:c r="L2380" s="24" t="str">
        <x:v>입금</x:v>
      </x:c>
      <x:c r="M2380" s="31" t="n">
        <x:f>IF(AND(N2380="미수",G2380&lt;&gt;"",TODAY()&gt;G2380),TODAY()-G2380,0)</x:f>
        <x:v>329</x:v>
      </x:c>
      <x:c r="N2380" s="24" t="str">
        <x:f>IF(J2380&gt;0,"미수",IF(AND(H2380&gt;0,I2380&gt;=H2380),"완납","미확인"))</x:f>
        <x:v>미수</x:v>
      </x:c>
      <x:c r="O2380" s="31" t="n">
        <x:v>9</x:v>
      </x:c>
    </x:row>
    <x:row r="2381" ht="17.25" customHeight="1">
      <x:c r="A2381" s="24" t="str">
        <x:v>PR-B-119두7903-202508</x:v>
      </x:c>
      <x:c r="B2381" s="24" t="str">
        <x:v>프라임구독</x:v>
      </x:c>
      <x:c r="C2381" s="24" t="str">
        <x:v>PR-C-119두7903-1-20230113-29</x:v>
      </x:c>
      <x:c r="D2381" s="24" t="str">
        <x:v>119두7903</x:v>
      </x:c>
      <x:c r="E2381" s="24" t="str">
        <x:v>이보영</x:v>
      </x:c>
      <x:c r="F2381" s="24" t="str">
        <x:v>2025-08</x:v>
      </x:c>
      <x:c r="G2381" s="30" t="n">
        <x:v>45889</x:v>
      </x:c>
      <x:c r="H2381" s="32" t="n">
        <x:v>685000</x:v>
      </x:c>
      <x:c r="I2381" s="32" t="n">
        <x:v>685000</x:v>
      </x:c>
      <x:c r="J2381" s="32" t="n">
        <x:v>685000</x:v>
      </x:c>
      <x:c r="K2381" s="30" t="n">
        <x:v>45898</x:v>
      </x:c>
      <x:c r="L2381" s="24" t="str">
        <x:v>입금</x:v>
      </x:c>
      <x:c r="M2381" s="31" t="n">
        <x:f>IF(AND(N2381="미수",G2381&lt;&gt;"",TODAY()&gt;G2381),TODAY()-G2381,0)</x:f>
        <x:v>360</x:v>
      </x:c>
      <x:c r="N2381" s="24" t="str">
        <x:f>IF(J2381&gt;0,"미수",IF(AND(H2381&gt;0,I2381&gt;=H2381),"완납","미확인"))</x:f>
        <x:v>미수</x:v>
      </x:c>
      <x:c r="O2381" s="31" t="n">
        <x:v>9</x:v>
      </x:c>
    </x:row>
    <x:row r="2382" ht="17.25" customHeight="1">
      <x:c r="A2382" s="24" t="str">
        <x:v>PR-B-119두7903-202507</x:v>
      </x:c>
      <x:c r="B2382" s="24" t="str">
        <x:v>프라임구독</x:v>
      </x:c>
      <x:c r="C2382" s="24" t="str">
        <x:v>PR-C-119두7903-1-20230113-29</x:v>
      </x:c>
      <x:c r="D2382" s="24" t="str">
        <x:v>119두7903</x:v>
      </x:c>
      <x:c r="E2382" s="24" t="str">
        <x:v>이보영</x:v>
      </x:c>
      <x:c r="F2382" s="24" t="str">
        <x:v>2025-07</x:v>
      </x:c>
      <x:c r="G2382" s="30" t="n">
        <x:v>45858</x:v>
      </x:c>
      <x:c r="H2382" s="32" t="n">
        <x:v>685000</x:v>
      </x:c>
      <x:c r="I2382" s="32" t="n">
        <x:v>685000</x:v>
      </x:c>
      <x:c r="J2382" s="32" t="n">
        <x:v>685000</x:v>
      </x:c>
      <x:c r="K2382" s="30" t="n">
        <x:v>45869</x:v>
      </x:c>
      <x:c r="L2382" s="24" t="str">
        <x:v>입금</x:v>
      </x:c>
      <x:c r="M2382" s="31" t="n">
        <x:f>IF(AND(N2382="미수",G2382&lt;&gt;"",TODAY()&gt;G2382),TODAY()-G2382,0)</x:f>
        <x:v>391</x:v>
      </x:c>
      <x:c r="N2382" s="24" t="str">
        <x:f>IF(J2382&gt;0,"미수",IF(AND(H2382&gt;0,I2382&gt;=H2382),"완납","미확인"))</x:f>
        <x:v>미수</x:v>
      </x:c>
      <x:c r="O2382" s="31" t="n">
        <x:v>9</x:v>
      </x:c>
    </x:row>
    <x:row r="2383" ht="17.25" customHeight="1">
      <x:c r="A2383" s="24" t="str">
        <x:v>PR-B-119두7903-202506</x:v>
      </x:c>
      <x:c r="B2383" s="24" t="str">
        <x:v>프라임구독</x:v>
      </x:c>
      <x:c r="C2383" s="24" t="str">
        <x:v>PR-C-119두7903-1-20230113-29</x:v>
      </x:c>
      <x:c r="D2383" s="24" t="str">
        <x:v>119두7903</x:v>
      </x:c>
      <x:c r="E2383" s="24" t="str">
        <x:v>이보영</x:v>
      </x:c>
      <x:c r="F2383" s="24" t="str">
        <x:v>2025-06</x:v>
      </x:c>
      <x:c r="G2383" s="30" t="n">
        <x:v>45828</x:v>
      </x:c>
      <x:c r="H2383" s="32" t="n">
        <x:v>685000</x:v>
      </x:c>
      <x:c r="I2383" s="32" t="n">
        <x:v>685000</x:v>
      </x:c>
      <x:c r="J2383" s="32" t="n">
        <x:v>685000</x:v>
      </x:c>
      <x:c r="K2383" s="30" t="n">
        <x:v>45838</x:v>
      </x:c>
      <x:c r="L2383" s="24" t="str">
        <x:v>입금</x:v>
      </x:c>
      <x:c r="M2383" s="31" t="n">
        <x:f>IF(AND(N2383="미수",G2383&lt;&gt;"",TODAY()&gt;G2383),TODAY()-G2383,0)</x:f>
        <x:v>421</x:v>
      </x:c>
      <x:c r="N2383" s="24" t="str">
        <x:f>IF(J2383&gt;0,"미수",IF(AND(H2383&gt;0,I2383&gt;=H2383),"완납","미확인"))</x:f>
        <x:v>미수</x:v>
      </x:c>
      <x:c r="O2383" s="31" t="n">
        <x:v>9</x:v>
      </x:c>
    </x:row>
    <x:row r="2384" ht="17.25" customHeight="1">
      <x:c r="A2384" s="24" t="str">
        <x:v>PR-B-119두7903-202505</x:v>
      </x:c>
      <x:c r="B2384" s="24" t="str">
        <x:v>프라임구독</x:v>
      </x:c>
      <x:c r="C2384" s="24" t="str">
        <x:v>PR-C-119두7903-1-20230113-29</x:v>
      </x:c>
      <x:c r="D2384" s="24" t="str">
        <x:v>119두7903</x:v>
      </x:c>
      <x:c r="E2384" s="24" t="str">
        <x:v>이보영</x:v>
      </x:c>
      <x:c r="F2384" s="24" t="str">
        <x:v>2025-05</x:v>
      </x:c>
      <x:c r="G2384" s="30" t="n">
        <x:v>45797</x:v>
      </x:c>
      <x:c r="H2384" s="32" t="n">
        <x:v>685000</x:v>
      </x:c>
      <x:c r="I2384" s="32" t="n">
        <x:v>685000</x:v>
      </x:c>
      <x:c r="J2384" s="32" t="n">
        <x:v>685000</x:v>
      </x:c>
      <x:c r="K2384" s="30" t="n">
        <x:v>45807</x:v>
      </x:c>
      <x:c r="L2384" s="24" t="str">
        <x:v>입금</x:v>
      </x:c>
      <x:c r="M2384" s="31" t="n">
        <x:f>IF(AND(N2384="미수",G2384&lt;&gt;"",TODAY()&gt;G2384),TODAY()-G2384,0)</x:f>
        <x:v>452</x:v>
      </x:c>
      <x:c r="N2384" s="24" t="str">
        <x:f>IF(J2384&gt;0,"미수",IF(AND(H2384&gt;0,I2384&gt;=H2384),"완납","미확인"))</x:f>
        <x:v>미수</x:v>
      </x:c>
      <x:c r="O2384" s="31" t="n">
        <x:v>9</x:v>
      </x:c>
    </x:row>
    <x:row r="2385" ht="17.25" customHeight="1">
      <x:c r="A2385" s="24" t="str">
        <x:v>PR-B-119두7903-202504</x:v>
      </x:c>
      <x:c r="B2385" s="24" t="str">
        <x:v>프라임구독</x:v>
      </x:c>
      <x:c r="C2385" s="24" t="str">
        <x:v>PR-C-119두7903-1-20230113-29</x:v>
      </x:c>
      <x:c r="D2385" s="24" t="str">
        <x:v>119두7903</x:v>
      </x:c>
      <x:c r="E2385" s="24" t="str">
        <x:v>이보영</x:v>
      </x:c>
      <x:c r="F2385" s="24" t="str">
        <x:v>2025-04</x:v>
      </x:c>
      <x:c r="G2385" s="30" t="n">
        <x:v>45767</x:v>
      </x:c>
      <x:c r="H2385" s="32" t="n">
        <x:v>685000</x:v>
      </x:c>
      <x:c r="I2385" s="32" t="n">
        <x:v>685000</x:v>
      </x:c>
      <x:c r="J2385" s="32" t="n">
        <x:v>685000</x:v>
      </x:c>
      <x:c r="K2385" s="30" t="n">
        <x:v>45777</x:v>
      </x:c>
      <x:c r="L2385" s="24" t="str">
        <x:v>입금</x:v>
      </x:c>
      <x:c r="M2385" s="31" t="n">
        <x:f>IF(AND(N2385="미수",G2385&lt;&gt;"",TODAY()&gt;G2385),TODAY()-G2385,0)</x:f>
        <x:v>482</x:v>
      </x:c>
      <x:c r="N2385" s="24" t="str">
        <x:f>IF(J2385&gt;0,"미수",IF(AND(H2385&gt;0,I2385&gt;=H2385),"완납","미확인"))</x:f>
        <x:v>미수</x:v>
      </x:c>
      <x:c r="O2385" s="31" t="n">
        <x:v>9</x:v>
      </x:c>
    </x:row>
    <x:row r="2386" ht="17.25" customHeight="1">
      <x:c r="A2386" s="24" t="str">
        <x:v>PR-B-119두7903-202503</x:v>
      </x:c>
      <x:c r="B2386" s="24" t="str">
        <x:v>프라임구독</x:v>
      </x:c>
      <x:c r="C2386" s="24" t="str">
        <x:v>PR-C-119두7903-1-20230113-29</x:v>
      </x:c>
      <x:c r="D2386" s="24" t="str">
        <x:v>119두7903</x:v>
      </x:c>
      <x:c r="E2386" s="24" t="str">
        <x:v>이보영</x:v>
      </x:c>
      <x:c r="F2386" s="24" t="str">
        <x:v>2025-03</x:v>
      </x:c>
      <x:c r="G2386" s="30" t="n">
        <x:v>45736</x:v>
      </x:c>
      <x:c r="H2386" s="32" t="n">
        <x:v>685000</x:v>
      </x:c>
      <x:c r="I2386" s="32" t="n">
        <x:v>685000</x:v>
      </x:c>
      <x:c r="J2386" s="32" t="n">
        <x:v>685000</x:v>
      </x:c>
      <x:c r="K2386" s="30" t="n">
        <x:v>45747</x:v>
      </x:c>
      <x:c r="L2386" s="24" t="str">
        <x:v>입금</x:v>
      </x:c>
      <x:c r="M2386" s="31" t="n">
        <x:f>IF(AND(N2386="미수",G2386&lt;&gt;"",TODAY()&gt;G2386),TODAY()-G2386,0)</x:f>
        <x:v>513</x:v>
      </x:c>
      <x:c r="N2386" s="24" t="str">
        <x:f>IF(J2386&gt;0,"미수",IF(AND(H2386&gt;0,I2386&gt;=H2386),"완납","미확인"))</x:f>
        <x:v>미수</x:v>
      </x:c>
      <x:c r="O2386" s="31" t="n">
        <x:v>9</x:v>
      </x:c>
    </x:row>
    <x:row r="2387" ht="17.25" customHeight="1">
      <x:c r="A2387" s="24" t="str">
        <x:v>PR-B-119두7903-202502</x:v>
      </x:c>
      <x:c r="B2387" s="24" t="str">
        <x:v>프라임구독</x:v>
      </x:c>
      <x:c r="C2387" s="24" t="str">
        <x:v>PR-C-119두7903-1-20230113-29</x:v>
      </x:c>
      <x:c r="D2387" s="24" t="str">
        <x:v>119두7903</x:v>
      </x:c>
      <x:c r="E2387" s="24" t="str">
        <x:v>이보영</x:v>
      </x:c>
      <x:c r="F2387" s="24" t="str">
        <x:v>2025-02</x:v>
      </x:c>
      <x:c r="G2387" s="30" t="n">
        <x:v>45708</x:v>
      </x:c>
      <x:c r="H2387" s="32" t="n">
        <x:v>685000</x:v>
      </x:c>
      <x:c r="I2387" s="32" t="n">
        <x:v>685000</x:v>
      </x:c>
      <x:c r="J2387" s="32" t="n">
        <x:v>685000</x:v>
      </x:c>
      <x:c r="K2387" s="30" t="n">
        <x:v>45716</x:v>
      </x:c>
      <x:c r="L2387" s="24" t="str">
        <x:v>입금</x:v>
      </x:c>
      <x:c r="M2387" s="31" t="n">
        <x:f>IF(AND(N2387="미수",G2387&lt;&gt;"",TODAY()&gt;G2387),TODAY()-G2387,0)</x:f>
        <x:v>541</x:v>
      </x:c>
      <x:c r="N2387" s="24" t="str">
        <x:f>IF(J2387&gt;0,"미수",IF(AND(H2387&gt;0,I2387&gt;=H2387),"완납","미확인"))</x:f>
        <x:v>미수</x:v>
      </x:c>
      <x:c r="O2387" s="31" t="n">
        <x:v>9</x:v>
      </x:c>
    </x:row>
    <x:row r="2388" ht="17.25" customHeight="1">
      <x:c r="A2388" s="24" t="str">
        <x:v>PR-B-119두7903-202501</x:v>
      </x:c>
      <x:c r="B2388" s="24" t="str">
        <x:v>프라임구독</x:v>
      </x:c>
      <x:c r="C2388" s="24" t="str">
        <x:v>PR-C-119두7903-1-20230113-29</x:v>
      </x:c>
      <x:c r="D2388" s="24" t="str">
        <x:v>119두7903</x:v>
      </x:c>
      <x:c r="E2388" s="24" t="str">
        <x:v>이보영</x:v>
      </x:c>
      <x:c r="F2388" s="24" t="str">
        <x:v>2025-01</x:v>
      </x:c>
      <x:c r="G2388" s="30" t="n">
        <x:v>45677</x:v>
      </x:c>
      <x:c r="H2388" s="32" t="n">
        <x:v>685000</x:v>
      </x:c>
      <x:c r="I2388" s="32"/>
      <x:c r="J2388" s="32" t="n">
        <x:v>685000</x:v>
      </x:c>
      <x:c r="K2388" s="30"/>
      <x:c r="L2388" s="24" t="str"/>
      <x:c r="M2388" s="31" t="n">
        <x:f>IF(AND(N2388="미수",G2388&lt;&gt;"",TODAY()&gt;G2388),TODAY()-G2388,0)</x:f>
        <x:v>572</x:v>
      </x:c>
      <x:c r="N2388" s="24" t="str">
        <x:f>IF(J2388&gt;0,"미수",IF(AND(H2388&gt;0,I2388&gt;=H2388),"완납","미확인"))</x:f>
        <x:v>미수</x:v>
      </x:c>
      <x:c r="O2388" s="31" t="n">
        <x:v>9</x:v>
      </x:c>
    </x:row>
    <x:row r="2389" ht="17.25" customHeight="1">
      <x:c r="A2389" s="24" t="str">
        <x:v>PR-B-119두7903-202412</x:v>
      </x:c>
      <x:c r="B2389" s="24" t="str">
        <x:v>프라임구독</x:v>
      </x:c>
      <x:c r="C2389" s="24" t="str">
        <x:v>PR-C-119두7903-1-20230113-29</x:v>
      </x:c>
      <x:c r="D2389" s="24" t="str">
        <x:v>119두7903</x:v>
      </x:c>
      <x:c r="E2389" s="24" t="str">
        <x:v>이보영</x:v>
      </x:c>
      <x:c r="F2389" s="24" t="str">
        <x:v>2024-12</x:v>
      </x:c>
      <x:c r="G2389" s="30" t="n">
        <x:v>45646</x:v>
      </x:c>
      <x:c r="H2389" s="32" t="n">
        <x:v>685000</x:v>
      </x:c>
      <x:c r="I2389" s="32" t="n">
        <x:v>685000</x:v>
      </x:c>
      <x:c r="J2389" s="32" t="n">
        <x:v>0</x:v>
      </x:c>
      <x:c r="K2389" s="30" t="n">
        <x:v>45688</x:v>
      </x:c>
      <x:c r="L2389" s="24" t="str">
        <x:v>입금</x:v>
      </x:c>
      <x:c r="M2389" s="31" t="n">
        <x:f>IF(AND(N2389="미수",G2389&lt;&gt;"",TODAY()&gt;G2389),TODAY()-G2389,0)</x:f>
        <x:v>0</x:v>
      </x:c>
      <x:c r="N2389" s="24" t="str">
        <x:f>IF(J2389&gt;0,"미수",IF(AND(H2389&gt;0,I2389&gt;=H2389),"완납","미확인"))</x:f>
        <x:v>완납</x:v>
      </x:c>
      <x:c r="O2389" s="31" t="n">
        <x:v>9</x:v>
      </x:c>
    </x:row>
    <x:row r="2390" ht="17.25" customHeight="1">
      <x:c r="A2390" s="24" t="str">
        <x:v>PR-B-119두7903-202411</x:v>
      </x:c>
      <x:c r="B2390" s="24" t="str">
        <x:v>프라임구독</x:v>
      </x:c>
      <x:c r="C2390" s="24" t="str">
        <x:v>PR-C-119두7903-1-20230113-29</x:v>
      </x:c>
      <x:c r="D2390" s="24" t="str">
        <x:v>119두7903</x:v>
      </x:c>
      <x:c r="E2390" s="24" t="str">
        <x:v>이보영</x:v>
      </x:c>
      <x:c r="F2390" s="24" t="str">
        <x:v>2024-11</x:v>
      </x:c>
      <x:c r="G2390" s="30" t="n">
        <x:v>45616</x:v>
      </x:c>
      <x:c r="H2390" s="32" t="n">
        <x:v>685000</x:v>
      </x:c>
      <x:c r="I2390" s="32" t="n">
        <x:v>685000</x:v>
      </x:c>
      <x:c r="J2390" s="32" t="n">
        <x:v>0</x:v>
      </x:c>
      <x:c r="K2390" s="30" t="n">
        <x:v>45657</x:v>
      </x:c>
      <x:c r="L2390" s="24" t="str">
        <x:v>입금</x:v>
      </x:c>
      <x:c r="M2390" s="31" t="n">
        <x:f>IF(AND(N2390="미수",G2390&lt;&gt;"",TODAY()&gt;G2390),TODAY()-G2390,0)</x:f>
        <x:v>0</x:v>
      </x:c>
      <x:c r="N2390" s="24" t="str">
        <x:f>IF(J2390&gt;0,"미수",IF(AND(H2390&gt;0,I2390&gt;=H2390),"완납","미확인"))</x:f>
        <x:v>완납</x:v>
      </x:c>
      <x:c r="O2390" s="31" t="n">
        <x:v>9</x:v>
      </x:c>
    </x:row>
    <x:row r="2391" ht="17.25" customHeight="1">
      <x:c r="A2391" s="24" t="str">
        <x:v>PR-B-119두7903-202410</x:v>
      </x:c>
      <x:c r="B2391" s="24" t="str">
        <x:v>프라임구독</x:v>
      </x:c>
      <x:c r="C2391" s="24" t="str">
        <x:v>PR-C-119두7903-1-20230113-29</x:v>
      </x:c>
      <x:c r="D2391" s="24" t="str">
        <x:v>119두7903</x:v>
      </x:c>
      <x:c r="E2391" s="24" t="str">
        <x:v>이보영</x:v>
      </x:c>
      <x:c r="F2391" s="24" t="str">
        <x:v>2024-10</x:v>
      </x:c>
      <x:c r="G2391" s="30" t="n">
        <x:v>45585</x:v>
      </x:c>
      <x:c r="H2391" s="32" t="n">
        <x:v>685000</x:v>
      </x:c>
      <x:c r="I2391" s="32" t="n">
        <x:v>685000</x:v>
      </x:c>
      <x:c r="J2391" s="32" t="n">
        <x:v>0</x:v>
      </x:c>
      <x:c r="K2391" s="30" t="n">
        <x:v>45625</x:v>
      </x:c>
      <x:c r="L2391" s="24" t="str">
        <x:v>입금</x:v>
      </x:c>
      <x:c r="M2391" s="31" t="n">
        <x:f>IF(AND(N2391="미수",G2391&lt;&gt;"",TODAY()&gt;G2391),TODAY()-G2391,0)</x:f>
        <x:v>0</x:v>
      </x:c>
      <x:c r="N2391" s="24" t="str">
        <x:f>IF(J2391&gt;0,"미수",IF(AND(H2391&gt;0,I2391&gt;=H2391),"완납","미확인"))</x:f>
        <x:v>완납</x:v>
      </x:c>
      <x:c r="O2391" s="31" t="n">
        <x:v>9</x:v>
      </x:c>
    </x:row>
    <x:row r="2392" ht="17.25" customHeight="1">
      <x:c r="A2392" s="24" t="str">
        <x:v>PR-B-119두7903-202409</x:v>
      </x:c>
      <x:c r="B2392" s="24" t="str">
        <x:v>프라임구독</x:v>
      </x:c>
      <x:c r="C2392" s="24" t="str">
        <x:v>PR-C-119두7903-1-20230113-29</x:v>
      </x:c>
      <x:c r="D2392" s="24" t="str">
        <x:v>119두7903</x:v>
      </x:c>
      <x:c r="E2392" s="24" t="str">
        <x:v>이보영</x:v>
      </x:c>
      <x:c r="F2392" s="24" t="str">
        <x:v>2024-09</x:v>
      </x:c>
      <x:c r="G2392" s="30" t="n">
        <x:v>45555</x:v>
      </x:c>
      <x:c r="H2392" s="32" t="n">
        <x:v>685000</x:v>
      </x:c>
      <x:c r="I2392" s="32" t="n">
        <x:v>685000</x:v>
      </x:c>
      <x:c r="J2392" s="32" t="n">
        <x:v>0</x:v>
      </x:c>
      <x:c r="K2392" s="30" t="n">
        <x:v>45596</x:v>
      </x:c>
      <x:c r="L2392" s="24" t="str">
        <x:v>입금</x:v>
      </x:c>
      <x:c r="M2392" s="31" t="n">
        <x:f>IF(AND(N2392="미수",G2392&lt;&gt;"",TODAY()&gt;G2392),TODAY()-G2392,0)</x:f>
        <x:v>0</x:v>
      </x:c>
      <x:c r="N2392" s="24" t="str">
        <x:f>IF(J2392&gt;0,"미수",IF(AND(H2392&gt;0,I2392&gt;=H2392),"완납","미확인"))</x:f>
        <x:v>완납</x:v>
      </x:c>
      <x:c r="O2392" s="31" t="n">
        <x:v>9</x:v>
      </x:c>
    </x:row>
    <x:row r="2393" ht="17.25" customHeight="1">
      <x:c r="A2393" s="24" t="str">
        <x:v>PR-B-119두7903-202408</x:v>
      </x:c>
      <x:c r="B2393" s="24" t="str">
        <x:v>프라임구독</x:v>
      </x:c>
      <x:c r="C2393" s="24" t="str">
        <x:v>PR-C-119두7903-1-20230113-29</x:v>
      </x:c>
      <x:c r="D2393" s="24" t="str">
        <x:v>119두7903</x:v>
      </x:c>
      <x:c r="E2393" s="24" t="str">
        <x:v>이보영</x:v>
      </x:c>
      <x:c r="F2393" s="24" t="str">
        <x:v>2024-08</x:v>
      </x:c>
      <x:c r="G2393" s="30" t="n">
        <x:v>45524</x:v>
      </x:c>
      <x:c r="H2393" s="32" t="n">
        <x:v>685000</x:v>
      </x:c>
      <x:c r="I2393" s="32" t="n">
        <x:v>685000</x:v>
      </x:c>
      <x:c r="J2393" s="32" t="n">
        <x:v>0</x:v>
      </x:c>
      <x:c r="K2393" s="30" t="n">
        <x:v>45526</x:v>
      </x:c>
      <x:c r="L2393" s="24" t="str">
        <x:v>입금</x:v>
      </x:c>
      <x:c r="M2393" s="31" t="n">
        <x:f>IF(AND(N2393="미수",G2393&lt;&gt;"",TODAY()&gt;G2393),TODAY()-G2393,0)</x:f>
        <x:v>0</x:v>
      </x:c>
      <x:c r="N2393" s="24" t="str">
        <x:f>IF(J2393&gt;0,"미수",IF(AND(H2393&gt;0,I2393&gt;=H2393),"완납","미확인"))</x:f>
        <x:v>완납</x:v>
      </x:c>
      <x:c r="O2393" s="31" t="n">
        <x:v>9</x:v>
      </x:c>
    </x:row>
    <x:row r="2394" ht="17.25" customHeight="1">
      <x:c r="A2394" s="24" t="str">
        <x:v>PR-B-119두7903-202407</x:v>
      </x:c>
      <x:c r="B2394" s="24" t="str">
        <x:v>프라임구독</x:v>
      </x:c>
      <x:c r="C2394" s="24" t="str">
        <x:v>PR-C-119두7903-1-20230113-29</x:v>
      </x:c>
      <x:c r="D2394" s="24" t="str">
        <x:v>119두7903</x:v>
      </x:c>
      <x:c r="E2394" s="24" t="str">
        <x:v>이보영</x:v>
      </x:c>
      <x:c r="F2394" s="24" t="str">
        <x:v>2024-07</x:v>
      </x:c>
      <x:c r="G2394" s="30" t="n">
        <x:v>45493</x:v>
      </x:c>
      <x:c r="H2394" s="32" t="n">
        <x:v>685000</x:v>
      </x:c>
      <x:c r="I2394" s="32" t="n">
        <x:v>685000</x:v>
      </x:c>
      <x:c r="J2394" s="32" t="n">
        <x:v>0</x:v>
      </x:c>
      <x:c r="K2394" s="30" t="n">
        <x:v>45495</x:v>
      </x:c>
      <x:c r="L2394" s="24" t="str">
        <x:v>입금</x:v>
      </x:c>
      <x:c r="M2394" s="31" t="n">
        <x:f>IF(AND(N2394="미수",G2394&lt;&gt;"",TODAY()&gt;G2394),TODAY()-G2394,0)</x:f>
        <x:v>0</x:v>
      </x:c>
      <x:c r="N2394" s="24" t="str">
        <x:f>IF(J2394&gt;0,"미수",IF(AND(H2394&gt;0,I2394&gt;=H2394),"완납","미확인"))</x:f>
        <x:v>완납</x:v>
      </x:c>
      <x:c r="O2394" s="31" t="n">
        <x:v>9</x:v>
      </x:c>
    </x:row>
    <x:row r="2395" ht="17.25" customHeight="1">
      <x:c r="A2395" s="24" t="str">
        <x:v>PR-B-119두7903-202406</x:v>
      </x:c>
      <x:c r="B2395" s="24" t="str">
        <x:v>프라임구독</x:v>
      </x:c>
      <x:c r="C2395" s="24" t="str">
        <x:v>PR-C-119두7903-1-20230113-29</x:v>
      </x:c>
      <x:c r="D2395" s="24" t="str">
        <x:v>119두7903</x:v>
      </x:c>
      <x:c r="E2395" s="24" t="str">
        <x:v>이보영</x:v>
      </x:c>
      <x:c r="F2395" s="24" t="str">
        <x:v>2024-06</x:v>
      </x:c>
      <x:c r="G2395" s="30" t="n">
        <x:v>45463</x:v>
      </x:c>
      <x:c r="H2395" s="32" t="n">
        <x:v>685000</x:v>
      </x:c>
      <x:c r="I2395" s="32" t="n">
        <x:v>685000</x:v>
      </x:c>
      <x:c r="J2395" s="32" t="n">
        <x:v>0</x:v>
      </x:c>
      <x:c r="K2395" s="30" t="n">
        <x:v>45474</x:v>
      </x:c>
      <x:c r="L2395" s="24" t="str"/>
      <x:c r="M2395" s="31" t="n">
        <x:f>IF(AND(N2395="미수",G2395&lt;&gt;"",TODAY()&gt;G2395),TODAY()-G2395,0)</x:f>
        <x:v>0</x:v>
      </x:c>
      <x:c r="N2395" s="24" t="str">
        <x:f>IF(J2395&gt;0,"미수",IF(AND(H2395&gt;0,I2395&gt;=H2395),"완납","미확인"))</x:f>
        <x:v>완납</x:v>
      </x:c>
      <x:c r="O2395" s="31" t="n">
        <x:v>9</x:v>
      </x:c>
    </x:row>
    <x:row r="2396" ht="17.25" customHeight="1">
      <x:c r="A2396" s="24" t="str">
        <x:v>PR-B-119두7903-202405</x:v>
      </x:c>
      <x:c r="B2396" s="24" t="str">
        <x:v>프라임구독</x:v>
      </x:c>
      <x:c r="C2396" s="24" t="str">
        <x:v>PR-C-119두7903-1-20230113-29</x:v>
      </x:c>
      <x:c r="D2396" s="24" t="str">
        <x:v>119두7903</x:v>
      </x:c>
      <x:c r="E2396" s="24" t="str">
        <x:v>이보영</x:v>
      </x:c>
      <x:c r="F2396" s="24" t="str">
        <x:v>2024-05</x:v>
      </x:c>
      <x:c r="G2396" s="30" t="n">
        <x:v>45432</x:v>
      </x:c>
      <x:c r="H2396" s="32" t="n">
        <x:v>685000</x:v>
      </x:c>
      <x:c r="I2396" s="32" t="n">
        <x:v>685000</x:v>
      </x:c>
      <x:c r="J2396" s="32" t="n">
        <x:v>0</x:v>
      </x:c>
      <x:c r="K2396" s="30" t="n">
        <x:v>45474</x:v>
      </x:c>
      <x:c r="L2396" s="24" t="str"/>
      <x:c r="M2396" s="31" t="n">
        <x:f>IF(AND(N2396="미수",G2396&lt;&gt;"",TODAY()&gt;G2396),TODAY()-G2396,0)</x:f>
        <x:v>0</x:v>
      </x:c>
      <x:c r="N2396" s="24" t="str">
        <x:f>IF(J2396&gt;0,"미수",IF(AND(H2396&gt;0,I2396&gt;=H2396),"완납","미확인"))</x:f>
        <x:v>완납</x:v>
      </x:c>
      <x:c r="O2396" s="31" t="n">
        <x:v>9</x:v>
      </x:c>
    </x:row>
    <x:row r="2397" ht="17.25" customHeight="1">
      <x:c r="A2397" s="24" t="str">
        <x:v>PR-B-96머7474-202608</x:v>
      </x:c>
      <x:c r="B2397" s="24" t="str">
        <x:v>프라임구독</x:v>
      </x:c>
      <x:c r="C2397" s="24" t="str">
        <x:v>PR-C-96머7474-1-20230131-214</x:v>
      </x:c>
      <x:c r="D2397" s="24" t="str">
        <x:v>96머7474</x:v>
      </x:c>
      <x:c r="E2397" s="24" t="str">
        <x:v>김동석</x:v>
      </x:c>
      <x:c r="F2397" s="24" t="str">
        <x:v>2026-08</x:v>
      </x:c>
      <x:c r="G2397" s="30" t="n">
        <x:v>46254</x:v>
      </x:c>
      <x:c r="H2397" s="32"/>
      <x:c r="I2397" s="32"/>
      <x:c r="J2397" s="32" t="n">
        <x:v>758000</x:v>
      </x:c>
      <x:c r="K2397" s="30"/>
      <x:c r="L2397" s="24" t="str"/>
      <x:c r="M2397" s="31" t="n">
        <x:f>IF(AND(N2397="미수",G2397&lt;&gt;"",TODAY()&gt;G2397),TODAY()-G2397,0)</x:f>
        <x:v>0</x:v>
      </x:c>
      <x:c r="N2397" s="24" t="str">
        <x:f>IF(J2397&gt;0,"미수",IF(AND(H2397&gt;0,I2397&gt;=H2397),"완납","미확인"))</x:f>
        <x:v>미수</x:v>
      </x:c>
      <x:c r="O2397" s="31" t="n">
        <x:v>10</x:v>
      </x:c>
    </x:row>
    <x:row r="2398" ht="17.25" customHeight="1">
      <x:c r="A2398" s="24" t="str">
        <x:v>PR-B-96머7474-202607</x:v>
      </x:c>
      <x:c r="B2398" s="24" t="str">
        <x:v>프라임구독</x:v>
      </x:c>
      <x:c r="C2398" s="24" t="str">
        <x:v>PR-C-96머7474-1-20230131-214</x:v>
      </x:c>
      <x:c r="D2398" s="24" t="str">
        <x:v>96머7474</x:v>
      </x:c>
      <x:c r="E2398" s="24" t="str">
        <x:v>김동석</x:v>
      </x:c>
      <x:c r="F2398" s="24" t="str">
        <x:v>2026-07</x:v>
      </x:c>
      <x:c r="G2398" s="30" t="n">
        <x:v>46223</x:v>
      </x:c>
      <x:c r="H2398" s="32"/>
      <x:c r="I2398" s="32"/>
      <x:c r="J2398" s="32" t="n">
        <x:v>758000</x:v>
      </x:c>
      <x:c r="K2398" s="30"/>
      <x:c r="L2398" s="24" t="str"/>
      <x:c r="M2398" s="31" t="n">
        <x:f>IF(AND(N2398="미수",G2398&lt;&gt;"",TODAY()&gt;G2398),TODAY()-G2398,0)</x:f>
        <x:v>26</x:v>
      </x:c>
      <x:c r="N2398" s="24" t="str">
        <x:f>IF(J2398&gt;0,"미수",IF(AND(H2398&gt;0,I2398&gt;=H2398),"완납","미확인"))</x:f>
        <x:v>미수</x:v>
      </x:c>
      <x:c r="O2398" s="31" t="n">
        <x:v>10</x:v>
      </x:c>
    </x:row>
    <x:row r="2399" ht="17.25" customHeight="1">
      <x:c r="A2399" s="24" t="str">
        <x:v>PR-B-96머7474-202606</x:v>
      </x:c>
      <x:c r="B2399" s="24" t="str">
        <x:v>프라임구독</x:v>
      </x:c>
      <x:c r="C2399" s="24" t="str">
        <x:v>PR-C-96머7474-1-20230131-214</x:v>
      </x:c>
      <x:c r="D2399" s="24" t="str">
        <x:v>96머7474</x:v>
      </x:c>
      <x:c r="E2399" s="24" t="str">
        <x:v>김동석</x:v>
      </x:c>
      <x:c r="F2399" s="24" t="str">
        <x:v>2026-06</x:v>
      </x:c>
      <x:c r="G2399" s="30" t="n">
        <x:v>46193</x:v>
      </x:c>
      <x:c r="H2399" s="32"/>
      <x:c r="I2399" s="32"/>
      <x:c r="J2399" s="32" t="n">
        <x:v>758000</x:v>
      </x:c>
      <x:c r="K2399" s="30"/>
      <x:c r="L2399" s="24" t="str"/>
      <x:c r="M2399" s="31" t="n">
        <x:f>IF(AND(N2399="미수",G2399&lt;&gt;"",TODAY()&gt;G2399),TODAY()-G2399,0)</x:f>
        <x:v>56</x:v>
      </x:c>
      <x:c r="N2399" s="24" t="str">
        <x:f>IF(J2399&gt;0,"미수",IF(AND(H2399&gt;0,I2399&gt;=H2399),"완납","미확인"))</x:f>
        <x:v>미수</x:v>
      </x:c>
      <x:c r="O2399" s="31" t="n">
        <x:v>10</x:v>
      </x:c>
    </x:row>
    <x:row r="2400" ht="17.25" customHeight="1">
      <x:c r="A2400" s="24" t="str">
        <x:v>PR-B-96머7474-202605</x:v>
      </x:c>
      <x:c r="B2400" s="24" t="str">
        <x:v>프라임구독</x:v>
      </x:c>
      <x:c r="C2400" s="24" t="str">
        <x:v>PR-C-96머7474-1-20230131-214</x:v>
      </x:c>
      <x:c r="D2400" s="24" t="str">
        <x:v>96머7474</x:v>
      </x:c>
      <x:c r="E2400" s="24" t="str">
        <x:v>김동석</x:v>
      </x:c>
      <x:c r="F2400" s="24" t="str">
        <x:v>2026-05</x:v>
      </x:c>
      <x:c r="G2400" s="30" t="n">
        <x:v>46162</x:v>
      </x:c>
      <x:c r="H2400" s="32"/>
      <x:c r="I2400" s="32"/>
      <x:c r="J2400" s="32" t="n">
        <x:v>758000</x:v>
      </x:c>
      <x:c r="K2400" s="30"/>
      <x:c r="L2400" s="24" t="str"/>
      <x:c r="M2400" s="31" t="n">
        <x:f>IF(AND(N2400="미수",G2400&lt;&gt;"",TODAY()&gt;G2400),TODAY()-G2400,0)</x:f>
        <x:v>87</x:v>
      </x:c>
      <x:c r="N2400" s="24" t="str">
        <x:f>IF(J2400&gt;0,"미수",IF(AND(H2400&gt;0,I2400&gt;=H2400),"완납","미확인"))</x:f>
        <x:v>미수</x:v>
      </x:c>
      <x:c r="O2400" s="31" t="n">
        <x:v>10</x:v>
      </x:c>
    </x:row>
    <x:row r="2401" ht="17.25" customHeight="1">
      <x:c r="A2401" s="24" t="str">
        <x:v>PR-B-96머7474-202604</x:v>
      </x:c>
      <x:c r="B2401" s="24" t="str">
        <x:v>프라임구독</x:v>
      </x:c>
      <x:c r="C2401" s="24" t="str">
        <x:v>PR-C-96머7474-1-20230131-214</x:v>
      </x:c>
      <x:c r="D2401" s="24" t="str">
        <x:v>96머7474</x:v>
      </x:c>
      <x:c r="E2401" s="24" t="str">
        <x:v>김동석</x:v>
      </x:c>
      <x:c r="F2401" s="24" t="str">
        <x:v>2026-04</x:v>
      </x:c>
      <x:c r="G2401" s="30" t="n">
        <x:v>46132</x:v>
      </x:c>
      <x:c r="H2401" s="32"/>
      <x:c r="I2401" s="32" t="n">
        <x:v>5200000</x:v>
      </x:c>
      <x:c r="J2401" s="32" t="n">
        <x:v>758000</x:v>
      </x:c>
      <x:c r="K2401" s="30" t="n">
        <x:v>46129</x:v>
      </x:c>
      <x:c r="L2401" s="24" t="str">
        <x:v>입금</x:v>
      </x:c>
      <x:c r="M2401" s="31" t="n">
        <x:f>IF(AND(N2401="미수",G2401&lt;&gt;"",TODAY()&gt;G2401),TODAY()-G2401,0)</x:f>
        <x:v>117</x:v>
      </x:c>
      <x:c r="N2401" s="24" t="str">
        <x:f>IF(J2401&gt;0,"미수",IF(AND(H2401&gt;0,I2401&gt;=H2401),"완납","미확인"))</x:f>
        <x:v>미수</x:v>
      </x:c>
      <x:c r="O2401" s="31" t="n">
        <x:v>10</x:v>
      </x:c>
    </x:row>
    <x:row r="2402" ht="17.25" customHeight="1">
      <x:c r="A2402" s="24" t="str">
        <x:v>PR-B-96머7474-202603</x:v>
      </x:c>
      <x:c r="B2402" s="24" t="str">
        <x:v>프라임구독</x:v>
      </x:c>
      <x:c r="C2402" s="24" t="str">
        <x:v>PR-C-96머7474-1-20230131-214</x:v>
      </x:c>
      <x:c r="D2402" s="24" t="str">
        <x:v>96머7474</x:v>
      </x:c>
      <x:c r="E2402" s="24" t="str">
        <x:v>김동석</x:v>
      </x:c>
      <x:c r="F2402" s="24" t="str">
        <x:v>2026-03</x:v>
      </x:c>
      <x:c r="G2402" s="30" t="n">
        <x:v>46101</x:v>
      </x:c>
      <x:c r="H2402" s="32"/>
      <x:c r="I2402" s="32"/>
      <x:c r="J2402" s="32" t="n">
        <x:v>5958000</x:v>
      </x:c>
      <x:c r="K2402" s="30"/>
      <x:c r="L2402" s="24" t="str"/>
      <x:c r="M2402" s="31" t="n">
        <x:f>IF(AND(N2402="미수",G2402&lt;&gt;"",TODAY()&gt;G2402),TODAY()-G2402,0)</x:f>
        <x:v>148</x:v>
      </x:c>
      <x:c r="N2402" s="24" t="str">
        <x:f>IF(J2402&gt;0,"미수",IF(AND(H2402&gt;0,I2402&gt;=H2402),"완납","미확인"))</x:f>
        <x:v>미수</x:v>
      </x:c>
      <x:c r="O2402" s="31" t="n">
        <x:v>10</x:v>
      </x:c>
    </x:row>
    <x:row r="2403" ht="17.25" customHeight="1">
      <x:c r="A2403" s="24" t="str">
        <x:v>PR-B-96머7474-202602</x:v>
      </x:c>
      <x:c r="B2403" s="24" t="str">
        <x:v>프라임구독</x:v>
      </x:c>
      <x:c r="C2403" s="24" t="str">
        <x:v>PR-C-96머7474-1-20230131-214</x:v>
      </x:c>
      <x:c r="D2403" s="24" t="str">
        <x:v>96머7474</x:v>
      </x:c>
      <x:c r="E2403" s="24" t="str">
        <x:v>김동석</x:v>
      </x:c>
      <x:c r="F2403" s="24" t="str">
        <x:v>2026-02</x:v>
      </x:c>
      <x:c r="G2403" s="30" t="n">
        <x:v>46073</x:v>
      </x:c>
      <x:c r="H2403" s="32" t="n">
        <x:v>662000</x:v>
      </x:c>
      <x:c r="I2403" s="32"/>
      <x:c r="J2403" s="32" t="n">
        <x:v>5958000</x:v>
      </x:c>
      <x:c r="K2403" s="30"/>
      <x:c r="L2403" s="24" t="str"/>
      <x:c r="M2403" s="31" t="n">
        <x:f>IF(AND(N2403="미수",G2403&lt;&gt;"",TODAY()&gt;G2403),TODAY()-G2403,0)</x:f>
        <x:v>176</x:v>
      </x:c>
      <x:c r="N2403" s="24" t="str">
        <x:f>IF(J2403&gt;0,"미수",IF(AND(H2403&gt;0,I2403&gt;=H2403),"완납","미확인"))</x:f>
        <x:v>미수</x:v>
      </x:c>
      <x:c r="O2403" s="31" t="n">
        <x:v>10</x:v>
      </x:c>
    </x:row>
    <x:row r="2404" ht="17.25" customHeight="1">
      <x:c r="A2404" s="24" t="str">
        <x:v>PR-B-96머7474-202601</x:v>
      </x:c>
      <x:c r="B2404" s="24" t="str">
        <x:v>프라임구독</x:v>
      </x:c>
      <x:c r="C2404" s="24" t="str">
        <x:v>PR-C-96머7474-1-20230131-214</x:v>
      </x:c>
      <x:c r="D2404" s="24" t="str">
        <x:v>96머7474</x:v>
      </x:c>
      <x:c r="E2404" s="24" t="str">
        <x:v>김동석</x:v>
      </x:c>
      <x:c r="F2404" s="24" t="str">
        <x:v>2026-01</x:v>
      </x:c>
      <x:c r="G2404" s="30" t="n">
        <x:v>46042</x:v>
      </x:c>
      <x:c r="H2404" s="32" t="n">
        <x:v>662000</x:v>
      </x:c>
      <x:c r="I2404" s="32"/>
      <x:c r="J2404" s="32" t="n">
        <x:v>5296000</x:v>
      </x:c>
      <x:c r="K2404" s="30"/>
      <x:c r="L2404" s="24" t="str"/>
      <x:c r="M2404" s="31" t="n">
        <x:f>IF(AND(N2404="미수",G2404&lt;&gt;"",TODAY()&gt;G2404),TODAY()-G2404,0)</x:f>
        <x:v>207</x:v>
      </x:c>
      <x:c r="N2404" s="24" t="str">
        <x:f>IF(J2404&gt;0,"미수",IF(AND(H2404&gt;0,I2404&gt;=H2404),"완납","미확인"))</x:f>
        <x:v>미수</x:v>
      </x:c>
      <x:c r="O2404" s="31" t="n">
        <x:v>10</x:v>
      </x:c>
    </x:row>
    <x:row r="2405" ht="17.25" customHeight="1">
      <x:c r="A2405" s="24" t="str">
        <x:v>PR-B-96머7474-202512</x:v>
      </x:c>
      <x:c r="B2405" s="24" t="str">
        <x:v>프라임구독</x:v>
      </x:c>
      <x:c r="C2405" s="24" t="str">
        <x:v>PR-C-96머7474-1-20230131-214</x:v>
      </x:c>
      <x:c r="D2405" s="24" t="str">
        <x:v>96머7474</x:v>
      </x:c>
      <x:c r="E2405" s="24" t="str">
        <x:v>김동석</x:v>
      </x:c>
      <x:c r="F2405" s="24" t="str">
        <x:v>2025-12</x:v>
      </x:c>
      <x:c r="G2405" s="30" t="n">
        <x:v>46011</x:v>
      </x:c>
      <x:c r="H2405" s="32" t="n">
        <x:v>662000</x:v>
      </x:c>
      <x:c r="I2405" s="32"/>
      <x:c r="J2405" s="32" t="n">
        <x:v>4634000</x:v>
      </x:c>
      <x:c r="K2405" s="30"/>
      <x:c r="L2405" s="24" t="str"/>
      <x:c r="M2405" s="31" t="n">
        <x:f>IF(AND(N2405="미수",G2405&lt;&gt;"",TODAY()&gt;G2405),TODAY()-G2405,0)</x:f>
        <x:v>238</x:v>
      </x:c>
      <x:c r="N2405" s="24" t="str">
        <x:f>IF(J2405&gt;0,"미수",IF(AND(H2405&gt;0,I2405&gt;=H2405),"완납","미확인"))</x:f>
        <x:v>미수</x:v>
      </x:c>
      <x:c r="O2405" s="31" t="n">
        <x:v>10</x:v>
      </x:c>
    </x:row>
    <x:row r="2406" ht="17.25" customHeight="1">
      <x:c r="A2406" s="24" t="str">
        <x:v>PR-B-96머7474-202511</x:v>
      </x:c>
      <x:c r="B2406" s="24" t="str">
        <x:v>프라임구독</x:v>
      </x:c>
      <x:c r="C2406" s="24" t="str">
        <x:v>PR-C-96머7474-1-20230131-214</x:v>
      </x:c>
      <x:c r="D2406" s="24" t="str">
        <x:v>96머7474</x:v>
      </x:c>
      <x:c r="E2406" s="24" t="str">
        <x:v>김동석</x:v>
      </x:c>
      <x:c r="F2406" s="24" t="str">
        <x:v>2025-11</x:v>
      </x:c>
      <x:c r="G2406" s="30" t="n">
        <x:v>45981</x:v>
      </x:c>
      <x:c r="H2406" s="32" t="n">
        <x:v>662000</x:v>
      </x:c>
      <x:c r="I2406" s="32"/>
      <x:c r="J2406" s="32" t="n">
        <x:v>3972000</x:v>
      </x:c>
      <x:c r="K2406" s="30"/>
      <x:c r="L2406" s="24" t="str"/>
      <x:c r="M2406" s="31" t="n">
        <x:f>IF(AND(N2406="미수",G2406&lt;&gt;"",TODAY()&gt;G2406),TODAY()-G2406,0)</x:f>
        <x:v>268</x:v>
      </x:c>
      <x:c r="N2406" s="24" t="str">
        <x:f>IF(J2406&gt;0,"미수",IF(AND(H2406&gt;0,I2406&gt;=H2406),"완납","미확인"))</x:f>
        <x:v>미수</x:v>
      </x:c>
      <x:c r="O2406" s="31" t="n">
        <x:v>10</x:v>
      </x:c>
    </x:row>
    <x:row r="2407" ht="17.25" customHeight="1">
      <x:c r="A2407" s="24" t="str">
        <x:v>PR-B-96머7474-202510</x:v>
      </x:c>
      <x:c r="B2407" s="24" t="str">
        <x:v>프라임구독</x:v>
      </x:c>
      <x:c r="C2407" s="24" t="str">
        <x:v>PR-C-96머7474-1-20230131-214</x:v>
      </x:c>
      <x:c r="D2407" s="24" t="str">
        <x:v>96머7474</x:v>
      </x:c>
      <x:c r="E2407" s="24" t="str">
        <x:v>김동석</x:v>
      </x:c>
      <x:c r="F2407" s="24" t="str">
        <x:v>2025-10</x:v>
      </x:c>
      <x:c r="G2407" s="30" t="n">
        <x:v>45950</x:v>
      </x:c>
      <x:c r="H2407" s="32" t="n">
        <x:v>662000</x:v>
      </x:c>
      <x:c r="I2407" s="32"/>
      <x:c r="J2407" s="32" t="n">
        <x:v>3310000</x:v>
      </x:c>
      <x:c r="K2407" s="30"/>
      <x:c r="L2407" s="24" t="str"/>
      <x:c r="M2407" s="31" t="n">
        <x:f>IF(AND(N2407="미수",G2407&lt;&gt;"",TODAY()&gt;G2407),TODAY()-G2407,0)</x:f>
        <x:v>299</x:v>
      </x:c>
      <x:c r="N2407" s="24" t="str">
        <x:f>IF(J2407&gt;0,"미수",IF(AND(H2407&gt;0,I2407&gt;=H2407),"완납","미확인"))</x:f>
        <x:v>미수</x:v>
      </x:c>
      <x:c r="O2407" s="31" t="n">
        <x:v>10</x:v>
      </x:c>
    </x:row>
    <x:row r="2408" ht="17.25" customHeight="1">
      <x:c r="A2408" s="24" t="str">
        <x:v>PR-B-96머7474-202509</x:v>
      </x:c>
      <x:c r="B2408" s="24" t="str">
        <x:v>프라임구독</x:v>
      </x:c>
      <x:c r="C2408" s="24" t="str">
        <x:v>PR-C-96머7474-1-20230131-214</x:v>
      </x:c>
      <x:c r="D2408" s="24" t="str">
        <x:v>96머7474</x:v>
      </x:c>
      <x:c r="E2408" s="24" t="str">
        <x:v>김동석</x:v>
      </x:c>
      <x:c r="F2408" s="24" t="str">
        <x:v>2025-09</x:v>
      </x:c>
      <x:c r="G2408" s="30" t="n">
        <x:v>45920</x:v>
      </x:c>
      <x:c r="H2408" s="32" t="n">
        <x:v>662000</x:v>
      </x:c>
      <x:c r="I2408" s="32"/>
      <x:c r="J2408" s="32" t="n">
        <x:v>2648000</x:v>
      </x:c>
      <x:c r="K2408" s="30"/>
      <x:c r="L2408" s="24" t="str"/>
      <x:c r="M2408" s="31" t="n">
        <x:f>IF(AND(N2408="미수",G2408&lt;&gt;"",TODAY()&gt;G2408),TODAY()-G2408,0)</x:f>
        <x:v>329</x:v>
      </x:c>
      <x:c r="N2408" s="24" t="str">
        <x:f>IF(J2408&gt;0,"미수",IF(AND(H2408&gt;0,I2408&gt;=H2408),"완납","미확인"))</x:f>
        <x:v>미수</x:v>
      </x:c>
      <x:c r="O2408" s="31" t="n">
        <x:v>10</x:v>
      </x:c>
    </x:row>
    <x:row r="2409" ht="17.25" customHeight="1">
      <x:c r="A2409" s="24" t="str">
        <x:v>PR-B-96머7474-202508</x:v>
      </x:c>
      <x:c r="B2409" s="24" t="str">
        <x:v>프라임구독</x:v>
      </x:c>
      <x:c r="C2409" s="24" t="str">
        <x:v>PR-C-96머7474-1-20230131-214</x:v>
      </x:c>
      <x:c r="D2409" s="24" t="str">
        <x:v>96머7474</x:v>
      </x:c>
      <x:c r="E2409" s="24" t="str">
        <x:v>김동석</x:v>
      </x:c>
      <x:c r="F2409" s="24" t="str">
        <x:v>2025-08</x:v>
      </x:c>
      <x:c r="G2409" s="30" t="n">
        <x:v>45889</x:v>
      </x:c>
      <x:c r="H2409" s="32" t="n">
        <x:v>662000</x:v>
      </x:c>
      <x:c r="I2409" s="32"/>
      <x:c r="J2409" s="32" t="n">
        <x:v>1986000</x:v>
      </x:c>
      <x:c r="K2409" s="30"/>
      <x:c r="L2409" s="24" t="str"/>
      <x:c r="M2409" s="31" t="n">
        <x:f>IF(AND(N2409="미수",G2409&lt;&gt;"",TODAY()&gt;G2409),TODAY()-G2409,0)</x:f>
        <x:v>360</x:v>
      </x:c>
      <x:c r="N2409" s="24" t="str">
        <x:f>IF(J2409&gt;0,"미수",IF(AND(H2409&gt;0,I2409&gt;=H2409),"완납","미확인"))</x:f>
        <x:v>미수</x:v>
      </x:c>
      <x:c r="O2409" s="31" t="n">
        <x:v>10</x:v>
      </x:c>
    </x:row>
    <x:row r="2410" ht="17.25" customHeight="1">
      <x:c r="A2410" s="24" t="str">
        <x:v>PR-B-96머7474-202507</x:v>
      </x:c>
      <x:c r="B2410" s="24" t="str">
        <x:v>프라임구독</x:v>
      </x:c>
      <x:c r="C2410" s="24" t="str">
        <x:v>PR-C-96머7474-1-20230131-214</x:v>
      </x:c>
      <x:c r="D2410" s="24" t="str">
        <x:v>96머7474</x:v>
      </x:c>
      <x:c r="E2410" s="24" t="str">
        <x:v>김동석</x:v>
      </x:c>
      <x:c r="F2410" s="24" t="str">
        <x:v>2025-07</x:v>
      </x:c>
      <x:c r="G2410" s="30" t="n">
        <x:v>45858</x:v>
      </x:c>
      <x:c r="H2410" s="32" t="n">
        <x:v>662000</x:v>
      </x:c>
      <x:c r="I2410" s="32"/>
      <x:c r="J2410" s="32" t="n">
        <x:v>1324000</x:v>
      </x:c>
      <x:c r="K2410" s="30"/>
      <x:c r="L2410" s="24" t="str"/>
      <x:c r="M2410" s="31" t="n">
        <x:f>IF(AND(N2410="미수",G2410&lt;&gt;"",TODAY()&gt;G2410),TODAY()-G2410,0)</x:f>
        <x:v>391</x:v>
      </x:c>
      <x:c r="N2410" s="24" t="str">
        <x:f>IF(J2410&gt;0,"미수",IF(AND(H2410&gt;0,I2410&gt;=H2410),"완납","미확인"))</x:f>
        <x:v>미수</x:v>
      </x:c>
      <x:c r="O2410" s="31" t="n">
        <x:v>10</x:v>
      </x:c>
    </x:row>
    <x:row r="2411" ht="17.25" customHeight="1">
      <x:c r="A2411" s="24" t="str">
        <x:v>PR-B-96머7474-202506</x:v>
      </x:c>
      <x:c r="B2411" s="24" t="str">
        <x:v>프라임구독</x:v>
      </x:c>
      <x:c r="C2411" s="24" t="str">
        <x:v>PR-C-96머7474-1-20230131-214</x:v>
      </x:c>
      <x:c r="D2411" s="24" t="str">
        <x:v>96머7474</x:v>
      </x:c>
      <x:c r="E2411" s="24" t="str">
        <x:v>김동석</x:v>
      </x:c>
      <x:c r="F2411" s="24" t="str">
        <x:v>2025-06</x:v>
      </x:c>
      <x:c r="G2411" s="30" t="n">
        <x:v>45828</x:v>
      </x:c>
      <x:c r="H2411" s="32" t="n">
        <x:v>662000</x:v>
      </x:c>
      <x:c r="I2411" s="32" t="n">
        <x:v>1986000</x:v>
      </x:c>
      <x:c r="J2411" s="32" t="n">
        <x:v>662000</x:v>
      </x:c>
      <x:c r="K2411" s="30" t="n">
        <x:v>45820</x:v>
      </x:c>
      <x:c r="L2411" s="24" t="str">
        <x:v>입금</x:v>
      </x:c>
      <x:c r="M2411" s="31" t="n">
        <x:f>IF(AND(N2411="미수",G2411&lt;&gt;"",TODAY()&gt;G2411),TODAY()-G2411,0)</x:f>
        <x:v>421</x:v>
      </x:c>
      <x:c r="N2411" s="24" t="str">
        <x:f>IF(J2411&gt;0,"미수",IF(AND(H2411&gt;0,I2411&gt;=H2411),"완납","미확인"))</x:f>
        <x:v>미수</x:v>
      </x:c>
      <x:c r="O2411" s="31" t="n">
        <x:v>10</x:v>
      </x:c>
    </x:row>
    <x:row r="2412" ht="17.25" customHeight="1">
      <x:c r="A2412" s="24" t="str">
        <x:v>PR-B-96머7474-202505</x:v>
      </x:c>
      <x:c r="B2412" s="24" t="str">
        <x:v>프라임구독</x:v>
      </x:c>
      <x:c r="C2412" s="24" t="str">
        <x:v>PR-C-96머7474-1-20230131-214</x:v>
      </x:c>
      <x:c r="D2412" s="24" t="str">
        <x:v>96머7474</x:v>
      </x:c>
      <x:c r="E2412" s="24" t="str">
        <x:v>김동석</x:v>
      </x:c>
      <x:c r="F2412" s="24" t="str">
        <x:v>2025-05</x:v>
      </x:c>
      <x:c r="G2412" s="30" t="n">
        <x:v>45797</x:v>
      </x:c>
      <x:c r="H2412" s="32" t="n">
        <x:v>662000</x:v>
      </x:c>
      <x:c r="I2412" s="32"/>
      <x:c r="J2412" s="32" t="n">
        <x:v>1986000</x:v>
      </x:c>
      <x:c r="K2412" s="30"/>
      <x:c r="L2412" s="24" t="str"/>
      <x:c r="M2412" s="31" t="n">
        <x:f>IF(AND(N2412="미수",G2412&lt;&gt;"",TODAY()&gt;G2412),TODAY()-G2412,0)</x:f>
        <x:v>452</x:v>
      </x:c>
      <x:c r="N2412" s="24" t="str">
        <x:f>IF(J2412&gt;0,"미수",IF(AND(H2412&gt;0,I2412&gt;=H2412),"완납","미확인"))</x:f>
        <x:v>미수</x:v>
      </x:c>
      <x:c r="O2412" s="31" t="n">
        <x:v>10</x:v>
      </x:c>
    </x:row>
    <x:row r="2413" ht="17.25" customHeight="1">
      <x:c r="A2413" s="24" t="str">
        <x:v>PR-B-96머7474-202504</x:v>
      </x:c>
      <x:c r="B2413" s="24" t="str">
        <x:v>프라임구독</x:v>
      </x:c>
      <x:c r="C2413" s="24" t="str">
        <x:v>PR-C-96머7474-1-20230131-214</x:v>
      </x:c>
      <x:c r="D2413" s="24" t="str">
        <x:v>96머7474</x:v>
      </x:c>
      <x:c r="E2413" s="24" t="str">
        <x:v>김동석</x:v>
      </x:c>
      <x:c r="F2413" s="24" t="str">
        <x:v>2025-04</x:v>
      </x:c>
      <x:c r="G2413" s="30" t="n">
        <x:v>45767</x:v>
      </x:c>
      <x:c r="H2413" s="32" t="n">
        <x:v>662000</x:v>
      </x:c>
      <x:c r="I2413" s="32"/>
      <x:c r="J2413" s="32" t="n">
        <x:v>1324000</x:v>
      </x:c>
      <x:c r="K2413" s="30"/>
      <x:c r="L2413" s="24" t="str"/>
      <x:c r="M2413" s="31" t="n">
        <x:f>IF(AND(N2413="미수",G2413&lt;&gt;"",TODAY()&gt;G2413),TODAY()-G2413,0)</x:f>
        <x:v>482</x:v>
      </x:c>
      <x:c r="N2413" s="24" t="str">
        <x:f>IF(J2413&gt;0,"미수",IF(AND(H2413&gt;0,I2413&gt;=H2413),"완납","미확인"))</x:f>
        <x:v>미수</x:v>
      </x:c>
      <x:c r="O2413" s="31" t="n">
        <x:v>10</x:v>
      </x:c>
    </x:row>
    <x:row r="2414" ht="17.25" customHeight="1">
      <x:c r="A2414" s="24" t="str">
        <x:v>PR-B-96머7474-202503</x:v>
      </x:c>
      <x:c r="B2414" s="24" t="str">
        <x:v>프라임구독</x:v>
      </x:c>
      <x:c r="C2414" s="24" t="str">
        <x:v>PR-C-96머7474-1-20230131-214</x:v>
      </x:c>
      <x:c r="D2414" s="24" t="str">
        <x:v>96머7474</x:v>
      </x:c>
      <x:c r="E2414" s="24" t="str">
        <x:v>김동석</x:v>
      </x:c>
      <x:c r="F2414" s="24" t="str">
        <x:v>2025-03</x:v>
      </x:c>
      <x:c r="G2414" s="30" t="n">
        <x:v>45736</x:v>
      </x:c>
      <x:c r="H2414" s="32" t="n">
        <x:v>662000</x:v>
      </x:c>
      <x:c r="I2414" s="32" t="n">
        <x:v>662000</x:v>
      </x:c>
      <x:c r="J2414" s="32" t="n">
        <x:v>662000</x:v>
      </x:c>
      <x:c r="K2414" s="30" t="n">
        <x:v>45725</x:v>
      </x:c>
      <x:c r="L2414" s="24" t="str">
        <x:v>입금</x:v>
      </x:c>
      <x:c r="M2414" s="31" t="n">
        <x:f>IF(AND(N2414="미수",G2414&lt;&gt;"",TODAY()&gt;G2414),TODAY()-G2414,0)</x:f>
        <x:v>513</x:v>
      </x:c>
      <x:c r="N2414" s="24" t="str">
        <x:f>IF(J2414&gt;0,"미수",IF(AND(H2414&gt;0,I2414&gt;=H2414),"완납","미확인"))</x:f>
        <x:v>미수</x:v>
      </x:c>
      <x:c r="O2414" s="31" t="n">
        <x:v>10</x:v>
      </x:c>
    </x:row>
    <x:row r="2415" ht="17.25" customHeight="1">
      <x:c r="A2415" s="24" t="str">
        <x:v>PR-B-96머7474-202502</x:v>
      </x:c>
      <x:c r="B2415" s="24" t="str">
        <x:v>프라임구독</x:v>
      </x:c>
      <x:c r="C2415" s="24" t="str">
        <x:v>PR-C-96머7474-1-20230131-214</x:v>
      </x:c>
      <x:c r="D2415" s="24" t="str">
        <x:v>96머7474</x:v>
      </x:c>
      <x:c r="E2415" s="24" t="str">
        <x:v>김동석</x:v>
      </x:c>
      <x:c r="F2415" s="24" t="str">
        <x:v>2025-02</x:v>
      </x:c>
      <x:c r="G2415" s="30" t="n">
        <x:v>45708</x:v>
      </x:c>
      <x:c r="H2415" s="32" t="n">
        <x:v>662000</x:v>
      </x:c>
      <x:c r="I2415" s="32"/>
      <x:c r="J2415" s="32" t="n">
        <x:v>662000</x:v>
      </x:c>
      <x:c r="K2415" s="30"/>
      <x:c r="L2415" s="24" t="str"/>
      <x:c r="M2415" s="31" t="n">
        <x:f>IF(AND(N2415="미수",G2415&lt;&gt;"",TODAY()&gt;G2415),TODAY()-G2415,0)</x:f>
        <x:v>541</x:v>
      </x:c>
      <x:c r="N2415" s="24" t="str">
        <x:f>IF(J2415&gt;0,"미수",IF(AND(H2415&gt;0,I2415&gt;=H2415),"완납","미확인"))</x:f>
        <x:v>미수</x:v>
      </x:c>
      <x:c r="O2415" s="31" t="n">
        <x:v>10</x:v>
      </x:c>
    </x:row>
    <x:row r="2416" ht="17.25" customHeight="1">
      <x:c r="A2416" s="24" t="str">
        <x:v>PR-B-96머7474-202501</x:v>
      </x:c>
      <x:c r="B2416" s="24" t="str">
        <x:v>프라임구독</x:v>
      </x:c>
      <x:c r="C2416" s="24" t="str">
        <x:v>PR-C-96머7474-1-20230131-214</x:v>
      </x:c>
      <x:c r="D2416" s="24" t="str">
        <x:v>96머7474</x:v>
      </x:c>
      <x:c r="E2416" s="24" t="str">
        <x:v>김동석</x:v>
      </x:c>
      <x:c r="F2416" s="24" t="str">
        <x:v>2025-01</x:v>
      </x:c>
      <x:c r="G2416" s="30" t="n">
        <x:v>45677</x:v>
      </x:c>
      <x:c r="H2416" s="32" t="n">
        <x:v>662000</x:v>
      </x:c>
      <x:c r="I2416" s="32" t="n">
        <x:v>662000</x:v>
      </x:c>
      <x:c r="J2416" s="32" t="n">
        <x:v>0</x:v>
      </x:c>
      <x:c r="K2416" s="30" t="n">
        <x:v>45687</x:v>
      </x:c>
      <x:c r="L2416" s="24" t="str">
        <x:v>입금</x:v>
      </x:c>
      <x:c r="M2416" s="31" t="n">
        <x:f>IF(AND(N2416="미수",G2416&lt;&gt;"",TODAY()&gt;G2416),TODAY()-G2416,0)</x:f>
        <x:v>0</x:v>
      </x:c>
      <x:c r="N2416" s="24" t="str">
        <x:f>IF(J2416&gt;0,"미수",IF(AND(H2416&gt;0,I2416&gt;=H2416),"완납","미확인"))</x:f>
        <x:v>완납</x:v>
      </x:c>
      <x:c r="O2416" s="31" t="n">
        <x:v>10</x:v>
      </x:c>
    </x:row>
    <x:row r="2417" ht="17.25" customHeight="1">
      <x:c r="A2417" s="24" t="str">
        <x:v>PR-B-96머7474-202412</x:v>
      </x:c>
      <x:c r="B2417" s="24" t="str">
        <x:v>프라임구독</x:v>
      </x:c>
      <x:c r="C2417" s="24" t="str">
        <x:v>PR-C-96머7474-1-20230131-214</x:v>
      </x:c>
      <x:c r="D2417" s="24" t="str">
        <x:v>96머7474</x:v>
      </x:c>
      <x:c r="E2417" s="24" t="str">
        <x:v>김동석</x:v>
      </x:c>
      <x:c r="F2417" s="24" t="str">
        <x:v>2024-12</x:v>
      </x:c>
      <x:c r="G2417" s="30" t="n">
        <x:v>45646</x:v>
      </x:c>
      <x:c r="H2417" s="32" t="n">
        <x:v>662000</x:v>
      </x:c>
      <x:c r="I2417" s="32" t="n">
        <x:v>662000</x:v>
      </x:c>
      <x:c r="J2417" s="32" t="n">
        <x:v>0</x:v>
      </x:c>
      <x:c r="K2417" s="30" t="n">
        <x:v>45653</x:v>
      </x:c>
      <x:c r="L2417" s="24" t="str">
        <x:v>입금</x:v>
      </x:c>
      <x:c r="M2417" s="31" t="n">
        <x:f>IF(AND(N2417="미수",G2417&lt;&gt;"",TODAY()&gt;G2417),TODAY()-G2417,0)</x:f>
        <x:v>0</x:v>
      </x:c>
      <x:c r="N2417" s="24" t="str">
        <x:f>IF(J2417&gt;0,"미수",IF(AND(H2417&gt;0,I2417&gt;=H2417),"완납","미확인"))</x:f>
        <x:v>완납</x:v>
      </x:c>
      <x:c r="O2417" s="31" t="n">
        <x:v>10</x:v>
      </x:c>
    </x:row>
    <x:row r="2418" ht="17.25" customHeight="1">
      <x:c r="A2418" s="24" t="str">
        <x:v>PR-B-96머7474-202411</x:v>
      </x:c>
      <x:c r="B2418" s="24" t="str">
        <x:v>프라임구독</x:v>
      </x:c>
      <x:c r="C2418" s="24" t="str">
        <x:v>PR-C-96머7474-1-20230131-214</x:v>
      </x:c>
      <x:c r="D2418" s="24" t="str">
        <x:v>96머7474</x:v>
      </x:c>
      <x:c r="E2418" s="24" t="str">
        <x:v>김동석</x:v>
      </x:c>
      <x:c r="F2418" s="24" t="str">
        <x:v>2024-11</x:v>
      </x:c>
      <x:c r="G2418" s="30" t="n">
        <x:v>45616</x:v>
      </x:c>
      <x:c r="H2418" s="32" t="n">
        <x:v>662000</x:v>
      </x:c>
      <x:c r="I2418" s="32" t="n">
        <x:v>662000</x:v>
      </x:c>
      <x:c r="J2418" s="32" t="n">
        <x:v>0</x:v>
      </x:c>
      <x:c r="K2418" s="30" t="n">
        <x:v>45621</x:v>
      </x:c>
      <x:c r="L2418" s="24" t="str">
        <x:v>입금</x:v>
      </x:c>
      <x:c r="M2418" s="31" t="n">
        <x:f>IF(AND(N2418="미수",G2418&lt;&gt;"",TODAY()&gt;G2418),TODAY()-G2418,0)</x:f>
        <x:v>0</x:v>
      </x:c>
      <x:c r="N2418" s="24" t="str">
        <x:f>IF(J2418&gt;0,"미수",IF(AND(H2418&gt;0,I2418&gt;=H2418),"완납","미확인"))</x:f>
        <x:v>완납</x:v>
      </x:c>
      <x:c r="O2418" s="31" t="n">
        <x:v>10</x:v>
      </x:c>
    </x:row>
    <x:row r="2419" ht="17.25" customHeight="1">
      <x:c r="A2419" s="24" t="str">
        <x:v>PR-B-96머7474-202410</x:v>
      </x:c>
      <x:c r="B2419" s="24" t="str">
        <x:v>프라임구독</x:v>
      </x:c>
      <x:c r="C2419" s="24" t="str">
        <x:v>PR-C-96머7474-1-20230131-214</x:v>
      </x:c>
      <x:c r="D2419" s="24" t="str">
        <x:v>96머7474</x:v>
      </x:c>
      <x:c r="E2419" s="24" t="str">
        <x:v>김동석</x:v>
      </x:c>
      <x:c r="F2419" s="24" t="str">
        <x:v>2024-10</x:v>
      </x:c>
      <x:c r="G2419" s="30" t="n">
        <x:v>45585</x:v>
      </x:c>
      <x:c r="H2419" s="32" t="n">
        <x:v>662000</x:v>
      </x:c>
      <x:c r="I2419" s="32" t="n">
        <x:v>662000</x:v>
      </x:c>
      <x:c r="J2419" s="32" t="n">
        <x:v>0</x:v>
      </x:c>
      <x:c r="K2419" s="30" t="n">
        <x:v>45592</x:v>
      </x:c>
      <x:c r="L2419" s="24" t="str">
        <x:v>입금</x:v>
      </x:c>
      <x:c r="M2419" s="31" t="n">
        <x:f>IF(AND(N2419="미수",G2419&lt;&gt;"",TODAY()&gt;G2419),TODAY()-G2419,0)</x:f>
        <x:v>0</x:v>
      </x:c>
      <x:c r="N2419" s="24" t="str">
        <x:f>IF(J2419&gt;0,"미수",IF(AND(H2419&gt;0,I2419&gt;=H2419),"완납","미확인"))</x:f>
        <x:v>완납</x:v>
      </x:c>
      <x:c r="O2419" s="31" t="n">
        <x:v>10</x:v>
      </x:c>
    </x:row>
    <x:row r="2420" ht="17.25" customHeight="1">
      <x:c r="A2420" s="24" t="str">
        <x:v>PR-B-96머7474-202409</x:v>
      </x:c>
      <x:c r="B2420" s="24" t="str">
        <x:v>프라임구독</x:v>
      </x:c>
      <x:c r="C2420" s="24" t="str">
        <x:v>PR-C-96머7474-1-20230131-214</x:v>
      </x:c>
      <x:c r="D2420" s="24" t="str">
        <x:v>96머7474</x:v>
      </x:c>
      <x:c r="E2420" s="24" t="str">
        <x:v>김동석</x:v>
      </x:c>
      <x:c r="F2420" s="24" t="str">
        <x:v>2024-09</x:v>
      </x:c>
      <x:c r="G2420" s="30" t="n">
        <x:v>45555</x:v>
      </x:c>
      <x:c r="H2420" s="32" t="n">
        <x:v>662000</x:v>
      </x:c>
      <x:c r="I2420" s="32" t="n">
        <x:v>662000</x:v>
      </x:c>
      <x:c r="J2420" s="32" t="n">
        <x:v>0</x:v>
      </x:c>
      <x:c r="K2420" s="30" t="n">
        <x:v>45565</x:v>
      </x:c>
      <x:c r="L2420" s="24" t="str">
        <x:v>입금</x:v>
      </x:c>
      <x:c r="M2420" s="31" t="n">
        <x:f>IF(AND(N2420="미수",G2420&lt;&gt;"",TODAY()&gt;G2420),TODAY()-G2420,0)</x:f>
        <x:v>0</x:v>
      </x:c>
      <x:c r="N2420" s="24" t="str">
        <x:f>IF(J2420&gt;0,"미수",IF(AND(H2420&gt;0,I2420&gt;=H2420),"완납","미확인"))</x:f>
        <x:v>완납</x:v>
      </x:c>
      <x:c r="O2420" s="31" t="n">
        <x:v>10</x:v>
      </x:c>
    </x:row>
    <x:row r="2421" ht="17.25" customHeight="1">
      <x:c r="A2421" s="24" t="str">
        <x:v>PR-B-96머7474-202408</x:v>
      </x:c>
      <x:c r="B2421" s="24" t="str">
        <x:v>프라임구독</x:v>
      </x:c>
      <x:c r="C2421" s="24" t="str">
        <x:v>PR-C-96머7474-1-20230131-214</x:v>
      </x:c>
      <x:c r="D2421" s="24" t="str">
        <x:v>96머7474</x:v>
      </x:c>
      <x:c r="E2421" s="24" t="str">
        <x:v>김동석</x:v>
      </x:c>
      <x:c r="F2421" s="24" t="str">
        <x:v>2024-08</x:v>
      </x:c>
      <x:c r="G2421" s="30" t="n">
        <x:v>45524</x:v>
      </x:c>
      <x:c r="H2421" s="32" t="n">
        <x:v>662000</x:v>
      </x:c>
      <x:c r="I2421" s="32" t="n">
        <x:v>662000</x:v>
      </x:c>
      <x:c r="J2421" s="32" t="n">
        <x:v>0</x:v>
      </x:c>
      <x:c r="K2421" s="30" t="n">
        <x:v>45537</x:v>
      </x:c>
      <x:c r="L2421" s="24" t="str">
        <x:v>입금</x:v>
      </x:c>
      <x:c r="M2421" s="31" t="n">
        <x:f>IF(AND(N2421="미수",G2421&lt;&gt;"",TODAY()&gt;G2421),TODAY()-G2421,0)</x:f>
        <x:v>0</x:v>
      </x:c>
      <x:c r="N2421" s="24" t="str">
        <x:f>IF(J2421&gt;0,"미수",IF(AND(H2421&gt;0,I2421&gt;=H2421),"완납","미확인"))</x:f>
        <x:v>완납</x:v>
      </x:c>
      <x:c r="O2421" s="31" t="n">
        <x:v>10</x:v>
      </x:c>
    </x:row>
    <x:row r="2422" ht="17.25" customHeight="1">
      <x:c r="A2422" s="24" t="str">
        <x:v>PR-B-96머7474-202407</x:v>
      </x:c>
      <x:c r="B2422" s="24" t="str">
        <x:v>프라임구독</x:v>
      </x:c>
      <x:c r="C2422" s="24" t="str">
        <x:v>PR-C-96머7474-1-20230131-214</x:v>
      </x:c>
      <x:c r="D2422" s="24" t="str">
        <x:v>96머7474</x:v>
      </x:c>
      <x:c r="E2422" s="24" t="str">
        <x:v>김동석</x:v>
      </x:c>
      <x:c r="F2422" s="24" t="str">
        <x:v>2024-07</x:v>
      </x:c>
      <x:c r="G2422" s="30" t="n">
        <x:v>45493</x:v>
      </x:c>
      <x:c r="H2422" s="32" t="n">
        <x:v>662000</x:v>
      </x:c>
      <x:c r="I2422" s="32" t="n">
        <x:v>662000</x:v>
      </x:c>
      <x:c r="J2422" s="32" t="n">
        <x:v>0</x:v>
      </x:c>
      <x:c r="K2422" s="30" t="n">
        <x:v>45493</x:v>
      </x:c>
      <x:c r="L2422" s="24" t="str">
        <x:v>입금</x:v>
      </x:c>
      <x:c r="M2422" s="31" t="n">
        <x:f>IF(AND(N2422="미수",G2422&lt;&gt;"",TODAY()&gt;G2422),TODAY()-G2422,0)</x:f>
        <x:v>0</x:v>
      </x:c>
      <x:c r="N2422" s="24" t="str">
        <x:f>IF(J2422&gt;0,"미수",IF(AND(H2422&gt;0,I2422&gt;=H2422),"완납","미확인"))</x:f>
        <x:v>완납</x:v>
      </x:c>
      <x:c r="O2422" s="31" t="n">
        <x:v>10</x:v>
      </x:c>
    </x:row>
    <x:row r="2423" ht="17.25" customHeight="1">
      <x:c r="A2423" s="24" t="str">
        <x:v>PR-B-96머7474-202406</x:v>
      </x:c>
      <x:c r="B2423" s="24" t="str">
        <x:v>프라임구독</x:v>
      </x:c>
      <x:c r="C2423" s="24" t="str">
        <x:v>PR-C-96머7474-1-20230131-214</x:v>
      </x:c>
      <x:c r="D2423" s="24" t="str">
        <x:v>96머7474</x:v>
      </x:c>
      <x:c r="E2423" s="24" t="str">
        <x:v>김동석</x:v>
      </x:c>
      <x:c r="F2423" s="24" t="str">
        <x:v>2024-06</x:v>
      </x:c>
      <x:c r="G2423" s="30" t="n">
        <x:v>45463</x:v>
      </x:c>
      <x:c r="H2423" s="32" t="n">
        <x:v>662000</x:v>
      </x:c>
      <x:c r="I2423" s="32" t="n">
        <x:v>662000</x:v>
      </x:c>
      <x:c r="J2423" s="32" t="n">
        <x:v>0</x:v>
      </x:c>
      <x:c r="K2423" s="30" t="n">
        <x:v>45466</x:v>
      </x:c>
      <x:c r="L2423" s="24" t="str"/>
      <x:c r="M2423" s="31" t="n">
        <x:f>IF(AND(N2423="미수",G2423&lt;&gt;"",TODAY()&gt;G2423),TODAY()-G2423,0)</x:f>
        <x:v>0</x:v>
      </x:c>
      <x:c r="N2423" s="24" t="str">
        <x:f>IF(J2423&gt;0,"미수",IF(AND(H2423&gt;0,I2423&gt;=H2423),"완납","미확인"))</x:f>
        <x:v>완납</x:v>
      </x:c>
      <x:c r="O2423" s="31" t="n">
        <x:v>10</x:v>
      </x:c>
    </x:row>
    <x:row r="2424" ht="17.25" customHeight="1">
      <x:c r="A2424" s="24" t="str">
        <x:v>PR-B-96머7474-202405</x:v>
      </x:c>
      <x:c r="B2424" s="24" t="str">
        <x:v>프라임구독</x:v>
      </x:c>
      <x:c r="C2424" s="24" t="str">
        <x:v>PR-C-96머7474-1-20230131-214</x:v>
      </x:c>
      <x:c r="D2424" s="24" t="str">
        <x:v>96머7474</x:v>
      </x:c>
      <x:c r="E2424" s="24" t="str">
        <x:v>김동석</x:v>
      </x:c>
      <x:c r="F2424" s="24" t="str">
        <x:v>2024-05</x:v>
      </x:c>
      <x:c r="G2424" s="30" t="n">
        <x:v>45432</x:v>
      </x:c>
      <x:c r="H2424" s="32" t="n">
        <x:v>662000</x:v>
      </x:c>
      <x:c r="I2424" s="32" t="n">
        <x:v>662000</x:v>
      </x:c>
      <x:c r="J2424" s="32" t="n">
        <x:v>0</x:v>
      </x:c>
      <x:c r="K2424" s="30" t="n">
        <x:v>45435</x:v>
      </x:c>
      <x:c r="L2424" s="24" t="str"/>
      <x:c r="M2424" s="31" t="n">
        <x:f>IF(AND(N2424="미수",G2424&lt;&gt;"",TODAY()&gt;G2424),TODAY()-G2424,0)</x:f>
        <x:v>0</x:v>
      </x:c>
      <x:c r="N2424" s="24" t="str">
        <x:f>IF(J2424&gt;0,"미수",IF(AND(H2424&gt;0,I2424&gt;=H2424),"완납","미확인"))</x:f>
        <x:v>완납</x:v>
      </x:c>
      <x:c r="O2424" s="31" t="n">
        <x:v>10</x:v>
      </x:c>
    </x:row>
    <x:row r="2425" ht="17.25" customHeight="1">
      <x:c r="A2425" s="24" t="str">
        <x:v>PR-B-01도2340-202608</x:v>
      </x:c>
      <x:c r="B2425" s="24" t="str">
        <x:v>프라임구독</x:v>
      </x:c>
      <x:c r="C2425" s="24" t="str">
        <x:v>PR-C-01도2340-1-20230105-3</x:v>
      </x:c>
      <x:c r="D2425" s="24" t="str">
        <x:v>01도2340</x:v>
      </x:c>
      <x:c r="E2425" s="24" t="str">
        <x:v>이광용</x:v>
      </x:c>
      <x:c r="F2425" s="24" t="str">
        <x:v>2026-08</x:v>
      </x:c>
      <x:c r="G2425" s="30" t="n">
        <x:v>46254</x:v>
      </x:c>
      <x:c r="H2425" s="32"/>
      <x:c r="I2425" s="32"/>
      <x:c r="J2425" s="32" t="n">
        <x:v>500000</x:v>
      </x:c>
      <x:c r="K2425" s="30"/>
      <x:c r="L2425" s="24" t="str"/>
      <x:c r="M2425" s="31" t="n">
        <x:f>IF(AND(N2425="미수",G2425&lt;&gt;"",TODAY()&gt;G2425),TODAY()-G2425,0)</x:f>
        <x:v>0</x:v>
      </x:c>
      <x:c r="N2425" s="24" t="str">
        <x:f>IF(J2425&gt;0,"미수",IF(AND(H2425&gt;0,I2425&gt;=H2425),"완납","미확인"))</x:f>
        <x:v>미수</x:v>
      </x:c>
      <x:c r="O2425" s="31" t="n">
        <x:v>11</x:v>
      </x:c>
    </x:row>
    <x:row r="2426" ht="17.25" customHeight="1">
      <x:c r="A2426" s="24" t="str">
        <x:v>PR-B-01도2340-202607</x:v>
      </x:c>
      <x:c r="B2426" s="24" t="str">
        <x:v>프라임구독</x:v>
      </x:c>
      <x:c r="C2426" s="24" t="str">
        <x:v>PR-C-01도2340-1-20230105-3</x:v>
      </x:c>
      <x:c r="D2426" s="24" t="str">
        <x:v>01도2340</x:v>
      </x:c>
      <x:c r="E2426" s="24" t="str">
        <x:v>이광용</x:v>
      </x:c>
      <x:c r="F2426" s="24" t="str">
        <x:v>2026-07</x:v>
      </x:c>
      <x:c r="G2426" s="30" t="n">
        <x:v>46223</x:v>
      </x:c>
      <x:c r="H2426" s="32"/>
      <x:c r="I2426" s="32"/>
      <x:c r="J2426" s="32" t="n">
        <x:v>500000</x:v>
      </x:c>
      <x:c r="K2426" s="30"/>
      <x:c r="L2426" s="24" t="str"/>
      <x:c r="M2426" s="31" t="n">
        <x:f>IF(AND(N2426="미수",G2426&lt;&gt;"",TODAY()&gt;G2426),TODAY()-G2426,0)</x:f>
        <x:v>26</x:v>
      </x:c>
      <x:c r="N2426" s="24" t="str">
        <x:f>IF(J2426&gt;0,"미수",IF(AND(H2426&gt;0,I2426&gt;=H2426),"완납","미확인"))</x:f>
        <x:v>미수</x:v>
      </x:c>
      <x:c r="O2426" s="31" t="n">
        <x:v>11</x:v>
      </x:c>
    </x:row>
    <x:row r="2427" ht="17.25" customHeight="1">
      <x:c r="A2427" s="24" t="str">
        <x:v>PR-B-01도2340-202606</x:v>
      </x:c>
      <x:c r="B2427" s="24" t="str">
        <x:v>프라임구독</x:v>
      </x:c>
      <x:c r="C2427" s="24" t="str">
        <x:v>PR-C-01도2340-1-20230105-3</x:v>
      </x:c>
      <x:c r="D2427" s="24" t="str">
        <x:v>01도2340</x:v>
      </x:c>
      <x:c r="E2427" s="24" t="str">
        <x:v>이광용</x:v>
      </x:c>
      <x:c r="F2427" s="24" t="str">
        <x:v>2026-06</x:v>
      </x:c>
      <x:c r="G2427" s="30" t="n">
        <x:v>46193</x:v>
      </x:c>
      <x:c r="H2427" s="32"/>
      <x:c r="I2427" s="32"/>
      <x:c r="J2427" s="32" t="n">
        <x:v>500000</x:v>
      </x:c>
      <x:c r="K2427" s="30"/>
      <x:c r="L2427" s="24" t="str"/>
      <x:c r="M2427" s="31" t="n">
        <x:f>IF(AND(N2427="미수",G2427&lt;&gt;"",TODAY()&gt;G2427),TODAY()-G2427,0)</x:f>
        <x:v>56</x:v>
      </x:c>
      <x:c r="N2427" s="24" t="str">
        <x:f>IF(J2427&gt;0,"미수",IF(AND(H2427&gt;0,I2427&gt;=H2427),"완납","미확인"))</x:f>
        <x:v>미수</x:v>
      </x:c>
      <x:c r="O2427" s="31" t="n">
        <x:v>11</x:v>
      </x:c>
    </x:row>
    <x:row r="2428" ht="17.25" customHeight="1">
      <x:c r="A2428" s="24" t="str">
        <x:v>PR-B-01도2340-202605</x:v>
      </x:c>
      <x:c r="B2428" s="24" t="str">
        <x:v>프라임구독</x:v>
      </x:c>
      <x:c r="C2428" s="24" t="str">
        <x:v>PR-C-01도2340-1-20230105-3</x:v>
      </x:c>
      <x:c r="D2428" s="24" t="str">
        <x:v>01도2340</x:v>
      </x:c>
      <x:c r="E2428" s="24" t="str">
        <x:v>이광용</x:v>
      </x:c>
      <x:c r="F2428" s="24" t="str">
        <x:v>2026-05</x:v>
      </x:c>
      <x:c r="G2428" s="30" t="n">
        <x:v>46162</x:v>
      </x:c>
      <x:c r="H2428" s="32"/>
      <x:c r="I2428" s="32"/>
      <x:c r="J2428" s="32" t="n">
        <x:v>500000</x:v>
      </x:c>
      <x:c r="K2428" s="30"/>
      <x:c r="L2428" s="24" t="str"/>
      <x:c r="M2428" s="31" t="n">
        <x:f>IF(AND(N2428="미수",G2428&lt;&gt;"",TODAY()&gt;G2428),TODAY()-G2428,0)</x:f>
        <x:v>87</x:v>
      </x:c>
      <x:c r="N2428" s="24" t="str">
        <x:f>IF(J2428&gt;0,"미수",IF(AND(H2428&gt;0,I2428&gt;=H2428),"완납","미확인"))</x:f>
        <x:v>미수</x:v>
      </x:c>
      <x:c r="O2428" s="31" t="n">
        <x:v>11</x:v>
      </x:c>
    </x:row>
    <x:row r="2429" ht="17.25" customHeight="1">
      <x:c r="A2429" s="24" t="str">
        <x:v>PR-B-01도2340-202604</x:v>
      </x:c>
      <x:c r="B2429" s="24" t="str">
        <x:v>프라임구독</x:v>
      </x:c>
      <x:c r="C2429" s="24" t="str">
        <x:v>PR-C-01도2340-1-20230105-3</x:v>
      </x:c>
      <x:c r="D2429" s="24" t="str">
        <x:v>01도2340</x:v>
      </x:c>
      <x:c r="E2429" s="24" t="str">
        <x:v>이광용</x:v>
      </x:c>
      <x:c r="F2429" s="24" t="str">
        <x:v>2026-04</x:v>
      </x:c>
      <x:c r="G2429" s="30" t="n">
        <x:v>46132</x:v>
      </x:c>
      <x:c r="H2429" s="32"/>
      <x:c r="I2429" s="32" t="n">
        <x:v>2700000</x:v>
      </x:c>
      <x:c r="J2429" s="32" t="n">
        <x:v>500000</x:v>
      </x:c>
      <x:c r="K2429" s="30" t="n">
        <x:v>46125</x:v>
      </x:c>
      <x:c r="L2429" s="24" t="str">
        <x:v>입금</x:v>
      </x:c>
      <x:c r="M2429" s="31" t="n">
        <x:f>IF(AND(N2429="미수",G2429&lt;&gt;"",TODAY()&gt;G2429),TODAY()-G2429,0)</x:f>
        <x:v>117</x:v>
      </x:c>
      <x:c r="N2429" s="24" t="str">
        <x:f>IF(J2429&gt;0,"미수",IF(AND(H2429&gt;0,I2429&gt;=H2429),"완납","미확인"))</x:f>
        <x:v>미수</x:v>
      </x:c>
      <x:c r="O2429" s="31" t="n">
        <x:v>11</x:v>
      </x:c>
    </x:row>
    <x:row r="2430" ht="17.25" customHeight="1">
      <x:c r="A2430" s="24" t="str">
        <x:v>PR-B-01도2340-202603</x:v>
      </x:c>
      <x:c r="B2430" s="24" t="str">
        <x:v>프라임구독</x:v>
      </x:c>
      <x:c r="C2430" s="24" t="str">
        <x:v>PR-C-01도2340-1-20230105-3</x:v>
      </x:c>
      <x:c r="D2430" s="24" t="str">
        <x:v>01도2340</x:v>
      </x:c>
      <x:c r="E2430" s="24" t="str">
        <x:v>이광용</x:v>
      </x:c>
      <x:c r="F2430" s="24" t="str">
        <x:v>2026-03</x:v>
      </x:c>
      <x:c r="G2430" s="30" t="n">
        <x:v>46101</x:v>
      </x:c>
      <x:c r="H2430" s="32" t="n">
        <x:v>640000</x:v>
      </x:c>
      <x:c r="I2430" s="32"/>
      <x:c r="J2430" s="32" t="n">
        <x:v>3200000</x:v>
      </x:c>
      <x:c r="K2430" s="30"/>
      <x:c r="L2430" s="24" t="str"/>
      <x:c r="M2430" s="31" t="n">
        <x:f>IF(AND(N2430="미수",G2430&lt;&gt;"",TODAY()&gt;G2430),TODAY()-G2430,0)</x:f>
        <x:v>148</x:v>
      </x:c>
      <x:c r="N2430" s="24" t="str">
        <x:f>IF(J2430&gt;0,"미수",IF(AND(H2430&gt;0,I2430&gt;=H2430),"완납","미확인"))</x:f>
        <x:v>미수</x:v>
      </x:c>
      <x:c r="O2430" s="31" t="n">
        <x:v>11</x:v>
      </x:c>
    </x:row>
    <x:row r="2431" ht="17.25" customHeight="1">
      <x:c r="A2431" s="24" t="str">
        <x:v>PR-B-01도2340-202602</x:v>
      </x:c>
      <x:c r="B2431" s="24" t="str">
        <x:v>프라임구독</x:v>
      </x:c>
      <x:c r="C2431" s="24" t="str">
        <x:v>PR-C-01도2340-1-20230105-3</x:v>
      </x:c>
      <x:c r="D2431" s="24" t="str">
        <x:v>01도2340</x:v>
      </x:c>
      <x:c r="E2431" s="24" t="str">
        <x:v>이광용</x:v>
      </x:c>
      <x:c r="F2431" s="24" t="str">
        <x:v>2026-02</x:v>
      </x:c>
      <x:c r="G2431" s="30" t="n">
        <x:v>46073</x:v>
      </x:c>
      <x:c r="H2431" s="32" t="n">
        <x:v>640000</x:v>
      </x:c>
      <x:c r="I2431" s="32"/>
      <x:c r="J2431" s="32" t="n">
        <x:v>2560000</x:v>
      </x:c>
      <x:c r="K2431" s="30"/>
      <x:c r="L2431" s="24" t="str"/>
      <x:c r="M2431" s="31" t="n">
        <x:f>IF(AND(N2431="미수",G2431&lt;&gt;"",TODAY()&gt;G2431),TODAY()-G2431,0)</x:f>
        <x:v>176</x:v>
      </x:c>
      <x:c r="N2431" s="24" t="str">
        <x:f>IF(J2431&gt;0,"미수",IF(AND(H2431&gt;0,I2431&gt;=H2431),"완납","미확인"))</x:f>
        <x:v>미수</x:v>
      </x:c>
      <x:c r="O2431" s="31" t="n">
        <x:v>11</x:v>
      </x:c>
    </x:row>
    <x:row r="2432" ht="17.25" customHeight="1">
      <x:c r="A2432" s="24" t="str">
        <x:v>PR-B-01도2340-202601</x:v>
      </x:c>
      <x:c r="B2432" s="24" t="str">
        <x:v>프라임구독</x:v>
      </x:c>
      <x:c r="C2432" s="24" t="str">
        <x:v>PR-C-01도2340-1-20230105-3</x:v>
      </x:c>
      <x:c r="D2432" s="24" t="str">
        <x:v>01도2340</x:v>
      </x:c>
      <x:c r="E2432" s="24" t="str">
        <x:v>이광용</x:v>
      </x:c>
      <x:c r="F2432" s="24" t="str">
        <x:v>2026-01</x:v>
      </x:c>
      <x:c r="G2432" s="30" t="n">
        <x:v>46042</x:v>
      </x:c>
      <x:c r="H2432" s="32" t="n">
        <x:v>640000</x:v>
      </x:c>
      <x:c r="I2432" s="32"/>
      <x:c r="J2432" s="32" t="n">
        <x:v>1920000</x:v>
      </x:c>
      <x:c r="K2432" s="30"/>
      <x:c r="L2432" s="24" t="str"/>
      <x:c r="M2432" s="31" t="n">
        <x:f>IF(AND(N2432="미수",G2432&lt;&gt;"",TODAY()&gt;G2432),TODAY()-G2432,0)</x:f>
        <x:v>207</x:v>
      </x:c>
      <x:c r="N2432" s="24" t="str">
        <x:f>IF(J2432&gt;0,"미수",IF(AND(H2432&gt;0,I2432&gt;=H2432),"완납","미확인"))</x:f>
        <x:v>미수</x:v>
      </x:c>
      <x:c r="O2432" s="31" t="n">
        <x:v>11</x:v>
      </x:c>
    </x:row>
    <x:row r="2433" ht="17.25" customHeight="1">
      <x:c r="A2433" s="24" t="str">
        <x:v>PR-B-01도2340-202512</x:v>
      </x:c>
      <x:c r="B2433" s="24" t="str">
        <x:v>프라임구독</x:v>
      </x:c>
      <x:c r="C2433" s="24" t="str">
        <x:v>PR-C-01도2340-1-20230105-3</x:v>
      </x:c>
      <x:c r="D2433" s="24" t="str">
        <x:v>01도2340</x:v>
      </x:c>
      <x:c r="E2433" s="24" t="str">
        <x:v>이광용</x:v>
      </x:c>
      <x:c r="F2433" s="24" t="str">
        <x:v>2025-12</x:v>
      </x:c>
      <x:c r="G2433" s="30" t="n">
        <x:v>46011</x:v>
      </x:c>
      <x:c r="H2433" s="32" t="n">
        <x:v>640000</x:v>
      </x:c>
      <x:c r="I2433" s="32"/>
      <x:c r="J2433" s="32" t="n">
        <x:v>1280000</x:v>
      </x:c>
      <x:c r="K2433" s="30"/>
      <x:c r="L2433" s="24" t="str"/>
      <x:c r="M2433" s="31" t="n">
        <x:f>IF(AND(N2433="미수",G2433&lt;&gt;"",TODAY()&gt;G2433),TODAY()-G2433,0)</x:f>
        <x:v>238</x:v>
      </x:c>
      <x:c r="N2433" s="24" t="str">
        <x:f>IF(J2433&gt;0,"미수",IF(AND(H2433&gt;0,I2433&gt;=H2433),"완납","미확인"))</x:f>
        <x:v>미수</x:v>
      </x:c>
      <x:c r="O2433" s="31" t="n">
        <x:v>11</x:v>
      </x:c>
    </x:row>
    <x:row r="2434" ht="17.25" customHeight="1">
      <x:c r="A2434" s="24" t="str">
        <x:v>PR-B-01도2340-202511</x:v>
      </x:c>
      <x:c r="B2434" s="24" t="str">
        <x:v>프라임구독</x:v>
      </x:c>
      <x:c r="C2434" s="24" t="str">
        <x:v>PR-C-01도2340-1-20230105-3</x:v>
      </x:c>
      <x:c r="D2434" s="24" t="str">
        <x:v>01도2340</x:v>
      </x:c>
      <x:c r="E2434" s="24" t="str">
        <x:v>이광용</x:v>
      </x:c>
      <x:c r="F2434" s="24" t="str">
        <x:v>2025-11</x:v>
      </x:c>
      <x:c r="G2434" s="30" t="n">
        <x:v>45981</x:v>
      </x:c>
      <x:c r="H2434" s="32" t="n">
        <x:v>640000</x:v>
      </x:c>
      <x:c r="I2434" s="32" t="n">
        <x:v>640000</x:v>
      </x:c>
      <x:c r="J2434" s="32" t="n">
        <x:v>640000</x:v>
      </x:c>
      <x:c r="K2434" s="30" t="n">
        <x:v>45981</x:v>
      </x:c>
      <x:c r="L2434" s="24" t="str">
        <x:v>카드</x:v>
      </x:c>
      <x:c r="M2434" s="31" t="n">
        <x:f>IF(AND(N2434="미수",G2434&lt;&gt;"",TODAY()&gt;G2434),TODAY()-G2434,0)</x:f>
        <x:v>268</x:v>
      </x:c>
      <x:c r="N2434" s="24" t="str">
        <x:f>IF(J2434&gt;0,"미수",IF(AND(H2434&gt;0,I2434&gt;=H2434),"완납","미확인"))</x:f>
        <x:v>미수</x:v>
      </x:c>
      <x:c r="O2434" s="31" t="n">
        <x:v>11</x:v>
      </x:c>
    </x:row>
    <x:row r="2435" ht="17.25" customHeight="1">
      <x:c r="A2435" s="24" t="str">
        <x:v>PR-B-01도2340-202510</x:v>
      </x:c>
      <x:c r="B2435" s="24" t="str">
        <x:v>프라임구독</x:v>
      </x:c>
      <x:c r="C2435" s="24" t="str">
        <x:v>PR-C-01도2340-1-20230105-3</x:v>
      </x:c>
      <x:c r="D2435" s="24" t="str">
        <x:v>01도2340</x:v>
      </x:c>
      <x:c r="E2435" s="24" t="str">
        <x:v>이광용</x:v>
      </x:c>
      <x:c r="F2435" s="24" t="str">
        <x:v>2025-10</x:v>
      </x:c>
      <x:c r="G2435" s="30" t="n">
        <x:v>45950</x:v>
      </x:c>
      <x:c r="H2435" s="32" t="n">
        <x:v>640000</x:v>
      </x:c>
      <x:c r="I2435" s="32"/>
      <x:c r="J2435" s="32" t="n">
        <x:v>640000</x:v>
      </x:c>
      <x:c r="K2435" s="30"/>
      <x:c r="L2435" s="24" t="str"/>
      <x:c r="M2435" s="31" t="n">
        <x:f>IF(AND(N2435="미수",G2435&lt;&gt;"",TODAY()&gt;G2435),TODAY()-G2435,0)</x:f>
        <x:v>299</x:v>
      </x:c>
      <x:c r="N2435" s="24" t="str">
        <x:f>IF(J2435&gt;0,"미수",IF(AND(H2435&gt;0,I2435&gt;=H2435),"완납","미확인"))</x:f>
        <x:v>미수</x:v>
      </x:c>
      <x:c r="O2435" s="31" t="n">
        <x:v>11</x:v>
      </x:c>
    </x:row>
    <x:row r="2436" ht="17.25" customHeight="1">
      <x:c r="A2436" s="24" t="str">
        <x:v>PR-B-01도2340-202509</x:v>
      </x:c>
      <x:c r="B2436" s="24" t="str">
        <x:v>프라임구독</x:v>
      </x:c>
      <x:c r="C2436" s="24" t="str">
        <x:v>PR-C-01도2340-1-20230105-3</x:v>
      </x:c>
      <x:c r="D2436" s="24" t="str">
        <x:v>01도2340</x:v>
      </x:c>
      <x:c r="E2436" s="24" t="str">
        <x:v>이광용</x:v>
      </x:c>
      <x:c r="F2436" s="24" t="str">
        <x:v>2025-09</x:v>
      </x:c>
      <x:c r="G2436" s="30" t="n">
        <x:v>45920</x:v>
      </x:c>
      <x:c r="H2436" s="32" t="n">
        <x:v>640000</x:v>
      </x:c>
      <x:c r="I2436" s="32" t="n">
        <x:v>640000</x:v>
      </x:c>
      <x:c r="J2436" s="32" t="n">
        <x:v>0</x:v>
      </x:c>
      <x:c r="K2436" s="30" t="n">
        <x:v>45920</x:v>
      </x:c>
      <x:c r="L2436" s="24" t="str">
        <x:v>카드</x:v>
      </x:c>
      <x:c r="M2436" s="31" t="n">
        <x:f>IF(AND(N2436="미수",G2436&lt;&gt;"",TODAY()&gt;G2436),TODAY()-G2436,0)</x:f>
        <x:v>0</x:v>
      </x:c>
      <x:c r="N2436" s="24" t="str">
        <x:f>IF(J2436&gt;0,"미수",IF(AND(H2436&gt;0,I2436&gt;=H2436),"완납","미확인"))</x:f>
        <x:v>완납</x:v>
      </x:c>
      <x:c r="O2436" s="31" t="n">
        <x:v>11</x:v>
      </x:c>
    </x:row>
    <x:row r="2437" ht="17.25" customHeight="1">
      <x:c r="A2437" s="24" t="str">
        <x:v>PR-B-01도2340-202508</x:v>
      </x:c>
      <x:c r="B2437" s="24" t="str">
        <x:v>프라임구독</x:v>
      </x:c>
      <x:c r="C2437" s="24" t="str">
        <x:v>PR-C-01도2340-1-20230105-3</x:v>
      </x:c>
      <x:c r="D2437" s="24" t="str">
        <x:v>01도2340</x:v>
      </x:c>
      <x:c r="E2437" s="24" t="str">
        <x:v>이광용</x:v>
      </x:c>
      <x:c r="F2437" s="24" t="str">
        <x:v>2025-08</x:v>
      </x:c>
      <x:c r="G2437" s="30" t="n">
        <x:v>45889</x:v>
      </x:c>
      <x:c r="H2437" s="32" t="n">
        <x:v>640000</x:v>
      </x:c>
      <x:c r="I2437" s="32" t="n">
        <x:v>640000</x:v>
      </x:c>
      <x:c r="J2437" s="32" t="n">
        <x:v>0</x:v>
      </x:c>
      <x:c r="K2437" s="30" t="n">
        <x:v>45889</x:v>
      </x:c>
      <x:c r="L2437" s="24" t="str">
        <x:v>카드</x:v>
      </x:c>
      <x:c r="M2437" s="31" t="n">
        <x:f>IF(AND(N2437="미수",G2437&lt;&gt;"",TODAY()&gt;G2437),TODAY()-G2437,0)</x:f>
        <x:v>0</x:v>
      </x:c>
      <x:c r="N2437" s="24" t="str">
        <x:f>IF(J2437&gt;0,"미수",IF(AND(H2437&gt;0,I2437&gt;=H2437),"완납","미확인"))</x:f>
        <x:v>완납</x:v>
      </x:c>
      <x:c r="O2437" s="31" t="n">
        <x:v>11</x:v>
      </x:c>
    </x:row>
    <x:row r="2438" ht="17.25" customHeight="1">
      <x:c r="A2438" s="24" t="str">
        <x:v>PR-B-01도2340-202507</x:v>
      </x:c>
      <x:c r="B2438" s="24" t="str">
        <x:v>프라임구독</x:v>
      </x:c>
      <x:c r="C2438" s="24" t="str">
        <x:v>PR-C-01도2340-1-20230105-3</x:v>
      </x:c>
      <x:c r="D2438" s="24" t="str">
        <x:v>01도2340</x:v>
      </x:c>
      <x:c r="E2438" s="24" t="str">
        <x:v>이광용</x:v>
      </x:c>
      <x:c r="F2438" s="24" t="str">
        <x:v>2025-07</x:v>
      </x:c>
      <x:c r="G2438" s="30" t="n">
        <x:v>45858</x:v>
      </x:c>
      <x:c r="H2438" s="32" t="n">
        <x:v>640000</x:v>
      </x:c>
      <x:c r="I2438" s="32" t="n">
        <x:v>640000</x:v>
      </x:c>
      <x:c r="J2438" s="32" t="n">
        <x:v>0</x:v>
      </x:c>
      <x:c r="K2438" s="30" t="n">
        <x:v>45859</x:v>
      </x:c>
      <x:c r="L2438" s="24" t="str">
        <x:v>자동</x:v>
      </x:c>
      <x:c r="M2438" s="31" t="n">
        <x:f>IF(AND(N2438="미수",G2438&lt;&gt;"",TODAY()&gt;G2438),TODAY()-G2438,0)</x:f>
        <x:v>0</x:v>
      </x:c>
      <x:c r="N2438" s="24" t="str">
        <x:f>IF(J2438&gt;0,"미수",IF(AND(H2438&gt;0,I2438&gt;=H2438),"완납","미확인"))</x:f>
        <x:v>완납</x:v>
      </x:c>
      <x:c r="O2438" s="31" t="n">
        <x:v>11</x:v>
      </x:c>
    </x:row>
    <x:row r="2439" ht="17.25" customHeight="1">
      <x:c r="A2439" s="24" t="str">
        <x:v>PR-B-01도2340-202506</x:v>
      </x:c>
      <x:c r="B2439" s="24" t="str">
        <x:v>프라임구독</x:v>
      </x:c>
      <x:c r="C2439" s="24" t="str">
        <x:v>PR-C-01도2340-1-20230105-3</x:v>
      </x:c>
      <x:c r="D2439" s="24" t="str">
        <x:v>01도2340</x:v>
      </x:c>
      <x:c r="E2439" s="24" t="str">
        <x:v>이광용</x:v>
      </x:c>
      <x:c r="F2439" s="24" t="str">
        <x:v>2025-06</x:v>
      </x:c>
      <x:c r="G2439" s="30" t="n">
        <x:v>45828</x:v>
      </x:c>
      <x:c r="H2439" s="32" t="n">
        <x:v>640000</x:v>
      </x:c>
      <x:c r="I2439" s="32" t="n">
        <x:v>640000</x:v>
      </x:c>
      <x:c r="J2439" s="32" t="n">
        <x:v>0</x:v>
      </x:c>
      <x:c r="K2439" s="30" t="n">
        <x:v>45828</x:v>
      </x:c>
      <x:c r="L2439" s="24" t="str">
        <x:v>카드</x:v>
      </x:c>
      <x:c r="M2439" s="31" t="n">
        <x:f>IF(AND(N2439="미수",G2439&lt;&gt;"",TODAY()&gt;G2439),TODAY()-G2439,0)</x:f>
        <x:v>0</x:v>
      </x:c>
      <x:c r="N2439" s="24" t="str">
        <x:f>IF(J2439&gt;0,"미수",IF(AND(H2439&gt;0,I2439&gt;=H2439),"완납","미확인"))</x:f>
        <x:v>완납</x:v>
      </x:c>
      <x:c r="O2439" s="31" t="n">
        <x:v>11</x:v>
      </x:c>
    </x:row>
    <x:row r="2440" ht="17.25" customHeight="1">
      <x:c r="A2440" s="24" t="str">
        <x:v>PR-B-01도2340-202505</x:v>
      </x:c>
      <x:c r="B2440" s="24" t="str">
        <x:v>프라임구독</x:v>
      </x:c>
      <x:c r="C2440" s="24" t="str">
        <x:v>PR-C-01도2340-1-20230105-3</x:v>
      </x:c>
      <x:c r="D2440" s="24" t="str">
        <x:v>01도2340</x:v>
      </x:c>
      <x:c r="E2440" s="24" t="str">
        <x:v>이광용</x:v>
      </x:c>
      <x:c r="F2440" s="24" t="str">
        <x:v>2025-05</x:v>
      </x:c>
      <x:c r="G2440" s="30" t="n">
        <x:v>45797</x:v>
      </x:c>
      <x:c r="H2440" s="32" t="n">
        <x:v>640000</x:v>
      </x:c>
      <x:c r="I2440" s="32" t="n">
        <x:v>640000</x:v>
      </x:c>
      <x:c r="J2440" s="32" t="n">
        <x:v>0</x:v>
      </x:c>
      <x:c r="K2440" s="30" t="n">
        <x:v>45797</x:v>
      </x:c>
      <x:c r="L2440" s="24" t="str">
        <x:v>자동</x:v>
      </x:c>
      <x:c r="M2440" s="31" t="n">
        <x:f>IF(AND(N2440="미수",G2440&lt;&gt;"",TODAY()&gt;G2440),TODAY()-G2440,0)</x:f>
        <x:v>0</x:v>
      </x:c>
      <x:c r="N2440" s="24" t="str">
        <x:f>IF(J2440&gt;0,"미수",IF(AND(H2440&gt;0,I2440&gt;=H2440),"완납","미확인"))</x:f>
        <x:v>완납</x:v>
      </x:c>
      <x:c r="O2440" s="31" t="n">
        <x:v>11</x:v>
      </x:c>
    </x:row>
    <x:row r="2441" ht="17.25" customHeight="1">
      <x:c r="A2441" s="24" t="str">
        <x:v>PR-B-01도2340-202504</x:v>
      </x:c>
      <x:c r="B2441" s="24" t="str">
        <x:v>프라임구독</x:v>
      </x:c>
      <x:c r="C2441" s="24" t="str">
        <x:v>PR-C-01도2340-1-20230105-3</x:v>
      </x:c>
      <x:c r="D2441" s="24" t="str">
        <x:v>01도2340</x:v>
      </x:c>
      <x:c r="E2441" s="24" t="str">
        <x:v>이광용</x:v>
      </x:c>
      <x:c r="F2441" s="24" t="str">
        <x:v>2025-04</x:v>
      </x:c>
      <x:c r="G2441" s="30" t="n">
        <x:v>45767</x:v>
      </x:c>
      <x:c r="H2441" s="32" t="n">
        <x:v>640000</x:v>
      </x:c>
      <x:c r="I2441" s="32" t="n">
        <x:v>640000</x:v>
      </x:c>
      <x:c r="J2441" s="32" t="n">
        <x:v>0</x:v>
      </x:c>
      <x:c r="K2441" s="30" t="n">
        <x:v>45768</x:v>
      </x:c>
      <x:c r="L2441" s="24" t="str">
        <x:v>카드</x:v>
      </x:c>
      <x:c r="M2441" s="31" t="n">
        <x:f>IF(AND(N2441="미수",G2441&lt;&gt;"",TODAY()&gt;G2441),TODAY()-G2441,0)</x:f>
        <x:v>0</x:v>
      </x:c>
      <x:c r="N2441" s="24" t="str">
        <x:f>IF(J2441&gt;0,"미수",IF(AND(H2441&gt;0,I2441&gt;=H2441),"완납","미확인"))</x:f>
        <x:v>완납</x:v>
      </x:c>
      <x:c r="O2441" s="31" t="n">
        <x:v>11</x:v>
      </x:c>
    </x:row>
    <x:row r="2442" ht="17.25" customHeight="1">
      <x:c r="A2442" s="24" t="str">
        <x:v>PR-B-01도2340-202503</x:v>
      </x:c>
      <x:c r="B2442" s="24" t="str">
        <x:v>프라임구독</x:v>
      </x:c>
      <x:c r="C2442" s="24" t="str">
        <x:v>PR-C-01도2340-1-20230105-3</x:v>
      </x:c>
      <x:c r="D2442" s="24" t="str">
        <x:v>01도2340</x:v>
      </x:c>
      <x:c r="E2442" s="24" t="str">
        <x:v>이광용</x:v>
      </x:c>
      <x:c r="F2442" s="24" t="str">
        <x:v>2025-03</x:v>
      </x:c>
      <x:c r="G2442" s="30" t="n">
        <x:v>45736</x:v>
      </x:c>
      <x:c r="H2442" s="32" t="n">
        <x:v>640000</x:v>
      </x:c>
      <x:c r="I2442" s="32" t="n">
        <x:v>640000</x:v>
      </x:c>
      <x:c r="J2442" s="32" t="n">
        <x:v>0</x:v>
      </x:c>
      <x:c r="K2442" s="30" t="n">
        <x:v>45736</x:v>
      </x:c>
      <x:c r="L2442" s="24" t="str">
        <x:v>카드</x:v>
      </x:c>
      <x:c r="M2442" s="31" t="n">
        <x:f>IF(AND(N2442="미수",G2442&lt;&gt;"",TODAY()&gt;G2442),TODAY()-G2442,0)</x:f>
        <x:v>0</x:v>
      </x:c>
      <x:c r="N2442" s="24" t="str">
        <x:f>IF(J2442&gt;0,"미수",IF(AND(H2442&gt;0,I2442&gt;=H2442),"완납","미확인"))</x:f>
        <x:v>완납</x:v>
      </x:c>
      <x:c r="O2442" s="31" t="n">
        <x:v>11</x:v>
      </x:c>
    </x:row>
    <x:row r="2443" ht="17.25" customHeight="1">
      <x:c r="A2443" s="24" t="str">
        <x:v>PR-B-01도2340-202502</x:v>
      </x:c>
      <x:c r="B2443" s="24" t="str">
        <x:v>프라임구독</x:v>
      </x:c>
      <x:c r="C2443" s="24" t="str">
        <x:v>PR-C-01도2340-1-20230105-3</x:v>
      </x:c>
      <x:c r="D2443" s="24" t="str">
        <x:v>01도2340</x:v>
      </x:c>
      <x:c r="E2443" s="24" t="str">
        <x:v>이광용</x:v>
      </x:c>
      <x:c r="F2443" s="24" t="str">
        <x:v>2025-02</x:v>
      </x:c>
      <x:c r="G2443" s="30" t="n">
        <x:v>45708</x:v>
      </x:c>
      <x:c r="H2443" s="32" t="n">
        <x:v>640000</x:v>
      </x:c>
      <x:c r="I2443" s="32" t="n">
        <x:v>640000</x:v>
      </x:c>
      <x:c r="J2443" s="32" t="n">
        <x:v>0</x:v>
      </x:c>
      <x:c r="K2443" s="30" t="n">
        <x:v>45708</x:v>
      </x:c>
      <x:c r="L2443" s="24" t="str">
        <x:v>자동</x:v>
      </x:c>
      <x:c r="M2443" s="31" t="n">
        <x:f>IF(AND(N2443="미수",G2443&lt;&gt;"",TODAY()&gt;G2443),TODAY()-G2443,0)</x:f>
        <x:v>0</x:v>
      </x:c>
      <x:c r="N2443" s="24" t="str">
        <x:f>IF(J2443&gt;0,"미수",IF(AND(H2443&gt;0,I2443&gt;=H2443),"완납","미확인"))</x:f>
        <x:v>완납</x:v>
      </x:c>
      <x:c r="O2443" s="31" t="n">
        <x:v>11</x:v>
      </x:c>
    </x:row>
    <x:row r="2444" ht="17.25" customHeight="1">
      <x:c r="A2444" s="24" t="str">
        <x:v>PR-B-01도2340-202501</x:v>
      </x:c>
      <x:c r="B2444" s="24" t="str">
        <x:v>프라임구독</x:v>
      </x:c>
      <x:c r="C2444" s="24" t="str">
        <x:v>PR-C-01도2340-1-20230105-3</x:v>
      </x:c>
      <x:c r="D2444" s="24" t="str">
        <x:v>01도2340</x:v>
      </x:c>
      <x:c r="E2444" s="24" t="str">
        <x:v>이광용</x:v>
      </x:c>
      <x:c r="F2444" s="24" t="str">
        <x:v>2025-01</x:v>
      </x:c>
      <x:c r="G2444" s="30" t="n">
        <x:v>45677</x:v>
      </x:c>
      <x:c r="H2444" s="32" t="n">
        <x:v>640000</x:v>
      </x:c>
      <x:c r="I2444" s="32" t="n">
        <x:v>640000</x:v>
      </x:c>
      <x:c r="J2444" s="32" t="n">
        <x:v>0</x:v>
      </x:c>
      <x:c r="K2444" s="30" t="n">
        <x:v>45677</x:v>
      </x:c>
      <x:c r="L2444" s="24" t="str">
        <x:v>자동</x:v>
      </x:c>
      <x:c r="M2444" s="31" t="n">
        <x:f>IF(AND(N2444="미수",G2444&lt;&gt;"",TODAY()&gt;G2444),TODAY()-G2444,0)</x:f>
        <x:v>0</x:v>
      </x:c>
      <x:c r="N2444" s="24" t="str">
        <x:f>IF(J2444&gt;0,"미수",IF(AND(H2444&gt;0,I2444&gt;=H2444),"완납","미확인"))</x:f>
        <x:v>완납</x:v>
      </x:c>
      <x:c r="O2444" s="31" t="n">
        <x:v>11</x:v>
      </x:c>
    </x:row>
    <x:row r="2445" ht="17.25" customHeight="1">
      <x:c r="A2445" s="24" t="str">
        <x:v>PR-B-01도2340-202412</x:v>
      </x:c>
      <x:c r="B2445" s="24" t="str">
        <x:v>프라임구독</x:v>
      </x:c>
      <x:c r="C2445" s="24" t="str">
        <x:v>PR-C-01도2340-1-20230105-3</x:v>
      </x:c>
      <x:c r="D2445" s="24" t="str">
        <x:v>01도2340</x:v>
      </x:c>
      <x:c r="E2445" s="24" t="str">
        <x:v>이광용</x:v>
      </x:c>
      <x:c r="F2445" s="24" t="str">
        <x:v>2024-12</x:v>
      </x:c>
      <x:c r="G2445" s="30" t="n">
        <x:v>45646</x:v>
      </x:c>
      <x:c r="H2445" s="32" t="n">
        <x:v>640000</x:v>
      </x:c>
      <x:c r="I2445" s="32" t="n">
        <x:v>640000</x:v>
      </x:c>
      <x:c r="J2445" s="32" t="n">
        <x:v>0</x:v>
      </x:c>
      <x:c r="K2445" s="30" t="n">
        <x:v>45646</x:v>
      </x:c>
      <x:c r="L2445" s="24" t="str">
        <x:v>자동</x:v>
      </x:c>
      <x:c r="M2445" s="31" t="n">
        <x:f>IF(AND(N2445="미수",G2445&lt;&gt;"",TODAY()&gt;G2445),TODAY()-G2445,0)</x:f>
        <x:v>0</x:v>
      </x:c>
      <x:c r="N2445" s="24" t="str">
        <x:f>IF(J2445&gt;0,"미수",IF(AND(H2445&gt;0,I2445&gt;=H2445),"완납","미확인"))</x:f>
        <x:v>완납</x:v>
      </x:c>
      <x:c r="O2445" s="31" t="n">
        <x:v>11</x:v>
      </x:c>
    </x:row>
    <x:row r="2446" ht="17.25" customHeight="1">
      <x:c r="A2446" s="24" t="str">
        <x:v>PR-B-01도2340-202411</x:v>
      </x:c>
      <x:c r="B2446" s="24" t="str">
        <x:v>프라임구독</x:v>
      </x:c>
      <x:c r="C2446" s="24" t="str">
        <x:v>PR-C-01도2340-1-20230105-3</x:v>
      </x:c>
      <x:c r="D2446" s="24" t="str">
        <x:v>01도2340</x:v>
      </x:c>
      <x:c r="E2446" s="24" t="str">
        <x:v>이광용</x:v>
      </x:c>
      <x:c r="F2446" s="24" t="str">
        <x:v>2024-11</x:v>
      </x:c>
      <x:c r="G2446" s="30" t="n">
        <x:v>45616</x:v>
      </x:c>
      <x:c r="H2446" s="32" t="n">
        <x:v>640000</x:v>
      </x:c>
      <x:c r="I2446" s="32" t="n">
        <x:v>640000</x:v>
      </x:c>
      <x:c r="J2446" s="32" t="n">
        <x:v>0</x:v>
      </x:c>
      <x:c r="K2446" s="30" t="n">
        <x:v>45616</x:v>
      </x:c>
      <x:c r="L2446" s="24" t="str">
        <x:v>자동</x:v>
      </x:c>
      <x:c r="M2446" s="31" t="n">
        <x:f>IF(AND(N2446="미수",G2446&lt;&gt;"",TODAY()&gt;G2446),TODAY()-G2446,0)</x:f>
        <x:v>0</x:v>
      </x:c>
      <x:c r="N2446" s="24" t="str">
        <x:f>IF(J2446&gt;0,"미수",IF(AND(H2446&gt;0,I2446&gt;=H2446),"완납","미확인"))</x:f>
        <x:v>완납</x:v>
      </x:c>
      <x:c r="O2446" s="31" t="n">
        <x:v>11</x:v>
      </x:c>
    </x:row>
    <x:row r="2447" ht="17.25" customHeight="1">
      <x:c r="A2447" s="24" t="str">
        <x:v>PR-B-01도2340-202410</x:v>
      </x:c>
      <x:c r="B2447" s="24" t="str">
        <x:v>프라임구독</x:v>
      </x:c>
      <x:c r="C2447" s="24" t="str">
        <x:v>PR-C-01도2340-1-20230105-3</x:v>
      </x:c>
      <x:c r="D2447" s="24" t="str">
        <x:v>01도2340</x:v>
      </x:c>
      <x:c r="E2447" s="24" t="str">
        <x:v>이광용</x:v>
      </x:c>
      <x:c r="F2447" s="24" t="str">
        <x:v>2024-10</x:v>
      </x:c>
      <x:c r="G2447" s="30" t="n">
        <x:v>45585</x:v>
      </x:c>
      <x:c r="H2447" s="32" t="n">
        <x:v>640000</x:v>
      </x:c>
      <x:c r="I2447" s="32" t="n">
        <x:v>640000</x:v>
      </x:c>
      <x:c r="J2447" s="32" t="n">
        <x:v>0</x:v>
      </x:c>
      <x:c r="K2447" s="30" t="n">
        <x:v>45585</x:v>
      </x:c>
      <x:c r="L2447" s="24" t="str">
        <x:v>자동</x:v>
      </x:c>
      <x:c r="M2447" s="31" t="n">
        <x:f>IF(AND(N2447="미수",G2447&lt;&gt;"",TODAY()&gt;G2447),TODAY()-G2447,0)</x:f>
        <x:v>0</x:v>
      </x:c>
      <x:c r="N2447" s="24" t="str">
        <x:f>IF(J2447&gt;0,"미수",IF(AND(H2447&gt;0,I2447&gt;=H2447),"완납","미확인"))</x:f>
        <x:v>완납</x:v>
      </x:c>
      <x:c r="O2447" s="31" t="n">
        <x:v>11</x:v>
      </x:c>
    </x:row>
    <x:row r="2448" ht="17.25" customHeight="1">
      <x:c r="A2448" s="24" t="str">
        <x:v>PR-B-01도2340-202409</x:v>
      </x:c>
      <x:c r="B2448" s="24" t="str">
        <x:v>프라임구독</x:v>
      </x:c>
      <x:c r="C2448" s="24" t="str">
        <x:v>PR-C-01도2340-1-20230105-3</x:v>
      </x:c>
      <x:c r="D2448" s="24" t="str">
        <x:v>01도2340</x:v>
      </x:c>
      <x:c r="E2448" s="24" t="str">
        <x:v>이광용</x:v>
      </x:c>
      <x:c r="F2448" s="24" t="str">
        <x:v>2024-09</x:v>
      </x:c>
      <x:c r="G2448" s="30" t="n">
        <x:v>45555</x:v>
      </x:c>
      <x:c r="H2448" s="32" t="n">
        <x:v>640000</x:v>
      </x:c>
      <x:c r="I2448" s="32" t="n">
        <x:v>640000</x:v>
      </x:c>
      <x:c r="J2448" s="32" t="n">
        <x:v>0</x:v>
      </x:c>
      <x:c r="K2448" s="30" t="n">
        <x:v>45555</x:v>
      </x:c>
      <x:c r="L2448" s="24" t="str">
        <x:v>자동</x:v>
      </x:c>
      <x:c r="M2448" s="31" t="n">
        <x:f>IF(AND(N2448="미수",G2448&lt;&gt;"",TODAY()&gt;G2448),TODAY()-G2448,0)</x:f>
        <x:v>0</x:v>
      </x:c>
      <x:c r="N2448" s="24" t="str">
        <x:f>IF(J2448&gt;0,"미수",IF(AND(H2448&gt;0,I2448&gt;=H2448),"완납","미확인"))</x:f>
        <x:v>완납</x:v>
      </x:c>
      <x:c r="O2448" s="31" t="n">
        <x:v>11</x:v>
      </x:c>
    </x:row>
    <x:row r="2449" ht="17.25" customHeight="1">
      <x:c r="A2449" s="24" t="str">
        <x:v>PR-B-01도2340-202408</x:v>
      </x:c>
      <x:c r="B2449" s="24" t="str">
        <x:v>프라임구독</x:v>
      </x:c>
      <x:c r="C2449" s="24" t="str">
        <x:v>PR-C-01도2340-1-20230105-3</x:v>
      </x:c>
      <x:c r="D2449" s="24" t="str">
        <x:v>01도2340</x:v>
      </x:c>
      <x:c r="E2449" s="24" t="str">
        <x:v>이광용</x:v>
      </x:c>
      <x:c r="F2449" s="24" t="str">
        <x:v>2024-08</x:v>
      </x:c>
      <x:c r="G2449" s="30" t="n">
        <x:v>45524</x:v>
      </x:c>
      <x:c r="H2449" s="32" t="n">
        <x:v>640000</x:v>
      </x:c>
      <x:c r="I2449" s="32" t="n">
        <x:v>640000</x:v>
      </x:c>
      <x:c r="J2449" s="32" t="n">
        <x:v>0</x:v>
      </x:c>
      <x:c r="K2449" s="30" t="n">
        <x:v>45524</x:v>
      </x:c>
      <x:c r="L2449" s="24" t="str">
        <x:v>자동</x:v>
      </x:c>
      <x:c r="M2449" s="31" t="n">
        <x:f>IF(AND(N2449="미수",G2449&lt;&gt;"",TODAY()&gt;G2449),TODAY()-G2449,0)</x:f>
        <x:v>0</x:v>
      </x:c>
      <x:c r="N2449" s="24" t="str">
        <x:f>IF(J2449&gt;0,"미수",IF(AND(H2449&gt;0,I2449&gt;=H2449),"완납","미확인"))</x:f>
        <x:v>완납</x:v>
      </x:c>
      <x:c r="O2449" s="31" t="n">
        <x:v>11</x:v>
      </x:c>
    </x:row>
    <x:row r="2450" ht="17.25" customHeight="1">
      <x:c r="A2450" s="24" t="str">
        <x:v>PR-B-01도2340-202407</x:v>
      </x:c>
      <x:c r="B2450" s="24" t="str">
        <x:v>프라임구독</x:v>
      </x:c>
      <x:c r="C2450" s="24" t="str">
        <x:v>PR-C-01도2340-1-20230105-3</x:v>
      </x:c>
      <x:c r="D2450" s="24" t="str">
        <x:v>01도2340</x:v>
      </x:c>
      <x:c r="E2450" s="24" t="str">
        <x:v>이광용</x:v>
      </x:c>
      <x:c r="F2450" s="24" t="str">
        <x:v>2024-07</x:v>
      </x:c>
      <x:c r="G2450" s="30" t="n">
        <x:v>45493</x:v>
      </x:c>
      <x:c r="H2450" s="32" t="n">
        <x:v>640000</x:v>
      </x:c>
      <x:c r="I2450" s="32" t="n">
        <x:v>640000</x:v>
      </x:c>
      <x:c r="J2450" s="32" t="n">
        <x:v>0</x:v>
      </x:c>
      <x:c r="K2450" s="30" t="n">
        <x:v>45493</x:v>
      </x:c>
      <x:c r="L2450" s="24" t="str">
        <x:v>카드</x:v>
      </x:c>
      <x:c r="M2450" s="31" t="n">
        <x:f>IF(AND(N2450="미수",G2450&lt;&gt;"",TODAY()&gt;G2450),TODAY()-G2450,0)</x:f>
        <x:v>0</x:v>
      </x:c>
      <x:c r="N2450" s="24" t="str">
        <x:f>IF(J2450&gt;0,"미수",IF(AND(H2450&gt;0,I2450&gt;=H2450),"완납","미확인"))</x:f>
        <x:v>완납</x:v>
      </x:c>
      <x:c r="O2450" s="31" t="n">
        <x:v>11</x:v>
      </x:c>
    </x:row>
    <x:row r="2451" ht="17.25" customHeight="1">
      <x:c r="A2451" s="24" t="str">
        <x:v>PR-B-01도2340-202406</x:v>
      </x:c>
      <x:c r="B2451" s="24" t="str">
        <x:v>프라임구독</x:v>
      </x:c>
      <x:c r="C2451" s="24" t="str">
        <x:v>PR-C-01도2340-1-20230105-3</x:v>
      </x:c>
      <x:c r="D2451" s="24" t="str">
        <x:v>01도2340</x:v>
      </x:c>
      <x:c r="E2451" s="24" t="str">
        <x:v>이광용</x:v>
      </x:c>
      <x:c r="F2451" s="24" t="str">
        <x:v>2024-06</x:v>
      </x:c>
      <x:c r="G2451" s="30" t="n">
        <x:v>45463</x:v>
      </x:c>
      <x:c r="H2451" s="32" t="n">
        <x:v>640000</x:v>
      </x:c>
      <x:c r="I2451" s="32" t="n">
        <x:v>640000</x:v>
      </x:c>
      <x:c r="J2451" s="32" t="n">
        <x:v>0</x:v>
      </x:c>
      <x:c r="K2451" s="30" t="n">
        <x:v>45463</x:v>
      </x:c>
      <x:c r="L2451" s="24" t="str"/>
      <x:c r="M2451" s="31" t="n">
        <x:f>IF(AND(N2451="미수",G2451&lt;&gt;"",TODAY()&gt;G2451),TODAY()-G2451,0)</x:f>
        <x:v>0</x:v>
      </x:c>
      <x:c r="N2451" s="24" t="str">
        <x:f>IF(J2451&gt;0,"미수",IF(AND(H2451&gt;0,I2451&gt;=H2451),"완납","미확인"))</x:f>
        <x:v>완납</x:v>
      </x:c>
      <x:c r="O2451" s="31" t="n">
        <x:v>11</x:v>
      </x:c>
    </x:row>
    <x:row r="2452" ht="17.25" customHeight="1">
      <x:c r="A2452" s="24" t="str">
        <x:v>PR-B-01도2340-202405</x:v>
      </x:c>
      <x:c r="B2452" s="24" t="str">
        <x:v>프라임구독</x:v>
      </x:c>
      <x:c r="C2452" s="24" t="str">
        <x:v>PR-C-01도2340-1-20230105-3</x:v>
      </x:c>
      <x:c r="D2452" s="24" t="str">
        <x:v>01도2340</x:v>
      </x:c>
      <x:c r="E2452" s="24" t="str">
        <x:v>이광용</x:v>
      </x:c>
      <x:c r="F2452" s="24" t="str">
        <x:v>2024-05</x:v>
      </x:c>
      <x:c r="G2452" s="30" t="n">
        <x:v>45432</x:v>
      </x:c>
      <x:c r="H2452" s="32" t="n">
        <x:v>640000</x:v>
      </x:c>
      <x:c r="I2452" s="32" t="n">
        <x:v>640000</x:v>
      </x:c>
      <x:c r="J2452" s="32" t="n">
        <x:v>0</x:v>
      </x:c>
      <x:c r="K2452" s="30" t="n">
        <x:v>45435</x:v>
      </x:c>
      <x:c r="L2452" s="24" t="str"/>
      <x:c r="M2452" s="31" t="n">
        <x:f>IF(AND(N2452="미수",G2452&lt;&gt;"",TODAY()&gt;G2452),TODAY()-G2452,0)</x:f>
        <x:v>0</x:v>
      </x:c>
      <x:c r="N2452" s="24" t="str">
        <x:f>IF(J2452&gt;0,"미수",IF(AND(H2452&gt;0,I2452&gt;=H2452),"완납","미확인"))</x:f>
        <x:v>완납</x:v>
      </x:c>
      <x:c r="O2452" s="31" t="n">
        <x:v>11</x:v>
      </x:c>
    </x:row>
    <x:row r="2453" ht="17.25" customHeight="1">
      <x:c r="A2453" s="24" t="str">
        <x:v>PR-B-184더7470-202608</x:v>
      </x:c>
      <x:c r="B2453" s="24" t="str">
        <x:v>프라임구독</x:v>
      </x:c>
      <x:c r="C2453" s="24" t="str">
        <x:v>PR-C-184더7470-1-20230217-65</x:v>
      </x:c>
      <x:c r="D2453" s="24" t="str">
        <x:v>184더7470</x:v>
      </x:c>
      <x:c r="E2453" s="24" t="str">
        <x:v>진하정</x:v>
      </x:c>
      <x:c r="F2453" s="24" t="str">
        <x:v>2026-08</x:v>
      </x:c>
      <x:c r="G2453" s="30" t="n">
        <x:v>46264</x:v>
      </x:c>
      <x:c r="H2453" s="32" t="n">
        <x:v>473000</x:v>
      </x:c>
      <x:c r="I2453" s="32"/>
      <x:c r="J2453" s="32" t="n">
        <x:v>3784000</x:v>
      </x:c>
      <x:c r="K2453" s="30"/>
      <x:c r="L2453" s="24" t="str"/>
      <x:c r="M2453" s="31" t="n">
        <x:f>IF(AND(N2453="미수",G2453&lt;&gt;"",TODAY()&gt;G2453),TODAY()-G2453,0)</x:f>
        <x:v>0</x:v>
      </x:c>
      <x:c r="N2453" s="24" t="str">
        <x:f>IF(J2453&gt;0,"미수",IF(AND(H2453&gt;0,I2453&gt;=H2453),"완납","미확인"))</x:f>
        <x:v>미수</x:v>
      </x:c>
      <x:c r="O2453" s="31" t="n">
        <x:v>12</x:v>
      </x:c>
    </x:row>
    <x:row r="2454" ht="17.25" customHeight="1">
      <x:c r="A2454" s="24" t="str">
        <x:v>PR-B-184더7470-202607</x:v>
      </x:c>
      <x:c r="B2454" s="24" t="str">
        <x:v>프라임구독</x:v>
      </x:c>
      <x:c r="C2454" s="24" t="str">
        <x:v>PR-C-184더7470-1-20230217-65</x:v>
      </x:c>
      <x:c r="D2454" s="24" t="str">
        <x:v>184더7470</x:v>
      </x:c>
      <x:c r="E2454" s="24" t="str">
        <x:v>진하정</x:v>
      </x:c>
      <x:c r="F2454" s="24" t="str">
        <x:v>2026-07</x:v>
      </x:c>
      <x:c r="G2454" s="30" t="n">
        <x:v>46233</x:v>
      </x:c>
      <x:c r="H2454" s="32" t="n">
        <x:v>473000</x:v>
      </x:c>
      <x:c r="I2454" s="32" t="n">
        <x:v>473000</x:v>
      </x:c>
      <x:c r="J2454" s="32" t="n">
        <x:v>3311000</x:v>
      </x:c>
      <x:c r="K2454" s="30" t="n">
        <x:v>45496</x:v>
      </x:c>
      <x:c r="L2454" s="24" t="str">
        <x:v>입금</x:v>
      </x:c>
      <x:c r="M2454" s="31" t="n">
        <x:f>IF(AND(N2454="미수",G2454&lt;&gt;"",TODAY()&gt;G2454),TODAY()-G2454,0)</x:f>
        <x:v>16</x:v>
      </x:c>
      <x:c r="N2454" s="24" t="str">
        <x:f>IF(J2454&gt;0,"미수",IF(AND(H2454&gt;0,I2454&gt;=H2454),"완납","미확인"))</x:f>
        <x:v>미수</x:v>
      </x:c>
      <x:c r="O2454" s="31" t="n">
        <x:v>12</x:v>
      </x:c>
    </x:row>
    <x:row r="2455" ht="17.25" customHeight="1">
      <x:c r="A2455" s="24" t="str">
        <x:v>PR-B-184더7470-202606</x:v>
      </x:c>
      <x:c r="B2455" s="24" t="str">
        <x:v>프라임구독</x:v>
      </x:c>
      <x:c r="C2455" s="24" t="str">
        <x:v>PR-C-184더7470-1-20230217-65</x:v>
      </x:c>
      <x:c r="D2455" s="24" t="str">
        <x:v>184더7470</x:v>
      </x:c>
      <x:c r="E2455" s="24" t="str">
        <x:v>진하정</x:v>
      </x:c>
      <x:c r="F2455" s="24" t="str">
        <x:v>2026-06</x:v>
      </x:c>
      <x:c r="G2455" s="30" t="n">
        <x:v>46203</x:v>
      </x:c>
      <x:c r="H2455" s="32" t="n">
        <x:v>473000</x:v>
      </x:c>
      <x:c r="I2455" s="32"/>
      <x:c r="J2455" s="32" t="n">
        <x:v>3311000</x:v>
      </x:c>
      <x:c r="K2455" s="30"/>
      <x:c r="L2455" s="24" t="str"/>
      <x:c r="M2455" s="31" t="n">
        <x:f>IF(AND(N2455="미수",G2455&lt;&gt;"",TODAY()&gt;G2455),TODAY()-G2455,0)</x:f>
        <x:v>46</x:v>
      </x:c>
      <x:c r="N2455" s="24" t="str">
        <x:f>IF(J2455&gt;0,"미수",IF(AND(H2455&gt;0,I2455&gt;=H2455),"완납","미확인"))</x:f>
        <x:v>미수</x:v>
      </x:c>
      <x:c r="O2455" s="31" t="n">
        <x:v>12</x:v>
      </x:c>
    </x:row>
    <x:row r="2456" ht="17.25" customHeight="1">
      <x:c r="A2456" s="24" t="str">
        <x:v>PR-B-184더7470-202605</x:v>
      </x:c>
      <x:c r="B2456" s="24" t="str">
        <x:v>프라임구독</x:v>
      </x:c>
      <x:c r="C2456" s="24" t="str">
        <x:v>PR-C-184더7470-1-20230217-65</x:v>
      </x:c>
      <x:c r="D2456" s="24" t="str">
        <x:v>184더7470</x:v>
      </x:c>
      <x:c r="E2456" s="24" t="str">
        <x:v>진하정</x:v>
      </x:c>
      <x:c r="F2456" s="24" t="str">
        <x:v>2026-05</x:v>
      </x:c>
      <x:c r="G2456" s="30" t="n">
        <x:v>46172</x:v>
      </x:c>
      <x:c r="H2456" s="32" t="n">
        <x:v>473000</x:v>
      </x:c>
      <x:c r="I2456" s="32" t="n">
        <x:v>473000</x:v>
      </x:c>
      <x:c r="J2456" s="32" t="n">
        <x:v>2838000</x:v>
      </x:c>
      <x:c r="K2456" s="30" t="n">
        <x:v>46173</x:v>
      </x:c>
      <x:c r="L2456" s="24" t="str">
        <x:v>입금</x:v>
      </x:c>
      <x:c r="M2456" s="31" t="n">
        <x:f>IF(AND(N2456="미수",G2456&lt;&gt;"",TODAY()&gt;G2456),TODAY()-G2456,0)</x:f>
        <x:v>77</x:v>
      </x:c>
      <x:c r="N2456" s="24" t="str">
        <x:f>IF(J2456&gt;0,"미수",IF(AND(H2456&gt;0,I2456&gt;=H2456),"완납","미확인"))</x:f>
        <x:v>미수</x:v>
      </x:c>
      <x:c r="O2456" s="31" t="n">
        <x:v>12</x:v>
      </x:c>
    </x:row>
    <x:row r="2457" ht="17.25" customHeight="1">
      <x:c r="A2457" s="24" t="str">
        <x:v>PR-B-184더7470-202604</x:v>
      </x:c>
      <x:c r="B2457" s="24" t="str">
        <x:v>프라임구독</x:v>
      </x:c>
      <x:c r="C2457" s="24" t="str">
        <x:v>PR-C-184더7470-1-20230217-65</x:v>
      </x:c>
      <x:c r="D2457" s="24" t="str">
        <x:v>184더7470</x:v>
      </x:c>
      <x:c r="E2457" s="24" t="str">
        <x:v>진하정</x:v>
      </x:c>
      <x:c r="F2457" s="24" t="str">
        <x:v>2026-04</x:v>
      </x:c>
      <x:c r="G2457" s="30" t="n">
        <x:v>46142</x:v>
      </x:c>
      <x:c r="H2457" s="32" t="n">
        <x:v>473000</x:v>
      </x:c>
      <x:c r="I2457" s="32"/>
      <x:c r="J2457" s="32" t="n">
        <x:v>2838000</x:v>
      </x:c>
      <x:c r="K2457" s="30"/>
      <x:c r="L2457" s="24" t="str"/>
      <x:c r="M2457" s="31" t="n">
        <x:f>IF(AND(N2457="미수",G2457&lt;&gt;"",TODAY()&gt;G2457),TODAY()-G2457,0)</x:f>
        <x:v>107</x:v>
      </x:c>
      <x:c r="N2457" s="24" t="str">
        <x:f>IF(J2457&gt;0,"미수",IF(AND(H2457&gt;0,I2457&gt;=H2457),"완납","미확인"))</x:f>
        <x:v>미수</x:v>
      </x:c>
      <x:c r="O2457" s="31" t="n">
        <x:v>12</x:v>
      </x:c>
    </x:row>
    <x:row r="2458" ht="17.25" customHeight="1">
      <x:c r="A2458" s="24" t="str">
        <x:v>PR-B-184더7470-202603</x:v>
      </x:c>
      <x:c r="B2458" s="24" t="str">
        <x:v>프라임구독</x:v>
      </x:c>
      <x:c r="C2458" s="24" t="str">
        <x:v>PR-C-184더7470-1-20230217-65</x:v>
      </x:c>
      <x:c r="D2458" s="24" t="str">
        <x:v>184더7470</x:v>
      </x:c>
      <x:c r="E2458" s="24" t="str">
        <x:v>진하정</x:v>
      </x:c>
      <x:c r="F2458" s="24" t="str">
        <x:v>2026-03</x:v>
      </x:c>
      <x:c r="G2458" s="30" t="n">
        <x:v>46111</x:v>
      </x:c>
      <x:c r="H2458" s="32" t="n">
        <x:v>473000</x:v>
      </x:c>
      <x:c r="I2458" s="32" t="n">
        <x:v>473000</x:v>
      </x:c>
      <x:c r="J2458" s="32" t="n">
        <x:v>2365000</x:v>
      </x:c>
      <x:c r="K2458" s="30" t="n">
        <x:v>46102</x:v>
      </x:c>
      <x:c r="L2458" s="24" t="str">
        <x:v>입금</x:v>
      </x:c>
      <x:c r="M2458" s="31" t="n">
        <x:f>IF(AND(N2458="미수",G2458&lt;&gt;"",TODAY()&gt;G2458),TODAY()-G2458,0)</x:f>
        <x:v>138</x:v>
      </x:c>
      <x:c r="N2458" s="24" t="str">
        <x:f>IF(J2458&gt;0,"미수",IF(AND(H2458&gt;0,I2458&gt;=H2458),"완납","미확인"))</x:f>
        <x:v>미수</x:v>
      </x:c>
      <x:c r="O2458" s="31" t="n">
        <x:v>12</x:v>
      </x:c>
    </x:row>
    <x:row r="2459" ht="17.25" customHeight="1">
      <x:c r="A2459" s="24" t="str">
        <x:v>PR-B-184더7470-202602</x:v>
      </x:c>
      <x:c r="B2459" s="24" t="str">
        <x:v>프라임구독</x:v>
      </x:c>
      <x:c r="C2459" s="24" t="str">
        <x:v>PR-C-184더7470-1-20230217-65</x:v>
      </x:c>
      <x:c r="D2459" s="24" t="str">
        <x:v>184더7470</x:v>
      </x:c>
      <x:c r="E2459" s="24" t="str">
        <x:v>진하정</x:v>
      </x:c>
      <x:c r="F2459" s="24" t="str">
        <x:v>2026-02</x:v>
      </x:c>
      <x:c r="G2459" s="30" t="n">
        <x:v>46081</x:v>
      </x:c>
      <x:c r="H2459" s="32" t="n">
        <x:v>473000</x:v>
      </x:c>
      <x:c r="I2459" s="32"/>
      <x:c r="J2459" s="32" t="n">
        <x:v>2365000</x:v>
      </x:c>
      <x:c r="K2459" s="30"/>
      <x:c r="L2459" s="24" t="str"/>
      <x:c r="M2459" s="31" t="n">
        <x:f>IF(AND(N2459="미수",G2459&lt;&gt;"",TODAY()&gt;G2459),TODAY()-G2459,0)</x:f>
        <x:v>168</x:v>
      </x:c>
      <x:c r="N2459" s="24" t="str">
        <x:f>IF(J2459&gt;0,"미수",IF(AND(H2459&gt;0,I2459&gt;=H2459),"완납","미확인"))</x:f>
        <x:v>미수</x:v>
      </x:c>
      <x:c r="O2459" s="31" t="n">
        <x:v>12</x:v>
      </x:c>
    </x:row>
    <x:row r="2460" ht="17.25" customHeight="1">
      <x:c r="A2460" s="24" t="str">
        <x:v>PR-B-184더7470-202601</x:v>
      </x:c>
      <x:c r="B2460" s="24" t="str">
        <x:v>프라임구독</x:v>
      </x:c>
      <x:c r="C2460" s="24" t="str">
        <x:v>PR-C-184더7470-1-20230217-65</x:v>
      </x:c>
      <x:c r="D2460" s="24" t="str">
        <x:v>184더7470</x:v>
      </x:c>
      <x:c r="E2460" s="24" t="str">
        <x:v>진하정</x:v>
      </x:c>
      <x:c r="F2460" s="24" t="str">
        <x:v>2026-01</x:v>
      </x:c>
      <x:c r="G2460" s="30" t="n">
        <x:v>46052</x:v>
      </x:c>
      <x:c r="H2460" s="32" t="n">
        <x:v>473000</x:v>
      </x:c>
      <x:c r="I2460" s="32" t="n">
        <x:v>473000</x:v>
      </x:c>
      <x:c r="J2460" s="32" t="n">
        <x:v>1892000</x:v>
      </x:c>
      <x:c r="K2460" s="30" t="n">
        <x:v>46043</x:v>
      </x:c>
      <x:c r="L2460" s="24" t="str">
        <x:v>입금</x:v>
      </x:c>
      <x:c r="M2460" s="31" t="n">
        <x:f>IF(AND(N2460="미수",G2460&lt;&gt;"",TODAY()&gt;G2460),TODAY()-G2460,0)</x:f>
        <x:v>197</x:v>
      </x:c>
      <x:c r="N2460" s="24" t="str">
        <x:f>IF(J2460&gt;0,"미수",IF(AND(H2460&gt;0,I2460&gt;=H2460),"완납","미확인"))</x:f>
        <x:v>미수</x:v>
      </x:c>
      <x:c r="O2460" s="31" t="n">
        <x:v>12</x:v>
      </x:c>
    </x:row>
    <x:row r="2461" ht="17.25" customHeight="1">
      <x:c r="A2461" s="24" t="str">
        <x:v>PR-B-184더7470-202512</x:v>
      </x:c>
      <x:c r="B2461" s="24" t="str">
        <x:v>프라임구독</x:v>
      </x:c>
      <x:c r="C2461" s="24" t="str">
        <x:v>PR-C-184더7470-1-20230217-65</x:v>
      </x:c>
      <x:c r="D2461" s="24" t="str">
        <x:v>184더7470</x:v>
      </x:c>
      <x:c r="E2461" s="24" t="str">
        <x:v>진하정</x:v>
      </x:c>
      <x:c r="F2461" s="24" t="str">
        <x:v>2025-12</x:v>
      </x:c>
      <x:c r="G2461" s="30" t="n">
        <x:v>46021</x:v>
      </x:c>
      <x:c r="H2461" s="32" t="n">
        <x:v>473000</x:v>
      </x:c>
      <x:c r="I2461" s="32"/>
      <x:c r="J2461" s="32" t="n">
        <x:v>1892000</x:v>
      </x:c>
      <x:c r="K2461" s="30"/>
      <x:c r="L2461" s="24" t="str"/>
      <x:c r="M2461" s="31" t="n">
        <x:f>IF(AND(N2461="미수",G2461&lt;&gt;"",TODAY()&gt;G2461),TODAY()-G2461,0)</x:f>
        <x:v>228</x:v>
      </x:c>
      <x:c r="N2461" s="24" t="str">
        <x:f>IF(J2461&gt;0,"미수",IF(AND(H2461&gt;0,I2461&gt;=H2461),"완납","미확인"))</x:f>
        <x:v>미수</x:v>
      </x:c>
      <x:c r="O2461" s="31" t="n">
        <x:v>12</x:v>
      </x:c>
    </x:row>
    <x:row r="2462" ht="17.25" customHeight="1">
      <x:c r="A2462" s="24" t="str">
        <x:v>PR-B-184더7470-202511</x:v>
      </x:c>
      <x:c r="B2462" s="24" t="str">
        <x:v>프라임구독</x:v>
      </x:c>
      <x:c r="C2462" s="24" t="str">
        <x:v>PR-C-184더7470-1-20230217-65</x:v>
      </x:c>
      <x:c r="D2462" s="24" t="str">
        <x:v>184더7470</x:v>
      </x:c>
      <x:c r="E2462" s="24" t="str">
        <x:v>진하정</x:v>
      </x:c>
      <x:c r="F2462" s="24" t="str">
        <x:v>2025-11</x:v>
      </x:c>
      <x:c r="G2462" s="30" t="n">
        <x:v>45991</x:v>
      </x:c>
      <x:c r="H2462" s="32" t="n">
        <x:v>473000</x:v>
      </x:c>
      <x:c r="I2462" s="32"/>
      <x:c r="J2462" s="32" t="n">
        <x:v>1419000</x:v>
      </x:c>
      <x:c r="K2462" s="30"/>
      <x:c r="L2462" s="24" t="str"/>
      <x:c r="M2462" s="31" t="n">
        <x:f>IF(AND(N2462="미수",G2462&lt;&gt;"",TODAY()&gt;G2462),TODAY()-G2462,0)</x:f>
        <x:v>258</x:v>
      </x:c>
      <x:c r="N2462" s="24" t="str">
        <x:f>IF(J2462&gt;0,"미수",IF(AND(H2462&gt;0,I2462&gt;=H2462),"완납","미확인"))</x:f>
        <x:v>미수</x:v>
      </x:c>
      <x:c r="O2462" s="31" t="n">
        <x:v>12</x:v>
      </x:c>
    </x:row>
    <x:row r="2463" ht="17.25" customHeight="1">
      <x:c r="A2463" s="24" t="str">
        <x:v>PR-B-184더7470-202510</x:v>
      </x:c>
      <x:c r="B2463" s="24" t="str">
        <x:v>프라임구독</x:v>
      </x:c>
      <x:c r="C2463" s="24" t="str">
        <x:v>PR-C-184더7470-1-20230217-65</x:v>
      </x:c>
      <x:c r="D2463" s="24" t="str">
        <x:v>184더7470</x:v>
      </x:c>
      <x:c r="E2463" s="24" t="str">
        <x:v>진하정</x:v>
      </x:c>
      <x:c r="F2463" s="24" t="str">
        <x:v>2025-10</x:v>
      </x:c>
      <x:c r="G2463" s="30" t="n">
        <x:v>45960</x:v>
      </x:c>
      <x:c r="H2463" s="32" t="n">
        <x:v>473000</x:v>
      </x:c>
      <x:c r="I2463" s="32" t="n">
        <x:v>946000</x:v>
      </x:c>
      <x:c r="J2463" s="32" t="n">
        <x:v>946000</x:v>
      </x:c>
      <x:c r="K2463" s="30" t="n">
        <x:v>45952</x:v>
      </x:c>
      <x:c r="L2463" s="24" t="str">
        <x:v>입금</x:v>
      </x:c>
      <x:c r="M2463" s="31" t="n">
        <x:f>IF(AND(N2463="미수",G2463&lt;&gt;"",TODAY()&gt;G2463),TODAY()-G2463,0)</x:f>
        <x:v>289</x:v>
      </x:c>
      <x:c r="N2463" s="24" t="str">
        <x:f>IF(J2463&gt;0,"미수",IF(AND(H2463&gt;0,I2463&gt;=H2463),"완납","미확인"))</x:f>
        <x:v>미수</x:v>
      </x:c>
      <x:c r="O2463" s="31" t="n">
        <x:v>12</x:v>
      </x:c>
    </x:row>
    <x:row r="2464" ht="17.25" customHeight="1">
      <x:c r="A2464" s="24" t="str">
        <x:v>PR-B-184더7470-202509</x:v>
      </x:c>
      <x:c r="B2464" s="24" t="str">
        <x:v>프라임구독</x:v>
      </x:c>
      <x:c r="C2464" s="24" t="str">
        <x:v>PR-C-184더7470-1-20230217-65</x:v>
      </x:c>
      <x:c r="D2464" s="24" t="str">
        <x:v>184더7470</x:v>
      </x:c>
      <x:c r="E2464" s="24" t="str">
        <x:v>진하정</x:v>
      </x:c>
      <x:c r="F2464" s="24" t="str">
        <x:v>2025-09</x:v>
      </x:c>
      <x:c r="G2464" s="30" t="n">
        <x:v>45930</x:v>
      </x:c>
      <x:c r="H2464" s="32" t="n">
        <x:v>473000</x:v>
      </x:c>
      <x:c r="I2464" s="32" t="n">
        <x:v>473000</x:v>
      </x:c>
      <x:c r="J2464" s="32" t="n">
        <x:v>1419000</x:v>
      </x:c>
      <x:c r="K2464" s="30" t="n">
        <x:v>45921</x:v>
      </x:c>
      <x:c r="L2464" s="24" t="str">
        <x:v>입금</x:v>
      </x:c>
      <x:c r="M2464" s="31" t="n">
        <x:f>IF(AND(N2464="미수",G2464&lt;&gt;"",TODAY()&gt;G2464),TODAY()-G2464,0)</x:f>
        <x:v>319</x:v>
      </x:c>
      <x:c r="N2464" s="24" t="str">
        <x:f>IF(J2464&gt;0,"미수",IF(AND(H2464&gt;0,I2464&gt;=H2464),"완납","미확인"))</x:f>
        <x:v>미수</x:v>
      </x:c>
      <x:c r="O2464" s="31" t="n">
        <x:v>12</x:v>
      </x:c>
    </x:row>
    <x:row r="2465" ht="17.25" customHeight="1">
      <x:c r="A2465" s="24" t="str">
        <x:v>PR-B-184더7470-202508</x:v>
      </x:c>
      <x:c r="B2465" s="24" t="str">
        <x:v>프라임구독</x:v>
      </x:c>
      <x:c r="C2465" s="24" t="str">
        <x:v>PR-C-184더7470-1-20230217-65</x:v>
      </x:c>
      <x:c r="D2465" s="24" t="str">
        <x:v>184더7470</x:v>
      </x:c>
      <x:c r="E2465" s="24" t="str">
        <x:v>진하정</x:v>
      </x:c>
      <x:c r="F2465" s="24" t="str">
        <x:v>2025-08</x:v>
      </x:c>
      <x:c r="G2465" s="30" t="n">
        <x:v>45899</x:v>
      </x:c>
      <x:c r="H2465" s="32" t="n">
        <x:v>473000</x:v>
      </x:c>
      <x:c r="I2465" s="32" t="n">
        <x:v>473000</x:v>
      </x:c>
      <x:c r="J2465" s="32" t="n">
        <x:v>1419000</x:v>
      </x:c>
      <x:c r="K2465" s="30" t="n">
        <x:v>45891</x:v>
      </x:c>
      <x:c r="L2465" s="24" t="str">
        <x:v>입금</x:v>
      </x:c>
      <x:c r="M2465" s="31" t="n">
        <x:f>IF(AND(N2465="미수",G2465&lt;&gt;"",TODAY()&gt;G2465),TODAY()-G2465,0)</x:f>
        <x:v>350</x:v>
      </x:c>
      <x:c r="N2465" s="24" t="str">
        <x:f>IF(J2465&gt;0,"미수",IF(AND(H2465&gt;0,I2465&gt;=H2465),"완납","미확인"))</x:f>
        <x:v>미수</x:v>
      </x:c>
      <x:c r="O2465" s="31" t="n">
        <x:v>12</x:v>
      </x:c>
    </x:row>
    <x:row r="2466" ht="17.25" customHeight="1">
      <x:c r="A2466" s="24" t="str">
        <x:v>PR-B-184더7470-202507</x:v>
      </x:c>
      <x:c r="B2466" s="24" t="str">
        <x:v>프라임구독</x:v>
      </x:c>
      <x:c r="C2466" s="24" t="str">
        <x:v>PR-C-184더7470-1-20230217-65</x:v>
      </x:c>
      <x:c r="D2466" s="24" t="str">
        <x:v>184더7470</x:v>
      </x:c>
      <x:c r="E2466" s="24" t="str">
        <x:v>진하정</x:v>
      </x:c>
      <x:c r="F2466" s="24" t="str">
        <x:v>2025-07</x:v>
      </x:c>
      <x:c r="G2466" s="30" t="n">
        <x:v>45868</x:v>
      </x:c>
      <x:c r="H2466" s="32" t="n">
        <x:v>473000</x:v>
      </x:c>
      <x:c r="I2466" s="32" t="n">
        <x:v>473000</x:v>
      </x:c>
      <x:c r="J2466" s="32" t="n">
        <x:v>1419000</x:v>
      </x:c>
      <x:c r="K2466" s="30" t="n">
        <x:v>45859</x:v>
      </x:c>
      <x:c r="L2466" s="24" t="str">
        <x:v>입금</x:v>
      </x:c>
      <x:c r="M2466" s="31" t="n">
        <x:f>IF(AND(N2466="미수",G2466&lt;&gt;"",TODAY()&gt;G2466),TODAY()-G2466,0)</x:f>
        <x:v>381</x:v>
      </x:c>
      <x:c r="N2466" s="24" t="str">
        <x:f>IF(J2466&gt;0,"미수",IF(AND(H2466&gt;0,I2466&gt;=H2466),"완납","미확인"))</x:f>
        <x:v>미수</x:v>
      </x:c>
      <x:c r="O2466" s="31" t="n">
        <x:v>12</x:v>
      </x:c>
    </x:row>
    <x:row r="2467" ht="17.25" customHeight="1">
      <x:c r="A2467" s="24" t="str">
        <x:v>PR-B-184더7470-202506</x:v>
      </x:c>
      <x:c r="B2467" s="24" t="str">
        <x:v>프라임구독</x:v>
      </x:c>
      <x:c r="C2467" s="24" t="str">
        <x:v>PR-C-184더7470-1-20230217-65</x:v>
      </x:c>
      <x:c r="D2467" s="24" t="str">
        <x:v>184더7470</x:v>
      </x:c>
      <x:c r="E2467" s="24" t="str">
        <x:v>진하정</x:v>
      </x:c>
      <x:c r="F2467" s="24" t="str">
        <x:v>2025-06</x:v>
      </x:c>
      <x:c r="G2467" s="30" t="n">
        <x:v>45838</x:v>
      </x:c>
      <x:c r="H2467" s="32" t="n">
        <x:v>473000</x:v>
      </x:c>
      <x:c r="I2467" s="32" t="n">
        <x:v>473000</x:v>
      </x:c>
      <x:c r="J2467" s="32" t="n">
        <x:v>1419000</x:v>
      </x:c>
      <x:c r="K2467" s="30" t="n">
        <x:v>45831</x:v>
      </x:c>
      <x:c r="L2467" s="24" t="str">
        <x:v>입금</x:v>
      </x:c>
      <x:c r="M2467" s="31" t="n">
        <x:f>IF(AND(N2467="미수",G2467&lt;&gt;"",TODAY()&gt;G2467),TODAY()-G2467,0)</x:f>
        <x:v>411</x:v>
      </x:c>
      <x:c r="N2467" s="24" t="str">
        <x:f>IF(J2467&gt;0,"미수",IF(AND(H2467&gt;0,I2467&gt;=H2467),"완납","미확인"))</x:f>
        <x:v>미수</x:v>
      </x:c>
      <x:c r="O2467" s="31" t="n">
        <x:v>12</x:v>
      </x:c>
    </x:row>
    <x:row r="2468" ht="17.25" customHeight="1">
      <x:c r="A2468" s="24" t="str">
        <x:v>PR-B-184더7470-202505</x:v>
      </x:c>
      <x:c r="B2468" s="24" t="str">
        <x:v>프라임구독</x:v>
      </x:c>
      <x:c r="C2468" s="24" t="str">
        <x:v>PR-C-184더7470-1-20230217-65</x:v>
      </x:c>
      <x:c r="D2468" s="24" t="str">
        <x:v>184더7470</x:v>
      </x:c>
      <x:c r="E2468" s="24" t="str">
        <x:v>진하정</x:v>
      </x:c>
      <x:c r="F2468" s="24" t="str">
        <x:v>2025-05</x:v>
      </x:c>
      <x:c r="G2468" s="30" t="n">
        <x:v>45807</x:v>
      </x:c>
      <x:c r="H2468" s="32" t="n">
        <x:v>473000</x:v>
      </x:c>
      <x:c r="I2468" s="32" t="n">
        <x:v>473000</x:v>
      </x:c>
      <x:c r="J2468" s="32" t="n">
        <x:v>1419000</x:v>
      </x:c>
      <x:c r="K2468" s="30" t="n">
        <x:v>45798</x:v>
      </x:c>
      <x:c r="L2468" s="24" t="str">
        <x:v>입금</x:v>
      </x:c>
      <x:c r="M2468" s="31" t="n">
        <x:f>IF(AND(N2468="미수",G2468&lt;&gt;"",TODAY()&gt;G2468),TODAY()-G2468,0)</x:f>
        <x:v>442</x:v>
      </x:c>
      <x:c r="N2468" s="24" t="str">
        <x:f>IF(J2468&gt;0,"미수",IF(AND(H2468&gt;0,I2468&gt;=H2468),"완납","미확인"))</x:f>
        <x:v>미수</x:v>
      </x:c>
      <x:c r="O2468" s="31" t="n">
        <x:v>12</x:v>
      </x:c>
    </x:row>
    <x:row r="2469" ht="17.25" customHeight="1">
      <x:c r="A2469" s="24" t="str">
        <x:v>PR-B-184더7470-202504</x:v>
      </x:c>
      <x:c r="B2469" s="24" t="str">
        <x:v>프라임구독</x:v>
      </x:c>
      <x:c r="C2469" s="24" t="str">
        <x:v>PR-C-184더7470-1-20230217-65</x:v>
      </x:c>
      <x:c r="D2469" s="24" t="str">
        <x:v>184더7470</x:v>
      </x:c>
      <x:c r="E2469" s="24" t="str">
        <x:v>진하정</x:v>
      </x:c>
      <x:c r="F2469" s="24" t="str">
        <x:v>2025-04</x:v>
      </x:c>
      <x:c r="G2469" s="30" t="n">
        <x:v>45777</x:v>
      </x:c>
      <x:c r="H2469" s="32" t="n">
        <x:v>473000</x:v>
      </x:c>
      <x:c r="I2469" s="32"/>
      <x:c r="J2469" s="32" t="n">
        <x:v>1419000</x:v>
      </x:c>
      <x:c r="K2469" s="30"/>
      <x:c r="L2469" s="24" t="str"/>
      <x:c r="M2469" s="31" t="n">
        <x:f>IF(AND(N2469="미수",G2469&lt;&gt;"",TODAY()&gt;G2469),TODAY()-G2469,0)</x:f>
        <x:v>472</x:v>
      </x:c>
      <x:c r="N2469" s="24" t="str">
        <x:f>IF(J2469&gt;0,"미수",IF(AND(H2469&gt;0,I2469&gt;=H2469),"완납","미확인"))</x:f>
        <x:v>미수</x:v>
      </x:c>
      <x:c r="O2469" s="31" t="n">
        <x:v>12</x:v>
      </x:c>
    </x:row>
    <x:row r="2470" ht="17.25" customHeight="1">
      <x:c r="A2470" s="24" t="str">
        <x:v>PR-B-184더7470-202503</x:v>
      </x:c>
      <x:c r="B2470" s="24" t="str">
        <x:v>프라임구독</x:v>
      </x:c>
      <x:c r="C2470" s="24" t="str">
        <x:v>PR-C-184더7470-1-20230217-65</x:v>
      </x:c>
      <x:c r="D2470" s="24" t="str">
        <x:v>184더7470</x:v>
      </x:c>
      <x:c r="E2470" s="24" t="str">
        <x:v>진하정</x:v>
      </x:c>
      <x:c r="F2470" s="24" t="str">
        <x:v>2025-03</x:v>
      </x:c>
      <x:c r="G2470" s="30" t="n">
        <x:v>45746</x:v>
      </x:c>
      <x:c r="H2470" s="32" t="n">
        <x:v>473000</x:v>
      </x:c>
      <x:c r="I2470" s="32"/>
      <x:c r="J2470" s="32" t="n">
        <x:v>946000</x:v>
      </x:c>
      <x:c r="K2470" s="30"/>
      <x:c r="L2470" s="24" t="str"/>
      <x:c r="M2470" s="31" t="n">
        <x:f>IF(AND(N2470="미수",G2470&lt;&gt;"",TODAY()&gt;G2470),TODAY()-G2470,0)</x:f>
        <x:v>503</x:v>
      </x:c>
      <x:c r="N2470" s="24" t="str">
        <x:f>IF(J2470&gt;0,"미수",IF(AND(H2470&gt;0,I2470&gt;=H2470),"완납","미확인"))</x:f>
        <x:v>미수</x:v>
      </x:c>
      <x:c r="O2470" s="31" t="n">
        <x:v>12</x:v>
      </x:c>
    </x:row>
    <x:row r="2471" ht="17.25" customHeight="1">
      <x:c r="A2471" s="24" t="str">
        <x:v>PR-B-184더7470-202502</x:v>
      </x:c>
      <x:c r="B2471" s="24" t="str">
        <x:v>프라임구독</x:v>
      </x:c>
      <x:c r="C2471" s="24" t="str">
        <x:v>PR-C-184더7470-1-20230217-65</x:v>
      </x:c>
      <x:c r="D2471" s="24" t="str">
        <x:v>184더7470</x:v>
      </x:c>
      <x:c r="E2471" s="24" t="str">
        <x:v>진하정</x:v>
      </x:c>
      <x:c r="F2471" s="24" t="str">
        <x:v>2025-02</x:v>
      </x:c>
      <x:c r="G2471" s="30" t="n">
        <x:v>45716</x:v>
      </x:c>
      <x:c r="H2471" s="32" t="n">
        <x:v>473000</x:v>
      </x:c>
      <x:c r="I2471" s="32"/>
      <x:c r="J2471" s="32" t="n">
        <x:v>473000</x:v>
      </x:c>
      <x:c r="K2471" s="30"/>
      <x:c r="L2471" s="24" t="str"/>
      <x:c r="M2471" s="31" t="n">
        <x:f>IF(AND(N2471="미수",G2471&lt;&gt;"",TODAY()&gt;G2471),TODAY()-G2471,0)</x:f>
        <x:v>533</x:v>
      </x:c>
      <x:c r="N2471" s="24" t="str">
        <x:f>IF(J2471&gt;0,"미수",IF(AND(H2471&gt;0,I2471&gt;=H2471),"완납","미확인"))</x:f>
        <x:v>미수</x:v>
      </x:c>
      <x:c r="O2471" s="31" t="n">
        <x:v>12</x:v>
      </x:c>
    </x:row>
    <x:row r="2472" ht="17.25" customHeight="1">
      <x:c r="A2472" s="24" t="str">
        <x:v>PR-B-184더7470-202501</x:v>
      </x:c>
      <x:c r="B2472" s="24" t="str">
        <x:v>프라임구독</x:v>
      </x:c>
      <x:c r="C2472" s="24" t="str">
        <x:v>PR-C-184더7470-1-20230217-65</x:v>
      </x:c>
      <x:c r="D2472" s="24" t="str">
        <x:v>184더7470</x:v>
      </x:c>
      <x:c r="E2472" s="24" t="str">
        <x:v>진하정</x:v>
      </x:c>
      <x:c r="F2472" s="24" t="str">
        <x:v>2025-01</x:v>
      </x:c>
      <x:c r="G2472" s="30" t="n">
        <x:v>45687</x:v>
      </x:c>
      <x:c r="H2472" s="32" t="n">
        <x:v>473000</x:v>
      </x:c>
      <x:c r="I2472" s="32" t="n">
        <x:v>473000</x:v>
      </x:c>
      <x:c r="J2472" s="32" t="n">
        <x:v>0</x:v>
      </x:c>
      <x:c r="K2472" s="30" t="n">
        <x:v>45711</x:v>
      </x:c>
      <x:c r="L2472" s="24" t="str">
        <x:v>입금</x:v>
      </x:c>
      <x:c r="M2472" s="31" t="n">
        <x:f>IF(AND(N2472="미수",G2472&lt;&gt;"",TODAY()&gt;G2472),TODAY()-G2472,0)</x:f>
        <x:v>0</x:v>
      </x:c>
      <x:c r="N2472" s="24" t="str">
        <x:f>IF(J2472&gt;0,"미수",IF(AND(H2472&gt;0,I2472&gt;=H2472),"완납","미확인"))</x:f>
        <x:v>완납</x:v>
      </x:c>
      <x:c r="O2472" s="31" t="n">
        <x:v>12</x:v>
      </x:c>
    </x:row>
    <x:row r="2473" ht="17.25" customHeight="1">
      <x:c r="A2473" s="24" t="str">
        <x:v>PR-B-184더7470-202412</x:v>
      </x:c>
      <x:c r="B2473" s="24" t="str">
        <x:v>프라임구독</x:v>
      </x:c>
      <x:c r="C2473" s="24" t="str">
        <x:v>PR-C-184더7470-1-20230217-65</x:v>
      </x:c>
      <x:c r="D2473" s="24" t="str">
        <x:v>184더7470</x:v>
      </x:c>
      <x:c r="E2473" s="24" t="str">
        <x:v>진하정</x:v>
      </x:c>
      <x:c r="F2473" s="24" t="str">
        <x:v>2024-12</x:v>
      </x:c>
      <x:c r="G2473" s="30" t="n">
        <x:v>45656</x:v>
      </x:c>
      <x:c r="H2473" s="32" t="n">
        <x:v>473000</x:v>
      </x:c>
      <x:c r="I2473" s="32" t="n">
        <x:v>473000</x:v>
      </x:c>
      <x:c r="J2473" s="32" t="n">
        <x:v>0</x:v>
      </x:c>
      <x:c r="K2473" s="30" t="n">
        <x:v>45677</x:v>
      </x:c>
      <x:c r="L2473" s="24" t="str">
        <x:v>입금</x:v>
      </x:c>
      <x:c r="M2473" s="31" t="n">
        <x:f>IF(AND(N2473="미수",G2473&lt;&gt;"",TODAY()&gt;G2473),TODAY()-G2473,0)</x:f>
        <x:v>0</x:v>
      </x:c>
      <x:c r="N2473" s="24" t="str">
        <x:f>IF(J2473&gt;0,"미수",IF(AND(H2473&gt;0,I2473&gt;=H2473),"완납","미확인"))</x:f>
        <x:v>완납</x:v>
      </x:c>
      <x:c r="O2473" s="31" t="n">
        <x:v>12</x:v>
      </x:c>
    </x:row>
    <x:row r="2474" ht="17.25" customHeight="1">
      <x:c r="A2474" s="24" t="str">
        <x:v>PR-B-184더7470-202411</x:v>
      </x:c>
      <x:c r="B2474" s="24" t="str">
        <x:v>프라임구독</x:v>
      </x:c>
      <x:c r="C2474" s="24" t="str">
        <x:v>PR-C-184더7470-1-20230217-65</x:v>
      </x:c>
      <x:c r="D2474" s="24" t="str">
        <x:v>184더7470</x:v>
      </x:c>
      <x:c r="E2474" s="24" t="str">
        <x:v>진하정</x:v>
      </x:c>
      <x:c r="F2474" s="24" t="str">
        <x:v>2024-11</x:v>
      </x:c>
      <x:c r="G2474" s="30" t="n">
        <x:v>45626</x:v>
      </x:c>
      <x:c r="H2474" s="32" t="n">
        <x:v>473000</x:v>
      </x:c>
      <x:c r="I2474" s="32" t="n">
        <x:v>473000</x:v>
      </x:c>
      <x:c r="J2474" s="32" t="n">
        <x:v>0</x:v>
      </x:c>
      <x:c r="K2474" s="30" t="n">
        <x:v>45649</x:v>
      </x:c>
      <x:c r="L2474" s="24" t="str">
        <x:v>입금</x:v>
      </x:c>
      <x:c r="M2474" s="31" t="n">
        <x:f>IF(AND(N2474="미수",G2474&lt;&gt;"",TODAY()&gt;G2474),TODAY()-G2474,0)</x:f>
        <x:v>0</x:v>
      </x:c>
      <x:c r="N2474" s="24" t="str">
        <x:f>IF(J2474&gt;0,"미수",IF(AND(H2474&gt;0,I2474&gt;=H2474),"완납","미확인"))</x:f>
        <x:v>완납</x:v>
      </x:c>
      <x:c r="O2474" s="31" t="n">
        <x:v>12</x:v>
      </x:c>
    </x:row>
    <x:row r="2475" ht="17.25" customHeight="1">
      <x:c r="A2475" s="24" t="str">
        <x:v>PR-B-184더7470-202410</x:v>
      </x:c>
      <x:c r="B2475" s="24" t="str">
        <x:v>프라임구독</x:v>
      </x:c>
      <x:c r="C2475" s="24" t="str">
        <x:v>PR-C-184더7470-1-20230217-65</x:v>
      </x:c>
      <x:c r="D2475" s="24" t="str">
        <x:v>184더7470</x:v>
      </x:c>
      <x:c r="E2475" s="24" t="str">
        <x:v>진하정</x:v>
      </x:c>
      <x:c r="F2475" s="24" t="str">
        <x:v>2024-10</x:v>
      </x:c>
      <x:c r="G2475" s="30" t="n">
        <x:v>45595</x:v>
      </x:c>
      <x:c r="H2475" s="32" t="n">
        <x:v>473000</x:v>
      </x:c>
      <x:c r="I2475" s="32" t="n">
        <x:v>473000</x:v>
      </x:c>
      <x:c r="J2475" s="32" t="n">
        <x:v>0</x:v>
      </x:c>
      <x:c r="K2475" s="30" t="n">
        <x:v>45617</x:v>
      </x:c>
      <x:c r="L2475" s="24" t="str">
        <x:v>입금</x:v>
      </x:c>
      <x:c r="M2475" s="31" t="n">
        <x:f>IF(AND(N2475="미수",G2475&lt;&gt;"",TODAY()&gt;G2475),TODAY()-G2475,0)</x:f>
        <x:v>0</x:v>
      </x:c>
      <x:c r="N2475" s="24" t="str">
        <x:f>IF(J2475&gt;0,"미수",IF(AND(H2475&gt;0,I2475&gt;=H2475),"완납","미확인"))</x:f>
        <x:v>완납</x:v>
      </x:c>
      <x:c r="O2475" s="31" t="n">
        <x:v>12</x:v>
      </x:c>
    </x:row>
    <x:row r="2476" ht="17.25" customHeight="1">
      <x:c r="A2476" s="24" t="str">
        <x:v>PR-B-184더7470-202409</x:v>
      </x:c>
      <x:c r="B2476" s="24" t="str">
        <x:v>프라임구독</x:v>
      </x:c>
      <x:c r="C2476" s="24" t="str">
        <x:v>PR-C-184더7470-1-20230217-65</x:v>
      </x:c>
      <x:c r="D2476" s="24" t="str">
        <x:v>184더7470</x:v>
      </x:c>
      <x:c r="E2476" s="24" t="str">
        <x:v>진하정</x:v>
      </x:c>
      <x:c r="F2476" s="24" t="str">
        <x:v>2024-09</x:v>
      </x:c>
      <x:c r="G2476" s="30" t="n">
        <x:v>45565</x:v>
      </x:c>
      <x:c r="H2476" s="32" t="n">
        <x:v>473000</x:v>
      </x:c>
      <x:c r="I2476" s="32" t="n">
        <x:v>473000</x:v>
      </x:c>
      <x:c r="J2476" s="32" t="n">
        <x:v>0</x:v>
      </x:c>
      <x:c r="K2476" s="30" t="n">
        <x:v>45586</x:v>
      </x:c>
      <x:c r="L2476" s="24" t="str">
        <x:v>입금</x:v>
      </x:c>
      <x:c r="M2476" s="31" t="n">
        <x:f>IF(AND(N2476="미수",G2476&lt;&gt;"",TODAY()&gt;G2476),TODAY()-G2476,0)</x:f>
        <x:v>0</x:v>
      </x:c>
      <x:c r="N2476" s="24" t="str">
        <x:f>IF(J2476&gt;0,"미수",IF(AND(H2476&gt;0,I2476&gt;=H2476),"완납","미확인"))</x:f>
        <x:v>완납</x:v>
      </x:c>
      <x:c r="O2476" s="31" t="n">
        <x:v>12</x:v>
      </x:c>
    </x:row>
    <x:row r="2477" ht="17.25" customHeight="1">
      <x:c r="A2477" s="24" t="str">
        <x:v>PR-B-184더7470-202408</x:v>
      </x:c>
      <x:c r="B2477" s="24" t="str">
        <x:v>프라임구독</x:v>
      </x:c>
      <x:c r="C2477" s="24" t="str">
        <x:v>PR-C-184더7470-1-20230217-65</x:v>
      </x:c>
      <x:c r="D2477" s="24" t="str">
        <x:v>184더7470</x:v>
      </x:c>
      <x:c r="E2477" s="24" t="str">
        <x:v>진하정</x:v>
      </x:c>
      <x:c r="F2477" s="24" t="str">
        <x:v>2024-08</x:v>
      </x:c>
      <x:c r="G2477" s="30" t="n">
        <x:v>45534</x:v>
      </x:c>
      <x:c r="H2477" s="32" t="n">
        <x:v>473000</x:v>
      </x:c>
      <x:c r="I2477" s="32" t="n">
        <x:v>473000</x:v>
      </x:c>
      <x:c r="J2477" s="32" t="n">
        <x:v>0</x:v>
      </x:c>
      <x:c r="K2477" s="30" t="n">
        <x:v>45560</x:v>
      </x:c>
      <x:c r="L2477" s="24" t="str">
        <x:v>입금</x:v>
      </x:c>
      <x:c r="M2477" s="31" t="n">
        <x:f>IF(AND(N2477="미수",G2477&lt;&gt;"",TODAY()&gt;G2477),TODAY()-G2477,0)</x:f>
        <x:v>0</x:v>
      </x:c>
      <x:c r="N2477" s="24" t="str">
        <x:f>IF(J2477&gt;0,"미수",IF(AND(H2477&gt;0,I2477&gt;=H2477),"완납","미확인"))</x:f>
        <x:v>완납</x:v>
      </x:c>
      <x:c r="O2477" s="31" t="n">
        <x:v>12</x:v>
      </x:c>
    </x:row>
    <x:row r="2478" ht="17.25" customHeight="1">
      <x:c r="A2478" s="24" t="str">
        <x:v>PR-B-184더7470-202407</x:v>
      </x:c>
      <x:c r="B2478" s="24" t="str">
        <x:v>프라임구독</x:v>
      </x:c>
      <x:c r="C2478" s="24" t="str">
        <x:v>PR-C-184더7470-1-20230217-65</x:v>
      </x:c>
      <x:c r="D2478" s="24" t="str">
        <x:v>184더7470</x:v>
      </x:c>
      <x:c r="E2478" s="24" t="str">
        <x:v>진하정</x:v>
      </x:c>
      <x:c r="F2478" s="24" t="str">
        <x:v>2024-07</x:v>
      </x:c>
      <x:c r="G2478" s="30" t="n">
        <x:v>45503</x:v>
      </x:c>
      <x:c r="H2478" s="32" t="n">
        <x:v>473000</x:v>
      </x:c>
      <x:c r="I2478" s="32" t="n">
        <x:v>473000</x:v>
      </x:c>
      <x:c r="J2478" s="32" t="n">
        <x:v>0</x:v>
      </x:c>
      <x:c r="K2478" s="30" t="n">
        <x:v>45524</x:v>
      </x:c>
      <x:c r="L2478" s="24" t="str">
        <x:v>입금</x:v>
      </x:c>
      <x:c r="M2478" s="31" t="n">
        <x:f>IF(AND(N2478="미수",G2478&lt;&gt;"",TODAY()&gt;G2478),TODAY()-G2478,0)</x:f>
        <x:v>0</x:v>
      </x:c>
      <x:c r="N2478" s="24" t="str">
        <x:f>IF(J2478&gt;0,"미수",IF(AND(H2478&gt;0,I2478&gt;=H2478),"완납","미확인"))</x:f>
        <x:v>완납</x:v>
      </x:c>
      <x:c r="O2478" s="31" t="n">
        <x:v>12</x:v>
      </x:c>
    </x:row>
    <x:row r="2479" ht="17.25" customHeight="1">
      <x:c r="A2479" s="24" t="str">
        <x:v>PR-B-184더7470-202406</x:v>
      </x:c>
      <x:c r="B2479" s="24" t="str">
        <x:v>프라임구독</x:v>
      </x:c>
      <x:c r="C2479" s="24" t="str">
        <x:v>PR-C-184더7470-1-20230217-65</x:v>
      </x:c>
      <x:c r="D2479" s="24" t="str">
        <x:v>184더7470</x:v>
      </x:c>
      <x:c r="E2479" s="24" t="str">
        <x:v>진하정</x:v>
      </x:c>
      <x:c r="F2479" s="24" t="str">
        <x:v>2024-06</x:v>
      </x:c>
      <x:c r="G2479" s="30" t="n">
        <x:v>45473</x:v>
      </x:c>
      <x:c r="H2479" s="32" t="n">
        <x:v>473000</x:v>
      </x:c>
      <x:c r="I2479" s="32" t="n">
        <x:v>473000</x:v>
      </x:c>
      <x:c r="J2479" s="32" t="n">
        <x:v>0</x:v>
      </x:c>
      <x:c r="K2479" s="30" t="n">
        <x:v>45484</x:v>
      </x:c>
      <x:c r="L2479" s="24" t="str">
        <x:v>입금</x:v>
      </x:c>
      <x:c r="M2479" s="31" t="n">
        <x:f>IF(AND(N2479="미수",G2479&lt;&gt;"",TODAY()&gt;G2479),TODAY()-G2479,0)</x:f>
        <x:v>0</x:v>
      </x:c>
      <x:c r="N2479" s="24" t="str">
        <x:f>IF(J2479&gt;0,"미수",IF(AND(H2479&gt;0,I2479&gt;=H2479),"완납","미확인"))</x:f>
        <x:v>완납</x:v>
      </x:c>
      <x:c r="O2479" s="31" t="n">
        <x:v>12</x:v>
      </x:c>
    </x:row>
    <x:row r="2480" ht="17.25" customHeight="1">
      <x:c r="A2480" s="24" t="str">
        <x:v>PR-B-184더7470-202405</x:v>
      </x:c>
      <x:c r="B2480" s="24" t="str">
        <x:v>프라임구독</x:v>
      </x:c>
      <x:c r="C2480" s="24" t="str">
        <x:v>PR-C-184더7470-1-20230217-65</x:v>
      </x:c>
      <x:c r="D2480" s="24" t="str">
        <x:v>184더7470</x:v>
      </x:c>
      <x:c r="E2480" s="24" t="str">
        <x:v>진하정</x:v>
      </x:c>
      <x:c r="F2480" s="24" t="str">
        <x:v>2024-05</x:v>
      </x:c>
      <x:c r="G2480" s="30" t="n">
        <x:v>45442</x:v>
      </x:c>
      <x:c r="H2480" s="32" t="n">
        <x:v>473000</x:v>
      </x:c>
      <x:c r="I2480" s="32" t="n">
        <x:v>473000</x:v>
      </x:c>
      <x:c r="J2480" s="32" t="n">
        <x:v>0</x:v>
      </x:c>
      <x:c r="K2480" s="30" t="n">
        <x:v>45450</x:v>
      </x:c>
      <x:c r="L2480" s="24" t="str"/>
      <x:c r="M2480" s="31" t="n">
        <x:f>IF(AND(N2480="미수",G2480&lt;&gt;"",TODAY()&gt;G2480),TODAY()-G2480,0)</x:f>
        <x:v>0</x:v>
      </x:c>
      <x:c r="N2480" s="24" t="str">
        <x:f>IF(J2480&gt;0,"미수",IF(AND(H2480&gt;0,I2480&gt;=H2480),"완납","미확인"))</x:f>
        <x:v>완납</x:v>
      </x:c>
      <x:c r="O2480" s="31" t="n">
        <x:v>12</x:v>
      </x:c>
    </x:row>
    <x:row r="2481" ht="17.25" customHeight="1">
      <x:c r="A2481" s="24" t="str">
        <x:v>PR-B-02노0857-202608</x:v>
      </x:c>
      <x:c r="B2481" s="24" t="str">
        <x:v>프라임구독</x:v>
      </x:c>
      <x:c r="C2481" s="24" t="str">
        <x:v>PR-C-02노0857-1-20230308-7</x:v>
      </x:c>
      <x:c r="D2481" s="24" t="str">
        <x:v>02노0857</x:v>
      </x:c>
      <x:c r="E2481" s="24" t="str">
        <x:v>박이석</x:v>
      </x:c>
      <x:c r="F2481" s="24" t="str">
        <x:v>2026-08</x:v>
      </x:c>
      <x:c r="G2481" s="30" t="n">
        <x:v>46244</x:v>
      </x:c>
      <x:c r="H2481" s="32" t="n">
        <x:v>573000</x:v>
      </x:c>
      <x:c r="I2481" s="32"/>
      <x:c r="J2481" s="32" t="n">
        <x:v>573000</x:v>
      </x:c>
      <x:c r="K2481" s="30"/>
      <x:c r="L2481" s="24" t="str"/>
      <x:c r="M2481" s="31" t="n">
        <x:f>IF(AND(N2481="미수",G2481&lt;&gt;"",TODAY()&gt;G2481),TODAY()-G2481,0)</x:f>
        <x:v>5</x:v>
      </x:c>
      <x:c r="N2481" s="24" t="str">
        <x:f>IF(J2481&gt;0,"미수",IF(AND(H2481&gt;0,I2481&gt;=H2481),"완납","미확인"))</x:f>
        <x:v>미수</x:v>
      </x:c>
      <x:c r="O2481" s="31" t="n">
        <x:v>13</x:v>
      </x:c>
    </x:row>
    <x:row r="2482" ht="17.25" customHeight="1">
      <x:c r="A2482" s="24" t="str">
        <x:v>PR-B-02노0857-202607</x:v>
      </x:c>
      <x:c r="B2482" s="24" t="str">
        <x:v>프라임구독</x:v>
      </x:c>
      <x:c r="C2482" s="24" t="str">
        <x:v>PR-C-02노0857-1-20230308-7</x:v>
      </x:c>
      <x:c r="D2482" s="24" t="str">
        <x:v>02노0857</x:v>
      </x:c>
      <x:c r="E2482" s="24" t="str">
        <x:v>박이석</x:v>
      </x:c>
      <x:c r="F2482" s="24" t="str">
        <x:v>2026-07</x:v>
      </x:c>
      <x:c r="G2482" s="30" t="n">
        <x:v>46213</x:v>
      </x:c>
      <x:c r="H2482" s="32" t="n">
        <x:v>573000</x:v>
      </x:c>
      <x:c r="I2482" s="32" t="n">
        <x:v>573000</x:v>
      </x:c>
      <x:c r="J2482" s="32" t="n">
        <x:v>0</x:v>
      </x:c>
      <x:c r="K2482" s="30" t="n">
        <x:v>46213</x:v>
      </x:c>
      <x:c r="L2482" s="24" t="str">
        <x:v>입금</x:v>
      </x:c>
      <x:c r="M2482" s="31" t="n">
        <x:f>IF(AND(N2482="미수",G2482&lt;&gt;"",TODAY()&gt;G2482),TODAY()-G2482,0)</x:f>
        <x:v>0</x:v>
      </x:c>
      <x:c r="N2482" s="24" t="str">
        <x:f>IF(J2482&gt;0,"미수",IF(AND(H2482&gt;0,I2482&gt;=H2482),"완납","미확인"))</x:f>
        <x:v>완납</x:v>
      </x:c>
      <x:c r="O2482" s="31" t="n">
        <x:v>13</x:v>
      </x:c>
    </x:row>
    <x:row r="2483" ht="17.25" customHeight="1">
      <x:c r="A2483" s="24" t="str">
        <x:v>PR-B-02노0857-202606</x:v>
      </x:c>
      <x:c r="B2483" s="24" t="str">
        <x:v>프라임구독</x:v>
      </x:c>
      <x:c r="C2483" s="24" t="str">
        <x:v>PR-C-02노0857-1-20230308-7</x:v>
      </x:c>
      <x:c r="D2483" s="24" t="str">
        <x:v>02노0857</x:v>
      </x:c>
      <x:c r="E2483" s="24" t="str">
        <x:v>박이석</x:v>
      </x:c>
      <x:c r="F2483" s="24" t="str">
        <x:v>2026-06</x:v>
      </x:c>
      <x:c r="G2483" s="30" t="n">
        <x:v>46183</x:v>
      </x:c>
      <x:c r="H2483" s="32" t="n">
        <x:v>573000</x:v>
      </x:c>
      <x:c r="I2483" s="32" t="n">
        <x:v>573000</x:v>
      </x:c>
      <x:c r="J2483" s="32" t="n">
        <x:v>0</x:v>
      </x:c>
      <x:c r="K2483" s="30" t="n">
        <x:v>46185</x:v>
      </x:c>
      <x:c r="L2483" s="24" t="str">
        <x:v>입금</x:v>
      </x:c>
      <x:c r="M2483" s="31" t="n">
        <x:f>IF(AND(N2483="미수",G2483&lt;&gt;"",TODAY()&gt;G2483),TODAY()-G2483,0)</x:f>
        <x:v>0</x:v>
      </x:c>
      <x:c r="N2483" s="24" t="str">
        <x:f>IF(J2483&gt;0,"미수",IF(AND(H2483&gt;0,I2483&gt;=H2483),"완납","미확인"))</x:f>
        <x:v>완납</x:v>
      </x:c>
      <x:c r="O2483" s="31" t="n">
        <x:v>13</x:v>
      </x:c>
    </x:row>
    <x:row r="2484" ht="17.25" customHeight="1">
      <x:c r="A2484" s="24" t="str">
        <x:v>PR-B-02노0857-202605</x:v>
      </x:c>
      <x:c r="B2484" s="24" t="str">
        <x:v>프라임구독</x:v>
      </x:c>
      <x:c r="C2484" s="24" t="str">
        <x:v>PR-C-02노0857-1-20230308-7</x:v>
      </x:c>
      <x:c r="D2484" s="24" t="str">
        <x:v>02노0857</x:v>
      </x:c>
      <x:c r="E2484" s="24" t="str">
        <x:v>박이석</x:v>
      </x:c>
      <x:c r="F2484" s="24" t="str">
        <x:v>2026-05</x:v>
      </x:c>
      <x:c r="G2484" s="30" t="n">
        <x:v>46152</x:v>
      </x:c>
      <x:c r="H2484" s="32" t="n">
        <x:v>573000</x:v>
      </x:c>
      <x:c r="I2484" s="32" t="n">
        <x:v>573000</x:v>
      </x:c>
      <x:c r="J2484" s="32" t="n">
        <x:v>0</x:v>
      </x:c>
      <x:c r="K2484" s="30" t="n">
        <x:v>46156</x:v>
      </x:c>
      <x:c r="L2484" s="24" t="str">
        <x:v>입금</x:v>
      </x:c>
      <x:c r="M2484" s="31" t="n">
        <x:f>IF(AND(N2484="미수",G2484&lt;&gt;"",TODAY()&gt;G2484),TODAY()-G2484,0)</x:f>
        <x:v>0</x:v>
      </x:c>
      <x:c r="N2484" s="24" t="str">
        <x:f>IF(J2484&gt;0,"미수",IF(AND(H2484&gt;0,I2484&gt;=H2484),"완납","미확인"))</x:f>
        <x:v>완납</x:v>
      </x:c>
      <x:c r="O2484" s="31" t="n">
        <x:v>13</x:v>
      </x:c>
    </x:row>
    <x:row r="2485" ht="17.25" customHeight="1">
      <x:c r="A2485" s="24" t="str">
        <x:v>PR-B-02노0857-202604</x:v>
      </x:c>
      <x:c r="B2485" s="24" t="str">
        <x:v>프라임구독</x:v>
      </x:c>
      <x:c r="C2485" s="24" t="str">
        <x:v>PR-C-02노0857-1-20230308-7</x:v>
      </x:c>
      <x:c r="D2485" s="24" t="str">
        <x:v>02노0857</x:v>
      </x:c>
      <x:c r="E2485" s="24" t="str">
        <x:v>박이석</x:v>
      </x:c>
      <x:c r="F2485" s="24" t="str">
        <x:v>2026-04</x:v>
      </x:c>
      <x:c r="G2485" s="30" t="n">
        <x:v>46122</x:v>
      </x:c>
      <x:c r="H2485" s="32" t="n">
        <x:v>573000</x:v>
      </x:c>
      <x:c r="I2485" s="32" t="n">
        <x:v>573000</x:v>
      </x:c>
      <x:c r="J2485" s="32" t="n">
        <x:v>0</x:v>
      </x:c>
      <x:c r="K2485" s="30" t="n">
        <x:v>46122</x:v>
      </x:c>
      <x:c r="L2485" s="24" t="str">
        <x:v>입금</x:v>
      </x:c>
      <x:c r="M2485" s="31" t="n">
        <x:f>IF(AND(N2485="미수",G2485&lt;&gt;"",TODAY()&gt;G2485),TODAY()-G2485,0)</x:f>
        <x:v>0</x:v>
      </x:c>
      <x:c r="N2485" s="24" t="str">
        <x:f>IF(J2485&gt;0,"미수",IF(AND(H2485&gt;0,I2485&gt;=H2485),"완납","미확인"))</x:f>
        <x:v>완납</x:v>
      </x:c>
      <x:c r="O2485" s="31" t="n">
        <x:v>13</x:v>
      </x:c>
    </x:row>
    <x:row r="2486" ht="17.25" customHeight="1">
      <x:c r="A2486" s="24" t="str">
        <x:v>PR-B-02노0857-202603</x:v>
      </x:c>
      <x:c r="B2486" s="24" t="str">
        <x:v>프라임구독</x:v>
      </x:c>
      <x:c r="C2486" s="24" t="str">
        <x:v>PR-C-02노0857-1-20230308-7</x:v>
      </x:c>
      <x:c r="D2486" s="24" t="str">
        <x:v>02노0857</x:v>
      </x:c>
      <x:c r="E2486" s="24" t="str">
        <x:v>박이석</x:v>
      </x:c>
      <x:c r="F2486" s="24" t="str">
        <x:v>2026-03</x:v>
      </x:c>
      <x:c r="G2486" s="30" t="n">
        <x:v>46091</x:v>
      </x:c>
      <x:c r="H2486" s="32" t="n">
        <x:v>573000</x:v>
      </x:c>
      <x:c r="I2486" s="32" t="n">
        <x:v>573000</x:v>
      </x:c>
      <x:c r="J2486" s="32" t="n">
        <x:v>0</x:v>
      </x:c>
      <x:c r="K2486" s="30" t="n">
        <x:v>46093</x:v>
      </x:c>
      <x:c r="L2486" s="24" t="str">
        <x:v>입금</x:v>
      </x:c>
      <x:c r="M2486" s="31" t="n">
        <x:f>IF(AND(N2486="미수",G2486&lt;&gt;"",TODAY()&gt;G2486),TODAY()-G2486,0)</x:f>
        <x:v>0</x:v>
      </x:c>
      <x:c r="N2486" s="24" t="str">
        <x:f>IF(J2486&gt;0,"미수",IF(AND(H2486&gt;0,I2486&gt;=H2486),"완납","미확인"))</x:f>
        <x:v>완납</x:v>
      </x:c>
      <x:c r="O2486" s="31" t="n">
        <x:v>13</x:v>
      </x:c>
    </x:row>
    <x:row r="2487" ht="17.25" customHeight="1">
      <x:c r="A2487" s="24" t="str">
        <x:v>PR-B-02노0857-202602</x:v>
      </x:c>
      <x:c r="B2487" s="24" t="str">
        <x:v>프라임구독</x:v>
      </x:c>
      <x:c r="C2487" s="24" t="str">
        <x:v>PR-C-02노0857-1-20230308-7</x:v>
      </x:c>
      <x:c r="D2487" s="24" t="str">
        <x:v>02노0857</x:v>
      </x:c>
      <x:c r="E2487" s="24" t="str">
        <x:v>박이석</x:v>
      </x:c>
      <x:c r="F2487" s="24" t="str">
        <x:v>2026-02</x:v>
      </x:c>
      <x:c r="G2487" s="30" t="n">
        <x:v>46063</x:v>
      </x:c>
      <x:c r="H2487" s="32" t="n">
        <x:v>573000</x:v>
      </x:c>
      <x:c r="I2487" s="32" t="n">
        <x:v>573000</x:v>
      </x:c>
      <x:c r="J2487" s="32" t="n">
        <x:v>0</x:v>
      </x:c>
      <x:c r="K2487" s="30" t="n">
        <x:v>46071</x:v>
      </x:c>
      <x:c r="L2487" s="24" t="str">
        <x:v>입금</x:v>
      </x:c>
      <x:c r="M2487" s="31" t="n">
        <x:f>IF(AND(N2487="미수",G2487&lt;&gt;"",TODAY()&gt;G2487),TODAY()-G2487,0)</x:f>
        <x:v>0</x:v>
      </x:c>
      <x:c r="N2487" s="24" t="str">
        <x:f>IF(J2487&gt;0,"미수",IF(AND(H2487&gt;0,I2487&gt;=H2487),"완납","미확인"))</x:f>
        <x:v>완납</x:v>
      </x:c>
      <x:c r="O2487" s="31" t="n">
        <x:v>13</x:v>
      </x:c>
    </x:row>
    <x:row r="2488" ht="17.25" customHeight="1">
      <x:c r="A2488" s="24" t="str">
        <x:v>PR-B-02노0857-202601</x:v>
      </x:c>
      <x:c r="B2488" s="24" t="str">
        <x:v>프라임구독</x:v>
      </x:c>
      <x:c r="C2488" s="24" t="str">
        <x:v>PR-C-02노0857-1-20230308-7</x:v>
      </x:c>
      <x:c r="D2488" s="24" t="str">
        <x:v>02노0857</x:v>
      </x:c>
      <x:c r="E2488" s="24" t="str">
        <x:v>박이석</x:v>
      </x:c>
      <x:c r="F2488" s="24" t="str">
        <x:v>2026-01</x:v>
      </x:c>
      <x:c r="G2488" s="30" t="n">
        <x:v>46032</x:v>
      </x:c>
      <x:c r="H2488" s="32" t="n">
        <x:v>573000</x:v>
      </x:c>
      <x:c r="I2488" s="32" t="n">
        <x:v>573000</x:v>
      </x:c>
      <x:c r="J2488" s="32" t="n">
        <x:v>0</x:v>
      </x:c>
      <x:c r="K2488" s="30" t="n">
        <x:v>46033</x:v>
      </x:c>
      <x:c r="L2488" s="24" t="str">
        <x:v>입금</x:v>
      </x:c>
      <x:c r="M2488" s="31" t="n">
        <x:f>IF(AND(N2488="미수",G2488&lt;&gt;"",TODAY()&gt;G2488),TODAY()-G2488,0)</x:f>
        <x:v>0</x:v>
      </x:c>
      <x:c r="N2488" s="24" t="str">
        <x:f>IF(J2488&gt;0,"미수",IF(AND(H2488&gt;0,I2488&gt;=H2488),"완납","미확인"))</x:f>
        <x:v>완납</x:v>
      </x:c>
      <x:c r="O2488" s="31" t="n">
        <x:v>13</x:v>
      </x:c>
    </x:row>
    <x:row r="2489" ht="17.25" customHeight="1">
      <x:c r="A2489" s="24" t="str">
        <x:v>PR-B-02노0857-202512</x:v>
      </x:c>
      <x:c r="B2489" s="24" t="str">
        <x:v>프라임구독</x:v>
      </x:c>
      <x:c r="C2489" s="24" t="str">
        <x:v>PR-C-02노0857-1-20230308-7</x:v>
      </x:c>
      <x:c r="D2489" s="24" t="str">
        <x:v>02노0857</x:v>
      </x:c>
      <x:c r="E2489" s="24" t="str">
        <x:v>박이석</x:v>
      </x:c>
      <x:c r="F2489" s="24" t="str">
        <x:v>2025-12</x:v>
      </x:c>
      <x:c r="G2489" s="30" t="n">
        <x:v>46001</x:v>
      </x:c>
      <x:c r="H2489" s="32" t="n">
        <x:v>573000</x:v>
      </x:c>
      <x:c r="I2489" s="32" t="n">
        <x:v>573000</x:v>
      </x:c>
      <x:c r="J2489" s="32" t="n">
        <x:v>0</x:v>
      </x:c>
      <x:c r="K2489" s="30" t="n">
        <x:v>46001</x:v>
      </x:c>
      <x:c r="L2489" s="24" t="str">
        <x:v>입금</x:v>
      </x:c>
      <x:c r="M2489" s="31" t="n">
        <x:f>IF(AND(N2489="미수",G2489&lt;&gt;"",TODAY()&gt;G2489),TODAY()-G2489,0)</x:f>
        <x:v>0</x:v>
      </x:c>
      <x:c r="N2489" s="24" t="str">
        <x:f>IF(J2489&gt;0,"미수",IF(AND(H2489&gt;0,I2489&gt;=H2489),"완납","미확인"))</x:f>
        <x:v>완납</x:v>
      </x:c>
      <x:c r="O2489" s="31" t="n">
        <x:v>13</x:v>
      </x:c>
    </x:row>
    <x:row r="2490" ht="17.25" customHeight="1">
      <x:c r="A2490" s="24" t="str">
        <x:v>PR-B-02노0857-202511</x:v>
      </x:c>
      <x:c r="B2490" s="24" t="str">
        <x:v>프라임구독</x:v>
      </x:c>
      <x:c r="C2490" s="24" t="str">
        <x:v>PR-C-02노0857-1-20230308-7</x:v>
      </x:c>
      <x:c r="D2490" s="24" t="str">
        <x:v>02노0857</x:v>
      </x:c>
      <x:c r="E2490" s="24" t="str">
        <x:v>박이석</x:v>
      </x:c>
      <x:c r="F2490" s="24" t="str">
        <x:v>2025-11</x:v>
      </x:c>
      <x:c r="G2490" s="30" t="n">
        <x:v>45971</x:v>
      </x:c>
      <x:c r="H2490" s="32" t="n">
        <x:v>573000</x:v>
      </x:c>
      <x:c r="I2490" s="32" t="n">
        <x:v>573000</x:v>
      </x:c>
      <x:c r="J2490" s="32" t="n">
        <x:v>0</x:v>
      </x:c>
      <x:c r="K2490" s="30" t="n">
        <x:v>45971</x:v>
      </x:c>
      <x:c r="L2490" s="24" t="str">
        <x:v>입금</x:v>
      </x:c>
      <x:c r="M2490" s="31" t="n">
        <x:f>IF(AND(N2490="미수",G2490&lt;&gt;"",TODAY()&gt;G2490),TODAY()-G2490,0)</x:f>
        <x:v>0</x:v>
      </x:c>
      <x:c r="N2490" s="24" t="str">
        <x:f>IF(J2490&gt;0,"미수",IF(AND(H2490&gt;0,I2490&gt;=H2490),"완납","미확인"))</x:f>
        <x:v>완납</x:v>
      </x:c>
      <x:c r="O2490" s="31" t="n">
        <x:v>13</x:v>
      </x:c>
    </x:row>
    <x:row r="2491" ht="17.25" customHeight="1">
      <x:c r="A2491" s="24" t="str">
        <x:v>PR-B-02노0857-202510</x:v>
      </x:c>
      <x:c r="B2491" s="24" t="str">
        <x:v>프라임구독</x:v>
      </x:c>
      <x:c r="C2491" s="24" t="str">
        <x:v>PR-C-02노0857-1-20230308-7</x:v>
      </x:c>
      <x:c r="D2491" s="24" t="str">
        <x:v>02노0857</x:v>
      </x:c>
      <x:c r="E2491" s="24" t="str">
        <x:v>박이석</x:v>
      </x:c>
      <x:c r="F2491" s="24" t="str">
        <x:v>2025-10</x:v>
      </x:c>
      <x:c r="G2491" s="30" t="n">
        <x:v>45940</x:v>
      </x:c>
      <x:c r="H2491" s="32" t="n">
        <x:v>573000</x:v>
      </x:c>
      <x:c r="I2491" s="32" t="n">
        <x:v>573000</x:v>
      </x:c>
      <x:c r="J2491" s="32" t="n">
        <x:v>0</x:v>
      </x:c>
      <x:c r="K2491" s="30" t="n">
        <x:v>45940</x:v>
      </x:c>
      <x:c r="L2491" s="24" t="str">
        <x:v>입금</x:v>
      </x:c>
      <x:c r="M2491" s="31" t="n">
        <x:f>IF(AND(N2491="미수",G2491&lt;&gt;"",TODAY()&gt;G2491),TODAY()-G2491,0)</x:f>
        <x:v>0</x:v>
      </x:c>
      <x:c r="N2491" s="24" t="str">
        <x:f>IF(J2491&gt;0,"미수",IF(AND(H2491&gt;0,I2491&gt;=H2491),"완납","미확인"))</x:f>
        <x:v>완납</x:v>
      </x:c>
      <x:c r="O2491" s="31" t="n">
        <x:v>13</x:v>
      </x:c>
    </x:row>
    <x:row r="2492" ht="17.25" customHeight="1">
      <x:c r="A2492" s="24" t="str">
        <x:v>PR-B-02노0857-202509</x:v>
      </x:c>
      <x:c r="B2492" s="24" t="str">
        <x:v>프라임구독</x:v>
      </x:c>
      <x:c r="C2492" s="24" t="str">
        <x:v>PR-C-02노0857-1-20230308-7</x:v>
      </x:c>
      <x:c r="D2492" s="24" t="str">
        <x:v>02노0857</x:v>
      </x:c>
      <x:c r="E2492" s="24" t="str">
        <x:v>박이석</x:v>
      </x:c>
      <x:c r="F2492" s="24" t="str">
        <x:v>2025-09</x:v>
      </x:c>
      <x:c r="G2492" s="30" t="n">
        <x:v>45910</x:v>
      </x:c>
      <x:c r="H2492" s="32" t="n">
        <x:v>573000</x:v>
      </x:c>
      <x:c r="I2492" s="32" t="n">
        <x:v>573000</x:v>
      </x:c>
      <x:c r="J2492" s="32" t="n">
        <x:v>0</x:v>
      </x:c>
      <x:c r="K2492" s="30" t="n">
        <x:v>45910</x:v>
      </x:c>
      <x:c r="L2492" s="24" t="str">
        <x:v>입금</x:v>
      </x:c>
      <x:c r="M2492" s="31" t="n">
        <x:f>IF(AND(N2492="미수",G2492&lt;&gt;"",TODAY()&gt;G2492),TODAY()-G2492,0)</x:f>
        <x:v>0</x:v>
      </x:c>
      <x:c r="N2492" s="24" t="str">
        <x:f>IF(J2492&gt;0,"미수",IF(AND(H2492&gt;0,I2492&gt;=H2492),"완납","미확인"))</x:f>
        <x:v>완납</x:v>
      </x:c>
      <x:c r="O2492" s="31" t="n">
        <x:v>13</x:v>
      </x:c>
    </x:row>
    <x:row r="2493" ht="17.25" customHeight="1">
      <x:c r="A2493" s="24" t="str">
        <x:v>PR-B-02노0857-202508</x:v>
      </x:c>
      <x:c r="B2493" s="24" t="str">
        <x:v>프라임구독</x:v>
      </x:c>
      <x:c r="C2493" s="24" t="str">
        <x:v>PR-C-02노0857-1-20230308-7</x:v>
      </x:c>
      <x:c r="D2493" s="24" t="str">
        <x:v>02노0857</x:v>
      </x:c>
      <x:c r="E2493" s="24" t="str">
        <x:v>박이석</x:v>
      </x:c>
      <x:c r="F2493" s="24" t="str">
        <x:v>2025-08</x:v>
      </x:c>
      <x:c r="G2493" s="30" t="n">
        <x:v>45879</x:v>
      </x:c>
      <x:c r="H2493" s="32" t="n">
        <x:v>573000</x:v>
      </x:c>
      <x:c r="I2493" s="32" t="n">
        <x:v>573000</x:v>
      </x:c>
      <x:c r="J2493" s="32" t="n">
        <x:v>0</x:v>
      </x:c>
      <x:c r="K2493" s="30" t="n">
        <x:v>45877</x:v>
      </x:c>
      <x:c r="L2493" s="24" t="str">
        <x:v>입금</x:v>
      </x:c>
      <x:c r="M2493" s="31" t="n">
        <x:f>IF(AND(N2493="미수",G2493&lt;&gt;"",TODAY()&gt;G2493),TODAY()-G2493,0)</x:f>
        <x:v>0</x:v>
      </x:c>
      <x:c r="N2493" s="24" t="str">
        <x:f>IF(J2493&gt;0,"미수",IF(AND(H2493&gt;0,I2493&gt;=H2493),"완납","미확인"))</x:f>
        <x:v>완납</x:v>
      </x:c>
      <x:c r="O2493" s="31" t="n">
        <x:v>13</x:v>
      </x:c>
    </x:row>
    <x:row r="2494" ht="17.25" customHeight="1">
      <x:c r="A2494" s="24" t="str">
        <x:v>PR-B-02노0857-202507</x:v>
      </x:c>
      <x:c r="B2494" s="24" t="str">
        <x:v>프라임구독</x:v>
      </x:c>
      <x:c r="C2494" s="24" t="str">
        <x:v>PR-C-02노0857-1-20230308-7</x:v>
      </x:c>
      <x:c r="D2494" s="24" t="str">
        <x:v>02노0857</x:v>
      </x:c>
      <x:c r="E2494" s="24" t="str">
        <x:v>박이석</x:v>
      </x:c>
      <x:c r="F2494" s="24" t="str">
        <x:v>2025-07</x:v>
      </x:c>
      <x:c r="G2494" s="30" t="n">
        <x:v>45848</x:v>
      </x:c>
      <x:c r="H2494" s="32" t="n">
        <x:v>573000</x:v>
      </x:c>
      <x:c r="I2494" s="32" t="n">
        <x:v>573000</x:v>
      </x:c>
      <x:c r="J2494" s="32" t="n">
        <x:v>0</x:v>
      </x:c>
      <x:c r="K2494" s="30" t="n">
        <x:v>45848</x:v>
      </x:c>
      <x:c r="L2494" s="24" t="str">
        <x:v>입금</x:v>
      </x:c>
      <x:c r="M2494" s="31" t="n">
        <x:f>IF(AND(N2494="미수",G2494&lt;&gt;"",TODAY()&gt;G2494),TODAY()-G2494,0)</x:f>
        <x:v>0</x:v>
      </x:c>
      <x:c r="N2494" s="24" t="str">
        <x:f>IF(J2494&gt;0,"미수",IF(AND(H2494&gt;0,I2494&gt;=H2494),"완납","미확인"))</x:f>
        <x:v>완납</x:v>
      </x:c>
      <x:c r="O2494" s="31" t="n">
        <x:v>13</x:v>
      </x:c>
    </x:row>
    <x:row r="2495" ht="17.25" customHeight="1">
      <x:c r="A2495" s="24" t="str">
        <x:v>PR-B-02노0857-202506</x:v>
      </x:c>
      <x:c r="B2495" s="24" t="str">
        <x:v>프라임구독</x:v>
      </x:c>
      <x:c r="C2495" s="24" t="str">
        <x:v>PR-C-02노0857-1-20230308-7</x:v>
      </x:c>
      <x:c r="D2495" s="24" t="str">
        <x:v>02노0857</x:v>
      </x:c>
      <x:c r="E2495" s="24" t="str">
        <x:v>박이석</x:v>
      </x:c>
      <x:c r="F2495" s="24" t="str">
        <x:v>2025-06</x:v>
      </x:c>
      <x:c r="G2495" s="30" t="n">
        <x:v>45818</x:v>
      </x:c>
      <x:c r="H2495" s="32" t="n">
        <x:v>573000</x:v>
      </x:c>
      <x:c r="I2495" s="32" t="n">
        <x:v>573000</x:v>
      </x:c>
      <x:c r="J2495" s="32" t="n">
        <x:v>0</x:v>
      </x:c>
      <x:c r="K2495" s="30" t="n">
        <x:v>45818</x:v>
      </x:c>
      <x:c r="L2495" s="24" t="str">
        <x:v>입금</x:v>
      </x:c>
      <x:c r="M2495" s="31" t="n">
        <x:f>IF(AND(N2495="미수",G2495&lt;&gt;"",TODAY()&gt;G2495),TODAY()-G2495,0)</x:f>
        <x:v>0</x:v>
      </x:c>
      <x:c r="N2495" s="24" t="str">
        <x:f>IF(J2495&gt;0,"미수",IF(AND(H2495&gt;0,I2495&gt;=H2495),"완납","미확인"))</x:f>
        <x:v>완납</x:v>
      </x:c>
      <x:c r="O2495" s="31" t="n">
        <x:v>13</x:v>
      </x:c>
    </x:row>
    <x:row r="2496" ht="17.25" customHeight="1">
      <x:c r="A2496" s="24" t="str">
        <x:v>PR-B-02노0857-202505</x:v>
      </x:c>
      <x:c r="B2496" s="24" t="str">
        <x:v>프라임구독</x:v>
      </x:c>
      <x:c r="C2496" s="24" t="str">
        <x:v>PR-C-02노0857-1-20230308-7</x:v>
      </x:c>
      <x:c r="D2496" s="24" t="str">
        <x:v>02노0857</x:v>
      </x:c>
      <x:c r="E2496" s="24" t="str">
        <x:v>박이석</x:v>
      </x:c>
      <x:c r="F2496" s="24" t="str">
        <x:v>2025-05</x:v>
      </x:c>
      <x:c r="G2496" s="30" t="n">
        <x:v>45787</x:v>
      </x:c>
      <x:c r="H2496" s="32" t="n">
        <x:v>573000</x:v>
      </x:c>
      <x:c r="I2496" s="32" t="n">
        <x:v>573000</x:v>
      </x:c>
      <x:c r="J2496" s="32" t="n">
        <x:v>0</x:v>
      </x:c>
      <x:c r="K2496" s="30" t="n">
        <x:v>45786</x:v>
      </x:c>
      <x:c r="L2496" s="24" t="str">
        <x:v>입금</x:v>
      </x:c>
      <x:c r="M2496" s="31" t="n">
        <x:f>IF(AND(N2496="미수",G2496&lt;&gt;"",TODAY()&gt;G2496),TODAY()-G2496,0)</x:f>
        <x:v>0</x:v>
      </x:c>
      <x:c r="N2496" s="24" t="str">
        <x:f>IF(J2496&gt;0,"미수",IF(AND(H2496&gt;0,I2496&gt;=H2496),"완납","미확인"))</x:f>
        <x:v>완납</x:v>
      </x:c>
      <x:c r="O2496" s="31" t="n">
        <x:v>13</x:v>
      </x:c>
    </x:row>
    <x:row r="2497" ht="17.25" customHeight="1">
      <x:c r="A2497" s="24" t="str">
        <x:v>PR-B-02노0857-202504</x:v>
      </x:c>
      <x:c r="B2497" s="24" t="str">
        <x:v>프라임구독</x:v>
      </x:c>
      <x:c r="C2497" s="24" t="str">
        <x:v>PR-C-02노0857-1-20230308-7</x:v>
      </x:c>
      <x:c r="D2497" s="24" t="str">
        <x:v>02노0857</x:v>
      </x:c>
      <x:c r="E2497" s="24" t="str">
        <x:v>박이석</x:v>
      </x:c>
      <x:c r="F2497" s="24" t="str">
        <x:v>2025-04</x:v>
      </x:c>
      <x:c r="G2497" s="30" t="n">
        <x:v>45757</x:v>
      </x:c>
      <x:c r="H2497" s="32" t="n">
        <x:v>573000</x:v>
      </x:c>
      <x:c r="I2497" s="32" t="n">
        <x:v>573000</x:v>
      </x:c>
      <x:c r="J2497" s="32" t="n">
        <x:v>0</x:v>
      </x:c>
      <x:c r="K2497" s="30" t="n">
        <x:v>45757</x:v>
      </x:c>
      <x:c r="L2497" s="24" t="str">
        <x:v>입금</x:v>
      </x:c>
      <x:c r="M2497" s="31" t="n">
        <x:f>IF(AND(N2497="미수",G2497&lt;&gt;"",TODAY()&gt;G2497),TODAY()-G2497,0)</x:f>
        <x:v>0</x:v>
      </x:c>
      <x:c r="N2497" s="24" t="str">
        <x:f>IF(J2497&gt;0,"미수",IF(AND(H2497&gt;0,I2497&gt;=H2497),"완납","미확인"))</x:f>
        <x:v>완납</x:v>
      </x:c>
      <x:c r="O2497" s="31" t="n">
        <x:v>13</x:v>
      </x:c>
    </x:row>
    <x:row r="2498" ht="17.25" customHeight="1">
      <x:c r="A2498" s="24" t="str">
        <x:v>PR-B-02노0857-202503</x:v>
      </x:c>
      <x:c r="B2498" s="24" t="str">
        <x:v>프라임구독</x:v>
      </x:c>
      <x:c r="C2498" s="24" t="str">
        <x:v>PR-C-02노0857-1-20230308-7</x:v>
      </x:c>
      <x:c r="D2498" s="24" t="str">
        <x:v>02노0857</x:v>
      </x:c>
      <x:c r="E2498" s="24" t="str">
        <x:v>박이석</x:v>
      </x:c>
      <x:c r="F2498" s="24" t="str">
        <x:v>2025-03</x:v>
      </x:c>
      <x:c r="G2498" s="30" t="n">
        <x:v>45726</x:v>
      </x:c>
      <x:c r="H2498" s="32" t="n">
        <x:v>573000</x:v>
      </x:c>
      <x:c r="I2498" s="32" t="n">
        <x:v>573000</x:v>
      </x:c>
      <x:c r="J2498" s="32" t="n">
        <x:v>0</x:v>
      </x:c>
      <x:c r="K2498" s="30" t="n">
        <x:v>45726</x:v>
      </x:c>
      <x:c r="L2498" s="24" t="str">
        <x:v>입금</x:v>
      </x:c>
      <x:c r="M2498" s="31" t="n">
        <x:f>IF(AND(N2498="미수",G2498&lt;&gt;"",TODAY()&gt;G2498),TODAY()-G2498,0)</x:f>
        <x:v>0</x:v>
      </x:c>
      <x:c r="N2498" s="24" t="str">
        <x:f>IF(J2498&gt;0,"미수",IF(AND(H2498&gt;0,I2498&gt;=H2498),"완납","미확인"))</x:f>
        <x:v>완납</x:v>
      </x:c>
      <x:c r="O2498" s="31" t="n">
        <x:v>13</x:v>
      </x:c>
    </x:row>
    <x:row r="2499" ht="17.25" customHeight="1">
      <x:c r="A2499" s="24" t="str">
        <x:v>PR-B-02노0857-202502</x:v>
      </x:c>
      <x:c r="B2499" s="24" t="str">
        <x:v>프라임구독</x:v>
      </x:c>
      <x:c r="C2499" s="24" t="str">
        <x:v>PR-C-02노0857-1-20230308-7</x:v>
      </x:c>
      <x:c r="D2499" s="24" t="str">
        <x:v>02노0857</x:v>
      </x:c>
      <x:c r="E2499" s="24" t="str">
        <x:v>박이석</x:v>
      </x:c>
      <x:c r="F2499" s="24" t="str">
        <x:v>2025-02</x:v>
      </x:c>
      <x:c r="G2499" s="30" t="n">
        <x:v>45698</x:v>
      </x:c>
      <x:c r="H2499" s="32" t="n">
        <x:v>573000</x:v>
      </x:c>
      <x:c r="I2499" s="32" t="n">
        <x:v>573000</x:v>
      </x:c>
      <x:c r="J2499" s="32" t="n">
        <x:v>0</x:v>
      </x:c>
      <x:c r="K2499" s="30" t="n">
        <x:v>45698</x:v>
      </x:c>
      <x:c r="L2499" s="24" t="str">
        <x:v>입금</x:v>
      </x:c>
      <x:c r="M2499" s="31" t="n">
        <x:f>IF(AND(N2499="미수",G2499&lt;&gt;"",TODAY()&gt;G2499),TODAY()-G2499,0)</x:f>
        <x:v>0</x:v>
      </x:c>
      <x:c r="N2499" s="24" t="str">
        <x:f>IF(J2499&gt;0,"미수",IF(AND(H2499&gt;0,I2499&gt;=H2499),"완납","미확인"))</x:f>
        <x:v>완납</x:v>
      </x:c>
      <x:c r="O2499" s="31" t="n">
        <x:v>13</x:v>
      </x:c>
    </x:row>
    <x:row r="2500" ht="17.25" customHeight="1">
      <x:c r="A2500" s="24" t="str">
        <x:v>PR-B-02노0857-202501</x:v>
      </x:c>
      <x:c r="B2500" s="24" t="str">
        <x:v>프라임구독</x:v>
      </x:c>
      <x:c r="C2500" s="24" t="str">
        <x:v>PR-C-02노0857-1-20230308-7</x:v>
      </x:c>
      <x:c r="D2500" s="24" t="str">
        <x:v>02노0857</x:v>
      </x:c>
      <x:c r="E2500" s="24" t="str">
        <x:v>박이석</x:v>
      </x:c>
      <x:c r="F2500" s="24" t="str">
        <x:v>2025-01</x:v>
      </x:c>
      <x:c r="G2500" s="30" t="n">
        <x:v>45667</x:v>
      </x:c>
      <x:c r="H2500" s="32" t="n">
        <x:v>573000</x:v>
      </x:c>
      <x:c r="I2500" s="32" t="n">
        <x:v>573000</x:v>
      </x:c>
      <x:c r="J2500" s="32" t="n">
        <x:v>0</x:v>
      </x:c>
      <x:c r="K2500" s="30" t="n">
        <x:v>45667</x:v>
      </x:c>
      <x:c r="L2500" s="24" t="str">
        <x:v>입금</x:v>
      </x:c>
      <x:c r="M2500" s="31" t="n">
        <x:f>IF(AND(N2500="미수",G2500&lt;&gt;"",TODAY()&gt;G2500),TODAY()-G2500,0)</x:f>
        <x:v>0</x:v>
      </x:c>
      <x:c r="N2500" s="24" t="str">
        <x:f>IF(J2500&gt;0,"미수",IF(AND(H2500&gt;0,I2500&gt;=H2500),"완납","미확인"))</x:f>
        <x:v>완납</x:v>
      </x:c>
      <x:c r="O2500" s="31" t="n">
        <x:v>13</x:v>
      </x:c>
    </x:row>
    <x:row r="2501" ht="17.25" customHeight="1">
      <x:c r="A2501" s="24" t="str">
        <x:v>PR-B-02노0857-202412</x:v>
      </x:c>
      <x:c r="B2501" s="24" t="str">
        <x:v>프라임구독</x:v>
      </x:c>
      <x:c r="C2501" s="24" t="str">
        <x:v>PR-C-02노0857-1-20230308-7</x:v>
      </x:c>
      <x:c r="D2501" s="24" t="str">
        <x:v>02노0857</x:v>
      </x:c>
      <x:c r="E2501" s="24" t="str">
        <x:v>박이석</x:v>
      </x:c>
      <x:c r="F2501" s="24" t="str">
        <x:v>2024-12</x:v>
      </x:c>
      <x:c r="G2501" s="30" t="n">
        <x:v>45636</x:v>
      </x:c>
      <x:c r="H2501" s="32" t="n">
        <x:v>573000</x:v>
      </x:c>
      <x:c r="I2501" s="32" t="n">
        <x:v>573000</x:v>
      </x:c>
      <x:c r="J2501" s="32" t="n">
        <x:v>0</x:v>
      </x:c>
      <x:c r="K2501" s="30" t="n">
        <x:v>45636</x:v>
      </x:c>
      <x:c r="L2501" s="24" t="str">
        <x:v>입금</x:v>
      </x:c>
      <x:c r="M2501" s="31" t="n">
        <x:f>IF(AND(N2501="미수",G2501&lt;&gt;"",TODAY()&gt;G2501),TODAY()-G2501,0)</x:f>
        <x:v>0</x:v>
      </x:c>
      <x:c r="N2501" s="24" t="str">
        <x:f>IF(J2501&gt;0,"미수",IF(AND(H2501&gt;0,I2501&gt;=H2501),"완납","미확인"))</x:f>
        <x:v>완납</x:v>
      </x:c>
      <x:c r="O2501" s="31" t="n">
        <x:v>13</x:v>
      </x:c>
    </x:row>
    <x:row r="2502" ht="17.25" customHeight="1">
      <x:c r="A2502" s="24" t="str">
        <x:v>PR-B-02노0857-202411</x:v>
      </x:c>
      <x:c r="B2502" s="24" t="str">
        <x:v>프라임구독</x:v>
      </x:c>
      <x:c r="C2502" s="24" t="str">
        <x:v>PR-C-02노0857-1-20230308-7</x:v>
      </x:c>
      <x:c r="D2502" s="24" t="str">
        <x:v>02노0857</x:v>
      </x:c>
      <x:c r="E2502" s="24" t="str">
        <x:v>박이석</x:v>
      </x:c>
      <x:c r="F2502" s="24" t="str">
        <x:v>2024-11</x:v>
      </x:c>
      <x:c r="G2502" s="30" t="n">
        <x:v>45606</x:v>
      </x:c>
      <x:c r="H2502" s="32" t="n">
        <x:v>573000</x:v>
      </x:c>
      <x:c r="I2502" s="32" t="n">
        <x:v>573000</x:v>
      </x:c>
      <x:c r="J2502" s="32" t="n">
        <x:v>0</x:v>
      </x:c>
      <x:c r="K2502" s="30" t="n">
        <x:v>45604</x:v>
      </x:c>
      <x:c r="L2502" s="24" t="str">
        <x:v>입금</x:v>
      </x:c>
      <x:c r="M2502" s="31" t="n">
        <x:f>IF(AND(N2502="미수",G2502&lt;&gt;"",TODAY()&gt;G2502),TODAY()-G2502,0)</x:f>
        <x:v>0</x:v>
      </x:c>
      <x:c r="N2502" s="24" t="str">
        <x:f>IF(J2502&gt;0,"미수",IF(AND(H2502&gt;0,I2502&gt;=H2502),"완납","미확인"))</x:f>
        <x:v>완납</x:v>
      </x:c>
      <x:c r="O2502" s="31" t="n">
        <x:v>13</x:v>
      </x:c>
    </x:row>
    <x:row r="2503" ht="17.25" customHeight="1">
      <x:c r="A2503" s="24" t="str">
        <x:v>PR-B-02노0857-202410</x:v>
      </x:c>
      <x:c r="B2503" s="24" t="str">
        <x:v>프라임구독</x:v>
      </x:c>
      <x:c r="C2503" s="24" t="str">
        <x:v>PR-C-02노0857-1-20230308-7</x:v>
      </x:c>
      <x:c r="D2503" s="24" t="str">
        <x:v>02노0857</x:v>
      </x:c>
      <x:c r="E2503" s="24" t="str">
        <x:v>박이석</x:v>
      </x:c>
      <x:c r="F2503" s="24" t="str">
        <x:v>2024-10</x:v>
      </x:c>
      <x:c r="G2503" s="30" t="n">
        <x:v>45575</x:v>
      </x:c>
      <x:c r="H2503" s="32" t="n">
        <x:v>573000</x:v>
      </x:c>
      <x:c r="I2503" s="32" t="n">
        <x:v>573000</x:v>
      </x:c>
      <x:c r="J2503" s="32" t="n">
        <x:v>0</x:v>
      </x:c>
      <x:c r="K2503" s="30" t="n">
        <x:v>45604</x:v>
      </x:c>
      <x:c r="L2503" s="24" t="str">
        <x:v>입금</x:v>
      </x:c>
      <x:c r="M2503" s="31" t="n">
        <x:f>IF(AND(N2503="미수",G2503&lt;&gt;"",TODAY()&gt;G2503),TODAY()-G2503,0)</x:f>
        <x:v>0</x:v>
      </x:c>
      <x:c r="N2503" s="24" t="str">
        <x:f>IF(J2503&gt;0,"미수",IF(AND(H2503&gt;0,I2503&gt;=H2503),"완납","미확인"))</x:f>
        <x:v>완납</x:v>
      </x:c>
      <x:c r="O2503" s="31" t="n">
        <x:v>13</x:v>
      </x:c>
    </x:row>
    <x:row r="2504" ht="17.25" customHeight="1">
      <x:c r="A2504" s="24" t="str">
        <x:v>PR-B-02노0857-202409</x:v>
      </x:c>
      <x:c r="B2504" s="24" t="str">
        <x:v>프라임구독</x:v>
      </x:c>
      <x:c r="C2504" s="24" t="str">
        <x:v>PR-C-02노0857-1-20230308-7</x:v>
      </x:c>
      <x:c r="D2504" s="24" t="str">
        <x:v>02노0857</x:v>
      </x:c>
      <x:c r="E2504" s="24" t="str">
        <x:v>박이석</x:v>
      </x:c>
      <x:c r="F2504" s="24" t="str">
        <x:v>2024-09</x:v>
      </x:c>
      <x:c r="G2504" s="30" t="n">
        <x:v>45545</x:v>
      </x:c>
      <x:c r="H2504" s="32" t="n">
        <x:v>573000</x:v>
      </x:c>
      <x:c r="I2504" s="32" t="n">
        <x:v>573000</x:v>
      </x:c>
      <x:c r="J2504" s="32" t="n">
        <x:v>0</x:v>
      </x:c>
      <x:c r="K2504" s="30" t="n">
        <x:v>45575</x:v>
      </x:c>
      <x:c r="L2504" s="24" t="str">
        <x:v>입금</x:v>
      </x:c>
      <x:c r="M2504" s="31" t="n">
        <x:f>IF(AND(N2504="미수",G2504&lt;&gt;"",TODAY()&gt;G2504),TODAY()-G2504,0)</x:f>
        <x:v>0</x:v>
      </x:c>
      <x:c r="N2504" s="24" t="str">
        <x:f>IF(J2504&gt;0,"미수",IF(AND(H2504&gt;0,I2504&gt;=H2504),"완납","미확인"))</x:f>
        <x:v>완납</x:v>
      </x:c>
      <x:c r="O2504" s="31" t="n">
        <x:v>13</x:v>
      </x:c>
    </x:row>
    <x:row r="2505" ht="17.25" customHeight="1">
      <x:c r="A2505" s="24" t="str">
        <x:v>PR-B-02노0857-202408</x:v>
      </x:c>
      <x:c r="B2505" s="24" t="str">
        <x:v>프라임구독</x:v>
      </x:c>
      <x:c r="C2505" s="24" t="str">
        <x:v>PR-C-02노0857-1-20230308-7</x:v>
      </x:c>
      <x:c r="D2505" s="24" t="str">
        <x:v>02노0857</x:v>
      </x:c>
      <x:c r="E2505" s="24" t="str">
        <x:v>박이석</x:v>
      </x:c>
      <x:c r="F2505" s="24" t="str">
        <x:v>2024-08</x:v>
      </x:c>
      <x:c r="G2505" s="30" t="n">
        <x:v>45514</x:v>
      </x:c>
      <x:c r="H2505" s="32" t="n">
        <x:v>573000</x:v>
      </x:c>
      <x:c r="I2505" s="32" t="n">
        <x:v>573000</x:v>
      </x:c>
      <x:c r="J2505" s="32" t="n">
        <x:v>0</x:v>
      </x:c>
      <x:c r="K2505" s="30" t="n">
        <x:v>45535</x:v>
      </x:c>
      <x:c r="L2505" s="24" t="str">
        <x:v>입금</x:v>
      </x:c>
      <x:c r="M2505" s="31" t="n">
        <x:f>IF(AND(N2505="미수",G2505&lt;&gt;"",TODAY()&gt;G2505),TODAY()-G2505,0)</x:f>
        <x:v>0</x:v>
      </x:c>
      <x:c r="N2505" s="24" t="str">
        <x:f>IF(J2505&gt;0,"미수",IF(AND(H2505&gt;0,I2505&gt;=H2505),"완납","미확인"))</x:f>
        <x:v>완납</x:v>
      </x:c>
      <x:c r="O2505" s="31" t="n">
        <x:v>13</x:v>
      </x:c>
    </x:row>
    <x:row r="2506" ht="17.25" customHeight="1">
      <x:c r="A2506" s="24" t="str">
        <x:v>PR-B-02노0857-202407</x:v>
      </x:c>
      <x:c r="B2506" s="24" t="str">
        <x:v>프라임구독</x:v>
      </x:c>
      <x:c r="C2506" s="24" t="str">
        <x:v>PR-C-02노0857-1-20230308-7</x:v>
      </x:c>
      <x:c r="D2506" s="24" t="str">
        <x:v>02노0857</x:v>
      </x:c>
      <x:c r="E2506" s="24" t="str">
        <x:v>박이석</x:v>
      </x:c>
      <x:c r="F2506" s="24" t="str">
        <x:v>2024-07</x:v>
      </x:c>
      <x:c r="G2506" s="30" t="n">
        <x:v>45483</x:v>
      </x:c>
      <x:c r="H2506" s="32" t="n">
        <x:v>573000</x:v>
      </x:c>
      <x:c r="I2506" s="32" t="n">
        <x:v>573000</x:v>
      </x:c>
      <x:c r="J2506" s="32" t="n">
        <x:v>0</x:v>
      </x:c>
      <x:c r="K2506" s="30" t="n">
        <x:v>45510</x:v>
      </x:c>
      <x:c r="L2506" s="24" t="str">
        <x:v>입금</x:v>
      </x:c>
      <x:c r="M2506" s="31" t="n">
        <x:f>IF(AND(N2506="미수",G2506&lt;&gt;"",TODAY()&gt;G2506),TODAY()-G2506,0)</x:f>
        <x:v>0</x:v>
      </x:c>
      <x:c r="N2506" s="24" t="str">
        <x:f>IF(J2506&gt;0,"미수",IF(AND(H2506&gt;0,I2506&gt;=H2506),"완납","미확인"))</x:f>
        <x:v>완납</x:v>
      </x:c>
      <x:c r="O2506" s="31" t="n">
        <x:v>13</x:v>
      </x:c>
    </x:row>
    <x:row r="2507" ht="17.25" customHeight="1">
      <x:c r="A2507" s="24" t="str">
        <x:v>PR-B-02노0857-202406</x:v>
      </x:c>
      <x:c r="B2507" s="24" t="str">
        <x:v>프라임구독</x:v>
      </x:c>
      <x:c r="C2507" s="24" t="str">
        <x:v>PR-C-02노0857-1-20230308-7</x:v>
      </x:c>
      <x:c r="D2507" s="24" t="str">
        <x:v>02노0857</x:v>
      </x:c>
      <x:c r="E2507" s="24" t="str">
        <x:v>박이석</x:v>
      </x:c>
      <x:c r="F2507" s="24" t="str">
        <x:v>2024-06</x:v>
      </x:c>
      <x:c r="G2507" s="30" t="n">
        <x:v>45453</x:v>
      </x:c>
      <x:c r="H2507" s="32" t="n">
        <x:v>573000</x:v>
      </x:c>
      <x:c r="I2507" s="32" t="n">
        <x:v>573000</x:v>
      </x:c>
      <x:c r="J2507" s="32" t="n">
        <x:v>0</x:v>
      </x:c>
      <x:c r="K2507" s="30" t="n">
        <x:v>45442</x:v>
      </x:c>
      <x:c r="L2507" s="24" t="str"/>
      <x:c r="M2507" s="31" t="n">
        <x:f>IF(AND(N2507="미수",G2507&lt;&gt;"",TODAY()&gt;G2507),TODAY()-G2507,0)</x:f>
        <x:v>0</x:v>
      </x:c>
      <x:c r="N2507" s="24" t="str">
        <x:f>IF(J2507&gt;0,"미수",IF(AND(H2507&gt;0,I2507&gt;=H2507),"완납","미확인"))</x:f>
        <x:v>완납</x:v>
      </x:c>
      <x:c r="O2507" s="31" t="n">
        <x:v>13</x:v>
      </x:c>
    </x:row>
    <x:row r="2508" ht="17.25" customHeight="1">
      <x:c r="A2508" s="24" t="str">
        <x:v>PR-B-02노0857-202405</x:v>
      </x:c>
      <x:c r="B2508" s="24" t="str">
        <x:v>프라임구독</x:v>
      </x:c>
      <x:c r="C2508" s="24" t="str">
        <x:v>PR-C-02노0857-1-20230308-7</x:v>
      </x:c>
      <x:c r="D2508" s="24" t="str">
        <x:v>02노0857</x:v>
      </x:c>
      <x:c r="E2508" s="24" t="str">
        <x:v>박이석</x:v>
      </x:c>
      <x:c r="F2508" s="24" t="str">
        <x:v>2024-05</x:v>
      </x:c>
      <x:c r="G2508" s="30" t="n">
        <x:v>45422</x:v>
      </x:c>
      <x:c r="H2508" s="32" t="n">
        <x:v>573000</x:v>
      </x:c>
      <x:c r="I2508" s="32" t="n">
        <x:v>573000</x:v>
      </x:c>
      <x:c r="J2508" s="32" t="n">
        <x:v>0</x:v>
      </x:c>
      <x:c r="K2508" s="30" t="n">
        <x:v>45418</x:v>
      </x:c>
      <x:c r="L2508" s="24" t="str"/>
      <x:c r="M2508" s="31" t="n">
        <x:f>IF(AND(N2508="미수",G2508&lt;&gt;"",TODAY()&gt;G2508),TODAY()-G2508,0)</x:f>
        <x:v>0</x:v>
      </x:c>
      <x:c r="N2508" s="24" t="str">
        <x:f>IF(J2508&gt;0,"미수",IF(AND(H2508&gt;0,I2508&gt;=H2508),"완납","미확인"))</x:f>
        <x:v>완납</x:v>
      </x:c>
      <x:c r="O2508" s="31" t="n">
        <x:v>13</x:v>
      </x:c>
    </x:row>
    <x:row r="2509" ht="17.25" customHeight="1">
      <x:c r="A2509" s="24" t="str">
        <x:v>PR-B-14소0456-202608</x:v>
      </x:c>
      <x:c r="B2509" s="24" t="str">
        <x:v>프라임구독</x:v>
      </x:c>
      <x:c r="C2509" s="24" t="str">
        <x:v>PR-C-14소0456-1-20230317-48</x:v>
      </x:c>
      <x:c r="D2509" s="24" t="str">
        <x:v>14소0456</x:v>
      </x:c>
      <x:c r="E2509" s="24" t="str">
        <x:v>양두식</x:v>
      </x:c>
      <x:c r="F2509" s="24" t="str">
        <x:v>2026-08</x:v>
      </x:c>
      <x:c r="G2509" s="30" t="n">
        <x:v>46244</x:v>
      </x:c>
      <x:c r="H2509" s="32" t="n">
        <x:v>769000</x:v>
      </x:c>
      <x:c r="I2509" s="32"/>
      <x:c r="J2509" s="32" t="n">
        <x:v>18244153</x:v>
      </x:c>
      <x:c r="K2509" s="30"/>
      <x:c r="L2509" s="24" t="str"/>
      <x:c r="M2509" s="31" t="n">
        <x:f>IF(AND(N2509="미수",G2509&lt;&gt;"",TODAY()&gt;G2509),TODAY()-G2509,0)</x:f>
        <x:v>5</x:v>
      </x:c>
      <x:c r="N2509" s="24" t="str">
        <x:f>IF(J2509&gt;0,"미수",IF(AND(H2509&gt;0,I2509&gt;=H2509),"완납","미확인"))</x:f>
        <x:v>미수</x:v>
      </x:c>
      <x:c r="O2509" s="31" t="n">
        <x:v>14</x:v>
      </x:c>
    </x:row>
    <x:row r="2510" ht="17.25" customHeight="1">
      <x:c r="A2510" s="24" t="str">
        <x:v>PR-B-14소0456-202607</x:v>
      </x:c>
      <x:c r="B2510" s="24" t="str">
        <x:v>프라임구독</x:v>
      </x:c>
      <x:c r="C2510" s="24" t="str">
        <x:v>PR-C-14소0456-1-20230317-48</x:v>
      </x:c>
      <x:c r="D2510" s="24" t="str">
        <x:v>14소0456</x:v>
      </x:c>
      <x:c r="E2510" s="24" t="str">
        <x:v>양두식</x:v>
      </x:c>
      <x:c r="F2510" s="24" t="str">
        <x:v>2026-07</x:v>
      </x:c>
      <x:c r="G2510" s="30" t="n">
        <x:v>46213</x:v>
      </x:c>
      <x:c r="H2510" s="32" t="n">
        <x:v>769000</x:v>
      </x:c>
      <x:c r="I2510" s="32"/>
      <x:c r="J2510" s="32" t="n">
        <x:v>17475153</x:v>
      </x:c>
      <x:c r="K2510" s="30"/>
      <x:c r="L2510" s="24" t="str"/>
      <x:c r="M2510" s="31" t="n">
        <x:f>IF(AND(N2510="미수",G2510&lt;&gt;"",TODAY()&gt;G2510),TODAY()-G2510,0)</x:f>
        <x:v>36</x:v>
      </x:c>
      <x:c r="N2510" s="24" t="str">
        <x:f>IF(J2510&gt;0,"미수",IF(AND(H2510&gt;0,I2510&gt;=H2510),"완납","미확인"))</x:f>
        <x:v>미수</x:v>
      </x:c>
      <x:c r="O2510" s="31" t="n">
        <x:v>14</x:v>
      </x:c>
    </x:row>
    <x:row r="2511" ht="17.25" customHeight="1">
      <x:c r="A2511" s="24" t="str">
        <x:v>PR-B-14소0456-202606</x:v>
      </x:c>
      <x:c r="B2511" s="24" t="str">
        <x:v>프라임구독</x:v>
      </x:c>
      <x:c r="C2511" s="24" t="str">
        <x:v>PR-C-14소0456-1-20230317-48</x:v>
      </x:c>
      <x:c r="D2511" s="24" t="str">
        <x:v>14소0456</x:v>
      </x:c>
      <x:c r="E2511" s="24" t="str">
        <x:v>양두식</x:v>
      </x:c>
      <x:c r="F2511" s="24" t="str">
        <x:v>2026-06</x:v>
      </x:c>
      <x:c r="G2511" s="30" t="n">
        <x:v>46183</x:v>
      </x:c>
      <x:c r="H2511" s="32" t="n">
        <x:v>769000</x:v>
      </x:c>
      <x:c r="I2511" s="32"/>
      <x:c r="J2511" s="32" t="n">
        <x:v>16706153</x:v>
      </x:c>
      <x:c r="K2511" s="30"/>
      <x:c r="L2511" s="24" t="str"/>
      <x:c r="M2511" s="31" t="n">
        <x:f>IF(AND(N2511="미수",G2511&lt;&gt;"",TODAY()&gt;G2511),TODAY()-G2511,0)</x:f>
        <x:v>66</x:v>
      </x:c>
      <x:c r="N2511" s="24" t="str">
        <x:f>IF(J2511&gt;0,"미수",IF(AND(H2511&gt;0,I2511&gt;=H2511),"완납","미확인"))</x:f>
        <x:v>미수</x:v>
      </x:c>
      <x:c r="O2511" s="31" t="n">
        <x:v>14</x:v>
      </x:c>
    </x:row>
    <x:row r="2512" ht="17.25" customHeight="1">
      <x:c r="A2512" s="24" t="str">
        <x:v>PR-B-14소0456-202605</x:v>
      </x:c>
      <x:c r="B2512" s="24" t="str">
        <x:v>프라임구독</x:v>
      </x:c>
      <x:c r="C2512" s="24" t="str">
        <x:v>PR-C-14소0456-1-20230317-48</x:v>
      </x:c>
      <x:c r="D2512" s="24" t="str">
        <x:v>14소0456</x:v>
      </x:c>
      <x:c r="E2512" s="24" t="str">
        <x:v>양두식</x:v>
      </x:c>
      <x:c r="F2512" s="24" t="str">
        <x:v>2026-05</x:v>
      </x:c>
      <x:c r="G2512" s="30" t="n">
        <x:v>46152</x:v>
      </x:c>
      <x:c r="H2512" s="32" t="n">
        <x:v>769000</x:v>
      </x:c>
      <x:c r="I2512" s="32"/>
      <x:c r="J2512" s="32" t="n">
        <x:v>15937153</x:v>
      </x:c>
      <x:c r="K2512" s="30"/>
      <x:c r="L2512" s="24" t="str"/>
      <x:c r="M2512" s="31" t="n">
        <x:f>IF(AND(N2512="미수",G2512&lt;&gt;"",TODAY()&gt;G2512),TODAY()-G2512,0)</x:f>
        <x:v>97</x:v>
      </x:c>
      <x:c r="N2512" s="24" t="str">
        <x:f>IF(J2512&gt;0,"미수",IF(AND(H2512&gt;0,I2512&gt;=H2512),"완납","미확인"))</x:f>
        <x:v>미수</x:v>
      </x:c>
      <x:c r="O2512" s="31" t="n">
        <x:v>14</x:v>
      </x:c>
    </x:row>
    <x:row r="2513" ht="17.25" customHeight="1">
      <x:c r="A2513" s="24" t="str">
        <x:v>PR-B-14소0456-202604</x:v>
      </x:c>
      <x:c r="B2513" s="24" t="str">
        <x:v>프라임구독</x:v>
      </x:c>
      <x:c r="C2513" s="24" t="str">
        <x:v>PR-C-14소0456-1-20230317-48</x:v>
      </x:c>
      <x:c r="D2513" s="24" t="str">
        <x:v>14소0456</x:v>
      </x:c>
      <x:c r="E2513" s="24" t="str">
        <x:v>양두식</x:v>
      </x:c>
      <x:c r="F2513" s="24" t="str">
        <x:v>2026-04</x:v>
      </x:c>
      <x:c r="G2513" s="30" t="n">
        <x:v>46122</x:v>
      </x:c>
      <x:c r="H2513" s="32" t="n">
        <x:v>769000</x:v>
      </x:c>
      <x:c r="I2513" s="32"/>
      <x:c r="J2513" s="32" t="n">
        <x:v>15168153</x:v>
      </x:c>
      <x:c r="K2513" s="30"/>
      <x:c r="L2513" s="24" t="str"/>
      <x:c r="M2513" s="31" t="n">
        <x:f>IF(AND(N2513="미수",G2513&lt;&gt;"",TODAY()&gt;G2513),TODAY()-G2513,0)</x:f>
        <x:v>127</x:v>
      </x:c>
      <x:c r="N2513" s="24" t="str">
        <x:f>IF(J2513&gt;0,"미수",IF(AND(H2513&gt;0,I2513&gt;=H2513),"완납","미확인"))</x:f>
        <x:v>미수</x:v>
      </x:c>
      <x:c r="O2513" s="31" t="n">
        <x:v>14</x:v>
      </x:c>
    </x:row>
    <x:row r="2514" ht="17.25" customHeight="1">
      <x:c r="A2514" s="24" t="str">
        <x:v>PR-B-14소0456-202603</x:v>
      </x:c>
      <x:c r="B2514" s="24" t="str">
        <x:v>프라임구독</x:v>
      </x:c>
      <x:c r="C2514" s="24" t="str">
        <x:v>PR-C-14소0456-1-20230317-48</x:v>
      </x:c>
      <x:c r="D2514" s="24" t="str">
        <x:v>14소0456</x:v>
      </x:c>
      <x:c r="E2514" s="24" t="str">
        <x:v>양두식</x:v>
      </x:c>
      <x:c r="F2514" s="24" t="str">
        <x:v>2026-03</x:v>
      </x:c>
      <x:c r="G2514" s="30" t="n">
        <x:v>46091</x:v>
      </x:c>
      <x:c r="H2514" s="32" t="n">
        <x:v>769000</x:v>
      </x:c>
      <x:c r="I2514" s="32"/>
      <x:c r="J2514" s="32" t="n">
        <x:v>14399153</x:v>
      </x:c>
      <x:c r="K2514" s="30"/>
      <x:c r="L2514" s="24" t="str"/>
      <x:c r="M2514" s="31" t="n">
        <x:f>IF(AND(N2514="미수",G2514&lt;&gt;"",TODAY()&gt;G2514),TODAY()-G2514,0)</x:f>
        <x:v>158</x:v>
      </x:c>
      <x:c r="N2514" s="24" t="str">
        <x:f>IF(J2514&gt;0,"미수",IF(AND(H2514&gt;0,I2514&gt;=H2514),"완납","미확인"))</x:f>
        <x:v>미수</x:v>
      </x:c>
      <x:c r="O2514" s="31" t="n">
        <x:v>14</x:v>
      </x:c>
    </x:row>
    <x:row r="2515" ht="17.25" customHeight="1">
      <x:c r="A2515" s="24" t="str">
        <x:v>PR-B-14소0456-202602</x:v>
      </x:c>
      <x:c r="B2515" s="24" t="str">
        <x:v>프라임구독</x:v>
      </x:c>
      <x:c r="C2515" s="24" t="str">
        <x:v>PR-C-14소0456-1-20230317-48</x:v>
      </x:c>
      <x:c r="D2515" s="24" t="str">
        <x:v>14소0456</x:v>
      </x:c>
      <x:c r="E2515" s="24" t="str">
        <x:v>양두식</x:v>
      </x:c>
      <x:c r="F2515" s="24" t="str">
        <x:v>2026-02</x:v>
      </x:c>
      <x:c r="G2515" s="30" t="n">
        <x:v>46063</x:v>
      </x:c>
      <x:c r="H2515" s="32" t="n">
        <x:v>769000</x:v>
      </x:c>
      <x:c r="I2515" s="32"/>
      <x:c r="J2515" s="32" t="n">
        <x:v>13630153</x:v>
      </x:c>
      <x:c r="K2515" s="30"/>
      <x:c r="L2515" s="24" t="str"/>
      <x:c r="M2515" s="31" t="n">
        <x:f>IF(AND(N2515="미수",G2515&lt;&gt;"",TODAY()&gt;G2515),TODAY()-G2515,0)</x:f>
        <x:v>186</x:v>
      </x:c>
      <x:c r="N2515" s="24" t="str">
        <x:f>IF(J2515&gt;0,"미수",IF(AND(H2515&gt;0,I2515&gt;=H2515),"완납","미확인"))</x:f>
        <x:v>미수</x:v>
      </x:c>
      <x:c r="O2515" s="31" t="n">
        <x:v>14</x:v>
      </x:c>
    </x:row>
    <x:row r="2516" ht="17.25" customHeight="1">
      <x:c r="A2516" s="24" t="str">
        <x:v>PR-B-14소0456-202601</x:v>
      </x:c>
      <x:c r="B2516" s="24" t="str">
        <x:v>프라임구독</x:v>
      </x:c>
      <x:c r="C2516" s="24" t="str">
        <x:v>PR-C-14소0456-1-20230317-48</x:v>
      </x:c>
      <x:c r="D2516" s="24" t="str">
        <x:v>14소0456</x:v>
      </x:c>
      <x:c r="E2516" s="24" t="str">
        <x:v>양두식</x:v>
      </x:c>
      <x:c r="F2516" s="24" t="str">
        <x:v>2026-01</x:v>
      </x:c>
      <x:c r="G2516" s="30" t="n">
        <x:v>46032</x:v>
      </x:c>
      <x:c r="H2516" s="32" t="n">
        <x:v>769000</x:v>
      </x:c>
      <x:c r="I2516" s="32"/>
      <x:c r="J2516" s="32" t="n">
        <x:v>12861153</x:v>
      </x:c>
      <x:c r="K2516" s="30"/>
      <x:c r="L2516" s="24" t="str"/>
      <x:c r="M2516" s="31" t="n">
        <x:f>IF(AND(N2516="미수",G2516&lt;&gt;"",TODAY()&gt;G2516),TODAY()-G2516,0)</x:f>
        <x:v>217</x:v>
      </x:c>
      <x:c r="N2516" s="24" t="str">
        <x:f>IF(J2516&gt;0,"미수",IF(AND(H2516&gt;0,I2516&gt;=H2516),"완납","미확인"))</x:f>
        <x:v>미수</x:v>
      </x:c>
      <x:c r="O2516" s="31" t="n">
        <x:v>14</x:v>
      </x:c>
    </x:row>
    <x:row r="2517" ht="17.25" customHeight="1">
      <x:c r="A2517" s="24" t="str">
        <x:v>PR-B-14소0456-202512</x:v>
      </x:c>
      <x:c r="B2517" s="24" t="str">
        <x:v>프라임구독</x:v>
      </x:c>
      <x:c r="C2517" s="24" t="str">
        <x:v>PR-C-14소0456-1-20230317-48</x:v>
      </x:c>
      <x:c r="D2517" s="24" t="str">
        <x:v>14소0456</x:v>
      </x:c>
      <x:c r="E2517" s="24" t="str">
        <x:v>양두식</x:v>
      </x:c>
      <x:c r="F2517" s="24" t="str">
        <x:v>2025-12</x:v>
      </x:c>
      <x:c r="G2517" s="30" t="n">
        <x:v>46001</x:v>
      </x:c>
      <x:c r="H2517" s="32" t="n">
        <x:v>769000</x:v>
      </x:c>
      <x:c r="I2517" s="32"/>
      <x:c r="J2517" s="32" t="n">
        <x:v>12092153</x:v>
      </x:c>
      <x:c r="K2517" s="30"/>
      <x:c r="L2517" s="24" t="str"/>
      <x:c r="M2517" s="31" t="n">
        <x:f>IF(AND(N2517="미수",G2517&lt;&gt;"",TODAY()&gt;G2517),TODAY()-G2517,0)</x:f>
        <x:v>248</x:v>
      </x:c>
      <x:c r="N2517" s="24" t="str">
        <x:f>IF(J2517&gt;0,"미수",IF(AND(H2517&gt;0,I2517&gt;=H2517),"완납","미확인"))</x:f>
        <x:v>미수</x:v>
      </x:c>
      <x:c r="O2517" s="31" t="n">
        <x:v>14</x:v>
      </x:c>
    </x:row>
    <x:row r="2518" ht="17.25" customHeight="1">
      <x:c r="A2518" s="24" t="str">
        <x:v>PR-B-14소0456-202511</x:v>
      </x:c>
      <x:c r="B2518" s="24" t="str">
        <x:v>프라임구독</x:v>
      </x:c>
      <x:c r="C2518" s="24" t="str">
        <x:v>PR-C-14소0456-1-20230317-48</x:v>
      </x:c>
      <x:c r="D2518" s="24" t="str">
        <x:v>14소0456</x:v>
      </x:c>
      <x:c r="E2518" s="24" t="str">
        <x:v>양두식</x:v>
      </x:c>
      <x:c r="F2518" s="24" t="str">
        <x:v>2025-11</x:v>
      </x:c>
      <x:c r="G2518" s="30" t="n">
        <x:v>45971</x:v>
      </x:c>
      <x:c r="H2518" s="32" t="n">
        <x:v>769000</x:v>
      </x:c>
      <x:c r="I2518" s="32"/>
      <x:c r="J2518" s="32" t="n">
        <x:v>11323153</x:v>
      </x:c>
      <x:c r="K2518" s="30"/>
      <x:c r="L2518" s="24" t="str"/>
      <x:c r="M2518" s="31" t="n">
        <x:f>IF(AND(N2518="미수",G2518&lt;&gt;"",TODAY()&gt;G2518),TODAY()-G2518,0)</x:f>
        <x:v>278</x:v>
      </x:c>
      <x:c r="N2518" s="24" t="str">
        <x:f>IF(J2518&gt;0,"미수",IF(AND(H2518&gt;0,I2518&gt;=H2518),"완납","미확인"))</x:f>
        <x:v>미수</x:v>
      </x:c>
      <x:c r="O2518" s="31" t="n">
        <x:v>14</x:v>
      </x:c>
    </x:row>
    <x:row r="2519" ht="17.25" customHeight="1">
      <x:c r="A2519" s="24" t="str">
        <x:v>PR-B-14소0456-202510</x:v>
      </x:c>
      <x:c r="B2519" s="24" t="str">
        <x:v>프라임구독</x:v>
      </x:c>
      <x:c r="C2519" s="24" t="str">
        <x:v>PR-C-14소0456-1-20230317-48</x:v>
      </x:c>
      <x:c r="D2519" s="24" t="str">
        <x:v>14소0456</x:v>
      </x:c>
      <x:c r="E2519" s="24" t="str">
        <x:v>양두식</x:v>
      </x:c>
      <x:c r="F2519" s="24" t="str">
        <x:v>2025-10</x:v>
      </x:c>
      <x:c r="G2519" s="30" t="n">
        <x:v>45940</x:v>
      </x:c>
      <x:c r="H2519" s="32" t="n">
        <x:v>769000</x:v>
      </x:c>
      <x:c r="I2519" s="32"/>
      <x:c r="J2519" s="32" t="n">
        <x:v>10554153</x:v>
      </x:c>
      <x:c r="K2519" s="30"/>
      <x:c r="L2519" s="24" t="str"/>
      <x:c r="M2519" s="31" t="n">
        <x:f>IF(AND(N2519="미수",G2519&lt;&gt;"",TODAY()&gt;G2519),TODAY()-G2519,0)</x:f>
        <x:v>309</x:v>
      </x:c>
      <x:c r="N2519" s="24" t="str">
        <x:f>IF(J2519&gt;0,"미수",IF(AND(H2519&gt;0,I2519&gt;=H2519),"완납","미확인"))</x:f>
        <x:v>미수</x:v>
      </x:c>
      <x:c r="O2519" s="31" t="n">
        <x:v>14</x:v>
      </x:c>
    </x:row>
    <x:row r="2520" ht="17.25" customHeight="1">
      <x:c r="A2520" s="24" t="str">
        <x:v>PR-B-14소0456-202509</x:v>
      </x:c>
      <x:c r="B2520" s="24" t="str">
        <x:v>프라임구독</x:v>
      </x:c>
      <x:c r="C2520" s="24" t="str">
        <x:v>PR-C-14소0456-1-20230317-48</x:v>
      </x:c>
      <x:c r="D2520" s="24" t="str">
        <x:v>14소0456</x:v>
      </x:c>
      <x:c r="E2520" s="24" t="str">
        <x:v>양두식</x:v>
      </x:c>
      <x:c r="F2520" s="24" t="str">
        <x:v>2025-09</x:v>
      </x:c>
      <x:c r="G2520" s="30" t="n">
        <x:v>45910</x:v>
      </x:c>
      <x:c r="H2520" s="32" t="n">
        <x:v>769000</x:v>
      </x:c>
      <x:c r="I2520" s="32"/>
      <x:c r="J2520" s="32" t="n">
        <x:v>9785153</x:v>
      </x:c>
      <x:c r="K2520" s="30"/>
      <x:c r="L2520" s="24" t="str"/>
      <x:c r="M2520" s="31" t="n">
        <x:f>IF(AND(N2520="미수",G2520&lt;&gt;"",TODAY()&gt;G2520),TODAY()-G2520,0)</x:f>
        <x:v>339</x:v>
      </x:c>
      <x:c r="N2520" s="24" t="str">
        <x:f>IF(J2520&gt;0,"미수",IF(AND(H2520&gt;0,I2520&gt;=H2520),"완납","미확인"))</x:f>
        <x:v>미수</x:v>
      </x:c>
      <x:c r="O2520" s="31" t="n">
        <x:v>14</x:v>
      </x:c>
    </x:row>
    <x:row r="2521" ht="17.25" customHeight="1">
      <x:c r="A2521" s="24" t="str">
        <x:v>PR-B-14소0456-202508</x:v>
      </x:c>
      <x:c r="B2521" s="24" t="str">
        <x:v>프라임구독</x:v>
      </x:c>
      <x:c r="C2521" s="24" t="str">
        <x:v>PR-C-14소0456-1-20230317-48</x:v>
      </x:c>
      <x:c r="D2521" s="24" t="str">
        <x:v>14소0456</x:v>
      </x:c>
      <x:c r="E2521" s="24" t="str">
        <x:v>양두식</x:v>
      </x:c>
      <x:c r="F2521" s="24" t="str">
        <x:v>2025-08</x:v>
      </x:c>
      <x:c r="G2521" s="30" t="n">
        <x:v>45879</x:v>
      </x:c>
      <x:c r="H2521" s="32" t="n">
        <x:v>769000</x:v>
      </x:c>
      <x:c r="I2521" s="32"/>
      <x:c r="J2521" s="32" t="n">
        <x:v>9016153</x:v>
      </x:c>
      <x:c r="K2521" s="30"/>
      <x:c r="L2521" s="24" t="str"/>
      <x:c r="M2521" s="31" t="n">
        <x:f>IF(AND(N2521="미수",G2521&lt;&gt;"",TODAY()&gt;G2521),TODAY()-G2521,0)</x:f>
        <x:v>370</x:v>
      </x:c>
      <x:c r="N2521" s="24" t="str">
        <x:f>IF(J2521&gt;0,"미수",IF(AND(H2521&gt;0,I2521&gt;=H2521),"완납","미확인"))</x:f>
        <x:v>미수</x:v>
      </x:c>
      <x:c r="O2521" s="31" t="n">
        <x:v>14</x:v>
      </x:c>
    </x:row>
    <x:row r="2522" ht="17.25" customHeight="1">
      <x:c r="A2522" s="24" t="str">
        <x:v>PR-B-14소0456-202507</x:v>
      </x:c>
      <x:c r="B2522" s="24" t="str">
        <x:v>프라임구독</x:v>
      </x:c>
      <x:c r="C2522" s="24" t="str">
        <x:v>PR-C-14소0456-1-20230317-48</x:v>
      </x:c>
      <x:c r="D2522" s="24" t="str">
        <x:v>14소0456</x:v>
      </x:c>
      <x:c r="E2522" s="24" t="str">
        <x:v>양두식</x:v>
      </x:c>
      <x:c r="F2522" s="24" t="str">
        <x:v>2025-07</x:v>
      </x:c>
      <x:c r="G2522" s="30" t="n">
        <x:v>45848</x:v>
      </x:c>
      <x:c r="H2522" s="32" t="n">
        <x:v>769000</x:v>
      </x:c>
      <x:c r="I2522" s="32"/>
      <x:c r="J2522" s="32" t="n">
        <x:v>8247153</x:v>
      </x:c>
      <x:c r="K2522" s="30"/>
      <x:c r="L2522" s="24" t="str"/>
      <x:c r="M2522" s="31" t="n">
        <x:f>IF(AND(N2522="미수",G2522&lt;&gt;"",TODAY()&gt;G2522),TODAY()-G2522,0)</x:f>
        <x:v>401</x:v>
      </x:c>
      <x:c r="N2522" s="24" t="str">
        <x:f>IF(J2522&gt;0,"미수",IF(AND(H2522&gt;0,I2522&gt;=H2522),"완납","미확인"))</x:f>
        <x:v>미수</x:v>
      </x:c>
      <x:c r="O2522" s="31" t="n">
        <x:v>14</x:v>
      </x:c>
    </x:row>
    <x:row r="2523" ht="17.25" customHeight="1">
      <x:c r="A2523" s="24" t="str">
        <x:v>PR-B-14소0456-202506</x:v>
      </x:c>
      <x:c r="B2523" s="24" t="str">
        <x:v>프라임구독</x:v>
      </x:c>
      <x:c r="C2523" s="24" t="str">
        <x:v>PR-C-14소0456-1-20230317-48</x:v>
      </x:c>
      <x:c r="D2523" s="24" t="str">
        <x:v>14소0456</x:v>
      </x:c>
      <x:c r="E2523" s="24" t="str">
        <x:v>양두식</x:v>
      </x:c>
      <x:c r="F2523" s="24" t="str">
        <x:v>2025-06</x:v>
      </x:c>
      <x:c r="G2523" s="30" t="n">
        <x:v>45818</x:v>
      </x:c>
      <x:c r="H2523" s="32" t="n">
        <x:v>769000</x:v>
      </x:c>
      <x:c r="I2523" s="32"/>
      <x:c r="J2523" s="32" t="n">
        <x:v>7478153</x:v>
      </x:c>
      <x:c r="K2523" s="30"/>
      <x:c r="L2523" s="24" t="str"/>
      <x:c r="M2523" s="31" t="n">
        <x:f>IF(AND(N2523="미수",G2523&lt;&gt;"",TODAY()&gt;G2523),TODAY()-G2523,0)</x:f>
        <x:v>431</x:v>
      </x:c>
      <x:c r="N2523" s="24" t="str">
        <x:f>IF(J2523&gt;0,"미수",IF(AND(H2523&gt;0,I2523&gt;=H2523),"완납","미확인"))</x:f>
        <x:v>미수</x:v>
      </x:c>
      <x:c r="O2523" s="31" t="n">
        <x:v>14</x:v>
      </x:c>
    </x:row>
    <x:row r="2524" ht="17.25" customHeight="1">
      <x:c r="A2524" s="24" t="str">
        <x:v>PR-B-14소0456-202505</x:v>
      </x:c>
      <x:c r="B2524" s="24" t="str">
        <x:v>프라임구독</x:v>
      </x:c>
      <x:c r="C2524" s="24" t="str">
        <x:v>PR-C-14소0456-1-20230317-48</x:v>
      </x:c>
      <x:c r="D2524" s="24" t="str">
        <x:v>14소0456</x:v>
      </x:c>
      <x:c r="E2524" s="24" t="str">
        <x:v>양두식</x:v>
      </x:c>
      <x:c r="F2524" s="24" t="str">
        <x:v>2025-05</x:v>
      </x:c>
      <x:c r="G2524" s="30" t="n">
        <x:v>45787</x:v>
      </x:c>
      <x:c r="H2524" s="32" t="n">
        <x:v>769000</x:v>
      </x:c>
      <x:c r="I2524" s="32"/>
      <x:c r="J2524" s="32" t="n">
        <x:v>6709153</x:v>
      </x:c>
      <x:c r="K2524" s="30"/>
      <x:c r="L2524" s="24" t="str"/>
      <x:c r="M2524" s="31" t="n">
        <x:f>IF(AND(N2524="미수",G2524&lt;&gt;"",TODAY()&gt;G2524),TODAY()-G2524,0)</x:f>
        <x:v>462</x:v>
      </x:c>
      <x:c r="N2524" s="24" t="str">
        <x:f>IF(J2524&gt;0,"미수",IF(AND(H2524&gt;0,I2524&gt;=H2524),"완납","미확인"))</x:f>
        <x:v>미수</x:v>
      </x:c>
      <x:c r="O2524" s="31" t="n">
        <x:v>14</x:v>
      </x:c>
    </x:row>
    <x:row r="2525" ht="17.25" customHeight="1">
      <x:c r="A2525" s="24" t="str">
        <x:v>PR-B-14소0456-202504</x:v>
      </x:c>
      <x:c r="B2525" s="24" t="str">
        <x:v>프라임구독</x:v>
      </x:c>
      <x:c r="C2525" s="24" t="str">
        <x:v>PR-C-14소0456-1-20230317-48</x:v>
      </x:c>
      <x:c r="D2525" s="24" t="str">
        <x:v>14소0456</x:v>
      </x:c>
      <x:c r="E2525" s="24" t="str">
        <x:v>양두식</x:v>
      </x:c>
      <x:c r="F2525" s="24" t="str">
        <x:v>2025-04</x:v>
      </x:c>
      <x:c r="G2525" s="30" t="n">
        <x:v>45757</x:v>
      </x:c>
      <x:c r="H2525" s="32" t="n">
        <x:v>769000</x:v>
      </x:c>
      <x:c r="I2525" s="32"/>
      <x:c r="J2525" s="32" t="n">
        <x:v>5940153</x:v>
      </x:c>
      <x:c r="K2525" s="30"/>
      <x:c r="L2525" s="24" t="str"/>
      <x:c r="M2525" s="31" t="n">
        <x:f>IF(AND(N2525="미수",G2525&lt;&gt;"",TODAY()&gt;G2525),TODAY()-G2525,0)</x:f>
        <x:v>492</x:v>
      </x:c>
      <x:c r="N2525" s="24" t="str">
        <x:f>IF(J2525&gt;0,"미수",IF(AND(H2525&gt;0,I2525&gt;=H2525),"완납","미확인"))</x:f>
        <x:v>미수</x:v>
      </x:c>
      <x:c r="O2525" s="31" t="n">
        <x:v>14</x:v>
      </x:c>
    </x:row>
    <x:row r="2526" ht="17.25" customHeight="1">
      <x:c r="A2526" s="24" t="str">
        <x:v>PR-B-14소0456-202503</x:v>
      </x:c>
      <x:c r="B2526" s="24" t="str">
        <x:v>프라임구독</x:v>
      </x:c>
      <x:c r="C2526" s="24" t="str">
        <x:v>PR-C-14소0456-1-20230317-48</x:v>
      </x:c>
      <x:c r="D2526" s="24" t="str">
        <x:v>14소0456</x:v>
      </x:c>
      <x:c r="E2526" s="24" t="str">
        <x:v>양두식</x:v>
      </x:c>
      <x:c r="F2526" s="24" t="str">
        <x:v>2025-03</x:v>
      </x:c>
      <x:c r="G2526" s="30" t="n">
        <x:v>45726</x:v>
      </x:c>
      <x:c r="H2526" s="32" t="n">
        <x:v>769000</x:v>
      </x:c>
      <x:c r="I2526" s="32"/>
      <x:c r="J2526" s="32" t="n">
        <x:v>5171153</x:v>
      </x:c>
      <x:c r="K2526" s="30"/>
      <x:c r="L2526" s="24" t="str"/>
      <x:c r="M2526" s="31" t="n">
        <x:f>IF(AND(N2526="미수",G2526&lt;&gt;"",TODAY()&gt;G2526),TODAY()-G2526,0)</x:f>
        <x:v>523</x:v>
      </x:c>
      <x:c r="N2526" s="24" t="str">
        <x:f>IF(J2526&gt;0,"미수",IF(AND(H2526&gt;0,I2526&gt;=H2526),"완납","미확인"))</x:f>
        <x:v>미수</x:v>
      </x:c>
      <x:c r="O2526" s="31" t="n">
        <x:v>14</x:v>
      </x:c>
    </x:row>
    <x:row r="2527" ht="17.25" customHeight="1">
      <x:c r="A2527" s="24" t="str">
        <x:v>PR-B-14소0456-202502</x:v>
      </x:c>
      <x:c r="B2527" s="24" t="str">
        <x:v>프라임구독</x:v>
      </x:c>
      <x:c r="C2527" s="24" t="str">
        <x:v>PR-C-14소0456-1-20230317-48</x:v>
      </x:c>
      <x:c r="D2527" s="24" t="str">
        <x:v>14소0456</x:v>
      </x:c>
      <x:c r="E2527" s="24" t="str">
        <x:v>양두식</x:v>
      </x:c>
      <x:c r="F2527" s="24" t="str">
        <x:v>2025-02</x:v>
      </x:c>
      <x:c r="G2527" s="30" t="n">
        <x:v>45698</x:v>
      </x:c>
      <x:c r="H2527" s="32" t="n">
        <x:v>769000</x:v>
      </x:c>
      <x:c r="I2527" s="32"/>
      <x:c r="J2527" s="32" t="n">
        <x:v>4402153</x:v>
      </x:c>
      <x:c r="K2527" s="30"/>
      <x:c r="L2527" s="24" t="str"/>
      <x:c r="M2527" s="31" t="n">
        <x:f>IF(AND(N2527="미수",G2527&lt;&gt;"",TODAY()&gt;G2527),TODAY()-G2527,0)</x:f>
        <x:v>551</x:v>
      </x:c>
      <x:c r="N2527" s="24" t="str">
        <x:f>IF(J2527&gt;0,"미수",IF(AND(H2527&gt;0,I2527&gt;=H2527),"완납","미확인"))</x:f>
        <x:v>미수</x:v>
      </x:c>
      <x:c r="O2527" s="31" t="n">
        <x:v>14</x:v>
      </x:c>
    </x:row>
    <x:row r="2528" ht="17.25" customHeight="1">
      <x:c r="A2528" s="24" t="str">
        <x:v>PR-B-14소0456-202501</x:v>
      </x:c>
      <x:c r="B2528" s="24" t="str">
        <x:v>프라임구독</x:v>
      </x:c>
      <x:c r="C2528" s="24" t="str">
        <x:v>PR-C-14소0456-1-20230317-48</x:v>
      </x:c>
      <x:c r="D2528" s="24" t="str">
        <x:v>14소0456</x:v>
      </x:c>
      <x:c r="E2528" s="24" t="str">
        <x:v>양두식</x:v>
      </x:c>
      <x:c r="F2528" s="24" t="str">
        <x:v>2025-01</x:v>
      </x:c>
      <x:c r="G2528" s="30" t="n">
        <x:v>45667</x:v>
      </x:c>
      <x:c r="H2528" s="32" t="n">
        <x:v>769000</x:v>
      </x:c>
      <x:c r="I2528" s="32"/>
      <x:c r="J2528" s="32" t="n">
        <x:v>3633153</x:v>
      </x:c>
      <x:c r="K2528" s="30"/>
      <x:c r="L2528" s="24" t="str"/>
      <x:c r="M2528" s="31" t="n">
        <x:f>IF(AND(N2528="미수",G2528&lt;&gt;"",TODAY()&gt;G2528),TODAY()-G2528,0)</x:f>
        <x:v>582</x:v>
      </x:c>
      <x:c r="N2528" s="24" t="str">
        <x:f>IF(J2528&gt;0,"미수",IF(AND(H2528&gt;0,I2528&gt;=H2528),"완납","미확인"))</x:f>
        <x:v>미수</x:v>
      </x:c>
      <x:c r="O2528" s="31" t="n">
        <x:v>14</x:v>
      </x:c>
    </x:row>
    <x:row r="2529" ht="17.25" customHeight="1">
      <x:c r="A2529" s="24" t="str">
        <x:v>PR-B-14소0456-202412</x:v>
      </x:c>
      <x:c r="B2529" s="24" t="str">
        <x:v>프라임구독</x:v>
      </x:c>
      <x:c r="C2529" s="24" t="str">
        <x:v>PR-C-14소0456-1-20230317-48</x:v>
      </x:c>
      <x:c r="D2529" s="24" t="str">
        <x:v>14소0456</x:v>
      </x:c>
      <x:c r="E2529" s="24" t="str">
        <x:v>양두식</x:v>
      </x:c>
      <x:c r="F2529" s="24" t="str">
        <x:v>2024-12</x:v>
      </x:c>
      <x:c r="G2529" s="30" t="n">
        <x:v>45636</x:v>
      </x:c>
      <x:c r="H2529" s="32" t="n">
        <x:v>769000</x:v>
      </x:c>
      <x:c r="I2529" s="32"/>
      <x:c r="J2529" s="32" t="n">
        <x:v>2864153</x:v>
      </x:c>
      <x:c r="K2529" s="30"/>
      <x:c r="L2529" s="24" t="str"/>
      <x:c r="M2529" s="31" t="n">
        <x:f>IF(AND(N2529="미수",G2529&lt;&gt;"",TODAY()&gt;G2529),TODAY()-G2529,0)</x:f>
        <x:v>613</x:v>
      </x:c>
      <x:c r="N2529" s="24" t="str">
        <x:f>IF(J2529&gt;0,"미수",IF(AND(H2529&gt;0,I2529&gt;=H2529),"완납","미확인"))</x:f>
        <x:v>미수</x:v>
      </x:c>
      <x:c r="O2529" s="31" t="n">
        <x:v>14</x:v>
      </x:c>
    </x:row>
    <x:row r="2530" ht="17.25" customHeight="1">
      <x:c r="A2530" s="24" t="str">
        <x:v>PR-B-14소0456-202411</x:v>
      </x:c>
      <x:c r="B2530" s="24" t="str">
        <x:v>프라임구독</x:v>
      </x:c>
      <x:c r="C2530" s="24" t="str">
        <x:v>PR-C-14소0456-1-20230317-48</x:v>
      </x:c>
      <x:c r="D2530" s="24" t="str">
        <x:v>14소0456</x:v>
      </x:c>
      <x:c r="E2530" s="24" t="str">
        <x:v>양두식</x:v>
      </x:c>
      <x:c r="F2530" s="24" t="str">
        <x:v>2024-11</x:v>
      </x:c>
      <x:c r="G2530" s="30" t="n">
        <x:v>45606</x:v>
      </x:c>
      <x:c r="H2530" s="32" t="n">
        <x:v>769000</x:v>
      </x:c>
      <x:c r="I2530" s="32"/>
      <x:c r="J2530" s="32" t="n">
        <x:v>2095153</x:v>
      </x:c>
      <x:c r="K2530" s="30"/>
      <x:c r="L2530" s="24" t="str"/>
      <x:c r="M2530" s="31" t="n">
        <x:f>IF(AND(N2530="미수",G2530&lt;&gt;"",TODAY()&gt;G2530),TODAY()-G2530,0)</x:f>
        <x:v>643</x:v>
      </x:c>
      <x:c r="N2530" s="24" t="str">
        <x:f>IF(J2530&gt;0,"미수",IF(AND(H2530&gt;0,I2530&gt;=H2530),"완납","미확인"))</x:f>
        <x:v>미수</x:v>
      </x:c>
      <x:c r="O2530" s="31" t="n">
        <x:v>14</x:v>
      </x:c>
    </x:row>
    <x:row r="2531" ht="17.25" customHeight="1">
      <x:c r="A2531" s="24" t="str">
        <x:v>PR-B-14소0456-202410</x:v>
      </x:c>
      <x:c r="B2531" s="24" t="str">
        <x:v>프라임구독</x:v>
      </x:c>
      <x:c r="C2531" s="24" t="str">
        <x:v>PR-C-14소0456-1-20230317-48</x:v>
      </x:c>
      <x:c r="D2531" s="24" t="str">
        <x:v>14소0456</x:v>
      </x:c>
      <x:c r="E2531" s="24" t="str">
        <x:v>양두식</x:v>
      </x:c>
      <x:c r="F2531" s="24" t="str">
        <x:v>2024-10</x:v>
      </x:c>
      <x:c r="G2531" s="30" t="n">
        <x:v>45575</x:v>
      </x:c>
      <x:c r="H2531" s="32" t="n">
        <x:v>769000</x:v>
      </x:c>
      <x:c r="I2531" s="32" t="n">
        <x:v>769000</x:v>
      </x:c>
      <x:c r="J2531" s="32" t="n">
        <x:v>1326153</x:v>
      </x:c>
      <x:c r="K2531" s="30" t="n">
        <x:v>45594</x:v>
      </x:c>
      <x:c r="L2531" s="24" t="str">
        <x:v>입금</x:v>
      </x:c>
      <x:c r="M2531" s="31" t="n">
        <x:f>IF(AND(N2531="미수",G2531&lt;&gt;"",TODAY()&gt;G2531),TODAY()-G2531,0)</x:f>
        <x:v>674</x:v>
      </x:c>
      <x:c r="N2531" s="24" t="str">
        <x:f>IF(J2531&gt;0,"미수",IF(AND(H2531&gt;0,I2531&gt;=H2531),"완납","미확인"))</x:f>
        <x:v>미수</x:v>
      </x:c>
      <x:c r="O2531" s="31" t="n">
        <x:v>14</x:v>
      </x:c>
    </x:row>
    <x:row r="2532" ht="17.25" customHeight="1">
      <x:c r="A2532" s="24" t="str">
        <x:v>PR-B-14소0456-202409</x:v>
      </x:c>
      <x:c r="B2532" s="24" t="str">
        <x:v>프라임구독</x:v>
      </x:c>
      <x:c r="C2532" s="24" t="str">
        <x:v>PR-C-14소0456-1-20230317-48</x:v>
      </x:c>
      <x:c r="D2532" s="24" t="str">
        <x:v>14소0456</x:v>
      </x:c>
      <x:c r="E2532" s="24" t="str">
        <x:v>양두식</x:v>
      </x:c>
      <x:c r="F2532" s="24" t="str">
        <x:v>2024-09</x:v>
      </x:c>
      <x:c r="G2532" s="30" t="n">
        <x:v>45545</x:v>
      </x:c>
      <x:c r="H2532" s="32" t="n">
        <x:v>769000</x:v>
      </x:c>
      <x:c r="I2532" s="32" t="n">
        <x:v>769000</x:v>
      </x:c>
      <x:c r="J2532" s="32" t="n">
        <x:v>1326153</x:v>
      </x:c>
      <x:c r="K2532" s="30" t="n">
        <x:v>45558</x:v>
      </x:c>
      <x:c r="L2532" s="24" t="str">
        <x:v>입금</x:v>
      </x:c>
      <x:c r="M2532" s="31" t="n">
        <x:f>IF(AND(N2532="미수",G2532&lt;&gt;"",TODAY()&gt;G2532),TODAY()-G2532,0)</x:f>
        <x:v>704</x:v>
      </x:c>
      <x:c r="N2532" s="24" t="str">
        <x:f>IF(J2532&gt;0,"미수",IF(AND(H2532&gt;0,I2532&gt;=H2532),"완납","미확인"))</x:f>
        <x:v>미수</x:v>
      </x:c>
      <x:c r="O2532" s="31" t="n">
        <x:v>14</x:v>
      </x:c>
    </x:row>
    <x:row r="2533" ht="17.25" customHeight="1">
      <x:c r="A2533" s="24" t="str">
        <x:v>PR-B-14소0456-202408</x:v>
      </x:c>
      <x:c r="B2533" s="24" t="str">
        <x:v>프라임구독</x:v>
      </x:c>
      <x:c r="C2533" s="24" t="str">
        <x:v>PR-C-14소0456-1-20230317-48</x:v>
      </x:c>
      <x:c r="D2533" s="24" t="str">
        <x:v>14소0456</x:v>
      </x:c>
      <x:c r="E2533" s="24" t="str">
        <x:v>양두식</x:v>
      </x:c>
      <x:c r="F2533" s="24" t="str">
        <x:v>2024-08</x:v>
      </x:c>
      <x:c r="G2533" s="30" t="n">
        <x:v>45514</x:v>
      </x:c>
      <x:c r="H2533" s="32" t="n">
        <x:v>3633153</x:v>
      </x:c>
      <x:c r="I2533" s="32" t="n">
        <x:v>2307000</x:v>
      </x:c>
      <x:c r="J2533" s="32" t="n">
        <x:v>1326153</x:v>
      </x:c>
      <x:c r="K2533" s="30" t="n">
        <x:v>45505</x:v>
      </x:c>
      <x:c r="L2533" s="24" t="str">
        <x:v>입금</x:v>
      </x:c>
      <x:c r="M2533" s="31" t="n">
        <x:f>IF(AND(N2533="미수",G2533&lt;&gt;"",TODAY()&gt;G2533),TODAY()-G2533,0)</x:f>
        <x:v>735</x:v>
      </x:c>
      <x:c r="N2533" s="24" t="str">
        <x:f>IF(J2533&gt;0,"미수",IF(AND(H2533&gt;0,I2533&gt;=H2533),"완납","미확인"))</x:f>
        <x:v>미수</x:v>
      </x:c>
      <x:c r="O2533" s="31" t="n">
        <x:v>14</x:v>
      </x:c>
    </x:row>
    <x:row r="2534" ht="17.25" customHeight="1">
      <x:c r="A2534" s="24" t="str">
        <x:v>PR-B-14소0456-202407</x:v>
      </x:c>
      <x:c r="B2534" s="24" t="str">
        <x:v>프라임구독</x:v>
      </x:c>
      <x:c r="C2534" s="24" t="str">
        <x:v>PR-C-14소0456-1-20230317-48</x:v>
      </x:c>
      <x:c r="D2534" s="24" t="str">
        <x:v>14소0456</x:v>
      </x:c>
      <x:c r="E2534" s="24" t="str">
        <x:v>양두식</x:v>
      </x:c>
      <x:c r="F2534" s="24" t="str">
        <x:v>2024-07</x:v>
      </x:c>
      <x:c r="G2534" s="30" t="n">
        <x:v>45483</x:v>
      </x:c>
      <x:c r="H2534" s="32"/>
      <x:c r="I2534" s="32"/>
      <x:c r="J2534" s="32" t="n">
        <x:v>0</x:v>
      </x:c>
      <x:c r="K2534" s="30"/>
      <x:c r="L2534" s="24" t="str"/>
      <x:c r="M2534" s="31" t="n">
        <x:f>IF(AND(N2534="미수",G2534&lt;&gt;"",TODAY()&gt;G2534),TODAY()-G2534,0)</x:f>
        <x:v>0</x:v>
      </x:c>
      <x:c r="N2534" s="24" t="str">
        <x:f>IF(J2534&gt;0,"미수",IF(AND(H2534&gt;0,I2534&gt;=H2534),"완납","미확인"))</x:f>
        <x:v>미확인</x:v>
      </x:c>
      <x:c r="O2534" s="31" t="n">
        <x:v>14</x:v>
      </x:c>
    </x:row>
    <x:row r="2535" ht="17.25" customHeight="1">
      <x:c r="A2535" s="24" t="str">
        <x:v>PR-B-14소0456-202406</x:v>
      </x:c>
      <x:c r="B2535" s="24" t="str">
        <x:v>프라임구독</x:v>
      </x:c>
      <x:c r="C2535" s="24" t="str">
        <x:v>PR-C-14소0456-1-20230317-48</x:v>
      </x:c>
      <x:c r="D2535" s="24" t="str">
        <x:v>14소0456</x:v>
      </x:c>
      <x:c r="E2535" s="24" t="str">
        <x:v>양두식</x:v>
      </x:c>
      <x:c r="F2535" s="24" t="str">
        <x:v>2024-06</x:v>
      </x:c>
      <x:c r="G2535" s="30" t="n">
        <x:v>45453</x:v>
      </x:c>
      <x:c r="H2535" s="32"/>
      <x:c r="I2535" s="32"/>
      <x:c r="J2535" s="32" t="n">
        <x:v>0</x:v>
      </x:c>
      <x:c r="K2535" s="30"/>
      <x:c r="L2535" s="24" t="str"/>
      <x:c r="M2535" s="31" t="n">
        <x:f>IF(AND(N2535="미수",G2535&lt;&gt;"",TODAY()&gt;G2535),TODAY()-G2535,0)</x:f>
        <x:v>0</x:v>
      </x:c>
      <x:c r="N2535" s="24" t="str">
        <x:f>IF(J2535&gt;0,"미수",IF(AND(H2535&gt;0,I2535&gt;=H2535),"완납","미확인"))</x:f>
        <x:v>미확인</x:v>
      </x:c>
      <x:c r="O2535" s="31" t="n">
        <x:v>14</x:v>
      </x:c>
    </x:row>
    <x:row r="2536" ht="17.25" customHeight="1">
      <x:c r="A2536" s="24" t="str">
        <x:v>PR-B-60조0437-202608</x:v>
      </x:c>
      <x:c r="B2536" s="24" t="str">
        <x:v>프라임구독</x:v>
      </x:c>
      <x:c r="C2536" s="24" t="str">
        <x:v>PR-C-60조0437-1-20230418-175</x:v>
      </x:c>
      <x:c r="D2536" s="24" t="str">
        <x:v>60조0437</x:v>
      </x:c>
      <x:c r="E2536" s="24" t="str">
        <x:v>우창식</x:v>
      </x:c>
      <x:c r="F2536" s="24" t="str">
        <x:v>2026-08</x:v>
      </x:c>
      <x:c r="G2536" s="30" t="n">
        <x:v>46254</x:v>
      </x:c>
      <x:c r="H2536" s="32" t="n">
        <x:v>343000</x:v>
      </x:c>
      <x:c r="I2536" s="32"/>
      <x:c r="J2536" s="32" t="n">
        <x:v>3087000</x:v>
      </x:c>
      <x:c r="K2536" s="30"/>
      <x:c r="L2536" s="24" t="str"/>
      <x:c r="M2536" s="31" t="n">
        <x:f>IF(AND(N2536="미수",G2536&lt;&gt;"",TODAY()&gt;G2536),TODAY()-G2536,0)</x:f>
        <x:v>0</x:v>
      </x:c>
      <x:c r="N2536" s="24" t="str">
        <x:f>IF(J2536&gt;0,"미수",IF(AND(H2536&gt;0,I2536&gt;=H2536),"완납","미확인"))</x:f>
        <x:v>미수</x:v>
      </x:c>
      <x:c r="O2536" s="31" t="n">
        <x:v>15</x:v>
      </x:c>
    </x:row>
    <x:row r="2537" ht="17.25" customHeight="1">
      <x:c r="A2537" s="24" t="str">
        <x:v>PR-B-60조0437-202607</x:v>
      </x:c>
      <x:c r="B2537" s="24" t="str">
        <x:v>프라임구독</x:v>
      </x:c>
      <x:c r="C2537" s="24" t="str">
        <x:v>PR-C-60조0437-1-20230418-175</x:v>
      </x:c>
      <x:c r="D2537" s="24" t="str">
        <x:v>60조0437</x:v>
      </x:c>
      <x:c r="E2537" s="24" t="str">
        <x:v>우창식</x:v>
      </x:c>
      <x:c r="F2537" s="24" t="str">
        <x:v>2026-07</x:v>
      </x:c>
      <x:c r="G2537" s="30" t="n">
        <x:v>46223</x:v>
      </x:c>
      <x:c r="H2537" s="32" t="n">
        <x:v>343000</x:v>
      </x:c>
      <x:c r="I2537" s="32"/>
      <x:c r="J2537" s="32" t="n">
        <x:v>2744000</x:v>
      </x:c>
      <x:c r="K2537" s="30"/>
      <x:c r="L2537" s="24" t="str"/>
      <x:c r="M2537" s="31" t="n">
        <x:f>IF(AND(N2537="미수",G2537&lt;&gt;"",TODAY()&gt;G2537),TODAY()-G2537,0)</x:f>
        <x:v>26</x:v>
      </x:c>
      <x:c r="N2537" s="24" t="str">
        <x:f>IF(J2537&gt;0,"미수",IF(AND(H2537&gt;0,I2537&gt;=H2537),"완납","미확인"))</x:f>
        <x:v>미수</x:v>
      </x:c>
      <x:c r="O2537" s="31" t="n">
        <x:v>15</x:v>
      </x:c>
    </x:row>
    <x:row r="2538" ht="17.25" customHeight="1">
      <x:c r="A2538" s="24" t="str">
        <x:v>PR-B-60조0437-202606</x:v>
      </x:c>
      <x:c r="B2538" s="24" t="str">
        <x:v>프라임구독</x:v>
      </x:c>
      <x:c r="C2538" s="24" t="str">
        <x:v>PR-C-60조0437-1-20230418-175</x:v>
      </x:c>
      <x:c r="D2538" s="24" t="str">
        <x:v>60조0437</x:v>
      </x:c>
      <x:c r="E2538" s="24" t="str">
        <x:v>우창식</x:v>
      </x:c>
      <x:c r="F2538" s="24" t="str">
        <x:v>2026-06</x:v>
      </x:c>
      <x:c r="G2538" s="30" t="n">
        <x:v>46193</x:v>
      </x:c>
      <x:c r="H2538" s="32" t="n">
        <x:v>343000</x:v>
      </x:c>
      <x:c r="I2538" s="32"/>
      <x:c r="J2538" s="32" t="n">
        <x:v>2401000</x:v>
      </x:c>
      <x:c r="K2538" s="30"/>
      <x:c r="L2538" s="24" t="str"/>
      <x:c r="M2538" s="31" t="n">
        <x:f>IF(AND(N2538="미수",G2538&lt;&gt;"",TODAY()&gt;G2538),TODAY()-G2538,0)</x:f>
        <x:v>56</x:v>
      </x:c>
      <x:c r="N2538" s="24" t="str">
        <x:f>IF(J2538&gt;0,"미수",IF(AND(H2538&gt;0,I2538&gt;=H2538),"완납","미확인"))</x:f>
        <x:v>미수</x:v>
      </x:c>
      <x:c r="O2538" s="31" t="n">
        <x:v>15</x:v>
      </x:c>
    </x:row>
    <x:row r="2539" ht="17.25" customHeight="1">
      <x:c r="A2539" s="24" t="str">
        <x:v>PR-B-60조0437-202605</x:v>
      </x:c>
      <x:c r="B2539" s="24" t="str">
        <x:v>프라임구독</x:v>
      </x:c>
      <x:c r="C2539" s="24" t="str">
        <x:v>PR-C-60조0437-1-20230418-175</x:v>
      </x:c>
      <x:c r="D2539" s="24" t="str">
        <x:v>60조0437</x:v>
      </x:c>
      <x:c r="E2539" s="24" t="str">
        <x:v>우창식</x:v>
      </x:c>
      <x:c r="F2539" s="24" t="str">
        <x:v>2026-05</x:v>
      </x:c>
      <x:c r="G2539" s="30" t="n">
        <x:v>46162</x:v>
      </x:c>
      <x:c r="H2539" s="32" t="n">
        <x:v>343000</x:v>
      </x:c>
      <x:c r="I2539" s="32"/>
      <x:c r="J2539" s="32" t="n">
        <x:v>2058000</x:v>
      </x:c>
      <x:c r="K2539" s="30"/>
      <x:c r="L2539" s="24" t="str"/>
      <x:c r="M2539" s="31" t="n">
        <x:f>IF(AND(N2539="미수",G2539&lt;&gt;"",TODAY()&gt;G2539),TODAY()-G2539,0)</x:f>
        <x:v>87</x:v>
      </x:c>
      <x:c r="N2539" s="24" t="str">
        <x:f>IF(J2539&gt;0,"미수",IF(AND(H2539&gt;0,I2539&gt;=H2539),"완납","미확인"))</x:f>
        <x:v>미수</x:v>
      </x:c>
      <x:c r="O2539" s="31" t="n">
        <x:v>15</x:v>
      </x:c>
    </x:row>
    <x:row r="2540" ht="17.25" customHeight="1">
      <x:c r="A2540" s="24" t="str">
        <x:v>PR-B-60조0437-202604</x:v>
      </x:c>
      <x:c r="B2540" s="24" t="str">
        <x:v>프라임구독</x:v>
      </x:c>
      <x:c r="C2540" s="24" t="str">
        <x:v>PR-C-60조0437-1-20230418-175</x:v>
      </x:c>
      <x:c r="D2540" s="24" t="str">
        <x:v>60조0437</x:v>
      </x:c>
      <x:c r="E2540" s="24" t="str">
        <x:v>우창식</x:v>
      </x:c>
      <x:c r="F2540" s="24" t="str">
        <x:v>2026-04</x:v>
      </x:c>
      <x:c r="G2540" s="30" t="n">
        <x:v>46132</x:v>
      </x:c>
      <x:c r="H2540" s="32" t="n">
        <x:v>343000</x:v>
      </x:c>
      <x:c r="I2540" s="32"/>
      <x:c r="J2540" s="32" t="n">
        <x:v>1715000</x:v>
      </x:c>
      <x:c r="K2540" s="30"/>
      <x:c r="L2540" s="24" t="str"/>
      <x:c r="M2540" s="31" t="n">
        <x:f>IF(AND(N2540="미수",G2540&lt;&gt;"",TODAY()&gt;G2540),TODAY()-G2540,0)</x:f>
        <x:v>117</x:v>
      </x:c>
      <x:c r="N2540" s="24" t="str">
        <x:f>IF(J2540&gt;0,"미수",IF(AND(H2540&gt;0,I2540&gt;=H2540),"완납","미확인"))</x:f>
        <x:v>미수</x:v>
      </x:c>
      <x:c r="O2540" s="31" t="n">
        <x:v>15</x:v>
      </x:c>
    </x:row>
    <x:row r="2541" ht="17.25" customHeight="1">
      <x:c r="A2541" s="24" t="str">
        <x:v>PR-B-60조0437-202603</x:v>
      </x:c>
      <x:c r="B2541" s="24" t="str">
        <x:v>프라임구독</x:v>
      </x:c>
      <x:c r="C2541" s="24" t="str">
        <x:v>PR-C-60조0437-1-20230418-175</x:v>
      </x:c>
      <x:c r="D2541" s="24" t="str">
        <x:v>60조0437</x:v>
      </x:c>
      <x:c r="E2541" s="24" t="str">
        <x:v>우창식</x:v>
      </x:c>
      <x:c r="F2541" s="24" t="str">
        <x:v>2026-03</x:v>
      </x:c>
      <x:c r="G2541" s="30" t="n">
        <x:v>46101</x:v>
      </x:c>
      <x:c r="H2541" s="32" t="n">
        <x:v>343000</x:v>
      </x:c>
      <x:c r="I2541" s="32" t="n">
        <x:v>343000</x:v>
      </x:c>
      <x:c r="J2541" s="32" t="n">
        <x:v>1372000</x:v>
      </x:c>
      <x:c r="K2541" s="30" t="n">
        <x:v>46098</x:v>
      </x:c>
      <x:c r="L2541" s="24" t="str">
        <x:v>입금</x:v>
      </x:c>
      <x:c r="M2541" s="31" t="n">
        <x:f>IF(AND(N2541="미수",G2541&lt;&gt;"",TODAY()&gt;G2541),TODAY()-G2541,0)</x:f>
        <x:v>148</x:v>
      </x:c>
      <x:c r="N2541" s="24" t="str">
        <x:f>IF(J2541&gt;0,"미수",IF(AND(H2541&gt;0,I2541&gt;=H2541),"완납","미확인"))</x:f>
        <x:v>미수</x:v>
      </x:c>
      <x:c r="O2541" s="31" t="n">
        <x:v>15</x:v>
      </x:c>
    </x:row>
    <x:row r="2542" ht="17.25" customHeight="1">
      <x:c r="A2542" s="24" t="str">
        <x:v>PR-B-60조0437-202602</x:v>
      </x:c>
      <x:c r="B2542" s="24" t="str">
        <x:v>프라임구독</x:v>
      </x:c>
      <x:c r="C2542" s="24" t="str">
        <x:v>PR-C-60조0437-1-20230418-175</x:v>
      </x:c>
      <x:c r="D2542" s="24" t="str">
        <x:v>60조0437</x:v>
      </x:c>
      <x:c r="E2542" s="24" t="str">
        <x:v>우창식</x:v>
      </x:c>
      <x:c r="F2542" s="24" t="str">
        <x:v>2026-02</x:v>
      </x:c>
      <x:c r="G2542" s="30" t="n">
        <x:v>46073</x:v>
      </x:c>
      <x:c r="H2542" s="32" t="n">
        <x:v>343000</x:v>
      </x:c>
      <x:c r="I2542" s="32" t="n">
        <x:v>343000</x:v>
      </x:c>
      <x:c r="J2542" s="32" t="n">
        <x:v>1372000</x:v>
      </x:c>
      <x:c r="K2542" s="30" t="n">
        <x:v>46066</x:v>
      </x:c>
      <x:c r="L2542" s="24" t="str">
        <x:v>입금</x:v>
      </x:c>
      <x:c r="M2542" s="31" t="n">
        <x:f>IF(AND(N2542="미수",G2542&lt;&gt;"",TODAY()&gt;G2542),TODAY()-G2542,0)</x:f>
        <x:v>176</x:v>
      </x:c>
      <x:c r="N2542" s="24" t="str">
        <x:f>IF(J2542&gt;0,"미수",IF(AND(H2542&gt;0,I2542&gt;=H2542),"완납","미확인"))</x:f>
        <x:v>미수</x:v>
      </x:c>
      <x:c r="O2542" s="31" t="n">
        <x:v>15</x:v>
      </x:c>
    </x:row>
    <x:row r="2543" ht="17.25" customHeight="1">
      <x:c r="A2543" s="24" t="str">
        <x:v>PR-B-60조0437-202601</x:v>
      </x:c>
      <x:c r="B2543" s="24" t="str">
        <x:v>프라임구독</x:v>
      </x:c>
      <x:c r="C2543" s="24" t="str">
        <x:v>PR-C-60조0437-1-20230418-175</x:v>
      </x:c>
      <x:c r="D2543" s="24" t="str">
        <x:v>60조0437</x:v>
      </x:c>
      <x:c r="E2543" s="24" t="str">
        <x:v>우창식</x:v>
      </x:c>
      <x:c r="F2543" s="24" t="str">
        <x:v>2026-01</x:v>
      </x:c>
      <x:c r="G2543" s="30" t="n">
        <x:v>46042</x:v>
      </x:c>
      <x:c r="H2543" s="32" t="n">
        <x:v>343000</x:v>
      </x:c>
      <x:c r="I2543" s="32" t="n">
        <x:v>343000</x:v>
      </x:c>
      <x:c r="J2543" s="32" t="n">
        <x:v>1372000</x:v>
      </x:c>
      <x:c r="K2543" s="30" t="n">
        <x:v>46038</x:v>
      </x:c>
      <x:c r="L2543" s="24" t="str">
        <x:v>입금</x:v>
      </x:c>
      <x:c r="M2543" s="31" t="n">
        <x:f>IF(AND(N2543="미수",G2543&lt;&gt;"",TODAY()&gt;G2543),TODAY()-G2543,0)</x:f>
        <x:v>207</x:v>
      </x:c>
      <x:c r="N2543" s="24" t="str">
        <x:f>IF(J2543&gt;0,"미수",IF(AND(H2543&gt;0,I2543&gt;=H2543),"완납","미확인"))</x:f>
        <x:v>미수</x:v>
      </x:c>
      <x:c r="O2543" s="31" t="n">
        <x:v>15</x:v>
      </x:c>
    </x:row>
    <x:row r="2544" ht="17.25" customHeight="1">
      <x:c r="A2544" s="24" t="str">
        <x:v>PR-B-60조0437-202512</x:v>
      </x:c>
      <x:c r="B2544" s="24" t="str">
        <x:v>프라임구독</x:v>
      </x:c>
      <x:c r="C2544" s="24" t="str">
        <x:v>PR-C-60조0437-1-20230418-175</x:v>
      </x:c>
      <x:c r="D2544" s="24" t="str">
        <x:v>60조0437</x:v>
      </x:c>
      <x:c r="E2544" s="24" t="str">
        <x:v>우창식</x:v>
      </x:c>
      <x:c r="F2544" s="24" t="str">
        <x:v>2025-12</x:v>
      </x:c>
      <x:c r="G2544" s="30" t="n">
        <x:v>46011</x:v>
      </x:c>
      <x:c r="H2544" s="32" t="n">
        <x:v>343000</x:v>
      </x:c>
      <x:c r="I2544" s="32"/>
      <x:c r="J2544" s="32" t="n">
        <x:v>1372000</x:v>
      </x:c>
      <x:c r="K2544" s="30"/>
      <x:c r="L2544" s="24" t="str"/>
      <x:c r="M2544" s="31" t="n">
        <x:f>IF(AND(N2544="미수",G2544&lt;&gt;"",TODAY()&gt;G2544),TODAY()-G2544,0)</x:f>
        <x:v>238</x:v>
      </x:c>
      <x:c r="N2544" s="24" t="str">
        <x:f>IF(J2544&gt;0,"미수",IF(AND(H2544&gt;0,I2544&gt;=H2544),"완납","미확인"))</x:f>
        <x:v>미수</x:v>
      </x:c>
      <x:c r="O2544" s="31" t="n">
        <x:v>15</x:v>
      </x:c>
    </x:row>
    <x:row r="2545" ht="17.25" customHeight="1">
      <x:c r="A2545" s="24" t="str">
        <x:v>PR-B-60조0437-202511</x:v>
      </x:c>
      <x:c r="B2545" s="24" t="str">
        <x:v>프라임구독</x:v>
      </x:c>
      <x:c r="C2545" s="24" t="str">
        <x:v>PR-C-60조0437-1-20230418-175</x:v>
      </x:c>
      <x:c r="D2545" s="24" t="str">
        <x:v>60조0437</x:v>
      </x:c>
      <x:c r="E2545" s="24" t="str">
        <x:v>우창식</x:v>
      </x:c>
      <x:c r="F2545" s="24" t="str">
        <x:v>2025-11</x:v>
      </x:c>
      <x:c r="G2545" s="30" t="n">
        <x:v>45981</x:v>
      </x:c>
      <x:c r="H2545" s="32" t="n">
        <x:v>343000</x:v>
      </x:c>
      <x:c r="I2545" s="32" t="n">
        <x:v>343000</x:v>
      </x:c>
      <x:c r="J2545" s="32" t="n">
        <x:v>1029000</x:v>
      </x:c>
      <x:c r="K2545" s="30" t="n">
        <x:v>45978</x:v>
      </x:c>
      <x:c r="L2545" s="24" t="str">
        <x:v>입금</x:v>
      </x:c>
      <x:c r="M2545" s="31" t="n">
        <x:f>IF(AND(N2545="미수",G2545&lt;&gt;"",TODAY()&gt;G2545),TODAY()-G2545,0)</x:f>
        <x:v>268</x:v>
      </x:c>
      <x:c r="N2545" s="24" t="str">
        <x:f>IF(J2545&gt;0,"미수",IF(AND(H2545&gt;0,I2545&gt;=H2545),"완납","미확인"))</x:f>
        <x:v>미수</x:v>
      </x:c>
      <x:c r="O2545" s="31" t="n">
        <x:v>15</x:v>
      </x:c>
    </x:row>
    <x:row r="2546" ht="17.25" customHeight="1">
      <x:c r="A2546" s="24" t="str">
        <x:v>PR-B-60조0437-202510</x:v>
      </x:c>
      <x:c r="B2546" s="24" t="str">
        <x:v>프라임구독</x:v>
      </x:c>
      <x:c r="C2546" s="24" t="str">
        <x:v>PR-C-60조0437-1-20230418-175</x:v>
      </x:c>
      <x:c r="D2546" s="24" t="str">
        <x:v>60조0437</x:v>
      </x:c>
      <x:c r="E2546" s="24" t="str">
        <x:v>우창식</x:v>
      </x:c>
      <x:c r="F2546" s="24" t="str">
        <x:v>2025-10</x:v>
      </x:c>
      <x:c r="G2546" s="30" t="n">
        <x:v>45950</x:v>
      </x:c>
      <x:c r="H2546" s="32" t="n">
        <x:v>343000</x:v>
      </x:c>
      <x:c r="I2546" s="32"/>
      <x:c r="J2546" s="32" t="n">
        <x:v>1029000</x:v>
      </x:c>
      <x:c r="K2546" s="30"/>
      <x:c r="L2546" s="24" t="str"/>
      <x:c r="M2546" s="31" t="n">
        <x:f>IF(AND(N2546="미수",G2546&lt;&gt;"",TODAY()&gt;G2546),TODAY()-G2546,0)</x:f>
        <x:v>299</x:v>
      </x:c>
      <x:c r="N2546" s="24" t="str">
        <x:f>IF(J2546&gt;0,"미수",IF(AND(H2546&gt;0,I2546&gt;=H2546),"완납","미확인"))</x:f>
        <x:v>미수</x:v>
      </x:c>
      <x:c r="O2546" s="31" t="n">
        <x:v>15</x:v>
      </x:c>
    </x:row>
    <x:row r="2547" ht="17.25" customHeight="1">
      <x:c r="A2547" s="24" t="str">
        <x:v>PR-B-60조0437-202509</x:v>
      </x:c>
      <x:c r="B2547" s="24" t="str">
        <x:v>프라임구독</x:v>
      </x:c>
      <x:c r="C2547" s="24" t="str">
        <x:v>PR-C-60조0437-1-20230418-175</x:v>
      </x:c>
      <x:c r="D2547" s="24" t="str">
        <x:v>60조0437</x:v>
      </x:c>
      <x:c r="E2547" s="24" t="str">
        <x:v>우창식</x:v>
      </x:c>
      <x:c r="F2547" s="24" t="str">
        <x:v>2025-09</x:v>
      </x:c>
      <x:c r="G2547" s="30" t="n">
        <x:v>45920</x:v>
      </x:c>
      <x:c r="H2547" s="32" t="n">
        <x:v>343000</x:v>
      </x:c>
      <x:c r="I2547" s="32" t="n">
        <x:v>343000</x:v>
      </x:c>
      <x:c r="J2547" s="32" t="n">
        <x:v>686000</x:v>
      </x:c>
      <x:c r="K2547" s="30" t="n">
        <x:v>45917</x:v>
      </x:c>
      <x:c r="L2547" s="24" t="str">
        <x:v>입금</x:v>
      </x:c>
      <x:c r="M2547" s="31" t="n">
        <x:f>IF(AND(N2547="미수",G2547&lt;&gt;"",TODAY()&gt;G2547),TODAY()-G2547,0)</x:f>
        <x:v>329</x:v>
      </x:c>
      <x:c r="N2547" s="24" t="str">
        <x:f>IF(J2547&gt;0,"미수",IF(AND(H2547&gt;0,I2547&gt;=H2547),"완납","미확인"))</x:f>
        <x:v>미수</x:v>
      </x:c>
      <x:c r="O2547" s="31" t="n">
        <x:v>15</x:v>
      </x:c>
    </x:row>
    <x:row r="2548" ht="17.25" customHeight="1">
      <x:c r="A2548" s="24" t="str">
        <x:v>PR-B-60조0437-202508</x:v>
      </x:c>
      <x:c r="B2548" s="24" t="str">
        <x:v>프라임구독</x:v>
      </x:c>
      <x:c r="C2548" s="24" t="str">
        <x:v>PR-C-60조0437-1-20230418-175</x:v>
      </x:c>
      <x:c r="D2548" s="24" t="str">
        <x:v>60조0437</x:v>
      </x:c>
      <x:c r="E2548" s="24" t="str">
        <x:v>우창식</x:v>
      </x:c>
      <x:c r="F2548" s="24" t="str">
        <x:v>2025-08</x:v>
      </x:c>
      <x:c r="G2548" s="30" t="n">
        <x:v>45889</x:v>
      </x:c>
      <x:c r="H2548" s="32" t="n">
        <x:v>343000</x:v>
      </x:c>
      <x:c r="I2548" s="32" t="n">
        <x:v>343000</x:v>
      </x:c>
      <x:c r="J2548" s="32" t="n">
        <x:v>686000</x:v>
      </x:c>
      <x:c r="K2548" s="30" t="n">
        <x:v>45883</x:v>
      </x:c>
      <x:c r="L2548" s="24" t="str">
        <x:v>입금</x:v>
      </x:c>
      <x:c r="M2548" s="31" t="n">
        <x:f>IF(AND(N2548="미수",G2548&lt;&gt;"",TODAY()&gt;G2548),TODAY()-G2548,0)</x:f>
        <x:v>360</x:v>
      </x:c>
      <x:c r="N2548" s="24" t="str">
        <x:f>IF(J2548&gt;0,"미수",IF(AND(H2548&gt;0,I2548&gt;=H2548),"완납","미확인"))</x:f>
        <x:v>미수</x:v>
      </x:c>
      <x:c r="O2548" s="31" t="n">
        <x:v>15</x:v>
      </x:c>
    </x:row>
    <x:row r="2549" ht="17.25" customHeight="1">
      <x:c r="A2549" s="24" t="str">
        <x:v>PR-B-60조0437-202507</x:v>
      </x:c>
      <x:c r="B2549" s="24" t="str">
        <x:v>프라임구독</x:v>
      </x:c>
      <x:c r="C2549" s="24" t="str">
        <x:v>PR-C-60조0437-1-20230418-175</x:v>
      </x:c>
      <x:c r="D2549" s="24" t="str">
        <x:v>60조0437</x:v>
      </x:c>
      <x:c r="E2549" s="24" t="str">
        <x:v>우창식</x:v>
      </x:c>
      <x:c r="F2549" s="24" t="str">
        <x:v>2025-07</x:v>
      </x:c>
      <x:c r="G2549" s="30" t="n">
        <x:v>45858</x:v>
      </x:c>
      <x:c r="H2549" s="32" t="n">
        <x:v>343000</x:v>
      </x:c>
      <x:c r="I2549" s="32"/>
      <x:c r="J2549" s="32" t="n">
        <x:v>686000</x:v>
      </x:c>
      <x:c r="K2549" s="30"/>
      <x:c r="L2549" s="24" t="str"/>
      <x:c r="M2549" s="31" t="n">
        <x:f>IF(AND(N2549="미수",G2549&lt;&gt;"",TODAY()&gt;G2549),TODAY()-G2549,0)</x:f>
        <x:v>391</x:v>
      </x:c>
      <x:c r="N2549" s="24" t="str">
        <x:f>IF(J2549&gt;0,"미수",IF(AND(H2549&gt;0,I2549&gt;=H2549),"완납","미확인"))</x:f>
        <x:v>미수</x:v>
      </x:c>
      <x:c r="O2549" s="31" t="n">
        <x:v>15</x:v>
      </x:c>
    </x:row>
    <x:row r="2550" ht="17.25" customHeight="1">
      <x:c r="A2550" s="24" t="str">
        <x:v>PR-B-60조0437-202506</x:v>
      </x:c>
      <x:c r="B2550" s="24" t="str">
        <x:v>프라임구독</x:v>
      </x:c>
      <x:c r="C2550" s="24" t="str">
        <x:v>PR-C-60조0437-1-20230418-175</x:v>
      </x:c>
      <x:c r="D2550" s="24" t="str">
        <x:v>60조0437</x:v>
      </x:c>
      <x:c r="E2550" s="24" t="str">
        <x:v>우창식</x:v>
      </x:c>
      <x:c r="F2550" s="24" t="str">
        <x:v>2025-06</x:v>
      </x:c>
      <x:c r="G2550" s="30" t="n">
        <x:v>45828</x:v>
      </x:c>
      <x:c r="H2550" s="32" t="n">
        <x:v>343000</x:v>
      </x:c>
      <x:c r="I2550" s="32" t="n">
        <x:v>343000</x:v>
      </x:c>
      <x:c r="J2550" s="32" t="n">
        <x:v>343000</x:v>
      </x:c>
      <x:c r="K2550" s="30" t="n">
        <x:v>45825</x:v>
      </x:c>
      <x:c r="L2550" s="24" t="str">
        <x:v>입금</x:v>
      </x:c>
      <x:c r="M2550" s="31" t="n">
        <x:f>IF(AND(N2550="미수",G2550&lt;&gt;"",TODAY()&gt;G2550),TODAY()-G2550,0)</x:f>
        <x:v>421</x:v>
      </x:c>
      <x:c r="N2550" s="24" t="str">
        <x:f>IF(J2550&gt;0,"미수",IF(AND(H2550&gt;0,I2550&gt;=H2550),"완납","미확인"))</x:f>
        <x:v>미수</x:v>
      </x:c>
      <x:c r="O2550" s="31" t="n">
        <x:v>15</x:v>
      </x:c>
    </x:row>
    <x:row r="2551" ht="17.25" customHeight="1">
      <x:c r="A2551" s="24" t="str">
        <x:v>PR-B-60조0437-202505</x:v>
      </x:c>
      <x:c r="B2551" s="24" t="str">
        <x:v>프라임구독</x:v>
      </x:c>
      <x:c r="C2551" s="24" t="str">
        <x:v>PR-C-60조0437-1-20230418-175</x:v>
      </x:c>
      <x:c r="D2551" s="24" t="str">
        <x:v>60조0437</x:v>
      </x:c>
      <x:c r="E2551" s="24" t="str">
        <x:v>우창식</x:v>
      </x:c>
      <x:c r="F2551" s="24" t="str">
        <x:v>2025-05</x:v>
      </x:c>
      <x:c r="G2551" s="30" t="n">
        <x:v>45797</x:v>
      </x:c>
      <x:c r="H2551" s="32" t="n">
        <x:v>343000</x:v>
      </x:c>
      <x:c r="I2551" s="32" t="n">
        <x:v>343000</x:v>
      </x:c>
      <x:c r="J2551" s="32" t="n">
        <x:v>343000</x:v>
      </x:c>
      <x:c r="K2551" s="30" t="n">
        <x:v>45807</x:v>
      </x:c>
      <x:c r="L2551" s="24" t="str">
        <x:v>입금</x:v>
      </x:c>
      <x:c r="M2551" s="31" t="n">
        <x:f>IF(AND(N2551="미수",G2551&lt;&gt;"",TODAY()&gt;G2551),TODAY()-G2551,0)</x:f>
        <x:v>452</x:v>
      </x:c>
      <x:c r="N2551" s="24" t="str">
        <x:f>IF(J2551&gt;0,"미수",IF(AND(H2551&gt;0,I2551&gt;=H2551),"완납","미확인"))</x:f>
        <x:v>미수</x:v>
      </x:c>
      <x:c r="O2551" s="31" t="n">
        <x:v>15</x:v>
      </x:c>
    </x:row>
    <x:row r="2552" ht="17.25" customHeight="1">
      <x:c r="A2552" s="24" t="str">
        <x:v>PR-B-60조0437-202504</x:v>
      </x:c>
      <x:c r="B2552" s="24" t="str">
        <x:v>프라임구독</x:v>
      </x:c>
      <x:c r="C2552" s="24" t="str">
        <x:v>PR-C-60조0437-1-20230418-175</x:v>
      </x:c>
      <x:c r="D2552" s="24" t="str">
        <x:v>60조0437</x:v>
      </x:c>
      <x:c r="E2552" s="24" t="str">
        <x:v>우창식</x:v>
      </x:c>
      <x:c r="F2552" s="24" t="str">
        <x:v>2025-04</x:v>
      </x:c>
      <x:c r="G2552" s="30" t="n">
        <x:v>45767</x:v>
      </x:c>
      <x:c r="H2552" s="32" t="n">
        <x:v>343000</x:v>
      </x:c>
      <x:c r="I2552" s="32" t="n">
        <x:v>343000</x:v>
      </x:c>
      <x:c r="J2552" s="32" t="n">
        <x:v>343000</x:v>
      </x:c>
      <x:c r="K2552" s="30" t="n">
        <x:v>45764</x:v>
      </x:c>
      <x:c r="L2552" s="24" t="str">
        <x:v>입금</x:v>
      </x:c>
      <x:c r="M2552" s="31" t="n">
        <x:f>IF(AND(N2552="미수",G2552&lt;&gt;"",TODAY()&gt;G2552),TODAY()-G2552,0)</x:f>
        <x:v>482</x:v>
      </x:c>
      <x:c r="N2552" s="24" t="str">
        <x:f>IF(J2552&gt;0,"미수",IF(AND(H2552&gt;0,I2552&gt;=H2552),"완납","미확인"))</x:f>
        <x:v>미수</x:v>
      </x:c>
      <x:c r="O2552" s="31" t="n">
        <x:v>15</x:v>
      </x:c>
    </x:row>
    <x:row r="2553" ht="17.25" customHeight="1">
      <x:c r="A2553" s="24" t="str">
        <x:v>PR-B-60조0437-202503</x:v>
      </x:c>
      <x:c r="B2553" s="24" t="str">
        <x:v>프라임구독</x:v>
      </x:c>
      <x:c r="C2553" s="24" t="str">
        <x:v>PR-C-60조0437-1-20230418-175</x:v>
      </x:c>
      <x:c r="D2553" s="24" t="str">
        <x:v>60조0437</x:v>
      </x:c>
      <x:c r="E2553" s="24" t="str">
        <x:v>우창식</x:v>
      </x:c>
      <x:c r="F2553" s="24" t="str">
        <x:v>2025-03</x:v>
      </x:c>
      <x:c r="G2553" s="30" t="n">
        <x:v>45736</x:v>
      </x:c>
      <x:c r="H2553" s="32" t="n">
        <x:v>343000</x:v>
      </x:c>
      <x:c r="I2553" s="32" t="n">
        <x:v>343000</x:v>
      </x:c>
      <x:c r="J2553" s="32" t="n">
        <x:v>343000</x:v>
      </x:c>
      <x:c r="K2553" s="30" t="n">
        <x:v>45733</x:v>
      </x:c>
      <x:c r="L2553" s="24" t="str">
        <x:v>입금</x:v>
      </x:c>
      <x:c r="M2553" s="31" t="n">
        <x:f>IF(AND(N2553="미수",G2553&lt;&gt;"",TODAY()&gt;G2553),TODAY()-G2553,0)</x:f>
        <x:v>513</x:v>
      </x:c>
      <x:c r="N2553" s="24" t="str">
        <x:f>IF(J2553&gt;0,"미수",IF(AND(H2553&gt;0,I2553&gt;=H2553),"완납","미확인"))</x:f>
        <x:v>미수</x:v>
      </x:c>
      <x:c r="O2553" s="31" t="n">
        <x:v>15</x:v>
      </x:c>
    </x:row>
    <x:row r="2554" ht="17.25" customHeight="1">
      <x:c r="A2554" s="24" t="str">
        <x:v>PR-B-60조0437-202502</x:v>
      </x:c>
      <x:c r="B2554" s="24" t="str">
        <x:v>프라임구독</x:v>
      </x:c>
      <x:c r="C2554" s="24" t="str">
        <x:v>PR-C-60조0437-1-20230418-175</x:v>
      </x:c>
      <x:c r="D2554" s="24" t="str">
        <x:v>60조0437</x:v>
      </x:c>
      <x:c r="E2554" s="24" t="str">
        <x:v>우창식</x:v>
      </x:c>
      <x:c r="F2554" s="24" t="str">
        <x:v>2025-02</x:v>
      </x:c>
      <x:c r="G2554" s="30" t="n">
        <x:v>45708</x:v>
      </x:c>
      <x:c r="H2554" s="32" t="n">
        <x:v>343000</x:v>
      </x:c>
      <x:c r="I2554" s="32" t="n">
        <x:v>343000</x:v>
      </x:c>
      <x:c r="J2554" s="32" t="n">
        <x:v>343000</x:v>
      </x:c>
      <x:c r="K2554" s="30" t="n">
        <x:v>45716</x:v>
      </x:c>
      <x:c r="L2554" s="24" t="str">
        <x:v>입금</x:v>
      </x:c>
      <x:c r="M2554" s="31" t="n">
        <x:f>IF(AND(N2554="미수",G2554&lt;&gt;"",TODAY()&gt;G2554),TODAY()-G2554,0)</x:f>
        <x:v>541</x:v>
      </x:c>
      <x:c r="N2554" s="24" t="str">
        <x:f>IF(J2554&gt;0,"미수",IF(AND(H2554&gt;0,I2554&gt;=H2554),"완납","미확인"))</x:f>
        <x:v>미수</x:v>
      </x:c>
      <x:c r="O2554" s="31" t="n">
        <x:v>15</x:v>
      </x:c>
    </x:row>
    <x:row r="2555" ht="17.25" customHeight="1">
      <x:c r="A2555" s="24" t="str">
        <x:v>PR-B-60조0437-202501</x:v>
      </x:c>
      <x:c r="B2555" s="24" t="str">
        <x:v>프라임구독</x:v>
      </x:c>
      <x:c r="C2555" s="24" t="str">
        <x:v>PR-C-60조0437-1-20230418-175</x:v>
      </x:c>
      <x:c r="D2555" s="24" t="str">
        <x:v>60조0437</x:v>
      </x:c>
      <x:c r="E2555" s="24" t="str">
        <x:v>우창식</x:v>
      </x:c>
      <x:c r="F2555" s="24" t="str">
        <x:v>2025-01</x:v>
      </x:c>
      <x:c r="G2555" s="30" t="n">
        <x:v>45677</x:v>
      </x:c>
      <x:c r="H2555" s="32" t="n">
        <x:v>343000</x:v>
      </x:c>
      <x:c r="I2555" s="32"/>
      <x:c r="J2555" s="32" t="n">
        <x:v>343000</x:v>
      </x:c>
      <x:c r="K2555" s="30"/>
      <x:c r="L2555" s="24" t="str"/>
      <x:c r="M2555" s="31" t="n">
        <x:f>IF(AND(N2555="미수",G2555&lt;&gt;"",TODAY()&gt;G2555),TODAY()-G2555,0)</x:f>
        <x:v>572</x:v>
      </x:c>
      <x:c r="N2555" s="24" t="str">
        <x:f>IF(J2555&gt;0,"미수",IF(AND(H2555&gt;0,I2555&gt;=H2555),"완납","미확인"))</x:f>
        <x:v>미수</x:v>
      </x:c>
      <x:c r="O2555" s="31" t="n">
        <x:v>15</x:v>
      </x:c>
    </x:row>
    <x:row r="2556" ht="17.25" customHeight="1">
      <x:c r="A2556" s="24" t="str">
        <x:v>PR-B-60조0437-202412</x:v>
      </x:c>
      <x:c r="B2556" s="24" t="str">
        <x:v>프라임구독</x:v>
      </x:c>
      <x:c r="C2556" s="24" t="str">
        <x:v>PR-C-60조0437-1-20230418-175</x:v>
      </x:c>
      <x:c r="D2556" s="24" t="str">
        <x:v>60조0437</x:v>
      </x:c>
      <x:c r="E2556" s="24" t="str">
        <x:v>우창식</x:v>
      </x:c>
      <x:c r="F2556" s="24" t="str">
        <x:v>2024-12</x:v>
      </x:c>
      <x:c r="G2556" s="30" t="n">
        <x:v>45646</x:v>
      </x:c>
      <x:c r="H2556" s="32" t="n">
        <x:v>343000</x:v>
      </x:c>
      <x:c r="I2556" s="32" t="n">
        <x:v>343000</x:v>
      </x:c>
      <x:c r="J2556" s="32" t="n">
        <x:v>0</x:v>
      </x:c>
      <x:c r="K2556" s="30" t="n">
        <x:v>45673</x:v>
      </x:c>
      <x:c r="L2556" s="24" t="str">
        <x:v>입금</x:v>
      </x:c>
      <x:c r="M2556" s="31" t="n">
        <x:f>IF(AND(N2556="미수",G2556&lt;&gt;"",TODAY()&gt;G2556),TODAY()-G2556,0)</x:f>
        <x:v>0</x:v>
      </x:c>
      <x:c r="N2556" s="24" t="str">
        <x:f>IF(J2556&gt;0,"미수",IF(AND(H2556&gt;0,I2556&gt;=H2556),"완납","미확인"))</x:f>
        <x:v>완납</x:v>
      </x:c>
      <x:c r="O2556" s="31" t="n">
        <x:v>15</x:v>
      </x:c>
    </x:row>
    <x:row r="2557" ht="17.25" customHeight="1">
      <x:c r="A2557" s="24" t="str">
        <x:v>PR-B-60조0437-202411</x:v>
      </x:c>
      <x:c r="B2557" s="24" t="str">
        <x:v>프라임구독</x:v>
      </x:c>
      <x:c r="C2557" s="24" t="str">
        <x:v>PR-C-60조0437-1-20230418-175</x:v>
      </x:c>
      <x:c r="D2557" s="24" t="str">
        <x:v>60조0437</x:v>
      </x:c>
      <x:c r="E2557" s="24" t="str">
        <x:v>우창식</x:v>
      </x:c>
      <x:c r="F2557" s="24" t="str">
        <x:v>2024-11</x:v>
      </x:c>
      <x:c r="G2557" s="30" t="n">
        <x:v>45616</x:v>
      </x:c>
      <x:c r="H2557" s="32" t="n">
        <x:v>343000</x:v>
      </x:c>
      <x:c r="I2557" s="32" t="n">
        <x:v>343000</x:v>
      </x:c>
      <x:c r="J2557" s="32" t="n">
        <x:v>0</x:v>
      </x:c>
      <x:c r="K2557" s="30" t="n">
        <x:v>45622</x:v>
      </x:c>
      <x:c r="L2557" s="24" t="str">
        <x:v>입금</x:v>
      </x:c>
      <x:c r="M2557" s="31" t="n">
        <x:f>IF(AND(N2557="미수",G2557&lt;&gt;"",TODAY()&gt;G2557),TODAY()-G2557,0)</x:f>
        <x:v>0</x:v>
      </x:c>
      <x:c r="N2557" s="24" t="str">
        <x:f>IF(J2557&gt;0,"미수",IF(AND(H2557&gt;0,I2557&gt;=H2557),"완납","미확인"))</x:f>
        <x:v>완납</x:v>
      </x:c>
      <x:c r="O2557" s="31" t="n">
        <x:v>15</x:v>
      </x:c>
    </x:row>
    <x:row r="2558" ht="17.25" customHeight="1">
      <x:c r="A2558" s="24" t="str">
        <x:v>PR-B-60조0437-202410</x:v>
      </x:c>
      <x:c r="B2558" s="24" t="str">
        <x:v>프라임구독</x:v>
      </x:c>
      <x:c r="C2558" s="24" t="str">
        <x:v>PR-C-60조0437-1-20230418-175</x:v>
      </x:c>
      <x:c r="D2558" s="24" t="str">
        <x:v>60조0437</x:v>
      </x:c>
      <x:c r="E2558" s="24" t="str">
        <x:v>우창식</x:v>
      </x:c>
      <x:c r="F2558" s="24" t="str">
        <x:v>2024-10</x:v>
      </x:c>
      <x:c r="G2558" s="30" t="n">
        <x:v>45585</x:v>
      </x:c>
      <x:c r="H2558" s="32" t="n">
        <x:v>343000</x:v>
      </x:c>
      <x:c r="I2558" s="32" t="n">
        <x:v>343000</x:v>
      </x:c>
      <x:c r="J2558" s="32" t="n">
        <x:v>0</x:v>
      </x:c>
      <x:c r="K2558" s="30" t="n">
        <x:v>45585</x:v>
      </x:c>
      <x:c r="L2558" s="24" t="str">
        <x:v>자동</x:v>
      </x:c>
      <x:c r="M2558" s="31" t="n">
        <x:f>IF(AND(N2558="미수",G2558&lt;&gt;"",TODAY()&gt;G2558),TODAY()-G2558,0)</x:f>
        <x:v>0</x:v>
      </x:c>
      <x:c r="N2558" s="24" t="str">
        <x:f>IF(J2558&gt;0,"미수",IF(AND(H2558&gt;0,I2558&gt;=H2558),"완납","미확인"))</x:f>
        <x:v>완납</x:v>
      </x:c>
      <x:c r="O2558" s="31" t="n">
        <x:v>15</x:v>
      </x:c>
    </x:row>
    <x:row r="2559" ht="17.25" customHeight="1">
      <x:c r="A2559" s="24" t="str">
        <x:v>PR-B-60조0437-202409</x:v>
      </x:c>
      <x:c r="B2559" s="24" t="str">
        <x:v>프라임구독</x:v>
      </x:c>
      <x:c r="C2559" s="24" t="str">
        <x:v>PR-C-60조0437-1-20230418-175</x:v>
      </x:c>
      <x:c r="D2559" s="24" t="str">
        <x:v>60조0437</x:v>
      </x:c>
      <x:c r="E2559" s="24" t="str">
        <x:v>우창식</x:v>
      </x:c>
      <x:c r="F2559" s="24" t="str">
        <x:v>2024-09</x:v>
      </x:c>
      <x:c r="G2559" s="30" t="n">
        <x:v>45555</x:v>
      </x:c>
      <x:c r="H2559" s="32" t="n">
        <x:v>343000</x:v>
      </x:c>
      <x:c r="I2559" s="32" t="n">
        <x:v>343000</x:v>
      </x:c>
      <x:c r="J2559" s="32" t="n">
        <x:v>0</x:v>
      </x:c>
      <x:c r="K2559" s="30" t="n">
        <x:v>45561</x:v>
      </x:c>
      <x:c r="L2559" s="24" t="str">
        <x:v>입금</x:v>
      </x:c>
      <x:c r="M2559" s="31" t="n">
        <x:f>IF(AND(N2559="미수",G2559&lt;&gt;"",TODAY()&gt;G2559),TODAY()-G2559,0)</x:f>
        <x:v>0</x:v>
      </x:c>
      <x:c r="N2559" s="24" t="str">
        <x:f>IF(J2559&gt;0,"미수",IF(AND(H2559&gt;0,I2559&gt;=H2559),"완납","미확인"))</x:f>
        <x:v>완납</x:v>
      </x:c>
      <x:c r="O2559" s="31" t="n">
        <x:v>15</x:v>
      </x:c>
    </x:row>
    <x:row r="2560" ht="17.25" customHeight="1">
      <x:c r="A2560" s="24" t="str">
        <x:v>PR-B-60조0437-202408</x:v>
      </x:c>
      <x:c r="B2560" s="24" t="str">
        <x:v>프라임구독</x:v>
      </x:c>
      <x:c r="C2560" s="24" t="str">
        <x:v>PR-C-60조0437-1-20230418-175</x:v>
      </x:c>
      <x:c r="D2560" s="24" t="str">
        <x:v>60조0437</x:v>
      </x:c>
      <x:c r="E2560" s="24" t="str">
        <x:v>우창식</x:v>
      </x:c>
      <x:c r="F2560" s="24" t="str">
        <x:v>2024-08</x:v>
      </x:c>
      <x:c r="G2560" s="30" t="n">
        <x:v>45524</x:v>
      </x:c>
      <x:c r="H2560" s="32" t="n">
        <x:v>343000</x:v>
      </x:c>
      <x:c r="I2560" s="32" t="n">
        <x:v>343000</x:v>
      </x:c>
      <x:c r="J2560" s="32" t="n">
        <x:v>0</x:v>
      </x:c>
      <x:c r="K2560" s="30" t="n">
        <x:v>45524</x:v>
      </x:c>
      <x:c r="L2560" s="24" t="str">
        <x:v>자동</x:v>
      </x:c>
      <x:c r="M2560" s="31" t="n">
        <x:f>IF(AND(N2560="미수",G2560&lt;&gt;"",TODAY()&gt;G2560),TODAY()-G2560,0)</x:f>
        <x:v>0</x:v>
      </x:c>
      <x:c r="N2560" s="24" t="str">
        <x:f>IF(J2560&gt;0,"미수",IF(AND(H2560&gt;0,I2560&gt;=H2560),"완납","미확인"))</x:f>
        <x:v>완납</x:v>
      </x:c>
      <x:c r="O2560" s="31" t="n">
        <x:v>15</x:v>
      </x:c>
    </x:row>
    <x:row r="2561" ht="17.25" customHeight="1">
      <x:c r="A2561" s="24" t="str">
        <x:v>PR-B-60조0437-202407</x:v>
      </x:c>
      <x:c r="B2561" s="24" t="str">
        <x:v>프라임구독</x:v>
      </x:c>
      <x:c r="C2561" s="24" t="str">
        <x:v>PR-C-60조0437-1-20230418-175</x:v>
      </x:c>
      <x:c r="D2561" s="24" t="str">
        <x:v>60조0437</x:v>
      </x:c>
      <x:c r="E2561" s="24" t="str">
        <x:v>우창식</x:v>
      </x:c>
      <x:c r="F2561" s="24" t="str">
        <x:v>2024-07</x:v>
      </x:c>
      <x:c r="G2561" s="30" t="n">
        <x:v>45493</x:v>
      </x:c>
      <x:c r="H2561" s="32" t="n">
        <x:v>343000</x:v>
      </x:c>
      <x:c r="I2561" s="32" t="n">
        <x:v>343000</x:v>
      </x:c>
      <x:c r="J2561" s="32" t="n">
        <x:v>0</x:v>
      </x:c>
      <x:c r="K2561" s="30" t="n">
        <x:v>45493</x:v>
      </x:c>
      <x:c r="L2561" s="24" t="str">
        <x:v>자동</x:v>
      </x:c>
      <x:c r="M2561" s="31" t="n">
        <x:f>IF(AND(N2561="미수",G2561&lt;&gt;"",TODAY()&gt;G2561),TODAY()-G2561,0)</x:f>
        <x:v>0</x:v>
      </x:c>
      <x:c r="N2561" s="24" t="str">
        <x:f>IF(J2561&gt;0,"미수",IF(AND(H2561&gt;0,I2561&gt;=H2561),"완납","미확인"))</x:f>
        <x:v>완납</x:v>
      </x:c>
      <x:c r="O2561" s="31" t="n">
        <x:v>15</x:v>
      </x:c>
    </x:row>
    <x:row r="2562" ht="17.25" customHeight="1">
      <x:c r="A2562" s="24" t="str">
        <x:v>PR-B-60조0437-202406</x:v>
      </x:c>
      <x:c r="B2562" s="24" t="str">
        <x:v>프라임구독</x:v>
      </x:c>
      <x:c r="C2562" s="24" t="str">
        <x:v>PR-C-60조0437-1-20230418-175</x:v>
      </x:c>
      <x:c r="D2562" s="24" t="str">
        <x:v>60조0437</x:v>
      </x:c>
      <x:c r="E2562" s="24" t="str">
        <x:v>우창식</x:v>
      </x:c>
      <x:c r="F2562" s="24" t="str">
        <x:v>2024-06</x:v>
      </x:c>
      <x:c r="G2562" s="30" t="n">
        <x:v>45463</x:v>
      </x:c>
      <x:c r="H2562" s="32" t="n">
        <x:v>343000</x:v>
      </x:c>
      <x:c r="I2562" s="32" t="n">
        <x:v>343000</x:v>
      </x:c>
      <x:c r="J2562" s="32" t="n">
        <x:v>0</x:v>
      </x:c>
      <x:c r="K2562" s="30" t="n">
        <x:v>45463</x:v>
      </x:c>
      <x:c r="L2562" s="24" t="str"/>
      <x:c r="M2562" s="31" t="n">
        <x:f>IF(AND(N2562="미수",G2562&lt;&gt;"",TODAY()&gt;G2562),TODAY()-G2562,0)</x:f>
        <x:v>0</x:v>
      </x:c>
      <x:c r="N2562" s="24" t="str">
        <x:f>IF(J2562&gt;0,"미수",IF(AND(H2562&gt;0,I2562&gt;=H2562),"완납","미확인"))</x:f>
        <x:v>완납</x:v>
      </x:c>
      <x:c r="O2562" s="31" t="n">
        <x:v>15</x:v>
      </x:c>
    </x:row>
    <x:row r="2563" ht="17.25" customHeight="1">
      <x:c r="A2563" s="24" t="str">
        <x:v>PR-B-60조0437-202405</x:v>
      </x:c>
      <x:c r="B2563" s="24" t="str">
        <x:v>프라임구독</x:v>
      </x:c>
      <x:c r="C2563" s="24" t="str">
        <x:v>PR-C-60조0437-1-20230418-175</x:v>
      </x:c>
      <x:c r="D2563" s="24" t="str">
        <x:v>60조0437</x:v>
      </x:c>
      <x:c r="E2563" s="24" t="str">
        <x:v>우창식</x:v>
      </x:c>
      <x:c r="F2563" s="24" t="str">
        <x:v>2024-05</x:v>
      </x:c>
      <x:c r="G2563" s="30" t="n">
        <x:v>45432</x:v>
      </x:c>
      <x:c r="H2563" s="32" t="n">
        <x:v>343000</x:v>
      </x:c>
      <x:c r="I2563" s="32" t="n">
        <x:v>343000</x:v>
      </x:c>
      <x:c r="J2563" s="32" t="n">
        <x:v>0</x:v>
      </x:c>
      <x:c r="K2563" s="30" t="n">
        <x:v>45432</x:v>
      </x:c>
      <x:c r="L2563" s="24" t="str"/>
      <x:c r="M2563" s="31" t="n">
        <x:f>IF(AND(N2563="미수",G2563&lt;&gt;"",TODAY()&gt;G2563),TODAY()-G2563,0)</x:f>
        <x:v>0</x:v>
      </x:c>
      <x:c r="N2563" s="24" t="str">
        <x:f>IF(J2563&gt;0,"미수",IF(AND(H2563&gt;0,I2563&gt;=H2563),"완납","미확인"))</x:f>
        <x:v>완납</x:v>
      </x:c>
      <x:c r="O2563" s="31" t="n">
        <x:v>15</x:v>
      </x:c>
    </x:row>
    <x:row r="2564" ht="17.25" customHeight="1">
      <x:c r="A2564" s="24" t="str">
        <x:v>PR-B-52우0228-202608</x:v>
      </x:c>
      <x:c r="B2564" s="24" t="str">
        <x:v>프라임구독</x:v>
      </x:c>
      <x:c r="C2564" s="24" t="str">
        <x:v>PR-C-52우0228-1-20230704-164</x:v>
      </x:c>
      <x:c r="D2564" s="24" t="str">
        <x:v>52우0228</x:v>
      </x:c>
      <x:c r="E2564" s="24" t="str">
        <x:v>서기열</x:v>
      </x:c>
      <x:c r="F2564" s="24" t="str">
        <x:v>2026-08</x:v>
      </x:c>
      <x:c r="G2564" s="30" t="n">
        <x:v>46254</x:v>
      </x:c>
      <x:c r="H2564" s="32" t="n">
        <x:v>353000</x:v>
      </x:c>
      <x:c r="I2564" s="32"/>
      <x:c r="J2564" s="32" t="n">
        <x:v>1395000</x:v>
      </x:c>
      <x:c r="K2564" s="30"/>
      <x:c r="L2564" s="24" t="str"/>
      <x:c r="M2564" s="31" t="n">
        <x:f>IF(AND(N2564="미수",G2564&lt;&gt;"",TODAY()&gt;G2564),TODAY()-G2564,0)</x:f>
        <x:v>0</x:v>
      </x:c>
      <x:c r="N2564" s="24" t="str">
        <x:f>IF(J2564&gt;0,"미수",IF(AND(H2564&gt;0,I2564&gt;=H2564),"완납","미확인"))</x:f>
        <x:v>미수</x:v>
      </x:c>
      <x:c r="O2564" s="31" t="n">
        <x:v>16</x:v>
      </x:c>
    </x:row>
    <x:row r="2565" ht="17.25" customHeight="1">
      <x:c r="A2565" s="24" t="str">
        <x:v>PR-B-52우0228-202607</x:v>
      </x:c>
      <x:c r="B2565" s="24" t="str">
        <x:v>프라임구독</x:v>
      </x:c>
      <x:c r="C2565" s="24" t="str">
        <x:v>PR-C-52우0228-1-20230704-164</x:v>
      </x:c>
      <x:c r="D2565" s="24" t="str">
        <x:v>52우0228</x:v>
      </x:c>
      <x:c r="E2565" s="24" t="str">
        <x:v>서기열</x:v>
      </x:c>
      <x:c r="F2565" s="24" t="str">
        <x:v>2026-07</x:v>
      </x:c>
      <x:c r="G2565" s="30" t="n">
        <x:v>46223</x:v>
      </x:c>
      <x:c r="H2565" s="32" t="n">
        <x:v>353000</x:v>
      </x:c>
      <x:c r="I2565" s="32" t="n">
        <x:v>353000</x:v>
      </x:c>
      <x:c r="J2565" s="32" t="n">
        <x:v>1042000</x:v>
      </x:c>
      <x:c r="K2565" s="30" t="n">
        <x:v>46223</x:v>
      </x:c>
      <x:c r="L2565" s="24" t="str">
        <x:v>자동</x:v>
      </x:c>
      <x:c r="M2565" s="31" t="n">
        <x:f>IF(AND(N2565="미수",G2565&lt;&gt;"",TODAY()&gt;G2565),TODAY()-G2565,0)</x:f>
        <x:v>26</x:v>
      </x:c>
      <x:c r="N2565" s="24" t="str">
        <x:f>IF(J2565&gt;0,"미수",IF(AND(H2565&gt;0,I2565&gt;=H2565),"완납","미확인"))</x:f>
        <x:v>미수</x:v>
      </x:c>
      <x:c r="O2565" s="31" t="n">
        <x:v>16</x:v>
      </x:c>
    </x:row>
    <x:row r="2566" ht="17.25" customHeight="1">
      <x:c r="A2566" s="24" t="str">
        <x:v>PR-B-52우0228-202606</x:v>
      </x:c>
      <x:c r="B2566" s="24" t="str">
        <x:v>프라임구독</x:v>
      </x:c>
      <x:c r="C2566" s="24" t="str">
        <x:v>PR-C-52우0228-1-20230704-164</x:v>
      </x:c>
      <x:c r="D2566" s="24" t="str">
        <x:v>52우0228</x:v>
      </x:c>
      <x:c r="E2566" s="24" t="str">
        <x:v>서기열</x:v>
      </x:c>
      <x:c r="F2566" s="24" t="str">
        <x:v>2026-06</x:v>
      </x:c>
      <x:c r="G2566" s="30" t="n">
        <x:v>46193</x:v>
      </x:c>
      <x:c r="H2566" s="32" t="n">
        <x:v>353000</x:v>
      </x:c>
      <x:c r="I2566" s="32" t="n">
        <x:v>1353000</x:v>
      </x:c>
      <x:c r="J2566" s="32" t="n">
        <x:v>1042000</x:v>
      </x:c>
      <x:c r="K2566" s="30" t="n">
        <x:v>46195</x:v>
      </x:c>
      <x:c r="L2566" s="24" t="str">
        <x:v>자동</x:v>
      </x:c>
      <x:c r="M2566" s="31" t="n">
        <x:f>IF(AND(N2566="미수",G2566&lt;&gt;"",TODAY()&gt;G2566),TODAY()-G2566,0)</x:f>
        <x:v>56</x:v>
      </x:c>
      <x:c r="N2566" s="24" t="str">
        <x:f>IF(J2566&gt;0,"미수",IF(AND(H2566&gt;0,I2566&gt;=H2566),"완납","미확인"))</x:f>
        <x:v>미수</x:v>
      </x:c>
      <x:c r="O2566" s="31" t="n">
        <x:v>16</x:v>
      </x:c>
    </x:row>
    <x:row r="2567" ht="17.25" customHeight="1">
      <x:c r="A2567" s="24" t="str">
        <x:v>PR-B-52우0228-202605</x:v>
      </x:c>
      <x:c r="B2567" s="24" t="str">
        <x:v>프라임구독</x:v>
      </x:c>
      <x:c r="C2567" s="24" t="str">
        <x:v>PR-C-52우0228-1-20230704-164</x:v>
      </x:c>
      <x:c r="D2567" s="24" t="str">
        <x:v>52우0228</x:v>
      </x:c>
      <x:c r="E2567" s="24" t="str">
        <x:v>서기열</x:v>
      </x:c>
      <x:c r="F2567" s="24" t="str">
        <x:v>2026-05</x:v>
      </x:c>
      <x:c r="G2567" s="30" t="n">
        <x:v>46162</x:v>
      </x:c>
      <x:c r="H2567" s="32" t="n">
        <x:v>353000</x:v>
      </x:c>
      <x:c r="I2567" s="32" t="n">
        <x:v>353000</x:v>
      </x:c>
      <x:c r="J2567" s="32" t="n">
        <x:v>2042000</x:v>
      </x:c>
      <x:c r="K2567" s="30" t="n">
        <x:v>46171</x:v>
      </x:c>
      <x:c r="L2567" s="24" t="str">
        <x:v>입금</x:v>
      </x:c>
      <x:c r="M2567" s="31" t="n">
        <x:f>IF(AND(N2567="미수",G2567&lt;&gt;"",TODAY()&gt;G2567),TODAY()-G2567,0)</x:f>
        <x:v>87</x:v>
      </x:c>
      <x:c r="N2567" s="24" t="str">
        <x:f>IF(J2567&gt;0,"미수",IF(AND(H2567&gt;0,I2567&gt;=H2567),"완납","미확인"))</x:f>
        <x:v>미수</x:v>
      </x:c>
      <x:c r="O2567" s="31" t="n">
        <x:v>16</x:v>
      </x:c>
    </x:row>
    <x:row r="2568" ht="17.25" customHeight="1">
      <x:c r="A2568" s="24" t="str">
        <x:v>PR-B-52우0228-202604</x:v>
      </x:c>
      <x:c r="B2568" s="24" t="str">
        <x:v>프라임구독</x:v>
      </x:c>
      <x:c r="C2568" s="24" t="str">
        <x:v>PR-C-52우0228-1-20230704-164</x:v>
      </x:c>
      <x:c r="D2568" s="24" t="str">
        <x:v>52우0228</x:v>
      </x:c>
      <x:c r="E2568" s="24" t="str">
        <x:v>서기열</x:v>
      </x:c>
      <x:c r="F2568" s="24" t="str">
        <x:v>2026-04</x:v>
      </x:c>
      <x:c r="G2568" s="30" t="n">
        <x:v>46132</x:v>
      </x:c>
      <x:c r="H2568" s="32" t="n">
        <x:v>353000</x:v>
      </x:c>
      <x:c r="I2568" s="32" t="n">
        <x:v>350000</x:v>
      </x:c>
      <x:c r="J2568" s="32" t="n">
        <x:v>2042000</x:v>
      </x:c>
      <x:c r="K2568" s="30" t="n">
        <x:v>46118</x:v>
      </x:c>
      <x:c r="L2568" s="24" t="str">
        <x:v>입금</x:v>
      </x:c>
      <x:c r="M2568" s="31" t="n">
        <x:f>IF(AND(N2568="미수",G2568&lt;&gt;"",TODAY()&gt;G2568),TODAY()-G2568,0)</x:f>
        <x:v>117</x:v>
      </x:c>
      <x:c r="N2568" s="24" t="str">
        <x:f>IF(J2568&gt;0,"미수",IF(AND(H2568&gt;0,I2568&gt;=H2568),"완납","미확인"))</x:f>
        <x:v>미수</x:v>
      </x:c>
      <x:c r="O2568" s="31" t="n">
        <x:v>16</x:v>
      </x:c>
    </x:row>
    <x:row r="2569" ht="17.25" customHeight="1">
      <x:c r="A2569" s="24" t="str">
        <x:v>PR-B-52우0228-202603</x:v>
      </x:c>
      <x:c r="B2569" s="24" t="str">
        <x:v>프라임구독</x:v>
      </x:c>
      <x:c r="C2569" s="24" t="str">
        <x:v>PR-C-52우0228-1-20230704-164</x:v>
      </x:c>
      <x:c r="D2569" s="24" t="str">
        <x:v>52우0228</x:v>
      </x:c>
      <x:c r="E2569" s="24" t="str">
        <x:v>서기열</x:v>
      </x:c>
      <x:c r="F2569" s="24" t="str">
        <x:v>2026-03</x:v>
      </x:c>
      <x:c r="G2569" s="30" t="n">
        <x:v>46101</x:v>
      </x:c>
      <x:c r="H2569" s="32" t="n">
        <x:v>353000</x:v>
      </x:c>
      <x:c r="I2569" s="32" t="n">
        <x:v>150000</x:v>
      </x:c>
      <x:c r="J2569" s="32" t="n">
        <x:v>2039000</x:v>
      </x:c>
      <x:c r="K2569" s="30" t="n">
        <x:v>46087</x:v>
      </x:c>
      <x:c r="L2569" s="24" t="str">
        <x:v>입금</x:v>
      </x:c>
      <x:c r="M2569" s="31" t="n">
        <x:f>IF(AND(N2569="미수",G2569&lt;&gt;"",TODAY()&gt;G2569),TODAY()-G2569,0)</x:f>
        <x:v>148</x:v>
      </x:c>
      <x:c r="N2569" s="24" t="str">
        <x:f>IF(J2569&gt;0,"미수",IF(AND(H2569&gt;0,I2569&gt;=H2569),"완납","미확인"))</x:f>
        <x:v>미수</x:v>
      </x:c>
      <x:c r="O2569" s="31" t="n">
        <x:v>16</x:v>
      </x:c>
    </x:row>
    <x:row r="2570" ht="17.25" customHeight="1">
      <x:c r="A2570" s="24" t="str">
        <x:v>PR-B-52우0228-202602</x:v>
      </x:c>
      <x:c r="B2570" s="24" t="str">
        <x:v>프라임구독</x:v>
      </x:c>
      <x:c r="C2570" s="24" t="str">
        <x:v>PR-C-52우0228-1-20230704-164</x:v>
      </x:c>
      <x:c r="D2570" s="24" t="str">
        <x:v>52우0228</x:v>
      </x:c>
      <x:c r="E2570" s="24" t="str">
        <x:v>서기열</x:v>
      </x:c>
      <x:c r="F2570" s="24" t="str">
        <x:v>2026-02</x:v>
      </x:c>
      <x:c r="G2570" s="30" t="n">
        <x:v>46073</x:v>
      </x:c>
      <x:c r="H2570" s="32" t="n">
        <x:v>353000</x:v>
      </x:c>
      <x:c r="I2570" s="32" t="n">
        <x:v>353000</x:v>
      </x:c>
      <x:c r="J2570" s="32" t="n">
        <x:v>1836000</x:v>
      </x:c>
      <x:c r="K2570" s="30" t="n">
        <x:v>46073</x:v>
      </x:c>
      <x:c r="L2570" s="24" t="str">
        <x:v>자동</x:v>
      </x:c>
      <x:c r="M2570" s="31" t="n">
        <x:f>IF(AND(N2570="미수",G2570&lt;&gt;"",TODAY()&gt;G2570),TODAY()-G2570,0)</x:f>
        <x:v>176</x:v>
      </x:c>
      <x:c r="N2570" s="24" t="str">
        <x:f>IF(J2570&gt;0,"미수",IF(AND(H2570&gt;0,I2570&gt;=H2570),"완납","미확인"))</x:f>
        <x:v>미수</x:v>
      </x:c>
      <x:c r="O2570" s="31" t="n">
        <x:v>16</x:v>
      </x:c>
    </x:row>
    <x:row r="2571" ht="17.25" customHeight="1">
      <x:c r="A2571" s="24" t="str">
        <x:v>PR-B-52우0228-202601</x:v>
      </x:c>
      <x:c r="B2571" s="24" t="str">
        <x:v>프라임구독</x:v>
      </x:c>
      <x:c r="C2571" s="24" t="str">
        <x:v>PR-C-52우0228-1-20230704-164</x:v>
      </x:c>
      <x:c r="D2571" s="24" t="str">
        <x:v>52우0228</x:v>
      </x:c>
      <x:c r="E2571" s="24" t="str">
        <x:v>서기열</x:v>
      </x:c>
      <x:c r="F2571" s="24" t="str">
        <x:v>2026-01</x:v>
      </x:c>
      <x:c r="G2571" s="30" t="n">
        <x:v>46042</x:v>
      </x:c>
      <x:c r="H2571" s="32" t="n">
        <x:v>353000</x:v>
      </x:c>
      <x:c r="I2571" s="32" t="n">
        <x:v>1100000</x:v>
      </x:c>
      <x:c r="J2571" s="32" t="n">
        <x:v>1836000</x:v>
      </x:c>
      <x:c r="K2571" s="30" t="n">
        <x:v>46029</x:v>
      </x:c>
      <x:c r="L2571" s="24" t="str">
        <x:v>입금</x:v>
      </x:c>
      <x:c r="M2571" s="31" t="n">
        <x:f>IF(AND(N2571="미수",G2571&lt;&gt;"",TODAY()&gt;G2571),TODAY()-G2571,0)</x:f>
        <x:v>207</x:v>
      </x:c>
      <x:c r="N2571" s="24" t="str">
        <x:f>IF(J2571&gt;0,"미수",IF(AND(H2571&gt;0,I2571&gt;=H2571),"완납","미확인"))</x:f>
        <x:v>미수</x:v>
      </x:c>
      <x:c r="O2571" s="31" t="n">
        <x:v>16</x:v>
      </x:c>
    </x:row>
    <x:row r="2572" ht="17.25" customHeight="1">
      <x:c r="A2572" s="24" t="str">
        <x:v>PR-B-52우0228-202512</x:v>
      </x:c>
      <x:c r="B2572" s="24" t="str">
        <x:v>프라임구독</x:v>
      </x:c>
      <x:c r="C2572" s="24" t="str">
        <x:v>PR-C-52우0228-1-20230704-164</x:v>
      </x:c>
      <x:c r="D2572" s="24" t="str">
        <x:v>52우0228</x:v>
      </x:c>
      <x:c r="E2572" s="24" t="str">
        <x:v>서기열</x:v>
      </x:c>
      <x:c r="F2572" s="24" t="str">
        <x:v>2025-12</x:v>
      </x:c>
      <x:c r="G2572" s="30" t="n">
        <x:v>46011</x:v>
      </x:c>
      <x:c r="H2572" s="32" t="n">
        <x:v>353000</x:v>
      </x:c>
      <x:c r="I2572" s="32"/>
      <x:c r="J2572" s="32" t="n">
        <x:v>2583000</x:v>
      </x:c>
      <x:c r="K2572" s="30"/>
      <x:c r="L2572" s="24" t="str"/>
      <x:c r="M2572" s="31" t="n">
        <x:f>IF(AND(N2572="미수",G2572&lt;&gt;"",TODAY()&gt;G2572),TODAY()-G2572,0)</x:f>
        <x:v>238</x:v>
      </x:c>
      <x:c r="N2572" s="24" t="str">
        <x:f>IF(J2572&gt;0,"미수",IF(AND(H2572&gt;0,I2572&gt;=H2572),"완납","미확인"))</x:f>
        <x:v>미수</x:v>
      </x:c>
      <x:c r="O2572" s="31" t="n">
        <x:v>16</x:v>
      </x:c>
    </x:row>
    <x:row r="2573" ht="17.25" customHeight="1">
      <x:c r="A2573" s="24" t="str">
        <x:v>PR-B-52우0228-202511</x:v>
      </x:c>
      <x:c r="B2573" s="24" t="str">
        <x:v>프라임구독</x:v>
      </x:c>
      <x:c r="C2573" s="24" t="str">
        <x:v>PR-C-52우0228-1-20230704-164</x:v>
      </x:c>
      <x:c r="D2573" s="24" t="str">
        <x:v>52우0228</x:v>
      </x:c>
      <x:c r="E2573" s="24" t="str">
        <x:v>서기열</x:v>
      </x:c>
      <x:c r="F2573" s="24" t="str">
        <x:v>2025-11</x:v>
      </x:c>
      <x:c r="G2573" s="30" t="n">
        <x:v>45981</x:v>
      </x:c>
      <x:c r="H2573" s="32" t="n">
        <x:v>353000</x:v>
      </x:c>
      <x:c r="I2573" s="32"/>
      <x:c r="J2573" s="32" t="n">
        <x:v>2230000</x:v>
      </x:c>
      <x:c r="K2573" s="30"/>
      <x:c r="L2573" s="24" t="str"/>
      <x:c r="M2573" s="31" t="n">
        <x:f>IF(AND(N2573="미수",G2573&lt;&gt;"",TODAY()&gt;G2573),TODAY()-G2573,0)</x:f>
        <x:v>268</x:v>
      </x:c>
      <x:c r="N2573" s="24" t="str">
        <x:f>IF(J2573&gt;0,"미수",IF(AND(H2573&gt;0,I2573&gt;=H2573),"완납","미확인"))</x:f>
        <x:v>미수</x:v>
      </x:c>
      <x:c r="O2573" s="31" t="n">
        <x:v>16</x:v>
      </x:c>
    </x:row>
    <x:row r="2574" ht="17.25" customHeight="1">
      <x:c r="A2574" s="24" t="str">
        <x:v>PR-B-52우0228-202510</x:v>
      </x:c>
      <x:c r="B2574" s="24" t="str">
        <x:v>프라임구독</x:v>
      </x:c>
      <x:c r="C2574" s="24" t="str">
        <x:v>PR-C-52우0228-1-20230704-164</x:v>
      </x:c>
      <x:c r="D2574" s="24" t="str">
        <x:v>52우0228</x:v>
      </x:c>
      <x:c r="E2574" s="24" t="str">
        <x:v>서기열</x:v>
      </x:c>
      <x:c r="F2574" s="24" t="str">
        <x:v>2025-10</x:v>
      </x:c>
      <x:c r="G2574" s="30" t="n">
        <x:v>45950</x:v>
      </x:c>
      <x:c r="H2574" s="32" t="n">
        <x:v>353000</x:v>
      </x:c>
      <x:c r="I2574" s="32"/>
      <x:c r="J2574" s="32" t="n">
        <x:v>1877000</x:v>
      </x:c>
      <x:c r="K2574" s="30"/>
      <x:c r="L2574" s="24" t="str"/>
      <x:c r="M2574" s="31" t="n">
        <x:f>IF(AND(N2574="미수",G2574&lt;&gt;"",TODAY()&gt;G2574),TODAY()-G2574,0)</x:f>
        <x:v>299</x:v>
      </x:c>
      <x:c r="N2574" s="24" t="str">
        <x:f>IF(J2574&gt;0,"미수",IF(AND(H2574&gt;0,I2574&gt;=H2574),"완납","미확인"))</x:f>
        <x:v>미수</x:v>
      </x:c>
      <x:c r="O2574" s="31" t="n">
        <x:v>16</x:v>
      </x:c>
    </x:row>
    <x:row r="2575" ht="17.25" customHeight="1">
      <x:c r="A2575" s="24" t="str">
        <x:v>PR-B-52우0228-202509</x:v>
      </x:c>
      <x:c r="B2575" s="24" t="str">
        <x:v>프라임구독</x:v>
      </x:c>
      <x:c r="C2575" s="24" t="str">
        <x:v>PR-C-52우0228-1-20230704-164</x:v>
      </x:c>
      <x:c r="D2575" s="24" t="str">
        <x:v>52우0228</x:v>
      </x:c>
      <x:c r="E2575" s="24" t="str">
        <x:v>서기열</x:v>
      </x:c>
      <x:c r="F2575" s="24" t="str">
        <x:v>2025-09</x:v>
      </x:c>
      <x:c r="G2575" s="30" t="n">
        <x:v>45920</x:v>
      </x:c>
      <x:c r="H2575" s="32" t="n">
        <x:v>353000</x:v>
      </x:c>
      <x:c r="I2575" s="32"/>
      <x:c r="J2575" s="32" t="n">
        <x:v>1524000</x:v>
      </x:c>
      <x:c r="K2575" s="30"/>
      <x:c r="L2575" s="24" t="str"/>
      <x:c r="M2575" s="31" t="n">
        <x:f>IF(AND(N2575="미수",G2575&lt;&gt;"",TODAY()&gt;G2575),TODAY()-G2575,0)</x:f>
        <x:v>329</x:v>
      </x:c>
      <x:c r="N2575" s="24" t="str">
        <x:f>IF(J2575&gt;0,"미수",IF(AND(H2575&gt;0,I2575&gt;=H2575),"완납","미확인"))</x:f>
        <x:v>미수</x:v>
      </x:c>
      <x:c r="O2575" s="31" t="n">
        <x:v>16</x:v>
      </x:c>
    </x:row>
    <x:row r="2576" ht="17.25" customHeight="1">
      <x:c r="A2576" s="24" t="str">
        <x:v>PR-B-52우0228-202508</x:v>
      </x:c>
      <x:c r="B2576" s="24" t="str">
        <x:v>프라임구독</x:v>
      </x:c>
      <x:c r="C2576" s="24" t="str">
        <x:v>PR-C-52우0228-1-20230704-164</x:v>
      </x:c>
      <x:c r="D2576" s="24" t="str">
        <x:v>52우0228</x:v>
      </x:c>
      <x:c r="E2576" s="24" t="str">
        <x:v>서기열</x:v>
      </x:c>
      <x:c r="F2576" s="24" t="str">
        <x:v>2025-08</x:v>
      </x:c>
      <x:c r="G2576" s="30" t="n">
        <x:v>45889</x:v>
      </x:c>
      <x:c r="H2576" s="32" t="n">
        <x:v>353000</x:v>
      </x:c>
      <x:c r="I2576" s="32" t="n">
        <x:v>353000</x:v>
      </x:c>
      <x:c r="J2576" s="32" t="n">
        <x:v>1171000</x:v>
      </x:c>
      <x:c r="K2576" s="30" t="n">
        <x:v>45889</x:v>
      </x:c>
      <x:c r="L2576" s="24" t="str">
        <x:v>자동</x:v>
      </x:c>
      <x:c r="M2576" s="31" t="n">
        <x:f>IF(AND(N2576="미수",G2576&lt;&gt;"",TODAY()&gt;G2576),TODAY()-G2576,0)</x:f>
        <x:v>360</x:v>
      </x:c>
      <x:c r="N2576" s="24" t="str">
        <x:f>IF(J2576&gt;0,"미수",IF(AND(H2576&gt;0,I2576&gt;=H2576),"완납","미확인"))</x:f>
        <x:v>미수</x:v>
      </x:c>
      <x:c r="O2576" s="31" t="n">
        <x:v>16</x:v>
      </x:c>
    </x:row>
    <x:row r="2577" ht="17.25" customHeight="1">
      <x:c r="A2577" s="24" t="str">
        <x:v>PR-B-52우0228-202507</x:v>
      </x:c>
      <x:c r="B2577" s="24" t="str">
        <x:v>프라임구독</x:v>
      </x:c>
      <x:c r="C2577" s="24" t="str">
        <x:v>PR-C-52우0228-1-20230704-164</x:v>
      </x:c>
      <x:c r="D2577" s="24" t="str">
        <x:v>52우0228</x:v>
      </x:c>
      <x:c r="E2577" s="24" t="str">
        <x:v>서기열</x:v>
      </x:c>
      <x:c r="F2577" s="24" t="str">
        <x:v>2025-07</x:v>
      </x:c>
      <x:c r="G2577" s="30" t="n">
        <x:v>45858</x:v>
      </x:c>
      <x:c r="H2577" s="32" t="n">
        <x:v>353000</x:v>
      </x:c>
      <x:c r="I2577" s="32" t="n">
        <x:v>500000</x:v>
      </x:c>
      <x:c r="J2577" s="32" t="n">
        <x:v>1171000</x:v>
      </x:c>
      <x:c r="K2577" s="30" t="n">
        <x:v>45840</x:v>
      </x:c>
      <x:c r="L2577" s="24" t="str">
        <x:v>입금</x:v>
      </x:c>
      <x:c r="M2577" s="31" t="n">
        <x:f>IF(AND(N2577="미수",G2577&lt;&gt;"",TODAY()&gt;G2577),TODAY()-G2577,0)</x:f>
        <x:v>391</x:v>
      </x:c>
      <x:c r="N2577" s="24" t="str">
        <x:f>IF(J2577&gt;0,"미수",IF(AND(H2577&gt;0,I2577&gt;=H2577),"완납","미확인"))</x:f>
        <x:v>미수</x:v>
      </x:c>
      <x:c r="O2577" s="31" t="n">
        <x:v>16</x:v>
      </x:c>
    </x:row>
    <x:row r="2578" ht="17.25" customHeight="1">
      <x:c r="A2578" s="24" t="str">
        <x:v>PR-B-52우0228-202506</x:v>
      </x:c>
      <x:c r="B2578" s="24" t="str">
        <x:v>프라임구독</x:v>
      </x:c>
      <x:c r="C2578" s="24" t="str">
        <x:v>PR-C-52우0228-1-20230704-164</x:v>
      </x:c>
      <x:c r="D2578" s="24" t="str">
        <x:v>52우0228</x:v>
      </x:c>
      <x:c r="E2578" s="24" t="str">
        <x:v>서기열</x:v>
      </x:c>
      <x:c r="F2578" s="24" t="str">
        <x:v>2025-06</x:v>
      </x:c>
      <x:c r="G2578" s="30" t="n">
        <x:v>45828</x:v>
      </x:c>
      <x:c r="H2578" s="32" t="n">
        <x:v>353000</x:v>
      </x:c>
      <x:c r="I2578" s="32" t="n">
        <x:v>800000</x:v>
      </x:c>
      <x:c r="J2578" s="32" t="n">
        <x:v>1318000</x:v>
      </x:c>
      <x:c r="K2578" s="30" t="n">
        <x:v>45818</x:v>
      </x:c>
      <x:c r="L2578" s="24" t="str">
        <x:v>입금</x:v>
      </x:c>
      <x:c r="M2578" s="31" t="n">
        <x:f>IF(AND(N2578="미수",G2578&lt;&gt;"",TODAY()&gt;G2578),TODAY()-G2578,0)</x:f>
        <x:v>421</x:v>
      </x:c>
      <x:c r="N2578" s="24" t="str">
        <x:f>IF(J2578&gt;0,"미수",IF(AND(H2578&gt;0,I2578&gt;=H2578),"완납","미확인"))</x:f>
        <x:v>미수</x:v>
      </x:c>
      <x:c r="O2578" s="31" t="n">
        <x:v>16</x:v>
      </x:c>
    </x:row>
    <x:row r="2579" ht="17.25" customHeight="1">
      <x:c r="A2579" s="24" t="str">
        <x:v>PR-B-52우0228-202505</x:v>
      </x:c>
      <x:c r="B2579" s="24" t="str">
        <x:v>프라임구독</x:v>
      </x:c>
      <x:c r="C2579" s="24" t="str">
        <x:v>PR-C-52우0228-1-20230704-164</x:v>
      </x:c>
      <x:c r="D2579" s="24" t="str">
        <x:v>52우0228</x:v>
      </x:c>
      <x:c r="E2579" s="24" t="str">
        <x:v>서기열</x:v>
      </x:c>
      <x:c r="F2579" s="24" t="str">
        <x:v>2025-05</x:v>
      </x:c>
      <x:c r="G2579" s="30" t="n">
        <x:v>45797</x:v>
      </x:c>
      <x:c r="H2579" s="32" t="n">
        <x:v>353000</x:v>
      </x:c>
      <x:c r="I2579" s="32"/>
      <x:c r="J2579" s="32" t="n">
        <x:v>1765000</x:v>
      </x:c>
      <x:c r="K2579" s="30"/>
      <x:c r="L2579" s="24" t="str"/>
      <x:c r="M2579" s="31" t="n">
        <x:f>IF(AND(N2579="미수",G2579&lt;&gt;"",TODAY()&gt;G2579),TODAY()-G2579,0)</x:f>
        <x:v>452</x:v>
      </x:c>
      <x:c r="N2579" s="24" t="str">
        <x:f>IF(J2579&gt;0,"미수",IF(AND(H2579&gt;0,I2579&gt;=H2579),"완납","미확인"))</x:f>
        <x:v>미수</x:v>
      </x:c>
      <x:c r="O2579" s="31" t="n">
        <x:v>16</x:v>
      </x:c>
    </x:row>
    <x:row r="2580" ht="17.25" customHeight="1">
      <x:c r="A2580" s="24" t="str">
        <x:v>PR-B-52우0228-202504</x:v>
      </x:c>
      <x:c r="B2580" s="24" t="str">
        <x:v>프라임구독</x:v>
      </x:c>
      <x:c r="C2580" s="24" t="str">
        <x:v>PR-C-52우0228-1-20230704-164</x:v>
      </x:c>
      <x:c r="D2580" s="24" t="str">
        <x:v>52우0228</x:v>
      </x:c>
      <x:c r="E2580" s="24" t="str">
        <x:v>서기열</x:v>
      </x:c>
      <x:c r="F2580" s="24" t="str">
        <x:v>2025-04</x:v>
      </x:c>
      <x:c r="G2580" s="30" t="n">
        <x:v>45767</x:v>
      </x:c>
      <x:c r="H2580" s="32" t="n">
        <x:v>353000</x:v>
      </x:c>
      <x:c r="I2580" s="32"/>
      <x:c r="J2580" s="32" t="n">
        <x:v>1412000</x:v>
      </x:c>
      <x:c r="K2580" s="30"/>
      <x:c r="L2580" s="24" t="str"/>
      <x:c r="M2580" s="31" t="n">
        <x:f>IF(AND(N2580="미수",G2580&lt;&gt;"",TODAY()&gt;G2580),TODAY()-G2580,0)</x:f>
        <x:v>482</x:v>
      </x:c>
      <x:c r="N2580" s="24" t="str">
        <x:f>IF(J2580&gt;0,"미수",IF(AND(H2580&gt;0,I2580&gt;=H2580),"완납","미확인"))</x:f>
        <x:v>미수</x:v>
      </x:c>
      <x:c r="O2580" s="31" t="n">
        <x:v>16</x:v>
      </x:c>
    </x:row>
    <x:row r="2581" ht="17.25" customHeight="1">
      <x:c r="A2581" s="24" t="str">
        <x:v>PR-B-52우0228-202503</x:v>
      </x:c>
      <x:c r="B2581" s="24" t="str">
        <x:v>프라임구독</x:v>
      </x:c>
      <x:c r="C2581" s="24" t="str">
        <x:v>PR-C-52우0228-1-20230704-164</x:v>
      </x:c>
      <x:c r="D2581" s="24" t="str">
        <x:v>52우0228</x:v>
      </x:c>
      <x:c r="E2581" s="24" t="str">
        <x:v>서기열</x:v>
      </x:c>
      <x:c r="F2581" s="24" t="str">
        <x:v>2025-03</x:v>
      </x:c>
      <x:c r="G2581" s="30" t="n">
        <x:v>45736</x:v>
      </x:c>
      <x:c r="H2581" s="32" t="n">
        <x:v>353000</x:v>
      </x:c>
      <x:c r="I2581" s="32"/>
      <x:c r="J2581" s="32" t="n">
        <x:v>1059000</x:v>
      </x:c>
      <x:c r="K2581" s="30"/>
      <x:c r="L2581" s="24" t="str"/>
      <x:c r="M2581" s="31" t="n">
        <x:f>IF(AND(N2581="미수",G2581&lt;&gt;"",TODAY()&gt;G2581),TODAY()-G2581,0)</x:f>
        <x:v>513</x:v>
      </x:c>
      <x:c r="N2581" s="24" t="str">
        <x:f>IF(J2581&gt;0,"미수",IF(AND(H2581&gt;0,I2581&gt;=H2581),"완납","미확인"))</x:f>
        <x:v>미수</x:v>
      </x:c>
      <x:c r="O2581" s="31" t="n">
        <x:v>16</x:v>
      </x:c>
    </x:row>
    <x:row r="2582" ht="17.25" customHeight="1">
      <x:c r="A2582" s="24" t="str">
        <x:v>PR-B-52우0228-202502</x:v>
      </x:c>
      <x:c r="B2582" s="24" t="str">
        <x:v>프라임구독</x:v>
      </x:c>
      <x:c r="C2582" s="24" t="str">
        <x:v>PR-C-52우0228-1-20230704-164</x:v>
      </x:c>
      <x:c r="D2582" s="24" t="str">
        <x:v>52우0228</x:v>
      </x:c>
      <x:c r="E2582" s="24" t="str">
        <x:v>서기열</x:v>
      </x:c>
      <x:c r="F2582" s="24" t="str">
        <x:v>2025-02</x:v>
      </x:c>
      <x:c r="G2582" s="30" t="n">
        <x:v>45708</x:v>
      </x:c>
      <x:c r="H2582" s="32" t="n">
        <x:v>353000</x:v>
      </x:c>
      <x:c r="I2582" s="32"/>
      <x:c r="J2582" s="32" t="n">
        <x:v>706000</x:v>
      </x:c>
      <x:c r="K2582" s="30"/>
      <x:c r="L2582" s="24" t="str"/>
      <x:c r="M2582" s="31" t="n">
        <x:f>IF(AND(N2582="미수",G2582&lt;&gt;"",TODAY()&gt;G2582),TODAY()-G2582,0)</x:f>
        <x:v>541</x:v>
      </x:c>
      <x:c r="N2582" s="24" t="str">
        <x:f>IF(J2582&gt;0,"미수",IF(AND(H2582&gt;0,I2582&gt;=H2582),"완납","미확인"))</x:f>
        <x:v>미수</x:v>
      </x:c>
      <x:c r="O2582" s="31" t="n">
        <x:v>16</x:v>
      </x:c>
    </x:row>
    <x:row r="2583" ht="17.25" customHeight="1">
      <x:c r="A2583" s="24" t="str">
        <x:v>PR-B-52우0228-202501</x:v>
      </x:c>
      <x:c r="B2583" s="24" t="str">
        <x:v>프라임구독</x:v>
      </x:c>
      <x:c r="C2583" s="24" t="str">
        <x:v>PR-C-52우0228-1-20230704-164</x:v>
      </x:c>
      <x:c r="D2583" s="24" t="str">
        <x:v>52우0228</x:v>
      </x:c>
      <x:c r="E2583" s="24" t="str">
        <x:v>서기열</x:v>
      </x:c>
      <x:c r="F2583" s="24" t="str">
        <x:v>2025-01</x:v>
      </x:c>
      <x:c r="G2583" s="30" t="n">
        <x:v>45677</x:v>
      </x:c>
      <x:c r="H2583" s="32" t="n">
        <x:v>353000</x:v>
      </x:c>
      <x:c r="I2583" s="32"/>
      <x:c r="J2583" s="32" t="n">
        <x:v>353000</x:v>
      </x:c>
      <x:c r="K2583" s="30"/>
      <x:c r="L2583" s="24" t="str"/>
      <x:c r="M2583" s="31" t="n">
        <x:f>IF(AND(N2583="미수",G2583&lt;&gt;"",TODAY()&gt;G2583),TODAY()-G2583,0)</x:f>
        <x:v>572</x:v>
      </x:c>
      <x:c r="N2583" s="24" t="str">
        <x:f>IF(J2583&gt;0,"미수",IF(AND(H2583&gt;0,I2583&gt;=H2583),"완납","미확인"))</x:f>
        <x:v>미수</x:v>
      </x:c>
      <x:c r="O2583" s="31" t="n">
        <x:v>16</x:v>
      </x:c>
    </x:row>
    <x:row r="2584" ht="17.25" customHeight="1">
      <x:c r="A2584" s="24" t="str">
        <x:v>PR-B-52우0228-202412</x:v>
      </x:c>
      <x:c r="B2584" s="24" t="str">
        <x:v>프라임구독</x:v>
      </x:c>
      <x:c r="C2584" s="24" t="str">
        <x:v>PR-C-52우0228-1-20230704-164</x:v>
      </x:c>
      <x:c r="D2584" s="24" t="str">
        <x:v>52우0228</x:v>
      </x:c>
      <x:c r="E2584" s="24" t="str">
        <x:v>서기열</x:v>
      </x:c>
      <x:c r="F2584" s="24" t="str">
        <x:v>2024-12</x:v>
      </x:c>
      <x:c r="G2584" s="30" t="n">
        <x:v>45646</x:v>
      </x:c>
      <x:c r="H2584" s="32" t="n">
        <x:v>353000</x:v>
      </x:c>
      <x:c r="I2584" s="32" t="n">
        <x:v>353000</x:v>
      </x:c>
      <x:c r="J2584" s="32" t="n">
        <x:v>0</x:v>
      </x:c>
      <x:c r="K2584" s="30" t="n">
        <x:v>45708</x:v>
      </x:c>
      <x:c r="L2584" s="24" t="str">
        <x:v>자동</x:v>
      </x:c>
      <x:c r="M2584" s="31" t="n">
        <x:f>IF(AND(N2584="미수",G2584&lt;&gt;"",TODAY()&gt;G2584),TODAY()-G2584,0)</x:f>
        <x:v>0</x:v>
      </x:c>
      <x:c r="N2584" s="24" t="str">
        <x:f>IF(J2584&gt;0,"미수",IF(AND(H2584&gt;0,I2584&gt;=H2584),"완납","미확인"))</x:f>
        <x:v>완납</x:v>
      </x:c>
      <x:c r="O2584" s="31" t="n">
        <x:v>16</x:v>
      </x:c>
    </x:row>
    <x:row r="2585" ht="17.25" customHeight="1">
      <x:c r="A2585" s="24" t="str">
        <x:v>PR-B-52우0228-202411</x:v>
      </x:c>
      <x:c r="B2585" s="24" t="str">
        <x:v>프라임구독</x:v>
      </x:c>
      <x:c r="C2585" s="24" t="str">
        <x:v>PR-C-52우0228-1-20230704-164</x:v>
      </x:c>
      <x:c r="D2585" s="24" t="str">
        <x:v>52우0228</x:v>
      </x:c>
      <x:c r="E2585" s="24" t="str">
        <x:v>서기열</x:v>
      </x:c>
      <x:c r="F2585" s="24" t="str">
        <x:v>2024-11</x:v>
      </x:c>
      <x:c r="G2585" s="30" t="n">
        <x:v>45616</x:v>
      </x:c>
      <x:c r="H2585" s="32" t="n">
        <x:v>353000</x:v>
      </x:c>
      <x:c r="I2585" s="32" t="n">
        <x:v>353000</x:v>
      </x:c>
      <x:c r="J2585" s="32" t="n">
        <x:v>0</x:v>
      </x:c>
      <x:c r="K2585" s="30" t="n">
        <x:v>45677</x:v>
      </x:c>
      <x:c r="L2585" s="24" t="str">
        <x:v>자동</x:v>
      </x:c>
      <x:c r="M2585" s="31" t="n">
        <x:f>IF(AND(N2585="미수",G2585&lt;&gt;"",TODAY()&gt;G2585),TODAY()-G2585,0)</x:f>
        <x:v>0</x:v>
      </x:c>
      <x:c r="N2585" s="24" t="str">
        <x:f>IF(J2585&gt;0,"미수",IF(AND(H2585&gt;0,I2585&gt;=H2585),"완납","미확인"))</x:f>
        <x:v>완납</x:v>
      </x:c>
      <x:c r="O2585" s="31" t="n">
        <x:v>16</x:v>
      </x:c>
    </x:row>
    <x:row r="2586" ht="17.25" customHeight="1">
      <x:c r="A2586" s="24" t="str">
        <x:v>PR-B-52우0228-202410</x:v>
      </x:c>
      <x:c r="B2586" s="24" t="str">
        <x:v>프라임구독</x:v>
      </x:c>
      <x:c r="C2586" s="24" t="str">
        <x:v>PR-C-52우0228-1-20230704-164</x:v>
      </x:c>
      <x:c r="D2586" s="24" t="str">
        <x:v>52우0228</x:v>
      </x:c>
      <x:c r="E2586" s="24" t="str">
        <x:v>서기열</x:v>
      </x:c>
      <x:c r="F2586" s="24" t="str">
        <x:v>2024-10</x:v>
      </x:c>
      <x:c r="G2586" s="30" t="n">
        <x:v>45585</x:v>
      </x:c>
      <x:c r="H2586" s="32" t="n">
        <x:v>353000</x:v>
      </x:c>
      <x:c r="I2586" s="32" t="n">
        <x:v>353000</x:v>
      </x:c>
      <x:c r="J2586" s="32" t="n">
        <x:v>0</x:v>
      </x:c>
      <x:c r="K2586" s="30" t="n">
        <x:v>45646</x:v>
      </x:c>
      <x:c r="L2586" s="24" t="str">
        <x:v>자동</x:v>
      </x:c>
      <x:c r="M2586" s="31" t="n">
        <x:f>IF(AND(N2586="미수",G2586&lt;&gt;"",TODAY()&gt;G2586),TODAY()-G2586,0)</x:f>
        <x:v>0</x:v>
      </x:c>
      <x:c r="N2586" s="24" t="str">
        <x:f>IF(J2586&gt;0,"미수",IF(AND(H2586&gt;0,I2586&gt;=H2586),"완납","미확인"))</x:f>
        <x:v>완납</x:v>
      </x:c>
      <x:c r="O2586" s="31" t="n">
        <x:v>16</x:v>
      </x:c>
    </x:row>
    <x:row r="2587" ht="17.25" customHeight="1">
      <x:c r="A2587" s="24" t="str">
        <x:v>PR-B-52우0228-202409</x:v>
      </x:c>
      <x:c r="B2587" s="24" t="str">
        <x:v>프라임구독</x:v>
      </x:c>
      <x:c r="C2587" s="24" t="str">
        <x:v>PR-C-52우0228-1-20230704-164</x:v>
      </x:c>
      <x:c r="D2587" s="24" t="str">
        <x:v>52우0228</x:v>
      </x:c>
      <x:c r="E2587" s="24" t="str">
        <x:v>서기열</x:v>
      </x:c>
      <x:c r="F2587" s="24" t="str">
        <x:v>2024-09</x:v>
      </x:c>
      <x:c r="G2587" s="30" t="n">
        <x:v>45555</x:v>
      </x:c>
      <x:c r="H2587" s="32" t="n">
        <x:v>353000</x:v>
      </x:c>
      <x:c r="I2587" s="32" t="n">
        <x:v>353000</x:v>
      </x:c>
      <x:c r="J2587" s="32" t="n">
        <x:v>0</x:v>
      </x:c>
      <x:c r="K2587" s="30" t="n">
        <x:v>45572</x:v>
      </x:c>
      <x:c r="L2587" s="24" t="str">
        <x:v>입금</x:v>
      </x:c>
      <x:c r="M2587" s="31" t="n">
        <x:f>IF(AND(N2587="미수",G2587&lt;&gt;"",TODAY()&gt;G2587),TODAY()-G2587,0)</x:f>
        <x:v>0</x:v>
      </x:c>
      <x:c r="N2587" s="24" t="str">
        <x:f>IF(J2587&gt;0,"미수",IF(AND(H2587&gt;0,I2587&gt;=H2587),"완납","미확인"))</x:f>
        <x:v>완납</x:v>
      </x:c>
      <x:c r="O2587" s="31" t="n">
        <x:v>16</x:v>
      </x:c>
    </x:row>
    <x:row r="2588" ht="17.25" customHeight="1">
      <x:c r="A2588" s="24" t="str">
        <x:v>PR-B-52우0228-202408</x:v>
      </x:c>
      <x:c r="B2588" s="24" t="str">
        <x:v>프라임구독</x:v>
      </x:c>
      <x:c r="C2588" s="24" t="str">
        <x:v>PR-C-52우0228-1-20230704-164</x:v>
      </x:c>
      <x:c r="D2588" s="24" t="str">
        <x:v>52우0228</x:v>
      </x:c>
      <x:c r="E2588" s="24" t="str">
        <x:v>서기열</x:v>
      </x:c>
      <x:c r="F2588" s="24" t="str">
        <x:v>2024-08</x:v>
      </x:c>
      <x:c r="G2588" s="30" t="n">
        <x:v>45524</x:v>
      </x:c>
      <x:c r="H2588" s="32" t="n">
        <x:v>353000</x:v>
      </x:c>
      <x:c r="I2588" s="32" t="n">
        <x:v>353000</x:v>
      </x:c>
      <x:c r="J2588" s="32" t="n">
        <x:v>0</x:v>
      </x:c>
      <x:c r="K2588" s="30" t="n">
        <x:v>45544</x:v>
      </x:c>
      <x:c r="L2588" s="24" t="str">
        <x:v>입금</x:v>
      </x:c>
      <x:c r="M2588" s="31" t="n">
        <x:f>IF(AND(N2588="미수",G2588&lt;&gt;"",TODAY()&gt;G2588),TODAY()-G2588,0)</x:f>
        <x:v>0</x:v>
      </x:c>
      <x:c r="N2588" s="24" t="str">
        <x:f>IF(J2588&gt;0,"미수",IF(AND(H2588&gt;0,I2588&gt;=H2588),"완납","미확인"))</x:f>
        <x:v>완납</x:v>
      </x:c>
      <x:c r="O2588" s="31" t="n">
        <x:v>16</x:v>
      </x:c>
    </x:row>
    <x:row r="2589" ht="17.25" customHeight="1">
      <x:c r="A2589" s="24" t="str">
        <x:v>PR-B-52우0228-202407</x:v>
      </x:c>
      <x:c r="B2589" s="24" t="str">
        <x:v>프라임구독</x:v>
      </x:c>
      <x:c r="C2589" s="24" t="str">
        <x:v>PR-C-52우0228-1-20230704-164</x:v>
      </x:c>
      <x:c r="D2589" s="24" t="str">
        <x:v>52우0228</x:v>
      </x:c>
      <x:c r="E2589" s="24" t="str">
        <x:v>서기열</x:v>
      </x:c>
      <x:c r="F2589" s="24" t="str">
        <x:v>2024-07</x:v>
      </x:c>
      <x:c r="G2589" s="30" t="n">
        <x:v>45493</x:v>
      </x:c>
      <x:c r="H2589" s="32" t="n">
        <x:v>353000</x:v>
      </x:c>
      <x:c r="I2589" s="32" t="n">
        <x:v>353000</x:v>
      </x:c>
      <x:c r="J2589" s="32" t="n">
        <x:v>0</x:v>
      </x:c>
      <x:c r="K2589" s="30" t="n">
        <x:v>45513</x:v>
      </x:c>
      <x:c r="L2589" s="24" t="str">
        <x:v>입금</x:v>
      </x:c>
      <x:c r="M2589" s="31" t="n">
        <x:f>IF(AND(N2589="미수",G2589&lt;&gt;"",TODAY()&gt;G2589),TODAY()-G2589,0)</x:f>
        <x:v>0</x:v>
      </x:c>
      <x:c r="N2589" s="24" t="str">
        <x:f>IF(J2589&gt;0,"미수",IF(AND(H2589&gt;0,I2589&gt;=H2589),"완납","미확인"))</x:f>
        <x:v>완납</x:v>
      </x:c>
      <x:c r="O2589" s="31" t="n">
        <x:v>16</x:v>
      </x:c>
    </x:row>
    <x:row r="2590" ht="17.25" customHeight="1">
      <x:c r="A2590" s="24" t="str">
        <x:v>PR-B-52우0228-202406</x:v>
      </x:c>
      <x:c r="B2590" s="24" t="str">
        <x:v>프라임구독</x:v>
      </x:c>
      <x:c r="C2590" s="24" t="str">
        <x:v>PR-C-52우0228-1-20230704-164</x:v>
      </x:c>
      <x:c r="D2590" s="24" t="str">
        <x:v>52우0228</x:v>
      </x:c>
      <x:c r="E2590" s="24" t="str">
        <x:v>서기열</x:v>
      </x:c>
      <x:c r="F2590" s="24" t="str">
        <x:v>2024-06</x:v>
      </x:c>
      <x:c r="G2590" s="30" t="n">
        <x:v>45463</x:v>
      </x:c>
      <x:c r="H2590" s="32" t="n">
        <x:v>353000</x:v>
      </x:c>
      <x:c r="I2590" s="32" t="n">
        <x:v>353000</x:v>
      </x:c>
      <x:c r="J2590" s="32" t="n">
        <x:v>0</x:v>
      </x:c>
      <x:c r="K2590" s="30" t="n">
        <x:v>45476</x:v>
      </x:c>
      <x:c r="L2590" s="24" t="str"/>
      <x:c r="M2590" s="31" t="n">
        <x:f>IF(AND(N2590="미수",G2590&lt;&gt;"",TODAY()&gt;G2590),TODAY()-G2590,0)</x:f>
        <x:v>0</x:v>
      </x:c>
      <x:c r="N2590" s="24" t="str">
        <x:f>IF(J2590&gt;0,"미수",IF(AND(H2590&gt;0,I2590&gt;=H2590),"완납","미확인"))</x:f>
        <x:v>완납</x:v>
      </x:c>
      <x:c r="O2590" s="31" t="n">
        <x:v>16</x:v>
      </x:c>
    </x:row>
    <x:row r="2591" ht="17.25" customHeight="1">
      <x:c r="A2591" s="24" t="str">
        <x:v>PR-B-52우0228-202405</x:v>
      </x:c>
      <x:c r="B2591" s="24" t="str">
        <x:v>프라임구독</x:v>
      </x:c>
      <x:c r="C2591" s="24" t="str">
        <x:v>PR-C-52우0228-1-20230704-164</x:v>
      </x:c>
      <x:c r="D2591" s="24" t="str">
        <x:v>52우0228</x:v>
      </x:c>
      <x:c r="E2591" s="24" t="str">
        <x:v>서기열</x:v>
      </x:c>
      <x:c r="F2591" s="24" t="str">
        <x:v>2024-05</x:v>
      </x:c>
      <x:c r="G2591" s="30" t="n">
        <x:v>45432</x:v>
      </x:c>
      <x:c r="H2591" s="32" t="n">
        <x:v>353000</x:v>
      </x:c>
      <x:c r="I2591" s="32" t="n">
        <x:v>353000</x:v>
      </x:c>
      <x:c r="J2591" s="32" t="n">
        <x:v>0</x:v>
      </x:c>
      <x:c r="K2591" s="30" t="n">
        <x:v>45454</x:v>
      </x:c>
      <x:c r="L2591" s="24" t="str"/>
      <x:c r="M2591" s="31" t="n">
        <x:f>IF(AND(N2591="미수",G2591&lt;&gt;"",TODAY()&gt;G2591),TODAY()-G2591,0)</x:f>
        <x:v>0</x:v>
      </x:c>
      <x:c r="N2591" s="24" t="str">
        <x:f>IF(J2591&gt;0,"미수",IF(AND(H2591&gt;0,I2591&gt;=H2591),"완납","미확인"))</x:f>
        <x:v>완납</x:v>
      </x:c>
      <x:c r="O2591" s="31" t="n">
        <x:v>16</x:v>
      </x:c>
    </x:row>
    <x:row r="2592" ht="17.25" customHeight="1">
      <x:c r="A2592" s="24" t="str">
        <x:v>PR-B-61너5024-202608</x:v>
      </x:c>
      <x:c r="B2592" s="24" t="str">
        <x:v>프라임구독</x:v>
      </x:c>
      <x:c r="C2592" s="24" t="str">
        <x:v>PR-C-61너5024-1-20230629-177</x:v>
      </x:c>
      <x:c r="D2592" s="24" t="str">
        <x:v>61너5024</x:v>
      </x:c>
      <x:c r="E2592" s="24" t="str">
        <x:v>안미숙</x:v>
      </x:c>
      <x:c r="F2592" s="24" t="str">
        <x:v>2026-08</x:v>
      </x:c>
      <x:c r="G2592" s="30" t="n">
        <x:v>46254</x:v>
      </x:c>
      <x:c r="H2592" s="32" t="n">
        <x:v>493000</x:v>
      </x:c>
      <x:c r="I2592" s="32"/>
      <x:c r="J2592" s="32" t="n">
        <x:v>493000</x:v>
      </x:c>
      <x:c r="K2592" s="30"/>
      <x:c r="L2592" s="24" t="str"/>
      <x:c r="M2592" s="31" t="n">
        <x:f>IF(AND(N2592="미수",G2592&lt;&gt;"",TODAY()&gt;G2592),TODAY()-G2592,0)</x:f>
        <x:v>0</x:v>
      </x:c>
      <x:c r="N2592" s="24" t="str">
        <x:f>IF(J2592&gt;0,"미수",IF(AND(H2592&gt;0,I2592&gt;=H2592),"완납","미확인"))</x:f>
        <x:v>미수</x:v>
      </x:c>
      <x:c r="O2592" s="31" t="n">
        <x:v>17</x:v>
      </x:c>
    </x:row>
    <x:row r="2593" ht="17.25" customHeight="1">
      <x:c r="A2593" s="24" t="str">
        <x:v>PR-B-61너5024-202607</x:v>
      </x:c>
      <x:c r="B2593" s="24" t="str">
        <x:v>프라임구독</x:v>
      </x:c>
      <x:c r="C2593" s="24" t="str">
        <x:v>PR-C-61너5024-1-20230629-177</x:v>
      </x:c>
      <x:c r="D2593" s="24" t="str">
        <x:v>61너5024</x:v>
      </x:c>
      <x:c r="E2593" s="24" t="str">
        <x:v>안미숙</x:v>
      </x:c>
      <x:c r="F2593" s="24" t="str">
        <x:v>2026-07</x:v>
      </x:c>
      <x:c r="G2593" s="30" t="n">
        <x:v>46223</x:v>
      </x:c>
      <x:c r="H2593" s="32" t="n">
        <x:v>0</x:v>
      </x:c>
      <x:c r="I2593" s="32" t="n">
        <x:v>1381000</x:v>
      </x:c>
      <x:c r="J2593" s="32" t="n">
        <x:v>0</x:v>
      </x:c>
      <x:c r="K2593" s="30" t="n">
        <x:v>46244</x:v>
      </x:c>
      <x:c r="L2593" s="24" t="str">
        <x:v>입금</x:v>
      </x:c>
      <x:c r="M2593" s="31" t="n">
        <x:f>IF(AND(N2593="미수",G2593&lt;&gt;"",TODAY()&gt;G2593),TODAY()-G2593,0)</x:f>
        <x:v>0</x:v>
      </x:c>
      <x:c r="N2593" s="24" t="str">
        <x:f>IF(J2593&gt;0,"미수",IF(AND(H2593&gt;0,I2593&gt;=H2593),"완납","미확인"))</x:f>
        <x:v>미확인</x:v>
      </x:c>
      <x:c r="O2593" s="31" t="n">
        <x:v>17</x:v>
      </x:c>
    </x:row>
    <x:row r="2594" ht="17.25" customHeight="1">
      <x:c r="A2594" s="24" t="str">
        <x:v>PR-B-61너5024-202606</x:v>
      </x:c>
      <x:c r="B2594" s="24" t="str">
        <x:v>프라임구독</x:v>
      </x:c>
      <x:c r="C2594" s="24" t="str">
        <x:v>PR-C-61너5024-1-20230629-177</x:v>
      </x:c>
      <x:c r="D2594" s="24" t="str">
        <x:v>61너5024</x:v>
      </x:c>
      <x:c r="E2594" s="24" t="str">
        <x:v>안미숙</x:v>
      </x:c>
      <x:c r="F2594" s="24" t="str">
        <x:v>2026-06</x:v>
      </x:c>
      <x:c r="G2594" s="30" t="n">
        <x:v>46193</x:v>
      </x:c>
      <x:c r="H2594" s="32" t="n">
        <x:v>493000</x:v>
      </x:c>
      <x:c r="I2594" s="32" t="n">
        <x:v>1000000</x:v>
      </x:c>
      <x:c r="J2594" s="32" t="n">
        <x:v>1381000</x:v>
      </x:c>
      <x:c r="K2594" s="30" t="n">
        <x:v>46183</x:v>
      </x:c>
      <x:c r="L2594" s="24" t="str">
        <x:v>입금</x:v>
      </x:c>
      <x:c r="M2594" s="31" t="n">
        <x:f>IF(AND(N2594="미수",G2594&lt;&gt;"",TODAY()&gt;G2594),TODAY()-G2594,0)</x:f>
        <x:v>56</x:v>
      </x:c>
      <x:c r="N2594" s="24" t="str">
        <x:f>IF(J2594&gt;0,"미수",IF(AND(H2594&gt;0,I2594&gt;=H2594),"완납","미확인"))</x:f>
        <x:v>미수</x:v>
      </x:c>
      <x:c r="O2594" s="31" t="n">
        <x:v>17</x:v>
      </x:c>
    </x:row>
    <x:row r="2595" ht="17.25" customHeight="1">
      <x:c r="A2595" s="24" t="str">
        <x:v>PR-B-61너5024-202605</x:v>
      </x:c>
      <x:c r="B2595" s="24" t="str">
        <x:v>프라임구독</x:v>
      </x:c>
      <x:c r="C2595" s="24" t="str">
        <x:v>PR-C-61너5024-1-20230629-177</x:v>
      </x:c>
      <x:c r="D2595" s="24" t="str">
        <x:v>61너5024</x:v>
      </x:c>
      <x:c r="E2595" s="24" t="str">
        <x:v>안미숙</x:v>
      </x:c>
      <x:c r="F2595" s="24" t="str">
        <x:v>2026-05</x:v>
      </x:c>
      <x:c r="G2595" s="30" t="n">
        <x:v>46162</x:v>
      </x:c>
      <x:c r="H2595" s="32" t="n">
        <x:v>493000</x:v>
      </x:c>
      <x:c r="I2595" s="32" t="n">
        <x:v>500000</x:v>
      </x:c>
      <x:c r="J2595" s="32" t="n">
        <x:v>1888000</x:v>
      </x:c>
      <x:c r="K2595" s="30" t="n">
        <x:v>46150</x:v>
      </x:c>
      <x:c r="L2595" s="24" t="str">
        <x:v>입금</x:v>
      </x:c>
      <x:c r="M2595" s="31" t="n">
        <x:f>IF(AND(N2595="미수",G2595&lt;&gt;"",TODAY()&gt;G2595),TODAY()-G2595,0)</x:f>
        <x:v>87</x:v>
      </x:c>
      <x:c r="N2595" s="24" t="str">
        <x:f>IF(J2595&gt;0,"미수",IF(AND(H2595&gt;0,I2595&gt;=H2595),"완납","미확인"))</x:f>
        <x:v>미수</x:v>
      </x:c>
      <x:c r="O2595" s="31" t="n">
        <x:v>17</x:v>
      </x:c>
    </x:row>
    <x:row r="2596" ht="17.25" customHeight="1">
      <x:c r="A2596" s="24" t="str">
        <x:v>PR-B-61너5024-202604</x:v>
      </x:c>
      <x:c r="B2596" s="24" t="str">
        <x:v>프라임구독</x:v>
      </x:c>
      <x:c r="C2596" s="24" t="str">
        <x:v>PR-C-61너5024-1-20230629-177</x:v>
      </x:c>
      <x:c r="D2596" s="24" t="str">
        <x:v>61너5024</x:v>
      </x:c>
      <x:c r="E2596" s="24" t="str">
        <x:v>안미숙</x:v>
      </x:c>
      <x:c r="F2596" s="24" t="str">
        <x:v>2026-04</x:v>
      </x:c>
      <x:c r="G2596" s="30" t="n">
        <x:v>46132</x:v>
      </x:c>
      <x:c r="H2596" s="32" t="n">
        <x:v>493000</x:v>
      </x:c>
      <x:c r="I2596" s="32"/>
      <x:c r="J2596" s="32" t="n">
        <x:v>1895000</x:v>
      </x:c>
      <x:c r="K2596" s="30"/>
      <x:c r="L2596" s="24" t="str"/>
      <x:c r="M2596" s="31" t="n">
        <x:f>IF(AND(N2596="미수",G2596&lt;&gt;"",TODAY()&gt;G2596),TODAY()-G2596,0)</x:f>
        <x:v>117</x:v>
      </x:c>
      <x:c r="N2596" s="24" t="str">
        <x:f>IF(J2596&gt;0,"미수",IF(AND(H2596&gt;0,I2596&gt;=H2596),"완납","미확인"))</x:f>
        <x:v>미수</x:v>
      </x:c>
      <x:c r="O2596" s="31" t="n">
        <x:v>17</x:v>
      </x:c>
    </x:row>
    <x:row r="2597" ht="17.25" customHeight="1">
      <x:c r="A2597" s="24" t="str">
        <x:v>PR-B-61너5024-202603</x:v>
      </x:c>
      <x:c r="B2597" s="24" t="str">
        <x:v>프라임구독</x:v>
      </x:c>
      <x:c r="C2597" s="24" t="str">
        <x:v>PR-C-61너5024-1-20230629-177</x:v>
      </x:c>
      <x:c r="D2597" s="24" t="str">
        <x:v>61너5024</x:v>
      </x:c>
      <x:c r="E2597" s="24" t="str">
        <x:v>안미숙</x:v>
      </x:c>
      <x:c r="F2597" s="24" t="str">
        <x:v>2026-03</x:v>
      </x:c>
      <x:c r="G2597" s="30" t="n">
        <x:v>46101</x:v>
      </x:c>
      <x:c r="H2597" s="32" t="n">
        <x:v>493000</x:v>
      </x:c>
      <x:c r="I2597" s="32" t="n">
        <x:v>500000</x:v>
      </x:c>
      <x:c r="J2597" s="32" t="n">
        <x:v>1402000</x:v>
      </x:c>
      <x:c r="K2597" s="30" t="n">
        <x:v>46092</x:v>
      </x:c>
      <x:c r="L2597" s="24" t="str">
        <x:v>입금</x:v>
      </x:c>
      <x:c r="M2597" s="31" t="n">
        <x:f>IF(AND(N2597="미수",G2597&lt;&gt;"",TODAY()&gt;G2597),TODAY()-G2597,0)</x:f>
        <x:v>148</x:v>
      </x:c>
      <x:c r="N2597" s="24" t="str">
        <x:f>IF(J2597&gt;0,"미수",IF(AND(H2597&gt;0,I2597&gt;=H2597),"완납","미확인"))</x:f>
        <x:v>미수</x:v>
      </x:c>
      <x:c r="O2597" s="31" t="n">
        <x:v>17</x:v>
      </x:c>
    </x:row>
    <x:row r="2598" ht="17.25" customHeight="1">
      <x:c r="A2598" s="24" t="str">
        <x:v>PR-B-61너5024-202602</x:v>
      </x:c>
      <x:c r="B2598" s="24" t="str">
        <x:v>프라임구독</x:v>
      </x:c>
      <x:c r="C2598" s="24" t="str">
        <x:v>PR-C-61너5024-1-20230629-177</x:v>
      </x:c>
      <x:c r="D2598" s="24" t="str">
        <x:v>61너5024</x:v>
      </x:c>
      <x:c r="E2598" s="24" t="str">
        <x:v>안미숙</x:v>
      </x:c>
      <x:c r="F2598" s="24" t="str">
        <x:v>2026-02</x:v>
      </x:c>
      <x:c r="G2598" s="30" t="n">
        <x:v>46073</x:v>
      </x:c>
      <x:c r="H2598" s="32" t="n">
        <x:v>493000</x:v>
      </x:c>
      <x:c r="I2598" s="32" t="n">
        <x:v>600000</x:v>
      </x:c>
      <x:c r="J2598" s="32" t="n">
        <x:v>1409000</x:v>
      </x:c>
      <x:c r="K2598" s="30" t="n">
        <x:v>46063</x:v>
      </x:c>
      <x:c r="L2598" s="24" t="str">
        <x:v>입금</x:v>
      </x:c>
      <x:c r="M2598" s="31" t="n">
        <x:f>IF(AND(N2598="미수",G2598&lt;&gt;"",TODAY()&gt;G2598),TODAY()-G2598,0)</x:f>
        <x:v>176</x:v>
      </x:c>
      <x:c r="N2598" s="24" t="str">
        <x:f>IF(J2598&gt;0,"미수",IF(AND(H2598&gt;0,I2598&gt;=H2598),"완납","미확인"))</x:f>
        <x:v>미수</x:v>
      </x:c>
      <x:c r="O2598" s="31" t="n">
        <x:v>17</x:v>
      </x:c>
    </x:row>
    <x:row r="2599" ht="17.25" customHeight="1">
      <x:c r="A2599" s="24" t="str">
        <x:v>PR-B-61너5024-202601</x:v>
      </x:c>
      <x:c r="B2599" s="24" t="str">
        <x:v>프라임구독</x:v>
      </x:c>
      <x:c r="C2599" s="24" t="str">
        <x:v>PR-C-61너5024-1-20230629-177</x:v>
      </x:c>
      <x:c r="D2599" s="24" t="str">
        <x:v>61너5024</x:v>
      </x:c>
      <x:c r="E2599" s="24" t="str">
        <x:v>안미숙</x:v>
      </x:c>
      <x:c r="F2599" s="24" t="str">
        <x:v>2026-01</x:v>
      </x:c>
      <x:c r="G2599" s="30" t="n">
        <x:v>46042</x:v>
      </x:c>
      <x:c r="H2599" s="32" t="n">
        <x:v>493000</x:v>
      </x:c>
      <x:c r="I2599" s="32" t="n">
        <x:v>500000</x:v>
      </x:c>
      <x:c r="J2599" s="32" t="n">
        <x:v>1516000</x:v>
      </x:c>
      <x:c r="K2599" s="30" t="n">
        <x:v>46035</x:v>
      </x:c>
      <x:c r="L2599" s="24" t="str">
        <x:v>입금</x:v>
      </x:c>
      <x:c r="M2599" s="31" t="n">
        <x:f>IF(AND(N2599="미수",G2599&lt;&gt;"",TODAY()&gt;G2599),TODAY()-G2599,0)</x:f>
        <x:v>207</x:v>
      </x:c>
      <x:c r="N2599" s="24" t="str">
        <x:f>IF(J2599&gt;0,"미수",IF(AND(H2599&gt;0,I2599&gt;=H2599),"완납","미확인"))</x:f>
        <x:v>미수</x:v>
      </x:c>
      <x:c r="O2599" s="31" t="n">
        <x:v>17</x:v>
      </x:c>
    </x:row>
    <x:row r="2600" ht="17.25" customHeight="1">
      <x:c r="A2600" s="24" t="str">
        <x:v>PR-B-61너5024-202512</x:v>
      </x:c>
      <x:c r="B2600" s="24" t="str">
        <x:v>프라임구독</x:v>
      </x:c>
      <x:c r="C2600" s="24" t="str">
        <x:v>PR-C-61너5024-1-20230629-177</x:v>
      </x:c>
      <x:c r="D2600" s="24" t="str">
        <x:v>61너5024</x:v>
      </x:c>
      <x:c r="E2600" s="24" t="str">
        <x:v>안미숙</x:v>
      </x:c>
      <x:c r="F2600" s="24" t="str">
        <x:v>2025-12</x:v>
      </x:c>
      <x:c r="G2600" s="30" t="n">
        <x:v>46011</x:v>
      </x:c>
      <x:c r="H2600" s="32" t="n">
        <x:v>493000</x:v>
      </x:c>
      <x:c r="I2600" s="32"/>
      <x:c r="J2600" s="32" t="n">
        <x:v>1523000</x:v>
      </x:c>
      <x:c r="K2600" s="30"/>
      <x:c r="L2600" s="24" t="str"/>
      <x:c r="M2600" s="31" t="n">
        <x:f>IF(AND(N2600="미수",G2600&lt;&gt;"",TODAY()&gt;G2600),TODAY()-G2600,0)</x:f>
        <x:v>238</x:v>
      </x:c>
      <x:c r="N2600" s="24" t="str">
        <x:f>IF(J2600&gt;0,"미수",IF(AND(H2600&gt;0,I2600&gt;=H2600),"완납","미확인"))</x:f>
        <x:v>미수</x:v>
      </x:c>
      <x:c r="O2600" s="31" t="n">
        <x:v>17</x:v>
      </x:c>
    </x:row>
    <x:row r="2601" ht="17.25" customHeight="1">
      <x:c r="A2601" s="24" t="str">
        <x:v>PR-B-61너5024-202511</x:v>
      </x:c>
      <x:c r="B2601" s="24" t="str">
        <x:v>프라임구독</x:v>
      </x:c>
      <x:c r="C2601" s="24" t="str">
        <x:v>PR-C-61너5024-1-20230629-177</x:v>
      </x:c>
      <x:c r="D2601" s="24" t="str">
        <x:v>61너5024</x:v>
      </x:c>
      <x:c r="E2601" s="24" t="str">
        <x:v>안미숙</x:v>
      </x:c>
      <x:c r="F2601" s="24" t="str">
        <x:v>2025-11</x:v>
      </x:c>
      <x:c r="G2601" s="30" t="n">
        <x:v>45981</x:v>
      </x:c>
      <x:c r="H2601" s="32" t="n">
        <x:v>493000</x:v>
      </x:c>
      <x:c r="I2601" s="32" t="n">
        <x:v>495000</x:v>
      </x:c>
      <x:c r="J2601" s="32" t="n">
        <x:v>1030000</x:v>
      </x:c>
      <x:c r="K2601" s="30" t="n">
        <x:v>45989</x:v>
      </x:c>
      <x:c r="L2601" s="24" t="str">
        <x:v>입금</x:v>
      </x:c>
      <x:c r="M2601" s="31" t="n">
        <x:f>IF(AND(N2601="미수",G2601&lt;&gt;"",TODAY()&gt;G2601),TODAY()-G2601,0)</x:f>
        <x:v>268</x:v>
      </x:c>
      <x:c r="N2601" s="24" t="str">
        <x:f>IF(J2601&gt;0,"미수",IF(AND(H2601&gt;0,I2601&gt;=H2601),"완납","미확인"))</x:f>
        <x:v>미수</x:v>
      </x:c>
      <x:c r="O2601" s="31" t="n">
        <x:v>17</x:v>
      </x:c>
    </x:row>
    <x:row r="2602" ht="17.25" customHeight="1">
      <x:c r="A2602" s="24" t="str">
        <x:v>PR-B-61너5024-202510</x:v>
      </x:c>
      <x:c r="B2602" s="24" t="str">
        <x:v>프라임구독</x:v>
      </x:c>
      <x:c r="C2602" s="24" t="str">
        <x:v>PR-C-61너5024-1-20230629-177</x:v>
      </x:c>
      <x:c r="D2602" s="24" t="str">
        <x:v>61너5024</x:v>
      </x:c>
      <x:c r="E2602" s="24" t="str">
        <x:v>안미숙</x:v>
      </x:c>
      <x:c r="F2602" s="24" t="str">
        <x:v>2025-10</x:v>
      </x:c>
      <x:c r="G2602" s="30" t="n">
        <x:v>45950</x:v>
      </x:c>
      <x:c r="H2602" s="32" t="n">
        <x:v>493000</x:v>
      </x:c>
      <x:c r="I2602" s="32" t="n">
        <x:v>500000</x:v>
      </x:c>
      <x:c r="J2602" s="32" t="n">
        <x:v>1032000</x:v>
      </x:c>
      <x:c r="K2602" s="30" t="n">
        <x:v>45961</x:v>
      </x:c>
      <x:c r="L2602" s="24" t="str">
        <x:v>입금</x:v>
      </x:c>
      <x:c r="M2602" s="31" t="n">
        <x:f>IF(AND(N2602="미수",G2602&lt;&gt;"",TODAY()&gt;G2602),TODAY()-G2602,0)</x:f>
        <x:v>299</x:v>
      </x:c>
      <x:c r="N2602" s="24" t="str">
        <x:f>IF(J2602&gt;0,"미수",IF(AND(H2602&gt;0,I2602&gt;=H2602),"완납","미확인"))</x:f>
        <x:v>미수</x:v>
      </x:c>
      <x:c r="O2602" s="31" t="n">
        <x:v>17</x:v>
      </x:c>
    </x:row>
    <x:row r="2603" ht="17.25" customHeight="1">
      <x:c r="A2603" s="24" t="str">
        <x:v>PR-B-61너5024-202509</x:v>
      </x:c>
      <x:c r="B2603" s="24" t="str">
        <x:v>프라임구독</x:v>
      </x:c>
      <x:c r="C2603" s="24" t="str">
        <x:v>PR-C-61너5024-1-20230629-177</x:v>
      </x:c>
      <x:c r="D2603" s="24" t="str">
        <x:v>61너5024</x:v>
      </x:c>
      <x:c r="E2603" s="24" t="str">
        <x:v>안미숙</x:v>
      </x:c>
      <x:c r="F2603" s="24" t="str">
        <x:v>2025-09</x:v>
      </x:c>
      <x:c r="G2603" s="30" t="n">
        <x:v>45920</x:v>
      </x:c>
      <x:c r="H2603" s="32" t="n">
        <x:v>433000</x:v>
      </x:c>
      <x:c r="I2603" s="32" t="n">
        <x:v>500000</x:v>
      </x:c>
      <x:c r="J2603" s="32" t="n">
        <x:v>1039000</x:v>
      </x:c>
      <x:c r="K2603" s="30" t="n">
        <x:v>45930</x:v>
      </x:c>
      <x:c r="L2603" s="24" t="str">
        <x:v>입금</x:v>
      </x:c>
      <x:c r="M2603" s="31" t="n">
        <x:f>IF(AND(N2603="미수",G2603&lt;&gt;"",TODAY()&gt;G2603),TODAY()-G2603,0)</x:f>
        <x:v>329</x:v>
      </x:c>
      <x:c r="N2603" s="24" t="str">
        <x:f>IF(J2603&gt;0,"미수",IF(AND(H2603&gt;0,I2603&gt;=H2603),"완납","미확인"))</x:f>
        <x:v>미수</x:v>
      </x:c>
      <x:c r="O2603" s="31" t="n">
        <x:v>17</x:v>
      </x:c>
    </x:row>
    <x:row r="2604" ht="17.25" customHeight="1">
      <x:c r="A2604" s="24" t="str">
        <x:v>PR-B-61너5024-202508</x:v>
      </x:c>
      <x:c r="B2604" s="24" t="str">
        <x:v>프라임구독</x:v>
      </x:c>
      <x:c r="C2604" s="24" t="str">
        <x:v>PR-C-61너5024-1-20230629-177</x:v>
      </x:c>
      <x:c r="D2604" s="24" t="str">
        <x:v>61너5024</x:v>
      </x:c>
      <x:c r="E2604" s="24" t="str">
        <x:v>안미숙</x:v>
      </x:c>
      <x:c r="F2604" s="24" t="str">
        <x:v>2025-08</x:v>
      </x:c>
      <x:c r="G2604" s="30" t="n">
        <x:v>45889</x:v>
      </x:c>
      <x:c r="H2604" s="32" t="n">
        <x:v>493000</x:v>
      </x:c>
      <x:c r="I2604" s="32" t="n">
        <x:v>493000</x:v>
      </x:c>
      <x:c r="J2604" s="32" t="n">
        <x:v>1106000</x:v>
      </x:c>
      <x:c r="K2604" s="30" t="n">
        <x:v>45898</x:v>
      </x:c>
      <x:c r="L2604" s="24" t="str">
        <x:v>입금</x:v>
      </x:c>
      <x:c r="M2604" s="31" t="n">
        <x:f>IF(AND(N2604="미수",G2604&lt;&gt;"",TODAY()&gt;G2604),TODAY()-G2604,0)</x:f>
        <x:v>360</x:v>
      </x:c>
      <x:c r="N2604" s="24" t="str">
        <x:f>IF(J2604&gt;0,"미수",IF(AND(H2604&gt;0,I2604&gt;=H2604),"완납","미확인"))</x:f>
        <x:v>미수</x:v>
      </x:c>
      <x:c r="O2604" s="31" t="n">
        <x:v>17</x:v>
      </x:c>
    </x:row>
    <x:row r="2605" ht="17.25" customHeight="1">
      <x:c r="A2605" s="24" t="str">
        <x:v>PR-B-61너5024-202507</x:v>
      </x:c>
      <x:c r="B2605" s="24" t="str">
        <x:v>프라임구독</x:v>
      </x:c>
      <x:c r="C2605" s="24" t="str">
        <x:v>PR-C-61너5024-1-20230629-177</x:v>
      </x:c>
      <x:c r="D2605" s="24" t="str">
        <x:v>61너5024</x:v>
      </x:c>
      <x:c r="E2605" s="24" t="str">
        <x:v>안미숙</x:v>
      </x:c>
      <x:c r="F2605" s="24" t="str">
        <x:v>2025-07</x:v>
      </x:c>
      <x:c r="G2605" s="30" t="n">
        <x:v>45858</x:v>
      </x:c>
      <x:c r="H2605" s="32" t="n">
        <x:v>493000</x:v>
      </x:c>
      <x:c r="I2605" s="32" t="n">
        <x:v>500000</x:v>
      </x:c>
      <x:c r="J2605" s="32" t="n">
        <x:v>1106000</x:v>
      </x:c>
      <x:c r="K2605" s="30" t="n">
        <x:v>45869</x:v>
      </x:c>
      <x:c r="L2605" s="24" t="str">
        <x:v>입금</x:v>
      </x:c>
      <x:c r="M2605" s="31" t="n">
        <x:f>IF(AND(N2605="미수",G2605&lt;&gt;"",TODAY()&gt;G2605),TODAY()-G2605,0)</x:f>
        <x:v>391</x:v>
      </x:c>
      <x:c r="N2605" s="24" t="str">
        <x:f>IF(J2605&gt;0,"미수",IF(AND(H2605&gt;0,I2605&gt;=H2605),"완납","미확인"))</x:f>
        <x:v>미수</x:v>
      </x:c>
      <x:c r="O2605" s="31" t="n">
        <x:v>17</x:v>
      </x:c>
    </x:row>
    <x:row r="2606" ht="17.25" customHeight="1">
      <x:c r="A2606" s="24" t="str">
        <x:v>PR-B-61너5024-202506</x:v>
      </x:c>
      <x:c r="B2606" s="24" t="str">
        <x:v>프라임구독</x:v>
      </x:c>
      <x:c r="C2606" s="24" t="str">
        <x:v>PR-C-61너5024-1-20230629-177</x:v>
      </x:c>
      <x:c r="D2606" s="24" t="str">
        <x:v>61너5024</x:v>
      </x:c>
      <x:c r="E2606" s="24" t="str">
        <x:v>안미숙</x:v>
      </x:c>
      <x:c r="F2606" s="24" t="str">
        <x:v>2025-06</x:v>
      </x:c>
      <x:c r="G2606" s="30" t="n">
        <x:v>45828</x:v>
      </x:c>
      <x:c r="H2606" s="32" t="n">
        <x:v>493000</x:v>
      </x:c>
      <x:c r="I2606" s="32" t="n">
        <x:v>1000000</x:v>
      </x:c>
      <x:c r="J2606" s="32" t="n">
        <x:v>1113000</x:v>
      </x:c>
      <x:c r="K2606" s="30" t="n">
        <x:v>45838</x:v>
      </x:c>
      <x:c r="L2606" s="24" t="str">
        <x:v>입금</x:v>
      </x:c>
      <x:c r="M2606" s="31" t="n">
        <x:f>IF(AND(N2606="미수",G2606&lt;&gt;"",TODAY()&gt;G2606),TODAY()-G2606,0)</x:f>
        <x:v>421</x:v>
      </x:c>
      <x:c r="N2606" s="24" t="str">
        <x:f>IF(J2606&gt;0,"미수",IF(AND(H2606&gt;0,I2606&gt;=H2606),"완납","미확인"))</x:f>
        <x:v>미수</x:v>
      </x:c>
      <x:c r="O2606" s="31" t="n">
        <x:v>17</x:v>
      </x:c>
    </x:row>
    <x:row r="2607" ht="17.25" customHeight="1">
      <x:c r="A2607" s="24" t="str">
        <x:v>PR-B-61너5024-202505</x:v>
      </x:c>
      <x:c r="B2607" s="24" t="str">
        <x:v>프라임구독</x:v>
      </x:c>
      <x:c r="C2607" s="24" t="str">
        <x:v>PR-C-61너5024-1-20230629-177</x:v>
      </x:c>
      <x:c r="D2607" s="24" t="str">
        <x:v>61너5024</x:v>
      </x:c>
      <x:c r="E2607" s="24" t="str">
        <x:v>안미숙</x:v>
      </x:c>
      <x:c r="F2607" s="24" t="str">
        <x:v>2025-05</x:v>
      </x:c>
      <x:c r="G2607" s="30" t="n">
        <x:v>45797</x:v>
      </x:c>
      <x:c r="H2607" s="32" t="n">
        <x:v>493000</x:v>
      </x:c>
      <x:c r="I2607" s="32"/>
      <x:c r="J2607" s="32" t="n">
        <x:v>1620000</x:v>
      </x:c>
      <x:c r="K2607" s="30"/>
      <x:c r="L2607" s="24" t="str"/>
      <x:c r="M2607" s="31" t="n">
        <x:f>IF(AND(N2607="미수",G2607&lt;&gt;"",TODAY()&gt;G2607),TODAY()-G2607,0)</x:f>
        <x:v>452</x:v>
      </x:c>
      <x:c r="N2607" s="24" t="str">
        <x:f>IF(J2607&gt;0,"미수",IF(AND(H2607&gt;0,I2607&gt;=H2607),"완납","미확인"))</x:f>
        <x:v>미수</x:v>
      </x:c>
      <x:c r="O2607" s="31" t="n">
        <x:v>17</x:v>
      </x:c>
    </x:row>
    <x:row r="2608" ht="17.25" customHeight="1">
      <x:c r="A2608" s="24" t="str">
        <x:v>PR-B-61너5024-202504</x:v>
      </x:c>
      <x:c r="B2608" s="24" t="str">
        <x:v>프라임구독</x:v>
      </x:c>
      <x:c r="C2608" s="24" t="str">
        <x:v>PR-C-61너5024-1-20230629-177</x:v>
      </x:c>
      <x:c r="D2608" s="24" t="str">
        <x:v>61너5024</x:v>
      </x:c>
      <x:c r="E2608" s="24" t="str">
        <x:v>안미숙</x:v>
      </x:c>
      <x:c r="F2608" s="24" t="str">
        <x:v>2025-04</x:v>
      </x:c>
      <x:c r="G2608" s="30" t="n">
        <x:v>45767</x:v>
      </x:c>
      <x:c r="H2608" s="32" t="n">
        <x:v>493000</x:v>
      </x:c>
      <x:c r="I2608" s="32"/>
      <x:c r="J2608" s="32" t="n">
        <x:v>1127000</x:v>
      </x:c>
      <x:c r="K2608" s="30"/>
      <x:c r="L2608" s="24" t="str"/>
      <x:c r="M2608" s="31" t="n">
        <x:f>IF(AND(N2608="미수",G2608&lt;&gt;"",TODAY()&gt;G2608),TODAY()-G2608,0)</x:f>
        <x:v>482</x:v>
      </x:c>
      <x:c r="N2608" s="24" t="str">
        <x:f>IF(J2608&gt;0,"미수",IF(AND(H2608&gt;0,I2608&gt;=H2608),"완납","미확인"))</x:f>
        <x:v>미수</x:v>
      </x:c>
      <x:c r="O2608" s="31" t="n">
        <x:v>17</x:v>
      </x:c>
    </x:row>
    <x:row r="2609" ht="17.25" customHeight="1">
      <x:c r="A2609" s="24" t="str">
        <x:v>PR-B-61너5024-202503</x:v>
      </x:c>
      <x:c r="B2609" s="24" t="str">
        <x:v>프라임구독</x:v>
      </x:c>
      <x:c r="C2609" s="24" t="str">
        <x:v>PR-C-61너5024-1-20230629-177</x:v>
      </x:c>
      <x:c r="D2609" s="24" t="str">
        <x:v>61너5024</x:v>
      </x:c>
      <x:c r="E2609" s="24" t="str">
        <x:v>안미숙</x:v>
      </x:c>
      <x:c r="F2609" s="24" t="str">
        <x:v>2025-03</x:v>
      </x:c>
      <x:c r="G2609" s="30" t="n">
        <x:v>45736</x:v>
      </x:c>
      <x:c r="H2609" s="32" t="n">
        <x:v>493000</x:v>
      </x:c>
      <x:c r="I2609" s="32" t="n">
        <x:v>500000</x:v>
      </x:c>
      <x:c r="J2609" s="32" t="n">
        <x:v>634000</x:v>
      </x:c>
      <x:c r="K2609" s="30" t="n">
        <x:v>45747</x:v>
      </x:c>
      <x:c r="L2609" s="24" t="str">
        <x:v>입금</x:v>
      </x:c>
      <x:c r="M2609" s="31" t="n">
        <x:f>IF(AND(N2609="미수",G2609&lt;&gt;"",TODAY()&gt;G2609),TODAY()-G2609,0)</x:f>
        <x:v>513</x:v>
      </x:c>
      <x:c r="N2609" s="24" t="str">
        <x:f>IF(J2609&gt;0,"미수",IF(AND(H2609&gt;0,I2609&gt;=H2609),"완납","미확인"))</x:f>
        <x:v>미수</x:v>
      </x:c>
      <x:c r="O2609" s="31" t="n">
        <x:v>17</x:v>
      </x:c>
    </x:row>
    <x:row r="2610" ht="17.25" customHeight="1">
      <x:c r="A2610" s="24" t="str">
        <x:v>PR-B-61너5024-202502</x:v>
      </x:c>
      <x:c r="B2610" s="24" t="str">
        <x:v>프라임구독</x:v>
      </x:c>
      <x:c r="C2610" s="24" t="str">
        <x:v>PR-C-61너5024-1-20230629-177</x:v>
      </x:c>
      <x:c r="D2610" s="24" t="str">
        <x:v>61너5024</x:v>
      </x:c>
      <x:c r="E2610" s="24" t="str">
        <x:v>안미숙</x:v>
      </x:c>
      <x:c r="F2610" s="24" t="str">
        <x:v>2025-02</x:v>
      </x:c>
      <x:c r="G2610" s="30" t="n">
        <x:v>45708</x:v>
      </x:c>
      <x:c r="H2610" s="32" t="n">
        <x:v>493000</x:v>
      </x:c>
      <x:c r="I2610" s="32"/>
      <x:c r="J2610" s="32" t="n">
        <x:v>641000</x:v>
      </x:c>
      <x:c r="K2610" s="30"/>
      <x:c r="L2610" s="24" t="str"/>
      <x:c r="M2610" s="31" t="n">
        <x:f>IF(AND(N2610="미수",G2610&lt;&gt;"",TODAY()&gt;G2610),TODAY()-G2610,0)</x:f>
        <x:v>541</x:v>
      </x:c>
      <x:c r="N2610" s="24" t="str">
        <x:f>IF(J2610&gt;0,"미수",IF(AND(H2610&gt;0,I2610&gt;=H2610),"완납","미확인"))</x:f>
        <x:v>미수</x:v>
      </x:c>
      <x:c r="O2610" s="31" t="n">
        <x:v>17</x:v>
      </x:c>
    </x:row>
    <x:row r="2611" ht="17.25" customHeight="1">
      <x:c r="A2611" s="24" t="str">
        <x:v>PR-B-61너5024-202501</x:v>
      </x:c>
      <x:c r="B2611" s="24" t="str">
        <x:v>프라임구독</x:v>
      </x:c>
      <x:c r="C2611" s="24" t="str">
        <x:v>PR-C-61너5024-1-20230629-177</x:v>
      </x:c>
      <x:c r="D2611" s="24" t="str">
        <x:v>61너5024</x:v>
      </x:c>
      <x:c r="E2611" s="24" t="str">
        <x:v>안미숙</x:v>
      </x:c>
      <x:c r="F2611" s="24" t="str">
        <x:v>2025-01</x:v>
      </x:c>
      <x:c r="G2611" s="30" t="n">
        <x:v>45677</x:v>
      </x:c>
      <x:c r="H2611" s="32" t="n">
        <x:v>493000</x:v>
      </x:c>
      <x:c r="I2611" s="32" t="n">
        <x:v>345000</x:v>
      </x:c>
      <x:c r="J2611" s="32" t="n">
        <x:v>148000</x:v>
      </x:c>
      <x:c r="K2611" s="30" t="n">
        <x:v>45688</x:v>
      </x:c>
      <x:c r="L2611" s="24" t="str">
        <x:v>입금</x:v>
      </x:c>
      <x:c r="M2611" s="31" t="n">
        <x:f>IF(AND(N2611="미수",G2611&lt;&gt;"",TODAY()&gt;G2611),TODAY()-G2611,0)</x:f>
        <x:v>572</x:v>
      </x:c>
      <x:c r="N2611" s="24" t="str">
        <x:f>IF(J2611&gt;0,"미수",IF(AND(H2611&gt;0,I2611&gt;=H2611),"완납","미확인"))</x:f>
        <x:v>미수</x:v>
      </x:c>
      <x:c r="O2611" s="31" t="n">
        <x:v>17</x:v>
      </x:c>
    </x:row>
    <x:row r="2612" ht="17.25" customHeight="1">
      <x:c r="A2612" s="24" t="str">
        <x:v>PR-B-61너5024-202412</x:v>
      </x:c>
      <x:c r="B2612" s="24" t="str">
        <x:v>프라임구독</x:v>
      </x:c>
      <x:c r="C2612" s="24" t="str">
        <x:v>PR-C-61너5024-1-20230629-177</x:v>
      </x:c>
      <x:c r="D2612" s="24" t="str">
        <x:v>61너5024</x:v>
      </x:c>
      <x:c r="E2612" s="24" t="str">
        <x:v>안미숙</x:v>
      </x:c>
      <x:c r="F2612" s="24" t="str">
        <x:v>2024-12</x:v>
      </x:c>
      <x:c r="G2612" s="30" t="n">
        <x:v>45646</x:v>
      </x:c>
      <x:c r="H2612" s="32" t="n">
        <x:v>493000</x:v>
      </x:c>
      <x:c r="I2612" s="32" t="n">
        <x:v>493000</x:v>
      </x:c>
      <x:c r="J2612" s="32" t="n">
        <x:v>0</x:v>
      </x:c>
      <x:c r="K2612" s="30" t="n">
        <x:v>45658</x:v>
      </x:c>
      <x:c r="L2612" s="24" t="str">
        <x:v>입금</x:v>
      </x:c>
      <x:c r="M2612" s="31" t="n">
        <x:f>IF(AND(N2612="미수",G2612&lt;&gt;"",TODAY()&gt;G2612),TODAY()-G2612,0)</x:f>
        <x:v>0</x:v>
      </x:c>
      <x:c r="N2612" s="24" t="str">
        <x:f>IF(J2612&gt;0,"미수",IF(AND(H2612&gt;0,I2612&gt;=H2612),"완납","미확인"))</x:f>
        <x:v>완납</x:v>
      </x:c>
      <x:c r="O2612" s="31" t="n">
        <x:v>17</x:v>
      </x:c>
    </x:row>
    <x:row r="2613" ht="17.25" customHeight="1">
      <x:c r="A2613" s="24" t="str">
        <x:v>PR-B-61너5024-202411</x:v>
      </x:c>
      <x:c r="B2613" s="24" t="str">
        <x:v>프라임구독</x:v>
      </x:c>
      <x:c r="C2613" s="24" t="str">
        <x:v>PR-C-61너5024-1-20230629-177</x:v>
      </x:c>
      <x:c r="D2613" s="24" t="str">
        <x:v>61너5024</x:v>
      </x:c>
      <x:c r="E2613" s="24" t="str">
        <x:v>안미숙</x:v>
      </x:c>
      <x:c r="F2613" s="24" t="str">
        <x:v>2024-11</x:v>
      </x:c>
      <x:c r="G2613" s="30" t="n">
        <x:v>45616</x:v>
      </x:c>
      <x:c r="H2613" s="32" t="n">
        <x:v>493000</x:v>
      </x:c>
      <x:c r="I2613" s="32" t="n">
        <x:v>493000</x:v>
      </x:c>
      <x:c r="J2613" s="32" t="n">
        <x:v>0</x:v>
      </x:c>
      <x:c r="K2613" s="30" t="n">
        <x:v>45617</x:v>
      </x:c>
      <x:c r="L2613" s="24" t="str">
        <x:v>입금</x:v>
      </x:c>
      <x:c r="M2613" s="31" t="n">
        <x:f>IF(AND(N2613="미수",G2613&lt;&gt;"",TODAY()&gt;G2613),TODAY()-G2613,0)</x:f>
        <x:v>0</x:v>
      </x:c>
      <x:c r="N2613" s="24" t="str">
        <x:f>IF(J2613&gt;0,"미수",IF(AND(H2613&gt;0,I2613&gt;=H2613),"완납","미확인"))</x:f>
        <x:v>완납</x:v>
      </x:c>
      <x:c r="O2613" s="31" t="n">
        <x:v>17</x:v>
      </x:c>
    </x:row>
    <x:row r="2614" ht="17.25" customHeight="1">
      <x:c r="A2614" s="24" t="str">
        <x:v>PR-B-61너5024-202410</x:v>
      </x:c>
      <x:c r="B2614" s="24" t="str">
        <x:v>프라임구독</x:v>
      </x:c>
      <x:c r="C2614" s="24" t="str">
        <x:v>PR-C-61너5024-1-20230629-177</x:v>
      </x:c>
      <x:c r="D2614" s="24" t="str">
        <x:v>61너5024</x:v>
      </x:c>
      <x:c r="E2614" s="24" t="str">
        <x:v>안미숙</x:v>
      </x:c>
      <x:c r="F2614" s="24" t="str">
        <x:v>2024-10</x:v>
      </x:c>
      <x:c r="G2614" s="30" t="n">
        <x:v>45585</x:v>
      </x:c>
      <x:c r="H2614" s="32" t="n">
        <x:v>493000</x:v>
      </x:c>
      <x:c r="I2614" s="32" t="n">
        <x:v>493000</x:v>
      </x:c>
      <x:c r="J2614" s="32" t="n">
        <x:v>0</x:v>
      </x:c>
      <x:c r="K2614" s="30" t="n">
        <x:v>45596</x:v>
      </x:c>
      <x:c r="L2614" s="24" t="str">
        <x:v>입금</x:v>
      </x:c>
      <x:c r="M2614" s="31" t="n">
        <x:f>IF(AND(N2614="미수",G2614&lt;&gt;"",TODAY()&gt;G2614),TODAY()-G2614,0)</x:f>
        <x:v>0</x:v>
      </x:c>
      <x:c r="N2614" s="24" t="str">
        <x:f>IF(J2614&gt;0,"미수",IF(AND(H2614&gt;0,I2614&gt;=H2614),"완납","미확인"))</x:f>
        <x:v>완납</x:v>
      </x:c>
      <x:c r="O2614" s="31" t="n">
        <x:v>17</x:v>
      </x:c>
    </x:row>
    <x:row r="2615" ht="17.25" customHeight="1">
      <x:c r="A2615" s="24" t="str">
        <x:v>PR-B-61너5024-202409</x:v>
      </x:c>
      <x:c r="B2615" s="24" t="str">
        <x:v>프라임구독</x:v>
      </x:c>
      <x:c r="C2615" s="24" t="str">
        <x:v>PR-C-61너5024-1-20230629-177</x:v>
      </x:c>
      <x:c r="D2615" s="24" t="str">
        <x:v>61너5024</x:v>
      </x:c>
      <x:c r="E2615" s="24" t="str">
        <x:v>안미숙</x:v>
      </x:c>
      <x:c r="F2615" s="24" t="str">
        <x:v>2024-09</x:v>
      </x:c>
      <x:c r="G2615" s="30" t="n">
        <x:v>45555</x:v>
      </x:c>
      <x:c r="H2615" s="32" t="n">
        <x:v>493000</x:v>
      </x:c>
      <x:c r="I2615" s="32" t="n">
        <x:v>493000</x:v>
      </x:c>
      <x:c r="J2615" s="32" t="n">
        <x:v>0</x:v>
      </x:c>
      <x:c r="K2615" s="30" t="n">
        <x:v>45565</x:v>
      </x:c>
      <x:c r="L2615" s="24" t="str">
        <x:v>입금</x:v>
      </x:c>
      <x:c r="M2615" s="31" t="n">
        <x:f>IF(AND(N2615="미수",G2615&lt;&gt;"",TODAY()&gt;G2615),TODAY()-G2615,0)</x:f>
        <x:v>0</x:v>
      </x:c>
      <x:c r="N2615" s="24" t="str">
        <x:f>IF(J2615&gt;0,"미수",IF(AND(H2615&gt;0,I2615&gt;=H2615),"완납","미확인"))</x:f>
        <x:v>완납</x:v>
      </x:c>
      <x:c r="O2615" s="31" t="n">
        <x:v>17</x:v>
      </x:c>
    </x:row>
    <x:row r="2616" ht="17.25" customHeight="1">
      <x:c r="A2616" s="24" t="str">
        <x:v>PR-B-61너5024-202408</x:v>
      </x:c>
      <x:c r="B2616" s="24" t="str">
        <x:v>프라임구독</x:v>
      </x:c>
      <x:c r="C2616" s="24" t="str">
        <x:v>PR-C-61너5024-1-20230629-177</x:v>
      </x:c>
      <x:c r="D2616" s="24" t="str">
        <x:v>61너5024</x:v>
      </x:c>
      <x:c r="E2616" s="24" t="str">
        <x:v>안미숙</x:v>
      </x:c>
      <x:c r="F2616" s="24" t="str">
        <x:v>2024-08</x:v>
      </x:c>
      <x:c r="G2616" s="30" t="n">
        <x:v>45524</x:v>
      </x:c>
      <x:c r="H2616" s="32" t="n">
        <x:v>493000</x:v>
      </x:c>
      <x:c r="I2616" s="32" t="n">
        <x:v>493000</x:v>
      </x:c>
      <x:c r="J2616" s="32" t="n">
        <x:v>0</x:v>
      </x:c>
      <x:c r="K2616" s="30" t="n">
        <x:v>45534</x:v>
      </x:c>
      <x:c r="L2616" s="24" t="str">
        <x:v>입금</x:v>
      </x:c>
      <x:c r="M2616" s="31" t="n">
        <x:f>IF(AND(N2616="미수",G2616&lt;&gt;"",TODAY()&gt;G2616),TODAY()-G2616,0)</x:f>
        <x:v>0</x:v>
      </x:c>
      <x:c r="N2616" s="24" t="str">
        <x:f>IF(J2616&gt;0,"미수",IF(AND(H2616&gt;0,I2616&gt;=H2616),"완납","미확인"))</x:f>
        <x:v>완납</x:v>
      </x:c>
      <x:c r="O2616" s="31" t="n">
        <x:v>17</x:v>
      </x:c>
    </x:row>
    <x:row r="2617" ht="17.25" customHeight="1">
      <x:c r="A2617" s="24" t="str">
        <x:v>PR-B-61너5024-202407</x:v>
      </x:c>
      <x:c r="B2617" s="24" t="str">
        <x:v>프라임구독</x:v>
      </x:c>
      <x:c r="C2617" s="24" t="str">
        <x:v>PR-C-61너5024-1-20230629-177</x:v>
      </x:c>
      <x:c r="D2617" s="24" t="str">
        <x:v>61너5024</x:v>
      </x:c>
      <x:c r="E2617" s="24" t="str">
        <x:v>안미숙</x:v>
      </x:c>
      <x:c r="F2617" s="24" t="str">
        <x:v>2024-07</x:v>
      </x:c>
      <x:c r="G2617" s="30" t="n">
        <x:v>45493</x:v>
      </x:c>
      <x:c r="H2617" s="32" t="n">
        <x:v>493000</x:v>
      </x:c>
      <x:c r="I2617" s="32" t="n">
        <x:v>493000</x:v>
      </x:c>
      <x:c r="J2617" s="32" t="n">
        <x:v>0</x:v>
      </x:c>
      <x:c r="K2617" s="30" t="n">
        <x:v>45504</x:v>
      </x:c>
      <x:c r="L2617" s="24" t="str">
        <x:v>입금</x:v>
      </x:c>
      <x:c r="M2617" s="31" t="n">
        <x:f>IF(AND(N2617="미수",G2617&lt;&gt;"",TODAY()&gt;G2617),TODAY()-G2617,0)</x:f>
        <x:v>0</x:v>
      </x:c>
      <x:c r="N2617" s="24" t="str">
        <x:f>IF(J2617&gt;0,"미수",IF(AND(H2617&gt;0,I2617&gt;=H2617),"완납","미확인"))</x:f>
        <x:v>완납</x:v>
      </x:c>
      <x:c r="O2617" s="31" t="n">
        <x:v>17</x:v>
      </x:c>
    </x:row>
    <x:row r="2618" ht="17.25" customHeight="1">
      <x:c r="A2618" s="24" t="str">
        <x:v>PR-B-61너5024-202406</x:v>
      </x:c>
      <x:c r="B2618" s="24" t="str">
        <x:v>프라임구독</x:v>
      </x:c>
      <x:c r="C2618" s="24" t="str">
        <x:v>PR-C-61너5024-1-20230629-177</x:v>
      </x:c>
      <x:c r="D2618" s="24" t="str">
        <x:v>61너5024</x:v>
      </x:c>
      <x:c r="E2618" s="24" t="str">
        <x:v>안미숙</x:v>
      </x:c>
      <x:c r="F2618" s="24" t="str">
        <x:v>2024-06</x:v>
      </x:c>
      <x:c r="G2618" s="30" t="n">
        <x:v>45463</x:v>
      </x:c>
      <x:c r="H2618" s="32" t="n">
        <x:v>493000</x:v>
      </x:c>
      <x:c r="I2618" s="32" t="n">
        <x:v>493000</x:v>
      </x:c>
      <x:c r="J2618" s="32" t="n">
        <x:v>0</x:v>
      </x:c>
      <x:c r="K2618" s="30" t="n">
        <x:v>45463</x:v>
      </x:c>
      <x:c r="L2618" s="24" t="str"/>
      <x:c r="M2618" s="31" t="n">
        <x:f>IF(AND(N2618="미수",G2618&lt;&gt;"",TODAY()&gt;G2618),TODAY()-G2618,0)</x:f>
        <x:v>0</x:v>
      </x:c>
      <x:c r="N2618" s="24" t="str">
        <x:f>IF(J2618&gt;0,"미수",IF(AND(H2618&gt;0,I2618&gt;=H2618),"완납","미확인"))</x:f>
        <x:v>완납</x:v>
      </x:c>
      <x:c r="O2618" s="31" t="n">
        <x:v>17</x:v>
      </x:c>
    </x:row>
    <x:row r="2619" ht="17.25" customHeight="1">
      <x:c r="A2619" s="24" t="str">
        <x:v>PR-B-61너5024-202405</x:v>
      </x:c>
      <x:c r="B2619" s="24" t="str">
        <x:v>프라임구독</x:v>
      </x:c>
      <x:c r="C2619" s="24" t="str">
        <x:v>PR-C-61너5024-1-20230629-177</x:v>
      </x:c>
      <x:c r="D2619" s="24" t="str">
        <x:v>61너5024</x:v>
      </x:c>
      <x:c r="E2619" s="24" t="str">
        <x:v>안미숙</x:v>
      </x:c>
      <x:c r="F2619" s="24" t="str">
        <x:v>2024-05</x:v>
      </x:c>
      <x:c r="G2619" s="30" t="n">
        <x:v>45432</x:v>
      </x:c>
      <x:c r="H2619" s="32" t="n">
        <x:v>493000</x:v>
      </x:c>
      <x:c r="I2619" s="32" t="n">
        <x:v>493000</x:v>
      </x:c>
      <x:c r="J2619" s="32" t="n">
        <x:v>0</x:v>
      </x:c>
      <x:c r="K2619" s="30" t="n">
        <x:v>45433</x:v>
      </x:c>
      <x:c r="L2619" s="24" t="str"/>
      <x:c r="M2619" s="31" t="n">
        <x:f>IF(AND(N2619="미수",G2619&lt;&gt;"",TODAY()&gt;G2619),TODAY()-G2619,0)</x:f>
        <x:v>0</x:v>
      </x:c>
      <x:c r="N2619" s="24" t="str">
        <x:f>IF(J2619&gt;0,"미수",IF(AND(H2619&gt;0,I2619&gt;=H2619),"완납","미확인"))</x:f>
        <x:v>완납</x:v>
      </x:c>
      <x:c r="O2619" s="31" t="n">
        <x:v>17</x:v>
      </x:c>
    </x:row>
    <x:row r="2620" ht="17.25" customHeight="1">
      <x:c r="A2620" s="24" t="str">
        <x:v>PR-B-93오0716-202608</x:v>
      </x:c>
      <x:c r="B2620" s="24" t="str">
        <x:v>프라임구독</x:v>
      </x:c>
      <x:c r="C2620" s="24" t="str">
        <x:v>PR-C-93오0716-1-20230712-211</x:v>
      </x:c>
      <x:c r="D2620" s="24" t="str">
        <x:v>93오0716</x:v>
      </x:c>
      <x:c r="E2620" s="24" t="str">
        <x:v>김성룡</x:v>
      </x:c>
      <x:c r="F2620" s="24" t="str">
        <x:v>2026-08</x:v>
      </x:c>
      <x:c r="G2620" s="30" t="n">
        <x:v>46249</x:v>
      </x:c>
      <x:c r="H2620" s="32" t="n">
        <x:v>708000</x:v>
      </x:c>
      <x:c r="I2620" s="32"/>
      <x:c r="J2620" s="32" t="n">
        <x:v>4956000</x:v>
      </x:c>
      <x:c r="K2620" s="30"/>
      <x:c r="L2620" s="24" t="str"/>
      <x:c r="M2620" s="31" t="n">
        <x:f>IF(AND(N2620="미수",G2620&lt;&gt;"",TODAY()&gt;G2620),TODAY()-G2620,0)</x:f>
        <x:v>0</x:v>
      </x:c>
      <x:c r="N2620" s="24" t="str">
        <x:f>IF(J2620&gt;0,"미수",IF(AND(H2620&gt;0,I2620&gt;=H2620),"완납","미확인"))</x:f>
        <x:v>미수</x:v>
      </x:c>
      <x:c r="O2620" s="31" t="n">
        <x:v>18</x:v>
      </x:c>
    </x:row>
    <x:row r="2621" ht="17.25" customHeight="1">
      <x:c r="A2621" s="24" t="str">
        <x:v>PR-B-93오0716-202607</x:v>
      </x:c>
      <x:c r="B2621" s="24" t="str">
        <x:v>프라임구독</x:v>
      </x:c>
      <x:c r="C2621" s="24" t="str">
        <x:v>PR-C-93오0716-1-20230712-211</x:v>
      </x:c>
      <x:c r="D2621" s="24" t="str">
        <x:v>93오0716</x:v>
      </x:c>
      <x:c r="E2621" s="24" t="str">
        <x:v>김성룡</x:v>
      </x:c>
      <x:c r="F2621" s="24" t="str">
        <x:v>2026-07</x:v>
      </x:c>
      <x:c r="G2621" s="30" t="n">
        <x:v>46218</x:v>
      </x:c>
      <x:c r="H2621" s="32" t="n">
        <x:v>708000</x:v>
      </x:c>
      <x:c r="I2621" s="32"/>
      <x:c r="J2621" s="32" t="n">
        <x:v>4248000</x:v>
      </x:c>
      <x:c r="K2621" s="30"/>
      <x:c r="L2621" s="24" t="str"/>
      <x:c r="M2621" s="31" t="n">
        <x:f>IF(AND(N2621="미수",G2621&lt;&gt;"",TODAY()&gt;G2621),TODAY()-G2621,0)</x:f>
        <x:v>31</x:v>
      </x:c>
      <x:c r="N2621" s="24" t="str">
        <x:f>IF(J2621&gt;0,"미수",IF(AND(H2621&gt;0,I2621&gt;=H2621),"완납","미확인"))</x:f>
        <x:v>미수</x:v>
      </x:c>
      <x:c r="O2621" s="31" t="n">
        <x:v>18</x:v>
      </x:c>
    </x:row>
    <x:row r="2622" ht="17.25" customHeight="1">
      <x:c r="A2622" s="24" t="str">
        <x:v>PR-B-93오0716-202606</x:v>
      </x:c>
      <x:c r="B2622" s="24" t="str">
        <x:v>프라임구독</x:v>
      </x:c>
      <x:c r="C2622" s="24" t="str">
        <x:v>PR-C-93오0716-1-20230712-211</x:v>
      </x:c>
      <x:c r="D2622" s="24" t="str">
        <x:v>93오0716</x:v>
      </x:c>
      <x:c r="E2622" s="24" t="str">
        <x:v>김성룡</x:v>
      </x:c>
      <x:c r="F2622" s="24" t="str">
        <x:v>2026-06</x:v>
      </x:c>
      <x:c r="G2622" s="30" t="n">
        <x:v>46188</x:v>
      </x:c>
      <x:c r="H2622" s="32" t="n">
        <x:v>708000</x:v>
      </x:c>
      <x:c r="I2622" s="32" t="n">
        <x:v>708000</x:v>
      </x:c>
      <x:c r="J2622" s="32" t="n">
        <x:v>3540000</x:v>
      </x:c>
      <x:c r="K2622" s="30" t="n">
        <x:v>46190</x:v>
      </x:c>
      <x:c r="L2622" s="24" t="str">
        <x:v>입금</x:v>
      </x:c>
      <x:c r="M2622" s="31" t="n">
        <x:f>IF(AND(N2622="미수",G2622&lt;&gt;"",TODAY()&gt;G2622),TODAY()-G2622,0)</x:f>
        <x:v>61</x:v>
      </x:c>
      <x:c r="N2622" s="24" t="str">
        <x:f>IF(J2622&gt;0,"미수",IF(AND(H2622&gt;0,I2622&gt;=H2622),"완납","미확인"))</x:f>
        <x:v>미수</x:v>
      </x:c>
      <x:c r="O2622" s="31" t="n">
        <x:v>18</x:v>
      </x:c>
    </x:row>
    <x:row r="2623" ht="17.25" customHeight="1">
      <x:c r="A2623" s="24" t="str">
        <x:v>PR-B-93오0716-202605</x:v>
      </x:c>
      <x:c r="B2623" s="24" t="str">
        <x:v>프라임구독</x:v>
      </x:c>
      <x:c r="C2623" s="24" t="str">
        <x:v>PR-C-93오0716-1-20230712-211</x:v>
      </x:c>
      <x:c r="D2623" s="24" t="str">
        <x:v>93오0716</x:v>
      </x:c>
      <x:c r="E2623" s="24" t="str">
        <x:v>김성룡</x:v>
      </x:c>
      <x:c r="F2623" s="24" t="str">
        <x:v>2026-05</x:v>
      </x:c>
      <x:c r="G2623" s="30" t="n">
        <x:v>46157</x:v>
      </x:c>
      <x:c r="H2623" s="32" t="n">
        <x:v>708000</x:v>
      </x:c>
      <x:c r="I2623" s="32" t="n">
        <x:v>1416000</x:v>
      </x:c>
      <x:c r="J2623" s="32" t="n">
        <x:v>3540000</x:v>
      </x:c>
      <x:c r="K2623" s="30" t="n">
        <x:v>46159</x:v>
      </x:c>
      <x:c r="L2623" s="24" t="str">
        <x:v>입금</x:v>
      </x:c>
      <x:c r="M2623" s="31" t="n">
        <x:f>IF(AND(N2623="미수",G2623&lt;&gt;"",TODAY()&gt;G2623),TODAY()-G2623,0)</x:f>
        <x:v>92</x:v>
      </x:c>
      <x:c r="N2623" s="24" t="str">
        <x:f>IF(J2623&gt;0,"미수",IF(AND(H2623&gt;0,I2623&gt;=H2623),"완납","미확인"))</x:f>
        <x:v>미수</x:v>
      </x:c>
      <x:c r="O2623" s="31" t="n">
        <x:v>18</x:v>
      </x:c>
    </x:row>
    <x:row r="2624" ht="17.25" customHeight="1">
      <x:c r="A2624" s="24" t="str">
        <x:v>PR-B-93오0716-202604</x:v>
      </x:c>
      <x:c r="B2624" s="24" t="str">
        <x:v>프라임구독</x:v>
      </x:c>
      <x:c r="C2624" s="24" t="str">
        <x:v>PR-C-93오0716-1-20230712-211</x:v>
      </x:c>
      <x:c r="D2624" s="24" t="str">
        <x:v>93오0716</x:v>
      </x:c>
      <x:c r="E2624" s="24" t="str">
        <x:v>김성룡</x:v>
      </x:c>
      <x:c r="F2624" s="24" t="str">
        <x:v>2026-04</x:v>
      </x:c>
      <x:c r="G2624" s="30" t="n">
        <x:v>46127</x:v>
      </x:c>
      <x:c r="H2624" s="32" t="n">
        <x:v>708000</x:v>
      </x:c>
      <x:c r="I2624" s="32"/>
      <x:c r="J2624" s="32" t="n">
        <x:v>4248000</x:v>
      </x:c>
      <x:c r="K2624" s="30"/>
      <x:c r="L2624" s="24" t="str"/>
      <x:c r="M2624" s="31" t="n">
        <x:f>IF(AND(N2624="미수",G2624&lt;&gt;"",TODAY()&gt;G2624),TODAY()-G2624,0)</x:f>
        <x:v>122</x:v>
      </x:c>
      <x:c r="N2624" s="24" t="str">
        <x:f>IF(J2624&gt;0,"미수",IF(AND(H2624&gt;0,I2624&gt;=H2624),"완납","미확인"))</x:f>
        <x:v>미수</x:v>
      </x:c>
      <x:c r="O2624" s="31" t="n">
        <x:v>18</x:v>
      </x:c>
    </x:row>
    <x:row r="2625" ht="17.25" customHeight="1">
      <x:c r="A2625" s="24" t="str">
        <x:v>PR-B-93오0716-202603</x:v>
      </x:c>
      <x:c r="B2625" s="24" t="str">
        <x:v>프라임구독</x:v>
      </x:c>
      <x:c r="C2625" s="24" t="str">
        <x:v>PR-C-93오0716-1-20230712-211</x:v>
      </x:c>
      <x:c r="D2625" s="24" t="str">
        <x:v>93오0716</x:v>
      </x:c>
      <x:c r="E2625" s="24" t="str">
        <x:v>김성룡</x:v>
      </x:c>
      <x:c r="F2625" s="24" t="str">
        <x:v>2026-03</x:v>
      </x:c>
      <x:c r="G2625" s="30" t="n">
        <x:v>46096</x:v>
      </x:c>
      <x:c r="H2625" s="32" t="n">
        <x:v>708000</x:v>
      </x:c>
      <x:c r="I2625" s="32" t="n">
        <x:v>708000</x:v>
      </x:c>
      <x:c r="J2625" s="32" t="n">
        <x:v>3540000</x:v>
      </x:c>
      <x:c r="K2625" s="30" t="n">
        <x:v>46108</x:v>
      </x:c>
      <x:c r="L2625" s="24" t="str">
        <x:v>입금</x:v>
      </x:c>
      <x:c r="M2625" s="31" t="n">
        <x:f>IF(AND(N2625="미수",G2625&lt;&gt;"",TODAY()&gt;G2625),TODAY()-G2625,0)</x:f>
        <x:v>153</x:v>
      </x:c>
      <x:c r="N2625" s="24" t="str">
        <x:f>IF(J2625&gt;0,"미수",IF(AND(H2625&gt;0,I2625&gt;=H2625),"완납","미확인"))</x:f>
        <x:v>미수</x:v>
      </x:c>
      <x:c r="O2625" s="31" t="n">
        <x:v>18</x:v>
      </x:c>
    </x:row>
    <x:row r="2626" ht="17.25" customHeight="1">
      <x:c r="A2626" s="24" t="str">
        <x:v>PR-B-93오0716-202602</x:v>
      </x:c>
      <x:c r="B2626" s="24" t="str">
        <x:v>프라임구독</x:v>
      </x:c>
      <x:c r="C2626" s="24" t="str">
        <x:v>PR-C-93오0716-1-20230712-211</x:v>
      </x:c>
      <x:c r="D2626" s="24" t="str">
        <x:v>93오0716</x:v>
      </x:c>
      <x:c r="E2626" s="24" t="str">
        <x:v>김성룡</x:v>
      </x:c>
      <x:c r="F2626" s="24" t="str">
        <x:v>2026-02</x:v>
      </x:c>
      <x:c r="G2626" s="30" t="n">
        <x:v>46068</x:v>
      </x:c>
      <x:c r="H2626" s="32" t="n">
        <x:v>708000</x:v>
      </x:c>
      <x:c r="I2626" s="32"/>
      <x:c r="J2626" s="32" t="n">
        <x:v>3540000</x:v>
      </x:c>
      <x:c r="K2626" s="30"/>
      <x:c r="L2626" s="24" t="str"/>
      <x:c r="M2626" s="31" t="n">
        <x:f>IF(AND(N2626="미수",G2626&lt;&gt;"",TODAY()&gt;G2626),TODAY()-G2626,0)</x:f>
        <x:v>181</x:v>
      </x:c>
      <x:c r="N2626" s="24" t="str">
        <x:f>IF(J2626&gt;0,"미수",IF(AND(H2626&gt;0,I2626&gt;=H2626),"완납","미확인"))</x:f>
        <x:v>미수</x:v>
      </x:c>
      <x:c r="O2626" s="31" t="n">
        <x:v>18</x:v>
      </x:c>
    </x:row>
    <x:row r="2627" ht="17.25" customHeight="1">
      <x:c r="A2627" s="24" t="str">
        <x:v>PR-B-93오0716-202601</x:v>
      </x:c>
      <x:c r="B2627" s="24" t="str">
        <x:v>프라임구독</x:v>
      </x:c>
      <x:c r="C2627" s="24" t="str">
        <x:v>PR-C-93오0716-1-20230712-211</x:v>
      </x:c>
      <x:c r="D2627" s="24" t="str">
        <x:v>93오0716</x:v>
      </x:c>
      <x:c r="E2627" s="24" t="str">
        <x:v>김성룡</x:v>
      </x:c>
      <x:c r="F2627" s="24" t="str">
        <x:v>2026-01</x:v>
      </x:c>
      <x:c r="G2627" s="30" t="n">
        <x:v>46037</x:v>
      </x:c>
      <x:c r="H2627" s="32" t="n">
        <x:v>708000</x:v>
      </x:c>
      <x:c r="I2627" s="32"/>
      <x:c r="J2627" s="32" t="n">
        <x:v>2832000</x:v>
      </x:c>
      <x:c r="K2627" s="30"/>
      <x:c r="L2627" s="24" t="str"/>
      <x:c r="M2627" s="31" t="n">
        <x:f>IF(AND(N2627="미수",G2627&lt;&gt;"",TODAY()&gt;G2627),TODAY()-G2627,0)</x:f>
        <x:v>212</x:v>
      </x:c>
      <x:c r="N2627" s="24" t="str">
        <x:f>IF(J2627&gt;0,"미수",IF(AND(H2627&gt;0,I2627&gt;=H2627),"완납","미확인"))</x:f>
        <x:v>미수</x:v>
      </x:c>
      <x:c r="O2627" s="31" t="n">
        <x:v>18</x:v>
      </x:c>
    </x:row>
    <x:row r="2628" ht="17.25" customHeight="1">
      <x:c r="A2628" s="24" t="str">
        <x:v>PR-B-93오0716-202512</x:v>
      </x:c>
      <x:c r="B2628" s="24" t="str">
        <x:v>프라임구독</x:v>
      </x:c>
      <x:c r="C2628" s="24" t="str">
        <x:v>PR-C-93오0716-1-20230712-211</x:v>
      </x:c>
      <x:c r="D2628" s="24" t="str">
        <x:v>93오0716</x:v>
      </x:c>
      <x:c r="E2628" s="24" t="str">
        <x:v>김성룡</x:v>
      </x:c>
      <x:c r="F2628" s="24" t="str">
        <x:v>2025-12</x:v>
      </x:c>
      <x:c r="G2628" s="30" t="n">
        <x:v>46006</x:v>
      </x:c>
      <x:c r="H2628" s="32" t="n">
        <x:v>708000</x:v>
      </x:c>
      <x:c r="I2628" s="32"/>
      <x:c r="J2628" s="32" t="n">
        <x:v>2124000</x:v>
      </x:c>
      <x:c r="K2628" s="30"/>
      <x:c r="L2628" s="24" t="str"/>
      <x:c r="M2628" s="31" t="n">
        <x:f>IF(AND(N2628="미수",G2628&lt;&gt;"",TODAY()&gt;G2628),TODAY()-G2628,0)</x:f>
        <x:v>243</x:v>
      </x:c>
      <x:c r="N2628" s="24" t="str">
        <x:f>IF(J2628&gt;0,"미수",IF(AND(H2628&gt;0,I2628&gt;=H2628),"완납","미확인"))</x:f>
        <x:v>미수</x:v>
      </x:c>
      <x:c r="O2628" s="31" t="n">
        <x:v>18</x:v>
      </x:c>
    </x:row>
    <x:row r="2629" ht="17.25" customHeight="1">
      <x:c r="A2629" s="24" t="str">
        <x:v>PR-B-93오0716-202511</x:v>
      </x:c>
      <x:c r="B2629" s="24" t="str">
        <x:v>프라임구독</x:v>
      </x:c>
      <x:c r="C2629" s="24" t="str">
        <x:v>PR-C-93오0716-1-20230712-211</x:v>
      </x:c>
      <x:c r="D2629" s="24" t="str">
        <x:v>93오0716</x:v>
      </x:c>
      <x:c r="E2629" s="24" t="str">
        <x:v>김성룡</x:v>
      </x:c>
      <x:c r="F2629" s="24" t="str">
        <x:v>2025-11</x:v>
      </x:c>
      <x:c r="G2629" s="30" t="n">
        <x:v>45976</x:v>
      </x:c>
      <x:c r="H2629" s="32" t="n">
        <x:v>708000</x:v>
      </x:c>
      <x:c r="I2629" s="32"/>
      <x:c r="J2629" s="32" t="n">
        <x:v>1416000</x:v>
      </x:c>
      <x:c r="K2629" s="30"/>
      <x:c r="L2629" s="24" t="str"/>
      <x:c r="M2629" s="31" t="n">
        <x:f>IF(AND(N2629="미수",G2629&lt;&gt;"",TODAY()&gt;G2629),TODAY()-G2629,0)</x:f>
        <x:v>273</x:v>
      </x:c>
      <x:c r="N2629" s="24" t="str">
        <x:f>IF(J2629&gt;0,"미수",IF(AND(H2629&gt;0,I2629&gt;=H2629),"완납","미확인"))</x:f>
        <x:v>미수</x:v>
      </x:c>
      <x:c r="O2629" s="31" t="n">
        <x:v>18</x:v>
      </x:c>
    </x:row>
    <x:row r="2630" ht="17.25" customHeight="1">
      <x:c r="A2630" s="24" t="str">
        <x:v>PR-B-93오0716-202510</x:v>
      </x:c>
      <x:c r="B2630" s="24" t="str">
        <x:v>프라임구독</x:v>
      </x:c>
      <x:c r="C2630" s="24" t="str">
        <x:v>PR-C-93오0716-1-20230712-211</x:v>
      </x:c>
      <x:c r="D2630" s="24" t="str">
        <x:v>93오0716</x:v>
      </x:c>
      <x:c r="E2630" s="24" t="str">
        <x:v>김성룡</x:v>
      </x:c>
      <x:c r="F2630" s="24" t="str">
        <x:v>2025-10</x:v>
      </x:c>
      <x:c r="G2630" s="30" t="n">
        <x:v>45945</x:v>
      </x:c>
      <x:c r="H2630" s="32" t="n">
        <x:v>708000</x:v>
      </x:c>
      <x:c r="I2630" s="32" t="n">
        <x:v>708000</x:v>
      </x:c>
      <x:c r="J2630" s="32" t="n">
        <x:v>708000</x:v>
      </x:c>
      <x:c r="K2630" s="30" t="n">
        <x:v>45945</x:v>
      </x:c>
      <x:c r="L2630" s="24" t="str">
        <x:v>자동</x:v>
      </x:c>
      <x:c r="M2630" s="31" t="n">
        <x:f>IF(AND(N2630="미수",G2630&lt;&gt;"",TODAY()&gt;G2630),TODAY()-G2630,0)</x:f>
        <x:v>304</x:v>
      </x:c>
      <x:c r="N2630" s="24" t="str">
        <x:f>IF(J2630&gt;0,"미수",IF(AND(H2630&gt;0,I2630&gt;=H2630),"완납","미확인"))</x:f>
        <x:v>미수</x:v>
      </x:c>
      <x:c r="O2630" s="31" t="n">
        <x:v>18</x:v>
      </x:c>
    </x:row>
    <x:row r="2631" ht="17.25" customHeight="1">
      <x:c r="A2631" s="24" t="str">
        <x:v>PR-B-93오0716-202509</x:v>
      </x:c>
      <x:c r="B2631" s="24" t="str">
        <x:v>프라임구독</x:v>
      </x:c>
      <x:c r="C2631" s="24" t="str">
        <x:v>PR-C-93오0716-1-20230712-211</x:v>
      </x:c>
      <x:c r="D2631" s="24" t="str">
        <x:v>93오0716</x:v>
      </x:c>
      <x:c r="E2631" s="24" t="str">
        <x:v>김성룡</x:v>
      </x:c>
      <x:c r="F2631" s="24" t="str">
        <x:v>2025-09</x:v>
      </x:c>
      <x:c r="G2631" s="30" t="n">
        <x:v>45915</x:v>
      </x:c>
      <x:c r="H2631" s="32" t="n">
        <x:v>708000</x:v>
      </x:c>
      <x:c r="I2631" s="32" t="n">
        <x:v>708000</x:v>
      </x:c>
      <x:c r="J2631" s="32" t="n">
        <x:v>708000</x:v>
      </x:c>
      <x:c r="K2631" s="30" t="n">
        <x:v>45923</x:v>
      </x:c>
      <x:c r="L2631" s="24" t="str">
        <x:v>입금</x:v>
      </x:c>
      <x:c r="M2631" s="31" t="n">
        <x:f>IF(AND(N2631="미수",G2631&lt;&gt;"",TODAY()&gt;G2631),TODAY()-G2631,0)</x:f>
        <x:v>334</x:v>
      </x:c>
      <x:c r="N2631" s="24" t="str">
        <x:f>IF(J2631&gt;0,"미수",IF(AND(H2631&gt;0,I2631&gt;=H2631),"완납","미확인"))</x:f>
        <x:v>미수</x:v>
      </x:c>
      <x:c r="O2631" s="31" t="n">
        <x:v>18</x:v>
      </x:c>
    </x:row>
    <x:row r="2632" ht="17.25" customHeight="1">
      <x:c r="A2632" s="24" t="str">
        <x:v>PR-B-93오0716-202508</x:v>
      </x:c>
      <x:c r="B2632" s="24" t="str">
        <x:v>프라임구독</x:v>
      </x:c>
      <x:c r="C2632" s="24" t="str">
        <x:v>PR-C-93오0716-1-20230712-211</x:v>
      </x:c>
      <x:c r="D2632" s="24" t="str">
        <x:v>93오0716</x:v>
      </x:c>
      <x:c r="E2632" s="24" t="str">
        <x:v>김성룡</x:v>
      </x:c>
      <x:c r="F2632" s="24" t="str">
        <x:v>2025-08</x:v>
      </x:c>
      <x:c r="G2632" s="30" t="n">
        <x:v>45884</x:v>
      </x:c>
      <x:c r="H2632" s="32" t="n">
        <x:v>708000</x:v>
      </x:c>
      <x:c r="I2632" s="32" t="n">
        <x:v>708000</x:v>
      </x:c>
      <x:c r="J2632" s="32" t="n">
        <x:v>708000</x:v>
      </x:c>
      <x:c r="K2632" s="30" t="n">
        <x:v>45887</x:v>
      </x:c>
      <x:c r="L2632" s="24" t="str">
        <x:v>자동</x:v>
      </x:c>
      <x:c r="M2632" s="31" t="n">
        <x:f>IF(AND(N2632="미수",G2632&lt;&gt;"",TODAY()&gt;G2632),TODAY()-G2632,0)</x:f>
        <x:v>365</x:v>
      </x:c>
      <x:c r="N2632" s="24" t="str">
        <x:f>IF(J2632&gt;0,"미수",IF(AND(H2632&gt;0,I2632&gt;=H2632),"완납","미확인"))</x:f>
        <x:v>미수</x:v>
      </x:c>
      <x:c r="O2632" s="31" t="n">
        <x:v>18</x:v>
      </x:c>
    </x:row>
    <x:row r="2633" ht="17.25" customHeight="1">
      <x:c r="A2633" s="24" t="str">
        <x:v>PR-B-93오0716-202507</x:v>
      </x:c>
      <x:c r="B2633" s="24" t="str">
        <x:v>프라임구독</x:v>
      </x:c>
      <x:c r="C2633" s="24" t="str">
        <x:v>PR-C-93오0716-1-20230712-211</x:v>
      </x:c>
      <x:c r="D2633" s="24" t="str">
        <x:v>93오0716</x:v>
      </x:c>
      <x:c r="E2633" s="24" t="str">
        <x:v>김성룡</x:v>
      </x:c>
      <x:c r="F2633" s="24" t="str">
        <x:v>2025-07</x:v>
      </x:c>
      <x:c r="G2633" s="30" t="n">
        <x:v>45853</x:v>
      </x:c>
      <x:c r="H2633" s="32" t="n">
        <x:v>708000</x:v>
      </x:c>
      <x:c r="I2633" s="32" t="n">
        <x:v>708000</x:v>
      </x:c>
      <x:c r="J2633" s="32" t="n">
        <x:v>708000</x:v>
      </x:c>
      <x:c r="K2633" s="30" t="n">
        <x:v>45853</x:v>
      </x:c>
      <x:c r="L2633" s="24" t="str">
        <x:v>자동</x:v>
      </x:c>
      <x:c r="M2633" s="31" t="n">
        <x:f>IF(AND(N2633="미수",G2633&lt;&gt;"",TODAY()&gt;G2633),TODAY()-G2633,0)</x:f>
        <x:v>396</x:v>
      </x:c>
      <x:c r="N2633" s="24" t="str">
        <x:f>IF(J2633&gt;0,"미수",IF(AND(H2633&gt;0,I2633&gt;=H2633),"완납","미확인"))</x:f>
        <x:v>미수</x:v>
      </x:c>
      <x:c r="O2633" s="31" t="n">
        <x:v>18</x:v>
      </x:c>
    </x:row>
    <x:row r="2634" ht="17.25" customHeight="1">
      <x:c r="A2634" s="24" t="str">
        <x:v>PR-B-93오0716-202506</x:v>
      </x:c>
      <x:c r="B2634" s="24" t="str">
        <x:v>프라임구독</x:v>
      </x:c>
      <x:c r="C2634" s="24" t="str">
        <x:v>PR-C-93오0716-1-20230712-211</x:v>
      </x:c>
      <x:c r="D2634" s="24" t="str">
        <x:v>93오0716</x:v>
      </x:c>
      <x:c r="E2634" s="24" t="str">
        <x:v>김성룡</x:v>
      </x:c>
      <x:c r="F2634" s="24" t="str">
        <x:v>2025-06</x:v>
      </x:c>
      <x:c r="G2634" s="30" t="n">
        <x:v>45823</x:v>
      </x:c>
      <x:c r="H2634" s="32" t="n">
        <x:v>708000</x:v>
      </x:c>
      <x:c r="I2634" s="32" t="n">
        <x:v>2114000</x:v>
      </x:c>
      <x:c r="J2634" s="32" t="n">
        <x:v>708000</x:v>
      </x:c>
      <x:c r="K2634" s="30" t="n">
        <x:v>45818</x:v>
      </x:c>
      <x:c r="L2634" s="24" t="str">
        <x:v>입금</x:v>
      </x:c>
      <x:c r="M2634" s="31" t="n">
        <x:f>IF(AND(N2634="미수",G2634&lt;&gt;"",TODAY()&gt;G2634),TODAY()-G2634,0)</x:f>
        <x:v>426</x:v>
      </x:c>
      <x:c r="N2634" s="24" t="str">
        <x:f>IF(J2634&gt;0,"미수",IF(AND(H2634&gt;0,I2634&gt;=H2634),"완납","미확인"))</x:f>
        <x:v>미수</x:v>
      </x:c>
      <x:c r="O2634" s="31" t="n">
        <x:v>18</x:v>
      </x:c>
    </x:row>
    <x:row r="2635" ht="17.25" customHeight="1">
      <x:c r="A2635" s="24" t="str">
        <x:v>PR-B-93오0716-202505</x:v>
      </x:c>
      <x:c r="B2635" s="24" t="str">
        <x:v>프라임구독</x:v>
      </x:c>
      <x:c r="C2635" s="24" t="str">
        <x:v>PR-C-93오0716-1-20230712-211</x:v>
      </x:c>
      <x:c r="D2635" s="24" t="str">
        <x:v>93오0716</x:v>
      </x:c>
      <x:c r="E2635" s="24" t="str">
        <x:v>김성룡</x:v>
      </x:c>
      <x:c r="F2635" s="24" t="str">
        <x:v>2025-05</x:v>
      </x:c>
      <x:c r="G2635" s="30" t="n">
        <x:v>45792</x:v>
      </x:c>
      <x:c r="H2635" s="32" t="n">
        <x:v>708000</x:v>
      </x:c>
      <x:c r="I2635" s="32"/>
      <x:c r="J2635" s="32" t="n">
        <x:v>2114000</x:v>
      </x:c>
      <x:c r="K2635" s="30"/>
      <x:c r="L2635" s="24" t="str"/>
      <x:c r="M2635" s="31" t="n">
        <x:f>IF(AND(N2635="미수",G2635&lt;&gt;"",TODAY()&gt;G2635),TODAY()-G2635,0)</x:f>
        <x:v>457</x:v>
      </x:c>
      <x:c r="N2635" s="24" t="str">
        <x:f>IF(J2635&gt;0,"미수",IF(AND(H2635&gt;0,I2635&gt;=H2635),"완납","미확인"))</x:f>
        <x:v>미수</x:v>
      </x:c>
      <x:c r="O2635" s="31" t="n">
        <x:v>18</x:v>
      </x:c>
    </x:row>
    <x:row r="2636" ht="17.25" customHeight="1">
      <x:c r="A2636" s="24" t="str">
        <x:v>PR-B-93오0716-202504</x:v>
      </x:c>
      <x:c r="B2636" s="24" t="str">
        <x:v>프라임구독</x:v>
      </x:c>
      <x:c r="C2636" s="24" t="str">
        <x:v>PR-C-93오0716-1-20230712-211</x:v>
      </x:c>
      <x:c r="D2636" s="24" t="str">
        <x:v>93오0716</x:v>
      </x:c>
      <x:c r="E2636" s="24" t="str">
        <x:v>김성룡</x:v>
      </x:c>
      <x:c r="F2636" s="24" t="str">
        <x:v>2025-04</x:v>
      </x:c>
      <x:c r="G2636" s="30" t="n">
        <x:v>45762</x:v>
      </x:c>
      <x:c r="H2636" s="32" t="n">
        <x:v>708000</x:v>
      </x:c>
      <x:c r="I2636" s="32"/>
      <x:c r="J2636" s="32" t="n">
        <x:v>1406000</x:v>
      </x:c>
      <x:c r="K2636" s="30"/>
      <x:c r="L2636" s="24" t="str"/>
      <x:c r="M2636" s="31" t="n">
        <x:f>IF(AND(N2636="미수",G2636&lt;&gt;"",TODAY()&gt;G2636),TODAY()-G2636,0)</x:f>
        <x:v>487</x:v>
      </x:c>
      <x:c r="N2636" s="24" t="str">
        <x:f>IF(J2636&gt;0,"미수",IF(AND(H2636&gt;0,I2636&gt;=H2636),"완납","미확인"))</x:f>
        <x:v>미수</x:v>
      </x:c>
      <x:c r="O2636" s="31" t="n">
        <x:v>18</x:v>
      </x:c>
    </x:row>
    <x:row r="2637" ht="17.25" customHeight="1">
      <x:c r="A2637" s="24" t="str">
        <x:v>PR-B-93오0716-202503</x:v>
      </x:c>
      <x:c r="B2637" s="24" t="str">
        <x:v>프라임구독</x:v>
      </x:c>
      <x:c r="C2637" s="24" t="str">
        <x:v>PR-C-93오0716-1-20230712-211</x:v>
      </x:c>
      <x:c r="D2637" s="24" t="str">
        <x:v>93오0716</x:v>
      </x:c>
      <x:c r="E2637" s="24" t="str">
        <x:v>김성룡</x:v>
      </x:c>
      <x:c r="F2637" s="24" t="str">
        <x:v>2025-03</x:v>
      </x:c>
      <x:c r="G2637" s="30" t="n">
        <x:v>45731</x:v>
      </x:c>
      <x:c r="H2637" s="32" t="n">
        <x:v>708000</x:v>
      </x:c>
      <x:c r="I2637" s="32" t="n">
        <x:v>718000</x:v>
      </x:c>
      <x:c r="J2637" s="32" t="n">
        <x:v>698000</x:v>
      </x:c>
      <x:c r="K2637" s="30" t="n">
        <x:v>45747</x:v>
      </x:c>
      <x:c r="L2637" s="24" t="str">
        <x:v>입금</x:v>
      </x:c>
      <x:c r="M2637" s="31" t="n">
        <x:f>IF(AND(N2637="미수",G2637&lt;&gt;"",TODAY()&gt;G2637),TODAY()-G2637,0)</x:f>
        <x:v>518</x:v>
      </x:c>
      <x:c r="N2637" s="24" t="str">
        <x:f>IF(J2637&gt;0,"미수",IF(AND(H2637&gt;0,I2637&gt;=H2637),"완납","미확인"))</x:f>
        <x:v>미수</x:v>
      </x:c>
      <x:c r="O2637" s="31" t="n">
        <x:v>18</x:v>
      </x:c>
    </x:row>
    <x:row r="2638" ht="17.25" customHeight="1">
      <x:c r="A2638" s="24" t="str">
        <x:v>PR-B-93오0716-202502</x:v>
      </x:c>
      <x:c r="B2638" s="24" t="str">
        <x:v>프라임구독</x:v>
      </x:c>
      <x:c r="C2638" s="24" t="str">
        <x:v>PR-C-93오0716-1-20230712-211</x:v>
      </x:c>
      <x:c r="D2638" s="24" t="str">
        <x:v>93오0716</x:v>
      </x:c>
      <x:c r="E2638" s="24" t="str">
        <x:v>김성룡</x:v>
      </x:c>
      <x:c r="F2638" s="24" t="str">
        <x:v>2025-02</x:v>
      </x:c>
      <x:c r="G2638" s="30" t="n">
        <x:v>45703</x:v>
      </x:c>
      <x:c r="H2638" s="32" t="n">
        <x:v>708000</x:v>
      </x:c>
      <x:c r="I2638" s="32"/>
      <x:c r="J2638" s="32" t="n">
        <x:v>708000</x:v>
      </x:c>
      <x:c r="K2638" s="30"/>
      <x:c r="L2638" s="24" t="str"/>
      <x:c r="M2638" s="31" t="n">
        <x:f>IF(AND(N2638="미수",G2638&lt;&gt;"",TODAY()&gt;G2638),TODAY()-G2638,0)</x:f>
        <x:v>546</x:v>
      </x:c>
      <x:c r="N2638" s="24" t="str">
        <x:f>IF(J2638&gt;0,"미수",IF(AND(H2638&gt;0,I2638&gt;=H2638),"완납","미확인"))</x:f>
        <x:v>미수</x:v>
      </x:c>
      <x:c r="O2638" s="31" t="n">
        <x:v>18</x:v>
      </x:c>
    </x:row>
    <x:row r="2639" ht="17.25" customHeight="1">
      <x:c r="A2639" s="24" t="str">
        <x:v>PR-B-93오0716-202501</x:v>
      </x:c>
      <x:c r="B2639" s="24" t="str">
        <x:v>프라임구독</x:v>
      </x:c>
      <x:c r="C2639" s="24" t="str">
        <x:v>PR-C-93오0716-1-20230712-211</x:v>
      </x:c>
      <x:c r="D2639" s="24" t="str">
        <x:v>93오0716</x:v>
      </x:c>
      <x:c r="E2639" s="24" t="str">
        <x:v>김성룡</x:v>
      </x:c>
      <x:c r="F2639" s="24" t="str">
        <x:v>2025-01</x:v>
      </x:c>
      <x:c r="G2639" s="30" t="n">
        <x:v>45672</x:v>
      </x:c>
      <x:c r="H2639" s="32" t="n">
        <x:v>708000</x:v>
      </x:c>
      <x:c r="I2639" s="32" t="n">
        <x:v>708000</x:v>
      </x:c>
      <x:c r="J2639" s="32" t="n">
        <x:v>0</x:v>
      </x:c>
      <x:c r="K2639" s="30" t="n">
        <x:v>45677</x:v>
      </x:c>
      <x:c r="L2639" s="24" t="str">
        <x:v>입금</x:v>
      </x:c>
      <x:c r="M2639" s="31" t="n">
        <x:f>IF(AND(N2639="미수",G2639&lt;&gt;"",TODAY()&gt;G2639),TODAY()-G2639,0)</x:f>
        <x:v>0</x:v>
      </x:c>
      <x:c r="N2639" s="24" t="str">
        <x:f>IF(J2639&gt;0,"미수",IF(AND(H2639&gt;0,I2639&gt;=H2639),"완납","미확인"))</x:f>
        <x:v>완납</x:v>
      </x:c>
      <x:c r="O2639" s="31" t="n">
        <x:v>18</x:v>
      </x:c>
    </x:row>
    <x:row r="2640" ht="17.25" customHeight="1">
      <x:c r="A2640" s="24" t="str">
        <x:v>PR-B-93오0716-202412</x:v>
      </x:c>
      <x:c r="B2640" s="24" t="str">
        <x:v>프라임구독</x:v>
      </x:c>
      <x:c r="C2640" s="24" t="str">
        <x:v>PR-C-93오0716-1-20230712-211</x:v>
      </x:c>
      <x:c r="D2640" s="24" t="str">
        <x:v>93오0716</x:v>
      </x:c>
      <x:c r="E2640" s="24" t="str">
        <x:v>김성룡</x:v>
      </x:c>
      <x:c r="F2640" s="24" t="str">
        <x:v>2024-12</x:v>
      </x:c>
      <x:c r="G2640" s="30" t="n">
        <x:v>45641</x:v>
      </x:c>
      <x:c r="H2640" s="32" t="n">
        <x:v>708000</x:v>
      </x:c>
      <x:c r="I2640" s="32" t="n">
        <x:v>708000</x:v>
      </x:c>
      <x:c r="J2640" s="32" t="n">
        <x:v>0</x:v>
      </x:c>
      <x:c r="K2640" s="30" t="n">
        <x:v>45656</x:v>
      </x:c>
      <x:c r="L2640" s="24" t="str">
        <x:v>입금</x:v>
      </x:c>
      <x:c r="M2640" s="31" t="n">
        <x:f>IF(AND(N2640="미수",G2640&lt;&gt;"",TODAY()&gt;G2640),TODAY()-G2640,0)</x:f>
        <x:v>0</x:v>
      </x:c>
      <x:c r="N2640" s="24" t="str">
        <x:f>IF(J2640&gt;0,"미수",IF(AND(H2640&gt;0,I2640&gt;=H2640),"완납","미확인"))</x:f>
        <x:v>완납</x:v>
      </x:c>
      <x:c r="O2640" s="31" t="n">
        <x:v>18</x:v>
      </x:c>
    </x:row>
    <x:row r="2641" ht="17.25" customHeight="1">
      <x:c r="A2641" s="24" t="str">
        <x:v>PR-B-93오0716-202411</x:v>
      </x:c>
      <x:c r="B2641" s="24" t="str">
        <x:v>프라임구독</x:v>
      </x:c>
      <x:c r="C2641" s="24" t="str">
        <x:v>PR-C-93오0716-1-20230712-211</x:v>
      </x:c>
      <x:c r="D2641" s="24" t="str">
        <x:v>93오0716</x:v>
      </x:c>
      <x:c r="E2641" s="24" t="str">
        <x:v>김성룡</x:v>
      </x:c>
      <x:c r="F2641" s="24" t="str">
        <x:v>2024-11</x:v>
      </x:c>
      <x:c r="G2641" s="30" t="n">
        <x:v>45611</x:v>
      </x:c>
      <x:c r="H2641" s="32" t="n">
        <x:v>708000</x:v>
      </x:c>
      <x:c r="I2641" s="32" t="n">
        <x:v>708000</x:v>
      </x:c>
      <x:c r="J2641" s="32" t="n">
        <x:v>0</x:v>
      </x:c>
      <x:c r="K2641" s="30" t="n">
        <x:v>45656</x:v>
      </x:c>
      <x:c r="L2641" s="24" t="str">
        <x:v>입금</x:v>
      </x:c>
      <x:c r="M2641" s="31" t="n">
        <x:f>IF(AND(N2641="미수",G2641&lt;&gt;"",TODAY()&gt;G2641),TODAY()-G2641,0)</x:f>
        <x:v>0</x:v>
      </x:c>
      <x:c r="N2641" s="24" t="str">
        <x:f>IF(J2641&gt;0,"미수",IF(AND(H2641&gt;0,I2641&gt;=H2641),"완납","미확인"))</x:f>
        <x:v>완납</x:v>
      </x:c>
      <x:c r="O2641" s="31" t="n">
        <x:v>18</x:v>
      </x:c>
    </x:row>
    <x:row r="2642" ht="17.25" customHeight="1">
      <x:c r="A2642" s="24" t="str">
        <x:v>PR-B-93오0716-202410</x:v>
      </x:c>
      <x:c r="B2642" s="24" t="str">
        <x:v>프라임구독</x:v>
      </x:c>
      <x:c r="C2642" s="24" t="str">
        <x:v>PR-C-93오0716-1-20230712-211</x:v>
      </x:c>
      <x:c r="D2642" s="24" t="str">
        <x:v>93오0716</x:v>
      </x:c>
      <x:c r="E2642" s="24" t="str">
        <x:v>김성룡</x:v>
      </x:c>
      <x:c r="F2642" s="24" t="str">
        <x:v>2024-10</x:v>
      </x:c>
      <x:c r="G2642" s="30" t="n">
        <x:v>45580</x:v>
      </x:c>
      <x:c r="H2642" s="32" t="n">
        <x:v>708000</x:v>
      </x:c>
      <x:c r="I2642" s="32" t="n">
        <x:v>708000</x:v>
      </x:c>
      <x:c r="J2642" s="32" t="n">
        <x:v>0</x:v>
      </x:c>
      <x:c r="K2642" s="30" t="n">
        <x:v>45593</x:v>
      </x:c>
      <x:c r="L2642" s="24" t="str">
        <x:v>입금</x:v>
      </x:c>
      <x:c r="M2642" s="31" t="n">
        <x:f>IF(AND(N2642="미수",G2642&lt;&gt;"",TODAY()&gt;G2642),TODAY()-G2642,0)</x:f>
        <x:v>0</x:v>
      </x:c>
      <x:c r="N2642" s="24" t="str">
        <x:f>IF(J2642&gt;0,"미수",IF(AND(H2642&gt;0,I2642&gt;=H2642),"완납","미확인"))</x:f>
        <x:v>완납</x:v>
      </x:c>
      <x:c r="O2642" s="31" t="n">
        <x:v>18</x:v>
      </x:c>
    </x:row>
    <x:row r="2643" ht="17.25" customHeight="1">
      <x:c r="A2643" s="24" t="str">
        <x:v>PR-B-93오0716-202409</x:v>
      </x:c>
      <x:c r="B2643" s="24" t="str">
        <x:v>프라임구독</x:v>
      </x:c>
      <x:c r="C2643" s="24" t="str">
        <x:v>PR-C-93오0716-1-20230712-211</x:v>
      </x:c>
      <x:c r="D2643" s="24" t="str">
        <x:v>93오0716</x:v>
      </x:c>
      <x:c r="E2643" s="24" t="str">
        <x:v>김성룡</x:v>
      </x:c>
      <x:c r="F2643" s="24" t="str">
        <x:v>2024-09</x:v>
      </x:c>
      <x:c r="G2643" s="30" t="n">
        <x:v>45550</x:v>
      </x:c>
      <x:c r="H2643" s="32" t="n">
        <x:v>708000</x:v>
      </x:c>
      <x:c r="I2643" s="32" t="n">
        <x:v>708000</x:v>
      </x:c>
      <x:c r="J2643" s="32" t="n">
        <x:v>0</x:v>
      </x:c>
      <x:c r="K2643" s="30" t="n">
        <x:v>45561</x:v>
      </x:c>
      <x:c r="L2643" s="24" t="str">
        <x:v>입금</x:v>
      </x:c>
      <x:c r="M2643" s="31" t="n">
        <x:f>IF(AND(N2643="미수",G2643&lt;&gt;"",TODAY()&gt;G2643),TODAY()-G2643,0)</x:f>
        <x:v>0</x:v>
      </x:c>
      <x:c r="N2643" s="24" t="str">
        <x:f>IF(J2643&gt;0,"미수",IF(AND(H2643&gt;0,I2643&gt;=H2643),"완납","미확인"))</x:f>
        <x:v>완납</x:v>
      </x:c>
      <x:c r="O2643" s="31" t="n">
        <x:v>18</x:v>
      </x:c>
    </x:row>
    <x:row r="2644" ht="17.25" customHeight="1">
      <x:c r="A2644" s="24" t="str">
        <x:v>PR-B-93오0716-202408</x:v>
      </x:c>
      <x:c r="B2644" s="24" t="str">
        <x:v>프라임구독</x:v>
      </x:c>
      <x:c r="C2644" s="24" t="str">
        <x:v>PR-C-93오0716-1-20230712-211</x:v>
      </x:c>
      <x:c r="D2644" s="24" t="str">
        <x:v>93오0716</x:v>
      </x:c>
      <x:c r="E2644" s="24" t="str">
        <x:v>김성룡</x:v>
      </x:c>
      <x:c r="F2644" s="24" t="str">
        <x:v>2024-08</x:v>
      </x:c>
      <x:c r="G2644" s="30" t="n">
        <x:v>45519</x:v>
      </x:c>
      <x:c r="H2644" s="32" t="n">
        <x:v>708000</x:v>
      </x:c>
      <x:c r="I2644" s="32" t="n">
        <x:v>708000</x:v>
      </x:c>
      <x:c r="J2644" s="32" t="n">
        <x:v>0</x:v>
      </x:c>
      <x:c r="K2644" s="30" t="n">
        <x:v>45519</x:v>
      </x:c>
      <x:c r="L2644" s="24" t="str">
        <x:v>자동</x:v>
      </x:c>
      <x:c r="M2644" s="31" t="n">
        <x:f>IF(AND(N2644="미수",G2644&lt;&gt;"",TODAY()&gt;G2644),TODAY()-G2644,0)</x:f>
        <x:v>0</x:v>
      </x:c>
      <x:c r="N2644" s="24" t="str">
        <x:f>IF(J2644&gt;0,"미수",IF(AND(H2644&gt;0,I2644&gt;=H2644),"완납","미확인"))</x:f>
        <x:v>완납</x:v>
      </x:c>
      <x:c r="O2644" s="31" t="n">
        <x:v>18</x:v>
      </x:c>
    </x:row>
    <x:row r="2645" ht="17.25" customHeight="1">
      <x:c r="A2645" s="24" t="str">
        <x:v>PR-B-93오0716-202407</x:v>
      </x:c>
      <x:c r="B2645" s="24" t="str">
        <x:v>프라임구독</x:v>
      </x:c>
      <x:c r="C2645" s="24" t="str">
        <x:v>PR-C-93오0716-1-20230712-211</x:v>
      </x:c>
      <x:c r="D2645" s="24" t="str">
        <x:v>93오0716</x:v>
      </x:c>
      <x:c r="E2645" s="24" t="str">
        <x:v>김성룡</x:v>
      </x:c>
      <x:c r="F2645" s="24" t="str">
        <x:v>2024-07</x:v>
      </x:c>
      <x:c r="G2645" s="30" t="n">
        <x:v>45488</x:v>
      </x:c>
      <x:c r="H2645" s="32" t="n">
        <x:v>708000</x:v>
      </x:c>
      <x:c r="I2645" s="32" t="n">
        <x:v>708000</x:v>
      </x:c>
      <x:c r="J2645" s="32" t="n">
        <x:v>0</x:v>
      </x:c>
      <x:c r="K2645" s="30" t="n">
        <x:v>45490</x:v>
      </x:c>
      <x:c r="L2645" s="24" t="str">
        <x:v>입금</x:v>
      </x:c>
      <x:c r="M2645" s="31" t="n">
        <x:f>IF(AND(N2645="미수",G2645&lt;&gt;"",TODAY()&gt;G2645),TODAY()-G2645,0)</x:f>
        <x:v>0</x:v>
      </x:c>
      <x:c r="N2645" s="24" t="str">
        <x:f>IF(J2645&gt;0,"미수",IF(AND(H2645&gt;0,I2645&gt;=H2645),"완납","미확인"))</x:f>
        <x:v>완납</x:v>
      </x:c>
      <x:c r="O2645" s="31" t="n">
        <x:v>18</x:v>
      </x:c>
    </x:row>
    <x:row r="2646" ht="17.25" customHeight="1">
      <x:c r="A2646" s="24" t="str">
        <x:v>PR-B-93오0716-202406</x:v>
      </x:c>
      <x:c r="B2646" s="24" t="str">
        <x:v>프라임구독</x:v>
      </x:c>
      <x:c r="C2646" s="24" t="str">
        <x:v>PR-C-93오0716-1-20230712-211</x:v>
      </x:c>
      <x:c r="D2646" s="24" t="str">
        <x:v>93오0716</x:v>
      </x:c>
      <x:c r="E2646" s="24" t="str">
        <x:v>김성룡</x:v>
      </x:c>
      <x:c r="F2646" s="24" t="str">
        <x:v>2024-06</x:v>
      </x:c>
      <x:c r="G2646" s="30" t="n">
        <x:v>45458</x:v>
      </x:c>
      <x:c r="H2646" s="32" t="n">
        <x:v>708000</x:v>
      </x:c>
      <x:c r="I2646" s="32" t="n">
        <x:v>708000</x:v>
      </x:c>
      <x:c r="J2646" s="32" t="n">
        <x:v>0</x:v>
      </x:c>
      <x:c r="K2646" s="30" t="n">
        <x:v>45461</x:v>
      </x:c>
      <x:c r="L2646" s="24" t="str"/>
      <x:c r="M2646" s="31" t="n">
        <x:f>IF(AND(N2646="미수",G2646&lt;&gt;"",TODAY()&gt;G2646),TODAY()-G2646,0)</x:f>
        <x:v>0</x:v>
      </x:c>
      <x:c r="N2646" s="24" t="str">
        <x:f>IF(J2646&gt;0,"미수",IF(AND(H2646&gt;0,I2646&gt;=H2646),"완납","미확인"))</x:f>
        <x:v>완납</x:v>
      </x:c>
      <x:c r="O2646" s="31" t="n">
        <x:v>18</x:v>
      </x:c>
    </x:row>
    <x:row r="2647" ht="17.25" customHeight="1">
      <x:c r="A2647" s="24" t="str">
        <x:v>PR-B-93오0716-202405</x:v>
      </x:c>
      <x:c r="B2647" s="24" t="str">
        <x:v>프라임구독</x:v>
      </x:c>
      <x:c r="C2647" s="24" t="str">
        <x:v>PR-C-93오0716-1-20230712-211</x:v>
      </x:c>
      <x:c r="D2647" s="24" t="str">
        <x:v>93오0716</x:v>
      </x:c>
      <x:c r="E2647" s="24" t="str">
        <x:v>김성룡</x:v>
      </x:c>
      <x:c r="F2647" s="24" t="str">
        <x:v>2024-05</x:v>
      </x:c>
      <x:c r="G2647" s="30" t="n">
        <x:v>45427</x:v>
      </x:c>
      <x:c r="H2647" s="32" t="n">
        <x:v>708000</x:v>
      </x:c>
      <x:c r="I2647" s="32" t="n">
        <x:v>708000</x:v>
      </x:c>
      <x:c r="J2647" s="32" t="n">
        <x:v>0</x:v>
      </x:c>
      <x:c r="K2647" s="30" t="n">
        <x:v>45436</x:v>
      </x:c>
      <x:c r="L2647" s="24" t="str"/>
      <x:c r="M2647" s="31" t="n">
        <x:f>IF(AND(N2647="미수",G2647&lt;&gt;"",TODAY()&gt;G2647),TODAY()-G2647,0)</x:f>
        <x:v>0</x:v>
      </x:c>
      <x:c r="N2647" s="24" t="str">
        <x:f>IF(J2647&gt;0,"미수",IF(AND(H2647&gt;0,I2647&gt;=H2647),"완납","미확인"))</x:f>
        <x:v>완납</x:v>
      </x:c>
      <x:c r="O2647" s="31" t="n">
        <x:v>18</x:v>
      </x:c>
    </x:row>
    <x:row r="2648" ht="17.25" customHeight="1">
      <x:c r="A2648" s="24" t="str">
        <x:v>PR-B-21고4882-202608</x:v>
      </x:c>
      <x:c r="B2648" s="24" t="str">
        <x:v>프라임구독</x:v>
      </x:c>
      <x:c r="C2648" s="24" t="str">
        <x:v>PR-C-21고4882-1-20231117-80</x:v>
      </x:c>
      <x:c r="D2648" s="24" t="str">
        <x:v>21고4882</x:v>
      </x:c>
      <x:c r="E2648" s="24" t="str">
        <x:v>김윤정</x:v>
      </x:c>
      <x:c r="F2648" s="24" t="str">
        <x:v>2026-08</x:v>
      </x:c>
      <x:c r="G2648" s="30" t="n">
        <x:v>46249</x:v>
      </x:c>
      <x:c r="H2648" s="32" t="n">
        <x:v>447000</x:v>
      </x:c>
      <x:c r="I2648" s="32"/>
      <x:c r="J2648" s="32" t="n">
        <x:v>447000</x:v>
      </x:c>
      <x:c r="K2648" s="30"/>
      <x:c r="L2648" s="24" t="str"/>
      <x:c r="M2648" s="31" t="n">
        <x:f>IF(AND(N2648="미수",G2648&lt;&gt;"",TODAY()&gt;G2648),TODAY()-G2648,0)</x:f>
        <x:v>0</x:v>
      </x:c>
      <x:c r="N2648" s="24" t="str">
        <x:f>IF(J2648&gt;0,"미수",IF(AND(H2648&gt;0,I2648&gt;=H2648),"완납","미확인"))</x:f>
        <x:v>미수</x:v>
      </x:c>
      <x:c r="O2648" s="31" t="n">
        <x:v>19</x:v>
      </x:c>
    </x:row>
    <x:row r="2649" ht="17.25" customHeight="1">
      <x:c r="A2649" s="24" t="str">
        <x:v>PR-B-21고4882-202607</x:v>
      </x:c>
      <x:c r="B2649" s="24" t="str">
        <x:v>프라임구독</x:v>
      </x:c>
      <x:c r="C2649" s="24" t="str">
        <x:v>PR-C-21고4882-1-20231117-80</x:v>
      </x:c>
      <x:c r="D2649" s="24" t="str">
        <x:v>21고4882</x:v>
      </x:c>
      <x:c r="E2649" s="24" t="str">
        <x:v>김윤정</x:v>
      </x:c>
      <x:c r="F2649" s="24" t="str">
        <x:v>2026-07</x:v>
      </x:c>
      <x:c r="G2649" s="30" t="n">
        <x:v>46218</x:v>
      </x:c>
      <x:c r="H2649" s="32" t="n">
        <x:v>447000</x:v>
      </x:c>
      <x:c r="I2649" s="32" t="n">
        <x:v>447000</x:v>
      </x:c>
      <x:c r="J2649" s="32" t="n">
        <x:v>0</x:v>
      </x:c>
      <x:c r="K2649" s="30" t="n">
        <x:v>46218</x:v>
      </x:c>
      <x:c r="L2649" s="24" t="str">
        <x:v>입금</x:v>
      </x:c>
      <x:c r="M2649" s="31" t="n">
        <x:f>IF(AND(N2649="미수",G2649&lt;&gt;"",TODAY()&gt;G2649),TODAY()-G2649,0)</x:f>
        <x:v>0</x:v>
      </x:c>
      <x:c r="N2649" s="24" t="str">
        <x:f>IF(J2649&gt;0,"미수",IF(AND(H2649&gt;0,I2649&gt;=H2649),"완납","미확인"))</x:f>
        <x:v>완납</x:v>
      </x:c>
      <x:c r="O2649" s="31" t="n">
        <x:v>19</x:v>
      </x:c>
    </x:row>
    <x:row r="2650" ht="17.25" customHeight="1">
      <x:c r="A2650" s="24" t="str">
        <x:v>PR-B-21고4882-202606</x:v>
      </x:c>
      <x:c r="B2650" s="24" t="str">
        <x:v>프라임구독</x:v>
      </x:c>
      <x:c r="C2650" s="24" t="str">
        <x:v>PR-C-21고4882-1-20231117-80</x:v>
      </x:c>
      <x:c r="D2650" s="24" t="str">
        <x:v>21고4882</x:v>
      </x:c>
      <x:c r="E2650" s="24" t="str">
        <x:v>김윤정</x:v>
      </x:c>
      <x:c r="F2650" s="24" t="str">
        <x:v>2026-06</x:v>
      </x:c>
      <x:c r="G2650" s="30" t="n">
        <x:v>46188</x:v>
      </x:c>
      <x:c r="H2650" s="32" t="n">
        <x:v>447000</x:v>
      </x:c>
      <x:c r="I2650" s="32" t="n">
        <x:v>447000</x:v>
      </x:c>
      <x:c r="J2650" s="32" t="n">
        <x:v>0</x:v>
      </x:c>
      <x:c r="K2650" s="30" t="n">
        <x:v>46189</x:v>
      </x:c>
      <x:c r="L2650" s="24" t="str">
        <x:v>입금</x:v>
      </x:c>
      <x:c r="M2650" s="31" t="n">
        <x:f>IF(AND(N2650="미수",G2650&lt;&gt;"",TODAY()&gt;G2650),TODAY()-G2650,0)</x:f>
        <x:v>0</x:v>
      </x:c>
      <x:c r="N2650" s="24" t="str">
        <x:f>IF(J2650&gt;0,"미수",IF(AND(H2650&gt;0,I2650&gt;=H2650),"완납","미확인"))</x:f>
        <x:v>완납</x:v>
      </x:c>
      <x:c r="O2650" s="31" t="n">
        <x:v>19</x:v>
      </x:c>
    </x:row>
    <x:row r="2651" ht="17.25" customHeight="1">
      <x:c r="A2651" s="24" t="str">
        <x:v>PR-B-21고4882-202605</x:v>
      </x:c>
      <x:c r="B2651" s="24" t="str">
        <x:v>프라임구독</x:v>
      </x:c>
      <x:c r="C2651" s="24" t="str">
        <x:v>PR-C-21고4882-1-20231117-80</x:v>
      </x:c>
      <x:c r="D2651" s="24" t="str">
        <x:v>21고4882</x:v>
      </x:c>
      <x:c r="E2651" s="24" t="str">
        <x:v>김윤정</x:v>
      </x:c>
      <x:c r="F2651" s="24" t="str">
        <x:v>2026-05</x:v>
      </x:c>
      <x:c r="G2651" s="30" t="n">
        <x:v>46157</x:v>
      </x:c>
      <x:c r="H2651" s="32" t="n">
        <x:v>447000</x:v>
      </x:c>
      <x:c r="I2651" s="32" t="n">
        <x:v>447000</x:v>
      </x:c>
      <x:c r="J2651" s="32" t="n">
        <x:v>0</x:v>
      </x:c>
      <x:c r="K2651" s="30" t="n">
        <x:v>46158</x:v>
      </x:c>
      <x:c r="L2651" s="24" t="str">
        <x:v>입금</x:v>
      </x:c>
      <x:c r="M2651" s="31" t="n">
        <x:f>IF(AND(N2651="미수",G2651&lt;&gt;"",TODAY()&gt;G2651),TODAY()-G2651,0)</x:f>
        <x:v>0</x:v>
      </x:c>
      <x:c r="N2651" s="24" t="str">
        <x:f>IF(J2651&gt;0,"미수",IF(AND(H2651&gt;0,I2651&gt;=H2651),"완납","미확인"))</x:f>
        <x:v>완납</x:v>
      </x:c>
      <x:c r="O2651" s="31" t="n">
        <x:v>19</x:v>
      </x:c>
    </x:row>
    <x:row r="2652" ht="17.25" customHeight="1">
      <x:c r="A2652" s="24" t="str">
        <x:v>PR-B-21고4882-202604</x:v>
      </x:c>
      <x:c r="B2652" s="24" t="str">
        <x:v>프라임구독</x:v>
      </x:c>
      <x:c r="C2652" s="24" t="str">
        <x:v>PR-C-21고4882-1-20231117-80</x:v>
      </x:c>
      <x:c r="D2652" s="24" t="str">
        <x:v>21고4882</x:v>
      </x:c>
      <x:c r="E2652" s="24" t="str">
        <x:v>김윤정</x:v>
      </x:c>
      <x:c r="F2652" s="24" t="str">
        <x:v>2026-04</x:v>
      </x:c>
      <x:c r="G2652" s="30" t="n">
        <x:v>46127</x:v>
      </x:c>
      <x:c r="H2652" s="32" t="n">
        <x:v>447000</x:v>
      </x:c>
      <x:c r="I2652" s="32" t="n">
        <x:v>447000</x:v>
      </x:c>
      <x:c r="J2652" s="32" t="n">
        <x:v>0</x:v>
      </x:c>
      <x:c r="K2652" s="30" t="n">
        <x:v>46127</x:v>
      </x:c>
      <x:c r="L2652" s="24" t="str">
        <x:v>입금</x:v>
      </x:c>
      <x:c r="M2652" s="31" t="n">
        <x:f>IF(AND(N2652="미수",G2652&lt;&gt;"",TODAY()&gt;G2652),TODAY()-G2652,0)</x:f>
        <x:v>0</x:v>
      </x:c>
      <x:c r="N2652" s="24" t="str">
        <x:f>IF(J2652&gt;0,"미수",IF(AND(H2652&gt;0,I2652&gt;=H2652),"완납","미확인"))</x:f>
        <x:v>완납</x:v>
      </x:c>
      <x:c r="O2652" s="31" t="n">
        <x:v>19</x:v>
      </x:c>
    </x:row>
    <x:row r="2653" ht="17.25" customHeight="1">
      <x:c r="A2653" s="24" t="str">
        <x:v>PR-B-21고4882-202603</x:v>
      </x:c>
      <x:c r="B2653" s="24" t="str">
        <x:v>프라임구독</x:v>
      </x:c>
      <x:c r="C2653" s="24" t="str">
        <x:v>PR-C-21고4882-1-20231117-80</x:v>
      </x:c>
      <x:c r="D2653" s="24" t="str">
        <x:v>21고4882</x:v>
      </x:c>
      <x:c r="E2653" s="24" t="str">
        <x:v>김윤정</x:v>
      </x:c>
      <x:c r="F2653" s="24" t="str">
        <x:v>2026-03</x:v>
      </x:c>
      <x:c r="G2653" s="30" t="n">
        <x:v>46096</x:v>
      </x:c>
      <x:c r="H2653" s="32" t="n">
        <x:v>447000</x:v>
      </x:c>
      <x:c r="I2653" s="32" t="n">
        <x:v>447000</x:v>
      </x:c>
      <x:c r="J2653" s="32" t="n">
        <x:v>0</x:v>
      </x:c>
      <x:c r="K2653" s="30" t="n">
        <x:v>46097</x:v>
      </x:c>
      <x:c r="L2653" s="24" t="str">
        <x:v>입금</x:v>
      </x:c>
      <x:c r="M2653" s="31" t="n">
        <x:f>IF(AND(N2653="미수",G2653&lt;&gt;"",TODAY()&gt;G2653),TODAY()-G2653,0)</x:f>
        <x:v>0</x:v>
      </x:c>
      <x:c r="N2653" s="24" t="str">
        <x:f>IF(J2653&gt;0,"미수",IF(AND(H2653&gt;0,I2653&gt;=H2653),"완납","미확인"))</x:f>
        <x:v>완납</x:v>
      </x:c>
      <x:c r="O2653" s="31" t="n">
        <x:v>19</x:v>
      </x:c>
    </x:row>
    <x:row r="2654" ht="17.25" customHeight="1">
      <x:c r="A2654" s="24" t="str">
        <x:v>PR-B-21고4882-202602</x:v>
      </x:c>
      <x:c r="B2654" s="24" t="str">
        <x:v>프라임구독</x:v>
      </x:c>
      <x:c r="C2654" s="24" t="str">
        <x:v>PR-C-21고4882-1-20231117-80</x:v>
      </x:c>
      <x:c r="D2654" s="24" t="str">
        <x:v>21고4882</x:v>
      </x:c>
      <x:c r="E2654" s="24" t="str">
        <x:v>김윤정</x:v>
      </x:c>
      <x:c r="F2654" s="24" t="str">
        <x:v>2026-02</x:v>
      </x:c>
      <x:c r="G2654" s="30" t="n">
        <x:v>46068</x:v>
      </x:c>
      <x:c r="H2654" s="32" t="n">
        <x:v>447000</x:v>
      </x:c>
      <x:c r="I2654" s="32" t="n">
        <x:v>447000</x:v>
      </x:c>
      <x:c r="J2654" s="32" t="n">
        <x:v>0</x:v>
      </x:c>
      <x:c r="K2654" s="30" t="n">
        <x:v>46070</x:v>
      </x:c>
      <x:c r="L2654" s="24" t="str">
        <x:v>입금</x:v>
      </x:c>
      <x:c r="M2654" s="31" t="n">
        <x:f>IF(AND(N2654="미수",G2654&lt;&gt;"",TODAY()&gt;G2654),TODAY()-G2654,0)</x:f>
        <x:v>0</x:v>
      </x:c>
      <x:c r="N2654" s="24" t="str">
        <x:f>IF(J2654&gt;0,"미수",IF(AND(H2654&gt;0,I2654&gt;=H2654),"완납","미확인"))</x:f>
        <x:v>완납</x:v>
      </x:c>
      <x:c r="O2654" s="31" t="n">
        <x:v>19</x:v>
      </x:c>
    </x:row>
    <x:row r="2655" ht="17.25" customHeight="1">
      <x:c r="A2655" s="24" t="str">
        <x:v>PR-B-21고4882-202601</x:v>
      </x:c>
      <x:c r="B2655" s="24" t="str">
        <x:v>프라임구독</x:v>
      </x:c>
      <x:c r="C2655" s="24" t="str">
        <x:v>PR-C-21고4882-1-20231117-80</x:v>
      </x:c>
      <x:c r="D2655" s="24" t="str">
        <x:v>21고4882</x:v>
      </x:c>
      <x:c r="E2655" s="24" t="str">
        <x:v>김윤정</x:v>
      </x:c>
      <x:c r="F2655" s="24" t="str">
        <x:v>2026-01</x:v>
      </x:c>
      <x:c r="G2655" s="30" t="n">
        <x:v>46037</x:v>
      </x:c>
      <x:c r="H2655" s="32" t="n">
        <x:v>447000</x:v>
      </x:c>
      <x:c r="I2655" s="32" t="n">
        <x:v>447000</x:v>
      </x:c>
      <x:c r="J2655" s="32" t="n">
        <x:v>0</x:v>
      </x:c>
      <x:c r="K2655" s="30" t="n">
        <x:v>46037</x:v>
      </x:c>
      <x:c r="L2655" s="24" t="str">
        <x:v>입금</x:v>
      </x:c>
      <x:c r="M2655" s="31" t="n">
        <x:f>IF(AND(N2655="미수",G2655&lt;&gt;"",TODAY()&gt;G2655),TODAY()-G2655,0)</x:f>
        <x:v>0</x:v>
      </x:c>
      <x:c r="N2655" s="24" t="str">
        <x:f>IF(J2655&gt;0,"미수",IF(AND(H2655&gt;0,I2655&gt;=H2655),"완납","미확인"))</x:f>
        <x:v>완납</x:v>
      </x:c>
      <x:c r="O2655" s="31" t="n">
        <x:v>19</x:v>
      </x:c>
    </x:row>
    <x:row r="2656" ht="17.25" customHeight="1">
      <x:c r="A2656" s="24" t="str">
        <x:v>PR-B-21고4882-202512</x:v>
      </x:c>
      <x:c r="B2656" s="24" t="str">
        <x:v>프라임구독</x:v>
      </x:c>
      <x:c r="C2656" s="24" t="str">
        <x:v>PR-C-21고4882-1-20231117-80</x:v>
      </x:c>
      <x:c r="D2656" s="24" t="str">
        <x:v>21고4882</x:v>
      </x:c>
      <x:c r="E2656" s="24" t="str">
        <x:v>김윤정</x:v>
      </x:c>
      <x:c r="F2656" s="24" t="str">
        <x:v>2025-12</x:v>
      </x:c>
      <x:c r="G2656" s="30" t="n">
        <x:v>46006</x:v>
      </x:c>
      <x:c r="H2656" s="32" t="n">
        <x:v>447000</x:v>
      </x:c>
      <x:c r="I2656" s="32" t="n">
        <x:v>447000</x:v>
      </x:c>
      <x:c r="J2656" s="32" t="n">
        <x:v>0</x:v>
      </x:c>
      <x:c r="K2656" s="30" t="n">
        <x:v>46007</x:v>
      </x:c>
      <x:c r="L2656" s="24" t="str">
        <x:v>입금</x:v>
      </x:c>
      <x:c r="M2656" s="31" t="n">
        <x:f>IF(AND(N2656="미수",G2656&lt;&gt;"",TODAY()&gt;G2656),TODAY()-G2656,0)</x:f>
        <x:v>0</x:v>
      </x:c>
      <x:c r="N2656" s="24" t="str">
        <x:f>IF(J2656&gt;0,"미수",IF(AND(H2656&gt;0,I2656&gt;=H2656),"완납","미확인"))</x:f>
        <x:v>완납</x:v>
      </x:c>
      <x:c r="O2656" s="31" t="n">
        <x:v>19</x:v>
      </x:c>
    </x:row>
    <x:row r="2657" ht="17.25" customHeight="1">
      <x:c r="A2657" s="24" t="str">
        <x:v>PR-B-21고4882-202511</x:v>
      </x:c>
      <x:c r="B2657" s="24" t="str">
        <x:v>프라임구독</x:v>
      </x:c>
      <x:c r="C2657" s="24" t="str">
        <x:v>PR-C-21고4882-1-20231117-80</x:v>
      </x:c>
      <x:c r="D2657" s="24" t="str">
        <x:v>21고4882</x:v>
      </x:c>
      <x:c r="E2657" s="24" t="str">
        <x:v>김윤정</x:v>
      </x:c>
      <x:c r="F2657" s="24" t="str">
        <x:v>2025-11</x:v>
      </x:c>
      <x:c r="G2657" s="30" t="n">
        <x:v>45976</x:v>
      </x:c>
      <x:c r="H2657" s="32" t="n">
        <x:v>447000</x:v>
      </x:c>
      <x:c r="I2657" s="32" t="n">
        <x:v>447000</x:v>
      </x:c>
      <x:c r="J2657" s="32" t="n">
        <x:v>0</x:v>
      </x:c>
      <x:c r="K2657" s="30" t="n">
        <x:v>45977</x:v>
      </x:c>
      <x:c r="L2657" s="24" t="str">
        <x:v>입금</x:v>
      </x:c>
      <x:c r="M2657" s="31" t="n">
        <x:f>IF(AND(N2657="미수",G2657&lt;&gt;"",TODAY()&gt;G2657),TODAY()-G2657,0)</x:f>
        <x:v>0</x:v>
      </x:c>
      <x:c r="N2657" s="24" t="str">
        <x:f>IF(J2657&gt;0,"미수",IF(AND(H2657&gt;0,I2657&gt;=H2657),"완납","미확인"))</x:f>
        <x:v>완납</x:v>
      </x:c>
      <x:c r="O2657" s="31" t="n">
        <x:v>19</x:v>
      </x:c>
    </x:row>
    <x:row r="2658" ht="17.25" customHeight="1">
      <x:c r="A2658" s="24" t="str">
        <x:v>PR-B-21고4882-202510</x:v>
      </x:c>
      <x:c r="B2658" s="24" t="str">
        <x:v>프라임구독</x:v>
      </x:c>
      <x:c r="C2658" s="24" t="str">
        <x:v>PR-C-21고4882-1-20231117-80</x:v>
      </x:c>
      <x:c r="D2658" s="24" t="str">
        <x:v>21고4882</x:v>
      </x:c>
      <x:c r="E2658" s="24" t="str">
        <x:v>김윤정</x:v>
      </x:c>
      <x:c r="F2658" s="24" t="str">
        <x:v>2025-10</x:v>
      </x:c>
      <x:c r="G2658" s="30" t="n">
        <x:v>45945</x:v>
      </x:c>
      <x:c r="H2658" s="32" t="n">
        <x:v>447000</x:v>
      </x:c>
      <x:c r="I2658" s="32" t="n">
        <x:v>447000</x:v>
      </x:c>
      <x:c r="J2658" s="32" t="n">
        <x:v>0</x:v>
      </x:c>
      <x:c r="K2658" s="30" t="n">
        <x:v>45947</x:v>
      </x:c>
      <x:c r="L2658" s="24" t="str">
        <x:v>입금</x:v>
      </x:c>
      <x:c r="M2658" s="31" t="n">
        <x:f>IF(AND(N2658="미수",G2658&lt;&gt;"",TODAY()&gt;G2658),TODAY()-G2658,0)</x:f>
        <x:v>0</x:v>
      </x:c>
      <x:c r="N2658" s="24" t="str">
        <x:f>IF(J2658&gt;0,"미수",IF(AND(H2658&gt;0,I2658&gt;=H2658),"완납","미확인"))</x:f>
        <x:v>완납</x:v>
      </x:c>
      <x:c r="O2658" s="31" t="n">
        <x:v>19</x:v>
      </x:c>
    </x:row>
    <x:row r="2659" ht="17.25" customHeight="1">
      <x:c r="A2659" s="24" t="str">
        <x:v>PR-B-21고4882-202509</x:v>
      </x:c>
      <x:c r="B2659" s="24" t="str">
        <x:v>프라임구독</x:v>
      </x:c>
      <x:c r="C2659" s="24" t="str">
        <x:v>PR-C-21고4882-1-20231117-80</x:v>
      </x:c>
      <x:c r="D2659" s="24" t="str">
        <x:v>21고4882</x:v>
      </x:c>
      <x:c r="E2659" s="24" t="str">
        <x:v>김윤정</x:v>
      </x:c>
      <x:c r="F2659" s="24" t="str">
        <x:v>2025-09</x:v>
      </x:c>
      <x:c r="G2659" s="30" t="n">
        <x:v>45915</x:v>
      </x:c>
      <x:c r="H2659" s="32" t="n">
        <x:v>447000</x:v>
      </x:c>
      <x:c r="I2659" s="32" t="n">
        <x:v>447000</x:v>
      </x:c>
      <x:c r="J2659" s="32" t="n">
        <x:v>0</x:v>
      </x:c>
      <x:c r="K2659" s="30" t="n">
        <x:v>45916</x:v>
      </x:c>
      <x:c r="L2659" s="24" t="str">
        <x:v>입금</x:v>
      </x:c>
      <x:c r="M2659" s="31" t="n">
        <x:f>IF(AND(N2659="미수",G2659&lt;&gt;"",TODAY()&gt;G2659),TODAY()-G2659,0)</x:f>
        <x:v>0</x:v>
      </x:c>
      <x:c r="N2659" s="24" t="str">
        <x:f>IF(J2659&gt;0,"미수",IF(AND(H2659&gt;0,I2659&gt;=H2659),"완납","미확인"))</x:f>
        <x:v>완납</x:v>
      </x:c>
      <x:c r="O2659" s="31" t="n">
        <x:v>19</x:v>
      </x:c>
    </x:row>
    <x:row r="2660" ht="17.25" customHeight="1">
      <x:c r="A2660" s="24" t="str">
        <x:v>PR-B-21고4882-202508</x:v>
      </x:c>
      <x:c r="B2660" s="24" t="str">
        <x:v>프라임구독</x:v>
      </x:c>
      <x:c r="C2660" s="24" t="str">
        <x:v>PR-C-21고4882-1-20231117-80</x:v>
      </x:c>
      <x:c r="D2660" s="24" t="str">
        <x:v>21고4882</x:v>
      </x:c>
      <x:c r="E2660" s="24" t="str">
        <x:v>김윤정</x:v>
      </x:c>
      <x:c r="F2660" s="24" t="str">
        <x:v>2025-08</x:v>
      </x:c>
      <x:c r="G2660" s="30" t="n">
        <x:v>45884</x:v>
      </x:c>
      <x:c r="H2660" s="32" t="n">
        <x:v>447000</x:v>
      </x:c>
      <x:c r="I2660" s="32" t="n">
        <x:v>447000</x:v>
      </x:c>
      <x:c r="J2660" s="32" t="n">
        <x:v>0</x:v>
      </x:c>
      <x:c r="K2660" s="30" t="n">
        <x:v>45885</x:v>
      </x:c>
      <x:c r="L2660" s="24" t="str">
        <x:v>입금</x:v>
      </x:c>
      <x:c r="M2660" s="31" t="n">
        <x:f>IF(AND(N2660="미수",G2660&lt;&gt;"",TODAY()&gt;G2660),TODAY()-G2660,0)</x:f>
        <x:v>0</x:v>
      </x:c>
      <x:c r="N2660" s="24" t="str">
        <x:f>IF(J2660&gt;0,"미수",IF(AND(H2660&gt;0,I2660&gt;=H2660),"완납","미확인"))</x:f>
        <x:v>완납</x:v>
      </x:c>
      <x:c r="O2660" s="31" t="n">
        <x:v>19</x:v>
      </x:c>
    </x:row>
    <x:row r="2661" ht="17.25" customHeight="1">
      <x:c r="A2661" s="24" t="str">
        <x:v>PR-B-21고4882-202507</x:v>
      </x:c>
      <x:c r="B2661" s="24" t="str">
        <x:v>프라임구독</x:v>
      </x:c>
      <x:c r="C2661" s="24" t="str">
        <x:v>PR-C-21고4882-1-20231117-80</x:v>
      </x:c>
      <x:c r="D2661" s="24" t="str">
        <x:v>21고4882</x:v>
      </x:c>
      <x:c r="E2661" s="24" t="str">
        <x:v>김윤정</x:v>
      </x:c>
      <x:c r="F2661" s="24" t="str">
        <x:v>2025-07</x:v>
      </x:c>
      <x:c r="G2661" s="30" t="n">
        <x:v>45853</x:v>
      </x:c>
      <x:c r="H2661" s="32" t="n">
        <x:v>447000</x:v>
      </x:c>
      <x:c r="I2661" s="32" t="n">
        <x:v>447000</x:v>
      </x:c>
      <x:c r="J2661" s="32" t="n">
        <x:v>0</x:v>
      </x:c>
      <x:c r="K2661" s="30" t="n">
        <x:v>45854</x:v>
      </x:c>
      <x:c r="L2661" s="24" t="str">
        <x:v>입금</x:v>
      </x:c>
      <x:c r="M2661" s="31" t="n">
        <x:f>IF(AND(N2661="미수",G2661&lt;&gt;"",TODAY()&gt;G2661),TODAY()-G2661,0)</x:f>
        <x:v>0</x:v>
      </x:c>
      <x:c r="N2661" s="24" t="str">
        <x:f>IF(J2661&gt;0,"미수",IF(AND(H2661&gt;0,I2661&gt;=H2661),"완납","미확인"))</x:f>
        <x:v>완납</x:v>
      </x:c>
      <x:c r="O2661" s="31" t="n">
        <x:v>19</x:v>
      </x:c>
    </x:row>
    <x:row r="2662" ht="17.25" customHeight="1">
      <x:c r="A2662" s="24" t="str">
        <x:v>PR-B-21고4882-202506</x:v>
      </x:c>
      <x:c r="B2662" s="24" t="str">
        <x:v>프라임구독</x:v>
      </x:c>
      <x:c r="C2662" s="24" t="str">
        <x:v>PR-C-21고4882-1-20231117-80</x:v>
      </x:c>
      <x:c r="D2662" s="24" t="str">
        <x:v>21고4882</x:v>
      </x:c>
      <x:c r="E2662" s="24" t="str">
        <x:v>김윤정</x:v>
      </x:c>
      <x:c r="F2662" s="24" t="str">
        <x:v>2025-06</x:v>
      </x:c>
      <x:c r="G2662" s="30" t="n">
        <x:v>45823</x:v>
      </x:c>
      <x:c r="H2662" s="32" t="n">
        <x:v>447000</x:v>
      </x:c>
      <x:c r="I2662" s="32" t="n">
        <x:v>447000</x:v>
      </x:c>
      <x:c r="J2662" s="32" t="n">
        <x:v>0</x:v>
      </x:c>
      <x:c r="K2662" s="30" t="n">
        <x:v>45825</x:v>
      </x:c>
      <x:c r="L2662" s="24" t="str">
        <x:v>입금</x:v>
      </x:c>
      <x:c r="M2662" s="31" t="n">
        <x:f>IF(AND(N2662="미수",G2662&lt;&gt;"",TODAY()&gt;G2662),TODAY()-G2662,0)</x:f>
        <x:v>0</x:v>
      </x:c>
      <x:c r="N2662" s="24" t="str">
        <x:f>IF(J2662&gt;0,"미수",IF(AND(H2662&gt;0,I2662&gt;=H2662),"완납","미확인"))</x:f>
        <x:v>완납</x:v>
      </x:c>
      <x:c r="O2662" s="31" t="n">
        <x:v>19</x:v>
      </x:c>
    </x:row>
    <x:row r="2663" ht="17.25" customHeight="1">
      <x:c r="A2663" s="24" t="str">
        <x:v>PR-B-21고4882-202505</x:v>
      </x:c>
      <x:c r="B2663" s="24" t="str">
        <x:v>프라임구독</x:v>
      </x:c>
      <x:c r="C2663" s="24" t="str">
        <x:v>PR-C-21고4882-1-20231117-80</x:v>
      </x:c>
      <x:c r="D2663" s="24" t="str">
        <x:v>21고4882</x:v>
      </x:c>
      <x:c r="E2663" s="24" t="str">
        <x:v>김윤정</x:v>
      </x:c>
      <x:c r="F2663" s="24" t="str">
        <x:v>2025-05</x:v>
      </x:c>
      <x:c r="G2663" s="30" t="n">
        <x:v>45792</x:v>
      </x:c>
      <x:c r="H2663" s="32" t="n">
        <x:v>447000</x:v>
      </x:c>
      <x:c r="I2663" s="32" t="n">
        <x:v>447000</x:v>
      </x:c>
      <x:c r="J2663" s="32" t="n">
        <x:v>0</x:v>
      </x:c>
      <x:c r="K2663" s="30" t="n">
        <x:v>45793</x:v>
      </x:c>
      <x:c r="L2663" s="24" t="str">
        <x:v>입금</x:v>
      </x:c>
      <x:c r="M2663" s="31" t="n">
        <x:f>IF(AND(N2663="미수",G2663&lt;&gt;"",TODAY()&gt;G2663),TODAY()-G2663,0)</x:f>
        <x:v>0</x:v>
      </x:c>
      <x:c r="N2663" s="24" t="str">
        <x:f>IF(J2663&gt;0,"미수",IF(AND(H2663&gt;0,I2663&gt;=H2663),"완납","미확인"))</x:f>
        <x:v>완납</x:v>
      </x:c>
      <x:c r="O2663" s="31" t="n">
        <x:v>19</x:v>
      </x:c>
    </x:row>
    <x:row r="2664" ht="17.25" customHeight="1">
      <x:c r="A2664" s="24" t="str">
        <x:v>PR-B-21고4882-202504</x:v>
      </x:c>
      <x:c r="B2664" s="24" t="str">
        <x:v>프라임구독</x:v>
      </x:c>
      <x:c r="C2664" s="24" t="str">
        <x:v>PR-C-21고4882-1-20231117-80</x:v>
      </x:c>
      <x:c r="D2664" s="24" t="str">
        <x:v>21고4882</x:v>
      </x:c>
      <x:c r="E2664" s="24" t="str">
        <x:v>김윤정</x:v>
      </x:c>
      <x:c r="F2664" s="24" t="str">
        <x:v>2025-04</x:v>
      </x:c>
      <x:c r="G2664" s="30" t="n">
        <x:v>45762</x:v>
      </x:c>
      <x:c r="H2664" s="32" t="n">
        <x:v>447000</x:v>
      </x:c>
      <x:c r="I2664" s="32" t="n">
        <x:v>447000</x:v>
      </x:c>
      <x:c r="J2664" s="32" t="n">
        <x:v>0</x:v>
      </x:c>
      <x:c r="K2664" s="30" t="n">
        <x:v>45763</x:v>
      </x:c>
      <x:c r="L2664" s="24" t="str">
        <x:v>입금</x:v>
      </x:c>
      <x:c r="M2664" s="31" t="n">
        <x:f>IF(AND(N2664="미수",G2664&lt;&gt;"",TODAY()&gt;G2664),TODAY()-G2664,0)</x:f>
        <x:v>0</x:v>
      </x:c>
      <x:c r="N2664" s="24" t="str">
        <x:f>IF(J2664&gt;0,"미수",IF(AND(H2664&gt;0,I2664&gt;=H2664),"완납","미확인"))</x:f>
        <x:v>완납</x:v>
      </x:c>
      <x:c r="O2664" s="31" t="n">
        <x:v>19</x:v>
      </x:c>
    </x:row>
    <x:row r="2665" ht="17.25" customHeight="1">
      <x:c r="A2665" s="24" t="str">
        <x:v>PR-B-21고4882-202503</x:v>
      </x:c>
      <x:c r="B2665" s="24" t="str">
        <x:v>프라임구독</x:v>
      </x:c>
      <x:c r="C2665" s="24" t="str">
        <x:v>PR-C-21고4882-1-20231117-80</x:v>
      </x:c>
      <x:c r="D2665" s="24" t="str">
        <x:v>21고4882</x:v>
      </x:c>
      <x:c r="E2665" s="24" t="str">
        <x:v>김윤정</x:v>
      </x:c>
      <x:c r="F2665" s="24" t="str">
        <x:v>2025-03</x:v>
      </x:c>
      <x:c r="G2665" s="30" t="n">
        <x:v>45731</x:v>
      </x:c>
      <x:c r="H2665" s="32" t="n">
        <x:v>447000</x:v>
      </x:c>
      <x:c r="I2665" s="32" t="n">
        <x:v>447000</x:v>
      </x:c>
      <x:c r="J2665" s="32" t="n">
        <x:v>0</x:v>
      </x:c>
      <x:c r="K2665" s="30" t="n">
        <x:v>45732</x:v>
      </x:c>
      <x:c r="L2665" s="24" t="str">
        <x:v>입금</x:v>
      </x:c>
      <x:c r="M2665" s="31" t="n">
        <x:f>IF(AND(N2665="미수",G2665&lt;&gt;"",TODAY()&gt;G2665),TODAY()-G2665,0)</x:f>
        <x:v>0</x:v>
      </x:c>
      <x:c r="N2665" s="24" t="str">
        <x:f>IF(J2665&gt;0,"미수",IF(AND(H2665&gt;0,I2665&gt;=H2665),"완납","미확인"))</x:f>
        <x:v>완납</x:v>
      </x:c>
      <x:c r="O2665" s="31" t="n">
        <x:v>19</x:v>
      </x:c>
    </x:row>
    <x:row r="2666" ht="17.25" customHeight="1">
      <x:c r="A2666" s="24" t="str">
        <x:v>PR-B-21고4882-202502</x:v>
      </x:c>
      <x:c r="B2666" s="24" t="str">
        <x:v>프라임구독</x:v>
      </x:c>
      <x:c r="C2666" s="24" t="str">
        <x:v>PR-C-21고4882-1-20231117-80</x:v>
      </x:c>
      <x:c r="D2666" s="24" t="str">
        <x:v>21고4882</x:v>
      </x:c>
      <x:c r="E2666" s="24" t="str">
        <x:v>김윤정</x:v>
      </x:c>
      <x:c r="F2666" s="24" t="str">
        <x:v>2025-02</x:v>
      </x:c>
      <x:c r="G2666" s="30" t="n">
        <x:v>45703</x:v>
      </x:c>
      <x:c r="H2666" s="32" t="n">
        <x:v>447000</x:v>
      </x:c>
      <x:c r="I2666" s="32" t="n">
        <x:v>447000</x:v>
      </x:c>
      <x:c r="J2666" s="32" t="n">
        <x:v>0</x:v>
      </x:c>
      <x:c r="K2666" s="30" t="n">
        <x:v>45703</x:v>
      </x:c>
      <x:c r="L2666" s="24" t="str">
        <x:v>입금</x:v>
      </x:c>
      <x:c r="M2666" s="31" t="n">
        <x:f>IF(AND(N2666="미수",G2666&lt;&gt;"",TODAY()&gt;G2666),TODAY()-G2666,0)</x:f>
        <x:v>0</x:v>
      </x:c>
      <x:c r="N2666" s="24" t="str">
        <x:f>IF(J2666&gt;0,"미수",IF(AND(H2666&gt;0,I2666&gt;=H2666),"완납","미확인"))</x:f>
        <x:v>완납</x:v>
      </x:c>
      <x:c r="O2666" s="31" t="n">
        <x:v>19</x:v>
      </x:c>
    </x:row>
    <x:row r="2667" ht="17.25" customHeight="1">
      <x:c r="A2667" s="24" t="str">
        <x:v>PR-B-21고4882-202501</x:v>
      </x:c>
      <x:c r="B2667" s="24" t="str">
        <x:v>프라임구독</x:v>
      </x:c>
      <x:c r="C2667" s="24" t="str">
        <x:v>PR-C-21고4882-1-20231117-80</x:v>
      </x:c>
      <x:c r="D2667" s="24" t="str">
        <x:v>21고4882</x:v>
      </x:c>
      <x:c r="E2667" s="24" t="str">
        <x:v>김윤정</x:v>
      </x:c>
      <x:c r="F2667" s="24" t="str">
        <x:v>2025-01</x:v>
      </x:c>
      <x:c r="G2667" s="30" t="n">
        <x:v>45672</x:v>
      </x:c>
      <x:c r="H2667" s="32" t="n">
        <x:v>447000</x:v>
      </x:c>
      <x:c r="I2667" s="32" t="n">
        <x:v>447000</x:v>
      </x:c>
      <x:c r="J2667" s="32" t="n">
        <x:v>0</x:v>
      </x:c>
      <x:c r="K2667" s="30" t="n">
        <x:v>45673</x:v>
      </x:c>
      <x:c r="L2667" s="24" t="str">
        <x:v>입금</x:v>
      </x:c>
      <x:c r="M2667" s="31" t="n">
        <x:f>IF(AND(N2667="미수",G2667&lt;&gt;"",TODAY()&gt;G2667),TODAY()-G2667,0)</x:f>
        <x:v>0</x:v>
      </x:c>
      <x:c r="N2667" s="24" t="str">
        <x:f>IF(J2667&gt;0,"미수",IF(AND(H2667&gt;0,I2667&gt;=H2667),"완납","미확인"))</x:f>
        <x:v>완납</x:v>
      </x:c>
      <x:c r="O2667" s="31" t="n">
        <x:v>19</x:v>
      </x:c>
    </x:row>
    <x:row r="2668" ht="17.25" customHeight="1">
      <x:c r="A2668" s="24" t="str">
        <x:v>PR-B-21고4882-202412</x:v>
      </x:c>
      <x:c r="B2668" s="24" t="str">
        <x:v>프라임구독</x:v>
      </x:c>
      <x:c r="C2668" s="24" t="str">
        <x:v>PR-C-21고4882-1-20231117-80</x:v>
      </x:c>
      <x:c r="D2668" s="24" t="str">
        <x:v>21고4882</x:v>
      </x:c>
      <x:c r="E2668" s="24" t="str">
        <x:v>김윤정</x:v>
      </x:c>
      <x:c r="F2668" s="24" t="str">
        <x:v>2024-12</x:v>
      </x:c>
      <x:c r="G2668" s="30" t="n">
        <x:v>45641</x:v>
      </x:c>
      <x:c r="H2668" s="32" t="n">
        <x:v>447000</x:v>
      </x:c>
      <x:c r="I2668" s="32" t="n">
        <x:v>447000</x:v>
      </x:c>
      <x:c r="J2668" s="32" t="n">
        <x:v>0</x:v>
      </x:c>
      <x:c r="K2668" s="30" t="n">
        <x:v>45643</x:v>
      </x:c>
      <x:c r="L2668" s="24" t="str">
        <x:v>입금</x:v>
      </x:c>
      <x:c r="M2668" s="31" t="n">
        <x:f>IF(AND(N2668="미수",G2668&lt;&gt;"",TODAY()&gt;G2668),TODAY()-G2668,0)</x:f>
        <x:v>0</x:v>
      </x:c>
      <x:c r="N2668" s="24" t="str">
        <x:f>IF(J2668&gt;0,"미수",IF(AND(H2668&gt;0,I2668&gt;=H2668),"완납","미확인"))</x:f>
        <x:v>완납</x:v>
      </x:c>
      <x:c r="O2668" s="31" t="n">
        <x:v>19</x:v>
      </x:c>
    </x:row>
    <x:row r="2669" ht="17.25" customHeight="1">
      <x:c r="A2669" s="24" t="str">
        <x:v>PR-B-21고4882-202411</x:v>
      </x:c>
      <x:c r="B2669" s="24" t="str">
        <x:v>프라임구독</x:v>
      </x:c>
      <x:c r="C2669" s="24" t="str">
        <x:v>PR-C-21고4882-1-20231117-80</x:v>
      </x:c>
      <x:c r="D2669" s="24" t="str">
        <x:v>21고4882</x:v>
      </x:c>
      <x:c r="E2669" s="24" t="str">
        <x:v>김윤정</x:v>
      </x:c>
      <x:c r="F2669" s="24" t="str">
        <x:v>2024-11</x:v>
      </x:c>
      <x:c r="G2669" s="30" t="n">
        <x:v>45611</x:v>
      </x:c>
      <x:c r="H2669" s="32" t="n">
        <x:v>447000</x:v>
      </x:c>
      <x:c r="I2669" s="32" t="n">
        <x:v>447000</x:v>
      </x:c>
      <x:c r="J2669" s="32" t="n">
        <x:v>0</x:v>
      </x:c>
      <x:c r="K2669" s="30" t="n">
        <x:v>45612</x:v>
      </x:c>
      <x:c r="L2669" s="24" t="str">
        <x:v>입금</x:v>
      </x:c>
      <x:c r="M2669" s="31" t="n">
        <x:f>IF(AND(N2669="미수",G2669&lt;&gt;"",TODAY()&gt;G2669),TODAY()-G2669,0)</x:f>
        <x:v>0</x:v>
      </x:c>
      <x:c r="N2669" s="24" t="str">
        <x:f>IF(J2669&gt;0,"미수",IF(AND(H2669&gt;0,I2669&gt;=H2669),"완납","미확인"))</x:f>
        <x:v>완납</x:v>
      </x:c>
      <x:c r="O2669" s="31" t="n">
        <x:v>19</x:v>
      </x:c>
    </x:row>
    <x:row r="2670" ht="17.25" customHeight="1">
      <x:c r="A2670" s="24" t="str">
        <x:v>PR-B-21고4882-202410</x:v>
      </x:c>
      <x:c r="B2670" s="24" t="str">
        <x:v>프라임구독</x:v>
      </x:c>
      <x:c r="C2670" s="24" t="str">
        <x:v>PR-C-21고4882-1-20231117-80</x:v>
      </x:c>
      <x:c r="D2670" s="24" t="str">
        <x:v>21고4882</x:v>
      </x:c>
      <x:c r="E2670" s="24" t="str">
        <x:v>김윤정</x:v>
      </x:c>
      <x:c r="F2670" s="24" t="str">
        <x:v>2024-10</x:v>
      </x:c>
      <x:c r="G2670" s="30" t="n">
        <x:v>45580</x:v>
      </x:c>
      <x:c r="H2670" s="32" t="n">
        <x:v>447000</x:v>
      </x:c>
      <x:c r="I2670" s="32" t="n">
        <x:v>447000</x:v>
      </x:c>
      <x:c r="J2670" s="32" t="n">
        <x:v>0</x:v>
      </x:c>
      <x:c r="K2670" s="30" t="n">
        <x:v>45581</x:v>
      </x:c>
      <x:c r="L2670" s="24" t="str">
        <x:v>입금</x:v>
      </x:c>
      <x:c r="M2670" s="31" t="n">
        <x:f>IF(AND(N2670="미수",G2670&lt;&gt;"",TODAY()&gt;G2670),TODAY()-G2670,0)</x:f>
        <x:v>0</x:v>
      </x:c>
      <x:c r="N2670" s="24" t="str">
        <x:f>IF(J2670&gt;0,"미수",IF(AND(H2670&gt;0,I2670&gt;=H2670),"완납","미확인"))</x:f>
        <x:v>완납</x:v>
      </x:c>
      <x:c r="O2670" s="31" t="n">
        <x:v>19</x:v>
      </x:c>
    </x:row>
    <x:row r="2671" ht="17.25" customHeight="1">
      <x:c r="A2671" s="24" t="str">
        <x:v>PR-B-21고4882-202409</x:v>
      </x:c>
      <x:c r="B2671" s="24" t="str">
        <x:v>프라임구독</x:v>
      </x:c>
      <x:c r="C2671" s="24" t="str">
        <x:v>PR-C-21고4882-1-20231117-80</x:v>
      </x:c>
      <x:c r="D2671" s="24" t="str">
        <x:v>21고4882</x:v>
      </x:c>
      <x:c r="E2671" s="24" t="str">
        <x:v>김윤정</x:v>
      </x:c>
      <x:c r="F2671" s="24" t="str">
        <x:v>2024-09</x:v>
      </x:c>
      <x:c r="G2671" s="30" t="n">
        <x:v>45550</x:v>
      </x:c>
      <x:c r="H2671" s="32" t="n">
        <x:v>447000</x:v>
      </x:c>
      <x:c r="I2671" s="32" t="n">
        <x:v>447000</x:v>
      </x:c>
      <x:c r="J2671" s="32" t="n">
        <x:v>0</x:v>
      </x:c>
      <x:c r="K2671" s="30" t="n">
        <x:v>45555</x:v>
      </x:c>
      <x:c r="L2671" s="24" t="str">
        <x:v>입금</x:v>
      </x:c>
      <x:c r="M2671" s="31" t="n">
        <x:f>IF(AND(N2671="미수",G2671&lt;&gt;"",TODAY()&gt;G2671),TODAY()-G2671,0)</x:f>
        <x:v>0</x:v>
      </x:c>
      <x:c r="N2671" s="24" t="str">
        <x:f>IF(J2671&gt;0,"미수",IF(AND(H2671&gt;0,I2671&gt;=H2671),"완납","미확인"))</x:f>
        <x:v>완납</x:v>
      </x:c>
      <x:c r="O2671" s="31" t="n">
        <x:v>19</x:v>
      </x:c>
    </x:row>
    <x:row r="2672" ht="17.25" customHeight="1">
      <x:c r="A2672" s="24" t="str">
        <x:v>PR-B-21고4882-202408</x:v>
      </x:c>
      <x:c r="B2672" s="24" t="str">
        <x:v>프라임구독</x:v>
      </x:c>
      <x:c r="C2672" s="24" t="str">
        <x:v>PR-C-21고4882-1-20231117-80</x:v>
      </x:c>
      <x:c r="D2672" s="24" t="str">
        <x:v>21고4882</x:v>
      </x:c>
      <x:c r="E2672" s="24" t="str">
        <x:v>김윤정</x:v>
      </x:c>
      <x:c r="F2672" s="24" t="str">
        <x:v>2024-08</x:v>
      </x:c>
      <x:c r="G2672" s="30" t="n">
        <x:v>45519</x:v>
      </x:c>
      <x:c r="H2672" s="32" t="n">
        <x:v>447000</x:v>
      </x:c>
      <x:c r="I2672" s="32" t="n">
        <x:v>447000</x:v>
      </x:c>
      <x:c r="J2672" s="32" t="n">
        <x:v>0</x:v>
      </x:c>
      <x:c r="K2672" s="30" t="n">
        <x:v>45520</x:v>
      </x:c>
      <x:c r="L2672" s="24" t="str">
        <x:v>입금</x:v>
      </x:c>
      <x:c r="M2672" s="31" t="n">
        <x:f>IF(AND(N2672="미수",G2672&lt;&gt;"",TODAY()&gt;G2672),TODAY()-G2672,0)</x:f>
        <x:v>0</x:v>
      </x:c>
      <x:c r="N2672" s="24" t="str">
        <x:f>IF(J2672&gt;0,"미수",IF(AND(H2672&gt;0,I2672&gt;=H2672),"완납","미확인"))</x:f>
        <x:v>완납</x:v>
      </x:c>
      <x:c r="O2672" s="31" t="n">
        <x:v>19</x:v>
      </x:c>
    </x:row>
    <x:row r="2673" ht="17.25" customHeight="1">
      <x:c r="A2673" s="24" t="str">
        <x:v>PR-B-21고4882-202407</x:v>
      </x:c>
      <x:c r="B2673" s="24" t="str">
        <x:v>프라임구독</x:v>
      </x:c>
      <x:c r="C2673" s="24" t="str">
        <x:v>PR-C-21고4882-1-20231117-80</x:v>
      </x:c>
      <x:c r="D2673" s="24" t="str">
        <x:v>21고4882</x:v>
      </x:c>
      <x:c r="E2673" s="24" t="str">
        <x:v>김윤정</x:v>
      </x:c>
      <x:c r="F2673" s="24" t="str">
        <x:v>2024-07</x:v>
      </x:c>
      <x:c r="G2673" s="30" t="n">
        <x:v>45488</x:v>
      </x:c>
      <x:c r="H2673" s="32" t="n">
        <x:v>447000</x:v>
      </x:c>
      <x:c r="I2673" s="32" t="n">
        <x:v>447000</x:v>
      </x:c>
      <x:c r="J2673" s="32" t="n">
        <x:v>0</x:v>
      </x:c>
      <x:c r="K2673" s="30" t="n">
        <x:v>45490</x:v>
      </x:c>
      <x:c r="L2673" s="24" t="str">
        <x:v>입금</x:v>
      </x:c>
      <x:c r="M2673" s="31" t="n">
        <x:f>IF(AND(N2673="미수",G2673&lt;&gt;"",TODAY()&gt;G2673),TODAY()-G2673,0)</x:f>
        <x:v>0</x:v>
      </x:c>
      <x:c r="N2673" s="24" t="str">
        <x:f>IF(J2673&gt;0,"미수",IF(AND(H2673&gt;0,I2673&gt;=H2673),"완납","미확인"))</x:f>
        <x:v>완납</x:v>
      </x:c>
      <x:c r="O2673" s="31" t="n">
        <x:v>19</x:v>
      </x:c>
    </x:row>
    <x:row r="2674" ht="17.25" customHeight="1">
      <x:c r="A2674" s="24" t="str">
        <x:v>PR-B-21고4882-202406</x:v>
      </x:c>
      <x:c r="B2674" s="24" t="str">
        <x:v>프라임구독</x:v>
      </x:c>
      <x:c r="C2674" s="24" t="str">
        <x:v>PR-C-21고4882-1-20231117-80</x:v>
      </x:c>
      <x:c r="D2674" s="24" t="str">
        <x:v>21고4882</x:v>
      </x:c>
      <x:c r="E2674" s="24" t="str">
        <x:v>김윤정</x:v>
      </x:c>
      <x:c r="F2674" s="24" t="str">
        <x:v>2024-06</x:v>
      </x:c>
      <x:c r="G2674" s="30" t="n">
        <x:v>45458</x:v>
      </x:c>
      <x:c r="H2674" s="32" t="n">
        <x:v>447000</x:v>
      </x:c>
      <x:c r="I2674" s="32" t="n">
        <x:v>447000</x:v>
      </x:c>
      <x:c r="J2674" s="32" t="n">
        <x:v>0</x:v>
      </x:c>
      <x:c r="K2674" s="30" t="n">
        <x:v>45460</x:v>
      </x:c>
      <x:c r="L2674" s="24" t="str"/>
      <x:c r="M2674" s="31" t="n">
        <x:f>IF(AND(N2674="미수",G2674&lt;&gt;"",TODAY()&gt;G2674),TODAY()-G2674,0)</x:f>
        <x:v>0</x:v>
      </x:c>
      <x:c r="N2674" s="24" t="str">
        <x:f>IF(J2674&gt;0,"미수",IF(AND(H2674&gt;0,I2674&gt;=H2674),"완납","미확인"))</x:f>
        <x:v>완납</x:v>
      </x:c>
      <x:c r="O2674" s="31" t="n">
        <x:v>19</x:v>
      </x:c>
    </x:row>
    <x:row r="2675" ht="17.25" customHeight="1">
      <x:c r="A2675" s="24" t="str">
        <x:v>PR-B-21고4882-202405</x:v>
      </x:c>
      <x:c r="B2675" s="24" t="str">
        <x:v>프라임구독</x:v>
      </x:c>
      <x:c r="C2675" s="24" t="str">
        <x:v>PR-C-21고4882-1-20231117-80</x:v>
      </x:c>
      <x:c r="D2675" s="24" t="str">
        <x:v>21고4882</x:v>
      </x:c>
      <x:c r="E2675" s="24" t="str">
        <x:v>김윤정</x:v>
      </x:c>
      <x:c r="F2675" s="24" t="str">
        <x:v>2024-05</x:v>
      </x:c>
      <x:c r="G2675" s="30" t="n">
        <x:v>45427</x:v>
      </x:c>
      <x:c r="H2675" s="32" t="n">
        <x:v>447000</x:v>
      </x:c>
      <x:c r="I2675" s="32" t="n">
        <x:v>447000</x:v>
      </x:c>
      <x:c r="J2675" s="32" t="n">
        <x:v>0</x:v>
      </x:c>
      <x:c r="K2675" s="30" t="n">
        <x:v>45429</x:v>
      </x:c>
      <x:c r="L2675" s="24" t="str"/>
      <x:c r="M2675" s="31" t="n">
        <x:f>IF(AND(N2675="미수",G2675&lt;&gt;"",TODAY()&gt;G2675),TODAY()-G2675,0)</x:f>
        <x:v>0</x:v>
      </x:c>
      <x:c r="N2675" s="24" t="str">
        <x:f>IF(J2675&gt;0,"미수",IF(AND(H2675&gt;0,I2675&gt;=H2675),"완납","미확인"))</x:f>
        <x:v>완납</x:v>
      </x:c>
      <x:c r="O2675" s="31" t="n">
        <x:v>19</x:v>
      </x:c>
    </x:row>
    <x:row r="2676" ht="17.25" customHeight="1">
      <x:c r="A2676" s="24" t="str">
        <x:v>PR-B-19너5699-202608</x:v>
      </x:c>
      <x:c r="B2676" s="24" t="str">
        <x:v>프라임구독</x:v>
      </x:c>
      <x:c r="C2676" s="24" t="str">
        <x:v>PR-C-19너5699-1-20240423-72</x:v>
      </x:c>
      <x:c r="D2676" s="24" t="str">
        <x:v>19너5699</x:v>
      </x:c>
      <x:c r="E2676" s="24" t="str">
        <x:v>김수연</x:v>
      </x:c>
      <x:c r="F2676" s="24" t="str">
        <x:v>2026-08</x:v>
      </x:c>
      <x:c r="G2676" s="30" t="n">
        <x:v>46259</x:v>
      </x:c>
      <x:c r="H2676" s="32" t="n">
        <x:v>435000</x:v>
      </x:c>
      <x:c r="I2676" s="32"/>
      <x:c r="J2676" s="32" t="n">
        <x:v>3516000</x:v>
      </x:c>
      <x:c r="K2676" s="30"/>
      <x:c r="L2676" s="24" t="str"/>
      <x:c r="M2676" s="31" t="n">
        <x:f>IF(AND(N2676="미수",G2676&lt;&gt;"",TODAY()&gt;G2676),TODAY()-G2676,0)</x:f>
        <x:v>0</x:v>
      </x:c>
      <x:c r="N2676" s="24" t="str">
        <x:f>IF(J2676&gt;0,"미수",IF(AND(H2676&gt;0,I2676&gt;=H2676),"완납","미확인"))</x:f>
        <x:v>미수</x:v>
      </x:c>
      <x:c r="O2676" s="31" t="n">
        <x:v>20</x:v>
      </x:c>
    </x:row>
    <x:row r="2677" ht="17.25" customHeight="1">
      <x:c r="A2677" s="24" t="str">
        <x:v>PR-B-19너5699-202607</x:v>
      </x:c>
      <x:c r="B2677" s="24" t="str">
        <x:v>프라임구독</x:v>
      </x:c>
      <x:c r="C2677" s="24" t="str">
        <x:v>PR-C-19너5699-1-20240423-72</x:v>
      </x:c>
      <x:c r="D2677" s="24" t="str">
        <x:v>19너5699</x:v>
      </x:c>
      <x:c r="E2677" s="24" t="str">
        <x:v>김수연</x:v>
      </x:c>
      <x:c r="F2677" s="24" t="str">
        <x:v>2026-07</x:v>
      </x:c>
      <x:c r="G2677" s="30" t="n">
        <x:v>46228</x:v>
      </x:c>
      <x:c r="H2677" s="32" t="n">
        <x:v>435000</x:v>
      </x:c>
      <x:c r="I2677" s="32" t="n">
        <x:v>435000</x:v>
      </x:c>
      <x:c r="J2677" s="32" t="n">
        <x:v>3081000</x:v>
      </x:c>
      <x:c r="K2677" s="30" t="n">
        <x:v>46230</x:v>
      </x:c>
      <x:c r="L2677" s="24" t="str">
        <x:v>입금</x:v>
      </x:c>
      <x:c r="M2677" s="31" t="n">
        <x:f>IF(AND(N2677="미수",G2677&lt;&gt;"",TODAY()&gt;G2677),TODAY()-G2677,0)</x:f>
        <x:v>21</x:v>
      </x:c>
      <x:c r="N2677" s="24" t="str">
        <x:f>IF(J2677&gt;0,"미수",IF(AND(H2677&gt;0,I2677&gt;=H2677),"완납","미확인"))</x:f>
        <x:v>미수</x:v>
      </x:c>
      <x:c r="O2677" s="31" t="n">
        <x:v>20</x:v>
      </x:c>
    </x:row>
    <x:row r="2678" ht="17.25" customHeight="1">
      <x:c r="A2678" s="24" t="str">
        <x:v>PR-B-19너5699-202606</x:v>
      </x:c>
      <x:c r="B2678" s="24" t="str">
        <x:v>프라임구독</x:v>
      </x:c>
      <x:c r="C2678" s="24" t="str">
        <x:v>PR-C-19너5699-1-20240423-72</x:v>
      </x:c>
      <x:c r="D2678" s="24" t="str">
        <x:v>19너5699</x:v>
      </x:c>
      <x:c r="E2678" s="24" t="str">
        <x:v>김수연</x:v>
      </x:c>
      <x:c r="F2678" s="24" t="str">
        <x:v>2026-06</x:v>
      </x:c>
      <x:c r="G2678" s="30" t="n">
        <x:v>46198</x:v>
      </x:c>
      <x:c r="H2678" s="32" t="n">
        <x:v>435000</x:v>
      </x:c>
      <x:c r="I2678" s="32"/>
      <x:c r="J2678" s="32" t="n">
        <x:v>3081000</x:v>
      </x:c>
      <x:c r="K2678" s="30"/>
      <x:c r="L2678" s="24" t="str"/>
      <x:c r="M2678" s="31" t="n">
        <x:f>IF(AND(N2678="미수",G2678&lt;&gt;"",TODAY()&gt;G2678),TODAY()-G2678,0)</x:f>
        <x:v>51</x:v>
      </x:c>
      <x:c r="N2678" s="24" t="str">
        <x:f>IF(J2678&gt;0,"미수",IF(AND(H2678&gt;0,I2678&gt;=H2678),"완납","미확인"))</x:f>
        <x:v>미수</x:v>
      </x:c>
      <x:c r="O2678" s="31" t="n">
        <x:v>20</x:v>
      </x:c>
    </x:row>
    <x:row r="2679" ht="17.25" customHeight="1">
      <x:c r="A2679" s="24" t="str">
        <x:v>PR-B-19너5699-202605</x:v>
      </x:c>
      <x:c r="B2679" s="24" t="str">
        <x:v>프라임구독</x:v>
      </x:c>
      <x:c r="C2679" s="24" t="str">
        <x:v>PR-C-19너5699-1-20240423-72</x:v>
      </x:c>
      <x:c r="D2679" s="24" t="str">
        <x:v>19너5699</x:v>
      </x:c>
      <x:c r="E2679" s="24" t="str">
        <x:v>김수연</x:v>
      </x:c>
      <x:c r="F2679" s="24" t="str">
        <x:v>2026-05</x:v>
      </x:c>
      <x:c r="G2679" s="30" t="n">
        <x:v>46167</x:v>
      </x:c>
      <x:c r="H2679" s="32" t="n">
        <x:v>435000</x:v>
      </x:c>
      <x:c r="I2679" s="32"/>
      <x:c r="J2679" s="32" t="n">
        <x:v>2646000</x:v>
      </x:c>
      <x:c r="K2679" s="30"/>
      <x:c r="L2679" s="24" t="str"/>
      <x:c r="M2679" s="31" t="n">
        <x:f>IF(AND(N2679="미수",G2679&lt;&gt;"",TODAY()&gt;G2679),TODAY()-G2679,0)</x:f>
        <x:v>82</x:v>
      </x:c>
      <x:c r="N2679" s="24" t="str">
        <x:f>IF(J2679&gt;0,"미수",IF(AND(H2679&gt;0,I2679&gt;=H2679),"완납","미확인"))</x:f>
        <x:v>미수</x:v>
      </x:c>
      <x:c r="O2679" s="31" t="n">
        <x:v>20</x:v>
      </x:c>
    </x:row>
    <x:row r="2680" ht="17.25" customHeight="1">
      <x:c r="A2680" s="24" t="str">
        <x:v>PR-B-19너5699-202604</x:v>
      </x:c>
      <x:c r="B2680" s="24" t="str">
        <x:v>프라임구독</x:v>
      </x:c>
      <x:c r="C2680" s="24" t="str">
        <x:v>PR-C-19너5699-1-20240423-72</x:v>
      </x:c>
      <x:c r="D2680" s="24" t="str">
        <x:v>19너5699</x:v>
      </x:c>
      <x:c r="E2680" s="24" t="str">
        <x:v>김수연</x:v>
      </x:c>
      <x:c r="F2680" s="24" t="str">
        <x:v>2026-04</x:v>
      </x:c>
      <x:c r="G2680" s="30" t="n">
        <x:v>46137</x:v>
      </x:c>
      <x:c r="H2680" s="32" t="n">
        <x:v>435000</x:v>
      </x:c>
      <x:c r="I2680" s="32" t="n">
        <x:v>435000</x:v>
      </x:c>
      <x:c r="J2680" s="32" t="n">
        <x:v>2211000</x:v>
      </x:c>
      <x:c r="K2680" s="30" t="n">
        <x:v>46139</x:v>
      </x:c>
      <x:c r="L2680" s="24" t="str">
        <x:v>입금</x:v>
      </x:c>
      <x:c r="M2680" s="31" t="n">
        <x:f>IF(AND(N2680="미수",G2680&lt;&gt;"",TODAY()&gt;G2680),TODAY()-G2680,0)</x:f>
        <x:v>112</x:v>
      </x:c>
      <x:c r="N2680" s="24" t="str">
        <x:f>IF(J2680&gt;0,"미수",IF(AND(H2680&gt;0,I2680&gt;=H2680),"완납","미확인"))</x:f>
        <x:v>미수</x:v>
      </x:c>
      <x:c r="O2680" s="31" t="n">
        <x:v>20</x:v>
      </x:c>
    </x:row>
    <x:row r="2681" ht="17.25" customHeight="1">
      <x:c r="A2681" s="24" t="str">
        <x:v>PR-B-19너5699-202603</x:v>
      </x:c>
      <x:c r="B2681" s="24" t="str">
        <x:v>프라임구독</x:v>
      </x:c>
      <x:c r="C2681" s="24" t="str">
        <x:v>PR-C-19너5699-1-20240423-72</x:v>
      </x:c>
      <x:c r="D2681" s="24" t="str">
        <x:v>19너5699</x:v>
      </x:c>
      <x:c r="E2681" s="24" t="str">
        <x:v>김수연</x:v>
      </x:c>
      <x:c r="F2681" s="24" t="str">
        <x:v>2026-03</x:v>
      </x:c>
      <x:c r="G2681" s="30" t="n">
        <x:v>46106</x:v>
      </x:c>
      <x:c r="H2681" s="32" t="n">
        <x:v>435000</x:v>
      </x:c>
      <x:c r="I2681" s="32"/>
      <x:c r="J2681" s="32" t="n">
        <x:v>2211000</x:v>
      </x:c>
      <x:c r="K2681" s="30"/>
      <x:c r="L2681" s="24" t="str"/>
      <x:c r="M2681" s="31" t="n">
        <x:f>IF(AND(N2681="미수",G2681&lt;&gt;"",TODAY()&gt;G2681),TODAY()-G2681,0)</x:f>
        <x:v>143</x:v>
      </x:c>
      <x:c r="N2681" s="24" t="str">
        <x:f>IF(J2681&gt;0,"미수",IF(AND(H2681&gt;0,I2681&gt;=H2681),"완납","미확인"))</x:f>
        <x:v>미수</x:v>
      </x:c>
      <x:c r="O2681" s="31" t="n">
        <x:v>20</x:v>
      </x:c>
    </x:row>
    <x:row r="2682" ht="17.25" customHeight="1">
      <x:c r="A2682" s="24" t="str">
        <x:v>PR-B-19너5699-202602</x:v>
      </x:c>
      <x:c r="B2682" s="24" t="str">
        <x:v>프라임구독</x:v>
      </x:c>
      <x:c r="C2682" s="24" t="str">
        <x:v>PR-C-19너5699-1-20240423-72</x:v>
      </x:c>
      <x:c r="D2682" s="24" t="str">
        <x:v>19너5699</x:v>
      </x:c>
      <x:c r="E2682" s="24" t="str">
        <x:v>김수연</x:v>
      </x:c>
      <x:c r="F2682" s="24" t="str">
        <x:v>2026-02</x:v>
      </x:c>
      <x:c r="G2682" s="30" t="n">
        <x:v>46078</x:v>
      </x:c>
      <x:c r="H2682" s="32" t="n">
        <x:v>435000</x:v>
      </x:c>
      <x:c r="I2682" s="32" t="n">
        <x:v>435000</x:v>
      </x:c>
      <x:c r="J2682" s="32" t="n">
        <x:v>1776000</x:v>
      </x:c>
      <x:c r="K2682" s="30" t="n">
        <x:v>46078</x:v>
      </x:c>
      <x:c r="L2682" s="24" t="str">
        <x:v>입금</x:v>
      </x:c>
      <x:c r="M2682" s="31" t="n">
        <x:f>IF(AND(N2682="미수",G2682&lt;&gt;"",TODAY()&gt;G2682),TODAY()-G2682,0)</x:f>
        <x:v>171</x:v>
      </x:c>
      <x:c r="N2682" s="24" t="str">
        <x:f>IF(J2682&gt;0,"미수",IF(AND(H2682&gt;0,I2682&gt;=H2682),"완납","미확인"))</x:f>
        <x:v>미수</x:v>
      </x:c>
      <x:c r="O2682" s="31" t="n">
        <x:v>20</x:v>
      </x:c>
    </x:row>
    <x:row r="2683" ht="17.25" customHeight="1">
      <x:c r="A2683" s="24" t="str">
        <x:v>PR-B-19너5699-202601</x:v>
      </x:c>
      <x:c r="B2683" s="24" t="str">
        <x:v>프라임구독</x:v>
      </x:c>
      <x:c r="C2683" s="24" t="str">
        <x:v>PR-C-19너5699-1-20240423-72</x:v>
      </x:c>
      <x:c r="D2683" s="24" t="str">
        <x:v>19너5699</x:v>
      </x:c>
      <x:c r="E2683" s="24" t="str">
        <x:v>김수연</x:v>
      </x:c>
      <x:c r="F2683" s="24" t="str">
        <x:v>2026-01</x:v>
      </x:c>
      <x:c r="G2683" s="30" t="n">
        <x:v>46047</x:v>
      </x:c>
      <x:c r="H2683" s="32" t="n">
        <x:v>435000</x:v>
      </x:c>
      <x:c r="I2683" s="32"/>
      <x:c r="J2683" s="32" t="n">
        <x:v>1776000</x:v>
      </x:c>
      <x:c r="K2683" s="30"/>
      <x:c r="L2683" s="24" t="str"/>
      <x:c r="M2683" s="31" t="n">
        <x:f>IF(AND(N2683="미수",G2683&lt;&gt;"",TODAY()&gt;G2683),TODAY()-G2683,0)</x:f>
        <x:v>202</x:v>
      </x:c>
      <x:c r="N2683" s="24" t="str">
        <x:f>IF(J2683&gt;0,"미수",IF(AND(H2683&gt;0,I2683&gt;=H2683),"완납","미확인"))</x:f>
        <x:v>미수</x:v>
      </x:c>
      <x:c r="O2683" s="31" t="n">
        <x:v>20</x:v>
      </x:c>
    </x:row>
    <x:row r="2684" ht="17.25" customHeight="1">
      <x:c r="A2684" s="24" t="str">
        <x:v>PR-B-19너5699-202512</x:v>
      </x:c>
      <x:c r="B2684" s="24" t="str">
        <x:v>프라임구독</x:v>
      </x:c>
      <x:c r="C2684" s="24" t="str">
        <x:v>PR-C-19너5699-1-20240423-72</x:v>
      </x:c>
      <x:c r="D2684" s="24" t="str">
        <x:v>19너5699</x:v>
      </x:c>
      <x:c r="E2684" s="24" t="str">
        <x:v>김수연</x:v>
      </x:c>
      <x:c r="F2684" s="24" t="str">
        <x:v>2025-12</x:v>
      </x:c>
      <x:c r="G2684" s="30" t="n">
        <x:v>46016</x:v>
      </x:c>
      <x:c r="H2684" s="32" t="n">
        <x:v>435000</x:v>
      </x:c>
      <x:c r="I2684" s="32" t="n">
        <x:v>435000</x:v>
      </x:c>
      <x:c r="J2684" s="32" t="n">
        <x:v>1341000</x:v>
      </x:c>
      <x:c r="K2684" s="30" t="n">
        <x:v>46016</x:v>
      </x:c>
      <x:c r="L2684" s="24" t="str">
        <x:v>입금</x:v>
      </x:c>
      <x:c r="M2684" s="31" t="n">
        <x:f>IF(AND(N2684="미수",G2684&lt;&gt;"",TODAY()&gt;G2684),TODAY()-G2684,0)</x:f>
        <x:v>233</x:v>
      </x:c>
      <x:c r="N2684" s="24" t="str">
        <x:f>IF(J2684&gt;0,"미수",IF(AND(H2684&gt;0,I2684&gt;=H2684),"완납","미확인"))</x:f>
        <x:v>미수</x:v>
      </x:c>
      <x:c r="O2684" s="31" t="n">
        <x:v>20</x:v>
      </x:c>
    </x:row>
    <x:row r="2685" ht="17.25" customHeight="1">
      <x:c r="A2685" s="24" t="str">
        <x:v>PR-B-19너5699-202511</x:v>
      </x:c>
      <x:c r="B2685" s="24" t="str">
        <x:v>프라임구독</x:v>
      </x:c>
      <x:c r="C2685" s="24" t="str">
        <x:v>PR-C-19너5699-1-20240423-72</x:v>
      </x:c>
      <x:c r="D2685" s="24" t="str">
        <x:v>19너5699</x:v>
      </x:c>
      <x:c r="E2685" s="24" t="str">
        <x:v>김수연</x:v>
      </x:c>
      <x:c r="F2685" s="24" t="str">
        <x:v>2025-11</x:v>
      </x:c>
      <x:c r="G2685" s="30" t="n">
        <x:v>45986</x:v>
      </x:c>
      <x:c r="H2685" s="32" t="n">
        <x:v>435000</x:v>
      </x:c>
      <x:c r="I2685" s="32" t="n">
        <x:v>435000</x:v>
      </x:c>
      <x:c r="J2685" s="32" t="n">
        <x:v>1341000</x:v>
      </x:c>
      <x:c r="K2685" s="30" t="n">
        <x:v>45986</x:v>
      </x:c>
      <x:c r="L2685" s="24" t="str">
        <x:v>입금</x:v>
      </x:c>
      <x:c r="M2685" s="31" t="n">
        <x:f>IF(AND(N2685="미수",G2685&lt;&gt;"",TODAY()&gt;G2685),TODAY()-G2685,0)</x:f>
        <x:v>263</x:v>
      </x:c>
      <x:c r="N2685" s="24" t="str">
        <x:f>IF(J2685&gt;0,"미수",IF(AND(H2685&gt;0,I2685&gt;=H2685),"완납","미확인"))</x:f>
        <x:v>미수</x:v>
      </x:c>
      <x:c r="O2685" s="31" t="n">
        <x:v>20</x:v>
      </x:c>
    </x:row>
    <x:row r="2686" ht="17.25" customHeight="1">
      <x:c r="A2686" s="24" t="str">
        <x:v>PR-B-19너5699-202510</x:v>
      </x:c>
      <x:c r="B2686" s="24" t="str">
        <x:v>프라임구독</x:v>
      </x:c>
      <x:c r="C2686" s="24" t="str">
        <x:v>PR-C-19너5699-1-20240423-72</x:v>
      </x:c>
      <x:c r="D2686" s="24" t="str">
        <x:v>19너5699</x:v>
      </x:c>
      <x:c r="E2686" s="24" t="str">
        <x:v>김수연</x:v>
      </x:c>
      <x:c r="F2686" s="24" t="str">
        <x:v>2025-10</x:v>
      </x:c>
      <x:c r="G2686" s="30" t="n">
        <x:v>45955</x:v>
      </x:c>
      <x:c r="H2686" s="32" t="n">
        <x:v>435000</x:v>
      </x:c>
      <x:c r="I2686" s="32" t="n">
        <x:v>870000</x:v>
      </x:c>
      <x:c r="J2686" s="32" t="n">
        <x:v>1341000</x:v>
      </x:c>
      <x:c r="K2686" s="30" t="n">
        <x:v>45931</x:v>
      </x:c>
      <x:c r="L2686" s="24" t="str">
        <x:v>입금</x:v>
      </x:c>
      <x:c r="M2686" s="31" t="n">
        <x:f>IF(AND(N2686="미수",G2686&lt;&gt;"",TODAY()&gt;G2686),TODAY()-G2686,0)</x:f>
        <x:v>294</x:v>
      </x:c>
      <x:c r="N2686" s="24" t="str">
        <x:f>IF(J2686&gt;0,"미수",IF(AND(H2686&gt;0,I2686&gt;=H2686),"완납","미확인"))</x:f>
        <x:v>미수</x:v>
      </x:c>
      <x:c r="O2686" s="31" t="n">
        <x:v>20</x:v>
      </x:c>
    </x:row>
    <x:row r="2687" ht="17.25" customHeight="1">
      <x:c r="A2687" s="24" t="str">
        <x:v>PR-B-19너5699-202509</x:v>
      </x:c>
      <x:c r="B2687" s="24" t="str">
        <x:v>프라임구독</x:v>
      </x:c>
      <x:c r="C2687" s="24" t="str">
        <x:v>PR-C-19너5699-1-20240423-72</x:v>
      </x:c>
      <x:c r="D2687" s="24" t="str">
        <x:v>19너5699</x:v>
      </x:c>
      <x:c r="E2687" s="24" t="str">
        <x:v>김수연</x:v>
      </x:c>
      <x:c r="F2687" s="24" t="str">
        <x:v>2025-09</x:v>
      </x:c>
      <x:c r="G2687" s="30" t="n">
        <x:v>45925</x:v>
      </x:c>
      <x:c r="H2687" s="32" t="n">
        <x:v>435000</x:v>
      </x:c>
      <x:c r="I2687" s="32"/>
      <x:c r="J2687" s="32" t="n">
        <x:v>1776000</x:v>
      </x:c>
      <x:c r="K2687" s="30"/>
      <x:c r="L2687" s="24" t="str"/>
      <x:c r="M2687" s="31" t="n">
        <x:f>IF(AND(N2687="미수",G2687&lt;&gt;"",TODAY()&gt;G2687),TODAY()-G2687,0)</x:f>
        <x:v>324</x:v>
      </x:c>
      <x:c r="N2687" s="24" t="str">
        <x:f>IF(J2687&gt;0,"미수",IF(AND(H2687&gt;0,I2687&gt;=H2687),"완납","미확인"))</x:f>
        <x:v>미수</x:v>
      </x:c>
      <x:c r="O2687" s="31" t="n">
        <x:v>20</x:v>
      </x:c>
    </x:row>
    <x:row r="2688" ht="17.25" customHeight="1">
      <x:c r="A2688" s="24" t="str">
        <x:v>PR-B-19너5699-202508</x:v>
      </x:c>
      <x:c r="B2688" s="24" t="str">
        <x:v>프라임구독</x:v>
      </x:c>
      <x:c r="C2688" s="24" t="str">
        <x:v>PR-C-19너5699-1-20240423-72</x:v>
      </x:c>
      <x:c r="D2688" s="24" t="str">
        <x:v>19너5699</x:v>
      </x:c>
      <x:c r="E2688" s="24" t="str">
        <x:v>김수연</x:v>
      </x:c>
      <x:c r="F2688" s="24" t="str">
        <x:v>2025-08</x:v>
      </x:c>
      <x:c r="G2688" s="30" t="n">
        <x:v>45894</x:v>
      </x:c>
      <x:c r="H2688" s="32" t="n">
        <x:v>435000</x:v>
      </x:c>
      <x:c r="I2688" s="32" t="n">
        <x:v>435000</x:v>
      </x:c>
      <x:c r="J2688" s="32" t="n">
        <x:v>1341000</x:v>
      </x:c>
      <x:c r="K2688" s="30" t="n">
        <x:v>45895</x:v>
      </x:c>
      <x:c r="L2688" s="24" t="str">
        <x:v>입금</x:v>
      </x:c>
      <x:c r="M2688" s="31" t="n">
        <x:f>IF(AND(N2688="미수",G2688&lt;&gt;"",TODAY()&gt;G2688),TODAY()-G2688,0)</x:f>
        <x:v>355</x:v>
      </x:c>
      <x:c r="N2688" s="24" t="str">
        <x:f>IF(J2688&gt;0,"미수",IF(AND(H2688&gt;0,I2688&gt;=H2688),"완납","미확인"))</x:f>
        <x:v>미수</x:v>
      </x:c>
      <x:c r="O2688" s="31" t="n">
        <x:v>20</x:v>
      </x:c>
    </x:row>
    <x:row r="2689" ht="17.25" customHeight="1">
      <x:c r="A2689" s="24" t="str">
        <x:v>PR-B-19너5699-202507</x:v>
      </x:c>
      <x:c r="B2689" s="24" t="str">
        <x:v>프라임구독</x:v>
      </x:c>
      <x:c r="C2689" s="24" t="str">
        <x:v>PR-C-19너5699-1-20240423-72</x:v>
      </x:c>
      <x:c r="D2689" s="24" t="str">
        <x:v>19너5699</x:v>
      </x:c>
      <x:c r="E2689" s="24" t="str">
        <x:v>김수연</x:v>
      </x:c>
      <x:c r="F2689" s="24" t="str">
        <x:v>2025-07</x:v>
      </x:c>
      <x:c r="G2689" s="30" t="n">
        <x:v>45863</x:v>
      </x:c>
      <x:c r="H2689" s="32" t="n">
        <x:v>435000</x:v>
      </x:c>
      <x:c r="I2689" s="32" t="n">
        <x:v>435000</x:v>
      </x:c>
      <x:c r="J2689" s="32" t="n">
        <x:v>1341000</x:v>
      </x:c>
      <x:c r="K2689" s="30" t="n">
        <x:v>45869</x:v>
      </x:c>
      <x:c r="L2689" s="24" t="str">
        <x:v>입금</x:v>
      </x:c>
      <x:c r="M2689" s="31" t="n">
        <x:f>IF(AND(N2689="미수",G2689&lt;&gt;"",TODAY()&gt;G2689),TODAY()-G2689,0)</x:f>
        <x:v>386</x:v>
      </x:c>
      <x:c r="N2689" s="24" t="str">
        <x:f>IF(J2689&gt;0,"미수",IF(AND(H2689&gt;0,I2689&gt;=H2689),"완납","미확인"))</x:f>
        <x:v>미수</x:v>
      </x:c>
      <x:c r="O2689" s="31" t="n">
        <x:v>20</x:v>
      </x:c>
    </x:row>
    <x:row r="2690" ht="17.25" customHeight="1">
      <x:c r="A2690" s="24" t="str">
        <x:v>PR-B-19너5699-202506</x:v>
      </x:c>
      <x:c r="B2690" s="24" t="str">
        <x:v>프라임구독</x:v>
      </x:c>
      <x:c r="C2690" s="24" t="str">
        <x:v>PR-C-19너5699-1-20240423-72</x:v>
      </x:c>
      <x:c r="D2690" s="24" t="str">
        <x:v>19너5699</x:v>
      </x:c>
      <x:c r="E2690" s="24" t="str">
        <x:v>김수연</x:v>
      </x:c>
      <x:c r="F2690" s="24" t="str">
        <x:v>2025-06</x:v>
      </x:c>
      <x:c r="G2690" s="30" t="n">
        <x:v>45833</x:v>
      </x:c>
      <x:c r="H2690" s="32" t="n">
        <x:v>435000</x:v>
      </x:c>
      <x:c r="I2690" s="32" t="n">
        <x:v>870000</x:v>
      </x:c>
      <x:c r="J2690" s="32" t="n">
        <x:v>1341000</x:v>
      </x:c>
      <x:c r="K2690" s="30" t="n">
        <x:v>45818</x:v>
      </x:c>
      <x:c r="L2690" s="24" t="str">
        <x:v>입금</x:v>
      </x:c>
      <x:c r="M2690" s="31" t="n">
        <x:f>IF(AND(N2690="미수",G2690&lt;&gt;"",TODAY()&gt;G2690),TODAY()-G2690,0)</x:f>
        <x:v>416</x:v>
      </x:c>
      <x:c r="N2690" s="24" t="str">
        <x:f>IF(J2690&gt;0,"미수",IF(AND(H2690&gt;0,I2690&gt;=H2690),"완납","미확인"))</x:f>
        <x:v>미수</x:v>
      </x:c>
      <x:c r="O2690" s="31" t="n">
        <x:v>20</x:v>
      </x:c>
    </x:row>
    <x:row r="2691" ht="17.25" customHeight="1">
      <x:c r="A2691" s="24" t="str">
        <x:v>PR-B-19너5699-202505</x:v>
      </x:c>
      <x:c r="B2691" s="24" t="str">
        <x:v>프라임구독</x:v>
      </x:c>
      <x:c r="C2691" s="24" t="str">
        <x:v>PR-C-19너5699-1-20240423-72</x:v>
      </x:c>
      <x:c r="D2691" s="24" t="str">
        <x:v>19너5699</x:v>
      </x:c>
      <x:c r="E2691" s="24" t="str">
        <x:v>김수연</x:v>
      </x:c>
      <x:c r="F2691" s="24" t="str">
        <x:v>2025-05</x:v>
      </x:c>
      <x:c r="G2691" s="30" t="n">
        <x:v>45802</x:v>
      </x:c>
      <x:c r="H2691" s="32" t="n">
        <x:v>435000</x:v>
      </x:c>
      <x:c r="I2691" s="32"/>
      <x:c r="J2691" s="32" t="n">
        <x:v>1776000</x:v>
      </x:c>
      <x:c r="K2691" s="30"/>
      <x:c r="L2691" s="24" t="str"/>
      <x:c r="M2691" s="31" t="n">
        <x:f>IF(AND(N2691="미수",G2691&lt;&gt;"",TODAY()&gt;G2691),TODAY()-G2691,0)</x:f>
        <x:v>447</x:v>
      </x:c>
      <x:c r="N2691" s="24" t="str">
        <x:f>IF(J2691&gt;0,"미수",IF(AND(H2691&gt;0,I2691&gt;=H2691),"완납","미확인"))</x:f>
        <x:v>미수</x:v>
      </x:c>
      <x:c r="O2691" s="31" t="n">
        <x:v>20</x:v>
      </x:c>
    </x:row>
    <x:row r="2692" ht="17.25" customHeight="1">
      <x:c r="A2692" s="24" t="str">
        <x:v>PR-B-19너5699-202504</x:v>
      </x:c>
      <x:c r="B2692" s="24" t="str">
        <x:v>프라임구독</x:v>
      </x:c>
      <x:c r="C2692" s="24" t="str">
        <x:v>PR-C-19너5699-1-20240423-72</x:v>
      </x:c>
      <x:c r="D2692" s="24" t="str">
        <x:v>19너5699</x:v>
      </x:c>
      <x:c r="E2692" s="24" t="str">
        <x:v>김수연</x:v>
      </x:c>
      <x:c r="F2692" s="24" t="str">
        <x:v>2025-04</x:v>
      </x:c>
      <x:c r="G2692" s="30" t="n">
        <x:v>45772</x:v>
      </x:c>
      <x:c r="H2692" s="32" t="n">
        <x:v>435000</x:v>
      </x:c>
      <x:c r="I2692" s="32"/>
      <x:c r="J2692" s="32" t="n">
        <x:v>1341000</x:v>
      </x:c>
      <x:c r="K2692" s="30"/>
      <x:c r="L2692" s="24" t="str"/>
      <x:c r="M2692" s="31" t="n">
        <x:f>IF(AND(N2692="미수",G2692&lt;&gt;"",TODAY()&gt;G2692),TODAY()-G2692,0)</x:f>
        <x:v>477</x:v>
      </x:c>
      <x:c r="N2692" s="24" t="str">
        <x:f>IF(J2692&gt;0,"미수",IF(AND(H2692&gt;0,I2692&gt;=H2692),"완납","미확인"))</x:f>
        <x:v>미수</x:v>
      </x:c>
      <x:c r="O2692" s="31" t="n">
        <x:v>20</x:v>
      </x:c>
    </x:row>
    <x:row r="2693" ht="17.25" customHeight="1">
      <x:c r="A2693" s="24" t="str">
        <x:v>PR-B-19너5699-202503</x:v>
      </x:c>
      <x:c r="B2693" s="24" t="str">
        <x:v>프라임구독</x:v>
      </x:c>
      <x:c r="C2693" s="24" t="str">
        <x:v>PR-C-19너5699-1-20240423-72</x:v>
      </x:c>
      <x:c r="D2693" s="24" t="str">
        <x:v>19너5699</x:v>
      </x:c>
      <x:c r="E2693" s="24" t="str">
        <x:v>김수연</x:v>
      </x:c>
      <x:c r="F2693" s="24" t="str">
        <x:v>2025-03</x:v>
      </x:c>
      <x:c r="G2693" s="30" t="n">
        <x:v>45741</x:v>
      </x:c>
      <x:c r="H2693" s="32" t="n">
        <x:v>435000</x:v>
      </x:c>
      <x:c r="I2693" s="32"/>
      <x:c r="J2693" s="32" t="n">
        <x:v>906000</x:v>
      </x:c>
      <x:c r="K2693" s="30"/>
      <x:c r="L2693" s="24" t="str"/>
      <x:c r="M2693" s="31" t="n">
        <x:f>IF(AND(N2693="미수",G2693&lt;&gt;"",TODAY()&gt;G2693),TODAY()-G2693,0)</x:f>
        <x:v>508</x:v>
      </x:c>
      <x:c r="N2693" s="24" t="str">
        <x:f>IF(J2693&gt;0,"미수",IF(AND(H2693&gt;0,I2693&gt;=H2693),"완납","미확인"))</x:f>
        <x:v>미수</x:v>
      </x:c>
      <x:c r="O2693" s="31" t="n">
        <x:v>20</x:v>
      </x:c>
    </x:row>
    <x:row r="2694" ht="17.25" customHeight="1">
      <x:c r="A2694" s="24" t="str">
        <x:v>PR-B-19너5699-202502</x:v>
      </x:c>
      <x:c r="B2694" s="24" t="str">
        <x:v>프라임구독</x:v>
      </x:c>
      <x:c r="C2694" s="24" t="str">
        <x:v>PR-C-19너5699-1-20240423-72</x:v>
      </x:c>
      <x:c r="D2694" s="24" t="str">
        <x:v>19너5699</x:v>
      </x:c>
      <x:c r="E2694" s="24" t="str">
        <x:v>김수연</x:v>
      </x:c>
      <x:c r="F2694" s="24" t="str">
        <x:v>2025-02</x:v>
      </x:c>
      <x:c r="G2694" s="30" t="n">
        <x:v>45713</x:v>
      </x:c>
      <x:c r="H2694" s="32" t="n">
        <x:v>435000</x:v>
      </x:c>
      <x:c r="I2694" s="32"/>
      <x:c r="J2694" s="32" t="n">
        <x:v>471000</x:v>
      </x:c>
      <x:c r="K2694" s="30"/>
      <x:c r="L2694" s="24" t="str"/>
      <x:c r="M2694" s="31" t="n">
        <x:f>IF(AND(N2694="미수",G2694&lt;&gt;"",TODAY()&gt;G2694),TODAY()-G2694,0)</x:f>
        <x:v>536</x:v>
      </x:c>
      <x:c r="N2694" s="24" t="str">
        <x:f>IF(J2694&gt;0,"미수",IF(AND(H2694&gt;0,I2694&gt;=H2694),"완납","미확인"))</x:f>
        <x:v>미수</x:v>
      </x:c>
      <x:c r="O2694" s="31" t="n">
        <x:v>20</x:v>
      </x:c>
    </x:row>
    <x:row r="2695" ht="17.25" customHeight="1">
      <x:c r="A2695" s="24" t="str">
        <x:v>PR-B-19너5699-202501</x:v>
      </x:c>
      <x:c r="B2695" s="24" t="str">
        <x:v>프라임구독</x:v>
      </x:c>
      <x:c r="C2695" s="24" t="str">
        <x:v>PR-C-19너5699-1-20240423-72</x:v>
      </x:c>
      <x:c r="D2695" s="24" t="str">
        <x:v>19너5699</x:v>
      </x:c>
      <x:c r="E2695" s="24" t="str">
        <x:v>김수연</x:v>
      </x:c>
      <x:c r="F2695" s="24" t="str">
        <x:v>2025-01</x:v>
      </x:c>
      <x:c r="G2695" s="30" t="n">
        <x:v>45682</x:v>
      </x:c>
      <x:c r="H2695" s="32" t="n">
        <x:v>435000</x:v>
      </x:c>
      <x:c r="I2695" s="32" t="n">
        <x:v>435000</x:v>
      </x:c>
      <x:c r="J2695" s="32" t="n">
        <x:v>36000</x:v>
      </x:c>
      <x:c r="K2695" s="30" t="n">
        <x:v>45689</x:v>
      </x:c>
      <x:c r="L2695" s="24" t="str">
        <x:v>입금</x:v>
      </x:c>
      <x:c r="M2695" s="31" t="n">
        <x:f>IF(AND(N2695="미수",G2695&lt;&gt;"",TODAY()&gt;G2695),TODAY()-G2695,0)</x:f>
        <x:v>567</x:v>
      </x:c>
      <x:c r="N2695" s="24" t="str">
        <x:f>IF(J2695&gt;0,"미수",IF(AND(H2695&gt;0,I2695&gt;=H2695),"완납","미확인"))</x:f>
        <x:v>미수</x:v>
      </x:c>
      <x:c r="O2695" s="31" t="n">
        <x:v>20</x:v>
      </x:c>
    </x:row>
    <x:row r="2696" ht="17.25" customHeight="1">
      <x:c r="A2696" s="24" t="str">
        <x:v>PR-B-19너5699-202412</x:v>
      </x:c>
      <x:c r="B2696" s="24" t="str">
        <x:v>프라임구독</x:v>
      </x:c>
      <x:c r="C2696" s="24" t="str">
        <x:v>PR-C-19너5699-1-20240423-72</x:v>
      </x:c>
      <x:c r="D2696" s="24" t="str">
        <x:v>19너5699</x:v>
      </x:c>
      <x:c r="E2696" s="24" t="str">
        <x:v>김수연</x:v>
      </x:c>
      <x:c r="F2696" s="24" t="str">
        <x:v>2024-12</x:v>
      </x:c>
      <x:c r="G2696" s="30" t="n">
        <x:v>45651</x:v>
      </x:c>
      <x:c r="H2696" s="32" t="n">
        <x:v>435000</x:v>
      </x:c>
      <x:c r="I2696" s="32" t="n">
        <x:v>399000</x:v>
      </x:c>
      <x:c r="J2696" s="32" t="n">
        <x:v>36000</x:v>
      </x:c>
      <x:c r="K2696" s="30" t="n">
        <x:v>45650</x:v>
      </x:c>
      <x:c r="L2696" s="24" t="str">
        <x:v>입금</x:v>
      </x:c>
      <x:c r="M2696" s="31" t="n">
        <x:f>IF(AND(N2696="미수",G2696&lt;&gt;"",TODAY()&gt;G2696),TODAY()-G2696,0)</x:f>
        <x:v>598</x:v>
      </x:c>
      <x:c r="N2696" s="24" t="str">
        <x:f>IF(J2696&gt;0,"미수",IF(AND(H2696&gt;0,I2696&gt;=H2696),"완납","미확인"))</x:f>
        <x:v>미수</x:v>
      </x:c>
      <x:c r="O2696" s="31" t="n">
        <x:v>20</x:v>
      </x:c>
    </x:row>
    <x:row r="2697" ht="17.25" customHeight="1">
      <x:c r="A2697" s="24" t="str">
        <x:v>PR-B-19너5699-202411</x:v>
      </x:c>
      <x:c r="B2697" s="24" t="str">
        <x:v>프라임구독</x:v>
      </x:c>
      <x:c r="C2697" s="24" t="str">
        <x:v>PR-C-19너5699-1-20240423-72</x:v>
      </x:c>
      <x:c r="D2697" s="24" t="str">
        <x:v>19너5699</x:v>
      </x:c>
      <x:c r="E2697" s="24" t="str">
        <x:v>김수연</x:v>
      </x:c>
      <x:c r="F2697" s="24" t="str">
        <x:v>2024-11</x:v>
      </x:c>
      <x:c r="G2697" s="30" t="n">
        <x:v>45621</x:v>
      </x:c>
      <x:c r="H2697" s="32" t="n">
        <x:v>435000</x:v>
      </x:c>
      <x:c r="I2697" s="32" t="n">
        <x:v>435000</x:v>
      </x:c>
      <x:c r="J2697" s="32" t="n">
        <x:v>0</x:v>
      </x:c>
      <x:c r="K2697" s="30" t="n">
        <x:v>45621</x:v>
      </x:c>
      <x:c r="L2697" s="24" t="str">
        <x:v>입금</x:v>
      </x:c>
      <x:c r="M2697" s="31" t="n">
        <x:f>IF(AND(N2697="미수",G2697&lt;&gt;"",TODAY()&gt;G2697),TODAY()-G2697,0)</x:f>
        <x:v>0</x:v>
      </x:c>
      <x:c r="N2697" s="24" t="str">
        <x:f>IF(J2697&gt;0,"미수",IF(AND(H2697&gt;0,I2697&gt;=H2697),"완납","미확인"))</x:f>
        <x:v>완납</x:v>
      </x:c>
      <x:c r="O2697" s="31" t="n">
        <x:v>20</x:v>
      </x:c>
    </x:row>
    <x:row r="2698" ht="17.25" customHeight="1">
      <x:c r="A2698" s="24" t="str">
        <x:v>PR-B-19너5699-202410</x:v>
      </x:c>
      <x:c r="B2698" s="24" t="str">
        <x:v>프라임구독</x:v>
      </x:c>
      <x:c r="C2698" s="24" t="str">
        <x:v>PR-C-19너5699-1-20240423-72</x:v>
      </x:c>
      <x:c r="D2698" s="24" t="str">
        <x:v>19너5699</x:v>
      </x:c>
      <x:c r="E2698" s="24" t="str">
        <x:v>김수연</x:v>
      </x:c>
      <x:c r="F2698" s="24" t="str">
        <x:v>2024-10</x:v>
      </x:c>
      <x:c r="G2698" s="30" t="n">
        <x:v>45590</x:v>
      </x:c>
      <x:c r="H2698" s="32" t="n">
        <x:v>435000</x:v>
      </x:c>
      <x:c r="I2698" s="32" t="n">
        <x:v>435000</x:v>
      </x:c>
      <x:c r="J2698" s="32" t="n">
        <x:v>0</x:v>
      </x:c>
      <x:c r="K2698" s="30" t="n">
        <x:v>45586</x:v>
      </x:c>
      <x:c r="L2698" s="24" t="str">
        <x:v>입금</x:v>
      </x:c>
      <x:c r="M2698" s="31" t="n">
        <x:f>IF(AND(N2698="미수",G2698&lt;&gt;"",TODAY()&gt;G2698),TODAY()-G2698,0)</x:f>
        <x:v>0</x:v>
      </x:c>
      <x:c r="N2698" s="24" t="str">
        <x:f>IF(J2698&gt;0,"미수",IF(AND(H2698&gt;0,I2698&gt;=H2698),"완납","미확인"))</x:f>
        <x:v>완납</x:v>
      </x:c>
      <x:c r="O2698" s="31" t="n">
        <x:v>20</x:v>
      </x:c>
    </x:row>
    <x:row r="2699" ht="17.25" customHeight="1">
      <x:c r="A2699" s="24" t="str">
        <x:v>PR-B-19너5699-202409</x:v>
      </x:c>
      <x:c r="B2699" s="24" t="str">
        <x:v>프라임구독</x:v>
      </x:c>
      <x:c r="C2699" s="24" t="str">
        <x:v>PR-C-19너5699-1-20240423-72</x:v>
      </x:c>
      <x:c r="D2699" s="24" t="str">
        <x:v>19너5699</x:v>
      </x:c>
      <x:c r="E2699" s="24" t="str">
        <x:v>김수연</x:v>
      </x:c>
      <x:c r="F2699" s="24" t="str">
        <x:v>2024-09</x:v>
      </x:c>
      <x:c r="G2699" s="30" t="n">
        <x:v>45560</x:v>
      </x:c>
      <x:c r="H2699" s="32" t="n">
        <x:v>435000</x:v>
      </x:c>
      <x:c r="I2699" s="32" t="n">
        <x:v>435000</x:v>
      </x:c>
      <x:c r="J2699" s="32" t="n">
        <x:v>0</x:v>
      </x:c>
      <x:c r="K2699" s="30" t="n">
        <x:v>45557</x:v>
      </x:c>
      <x:c r="L2699" s="24" t="str">
        <x:v>입금</x:v>
      </x:c>
      <x:c r="M2699" s="31" t="n">
        <x:f>IF(AND(N2699="미수",G2699&lt;&gt;"",TODAY()&gt;G2699),TODAY()-G2699,0)</x:f>
        <x:v>0</x:v>
      </x:c>
      <x:c r="N2699" s="24" t="str">
        <x:f>IF(J2699&gt;0,"미수",IF(AND(H2699&gt;0,I2699&gt;=H2699),"완납","미확인"))</x:f>
        <x:v>완납</x:v>
      </x:c>
      <x:c r="O2699" s="31" t="n">
        <x:v>20</x:v>
      </x:c>
    </x:row>
    <x:row r="2700" ht="17.25" customHeight="1">
      <x:c r="A2700" s="24" t="str">
        <x:v>PR-B-19너5699-202408</x:v>
      </x:c>
      <x:c r="B2700" s="24" t="str">
        <x:v>프라임구독</x:v>
      </x:c>
      <x:c r="C2700" s="24" t="str">
        <x:v>PR-C-19너5699-1-20240423-72</x:v>
      </x:c>
      <x:c r="D2700" s="24" t="str">
        <x:v>19너5699</x:v>
      </x:c>
      <x:c r="E2700" s="24" t="str">
        <x:v>김수연</x:v>
      </x:c>
      <x:c r="F2700" s="24" t="str">
        <x:v>2024-08</x:v>
      </x:c>
      <x:c r="G2700" s="30" t="n">
        <x:v>45529</x:v>
      </x:c>
      <x:c r="H2700" s="32" t="n">
        <x:v>435000</x:v>
      </x:c>
      <x:c r="I2700" s="32" t="n">
        <x:v>435000</x:v>
      </x:c>
      <x:c r="J2700" s="32" t="n">
        <x:v>0</x:v>
      </x:c>
      <x:c r="K2700" s="30" t="n">
        <x:v>45528</x:v>
      </x:c>
      <x:c r="L2700" s="24" t="str">
        <x:v>입금</x:v>
      </x:c>
      <x:c r="M2700" s="31" t="n">
        <x:f>IF(AND(N2700="미수",G2700&lt;&gt;"",TODAY()&gt;G2700),TODAY()-G2700,0)</x:f>
        <x:v>0</x:v>
      </x:c>
      <x:c r="N2700" s="24" t="str">
        <x:f>IF(J2700&gt;0,"미수",IF(AND(H2700&gt;0,I2700&gt;=H2700),"완납","미확인"))</x:f>
        <x:v>완납</x:v>
      </x:c>
      <x:c r="O2700" s="31" t="n">
        <x:v>20</x:v>
      </x:c>
    </x:row>
    <x:row r="2701" ht="17.25" customHeight="1">
      <x:c r="A2701" s="24" t="str">
        <x:v>PR-B-19너5699-202407</x:v>
      </x:c>
      <x:c r="B2701" s="24" t="str">
        <x:v>프라임구독</x:v>
      </x:c>
      <x:c r="C2701" s="24" t="str">
        <x:v>PR-C-19너5699-1-20240423-72</x:v>
      </x:c>
      <x:c r="D2701" s="24" t="str">
        <x:v>19너5699</x:v>
      </x:c>
      <x:c r="E2701" s="24" t="str">
        <x:v>김수연</x:v>
      </x:c>
      <x:c r="F2701" s="24" t="str">
        <x:v>2024-07</x:v>
      </x:c>
      <x:c r="G2701" s="30" t="n">
        <x:v>45498</x:v>
      </x:c>
      <x:c r="H2701" s="32" t="n">
        <x:v>435000</x:v>
      </x:c>
      <x:c r="I2701" s="32" t="n">
        <x:v>435000</x:v>
      </x:c>
      <x:c r="J2701" s="32" t="n">
        <x:v>0</x:v>
      </x:c>
      <x:c r="K2701" s="30" t="n">
        <x:v>45497</x:v>
      </x:c>
      <x:c r="L2701" s="24" t="str">
        <x:v>입금</x:v>
      </x:c>
      <x:c r="M2701" s="31" t="n">
        <x:f>IF(AND(N2701="미수",G2701&lt;&gt;"",TODAY()&gt;G2701),TODAY()-G2701,0)</x:f>
        <x:v>0</x:v>
      </x:c>
      <x:c r="N2701" s="24" t="str">
        <x:f>IF(J2701&gt;0,"미수",IF(AND(H2701&gt;0,I2701&gt;=H2701),"완납","미확인"))</x:f>
        <x:v>완납</x:v>
      </x:c>
      <x:c r="O2701" s="31" t="n">
        <x:v>20</x:v>
      </x:c>
    </x:row>
    <x:row r="2702" ht="17.25" customHeight="1">
      <x:c r="A2702" s="24" t="str">
        <x:v>PR-B-19너5699-202406</x:v>
      </x:c>
      <x:c r="B2702" s="24" t="str">
        <x:v>프라임구독</x:v>
      </x:c>
      <x:c r="C2702" s="24" t="str">
        <x:v>PR-C-19너5699-1-20240423-72</x:v>
      </x:c>
      <x:c r="D2702" s="24" t="str">
        <x:v>19너5699</x:v>
      </x:c>
      <x:c r="E2702" s="24" t="str">
        <x:v>김수연</x:v>
      </x:c>
      <x:c r="F2702" s="24" t="str">
        <x:v>2024-06</x:v>
      </x:c>
      <x:c r="G2702" s="30" t="n">
        <x:v>45468</x:v>
      </x:c>
      <x:c r="H2702" s="32" t="n">
        <x:v>435000</x:v>
      </x:c>
      <x:c r="I2702" s="32" t="n">
        <x:v>435000</x:v>
      </x:c>
      <x:c r="J2702" s="32" t="n">
        <x:v>0</x:v>
      </x:c>
      <x:c r="K2702" s="30" t="n">
        <x:v>45468</x:v>
      </x:c>
      <x:c r="L2702" s="24" t="str"/>
      <x:c r="M2702" s="31" t="n">
        <x:f>IF(AND(N2702="미수",G2702&lt;&gt;"",TODAY()&gt;G2702),TODAY()-G2702,0)</x:f>
        <x:v>0</x:v>
      </x:c>
      <x:c r="N2702" s="24" t="str">
        <x:f>IF(J2702&gt;0,"미수",IF(AND(H2702&gt;0,I2702&gt;=H2702),"완납","미확인"))</x:f>
        <x:v>완납</x:v>
      </x:c>
      <x:c r="O2702" s="31" t="n">
        <x:v>20</x:v>
      </x:c>
    </x:row>
    <x:row r="2703" ht="17.25" customHeight="1">
      <x:c r="A2703" s="24" t="str">
        <x:v>PR-B-19너5699-202405</x:v>
      </x:c>
      <x:c r="B2703" s="24" t="str">
        <x:v>프라임구독</x:v>
      </x:c>
      <x:c r="C2703" s="24" t="str">
        <x:v>PR-C-19너5699-1-20240423-72</x:v>
      </x:c>
      <x:c r="D2703" s="24" t="str">
        <x:v>19너5699</x:v>
      </x:c>
      <x:c r="E2703" s="24" t="str">
        <x:v>김수연</x:v>
      </x:c>
      <x:c r="F2703" s="24" t="str">
        <x:v>2024-05</x:v>
      </x:c>
      <x:c r="G2703" s="30" t="n">
        <x:v>45437</x:v>
      </x:c>
      <x:c r="H2703" s="32" t="n">
        <x:v>449000</x:v>
      </x:c>
      <x:c r="I2703" s="32" t="n">
        <x:v>449000</x:v>
      </x:c>
      <x:c r="J2703" s="32" t="n">
        <x:v>0</x:v>
      </x:c>
      <x:c r="K2703" s="30" t="n">
        <x:v>45439</x:v>
      </x:c>
      <x:c r="L2703" s="24" t="str"/>
      <x:c r="M2703" s="31" t="n">
        <x:f>IF(AND(N2703="미수",G2703&lt;&gt;"",TODAY()&gt;G2703),TODAY()-G2703,0)</x:f>
        <x:v>0</x:v>
      </x:c>
      <x:c r="N2703" s="24" t="str">
        <x:f>IF(J2703&gt;0,"미수",IF(AND(H2703&gt;0,I2703&gt;=H2703),"완납","미확인"))</x:f>
        <x:v>완납</x:v>
      </x:c>
      <x:c r="O2703" s="31" t="n">
        <x:v>20</x:v>
      </x:c>
    </x:row>
    <x:row r="2704" ht="17.25" customHeight="1">
      <x:c r="A2704" s="24" t="str">
        <x:v>PR-B-61루2328-202608</x:v>
      </x:c>
      <x:c r="B2704" s="24" t="str">
        <x:v>프라임구독</x:v>
      </x:c>
      <x:c r="C2704" s="24" t="str">
        <x:v>PR-C-61루2328-1-20230705-178</x:v>
      </x:c>
      <x:c r="D2704" s="24" t="str">
        <x:v>61루2328</x:v>
      </x:c>
      <x:c r="E2704" s="24" t="str">
        <x:v>권오중</x:v>
      </x:c>
      <x:c r="F2704" s="24" t="str">
        <x:v>2026-08</x:v>
      </x:c>
      <x:c r="G2704" s="30" t="n">
        <x:v>46254</x:v>
      </x:c>
      <x:c r="H2704" s="32" t="n">
        <x:v>448000</x:v>
      </x:c>
      <x:c r="I2704" s="32"/>
      <x:c r="J2704" s="32" t="n">
        <x:v>448000</x:v>
      </x:c>
      <x:c r="K2704" s="30"/>
      <x:c r="L2704" s="24" t="str"/>
      <x:c r="M2704" s="31" t="n">
        <x:f>IF(AND(N2704="미수",G2704&lt;&gt;"",TODAY()&gt;G2704),TODAY()-G2704,0)</x:f>
        <x:v>0</x:v>
      </x:c>
      <x:c r="N2704" s="24" t="str">
        <x:f>IF(J2704&gt;0,"미수",IF(AND(H2704&gt;0,I2704&gt;=H2704),"완납","미확인"))</x:f>
        <x:v>미수</x:v>
      </x:c>
      <x:c r="O2704" s="31" t="n">
        <x:v>21</x:v>
      </x:c>
    </x:row>
    <x:row r="2705" ht="17.25" customHeight="1">
      <x:c r="A2705" s="24" t="str">
        <x:v>PR-B-61루2328-202607</x:v>
      </x:c>
      <x:c r="B2705" s="24" t="str">
        <x:v>프라임구독</x:v>
      </x:c>
      <x:c r="C2705" s="24" t="str">
        <x:v>PR-C-61루2328-1-20230705-178</x:v>
      </x:c>
      <x:c r="D2705" s="24" t="str">
        <x:v>61루2328</x:v>
      </x:c>
      <x:c r="E2705" s="24" t="str">
        <x:v>권오중</x:v>
      </x:c>
      <x:c r="F2705" s="24" t="str">
        <x:v>2026-07</x:v>
      </x:c>
      <x:c r="G2705" s="30" t="n">
        <x:v>46223</x:v>
      </x:c>
      <x:c r="H2705" s="32" t="n">
        <x:v>448000</x:v>
      </x:c>
      <x:c r="I2705" s="32" t="n">
        <x:v>448000</x:v>
      </x:c>
      <x:c r="J2705" s="32" t="n">
        <x:v>0</x:v>
      </x:c>
      <x:c r="K2705" s="30" t="n">
        <x:v>46223</x:v>
      </x:c>
      <x:c r="L2705" s="24" t="str">
        <x:v>자동</x:v>
      </x:c>
      <x:c r="M2705" s="31" t="n">
        <x:f>IF(AND(N2705="미수",G2705&lt;&gt;"",TODAY()&gt;G2705),TODAY()-G2705,0)</x:f>
        <x:v>0</x:v>
      </x:c>
      <x:c r="N2705" s="24" t="str">
        <x:f>IF(J2705&gt;0,"미수",IF(AND(H2705&gt;0,I2705&gt;=H2705),"완납","미확인"))</x:f>
        <x:v>완납</x:v>
      </x:c>
      <x:c r="O2705" s="31" t="n">
        <x:v>21</x:v>
      </x:c>
    </x:row>
    <x:row r="2706" ht="17.25" customHeight="1">
      <x:c r="A2706" s="24" t="str">
        <x:v>PR-B-61루2328-202606</x:v>
      </x:c>
      <x:c r="B2706" s="24" t="str">
        <x:v>프라임구독</x:v>
      </x:c>
      <x:c r="C2706" s="24" t="str">
        <x:v>PR-C-61루2328-1-20230705-178</x:v>
      </x:c>
      <x:c r="D2706" s="24" t="str">
        <x:v>61루2328</x:v>
      </x:c>
      <x:c r="E2706" s="24" t="str">
        <x:v>권오중</x:v>
      </x:c>
      <x:c r="F2706" s="24" t="str">
        <x:v>2026-06</x:v>
      </x:c>
      <x:c r="G2706" s="30" t="n">
        <x:v>46193</x:v>
      </x:c>
      <x:c r="H2706" s="32" t="n">
        <x:v>448000</x:v>
      </x:c>
      <x:c r="I2706" s="32" t="n">
        <x:v>448000</x:v>
      </x:c>
      <x:c r="J2706" s="32" t="n">
        <x:v>0</x:v>
      </x:c>
      <x:c r="K2706" s="30" t="n">
        <x:v>46195</x:v>
      </x:c>
      <x:c r="L2706" s="24" t="str">
        <x:v>자동</x:v>
      </x:c>
      <x:c r="M2706" s="31" t="n">
        <x:f>IF(AND(N2706="미수",G2706&lt;&gt;"",TODAY()&gt;G2706),TODAY()-G2706,0)</x:f>
        <x:v>0</x:v>
      </x:c>
      <x:c r="N2706" s="24" t="str">
        <x:f>IF(J2706&gt;0,"미수",IF(AND(H2706&gt;0,I2706&gt;=H2706),"완납","미확인"))</x:f>
        <x:v>완납</x:v>
      </x:c>
      <x:c r="O2706" s="31" t="n">
        <x:v>21</x:v>
      </x:c>
    </x:row>
    <x:row r="2707" ht="17.25" customHeight="1">
      <x:c r="A2707" s="24" t="str">
        <x:v>PR-B-61루2328-202605</x:v>
      </x:c>
      <x:c r="B2707" s="24" t="str">
        <x:v>프라임구독</x:v>
      </x:c>
      <x:c r="C2707" s="24" t="str">
        <x:v>PR-C-61루2328-1-20230705-178</x:v>
      </x:c>
      <x:c r="D2707" s="24" t="str">
        <x:v>61루2328</x:v>
      </x:c>
      <x:c r="E2707" s="24" t="str">
        <x:v>권오중</x:v>
      </x:c>
      <x:c r="F2707" s="24" t="str">
        <x:v>2026-05</x:v>
      </x:c>
      <x:c r="G2707" s="30" t="n">
        <x:v>46162</x:v>
      </x:c>
      <x:c r="H2707" s="32" t="n">
        <x:v>448000</x:v>
      </x:c>
      <x:c r="I2707" s="32" t="n">
        <x:v>448000</x:v>
      </x:c>
      <x:c r="J2707" s="32" t="n">
        <x:v>0</x:v>
      </x:c>
      <x:c r="K2707" s="30" t="n">
        <x:v>46167</x:v>
      </x:c>
      <x:c r="L2707" s="24" t="str">
        <x:v>자동</x:v>
      </x:c>
      <x:c r="M2707" s="31" t="n">
        <x:f>IF(AND(N2707="미수",G2707&lt;&gt;"",TODAY()&gt;G2707),TODAY()-G2707,0)</x:f>
        <x:v>0</x:v>
      </x:c>
      <x:c r="N2707" s="24" t="str">
        <x:f>IF(J2707&gt;0,"미수",IF(AND(H2707&gt;0,I2707&gt;=H2707),"완납","미확인"))</x:f>
        <x:v>완납</x:v>
      </x:c>
      <x:c r="O2707" s="31" t="n">
        <x:v>21</x:v>
      </x:c>
    </x:row>
    <x:row r="2708" ht="17.25" customHeight="1">
      <x:c r="A2708" s="24" t="str">
        <x:v>PR-B-61루2328-202604</x:v>
      </x:c>
      <x:c r="B2708" s="24" t="str">
        <x:v>프라임구독</x:v>
      </x:c>
      <x:c r="C2708" s="24" t="str">
        <x:v>PR-C-61루2328-1-20230705-178</x:v>
      </x:c>
      <x:c r="D2708" s="24" t="str">
        <x:v>61루2328</x:v>
      </x:c>
      <x:c r="E2708" s="24" t="str">
        <x:v>권오중</x:v>
      </x:c>
      <x:c r="F2708" s="24" t="str">
        <x:v>2026-04</x:v>
      </x:c>
      <x:c r="G2708" s="30" t="n">
        <x:v>46132</x:v>
      </x:c>
      <x:c r="H2708" s="32" t="n">
        <x:v>448000</x:v>
      </x:c>
      <x:c r="I2708" s="32" t="n">
        <x:v>448000</x:v>
      </x:c>
      <x:c r="J2708" s="32" t="n">
        <x:v>0</x:v>
      </x:c>
      <x:c r="K2708" s="30" t="n">
        <x:v>46132</x:v>
      </x:c>
      <x:c r="L2708" s="24" t="str">
        <x:v>자동</x:v>
      </x:c>
      <x:c r="M2708" s="31" t="n">
        <x:f>IF(AND(N2708="미수",G2708&lt;&gt;"",TODAY()&gt;G2708),TODAY()-G2708,0)</x:f>
        <x:v>0</x:v>
      </x:c>
      <x:c r="N2708" s="24" t="str">
        <x:f>IF(J2708&gt;0,"미수",IF(AND(H2708&gt;0,I2708&gt;=H2708),"완납","미확인"))</x:f>
        <x:v>완납</x:v>
      </x:c>
      <x:c r="O2708" s="31" t="n">
        <x:v>21</x:v>
      </x:c>
    </x:row>
    <x:row r="2709" ht="17.25" customHeight="1">
      <x:c r="A2709" s="24" t="str">
        <x:v>PR-B-61루2328-202603</x:v>
      </x:c>
      <x:c r="B2709" s="24" t="str">
        <x:v>프라임구독</x:v>
      </x:c>
      <x:c r="C2709" s="24" t="str">
        <x:v>PR-C-61루2328-1-20230705-178</x:v>
      </x:c>
      <x:c r="D2709" s="24" t="str">
        <x:v>61루2328</x:v>
      </x:c>
      <x:c r="E2709" s="24" t="str">
        <x:v>권오중</x:v>
      </x:c>
      <x:c r="F2709" s="24" t="str">
        <x:v>2026-03</x:v>
      </x:c>
      <x:c r="G2709" s="30" t="n">
        <x:v>46101</x:v>
      </x:c>
      <x:c r="H2709" s="32" t="n">
        <x:v>448000</x:v>
      </x:c>
      <x:c r="I2709" s="32" t="n">
        <x:v>448000</x:v>
      </x:c>
      <x:c r="J2709" s="32" t="n">
        <x:v>0</x:v>
      </x:c>
      <x:c r="K2709" s="30" t="n">
        <x:v>46101</x:v>
      </x:c>
      <x:c r="L2709" s="24" t="str">
        <x:v>자동</x:v>
      </x:c>
      <x:c r="M2709" s="31" t="n">
        <x:f>IF(AND(N2709="미수",G2709&lt;&gt;"",TODAY()&gt;G2709),TODAY()-G2709,0)</x:f>
        <x:v>0</x:v>
      </x:c>
      <x:c r="N2709" s="24" t="str">
        <x:f>IF(J2709&gt;0,"미수",IF(AND(H2709&gt;0,I2709&gt;=H2709),"완납","미확인"))</x:f>
        <x:v>완납</x:v>
      </x:c>
      <x:c r="O2709" s="31" t="n">
        <x:v>21</x:v>
      </x:c>
    </x:row>
    <x:row r="2710" ht="17.25" customHeight="1">
      <x:c r="A2710" s="24" t="str">
        <x:v>PR-B-61루2328-202602</x:v>
      </x:c>
      <x:c r="B2710" s="24" t="str">
        <x:v>프라임구독</x:v>
      </x:c>
      <x:c r="C2710" s="24" t="str">
        <x:v>PR-C-61루2328-1-20230705-178</x:v>
      </x:c>
      <x:c r="D2710" s="24" t="str">
        <x:v>61루2328</x:v>
      </x:c>
      <x:c r="E2710" s="24" t="str">
        <x:v>권오중</x:v>
      </x:c>
      <x:c r="F2710" s="24" t="str">
        <x:v>2026-02</x:v>
      </x:c>
      <x:c r="G2710" s="30" t="n">
        <x:v>46073</x:v>
      </x:c>
      <x:c r="H2710" s="32" t="n">
        <x:v>448000</x:v>
      </x:c>
      <x:c r="I2710" s="32" t="n">
        <x:v>448000</x:v>
      </x:c>
      <x:c r="J2710" s="32" t="n">
        <x:v>0</x:v>
      </x:c>
      <x:c r="K2710" s="30" t="n">
        <x:v>46073</x:v>
      </x:c>
      <x:c r="L2710" s="24" t="str">
        <x:v>자동</x:v>
      </x:c>
      <x:c r="M2710" s="31" t="n">
        <x:f>IF(AND(N2710="미수",G2710&lt;&gt;"",TODAY()&gt;G2710),TODAY()-G2710,0)</x:f>
        <x:v>0</x:v>
      </x:c>
      <x:c r="N2710" s="24" t="str">
        <x:f>IF(J2710&gt;0,"미수",IF(AND(H2710&gt;0,I2710&gt;=H2710),"완납","미확인"))</x:f>
        <x:v>완납</x:v>
      </x:c>
      <x:c r="O2710" s="31" t="n">
        <x:v>21</x:v>
      </x:c>
    </x:row>
    <x:row r="2711" ht="17.25" customHeight="1">
      <x:c r="A2711" s="24" t="str">
        <x:v>PR-B-61루2328-202601</x:v>
      </x:c>
      <x:c r="B2711" s="24" t="str">
        <x:v>프라임구독</x:v>
      </x:c>
      <x:c r="C2711" s="24" t="str">
        <x:v>PR-C-61루2328-1-20230705-178</x:v>
      </x:c>
      <x:c r="D2711" s="24" t="str">
        <x:v>61루2328</x:v>
      </x:c>
      <x:c r="E2711" s="24" t="str">
        <x:v>권오중</x:v>
      </x:c>
      <x:c r="F2711" s="24" t="str">
        <x:v>2026-01</x:v>
      </x:c>
      <x:c r="G2711" s="30" t="n">
        <x:v>46042</x:v>
      </x:c>
      <x:c r="H2711" s="32" t="n">
        <x:v>448000</x:v>
      </x:c>
      <x:c r="I2711" s="32" t="n">
        <x:v>448000</x:v>
      </x:c>
      <x:c r="J2711" s="32" t="n">
        <x:v>0</x:v>
      </x:c>
      <x:c r="K2711" s="30" t="n">
        <x:v>46042</x:v>
      </x:c>
      <x:c r="L2711" s="24" t="str">
        <x:v>자동</x:v>
      </x:c>
      <x:c r="M2711" s="31" t="n">
        <x:f>IF(AND(N2711="미수",G2711&lt;&gt;"",TODAY()&gt;G2711),TODAY()-G2711,0)</x:f>
        <x:v>0</x:v>
      </x:c>
      <x:c r="N2711" s="24" t="str">
        <x:f>IF(J2711&gt;0,"미수",IF(AND(H2711&gt;0,I2711&gt;=H2711),"완납","미확인"))</x:f>
        <x:v>완납</x:v>
      </x:c>
      <x:c r="O2711" s="31" t="n">
        <x:v>21</x:v>
      </x:c>
    </x:row>
    <x:row r="2712" ht="17.25" customHeight="1">
      <x:c r="A2712" s="24" t="str">
        <x:v>PR-B-61루2328-202512</x:v>
      </x:c>
      <x:c r="B2712" s="24" t="str">
        <x:v>프라임구독</x:v>
      </x:c>
      <x:c r="C2712" s="24" t="str">
        <x:v>PR-C-61루2328-1-20230705-178</x:v>
      </x:c>
      <x:c r="D2712" s="24" t="str">
        <x:v>61루2328</x:v>
      </x:c>
      <x:c r="E2712" s="24" t="str">
        <x:v>권오중</x:v>
      </x:c>
      <x:c r="F2712" s="24" t="str">
        <x:v>2025-12</x:v>
      </x:c>
      <x:c r="G2712" s="30" t="n">
        <x:v>46011</x:v>
      </x:c>
      <x:c r="H2712" s="32" t="n">
        <x:v>448000</x:v>
      </x:c>
      <x:c r="I2712" s="32" t="n">
        <x:v>448000</x:v>
      </x:c>
      <x:c r="J2712" s="32" t="n">
        <x:v>0</x:v>
      </x:c>
      <x:c r="K2712" s="30" t="n">
        <x:v>46013</x:v>
      </x:c>
      <x:c r="L2712" s="24" t="str">
        <x:v>자동</x:v>
      </x:c>
      <x:c r="M2712" s="31" t="n">
        <x:f>IF(AND(N2712="미수",G2712&lt;&gt;"",TODAY()&gt;G2712),TODAY()-G2712,0)</x:f>
        <x:v>0</x:v>
      </x:c>
      <x:c r="N2712" s="24" t="str">
        <x:f>IF(J2712&gt;0,"미수",IF(AND(H2712&gt;0,I2712&gt;=H2712),"완납","미확인"))</x:f>
        <x:v>완납</x:v>
      </x:c>
      <x:c r="O2712" s="31" t="n">
        <x:v>21</x:v>
      </x:c>
    </x:row>
    <x:row r="2713" ht="17.25" customHeight="1">
      <x:c r="A2713" s="24" t="str">
        <x:v>PR-B-61루2328-202511</x:v>
      </x:c>
      <x:c r="B2713" s="24" t="str">
        <x:v>프라임구독</x:v>
      </x:c>
      <x:c r="C2713" s="24" t="str">
        <x:v>PR-C-61루2328-1-20230705-178</x:v>
      </x:c>
      <x:c r="D2713" s="24" t="str">
        <x:v>61루2328</x:v>
      </x:c>
      <x:c r="E2713" s="24" t="str">
        <x:v>권오중</x:v>
      </x:c>
      <x:c r="F2713" s="24" t="str">
        <x:v>2025-11</x:v>
      </x:c>
      <x:c r="G2713" s="30" t="n">
        <x:v>45981</x:v>
      </x:c>
      <x:c r="H2713" s="32" t="n">
        <x:v>448000</x:v>
      </x:c>
      <x:c r="I2713" s="32" t="n">
        <x:v>448000</x:v>
      </x:c>
      <x:c r="J2713" s="32" t="n">
        <x:v>0</x:v>
      </x:c>
      <x:c r="K2713" s="30" t="n">
        <x:v>45981</x:v>
      </x:c>
      <x:c r="L2713" s="24" t="str">
        <x:v>자동</x:v>
      </x:c>
      <x:c r="M2713" s="31" t="n">
        <x:f>IF(AND(N2713="미수",G2713&lt;&gt;"",TODAY()&gt;G2713),TODAY()-G2713,0)</x:f>
        <x:v>0</x:v>
      </x:c>
      <x:c r="N2713" s="24" t="str">
        <x:f>IF(J2713&gt;0,"미수",IF(AND(H2713&gt;0,I2713&gt;=H2713),"완납","미확인"))</x:f>
        <x:v>완납</x:v>
      </x:c>
      <x:c r="O2713" s="31" t="n">
        <x:v>21</x:v>
      </x:c>
    </x:row>
    <x:row r="2714" ht="17.25" customHeight="1">
      <x:c r="A2714" s="24" t="str">
        <x:v>PR-B-61루2328-202510</x:v>
      </x:c>
      <x:c r="B2714" s="24" t="str">
        <x:v>프라임구독</x:v>
      </x:c>
      <x:c r="C2714" s="24" t="str">
        <x:v>PR-C-61루2328-1-20230705-178</x:v>
      </x:c>
      <x:c r="D2714" s="24" t="str">
        <x:v>61루2328</x:v>
      </x:c>
      <x:c r="E2714" s="24" t="str">
        <x:v>권오중</x:v>
      </x:c>
      <x:c r="F2714" s="24" t="str">
        <x:v>2025-10</x:v>
      </x:c>
      <x:c r="G2714" s="30" t="n">
        <x:v>45950</x:v>
      </x:c>
      <x:c r="H2714" s="32" t="n">
        <x:v>448000</x:v>
      </x:c>
      <x:c r="I2714" s="32" t="n">
        <x:v>448000</x:v>
      </x:c>
      <x:c r="J2714" s="32" t="n">
        <x:v>0</x:v>
      </x:c>
      <x:c r="K2714" s="30" t="n">
        <x:v>45950</x:v>
      </x:c>
      <x:c r="L2714" s="24" t="str">
        <x:v>자동</x:v>
      </x:c>
      <x:c r="M2714" s="31" t="n">
        <x:f>IF(AND(N2714="미수",G2714&lt;&gt;"",TODAY()&gt;G2714),TODAY()-G2714,0)</x:f>
        <x:v>0</x:v>
      </x:c>
      <x:c r="N2714" s="24" t="str">
        <x:f>IF(J2714&gt;0,"미수",IF(AND(H2714&gt;0,I2714&gt;=H2714),"완납","미확인"))</x:f>
        <x:v>완납</x:v>
      </x:c>
      <x:c r="O2714" s="31" t="n">
        <x:v>21</x:v>
      </x:c>
    </x:row>
    <x:row r="2715" ht="17.25" customHeight="1">
      <x:c r="A2715" s="24" t="str">
        <x:v>PR-B-61루2328-202509</x:v>
      </x:c>
      <x:c r="B2715" s="24" t="str">
        <x:v>프라임구독</x:v>
      </x:c>
      <x:c r="C2715" s="24" t="str">
        <x:v>PR-C-61루2328-1-20230705-178</x:v>
      </x:c>
      <x:c r="D2715" s="24" t="str">
        <x:v>61루2328</x:v>
      </x:c>
      <x:c r="E2715" s="24" t="str">
        <x:v>권오중</x:v>
      </x:c>
      <x:c r="F2715" s="24" t="str">
        <x:v>2025-09</x:v>
      </x:c>
      <x:c r="G2715" s="30" t="n">
        <x:v>45920</x:v>
      </x:c>
      <x:c r="H2715" s="32" t="n">
        <x:v>448000</x:v>
      </x:c>
      <x:c r="I2715" s="32" t="n">
        <x:v>448000</x:v>
      </x:c>
      <x:c r="J2715" s="32" t="n">
        <x:v>0</x:v>
      </x:c>
      <x:c r="K2715" s="30" t="n">
        <x:v>45920</x:v>
      </x:c>
      <x:c r="L2715" s="24" t="str">
        <x:v>자동</x:v>
      </x:c>
      <x:c r="M2715" s="31" t="n">
        <x:f>IF(AND(N2715="미수",G2715&lt;&gt;"",TODAY()&gt;G2715),TODAY()-G2715,0)</x:f>
        <x:v>0</x:v>
      </x:c>
      <x:c r="N2715" s="24" t="str">
        <x:f>IF(J2715&gt;0,"미수",IF(AND(H2715&gt;0,I2715&gt;=H2715),"완납","미확인"))</x:f>
        <x:v>완납</x:v>
      </x:c>
      <x:c r="O2715" s="31" t="n">
        <x:v>21</x:v>
      </x:c>
    </x:row>
    <x:row r="2716" ht="17.25" customHeight="1">
      <x:c r="A2716" s="24" t="str">
        <x:v>PR-B-61루2328-202508</x:v>
      </x:c>
      <x:c r="B2716" s="24" t="str">
        <x:v>프라임구독</x:v>
      </x:c>
      <x:c r="C2716" s="24" t="str">
        <x:v>PR-C-61루2328-1-20230705-178</x:v>
      </x:c>
      <x:c r="D2716" s="24" t="str">
        <x:v>61루2328</x:v>
      </x:c>
      <x:c r="E2716" s="24" t="str">
        <x:v>권오중</x:v>
      </x:c>
      <x:c r="F2716" s="24" t="str">
        <x:v>2025-08</x:v>
      </x:c>
      <x:c r="G2716" s="30" t="n">
        <x:v>45889</x:v>
      </x:c>
      <x:c r="H2716" s="32" t="n">
        <x:v>448000</x:v>
      </x:c>
      <x:c r="I2716" s="32" t="n">
        <x:v>448000</x:v>
      </x:c>
      <x:c r="J2716" s="32" t="n">
        <x:v>0</x:v>
      </x:c>
      <x:c r="K2716" s="30" t="n">
        <x:v>45889</x:v>
      </x:c>
      <x:c r="L2716" s="24" t="str">
        <x:v>자동</x:v>
      </x:c>
      <x:c r="M2716" s="31" t="n">
        <x:f>IF(AND(N2716="미수",G2716&lt;&gt;"",TODAY()&gt;G2716),TODAY()-G2716,0)</x:f>
        <x:v>0</x:v>
      </x:c>
      <x:c r="N2716" s="24" t="str">
        <x:f>IF(J2716&gt;0,"미수",IF(AND(H2716&gt;0,I2716&gt;=H2716),"완납","미확인"))</x:f>
        <x:v>완납</x:v>
      </x:c>
      <x:c r="O2716" s="31" t="n">
        <x:v>21</x:v>
      </x:c>
    </x:row>
    <x:row r="2717" ht="17.25" customHeight="1">
      <x:c r="A2717" s="24" t="str">
        <x:v>PR-B-61루2328-202507</x:v>
      </x:c>
      <x:c r="B2717" s="24" t="str">
        <x:v>프라임구독</x:v>
      </x:c>
      <x:c r="C2717" s="24" t="str">
        <x:v>PR-C-61루2328-1-20230705-178</x:v>
      </x:c>
      <x:c r="D2717" s="24" t="str">
        <x:v>61루2328</x:v>
      </x:c>
      <x:c r="E2717" s="24" t="str">
        <x:v>권오중</x:v>
      </x:c>
      <x:c r="F2717" s="24" t="str">
        <x:v>2025-07</x:v>
      </x:c>
      <x:c r="G2717" s="30" t="n">
        <x:v>45858</x:v>
      </x:c>
      <x:c r="H2717" s="32" t="n">
        <x:v>448000</x:v>
      </x:c>
      <x:c r="I2717" s="32" t="n">
        <x:v>448000</x:v>
      </x:c>
      <x:c r="J2717" s="32" t="n">
        <x:v>0</x:v>
      </x:c>
      <x:c r="K2717" s="30" t="n">
        <x:v>45859</x:v>
      </x:c>
      <x:c r="L2717" s="24" t="str">
        <x:v>자동</x:v>
      </x:c>
      <x:c r="M2717" s="31" t="n">
        <x:f>IF(AND(N2717="미수",G2717&lt;&gt;"",TODAY()&gt;G2717),TODAY()-G2717,0)</x:f>
        <x:v>0</x:v>
      </x:c>
      <x:c r="N2717" s="24" t="str">
        <x:f>IF(J2717&gt;0,"미수",IF(AND(H2717&gt;0,I2717&gt;=H2717),"완납","미확인"))</x:f>
        <x:v>완납</x:v>
      </x:c>
      <x:c r="O2717" s="31" t="n">
        <x:v>21</x:v>
      </x:c>
    </x:row>
    <x:row r="2718" ht="17.25" customHeight="1">
      <x:c r="A2718" s="24" t="str">
        <x:v>PR-B-61루2328-202506</x:v>
      </x:c>
      <x:c r="B2718" s="24" t="str">
        <x:v>프라임구독</x:v>
      </x:c>
      <x:c r="C2718" s="24" t="str">
        <x:v>PR-C-61루2328-1-20230705-178</x:v>
      </x:c>
      <x:c r="D2718" s="24" t="str">
        <x:v>61루2328</x:v>
      </x:c>
      <x:c r="E2718" s="24" t="str">
        <x:v>권오중</x:v>
      </x:c>
      <x:c r="F2718" s="24" t="str">
        <x:v>2025-06</x:v>
      </x:c>
      <x:c r="G2718" s="30" t="n">
        <x:v>45828</x:v>
      </x:c>
      <x:c r="H2718" s="32" t="n">
        <x:v>448000</x:v>
      </x:c>
      <x:c r="I2718" s="32" t="n">
        <x:v>448000</x:v>
      </x:c>
      <x:c r="J2718" s="32" t="n">
        <x:v>0</x:v>
      </x:c>
      <x:c r="K2718" s="30" t="n">
        <x:v>45828</x:v>
      </x:c>
      <x:c r="L2718" s="24" t="str">
        <x:v>자동</x:v>
      </x:c>
      <x:c r="M2718" s="31" t="n">
        <x:f>IF(AND(N2718="미수",G2718&lt;&gt;"",TODAY()&gt;G2718),TODAY()-G2718,0)</x:f>
        <x:v>0</x:v>
      </x:c>
      <x:c r="N2718" s="24" t="str">
        <x:f>IF(J2718&gt;0,"미수",IF(AND(H2718&gt;0,I2718&gt;=H2718),"완납","미확인"))</x:f>
        <x:v>완납</x:v>
      </x:c>
      <x:c r="O2718" s="31" t="n">
        <x:v>21</x:v>
      </x:c>
    </x:row>
    <x:row r="2719" ht="17.25" customHeight="1">
      <x:c r="A2719" s="24" t="str">
        <x:v>PR-B-61루2328-202505</x:v>
      </x:c>
      <x:c r="B2719" s="24" t="str">
        <x:v>프라임구독</x:v>
      </x:c>
      <x:c r="C2719" s="24" t="str">
        <x:v>PR-C-61루2328-1-20230705-178</x:v>
      </x:c>
      <x:c r="D2719" s="24" t="str">
        <x:v>61루2328</x:v>
      </x:c>
      <x:c r="E2719" s="24" t="str">
        <x:v>권오중</x:v>
      </x:c>
      <x:c r="F2719" s="24" t="str">
        <x:v>2025-05</x:v>
      </x:c>
      <x:c r="G2719" s="30" t="n">
        <x:v>45797</x:v>
      </x:c>
      <x:c r="H2719" s="32" t="n">
        <x:v>448000</x:v>
      </x:c>
      <x:c r="I2719" s="32" t="n">
        <x:v>448000</x:v>
      </x:c>
      <x:c r="J2719" s="32" t="n">
        <x:v>0</x:v>
      </x:c>
      <x:c r="K2719" s="30" t="n">
        <x:v>45797</x:v>
      </x:c>
      <x:c r="L2719" s="24" t="str">
        <x:v>자동</x:v>
      </x:c>
      <x:c r="M2719" s="31" t="n">
        <x:f>IF(AND(N2719="미수",G2719&lt;&gt;"",TODAY()&gt;G2719),TODAY()-G2719,0)</x:f>
        <x:v>0</x:v>
      </x:c>
      <x:c r="N2719" s="24" t="str">
        <x:f>IF(J2719&gt;0,"미수",IF(AND(H2719&gt;0,I2719&gt;=H2719),"완납","미확인"))</x:f>
        <x:v>완납</x:v>
      </x:c>
      <x:c r="O2719" s="31" t="n">
        <x:v>21</x:v>
      </x:c>
    </x:row>
    <x:row r="2720" ht="17.25" customHeight="1">
      <x:c r="A2720" s="24" t="str">
        <x:v>PR-B-61루2328-202504</x:v>
      </x:c>
      <x:c r="B2720" s="24" t="str">
        <x:v>프라임구독</x:v>
      </x:c>
      <x:c r="C2720" s="24" t="str">
        <x:v>PR-C-61루2328-1-20230705-178</x:v>
      </x:c>
      <x:c r="D2720" s="24" t="str">
        <x:v>61루2328</x:v>
      </x:c>
      <x:c r="E2720" s="24" t="str">
        <x:v>권오중</x:v>
      </x:c>
      <x:c r="F2720" s="24" t="str">
        <x:v>2025-04</x:v>
      </x:c>
      <x:c r="G2720" s="30" t="n">
        <x:v>45767</x:v>
      </x:c>
      <x:c r="H2720" s="32" t="n">
        <x:v>448000</x:v>
      </x:c>
      <x:c r="I2720" s="32" t="n">
        <x:v>448000</x:v>
      </x:c>
      <x:c r="J2720" s="32" t="n">
        <x:v>0</x:v>
      </x:c>
      <x:c r="K2720" s="30" t="n">
        <x:v>45768</x:v>
      </x:c>
      <x:c r="L2720" s="24" t="str">
        <x:v>자동</x:v>
      </x:c>
      <x:c r="M2720" s="31" t="n">
        <x:f>IF(AND(N2720="미수",G2720&lt;&gt;"",TODAY()&gt;G2720),TODAY()-G2720,0)</x:f>
        <x:v>0</x:v>
      </x:c>
      <x:c r="N2720" s="24" t="str">
        <x:f>IF(J2720&gt;0,"미수",IF(AND(H2720&gt;0,I2720&gt;=H2720),"완납","미확인"))</x:f>
        <x:v>완납</x:v>
      </x:c>
      <x:c r="O2720" s="31" t="n">
        <x:v>21</x:v>
      </x:c>
    </x:row>
    <x:row r="2721" ht="17.25" customHeight="1">
      <x:c r="A2721" s="24" t="str">
        <x:v>PR-B-61루2328-202503</x:v>
      </x:c>
      <x:c r="B2721" s="24" t="str">
        <x:v>프라임구독</x:v>
      </x:c>
      <x:c r="C2721" s="24" t="str">
        <x:v>PR-C-61루2328-1-20230705-178</x:v>
      </x:c>
      <x:c r="D2721" s="24" t="str">
        <x:v>61루2328</x:v>
      </x:c>
      <x:c r="E2721" s="24" t="str">
        <x:v>권오중</x:v>
      </x:c>
      <x:c r="F2721" s="24" t="str">
        <x:v>2025-03</x:v>
      </x:c>
      <x:c r="G2721" s="30" t="n">
        <x:v>45736</x:v>
      </x:c>
      <x:c r="H2721" s="32" t="n">
        <x:v>448000</x:v>
      </x:c>
      <x:c r="I2721" s="32" t="n">
        <x:v>448000</x:v>
      </x:c>
      <x:c r="J2721" s="32" t="n">
        <x:v>0</x:v>
      </x:c>
      <x:c r="K2721" s="30" t="n">
        <x:v>45736</x:v>
      </x:c>
      <x:c r="L2721" s="24" t="str">
        <x:v>자동</x:v>
      </x:c>
      <x:c r="M2721" s="31" t="n">
        <x:f>IF(AND(N2721="미수",G2721&lt;&gt;"",TODAY()&gt;G2721),TODAY()-G2721,0)</x:f>
        <x:v>0</x:v>
      </x:c>
      <x:c r="N2721" s="24" t="str">
        <x:f>IF(J2721&gt;0,"미수",IF(AND(H2721&gt;0,I2721&gt;=H2721),"완납","미확인"))</x:f>
        <x:v>완납</x:v>
      </x:c>
      <x:c r="O2721" s="31" t="n">
        <x:v>21</x:v>
      </x:c>
    </x:row>
    <x:row r="2722" ht="17.25" customHeight="1">
      <x:c r="A2722" s="24" t="str">
        <x:v>PR-B-61루2328-202502</x:v>
      </x:c>
      <x:c r="B2722" s="24" t="str">
        <x:v>프라임구독</x:v>
      </x:c>
      <x:c r="C2722" s="24" t="str">
        <x:v>PR-C-61루2328-1-20230705-178</x:v>
      </x:c>
      <x:c r="D2722" s="24" t="str">
        <x:v>61루2328</x:v>
      </x:c>
      <x:c r="E2722" s="24" t="str">
        <x:v>권오중</x:v>
      </x:c>
      <x:c r="F2722" s="24" t="str">
        <x:v>2025-02</x:v>
      </x:c>
      <x:c r="G2722" s="30" t="n">
        <x:v>45708</x:v>
      </x:c>
      <x:c r="H2722" s="32" t="n">
        <x:v>448000</x:v>
      </x:c>
      <x:c r="I2722" s="32" t="n">
        <x:v>448000</x:v>
      </x:c>
      <x:c r="J2722" s="32" t="n">
        <x:v>0</x:v>
      </x:c>
      <x:c r="K2722" s="30" t="n">
        <x:v>45708</x:v>
      </x:c>
      <x:c r="L2722" s="24" t="str">
        <x:v>자동</x:v>
      </x:c>
      <x:c r="M2722" s="31" t="n">
        <x:f>IF(AND(N2722="미수",G2722&lt;&gt;"",TODAY()&gt;G2722),TODAY()-G2722,0)</x:f>
        <x:v>0</x:v>
      </x:c>
      <x:c r="N2722" s="24" t="str">
        <x:f>IF(J2722&gt;0,"미수",IF(AND(H2722&gt;0,I2722&gt;=H2722),"완납","미확인"))</x:f>
        <x:v>완납</x:v>
      </x:c>
      <x:c r="O2722" s="31" t="n">
        <x:v>21</x:v>
      </x:c>
    </x:row>
    <x:row r="2723" ht="17.25" customHeight="1">
      <x:c r="A2723" s="24" t="str">
        <x:v>PR-B-61루2328-202501</x:v>
      </x:c>
      <x:c r="B2723" s="24" t="str">
        <x:v>프라임구독</x:v>
      </x:c>
      <x:c r="C2723" s="24" t="str">
        <x:v>PR-C-61루2328-1-20230705-178</x:v>
      </x:c>
      <x:c r="D2723" s="24" t="str">
        <x:v>61루2328</x:v>
      </x:c>
      <x:c r="E2723" s="24" t="str">
        <x:v>권오중</x:v>
      </x:c>
      <x:c r="F2723" s="24" t="str">
        <x:v>2025-01</x:v>
      </x:c>
      <x:c r="G2723" s="30" t="n">
        <x:v>45677</x:v>
      </x:c>
      <x:c r="H2723" s="32" t="n">
        <x:v>448000</x:v>
      </x:c>
      <x:c r="I2723" s="32" t="n">
        <x:v>448000</x:v>
      </x:c>
      <x:c r="J2723" s="32" t="n">
        <x:v>0</x:v>
      </x:c>
      <x:c r="K2723" s="30" t="n">
        <x:v>45677</x:v>
      </x:c>
      <x:c r="L2723" s="24" t="str">
        <x:v>자동</x:v>
      </x:c>
      <x:c r="M2723" s="31" t="n">
        <x:f>IF(AND(N2723="미수",G2723&lt;&gt;"",TODAY()&gt;G2723),TODAY()-G2723,0)</x:f>
        <x:v>0</x:v>
      </x:c>
      <x:c r="N2723" s="24" t="str">
        <x:f>IF(J2723&gt;0,"미수",IF(AND(H2723&gt;0,I2723&gt;=H2723),"완납","미확인"))</x:f>
        <x:v>완납</x:v>
      </x:c>
      <x:c r="O2723" s="31" t="n">
        <x:v>21</x:v>
      </x:c>
    </x:row>
    <x:row r="2724" ht="17.25" customHeight="1">
      <x:c r="A2724" s="24" t="str">
        <x:v>PR-B-61루2328-202412</x:v>
      </x:c>
      <x:c r="B2724" s="24" t="str">
        <x:v>프라임구독</x:v>
      </x:c>
      <x:c r="C2724" s="24" t="str">
        <x:v>PR-C-61루2328-1-20230705-178</x:v>
      </x:c>
      <x:c r="D2724" s="24" t="str">
        <x:v>61루2328</x:v>
      </x:c>
      <x:c r="E2724" s="24" t="str">
        <x:v>권오중</x:v>
      </x:c>
      <x:c r="F2724" s="24" t="str">
        <x:v>2024-12</x:v>
      </x:c>
      <x:c r="G2724" s="30" t="n">
        <x:v>45646</x:v>
      </x:c>
      <x:c r="H2724" s="32" t="n">
        <x:v>448000</x:v>
      </x:c>
      <x:c r="I2724" s="32" t="n">
        <x:v>448000</x:v>
      </x:c>
      <x:c r="J2724" s="32" t="n">
        <x:v>0</x:v>
      </x:c>
      <x:c r="K2724" s="30" t="n">
        <x:v>45646</x:v>
      </x:c>
      <x:c r="L2724" s="24" t="str">
        <x:v>자동</x:v>
      </x:c>
      <x:c r="M2724" s="31" t="n">
        <x:f>IF(AND(N2724="미수",G2724&lt;&gt;"",TODAY()&gt;G2724),TODAY()-G2724,0)</x:f>
        <x:v>0</x:v>
      </x:c>
      <x:c r="N2724" s="24" t="str">
        <x:f>IF(J2724&gt;0,"미수",IF(AND(H2724&gt;0,I2724&gt;=H2724),"완납","미확인"))</x:f>
        <x:v>완납</x:v>
      </x:c>
      <x:c r="O2724" s="31" t="n">
        <x:v>21</x:v>
      </x:c>
    </x:row>
    <x:row r="2725" ht="17.25" customHeight="1">
      <x:c r="A2725" s="24" t="str">
        <x:v>PR-B-61루2328-202411</x:v>
      </x:c>
      <x:c r="B2725" s="24" t="str">
        <x:v>프라임구독</x:v>
      </x:c>
      <x:c r="C2725" s="24" t="str">
        <x:v>PR-C-61루2328-1-20230705-178</x:v>
      </x:c>
      <x:c r="D2725" s="24" t="str">
        <x:v>61루2328</x:v>
      </x:c>
      <x:c r="E2725" s="24" t="str">
        <x:v>권오중</x:v>
      </x:c>
      <x:c r="F2725" s="24" t="str">
        <x:v>2024-11</x:v>
      </x:c>
      <x:c r="G2725" s="30" t="n">
        <x:v>45616</x:v>
      </x:c>
      <x:c r="H2725" s="32" t="n">
        <x:v>448000</x:v>
      </x:c>
      <x:c r="I2725" s="32" t="n">
        <x:v>448000</x:v>
      </x:c>
      <x:c r="J2725" s="32" t="n">
        <x:v>0</x:v>
      </x:c>
      <x:c r="K2725" s="30" t="n">
        <x:v>45616</x:v>
      </x:c>
      <x:c r="L2725" s="24" t="str">
        <x:v>자동</x:v>
      </x:c>
      <x:c r="M2725" s="31" t="n">
        <x:f>IF(AND(N2725="미수",G2725&lt;&gt;"",TODAY()&gt;G2725),TODAY()-G2725,0)</x:f>
        <x:v>0</x:v>
      </x:c>
      <x:c r="N2725" s="24" t="str">
        <x:f>IF(J2725&gt;0,"미수",IF(AND(H2725&gt;0,I2725&gt;=H2725),"완납","미확인"))</x:f>
        <x:v>완납</x:v>
      </x:c>
      <x:c r="O2725" s="31" t="n">
        <x:v>21</x:v>
      </x:c>
    </x:row>
    <x:row r="2726" ht="17.25" customHeight="1">
      <x:c r="A2726" s="24" t="str">
        <x:v>PR-B-61루2328-202410</x:v>
      </x:c>
      <x:c r="B2726" s="24" t="str">
        <x:v>프라임구독</x:v>
      </x:c>
      <x:c r="C2726" s="24" t="str">
        <x:v>PR-C-61루2328-1-20230705-178</x:v>
      </x:c>
      <x:c r="D2726" s="24" t="str">
        <x:v>61루2328</x:v>
      </x:c>
      <x:c r="E2726" s="24" t="str">
        <x:v>권오중</x:v>
      </x:c>
      <x:c r="F2726" s="24" t="str">
        <x:v>2024-10</x:v>
      </x:c>
      <x:c r="G2726" s="30" t="n">
        <x:v>45585</x:v>
      </x:c>
      <x:c r="H2726" s="32" t="n">
        <x:v>448000</x:v>
      </x:c>
      <x:c r="I2726" s="32" t="n">
        <x:v>448000</x:v>
      </x:c>
      <x:c r="J2726" s="32" t="n">
        <x:v>0</x:v>
      </x:c>
      <x:c r="K2726" s="30" t="n">
        <x:v>45585</x:v>
      </x:c>
      <x:c r="L2726" s="24" t="str">
        <x:v>자동</x:v>
      </x:c>
      <x:c r="M2726" s="31" t="n">
        <x:f>IF(AND(N2726="미수",G2726&lt;&gt;"",TODAY()&gt;G2726),TODAY()-G2726,0)</x:f>
        <x:v>0</x:v>
      </x:c>
      <x:c r="N2726" s="24" t="str">
        <x:f>IF(J2726&gt;0,"미수",IF(AND(H2726&gt;0,I2726&gt;=H2726),"완납","미확인"))</x:f>
        <x:v>완납</x:v>
      </x:c>
      <x:c r="O2726" s="31" t="n">
        <x:v>21</x:v>
      </x:c>
    </x:row>
    <x:row r="2727" ht="17.25" customHeight="1">
      <x:c r="A2727" s="24" t="str">
        <x:v>PR-B-61루2328-202409</x:v>
      </x:c>
      <x:c r="B2727" s="24" t="str">
        <x:v>프라임구독</x:v>
      </x:c>
      <x:c r="C2727" s="24" t="str">
        <x:v>PR-C-61루2328-1-20230705-178</x:v>
      </x:c>
      <x:c r="D2727" s="24" t="str">
        <x:v>61루2328</x:v>
      </x:c>
      <x:c r="E2727" s="24" t="str">
        <x:v>권오중</x:v>
      </x:c>
      <x:c r="F2727" s="24" t="str">
        <x:v>2024-09</x:v>
      </x:c>
      <x:c r="G2727" s="30" t="n">
        <x:v>45555</x:v>
      </x:c>
      <x:c r="H2727" s="32" t="n">
        <x:v>448000</x:v>
      </x:c>
      <x:c r="I2727" s="32" t="n">
        <x:v>448000</x:v>
      </x:c>
      <x:c r="J2727" s="32" t="n">
        <x:v>0</x:v>
      </x:c>
      <x:c r="K2727" s="30" t="n">
        <x:v>45555</x:v>
      </x:c>
      <x:c r="L2727" s="24" t="str">
        <x:v>자동</x:v>
      </x:c>
      <x:c r="M2727" s="31" t="n">
        <x:f>IF(AND(N2727="미수",G2727&lt;&gt;"",TODAY()&gt;G2727),TODAY()-G2727,0)</x:f>
        <x:v>0</x:v>
      </x:c>
      <x:c r="N2727" s="24" t="str">
        <x:f>IF(J2727&gt;0,"미수",IF(AND(H2727&gt;0,I2727&gt;=H2727),"완납","미확인"))</x:f>
        <x:v>완납</x:v>
      </x:c>
      <x:c r="O2727" s="31" t="n">
        <x:v>21</x:v>
      </x:c>
    </x:row>
    <x:row r="2728" ht="17.25" customHeight="1">
      <x:c r="A2728" s="24" t="str">
        <x:v>PR-B-61루2328-202408</x:v>
      </x:c>
      <x:c r="B2728" s="24" t="str">
        <x:v>프라임구독</x:v>
      </x:c>
      <x:c r="C2728" s="24" t="str">
        <x:v>PR-C-61루2328-1-20230705-178</x:v>
      </x:c>
      <x:c r="D2728" s="24" t="str">
        <x:v>61루2328</x:v>
      </x:c>
      <x:c r="E2728" s="24" t="str">
        <x:v>권오중</x:v>
      </x:c>
      <x:c r="F2728" s="24" t="str">
        <x:v>2024-08</x:v>
      </x:c>
      <x:c r="G2728" s="30" t="n">
        <x:v>45524</x:v>
      </x:c>
      <x:c r="H2728" s="32" t="n">
        <x:v>448000</x:v>
      </x:c>
      <x:c r="I2728" s="32" t="n">
        <x:v>448000</x:v>
      </x:c>
      <x:c r="J2728" s="32" t="n">
        <x:v>0</x:v>
      </x:c>
      <x:c r="K2728" s="30" t="n">
        <x:v>45524</x:v>
      </x:c>
      <x:c r="L2728" s="24" t="str">
        <x:v>자동</x:v>
      </x:c>
      <x:c r="M2728" s="31" t="n">
        <x:f>IF(AND(N2728="미수",G2728&lt;&gt;"",TODAY()&gt;G2728),TODAY()-G2728,0)</x:f>
        <x:v>0</x:v>
      </x:c>
      <x:c r="N2728" s="24" t="str">
        <x:f>IF(J2728&gt;0,"미수",IF(AND(H2728&gt;0,I2728&gt;=H2728),"완납","미확인"))</x:f>
        <x:v>완납</x:v>
      </x:c>
      <x:c r="O2728" s="31" t="n">
        <x:v>21</x:v>
      </x:c>
    </x:row>
    <x:row r="2729" ht="17.25" customHeight="1">
      <x:c r="A2729" s="24" t="str">
        <x:v>PR-B-61루2328-202407</x:v>
      </x:c>
      <x:c r="B2729" s="24" t="str">
        <x:v>프라임구독</x:v>
      </x:c>
      <x:c r="C2729" s="24" t="str">
        <x:v>PR-C-61루2328-1-20230705-178</x:v>
      </x:c>
      <x:c r="D2729" s="24" t="str">
        <x:v>61루2328</x:v>
      </x:c>
      <x:c r="E2729" s="24" t="str">
        <x:v>권오중</x:v>
      </x:c>
      <x:c r="F2729" s="24" t="str">
        <x:v>2024-07</x:v>
      </x:c>
      <x:c r="G2729" s="30" t="n">
        <x:v>45493</x:v>
      </x:c>
      <x:c r="H2729" s="32" t="n">
        <x:v>448000</x:v>
      </x:c>
      <x:c r="I2729" s="32" t="n">
        <x:v>448000</x:v>
      </x:c>
      <x:c r="J2729" s="32" t="n">
        <x:v>0</x:v>
      </x:c>
      <x:c r="K2729" s="30" t="n">
        <x:v>45493</x:v>
      </x:c>
      <x:c r="L2729" s="24" t="str">
        <x:v>자동</x:v>
      </x:c>
      <x:c r="M2729" s="31" t="n">
        <x:f>IF(AND(N2729="미수",G2729&lt;&gt;"",TODAY()&gt;G2729),TODAY()-G2729,0)</x:f>
        <x:v>0</x:v>
      </x:c>
      <x:c r="N2729" s="24" t="str">
        <x:f>IF(J2729&gt;0,"미수",IF(AND(H2729&gt;0,I2729&gt;=H2729),"완납","미확인"))</x:f>
        <x:v>완납</x:v>
      </x:c>
      <x:c r="O2729" s="31" t="n">
        <x:v>21</x:v>
      </x:c>
    </x:row>
    <x:row r="2730" ht="17.25" customHeight="1">
      <x:c r="A2730" s="24" t="str">
        <x:v>PR-B-61루2328-202406</x:v>
      </x:c>
      <x:c r="B2730" s="24" t="str">
        <x:v>프라임구독</x:v>
      </x:c>
      <x:c r="C2730" s="24" t="str">
        <x:v>PR-C-61루2328-1-20230705-178</x:v>
      </x:c>
      <x:c r="D2730" s="24" t="str">
        <x:v>61루2328</x:v>
      </x:c>
      <x:c r="E2730" s="24" t="str">
        <x:v>권오중</x:v>
      </x:c>
      <x:c r="F2730" s="24" t="str">
        <x:v>2024-06</x:v>
      </x:c>
      <x:c r="G2730" s="30" t="n">
        <x:v>45463</x:v>
      </x:c>
      <x:c r="H2730" s="32" t="n">
        <x:v>448000</x:v>
      </x:c>
      <x:c r="I2730" s="32" t="n">
        <x:v>448000</x:v>
      </x:c>
      <x:c r="J2730" s="32" t="n">
        <x:v>0</x:v>
      </x:c>
      <x:c r="K2730" s="30" t="n">
        <x:v>45463</x:v>
      </x:c>
      <x:c r="L2730" s="24" t="str"/>
      <x:c r="M2730" s="31" t="n">
        <x:f>IF(AND(N2730="미수",G2730&lt;&gt;"",TODAY()&gt;G2730),TODAY()-G2730,0)</x:f>
        <x:v>0</x:v>
      </x:c>
      <x:c r="N2730" s="24" t="str">
        <x:f>IF(J2730&gt;0,"미수",IF(AND(H2730&gt;0,I2730&gt;=H2730),"완납","미확인"))</x:f>
        <x:v>완납</x:v>
      </x:c>
      <x:c r="O2730" s="31" t="n">
        <x:v>21</x:v>
      </x:c>
    </x:row>
    <x:row r="2731" ht="17.25" customHeight="1">
      <x:c r="A2731" s="24" t="str">
        <x:v>PR-B-61루2328-202405</x:v>
      </x:c>
      <x:c r="B2731" s="24" t="str">
        <x:v>프라임구독</x:v>
      </x:c>
      <x:c r="C2731" s="24" t="str">
        <x:v>PR-C-61루2328-1-20230705-178</x:v>
      </x:c>
      <x:c r="D2731" s="24" t="str">
        <x:v>61루2328</x:v>
      </x:c>
      <x:c r="E2731" s="24" t="str">
        <x:v>권오중</x:v>
      </x:c>
      <x:c r="F2731" s="24" t="str">
        <x:v>2024-05</x:v>
      </x:c>
      <x:c r="G2731" s="30" t="n">
        <x:v>45432</x:v>
      </x:c>
      <x:c r="H2731" s="32" t="n">
        <x:v>448000</x:v>
      </x:c>
      <x:c r="I2731" s="32" t="n">
        <x:v>448000</x:v>
      </x:c>
      <x:c r="J2731" s="32" t="n">
        <x:v>0</x:v>
      </x:c>
      <x:c r="K2731" s="30" t="n">
        <x:v>45432</x:v>
      </x:c>
      <x:c r="L2731" s="24" t="str"/>
      <x:c r="M2731" s="31" t="n">
        <x:f>IF(AND(N2731="미수",G2731&lt;&gt;"",TODAY()&gt;G2731),TODAY()-G2731,0)</x:f>
        <x:v>0</x:v>
      </x:c>
      <x:c r="N2731" s="24" t="str">
        <x:f>IF(J2731&gt;0,"미수",IF(AND(H2731&gt;0,I2731&gt;=H2731),"완납","미확인"))</x:f>
        <x:v>완납</x:v>
      </x:c>
      <x:c r="O2731" s="31" t="n">
        <x:v>21</x:v>
      </x:c>
    </x:row>
    <x:row r="2732" ht="17.25" customHeight="1">
      <x:c r="A2732" s="24" t="str">
        <x:v>PR-B-64로0269-202608</x:v>
      </x:c>
      <x:c r="B2732" s="24" t="str">
        <x:v>프라임구독</x:v>
      </x:c>
      <x:c r="C2732" s="24" t="str">
        <x:v>PR-C-64로0269-1-20230623-181</x:v>
      </x:c>
      <x:c r="D2732" s="24" t="str">
        <x:v>64로0269</x:v>
      </x:c>
      <x:c r="E2732" s="24" t="str">
        <x:v>배미주</x:v>
      </x:c>
      <x:c r="F2732" s="24" t="str">
        <x:v>2026-08</x:v>
      </x:c>
      <x:c r="G2732" s="30" t="n">
        <x:v>46254</x:v>
      </x:c>
      <x:c r="H2732" s="32" t="n">
        <x:v>639000</x:v>
      </x:c>
      <x:c r="I2732" s="32"/>
      <x:c r="J2732" s="32" t="n">
        <x:v>13458000</x:v>
      </x:c>
      <x:c r="K2732" s="30"/>
      <x:c r="L2732" s="24" t="str"/>
      <x:c r="M2732" s="31" t="n">
        <x:f>IF(AND(N2732="미수",G2732&lt;&gt;"",TODAY()&gt;G2732),TODAY()-G2732,0)</x:f>
        <x:v>0</x:v>
      </x:c>
      <x:c r="N2732" s="24" t="str">
        <x:f>IF(J2732&gt;0,"미수",IF(AND(H2732&gt;0,I2732&gt;=H2732),"완납","미확인"))</x:f>
        <x:v>미수</x:v>
      </x:c>
      <x:c r="O2732" s="31" t="n">
        <x:v>22</x:v>
      </x:c>
    </x:row>
    <x:row r="2733" ht="17.25" customHeight="1">
      <x:c r="A2733" s="24" t="str">
        <x:v>PR-B-64로0269-202607</x:v>
      </x:c>
      <x:c r="B2733" s="24" t="str">
        <x:v>프라임구독</x:v>
      </x:c>
      <x:c r="C2733" s="24" t="str">
        <x:v>PR-C-64로0269-1-20230623-181</x:v>
      </x:c>
      <x:c r="D2733" s="24" t="str">
        <x:v>64로0269</x:v>
      </x:c>
      <x:c r="E2733" s="24" t="str">
        <x:v>배미주</x:v>
      </x:c>
      <x:c r="F2733" s="24" t="str">
        <x:v>2026-07</x:v>
      </x:c>
      <x:c r="G2733" s="30" t="n">
        <x:v>46223</x:v>
      </x:c>
      <x:c r="H2733" s="32" t="n">
        <x:v>639000</x:v>
      </x:c>
      <x:c r="I2733" s="32" t="n">
        <x:v>600000</x:v>
      </x:c>
      <x:c r="J2733" s="32" t="n">
        <x:v>12819000</x:v>
      </x:c>
      <x:c r="K2733" s="30" t="n">
        <x:v>46207</x:v>
      </x:c>
      <x:c r="L2733" s="24" t="str">
        <x:v>입금</x:v>
      </x:c>
      <x:c r="M2733" s="31" t="n">
        <x:f>IF(AND(N2733="미수",G2733&lt;&gt;"",TODAY()&gt;G2733),TODAY()-G2733,0)</x:f>
        <x:v>26</x:v>
      </x:c>
      <x:c r="N2733" s="24" t="str">
        <x:f>IF(J2733&gt;0,"미수",IF(AND(H2733&gt;0,I2733&gt;=H2733),"완납","미확인"))</x:f>
        <x:v>미수</x:v>
      </x:c>
      <x:c r="O2733" s="31" t="n">
        <x:v>22</x:v>
      </x:c>
    </x:row>
    <x:row r="2734" ht="17.25" customHeight="1">
      <x:c r="A2734" s="24" t="str">
        <x:v>PR-B-64로0269-202606</x:v>
      </x:c>
      <x:c r="B2734" s="24" t="str">
        <x:v>프라임구독</x:v>
      </x:c>
      <x:c r="C2734" s="24" t="str">
        <x:v>PR-C-64로0269-1-20230623-181</x:v>
      </x:c>
      <x:c r="D2734" s="24" t="str">
        <x:v>64로0269</x:v>
      </x:c>
      <x:c r="E2734" s="24" t="str">
        <x:v>배미주</x:v>
      </x:c>
      <x:c r="F2734" s="24" t="str">
        <x:v>2026-06</x:v>
      </x:c>
      <x:c r="G2734" s="30" t="n">
        <x:v>46193</x:v>
      </x:c>
      <x:c r="H2734" s="32" t="n">
        <x:v>639000</x:v>
      </x:c>
      <x:c r="I2734" s="32"/>
      <x:c r="J2734" s="32" t="n">
        <x:v>12780000</x:v>
      </x:c>
      <x:c r="K2734" s="30"/>
      <x:c r="L2734" s="24" t="str"/>
      <x:c r="M2734" s="31" t="n">
        <x:f>IF(AND(N2734="미수",G2734&lt;&gt;"",TODAY()&gt;G2734),TODAY()-G2734,0)</x:f>
        <x:v>56</x:v>
      </x:c>
      <x:c r="N2734" s="24" t="str">
        <x:f>IF(J2734&gt;0,"미수",IF(AND(H2734&gt;0,I2734&gt;=H2734),"완납","미확인"))</x:f>
        <x:v>미수</x:v>
      </x:c>
      <x:c r="O2734" s="31" t="n">
        <x:v>22</x:v>
      </x:c>
    </x:row>
    <x:row r="2735" ht="17.25" customHeight="1">
      <x:c r="A2735" s="24" t="str">
        <x:v>PR-B-64로0269-202605</x:v>
      </x:c>
      <x:c r="B2735" s="24" t="str">
        <x:v>프라임구독</x:v>
      </x:c>
      <x:c r="C2735" s="24" t="str">
        <x:v>PR-C-64로0269-1-20230623-181</x:v>
      </x:c>
      <x:c r="D2735" s="24" t="str">
        <x:v>64로0269</x:v>
      </x:c>
      <x:c r="E2735" s="24" t="str">
        <x:v>배미주</x:v>
      </x:c>
      <x:c r="F2735" s="24" t="str">
        <x:v>2026-05</x:v>
      </x:c>
      <x:c r="G2735" s="30" t="n">
        <x:v>46162</x:v>
      </x:c>
      <x:c r="H2735" s="32" t="n">
        <x:v>639000</x:v>
      </x:c>
      <x:c r="I2735" s="32"/>
      <x:c r="J2735" s="32" t="n">
        <x:v>12141000</x:v>
      </x:c>
      <x:c r="K2735" s="30"/>
      <x:c r="L2735" s="24" t="str"/>
      <x:c r="M2735" s="31" t="n">
        <x:f>IF(AND(N2735="미수",G2735&lt;&gt;"",TODAY()&gt;G2735),TODAY()-G2735,0)</x:f>
        <x:v>87</x:v>
      </x:c>
      <x:c r="N2735" s="24" t="str">
        <x:f>IF(J2735&gt;0,"미수",IF(AND(H2735&gt;0,I2735&gt;=H2735),"완납","미확인"))</x:f>
        <x:v>미수</x:v>
      </x:c>
      <x:c r="O2735" s="31" t="n">
        <x:v>22</x:v>
      </x:c>
    </x:row>
    <x:row r="2736" ht="17.25" customHeight="1">
      <x:c r="A2736" s="24" t="str">
        <x:v>PR-B-64로0269-202604</x:v>
      </x:c>
      <x:c r="B2736" s="24" t="str">
        <x:v>프라임구독</x:v>
      </x:c>
      <x:c r="C2736" s="24" t="str">
        <x:v>PR-C-64로0269-1-20230623-181</x:v>
      </x:c>
      <x:c r="D2736" s="24" t="str">
        <x:v>64로0269</x:v>
      </x:c>
      <x:c r="E2736" s="24" t="str">
        <x:v>배미주</x:v>
      </x:c>
      <x:c r="F2736" s="24" t="str">
        <x:v>2026-04</x:v>
      </x:c>
      <x:c r="G2736" s="30" t="n">
        <x:v>46132</x:v>
      </x:c>
      <x:c r="H2736" s="32" t="n">
        <x:v>639000</x:v>
      </x:c>
      <x:c r="I2736" s="32"/>
      <x:c r="J2736" s="32" t="n">
        <x:v>11502000</x:v>
      </x:c>
      <x:c r="K2736" s="30"/>
      <x:c r="L2736" s="24" t="str"/>
      <x:c r="M2736" s="31" t="n">
        <x:f>IF(AND(N2736="미수",G2736&lt;&gt;"",TODAY()&gt;G2736),TODAY()-G2736,0)</x:f>
        <x:v>117</x:v>
      </x:c>
      <x:c r="N2736" s="24" t="str">
        <x:f>IF(J2736&gt;0,"미수",IF(AND(H2736&gt;0,I2736&gt;=H2736),"완납","미확인"))</x:f>
        <x:v>미수</x:v>
      </x:c>
      <x:c r="O2736" s="31" t="n">
        <x:v>22</x:v>
      </x:c>
    </x:row>
    <x:row r="2737" ht="17.25" customHeight="1">
      <x:c r="A2737" s="24" t="str">
        <x:v>PR-B-64로0269-202603</x:v>
      </x:c>
      <x:c r="B2737" s="24" t="str">
        <x:v>프라임구독</x:v>
      </x:c>
      <x:c r="C2737" s="24" t="str">
        <x:v>PR-C-64로0269-1-20230623-181</x:v>
      </x:c>
      <x:c r="D2737" s="24" t="str">
        <x:v>64로0269</x:v>
      </x:c>
      <x:c r="E2737" s="24" t="str">
        <x:v>배미주</x:v>
      </x:c>
      <x:c r="F2737" s="24" t="str">
        <x:v>2026-03</x:v>
      </x:c>
      <x:c r="G2737" s="30" t="n">
        <x:v>46101</x:v>
      </x:c>
      <x:c r="H2737" s="32" t="n">
        <x:v>639000</x:v>
      </x:c>
      <x:c r="I2737" s="32"/>
      <x:c r="J2737" s="32" t="n">
        <x:v>10863000</x:v>
      </x:c>
      <x:c r="K2737" s="30"/>
      <x:c r="L2737" s="24" t="str"/>
      <x:c r="M2737" s="31" t="n">
        <x:f>IF(AND(N2737="미수",G2737&lt;&gt;"",TODAY()&gt;G2737),TODAY()-G2737,0)</x:f>
        <x:v>148</x:v>
      </x:c>
      <x:c r="N2737" s="24" t="str">
        <x:f>IF(J2737&gt;0,"미수",IF(AND(H2737&gt;0,I2737&gt;=H2737),"완납","미확인"))</x:f>
        <x:v>미수</x:v>
      </x:c>
      <x:c r="O2737" s="31" t="n">
        <x:v>22</x:v>
      </x:c>
    </x:row>
    <x:row r="2738" ht="17.25" customHeight="1">
      <x:c r="A2738" s="24" t="str">
        <x:v>PR-B-64로0269-202602</x:v>
      </x:c>
      <x:c r="B2738" s="24" t="str">
        <x:v>프라임구독</x:v>
      </x:c>
      <x:c r="C2738" s="24" t="str">
        <x:v>PR-C-64로0269-1-20230623-181</x:v>
      </x:c>
      <x:c r="D2738" s="24" t="str">
        <x:v>64로0269</x:v>
      </x:c>
      <x:c r="E2738" s="24" t="str">
        <x:v>배미주</x:v>
      </x:c>
      <x:c r="F2738" s="24" t="str">
        <x:v>2026-02</x:v>
      </x:c>
      <x:c r="G2738" s="30" t="n">
        <x:v>46073</x:v>
      </x:c>
      <x:c r="H2738" s="32" t="n">
        <x:v>639000</x:v>
      </x:c>
      <x:c r="I2738" s="32"/>
      <x:c r="J2738" s="32" t="n">
        <x:v>10224000</x:v>
      </x:c>
      <x:c r="K2738" s="30"/>
      <x:c r="L2738" s="24" t="str"/>
      <x:c r="M2738" s="31" t="n">
        <x:f>IF(AND(N2738="미수",G2738&lt;&gt;"",TODAY()&gt;G2738),TODAY()-G2738,0)</x:f>
        <x:v>176</x:v>
      </x:c>
      <x:c r="N2738" s="24" t="str">
        <x:f>IF(J2738&gt;0,"미수",IF(AND(H2738&gt;0,I2738&gt;=H2738),"완납","미확인"))</x:f>
        <x:v>미수</x:v>
      </x:c>
      <x:c r="O2738" s="31" t="n">
        <x:v>22</x:v>
      </x:c>
    </x:row>
    <x:row r="2739" ht="17.25" customHeight="1">
      <x:c r="A2739" s="24" t="str">
        <x:v>PR-B-64로0269-202601</x:v>
      </x:c>
      <x:c r="B2739" s="24" t="str">
        <x:v>프라임구독</x:v>
      </x:c>
      <x:c r="C2739" s="24" t="str">
        <x:v>PR-C-64로0269-1-20230623-181</x:v>
      </x:c>
      <x:c r="D2739" s="24" t="str">
        <x:v>64로0269</x:v>
      </x:c>
      <x:c r="E2739" s="24" t="str">
        <x:v>배미주</x:v>
      </x:c>
      <x:c r="F2739" s="24" t="str">
        <x:v>2026-01</x:v>
      </x:c>
      <x:c r="G2739" s="30" t="n">
        <x:v>46042</x:v>
      </x:c>
      <x:c r="H2739" s="32" t="n">
        <x:v>639000</x:v>
      </x:c>
      <x:c r="I2739" s="32"/>
      <x:c r="J2739" s="32" t="n">
        <x:v>9585000</x:v>
      </x:c>
      <x:c r="K2739" s="30"/>
      <x:c r="L2739" s="24" t="str"/>
      <x:c r="M2739" s="31" t="n">
        <x:f>IF(AND(N2739="미수",G2739&lt;&gt;"",TODAY()&gt;G2739),TODAY()-G2739,0)</x:f>
        <x:v>207</x:v>
      </x:c>
      <x:c r="N2739" s="24" t="str">
        <x:f>IF(J2739&gt;0,"미수",IF(AND(H2739&gt;0,I2739&gt;=H2739),"완납","미확인"))</x:f>
        <x:v>미수</x:v>
      </x:c>
      <x:c r="O2739" s="31" t="n">
        <x:v>22</x:v>
      </x:c>
    </x:row>
    <x:row r="2740" ht="17.25" customHeight="1">
      <x:c r="A2740" s="24" t="str">
        <x:v>PR-B-64로0269-202512</x:v>
      </x:c>
      <x:c r="B2740" s="24" t="str">
        <x:v>프라임구독</x:v>
      </x:c>
      <x:c r="C2740" s="24" t="str">
        <x:v>PR-C-64로0269-1-20230623-181</x:v>
      </x:c>
      <x:c r="D2740" s="24" t="str">
        <x:v>64로0269</x:v>
      </x:c>
      <x:c r="E2740" s="24" t="str">
        <x:v>배미주</x:v>
      </x:c>
      <x:c r="F2740" s="24" t="str">
        <x:v>2025-12</x:v>
      </x:c>
      <x:c r="G2740" s="30" t="n">
        <x:v>46011</x:v>
      </x:c>
      <x:c r="H2740" s="32" t="n">
        <x:v>639000</x:v>
      </x:c>
      <x:c r="I2740" s="32"/>
      <x:c r="J2740" s="32" t="n">
        <x:v>8946000</x:v>
      </x:c>
      <x:c r="K2740" s="30"/>
      <x:c r="L2740" s="24" t="str"/>
      <x:c r="M2740" s="31" t="n">
        <x:f>IF(AND(N2740="미수",G2740&lt;&gt;"",TODAY()&gt;G2740),TODAY()-G2740,0)</x:f>
        <x:v>238</x:v>
      </x:c>
      <x:c r="N2740" s="24" t="str">
        <x:f>IF(J2740&gt;0,"미수",IF(AND(H2740&gt;0,I2740&gt;=H2740),"완납","미확인"))</x:f>
        <x:v>미수</x:v>
      </x:c>
      <x:c r="O2740" s="31" t="n">
        <x:v>22</x:v>
      </x:c>
    </x:row>
    <x:row r="2741" ht="17.25" customHeight="1">
      <x:c r="A2741" s="24" t="str">
        <x:v>PR-B-64로0269-202511</x:v>
      </x:c>
      <x:c r="B2741" s="24" t="str">
        <x:v>프라임구독</x:v>
      </x:c>
      <x:c r="C2741" s="24" t="str">
        <x:v>PR-C-64로0269-1-20230623-181</x:v>
      </x:c>
      <x:c r="D2741" s="24" t="str">
        <x:v>64로0269</x:v>
      </x:c>
      <x:c r="E2741" s="24" t="str">
        <x:v>배미주</x:v>
      </x:c>
      <x:c r="F2741" s="24" t="str">
        <x:v>2025-11</x:v>
      </x:c>
      <x:c r="G2741" s="30" t="n">
        <x:v>45981</x:v>
      </x:c>
      <x:c r="H2741" s="32" t="n">
        <x:v>639000</x:v>
      </x:c>
      <x:c r="I2741" s="32"/>
      <x:c r="J2741" s="32" t="n">
        <x:v>8307000</x:v>
      </x:c>
      <x:c r="K2741" s="30"/>
      <x:c r="L2741" s="24" t="str"/>
      <x:c r="M2741" s="31" t="n">
        <x:f>IF(AND(N2741="미수",G2741&lt;&gt;"",TODAY()&gt;G2741),TODAY()-G2741,0)</x:f>
        <x:v>268</x:v>
      </x:c>
      <x:c r="N2741" s="24" t="str">
        <x:f>IF(J2741&gt;0,"미수",IF(AND(H2741&gt;0,I2741&gt;=H2741),"완납","미확인"))</x:f>
        <x:v>미수</x:v>
      </x:c>
      <x:c r="O2741" s="31" t="n">
        <x:v>22</x:v>
      </x:c>
    </x:row>
    <x:row r="2742" ht="17.25" customHeight="1">
      <x:c r="A2742" s="24" t="str">
        <x:v>PR-B-64로0269-202510</x:v>
      </x:c>
      <x:c r="B2742" s="24" t="str">
        <x:v>프라임구독</x:v>
      </x:c>
      <x:c r="C2742" s="24" t="str">
        <x:v>PR-C-64로0269-1-20230623-181</x:v>
      </x:c>
      <x:c r="D2742" s="24" t="str">
        <x:v>64로0269</x:v>
      </x:c>
      <x:c r="E2742" s="24" t="str">
        <x:v>배미주</x:v>
      </x:c>
      <x:c r="F2742" s="24" t="str">
        <x:v>2025-10</x:v>
      </x:c>
      <x:c r="G2742" s="30" t="n">
        <x:v>45950</x:v>
      </x:c>
      <x:c r="H2742" s="32" t="n">
        <x:v>639000</x:v>
      </x:c>
      <x:c r="I2742" s="32"/>
      <x:c r="J2742" s="32" t="n">
        <x:v>7668000</x:v>
      </x:c>
      <x:c r="K2742" s="30"/>
      <x:c r="L2742" s="24" t="str"/>
      <x:c r="M2742" s="31" t="n">
        <x:f>IF(AND(N2742="미수",G2742&lt;&gt;"",TODAY()&gt;G2742),TODAY()-G2742,0)</x:f>
        <x:v>299</x:v>
      </x:c>
      <x:c r="N2742" s="24" t="str">
        <x:f>IF(J2742&gt;0,"미수",IF(AND(H2742&gt;0,I2742&gt;=H2742),"완납","미확인"))</x:f>
        <x:v>미수</x:v>
      </x:c>
      <x:c r="O2742" s="31" t="n">
        <x:v>22</x:v>
      </x:c>
    </x:row>
    <x:row r="2743" ht="17.25" customHeight="1">
      <x:c r="A2743" s="24" t="str">
        <x:v>PR-B-64로0269-202509</x:v>
      </x:c>
      <x:c r="B2743" s="24" t="str">
        <x:v>프라임구독</x:v>
      </x:c>
      <x:c r="C2743" s="24" t="str">
        <x:v>PR-C-64로0269-1-20230623-181</x:v>
      </x:c>
      <x:c r="D2743" s="24" t="str">
        <x:v>64로0269</x:v>
      </x:c>
      <x:c r="E2743" s="24" t="str">
        <x:v>배미주</x:v>
      </x:c>
      <x:c r="F2743" s="24" t="str">
        <x:v>2025-09</x:v>
      </x:c>
      <x:c r="G2743" s="30" t="n">
        <x:v>45920</x:v>
      </x:c>
      <x:c r="H2743" s="32" t="n">
        <x:v>639000</x:v>
      </x:c>
      <x:c r="I2743" s="32"/>
      <x:c r="J2743" s="32" t="n">
        <x:v>7029000</x:v>
      </x:c>
      <x:c r="K2743" s="30"/>
      <x:c r="L2743" s="24" t="str"/>
      <x:c r="M2743" s="31" t="n">
        <x:f>IF(AND(N2743="미수",G2743&lt;&gt;"",TODAY()&gt;G2743),TODAY()-G2743,0)</x:f>
        <x:v>329</x:v>
      </x:c>
      <x:c r="N2743" s="24" t="str">
        <x:f>IF(J2743&gt;0,"미수",IF(AND(H2743&gt;0,I2743&gt;=H2743),"완납","미확인"))</x:f>
        <x:v>미수</x:v>
      </x:c>
      <x:c r="O2743" s="31" t="n">
        <x:v>22</x:v>
      </x:c>
    </x:row>
    <x:row r="2744" ht="17.25" customHeight="1">
      <x:c r="A2744" s="24" t="str">
        <x:v>PR-B-64로0269-202508</x:v>
      </x:c>
      <x:c r="B2744" s="24" t="str">
        <x:v>프라임구독</x:v>
      </x:c>
      <x:c r="C2744" s="24" t="str">
        <x:v>PR-C-64로0269-1-20230623-181</x:v>
      </x:c>
      <x:c r="D2744" s="24" t="str">
        <x:v>64로0269</x:v>
      </x:c>
      <x:c r="E2744" s="24" t="str">
        <x:v>배미주</x:v>
      </x:c>
      <x:c r="F2744" s="24" t="str">
        <x:v>2025-08</x:v>
      </x:c>
      <x:c r="G2744" s="30" t="n">
        <x:v>45889</x:v>
      </x:c>
      <x:c r="H2744" s="32" t="n">
        <x:v>639000</x:v>
      </x:c>
      <x:c r="I2744" s="32"/>
      <x:c r="J2744" s="32" t="n">
        <x:v>6390000</x:v>
      </x:c>
      <x:c r="K2744" s="30"/>
      <x:c r="L2744" s="24" t="str"/>
      <x:c r="M2744" s="31" t="n">
        <x:f>IF(AND(N2744="미수",G2744&lt;&gt;"",TODAY()&gt;G2744),TODAY()-G2744,0)</x:f>
        <x:v>360</x:v>
      </x:c>
      <x:c r="N2744" s="24" t="str">
        <x:f>IF(J2744&gt;0,"미수",IF(AND(H2744&gt;0,I2744&gt;=H2744),"완납","미확인"))</x:f>
        <x:v>미수</x:v>
      </x:c>
      <x:c r="O2744" s="31" t="n">
        <x:v>22</x:v>
      </x:c>
    </x:row>
    <x:row r="2745" ht="17.25" customHeight="1">
      <x:c r="A2745" s="24" t="str">
        <x:v>PR-B-64로0269-202507</x:v>
      </x:c>
      <x:c r="B2745" s="24" t="str">
        <x:v>프라임구독</x:v>
      </x:c>
      <x:c r="C2745" s="24" t="str">
        <x:v>PR-C-64로0269-1-20230623-181</x:v>
      </x:c>
      <x:c r="D2745" s="24" t="str">
        <x:v>64로0269</x:v>
      </x:c>
      <x:c r="E2745" s="24" t="str">
        <x:v>배미주</x:v>
      </x:c>
      <x:c r="F2745" s="24" t="str">
        <x:v>2025-07</x:v>
      </x:c>
      <x:c r="G2745" s="30" t="n">
        <x:v>45858</x:v>
      </x:c>
      <x:c r="H2745" s="32" t="n">
        <x:v>639000</x:v>
      </x:c>
      <x:c r="I2745" s="32"/>
      <x:c r="J2745" s="32" t="n">
        <x:v>5751000</x:v>
      </x:c>
      <x:c r="K2745" s="30"/>
      <x:c r="L2745" s="24" t="str"/>
      <x:c r="M2745" s="31" t="n">
        <x:f>IF(AND(N2745="미수",G2745&lt;&gt;"",TODAY()&gt;G2745),TODAY()-G2745,0)</x:f>
        <x:v>391</x:v>
      </x:c>
      <x:c r="N2745" s="24" t="str">
        <x:f>IF(J2745&gt;0,"미수",IF(AND(H2745&gt;0,I2745&gt;=H2745),"완납","미확인"))</x:f>
        <x:v>미수</x:v>
      </x:c>
      <x:c r="O2745" s="31" t="n">
        <x:v>22</x:v>
      </x:c>
    </x:row>
    <x:row r="2746" ht="17.25" customHeight="1">
      <x:c r="A2746" s="24" t="str">
        <x:v>PR-B-64로0269-202506</x:v>
      </x:c>
      <x:c r="B2746" s="24" t="str">
        <x:v>프라임구독</x:v>
      </x:c>
      <x:c r="C2746" s="24" t="str">
        <x:v>PR-C-64로0269-1-20230623-181</x:v>
      </x:c>
      <x:c r="D2746" s="24" t="str">
        <x:v>64로0269</x:v>
      </x:c>
      <x:c r="E2746" s="24" t="str">
        <x:v>배미주</x:v>
      </x:c>
      <x:c r="F2746" s="24" t="str">
        <x:v>2025-06</x:v>
      </x:c>
      <x:c r="G2746" s="30" t="n">
        <x:v>45828</x:v>
      </x:c>
      <x:c r="H2746" s="32" t="n">
        <x:v>639000</x:v>
      </x:c>
      <x:c r="I2746" s="32"/>
      <x:c r="J2746" s="32" t="n">
        <x:v>5112000</x:v>
      </x:c>
      <x:c r="K2746" s="30"/>
      <x:c r="L2746" s="24" t="str"/>
      <x:c r="M2746" s="31" t="n">
        <x:f>IF(AND(N2746="미수",G2746&lt;&gt;"",TODAY()&gt;G2746),TODAY()-G2746,0)</x:f>
        <x:v>421</x:v>
      </x:c>
      <x:c r="N2746" s="24" t="str">
        <x:f>IF(J2746&gt;0,"미수",IF(AND(H2746&gt;0,I2746&gt;=H2746),"완납","미확인"))</x:f>
        <x:v>미수</x:v>
      </x:c>
      <x:c r="O2746" s="31" t="n">
        <x:v>22</x:v>
      </x:c>
    </x:row>
    <x:row r="2747" ht="17.25" customHeight="1">
      <x:c r="A2747" s="24" t="str">
        <x:v>PR-B-64로0269-202505</x:v>
      </x:c>
      <x:c r="B2747" s="24" t="str">
        <x:v>프라임구독</x:v>
      </x:c>
      <x:c r="C2747" s="24" t="str">
        <x:v>PR-C-64로0269-1-20230623-181</x:v>
      </x:c>
      <x:c r="D2747" s="24" t="str">
        <x:v>64로0269</x:v>
      </x:c>
      <x:c r="E2747" s="24" t="str">
        <x:v>배미주</x:v>
      </x:c>
      <x:c r="F2747" s="24" t="str">
        <x:v>2025-05</x:v>
      </x:c>
      <x:c r="G2747" s="30" t="n">
        <x:v>45797</x:v>
      </x:c>
      <x:c r="H2747" s="32" t="n">
        <x:v>639000</x:v>
      </x:c>
      <x:c r="I2747" s="32"/>
      <x:c r="J2747" s="32" t="n">
        <x:v>4473000</x:v>
      </x:c>
      <x:c r="K2747" s="30"/>
      <x:c r="L2747" s="24" t="str"/>
      <x:c r="M2747" s="31" t="n">
        <x:f>IF(AND(N2747="미수",G2747&lt;&gt;"",TODAY()&gt;G2747),TODAY()-G2747,0)</x:f>
        <x:v>452</x:v>
      </x:c>
      <x:c r="N2747" s="24" t="str">
        <x:f>IF(J2747&gt;0,"미수",IF(AND(H2747&gt;0,I2747&gt;=H2747),"완납","미확인"))</x:f>
        <x:v>미수</x:v>
      </x:c>
      <x:c r="O2747" s="31" t="n">
        <x:v>22</x:v>
      </x:c>
    </x:row>
    <x:row r="2748" ht="17.25" customHeight="1">
      <x:c r="A2748" s="24" t="str">
        <x:v>PR-B-64로0269-202504</x:v>
      </x:c>
      <x:c r="B2748" s="24" t="str">
        <x:v>프라임구독</x:v>
      </x:c>
      <x:c r="C2748" s="24" t="str">
        <x:v>PR-C-64로0269-1-20230623-181</x:v>
      </x:c>
      <x:c r="D2748" s="24" t="str">
        <x:v>64로0269</x:v>
      </x:c>
      <x:c r="E2748" s="24" t="str">
        <x:v>배미주</x:v>
      </x:c>
      <x:c r="F2748" s="24" t="str">
        <x:v>2025-04</x:v>
      </x:c>
      <x:c r="G2748" s="30" t="n">
        <x:v>45767</x:v>
      </x:c>
      <x:c r="H2748" s="32" t="n">
        <x:v>639000</x:v>
      </x:c>
      <x:c r="I2748" s="32"/>
      <x:c r="J2748" s="32" t="n">
        <x:v>3834000</x:v>
      </x:c>
      <x:c r="K2748" s="30"/>
      <x:c r="L2748" s="24" t="str"/>
      <x:c r="M2748" s="31" t="n">
        <x:f>IF(AND(N2748="미수",G2748&lt;&gt;"",TODAY()&gt;G2748),TODAY()-G2748,0)</x:f>
        <x:v>482</x:v>
      </x:c>
      <x:c r="N2748" s="24" t="str">
        <x:f>IF(J2748&gt;0,"미수",IF(AND(H2748&gt;0,I2748&gt;=H2748),"완납","미확인"))</x:f>
        <x:v>미수</x:v>
      </x:c>
      <x:c r="O2748" s="31" t="n">
        <x:v>22</x:v>
      </x:c>
    </x:row>
    <x:row r="2749" ht="17.25" customHeight="1">
      <x:c r="A2749" s="24" t="str">
        <x:v>PR-B-64로0269-202503</x:v>
      </x:c>
      <x:c r="B2749" s="24" t="str">
        <x:v>프라임구독</x:v>
      </x:c>
      <x:c r="C2749" s="24" t="str">
        <x:v>PR-C-64로0269-1-20230623-181</x:v>
      </x:c>
      <x:c r="D2749" s="24" t="str">
        <x:v>64로0269</x:v>
      </x:c>
      <x:c r="E2749" s="24" t="str">
        <x:v>배미주</x:v>
      </x:c>
      <x:c r="F2749" s="24" t="str">
        <x:v>2025-03</x:v>
      </x:c>
      <x:c r="G2749" s="30" t="n">
        <x:v>45736</x:v>
      </x:c>
      <x:c r="H2749" s="32" t="n">
        <x:v>639000</x:v>
      </x:c>
      <x:c r="I2749" s="32"/>
      <x:c r="J2749" s="32" t="n">
        <x:v>3195000</x:v>
      </x:c>
      <x:c r="K2749" s="30"/>
      <x:c r="L2749" s="24" t="str"/>
      <x:c r="M2749" s="31" t="n">
        <x:f>IF(AND(N2749="미수",G2749&lt;&gt;"",TODAY()&gt;G2749),TODAY()-G2749,0)</x:f>
        <x:v>513</x:v>
      </x:c>
      <x:c r="N2749" s="24" t="str">
        <x:f>IF(J2749&gt;0,"미수",IF(AND(H2749&gt;0,I2749&gt;=H2749),"완납","미확인"))</x:f>
        <x:v>미수</x:v>
      </x:c>
      <x:c r="O2749" s="31" t="n">
        <x:v>22</x:v>
      </x:c>
    </x:row>
    <x:row r="2750" ht="17.25" customHeight="1">
      <x:c r="A2750" s="24" t="str">
        <x:v>PR-B-64로0269-202502</x:v>
      </x:c>
      <x:c r="B2750" s="24" t="str">
        <x:v>프라임구독</x:v>
      </x:c>
      <x:c r="C2750" s="24" t="str">
        <x:v>PR-C-64로0269-1-20230623-181</x:v>
      </x:c>
      <x:c r="D2750" s="24" t="str">
        <x:v>64로0269</x:v>
      </x:c>
      <x:c r="E2750" s="24" t="str">
        <x:v>배미주</x:v>
      </x:c>
      <x:c r="F2750" s="24" t="str">
        <x:v>2025-02</x:v>
      </x:c>
      <x:c r="G2750" s="30" t="n">
        <x:v>45708</x:v>
      </x:c>
      <x:c r="H2750" s="32" t="n">
        <x:v>639000</x:v>
      </x:c>
      <x:c r="I2750" s="32"/>
      <x:c r="J2750" s="32" t="n">
        <x:v>2556000</x:v>
      </x:c>
      <x:c r="K2750" s="30"/>
      <x:c r="L2750" s="24" t="str"/>
      <x:c r="M2750" s="31" t="n">
        <x:f>IF(AND(N2750="미수",G2750&lt;&gt;"",TODAY()&gt;G2750),TODAY()-G2750,0)</x:f>
        <x:v>541</x:v>
      </x:c>
      <x:c r="N2750" s="24" t="str">
        <x:f>IF(J2750&gt;0,"미수",IF(AND(H2750&gt;0,I2750&gt;=H2750),"완납","미확인"))</x:f>
        <x:v>미수</x:v>
      </x:c>
      <x:c r="O2750" s="31" t="n">
        <x:v>22</x:v>
      </x:c>
    </x:row>
    <x:row r="2751" ht="17.25" customHeight="1">
      <x:c r="A2751" s="24" t="str">
        <x:v>PR-B-64로0269-202501</x:v>
      </x:c>
      <x:c r="B2751" s="24" t="str">
        <x:v>프라임구독</x:v>
      </x:c>
      <x:c r="C2751" s="24" t="str">
        <x:v>PR-C-64로0269-1-20230623-181</x:v>
      </x:c>
      <x:c r="D2751" s="24" t="str">
        <x:v>64로0269</x:v>
      </x:c>
      <x:c r="E2751" s="24" t="str">
        <x:v>배미주</x:v>
      </x:c>
      <x:c r="F2751" s="24" t="str">
        <x:v>2025-01</x:v>
      </x:c>
      <x:c r="G2751" s="30" t="n">
        <x:v>45677</x:v>
      </x:c>
      <x:c r="H2751" s="32" t="n">
        <x:v>639000</x:v>
      </x:c>
      <x:c r="I2751" s="32"/>
      <x:c r="J2751" s="32" t="n">
        <x:v>1917000</x:v>
      </x:c>
      <x:c r="K2751" s="30"/>
      <x:c r="L2751" s="24" t="str"/>
      <x:c r="M2751" s="31" t="n">
        <x:f>IF(AND(N2751="미수",G2751&lt;&gt;"",TODAY()&gt;G2751),TODAY()-G2751,0)</x:f>
        <x:v>572</x:v>
      </x:c>
      <x:c r="N2751" s="24" t="str">
        <x:f>IF(J2751&gt;0,"미수",IF(AND(H2751&gt;0,I2751&gt;=H2751),"완납","미확인"))</x:f>
        <x:v>미수</x:v>
      </x:c>
      <x:c r="O2751" s="31" t="n">
        <x:v>22</x:v>
      </x:c>
    </x:row>
    <x:row r="2752" ht="17.25" customHeight="1">
      <x:c r="A2752" s="24" t="str">
        <x:v>PR-B-64로0269-202412</x:v>
      </x:c>
      <x:c r="B2752" s="24" t="str">
        <x:v>프라임구독</x:v>
      </x:c>
      <x:c r="C2752" s="24" t="str">
        <x:v>PR-C-64로0269-1-20230623-181</x:v>
      </x:c>
      <x:c r="D2752" s="24" t="str">
        <x:v>64로0269</x:v>
      </x:c>
      <x:c r="E2752" s="24" t="str">
        <x:v>배미주</x:v>
      </x:c>
      <x:c r="F2752" s="24" t="str">
        <x:v>2024-12</x:v>
      </x:c>
      <x:c r="G2752" s="30" t="n">
        <x:v>45646</x:v>
      </x:c>
      <x:c r="H2752" s="32" t="n">
        <x:v>639000</x:v>
      </x:c>
      <x:c r="I2752" s="32"/>
      <x:c r="J2752" s="32" t="n">
        <x:v>1278000</x:v>
      </x:c>
      <x:c r="K2752" s="30"/>
      <x:c r="L2752" s="24" t="str"/>
      <x:c r="M2752" s="31" t="n">
        <x:f>IF(AND(N2752="미수",G2752&lt;&gt;"",TODAY()&gt;G2752),TODAY()-G2752,0)</x:f>
        <x:v>603</x:v>
      </x:c>
      <x:c r="N2752" s="24" t="str">
        <x:f>IF(J2752&gt;0,"미수",IF(AND(H2752&gt;0,I2752&gt;=H2752),"완납","미확인"))</x:f>
        <x:v>미수</x:v>
      </x:c>
      <x:c r="O2752" s="31" t="n">
        <x:v>22</x:v>
      </x:c>
    </x:row>
    <x:row r="2753" ht="17.25" customHeight="1">
      <x:c r="A2753" s="24" t="str">
        <x:v>PR-B-64로0269-202411</x:v>
      </x:c>
      <x:c r="B2753" s="24" t="str">
        <x:v>프라임구독</x:v>
      </x:c>
      <x:c r="C2753" s="24" t="str">
        <x:v>PR-C-64로0269-1-20230623-181</x:v>
      </x:c>
      <x:c r="D2753" s="24" t="str">
        <x:v>64로0269</x:v>
      </x:c>
      <x:c r="E2753" s="24" t="str">
        <x:v>배미주</x:v>
      </x:c>
      <x:c r="F2753" s="24" t="str">
        <x:v>2024-11</x:v>
      </x:c>
      <x:c r="G2753" s="30" t="n">
        <x:v>45616</x:v>
      </x:c>
      <x:c r="H2753" s="32" t="n">
        <x:v>639000</x:v>
      </x:c>
      <x:c r="I2753" s="32"/>
      <x:c r="J2753" s="32" t="n">
        <x:v>639000</x:v>
      </x:c>
      <x:c r="K2753" s="30"/>
      <x:c r="L2753" s="24" t="str"/>
      <x:c r="M2753" s="31" t="n">
        <x:f>IF(AND(N2753="미수",G2753&lt;&gt;"",TODAY()&gt;G2753),TODAY()-G2753,0)</x:f>
        <x:v>633</x:v>
      </x:c>
      <x:c r="N2753" s="24" t="str">
        <x:f>IF(J2753&gt;0,"미수",IF(AND(H2753&gt;0,I2753&gt;=H2753),"완납","미확인"))</x:f>
        <x:v>미수</x:v>
      </x:c>
      <x:c r="O2753" s="31" t="n">
        <x:v>22</x:v>
      </x:c>
    </x:row>
    <x:row r="2754" ht="17.25" customHeight="1">
      <x:c r="A2754" s="24" t="str">
        <x:v>PR-B-64로0269-202410</x:v>
      </x:c>
      <x:c r="B2754" s="24" t="str">
        <x:v>프라임구독</x:v>
      </x:c>
      <x:c r="C2754" s="24" t="str">
        <x:v>PR-C-64로0269-1-20230623-181</x:v>
      </x:c>
      <x:c r="D2754" s="24" t="str">
        <x:v>64로0269</x:v>
      </x:c>
      <x:c r="E2754" s="24" t="str">
        <x:v>배미주</x:v>
      </x:c>
      <x:c r="F2754" s="24" t="str">
        <x:v>2024-10</x:v>
      </x:c>
      <x:c r="G2754" s="30" t="n">
        <x:v>45585</x:v>
      </x:c>
      <x:c r="H2754" s="32" t="n">
        <x:v>639000</x:v>
      </x:c>
      <x:c r="I2754" s="32" t="n">
        <x:v>639000</x:v>
      </x:c>
      <x:c r="J2754" s="32" t="n">
        <x:v>0</x:v>
      </x:c>
      <x:c r="K2754" s="30" t="n">
        <x:v>45617</x:v>
      </x:c>
      <x:c r="L2754" s="24" t="str">
        <x:v>입금</x:v>
      </x:c>
      <x:c r="M2754" s="31" t="n">
        <x:f>IF(AND(N2754="미수",G2754&lt;&gt;"",TODAY()&gt;G2754),TODAY()-G2754,0)</x:f>
        <x:v>0</x:v>
      </x:c>
      <x:c r="N2754" s="24" t="str">
        <x:f>IF(J2754&gt;0,"미수",IF(AND(H2754&gt;0,I2754&gt;=H2754),"완납","미확인"))</x:f>
        <x:v>완납</x:v>
      </x:c>
      <x:c r="O2754" s="31" t="n">
        <x:v>22</x:v>
      </x:c>
    </x:row>
    <x:row r="2755" ht="17.25" customHeight="1">
      <x:c r="A2755" s="24" t="str">
        <x:v>PR-B-64로0269-202409</x:v>
      </x:c>
      <x:c r="B2755" s="24" t="str">
        <x:v>프라임구독</x:v>
      </x:c>
      <x:c r="C2755" s="24" t="str">
        <x:v>PR-C-64로0269-1-20230623-181</x:v>
      </x:c>
      <x:c r="D2755" s="24" t="str">
        <x:v>64로0269</x:v>
      </x:c>
      <x:c r="E2755" s="24" t="str">
        <x:v>배미주</x:v>
      </x:c>
      <x:c r="F2755" s="24" t="str">
        <x:v>2024-09</x:v>
      </x:c>
      <x:c r="G2755" s="30" t="n">
        <x:v>45555</x:v>
      </x:c>
      <x:c r="H2755" s="32" t="n">
        <x:v>639000</x:v>
      </x:c>
      <x:c r="I2755" s="32" t="n">
        <x:v>639000</x:v>
      </x:c>
      <x:c r="J2755" s="32" t="n">
        <x:v>0</x:v>
      </x:c>
      <x:c r="K2755" s="30" t="n">
        <x:v>45567</x:v>
      </x:c>
      <x:c r="L2755" s="24" t="str">
        <x:v>입금</x:v>
      </x:c>
      <x:c r="M2755" s="31" t="n">
        <x:f>IF(AND(N2755="미수",G2755&lt;&gt;"",TODAY()&gt;G2755),TODAY()-G2755,0)</x:f>
        <x:v>0</x:v>
      </x:c>
      <x:c r="N2755" s="24" t="str">
        <x:f>IF(J2755&gt;0,"미수",IF(AND(H2755&gt;0,I2755&gt;=H2755),"완납","미확인"))</x:f>
        <x:v>완납</x:v>
      </x:c>
      <x:c r="O2755" s="31" t="n">
        <x:v>22</x:v>
      </x:c>
    </x:row>
    <x:row r="2756" ht="17.25" customHeight="1">
      <x:c r="A2756" s="24" t="str">
        <x:v>PR-B-64로0269-202408</x:v>
      </x:c>
      <x:c r="B2756" s="24" t="str">
        <x:v>프라임구독</x:v>
      </x:c>
      <x:c r="C2756" s="24" t="str">
        <x:v>PR-C-64로0269-1-20230623-181</x:v>
      </x:c>
      <x:c r="D2756" s="24" t="str">
        <x:v>64로0269</x:v>
      </x:c>
      <x:c r="E2756" s="24" t="str">
        <x:v>배미주</x:v>
      </x:c>
      <x:c r="F2756" s="24" t="str">
        <x:v>2024-08</x:v>
      </x:c>
      <x:c r="G2756" s="30" t="n">
        <x:v>45524</x:v>
      </x:c>
      <x:c r="H2756" s="32" t="n">
        <x:v>579000</x:v>
      </x:c>
      <x:c r="I2756" s="32" t="n">
        <x:v>579000</x:v>
      </x:c>
      <x:c r="J2756" s="32" t="n">
        <x:v>0</x:v>
      </x:c>
      <x:c r="K2756" s="30" t="n">
        <x:v>45545</x:v>
      </x:c>
      <x:c r="L2756" s="24" t="str">
        <x:v>입금</x:v>
      </x:c>
      <x:c r="M2756" s="31" t="n">
        <x:f>IF(AND(N2756="미수",G2756&lt;&gt;"",TODAY()&gt;G2756),TODAY()-G2756,0)</x:f>
        <x:v>0</x:v>
      </x:c>
      <x:c r="N2756" s="24" t="str">
        <x:f>IF(J2756&gt;0,"미수",IF(AND(H2756&gt;0,I2756&gt;=H2756),"완납","미확인"))</x:f>
        <x:v>완납</x:v>
      </x:c>
      <x:c r="O2756" s="31" t="n">
        <x:v>22</x:v>
      </x:c>
    </x:row>
    <x:row r="2757" ht="17.25" customHeight="1">
      <x:c r="A2757" s="24" t="str">
        <x:v>PR-B-64로0269-202407</x:v>
      </x:c>
      <x:c r="B2757" s="24" t="str">
        <x:v>프라임구독</x:v>
      </x:c>
      <x:c r="C2757" s="24" t="str">
        <x:v>PR-C-64로0269-1-20230623-181</x:v>
      </x:c>
      <x:c r="D2757" s="24" t="str">
        <x:v>64로0269</x:v>
      </x:c>
      <x:c r="E2757" s="24" t="str">
        <x:v>배미주</x:v>
      </x:c>
      <x:c r="F2757" s="24" t="str">
        <x:v>2024-07</x:v>
      </x:c>
      <x:c r="G2757" s="30" t="n">
        <x:v>45493</x:v>
      </x:c>
      <x:c r="H2757" s="32" t="n">
        <x:v>639000</x:v>
      </x:c>
      <x:c r="I2757" s="32" t="n">
        <x:v>639000</x:v>
      </x:c>
      <x:c r="J2757" s="32" t="n">
        <x:v>0</x:v>
      </x:c>
      <x:c r="K2757" s="30" t="n">
        <x:v>45495</x:v>
      </x:c>
      <x:c r="L2757" s="24" t="str">
        <x:v>입금</x:v>
      </x:c>
      <x:c r="M2757" s="31" t="n">
        <x:f>IF(AND(N2757="미수",G2757&lt;&gt;"",TODAY()&gt;G2757),TODAY()-G2757,0)</x:f>
        <x:v>0</x:v>
      </x:c>
      <x:c r="N2757" s="24" t="str">
        <x:f>IF(J2757&gt;0,"미수",IF(AND(H2757&gt;0,I2757&gt;=H2757),"완납","미확인"))</x:f>
        <x:v>완납</x:v>
      </x:c>
      <x:c r="O2757" s="31" t="n">
        <x:v>22</x:v>
      </x:c>
    </x:row>
    <x:row r="2758" ht="17.25" customHeight="1">
      <x:c r="A2758" s="24" t="str">
        <x:v>PR-B-64로0269-202406</x:v>
      </x:c>
      <x:c r="B2758" s="24" t="str">
        <x:v>프라임구독</x:v>
      </x:c>
      <x:c r="C2758" s="24" t="str">
        <x:v>PR-C-64로0269-1-20230623-181</x:v>
      </x:c>
      <x:c r="D2758" s="24" t="str">
        <x:v>64로0269</x:v>
      </x:c>
      <x:c r="E2758" s="24" t="str">
        <x:v>배미주</x:v>
      </x:c>
      <x:c r="F2758" s="24" t="str">
        <x:v>2024-06</x:v>
      </x:c>
      <x:c r="G2758" s="30" t="n">
        <x:v>45463</x:v>
      </x:c>
      <x:c r="H2758" s="32" t="n">
        <x:v>639000</x:v>
      </x:c>
      <x:c r="I2758" s="32" t="n">
        <x:v>639000</x:v>
      </x:c>
      <x:c r="J2758" s="32" t="n">
        <x:v>0</x:v>
      </x:c>
      <x:c r="K2758" s="30" t="n">
        <x:v>45464</x:v>
      </x:c>
      <x:c r="L2758" s="24" t="str"/>
      <x:c r="M2758" s="31" t="n">
        <x:f>IF(AND(N2758="미수",G2758&lt;&gt;"",TODAY()&gt;G2758),TODAY()-G2758,0)</x:f>
        <x:v>0</x:v>
      </x:c>
      <x:c r="N2758" s="24" t="str">
        <x:f>IF(J2758&gt;0,"미수",IF(AND(H2758&gt;0,I2758&gt;=H2758),"완납","미확인"))</x:f>
        <x:v>완납</x:v>
      </x:c>
      <x:c r="O2758" s="31" t="n">
        <x:v>22</x:v>
      </x:c>
    </x:row>
    <x:row r="2759" ht="17.25" customHeight="1">
      <x:c r="A2759" s="24" t="str">
        <x:v>PR-B-64로0269-202405</x:v>
      </x:c>
      <x:c r="B2759" s="24" t="str">
        <x:v>프라임구독</x:v>
      </x:c>
      <x:c r="C2759" s="24" t="str">
        <x:v>PR-C-64로0269-1-20230623-181</x:v>
      </x:c>
      <x:c r="D2759" s="24" t="str">
        <x:v>64로0269</x:v>
      </x:c>
      <x:c r="E2759" s="24" t="str">
        <x:v>배미주</x:v>
      </x:c>
      <x:c r="F2759" s="24" t="str">
        <x:v>2024-05</x:v>
      </x:c>
      <x:c r="G2759" s="30" t="n">
        <x:v>45432</x:v>
      </x:c>
      <x:c r="H2759" s="32" t="n">
        <x:v>639000</x:v>
      </x:c>
      <x:c r="I2759" s="32" t="n">
        <x:v>639000</x:v>
      </x:c>
      <x:c r="J2759" s="32" t="n">
        <x:v>0</x:v>
      </x:c>
      <x:c r="K2759" s="30" t="n">
        <x:v>45433</x:v>
      </x:c>
      <x:c r="L2759" s="24" t="str"/>
      <x:c r="M2759" s="31" t="n">
        <x:f>IF(AND(N2759="미수",G2759&lt;&gt;"",TODAY()&gt;G2759),TODAY()-G2759,0)</x:f>
        <x:v>0</x:v>
      </x:c>
      <x:c r="N2759" s="24" t="str">
        <x:f>IF(J2759&gt;0,"미수",IF(AND(H2759&gt;0,I2759&gt;=H2759),"완납","미확인"))</x:f>
        <x:v>완납</x:v>
      </x:c>
      <x:c r="O2759" s="31" t="n">
        <x:v>22</x:v>
      </x:c>
    </x:row>
    <x:row r="2760" ht="17.25" customHeight="1">
      <x:c r="A2760" s="24" t="str">
        <x:v>PR-B-179다2681-202608</x:v>
      </x:c>
      <x:c r="B2760" s="24" t="str">
        <x:v>프라임구독</x:v>
      </x:c>
      <x:c r="C2760" s="24" t="str">
        <x:v>PR-C-179다2681-1-20230605-62</x:v>
      </x:c>
      <x:c r="D2760" s="24" t="str">
        <x:v>179다2681</x:v>
      </x:c>
      <x:c r="E2760" s="24" t="str">
        <x:v>이미옥</x:v>
      </x:c>
      <x:c r="F2760" s="24" t="str">
        <x:v>2026-08</x:v>
      </x:c>
      <x:c r="G2760" s="30" t="n">
        <x:v>46244</x:v>
      </x:c>
      <x:c r="H2760" s="32" t="n">
        <x:v>767000</x:v>
      </x:c>
      <x:c r="I2760" s="32"/>
      <x:c r="J2760" s="32" t="n">
        <x:v>2867000</x:v>
      </x:c>
      <x:c r="K2760" s="30"/>
      <x:c r="L2760" s="24" t="str"/>
      <x:c r="M2760" s="31" t="n">
        <x:f>IF(AND(N2760="미수",G2760&lt;&gt;"",TODAY()&gt;G2760),TODAY()-G2760,0)</x:f>
        <x:v>5</x:v>
      </x:c>
      <x:c r="N2760" s="24" t="str">
        <x:f>IF(J2760&gt;0,"미수",IF(AND(H2760&gt;0,I2760&gt;=H2760),"완납","미확인"))</x:f>
        <x:v>미수</x:v>
      </x:c>
      <x:c r="O2760" s="31" t="n">
        <x:v>23</x:v>
      </x:c>
    </x:row>
    <x:row r="2761" ht="17.25" customHeight="1">
      <x:c r="A2761" s="24" t="str">
        <x:v>PR-B-179다2681-202607</x:v>
      </x:c>
      <x:c r="B2761" s="24" t="str">
        <x:v>프라임구독</x:v>
      </x:c>
      <x:c r="C2761" s="24" t="str">
        <x:v>PR-C-179다2681-1-20230605-62</x:v>
      </x:c>
      <x:c r="D2761" s="24" t="str">
        <x:v>179다2681</x:v>
      </x:c>
      <x:c r="E2761" s="24" t="str">
        <x:v>이미옥</x:v>
      </x:c>
      <x:c r="F2761" s="24" t="str">
        <x:v>2026-07</x:v>
      </x:c>
      <x:c r="G2761" s="30" t="n">
        <x:v>46213</x:v>
      </x:c>
      <x:c r="H2761" s="32" t="n">
        <x:v>767000</x:v>
      </x:c>
      <x:c r="I2761" s="32" t="n">
        <x:v>267000</x:v>
      </x:c>
      <x:c r="J2761" s="32" t="n">
        <x:v>2100000</x:v>
      </x:c>
      <x:c r="K2761" s="30" t="n">
        <x:v>46232</x:v>
      </x:c>
      <x:c r="L2761" s="24" t="str">
        <x:v>입금</x:v>
      </x:c>
      <x:c r="M2761" s="31" t="n">
        <x:f>IF(AND(N2761="미수",G2761&lt;&gt;"",TODAY()&gt;G2761),TODAY()-G2761,0)</x:f>
        <x:v>36</x:v>
      </x:c>
      <x:c r="N2761" s="24" t="str">
        <x:f>IF(J2761&gt;0,"미수",IF(AND(H2761&gt;0,I2761&gt;=H2761),"완납","미확인"))</x:f>
        <x:v>미수</x:v>
      </x:c>
      <x:c r="O2761" s="31" t="n">
        <x:v>23</x:v>
      </x:c>
    </x:row>
    <x:row r="2762" ht="17.25" customHeight="1">
      <x:c r="A2762" s="24" t="str">
        <x:v>PR-B-179다2681-202606</x:v>
      </x:c>
      <x:c r="B2762" s="24" t="str">
        <x:v>프라임구독</x:v>
      </x:c>
      <x:c r="C2762" s="24" t="str">
        <x:v>PR-C-179다2681-1-20230605-62</x:v>
      </x:c>
      <x:c r="D2762" s="24" t="str">
        <x:v>179다2681</x:v>
      </x:c>
      <x:c r="E2762" s="24" t="str">
        <x:v>이미옥</x:v>
      </x:c>
      <x:c r="F2762" s="24" t="str">
        <x:v>2026-06</x:v>
      </x:c>
      <x:c r="G2762" s="30" t="n">
        <x:v>46183</x:v>
      </x:c>
      <x:c r="H2762" s="32" t="n">
        <x:v>767000</x:v>
      </x:c>
      <x:c r="I2762" s="32" t="n">
        <x:v>867000</x:v>
      </x:c>
      <x:c r="J2762" s="32" t="n">
        <x:v>1600000</x:v>
      </x:c>
      <x:c r="K2762" s="30" t="n">
        <x:v>46179</x:v>
      </x:c>
      <x:c r="L2762" s="24" t="str">
        <x:v>입금</x:v>
      </x:c>
      <x:c r="M2762" s="31" t="n">
        <x:f>IF(AND(N2762="미수",G2762&lt;&gt;"",TODAY()&gt;G2762),TODAY()-G2762,0)</x:f>
        <x:v>66</x:v>
      </x:c>
      <x:c r="N2762" s="24" t="str">
        <x:f>IF(J2762&gt;0,"미수",IF(AND(H2762&gt;0,I2762&gt;=H2762),"완납","미확인"))</x:f>
        <x:v>미수</x:v>
      </x:c>
      <x:c r="O2762" s="31" t="n">
        <x:v>23</x:v>
      </x:c>
    </x:row>
    <x:row r="2763" ht="17.25" customHeight="1">
      <x:c r="A2763" s="24" t="str">
        <x:v>PR-B-179다2681-202605</x:v>
      </x:c>
      <x:c r="B2763" s="24" t="str">
        <x:v>프라임구독</x:v>
      </x:c>
      <x:c r="C2763" s="24" t="str">
        <x:v>PR-C-179다2681-1-20230605-62</x:v>
      </x:c>
      <x:c r="D2763" s="24" t="str">
        <x:v>179다2681</x:v>
      </x:c>
      <x:c r="E2763" s="24" t="str">
        <x:v>이미옥</x:v>
      </x:c>
      <x:c r="F2763" s="24" t="str">
        <x:v>2026-05</x:v>
      </x:c>
      <x:c r="G2763" s="30" t="n">
        <x:v>46152</x:v>
      </x:c>
      <x:c r="H2763" s="32" t="n">
        <x:v>767000</x:v>
      </x:c>
      <x:c r="I2763" s="32" t="n">
        <x:v>767000</x:v>
      </x:c>
      <x:c r="J2763" s="32" t="n">
        <x:v>1700000</x:v>
      </x:c>
      <x:c r="K2763" s="30" t="n">
        <x:v>46148</x:v>
      </x:c>
      <x:c r="L2763" s="24" t="str">
        <x:v>입금</x:v>
      </x:c>
      <x:c r="M2763" s="31" t="n">
        <x:f>IF(AND(N2763="미수",G2763&lt;&gt;"",TODAY()&gt;G2763),TODAY()-G2763,0)</x:f>
        <x:v>97</x:v>
      </x:c>
      <x:c r="N2763" s="24" t="str">
        <x:f>IF(J2763&gt;0,"미수",IF(AND(H2763&gt;0,I2763&gt;=H2763),"완납","미확인"))</x:f>
        <x:v>미수</x:v>
      </x:c>
      <x:c r="O2763" s="31" t="n">
        <x:v>23</x:v>
      </x:c>
    </x:row>
    <x:row r="2764" ht="17.25" customHeight="1">
      <x:c r="A2764" s="24" t="str">
        <x:v>PR-B-179다2681-202604</x:v>
      </x:c>
      <x:c r="B2764" s="24" t="str">
        <x:v>프라임구독</x:v>
      </x:c>
      <x:c r="C2764" s="24" t="str">
        <x:v>PR-C-179다2681-1-20230605-62</x:v>
      </x:c>
      <x:c r="D2764" s="24" t="str">
        <x:v>179다2681</x:v>
      </x:c>
      <x:c r="E2764" s="24" t="str">
        <x:v>이미옥</x:v>
      </x:c>
      <x:c r="F2764" s="24" t="str">
        <x:v>2026-04</x:v>
      </x:c>
      <x:c r="G2764" s="30" t="n">
        <x:v>46122</x:v>
      </x:c>
      <x:c r="H2764" s="32" t="n">
        <x:v>767000</x:v>
      </x:c>
      <x:c r="I2764" s="32" t="n">
        <x:v>345400</x:v>
      </x:c>
      <x:c r="J2764" s="32" t="n">
        <x:v>1700000</x:v>
      </x:c>
      <x:c r="K2764" s="30" t="n">
        <x:v>46132</x:v>
      </x:c>
      <x:c r="L2764" s="24" t="str">
        <x:v>입금</x:v>
      </x:c>
      <x:c r="M2764" s="31" t="n">
        <x:f>IF(AND(N2764="미수",G2764&lt;&gt;"",TODAY()&gt;G2764),TODAY()-G2764,0)</x:f>
        <x:v>127</x:v>
      </x:c>
      <x:c r="N2764" s="24" t="str">
        <x:f>IF(J2764&gt;0,"미수",IF(AND(H2764&gt;0,I2764&gt;=H2764),"완납","미확인"))</x:f>
        <x:v>미수</x:v>
      </x:c>
      <x:c r="O2764" s="31" t="n">
        <x:v>23</x:v>
      </x:c>
    </x:row>
    <x:row r="2765" ht="17.25" customHeight="1">
      <x:c r="A2765" s="24" t="str">
        <x:v>PR-B-179다2681-202603</x:v>
      </x:c>
      <x:c r="B2765" s="24" t="str">
        <x:v>프라임구독</x:v>
      </x:c>
      <x:c r="C2765" s="24" t="str">
        <x:v>PR-C-179다2681-1-20230605-62</x:v>
      </x:c>
      <x:c r="D2765" s="24" t="str">
        <x:v>179다2681</x:v>
      </x:c>
      <x:c r="E2765" s="24" t="str">
        <x:v>이미옥</x:v>
      </x:c>
      <x:c r="F2765" s="24" t="str">
        <x:v>2026-03</x:v>
      </x:c>
      <x:c r="G2765" s="30" t="n">
        <x:v>46091</x:v>
      </x:c>
      <x:c r="H2765" s="32" t="n">
        <x:v>767000</x:v>
      </x:c>
      <x:c r="I2765" s="32" t="n">
        <x:v>1022700</x:v>
      </x:c>
      <x:c r="J2765" s="32" t="n">
        <x:v>1278400</x:v>
      </x:c>
      <x:c r="K2765" s="30" t="n">
        <x:v>46091</x:v>
      </x:c>
      <x:c r="L2765" s="24" t="str">
        <x:v>입금</x:v>
      </x:c>
      <x:c r="M2765" s="31" t="n">
        <x:f>IF(AND(N2765="미수",G2765&lt;&gt;"",TODAY()&gt;G2765),TODAY()-G2765,0)</x:f>
        <x:v>158</x:v>
      </x:c>
      <x:c r="N2765" s="24" t="str">
        <x:f>IF(J2765&gt;0,"미수",IF(AND(H2765&gt;0,I2765&gt;=H2765),"완납","미확인"))</x:f>
        <x:v>미수</x:v>
      </x:c>
      <x:c r="O2765" s="31" t="n">
        <x:v>23</x:v>
      </x:c>
    </x:row>
    <x:row r="2766" ht="17.25" customHeight="1">
      <x:c r="A2766" s="24" t="str">
        <x:v>PR-B-179다2681-202602</x:v>
      </x:c>
      <x:c r="B2766" s="24" t="str">
        <x:v>프라임구독</x:v>
      </x:c>
      <x:c r="C2766" s="24" t="str">
        <x:v>PR-C-179다2681-1-20230605-62</x:v>
      </x:c>
      <x:c r="D2766" s="24" t="str">
        <x:v>179다2681</x:v>
      </x:c>
      <x:c r="E2766" s="24" t="str">
        <x:v>이미옥</x:v>
      </x:c>
      <x:c r="F2766" s="24" t="str">
        <x:v>2026-02</x:v>
      </x:c>
      <x:c r="G2766" s="30" t="n">
        <x:v>46063</x:v>
      </x:c>
      <x:c r="H2766" s="32" t="n">
        <x:v>767000</x:v>
      </x:c>
      <x:c r="I2766" s="32" t="n">
        <x:v>616000</x:v>
      </x:c>
      <x:c r="J2766" s="32" t="n">
        <x:v>1534100</x:v>
      </x:c>
      <x:c r="K2766" s="30" t="n">
        <x:v>46058</x:v>
      </x:c>
      <x:c r="L2766" s="24" t="str">
        <x:v>입금</x:v>
      </x:c>
      <x:c r="M2766" s="31" t="n">
        <x:f>IF(AND(N2766="미수",G2766&lt;&gt;"",TODAY()&gt;G2766),TODAY()-G2766,0)</x:f>
        <x:v>186</x:v>
      </x:c>
      <x:c r="N2766" s="24" t="str">
        <x:f>IF(J2766&gt;0,"미수",IF(AND(H2766&gt;0,I2766&gt;=H2766),"완납","미확인"))</x:f>
        <x:v>미수</x:v>
      </x:c>
      <x:c r="O2766" s="31" t="n">
        <x:v>23</x:v>
      </x:c>
    </x:row>
    <x:row r="2767" ht="17.25" customHeight="1">
      <x:c r="A2767" s="24" t="str">
        <x:v>PR-B-179다2681-202601</x:v>
      </x:c>
      <x:c r="B2767" s="24" t="str">
        <x:v>프라임구독</x:v>
      </x:c>
      <x:c r="C2767" s="24" t="str">
        <x:v>PR-C-179다2681-1-20230605-62</x:v>
      </x:c>
      <x:c r="D2767" s="24" t="str">
        <x:v>179다2681</x:v>
      </x:c>
      <x:c r="E2767" s="24" t="str">
        <x:v>이미옥</x:v>
      </x:c>
      <x:c r="F2767" s="24" t="str">
        <x:v>2026-01</x:v>
      </x:c>
      <x:c r="G2767" s="30" t="n">
        <x:v>46032</x:v>
      </x:c>
      <x:c r="H2767" s="32" t="n">
        <x:v>767000</x:v>
      </x:c>
      <x:c r="I2767" s="32" t="n">
        <x:v>910000</x:v>
      </x:c>
      <x:c r="J2767" s="32" t="n">
        <x:v>1383100</x:v>
      </x:c>
      <x:c r="K2767" s="30" t="n">
        <x:v>46027</x:v>
      </x:c>
      <x:c r="L2767" s="24" t="str">
        <x:v>입금</x:v>
      </x:c>
      <x:c r="M2767" s="31" t="n">
        <x:f>IF(AND(N2767="미수",G2767&lt;&gt;"",TODAY()&gt;G2767),TODAY()-G2767,0)</x:f>
        <x:v>217</x:v>
      </x:c>
      <x:c r="N2767" s="24" t="str">
        <x:f>IF(J2767&gt;0,"미수",IF(AND(H2767&gt;0,I2767&gt;=H2767),"완납","미확인"))</x:f>
        <x:v>미수</x:v>
      </x:c>
      <x:c r="O2767" s="31" t="n">
        <x:v>23</x:v>
      </x:c>
    </x:row>
    <x:row r="2768" ht="17.25" customHeight="1">
      <x:c r="A2768" s="24" t="str">
        <x:v>PR-B-179다2681-202512</x:v>
      </x:c>
      <x:c r="B2768" s="24" t="str">
        <x:v>프라임구독</x:v>
      </x:c>
      <x:c r="C2768" s="24" t="str">
        <x:v>PR-C-179다2681-1-20230605-62</x:v>
      </x:c>
      <x:c r="D2768" s="24" t="str">
        <x:v>179다2681</x:v>
      </x:c>
      <x:c r="E2768" s="24" t="str">
        <x:v>이미옥</x:v>
      </x:c>
      <x:c r="F2768" s="24" t="str">
        <x:v>2025-12</x:v>
      </x:c>
      <x:c r="G2768" s="30" t="n">
        <x:v>46001</x:v>
      </x:c>
      <x:c r="H2768" s="32" t="n">
        <x:v>767000</x:v>
      </x:c>
      <x:c r="I2768" s="32"/>
      <x:c r="J2768" s="32" t="n">
        <x:v>1526100</x:v>
      </x:c>
      <x:c r="K2768" s="30"/>
      <x:c r="L2768" s="24" t="str"/>
      <x:c r="M2768" s="31" t="n">
        <x:f>IF(AND(N2768="미수",G2768&lt;&gt;"",TODAY()&gt;G2768),TODAY()-G2768,0)</x:f>
        <x:v>248</x:v>
      </x:c>
      <x:c r="N2768" s="24" t="str">
        <x:f>IF(J2768&gt;0,"미수",IF(AND(H2768&gt;0,I2768&gt;=H2768),"완납","미확인"))</x:f>
        <x:v>미수</x:v>
      </x:c>
      <x:c r="O2768" s="31" t="n">
        <x:v>23</x:v>
      </x:c>
    </x:row>
    <x:row r="2769" ht="17.25" customHeight="1">
      <x:c r="A2769" s="24" t="str">
        <x:v>PR-B-179다2681-202511</x:v>
      </x:c>
      <x:c r="B2769" s="24" t="str">
        <x:v>프라임구독</x:v>
      </x:c>
      <x:c r="C2769" s="24" t="str">
        <x:v>PR-C-179다2681-1-20230605-62</x:v>
      </x:c>
      <x:c r="D2769" s="24" t="str">
        <x:v>179다2681</x:v>
      </x:c>
      <x:c r="E2769" s="24" t="str">
        <x:v>이미옥</x:v>
      </x:c>
      <x:c r="F2769" s="24" t="str">
        <x:v>2025-11</x:v>
      </x:c>
      <x:c r="G2769" s="30" t="n">
        <x:v>45971</x:v>
      </x:c>
      <x:c r="H2769" s="32" t="n">
        <x:v>767000</x:v>
      </x:c>
      <x:c r="I2769" s="32" t="n">
        <x:v>767000</x:v>
      </x:c>
      <x:c r="J2769" s="32" t="n">
        <x:v>759100</x:v>
      </x:c>
      <x:c r="K2769" s="30" t="n">
        <x:v>45986</x:v>
      </x:c>
      <x:c r="L2769" s="24" t="str">
        <x:v>입금</x:v>
      </x:c>
      <x:c r="M2769" s="31" t="n">
        <x:f>IF(AND(N2769="미수",G2769&lt;&gt;"",TODAY()&gt;G2769),TODAY()-G2769,0)</x:f>
        <x:v>278</x:v>
      </x:c>
      <x:c r="N2769" s="24" t="str">
        <x:f>IF(J2769&gt;0,"미수",IF(AND(H2769&gt;0,I2769&gt;=H2769),"완납","미확인"))</x:f>
        <x:v>미수</x:v>
      </x:c>
      <x:c r="O2769" s="31" t="n">
        <x:v>23</x:v>
      </x:c>
    </x:row>
    <x:row r="2770" ht="17.25" customHeight="1">
      <x:c r="A2770" s="24" t="str">
        <x:v>PR-B-179다2681-202510</x:v>
      </x:c>
      <x:c r="B2770" s="24" t="str">
        <x:v>프라임구독</x:v>
      </x:c>
      <x:c r="C2770" s="24" t="str">
        <x:v>PR-C-179다2681-1-20230605-62</x:v>
      </x:c>
      <x:c r="D2770" s="24" t="str">
        <x:v>179다2681</x:v>
      </x:c>
      <x:c r="E2770" s="24" t="str">
        <x:v>이미옥</x:v>
      </x:c>
      <x:c r="F2770" s="24" t="str">
        <x:v>2025-10</x:v>
      </x:c>
      <x:c r="G2770" s="30" t="n">
        <x:v>45940</x:v>
      </x:c>
      <x:c r="H2770" s="32" t="n">
        <x:v>767000</x:v>
      </x:c>
      <x:c r="I2770" s="32" t="n">
        <x:v>767000</x:v>
      </x:c>
      <x:c r="J2770" s="32" t="n">
        <x:v>759100</x:v>
      </x:c>
      <x:c r="K2770" s="30" t="n">
        <x:v>45957</x:v>
      </x:c>
      <x:c r="L2770" s="24" t="str">
        <x:v>입금</x:v>
      </x:c>
      <x:c r="M2770" s="31" t="n">
        <x:f>IF(AND(N2770="미수",G2770&lt;&gt;"",TODAY()&gt;G2770),TODAY()-G2770,0)</x:f>
        <x:v>309</x:v>
      </x:c>
      <x:c r="N2770" s="24" t="str">
        <x:f>IF(J2770&gt;0,"미수",IF(AND(H2770&gt;0,I2770&gt;=H2770),"완납","미확인"))</x:f>
        <x:v>미수</x:v>
      </x:c>
      <x:c r="O2770" s="31" t="n">
        <x:v>23</x:v>
      </x:c>
    </x:row>
    <x:row r="2771" ht="17.25" customHeight="1">
      <x:c r="A2771" s="24" t="str">
        <x:v>PR-B-179다2681-202509</x:v>
      </x:c>
      <x:c r="B2771" s="24" t="str">
        <x:v>프라임구독</x:v>
      </x:c>
      <x:c r="C2771" s="24" t="str">
        <x:v>PR-C-179다2681-1-20230605-62</x:v>
      </x:c>
      <x:c r="D2771" s="24" t="str">
        <x:v>179다2681</x:v>
      </x:c>
      <x:c r="E2771" s="24" t="str">
        <x:v>이미옥</x:v>
      </x:c>
      <x:c r="F2771" s="24" t="str">
        <x:v>2025-09</x:v>
      </x:c>
      <x:c r="G2771" s="30" t="n">
        <x:v>45910</x:v>
      </x:c>
      <x:c r="H2771" s="32" t="n">
        <x:v>767000</x:v>
      </x:c>
      <x:c r="I2771" s="32" t="n">
        <x:v>767000</x:v>
      </x:c>
      <x:c r="J2771" s="32" t="n">
        <x:v>759100</x:v>
      </x:c>
      <x:c r="K2771" s="30" t="n">
        <x:v>45919</x:v>
      </x:c>
      <x:c r="L2771" s="24" t="str">
        <x:v>입금</x:v>
      </x:c>
      <x:c r="M2771" s="31" t="n">
        <x:f>IF(AND(N2771="미수",G2771&lt;&gt;"",TODAY()&gt;G2771),TODAY()-G2771,0)</x:f>
        <x:v>339</x:v>
      </x:c>
      <x:c r="N2771" s="24" t="str">
        <x:f>IF(J2771&gt;0,"미수",IF(AND(H2771&gt;0,I2771&gt;=H2771),"완납","미확인"))</x:f>
        <x:v>미수</x:v>
      </x:c>
      <x:c r="O2771" s="31" t="n">
        <x:v>23</x:v>
      </x:c>
    </x:row>
    <x:row r="2772" ht="17.25" customHeight="1">
      <x:c r="A2772" s="24" t="str">
        <x:v>PR-B-179다2681-202508</x:v>
      </x:c>
      <x:c r="B2772" s="24" t="str">
        <x:v>프라임구독</x:v>
      </x:c>
      <x:c r="C2772" s="24" t="str">
        <x:v>PR-C-179다2681-1-20230605-62</x:v>
      </x:c>
      <x:c r="D2772" s="24" t="str">
        <x:v>179다2681</x:v>
      </x:c>
      <x:c r="E2772" s="24" t="str">
        <x:v>이미옥</x:v>
      </x:c>
      <x:c r="F2772" s="24" t="str">
        <x:v>2025-08</x:v>
      </x:c>
      <x:c r="G2772" s="30" t="n">
        <x:v>45879</x:v>
      </x:c>
      <x:c r="H2772" s="32" t="n">
        <x:v>767000</x:v>
      </x:c>
      <x:c r="I2772" s="32"/>
      <x:c r="J2772" s="32" t="n">
        <x:v>759100</x:v>
      </x:c>
      <x:c r="K2772" s="30"/>
      <x:c r="L2772" s="24" t="str"/>
      <x:c r="M2772" s="31" t="n">
        <x:f>IF(AND(N2772="미수",G2772&lt;&gt;"",TODAY()&gt;G2772),TODAY()-G2772,0)</x:f>
        <x:v>370</x:v>
      </x:c>
      <x:c r="N2772" s="24" t="str">
        <x:f>IF(J2772&gt;0,"미수",IF(AND(H2772&gt;0,I2772&gt;=H2772),"완납","미확인"))</x:f>
        <x:v>미수</x:v>
      </x:c>
      <x:c r="O2772" s="31" t="n">
        <x:v>23</x:v>
      </x:c>
    </x:row>
    <x:row r="2773" ht="17.25" customHeight="1">
      <x:c r="A2773" s="24" t="str">
        <x:v>PR-B-179다2681-202507</x:v>
      </x:c>
      <x:c r="B2773" s="24" t="str">
        <x:v>프라임구독</x:v>
      </x:c>
      <x:c r="C2773" s="24" t="str">
        <x:v>PR-C-179다2681-1-20230605-62</x:v>
      </x:c>
      <x:c r="D2773" s="24" t="str">
        <x:v>179다2681</x:v>
      </x:c>
      <x:c r="E2773" s="24" t="str">
        <x:v>이미옥</x:v>
      </x:c>
      <x:c r="F2773" s="24" t="str">
        <x:v>2025-07</x:v>
      </x:c>
      <x:c r="G2773" s="30" t="n">
        <x:v>45848</x:v>
      </x:c>
      <x:c r="H2773" s="32" t="n">
        <x:v>767000</x:v>
      </x:c>
      <x:c r="I2773" s="32" t="n">
        <x:v>1534000</x:v>
      </x:c>
      <x:c r="J2773" s="32" t="n">
        <x:v>-7900</x:v>
      </x:c>
      <x:c r="K2773" s="30" t="n">
        <x:v>45841</x:v>
      </x:c>
      <x:c r="L2773" s="24" t="str">
        <x:v>입금</x:v>
      </x:c>
      <x:c r="M2773" s="31" t="n">
        <x:f>IF(AND(N2773="미수",G2773&lt;&gt;"",TODAY()&gt;G2773),TODAY()-G2773,0)</x:f>
        <x:v>0</x:v>
      </x:c>
      <x:c r="N2773" s="24" t="str">
        <x:f>IF(J2773&gt;0,"미수",IF(AND(H2773&gt;0,I2773&gt;=H2773),"완납","미확인"))</x:f>
        <x:v>완납</x:v>
      </x:c>
      <x:c r="O2773" s="31" t="n">
        <x:v>23</x:v>
      </x:c>
    </x:row>
    <x:row r="2774" ht="17.25" customHeight="1">
      <x:c r="A2774" s="24" t="str">
        <x:v>PR-B-179다2681-202506</x:v>
      </x:c>
      <x:c r="B2774" s="24" t="str">
        <x:v>프라임구독</x:v>
      </x:c>
      <x:c r="C2774" s="24" t="str">
        <x:v>PR-C-179다2681-1-20230605-62</x:v>
      </x:c>
      <x:c r="D2774" s="24" t="str">
        <x:v>179다2681</x:v>
      </x:c>
      <x:c r="E2774" s="24" t="str">
        <x:v>이미옥</x:v>
      </x:c>
      <x:c r="F2774" s="24" t="str">
        <x:v>2025-06</x:v>
      </x:c>
      <x:c r="G2774" s="30" t="n">
        <x:v>45818</x:v>
      </x:c>
      <x:c r="H2774" s="32" t="n">
        <x:v>767000</x:v>
      </x:c>
      <x:c r="I2774" s="32" t="n">
        <x:v>767000</x:v>
      </x:c>
      <x:c r="J2774" s="32" t="n">
        <x:v>759100</x:v>
      </x:c>
      <x:c r="K2774" s="30" t="n">
        <x:v>45819</x:v>
      </x:c>
      <x:c r="L2774" s="24" t="str">
        <x:v>입금</x:v>
      </x:c>
      <x:c r="M2774" s="31" t="n">
        <x:f>IF(AND(N2774="미수",G2774&lt;&gt;"",TODAY()&gt;G2774),TODAY()-G2774,0)</x:f>
        <x:v>431</x:v>
      </x:c>
      <x:c r="N2774" s="24" t="str">
        <x:f>IF(J2774&gt;0,"미수",IF(AND(H2774&gt;0,I2774&gt;=H2774),"완납","미확인"))</x:f>
        <x:v>미수</x:v>
      </x:c>
      <x:c r="O2774" s="31" t="n">
        <x:v>23</x:v>
      </x:c>
    </x:row>
    <x:row r="2775" ht="17.25" customHeight="1">
      <x:c r="A2775" s="24" t="str">
        <x:v>PR-B-179다2681-202505</x:v>
      </x:c>
      <x:c r="B2775" s="24" t="str">
        <x:v>프라임구독</x:v>
      </x:c>
      <x:c r="C2775" s="24" t="str">
        <x:v>PR-C-179다2681-1-20230605-62</x:v>
      </x:c>
      <x:c r="D2775" s="24" t="str">
        <x:v>179다2681</x:v>
      </x:c>
      <x:c r="E2775" s="24" t="str">
        <x:v>이미옥</x:v>
      </x:c>
      <x:c r="F2775" s="24" t="str">
        <x:v>2025-05</x:v>
      </x:c>
      <x:c r="G2775" s="30" t="n">
        <x:v>45787</x:v>
      </x:c>
      <x:c r="H2775" s="32" t="n">
        <x:v>767000</x:v>
      </x:c>
      <x:c r="I2775" s="32"/>
      <x:c r="J2775" s="32" t="n">
        <x:v>759100</x:v>
      </x:c>
      <x:c r="K2775" s="30"/>
      <x:c r="L2775" s="24" t="str"/>
      <x:c r="M2775" s="31" t="n">
        <x:f>IF(AND(N2775="미수",G2775&lt;&gt;"",TODAY()&gt;G2775),TODAY()-G2775,0)</x:f>
        <x:v>462</x:v>
      </x:c>
      <x:c r="N2775" s="24" t="str">
        <x:f>IF(J2775&gt;0,"미수",IF(AND(H2775&gt;0,I2775&gt;=H2775),"완납","미확인"))</x:f>
        <x:v>미수</x:v>
      </x:c>
      <x:c r="O2775" s="31" t="n">
        <x:v>23</x:v>
      </x:c>
    </x:row>
    <x:row r="2776" ht="17.25" customHeight="1">
      <x:c r="A2776" s="24" t="str">
        <x:v>PR-B-179다2681-202504</x:v>
      </x:c>
      <x:c r="B2776" s="24" t="str">
        <x:v>프라임구독</x:v>
      </x:c>
      <x:c r="C2776" s="24" t="str">
        <x:v>PR-C-179다2681-1-20230605-62</x:v>
      </x:c>
      <x:c r="D2776" s="24" t="str">
        <x:v>179다2681</x:v>
      </x:c>
      <x:c r="E2776" s="24" t="str">
        <x:v>이미옥</x:v>
      </x:c>
      <x:c r="F2776" s="24" t="str">
        <x:v>2025-04</x:v>
      </x:c>
      <x:c r="G2776" s="30" t="n">
        <x:v>45757</x:v>
      </x:c>
      <x:c r="H2776" s="32" t="n">
        <x:v>763050</x:v>
      </x:c>
      <x:c r="I2776" s="32" t="n">
        <x:v>767000</x:v>
      </x:c>
      <x:c r="J2776" s="32" t="n">
        <x:v>-7900</x:v>
      </x:c>
      <x:c r="K2776" s="30" t="n">
        <x:v>45777</x:v>
      </x:c>
      <x:c r="L2776" s="24" t="str">
        <x:v>입금</x:v>
      </x:c>
      <x:c r="M2776" s="31" t="n">
        <x:f>IF(AND(N2776="미수",G2776&lt;&gt;"",TODAY()&gt;G2776),TODAY()-G2776,0)</x:f>
        <x:v>0</x:v>
      </x:c>
      <x:c r="N2776" s="24" t="str">
        <x:f>IF(J2776&gt;0,"미수",IF(AND(H2776&gt;0,I2776&gt;=H2776),"완납","미확인"))</x:f>
        <x:v>완납</x:v>
      </x:c>
      <x:c r="O2776" s="31" t="n">
        <x:v>23</x:v>
      </x:c>
    </x:row>
    <x:row r="2777" ht="17.25" customHeight="1">
      <x:c r="A2777" s="24" t="str">
        <x:v>PR-B-179다2681-202503</x:v>
      </x:c>
      <x:c r="B2777" s="24" t="str">
        <x:v>프라임구독</x:v>
      </x:c>
      <x:c r="C2777" s="24" t="str">
        <x:v>PR-C-179다2681-1-20230605-62</x:v>
      </x:c>
      <x:c r="D2777" s="24" t="str">
        <x:v>179다2681</x:v>
      </x:c>
      <x:c r="E2777" s="24" t="str">
        <x:v>이미옥</x:v>
      </x:c>
      <x:c r="F2777" s="24" t="str">
        <x:v>2025-03</x:v>
      </x:c>
      <x:c r="G2777" s="30" t="n">
        <x:v>45726</x:v>
      </x:c>
      <x:c r="H2777" s="32" t="n">
        <x:v>767000</x:v>
      </x:c>
      <x:c r="I2777" s="32" t="n">
        <x:v>767000</x:v>
      </x:c>
      <x:c r="J2777" s="32" t="n">
        <x:v>-3950</x:v>
      </x:c>
      <x:c r="K2777" s="30" t="n">
        <x:v>45745</x:v>
      </x:c>
      <x:c r="L2777" s="24" t="str">
        <x:v>입금</x:v>
      </x:c>
      <x:c r="M2777" s="31" t="n">
        <x:f>IF(AND(N2777="미수",G2777&lt;&gt;"",TODAY()&gt;G2777),TODAY()-G2777,0)</x:f>
        <x:v>0</x:v>
      </x:c>
      <x:c r="N2777" s="24" t="str">
        <x:f>IF(J2777&gt;0,"미수",IF(AND(H2777&gt;0,I2777&gt;=H2777),"완납","미확인"))</x:f>
        <x:v>완납</x:v>
      </x:c>
      <x:c r="O2777" s="31" t="n">
        <x:v>23</x:v>
      </x:c>
    </x:row>
    <x:row r="2778" ht="17.25" customHeight="1">
      <x:c r="A2778" s="24" t="str">
        <x:v>PR-B-179다2681-202502</x:v>
      </x:c>
      <x:c r="B2778" s="24" t="str">
        <x:v>프라임구독</x:v>
      </x:c>
      <x:c r="C2778" s="24" t="str">
        <x:v>PR-C-179다2681-1-20230605-62</x:v>
      </x:c>
      <x:c r="D2778" s="24" t="str">
        <x:v>179다2681</x:v>
      </x:c>
      <x:c r="E2778" s="24" t="str">
        <x:v>이미옥</x:v>
      </x:c>
      <x:c r="F2778" s="24" t="str">
        <x:v>2025-02</x:v>
      </x:c>
      <x:c r="G2778" s="30" t="n">
        <x:v>45698</x:v>
      </x:c>
      <x:c r="H2778" s="32" t="n">
        <x:v>763050</x:v>
      </x:c>
      <x:c r="I2778" s="32" t="n">
        <x:v>767000</x:v>
      </x:c>
      <x:c r="J2778" s="32" t="n">
        <x:v>-3950</x:v>
      </x:c>
      <x:c r="K2778" s="30" t="n">
        <x:v>45713</x:v>
      </x:c>
      <x:c r="L2778" s="24" t="str">
        <x:v>입금</x:v>
      </x:c>
      <x:c r="M2778" s="31" t="n">
        <x:f>IF(AND(N2778="미수",G2778&lt;&gt;"",TODAY()&gt;G2778),TODAY()-G2778,0)</x:f>
        <x:v>0</x:v>
      </x:c>
      <x:c r="N2778" s="24" t="str">
        <x:f>IF(J2778&gt;0,"미수",IF(AND(H2778&gt;0,I2778&gt;=H2778),"완납","미확인"))</x:f>
        <x:v>완납</x:v>
      </x:c>
      <x:c r="O2778" s="31" t="n">
        <x:v>23</x:v>
      </x:c>
    </x:row>
    <x:row r="2779" ht="17.25" customHeight="1">
      <x:c r="A2779" s="24" t="str">
        <x:v>PR-B-179다2681-202501</x:v>
      </x:c>
      <x:c r="B2779" s="24" t="str">
        <x:v>프라임구독</x:v>
      </x:c>
      <x:c r="C2779" s="24" t="str">
        <x:v>PR-C-179다2681-1-20230605-62</x:v>
      </x:c>
      <x:c r="D2779" s="24" t="str">
        <x:v>179다2681</x:v>
      </x:c>
      <x:c r="E2779" s="24" t="str">
        <x:v>이미옥</x:v>
      </x:c>
      <x:c r="F2779" s="24" t="str">
        <x:v>2025-01</x:v>
      </x:c>
      <x:c r="G2779" s="30" t="n">
        <x:v>45667</x:v>
      </x:c>
      <x:c r="H2779" s="32" t="n">
        <x:v>767000</x:v>
      </x:c>
      <x:c r="I2779" s="32" t="n">
        <x:v>767000</x:v>
      </x:c>
      <x:c r="J2779" s="32" t="n">
        <x:v>0</x:v>
      </x:c>
      <x:c r="K2779" s="30" t="n">
        <x:v>45679</x:v>
      </x:c>
      <x:c r="L2779" s="24" t="str">
        <x:v>입금</x:v>
      </x:c>
      <x:c r="M2779" s="31" t="n">
        <x:f>IF(AND(N2779="미수",G2779&lt;&gt;"",TODAY()&gt;G2779),TODAY()-G2779,0)</x:f>
        <x:v>0</x:v>
      </x:c>
      <x:c r="N2779" s="24" t="str">
        <x:f>IF(J2779&gt;0,"미수",IF(AND(H2779&gt;0,I2779&gt;=H2779),"완납","미확인"))</x:f>
        <x:v>완납</x:v>
      </x:c>
      <x:c r="O2779" s="31" t="n">
        <x:v>23</x:v>
      </x:c>
    </x:row>
    <x:row r="2780" ht="17.25" customHeight="1">
      <x:c r="A2780" s="24" t="str">
        <x:v>PR-B-179다2681-202412</x:v>
      </x:c>
      <x:c r="B2780" s="24" t="str">
        <x:v>프라임구독</x:v>
      </x:c>
      <x:c r="C2780" s="24" t="str">
        <x:v>PR-C-179다2681-1-20230605-62</x:v>
      </x:c>
      <x:c r="D2780" s="24" t="str">
        <x:v>179다2681</x:v>
      </x:c>
      <x:c r="E2780" s="24" t="str">
        <x:v>이미옥</x:v>
      </x:c>
      <x:c r="F2780" s="24" t="str">
        <x:v>2024-12</x:v>
      </x:c>
      <x:c r="G2780" s="30" t="n">
        <x:v>45636</x:v>
      </x:c>
      <x:c r="H2780" s="32" t="n">
        <x:v>767000</x:v>
      </x:c>
      <x:c r="I2780" s="32" t="n">
        <x:v>767000</x:v>
      </x:c>
      <x:c r="J2780" s="32" t="n">
        <x:v>0</x:v>
      </x:c>
      <x:c r="K2780" s="30" t="n">
        <x:v>45650</x:v>
      </x:c>
      <x:c r="L2780" s="24" t="str">
        <x:v>입금</x:v>
      </x:c>
      <x:c r="M2780" s="31" t="n">
        <x:f>IF(AND(N2780="미수",G2780&lt;&gt;"",TODAY()&gt;G2780),TODAY()-G2780,0)</x:f>
        <x:v>0</x:v>
      </x:c>
      <x:c r="N2780" s="24" t="str">
        <x:f>IF(J2780&gt;0,"미수",IF(AND(H2780&gt;0,I2780&gt;=H2780),"완납","미확인"))</x:f>
        <x:v>완납</x:v>
      </x:c>
      <x:c r="O2780" s="31" t="n">
        <x:v>23</x:v>
      </x:c>
    </x:row>
    <x:row r="2781" ht="17.25" customHeight="1">
      <x:c r="A2781" s="24" t="str">
        <x:v>PR-B-179다2681-202411</x:v>
      </x:c>
      <x:c r="B2781" s="24" t="str">
        <x:v>프라임구독</x:v>
      </x:c>
      <x:c r="C2781" s="24" t="str">
        <x:v>PR-C-179다2681-1-20230605-62</x:v>
      </x:c>
      <x:c r="D2781" s="24" t="str">
        <x:v>179다2681</x:v>
      </x:c>
      <x:c r="E2781" s="24" t="str">
        <x:v>이미옥</x:v>
      </x:c>
      <x:c r="F2781" s="24" t="str">
        <x:v>2024-11</x:v>
      </x:c>
      <x:c r="G2781" s="30" t="n">
        <x:v>45606</x:v>
      </x:c>
      <x:c r="H2781" s="32" t="n">
        <x:v>767000</x:v>
      </x:c>
      <x:c r="I2781" s="32" t="n">
        <x:v>767000</x:v>
      </x:c>
      <x:c r="J2781" s="32" t="n">
        <x:v>0</x:v>
      </x:c>
      <x:c r="K2781" s="30" t="n">
        <x:v>45621</x:v>
      </x:c>
      <x:c r="L2781" s="24" t="str">
        <x:v>입금</x:v>
      </x:c>
      <x:c r="M2781" s="31" t="n">
        <x:f>IF(AND(N2781="미수",G2781&lt;&gt;"",TODAY()&gt;G2781),TODAY()-G2781,0)</x:f>
        <x:v>0</x:v>
      </x:c>
      <x:c r="N2781" s="24" t="str">
        <x:f>IF(J2781&gt;0,"미수",IF(AND(H2781&gt;0,I2781&gt;=H2781),"완납","미확인"))</x:f>
        <x:v>완납</x:v>
      </x:c>
      <x:c r="O2781" s="31" t="n">
        <x:v>23</x:v>
      </x:c>
    </x:row>
    <x:row r="2782" ht="17.25" customHeight="1">
      <x:c r="A2782" s="24" t="str">
        <x:v>PR-B-179다2681-202410</x:v>
      </x:c>
      <x:c r="B2782" s="24" t="str">
        <x:v>프라임구독</x:v>
      </x:c>
      <x:c r="C2782" s="24" t="str">
        <x:v>PR-C-179다2681-1-20230605-62</x:v>
      </x:c>
      <x:c r="D2782" s="24" t="str">
        <x:v>179다2681</x:v>
      </x:c>
      <x:c r="E2782" s="24" t="str">
        <x:v>이미옥</x:v>
      </x:c>
      <x:c r="F2782" s="24" t="str">
        <x:v>2024-10</x:v>
      </x:c>
      <x:c r="G2782" s="30" t="n">
        <x:v>45575</x:v>
      </x:c>
      <x:c r="H2782" s="32" t="n">
        <x:v>767000</x:v>
      </x:c>
      <x:c r="I2782" s="32" t="n">
        <x:v>767000</x:v>
      </x:c>
      <x:c r="J2782" s="32" t="n">
        <x:v>0</x:v>
      </x:c>
      <x:c r="K2782" s="30" t="n">
        <x:v>45592</x:v>
      </x:c>
      <x:c r="L2782" s="24" t="str">
        <x:v>입금</x:v>
      </x:c>
      <x:c r="M2782" s="31" t="n">
        <x:f>IF(AND(N2782="미수",G2782&lt;&gt;"",TODAY()&gt;G2782),TODAY()-G2782,0)</x:f>
        <x:v>0</x:v>
      </x:c>
      <x:c r="N2782" s="24" t="str">
        <x:f>IF(J2782&gt;0,"미수",IF(AND(H2782&gt;0,I2782&gt;=H2782),"완납","미확인"))</x:f>
        <x:v>완납</x:v>
      </x:c>
      <x:c r="O2782" s="31" t="n">
        <x:v>23</x:v>
      </x:c>
    </x:row>
    <x:row r="2783" ht="17.25" customHeight="1">
      <x:c r="A2783" s="24" t="str">
        <x:v>PR-B-179다2681-202409</x:v>
      </x:c>
      <x:c r="B2783" s="24" t="str">
        <x:v>프라임구독</x:v>
      </x:c>
      <x:c r="C2783" s="24" t="str">
        <x:v>PR-C-179다2681-1-20230605-62</x:v>
      </x:c>
      <x:c r="D2783" s="24" t="str">
        <x:v>179다2681</x:v>
      </x:c>
      <x:c r="E2783" s="24" t="str">
        <x:v>이미옥</x:v>
      </x:c>
      <x:c r="F2783" s="24" t="str">
        <x:v>2024-09</x:v>
      </x:c>
      <x:c r="G2783" s="30" t="n">
        <x:v>45545</x:v>
      </x:c>
      <x:c r="H2783" s="32" t="n">
        <x:v>767000</x:v>
      </x:c>
      <x:c r="I2783" s="32" t="n">
        <x:v>767000</x:v>
      </x:c>
      <x:c r="J2783" s="32" t="n">
        <x:v>0</x:v>
      </x:c>
      <x:c r="K2783" s="30" t="n">
        <x:v>45560</x:v>
      </x:c>
      <x:c r="L2783" s="24" t="str">
        <x:v>입금</x:v>
      </x:c>
      <x:c r="M2783" s="31" t="n">
        <x:f>IF(AND(N2783="미수",G2783&lt;&gt;"",TODAY()&gt;G2783),TODAY()-G2783,0)</x:f>
        <x:v>0</x:v>
      </x:c>
      <x:c r="N2783" s="24" t="str">
        <x:f>IF(J2783&gt;0,"미수",IF(AND(H2783&gt;0,I2783&gt;=H2783),"완납","미확인"))</x:f>
        <x:v>완납</x:v>
      </x:c>
      <x:c r="O2783" s="31" t="n">
        <x:v>23</x:v>
      </x:c>
    </x:row>
    <x:row r="2784" ht="17.25" customHeight="1">
      <x:c r="A2784" s="24" t="str">
        <x:v>PR-B-179다2681-202408</x:v>
      </x:c>
      <x:c r="B2784" s="24" t="str">
        <x:v>프라임구독</x:v>
      </x:c>
      <x:c r="C2784" s="24" t="str">
        <x:v>PR-C-179다2681-1-20230605-62</x:v>
      </x:c>
      <x:c r="D2784" s="24" t="str">
        <x:v>179다2681</x:v>
      </x:c>
      <x:c r="E2784" s="24" t="str">
        <x:v>이미옥</x:v>
      </x:c>
      <x:c r="F2784" s="24" t="str">
        <x:v>2024-08</x:v>
      </x:c>
      <x:c r="G2784" s="30" t="n">
        <x:v>45514</x:v>
      </x:c>
      <x:c r="H2784" s="32" t="n">
        <x:v>767000</x:v>
      </x:c>
      <x:c r="I2784" s="32" t="n">
        <x:v>767000</x:v>
      </x:c>
      <x:c r="J2784" s="32" t="n">
        <x:v>0</x:v>
      </x:c>
      <x:c r="K2784" s="30" t="n">
        <x:v>45527</x:v>
      </x:c>
      <x:c r="L2784" s="24" t="str">
        <x:v>입금</x:v>
      </x:c>
      <x:c r="M2784" s="31" t="n">
        <x:f>IF(AND(N2784="미수",G2784&lt;&gt;"",TODAY()&gt;G2784),TODAY()-G2784,0)</x:f>
        <x:v>0</x:v>
      </x:c>
      <x:c r="N2784" s="24" t="str">
        <x:f>IF(J2784&gt;0,"미수",IF(AND(H2784&gt;0,I2784&gt;=H2784),"완납","미확인"))</x:f>
        <x:v>완납</x:v>
      </x:c>
      <x:c r="O2784" s="31" t="n">
        <x:v>23</x:v>
      </x:c>
    </x:row>
    <x:row r="2785" ht="17.25" customHeight="1">
      <x:c r="A2785" s="24" t="str">
        <x:v>PR-B-179다2681-202407</x:v>
      </x:c>
      <x:c r="B2785" s="24" t="str">
        <x:v>프라임구독</x:v>
      </x:c>
      <x:c r="C2785" s="24" t="str">
        <x:v>PR-C-179다2681-1-20230605-62</x:v>
      </x:c>
      <x:c r="D2785" s="24" t="str">
        <x:v>179다2681</x:v>
      </x:c>
      <x:c r="E2785" s="24" t="str">
        <x:v>이미옥</x:v>
      </x:c>
      <x:c r="F2785" s="24" t="str">
        <x:v>2024-07</x:v>
      </x:c>
      <x:c r="G2785" s="30" t="n">
        <x:v>45483</x:v>
      </x:c>
      <x:c r="H2785" s="32" t="n">
        <x:v>767000</x:v>
      </x:c>
      <x:c r="I2785" s="32" t="n">
        <x:v>767000</x:v>
      </x:c>
      <x:c r="J2785" s="32" t="n">
        <x:v>0</x:v>
      </x:c>
      <x:c r="K2785" s="30" t="n">
        <x:v>45498</x:v>
      </x:c>
      <x:c r="L2785" s="24" t="str">
        <x:v>입금</x:v>
      </x:c>
      <x:c r="M2785" s="31" t="n">
        <x:f>IF(AND(N2785="미수",G2785&lt;&gt;"",TODAY()&gt;G2785),TODAY()-G2785,0)</x:f>
        <x:v>0</x:v>
      </x:c>
      <x:c r="N2785" s="24" t="str">
        <x:f>IF(J2785&gt;0,"미수",IF(AND(H2785&gt;0,I2785&gt;=H2785),"완납","미확인"))</x:f>
        <x:v>완납</x:v>
      </x:c>
      <x:c r="O2785" s="31" t="n">
        <x:v>23</x:v>
      </x:c>
    </x:row>
    <x:row r="2786" ht="17.25" customHeight="1">
      <x:c r="A2786" s="24" t="str">
        <x:v>PR-B-179다2681-202406</x:v>
      </x:c>
      <x:c r="B2786" s="24" t="str">
        <x:v>프라임구독</x:v>
      </x:c>
      <x:c r="C2786" s="24" t="str">
        <x:v>PR-C-179다2681-1-20230605-62</x:v>
      </x:c>
      <x:c r="D2786" s="24" t="str">
        <x:v>179다2681</x:v>
      </x:c>
      <x:c r="E2786" s="24" t="str">
        <x:v>이미옥</x:v>
      </x:c>
      <x:c r="F2786" s="24" t="str">
        <x:v>2024-06</x:v>
      </x:c>
      <x:c r="G2786" s="30" t="n">
        <x:v>45453</x:v>
      </x:c>
      <x:c r="H2786" s="32" t="n">
        <x:v>767000</x:v>
      </x:c>
      <x:c r="I2786" s="32" t="n">
        <x:v>767000</x:v>
      </x:c>
      <x:c r="J2786" s="32" t="n">
        <x:v>0</x:v>
      </x:c>
      <x:c r="K2786" s="30" t="n">
        <x:v>45463</x:v>
      </x:c>
      <x:c r="L2786" s="24" t="str"/>
      <x:c r="M2786" s="31" t="n">
        <x:f>IF(AND(N2786="미수",G2786&lt;&gt;"",TODAY()&gt;G2786),TODAY()-G2786,0)</x:f>
        <x:v>0</x:v>
      </x:c>
      <x:c r="N2786" s="24" t="str">
        <x:f>IF(J2786&gt;0,"미수",IF(AND(H2786&gt;0,I2786&gt;=H2786),"완납","미확인"))</x:f>
        <x:v>완납</x:v>
      </x:c>
      <x:c r="O2786" s="31" t="n">
        <x:v>23</x:v>
      </x:c>
    </x:row>
    <x:row r="2787" ht="17.25" customHeight="1">
      <x:c r="A2787" s="24" t="str">
        <x:v>PR-B-179다2681-202405</x:v>
      </x:c>
      <x:c r="B2787" s="24" t="str">
        <x:v>프라임구독</x:v>
      </x:c>
      <x:c r="C2787" s="24" t="str">
        <x:v>PR-C-179다2681-1-20230605-62</x:v>
      </x:c>
      <x:c r="D2787" s="24" t="str">
        <x:v>179다2681</x:v>
      </x:c>
      <x:c r="E2787" s="24" t="str">
        <x:v>이미옥</x:v>
      </x:c>
      <x:c r="F2787" s="24" t="str">
        <x:v>2024-05</x:v>
      </x:c>
      <x:c r="G2787" s="30" t="n">
        <x:v>45422</x:v>
      </x:c>
      <x:c r="H2787" s="32" t="n">
        <x:v>767000</x:v>
      </x:c>
      <x:c r="I2787" s="32" t="n">
        <x:v>767000</x:v>
      </x:c>
      <x:c r="J2787" s="32" t="n">
        <x:v>0</x:v>
      </x:c>
      <x:c r="K2787" s="30" t="n">
        <x:v>45432</x:v>
      </x:c>
      <x:c r="L2787" s="24" t="str"/>
      <x:c r="M2787" s="31" t="n">
        <x:f>IF(AND(N2787="미수",G2787&lt;&gt;"",TODAY()&gt;G2787),TODAY()-G2787,0)</x:f>
        <x:v>0</x:v>
      </x:c>
      <x:c r="N2787" s="24" t="str">
        <x:f>IF(J2787&gt;0,"미수",IF(AND(H2787&gt;0,I2787&gt;=H2787),"완납","미확인"))</x:f>
        <x:v>완납</x:v>
      </x:c>
      <x:c r="O2787" s="31" t="n">
        <x:v>23</x:v>
      </x:c>
    </x:row>
    <x:row r="2788" ht="17.25" customHeight="1">
      <x:c r="A2788" s="24" t="str">
        <x:v>PR-B-49더0163-202608</x:v>
      </x:c>
      <x:c r="B2788" s="24" t="str">
        <x:v>프라임구독</x:v>
      </x:c>
      <x:c r="C2788" s="24" t="str">
        <x:v>PR-C-49더0163-1-20230705-155</x:v>
      </x:c>
      <x:c r="D2788" s="24" t="str">
        <x:v>49더0163</x:v>
      </x:c>
      <x:c r="E2788" s="24" t="str">
        <x:v>김정웅</x:v>
      </x:c>
      <x:c r="F2788" s="24" t="str">
        <x:v>2026-08</x:v>
      </x:c>
      <x:c r="G2788" s="30" t="n">
        <x:v>46249</x:v>
      </x:c>
      <x:c r="H2788" s="32" t="n">
        <x:v>351000</x:v>
      </x:c>
      <x:c r="I2788" s="32"/>
      <x:c r="J2788" s="32" t="n">
        <x:v>2510000</x:v>
      </x:c>
      <x:c r="K2788" s="30"/>
      <x:c r="L2788" s="24" t="str"/>
      <x:c r="M2788" s="31" t="n">
        <x:f>IF(AND(N2788="미수",G2788&lt;&gt;"",TODAY()&gt;G2788),TODAY()-G2788,0)</x:f>
        <x:v>0</x:v>
      </x:c>
      <x:c r="N2788" s="24" t="str">
        <x:f>IF(J2788&gt;0,"미수",IF(AND(H2788&gt;0,I2788&gt;=H2788),"완납","미확인"))</x:f>
        <x:v>미수</x:v>
      </x:c>
      <x:c r="O2788" s="31" t="n">
        <x:v>24</x:v>
      </x:c>
    </x:row>
    <x:row r="2789" ht="17.25" customHeight="1">
      <x:c r="A2789" s="24" t="str">
        <x:v>PR-B-49더0163-202607</x:v>
      </x:c>
      <x:c r="B2789" s="24" t="str">
        <x:v>프라임구독</x:v>
      </x:c>
      <x:c r="C2789" s="24" t="str">
        <x:v>PR-C-49더0163-1-20230705-155</x:v>
      </x:c>
      <x:c r="D2789" s="24" t="str">
        <x:v>49더0163</x:v>
      </x:c>
      <x:c r="E2789" s="24" t="str">
        <x:v>김정웅</x:v>
      </x:c>
      <x:c r="F2789" s="24" t="str">
        <x:v>2026-07</x:v>
      </x:c>
      <x:c r="G2789" s="30" t="n">
        <x:v>46218</x:v>
      </x:c>
      <x:c r="H2789" s="32" t="n">
        <x:v>351000</x:v>
      </x:c>
      <x:c r="I2789" s="32" t="n">
        <x:v>351000</x:v>
      </x:c>
      <x:c r="J2789" s="32" t="n">
        <x:v>2159000</x:v>
      </x:c>
      <x:c r="K2789" s="30" t="n">
        <x:v>46218</x:v>
      </x:c>
      <x:c r="L2789" s="24" t="str">
        <x:v>입금</x:v>
      </x:c>
      <x:c r="M2789" s="31" t="n">
        <x:f>IF(AND(N2789="미수",G2789&lt;&gt;"",TODAY()&gt;G2789),TODAY()-G2789,0)</x:f>
        <x:v>31</x:v>
      </x:c>
      <x:c r="N2789" s="24" t="str">
        <x:f>IF(J2789&gt;0,"미수",IF(AND(H2789&gt;0,I2789&gt;=H2789),"완납","미확인"))</x:f>
        <x:v>미수</x:v>
      </x:c>
      <x:c r="O2789" s="31" t="n">
        <x:v>24</x:v>
      </x:c>
    </x:row>
    <x:row r="2790" ht="17.25" customHeight="1">
      <x:c r="A2790" s="24" t="str">
        <x:v>PR-B-49더0163-202606</x:v>
      </x:c>
      <x:c r="B2790" s="24" t="str">
        <x:v>프라임구독</x:v>
      </x:c>
      <x:c r="C2790" s="24" t="str">
        <x:v>PR-C-49더0163-1-20230705-155</x:v>
      </x:c>
      <x:c r="D2790" s="24" t="str">
        <x:v>49더0163</x:v>
      </x:c>
      <x:c r="E2790" s="24" t="str">
        <x:v>김정웅</x:v>
      </x:c>
      <x:c r="F2790" s="24" t="str">
        <x:v>2026-06</x:v>
      </x:c>
      <x:c r="G2790" s="30" t="n">
        <x:v>46188</x:v>
      </x:c>
      <x:c r="H2790" s="32" t="n">
        <x:v>351000</x:v>
      </x:c>
      <x:c r="I2790" s="32" t="n">
        <x:v>351000</x:v>
      </x:c>
      <x:c r="J2790" s="32" t="n">
        <x:v>2159000</x:v>
      </x:c>
      <x:c r="K2790" s="30" t="n">
        <x:v>46188</x:v>
      </x:c>
      <x:c r="L2790" s="24" t="str">
        <x:v>입금</x:v>
      </x:c>
      <x:c r="M2790" s="31" t="n">
        <x:f>IF(AND(N2790="미수",G2790&lt;&gt;"",TODAY()&gt;G2790),TODAY()-G2790,0)</x:f>
        <x:v>61</x:v>
      </x:c>
      <x:c r="N2790" s="24" t="str">
        <x:f>IF(J2790&gt;0,"미수",IF(AND(H2790&gt;0,I2790&gt;=H2790),"완납","미확인"))</x:f>
        <x:v>미수</x:v>
      </x:c>
      <x:c r="O2790" s="31" t="n">
        <x:v>24</x:v>
      </x:c>
    </x:row>
    <x:row r="2791" ht="17.25" customHeight="1">
      <x:c r="A2791" s="24" t="str">
        <x:v>PR-B-49더0163-202605</x:v>
      </x:c>
      <x:c r="B2791" s="24" t="str">
        <x:v>프라임구독</x:v>
      </x:c>
      <x:c r="C2791" s="24" t="str">
        <x:v>PR-C-49더0163-1-20230705-155</x:v>
      </x:c>
      <x:c r="D2791" s="24" t="str">
        <x:v>49더0163</x:v>
      </x:c>
      <x:c r="E2791" s="24" t="str">
        <x:v>김정웅</x:v>
      </x:c>
      <x:c r="F2791" s="24" t="str">
        <x:v>2026-05</x:v>
      </x:c>
      <x:c r="G2791" s="30" t="n">
        <x:v>46157</x:v>
      </x:c>
      <x:c r="H2791" s="32" t="n">
        <x:v>351000</x:v>
      </x:c>
      <x:c r="I2791" s="32"/>
      <x:c r="J2791" s="32" t="n">
        <x:v>2159000</x:v>
      </x:c>
      <x:c r="K2791" s="30"/>
      <x:c r="L2791" s="24" t="str"/>
      <x:c r="M2791" s="31" t="n">
        <x:f>IF(AND(N2791="미수",G2791&lt;&gt;"",TODAY()&gt;G2791),TODAY()-G2791,0)</x:f>
        <x:v>92</x:v>
      </x:c>
      <x:c r="N2791" s="24" t="str">
        <x:f>IF(J2791&gt;0,"미수",IF(AND(H2791&gt;0,I2791&gt;=H2791),"완납","미확인"))</x:f>
        <x:v>미수</x:v>
      </x:c>
      <x:c r="O2791" s="31" t="n">
        <x:v>24</x:v>
      </x:c>
    </x:row>
    <x:row r="2792" ht="17.25" customHeight="1">
      <x:c r="A2792" s="24" t="str">
        <x:v>PR-B-49더0163-202604</x:v>
      </x:c>
      <x:c r="B2792" s="24" t="str">
        <x:v>프라임구독</x:v>
      </x:c>
      <x:c r="C2792" s="24" t="str">
        <x:v>PR-C-49더0163-1-20230705-155</x:v>
      </x:c>
      <x:c r="D2792" s="24" t="str">
        <x:v>49더0163</x:v>
      </x:c>
      <x:c r="E2792" s="24" t="str">
        <x:v>김정웅</x:v>
      </x:c>
      <x:c r="F2792" s="24" t="str">
        <x:v>2026-04</x:v>
      </x:c>
      <x:c r="G2792" s="30" t="n">
        <x:v>46127</x:v>
      </x:c>
      <x:c r="H2792" s="32" t="n">
        <x:v>351000</x:v>
      </x:c>
      <x:c r="I2792" s="32"/>
      <x:c r="J2792" s="32" t="n">
        <x:v>1808000</x:v>
      </x:c>
      <x:c r="K2792" s="30"/>
      <x:c r="L2792" s="24" t="str"/>
      <x:c r="M2792" s="31" t="n">
        <x:f>IF(AND(N2792="미수",G2792&lt;&gt;"",TODAY()&gt;G2792),TODAY()-G2792,0)</x:f>
        <x:v>122</x:v>
      </x:c>
      <x:c r="N2792" s="24" t="str">
        <x:f>IF(J2792&gt;0,"미수",IF(AND(H2792&gt;0,I2792&gt;=H2792),"완납","미확인"))</x:f>
        <x:v>미수</x:v>
      </x:c>
      <x:c r="O2792" s="31" t="n">
        <x:v>24</x:v>
      </x:c>
    </x:row>
    <x:row r="2793" ht="17.25" customHeight="1">
      <x:c r="A2793" s="24" t="str">
        <x:v>PR-B-49더0163-202603</x:v>
      </x:c>
      <x:c r="B2793" s="24" t="str">
        <x:v>프라임구독</x:v>
      </x:c>
      <x:c r="C2793" s="24" t="str">
        <x:v>PR-C-49더0163-1-20230705-155</x:v>
      </x:c>
      <x:c r="D2793" s="24" t="str">
        <x:v>49더0163</x:v>
      </x:c>
      <x:c r="E2793" s="24" t="str">
        <x:v>김정웅</x:v>
      </x:c>
      <x:c r="F2793" s="24" t="str">
        <x:v>2026-03</x:v>
      </x:c>
      <x:c r="G2793" s="30" t="n">
        <x:v>46096</x:v>
      </x:c>
      <x:c r="H2793" s="32" t="n">
        <x:v>351000</x:v>
      </x:c>
      <x:c r="I2793" s="32" t="n">
        <x:v>351000</x:v>
      </x:c>
      <x:c r="J2793" s="32" t="n">
        <x:v>1457000</x:v>
      </x:c>
      <x:c r="K2793" s="30" t="n">
        <x:v>46096</x:v>
      </x:c>
      <x:c r="L2793" s="24" t="str">
        <x:v>입금</x:v>
      </x:c>
      <x:c r="M2793" s="31" t="n">
        <x:f>IF(AND(N2793="미수",G2793&lt;&gt;"",TODAY()&gt;G2793),TODAY()-G2793,0)</x:f>
        <x:v>153</x:v>
      </x:c>
      <x:c r="N2793" s="24" t="str">
        <x:f>IF(J2793&gt;0,"미수",IF(AND(H2793&gt;0,I2793&gt;=H2793),"완납","미확인"))</x:f>
        <x:v>미수</x:v>
      </x:c>
      <x:c r="O2793" s="31" t="n">
        <x:v>24</x:v>
      </x:c>
    </x:row>
    <x:row r="2794" ht="17.25" customHeight="1">
      <x:c r="A2794" s="24" t="str">
        <x:v>PR-B-49더0163-202602</x:v>
      </x:c>
      <x:c r="B2794" s="24" t="str">
        <x:v>프라임구독</x:v>
      </x:c>
      <x:c r="C2794" s="24" t="str">
        <x:v>PR-C-49더0163-1-20230705-155</x:v>
      </x:c>
      <x:c r="D2794" s="24" t="str">
        <x:v>49더0163</x:v>
      </x:c>
      <x:c r="E2794" s="24" t="str">
        <x:v>김정웅</x:v>
      </x:c>
      <x:c r="F2794" s="24" t="str">
        <x:v>2026-02</x:v>
      </x:c>
      <x:c r="G2794" s="30" t="n">
        <x:v>46068</x:v>
      </x:c>
      <x:c r="H2794" s="32" t="n">
        <x:v>351000</x:v>
      </x:c>
      <x:c r="I2794" s="32"/>
      <x:c r="J2794" s="32" t="n">
        <x:v>1457000</x:v>
      </x:c>
      <x:c r="K2794" s="30"/>
      <x:c r="L2794" s="24" t="str"/>
      <x:c r="M2794" s="31" t="n">
        <x:f>IF(AND(N2794="미수",G2794&lt;&gt;"",TODAY()&gt;G2794),TODAY()-G2794,0)</x:f>
        <x:v>181</x:v>
      </x:c>
      <x:c r="N2794" s="24" t="str">
        <x:f>IF(J2794&gt;0,"미수",IF(AND(H2794&gt;0,I2794&gt;=H2794),"완납","미확인"))</x:f>
        <x:v>미수</x:v>
      </x:c>
      <x:c r="O2794" s="31" t="n">
        <x:v>24</x:v>
      </x:c>
    </x:row>
    <x:row r="2795" ht="17.25" customHeight="1">
      <x:c r="A2795" s="24" t="str">
        <x:v>PR-B-49더0163-202601</x:v>
      </x:c>
      <x:c r="B2795" s="24" t="str">
        <x:v>프라임구독</x:v>
      </x:c>
      <x:c r="C2795" s="24" t="str">
        <x:v>PR-C-49더0163-1-20230705-155</x:v>
      </x:c>
      <x:c r="D2795" s="24" t="str">
        <x:v>49더0163</x:v>
      </x:c>
      <x:c r="E2795" s="24" t="str">
        <x:v>김정웅</x:v>
      </x:c>
      <x:c r="F2795" s="24" t="str">
        <x:v>2026-01</x:v>
      </x:c>
      <x:c r="G2795" s="30" t="n">
        <x:v>46037</x:v>
      </x:c>
      <x:c r="H2795" s="32" t="n">
        <x:v>351000</x:v>
      </x:c>
      <x:c r="I2795" s="32" t="n">
        <x:v>351000</x:v>
      </x:c>
      <x:c r="J2795" s="32" t="n">
        <x:v>1106000</x:v>
      </x:c>
      <x:c r="K2795" s="30" t="n">
        <x:v>46037</x:v>
      </x:c>
      <x:c r="L2795" s="24" t="str">
        <x:v>입금</x:v>
      </x:c>
      <x:c r="M2795" s="31" t="n">
        <x:f>IF(AND(N2795="미수",G2795&lt;&gt;"",TODAY()&gt;G2795),TODAY()-G2795,0)</x:f>
        <x:v>212</x:v>
      </x:c>
      <x:c r="N2795" s="24" t="str">
        <x:f>IF(J2795&gt;0,"미수",IF(AND(H2795&gt;0,I2795&gt;=H2795),"완납","미확인"))</x:f>
        <x:v>미수</x:v>
      </x:c>
      <x:c r="O2795" s="31" t="n">
        <x:v>24</x:v>
      </x:c>
    </x:row>
    <x:row r="2796" ht="17.25" customHeight="1">
      <x:c r="A2796" s="24" t="str">
        <x:v>PR-B-49더0163-202512</x:v>
      </x:c>
      <x:c r="B2796" s="24" t="str">
        <x:v>프라임구독</x:v>
      </x:c>
      <x:c r="C2796" s="24" t="str">
        <x:v>PR-C-49더0163-1-20230705-155</x:v>
      </x:c>
      <x:c r="D2796" s="24" t="str">
        <x:v>49더0163</x:v>
      </x:c>
      <x:c r="E2796" s="24" t="str">
        <x:v>김정웅</x:v>
      </x:c>
      <x:c r="F2796" s="24" t="str">
        <x:v>2025-12</x:v>
      </x:c>
      <x:c r="G2796" s="30" t="n">
        <x:v>46006</x:v>
      </x:c>
      <x:c r="H2796" s="32" t="n">
        <x:v>351000</x:v>
      </x:c>
      <x:c r="I2796" s="32" t="n">
        <x:v>351000</x:v>
      </x:c>
      <x:c r="J2796" s="32" t="n">
        <x:v>1106000</x:v>
      </x:c>
      <x:c r="K2796" s="30" t="n">
        <x:v>46006</x:v>
      </x:c>
      <x:c r="L2796" s="24" t="str">
        <x:v>입금</x:v>
      </x:c>
      <x:c r="M2796" s="31" t="n">
        <x:f>IF(AND(N2796="미수",G2796&lt;&gt;"",TODAY()&gt;G2796),TODAY()-G2796,0)</x:f>
        <x:v>243</x:v>
      </x:c>
      <x:c r="N2796" s="24" t="str">
        <x:f>IF(J2796&gt;0,"미수",IF(AND(H2796&gt;0,I2796&gt;=H2796),"완납","미확인"))</x:f>
        <x:v>미수</x:v>
      </x:c>
      <x:c r="O2796" s="31" t="n">
        <x:v>24</x:v>
      </x:c>
    </x:row>
    <x:row r="2797" ht="17.25" customHeight="1">
      <x:c r="A2797" s="24" t="str">
        <x:v>PR-B-49더0163-202511</x:v>
      </x:c>
      <x:c r="B2797" s="24" t="str">
        <x:v>프라임구독</x:v>
      </x:c>
      <x:c r="C2797" s="24" t="str">
        <x:v>PR-C-49더0163-1-20230705-155</x:v>
      </x:c>
      <x:c r="D2797" s="24" t="str">
        <x:v>49더0163</x:v>
      </x:c>
      <x:c r="E2797" s="24" t="str">
        <x:v>김정웅</x:v>
      </x:c>
      <x:c r="F2797" s="24" t="str">
        <x:v>2025-11</x:v>
      </x:c>
      <x:c r="G2797" s="30" t="n">
        <x:v>45976</x:v>
      </x:c>
      <x:c r="H2797" s="32" t="n">
        <x:v>351000</x:v>
      </x:c>
      <x:c r="I2797" s="32" t="n">
        <x:v>351000</x:v>
      </x:c>
      <x:c r="J2797" s="32" t="n">
        <x:v>1106000</x:v>
      </x:c>
      <x:c r="K2797" s="30" t="n">
        <x:v>45978</x:v>
      </x:c>
      <x:c r="L2797" s="24" t="str">
        <x:v>입금</x:v>
      </x:c>
      <x:c r="M2797" s="31" t="n">
        <x:f>IF(AND(N2797="미수",G2797&lt;&gt;"",TODAY()&gt;G2797),TODAY()-G2797,0)</x:f>
        <x:v>273</x:v>
      </x:c>
      <x:c r="N2797" s="24" t="str">
        <x:f>IF(J2797&gt;0,"미수",IF(AND(H2797&gt;0,I2797&gt;=H2797),"완납","미확인"))</x:f>
        <x:v>미수</x:v>
      </x:c>
      <x:c r="O2797" s="31" t="n">
        <x:v>24</x:v>
      </x:c>
    </x:row>
    <x:row r="2798" ht="17.25" customHeight="1">
      <x:c r="A2798" s="24" t="str">
        <x:v>PR-B-49더0163-202510</x:v>
      </x:c>
      <x:c r="B2798" s="24" t="str">
        <x:v>프라임구독</x:v>
      </x:c>
      <x:c r="C2798" s="24" t="str">
        <x:v>PR-C-49더0163-1-20230705-155</x:v>
      </x:c>
      <x:c r="D2798" s="24" t="str">
        <x:v>49더0163</x:v>
      </x:c>
      <x:c r="E2798" s="24" t="str">
        <x:v>김정웅</x:v>
      </x:c>
      <x:c r="F2798" s="24" t="str">
        <x:v>2025-10</x:v>
      </x:c>
      <x:c r="G2798" s="30" t="n">
        <x:v>45945</x:v>
      </x:c>
      <x:c r="H2798" s="32" t="n">
        <x:v>351000</x:v>
      </x:c>
      <x:c r="I2798" s="32" t="n">
        <x:v>351000</x:v>
      </x:c>
      <x:c r="J2798" s="32" t="n">
        <x:v>1106000</x:v>
      </x:c>
      <x:c r="K2798" s="30" t="n">
        <x:v>45945</x:v>
      </x:c>
      <x:c r="L2798" s="24" t="str">
        <x:v>입금</x:v>
      </x:c>
      <x:c r="M2798" s="31" t="n">
        <x:f>IF(AND(N2798="미수",G2798&lt;&gt;"",TODAY()&gt;G2798),TODAY()-G2798,0)</x:f>
        <x:v>304</x:v>
      </x:c>
      <x:c r="N2798" s="24" t="str">
        <x:f>IF(J2798&gt;0,"미수",IF(AND(H2798&gt;0,I2798&gt;=H2798),"완납","미확인"))</x:f>
        <x:v>미수</x:v>
      </x:c>
      <x:c r="O2798" s="31" t="n">
        <x:v>24</x:v>
      </x:c>
    </x:row>
    <x:row r="2799" ht="17.25" customHeight="1">
      <x:c r="A2799" s="24" t="str">
        <x:v>PR-B-49더0163-202509</x:v>
      </x:c>
      <x:c r="B2799" s="24" t="str">
        <x:v>프라임구독</x:v>
      </x:c>
      <x:c r="C2799" s="24" t="str">
        <x:v>PR-C-49더0163-1-20230705-155</x:v>
      </x:c>
      <x:c r="D2799" s="24" t="str">
        <x:v>49더0163</x:v>
      </x:c>
      <x:c r="E2799" s="24" t="str">
        <x:v>김정웅</x:v>
      </x:c>
      <x:c r="F2799" s="24" t="str">
        <x:v>2025-09</x:v>
      </x:c>
      <x:c r="G2799" s="30" t="n">
        <x:v>45915</x:v>
      </x:c>
      <x:c r="H2799" s="32" t="n">
        <x:v>351000</x:v>
      </x:c>
      <x:c r="I2799" s="32" t="n">
        <x:v>702000</x:v>
      </x:c>
      <x:c r="J2799" s="32" t="n">
        <x:v>1106000</x:v>
      </x:c>
      <x:c r="K2799" s="30" t="n">
        <x:v>45915</x:v>
      </x:c>
      <x:c r="L2799" s="24" t="str">
        <x:v>입금</x:v>
      </x:c>
      <x:c r="M2799" s="31" t="n">
        <x:f>IF(AND(N2799="미수",G2799&lt;&gt;"",TODAY()&gt;G2799),TODAY()-G2799,0)</x:f>
        <x:v>334</x:v>
      </x:c>
      <x:c r="N2799" s="24" t="str">
        <x:f>IF(J2799&gt;0,"미수",IF(AND(H2799&gt;0,I2799&gt;=H2799),"완납","미확인"))</x:f>
        <x:v>미수</x:v>
      </x:c>
      <x:c r="O2799" s="31" t="n">
        <x:v>24</x:v>
      </x:c>
    </x:row>
    <x:row r="2800" ht="17.25" customHeight="1">
      <x:c r="A2800" s="24" t="str">
        <x:v>PR-B-49더0163-202508</x:v>
      </x:c>
      <x:c r="B2800" s="24" t="str">
        <x:v>프라임구독</x:v>
      </x:c>
      <x:c r="C2800" s="24" t="str">
        <x:v>PR-C-49더0163-1-20230705-155</x:v>
      </x:c>
      <x:c r="D2800" s="24" t="str">
        <x:v>49더0163</x:v>
      </x:c>
      <x:c r="E2800" s="24" t="str">
        <x:v>김정웅</x:v>
      </x:c>
      <x:c r="F2800" s="24" t="str">
        <x:v>2025-08</x:v>
      </x:c>
      <x:c r="G2800" s="30" t="n">
        <x:v>45884</x:v>
      </x:c>
      <x:c r="H2800" s="32" t="n">
        <x:v>351000</x:v>
      </x:c>
      <x:c r="I2800" s="32"/>
      <x:c r="J2800" s="32" t="n">
        <x:v>1457000</x:v>
      </x:c>
      <x:c r="K2800" s="30"/>
      <x:c r="L2800" s="24" t="str"/>
      <x:c r="M2800" s="31" t="n">
        <x:f>IF(AND(N2800="미수",G2800&lt;&gt;"",TODAY()&gt;G2800),TODAY()-G2800,0)</x:f>
        <x:v>365</x:v>
      </x:c>
      <x:c r="N2800" s="24" t="str">
        <x:f>IF(J2800&gt;0,"미수",IF(AND(H2800&gt;0,I2800&gt;=H2800),"완납","미확인"))</x:f>
        <x:v>미수</x:v>
      </x:c>
      <x:c r="O2800" s="31" t="n">
        <x:v>24</x:v>
      </x:c>
    </x:row>
    <x:row r="2801" ht="17.25" customHeight="1">
      <x:c r="A2801" s="24" t="str">
        <x:v>PR-B-49더0163-202507</x:v>
      </x:c>
      <x:c r="B2801" s="24" t="str">
        <x:v>프라임구독</x:v>
      </x:c>
      <x:c r="C2801" s="24" t="str">
        <x:v>PR-C-49더0163-1-20230705-155</x:v>
      </x:c>
      <x:c r="D2801" s="24" t="str">
        <x:v>49더0163</x:v>
      </x:c>
      <x:c r="E2801" s="24" t="str">
        <x:v>김정웅</x:v>
      </x:c>
      <x:c r="F2801" s="24" t="str">
        <x:v>2025-07</x:v>
      </x:c>
      <x:c r="G2801" s="30" t="n">
        <x:v>45853</x:v>
      </x:c>
      <x:c r="H2801" s="32" t="n">
        <x:v>351000</x:v>
      </x:c>
      <x:c r="I2801" s="32" t="n">
        <x:v>1000000</x:v>
      </x:c>
      <x:c r="J2801" s="32" t="n">
        <x:v>1106000</x:v>
      </x:c>
      <x:c r="K2801" s="30" t="n">
        <x:v>45853</x:v>
      </x:c>
      <x:c r="L2801" s="24" t="str">
        <x:v>입금</x:v>
      </x:c>
      <x:c r="M2801" s="31" t="n">
        <x:f>IF(AND(N2801="미수",G2801&lt;&gt;"",TODAY()&gt;G2801),TODAY()-G2801,0)</x:f>
        <x:v>396</x:v>
      </x:c>
      <x:c r="N2801" s="24" t="str">
        <x:f>IF(J2801&gt;0,"미수",IF(AND(H2801&gt;0,I2801&gt;=H2801),"완납","미확인"))</x:f>
        <x:v>미수</x:v>
      </x:c>
      <x:c r="O2801" s="31" t="n">
        <x:v>24</x:v>
      </x:c>
    </x:row>
    <x:row r="2802" ht="17.25" customHeight="1">
      <x:c r="A2802" s="24" t="str">
        <x:v>PR-B-49더0163-202506</x:v>
      </x:c>
      <x:c r="B2802" s="24" t="str">
        <x:v>프라임구독</x:v>
      </x:c>
      <x:c r="C2802" s="24" t="str">
        <x:v>PR-C-49더0163-1-20230705-155</x:v>
      </x:c>
      <x:c r="D2802" s="24" t="str">
        <x:v>49더0163</x:v>
      </x:c>
      <x:c r="E2802" s="24" t="str">
        <x:v>김정웅</x:v>
      </x:c>
      <x:c r="F2802" s="24" t="str">
        <x:v>2025-06</x:v>
      </x:c>
      <x:c r="G2802" s="30" t="n">
        <x:v>45823</x:v>
      </x:c>
      <x:c r="H2802" s="32" t="n">
        <x:v>351000</x:v>
      </x:c>
      <x:c r="I2802" s="32"/>
      <x:c r="J2802" s="32" t="n">
        <x:v>1755000</x:v>
      </x:c>
      <x:c r="K2802" s="30"/>
      <x:c r="L2802" s="24" t="str"/>
      <x:c r="M2802" s="31" t="n">
        <x:f>IF(AND(N2802="미수",G2802&lt;&gt;"",TODAY()&gt;G2802),TODAY()-G2802,0)</x:f>
        <x:v>426</x:v>
      </x:c>
      <x:c r="N2802" s="24" t="str">
        <x:f>IF(J2802&gt;0,"미수",IF(AND(H2802&gt;0,I2802&gt;=H2802),"완납","미확인"))</x:f>
        <x:v>미수</x:v>
      </x:c>
      <x:c r="O2802" s="31" t="n">
        <x:v>24</x:v>
      </x:c>
    </x:row>
    <x:row r="2803" ht="17.25" customHeight="1">
      <x:c r="A2803" s="24" t="str">
        <x:v>PR-B-49더0163-202505</x:v>
      </x:c>
      <x:c r="B2803" s="24" t="str">
        <x:v>프라임구독</x:v>
      </x:c>
      <x:c r="C2803" s="24" t="str">
        <x:v>PR-C-49더0163-1-20230705-155</x:v>
      </x:c>
      <x:c r="D2803" s="24" t="str">
        <x:v>49더0163</x:v>
      </x:c>
      <x:c r="E2803" s="24" t="str">
        <x:v>김정웅</x:v>
      </x:c>
      <x:c r="F2803" s="24" t="str">
        <x:v>2025-05</x:v>
      </x:c>
      <x:c r="G2803" s="30" t="n">
        <x:v>45792</x:v>
      </x:c>
      <x:c r="H2803" s="32" t="n">
        <x:v>351000</x:v>
      </x:c>
      <x:c r="I2803" s="32"/>
      <x:c r="J2803" s="32" t="n">
        <x:v>1404000</x:v>
      </x:c>
      <x:c r="K2803" s="30"/>
      <x:c r="L2803" s="24" t="str"/>
      <x:c r="M2803" s="31" t="n">
        <x:f>IF(AND(N2803="미수",G2803&lt;&gt;"",TODAY()&gt;G2803),TODAY()-G2803,0)</x:f>
        <x:v>457</x:v>
      </x:c>
      <x:c r="N2803" s="24" t="str">
        <x:f>IF(J2803&gt;0,"미수",IF(AND(H2803&gt;0,I2803&gt;=H2803),"완납","미확인"))</x:f>
        <x:v>미수</x:v>
      </x:c>
      <x:c r="O2803" s="31" t="n">
        <x:v>24</x:v>
      </x:c>
    </x:row>
    <x:row r="2804" ht="17.25" customHeight="1">
      <x:c r="A2804" s="24" t="str">
        <x:v>PR-B-49더0163-202504</x:v>
      </x:c>
      <x:c r="B2804" s="24" t="str">
        <x:v>프라임구독</x:v>
      </x:c>
      <x:c r="C2804" s="24" t="str">
        <x:v>PR-C-49더0163-1-20230705-155</x:v>
      </x:c>
      <x:c r="D2804" s="24" t="str">
        <x:v>49더0163</x:v>
      </x:c>
      <x:c r="E2804" s="24" t="str">
        <x:v>김정웅</x:v>
      </x:c>
      <x:c r="F2804" s="24" t="str">
        <x:v>2025-04</x:v>
      </x:c>
      <x:c r="G2804" s="30" t="n">
        <x:v>45762</x:v>
      </x:c>
      <x:c r="H2804" s="32" t="n">
        <x:v>351000</x:v>
      </x:c>
      <x:c r="I2804" s="32"/>
      <x:c r="J2804" s="32" t="n">
        <x:v>1053000</x:v>
      </x:c>
      <x:c r="K2804" s="30"/>
      <x:c r="L2804" s="24" t="str"/>
      <x:c r="M2804" s="31" t="n">
        <x:f>IF(AND(N2804="미수",G2804&lt;&gt;"",TODAY()&gt;G2804),TODAY()-G2804,0)</x:f>
        <x:v>487</x:v>
      </x:c>
      <x:c r="N2804" s="24" t="str">
        <x:f>IF(J2804&gt;0,"미수",IF(AND(H2804&gt;0,I2804&gt;=H2804),"완납","미확인"))</x:f>
        <x:v>미수</x:v>
      </x:c>
      <x:c r="O2804" s="31" t="n">
        <x:v>24</x:v>
      </x:c>
    </x:row>
    <x:row r="2805" ht="17.25" customHeight="1">
      <x:c r="A2805" s="24" t="str">
        <x:v>PR-B-49더0163-202503</x:v>
      </x:c>
      <x:c r="B2805" s="24" t="str">
        <x:v>프라임구독</x:v>
      </x:c>
      <x:c r="C2805" s="24" t="str">
        <x:v>PR-C-49더0163-1-20230705-155</x:v>
      </x:c>
      <x:c r="D2805" s="24" t="str">
        <x:v>49더0163</x:v>
      </x:c>
      <x:c r="E2805" s="24" t="str">
        <x:v>김정웅</x:v>
      </x:c>
      <x:c r="F2805" s="24" t="str">
        <x:v>2025-03</x:v>
      </x:c>
      <x:c r="G2805" s="30" t="n">
        <x:v>45731</x:v>
      </x:c>
      <x:c r="H2805" s="32" t="n">
        <x:v>351000</x:v>
      </x:c>
      <x:c r="I2805" s="32"/>
      <x:c r="J2805" s="32" t="n">
        <x:v>702000</x:v>
      </x:c>
      <x:c r="K2805" s="30"/>
      <x:c r="L2805" s="24" t="str"/>
      <x:c r="M2805" s="31" t="n">
        <x:f>IF(AND(N2805="미수",G2805&lt;&gt;"",TODAY()&gt;G2805),TODAY()-G2805,0)</x:f>
        <x:v>518</x:v>
      </x:c>
      <x:c r="N2805" s="24" t="str">
        <x:f>IF(J2805&gt;0,"미수",IF(AND(H2805&gt;0,I2805&gt;=H2805),"완납","미확인"))</x:f>
        <x:v>미수</x:v>
      </x:c>
      <x:c r="O2805" s="31" t="n">
        <x:v>24</x:v>
      </x:c>
    </x:row>
    <x:row r="2806" ht="17.25" customHeight="1">
      <x:c r="A2806" s="24" t="str">
        <x:v>PR-B-49더0163-202502</x:v>
      </x:c>
      <x:c r="B2806" s="24" t="str">
        <x:v>프라임구독</x:v>
      </x:c>
      <x:c r="C2806" s="24" t="str">
        <x:v>PR-C-49더0163-1-20230705-155</x:v>
      </x:c>
      <x:c r="D2806" s="24" t="str">
        <x:v>49더0163</x:v>
      </x:c>
      <x:c r="E2806" s="24" t="str">
        <x:v>김정웅</x:v>
      </x:c>
      <x:c r="F2806" s="24" t="str">
        <x:v>2025-02</x:v>
      </x:c>
      <x:c r="G2806" s="30" t="n">
        <x:v>45703</x:v>
      </x:c>
      <x:c r="H2806" s="32" t="n">
        <x:v>351000</x:v>
      </x:c>
      <x:c r="I2806" s="32"/>
      <x:c r="J2806" s="32" t="n">
        <x:v>351000</x:v>
      </x:c>
      <x:c r="K2806" s="30"/>
      <x:c r="L2806" s="24" t="str"/>
      <x:c r="M2806" s="31" t="n">
        <x:f>IF(AND(N2806="미수",G2806&lt;&gt;"",TODAY()&gt;G2806),TODAY()-G2806,0)</x:f>
        <x:v>546</x:v>
      </x:c>
      <x:c r="N2806" s="24" t="str">
        <x:f>IF(J2806&gt;0,"미수",IF(AND(H2806&gt;0,I2806&gt;=H2806),"완납","미확인"))</x:f>
        <x:v>미수</x:v>
      </x:c>
      <x:c r="O2806" s="31" t="n">
        <x:v>24</x:v>
      </x:c>
    </x:row>
    <x:row r="2807" ht="17.25" customHeight="1">
      <x:c r="A2807" s="24" t="str">
        <x:v>PR-B-49더0163-202501</x:v>
      </x:c>
      <x:c r="B2807" s="24" t="str">
        <x:v>프라임구독</x:v>
      </x:c>
      <x:c r="C2807" s="24" t="str">
        <x:v>PR-C-49더0163-1-20230705-155</x:v>
      </x:c>
      <x:c r="D2807" s="24" t="str">
        <x:v>49더0163</x:v>
      </x:c>
      <x:c r="E2807" s="24" t="str">
        <x:v>김정웅</x:v>
      </x:c>
      <x:c r="F2807" s="24" t="str">
        <x:v>2025-01</x:v>
      </x:c>
      <x:c r="G2807" s="30" t="n">
        <x:v>45672</x:v>
      </x:c>
      <x:c r="H2807" s="32" t="n">
        <x:v>351000</x:v>
      </x:c>
      <x:c r="I2807" s="32" t="n">
        <x:v>351000</x:v>
      </x:c>
      <x:c r="J2807" s="32" t="n">
        <x:v>0</x:v>
      </x:c>
      <x:c r="K2807" s="30" t="n">
        <x:v>45673</x:v>
      </x:c>
      <x:c r="L2807" s="24" t="str">
        <x:v>입금</x:v>
      </x:c>
      <x:c r="M2807" s="31" t="n">
        <x:f>IF(AND(N2807="미수",G2807&lt;&gt;"",TODAY()&gt;G2807),TODAY()-G2807,0)</x:f>
        <x:v>0</x:v>
      </x:c>
      <x:c r="N2807" s="24" t="str">
        <x:f>IF(J2807&gt;0,"미수",IF(AND(H2807&gt;0,I2807&gt;=H2807),"완납","미확인"))</x:f>
        <x:v>완납</x:v>
      </x:c>
      <x:c r="O2807" s="31" t="n">
        <x:v>24</x:v>
      </x:c>
    </x:row>
    <x:row r="2808" ht="17.25" customHeight="1">
      <x:c r="A2808" s="24" t="str">
        <x:v>PR-B-49더0163-202412</x:v>
      </x:c>
      <x:c r="B2808" s="24" t="str">
        <x:v>프라임구독</x:v>
      </x:c>
      <x:c r="C2808" s="24" t="str">
        <x:v>PR-C-49더0163-1-20230705-155</x:v>
      </x:c>
      <x:c r="D2808" s="24" t="str">
        <x:v>49더0163</x:v>
      </x:c>
      <x:c r="E2808" s="24" t="str">
        <x:v>김정웅</x:v>
      </x:c>
      <x:c r="F2808" s="24" t="str">
        <x:v>2024-12</x:v>
      </x:c>
      <x:c r="G2808" s="30" t="n">
        <x:v>45641</x:v>
      </x:c>
      <x:c r="H2808" s="32" t="n">
        <x:v>351000</x:v>
      </x:c>
      <x:c r="I2808" s="32" t="n">
        <x:v>351000</x:v>
      </x:c>
      <x:c r="J2808" s="32" t="n">
        <x:v>0</x:v>
      </x:c>
      <x:c r="K2808" s="30" t="n">
        <x:v>45673</x:v>
      </x:c>
      <x:c r="L2808" s="24" t="str">
        <x:v>입금</x:v>
      </x:c>
      <x:c r="M2808" s="31" t="n">
        <x:f>IF(AND(N2808="미수",G2808&lt;&gt;"",TODAY()&gt;G2808),TODAY()-G2808,0)</x:f>
        <x:v>0</x:v>
      </x:c>
      <x:c r="N2808" s="24" t="str">
        <x:f>IF(J2808&gt;0,"미수",IF(AND(H2808&gt;0,I2808&gt;=H2808),"완납","미확인"))</x:f>
        <x:v>완납</x:v>
      </x:c>
      <x:c r="O2808" s="31" t="n">
        <x:v>24</x:v>
      </x:c>
    </x:row>
    <x:row r="2809" ht="17.25" customHeight="1">
      <x:c r="A2809" s="24" t="str">
        <x:v>PR-B-49더0163-202411</x:v>
      </x:c>
      <x:c r="B2809" s="24" t="str">
        <x:v>프라임구독</x:v>
      </x:c>
      <x:c r="C2809" s="24" t="str">
        <x:v>PR-C-49더0163-1-20230705-155</x:v>
      </x:c>
      <x:c r="D2809" s="24" t="str">
        <x:v>49더0163</x:v>
      </x:c>
      <x:c r="E2809" s="24" t="str">
        <x:v>김정웅</x:v>
      </x:c>
      <x:c r="F2809" s="24" t="str">
        <x:v>2024-11</x:v>
      </x:c>
      <x:c r="G2809" s="30" t="n">
        <x:v>45611</x:v>
      </x:c>
      <x:c r="H2809" s="32" t="n">
        <x:v>351000</x:v>
      </x:c>
      <x:c r="I2809" s="32" t="n">
        <x:v>351000</x:v>
      </x:c>
      <x:c r="J2809" s="32" t="n">
        <x:v>0</x:v>
      </x:c>
      <x:c r="K2809" s="30" t="n">
        <x:v>45611</x:v>
      </x:c>
      <x:c r="L2809" s="24" t="str">
        <x:v>입금</x:v>
      </x:c>
      <x:c r="M2809" s="31" t="n">
        <x:f>IF(AND(N2809="미수",G2809&lt;&gt;"",TODAY()&gt;G2809),TODAY()-G2809,0)</x:f>
        <x:v>0</x:v>
      </x:c>
      <x:c r="N2809" s="24" t="str">
        <x:f>IF(J2809&gt;0,"미수",IF(AND(H2809&gt;0,I2809&gt;=H2809),"완납","미확인"))</x:f>
        <x:v>완납</x:v>
      </x:c>
      <x:c r="O2809" s="31" t="n">
        <x:v>24</x:v>
      </x:c>
    </x:row>
    <x:row r="2810" ht="17.25" customHeight="1">
      <x:c r="A2810" s="24" t="str">
        <x:v>PR-B-49더0163-202410</x:v>
      </x:c>
      <x:c r="B2810" s="24" t="str">
        <x:v>프라임구독</x:v>
      </x:c>
      <x:c r="C2810" s="24" t="str">
        <x:v>PR-C-49더0163-1-20230705-155</x:v>
      </x:c>
      <x:c r="D2810" s="24" t="str">
        <x:v>49더0163</x:v>
      </x:c>
      <x:c r="E2810" s="24" t="str">
        <x:v>김정웅</x:v>
      </x:c>
      <x:c r="F2810" s="24" t="str">
        <x:v>2024-10</x:v>
      </x:c>
      <x:c r="G2810" s="30" t="n">
        <x:v>45580</x:v>
      </x:c>
      <x:c r="H2810" s="32" t="n">
        <x:v>351000</x:v>
      </x:c>
      <x:c r="I2810" s="32" t="n">
        <x:v>351000</x:v>
      </x:c>
      <x:c r="J2810" s="32" t="n">
        <x:v>0</x:v>
      </x:c>
      <x:c r="K2810" s="30" t="n">
        <x:v>45611</x:v>
      </x:c>
      <x:c r="L2810" s="24" t="str">
        <x:v>입금</x:v>
      </x:c>
      <x:c r="M2810" s="31" t="n">
        <x:f>IF(AND(N2810="미수",G2810&lt;&gt;"",TODAY()&gt;G2810),TODAY()-G2810,0)</x:f>
        <x:v>0</x:v>
      </x:c>
      <x:c r="N2810" s="24" t="str">
        <x:f>IF(J2810&gt;0,"미수",IF(AND(H2810&gt;0,I2810&gt;=H2810),"완납","미확인"))</x:f>
        <x:v>완납</x:v>
      </x:c>
      <x:c r="O2810" s="31" t="n">
        <x:v>24</x:v>
      </x:c>
    </x:row>
    <x:row r="2811" ht="17.25" customHeight="1">
      <x:c r="A2811" s="24" t="str">
        <x:v>PR-B-49더0163-202409</x:v>
      </x:c>
      <x:c r="B2811" s="24" t="str">
        <x:v>프라임구독</x:v>
      </x:c>
      <x:c r="C2811" s="24" t="str">
        <x:v>PR-C-49더0163-1-20230705-155</x:v>
      </x:c>
      <x:c r="D2811" s="24" t="str">
        <x:v>49더0163</x:v>
      </x:c>
      <x:c r="E2811" s="24" t="str">
        <x:v>김정웅</x:v>
      </x:c>
      <x:c r="F2811" s="24" t="str">
        <x:v>2024-09</x:v>
      </x:c>
      <x:c r="G2811" s="30" t="n">
        <x:v>45550</x:v>
      </x:c>
      <x:c r="H2811" s="32" t="n">
        <x:v>351000</x:v>
      </x:c>
      <x:c r="I2811" s="32" t="n">
        <x:v>351000</x:v>
      </x:c>
      <x:c r="J2811" s="32" t="n">
        <x:v>0</x:v>
      </x:c>
      <x:c r="K2811" s="30" t="n">
        <x:v>45580</x:v>
      </x:c>
      <x:c r="L2811" s="24" t="str">
        <x:v>입금</x:v>
      </x:c>
      <x:c r="M2811" s="31" t="n">
        <x:f>IF(AND(N2811="미수",G2811&lt;&gt;"",TODAY()&gt;G2811),TODAY()-G2811,0)</x:f>
        <x:v>0</x:v>
      </x:c>
      <x:c r="N2811" s="24" t="str">
        <x:f>IF(J2811&gt;0,"미수",IF(AND(H2811&gt;0,I2811&gt;=H2811),"완납","미확인"))</x:f>
        <x:v>완납</x:v>
      </x:c>
      <x:c r="O2811" s="31" t="n">
        <x:v>24</x:v>
      </x:c>
    </x:row>
    <x:row r="2812" ht="17.25" customHeight="1">
      <x:c r="A2812" s="24" t="str">
        <x:v>PR-B-49더0163-202408</x:v>
      </x:c>
      <x:c r="B2812" s="24" t="str">
        <x:v>프라임구독</x:v>
      </x:c>
      <x:c r="C2812" s="24" t="str">
        <x:v>PR-C-49더0163-1-20230705-155</x:v>
      </x:c>
      <x:c r="D2812" s="24" t="str">
        <x:v>49더0163</x:v>
      </x:c>
      <x:c r="E2812" s="24" t="str">
        <x:v>김정웅</x:v>
      </x:c>
      <x:c r="F2812" s="24" t="str">
        <x:v>2024-08</x:v>
      </x:c>
      <x:c r="G2812" s="30" t="n">
        <x:v>45519</x:v>
      </x:c>
      <x:c r="H2812" s="32" t="n">
        <x:v>351000</x:v>
      </x:c>
      <x:c r="I2812" s="32" t="n">
        <x:v>351000</x:v>
      </x:c>
      <x:c r="J2812" s="32" t="n">
        <x:v>0</x:v>
      </x:c>
      <x:c r="K2812" s="30" t="n">
        <x:v>45545</x:v>
      </x:c>
      <x:c r="L2812" s="24" t="str">
        <x:v>입금+카드</x:v>
      </x:c>
      <x:c r="M2812" s="31" t="n">
        <x:f>IF(AND(N2812="미수",G2812&lt;&gt;"",TODAY()&gt;G2812),TODAY()-G2812,0)</x:f>
        <x:v>0</x:v>
      </x:c>
      <x:c r="N2812" s="24" t="str">
        <x:f>IF(J2812&gt;0,"미수",IF(AND(H2812&gt;0,I2812&gt;=H2812),"완납","미확인"))</x:f>
        <x:v>완납</x:v>
      </x:c>
      <x:c r="O2812" s="31" t="n">
        <x:v>24</x:v>
      </x:c>
    </x:row>
    <x:row r="2813" ht="17.25" customHeight="1">
      <x:c r="A2813" s="24" t="str">
        <x:v>PR-B-49더0163-202407</x:v>
      </x:c>
      <x:c r="B2813" s="24" t="str">
        <x:v>프라임구독</x:v>
      </x:c>
      <x:c r="C2813" s="24" t="str">
        <x:v>PR-C-49더0163-1-20230705-155</x:v>
      </x:c>
      <x:c r="D2813" s="24" t="str">
        <x:v>49더0163</x:v>
      </x:c>
      <x:c r="E2813" s="24" t="str">
        <x:v>김정웅</x:v>
      </x:c>
      <x:c r="F2813" s="24" t="str">
        <x:v>2024-07</x:v>
      </x:c>
      <x:c r="G2813" s="30" t="n">
        <x:v>45488</x:v>
      </x:c>
      <x:c r="H2813" s="32" t="n">
        <x:v>351000</x:v>
      </x:c>
      <x:c r="I2813" s="32" t="n">
        <x:v>351000</x:v>
      </x:c>
      <x:c r="J2813" s="32" t="n">
        <x:v>0</x:v>
      </x:c>
      <x:c r="K2813" s="30" t="n">
        <x:v>45492</x:v>
      </x:c>
      <x:c r="L2813" s="24" t="str"/>
      <x:c r="M2813" s="31" t="n">
        <x:f>IF(AND(N2813="미수",G2813&lt;&gt;"",TODAY()&gt;G2813),TODAY()-G2813,0)</x:f>
        <x:v>0</x:v>
      </x:c>
      <x:c r="N2813" s="24" t="str">
        <x:f>IF(J2813&gt;0,"미수",IF(AND(H2813&gt;0,I2813&gt;=H2813),"완납","미확인"))</x:f>
        <x:v>완납</x:v>
      </x:c>
      <x:c r="O2813" s="31" t="n">
        <x:v>24</x:v>
      </x:c>
    </x:row>
    <x:row r="2814" ht="17.25" customHeight="1">
      <x:c r="A2814" s="24" t="str">
        <x:v>PR-B-49더0163-202406</x:v>
      </x:c>
      <x:c r="B2814" s="24" t="str">
        <x:v>프라임구독</x:v>
      </x:c>
      <x:c r="C2814" s="24" t="str">
        <x:v>PR-C-49더0163-1-20230705-155</x:v>
      </x:c>
      <x:c r="D2814" s="24" t="str">
        <x:v>49더0163</x:v>
      </x:c>
      <x:c r="E2814" s="24" t="str">
        <x:v>김정웅</x:v>
      </x:c>
      <x:c r="F2814" s="24" t="str">
        <x:v>2024-06</x:v>
      </x:c>
      <x:c r="G2814" s="30" t="n">
        <x:v>45458</x:v>
      </x:c>
      <x:c r="H2814" s="32" t="n">
        <x:v>351000</x:v>
      </x:c>
      <x:c r="I2814" s="32" t="n">
        <x:v>351000</x:v>
      </x:c>
      <x:c r="J2814" s="32" t="n">
        <x:v>0</x:v>
      </x:c>
      <x:c r="K2814" s="30" t="n">
        <x:v>45464</x:v>
      </x:c>
      <x:c r="L2814" s="24" t="str"/>
      <x:c r="M2814" s="31" t="n">
        <x:f>IF(AND(N2814="미수",G2814&lt;&gt;"",TODAY()&gt;G2814),TODAY()-G2814,0)</x:f>
        <x:v>0</x:v>
      </x:c>
      <x:c r="N2814" s="24" t="str">
        <x:f>IF(J2814&gt;0,"미수",IF(AND(H2814&gt;0,I2814&gt;=H2814),"완납","미확인"))</x:f>
        <x:v>완납</x:v>
      </x:c>
      <x:c r="O2814" s="31" t="n">
        <x:v>24</x:v>
      </x:c>
    </x:row>
    <x:row r="2815" ht="17.25" customHeight="1">
      <x:c r="A2815" s="24" t="str">
        <x:v>PR-B-49더0163-202405</x:v>
      </x:c>
      <x:c r="B2815" s="24" t="str">
        <x:v>프라임구독</x:v>
      </x:c>
      <x:c r="C2815" s="24" t="str">
        <x:v>PR-C-49더0163-1-20230705-155</x:v>
      </x:c>
      <x:c r="D2815" s="24" t="str">
        <x:v>49더0163</x:v>
      </x:c>
      <x:c r="E2815" s="24" t="str">
        <x:v>김정웅</x:v>
      </x:c>
      <x:c r="F2815" s="24" t="str">
        <x:v>2024-05</x:v>
      </x:c>
      <x:c r="G2815" s="30" t="n">
        <x:v>45427</x:v>
      </x:c>
      <x:c r="H2815" s="32" t="n">
        <x:v>351000</x:v>
      </x:c>
      <x:c r="I2815" s="32" t="n">
        <x:v>351000</x:v>
      </x:c>
      <x:c r="J2815" s="32" t="n">
        <x:v>0</x:v>
      </x:c>
      <x:c r="K2815" s="30" t="n">
        <x:v>45435</x:v>
      </x:c>
      <x:c r="L2815" s="24" t="str"/>
      <x:c r="M2815" s="31" t="n">
        <x:f>IF(AND(N2815="미수",G2815&lt;&gt;"",TODAY()&gt;G2815),TODAY()-G2815,0)</x:f>
        <x:v>0</x:v>
      </x:c>
      <x:c r="N2815" s="24" t="str">
        <x:f>IF(J2815&gt;0,"미수",IF(AND(H2815&gt;0,I2815&gt;=H2815),"완납","미확인"))</x:f>
        <x:v>완납</x:v>
      </x:c>
      <x:c r="O2815" s="31" t="n">
        <x:v>24</x:v>
      </x:c>
    </x:row>
    <x:row r="2816" ht="17.25" customHeight="1">
      <x:c r="A2816" s="24" t="str">
        <x:v>PR-B-35조0980-202608</x:v>
      </x:c>
      <x:c r="B2816" s="24" t="str">
        <x:v>프라임구독</x:v>
      </x:c>
      <x:c r="C2816" s="24" t="str">
        <x:v>PR-C-35조0980-1-20230811-124</x:v>
      </x:c>
      <x:c r="D2816" s="24" t="str">
        <x:v>35조0980</x:v>
      </x:c>
      <x:c r="E2816" s="24" t="str">
        <x:v>김진성1</x:v>
      </x:c>
      <x:c r="F2816" s="24" t="str">
        <x:v>2026-08</x:v>
      </x:c>
      <x:c r="G2816" s="30" t="n">
        <x:v>46254</x:v>
      </x:c>
      <x:c r="H2816" s="32" t="n">
        <x:v>856000</x:v>
      </x:c>
      <x:c r="I2816" s="32"/>
      <x:c r="J2816" s="32" t="n">
        <x:v>856000</x:v>
      </x:c>
      <x:c r="K2816" s="30"/>
      <x:c r="L2816" s="24" t="str"/>
      <x:c r="M2816" s="31" t="n">
        <x:f>IF(AND(N2816="미수",G2816&lt;&gt;"",TODAY()&gt;G2816),TODAY()-G2816,0)</x:f>
        <x:v>0</x:v>
      </x:c>
      <x:c r="N2816" s="24" t="str">
        <x:f>IF(J2816&gt;0,"미수",IF(AND(H2816&gt;0,I2816&gt;=H2816),"완납","미확인"))</x:f>
        <x:v>미수</x:v>
      </x:c>
      <x:c r="O2816" s="31" t="n">
        <x:v>25</x:v>
      </x:c>
    </x:row>
    <x:row r="2817" ht="17.25" customHeight="1">
      <x:c r="A2817" s="24" t="str">
        <x:v>PR-B-35조0980-202607</x:v>
      </x:c>
      <x:c r="B2817" s="24" t="str">
        <x:v>프라임구독</x:v>
      </x:c>
      <x:c r="C2817" s="24" t="str">
        <x:v>PR-C-35조0980-1-20230811-124</x:v>
      </x:c>
      <x:c r="D2817" s="24" t="str">
        <x:v>35조0980</x:v>
      </x:c>
      <x:c r="E2817" s="24" t="str">
        <x:v>김진성1</x:v>
      </x:c>
      <x:c r="F2817" s="24" t="str">
        <x:v>2026-07</x:v>
      </x:c>
      <x:c r="G2817" s="30" t="n">
        <x:v>46223</x:v>
      </x:c>
      <x:c r="H2817" s="32" t="n">
        <x:v>856000</x:v>
      </x:c>
      <x:c r="I2817" s="32" t="n">
        <x:v>856000</x:v>
      </x:c>
      <x:c r="J2817" s="32" t="n">
        <x:v>0</x:v>
      </x:c>
      <x:c r="K2817" s="30" t="n">
        <x:v>46221</x:v>
      </x:c>
      <x:c r="L2817" s="24" t="str">
        <x:v>입금</x:v>
      </x:c>
      <x:c r="M2817" s="31" t="n">
        <x:f>IF(AND(N2817="미수",G2817&lt;&gt;"",TODAY()&gt;G2817),TODAY()-G2817,0)</x:f>
        <x:v>0</x:v>
      </x:c>
      <x:c r="N2817" s="24" t="str">
        <x:f>IF(J2817&gt;0,"미수",IF(AND(H2817&gt;0,I2817&gt;=H2817),"완납","미확인"))</x:f>
        <x:v>완납</x:v>
      </x:c>
      <x:c r="O2817" s="31" t="n">
        <x:v>25</x:v>
      </x:c>
    </x:row>
    <x:row r="2818" ht="17.25" customHeight="1">
      <x:c r="A2818" s="24" t="str">
        <x:v>PR-B-35조0980-202606</x:v>
      </x:c>
      <x:c r="B2818" s="24" t="str">
        <x:v>프라임구독</x:v>
      </x:c>
      <x:c r="C2818" s="24" t="str">
        <x:v>PR-C-35조0980-1-20230811-124</x:v>
      </x:c>
      <x:c r="D2818" s="24" t="str">
        <x:v>35조0980</x:v>
      </x:c>
      <x:c r="E2818" s="24" t="str">
        <x:v>김진성1</x:v>
      </x:c>
      <x:c r="F2818" s="24" t="str">
        <x:v>2026-06</x:v>
      </x:c>
      <x:c r="G2818" s="30" t="n">
        <x:v>46193</x:v>
      </x:c>
      <x:c r="H2818" s="32" t="n">
        <x:v>856000</x:v>
      </x:c>
      <x:c r="I2818" s="32" t="n">
        <x:v>856000</x:v>
      </x:c>
      <x:c r="J2818" s="32" t="n">
        <x:v>0</x:v>
      </x:c>
      <x:c r="K2818" s="30" t="n">
        <x:v>46194</x:v>
      </x:c>
      <x:c r="L2818" s="24" t="str">
        <x:v>입금</x:v>
      </x:c>
      <x:c r="M2818" s="31" t="n">
        <x:f>IF(AND(N2818="미수",G2818&lt;&gt;"",TODAY()&gt;G2818),TODAY()-G2818,0)</x:f>
        <x:v>0</x:v>
      </x:c>
      <x:c r="N2818" s="24" t="str">
        <x:f>IF(J2818&gt;0,"미수",IF(AND(H2818&gt;0,I2818&gt;=H2818),"완납","미확인"))</x:f>
        <x:v>완납</x:v>
      </x:c>
      <x:c r="O2818" s="31" t="n">
        <x:v>25</x:v>
      </x:c>
    </x:row>
    <x:row r="2819" ht="17.25" customHeight="1">
      <x:c r="A2819" s="24" t="str">
        <x:v>PR-B-35조0980-202605</x:v>
      </x:c>
      <x:c r="B2819" s="24" t="str">
        <x:v>프라임구독</x:v>
      </x:c>
      <x:c r="C2819" s="24" t="str">
        <x:v>PR-C-35조0980-1-20230811-124</x:v>
      </x:c>
      <x:c r="D2819" s="24" t="str">
        <x:v>35조0980</x:v>
      </x:c>
      <x:c r="E2819" s="24" t="str">
        <x:v>김진성1</x:v>
      </x:c>
      <x:c r="F2819" s="24" t="str">
        <x:v>2026-05</x:v>
      </x:c>
      <x:c r="G2819" s="30" t="n">
        <x:v>46162</x:v>
      </x:c>
      <x:c r="H2819" s="32" t="n">
        <x:v>856000</x:v>
      </x:c>
      <x:c r="I2819" s="32" t="n">
        <x:v>856000</x:v>
      </x:c>
      <x:c r="J2819" s="32" t="n">
        <x:v>0</x:v>
      </x:c>
      <x:c r="K2819" s="30" t="n">
        <x:v>46161</x:v>
      </x:c>
      <x:c r="L2819" s="24" t="str">
        <x:v>입금</x:v>
      </x:c>
      <x:c r="M2819" s="31" t="n">
        <x:f>IF(AND(N2819="미수",G2819&lt;&gt;"",TODAY()&gt;G2819),TODAY()-G2819,0)</x:f>
        <x:v>0</x:v>
      </x:c>
      <x:c r="N2819" s="24" t="str">
        <x:f>IF(J2819&gt;0,"미수",IF(AND(H2819&gt;0,I2819&gt;=H2819),"완납","미확인"))</x:f>
        <x:v>완납</x:v>
      </x:c>
      <x:c r="O2819" s="31" t="n">
        <x:v>25</x:v>
      </x:c>
    </x:row>
    <x:row r="2820" ht="17.25" customHeight="1">
      <x:c r="A2820" s="24" t="str">
        <x:v>PR-B-35조0980-202604</x:v>
      </x:c>
      <x:c r="B2820" s="24" t="str">
        <x:v>프라임구독</x:v>
      </x:c>
      <x:c r="C2820" s="24" t="str">
        <x:v>PR-C-35조0980-1-20230811-124</x:v>
      </x:c>
      <x:c r="D2820" s="24" t="str">
        <x:v>35조0980</x:v>
      </x:c>
      <x:c r="E2820" s="24" t="str">
        <x:v>김진성1</x:v>
      </x:c>
      <x:c r="F2820" s="24" t="str">
        <x:v>2026-04</x:v>
      </x:c>
      <x:c r="G2820" s="30" t="n">
        <x:v>46132</x:v>
      </x:c>
      <x:c r="H2820" s="32" t="n">
        <x:v>856000</x:v>
      </x:c>
      <x:c r="I2820" s="32" t="n">
        <x:v>856000</x:v>
      </x:c>
      <x:c r="J2820" s="32" t="n">
        <x:v>0</x:v>
      </x:c>
      <x:c r="K2820" s="30" t="n">
        <x:v>46132</x:v>
      </x:c>
      <x:c r="L2820" s="24" t="str">
        <x:v>입금</x:v>
      </x:c>
      <x:c r="M2820" s="31" t="n">
        <x:f>IF(AND(N2820="미수",G2820&lt;&gt;"",TODAY()&gt;G2820),TODAY()-G2820,0)</x:f>
        <x:v>0</x:v>
      </x:c>
      <x:c r="N2820" s="24" t="str">
        <x:f>IF(J2820&gt;0,"미수",IF(AND(H2820&gt;0,I2820&gt;=H2820),"완납","미확인"))</x:f>
        <x:v>완납</x:v>
      </x:c>
      <x:c r="O2820" s="31" t="n">
        <x:v>25</x:v>
      </x:c>
    </x:row>
    <x:row r="2821" ht="17.25" customHeight="1">
      <x:c r="A2821" s="24" t="str">
        <x:v>PR-B-35조0980-202603</x:v>
      </x:c>
      <x:c r="B2821" s="24" t="str">
        <x:v>프라임구독</x:v>
      </x:c>
      <x:c r="C2821" s="24" t="str">
        <x:v>PR-C-35조0980-1-20230811-124</x:v>
      </x:c>
      <x:c r="D2821" s="24" t="str">
        <x:v>35조0980</x:v>
      </x:c>
      <x:c r="E2821" s="24" t="str">
        <x:v>김진성1</x:v>
      </x:c>
      <x:c r="F2821" s="24" t="str">
        <x:v>2026-03</x:v>
      </x:c>
      <x:c r="G2821" s="30" t="n">
        <x:v>46101</x:v>
      </x:c>
      <x:c r="H2821" s="32" t="n">
        <x:v>856000</x:v>
      </x:c>
      <x:c r="I2821" s="32" t="n">
        <x:v>856000</x:v>
      </x:c>
      <x:c r="J2821" s="32" t="n">
        <x:v>0</x:v>
      </x:c>
      <x:c r="K2821" s="30" t="n">
        <x:v>46101</x:v>
      </x:c>
      <x:c r="L2821" s="24" t="str">
        <x:v>입금</x:v>
      </x:c>
      <x:c r="M2821" s="31" t="n">
        <x:f>IF(AND(N2821="미수",G2821&lt;&gt;"",TODAY()&gt;G2821),TODAY()-G2821,0)</x:f>
        <x:v>0</x:v>
      </x:c>
      <x:c r="N2821" s="24" t="str">
        <x:f>IF(J2821&gt;0,"미수",IF(AND(H2821&gt;0,I2821&gt;=H2821),"완납","미확인"))</x:f>
        <x:v>완납</x:v>
      </x:c>
      <x:c r="O2821" s="31" t="n">
        <x:v>25</x:v>
      </x:c>
    </x:row>
    <x:row r="2822" ht="17.25" customHeight="1">
      <x:c r="A2822" s="24" t="str">
        <x:v>PR-B-35조0980-202602</x:v>
      </x:c>
      <x:c r="B2822" s="24" t="str">
        <x:v>프라임구독</x:v>
      </x:c>
      <x:c r="C2822" s="24" t="str">
        <x:v>PR-C-35조0980-1-20230811-124</x:v>
      </x:c>
      <x:c r="D2822" s="24" t="str">
        <x:v>35조0980</x:v>
      </x:c>
      <x:c r="E2822" s="24" t="str">
        <x:v>김진성1</x:v>
      </x:c>
      <x:c r="F2822" s="24" t="str">
        <x:v>2026-02</x:v>
      </x:c>
      <x:c r="G2822" s="30" t="n">
        <x:v>46073</x:v>
      </x:c>
      <x:c r="H2822" s="32" t="n">
        <x:v>856000</x:v>
      </x:c>
      <x:c r="I2822" s="32" t="n">
        <x:v>856000</x:v>
      </x:c>
      <x:c r="J2822" s="32" t="n">
        <x:v>0</x:v>
      </x:c>
      <x:c r="K2822" s="30" t="n">
        <x:v>46072</x:v>
      </x:c>
      <x:c r="L2822" s="24" t="str">
        <x:v>입금</x:v>
      </x:c>
      <x:c r="M2822" s="31" t="n">
        <x:f>IF(AND(N2822="미수",G2822&lt;&gt;"",TODAY()&gt;G2822),TODAY()-G2822,0)</x:f>
        <x:v>0</x:v>
      </x:c>
      <x:c r="N2822" s="24" t="str">
        <x:f>IF(J2822&gt;0,"미수",IF(AND(H2822&gt;0,I2822&gt;=H2822),"완납","미확인"))</x:f>
        <x:v>완납</x:v>
      </x:c>
      <x:c r="O2822" s="31" t="n">
        <x:v>25</x:v>
      </x:c>
    </x:row>
    <x:row r="2823" ht="17.25" customHeight="1">
      <x:c r="A2823" s="24" t="str">
        <x:v>PR-B-35조0980-202601</x:v>
      </x:c>
      <x:c r="B2823" s="24" t="str">
        <x:v>프라임구독</x:v>
      </x:c>
      <x:c r="C2823" s="24" t="str">
        <x:v>PR-C-35조0980-1-20230811-124</x:v>
      </x:c>
      <x:c r="D2823" s="24" t="str">
        <x:v>35조0980</x:v>
      </x:c>
      <x:c r="E2823" s="24" t="str">
        <x:v>김진성1</x:v>
      </x:c>
      <x:c r="F2823" s="24" t="str">
        <x:v>2026-01</x:v>
      </x:c>
      <x:c r="G2823" s="30" t="n">
        <x:v>46042</x:v>
      </x:c>
      <x:c r="H2823" s="32" t="n">
        <x:v>856000</x:v>
      </x:c>
      <x:c r="I2823" s="32" t="n">
        <x:v>856000</x:v>
      </x:c>
      <x:c r="J2823" s="32" t="n">
        <x:v>0</x:v>
      </x:c>
      <x:c r="K2823" s="30" t="n">
        <x:v>46041</x:v>
      </x:c>
      <x:c r="L2823" s="24" t="str">
        <x:v>입금</x:v>
      </x:c>
      <x:c r="M2823" s="31" t="n">
        <x:f>IF(AND(N2823="미수",G2823&lt;&gt;"",TODAY()&gt;G2823),TODAY()-G2823,0)</x:f>
        <x:v>0</x:v>
      </x:c>
      <x:c r="N2823" s="24" t="str">
        <x:f>IF(J2823&gt;0,"미수",IF(AND(H2823&gt;0,I2823&gt;=H2823),"완납","미확인"))</x:f>
        <x:v>완납</x:v>
      </x:c>
      <x:c r="O2823" s="31" t="n">
        <x:v>25</x:v>
      </x:c>
    </x:row>
    <x:row r="2824" ht="17.25" customHeight="1">
      <x:c r="A2824" s="24" t="str">
        <x:v>PR-B-35조0980-202512</x:v>
      </x:c>
      <x:c r="B2824" s="24" t="str">
        <x:v>프라임구독</x:v>
      </x:c>
      <x:c r="C2824" s="24" t="str">
        <x:v>PR-C-35조0980-1-20230811-124</x:v>
      </x:c>
      <x:c r="D2824" s="24" t="str">
        <x:v>35조0980</x:v>
      </x:c>
      <x:c r="E2824" s="24" t="str">
        <x:v>김진성1</x:v>
      </x:c>
      <x:c r="F2824" s="24" t="str">
        <x:v>2025-12</x:v>
      </x:c>
      <x:c r="G2824" s="30" t="n">
        <x:v>46011</x:v>
      </x:c>
      <x:c r="H2824" s="32" t="n">
        <x:v>856000</x:v>
      </x:c>
      <x:c r="I2824" s="32" t="n">
        <x:v>856000</x:v>
      </x:c>
      <x:c r="J2824" s="32" t="n">
        <x:v>0</x:v>
      </x:c>
      <x:c r="K2824" s="30" t="n">
        <x:v>46011</x:v>
      </x:c>
      <x:c r="L2824" s="24" t="str">
        <x:v>입금</x:v>
      </x:c>
      <x:c r="M2824" s="31" t="n">
        <x:f>IF(AND(N2824="미수",G2824&lt;&gt;"",TODAY()&gt;G2824),TODAY()-G2824,0)</x:f>
        <x:v>0</x:v>
      </x:c>
      <x:c r="N2824" s="24" t="str">
        <x:f>IF(J2824&gt;0,"미수",IF(AND(H2824&gt;0,I2824&gt;=H2824),"완납","미확인"))</x:f>
        <x:v>완납</x:v>
      </x:c>
      <x:c r="O2824" s="31" t="n">
        <x:v>25</x:v>
      </x:c>
    </x:row>
    <x:row r="2825" ht="17.25" customHeight="1">
      <x:c r="A2825" s="24" t="str">
        <x:v>PR-B-35조0980-202511</x:v>
      </x:c>
      <x:c r="B2825" s="24" t="str">
        <x:v>프라임구독</x:v>
      </x:c>
      <x:c r="C2825" s="24" t="str">
        <x:v>PR-C-35조0980-1-20230811-124</x:v>
      </x:c>
      <x:c r="D2825" s="24" t="str">
        <x:v>35조0980</x:v>
      </x:c>
      <x:c r="E2825" s="24" t="str">
        <x:v>김진성1</x:v>
      </x:c>
      <x:c r="F2825" s="24" t="str">
        <x:v>2025-11</x:v>
      </x:c>
      <x:c r="G2825" s="30" t="n">
        <x:v>45981</x:v>
      </x:c>
      <x:c r="H2825" s="32" t="n">
        <x:v>856000</x:v>
      </x:c>
      <x:c r="I2825" s="32" t="n">
        <x:v>856000</x:v>
      </x:c>
      <x:c r="J2825" s="32" t="n">
        <x:v>0</x:v>
      </x:c>
      <x:c r="K2825" s="30" t="n">
        <x:v>45981</x:v>
      </x:c>
      <x:c r="L2825" s="24" t="str">
        <x:v>입금</x:v>
      </x:c>
      <x:c r="M2825" s="31" t="n">
        <x:f>IF(AND(N2825="미수",G2825&lt;&gt;"",TODAY()&gt;G2825),TODAY()-G2825,0)</x:f>
        <x:v>0</x:v>
      </x:c>
      <x:c r="N2825" s="24" t="str">
        <x:f>IF(J2825&gt;0,"미수",IF(AND(H2825&gt;0,I2825&gt;=H2825),"완납","미확인"))</x:f>
        <x:v>완납</x:v>
      </x:c>
      <x:c r="O2825" s="31" t="n">
        <x:v>25</x:v>
      </x:c>
    </x:row>
    <x:row r="2826" ht="17.25" customHeight="1">
      <x:c r="A2826" s="24" t="str">
        <x:v>PR-B-35조0980-202510</x:v>
      </x:c>
      <x:c r="B2826" s="24" t="str">
        <x:v>프라임구독</x:v>
      </x:c>
      <x:c r="C2826" s="24" t="str">
        <x:v>PR-C-35조0980-1-20230811-124</x:v>
      </x:c>
      <x:c r="D2826" s="24" t="str">
        <x:v>35조0980</x:v>
      </x:c>
      <x:c r="E2826" s="24" t="str">
        <x:v>김진성1</x:v>
      </x:c>
      <x:c r="F2826" s="24" t="str">
        <x:v>2025-10</x:v>
      </x:c>
      <x:c r="G2826" s="30" t="n">
        <x:v>45950</x:v>
      </x:c>
      <x:c r="H2826" s="32" t="n">
        <x:v>856000</x:v>
      </x:c>
      <x:c r="I2826" s="32" t="n">
        <x:v>856000</x:v>
      </x:c>
      <x:c r="J2826" s="32" t="n">
        <x:v>0</x:v>
      </x:c>
      <x:c r="K2826" s="30" t="n">
        <x:v>45951</x:v>
      </x:c>
      <x:c r="L2826" s="24" t="str">
        <x:v>입금</x:v>
      </x:c>
      <x:c r="M2826" s="31" t="n">
        <x:f>IF(AND(N2826="미수",G2826&lt;&gt;"",TODAY()&gt;G2826),TODAY()-G2826,0)</x:f>
        <x:v>0</x:v>
      </x:c>
      <x:c r="N2826" s="24" t="str">
        <x:f>IF(J2826&gt;0,"미수",IF(AND(H2826&gt;0,I2826&gt;=H2826),"완납","미확인"))</x:f>
        <x:v>완납</x:v>
      </x:c>
      <x:c r="O2826" s="31" t="n">
        <x:v>25</x:v>
      </x:c>
    </x:row>
    <x:row r="2827" ht="17.25" customHeight="1">
      <x:c r="A2827" s="24" t="str">
        <x:v>PR-B-35조0980-202509</x:v>
      </x:c>
      <x:c r="B2827" s="24" t="str">
        <x:v>프라임구독</x:v>
      </x:c>
      <x:c r="C2827" s="24" t="str">
        <x:v>PR-C-35조0980-1-20230811-124</x:v>
      </x:c>
      <x:c r="D2827" s="24" t="str">
        <x:v>35조0980</x:v>
      </x:c>
      <x:c r="E2827" s="24" t="str">
        <x:v>김진성1</x:v>
      </x:c>
      <x:c r="F2827" s="24" t="str">
        <x:v>2025-09</x:v>
      </x:c>
      <x:c r="G2827" s="30" t="n">
        <x:v>45920</x:v>
      </x:c>
      <x:c r="H2827" s="32" t="n">
        <x:v>856000</x:v>
      </x:c>
      <x:c r="I2827" s="32" t="n">
        <x:v>856000</x:v>
      </x:c>
      <x:c r="J2827" s="32" t="n">
        <x:v>0</x:v>
      </x:c>
      <x:c r="K2827" s="30" t="n">
        <x:v>45921</x:v>
      </x:c>
      <x:c r="L2827" s="24" t="str">
        <x:v>입금</x:v>
      </x:c>
      <x:c r="M2827" s="31" t="n">
        <x:f>IF(AND(N2827="미수",G2827&lt;&gt;"",TODAY()&gt;G2827),TODAY()-G2827,0)</x:f>
        <x:v>0</x:v>
      </x:c>
      <x:c r="N2827" s="24" t="str">
        <x:f>IF(J2827&gt;0,"미수",IF(AND(H2827&gt;0,I2827&gt;=H2827),"완납","미확인"))</x:f>
        <x:v>완납</x:v>
      </x:c>
      <x:c r="O2827" s="31" t="n">
        <x:v>25</x:v>
      </x:c>
    </x:row>
    <x:row r="2828" ht="17.25" customHeight="1">
      <x:c r="A2828" s="24" t="str">
        <x:v>PR-B-35조0980-202508</x:v>
      </x:c>
      <x:c r="B2828" s="24" t="str">
        <x:v>프라임구독</x:v>
      </x:c>
      <x:c r="C2828" s="24" t="str">
        <x:v>PR-C-35조0980-1-20230811-124</x:v>
      </x:c>
      <x:c r="D2828" s="24" t="str">
        <x:v>35조0980</x:v>
      </x:c>
      <x:c r="E2828" s="24" t="str">
        <x:v>김진성1</x:v>
      </x:c>
      <x:c r="F2828" s="24" t="str">
        <x:v>2025-08</x:v>
      </x:c>
      <x:c r="G2828" s="30" t="n">
        <x:v>45889</x:v>
      </x:c>
      <x:c r="H2828" s="32" t="n">
        <x:v>856000</x:v>
      </x:c>
      <x:c r="I2828" s="32" t="n">
        <x:v>856000</x:v>
      </x:c>
      <x:c r="J2828" s="32" t="n">
        <x:v>0</x:v>
      </x:c>
      <x:c r="K2828" s="30" t="n">
        <x:v>45889</x:v>
      </x:c>
      <x:c r="L2828" s="24" t="str">
        <x:v>입금</x:v>
      </x:c>
      <x:c r="M2828" s="31" t="n">
        <x:f>IF(AND(N2828="미수",G2828&lt;&gt;"",TODAY()&gt;G2828),TODAY()-G2828,0)</x:f>
        <x:v>0</x:v>
      </x:c>
      <x:c r="N2828" s="24" t="str">
        <x:f>IF(J2828&gt;0,"미수",IF(AND(H2828&gt;0,I2828&gt;=H2828),"완납","미확인"))</x:f>
        <x:v>완납</x:v>
      </x:c>
      <x:c r="O2828" s="31" t="n">
        <x:v>25</x:v>
      </x:c>
    </x:row>
    <x:row r="2829" ht="17.25" customHeight="1">
      <x:c r="A2829" s="24" t="str">
        <x:v>PR-B-35조0980-202507</x:v>
      </x:c>
      <x:c r="B2829" s="24" t="str">
        <x:v>프라임구독</x:v>
      </x:c>
      <x:c r="C2829" s="24" t="str">
        <x:v>PR-C-35조0980-1-20230811-124</x:v>
      </x:c>
      <x:c r="D2829" s="24" t="str">
        <x:v>35조0980</x:v>
      </x:c>
      <x:c r="E2829" s="24" t="str">
        <x:v>김진성1</x:v>
      </x:c>
      <x:c r="F2829" s="24" t="str">
        <x:v>2025-07</x:v>
      </x:c>
      <x:c r="G2829" s="30" t="n">
        <x:v>45858</x:v>
      </x:c>
      <x:c r="H2829" s="32" t="n">
        <x:v>856000</x:v>
      </x:c>
      <x:c r="I2829" s="32" t="n">
        <x:v>856000</x:v>
      </x:c>
      <x:c r="J2829" s="32" t="n">
        <x:v>0</x:v>
      </x:c>
      <x:c r="K2829" s="30" t="n">
        <x:v>45859</x:v>
      </x:c>
      <x:c r="L2829" s="24" t="str">
        <x:v>입금</x:v>
      </x:c>
      <x:c r="M2829" s="31" t="n">
        <x:f>IF(AND(N2829="미수",G2829&lt;&gt;"",TODAY()&gt;G2829),TODAY()-G2829,0)</x:f>
        <x:v>0</x:v>
      </x:c>
      <x:c r="N2829" s="24" t="str">
        <x:f>IF(J2829&gt;0,"미수",IF(AND(H2829&gt;0,I2829&gt;=H2829),"완납","미확인"))</x:f>
        <x:v>완납</x:v>
      </x:c>
      <x:c r="O2829" s="31" t="n">
        <x:v>25</x:v>
      </x:c>
    </x:row>
    <x:row r="2830" ht="17.25" customHeight="1">
      <x:c r="A2830" s="24" t="str">
        <x:v>PR-B-35조0980-202506</x:v>
      </x:c>
      <x:c r="B2830" s="24" t="str">
        <x:v>프라임구독</x:v>
      </x:c>
      <x:c r="C2830" s="24" t="str">
        <x:v>PR-C-35조0980-1-20230811-124</x:v>
      </x:c>
      <x:c r="D2830" s="24" t="str">
        <x:v>35조0980</x:v>
      </x:c>
      <x:c r="E2830" s="24" t="str">
        <x:v>김진성1</x:v>
      </x:c>
      <x:c r="F2830" s="24" t="str">
        <x:v>2025-06</x:v>
      </x:c>
      <x:c r="G2830" s="30" t="n">
        <x:v>45828</x:v>
      </x:c>
      <x:c r="H2830" s="32" t="n">
        <x:v>856000</x:v>
      </x:c>
      <x:c r="I2830" s="32" t="n">
        <x:v>856000</x:v>
      </x:c>
      <x:c r="J2830" s="32" t="n">
        <x:v>0</x:v>
      </x:c>
      <x:c r="K2830" s="30" t="n">
        <x:v>45827</x:v>
      </x:c>
      <x:c r="L2830" s="24" t="str">
        <x:v>입금</x:v>
      </x:c>
      <x:c r="M2830" s="31" t="n">
        <x:f>IF(AND(N2830="미수",G2830&lt;&gt;"",TODAY()&gt;G2830),TODAY()-G2830,0)</x:f>
        <x:v>0</x:v>
      </x:c>
      <x:c r="N2830" s="24" t="str">
        <x:f>IF(J2830&gt;0,"미수",IF(AND(H2830&gt;0,I2830&gt;=H2830),"완납","미확인"))</x:f>
        <x:v>완납</x:v>
      </x:c>
      <x:c r="O2830" s="31" t="n">
        <x:v>25</x:v>
      </x:c>
    </x:row>
    <x:row r="2831" ht="17.25" customHeight="1">
      <x:c r="A2831" s="24" t="str">
        <x:v>PR-B-35조0980-202505</x:v>
      </x:c>
      <x:c r="B2831" s="24" t="str">
        <x:v>프라임구독</x:v>
      </x:c>
      <x:c r="C2831" s="24" t="str">
        <x:v>PR-C-35조0980-1-20230811-124</x:v>
      </x:c>
      <x:c r="D2831" s="24" t="str">
        <x:v>35조0980</x:v>
      </x:c>
      <x:c r="E2831" s="24" t="str">
        <x:v>김진성1</x:v>
      </x:c>
      <x:c r="F2831" s="24" t="str">
        <x:v>2025-05</x:v>
      </x:c>
      <x:c r="G2831" s="30" t="n">
        <x:v>45797</x:v>
      </x:c>
      <x:c r="H2831" s="32" t="n">
        <x:v>856000</x:v>
      </x:c>
      <x:c r="I2831" s="32" t="n">
        <x:v>856000</x:v>
      </x:c>
      <x:c r="J2831" s="32" t="n">
        <x:v>0</x:v>
      </x:c>
      <x:c r="K2831" s="30" t="n">
        <x:v>45797</x:v>
      </x:c>
      <x:c r="L2831" s="24" t="str">
        <x:v>입금</x:v>
      </x:c>
      <x:c r="M2831" s="31" t="n">
        <x:f>IF(AND(N2831="미수",G2831&lt;&gt;"",TODAY()&gt;G2831),TODAY()-G2831,0)</x:f>
        <x:v>0</x:v>
      </x:c>
      <x:c r="N2831" s="24" t="str">
        <x:f>IF(J2831&gt;0,"미수",IF(AND(H2831&gt;0,I2831&gt;=H2831),"완납","미확인"))</x:f>
        <x:v>완납</x:v>
      </x:c>
      <x:c r="O2831" s="31" t="n">
        <x:v>25</x:v>
      </x:c>
    </x:row>
    <x:row r="2832" ht="17.25" customHeight="1">
      <x:c r="A2832" s="24" t="str">
        <x:v>PR-B-35조0980-202504</x:v>
      </x:c>
      <x:c r="B2832" s="24" t="str">
        <x:v>프라임구독</x:v>
      </x:c>
      <x:c r="C2832" s="24" t="str">
        <x:v>PR-C-35조0980-1-20230811-124</x:v>
      </x:c>
      <x:c r="D2832" s="24" t="str">
        <x:v>35조0980</x:v>
      </x:c>
      <x:c r="E2832" s="24" t="str">
        <x:v>김진성1</x:v>
      </x:c>
      <x:c r="F2832" s="24" t="str">
        <x:v>2025-04</x:v>
      </x:c>
      <x:c r="G2832" s="30" t="n">
        <x:v>45767</x:v>
      </x:c>
      <x:c r="H2832" s="32" t="n">
        <x:v>856000</x:v>
      </x:c>
      <x:c r="I2832" s="32" t="n">
        <x:v>856000</x:v>
      </x:c>
      <x:c r="J2832" s="32" t="n">
        <x:v>0</x:v>
      </x:c>
      <x:c r="K2832" s="30" t="n">
        <x:v>45768</x:v>
      </x:c>
      <x:c r="L2832" s="24" t="str">
        <x:v>입금</x:v>
      </x:c>
      <x:c r="M2832" s="31" t="n">
        <x:f>IF(AND(N2832="미수",G2832&lt;&gt;"",TODAY()&gt;G2832),TODAY()-G2832,0)</x:f>
        <x:v>0</x:v>
      </x:c>
      <x:c r="N2832" s="24" t="str">
        <x:f>IF(J2832&gt;0,"미수",IF(AND(H2832&gt;0,I2832&gt;=H2832),"완납","미확인"))</x:f>
        <x:v>완납</x:v>
      </x:c>
      <x:c r="O2832" s="31" t="n">
        <x:v>25</x:v>
      </x:c>
    </x:row>
    <x:row r="2833" ht="17.25" customHeight="1">
      <x:c r="A2833" s="24" t="str">
        <x:v>PR-B-35조0980-202503</x:v>
      </x:c>
      <x:c r="B2833" s="24" t="str">
        <x:v>프라임구독</x:v>
      </x:c>
      <x:c r="C2833" s="24" t="str">
        <x:v>PR-C-35조0980-1-20230811-124</x:v>
      </x:c>
      <x:c r="D2833" s="24" t="str">
        <x:v>35조0980</x:v>
      </x:c>
      <x:c r="E2833" s="24" t="str">
        <x:v>김진성1</x:v>
      </x:c>
      <x:c r="F2833" s="24" t="str">
        <x:v>2025-03</x:v>
      </x:c>
      <x:c r="G2833" s="30" t="n">
        <x:v>45736</x:v>
      </x:c>
      <x:c r="H2833" s="32" t="n">
        <x:v>856000</x:v>
      </x:c>
      <x:c r="I2833" s="32" t="n">
        <x:v>856000</x:v>
      </x:c>
      <x:c r="J2833" s="32" t="n">
        <x:v>0</x:v>
      </x:c>
      <x:c r="K2833" s="30" t="n">
        <x:v>45736</x:v>
      </x:c>
      <x:c r="L2833" s="24" t="str">
        <x:v>입금</x:v>
      </x:c>
      <x:c r="M2833" s="31" t="n">
        <x:f>IF(AND(N2833="미수",G2833&lt;&gt;"",TODAY()&gt;G2833),TODAY()-G2833,0)</x:f>
        <x:v>0</x:v>
      </x:c>
      <x:c r="N2833" s="24" t="str">
        <x:f>IF(J2833&gt;0,"미수",IF(AND(H2833&gt;0,I2833&gt;=H2833),"완납","미확인"))</x:f>
        <x:v>완납</x:v>
      </x:c>
      <x:c r="O2833" s="31" t="n">
        <x:v>25</x:v>
      </x:c>
    </x:row>
    <x:row r="2834" ht="17.25" customHeight="1">
      <x:c r="A2834" s="24" t="str">
        <x:v>PR-B-35조0980-202502</x:v>
      </x:c>
      <x:c r="B2834" s="24" t="str">
        <x:v>프라임구독</x:v>
      </x:c>
      <x:c r="C2834" s="24" t="str">
        <x:v>PR-C-35조0980-1-20230811-124</x:v>
      </x:c>
      <x:c r="D2834" s="24" t="str">
        <x:v>35조0980</x:v>
      </x:c>
      <x:c r="E2834" s="24" t="str">
        <x:v>김진성1</x:v>
      </x:c>
      <x:c r="F2834" s="24" t="str">
        <x:v>2025-02</x:v>
      </x:c>
      <x:c r="G2834" s="30" t="n">
        <x:v>45708</x:v>
      </x:c>
      <x:c r="H2834" s="32" t="n">
        <x:v>856000</x:v>
      </x:c>
      <x:c r="I2834" s="32" t="n">
        <x:v>856000</x:v>
      </x:c>
      <x:c r="J2834" s="32" t="n">
        <x:v>0</x:v>
      </x:c>
      <x:c r="K2834" s="30" t="n">
        <x:v>45708</x:v>
      </x:c>
      <x:c r="L2834" s="24" t="str">
        <x:v>자동</x:v>
      </x:c>
      <x:c r="M2834" s="31" t="n">
        <x:f>IF(AND(N2834="미수",G2834&lt;&gt;"",TODAY()&gt;G2834),TODAY()-G2834,0)</x:f>
        <x:v>0</x:v>
      </x:c>
      <x:c r="N2834" s="24" t="str">
        <x:f>IF(J2834&gt;0,"미수",IF(AND(H2834&gt;0,I2834&gt;=H2834),"완납","미확인"))</x:f>
        <x:v>완납</x:v>
      </x:c>
      <x:c r="O2834" s="31" t="n">
        <x:v>25</x:v>
      </x:c>
    </x:row>
    <x:row r="2835" ht="17.25" customHeight="1">
      <x:c r="A2835" s="24" t="str">
        <x:v>PR-B-35조0980-202501</x:v>
      </x:c>
      <x:c r="B2835" s="24" t="str">
        <x:v>프라임구독</x:v>
      </x:c>
      <x:c r="C2835" s="24" t="str">
        <x:v>PR-C-35조0980-1-20230811-124</x:v>
      </x:c>
      <x:c r="D2835" s="24" t="str">
        <x:v>35조0980</x:v>
      </x:c>
      <x:c r="E2835" s="24" t="str">
        <x:v>김진성1</x:v>
      </x:c>
      <x:c r="F2835" s="24" t="str">
        <x:v>2025-01</x:v>
      </x:c>
      <x:c r="G2835" s="30" t="n">
        <x:v>45677</x:v>
      </x:c>
      <x:c r="H2835" s="32" t="n">
        <x:v>856000</x:v>
      </x:c>
      <x:c r="I2835" s="32" t="n">
        <x:v>856000</x:v>
      </x:c>
      <x:c r="J2835" s="32" t="n">
        <x:v>0</x:v>
      </x:c>
      <x:c r="K2835" s="30" t="n">
        <x:v>45677</x:v>
      </x:c>
      <x:c r="L2835" s="24" t="str">
        <x:v>자동</x:v>
      </x:c>
      <x:c r="M2835" s="31" t="n">
        <x:f>IF(AND(N2835="미수",G2835&lt;&gt;"",TODAY()&gt;G2835),TODAY()-G2835,0)</x:f>
        <x:v>0</x:v>
      </x:c>
      <x:c r="N2835" s="24" t="str">
        <x:f>IF(J2835&gt;0,"미수",IF(AND(H2835&gt;0,I2835&gt;=H2835),"완납","미확인"))</x:f>
        <x:v>완납</x:v>
      </x:c>
      <x:c r="O2835" s="31" t="n">
        <x:v>25</x:v>
      </x:c>
    </x:row>
    <x:row r="2836" ht="17.25" customHeight="1">
      <x:c r="A2836" s="24" t="str">
        <x:v>PR-B-35조0980-202412</x:v>
      </x:c>
      <x:c r="B2836" s="24" t="str">
        <x:v>프라임구독</x:v>
      </x:c>
      <x:c r="C2836" s="24" t="str">
        <x:v>PR-C-35조0980-1-20230811-124</x:v>
      </x:c>
      <x:c r="D2836" s="24" t="str">
        <x:v>35조0980</x:v>
      </x:c>
      <x:c r="E2836" s="24" t="str">
        <x:v>김진성1</x:v>
      </x:c>
      <x:c r="F2836" s="24" t="str">
        <x:v>2024-12</x:v>
      </x:c>
      <x:c r="G2836" s="30" t="n">
        <x:v>45646</x:v>
      </x:c>
      <x:c r="H2836" s="32" t="n">
        <x:v>856000</x:v>
      </x:c>
      <x:c r="I2836" s="32" t="n">
        <x:v>856000</x:v>
      </x:c>
      <x:c r="J2836" s="32" t="n">
        <x:v>0</x:v>
      </x:c>
      <x:c r="K2836" s="30" t="n">
        <x:v>45646</x:v>
      </x:c>
      <x:c r="L2836" s="24" t="str">
        <x:v>자동</x:v>
      </x:c>
      <x:c r="M2836" s="31" t="n">
        <x:f>IF(AND(N2836="미수",G2836&lt;&gt;"",TODAY()&gt;G2836),TODAY()-G2836,0)</x:f>
        <x:v>0</x:v>
      </x:c>
      <x:c r="N2836" s="24" t="str">
        <x:f>IF(J2836&gt;0,"미수",IF(AND(H2836&gt;0,I2836&gt;=H2836),"완납","미확인"))</x:f>
        <x:v>완납</x:v>
      </x:c>
      <x:c r="O2836" s="31" t="n">
        <x:v>25</x:v>
      </x:c>
    </x:row>
    <x:row r="2837" ht="17.25" customHeight="1">
      <x:c r="A2837" s="24" t="str">
        <x:v>PR-B-35조0980-202411</x:v>
      </x:c>
      <x:c r="B2837" s="24" t="str">
        <x:v>프라임구독</x:v>
      </x:c>
      <x:c r="C2837" s="24" t="str">
        <x:v>PR-C-35조0980-1-20230811-124</x:v>
      </x:c>
      <x:c r="D2837" s="24" t="str">
        <x:v>35조0980</x:v>
      </x:c>
      <x:c r="E2837" s="24" t="str">
        <x:v>김진성1</x:v>
      </x:c>
      <x:c r="F2837" s="24" t="str">
        <x:v>2024-11</x:v>
      </x:c>
      <x:c r="G2837" s="30" t="n">
        <x:v>45616</x:v>
      </x:c>
      <x:c r="H2837" s="32" t="n">
        <x:v>856000</x:v>
      </x:c>
      <x:c r="I2837" s="32" t="n">
        <x:v>856000</x:v>
      </x:c>
      <x:c r="J2837" s="32" t="n">
        <x:v>0</x:v>
      </x:c>
      <x:c r="K2837" s="30" t="n">
        <x:v>45616</x:v>
      </x:c>
      <x:c r="L2837" s="24" t="str">
        <x:v>자동</x:v>
      </x:c>
      <x:c r="M2837" s="31" t="n">
        <x:f>IF(AND(N2837="미수",G2837&lt;&gt;"",TODAY()&gt;G2837),TODAY()-G2837,0)</x:f>
        <x:v>0</x:v>
      </x:c>
      <x:c r="N2837" s="24" t="str">
        <x:f>IF(J2837&gt;0,"미수",IF(AND(H2837&gt;0,I2837&gt;=H2837),"완납","미확인"))</x:f>
        <x:v>완납</x:v>
      </x:c>
      <x:c r="O2837" s="31" t="n">
        <x:v>25</x:v>
      </x:c>
    </x:row>
    <x:row r="2838" ht="17.25" customHeight="1">
      <x:c r="A2838" s="24" t="str">
        <x:v>PR-B-35조0980-202410</x:v>
      </x:c>
      <x:c r="B2838" s="24" t="str">
        <x:v>프라임구독</x:v>
      </x:c>
      <x:c r="C2838" s="24" t="str">
        <x:v>PR-C-35조0980-1-20230811-124</x:v>
      </x:c>
      <x:c r="D2838" s="24" t="str">
        <x:v>35조0980</x:v>
      </x:c>
      <x:c r="E2838" s="24" t="str">
        <x:v>김진성1</x:v>
      </x:c>
      <x:c r="F2838" s="24" t="str">
        <x:v>2024-10</x:v>
      </x:c>
      <x:c r="G2838" s="30" t="n">
        <x:v>45585</x:v>
      </x:c>
      <x:c r="H2838" s="32" t="n">
        <x:v>856000</x:v>
      </x:c>
      <x:c r="I2838" s="32" t="n">
        <x:v>856000</x:v>
      </x:c>
      <x:c r="J2838" s="32" t="n">
        <x:v>0</x:v>
      </x:c>
      <x:c r="K2838" s="30" t="n">
        <x:v>45585</x:v>
      </x:c>
      <x:c r="L2838" s="24" t="str">
        <x:v>자동</x:v>
      </x:c>
      <x:c r="M2838" s="31" t="n">
        <x:f>IF(AND(N2838="미수",G2838&lt;&gt;"",TODAY()&gt;G2838),TODAY()-G2838,0)</x:f>
        <x:v>0</x:v>
      </x:c>
      <x:c r="N2838" s="24" t="str">
        <x:f>IF(J2838&gt;0,"미수",IF(AND(H2838&gt;0,I2838&gt;=H2838),"완납","미확인"))</x:f>
        <x:v>완납</x:v>
      </x:c>
      <x:c r="O2838" s="31" t="n">
        <x:v>25</x:v>
      </x:c>
    </x:row>
    <x:row r="2839" ht="17.25" customHeight="1">
      <x:c r="A2839" s="24" t="str">
        <x:v>PR-B-35조0980-202409</x:v>
      </x:c>
      <x:c r="B2839" s="24" t="str">
        <x:v>프라임구독</x:v>
      </x:c>
      <x:c r="C2839" s="24" t="str">
        <x:v>PR-C-35조0980-1-20230811-124</x:v>
      </x:c>
      <x:c r="D2839" s="24" t="str">
        <x:v>35조0980</x:v>
      </x:c>
      <x:c r="E2839" s="24" t="str">
        <x:v>김진성1</x:v>
      </x:c>
      <x:c r="F2839" s="24" t="str">
        <x:v>2024-09</x:v>
      </x:c>
      <x:c r="G2839" s="30" t="n">
        <x:v>45555</x:v>
      </x:c>
      <x:c r="H2839" s="32" t="n">
        <x:v>856000</x:v>
      </x:c>
      <x:c r="I2839" s="32" t="n">
        <x:v>856000</x:v>
      </x:c>
      <x:c r="J2839" s="32" t="n">
        <x:v>0</x:v>
      </x:c>
      <x:c r="K2839" s="30" t="n">
        <x:v>45555</x:v>
      </x:c>
      <x:c r="L2839" s="24" t="str">
        <x:v>자동</x:v>
      </x:c>
      <x:c r="M2839" s="31" t="n">
        <x:f>IF(AND(N2839="미수",G2839&lt;&gt;"",TODAY()&gt;G2839),TODAY()-G2839,0)</x:f>
        <x:v>0</x:v>
      </x:c>
      <x:c r="N2839" s="24" t="str">
        <x:f>IF(J2839&gt;0,"미수",IF(AND(H2839&gt;0,I2839&gt;=H2839),"완납","미확인"))</x:f>
        <x:v>완납</x:v>
      </x:c>
      <x:c r="O2839" s="31" t="n">
        <x:v>25</x:v>
      </x:c>
    </x:row>
    <x:row r="2840" ht="17.25" customHeight="1">
      <x:c r="A2840" s="24" t="str">
        <x:v>PR-B-35조0980-202408</x:v>
      </x:c>
      <x:c r="B2840" s="24" t="str">
        <x:v>프라임구독</x:v>
      </x:c>
      <x:c r="C2840" s="24" t="str">
        <x:v>PR-C-35조0980-1-20230811-124</x:v>
      </x:c>
      <x:c r="D2840" s="24" t="str">
        <x:v>35조0980</x:v>
      </x:c>
      <x:c r="E2840" s="24" t="str">
        <x:v>김진성1</x:v>
      </x:c>
      <x:c r="F2840" s="24" t="str">
        <x:v>2024-08</x:v>
      </x:c>
      <x:c r="G2840" s="30" t="n">
        <x:v>45524</x:v>
      </x:c>
      <x:c r="H2840" s="32" t="n">
        <x:v>856000</x:v>
      </x:c>
      <x:c r="I2840" s="32" t="n">
        <x:v>856000</x:v>
      </x:c>
      <x:c r="J2840" s="32" t="n">
        <x:v>0</x:v>
      </x:c>
      <x:c r="K2840" s="30" t="n">
        <x:v>45524</x:v>
      </x:c>
      <x:c r="L2840" s="24" t="str">
        <x:v>자동</x:v>
      </x:c>
      <x:c r="M2840" s="31" t="n">
        <x:f>IF(AND(N2840="미수",G2840&lt;&gt;"",TODAY()&gt;G2840),TODAY()-G2840,0)</x:f>
        <x:v>0</x:v>
      </x:c>
      <x:c r="N2840" s="24" t="str">
        <x:f>IF(J2840&gt;0,"미수",IF(AND(H2840&gt;0,I2840&gt;=H2840),"완납","미확인"))</x:f>
        <x:v>완납</x:v>
      </x:c>
      <x:c r="O2840" s="31" t="n">
        <x:v>25</x:v>
      </x:c>
    </x:row>
    <x:row r="2841" ht="17.25" customHeight="1">
      <x:c r="A2841" s="24" t="str">
        <x:v>PR-B-35조0980-202407</x:v>
      </x:c>
      <x:c r="B2841" s="24" t="str">
        <x:v>프라임구독</x:v>
      </x:c>
      <x:c r="C2841" s="24" t="str">
        <x:v>PR-C-35조0980-1-20230811-124</x:v>
      </x:c>
      <x:c r="D2841" s="24" t="str">
        <x:v>35조0980</x:v>
      </x:c>
      <x:c r="E2841" s="24" t="str">
        <x:v>김진성1</x:v>
      </x:c>
      <x:c r="F2841" s="24" t="str">
        <x:v>2024-07</x:v>
      </x:c>
      <x:c r="G2841" s="30" t="n">
        <x:v>45493</x:v>
      </x:c>
      <x:c r="H2841" s="32" t="n">
        <x:v>856000</x:v>
      </x:c>
      <x:c r="I2841" s="32" t="n">
        <x:v>856000</x:v>
      </x:c>
      <x:c r="J2841" s="32" t="n">
        <x:v>0</x:v>
      </x:c>
      <x:c r="K2841" s="30" t="n">
        <x:v>45493</x:v>
      </x:c>
      <x:c r="L2841" s="24" t="str">
        <x:v>자동</x:v>
      </x:c>
      <x:c r="M2841" s="31" t="n">
        <x:f>IF(AND(N2841="미수",G2841&lt;&gt;"",TODAY()&gt;G2841),TODAY()-G2841,0)</x:f>
        <x:v>0</x:v>
      </x:c>
      <x:c r="N2841" s="24" t="str">
        <x:f>IF(J2841&gt;0,"미수",IF(AND(H2841&gt;0,I2841&gt;=H2841),"완납","미확인"))</x:f>
        <x:v>완납</x:v>
      </x:c>
      <x:c r="O2841" s="31" t="n">
        <x:v>25</x:v>
      </x:c>
    </x:row>
    <x:row r="2842" ht="17.25" customHeight="1">
      <x:c r="A2842" s="24" t="str">
        <x:v>PR-B-35조0980-202406</x:v>
      </x:c>
      <x:c r="B2842" s="24" t="str">
        <x:v>프라임구독</x:v>
      </x:c>
      <x:c r="C2842" s="24" t="str">
        <x:v>PR-C-35조0980-1-20230811-124</x:v>
      </x:c>
      <x:c r="D2842" s="24" t="str">
        <x:v>35조0980</x:v>
      </x:c>
      <x:c r="E2842" s="24" t="str">
        <x:v>김진성1</x:v>
      </x:c>
      <x:c r="F2842" s="24" t="str">
        <x:v>2024-06</x:v>
      </x:c>
      <x:c r="G2842" s="30" t="n">
        <x:v>45463</x:v>
      </x:c>
      <x:c r="H2842" s="32" t="n">
        <x:v>856000</x:v>
      </x:c>
      <x:c r="I2842" s="32" t="n">
        <x:v>856000</x:v>
      </x:c>
      <x:c r="J2842" s="32" t="n">
        <x:v>0</x:v>
      </x:c>
      <x:c r="K2842" s="30" t="n">
        <x:v>45463</x:v>
      </x:c>
      <x:c r="L2842" s="24" t="str"/>
      <x:c r="M2842" s="31" t="n">
        <x:f>IF(AND(N2842="미수",G2842&lt;&gt;"",TODAY()&gt;G2842),TODAY()-G2842,0)</x:f>
        <x:v>0</x:v>
      </x:c>
      <x:c r="N2842" s="24" t="str">
        <x:f>IF(J2842&gt;0,"미수",IF(AND(H2842&gt;0,I2842&gt;=H2842),"완납","미확인"))</x:f>
        <x:v>완납</x:v>
      </x:c>
      <x:c r="O2842" s="31" t="n">
        <x:v>25</x:v>
      </x:c>
    </x:row>
    <x:row r="2843" ht="17.25" customHeight="1">
      <x:c r="A2843" s="24" t="str">
        <x:v>PR-B-35조0980-202405</x:v>
      </x:c>
      <x:c r="B2843" s="24" t="str">
        <x:v>프라임구독</x:v>
      </x:c>
      <x:c r="C2843" s="24" t="str">
        <x:v>PR-C-35조0980-1-20230811-124</x:v>
      </x:c>
      <x:c r="D2843" s="24" t="str">
        <x:v>35조0980</x:v>
      </x:c>
      <x:c r="E2843" s="24" t="str">
        <x:v>김진성1</x:v>
      </x:c>
      <x:c r="F2843" s="24" t="str">
        <x:v>2024-05</x:v>
      </x:c>
      <x:c r="G2843" s="30" t="n">
        <x:v>45432</x:v>
      </x:c>
      <x:c r="H2843" s="32" t="n">
        <x:v>856000</x:v>
      </x:c>
      <x:c r="I2843" s="32" t="n">
        <x:v>856000</x:v>
      </x:c>
      <x:c r="J2843" s="32" t="n">
        <x:v>0</x:v>
      </x:c>
      <x:c r="K2843" s="30" t="n">
        <x:v>45432</x:v>
      </x:c>
      <x:c r="L2843" s="24" t="str"/>
      <x:c r="M2843" s="31" t="n">
        <x:f>IF(AND(N2843="미수",G2843&lt;&gt;"",TODAY()&gt;G2843),TODAY()-G2843,0)</x:f>
        <x:v>0</x:v>
      </x:c>
      <x:c r="N2843" s="24" t="str">
        <x:f>IF(J2843&gt;0,"미수",IF(AND(H2843&gt;0,I2843&gt;=H2843),"완납","미확인"))</x:f>
        <x:v>완납</x:v>
      </x:c>
      <x:c r="O2843" s="31" t="n">
        <x:v>25</x:v>
      </x:c>
    </x:row>
    <x:row r="2844" ht="17.25" customHeight="1">
      <x:c r="A2844" s="24" t="str">
        <x:v>PR-B-01부3634-202608</x:v>
      </x:c>
      <x:c r="B2844" s="24" t="str">
        <x:v>프라임구독</x:v>
      </x:c>
      <x:c r="C2844" s="24" t="str">
        <x:v>PR-C-01부3634-1-20230821-6</x:v>
      </x:c>
      <x:c r="D2844" s="24" t="str">
        <x:v>01부3634</x:v>
      </x:c>
      <x:c r="E2844" s="24" t="str">
        <x:v>김창준b</x:v>
      </x:c>
      <x:c r="F2844" s="24" t="str">
        <x:v>2026-08</x:v>
      </x:c>
      <x:c r="G2844" s="30" t="n">
        <x:v>46259</x:v>
      </x:c>
      <x:c r="H2844" s="32" t="n">
        <x:v>412000</x:v>
      </x:c>
      <x:c r="I2844" s="32"/>
      <x:c r="J2844" s="32" t="n">
        <x:v>2896000</x:v>
      </x:c>
      <x:c r="K2844" s="30"/>
      <x:c r="L2844" s="24" t="str"/>
      <x:c r="M2844" s="31" t="n">
        <x:f>IF(AND(N2844="미수",G2844&lt;&gt;"",TODAY()&gt;G2844),TODAY()-G2844,0)</x:f>
        <x:v>0</x:v>
      </x:c>
      <x:c r="N2844" s="24" t="str">
        <x:f>IF(J2844&gt;0,"미수",IF(AND(H2844&gt;0,I2844&gt;=H2844),"완납","미확인"))</x:f>
        <x:v>미수</x:v>
      </x:c>
      <x:c r="O2844" s="31" t="n">
        <x:v>26</x:v>
      </x:c>
    </x:row>
    <x:row r="2845" ht="17.25" customHeight="1">
      <x:c r="A2845" s="24" t="str">
        <x:v>PR-B-01부3634-202607</x:v>
      </x:c>
      <x:c r="B2845" s="24" t="str">
        <x:v>프라임구독</x:v>
      </x:c>
      <x:c r="C2845" s="24" t="str">
        <x:v>PR-C-01부3634-1-20230821-6</x:v>
      </x:c>
      <x:c r="D2845" s="24" t="str">
        <x:v>01부3634</x:v>
      </x:c>
      <x:c r="E2845" s="24" t="str">
        <x:v>김창준b</x:v>
      </x:c>
      <x:c r="F2845" s="24" t="str">
        <x:v>2026-07</x:v>
      </x:c>
      <x:c r="G2845" s="30" t="n">
        <x:v>46228</x:v>
      </x:c>
      <x:c r="H2845" s="32" t="n">
        <x:v>412000</x:v>
      </x:c>
      <x:c r="I2845" s="32"/>
      <x:c r="J2845" s="32" t="n">
        <x:v>2484000</x:v>
      </x:c>
      <x:c r="K2845" s="30"/>
      <x:c r="L2845" s="24" t="str"/>
      <x:c r="M2845" s="31" t="n">
        <x:f>IF(AND(N2845="미수",G2845&lt;&gt;"",TODAY()&gt;G2845),TODAY()-G2845,0)</x:f>
        <x:v>21</x:v>
      </x:c>
      <x:c r="N2845" s="24" t="str">
        <x:f>IF(J2845&gt;0,"미수",IF(AND(H2845&gt;0,I2845&gt;=H2845),"완납","미확인"))</x:f>
        <x:v>미수</x:v>
      </x:c>
      <x:c r="O2845" s="31" t="n">
        <x:v>26</x:v>
      </x:c>
    </x:row>
    <x:row r="2846" ht="17.25" customHeight="1">
      <x:c r="A2846" s="24" t="str">
        <x:v>PR-B-01부3634-202606</x:v>
      </x:c>
      <x:c r="B2846" s="24" t="str">
        <x:v>프라임구독</x:v>
      </x:c>
      <x:c r="C2846" s="24" t="str">
        <x:v>PR-C-01부3634-1-20230821-6</x:v>
      </x:c>
      <x:c r="D2846" s="24" t="str">
        <x:v>01부3634</x:v>
      </x:c>
      <x:c r="E2846" s="24" t="str">
        <x:v>김창준b</x:v>
      </x:c>
      <x:c r="F2846" s="24" t="str">
        <x:v>2026-06</x:v>
      </x:c>
      <x:c r="G2846" s="30" t="n">
        <x:v>46198</x:v>
      </x:c>
      <x:c r="H2846" s="32" t="n">
        <x:v>412000</x:v>
      </x:c>
      <x:c r="I2846" s="32"/>
      <x:c r="J2846" s="32" t="n">
        <x:v>2072000</x:v>
      </x:c>
      <x:c r="K2846" s="30"/>
      <x:c r="L2846" s="24" t="str"/>
      <x:c r="M2846" s="31" t="n">
        <x:f>IF(AND(N2846="미수",G2846&lt;&gt;"",TODAY()&gt;G2846),TODAY()-G2846,0)</x:f>
        <x:v>51</x:v>
      </x:c>
      <x:c r="N2846" s="24" t="str">
        <x:f>IF(J2846&gt;0,"미수",IF(AND(H2846&gt;0,I2846&gt;=H2846),"완납","미확인"))</x:f>
        <x:v>미수</x:v>
      </x:c>
      <x:c r="O2846" s="31" t="n">
        <x:v>26</x:v>
      </x:c>
    </x:row>
    <x:row r="2847" ht="17.25" customHeight="1">
      <x:c r="A2847" s="24" t="str">
        <x:v>PR-B-01부3634-202605</x:v>
      </x:c>
      <x:c r="B2847" s="24" t="str">
        <x:v>프라임구독</x:v>
      </x:c>
      <x:c r="C2847" s="24" t="str">
        <x:v>PR-C-01부3634-1-20230821-6</x:v>
      </x:c>
      <x:c r="D2847" s="24" t="str">
        <x:v>01부3634</x:v>
      </x:c>
      <x:c r="E2847" s="24" t="str">
        <x:v>김창준b</x:v>
      </x:c>
      <x:c r="F2847" s="24" t="str">
        <x:v>2026-05</x:v>
      </x:c>
      <x:c r="G2847" s="30" t="n">
        <x:v>46167</x:v>
      </x:c>
      <x:c r="H2847" s="32" t="n">
        <x:v>412000</x:v>
      </x:c>
      <x:c r="I2847" s="32"/>
      <x:c r="J2847" s="32" t="n">
        <x:v>1660000</x:v>
      </x:c>
      <x:c r="K2847" s="30"/>
      <x:c r="L2847" s="24" t="str"/>
      <x:c r="M2847" s="31" t="n">
        <x:f>IF(AND(N2847="미수",G2847&lt;&gt;"",TODAY()&gt;G2847),TODAY()-G2847,0)</x:f>
        <x:v>82</x:v>
      </x:c>
      <x:c r="N2847" s="24" t="str">
        <x:f>IF(J2847&gt;0,"미수",IF(AND(H2847&gt;0,I2847&gt;=H2847),"완납","미확인"))</x:f>
        <x:v>미수</x:v>
      </x:c>
      <x:c r="O2847" s="31" t="n">
        <x:v>26</x:v>
      </x:c>
    </x:row>
    <x:row r="2848" ht="17.25" customHeight="1">
      <x:c r="A2848" s="24" t="str">
        <x:v>PR-B-01부3634-202604</x:v>
      </x:c>
      <x:c r="B2848" s="24" t="str">
        <x:v>프라임구독</x:v>
      </x:c>
      <x:c r="C2848" s="24" t="str">
        <x:v>PR-C-01부3634-1-20230821-6</x:v>
      </x:c>
      <x:c r="D2848" s="24" t="str">
        <x:v>01부3634</x:v>
      </x:c>
      <x:c r="E2848" s="24" t="str">
        <x:v>김창준b</x:v>
      </x:c>
      <x:c r="F2848" s="24" t="str">
        <x:v>2026-04</x:v>
      </x:c>
      <x:c r="G2848" s="30" t="n">
        <x:v>46137</x:v>
      </x:c>
      <x:c r="H2848" s="32" t="n">
        <x:v>412000</x:v>
      </x:c>
      <x:c r="I2848" s="32" t="n">
        <x:v>412000</x:v>
      </x:c>
      <x:c r="J2848" s="32" t="n">
        <x:v>1248000</x:v>
      </x:c>
      <x:c r="K2848" s="30" t="n">
        <x:v>46137</x:v>
      </x:c>
      <x:c r="L2848" s="24" t="str">
        <x:v>입금</x:v>
      </x:c>
      <x:c r="M2848" s="31" t="n">
        <x:f>IF(AND(N2848="미수",G2848&lt;&gt;"",TODAY()&gt;G2848),TODAY()-G2848,0)</x:f>
        <x:v>112</x:v>
      </x:c>
      <x:c r="N2848" s="24" t="str">
        <x:f>IF(J2848&gt;0,"미수",IF(AND(H2848&gt;0,I2848&gt;=H2848),"완납","미확인"))</x:f>
        <x:v>미수</x:v>
      </x:c>
      <x:c r="O2848" s="31" t="n">
        <x:v>26</x:v>
      </x:c>
    </x:row>
    <x:row r="2849" ht="17.25" customHeight="1">
      <x:c r="A2849" s="24" t="str">
        <x:v>PR-B-01부3634-202603</x:v>
      </x:c>
      <x:c r="B2849" s="24" t="str">
        <x:v>프라임구독</x:v>
      </x:c>
      <x:c r="C2849" s="24" t="str">
        <x:v>PR-C-01부3634-1-20230821-6</x:v>
      </x:c>
      <x:c r="D2849" s="24" t="str">
        <x:v>01부3634</x:v>
      </x:c>
      <x:c r="E2849" s="24" t="str">
        <x:v>김창준b</x:v>
      </x:c>
      <x:c r="F2849" s="24" t="str">
        <x:v>2026-03</x:v>
      </x:c>
      <x:c r="G2849" s="30" t="n">
        <x:v>46106</x:v>
      </x:c>
      <x:c r="H2849" s="32" t="n">
        <x:v>412000</x:v>
      </x:c>
      <x:c r="I2849" s="32" t="n">
        <x:v>824000</x:v>
      </x:c>
      <x:c r="J2849" s="32" t="n">
        <x:v>1248000</x:v>
      </x:c>
      <x:c r="K2849" s="30" t="n">
        <x:v>46097</x:v>
      </x:c>
      <x:c r="L2849" s="24" t="str">
        <x:v>입금</x:v>
      </x:c>
      <x:c r="M2849" s="31" t="n">
        <x:f>IF(AND(N2849="미수",G2849&lt;&gt;"",TODAY()&gt;G2849),TODAY()-G2849,0)</x:f>
        <x:v>143</x:v>
      </x:c>
      <x:c r="N2849" s="24" t="str">
        <x:f>IF(J2849&gt;0,"미수",IF(AND(H2849&gt;0,I2849&gt;=H2849),"완납","미확인"))</x:f>
        <x:v>미수</x:v>
      </x:c>
      <x:c r="O2849" s="31" t="n">
        <x:v>26</x:v>
      </x:c>
    </x:row>
    <x:row r="2850" ht="17.25" customHeight="1">
      <x:c r="A2850" s="24" t="str">
        <x:v>PR-B-01부3634-202602</x:v>
      </x:c>
      <x:c r="B2850" s="24" t="str">
        <x:v>프라임구독</x:v>
      </x:c>
      <x:c r="C2850" s="24" t="str">
        <x:v>PR-C-01부3634-1-20230821-6</x:v>
      </x:c>
      <x:c r="D2850" s="24" t="str">
        <x:v>01부3634</x:v>
      </x:c>
      <x:c r="E2850" s="24" t="str">
        <x:v>김창준b</x:v>
      </x:c>
      <x:c r="F2850" s="24" t="str">
        <x:v>2026-02</x:v>
      </x:c>
      <x:c r="G2850" s="30" t="n">
        <x:v>46078</x:v>
      </x:c>
      <x:c r="H2850" s="32" t="n">
        <x:v>412000</x:v>
      </x:c>
      <x:c r="I2850" s="32"/>
      <x:c r="J2850" s="32" t="n">
        <x:v>1660000</x:v>
      </x:c>
      <x:c r="K2850" s="30"/>
      <x:c r="L2850" s="24" t="str"/>
      <x:c r="M2850" s="31" t="n">
        <x:f>IF(AND(N2850="미수",G2850&lt;&gt;"",TODAY()&gt;G2850),TODAY()-G2850,0)</x:f>
        <x:v>171</x:v>
      </x:c>
      <x:c r="N2850" s="24" t="str">
        <x:f>IF(J2850&gt;0,"미수",IF(AND(H2850&gt;0,I2850&gt;=H2850),"완납","미확인"))</x:f>
        <x:v>미수</x:v>
      </x:c>
      <x:c r="O2850" s="31" t="n">
        <x:v>26</x:v>
      </x:c>
    </x:row>
    <x:row r="2851" ht="17.25" customHeight="1">
      <x:c r="A2851" s="24" t="str">
        <x:v>PR-B-01부3634-202601</x:v>
      </x:c>
      <x:c r="B2851" s="24" t="str">
        <x:v>프라임구독</x:v>
      </x:c>
      <x:c r="C2851" s="24" t="str">
        <x:v>PR-C-01부3634-1-20230821-6</x:v>
      </x:c>
      <x:c r="D2851" s="24" t="str">
        <x:v>01부3634</x:v>
      </x:c>
      <x:c r="E2851" s="24" t="str">
        <x:v>김창준b</x:v>
      </x:c>
      <x:c r="F2851" s="24" t="str">
        <x:v>2026-01</x:v>
      </x:c>
      <x:c r="G2851" s="30" t="n">
        <x:v>46047</x:v>
      </x:c>
      <x:c r="H2851" s="32" t="n">
        <x:v>412000</x:v>
      </x:c>
      <x:c r="I2851" s="32" t="n">
        <x:v>412000</x:v>
      </x:c>
      <x:c r="J2851" s="32" t="n">
        <x:v>1248000</x:v>
      </x:c>
      <x:c r="K2851" s="30" t="n">
        <x:v>46026</x:v>
      </x:c>
      <x:c r="L2851" s="24" t="str">
        <x:v>입금</x:v>
      </x:c>
      <x:c r="M2851" s="31" t="n">
        <x:f>IF(AND(N2851="미수",G2851&lt;&gt;"",TODAY()&gt;G2851),TODAY()-G2851,0)</x:f>
        <x:v>202</x:v>
      </x:c>
      <x:c r="N2851" s="24" t="str">
        <x:f>IF(J2851&gt;0,"미수",IF(AND(H2851&gt;0,I2851&gt;=H2851),"완납","미확인"))</x:f>
        <x:v>미수</x:v>
      </x:c>
      <x:c r="O2851" s="31" t="n">
        <x:v>26</x:v>
      </x:c>
    </x:row>
    <x:row r="2852" ht="17.25" customHeight="1">
      <x:c r="A2852" s="24" t="str">
        <x:v>PR-B-01부3634-202512</x:v>
      </x:c>
      <x:c r="B2852" s="24" t="str">
        <x:v>프라임구독</x:v>
      </x:c>
      <x:c r="C2852" s="24" t="str">
        <x:v>PR-C-01부3634-1-20230821-6</x:v>
      </x:c>
      <x:c r="D2852" s="24" t="str">
        <x:v>01부3634</x:v>
      </x:c>
      <x:c r="E2852" s="24" t="str">
        <x:v>김창준b</x:v>
      </x:c>
      <x:c r="F2852" s="24" t="str">
        <x:v>2025-12</x:v>
      </x:c>
      <x:c r="G2852" s="30" t="n">
        <x:v>46016</x:v>
      </x:c>
      <x:c r="H2852" s="32" t="n">
        <x:v>412000</x:v>
      </x:c>
      <x:c r="I2852" s="32" t="n">
        <x:v>412000</x:v>
      </x:c>
      <x:c r="J2852" s="32" t="n">
        <x:v>1248000</x:v>
      </x:c>
      <x:c r="K2852" s="30" t="n">
        <x:v>46006</x:v>
      </x:c>
      <x:c r="L2852" s="24" t="str">
        <x:v>입금</x:v>
      </x:c>
      <x:c r="M2852" s="31" t="n">
        <x:f>IF(AND(N2852="미수",G2852&lt;&gt;"",TODAY()&gt;G2852),TODAY()-G2852,0)</x:f>
        <x:v>233</x:v>
      </x:c>
      <x:c r="N2852" s="24" t="str">
        <x:f>IF(J2852&gt;0,"미수",IF(AND(H2852&gt;0,I2852&gt;=H2852),"완납","미확인"))</x:f>
        <x:v>미수</x:v>
      </x:c>
      <x:c r="O2852" s="31" t="n">
        <x:v>26</x:v>
      </x:c>
    </x:row>
    <x:row r="2853" ht="17.25" customHeight="1">
      <x:c r="A2853" s="24" t="str">
        <x:v>PR-B-01부3634-202511</x:v>
      </x:c>
      <x:c r="B2853" s="24" t="str">
        <x:v>프라임구독</x:v>
      </x:c>
      <x:c r="C2853" s="24" t="str">
        <x:v>PR-C-01부3634-1-20230821-6</x:v>
      </x:c>
      <x:c r="D2853" s="24" t="str">
        <x:v>01부3634</x:v>
      </x:c>
      <x:c r="E2853" s="24" t="str">
        <x:v>김창준b</x:v>
      </x:c>
      <x:c r="F2853" s="24" t="str">
        <x:v>2025-11</x:v>
      </x:c>
      <x:c r="G2853" s="30" t="n">
        <x:v>45986</x:v>
      </x:c>
      <x:c r="H2853" s="32" t="n">
        <x:v>412000</x:v>
      </x:c>
      <x:c r="I2853" s="32" t="n">
        <x:v>412000</x:v>
      </x:c>
      <x:c r="J2853" s="32" t="n">
        <x:v>1248000</x:v>
      </x:c>
      <x:c r="K2853" s="30" t="n">
        <x:v>45975</x:v>
      </x:c>
      <x:c r="L2853" s="24" t="str">
        <x:v>입금</x:v>
      </x:c>
      <x:c r="M2853" s="31" t="n">
        <x:f>IF(AND(N2853="미수",G2853&lt;&gt;"",TODAY()&gt;G2853),TODAY()-G2853,0)</x:f>
        <x:v>263</x:v>
      </x:c>
      <x:c r="N2853" s="24" t="str">
        <x:f>IF(J2853&gt;0,"미수",IF(AND(H2853&gt;0,I2853&gt;=H2853),"완납","미확인"))</x:f>
        <x:v>미수</x:v>
      </x:c>
      <x:c r="O2853" s="31" t="n">
        <x:v>26</x:v>
      </x:c>
    </x:row>
    <x:row r="2854" ht="17.25" customHeight="1">
      <x:c r="A2854" s="24" t="str">
        <x:v>PR-B-01부3634-202510</x:v>
      </x:c>
      <x:c r="B2854" s="24" t="str">
        <x:v>프라임구독</x:v>
      </x:c>
      <x:c r="C2854" s="24" t="str">
        <x:v>PR-C-01부3634-1-20230821-6</x:v>
      </x:c>
      <x:c r="D2854" s="24" t="str">
        <x:v>01부3634</x:v>
      </x:c>
      <x:c r="E2854" s="24" t="str">
        <x:v>김창준b</x:v>
      </x:c>
      <x:c r="F2854" s="24" t="str">
        <x:v>2025-10</x:v>
      </x:c>
      <x:c r="G2854" s="30" t="n">
        <x:v>45955</x:v>
      </x:c>
      <x:c r="H2854" s="32" t="n">
        <x:v>412000</x:v>
      </x:c>
      <x:c r="I2854" s="32" t="n">
        <x:v>412000</x:v>
      </x:c>
      <x:c r="J2854" s="32" t="n">
        <x:v>1248000</x:v>
      </x:c>
      <x:c r="K2854" s="30" t="n">
        <x:v>45943</x:v>
      </x:c>
      <x:c r="L2854" s="24" t="str">
        <x:v>입금</x:v>
      </x:c>
      <x:c r="M2854" s="31" t="n">
        <x:f>IF(AND(N2854="미수",G2854&lt;&gt;"",TODAY()&gt;G2854),TODAY()-G2854,0)</x:f>
        <x:v>294</x:v>
      </x:c>
      <x:c r="N2854" s="24" t="str">
        <x:f>IF(J2854&gt;0,"미수",IF(AND(H2854&gt;0,I2854&gt;=H2854),"완납","미확인"))</x:f>
        <x:v>미수</x:v>
      </x:c>
      <x:c r="O2854" s="31" t="n">
        <x:v>26</x:v>
      </x:c>
    </x:row>
    <x:row r="2855" ht="17.25" customHeight="1">
      <x:c r="A2855" s="24" t="str">
        <x:v>PR-B-01부3634-202509</x:v>
      </x:c>
      <x:c r="B2855" s="24" t="str">
        <x:v>프라임구독</x:v>
      </x:c>
      <x:c r="C2855" s="24" t="str">
        <x:v>PR-C-01부3634-1-20230821-6</x:v>
      </x:c>
      <x:c r="D2855" s="24" t="str">
        <x:v>01부3634</x:v>
      </x:c>
      <x:c r="E2855" s="24" t="str">
        <x:v>김창준b</x:v>
      </x:c>
      <x:c r="F2855" s="24" t="str">
        <x:v>2025-09</x:v>
      </x:c>
      <x:c r="G2855" s="30" t="n">
        <x:v>45925</x:v>
      </x:c>
      <x:c r="H2855" s="32" t="n">
        <x:v>412000</x:v>
      </x:c>
      <x:c r="I2855" s="32"/>
      <x:c r="J2855" s="32" t="n">
        <x:v>1248000</x:v>
      </x:c>
      <x:c r="K2855" s="30"/>
      <x:c r="L2855" s="24" t="str"/>
      <x:c r="M2855" s="31" t="n">
        <x:f>IF(AND(N2855="미수",G2855&lt;&gt;"",TODAY()&gt;G2855),TODAY()-G2855,0)</x:f>
        <x:v>324</x:v>
      </x:c>
      <x:c r="N2855" s="24" t="str">
        <x:f>IF(J2855&gt;0,"미수",IF(AND(H2855&gt;0,I2855&gt;=H2855),"완납","미확인"))</x:f>
        <x:v>미수</x:v>
      </x:c>
      <x:c r="O2855" s="31" t="n">
        <x:v>26</x:v>
      </x:c>
    </x:row>
    <x:row r="2856" ht="17.25" customHeight="1">
      <x:c r="A2856" s="24" t="str">
        <x:v>PR-B-01부3634-202508</x:v>
      </x:c>
      <x:c r="B2856" s="24" t="str">
        <x:v>프라임구독</x:v>
      </x:c>
      <x:c r="C2856" s="24" t="str">
        <x:v>PR-C-01부3634-1-20230821-6</x:v>
      </x:c>
      <x:c r="D2856" s="24" t="str">
        <x:v>01부3634</x:v>
      </x:c>
      <x:c r="E2856" s="24" t="str">
        <x:v>김창준b</x:v>
      </x:c>
      <x:c r="F2856" s="24" t="str">
        <x:v>2025-08</x:v>
      </x:c>
      <x:c r="G2856" s="30" t="n">
        <x:v>45894</x:v>
      </x:c>
      <x:c r="H2856" s="32" t="n">
        <x:v>412000</x:v>
      </x:c>
      <x:c r="I2856" s="32" t="n">
        <x:v>412000</x:v>
      </x:c>
      <x:c r="J2856" s="32" t="n">
        <x:v>836000</x:v>
      </x:c>
      <x:c r="K2856" s="30" t="n">
        <x:v>45887</x:v>
      </x:c>
      <x:c r="L2856" s="24" t="str">
        <x:v>입금</x:v>
      </x:c>
      <x:c r="M2856" s="31" t="n">
        <x:f>IF(AND(N2856="미수",G2856&lt;&gt;"",TODAY()&gt;G2856),TODAY()-G2856,0)</x:f>
        <x:v>355</x:v>
      </x:c>
      <x:c r="N2856" s="24" t="str">
        <x:f>IF(J2856&gt;0,"미수",IF(AND(H2856&gt;0,I2856&gt;=H2856),"완납","미확인"))</x:f>
        <x:v>미수</x:v>
      </x:c>
      <x:c r="O2856" s="31" t="n">
        <x:v>26</x:v>
      </x:c>
    </x:row>
    <x:row r="2857" ht="17.25" customHeight="1">
      <x:c r="A2857" s="24" t="str">
        <x:v>PR-B-01부3634-202507</x:v>
      </x:c>
      <x:c r="B2857" s="24" t="str">
        <x:v>프라임구독</x:v>
      </x:c>
      <x:c r="C2857" s="24" t="str">
        <x:v>PR-C-01부3634-1-20230821-6</x:v>
      </x:c>
      <x:c r="D2857" s="24" t="str">
        <x:v>01부3634</x:v>
      </x:c>
      <x:c r="E2857" s="24" t="str">
        <x:v>김창준b</x:v>
      </x:c>
      <x:c r="F2857" s="24" t="str">
        <x:v>2025-07</x:v>
      </x:c>
      <x:c r="G2857" s="30" t="n">
        <x:v>45863</x:v>
      </x:c>
      <x:c r="H2857" s="32" t="n">
        <x:v>412000</x:v>
      </x:c>
      <x:c r="I2857" s="32" t="n">
        <x:v>412000</x:v>
      </x:c>
      <x:c r="J2857" s="32" t="n">
        <x:v>836000</x:v>
      </x:c>
      <x:c r="K2857" s="30" t="n">
        <x:v>45868</x:v>
      </x:c>
      <x:c r="L2857" s="24" t="str">
        <x:v>입금</x:v>
      </x:c>
      <x:c r="M2857" s="31" t="n">
        <x:f>IF(AND(N2857="미수",G2857&lt;&gt;"",TODAY()&gt;G2857),TODAY()-G2857,0)</x:f>
        <x:v>386</x:v>
      </x:c>
      <x:c r="N2857" s="24" t="str">
        <x:f>IF(J2857&gt;0,"미수",IF(AND(H2857&gt;0,I2857&gt;=H2857),"완납","미확인"))</x:f>
        <x:v>미수</x:v>
      </x:c>
      <x:c r="O2857" s="31" t="n">
        <x:v>26</x:v>
      </x:c>
    </x:row>
    <x:row r="2858" ht="17.25" customHeight="1">
      <x:c r="A2858" s="24" t="str">
        <x:v>PR-B-01부3634-202506</x:v>
      </x:c>
      <x:c r="B2858" s="24" t="str">
        <x:v>프라임구독</x:v>
      </x:c>
      <x:c r="C2858" s="24" t="str">
        <x:v>PR-C-01부3634-1-20230821-6</x:v>
      </x:c>
      <x:c r="D2858" s="24" t="str">
        <x:v>01부3634</x:v>
      </x:c>
      <x:c r="E2858" s="24" t="str">
        <x:v>김창준b</x:v>
      </x:c>
      <x:c r="F2858" s="24" t="str">
        <x:v>2025-06</x:v>
      </x:c>
      <x:c r="G2858" s="30" t="n">
        <x:v>45833</x:v>
      </x:c>
      <x:c r="H2858" s="32" t="n">
        <x:v>412000</x:v>
      </x:c>
      <x:c r="I2858" s="32" t="n">
        <x:v>412000</x:v>
      </x:c>
      <x:c r="J2858" s="32" t="n">
        <x:v>836000</x:v>
      </x:c>
      <x:c r="K2858" s="30" t="n">
        <x:v>45835</x:v>
      </x:c>
      <x:c r="L2858" s="24" t="str">
        <x:v>입금</x:v>
      </x:c>
      <x:c r="M2858" s="31" t="n">
        <x:f>IF(AND(N2858="미수",G2858&lt;&gt;"",TODAY()&gt;G2858),TODAY()-G2858,0)</x:f>
        <x:v>416</x:v>
      </x:c>
      <x:c r="N2858" s="24" t="str">
        <x:f>IF(J2858&gt;0,"미수",IF(AND(H2858&gt;0,I2858&gt;=H2858),"완납","미확인"))</x:f>
        <x:v>미수</x:v>
      </x:c>
      <x:c r="O2858" s="31" t="n">
        <x:v>26</x:v>
      </x:c>
    </x:row>
    <x:row r="2859" ht="17.25" customHeight="1">
      <x:c r="A2859" s="24" t="str">
        <x:v>PR-B-01부3634-202505</x:v>
      </x:c>
      <x:c r="B2859" s="24" t="str">
        <x:v>프라임구독</x:v>
      </x:c>
      <x:c r="C2859" s="24" t="str">
        <x:v>PR-C-01부3634-1-20230821-6</x:v>
      </x:c>
      <x:c r="D2859" s="24" t="str">
        <x:v>01부3634</x:v>
      </x:c>
      <x:c r="E2859" s="24" t="str">
        <x:v>김창준b</x:v>
      </x:c>
      <x:c r="F2859" s="24" t="str">
        <x:v>2025-05</x:v>
      </x:c>
      <x:c r="G2859" s="30" t="n">
        <x:v>45802</x:v>
      </x:c>
      <x:c r="H2859" s="32" t="n">
        <x:v>412000</x:v>
      </x:c>
      <x:c r="I2859" s="32" t="n">
        <x:v>812000</x:v>
      </x:c>
      <x:c r="J2859" s="32" t="n">
        <x:v>836000</x:v>
      </x:c>
      <x:c r="K2859" s="30" t="n">
        <x:v>45802</x:v>
      </x:c>
      <x:c r="L2859" s="24" t="str">
        <x:v>입금</x:v>
      </x:c>
      <x:c r="M2859" s="31" t="n">
        <x:f>IF(AND(N2859="미수",G2859&lt;&gt;"",TODAY()&gt;G2859),TODAY()-G2859,0)</x:f>
        <x:v>447</x:v>
      </x:c>
      <x:c r="N2859" s="24" t="str">
        <x:f>IF(J2859&gt;0,"미수",IF(AND(H2859&gt;0,I2859&gt;=H2859),"완납","미확인"))</x:f>
        <x:v>미수</x:v>
      </x:c>
      <x:c r="O2859" s="31" t="n">
        <x:v>26</x:v>
      </x:c>
    </x:row>
    <x:row r="2860" ht="17.25" customHeight="1">
      <x:c r="A2860" s="24" t="str">
        <x:v>PR-B-01부3634-202504</x:v>
      </x:c>
      <x:c r="B2860" s="24" t="str">
        <x:v>프라임구독</x:v>
      </x:c>
      <x:c r="C2860" s="24" t="str">
        <x:v>PR-C-01부3634-1-20230821-6</x:v>
      </x:c>
      <x:c r="D2860" s="24" t="str">
        <x:v>01부3634</x:v>
      </x:c>
      <x:c r="E2860" s="24" t="str">
        <x:v>김창준b</x:v>
      </x:c>
      <x:c r="F2860" s="24" t="str">
        <x:v>2025-04</x:v>
      </x:c>
      <x:c r="G2860" s="30" t="n">
        <x:v>45772</x:v>
      </x:c>
      <x:c r="H2860" s="32" t="n">
        <x:v>412000</x:v>
      </x:c>
      <x:c r="I2860" s="32"/>
      <x:c r="J2860" s="32" t="n">
        <x:v>1236000</x:v>
      </x:c>
      <x:c r="K2860" s="30"/>
      <x:c r="L2860" s="24" t="str"/>
      <x:c r="M2860" s="31" t="n">
        <x:f>IF(AND(N2860="미수",G2860&lt;&gt;"",TODAY()&gt;G2860),TODAY()-G2860,0)</x:f>
        <x:v>477</x:v>
      </x:c>
      <x:c r="N2860" s="24" t="str">
        <x:f>IF(J2860&gt;0,"미수",IF(AND(H2860&gt;0,I2860&gt;=H2860),"완납","미확인"))</x:f>
        <x:v>미수</x:v>
      </x:c>
      <x:c r="O2860" s="31" t="n">
        <x:v>26</x:v>
      </x:c>
    </x:row>
    <x:row r="2861" ht="17.25" customHeight="1">
      <x:c r="A2861" s="24" t="str">
        <x:v>PR-B-01부3634-202503</x:v>
      </x:c>
      <x:c r="B2861" s="24" t="str">
        <x:v>프라임구독</x:v>
      </x:c>
      <x:c r="C2861" s="24" t="str">
        <x:v>PR-C-01부3634-1-20230821-6</x:v>
      </x:c>
      <x:c r="D2861" s="24" t="str">
        <x:v>01부3634</x:v>
      </x:c>
      <x:c r="E2861" s="24" t="str">
        <x:v>김창준b</x:v>
      </x:c>
      <x:c r="F2861" s="24" t="str">
        <x:v>2025-03</x:v>
      </x:c>
      <x:c r="G2861" s="30" t="n">
        <x:v>45741</x:v>
      </x:c>
      <x:c r="H2861" s="32" t="n">
        <x:v>412000</x:v>
      </x:c>
      <x:c r="I2861" s="32"/>
      <x:c r="J2861" s="32" t="n">
        <x:v>824000</x:v>
      </x:c>
      <x:c r="K2861" s="30"/>
      <x:c r="L2861" s="24" t="str"/>
      <x:c r="M2861" s="31" t="n">
        <x:f>IF(AND(N2861="미수",G2861&lt;&gt;"",TODAY()&gt;G2861),TODAY()-G2861,0)</x:f>
        <x:v>508</x:v>
      </x:c>
      <x:c r="N2861" s="24" t="str">
        <x:f>IF(J2861&gt;0,"미수",IF(AND(H2861&gt;0,I2861&gt;=H2861),"완납","미확인"))</x:f>
        <x:v>미수</x:v>
      </x:c>
      <x:c r="O2861" s="31" t="n">
        <x:v>26</x:v>
      </x:c>
    </x:row>
    <x:row r="2862" ht="17.25" customHeight="1">
      <x:c r="A2862" s="24" t="str">
        <x:v>PR-B-01부3634-202502</x:v>
      </x:c>
      <x:c r="B2862" s="24" t="str">
        <x:v>프라임구독</x:v>
      </x:c>
      <x:c r="C2862" s="24" t="str">
        <x:v>PR-C-01부3634-1-20230821-6</x:v>
      </x:c>
      <x:c r="D2862" s="24" t="str">
        <x:v>01부3634</x:v>
      </x:c>
      <x:c r="E2862" s="24" t="str">
        <x:v>김창준b</x:v>
      </x:c>
      <x:c r="F2862" s="24" t="str">
        <x:v>2025-02</x:v>
      </x:c>
      <x:c r="G2862" s="30" t="n">
        <x:v>45713</x:v>
      </x:c>
      <x:c r="H2862" s="32" t="n">
        <x:v>412000</x:v>
      </x:c>
      <x:c r="I2862" s="32"/>
      <x:c r="J2862" s="32" t="n">
        <x:v>412000</x:v>
      </x:c>
      <x:c r="K2862" s="30"/>
      <x:c r="L2862" s="24" t="str"/>
      <x:c r="M2862" s="31" t="n">
        <x:f>IF(AND(N2862="미수",G2862&lt;&gt;"",TODAY()&gt;G2862),TODAY()-G2862,0)</x:f>
        <x:v>536</x:v>
      </x:c>
      <x:c r="N2862" s="24" t="str">
        <x:f>IF(J2862&gt;0,"미수",IF(AND(H2862&gt;0,I2862&gt;=H2862),"완납","미확인"))</x:f>
        <x:v>미수</x:v>
      </x:c>
      <x:c r="O2862" s="31" t="n">
        <x:v>26</x:v>
      </x:c>
    </x:row>
    <x:row r="2863" ht="17.25" customHeight="1">
      <x:c r="A2863" s="24" t="str">
        <x:v>PR-B-01부3634-202501</x:v>
      </x:c>
      <x:c r="B2863" s="24" t="str">
        <x:v>프라임구독</x:v>
      </x:c>
      <x:c r="C2863" s="24" t="str">
        <x:v>PR-C-01부3634-1-20230821-6</x:v>
      </x:c>
      <x:c r="D2863" s="24" t="str">
        <x:v>01부3634</x:v>
      </x:c>
      <x:c r="E2863" s="24" t="str">
        <x:v>김창준b</x:v>
      </x:c>
      <x:c r="F2863" s="24" t="str">
        <x:v>2025-01</x:v>
      </x:c>
      <x:c r="G2863" s="30" t="n">
        <x:v>45682</x:v>
      </x:c>
      <x:c r="H2863" s="32" t="n">
        <x:v>412000</x:v>
      </x:c>
      <x:c r="I2863" s="32" t="n">
        <x:v>412000</x:v>
      </x:c>
      <x:c r="J2863" s="32" t="n">
        <x:v>0</x:v>
      </x:c>
      <x:c r="K2863" s="30" t="n">
        <x:v>45701</x:v>
      </x:c>
      <x:c r="L2863" s="24" t="str">
        <x:v>입금</x:v>
      </x:c>
      <x:c r="M2863" s="31" t="n">
        <x:f>IF(AND(N2863="미수",G2863&lt;&gt;"",TODAY()&gt;G2863),TODAY()-G2863,0)</x:f>
        <x:v>0</x:v>
      </x:c>
      <x:c r="N2863" s="24" t="str">
        <x:f>IF(J2863&gt;0,"미수",IF(AND(H2863&gt;0,I2863&gt;=H2863),"완납","미확인"))</x:f>
        <x:v>완납</x:v>
      </x:c>
      <x:c r="O2863" s="31" t="n">
        <x:v>26</x:v>
      </x:c>
    </x:row>
    <x:row r="2864" ht="17.25" customHeight="1">
      <x:c r="A2864" s="24" t="str">
        <x:v>PR-B-01부3634-202412</x:v>
      </x:c>
      <x:c r="B2864" s="24" t="str">
        <x:v>프라임구독</x:v>
      </x:c>
      <x:c r="C2864" s="24" t="str">
        <x:v>PR-C-01부3634-1-20230821-6</x:v>
      </x:c>
      <x:c r="D2864" s="24" t="str">
        <x:v>01부3634</x:v>
      </x:c>
      <x:c r="E2864" s="24" t="str">
        <x:v>김창준b</x:v>
      </x:c>
      <x:c r="F2864" s="24" t="str">
        <x:v>2024-12</x:v>
      </x:c>
      <x:c r="G2864" s="30" t="n">
        <x:v>45651</x:v>
      </x:c>
      <x:c r="H2864" s="32" t="n">
        <x:v>412000</x:v>
      </x:c>
      <x:c r="I2864" s="32" t="n">
        <x:v>412000</x:v>
      </x:c>
      <x:c r="J2864" s="32" t="n">
        <x:v>0</x:v>
      </x:c>
      <x:c r="K2864" s="30" t="n">
        <x:v>45673</x:v>
      </x:c>
      <x:c r="L2864" s="24" t="str">
        <x:v>입금</x:v>
      </x:c>
      <x:c r="M2864" s="31" t="n">
        <x:f>IF(AND(N2864="미수",G2864&lt;&gt;"",TODAY()&gt;G2864),TODAY()-G2864,0)</x:f>
        <x:v>0</x:v>
      </x:c>
      <x:c r="N2864" s="24" t="str">
        <x:f>IF(J2864&gt;0,"미수",IF(AND(H2864&gt;0,I2864&gt;=H2864),"완납","미확인"))</x:f>
        <x:v>완납</x:v>
      </x:c>
      <x:c r="O2864" s="31" t="n">
        <x:v>26</x:v>
      </x:c>
    </x:row>
    <x:row r="2865" ht="17.25" customHeight="1">
      <x:c r="A2865" s="24" t="str">
        <x:v>PR-B-01부3634-202411</x:v>
      </x:c>
      <x:c r="B2865" s="24" t="str">
        <x:v>프라임구독</x:v>
      </x:c>
      <x:c r="C2865" s="24" t="str">
        <x:v>PR-C-01부3634-1-20230821-6</x:v>
      </x:c>
      <x:c r="D2865" s="24" t="str">
        <x:v>01부3634</x:v>
      </x:c>
      <x:c r="E2865" s="24" t="str">
        <x:v>김창준b</x:v>
      </x:c>
      <x:c r="F2865" s="24" t="str">
        <x:v>2024-11</x:v>
      </x:c>
      <x:c r="G2865" s="30" t="n">
        <x:v>45621</x:v>
      </x:c>
      <x:c r="H2865" s="32" t="n">
        <x:v>412000</x:v>
      </x:c>
      <x:c r="I2865" s="32" t="n">
        <x:v>412000</x:v>
      </x:c>
      <x:c r="J2865" s="32" t="n">
        <x:v>0</x:v>
      </x:c>
      <x:c r="K2865" s="30" t="n">
        <x:v>45642</x:v>
      </x:c>
      <x:c r="L2865" s="24" t="str">
        <x:v>입금</x:v>
      </x:c>
      <x:c r="M2865" s="31" t="n">
        <x:f>IF(AND(N2865="미수",G2865&lt;&gt;"",TODAY()&gt;G2865),TODAY()-G2865,0)</x:f>
        <x:v>0</x:v>
      </x:c>
      <x:c r="N2865" s="24" t="str">
        <x:f>IF(J2865&gt;0,"미수",IF(AND(H2865&gt;0,I2865&gt;=H2865),"완납","미확인"))</x:f>
        <x:v>완납</x:v>
      </x:c>
      <x:c r="O2865" s="31" t="n">
        <x:v>26</x:v>
      </x:c>
    </x:row>
    <x:row r="2866" ht="17.25" customHeight="1">
      <x:c r="A2866" s="24" t="str">
        <x:v>PR-B-01부3634-202410</x:v>
      </x:c>
      <x:c r="B2866" s="24" t="str">
        <x:v>프라임구독</x:v>
      </x:c>
      <x:c r="C2866" s="24" t="str">
        <x:v>PR-C-01부3634-1-20230821-6</x:v>
      </x:c>
      <x:c r="D2866" s="24" t="str">
        <x:v>01부3634</x:v>
      </x:c>
      <x:c r="E2866" s="24" t="str">
        <x:v>김창준b</x:v>
      </x:c>
      <x:c r="F2866" s="24" t="str">
        <x:v>2024-10</x:v>
      </x:c>
      <x:c r="G2866" s="30" t="n">
        <x:v>45590</x:v>
      </x:c>
      <x:c r="H2866" s="32" t="n">
        <x:v>412000</x:v>
      </x:c>
      <x:c r="I2866" s="32" t="n">
        <x:v>412000</x:v>
      </x:c>
      <x:c r="J2866" s="32" t="n">
        <x:v>0</x:v>
      </x:c>
      <x:c r="K2866" s="30" t="n">
        <x:v>45602</x:v>
      </x:c>
      <x:c r="L2866" s="24" t="str">
        <x:v>입금</x:v>
      </x:c>
      <x:c r="M2866" s="31" t="n">
        <x:f>IF(AND(N2866="미수",G2866&lt;&gt;"",TODAY()&gt;G2866),TODAY()-G2866,0)</x:f>
        <x:v>0</x:v>
      </x:c>
      <x:c r="N2866" s="24" t="str">
        <x:f>IF(J2866&gt;0,"미수",IF(AND(H2866&gt;0,I2866&gt;=H2866),"완납","미확인"))</x:f>
        <x:v>완납</x:v>
      </x:c>
      <x:c r="O2866" s="31" t="n">
        <x:v>26</x:v>
      </x:c>
    </x:row>
    <x:row r="2867" ht="17.25" customHeight="1">
      <x:c r="A2867" s="24" t="str">
        <x:v>PR-B-01부3634-202409</x:v>
      </x:c>
      <x:c r="B2867" s="24" t="str">
        <x:v>프라임구독</x:v>
      </x:c>
      <x:c r="C2867" s="24" t="str">
        <x:v>PR-C-01부3634-1-20230821-6</x:v>
      </x:c>
      <x:c r="D2867" s="24" t="str">
        <x:v>01부3634</x:v>
      </x:c>
      <x:c r="E2867" s="24" t="str">
        <x:v>김창준b</x:v>
      </x:c>
      <x:c r="F2867" s="24" t="str">
        <x:v>2024-09</x:v>
      </x:c>
      <x:c r="G2867" s="30" t="n">
        <x:v>45560</x:v>
      </x:c>
      <x:c r="H2867" s="32" t="n">
        <x:v>412000</x:v>
      </x:c>
      <x:c r="I2867" s="32" t="n">
        <x:v>412000</x:v>
      </x:c>
      <x:c r="J2867" s="32" t="n">
        <x:v>0</x:v>
      </x:c>
      <x:c r="K2867" s="30" t="n">
        <x:v>45565</x:v>
      </x:c>
      <x:c r="L2867" s="24" t="str">
        <x:v>입금</x:v>
      </x:c>
      <x:c r="M2867" s="31" t="n">
        <x:f>IF(AND(N2867="미수",G2867&lt;&gt;"",TODAY()&gt;G2867),TODAY()-G2867,0)</x:f>
        <x:v>0</x:v>
      </x:c>
      <x:c r="N2867" s="24" t="str">
        <x:f>IF(J2867&gt;0,"미수",IF(AND(H2867&gt;0,I2867&gt;=H2867),"완납","미확인"))</x:f>
        <x:v>완납</x:v>
      </x:c>
      <x:c r="O2867" s="31" t="n">
        <x:v>26</x:v>
      </x:c>
    </x:row>
    <x:row r="2868" ht="17.25" customHeight="1">
      <x:c r="A2868" s="24" t="str">
        <x:v>PR-B-01부3634-202408</x:v>
      </x:c>
      <x:c r="B2868" s="24" t="str">
        <x:v>프라임구독</x:v>
      </x:c>
      <x:c r="C2868" s="24" t="str">
        <x:v>PR-C-01부3634-1-20230821-6</x:v>
      </x:c>
      <x:c r="D2868" s="24" t="str">
        <x:v>01부3634</x:v>
      </x:c>
      <x:c r="E2868" s="24" t="str">
        <x:v>김창준b</x:v>
      </x:c>
      <x:c r="F2868" s="24" t="str">
        <x:v>2024-08</x:v>
      </x:c>
      <x:c r="G2868" s="30" t="n">
        <x:v>45529</x:v>
      </x:c>
      <x:c r="H2868" s="32" t="n">
        <x:v>412000</x:v>
      </x:c>
      <x:c r="I2868" s="32" t="n">
        <x:v>412000</x:v>
      </x:c>
      <x:c r="J2868" s="32" t="n">
        <x:v>0</x:v>
      </x:c>
      <x:c r="K2868" s="30" t="n">
        <x:v>45528</x:v>
      </x:c>
      <x:c r="L2868" s="24" t="str">
        <x:v>입금</x:v>
      </x:c>
      <x:c r="M2868" s="31" t="n">
        <x:f>IF(AND(N2868="미수",G2868&lt;&gt;"",TODAY()&gt;G2868),TODAY()-G2868,0)</x:f>
        <x:v>0</x:v>
      </x:c>
      <x:c r="N2868" s="24" t="str">
        <x:f>IF(J2868&gt;0,"미수",IF(AND(H2868&gt;0,I2868&gt;=H2868),"완납","미확인"))</x:f>
        <x:v>완납</x:v>
      </x:c>
      <x:c r="O2868" s="31" t="n">
        <x:v>26</x:v>
      </x:c>
    </x:row>
    <x:row r="2869" ht="17.25" customHeight="1">
      <x:c r="A2869" s="24" t="str">
        <x:v>PR-B-01부3634-202407</x:v>
      </x:c>
      <x:c r="B2869" s="24" t="str">
        <x:v>프라임구독</x:v>
      </x:c>
      <x:c r="C2869" s="24" t="str">
        <x:v>PR-C-01부3634-1-20230821-6</x:v>
      </x:c>
      <x:c r="D2869" s="24" t="str">
        <x:v>01부3634</x:v>
      </x:c>
      <x:c r="E2869" s="24" t="str">
        <x:v>김창준b</x:v>
      </x:c>
      <x:c r="F2869" s="24" t="str">
        <x:v>2024-07</x:v>
      </x:c>
      <x:c r="G2869" s="30" t="n">
        <x:v>45498</x:v>
      </x:c>
      <x:c r="H2869" s="32" t="n">
        <x:v>412000</x:v>
      </x:c>
      <x:c r="I2869" s="32" t="n">
        <x:v>412000</x:v>
      </x:c>
      <x:c r="J2869" s="32" t="n">
        <x:v>0</x:v>
      </x:c>
      <x:c r="K2869" s="30" t="n">
        <x:v>45505</x:v>
      </x:c>
      <x:c r="L2869" s="24" t="str">
        <x:v>입금</x:v>
      </x:c>
      <x:c r="M2869" s="31" t="n">
        <x:f>IF(AND(N2869="미수",G2869&lt;&gt;"",TODAY()&gt;G2869),TODAY()-G2869,0)</x:f>
        <x:v>0</x:v>
      </x:c>
      <x:c r="N2869" s="24" t="str">
        <x:f>IF(J2869&gt;0,"미수",IF(AND(H2869&gt;0,I2869&gt;=H2869),"완납","미확인"))</x:f>
        <x:v>완납</x:v>
      </x:c>
      <x:c r="O2869" s="31" t="n">
        <x:v>26</x:v>
      </x:c>
    </x:row>
    <x:row r="2870" ht="17.25" customHeight="1">
      <x:c r="A2870" s="24" t="str">
        <x:v>PR-B-01부3634-202406</x:v>
      </x:c>
      <x:c r="B2870" s="24" t="str">
        <x:v>프라임구독</x:v>
      </x:c>
      <x:c r="C2870" s="24" t="str">
        <x:v>PR-C-01부3634-1-20230821-6</x:v>
      </x:c>
      <x:c r="D2870" s="24" t="str">
        <x:v>01부3634</x:v>
      </x:c>
      <x:c r="E2870" s="24" t="str">
        <x:v>김창준b</x:v>
      </x:c>
      <x:c r="F2870" s="24" t="str">
        <x:v>2024-06</x:v>
      </x:c>
      <x:c r="G2870" s="30" t="n">
        <x:v>45468</x:v>
      </x:c>
      <x:c r="H2870" s="32" t="n">
        <x:v>412000</x:v>
      </x:c>
      <x:c r="I2870" s="32" t="n">
        <x:v>412000</x:v>
      </x:c>
      <x:c r="J2870" s="32" t="n">
        <x:v>0</x:v>
      </x:c>
      <x:c r="K2870" s="30" t="n">
        <x:v>45467</x:v>
      </x:c>
      <x:c r="L2870" s="24" t="str"/>
      <x:c r="M2870" s="31" t="n">
        <x:f>IF(AND(N2870="미수",G2870&lt;&gt;"",TODAY()&gt;G2870),TODAY()-G2870,0)</x:f>
        <x:v>0</x:v>
      </x:c>
      <x:c r="N2870" s="24" t="str">
        <x:f>IF(J2870&gt;0,"미수",IF(AND(H2870&gt;0,I2870&gt;=H2870),"완납","미확인"))</x:f>
        <x:v>완납</x:v>
      </x:c>
      <x:c r="O2870" s="31" t="n">
        <x:v>26</x:v>
      </x:c>
    </x:row>
    <x:row r="2871" ht="17.25" customHeight="1">
      <x:c r="A2871" s="24" t="str">
        <x:v>PR-B-01부3634-202405</x:v>
      </x:c>
      <x:c r="B2871" s="24" t="str">
        <x:v>프라임구독</x:v>
      </x:c>
      <x:c r="C2871" s="24" t="str">
        <x:v>PR-C-01부3634-1-20230821-6</x:v>
      </x:c>
      <x:c r="D2871" s="24" t="str">
        <x:v>01부3634</x:v>
      </x:c>
      <x:c r="E2871" s="24" t="str">
        <x:v>김창준b</x:v>
      </x:c>
      <x:c r="F2871" s="24" t="str">
        <x:v>2024-05</x:v>
      </x:c>
      <x:c r="G2871" s="30" t="n">
        <x:v>45437</x:v>
      </x:c>
      <x:c r="H2871" s="32" t="n">
        <x:v>412000</x:v>
      </x:c>
      <x:c r="I2871" s="32" t="n">
        <x:v>412000</x:v>
      </x:c>
      <x:c r="J2871" s="32" t="n">
        <x:v>0</x:v>
      </x:c>
      <x:c r="K2871" s="30" t="n">
        <x:v>45439</x:v>
      </x:c>
      <x:c r="L2871" s="24" t="str"/>
      <x:c r="M2871" s="31" t="n">
        <x:f>IF(AND(N2871="미수",G2871&lt;&gt;"",TODAY()&gt;G2871),TODAY()-G2871,0)</x:f>
        <x:v>0</x:v>
      </x:c>
      <x:c r="N2871" s="24" t="str">
        <x:f>IF(J2871&gt;0,"미수",IF(AND(H2871&gt;0,I2871&gt;=H2871),"완납","미확인"))</x:f>
        <x:v>완납</x:v>
      </x:c>
      <x:c r="O2871" s="31" t="n">
        <x:v>26</x:v>
      </x:c>
    </x:row>
    <x:row r="2872" ht="17.25" customHeight="1">
      <x:c r="A2872" s="24" t="str">
        <x:v>PR-B-113더8112-202608</x:v>
      </x:c>
      <x:c r="B2872" s="24" t="str">
        <x:v>프라임구독</x:v>
      </x:c>
      <x:c r="C2872" s="24" t="str">
        <x:v>PR-C-113더8112-1-20230817-27</x:v>
      </x:c>
      <x:c r="D2872" s="24" t="str">
        <x:v>113더8112</x:v>
      </x:c>
      <x:c r="E2872" s="24" t="str">
        <x:v>곽현중</x:v>
      </x:c>
      <x:c r="F2872" s="24" t="str">
        <x:v>2026-08</x:v>
      </x:c>
      <x:c r="G2872" s="30" t="n">
        <x:v>46259</x:v>
      </x:c>
      <x:c r="H2872" s="32" t="n">
        <x:v>781000</x:v>
      </x:c>
      <x:c r="I2872" s="32"/>
      <x:c r="J2872" s="32" t="n">
        <x:v>12496000</x:v>
      </x:c>
      <x:c r="K2872" s="30"/>
      <x:c r="L2872" s="24" t="str"/>
      <x:c r="M2872" s="31" t="n">
        <x:f>IF(AND(N2872="미수",G2872&lt;&gt;"",TODAY()&gt;G2872),TODAY()-G2872,0)</x:f>
        <x:v>0</x:v>
      </x:c>
      <x:c r="N2872" s="24" t="str">
        <x:f>IF(J2872&gt;0,"미수",IF(AND(H2872&gt;0,I2872&gt;=H2872),"완납","미확인"))</x:f>
        <x:v>미수</x:v>
      </x:c>
      <x:c r="O2872" s="31" t="n">
        <x:v>27</x:v>
      </x:c>
    </x:row>
    <x:row r="2873" ht="17.25" customHeight="1">
      <x:c r="A2873" s="24" t="str">
        <x:v>PR-B-113더8112-202607</x:v>
      </x:c>
      <x:c r="B2873" s="24" t="str">
        <x:v>프라임구독</x:v>
      </x:c>
      <x:c r="C2873" s="24" t="str">
        <x:v>PR-C-113더8112-1-20230817-27</x:v>
      </x:c>
      <x:c r="D2873" s="24" t="str">
        <x:v>113더8112</x:v>
      </x:c>
      <x:c r="E2873" s="24" t="str">
        <x:v>곽현중</x:v>
      </x:c>
      <x:c r="F2873" s="24" t="str">
        <x:v>2026-07</x:v>
      </x:c>
      <x:c r="G2873" s="30" t="n">
        <x:v>46228</x:v>
      </x:c>
      <x:c r="H2873" s="32" t="n">
        <x:v>781000</x:v>
      </x:c>
      <x:c r="I2873" s="32"/>
      <x:c r="J2873" s="32" t="n">
        <x:v>11715000</x:v>
      </x:c>
      <x:c r="K2873" s="30"/>
      <x:c r="L2873" s="24" t="str"/>
      <x:c r="M2873" s="31" t="n">
        <x:f>IF(AND(N2873="미수",G2873&lt;&gt;"",TODAY()&gt;G2873),TODAY()-G2873,0)</x:f>
        <x:v>21</x:v>
      </x:c>
      <x:c r="N2873" s="24" t="str">
        <x:f>IF(J2873&gt;0,"미수",IF(AND(H2873&gt;0,I2873&gt;=H2873),"완납","미확인"))</x:f>
        <x:v>미수</x:v>
      </x:c>
      <x:c r="O2873" s="31" t="n">
        <x:v>27</x:v>
      </x:c>
    </x:row>
    <x:row r="2874" ht="17.25" customHeight="1">
      <x:c r="A2874" s="24" t="str">
        <x:v>PR-B-113더8112-202606</x:v>
      </x:c>
      <x:c r="B2874" s="24" t="str">
        <x:v>프라임구독</x:v>
      </x:c>
      <x:c r="C2874" s="24" t="str">
        <x:v>PR-C-113더8112-1-20230817-27</x:v>
      </x:c>
      <x:c r="D2874" s="24" t="str">
        <x:v>113더8112</x:v>
      </x:c>
      <x:c r="E2874" s="24" t="str">
        <x:v>곽현중</x:v>
      </x:c>
      <x:c r="F2874" s="24" t="str">
        <x:v>2026-06</x:v>
      </x:c>
      <x:c r="G2874" s="30" t="n">
        <x:v>46198</x:v>
      </x:c>
      <x:c r="H2874" s="32" t="n">
        <x:v>781000</x:v>
      </x:c>
      <x:c r="I2874" s="32"/>
      <x:c r="J2874" s="32" t="n">
        <x:v>10934000</x:v>
      </x:c>
      <x:c r="K2874" s="30"/>
      <x:c r="L2874" s="24" t="str"/>
      <x:c r="M2874" s="31" t="n">
        <x:f>IF(AND(N2874="미수",G2874&lt;&gt;"",TODAY()&gt;G2874),TODAY()-G2874,0)</x:f>
        <x:v>51</x:v>
      </x:c>
      <x:c r="N2874" s="24" t="str">
        <x:f>IF(J2874&gt;0,"미수",IF(AND(H2874&gt;0,I2874&gt;=H2874),"완납","미확인"))</x:f>
        <x:v>미수</x:v>
      </x:c>
      <x:c r="O2874" s="31" t="n">
        <x:v>27</x:v>
      </x:c>
    </x:row>
    <x:row r="2875" ht="17.25" customHeight="1">
      <x:c r="A2875" s="24" t="str">
        <x:v>PR-B-113더8112-202605</x:v>
      </x:c>
      <x:c r="B2875" s="24" t="str">
        <x:v>프라임구독</x:v>
      </x:c>
      <x:c r="C2875" s="24" t="str">
        <x:v>PR-C-113더8112-1-20230817-27</x:v>
      </x:c>
      <x:c r="D2875" s="24" t="str">
        <x:v>113더8112</x:v>
      </x:c>
      <x:c r="E2875" s="24" t="str">
        <x:v>곽현중</x:v>
      </x:c>
      <x:c r="F2875" s="24" t="str">
        <x:v>2026-05</x:v>
      </x:c>
      <x:c r="G2875" s="30" t="n">
        <x:v>46167</x:v>
      </x:c>
      <x:c r="H2875" s="32" t="n">
        <x:v>781000</x:v>
      </x:c>
      <x:c r="I2875" s="32"/>
      <x:c r="J2875" s="32" t="n">
        <x:v>10153000</x:v>
      </x:c>
      <x:c r="K2875" s="30"/>
      <x:c r="L2875" s="24" t="str"/>
      <x:c r="M2875" s="31" t="n">
        <x:f>IF(AND(N2875="미수",G2875&lt;&gt;"",TODAY()&gt;G2875),TODAY()-G2875,0)</x:f>
        <x:v>82</x:v>
      </x:c>
      <x:c r="N2875" s="24" t="str">
        <x:f>IF(J2875&gt;0,"미수",IF(AND(H2875&gt;0,I2875&gt;=H2875),"완납","미확인"))</x:f>
        <x:v>미수</x:v>
      </x:c>
      <x:c r="O2875" s="31" t="n">
        <x:v>27</x:v>
      </x:c>
    </x:row>
    <x:row r="2876" ht="17.25" customHeight="1">
      <x:c r="A2876" s="24" t="str">
        <x:v>PR-B-113더8112-202604</x:v>
      </x:c>
      <x:c r="B2876" s="24" t="str">
        <x:v>프라임구독</x:v>
      </x:c>
      <x:c r="C2876" s="24" t="str">
        <x:v>PR-C-113더8112-1-20230817-27</x:v>
      </x:c>
      <x:c r="D2876" s="24" t="str">
        <x:v>113더8112</x:v>
      </x:c>
      <x:c r="E2876" s="24" t="str">
        <x:v>곽현중</x:v>
      </x:c>
      <x:c r="F2876" s="24" t="str">
        <x:v>2026-04</x:v>
      </x:c>
      <x:c r="G2876" s="30" t="n">
        <x:v>46137</x:v>
      </x:c>
      <x:c r="H2876" s="32" t="n">
        <x:v>781000</x:v>
      </x:c>
      <x:c r="I2876" s="32"/>
      <x:c r="J2876" s="32" t="n">
        <x:v>9372000</x:v>
      </x:c>
      <x:c r="K2876" s="30"/>
      <x:c r="L2876" s="24" t="str"/>
      <x:c r="M2876" s="31" t="n">
        <x:f>IF(AND(N2876="미수",G2876&lt;&gt;"",TODAY()&gt;G2876),TODAY()-G2876,0)</x:f>
        <x:v>112</x:v>
      </x:c>
      <x:c r="N2876" s="24" t="str">
        <x:f>IF(J2876&gt;0,"미수",IF(AND(H2876&gt;0,I2876&gt;=H2876),"완납","미확인"))</x:f>
        <x:v>미수</x:v>
      </x:c>
      <x:c r="O2876" s="31" t="n">
        <x:v>27</x:v>
      </x:c>
    </x:row>
    <x:row r="2877" ht="17.25" customHeight="1">
      <x:c r="A2877" s="24" t="str">
        <x:v>PR-B-113더8112-202603</x:v>
      </x:c>
      <x:c r="B2877" s="24" t="str">
        <x:v>프라임구독</x:v>
      </x:c>
      <x:c r="C2877" s="24" t="str">
        <x:v>PR-C-113더8112-1-20230817-27</x:v>
      </x:c>
      <x:c r="D2877" s="24" t="str">
        <x:v>113더8112</x:v>
      </x:c>
      <x:c r="E2877" s="24" t="str">
        <x:v>곽현중</x:v>
      </x:c>
      <x:c r="F2877" s="24" t="str">
        <x:v>2026-03</x:v>
      </x:c>
      <x:c r="G2877" s="30" t="n">
        <x:v>46106</x:v>
      </x:c>
      <x:c r="H2877" s="32" t="n">
        <x:v>781000</x:v>
      </x:c>
      <x:c r="I2877" s="32"/>
      <x:c r="J2877" s="32" t="n">
        <x:v>8591000</x:v>
      </x:c>
      <x:c r="K2877" s="30"/>
      <x:c r="L2877" s="24" t="str"/>
      <x:c r="M2877" s="31" t="n">
        <x:f>IF(AND(N2877="미수",G2877&lt;&gt;"",TODAY()&gt;G2877),TODAY()-G2877,0)</x:f>
        <x:v>143</x:v>
      </x:c>
      <x:c r="N2877" s="24" t="str">
        <x:f>IF(J2877&gt;0,"미수",IF(AND(H2877&gt;0,I2877&gt;=H2877),"완납","미확인"))</x:f>
        <x:v>미수</x:v>
      </x:c>
      <x:c r="O2877" s="31" t="n">
        <x:v>27</x:v>
      </x:c>
    </x:row>
    <x:row r="2878" ht="17.25" customHeight="1">
      <x:c r="A2878" s="24" t="str">
        <x:v>PR-B-113더8112-202602</x:v>
      </x:c>
      <x:c r="B2878" s="24" t="str">
        <x:v>프라임구독</x:v>
      </x:c>
      <x:c r="C2878" s="24" t="str">
        <x:v>PR-C-113더8112-1-20230817-27</x:v>
      </x:c>
      <x:c r="D2878" s="24" t="str">
        <x:v>113더8112</x:v>
      </x:c>
      <x:c r="E2878" s="24" t="str">
        <x:v>곽현중</x:v>
      </x:c>
      <x:c r="F2878" s="24" t="str">
        <x:v>2026-02</x:v>
      </x:c>
      <x:c r="G2878" s="30" t="n">
        <x:v>46078</x:v>
      </x:c>
      <x:c r="H2878" s="32" t="n">
        <x:v>781000</x:v>
      </x:c>
      <x:c r="I2878" s="32"/>
      <x:c r="J2878" s="32" t="n">
        <x:v>7810000</x:v>
      </x:c>
      <x:c r="K2878" s="30"/>
      <x:c r="L2878" s="24" t="str"/>
      <x:c r="M2878" s="31" t="n">
        <x:f>IF(AND(N2878="미수",G2878&lt;&gt;"",TODAY()&gt;G2878),TODAY()-G2878,0)</x:f>
        <x:v>171</x:v>
      </x:c>
      <x:c r="N2878" s="24" t="str">
        <x:f>IF(J2878&gt;0,"미수",IF(AND(H2878&gt;0,I2878&gt;=H2878),"완납","미확인"))</x:f>
        <x:v>미수</x:v>
      </x:c>
      <x:c r="O2878" s="31" t="n">
        <x:v>27</x:v>
      </x:c>
    </x:row>
    <x:row r="2879" ht="17.25" customHeight="1">
      <x:c r="A2879" s="24" t="str">
        <x:v>PR-B-113더8112-202601</x:v>
      </x:c>
      <x:c r="B2879" s="24" t="str">
        <x:v>프라임구독</x:v>
      </x:c>
      <x:c r="C2879" s="24" t="str">
        <x:v>PR-C-113더8112-1-20230817-27</x:v>
      </x:c>
      <x:c r="D2879" s="24" t="str">
        <x:v>113더8112</x:v>
      </x:c>
      <x:c r="E2879" s="24" t="str">
        <x:v>곽현중</x:v>
      </x:c>
      <x:c r="F2879" s="24" t="str">
        <x:v>2026-01</x:v>
      </x:c>
      <x:c r="G2879" s="30" t="n">
        <x:v>46047</x:v>
      </x:c>
      <x:c r="H2879" s="32" t="n">
        <x:v>781000</x:v>
      </x:c>
      <x:c r="I2879" s="32"/>
      <x:c r="J2879" s="32" t="n">
        <x:v>7029000</x:v>
      </x:c>
      <x:c r="K2879" s="30"/>
      <x:c r="L2879" s="24" t="str"/>
      <x:c r="M2879" s="31" t="n">
        <x:f>IF(AND(N2879="미수",G2879&lt;&gt;"",TODAY()&gt;G2879),TODAY()-G2879,0)</x:f>
        <x:v>202</x:v>
      </x:c>
      <x:c r="N2879" s="24" t="str">
        <x:f>IF(J2879&gt;0,"미수",IF(AND(H2879&gt;0,I2879&gt;=H2879),"완납","미확인"))</x:f>
        <x:v>미수</x:v>
      </x:c>
      <x:c r="O2879" s="31" t="n">
        <x:v>27</x:v>
      </x:c>
    </x:row>
    <x:row r="2880" ht="17.25" customHeight="1">
      <x:c r="A2880" s="24" t="str">
        <x:v>PR-B-113더8112-202512</x:v>
      </x:c>
      <x:c r="B2880" s="24" t="str">
        <x:v>프라임구독</x:v>
      </x:c>
      <x:c r="C2880" s="24" t="str">
        <x:v>PR-C-113더8112-1-20230817-27</x:v>
      </x:c>
      <x:c r="D2880" s="24" t="str">
        <x:v>113더8112</x:v>
      </x:c>
      <x:c r="E2880" s="24" t="str">
        <x:v>곽현중</x:v>
      </x:c>
      <x:c r="F2880" s="24" t="str">
        <x:v>2025-12</x:v>
      </x:c>
      <x:c r="G2880" s="30" t="n">
        <x:v>46016</x:v>
      </x:c>
      <x:c r="H2880" s="32" t="n">
        <x:v>781000</x:v>
      </x:c>
      <x:c r="I2880" s="32"/>
      <x:c r="J2880" s="32" t="n">
        <x:v>6248000</x:v>
      </x:c>
      <x:c r="K2880" s="30"/>
      <x:c r="L2880" s="24" t="str"/>
      <x:c r="M2880" s="31" t="n">
        <x:f>IF(AND(N2880="미수",G2880&lt;&gt;"",TODAY()&gt;G2880),TODAY()-G2880,0)</x:f>
        <x:v>233</x:v>
      </x:c>
      <x:c r="N2880" s="24" t="str">
        <x:f>IF(J2880&gt;0,"미수",IF(AND(H2880&gt;0,I2880&gt;=H2880),"완납","미확인"))</x:f>
        <x:v>미수</x:v>
      </x:c>
      <x:c r="O2880" s="31" t="n">
        <x:v>27</x:v>
      </x:c>
    </x:row>
    <x:row r="2881" ht="17.25" customHeight="1">
      <x:c r="A2881" s="24" t="str">
        <x:v>PR-B-113더8112-202511</x:v>
      </x:c>
      <x:c r="B2881" s="24" t="str">
        <x:v>프라임구독</x:v>
      </x:c>
      <x:c r="C2881" s="24" t="str">
        <x:v>PR-C-113더8112-1-20230817-27</x:v>
      </x:c>
      <x:c r="D2881" s="24" t="str">
        <x:v>113더8112</x:v>
      </x:c>
      <x:c r="E2881" s="24" t="str">
        <x:v>곽현중</x:v>
      </x:c>
      <x:c r="F2881" s="24" t="str">
        <x:v>2025-11</x:v>
      </x:c>
      <x:c r="G2881" s="30" t="n">
        <x:v>45986</x:v>
      </x:c>
      <x:c r="H2881" s="32" t="n">
        <x:v>781000</x:v>
      </x:c>
      <x:c r="I2881" s="32"/>
      <x:c r="J2881" s="32" t="n">
        <x:v>5467000</x:v>
      </x:c>
      <x:c r="K2881" s="30"/>
      <x:c r="L2881" s="24" t="str"/>
      <x:c r="M2881" s="31" t="n">
        <x:f>IF(AND(N2881="미수",G2881&lt;&gt;"",TODAY()&gt;G2881),TODAY()-G2881,0)</x:f>
        <x:v>263</x:v>
      </x:c>
      <x:c r="N2881" s="24" t="str">
        <x:f>IF(J2881&gt;0,"미수",IF(AND(H2881&gt;0,I2881&gt;=H2881),"완납","미확인"))</x:f>
        <x:v>미수</x:v>
      </x:c>
      <x:c r="O2881" s="31" t="n">
        <x:v>27</x:v>
      </x:c>
    </x:row>
    <x:row r="2882" ht="17.25" customHeight="1">
      <x:c r="A2882" s="24" t="str">
        <x:v>PR-B-113더8112-202510</x:v>
      </x:c>
      <x:c r="B2882" s="24" t="str">
        <x:v>프라임구독</x:v>
      </x:c>
      <x:c r="C2882" s="24" t="str">
        <x:v>PR-C-113더8112-1-20230817-27</x:v>
      </x:c>
      <x:c r="D2882" s="24" t="str">
        <x:v>113더8112</x:v>
      </x:c>
      <x:c r="E2882" s="24" t="str">
        <x:v>곽현중</x:v>
      </x:c>
      <x:c r="F2882" s="24" t="str">
        <x:v>2025-10</x:v>
      </x:c>
      <x:c r="G2882" s="30" t="n">
        <x:v>45955</x:v>
      </x:c>
      <x:c r="H2882" s="32" t="n">
        <x:v>781000</x:v>
      </x:c>
      <x:c r="I2882" s="32"/>
      <x:c r="J2882" s="32" t="n">
        <x:v>4686000</x:v>
      </x:c>
      <x:c r="K2882" s="30"/>
      <x:c r="L2882" s="24" t="str"/>
      <x:c r="M2882" s="31" t="n">
        <x:f>IF(AND(N2882="미수",G2882&lt;&gt;"",TODAY()&gt;G2882),TODAY()-G2882,0)</x:f>
        <x:v>294</x:v>
      </x:c>
      <x:c r="N2882" s="24" t="str">
        <x:f>IF(J2882&gt;0,"미수",IF(AND(H2882&gt;0,I2882&gt;=H2882),"완납","미확인"))</x:f>
        <x:v>미수</x:v>
      </x:c>
      <x:c r="O2882" s="31" t="n">
        <x:v>27</x:v>
      </x:c>
    </x:row>
    <x:row r="2883" ht="17.25" customHeight="1">
      <x:c r="A2883" s="24" t="str">
        <x:v>PR-B-113더8112-202509</x:v>
      </x:c>
      <x:c r="B2883" s="24" t="str">
        <x:v>프라임구독</x:v>
      </x:c>
      <x:c r="C2883" s="24" t="str">
        <x:v>PR-C-113더8112-1-20230817-27</x:v>
      </x:c>
      <x:c r="D2883" s="24" t="str">
        <x:v>113더8112</x:v>
      </x:c>
      <x:c r="E2883" s="24" t="str">
        <x:v>곽현중</x:v>
      </x:c>
      <x:c r="F2883" s="24" t="str">
        <x:v>2025-09</x:v>
      </x:c>
      <x:c r="G2883" s="30" t="n">
        <x:v>45925</x:v>
      </x:c>
      <x:c r="H2883" s="32" t="n">
        <x:v>781000</x:v>
      </x:c>
      <x:c r="I2883" s="32"/>
      <x:c r="J2883" s="32" t="n">
        <x:v>3905000</x:v>
      </x:c>
      <x:c r="K2883" s="30"/>
      <x:c r="L2883" s="24" t="str"/>
      <x:c r="M2883" s="31" t="n">
        <x:f>IF(AND(N2883="미수",G2883&lt;&gt;"",TODAY()&gt;G2883),TODAY()-G2883,0)</x:f>
        <x:v>324</x:v>
      </x:c>
      <x:c r="N2883" s="24" t="str">
        <x:f>IF(J2883&gt;0,"미수",IF(AND(H2883&gt;0,I2883&gt;=H2883),"완납","미확인"))</x:f>
        <x:v>미수</x:v>
      </x:c>
      <x:c r="O2883" s="31" t="n">
        <x:v>27</x:v>
      </x:c>
    </x:row>
    <x:row r="2884" ht="17.25" customHeight="1">
      <x:c r="A2884" s="24" t="str">
        <x:v>PR-B-113더8112-202508</x:v>
      </x:c>
      <x:c r="B2884" s="24" t="str">
        <x:v>프라임구독</x:v>
      </x:c>
      <x:c r="C2884" s="24" t="str">
        <x:v>PR-C-113더8112-1-20230817-27</x:v>
      </x:c>
      <x:c r="D2884" s="24" t="str">
        <x:v>113더8112</x:v>
      </x:c>
      <x:c r="E2884" s="24" t="str">
        <x:v>곽현중</x:v>
      </x:c>
      <x:c r="F2884" s="24" t="str">
        <x:v>2025-08</x:v>
      </x:c>
      <x:c r="G2884" s="30" t="n">
        <x:v>45894</x:v>
      </x:c>
      <x:c r="H2884" s="32" t="n">
        <x:v>781000</x:v>
      </x:c>
      <x:c r="I2884" s="32" t="n">
        <x:v>781000</x:v>
      </x:c>
      <x:c r="J2884" s="32" t="n">
        <x:v>3124000</x:v>
      </x:c>
      <x:c r="K2884" s="30" t="n">
        <x:v>45894</x:v>
      </x:c>
      <x:c r="L2884" s="24" t="str">
        <x:v>자동</x:v>
      </x:c>
      <x:c r="M2884" s="31" t="n">
        <x:f>IF(AND(N2884="미수",G2884&lt;&gt;"",TODAY()&gt;G2884),TODAY()-G2884,0)</x:f>
        <x:v>355</x:v>
      </x:c>
      <x:c r="N2884" s="24" t="str">
        <x:f>IF(J2884&gt;0,"미수",IF(AND(H2884&gt;0,I2884&gt;=H2884),"완납","미확인"))</x:f>
        <x:v>미수</x:v>
      </x:c>
      <x:c r="O2884" s="31" t="n">
        <x:v>27</x:v>
      </x:c>
    </x:row>
    <x:row r="2885" ht="17.25" customHeight="1">
      <x:c r="A2885" s="24" t="str">
        <x:v>PR-B-113더8112-202507</x:v>
      </x:c>
      <x:c r="B2885" s="24" t="str">
        <x:v>프라임구독</x:v>
      </x:c>
      <x:c r="C2885" s="24" t="str">
        <x:v>PR-C-113더8112-1-20230817-27</x:v>
      </x:c>
      <x:c r="D2885" s="24" t="str">
        <x:v>113더8112</x:v>
      </x:c>
      <x:c r="E2885" s="24" t="str">
        <x:v>곽현중</x:v>
      </x:c>
      <x:c r="F2885" s="24" t="str">
        <x:v>2025-07</x:v>
      </x:c>
      <x:c r="G2885" s="30" t="n">
        <x:v>45863</x:v>
      </x:c>
      <x:c r="H2885" s="32" t="n">
        <x:v>781000</x:v>
      </x:c>
      <x:c r="I2885" s="32"/>
      <x:c r="J2885" s="32" t="n">
        <x:v>3124000</x:v>
      </x:c>
      <x:c r="K2885" s="30"/>
      <x:c r="L2885" s="24" t="str"/>
      <x:c r="M2885" s="31" t="n">
        <x:f>IF(AND(N2885="미수",G2885&lt;&gt;"",TODAY()&gt;G2885),TODAY()-G2885,0)</x:f>
        <x:v>386</x:v>
      </x:c>
      <x:c r="N2885" s="24" t="str">
        <x:f>IF(J2885&gt;0,"미수",IF(AND(H2885&gt;0,I2885&gt;=H2885),"완납","미확인"))</x:f>
        <x:v>미수</x:v>
      </x:c>
      <x:c r="O2885" s="31" t="n">
        <x:v>27</x:v>
      </x:c>
    </x:row>
    <x:row r="2886" ht="17.25" customHeight="1">
      <x:c r="A2886" s="24" t="str">
        <x:v>PR-B-113더8112-202506</x:v>
      </x:c>
      <x:c r="B2886" s="24" t="str">
        <x:v>프라임구독</x:v>
      </x:c>
      <x:c r="C2886" s="24" t="str">
        <x:v>PR-C-113더8112-1-20230817-27</x:v>
      </x:c>
      <x:c r="D2886" s="24" t="str">
        <x:v>113더8112</x:v>
      </x:c>
      <x:c r="E2886" s="24" t="str">
        <x:v>곽현중</x:v>
      </x:c>
      <x:c r="F2886" s="24" t="str">
        <x:v>2025-06</x:v>
      </x:c>
      <x:c r="G2886" s="30" t="n">
        <x:v>45833</x:v>
      </x:c>
      <x:c r="H2886" s="32" t="n">
        <x:v>781000</x:v>
      </x:c>
      <x:c r="I2886" s="32"/>
      <x:c r="J2886" s="32" t="n">
        <x:v>2343000</x:v>
      </x:c>
      <x:c r="K2886" s="30"/>
      <x:c r="L2886" s="24" t="str"/>
      <x:c r="M2886" s="31" t="n">
        <x:f>IF(AND(N2886="미수",G2886&lt;&gt;"",TODAY()&gt;G2886),TODAY()-G2886,0)</x:f>
        <x:v>416</x:v>
      </x:c>
      <x:c r="N2886" s="24" t="str">
        <x:f>IF(J2886&gt;0,"미수",IF(AND(H2886&gt;0,I2886&gt;=H2886),"완납","미확인"))</x:f>
        <x:v>미수</x:v>
      </x:c>
      <x:c r="O2886" s="31" t="n">
        <x:v>27</x:v>
      </x:c>
    </x:row>
    <x:row r="2887" ht="17.25" customHeight="1">
      <x:c r="A2887" s="24" t="str">
        <x:v>PR-B-113더8112-202505</x:v>
      </x:c>
      <x:c r="B2887" s="24" t="str">
        <x:v>프라임구독</x:v>
      </x:c>
      <x:c r="C2887" s="24" t="str">
        <x:v>PR-C-113더8112-1-20230817-27</x:v>
      </x:c>
      <x:c r="D2887" s="24" t="str">
        <x:v>113더8112</x:v>
      </x:c>
      <x:c r="E2887" s="24" t="str">
        <x:v>곽현중</x:v>
      </x:c>
      <x:c r="F2887" s="24" t="str">
        <x:v>2025-05</x:v>
      </x:c>
      <x:c r="G2887" s="30" t="n">
        <x:v>45802</x:v>
      </x:c>
      <x:c r="H2887" s="32" t="n">
        <x:v>781000</x:v>
      </x:c>
      <x:c r="I2887" s="32" t="n">
        <x:v>781000</x:v>
      </x:c>
      <x:c r="J2887" s="32" t="n">
        <x:v>1562000</x:v>
      </x:c>
      <x:c r="K2887" s="30" t="n">
        <x:v>45804</x:v>
      </x:c>
      <x:c r="L2887" s="24" t="str">
        <x:v>입금</x:v>
      </x:c>
      <x:c r="M2887" s="31" t="n">
        <x:f>IF(AND(N2887="미수",G2887&lt;&gt;"",TODAY()&gt;G2887),TODAY()-G2887,0)</x:f>
        <x:v>447</x:v>
      </x:c>
      <x:c r="N2887" s="24" t="str">
        <x:f>IF(J2887&gt;0,"미수",IF(AND(H2887&gt;0,I2887&gt;=H2887),"완납","미확인"))</x:f>
        <x:v>미수</x:v>
      </x:c>
      <x:c r="O2887" s="31" t="n">
        <x:v>27</x:v>
      </x:c>
    </x:row>
    <x:row r="2888" ht="17.25" customHeight="1">
      <x:c r="A2888" s="24" t="str">
        <x:v>PR-B-113더8112-202504</x:v>
      </x:c>
      <x:c r="B2888" s="24" t="str">
        <x:v>프라임구독</x:v>
      </x:c>
      <x:c r="C2888" s="24" t="str">
        <x:v>PR-C-113더8112-1-20230817-27</x:v>
      </x:c>
      <x:c r="D2888" s="24" t="str">
        <x:v>113더8112</x:v>
      </x:c>
      <x:c r="E2888" s="24" t="str">
        <x:v>곽현중</x:v>
      </x:c>
      <x:c r="F2888" s="24" t="str">
        <x:v>2025-04</x:v>
      </x:c>
      <x:c r="G2888" s="30" t="n">
        <x:v>45772</x:v>
      </x:c>
      <x:c r="H2888" s="32" t="n">
        <x:v>781000</x:v>
      </x:c>
      <x:c r="I2888" s="32"/>
      <x:c r="J2888" s="32" t="n">
        <x:v>1562000</x:v>
      </x:c>
      <x:c r="K2888" s="30"/>
      <x:c r="L2888" s="24" t="str"/>
      <x:c r="M2888" s="31" t="n">
        <x:f>IF(AND(N2888="미수",G2888&lt;&gt;"",TODAY()&gt;G2888),TODAY()-G2888,0)</x:f>
        <x:v>477</x:v>
      </x:c>
      <x:c r="N2888" s="24" t="str">
        <x:f>IF(J2888&gt;0,"미수",IF(AND(H2888&gt;0,I2888&gt;=H2888),"완납","미확인"))</x:f>
        <x:v>미수</x:v>
      </x:c>
      <x:c r="O2888" s="31" t="n">
        <x:v>27</x:v>
      </x:c>
    </x:row>
    <x:row r="2889" ht="17.25" customHeight="1">
      <x:c r="A2889" s="24" t="str">
        <x:v>PR-B-113더8112-202503</x:v>
      </x:c>
      <x:c r="B2889" s="24" t="str">
        <x:v>프라임구독</x:v>
      </x:c>
      <x:c r="C2889" s="24" t="str">
        <x:v>PR-C-113더8112-1-20230817-27</x:v>
      </x:c>
      <x:c r="D2889" s="24" t="str">
        <x:v>113더8112</x:v>
      </x:c>
      <x:c r="E2889" s="24" t="str">
        <x:v>곽현중</x:v>
      </x:c>
      <x:c r="F2889" s="24" t="str">
        <x:v>2025-03</x:v>
      </x:c>
      <x:c r="G2889" s="30" t="n">
        <x:v>45741</x:v>
      </x:c>
      <x:c r="H2889" s="32" t="n">
        <x:v>781000</x:v>
      </x:c>
      <x:c r="I2889" s="32" t="n">
        <x:v>781000</x:v>
      </x:c>
      <x:c r="J2889" s="32" t="n">
        <x:v>781000</x:v>
      </x:c>
      <x:c r="K2889" s="30" t="n">
        <x:v>45741</x:v>
      </x:c>
      <x:c r="L2889" s="24" t="str">
        <x:v>자동</x:v>
      </x:c>
      <x:c r="M2889" s="31" t="n">
        <x:f>IF(AND(N2889="미수",G2889&lt;&gt;"",TODAY()&gt;G2889),TODAY()-G2889,0)</x:f>
        <x:v>508</x:v>
      </x:c>
      <x:c r="N2889" s="24" t="str">
        <x:f>IF(J2889&gt;0,"미수",IF(AND(H2889&gt;0,I2889&gt;=H2889),"완납","미확인"))</x:f>
        <x:v>미수</x:v>
      </x:c>
      <x:c r="O2889" s="31" t="n">
        <x:v>27</x:v>
      </x:c>
    </x:row>
    <x:row r="2890" ht="17.25" customHeight="1">
      <x:c r="A2890" s="24" t="str">
        <x:v>PR-B-113더8112-202502</x:v>
      </x:c>
      <x:c r="B2890" s="24" t="str">
        <x:v>프라임구독</x:v>
      </x:c>
      <x:c r="C2890" s="24" t="str">
        <x:v>PR-C-113더8112-1-20230817-27</x:v>
      </x:c>
      <x:c r="D2890" s="24" t="str">
        <x:v>113더8112</x:v>
      </x:c>
      <x:c r="E2890" s="24" t="str">
        <x:v>곽현중</x:v>
      </x:c>
      <x:c r="F2890" s="24" t="str">
        <x:v>2025-02</x:v>
      </x:c>
      <x:c r="G2890" s="30" t="n">
        <x:v>45713</x:v>
      </x:c>
      <x:c r="H2890" s="32" t="n">
        <x:v>781000</x:v>
      </x:c>
      <x:c r="I2890" s="32" t="n">
        <x:v>781000</x:v>
      </x:c>
      <x:c r="J2890" s="32" t="n">
        <x:v>781000</x:v>
      </x:c>
      <x:c r="K2890" s="30" t="n">
        <x:v>45713</x:v>
      </x:c>
      <x:c r="L2890" s="24" t="str">
        <x:v>자동</x:v>
      </x:c>
      <x:c r="M2890" s="31" t="n">
        <x:f>IF(AND(N2890="미수",G2890&lt;&gt;"",TODAY()&gt;G2890),TODAY()-G2890,0)</x:f>
        <x:v>536</x:v>
      </x:c>
      <x:c r="N2890" s="24" t="str">
        <x:f>IF(J2890&gt;0,"미수",IF(AND(H2890&gt;0,I2890&gt;=H2890),"완납","미확인"))</x:f>
        <x:v>미수</x:v>
      </x:c>
      <x:c r="O2890" s="31" t="n">
        <x:v>27</x:v>
      </x:c>
    </x:row>
    <x:row r="2891" ht="17.25" customHeight="1">
      <x:c r="A2891" s="24" t="str">
        <x:v>PR-B-113더8112-202501</x:v>
      </x:c>
      <x:c r="B2891" s="24" t="str">
        <x:v>프라임구독</x:v>
      </x:c>
      <x:c r="C2891" s="24" t="str">
        <x:v>PR-C-113더8112-1-20230817-27</x:v>
      </x:c>
      <x:c r="D2891" s="24" t="str">
        <x:v>113더8112</x:v>
      </x:c>
      <x:c r="E2891" s="24" t="str">
        <x:v>곽현중</x:v>
      </x:c>
      <x:c r="F2891" s="24" t="str">
        <x:v>2025-01</x:v>
      </x:c>
      <x:c r="G2891" s="30" t="n">
        <x:v>45682</x:v>
      </x:c>
      <x:c r="H2891" s="32" t="n">
        <x:v>781000</x:v>
      </x:c>
      <x:c r="I2891" s="32"/>
      <x:c r="J2891" s="32" t="n">
        <x:v>781000</x:v>
      </x:c>
      <x:c r="K2891" s="30"/>
      <x:c r="L2891" s="24" t="str"/>
      <x:c r="M2891" s="31" t="n">
        <x:f>IF(AND(N2891="미수",G2891&lt;&gt;"",TODAY()&gt;G2891),TODAY()-G2891,0)</x:f>
        <x:v>567</x:v>
      </x:c>
      <x:c r="N2891" s="24" t="str">
        <x:f>IF(J2891&gt;0,"미수",IF(AND(H2891&gt;0,I2891&gt;=H2891),"완납","미확인"))</x:f>
        <x:v>미수</x:v>
      </x:c>
      <x:c r="O2891" s="31" t="n">
        <x:v>27</x:v>
      </x:c>
    </x:row>
    <x:row r="2892" ht="17.25" customHeight="1">
      <x:c r="A2892" s="24" t="str">
        <x:v>PR-B-113더8112-202412</x:v>
      </x:c>
      <x:c r="B2892" s="24" t="str">
        <x:v>프라임구독</x:v>
      </x:c>
      <x:c r="C2892" s="24" t="str">
        <x:v>PR-C-113더8112-1-20230817-27</x:v>
      </x:c>
      <x:c r="D2892" s="24" t="str">
        <x:v>113더8112</x:v>
      </x:c>
      <x:c r="E2892" s="24" t="str">
        <x:v>곽현중</x:v>
      </x:c>
      <x:c r="F2892" s="24" t="str">
        <x:v>2024-12</x:v>
      </x:c>
      <x:c r="G2892" s="30" t="n">
        <x:v>45651</x:v>
      </x:c>
      <x:c r="H2892" s="32" t="n">
        <x:v>781000</x:v>
      </x:c>
      <x:c r="I2892" s="32" t="n">
        <x:v>781000</x:v>
      </x:c>
      <x:c r="J2892" s="32" t="n">
        <x:v>0</x:v>
      </x:c>
      <x:c r="K2892" s="30" t="n">
        <x:v>45652</x:v>
      </x:c>
      <x:c r="L2892" s="24" t="str">
        <x:v>자동</x:v>
      </x:c>
      <x:c r="M2892" s="31" t="n">
        <x:f>IF(AND(N2892="미수",G2892&lt;&gt;"",TODAY()&gt;G2892),TODAY()-G2892,0)</x:f>
        <x:v>0</x:v>
      </x:c>
      <x:c r="N2892" s="24" t="str">
        <x:f>IF(J2892&gt;0,"미수",IF(AND(H2892&gt;0,I2892&gt;=H2892),"완납","미확인"))</x:f>
        <x:v>완납</x:v>
      </x:c>
      <x:c r="O2892" s="31" t="n">
        <x:v>27</x:v>
      </x:c>
    </x:row>
    <x:row r="2893" ht="17.25" customHeight="1">
      <x:c r="A2893" s="24" t="str">
        <x:v>PR-B-113더8112-202411</x:v>
      </x:c>
      <x:c r="B2893" s="24" t="str">
        <x:v>프라임구독</x:v>
      </x:c>
      <x:c r="C2893" s="24" t="str">
        <x:v>PR-C-113더8112-1-20230817-27</x:v>
      </x:c>
      <x:c r="D2893" s="24" t="str">
        <x:v>113더8112</x:v>
      </x:c>
      <x:c r="E2893" s="24" t="str">
        <x:v>곽현중</x:v>
      </x:c>
      <x:c r="F2893" s="24" t="str">
        <x:v>2024-11</x:v>
      </x:c>
      <x:c r="G2893" s="30" t="n">
        <x:v>45621</x:v>
      </x:c>
      <x:c r="H2893" s="32" t="n">
        <x:v>781000</x:v>
      </x:c>
      <x:c r="I2893" s="32" t="n">
        <x:v>781000</x:v>
      </x:c>
      <x:c r="J2893" s="32" t="n">
        <x:v>0</x:v>
      </x:c>
      <x:c r="K2893" s="30" t="n">
        <x:v>45621</x:v>
      </x:c>
      <x:c r="L2893" s="24" t="str">
        <x:v>자동</x:v>
      </x:c>
      <x:c r="M2893" s="31" t="n">
        <x:f>IF(AND(N2893="미수",G2893&lt;&gt;"",TODAY()&gt;G2893),TODAY()-G2893,0)</x:f>
        <x:v>0</x:v>
      </x:c>
      <x:c r="N2893" s="24" t="str">
        <x:f>IF(J2893&gt;0,"미수",IF(AND(H2893&gt;0,I2893&gt;=H2893),"완납","미확인"))</x:f>
        <x:v>완납</x:v>
      </x:c>
      <x:c r="O2893" s="31" t="n">
        <x:v>27</x:v>
      </x:c>
    </x:row>
    <x:row r="2894" ht="17.25" customHeight="1">
      <x:c r="A2894" s="24" t="str">
        <x:v>PR-B-113더8112-202410</x:v>
      </x:c>
      <x:c r="B2894" s="24" t="str">
        <x:v>프라임구독</x:v>
      </x:c>
      <x:c r="C2894" s="24" t="str">
        <x:v>PR-C-113더8112-1-20230817-27</x:v>
      </x:c>
      <x:c r="D2894" s="24" t="str">
        <x:v>113더8112</x:v>
      </x:c>
      <x:c r="E2894" s="24" t="str">
        <x:v>곽현중</x:v>
      </x:c>
      <x:c r="F2894" s="24" t="str">
        <x:v>2024-10</x:v>
      </x:c>
      <x:c r="G2894" s="30" t="n">
        <x:v>45590</x:v>
      </x:c>
      <x:c r="H2894" s="32" t="n">
        <x:v>781000</x:v>
      </x:c>
      <x:c r="I2894" s="32" t="n">
        <x:v>781000</x:v>
      </x:c>
      <x:c r="J2894" s="32" t="n">
        <x:v>0</x:v>
      </x:c>
      <x:c r="K2894" s="30" t="n">
        <x:v>45590</x:v>
      </x:c>
      <x:c r="L2894" s="24" t="str">
        <x:v>자동</x:v>
      </x:c>
      <x:c r="M2894" s="31" t="n">
        <x:f>IF(AND(N2894="미수",G2894&lt;&gt;"",TODAY()&gt;G2894),TODAY()-G2894,0)</x:f>
        <x:v>0</x:v>
      </x:c>
      <x:c r="N2894" s="24" t="str">
        <x:f>IF(J2894&gt;0,"미수",IF(AND(H2894&gt;0,I2894&gt;=H2894),"완납","미확인"))</x:f>
        <x:v>완납</x:v>
      </x:c>
      <x:c r="O2894" s="31" t="n">
        <x:v>27</x:v>
      </x:c>
    </x:row>
    <x:row r="2895" ht="17.25" customHeight="1">
      <x:c r="A2895" s="24" t="str">
        <x:v>PR-B-113더8112-202409</x:v>
      </x:c>
      <x:c r="B2895" s="24" t="str">
        <x:v>프라임구독</x:v>
      </x:c>
      <x:c r="C2895" s="24" t="str">
        <x:v>PR-C-113더8112-1-20230817-27</x:v>
      </x:c>
      <x:c r="D2895" s="24" t="str">
        <x:v>113더8112</x:v>
      </x:c>
      <x:c r="E2895" s="24" t="str">
        <x:v>곽현중</x:v>
      </x:c>
      <x:c r="F2895" s="24" t="str">
        <x:v>2024-09</x:v>
      </x:c>
      <x:c r="G2895" s="30" t="n">
        <x:v>45560</x:v>
      </x:c>
      <x:c r="H2895" s="32" t="n">
        <x:v>781000</x:v>
      </x:c>
      <x:c r="I2895" s="32" t="n">
        <x:v>781000</x:v>
      </x:c>
      <x:c r="J2895" s="32" t="n">
        <x:v>0</x:v>
      </x:c>
      <x:c r="K2895" s="30" t="n">
        <x:v>45560</x:v>
      </x:c>
      <x:c r="L2895" s="24" t="str">
        <x:v>자동</x:v>
      </x:c>
      <x:c r="M2895" s="31" t="n">
        <x:f>IF(AND(N2895="미수",G2895&lt;&gt;"",TODAY()&gt;G2895),TODAY()-G2895,0)</x:f>
        <x:v>0</x:v>
      </x:c>
      <x:c r="N2895" s="24" t="str">
        <x:f>IF(J2895&gt;0,"미수",IF(AND(H2895&gt;0,I2895&gt;=H2895),"완납","미확인"))</x:f>
        <x:v>완납</x:v>
      </x:c>
      <x:c r="O2895" s="31" t="n">
        <x:v>27</x:v>
      </x:c>
    </x:row>
    <x:row r="2896" ht="17.25" customHeight="1">
      <x:c r="A2896" s="24" t="str">
        <x:v>PR-B-113더8112-202408</x:v>
      </x:c>
      <x:c r="B2896" s="24" t="str">
        <x:v>프라임구독</x:v>
      </x:c>
      <x:c r="C2896" s="24" t="str">
        <x:v>PR-C-113더8112-1-20230817-27</x:v>
      </x:c>
      <x:c r="D2896" s="24" t="str">
        <x:v>113더8112</x:v>
      </x:c>
      <x:c r="E2896" s="24" t="str">
        <x:v>곽현중</x:v>
      </x:c>
      <x:c r="F2896" s="24" t="str">
        <x:v>2024-08</x:v>
      </x:c>
      <x:c r="G2896" s="30" t="n">
        <x:v>45529</x:v>
      </x:c>
      <x:c r="H2896" s="32" t="n">
        <x:v>781000</x:v>
      </x:c>
      <x:c r="I2896" s="32" t="n">
        <x:v>781000</x:v>
      </x:c>
      <x:c r="J2896" s="32" t="n">
        <x:v>0</x:v>
      </x:c>
      <x:c r="K2896" s="30" t="n">
        <x:v>45529</x:v>
      </x:c>
      <x:c r="L2896" s="24" t="str">
        <x:v>자동</x:v>
      </x:c>
      <x:c r="M2896" s="31" t="n">
        <x:f>IF(AND(N2896="미수",G2896&lt;&gt;"",TODAY()&gt;G2896),TODAY()-G2896,0)</x:f>
        <x:v>0</x:v>
      </x:c>
      <x:c r="N2896" s="24" t="str">
        <x:f>IF(J2896&gt;0,"미수",IF(AND(H2896&gt;0,I2896&gt;=H2896),"완납","미확인"))</x:f>
        <x:v>완납</x:v>
      </x:c>
      <x:c r="O2896" s="31" t="n">
        <x:v>27</x:v>
      </x:c>
    </x:row>
    <x:row r="2897" ht="17.25" customHeight="1">
      <x:c r="A2897" s="24" t="str">
        <x:v>PR-B-113더8112-202407</x:v>
      </x:c>
      <x:c r="B2897" s="24" t="str">
        <x:v>프라임구독</x:v>
      </x:c>
      <x:c r="C2897" s="24" t="str">
        <x:v>PR-C-113더8112-1-20230817-27</x:v>
      </x:c>
      <x:c r="D2897" s="24" t="str">
        <x:v>113더8112</x:v>
      </x:c>
      <x:c r="E2897" s="24" t="str">
        <x:v>곽현중</x:v>
      </x:c>
      <x:c r="F2897" s="24" t="str">
        <x:v>2024-07</x:v>
      </x:c>
      <x:c r="G2897" s="30" t="n">
        <x:v>45498</x:v>
      </x:c>
      <x:c r="H2897" s="32" t="n">
        <x:v>781000</x:v>
      </x:c>
      <x:c r="I2897" s="32" t="n">
        <x:v>781000</x:v>
      </x:c>
      <x:c r="J2897" s="32" t="n">
        <x:v>0</x:v>
      </x:c>
      <x:c r="K2897" s="30" t="n">
        <x:v>45498</x:v>
      </x:c>
      <x:c r="L2897" s="24" t="str">
        <x:v>자동</x:v>
      </x:c>
      <x:c r="M2897" s="31" t="n">
        <x:f>IF(AND(N2897="미수",G2897&lt;&gt;"",TODAY()&gt;G2897),TODAY()-G2897,0)</x:f>
        <x:v>0</x:v>
      </x:c>
      <x:c r="N2897" s="24" t="str">
        <x:f>IF(J2897&gt;0,"미수",IF(AND(H2897&gt;0,I2897&gt;=H2897),"완납","미확인"))</x:f>
        <x:v>완납</x:v>
      </x:c>
      <x:c r="O2897" s="31" t="n">
        <x:v>27</x:v>
      </x:c>
    </x:row>
    <x:row r="2898" ht="17.25" customHeight="1">
      <x:c r="A2898" s="24" t="str">
        <x:v>PR-B-113더8112-202406</x:v>
      </x:c>
      <x:c r="B2898" s="24" t="str">
        <x:v>프라임구독</x:v>
      </x:c>
      <x:c r="C2898" s="24" t="str">
        <x:v>PR-C-113더8112-1-20230817-27</x:v>
      </x:c>
      <x:c r="D2898" s="24" t="str">
        <x:v>113더8112</x:v>
      </x:c>
      <x:c r="E2898" s="24" t="str">
        <x:v>곽현중</x:v>
      </x:c>
      <x:c r="F2898" s="24" t="str">
        <x:v>2024-06</x:v>
      </x:c>
      <x:c r="G2898" s="30" t="n">
        <x:v>45468</x:v>
      </x:c>
      <x:c r="H2898" s="32" t="n">
        <x:v>781000</x:v>
      </x:c>
      <x:c r="I2898" s="32" t="n">
        <x:v>781000</x:v>
      </x:c>
      <x:c r="J2898" s="32" t="n">
        <x:v>0</x:v>
      </x:c>
      <x:c r="K2898" s="30" t="n">
        <x:v>45468</x:v>
      </x:c>
      <x:c r="L2898" s="24" t="str"/>
      <x:c r="M2898" s="31" t="n">
        <x:f>IF(AND(N2898="미수",G2898&lt;&gt;"",TODAY()&gt;G2898),TODAY()-G2898,0)</x:f>
        <x:v>0</x:v>
      </x:c>
      <x:c r="N2898" s="24" t="str">
        <x:f>IF(J2898&gt;0,"미수",IF(AND(H2898&gt;0,I2898&gt;=H2898),"완납","미확인"))</x:f>
        <x:v>완납</x:v>
      </x:c>
      <x:c r="O2898" s="31" t="n">
        <x:v>27</x:v>
      </x:c>
    </x:row>
    <x:row r="2899" ht="17.25" customHeight="1">
      <x:c r="A2899" s="24" t="str">
        <x:v>PR-B-113더8112-202405</x:v>
      </x:c>
      <x:c r="B2899" s="24" t="str">
        <x:v>프라임구독</x:v>
      </x:c>
      <x:c r="C2899" s="24" t="str">
        <x:v>PR-C-113더8112-1-20230817-27</x:v>
      </x:c>
      <x:c r="D2899" s="24" t="str">
        <x:v>113더8112</x:v>
      </x:c>
      <x:c r="E2899" s="24" t="str">
        <x:v>곽현중</x:v>
      </x:c>
      <x:c r="F2899" s="24" t="str">
        <x:v>2024-05</x:v>
      </x:c>
      <x:c r="G2899" s="30" t="n">
        <x:v>45437</x:v>
      </x:c>
      <x:c r="H2899" s="32" t="n">
        <x:v>781000</x:v>
      </x:c>
      <x:c r="I2899" s="32" t="n">
        <x:v>781000</x:v>
      </x:c>
      <x:c r="J2899" s="32" t="n">
        <x:v>0</x:v>
      </x:c>
      <x:c r="K2899" s="30" t="n">
        <x:v>45439</x:v>
      </x:c>
      <x:c r="L2899" s="24" t="str"/>
      <x:c r="M2899" s="31" t="n">
        <x:f>IF(AND(N2899="미수",G2899&lt;&gt;"",TODAY()&gt;G2899),TODAY()-G2899,0)</x:f>
        <x:v>0</x:v>
      </x:c>
      <x:c r="N2899" s="24" t="str">
        <x:f>IF(J2899&gt;0,"미수",IF(AND(H2899&gt;0,I2899&gt;=H2899),"완납","미확인"))</x:f>
        <x:v>완납</x:v>
      </x:c>
      <x:c r="O2899" s="31" t="n">
        <x:v>27</x:v>
      </x:c>
    </x:row>
    <x:row r="2900" ht="17.25" customHeight="1">
      <x:c r="A2900" s="24" t="str">
        <x:v>PR-B-14두9128-202608</x:v>
      </x:c>
      <x:c r="B2900" s="24" t="str">
        <x:v>프라임구독</x:v>
      </x:c>
      <x:c r="C2900" s="24" t="str">
        <x:v>PR-C-14두9128-1-20230906-47</x:v>
      </x:c>
      <x:c r="D2900" s="24" t="str">
        <x:v>14두9128</x:v>
      </x:c>
      <x:c r="E2900" s="24" t="str">
        <x:v>권소아</x:v>
      </x:c>
      <x:c r="F2900" s="24" t="str">
        <x:v>2026-08</x:v>
      </x:c>
      <x:c r="G2900" s="30" t="n">
        <x:v>46259</x:v>
      </x:c>
      <x:c r="H2900" s="32" t="n">
        <x:v>911000</x:v>
      </x:c>
      <x:c r="I2900" s="32"/>
      <x:c r="J2900" s="32" t="n">
        <x:v>3644000</x:v>
      </x:c>
      <x:c r="K2900" s="30"/>
      <x:c r="L2900" s="24" t="str"/>
      <x:c r="M2900" s="31" t="n">
        <x:f>IF(AND(N2900="미수",G2900&lt;&gt;"",TODAY()&gt;G2900),TODAY()-G2900,0)</x:f>
        <x:v>0</x:v>
      </x:c>
      <x:c r="N2900" s="24" t="str">
        <x:f>IF(J2900&gt;0,"미수",IF(AND(H2900&gt;0,I2900&gt;=H2900),"완납","미확인"))</x:f>
        <x:v>미수</x:v>
      </x:c>
      <x:c r="O2900" s="31" t="n">
        <x:v>28</x:v>
      </x:c>
    </x:row>
    <x:row r="2901" ht="17.25" customHeight="1">
      <x:c r="A2901" s="24" t="str">
        <x:v>PR-B-14두9128-202607</x:v>
      </x:c>
      <x:c r="B2901" s="24" t="str">
        <x:v>프라임구독</x:v>
      </x:c>
      <x:c r="C2901" s="24" t="str">
        <x:v>PR-C-14두9128-1-20230906-47</x:v>
      </x:c>
      <x:c r="D2901" s="24" t="str">
        <x:v>14두9128</x:v>
      </x:c>
      <x:c r="E2901" s="24" t="str">
        <x:v>권소아</x:v>
      </x:c>
      <x:c r="F2901" s="24" t="str">
        <x:v>2026-07</x:v>
      </x:c>
      <x:c r="G2901" s="30" t="n">
        <x:v>46228</x:v>
      </x:c>
      <x:c r="H2901" s="32" t="n">
        <x:v>911000</x:v>
      </x:c>
      <x:c r="I2901" s="32"/>
      <x:c r="J2901" s="32" t="n">
        <x:v>2733000</x:v>
      </x:c>
      <x:c r="K2901" s="30"/>
      <x:c r="L2901" s="24" t="str"/>
      <x:c r="M2901" s="31" t="n">
        <x:f>IF(AND(N2901="미수",G2901&lt;&gt;"",TODAY()&gt;G2901),TODAY()-G2901,0)</x:f>
        <x:v>21</x:v>
      </x:c>
      <x:c r="N2901" s="24" t="str">
        <x:f>IF(J2901&gt;0,"미수",IF(AND(H2901&gt;0,I2901&gt;=H2901),"완납","미확인"))</x:f>
        <x:v>미수</x:v>
      </x:c>
      <x:c r="O2901" s="31" t="n">
        <x:v>28</x:v>
      </x:c>
    </x:row>
    <x:row r="2902" ht="17.25" customHeight="1">
      <x:c r="A2902" s="24" t="str">
        <x:v>PR-B-14두9128-202606</x:v>
      </x:c>
      <x:c r="B2902" s="24" t="str">
        <x:v>프라임구독</x:v>
      </x:c>
      <x:c r="C2902" s="24" t="str">
        <x:v>PR-C-14두9128-1-20230906-47</x:v>
      </x:c>
      <x:c r="D2902" s="24" t="str">
        <x:v>14두9128</x:v>
      </x:c>
      <x:c r="E2902" s="24" t="str">
        <x:v>권소아</x:v>
      </x:c>
      <x:c r="F2902" s="24" t="str">
        <x:v>2026-06</x:v>
      </x:c>
      <x:c r="G2902" s="30" t="n">
        <x:v>46198</x:v>
      </x:c>
      <x:c r="H2902" s="32" t="n">
        <x:v>911000</x:v>
      </x:c>
      <x:c r="I2902" s="32" t="n">
        <x:v>911000</x:v>
      </x:c>
      <x:c r="J2902" s="32" t="n">
        <x:v>1822000</x:v>
      </x:c>
      <x:c r="K2902" s="30" t="n">
        <x:v>46202</x:v>
      </x:c>
      <x:c r="L2902" s="24" t="str">
        <x:v>입금</x:v>
      </x:c>
      <x:c r="M2902" s="31" t="n">
        <x:f>IF(AND(N2902="미수",G2902&lt;&gt;"",TODAY()&gt;G2902),TODAY()-G2902,0)</x:f>
        <x:v>51</x:v>
      </x:c>
      <x:c r="N2902" s="24" t="str">
        <x:f>IF(J2902&gt;0,"미수",IF(AND(H2902&gt;0,I2902&gt;=H2902),"완납","미확인"))</x:f>
        <x:v>미수</x:v>
      </x:c>
      <x:c r="O2902" s="31" t="n">
        <x:v>28</x:v>
      </x:c>
    </x:row>
    <x:row r="2903" ht="17.25" customHeight="1">
      <x:c r="A2903" s="24" t="str">
        <x:v>PR-B-14두9128-202605</x:v>
      </x:c>
      <x:c r="B2903" s="24" t="str">
        <x:v>프라임구독</x:v>
      </x:c>
      <x:c r="C2903" s="24" t="str">
        <x:v>PR-C-14두9128-1-20230906-47</x:v>
      </x:c>
      <x:c r="D2903" s="24" t="str">
        <x:v>14두9128</x:v>
      </x:c>
      <x:c r="E2903" s="24" t="str">
        <x:v>권소아</x:v>
      </x:c>
      <x:c r="F2903" s="24" t="str">
        <x:v>2026-05</x:v>
      </x:c>
      <x:c r="G2903" s="30" t="n">
        <x:v>46167</x:v>
      </x:c>
      <x:c r="H2903" s="32" t="n">
        <x:v>911000</x:v>
      </x:c>
      <x:c r="I2903" s="32"/>
      <x:c r="J2903" s="32" t="n">
        <x:v>1822000</x:v>
      </x:c>
      <x:c r="K2903" s="30"/>
      <x:c r="L2903" s="24" t="str"/>
      <x:c r="M2903" s="31" t="n">
        <x:f>IF(AND(N2903="미수",G2903&lt;&gt;"",TODAY()&gt;G2903),TODAY()-G2903,0)</x:f>
        <x:v>82</x:v>
      </x:c>
      <x:c r="N2903" s="24" t="str">
        <x:f>IF(J2903&gt;0,"미수",IF(AND(H2903&gt;0,I2903&gt;=H2903),"완납","미확인"))</x:f>
        <x:v>미수</x:v>
      </x:c>
      <x:c r="O2903" s="31" t="n">
        <x:v>28</x:v>
      </x:c>
    </x:row>
    <x:row r="2904" ht="17.25" customHeight="1">
      <x:c r="A2904" s="24" t="str">
        <x:v>PR-B-14두9128-202604</x:v>
      </x:c>
      <x:c r="B2904" s="24" t="str">
        <x:v>프라임구독</x:v>
      </x:c>
      <x:c r="C2904" s="24" t="str">
        <x:v>PR-C-14두9128-1-20230906-47</x:v>
      </x:c>
      <x:c r="D2904" s="24" t="str">
        <x:v>14두9128</x:v>
      </x:c>
      <x:c r="E2904" s="24" t="str">
        <x:v>권소아</x:v>
      </x:c>
      <x:c r="F2904" s="24" t="str">
        <x:v>2026-04</x:v>
      </x:c>
      <x:c r="G2904" s="30" t="n">
        <x:v>46137</x:v>
      </x:c>
      <x:c r="H2904" s="32" t="n">
        <x:v>911000</x:v>
      </x:c>
      <x:c r="I2904" s="32" t="n">
        <x:v>1322000</x:v>
      </x:c>
      <x:c r="J2904" s="32" t="n">
        <x:v>911000</x:v>
      </x:c>
      <x:c r="K2904" s="30" t="n">
        <x:v>46135</x:v>
      </x:c>
      <x:c r="L2904" s="24" t="str">
        <x:v>입금</x:v>
      </x:c>
      <x:c r="M2904" s="31" t="n">
        <x:f>IF(AND(N2904="미수",G2904&lt;&gt;"",TODAY()&gt;G2904),TODAY()-G2904,0)</x:f>
        <x:v>112</x:v>
      </x:c>
      <x:c r="N2904" s="24" t="str">
        <x:f>IF(J2904&gt;0,"미수",IF(AND(H2904&gt;0,I2904&gt;=H2904),"완납","미확인"))</x:f>
        <x:v>미수</x:v>
      </x:c>
      <x:c r="O2904" s="31" t="n">
        <x:v>28</x:v>
      </x:c>
    </x:row>
    <x:row r="2905" ht="17.25" customHeight="1">
      <x:c r="A2905" s="24" t="str">
        <x:v>PR-B-14두9128-202603</x:v>
      </x:c>
      <x:c r="B2905" s="24" t="str">
        <x:v>프라임구독</x:v>
      </x:c>
      <x:c r="C2905" s="24" t="str">
        <x:v>PR-C-14두9128-1-20230906-47</x:v>
      </x:c>
      <x:c r="D2905" s="24" t="str">
        <x:v>14두9128</x:v>
      </x:c>
      <x:c r="E2905" s="24" t="str">
        <x:v>권소아</x:v>
      </x:c>
      <x:c r="F2905" s="24" t="str">
        <x:v>2026-03</x:v>
      </x:c>
      <x:c r="G2905" s="30" t="n">
        <x:v>46106</x:v>
      </x:c>
      <x:c r="H2905" s="32" t="n">
        <x:v>911000</x:v>
      </x:c>
      <x:c r="I2905" s="32" t="n">
        <x:v>500000</x:v>
      </x:c>
      <x:c r="J2905" s="32" t="n">
        <x:v>1322000</x:v>
      </x:c>
      <x:c r="K2905" s="30" t="n">
        <x:v>46106</x:v>
      </x:c>
      <x:c r="L2905" s="24" t="str">
        <x:v>입금</x:v>
      </x:c>
      <x:c r="M2905" s="31" t="n">
        <x:f>IF(AND(N2905="미수",G2905&lt;&gt;"",TODAY()&gt;G2905),TODAY()-G2905,0)</x:f>
        <x:v>143</x:v>
      </x:c>
      <x:c r="N2905" s="24" t="str">
        <x:f>IF(J2905&gt;0,"미수",IF(AND(H2905&gt;0,I2905&gt;=H2905),"완납","미확인"))</x:f>
        <x:v>미수</x:v>
      </x:c>
      <x:c r="O2905" s="31" t="n">
        <x:v>28</x:v>
      </x:c>
    </x:row>
    <x:row r="2906" ht="17.25" customHeight="1">
      <x:c r="A2906" s="24" t="str">
        <x:v>PR-B-14두9128-202602</x:v>
      </x:c>
      <x:c r="B2906" s="24" t="str">
        <x:v>프라임구독</x:v>
      </x:c>
      <x:c r="C2906" s="24" t="str">
        <x:v>PR-C-14두9128-1-20230906-47</x:v>
      </x:c>
      <x:c r="D2906" s="24" t="str">
        <x:v>14두9128</x:v>
      </x:c>
      <x:c r="E2906" s="24" t="str">
        <x:v>권소아</x:v>
      </x:c>
      <x:c r="F2906" s="24" t="str">
        <x:v>2026-02</x:v>
      </x:c>
      <x:c r="G2906" s="30" t="n">
        <x:v>46078</x:v>
      </x:c>
      <x:c r="H2906" s="32" t="n">
        <x:v>911000</x:v>
      </x:c>
      <x:c r="I2906" s="32" t="n">
        <x:v>1422000</x:v>
      </x:c>
      <x:c r="J2906" s="32" t="n">
        <x:v>911000</x:v>
      </x:c>
      <x:c r="K2906" s="30" t="n">
        <x:v>46076</x:v>
      </x:c>
      <x:c r="L2906" s="24" t="str">
        <x:v>입금</x:v>
      </x:c>
      <x:c r="M2906" s="31" t="n">
        <x:f>IF(AND(N2906="미수",G2906&lt;&gt;"",TODAY()&gt;G2906),TODAY()-G2906,0)</x:f>
        <x:v>171</x:v>
      </x:c>
      <x:c r="N2906" s="24" t="str">
        <x:f>IF(J2906&gt;0,"미수",IF(AND(H2906&gt;0,I2906&gt;=H2906),"완납","미확인"))</x:f>
        <x:v>미수</x:v>
      </x:c>
      <x:c r="O2906" s="31" t="n">
        <x:v>28</x:v>
      </x:c>
    </x:row>
    <x:row r="2907" ht="17.25" customHeight="1">
      <x:c r="A2907" s="24" t="str">
        <x:v>PR-B-14두9128-202601</x:v>
      </x:c>
      <x:c r="B2907" s="24" t="str">
        <x:v>프라임구독</x:v>
      </x:c>
      <x:c r="C2907" s="24" t="str">
        <x:v>PR-C-14두9128-1-20230906-47</x:v>
      </x:c>
      <x:c r="D2907" s="24" t="str">
        <x:v>14두9128</x:v>
      </x:c>
      <x:c r="E2907" s="24" t="str">
        <x:v>권소아</x:v>
      </x:c>
      <x:c r="F2907" s="24" t="str">
        <x:v>2026-01</x:v>
      </x:c>
      <x:c r="G2907" s="30" t="n">
        <x:v>46047</x:v>
      </x:c>
      <x:c r="H2907" s="32" t="n">
        <x:v>911000</x:v>
      </x:c>
      <x:c r="I2907" s="32" t="n">
        <x:v>400000</x:v>
      </x:c>
      <x:c r="J2907" s="32" t="n">
        <x:v>1422000</x:v>
      </x:c>
      <x:c r="K2907" s="30" t="n">
        <x:v>46048</x:v>
      </x:c>
      <x:c r="L2907" s="24" t="str">
        <x:v>입금</x:v>
      </x:c>
      <x:c r="M2907" s="31" t="n">
        <x:f>IF(AND(N2907="미수",G2907&lt;&gt;"",TODAY()&gt;G2907),TODAY()-G2907,0)</x:f>
        <x:v>202</x:v>
      </x:c>
      <x:c r="N2907" s="24" t="str">
        <x:f>IF(J2907&gt;0,"미수",IF(AND(H2907&gt;0,I2907&gt;=H2907),"완납","미확인"))</x:f>
        <x:v>미수</x:v>
      </x:c>
      <x:c r="O2907" s="31" t="n">
        <x:v>28</x:v>
      </x:c>
    </x:row>
    <x:row r="2908" ht="17.25" customHeight="1">
      <x:c r="A2908" s="24" t="str">
        <x:v>PR-B-14두9128-202512</x:v>
      </x:c>
      <x:c r="B2908" s="24" t="str">
        <x:v>프라임구독</x:v>
      </x:c>
      <x:c r="C2908" s="24" t="str">
        <x:v>PR-C-14두9128-1-20230906-47</x:v>
      </x:c>
      <x:c r="D2908" s="24" t="str">
        <x:v>14두9128</x:v>
      </x:c>
      <x:c r="E2908" s="24" t="str">
        <x:v>권소아</x:v>
      </x:c>
      <x:c r="F2908" s="24" t="str">
        <x:v>2025-12</x:v>
      </x:c>
      <x:c r="G2908" s="30" t="n">
        <x:v>46016</x:v>
      </x:c>
      <x:c r="H2908" s="32" t="n">
        <x:v>911000</x:v>
      </x:c>
      <x:c r="I2908" s="32" t="n">
        <x:v>1422000</x:v>
      </x:c>
      <x:c r="J2908" s="32" t="n">
        <x:v>911000</x:v>
      </x:c>
      <x:c r="K2908" s="30" t="n">
        <x:v>46013</x:v>
      </x:c>
      <x:c r="L2908" s="24" t="str">
        <x:v>입금</x:v>
      </x:c>
      <x:c r="M2908" s="31" t="n">
        <x:f>IF(AND(N2908="미수",G2908&lt;&gt;"",TODAY()&gt;G2908),TODAY()-G2908,0)</x:f>
        <x:v>233</x:v>
      </x:c>
      <x:c r="N2908" s="24" t="str">
        <x:f>IF(J2908&gt;0,"미수",IF(AND(H2908&gt;0,I2908&gt;=H2908),"완납","미확인"))</x:f>
        <x:v>미수</x:v>
      </x:c>
      <x:c r="O2908" s="31" t="n">
        <x:v>28</x:v>
      </x:c>
    </x:row>
    <x:row r="2909" ht="17.25" customHeight="1">
      <x:c r="A2909" s="24" t="str">
        <x:v>PR-B-14두9128-202511</x:v>
      </x:c>
      <x:c r="B2909" s="24" t="str">
        <x:v>프라임구독</x:v>
      </x:c>
      <x:c r="C2909" s="24" t="str">
        <x:v>PR-C-14두9128-1-20230906-47</x:v>
      </x:c>
      <x:c r="D2909" s="24" t="str">
        <x:v>14두9128</x:v>
      </x:c>
      <x:c r="E2909" s="24" t="str">
        <x:v>권소아</x:v>
      </x:c>
      <x:c r="F2909" s="24" t="str">
        <x:v>2025-11</x:v>
      </x:c>
      <x:c r="G2909" s="30" t="n">
        <x:v>45986</x:v>
      </x:c>
      <x:c r="H2909" s="32" t="n">
        <x:v>911000</x:v>
      </x:c>
      <x:c r="I2909" s="32" t="n">
        <x:v>400000</x:v>
      </x:c>
      <x:c r="J2909" s="32" t="n">
        <x:v>1422000</x:v>
      </x:c>
      <x:c r="K2909" s="30" t="n">
        <x:v>45986</x:v>
      </x:c>
      <x:c r="L2909" s="24" t="str">
        <x:v>입금</x:v>
      </x:c>
      <x:c r="M2909" s="31" t="n">
        <x:f>IF(AND(N2909="미수",G2909&lt;&gt;"",TODAY()&gt;G2909),TODAY()-G2909,0)</x:f>
        <x:v>263</x:v>
      </x:c>
      <x:c r="N2909" s="24" t="str">
        <x:f>IF(J2909&gt;0,"미수",IF(AND(H2909&gt;0,I2909&gt;=H2909),"완납","미확인"))</x:f>
        <x:v>미수</x:v>
      </x:c>
      <x:c r="O2909" s="31" t="n">
        <x:v>28</x:v>
      </x:c>
    </x:row>
    <x:row r="2910" ht="17.25" customHeight="1">
      <x:c r="A2910" s="24" t="str">
        <x:v>PR-B-14두9128-202510</x:v>
      </x:c>
      <x:c r="B2910" s="24" t="str">
        <x:v>프라임구독</x:v>
      </x:c>
      <x:c r="C2910" s="24" t="str">
        <x:v>PR-C-14두9128-1-20230906-47</x:v>
      </x:c>
      <x:c r="D2910" s="24" t="str">
        <x:v>14두9128</x:v>
      </x:c>
      <x:c r="E2910" s="24" t="str">
        <x:v>권소아</x:v>
      </x:c>
      <x:c r="F2910" s="24" t="str">
        <x:v>2025-10</x:v>
      </x:c>
      <x:c r="G2910" s="30" t="n">
        <x:v>45955</x:v>
      </x:c>
      <x:c r="H2910" s="32" t="n">
        <x:v>911000</x:v>
      </x:c>
      <x:c r="I2910" s="32"/>
      <x:c r="J2910" s="32" t="n">
        <x:v>911000</x:v>
      </x:c>
      <x:c r="K2910" s="30"/>
      <x:c r="L2910" s="24" t="str"/>
      <x:c r="M2910" s="31" t="n">
        <x:f>IF(AND(N2910="미수",G2910&lt;&gt;"",TODAY()&gt;G2910),TODAY()-G2910,0)</x:f>
        <x:v>294</x:v>
      </x:c>
      <x:c r="N2910" s="24" t="str">
        <x:f>IF(J2910&gt;0,"미수",IF(AND(H2910&gt;0,I2910&gt;=H2910),"완납","미확인"))</x:f>
        <x:v>미수</x:v>
      </x:c>
      <x:c r="O2910" s="31" t="n">
        <x:v>28</x:v>
      </x:c>
    </x:row>
    <x:row r="2911" ht="17.25" customHeight="1">
      <x:c r="A2911" s="24" t="str">
        <x:v>PR-B-14두9128-202509</x:v>
      </x:c>
      <x:c r="B2911" s="24" t="str">
        <x:v>프라임구독</x:v>
      </x:c>
      <x:c r="C2911" s="24" t="str">
        <x:v>PR-C-14두9128-1-20230906-47</x:v>
      </x:c>
      <x:c r="D2911" s="24" t="str">
        <x:v>14두9128</x:v>
      </x:c>
      <x:c r="E2911" s="24" t="str">
        <x:v>권소아</x:v>
      </x:c>
      <x:c r="F2911" s="24" t="str">
        <x:v>2025-09</x:v>
      </x:c>
      <x:c r="G2911" s="30" t="n">
        <x:v>45925</x:v>
      </x:c>
      <x:c r="H2911" s="32" t="n">
        <x:v>911000</x:v>
      </x:c>
      <x:c r="I2911" s="32" t="n">
        <x:v>2556000</x:v>
      </x:c>
      <x:c r="J2911" s="32" t="n">
        <x:v>0</x:v>
      </x:c>
      <x:c r="K2911" s="30" t="n">
        <x:v>45925</x:v>
      </x:c>
      <x:c r="L2911" s="24" t="str">
        <x:v>입금</x:v>
      </x:c>
      <x:c r="M2911" s="31" t="n">
        <x:f>IF(AND(N2911="미수",G2911&lt;&gt;"",TODAY()&gt;G2911),TODAY()-G2911,0)</x:f>
        <x:v>0</x:v>
      </x:c>
      <x:c r="N2911" s="24" t="str">
        <x:f>IF(J2911&gt;0,"미수",IF(AND(H2911&gt;0,I2911&gt;=H2911),"완납","미확인"))</x:f>
        <x:v>완납</x:v>
      </x:c>
      <x:c r="O2911" s="31" t="n">
        <x:v>28</x:v>
      </x:c>
    </x:row>
    <x:row r="2912" ht="17.25" customHeight="1">
      <x:c r="A2912" s="24" t="str">
        <x:v>PR-B-14두9128-202508</x:v>
      </x:c>
      <x:c r="B2912" s="24" t="str">
        <x:v>프라임구독</x:v>
      </x:c>
      <x:c r="C2912" s="24" t="str">
        <x:v>PR-C-14두9128-1-20230906-47</x:v>
      </x:c>
      <x:c r="D2912" s="24" t="str">
        <x:v>14두9128</x:v>
      </x:c>
      <x:c r="E2912" s="24" t="str">
        <x:v>권소아</x:v>
      </x:c>
      <x:c r="F2912" s="24" t="str">
        <x:v>2025-08</x:v>
      </x:c>
      <x:c r="G2912" s="30" t="n">
        <x:v>45894</x:v>
      </x:c>
      <x:c r="H2912" s="32" t="n">
        <x:v>911000</x:v>
      </x:c>
      <x:c r="I2912" s="32" t="n">
        <x:v>900000</x:v>
      </x:c>
      <x:c r="J2912" s="32" t="n">
        <x:v>1645000</x:v>
      </x:c>
      <x:c r="K2912" s="30" t="n">
        <x:v>45894</x:v>
      </x:c>
      <x:c r="L2912" s="24" t="str">
        <x:v>입금</x:v>
      </x:c>
      <x:c r="M2912" s="31" t="n">
        <x:f>IF(AND(N2912="미수",G2912&lt;&gt;"",TODAY()&gt;G2912),TODAY()-G2912,0)</x:f>
        <x:v>355</x:v>
      </x:c>
      <x:c r="N2912" s="24" t="str">
        <x:f>IF(J2912&gt;0,"미수",IF(AND(H2912&gt;0,I2912&gt;=H2912),"완납","미확인"))</x:f>
        <x:v>미수</x:v>
      </x:c>
      <x:c r="O2912" s="31" t="n">
        <x:v>28</x:v>
      </x:c>
    </x:row>
    <x:row r="2913" ht="17.25" customHeight="1">
      <x:c r="A2913" s="24" t="str">
        <x:v>PR-B-14두9128-202507</x:v>
      </x:c>
      <x:c r="B2913" s="24" t="str">
        <x:v>프라임구독</x:v>
      </x:c>
      <x:c r="C2913" s="24" t="str">
        <x:v>PR-C-14두9128-1-20230906-47</x:v>
      </x:c>
      <x:c r="D2913" s="24" t="str">
        <x:v>14두9128</x:v>
      </x:c>
      <x:c r="E2913" s="24" t="str">
        <x:v>권소아</x:v>
      </x:c>
      <x:c r="F2913" s="24" t="str">
        <x:v>2025-07</x:v>
      </x:c>
      <x:c r="G2913" s="30" t="n">
        <x:v>45863</x:v>
      </x:c>
      <x:c r="H2913" s="32" t="n">
        <x:v>911000</x:v>
      </x:c>
      <x:c r="I2913" s="32" t="n">
        <x:v>700000</x:v>
      </x:c>
      <x:c r="J2913" s="32" t="n">
        <x:v>1634000</x:v>
      </x:c>
      <x:c r="K2913" s="30" t="n">
        <x:v>45868</x:v>
      </x:c>
      <x:c r="L2913" s="24" t="str">
        <x:v>입금</x:v>
      </x:c>
      <x:c r="M2913" s="31" t="n">
        <x:f>IF(AND(N2913="미수",G2913&lt;&gt;"",TODAY()&gt;G2913),TODAY()-G2913,0)</x:f>
        <x:v>386</x:v>
      </x:c>
      <x:c r="N2913" s="24" t="str">
        <x:f>IF(J2913&gt;0,"미수",IF(AND(H2913&gt;0,I2913&gt;=H2913),"완납","미확인"))</x:f>
        <x:v>미수</x:v>
      </x:c>
      <x:c r="O2913" s="31" t="n">
        <x:v>28</x:v>
      </x:c>
    </x:row>
    <x:row r="2914" ht="17.25" customHeight="1">
      <x:c r="A2914" s="24" t="str">
        <x:v>PR-B-14두9128-202506</x:v>
      </x:c>
      <x:c r="B2914" s="24" t="str">
        <x:v>프라임구독</x:v>
      </x:c>
      <x:c r="C2914" s="24" t="str">
        <x:v>PR-C-14두9128-1-20230906-47</x:v>
      </x:c>
      <x:c r="D2914" s="24" t="str">
        <x:v>14두9128</x:v>
      </x:c>
      <x:c r="E2914" s="24" t="str">
        <x:v>권소아</x:v>
      </x:c>
      <x:c r="F2914" s="24" t="str">
        <x:v>2025-06</x:v>
      </x:c>
      <x:c r="G2914" s="30" t="n">
        <x:v>45833</x:v>
      </x:c>
      <x:c r="H2914" s="32" t="n">
        <x:v>911000</x:v>
      </x:c>
      <x:c r="I2914" s="32" t="n">
        <x:v>400000</x:v>
      </x:c>
      <x:c r="J2914" s="32" t="n">
        <x:v>1423000</x:v>
      </x:c>
      <x:c r="K2914" s="30" t="n">
        <x:v>45837</x:v>
      </x:c>
      <x:c r="L2914" s="24" t="str">
        <x:v>입금</x:v>
      </x:c>
      <x:c r="M2914" s="31" t="n">
        <x:f>IF(AND(N2914="미수",G2914&lt;&gt;"",TODAY()&gt;G2914),TODAY()-G2914,0)</x:f>
        <x:v>416</x:v>
      </x:c>
      <x:c r="N2914" s="24" t="str">
        <x:f>IF(J2914&gt;0,"미수",IF(AND(H2914&gt;0,I2914&gt;=H2914),"완납","미확인"))</x:f>
        <x:v>미수</x:v>
      </x:c>
      <x:c r="O2914" s="31" t="n">
        <x:v>28</x:v>
      </x:c>
    </x:row>
    <x:row r="2915" ht="17.25" customHeight="1">
      <x:c r="A2915" s="24" t="str">
        <x:v>PR-B-14두9128-202505</x:v>
      </x:c>
      <x:c r="B2915" s="24" t="str">
        <x:v>프라임구독</x:v>
      </x:c>
      <x:c r="C2915" s="24" t="str">
        <x:v>PR-C-14두9128-1-20230906-47</x:v>
      </x:c>
      <x:c r="D2915" s="24" t="str">
        <x:v>14두9128</x:v>
      </x:c>
      <x:c r="E2915" s="24" t="str">
        <x:v>권소아</x:v>
      </x:c>
      <x:c r="F2915" s="24" t="str">
        <x:v>2025-05</x:v>
      </x:c>
      <x:c r="G2915" s="30" t="n">
        <x:v>45802</x:v>
      </x:c>
      <x:c r="H2915" s="32" t="n">
        <x:v>911000</x:v>
      </x:c>
      <x:c r="I2915" s="32" t="n">
        <x:v>910000</x:v>
      </x:c>
      <x:c r="J2915" s="32" t="n">
        <x:v>912000</x:v>
      </x:c>
      <x:c r="K2915" s="30" t="n">
        <x:v>45802</x:v>
      </x:c>
      <x:c r="L2915" s="24" t="str">
        <x:v>입금</x:v>
      </x:c>
      <x:c r="M2915" s="31" t="n">
        <x:f>IF(AND(N2915="미수",G2915&lt;&gt;"",TODAY()&gt;G2915),TODAY()-G2915,0)</x:f>
        <x:v>447</x:v>
      </x:c>
      <x:c r="N2915" s="24" t="str">
        <x:f>IF(J2915&gt;0,"미수",IF(AND(H2915&gt;0,I2915&gt;=H2915),"완납","미확인"))</x:f>
        <x:v>미수</x:v>
      </x:c>
      <x:c r="O2915" s="31" t="n">
        <x:v>28</x:v>
      </x:c>
    </x:row>
    <x:row r="2916" ht="17.25" customHeight="1">
      <x:c r="A2916" s="24" t="str">
        <x:v>PR-B-14두9128-202504</x:v>
      </x:c>
      <x:c r="B2916" s="24" t="str">
        <x:v>프라임구독</x:v>
      </x:c>
      <x:c r="C2916" s="24" t="str">
        <x:v>PR-C-14두9128-1-20230906-47</x:v>
      </x:c>
      <x:c r="D2916" s="24" t="str">
        <x:v>14두9128</x:v>
      </x:c>
      <x:c r="E2916" s="24" t="str">
        <x:v>권소아</x:v>
      </x:c>
      <x:c r="F2916" s="24" t="str">
        <x:v>2025-04</x:v>
      </x:c>
      <x:c r="G2916" s="30" t="n">
        <x:v>45772</x:v>
      </x:c>
      <x:c r="H2916" s="32" t="n">
        <x:v>911000</x:v>
      </x:c>
      <x:c r="I2916" s="32" t="n">
        <x:v>1466000</x:v>
      </x:c>
      <x:c r="J2916" s="32" t="n">
        <x:v>911000</x:v>
      </x:c>
      <x:c r="K2916" s="30" t="n">
        <x:v>45764</x:v>
      </x:c>
      <x:c r="L2916" s="24" t="str">
        <x:v>입금</x:v>
      </x:c>
      <x:c r="M2916" s="31" t="n">
        <x:f>IF(AND(N2916="미수",G2916&lt;&gt;"",TODAY()&gt;G2916),TODAY()-G2916,0)</x:f>
        <x:v>477</x:v>
      </x:c>
      <x:c r="N2916" s="24" t="str">
        <x:f>IF(J2916&gt;0,"미수",IF(AND(H2916&gt;0,I2916&gt;=H2916),"완납","미확인"))</x:f>
        <x:v>미수</x:v>
      </x:c>
      <x:c r="O2916" s="31" t="n">
        <x:v>28</x:v>
      </x:c>
    </x:row>
    <x:row r="2917" ht="17.25" customHeight="1">
      <x:c r="A2917" s="24" t="str">
        <x:v>PR-B-14두9128-202503</x:v>
      </x:c>
      <x:c r="B2917" s="24" t="str">
        <x:v>프라임구독</x:v>
      </x:c>
      <x:c r="C2917" s="24" t="str">
        <x:v>PR-C-14두9128-1-20230906-47</x:v>
      </x:c>
      <x:c r="D2917" s="24" t="str">
        <x:v>14두9128</x:v>
      </x:c>
      <x:c r="E2917" s="24" t="str">
        <x:v>권소아</x:v>
      </x:c>
      <x:c r="F2917" s="24" t="str">
        <x:v>2025-03</x:v>
      </x:c>
      <x:c r="G2917" s="30" t="n">
        <x:v>45741</x:v>
      </x:c>
      <x:c r="H2917" s="32" t="n">
        <x:v>911000</x:v>
      </x:c>
      <x:c r="I2917" s="32" t="n">
        <x:v>500000</x:v>
      </x:c>
      <x:c r="J2917" s="32" t="n">
        <x:v>1466000</x:v>
      </x:c>
      <x:c r="K2917" s="30" t="n">
        <x:v>45742</x:v>
      </x:c>
      <x:c r="L2917" s="24" t="str">
        <x:v>입금</x:v>
      </x:c>
      <x:c r="M2917" s="31" t="n">
        <x:f>IF(AND(N2917="미수",G2917&lt;&gt;"",TODAY()&gt;G2917),TODAY()-G2917,0)</x:f>
        <x:v>508</x:v>
      </x:c>
      <x:c r="N2917" s="24" t="str">
        <x:f>IF(J2917&gt;0,"미수",IF(AND(H2917&gt;0,I2917&gt;=H2917),"완납","미확인"))</x:f>
        <x:v>미수</x:v>
      </x:c>
      <x:c r="O2917" s="31" t="n">
        <x:v>28</x:v>
      </x:c>
    </x:row>
    <x:row r="2918" ht="17.25" customHeight="1">
      <x:c r="A2918" s="24" t="str">
        <x:v>PR-B-14두9128-202502</x:v>
      </x:c>
      <x:c r="B2918" s="24" t="str">
        <x:v>프라임구독</x:v>
      </x:c>
      <x:c r="C2918" s="24" t="str">
        <x:v>PR-C-14두9128-1-20230906-47</x:v>
      </x:c>
      <x:c r="D2918" s="24" t="str">
        <x:v>14두9128</x:v>
      </x:c>
      <x:c r="E2918" s="24" t="str">
        <x:v>권소아</x:v>
      </x:c>
      <x:c r="F2918" s="24" t="str">
        <x:v>2025-02</x:v>
      </x:c>
      <x:c r="G2918" s="30" t="n">
        <x:v>45713</x:v>
      </x:c>
      <x:c r="H2918" s="32" t="n">
        <x:v>911000</x:v>
      </x:c>
      <x:c r="I2918" s="32"/>
      <x:c r="J2918" s="32" t="n">
        <x:v>1055000</x:v>
      </x:c>
      <x:c r="K2918" s="30"/>
      <x:c r="L2918" s="24" t="str"/>
      <x:c r="M2918" s="31" t="n">
        <x:f>IF(AND(N2918="미수",G2918&lt;&gt;"",TODAY()&gt;G2918),TODAY()-G2918,0)</x:f>
        <x:v>536</x:v>
      </x:c>
      <x:c r="N2918" s="24" t="str">
        <x:f>IF(J2918&gt;0,"미수",IF(AND(H2918&gt;0,I2918&gt;=H2918),"완납","미확인"))</x:f>
        <x:v>미수</x:v>
      </x:c>
      <x:c r="O2918" s="31" t="n">
        <x:v>28</x:v>
      </x:c>
    </x:row>
    <x:row r="2919" ht="17.25" customHeight="1">
      <x:c r="A2919" s="24" t="str">
        <x:v>PR-B-14두9128-202501</x:v>
      </x:c>
      <x:c r="B2919" s="24" t="str">
        <x:v>프라임구독</x:v>
      </x:c>
      <x:c r="C2919" s="24" t="str">
        <x:v>PR-C-14두9128-1-20230906-47</x:v>
      </x:c>
      <x:c r="D2919" s="24" t="str">
        <x:v>14두9128</x:v>
      </x:c>
      <x:c r="E2919" s="24" t="str">
        <x:v>권소아</x:v>
      </x:c>
      <x:c r="F2919" s="24" t="str">
        <x:v>2025-01</x:v>
      </x:c>
      <x:c r="G2919" s="30" t="n">
        <x:v>45682</x:v>
      </x:c>
      <x:c r="H2919" s="32" t="n">
        <x:v>911000</x:v>
      </x:c>
      <x:c r="I2919" s="32" t="n">
        <x:v>767000</x:v>
      </x:c>
      <x:c r="J2919" s="32" t="n">
        <x:v>144000</x:v>
      </x:c>
      <x:c r="K2919" s="30" t="n">
        <x:v>45691</x:v>
      </x:c>
      <x:c r="L2919" s="24" t="str">
        <x:v>입금</x:v>
      </x:c>
      <x:c r="M2919" s="31" t="n">
        <x:f>IF(AND(N2919="미수",G2919&lt;&gt;"",TODAY()&gt;G2919),TODAY()-G2919,0)</x:f>
        <x:v>567</x:v>
      </x:c>
      <x:c r="N2919" s="24" t="str">
        <x:f>IF(J2919&gt;0,"미수",IF(AND(H2919&gt;0,I2919&gt;=H2919),"완납","미확인"))</x:f>
        <x:v>미수</x:v>
      </x:c>
      <x:c r="O2919" s="31" t="n">
        <x:v>28</x:v>
      </x:c>
    </x:row>
    <x:row r="2920" ht="17.25" customHeight="1">
      <x:c r="A2920" s="24" t="str">
        <x:v>PR-B-14두9128-202412</x:v>
      </x:c>
      <x:c r="B2920" s="24" t="str">
        <x:v>프라임구독</x:v>
      </x:c>
      <x:c r="C2920" s="24" t="str">
        <x:v>PR-C-14두9128-1-20230906-47</x:v>
      </x:c>
      <x:c r="D2920" s="24" t="str">
        <x:v>14두9128</x:v>
      </x:c>
      <x:c r="E2920" s="24" t="str">
        <x:v>권소아</x:v>
      </x:c>
      <x:c r="F2920" s="24" t="str">
        <x:v>2024-12</x:v>
      </x:c>
      <x:c r="G2920" s="30" t="n">
        <x:v>45651</x:v>
      </x:c>
      <x:c r="H2920" s="32" t="n">
        <x:v>911000</x:v>
      </x:c>
      <x:c r="I2920" s="32" t="n">
        <x:v>911000</x:v>
      </x:c>
      <x:c r="J2920" s="32" t="n">
        <x:v>0</x:v>
      </x:c>
      <x:c r="K2920" s="30" t="n">
        <x:v>45676</x:v>
      </x:c>
      <x:c r="L2920" s="24" t="str">
        <x:v>입금</x:v>
      </x:c>
      <x:c r="M2920" s="31" t="n">
        <x:f>IF(AND(N2920="미수",G2920&lt;&gt;"",TODAY()&gt;G2920),TODAY()-G2920,0)</x:f>
        <x:v>0</x:v>
      </x:c>
      <x:c r="N2920" s="24" t="str">
        <x:f>IF(J2920&gt;0,"미수",IF(AND(H2920&gt;0,I2920&gt;=H2920),"완납","미확인"))</x:f>
        <x:v>완납</x:v>
      </x:c>
      <x:c r="O2920" s="31" t="n">
        <x:v>28</x:v>
      </x:c>
    </x:row>
    <x:row r="2921" ht="17.25" customHeight="1">
      <x:c r="A2921" s="24" t="str">
        <x:v>PR-B-14두9128-202411</x:v>
      </x:c>
      <x:c r="B2921" s="24" t="str">
        <x:v>프라임구독</x:v>
      </x:c>
      <x:c r="C2921" s="24" t="str">
        <x:v>PR-C-14두9128-1-20230906-47</x:v>
      </x:c>
      <x:c r="D2921" s="24" t="str">
        <x:v>14두9128</x:v>
      </x:c>
      <x:c r="E2921" s="24" t="str">
        <x:v>권소아</x:v>
      </x:c>
      <x:c r="F2921" s="24" t="str">
        <x:v>2024-11</x:v>
      </x:c>
      <x:c r="G2921" s="30" t="n">
        <x:v>45621</x:v>
      </x:c>
      <x:c r="H2921" s="32" t="n">
        <x:v>911000</x:v>
      </x:c>
      <x:c r="I2921" s="32" t="n">
        <x:v>911000</x:v>
      </x:c>
      <x:c r="J2921" s="32" t="n">
        <x:v>0</x:v>
      </x:c>
      <x:c r="K2921" s="30" t="n">
        <x:v>45629</x:v>
      </x:c>
      <x:c r="L2921" s="24" t="str">
        <x:v>입금</x:v>
      </x:c>
      <x:c r="M2921" s="31" t="n">
        <x:f>IF(AND(N2921="미수",G2921&lt;&gt;"",TODAY()&gt;G2921),TODAY()-G2921,0)</x:f>
        <x:v>0</x:v>
      </x:c>
      <x:c r="N2921" s="24" t="str">
        <x:f>IF(J2921&gt;0,"미수",IF(AND(H2921&gt;0,I2921&gt;=H2921),"완납","미확인"))</x:f>
        <x:v>완납</x:v>
      </x:c>
      <x:c r="O2921" s="31" t="n">
        <x:v>28</x:v>
      </x:c>
    </x:row>
    <x:row r="2922" ht="17.25" customHeight="1">
      <x:c r="A2922" s="24" t="str">
        <x:v>PR-B-14두9128-202410</x:v>
      </x:c>
      <x:c r="B2922" s="24" t="str">
        <x:v>프라임구독</x:v>
      </x:c>
      <x:c r="C2922" s="24" t="str">
        <x:v>PR-C-14두9128-1-20230906-47</x:v>
      </x:c>
      <x:c r="D2922" s="24" t="str">
        <x:v>14두9128</x:v>
      </x:c>
      <x:c r="E2922" s="24" t="str">
        <x:v>권소아</x:v>
      </x:c>
      <x:c r="F2922" s="24" t="str">
        <x:v>2024-10</x:v>
      </x:c>
      <x:c r="G2922" s="30" t="n">
        <x:v>45590</x:v>
      </x:c>
      <x:c r="H2922" s="32" t="n">
        <x:v>911000</x:v>
      </x:c>
      <x:c r="I2922" s="32" t="n">
        <x:v>911000</x:v>
      </x:c>
      <x:c r="J2922" s="32" t="n">
        <x:v>0</x:v>
      </x:c>
      <x:c r="K2922" s="30" t="n">
        <x:v>45629</x:v>
      </x:c>
      <x:c r="L2922" s="24" t="str">
        <x:v>입금</x:v>
      </x:c>
      <x:c r="M2922" s="31" t="n">
        <x:f>IF(AND(N2922="미수",G2922&lt;&gt;"",TODAY()&gt;G2922),TODAY()-G2922,0)</x:f>
        <x:v>0</x:v>
      </x:c>
      <x:c r="N2922" s="24" t="str">
        <x:f>IF(J2922&gt;0,"미수",IF(AND(H2922&gt;0,I2922&gt;=H2922),"완납","미확인"))</x:f>
        <x:v>완납</x:v>
      </x:c>
      <x:c r="O2922" s="31" t="n">
        <x:v>28</x:v>
      </x:c>
    </x:row>
    <x:row r="2923" ht="17.25" customHeight="1">
      <x:c r="A2923" s="24" t="str">
        <x:v>PR-B-14두9128-202409</x:v>
      </x:c>
      <x:c r="B2923" s="24" t="str">
        <x:v>프라임구독</x:v>
      </x:c>
      <x:c r="C2923" s="24" t="str">
        <x:v>PR-C-14두9128-1-20230906-47</x:v>
      </x:c>
      <x:c r="D2923" s="24" t="str">
        <x:v>14두9128</x:v>
      </x:c>
      <x:c r="E2923" s="24" t="str">
        <x:v>권소아</x:v>
      </x:c>
      <x:c r="F2923" s="24" t="str">
        <x:v>2024-09</x:v>
      </x:c>
      <x:c r="G2923" s="30" t="n">
        <x:v>45560</x:v>
      </x:c>
      <x:c r="H2923" s="32" t="n">
        <x:v>861000</x:v>
      </x:c>
      <x:c r="I2923" s="32" t="n">
        <x:v>861000</x:v>
      </x:c>
      <x:c r="J2923" s="32" t="n">
        <x:v>0</x:v>
      </x:c>
      <x:c r="K2923" s="30" t="n">
        <x:v>45570</x:v>
      </x:c>
      <x:c r="L2923" s="24" t="str">
        <x:v>입금</x:v>
      </x:c>
      <x:c r="M2923" s="31" t="n">
        <x:f>IF(AND(N2923="미수",G2923&lt;&gt;"",TODAY()&gt;G2923),TODAY()-G2923,0)</x:f>
        <x:v>0</x:v>
      </x:c>
      <x:c r="N2923" s="24" t="str">
        <x:f>IF(J2923&gt;0,"미수",IF(AND(H2923&gt;0,I2923&gt;=H2923),"완납","미확인"))</x:f>
        <x:v>완납</x:v>
      </x:c>
      <x:c r="O2923" s="31" t="n">
        <x:v>28</x:v>
      </x:c>
    </x:row>
    <x:row r="2924" ht="17.25" customHeight="1">
      <x:c r="A2924" s="24" t="str">
        <x:v>PR-B-14두9128-202408</x:v>
      </x:c>
      <x:c r="B2924" s="24" t="str">
        <x:v>프라임구독</x:v>
      </x:c>
      <x:c r="C2924" s="24" t="str">
        <x:v>PR-C-14두9128-1-20230906-47</x:v>
      </x:c>
      <x:c r="D2924" s="24" t="str">
        <x:v>14두9128</x:v>
      </x:c>
      <x:c r="E2924" s="24" t="str">
        <x:v>권소아</x:v>
      </x:c>
      <x:c r="F2924" s="24" t="str">
        <x:v>2024-08</x:v>
      </x:c>
      <x:c r="G2924" s="30" t="n">
        <x:v>45529</x:v>
      </x:c>
      <x:c r="H2924" s="32" t="n">
        <x:v>911000</x:v>
      </x:c>
      <x:c r="I2924" s="32" t="n">
        <x:v>911000</x:v>
      </x:c>
      <x:c r="J2924" s="32" t="n">
        <x:v>0</x:v>
      </x:c>
      <x:c r="K2924" s="30" t="n">
        <x:v>45533</x:v>
      </x:c>
      <x:c r="L2924" s="24" t="str">
        <x:v>입금</x:v>
      </x:c>
      <x:c r="M2924" s="31" t="n">
        <x:f>IF(AND(N2924="미수",G2924&lt;&gt;"",TODAY()&gt;G2924),TODAY()-G2924,0)</x:f>
        <x:v>0</x:v>
      </x:c>
      <x:c r="N2924" s="24" t="str">
        <x:f>IF(J2924&gt;0,"미수",IF(AND(H2924&gt;0,I2924&gt;=H2924),"완납","미확인"))</x:f>
        <x:v>완납</x:v>
      </x:c>
      <x:c r="O2924" s="31" t="n">
        <x:v>28</x:v>
      </x:c>
    </x:row>
    <x:row r="2925" ht="17.25" customHeight="1">
      <x:c r="A2925" s="24" t="str">
        <x:v>PR-B-14두9128-202407</x:v>
      </x:c>
      <x:c r="B2925" s="24" t="str">
        <x:v>프라임구독</x:v>
      </x:c>
      <x:c r="C2925" s="24" t="str">
        <x:v>PR-C-14두9128-1-20230906-47</x:v>
      </x:c>
      <x:c r="D2925" s="24" t="str">
        <x:v>14두9128</x:v>
      </x:c>
      <x:c r="E2925" s="24" t="str">
        <x:v>권소아</x:v>
      </x:c>
      <x:c r="F2925" s="24" t="str">
        <x:v>2024-07</x:v>
      </x:c>
      <x:c r="G2925" s="30" t="n">
        <x:v>45498</x:v>
      </x:c>
      <x:c r="H2925" s="32" t="n">
        <x:v>911000</x:v>
      </x:c>
      <x:c r="I2925" s="32" t="n">
        <x:v>911000</x:v>
      </x:c>
      <x:c r="J2925" s="32" t="n">
        <x:v>0</x:v>
      </x:c>
      <x:c r="K2925" s="30" t="n">
        <x:v>45511</x:v>
      </x:c>
      <x:c r="L2925" s="24" t="str"/>
      <x:c r="M2925" s="31" t="n">
        <x:f>IF(AND(N2925="미수",G2925&lt;&gt;"",TODAY()&gt;G2925),TODAY()-G2925,0)</x:f>
        <x:v>0</x:v>
      </x:c>
      <x:c r="N2925" s="24" t="str">
        <x:f>IF(J2925&gt;0,"미수",IF(AND(H2925&gt;0,I2925&gt;=H2925),"완납","미확인"))</x:f>
        <x:v>완납</x:v>
      </x:c>
      <x:c r="O2925" s="31" t="n">
        <x:v>28</x:v>
      </x:c>
    </x:row>
    <x:row r="2926" ht="17.25" customHeight="1">
      <x:c r="A2926" s="24" t="str">
        <x:v>PR-B-14두9128-202406</x:v>
      </x:c>
      <x:c r="B2926" s="24" t="str">
        <x:v>프라임구독</x:v>
      </x:c>
      <x:c r="C2926" s="24" t="str">
        <x:v>PR-C-14두9128-1-20230906-47</x:v>
      </x:c>
      <x:c r="D2926" s="24" t="str">
        <x:v>14두9128</x:v>
      </x:c>
      <x:c r="E2926" s="24" t="str">
        <x:v>권소아</x:v>
      </x:c>
      <x:c r="F2926" s="24" t="str">
        <x:v>2024-06</x:v>
      </x:c>
      <x:c r="G2926" s="30" t="n">
        <x:v>45468</x:v>
      </x:c>
      <x:c r="H2926" s="32" t="n">
        <x:v>911000</x:v>
      </x:c>
      <x:c r="I2926" s="32" t="n">
        <x:v>911000</x:v>
      </x:c>
      <x:c r="J2926" s="32" t="n">
        <x:v>0</x:v>
      </x:c>
      <x:c r="K2926" s="30" t="n">
        <x:v>45470</x:v>
      </x:c>
      <x:c r="L2926" s="24" t="str"/>
      <x:c r="M2926" s="31" t="n">
        <x:f>IF(AND(N2926="미수",G2926&lt;&gt;"",TODAY()&gt;G2926),TODAY()-G2926,0)</x:f>
        <x:v>0</x:v>
      </x:c>
      <x:c r="N2926" s="24" t="str">
        <x:f>IF(J2926&gt;0,"미수",IF(AND(H2926&gt;0,I2926&gt;=H2926),"완납","미확인"))</x:f>
        <x:v>완납</x:v>
      </x:c>
      <x:c r="O2926" s="31" t="n">
        <x:v>28</x:v>
      </x:c>
    </x:row>
    <x:row r="2927" ht="17.25" customHeight="1">
      <x:c r="A2927" s="24" t="str">
        <x:v>PR-B-14두9128-202405</x:v>
      </x:c>
      <x:c r="B2927" s="24" t="str">
        <x:v>프라임구독</x:v>
      </x:c>
      <x:c r="C2927" s="24" t="str">
        <x:v>PR-C-14두9128-1-20230906-47</x:v>
      </x:c>
      <x:c r="D2927" s="24" t="str">
        <x:v>14두9128</x:v>
      </x:c>
      <x:c r="E2927" s="24" t="str">
        <x:v>권소아</x:v>
      </x:c>
      <x:c r="F2927" s="24" t="str">
        <x:v>2024-05</x:v>
      </x:c>
      <x:c r="G2927" s="30" t="n">
        <x:v>45437</x:v>
      </x:c>
      <x:c r="H2927" s="32" t="n">
        <x:v>911000</x:v>
      </x:c>
      <x:c r="I2927" s="32" t="n">
        <x:v>911000</x:v>
      </x:c>
      <x:c r="J2927" s="32" t="n">
        <x:v>0</x:v>
      </x:c>
      <x:c r="K2927" s="30" t="n">
        <x:v>45448</x:v>
      </x:c>
      <x:c r="L2927" s="24" t="str"/>
      <x:c r="M2927" s="31" t="n">
        <x:f>IF(AND(N2927="미수",G2927&lt;&gt;"",TODAY()&gt;G2927),TODAY()-G2927,0)</x:f>
        <x:v>0</x:v>
      </x:c>
      <x:c r="N2927" s="24" t="str">
        <x:f>IF(J2927&gt;0,"미수",IF(AND(H2927&gt;0,I2927&gt;=H2927),"완납","미확인"))</x:f>
        <x:v>완납</x:v>
      </x:c>
      <x:c r="O2927" s="31" t="n">
        <x:v>28</x:v>
      </x:c>
    </x:row>
    <x:row r="2928" ht="17.25" customHeight="1">
      <x:c r="A2928" s="24" t="str">
        <x:v>PR-B-164노9379-202608</x:v>
      </x:c>
      <x:c r="B2928" s="24" t="str">
        <x:v>프라임구독</x:v>
      </x:c>
      <x:c r="C2928" s="24" t="str">
        <x:v>PR-C-164노9379-1-20230814-56</x:v>
      </x:c>
      <x:c r="D2928" s="24" t="str">
        <x:v>164노9379</x:v>
      </x:c>
      <x:c r="E2928" s="24" t="str">
        <x:v>강민규</x:v>
      </x:c>
      <x:c r="F2928" s="24" t="str">
        <x:v>2026-08</x:v>
      </x:c>
      <x:c r="G2928" s="30" t="n">
        <x:v>46259</x:v>
      </x:c>
      <x:c r="H2928" s="32" t="n">
        <x:v>492000</x:v>
      </x:c>
      <x:c r="I2928" s="32"/>
      <x:c r="J2928" s="32" t="n">
        <x:v>492000</x:v>
      </x:c>
      <x:c r="K2928" s="30"/>
      <x:c r="L2928" s="24" t="str"/>
      <x:c r="M2928" s="31" t="n">
        <x:f>IF(AND(N2928="미수",G2928&lt;&gt;"",TODAY()&gt;G2928),TODAY()-G2928,0)</x:f>
        <x:v>0</x:v>
      </x:c>
      <x:c r="N2928" s="24" t="str">
        <x:f>IF(J2928&gt;0,"미수",IF(AND(H2928&gt;0,I2928&gt;=H2928),"완납","미확인"))</x:f>
        <x:v>미수</x:v>
      </x:c>
      <x:c r="O2928" s="31" t="n">
        <x:v>29</x:v>
      </x:c>
    </x:row>
    <x:row r="2929" ht="17.25" customHeight="1">
      <x:c r="A2929" s="24" t="str">
        <x:v>PR-B-164노9379-202607</x:v>
      </x:c>
      <x:c r="B2929" s="24" t="str">
        <x:v>프라임구독</x:v>
      </x:c>
      <x:c r="C2929" s="24" t="str">
        <x:v>PR-C-164노9379-1-20230814-56</x:v>
      </x:c>
      <x:c r="D2929" s="24" t="str">
        <x:v>164노9379</x:v>
      </x:c>
      <x:c r="E2929" s="24" t="str">
        <x:v>강민규</x:v>
      </x:c>
      <x:c r="F2929" s="24" t="str">
        <x:v>2026-07</x:v>
      </x:c>
      <x:c r="G2929" s="30" t="n">
        <x:v>46228</x:v>
      </x:c>
      <x:c r="H2929" s="32" t="n">
        <x:v>492000</x:v>
      </x:c>
      <x:c r="I2929" s="32" t="n">
        <x:v>492000</x:v>
      </x:c>
      <x:c r="J2929" s="32" t="n">
        <x:v>0</x:v>
      </x:c>
      <x:c r="K2929" s="30" t="n">
        <x:v>46223</x:v>
      </x:c>
      <x:c r="L2929" s="24" t="str">
        <x:v>입금</x:v>
      </x:c>
      <x:c r="M2929" s="31" t="n">
        <x:f>IF(AND(N2929="미수",G2929&lt;&gt;"",TODAY()&gt;G2929),TODAY()-G2929,0)</x:f>
        <x:v>0</x:v>
      </x:c>
      <x:c r="N2929" s="24" t="str">
        <x:f>IF(J2929&gt;0,"미수",IF(AND(H2929&gt;0,I2929&gt;=H2929),"완납","미확인"))</x:f>
        <x:v>완납</x:v>
      </x:c>
      <x:c r="O2929" s="31" t="n">
        <x:v>29</x:v>
      </x:c>
    </x:row>
    <x:row r="2930" ht="17.25" customHeight="1">
      <x:c r="A2930" s="24" t="str">
        <x:v>PR-B-164노9379-202606</x:v>
      </x:c>
      <x:c r="B2930" s="24" t="str">
        <x:v>프라임구독</x:v>
      </x:c>
      <x:c r="C2930" s="24" t="str">
        <x:v>PR-C-164노9379-1-20230814-56</x:v>
      </x:c>
      <x:c r="D2930" s="24" t="str">
        <x:v>164노9379</x:v>
      </x:c>
      <x:c r="E2930" s="24" t="str">
        <x:v>강민규</x:v>
      </x:c>
      <x:c r="F2930" s="24" t="str">
        <x:v>2026-06</x:v>
      </x:c>
      <x:c r="G2930" s="30" t="n">
        <x:v>46198</x:v>
      </x:c>
      <x:c r="H2930" s="32" t="n">
        <x:v>492000</x:v>
      </x:c>
      <x:c r="I2930" s="32" t="n">
        <x:v>492000</x:v>
      </x:c>
      <x:c r="J2930" s="32" t="n">
        <x:v>0</x:v>
      </x:c>
      <x:c r="K2930" s="30" t="n">
        <x:v>46192</x:v>
      </x:c>
      <x:c r="L2930" s="24" t="str">
        <x:v>입금</x:v>
      </x:c>
      <x:c r="M2930" s="31" t="n">
        <x:f>IF(AND(N2930="미수",G2930&lt;&gt;"",TODAY()&gt;G2930),TODAY()-G2930,0)</x:f>
        <x:v>0</x:v>
      </x:c>
      <x:c r="N2930" s="24" t="str">
        <x:f>IF(J2930&gt;0,"미수",IF(AND(H2930&gt;0,I2930&gt;=H2930),"완납","미확인"))</x:f>
        <x:v>완납</x:v>
      </x:c>
      <x:c r="O2930" s="31" t="n">
        <x:v>29</x:v>
      </x:c>
    </x:row>
    <x:row r="2931" ht="17.25" customHeight="1">
      <x:c r="A2931" s="24" t="str">
        <x:v>PR-B-164노9379-202605</x:v>
      </x:c>
      <x:c r="B2931" s="24" t="str">
        <x:v>프라임구독</x:v>
      </x:c>
      <x:c r="C2931" s="24" t="str">
        <x:v>PR-C-164노9379-1-20230814-56</x:v>
      </x:c>
      <x:c r="D2931" s="24" t="str">
        <x:v>164노9379</x:v>
      </x:c>
      <x:c r="E2931" s="24" t="str">
        <x:v>강민규</x:v>
      </x:c>
      <x:c r="F2931" s="24" t="str">
        <x:v>2026-05</x:v>
      </x:c>
      <x:c r="G2931" s="30" t="n">
        <x:v>46167</x:v>
      </x:c>
      <x:c r="H2931" s="32" t="n">
        <x:v>492000</x:v>
      </x:c>
      <x:c r="I2931" s="32" t="n">
        <x:v>492000</x:v>
      </x:c>
      <x:c r="J2931" s="32" t="n">
        <x:v>0</x:v>
      </x:c>
      <x:c r="K2931" s="30" t="n">
        <x:v>46162</x:v>
      </x:c>
      <x:c r="L2931" s="24" t="str">
        <x:v>입금</x:v>
      </x:c>
      <x:c r="M2931" s="31" t="n">
        <x:f>IF(AND(N2931="미수",G2931&lt;&gt;"",TODAY()&gt;G2931),TODAY()-G2931,0)</x:f>
        <x:v>0</x:v>
      </x:c>
      <x:c r="N2931" s="24" t="str">
        <x:f>IF(J2931&gt;0,"미수",IF(AND(H2931&gt;0,I2931&gt;=H2931),"완납","미확인"))</x:f>
        <x:v>완납</x:v>
      </x:c>
      <x:c r="O2931" s="31" t="n">
        <x:v>29</x:v>
      </x:c>
    </x:row>
    <x:row r="2932" ht="17.25" customHeight="1">
      <x:c r="A2932" s="24" t="str">
        <x:v>PR-B-164노9379-202604</x:v>
      </x:c>
      <x:c r="B2932" s="24" t="str">
        <x:v>프라임구독</x:v>
      </x:c>
      <x:c r="C2932" s="24" t="str">
        <x:v>PR-C-164노9379-1-20230814-56</x:v>
      </x:c>
      <x:c r="D2932" s="24" t="str">
        <x:v>164노9379</x:v>
      </x:c>
      <x:c r="E2932" s="24" t="str">
        <x:v>강민규</x:v>
      </x:c>
      <x:c r="F2932" s="24" t="str">
        <x:v>2026-04</x:v>
      </x:c>
      <x:c r="G2932" s="30" t="n">
        <x:v>46137</x:v>
      </x:c>
      <x:c r="H2932" s="32" t="n">
        <x:v>492000</x:v>
      </x:c>
      <x:c r="I2932" s="32" t="n">
        <x:v>492000</x:v>
      </x:c>
      <x:c r="J2932" s="32" t="n">
        <x:v>0</x:v>
      </x:c>
      <x:c r="K2932" s="30" t="n">
        <x:v>46133</x:v>
      </x:c>
      <x:c r="L2932" s="24" t="str">
        <x:v>입금</x:v>
      </x:c>
      <x:c r="M2932" s="31" t="n">
        <x:f>IF(AND(N2932="미수",G2932&lt;&gt;"",TODAY()&gt;G2932),TODAY()-G2932,0)</x:f>
        <x:v>0</x:v>
      </x:c>
      <x:c r="N2932" s="24" t="str">
        <x:f>IF(J2932&gt;0,"미수",IF(AND(H2932&gt;0,I2932&gt;=H2932),"완납","미확인"))</x:f>
        <x:v>완납</x:v>
      </x:c>
      <x:c r="O2932" s="31" t="n">
        <x:v>29</x:v>
      </x:c>
    </x:row>
    <x:row r="2933" ht="17.25" customHeight="1">
      <x:c r="A2933" s="24" t="str">
        <x:v>PR-B-164노9379-202603</x:v>
      </x:c>
      <x:c r="B2933" s="24" t="str">
        <x:v>프라임구독</x:v>
      </x:c>
      <x:c r="C2933" s="24" t="str">
        <x:v>PR-C-164노9379-1-20230814-56</x:v>
      </x:c>
      <x:c r="D2933" s="24" t="str">
        <x:v>164노9379</x:v>
      </x:c>
      <x:c r="E2933" s="24" t="str">
        <x:v>강민규</x:v>
      </x:c>
      <x:c r="F2933" s="24" t="str">
        <x:v>2026-03</x:v>
      </x:c>
      <x:c r="G2933" s="30" t="n">
        <x:v>46106</x:v>
      </x:c>
      <x:c r="H2933" s="32" t="n">
        <x:v>492000</x:v>
      </x:c>
      <x:c r="I2933" s="32" t="n">
        <x:v>492000</x:v>
      </x:c>
      <x:c r="J2933" s="32" t="n">
        <x:v>0</x:v>
      </x:c>
      <x:c r="K2933" s="30" t="n">
        <x:v>46102</x:v>
      </x:c>
      <x:c r="L2933" s="24" t="str">
        <x:v>입금</x:v>
      </x:c>
      <x:c r="M2933" s="31" t="n">
        <x:f>IF(AND(N2933="미수",G2933&lt;&gt;"",TODAY()&gt;G2933),TODAY()-G2933,0)</x:f>
        <x:v>0</x:v>
      </x:c>
      <x:c r="N2933" s="24" t="str">
        <x:f>IF(J2933&gt;0,"미수",IF(AND(H2933&gt;0,I2933&gt;=H2933),"완납","미확인"))</x:f>
        <x:v>완납</x:v>
      </x:c>
      <x:c r="O2933" s="31" t="n">
        <x:v>29</x:v>
      </x:c>
    </x:row>
    <x:row r="2934" ht="17.25" customHeight="1">
      <x:c r="A2934" s="24" t="str">
        <x:v>PR-B-164노9379-202602</x:v>
      </x:c>
      <x:c r="B2934" s="24" t="str">
        <x:v>프라임구독</x:v>
      </x:c>
      <x:c r="C2934" s="24" t="str">
        <x:v>PR-C-164노9379-1-20230814-56</x:v>
      </x:c>
      <x:c r="D2934" s="24" t="str">
        <x:v>164노9379</x:v>
      </x:c>
      <x:c r="E2934" s="24" t="str">
        <x:v>강민규</x:v>
      </x:c>
      <x:c r="F2934" s="24" t="str">
        <x:v>2026-02</x:v>
      </x:c>
      <x:c r="G2934" s="30" t="n">
        <x:v>46078</x:v>
      </x:c>
      <x:c r="H2934" s="32" t="n">
        <x:v>492000</x:v>
      </x:c>
      <x:c r="I2934" s="32" t="n">
        <x:v>492000</x:v>
      </x:c>
      <x:c r="J2934" s="32" t="n">
        <x:v>0</x:v>
      </x:c>
      <x:c r="K2934" s="30" t="n">
        <x:v>46073</x:v>
      </x:c>
      <x:c r="L2934" s="24" t="str">
        <x:v>입금</x:v>
      </x:c>
      <x:c r="M2934" s="31" t="n">
        <x:f>IF(AND(N2934="미수",G2934&lt;&gt;"",TODAY()&gt;G2934),TODAY()-G2934,0)</x:f>
        <x:v>0</x:v>
      </x:c>
      <x:c r="N2934" s="24" t="str">
        <x:f>IF(J2934&gt;0,"미수",IF(AND(H2934&gt;0,I2934&gt;=H2934),"완납","미확인"))</x:f>
        <x:v>완납</x:v>
      </x:c>
      <x:c r="O2934" s="31" t="n">
        <x:v>29</x:v>
      </x:c>
    </x:row>
    <x:row r="2935" ht="17.25" customHeight="1">
      <x:c r="A2935" s="24" t="str">
        <x:v>PR-B-164노9379-202601</x:v>
      </x:c>
      <x:c r="B2935" s="24" t="str">
        <x:v>프라임구독</x:v>
      </x:c>
      <x:c r="C2935" s="24" t="str">
        <x:v>PR-C-164노9379-1-20230814-56</x:v>
      </x:c>
      <x:c r="D2935" s="24" t="str">
        <x:v>164노9379</x:v>
      </x:c>
      <x:c r="E2935" s="24" t="str">
        <x:v>강민규</x:v>
      </x:c>
      <x:c r="F2935" s="24" t="str">
        <x:v>2026-01</x:v>
      </x:c>
      <x:c r="G2935" s="30" t="n">
        <x:v>46047</x:v>
      </x:c>
      <x:c r="H2935" s="32" t="n">
        <x:v>492000</x:v>
      </x:c>
      <x:c r="I2935" s="32" t="n">
        <x:v>492000</x:v>
      </x:c>
      <x:c r="J2935" s="32" t="n">
        <x:v>0</x:v>
      </x:c>
      <x:c r="K2935" s="30" t="n">
        <x:v>46042</x:v>
      </x:c>
      <x:c r="L2935" s="24" t="str">
        <x:v>입금</x:v>
      </x:c>
      <x:c r="M2935" s="31" t="n">
        <x:f>IF(AND(N2935="미수",G2935&lt;&gt;"",TODAY()&gt;G2935),TODAY()-G2935,0)</x:f>
        <x:v>0</x:v>
      </x:c>
      <x:c r="N2935" s="24" t="str">
        <x:f>IF(J2935&gt;0,"미수",IF(AND(H2935&gt;0,I2935&gt;=H2935),"완납","미확인"))</x:f>
        <x:v>완납</x:v>
      </x:c>
      <x:c r="O2935" s="31" t="n">
        <x:v>29</x:v>
      </x:c>
    </x:row>
    <x:row r="2936" ht="17.25" customHeight="1">
      <x:c r="A2936" s="24" t="str">
        <x:v>PR-B-164노9379-202512</x:v>
      </x:c>
      <x:c r="B2936" s="24" t="str">
        <x:v>프라임구독</x:v>
      </x:c>
      <x:c r="C2936" s="24" t="str">
        <x:v>PR-C-164노9379-1-20230814-56</x:v>
      </x:c>
      <x:c r="D2936" s="24" t="str">
        <x:v>164노9379</x:v>
      </x:c>
      <x:c r="E2936" s="24" t="str">
        <x:v>강민규</x:v>
      </x:c>
      <x:c r="F2936" s="24" t="str">
        <x:v>2025-12</x:v>
      </x:c>
      <x:c r="G2936" s="30" t="n">
        <x:v>46016</x:v>
      </x:c>
      <x:c r="H2936" s="32" t="n">
        <x:v>492000</x:v>
      </x:c>
      <x:c r="I2936" s="32" t="n">
        <x:v>492000</x:v>
      </x:c>
      <x:c r="J2936" s="32" t="n">
        <x:v>0</x:v>
      </x:c>
      <x:c r="K2936" s="30" t="n">
        <x:v>46013</x:v>
      </x:c>
      <x:c r="L2936" s="24" t="str">
        <x:v>입금</x:v>
      </x:c>
      <x:c r="M2936" s="31" t="n">
        <x:f>IF(AND(N2936="미수",G2936&lt;&gt;"",TODAY()&gt;G2936),TODAY()-G2936,0)</x:f>
        <x:v>0</x:v>
      </x:c>
      <x:c r="N2936" s="24" t="str">
        <x:f>IF(J2936&gt;0,"미수",IF(AND(H2936&gt;0,I2936&gt;=H2936),"완납","미확인"))</x:f>
        <x:v>완납</x:v>
      </x:c>
      <x:c r="O2936" s="31" t="n">
        <x:v>29</x:v>
      </x:c>
    </x:row>
    <x:row r="2937" ht="17.25" customHeight="1">
      <x:c r="A2937" s="24" t="str">
        <x:v>PR-B-164노9379-202511</x:v>
      </x:c>
      <x:c r="B2937" s="24" t="str">
        <x:v>프라임구독</x:v>
      </x:c>
      <x:c r="C2937" s="24" t="str">
        <x:v>PR-C-164노9379-1-20230814-56</x:v>
      </x:c>
      <x:c r="D2937" s="24" t="str">
        <x:v>164노9379</x:v>
      </x:c>
      <x:c r="E2937" s="24" t="str">
        <x:v>강민규</x:v>
      </x:c>
      <x:c r="F2937" s="24" t="str">
        <x:v>2025-11</x:v>
      </x:c>
      <x:c r="G2937" s="30" t="n">
        <x:v>45986</x:v>
      </x:c>
      <x:c r="H2937" s="32" t="n">
        <x:v>492000</x:v>
      </x:c>
      <x:c r="I2937" s="32" t="n">
        <x:v>492000</x:v>
      </x:c>
      <x:c r="J2937" s="32" t="n">
        <x:v>0</x:v>
      </x:c>
      <x:c r="K2937" s="30" t="n">
        <x:v>45981</x:v>
      </x:c>
      <x:c r="L2937" s="24" t="str">
        <x:v>입금</x:v>
      </x:c>
      <x:c r="M2937" s="31" t="n">
        <x:f>IF(AND(N2937="미수",G2937&lt;&gt;"",TODAY()&gt;G2937),TODAY()-G2937,0)</x:f>
        <x:v>0</x:v>
      </x:c>
      <x:c r="N2937" s="24" t="str">
        <x:f>IF(J2937&gt;0,"미수",IF(AND(H2937&gt;0,I2937&gt;=H2937),"완납","미확인"))</x:f>
        <x:v>완납</x:v>
      </x:c>
      <x:c r="O2937" s="31" t="n">
        <x:v>29</x:v>
      </x:c>
    </x:row>
    <x:row r="2938" ht="17.25" customHeight="1">
      <x:c r="A2938" s="24" t="str">
        <x:v>PR-B-164노9379-202510</x:v>
      </x:c>
      <x:c r="B2938" s="24" t="str">
        <x:v>프라임구독</x:v>
      </x:c>
      <x:c r="C2938" s="24" t="str">
        <x:v>PR-C-164노9379-1-20230814-56</x:v>
      </x:c>
      <x:c r="D2938" s="24" t="str">
        <x:v>164노9379</x:v>
      </x:c>
      <x:c r="E2938" s="24" t="str">
        <x:v>강민규</x:v>
      </x:c>
      <x:c r="F2938" s="24" t="str">
        <x:v>2025-10</x:v>
      </x:c>
      <x:c r="G2938" s="30" t="n">
        <x:v>45955</x:v>
      </x:c>
      <x:c r="H2938" s="32" t="n">
        <x:v>492000</x:v>
      </x:c>
      <x:c r="I2938" s="32" t="n">
        <x:v>492000</x:v>
      </x:c>
      <x:c r="J2938" s="32" t="n">
        <x:v>0</x:v>
      </x:c>
      <x:c r="K2938" s="30" t="n">
        <x:v>45950</x:v>
      </x:c>
      <x:c r="L2938" s="24" t="str">
        <x:v>입금</x:v>
      </x:c>
      <x:c r="M2938" s="31" t="n">
        <x:f>IF(AND(N2938="미수",G2938&lt;&gt;"",TODAY()&gt;G2938),TODAY()-G2938,0)</x:f>
        <x:v>0</x:v>
      </x:c>
      <x:c r="N2938" s="24" t="str">
        <x:f>IF(J2938&gt;0,"미수",IF(AND(H2938&gt;0,I2938&gt;=H2938),"완납","미확인"))</x:f>
        <x:v>완납</x:v>
      </x:c>
      <x:c r="O2938" s="31" t="n">
        <x:v>29</x:v>
      </x:c>
    </x:row>
    <x:row r="2939" ht="17.25" customHeight="1">
      <x:c r="A2939" s="24" t="str">
        <x:v>PR-B-164노9379-202509</x:v>
      </x:c>
      <x:c r="B2939" s="24" t="str">
        <x:v>프라임구독</x:v>
      </x:c>
      <x:c r="C2939" s="24" t="str">
        <x:v>PR-C-164노9379-1-20230814-56</x:v>
      </x:c>
      <x:c r="D2939" s="24" t="str">
        <x:v>164노9379</x:v>
      </x:c>
      <x:c r="E2939" s="24" t="str">
        <x:v>강민규</x:v>
      </x:c>
      <x:c r="F2939" s="24" t="str">
        <x:v>2025-09</x:v>
      </x:c>
      <x:c r="G2939" s="30" t="n">
        <x:v>45925</x:v>
      </x:c>
      <x:c r="H2939" s="32" t="n">
        <x:v>492000</x:v>
      </x:c>
      <x:c r="I2939" s="32" t="n">
        <x:v>492000</x:v>
      </x:c>
      <x:c r="J2939" s="32" t="n">
        <x:v>0</x:v>
      </x:c>
      <x:c r="K2939" s="30" t="n">
        <x:v>45920</x:v>
      </x:c>
      <x:c r="L2939" s="24" t="str">
        <x:v>입금</x:v>
      </x:c>
      <x:c r="M2939" s="31" t="n">
        <x:f>IF(AND(N2939="미수",G2939&lt;&gt;"",TODAY()&gt;G2939),TODAY()-G2939,0)</x:f>
        <x:v>0</x:v>
      </x:c>
      <x:c r="N2939" s="24" t="str">
        <x:f>IF(J2939&gt;0,"미수",IF(AND(H2939&gt;0,I2939&gt;=H2939),"완납","미확인"))</x:f>
        <x:v>완납</x:v>
      </x:c>
      <x:c r="O2939" s="31" t="n">
        <x:v>29</x:v>
      </x:c>
    </x:row>
    <x:row r="2940" ht="17.25" customHeight="1">
      <x:c r="A2940" s="24" t="str">
        <x:v>PR-B-164노9379-202508</x:v>
      </x:c>
      <x:c r="B2940" s="24" t="str">
        <x:v>프라임구독</x:v>
      </x:c>
      <x:c r="C2940" s="24" t="str">
        <x:v>PR-C-164노9379-1-20230814-56</x:v>
      </x:c>
      <x:c r="D2940" s="24" t="str">
        <x:v>164노9379</x:v>
      </x:c>
      <x:c r="E2940" s="24" t="str">
        <x:v>강민규</x:v>
      </x:c>
      <x:c r="F2940" s="24" t="str">
        <x:v>2025-08</x:v>
      </x:c>
      <x:c r="G2940" s="30" t="n">
        <x:v>45894</x:v>
      </x:c>
      <x:c r="H2940" s="32" t="n">
        <x:v>492000</x:v>
      </x:c>
      <x:c r="I2940" s="32" t="n">
        <x:v>492000</x:v>
      </x:c>
      <x:c r="J2940" s="32" t="n">
        <x:v>0</x:v>
      </x:c>
      <x:c r="K2940" s="30" t="n">
        <x:v>45889</x:v>
      </x:c>
      <x:c r="L2940" s="24" t="str">
        <x:v>입금</x:v>
      </x:c>
      <x:c r="M2940" s="31" t="n">
        <x:f>IF(AND(N2940="미수",G2940&lt;&gt;"",TODAY()&gt;G2940),TODAY()-G2940,0)</x:f>
        <x:v>0</x:v>
      </x:c>
      <x:c r="N2940" s="24" t="str">
        <x:f>IF(J2940&gt;0,"미수",IF(AND(H2940&gt;0,I2940&gt;=H2940),"완납","미확인"))</x:f>
        <x:v>완납</x:v>
      </x:c>
      <x:c r="O2940" s="31" t="n">
        <x:v>29</x:v>
      </x:c>
    </x:row>
    <x:row r="2941" ht="17.25" customHeight="1">
      <x:c r="A2941" s="24" t="str">
        <x:v>PR-B-164노9379-202507</x:v>
      </x:c>
      <x:c r="B2941" s="24" t="str">
        <x:v>프라임구독</x:v>
      </x:c>
      <x:c r="C2941" s="24" t="str">
        <x:v>PR-C-164노9379-1-20230814-56</x:v>
      </x:c>
      <x:c r="D2941" s="24" t="str">
        <x:v>164노9379</x:v>
      </x:c>
      <x:c r="E2941" s="24" t="str">
        <x:v>강민규</x:v>
      </x:c>
      <x:c r="F2941" s="24" t="str">
        <x:v>2025-07</x:v>
      </x:c>
      <x:c r="G2941" s="30" t="n">
        <x:v>45863</x:v>
      </x:c>
      <x:c r="H2941" s="32" t="n">
        <x:v>492000</x:v>
      </x:c>
      <x:c r="I2941" s="32" t="n">
        <x:v>492000</x:v>
      </x:c>
      <x:c r="J2941" s="32" t="n">
        <x:v>0</x:v>
      </x:c>
      <x:c r="K2941" s="30" t="n">
        <x:v>45856</x:v>
      </x:c>
      <x:c r="L2941" s="24" t="str">
        <x:v>입금</x:v>
      </x:c>
      <x:c r="M2941" s="31" t="n">
        <x:f>IF(AND(N2941="미수",G2941&lt;&gt;"",TODAY()&gt;G2941),TODAY()-G2941,0)</x:f>
        <x:v>0</x:v>
      </x:c>
      <x:c r="N2941" s="24" t="str">
        <x:f>IF(J2941&gt;0,"미수",IF(AND(H2941&gt;0,I2941&gt;=H2941),"완납","미확인"))</x:f>
        <x:v>완납</x:v>
      </x:c>
      <x:c r="O2941" s="31" t="n">
        <x:v>29</x:v>
      </x:c>
    </x:row>
    <x:row r="2942" ht="17.25" customHeight="1">
      <x:c r="A2942" s="24" t="str">
        <x:v>PR-B-164노9379-202506</x:v>
      </x:c>
      <x:c r="B2942" s="24" t="str">
        <x:v>프라임구독</x:v>
      </x:c>
      <x:c r="C2942" s="24" t="str">
        <x:v>PR-C-164노9379-1-20230814-56</x:v>
      </x:c>
      <x:c r="D2942" s="24" t="str">
        <x:v>164노9379</x:v>
      </x:c>
      <x:c r="E2942" s="24" t="str">
        <x:v>강민규</x:v>
      </x:c>
      <x:c r="F2942" s="24" t="str">
        <x:v>2025-06</x:v>
      </x:c>
      <x:c r="G2942" s="30" t="n">
        <x:v>45833</x:v>
      </x:c>
      <x:c r="H2942" s="32" t="n">
        <x:v>492000</x:v>
      </x:c>
      <x:c r="I2942" s="32" t="n">
        <x:v>492000</x:v>
      </x:c>
      <x:c r="J2942" s="32" t="n">
        <x:v>0</x:v>
      </x:c>
      <x:c r="K2942" s="30" t="n">
        <x:v>45828</x:v>
      </x:c>
      <x:c r="L2942" s="24" t="str">
        <x:v>입금</x:v>
      </x:c>
      <x:c r="M2942" s="31" t="n">
        <x:f>IF(AND(N2942="미수",G2942&lt;&gt;"",TODAY()&gt;G2942),TODAY()-G2942,0)</x:f>
        <x:v>0</x:v>
      </x:c>
      <x:c r="N2942" s="24" t="str">
        <x:f>IF(J2942&gt;0,"미수",IF(AND(H2942&gt;0,I2942&gt;=H2942),"완납","미확인"))</x:f>
        <x:v>완납</x:v>
      </x:c>
      <x:c r="O2942" s="31" t="n">
        <x:v>29</x:v>
      </x:c>
    </x:row>
    <x:row r="2943" ht="17.25" customHeight="1">
      <x:c r="A2943" s="24" t="str">
        <x:v>PR-B-164노9379-202505</x:v>
      </x:c>
      <x:c r="B2943" s="24" t="str">
        <x:v>프라임구독</x:v>
      </x:c>
      <x:c r="C2943" s="24" t="str">
        <x:v>PR-C-164노9379-1-20230814-56</x:v>
      </x:c>
      <x:c r="D2943" s="24" t="str">
        <x:v>164노9379</x:v>
      </x:c>
      <x:c r="E2943" s="24" t="str">
        <x:v>강민규</x:v>
      </x:c>
      <x:c r="F2943" s="24" t="str">
        <x:v>2025-05</x:v>
      </x:c>
      <x:c r="G2943" s="30" t="n">
        <x:v>45802</x:v>
      </x:c>
      <x:c r="H2943" s="32" t="n">
        <x:v>492000</x:v>
      </x:c>
      <x:c r="I2943" s="32" t="n">
        <x:v>492000</x:v>
      </x:c>
      <x:c r="J2943" s="32" t="n">
        <x:v>0</x:v>
      </x:c>
      <x:c r="K2943" s="30" t="n">
        <x:v>45797</x:v>
      </x:c>
      <x:c r="L2943" s="24" t="str">
        <x:v>입금</x:v>
      </x:c>
      <x:c r="M2943" s="31" t="n">
        <x:f>IF(AND(N2943="미수",G2943&lt;&gt;"",TODAY()&gt;G2943),TODAY()-G2943,0)</x:f>
        <x:v>0</x:v>
      </x:c>
      <x:c r="N2943" s="24" t="str">
        <x:f>IF(J2943&gt;0,"미수",IF(AND(H2943&gt;0,I2943&gt;=H2943),"완납","미확인"))</x:f>
        <x:v>완납</x:v>
      </x:c>
      <x:c r="O2943" s="31" t="n">
        <x:v>29</x:v>
      </x:c>
    </x:row>
    <x:row r="2944" ht="17.25" customHeight="1">
      <x:c r="A2944" s="24" t="str">
        <x:v>PR-B-164노9379-202504</x:v>
      </x:c>
      <x:c r="B2944" s="24" t="str">
        <x:v>프라임구독</x:v>
      </x:c>
      <x:c r="C2944" s="24" t="str">
        <x:v>PR-C-164노9379-1-20230814-56</x:v>
      </x:c>
      <x:c r="D2944" s="24" t="str">
        <x:v>164노9379</x:v>
      </x:c>
      <x:c r="E2944" s="24" t="str">
        <x:v>강민규</x:v>
      </x:c>
      <x:c r="F2944" s="24" t="str">
        <x:v>2025-04</x:v>
      </x:c>
      <x:c r="G2944" s="30" t="n">
        <x:v>45772</x:v>
      </x:c>
      <x:c r="H2944" s="32" t="n">
        <x:v>492000</x:v>
      </x:c>
      <x:c r="I2944" s="32" t="n">
        <x:v>492000</x:v>
      </x:c>
      <x:c r="J2944" s="32" t="n">
        <x:v>0</x:v>
      </x:c>
      <x:c r="K2944" s="30" t="n">
        <x:v>45767</x:v>
      </x:c>
      <x:c r="L2944" s="24" t="str">
        <x:v>입금</x:v>
      </x:c>
      <x:c r="M2944" s="31" t="n">
        <x:f>IF(AND(N2944="미수",G2944&lt;&gt;"",TODAY()&gt;G2944),TODAY()-G2944,0)</x:f>
        <x:v>0</x:v>
      </x:c>
      <x:c r="N2944" s="24" t="str">
        <x:f>IF(J2944&gt;0,"미수",IF(AND(H2944&gt;0,I2944&gt;=H2944),"완납","미확인"))</x:f>
        <x:v>완납</x:v>
      </x:c>
      <x:c r="O2944" s="31" t="n">
        <x:v>29</x:v>
      </x:c>
    </x:row>
    <x:row r="2945" ht="17.25" customHeight="1">
      <x:c r="A2945" s="24" t="str">
        <x:v>PR-B-164노9379-202503</x:v>
      </x:c>
      <x:c r="B2945" s="24" t="str">
        <x:v>프라임구독</x:v>
      </x:c>
      <x:c r="C2945" s="24" t="str">
        <x:v>PR-C-164노9379-1-20230814-56</x:v>
      </x:c>
      <x:c r="D2945" s="24" t="str">
        <x:v>164노9379</x:v>
      </x:c>
      <x:c r="E2945" s="24" t="str">
        <x:v>강민규</x:v>
      </x:c>
      <x:c r="F2945" s="24" t="str">
        <x:v>2025-03</x:v>
      </x:c>
      <x:c r="G2945" s="30" t="n">
        <x:v>45741</x:v>
      </x:c>
      <x:c r="H2945" s="32" t="n">
        <x:v>492000</x:v>
      </x:c>
      <x:c r="I2945" s="32" t="n">
        <x:v>492000</x:v>
      </x:c>
      <x:c r="J2945" s="32" t="n">
        <x:v>0</x:v>
      </x:c>
      <x:c r="K2945" s="30" t="n">
        <x:v>45724</x:v>
      </x:c>
      <x:c r="L2945" s="24" t="str">
        <x:v>입금</x:v>
      </x:c>
      <x:c r="M2945" s="31" t="n">
        <x:f>IF(AND(N2945="미수",G2945&lt;&gt;"",TODAY()&gt;G2945),TODAY()-G2945,0)</x:f>
        <x:v>0</x:v>
      </x:c>
      <x:c r="N2945" s="24" t="str">
        <x:f>IF(J2945&gt;0,"미수",IF(AND(H2945&gt;0,I2945&gt;=H2945),"완납","미확인"))</x:f>
        <x:v>완납</x:v>
      </x:c>
      <x:c r="O2945" s="31" t="n">
        <x:v>29</x:v>
      </x:c>
    </x:row>
    <x:row r="2946" ht="17.25" customHeight="1">
      <x:c r="A2946" s="24" t="str">
        <x:v>PR-B-164노9379-202502</x:v>
      </x:c>
      <x:c r="B2946" s="24" t="str">
        <x:v>프라임구독</x:v>
      </x:c>
      <x:c r="C2946" s="24" t="str">
        <x:v>PR-C-164노9379-1-20230814-56</x:v>
      </x:c>
      <x:c r="D2946" s="24" t="str">
        <x:v>164노9379</x:v>
      </x:c>
      <x:c r="E2946" s="24" t="str">
        <x:v>강민규</x:v>
      </x:c>
      <x:c r="F2946" s="24" t="str">
        <x:v>2025-02</x:v>
      </x:c>
      <x:c r="G2946" s="30" t="n">
        <x:v>45713</x:v>
      </x:c>
      <x:c r="H2946" s="32" t="n">
        <x:v>492000</x:v>
      </x:c>
      <x:c r="I2946" s="32" t="n">
        <x:v>492000</x:v>
      </x:c>
      <x:c r="J2946" s="32" t="n">
        <x:v>0</x:v>
      </x:c>
      <x:c r="K2946" s="30" t="n">
        <x:v>45708</x:v>
      </x:c>
      <x:c r="L2946" s="24" t="str">
        <x:v>입금</x:v>
      </x:c>
      <x:c r="M2946" s="31" t="n">
        <x:f>IF(AND(N2946="미수",G2946&lt;&gt;"",TODAY()&gt;G2946),TODAY()-G2946,0)</x:f>
        <x:v>0</x:v>
      </x:c>
      <x:c r="N2946" s="24" t="str">
        <x:f>IF(J2946&gt;0,"미수",IF(AND(H2946&gt;0,I2946&gt;=H2946),"완납","미확인"))</x:f>
        <x:v>완납</x:v>
      </x:c>
      <x:c r="O2946" s="31" t="n">
        <x:v>29</x:v>
      </x:c>
    </x:row>
    <x:row r="2947" ht="17.25" customHeight="1">
      <x:c r="A2947" s="24" t="str">
        <x:v>PR-B-164노9379-202501</x:v>
      </x:c>
      <x:c r="B2947" s="24" t="str">
        <x:v>프라임구독</x:v>
      </x:c>
      <x:c r="C2947" s="24" t="str">
        <x:v>PR-C-164노9379-1-20230814-56</x:v>
      </x:c>
      <x:c r="D2947" s="24" t="str">
        <x:v>164노9379</x:v>
      </x:c>
      <x:c r="E2947" s="24" t="str">
        <x:v>강민규</x:v>
      </x:c>
      <x:c r="F2947" s="24" t="str">
        <x:v>2025-01</x:v>
      </x:c>
      <x:c r="G2947" s="30" t="n">
        <x:v>45682</x:v>
      </x:c>
      <x:c r="H2947" s="32" t="n">
        <x:v>492000</x:v>
      </x:c>
      <x:c r="I2947" s="32" t="n">
        <x:v>492000</x:v>
      </x:c>
      <x:c r="J2947" s="32" t="n">
        <x:v>0</x:v>
      </x:c>
      <x:c r="K2947" s="30" t="n">
        <x:v>45672</x:v>
      </x:c>
      <x:c r="L2947" s="24" t="str">
        <x:v>입금</x:v>
      </x:c>
      <x:c r="M2947" s="31" t="n">
        <x:f>IF(AND(N2947="미수",G2947&lt;&gt;"",TODAY()&gt;G2947),TODAY()-G2947,0)</x:f>
        <x:v>0</x:v>
      </x:c>
      <x:c r="N2947" s="24" t="str">
        <x:f>IF(J2947&gt;0,"미수",IF(AND(H2947&gt;0,I2947&gt;=H2947),"완납","미확인"))</x:f>
        <x:v>완납</x:v>
      </x:c>
      <x:c r="O2947" s="31" t="n">
        <x:v>29</x:v>
      </x:c>
    </x:row>
    <x:row r="2948" ht="17.25" customHeight="1">
      <x:c r="A2948" s="24" t="str">
        <x:v>PR-B-164노9379-202412</x:v>
      </x:c>
      <x:c r="B2948" s="24" t="str">
        <x:v>프라임구독</x:v>
      </x:c>
      <x:c r="C2948" s="24" t="str">
        <x:v>PR-C-164노9379-1-20230814-56</x:v>
      </x:c>
      <x:c r="D2948" s="24" t="str">
        <x:v>164노9379</x:v>
      </x:c>
      <x:c r="E2948" s="24" t="str">
        <x:v>강민규</x:v>
      </x:c>
      <x:c r="F2948" s="24" t="str">
        <x:v>2024-12</x:v>
      </x:c>
      <x:c r="G2948" s="30" t="n">
        <x:v>45651</x:v>
      </x:c>
      <x:c r="H2948" s="32" t="n">
        <x:v>492000</x:v>
      </x:c>
      <x:c r="I2948" s="32" t="n">
        <x:v>492000</x:v>
      </x:c>
      <x:c r="J2948" s="32" t="n">
        <x:v>0</x:v>
      </x:c>
      <x:c r="K2948" s="30" t="n">
        <x:v>45639</x:v>
      </x:c>
      <x:c r="L2948" s="24" t="str">
        <x:v>입금</x:v>
      </x:c>
      <x:c r="M2948" s="31" t="n">
        <x:f>IF(AND(N2948="미수",G2948&lt;&gt;"",TODAY()&gt;G2948),TODAY()-G2948,0)</x:f>
        <x:v>0</x:v>
      </x:c>
      <x:c r="N2948" s="24" t="str">
        <x:f>IF(J2948&gt;0,"미수",IF(AND(H2948&gt;0,I2948&gt;=H2948),"완납","미확인"))</x:f>
        <x:v>완납</x:v>
      </x:c>
      <x:c r="O2948" s="31" t="n">
        <x:v>29</x:v>
      </x:c>
    </x:row>
    <x:row r="2949" ht="17.25" customHeight="1">
      <x:c r="A2949" s="24" t="str">
        <x:v>PR-B-164노9379-202411</x:v>
      </x:c>
      <x:c r="B2949" s="24" t="str">
        <x:v>프라임구독</x:v>
      </x:c>
      <x:c r="C2949" s="24" t="str">
        <x:v>PR-C-164노9379-1-20230814-56</x:v>
      </x:c>
      <x:c r="D2949" s="24" t="str">
        <x:v>164노9379</x:v>
      </x:c>
      <x:c r="E2949" s="24" t="str">
        <x:v>강민규</x:v>
      </x:c>
      <x:c r="F2949" s="24" t="str">
        <x:v>2024-11</x:v>
      </x:c>
      <x:c r="G2949" s="30" t="n">
        <x:v>45621</x:v>
      </x:c>
      <x:c r="H2949" s="32" t="n">
        <x:v>492000</x:v>
      </x:c>
      <x:c r="I2949" s="32" t="n">
        <x:v>492000</x:v>
      </x:c>
      <x:c r="J2949" s="32" t="n">
        <x:v>0</x:v>
      </x:c>
      <x:c r="K2949" s="30" t="n">
        <x:v>45612</x:v>
      </x:c>
      <x:c r="L2949" s="24" t="str">
        <x:v>입금</x:v>
      </x:c>
      <x:c r="M2949" s="31" t="n">
        <x:f>IF(AND(N2949="미수",G2949&lt;&gt;"",TODAY()&gt;G2949),TODAY()-G2949,0)</x:f>
        <x:v>0</x:v>
      </x:c>
      <x:c r="N2949" s="24" t="str">
        <x:f>IF(J2949&gt;0,"미수",IF(AND(H2949&gt;0,I2949&gt;=H2949),"완납","미확인"))</x:f>
        <x:v>완납</x:v>
      </x:c>
      <x:c r="O2949" s="31" t="n">
        <x:v>29</x:v>
      </x:c>
    </x:row>
    <x:row r="2950" ht="17.25" customHeight="1">
      <x:c r="A2950" s="24" t="str">
        <x:v>PR-B-164노9379-202410</x:v>
      </x:c>
      <x:c r="B2950" s="24" t="str">
        <x:v>프라임구독</x:v>
      </x:c>
      <x:c r="C2950" s="24" t="str">
        <x:v>PR-C-164노9379-1-20230814-56</x:v>
      </x:c>
      <x:c r="D2950" s="24" t="str">
        <x:v>164노9379</x:v>
      </x:c>
      <x:c r="E2950" s="24" t="str">
        <x:v>강민규</x:v>
      </x:c>
      <x:c r="F2950" s="24" t="str">
        <x:v>2024-10</x:v>
      </x:c>
      <x:c r="G2950" s="30" t="n">
        <x:v>45590</x:v>
      </x:c>
      <x:c r="H2950" s="32" t="n">
        <x:v>492000</x:v>
      </x:c>
      <x:c r="I2950" s="32" t="n">
        <x:v>492000</x:v>
      </x:c>
      <x:c r="J2950" s="32" t="n">
        <x:v>0</x:v>
      </x:c>
      <x:c r="K2950" s="30" t="n">
        <x:v>45580</x:v>
      </x:c>
      <x:c r="L2950" s="24" t="str">
        <x:v>입금</x:v>
      </x:c>
      <x:c r="M2950" s="31" t="n">
        <x:f>IF(AND(N2950="미수",G2950&lt;&gt;"",TODAY()&gt;G2950),TODAY()-G2950,0)</x:f>
        <x:v>0</x:v>
      </x:c>
      <x:c r="N2950" s="24" t="str">
        <x:f>IF(J2950&gt;0,"미수",IF(AND(H2950&gt;0,I2950&gt;=H2950),"완납","미확인"))</x:f>
        <x:v>완납</x:v>
      </x:c>
      <x:c r="O2950" s="31" t="n">
        <x:v>29</x:v>
      </x:c>
    </x:row>
    <x:row r="2951" ht="17.25" customHeight="1">
      <x:c r="A2951" s="24" t="str">
        <x:v>PR-B-164노9379-202409</x:v>
      </x:c>
      <x:c r="B2951" s="24" t="str">
        <x:v>프라임구독</x:v>
      </x:c>
      <x:c r="C2951" s="24" t="str">
        <x:v>PR-C-164노9379-1-20230814-56</x:v>
      </x:c>
      <x:c r="D2951" s="24" t="str">
        <x:v>164노9379</x:v>
      </x:c>
      <x:c r="E2951" s="24" t="str">
        <x:v>강민규</x:v>
      </x:c>
      <x:c r="F2951" s="24" t="str">
        <x:v>2024-09</x:v>
      </x:c>
      <x:c r="G2951" s="30" t="n">
        <x:v>45560</x:v>
      </x:c>
      <x:c r="H2951" s="32" t="n">
        <x:v>442000</x:v>
      </x:c>
      <x:c r="I2951" s="32" t="n">
        <x:v>442000</x:v>
      </x:c>
      <x:c r="J2951" s="32" t="n">
        <x:v>0</x:v>
      </x:c>
      <x:c r="K2951" s="30" t="n">
        <x:v>45555</x:v>
      </x:c>
      <x:c r="L2951" s="24" t="str">
        <x:v>입금</x:v>
      </x:c>
      <x:c r="M2951" s="31" t="n">
        <x:f>IF(AND(N2951="미수",G2951&lt;&gt;"",TODAY()&gt;G2951),TODAY()-G2951,0)</x:f>
        <x:v>0</x:v>
      </x:c>
      <x:c r="N2951" s="24" t="str">
        <x:f>IF(J2951&gt;0,"미수",IF(AND(H2951&gt;0,I2951&gt;=H2951),"완납","미확인"))</x:f>
        <x:v>완납</x:v>
      </x:c>
      <x:c r="O2951" s="31" t="n">
        <x:v>29</x:v>
      </x:c>
    </x:row>
    <x:row r="2952" ht="17.25" customHeight="1">
      <x:c r="A2952" s="24" t="str">
        <x:v>PR-B-164노9379-202408</x:v>
      </x:c>
      <x:c r="B2952" s="24" t="str">
        <x:v>프라임구독</x:v>
      </x:c>
      <x:c r="C2952" s="24" t="str">
        <x:v>PR-C-164노9379-1-20230814-56</x:v>
      </x:c>
      <x:c r="D2952" s="24" t="str">
        <x:v>164노9379</x:v>
      </x:c>
      <x:c r="E2952" s="24" t="str">
        <x:v>강민규</x:v>
      </x:c>
      <x:c r="F2952" s="24" t="str">
        <x:v>2024-08</x:v>
      </x:c>
      <x:c r="G2952" s="30" t="n">
        <x:v>45529</x:v>
      </x:c>
      <x:c r="H2952" s="32" t="n">
        <x:v>492000</x:v>
      </x:c>
      <x:c r="I2952" s="32" t="n">
        <x:v>492000</x:v>
      </x:c>
      <x:c r="J2952" s="32" t="n">
        <x:v>0</x:v>
      </x:c>
      <x:c r="K2952" s="30" t="n">
        <x:v>45524</x:v>
      </x:c>
      <x:c r="L2952" s="24" t="str">
        <x:v>입금</x:v>
      </x:c>
      <x:c r="M2952" s="31" t="n">
        <x:f>IF(AND(N2952="미수",G2952&lt;&gt;"",TODAY()&gt;G2952),TODAY()-G2952,0)</x:f>
        <x:v>0</x:v>
      </x:c>
      <x:c r="N2952" s="24" t="str">
        <x:f>IF(J2952&gt;0,"미수",IF(AND(H2952&gt;0,I2952&gt;=H2952),"완납","미확인"))</x:f>
        <x:v>완납</x:v>
      </x:c>
      <x:c r="O2952" s="31" t="n">
        <x:v>29</x:v>
      </x:c>
    </x:row>
    <x:row r="2953" ht="17.25" customHeight="1">
      <x:c r="A2953" s="24" t="str">
        <x:v>PR-B-164노9379-202407</x:v>
      </x:c>
      <x:c r="B2953" s="24" t="str">
        <x:v>프라임구독</x:v>
      </x:c>
      <x:c r="C2953" s="24" t="str">
        <x:v>PR-C-164노9379-1-20230814-56</x:v>
      </x:c>
      <x:c r="D2953" s="24" t="str">
        <x:v>164노9379</x:v>
      </x:c>
      <x:c r="E2953" s="24" t="str">
        <x:v>강민규</x:v>
      </x:c>
      <x:c r="F2953" s="24" t="str">
        <x:v>2024-07</x:v>
      </x:c>
      <x:c r="G2953" s="30" t="n">
        <x:v>45498</x:v>
      </x:c>
      <x:c r="H2953" s="32" t="n">
        <x:v>492000</x:v>
      </x:c>
      <x:c r="I2953" s="32" t="n">
        <x:v>492000</x:v>
      </x:c>
      <x:c r="J2953" s="32" t="n">
        <x:v>0</x:v>
      </x:c>
      <x:c r="K2953" s="30" t="n">
        <x:v>45495</x:v>
      </x:c>
      <x:c r="L2953" s="24" t="str">
        <x:v>입금</x:v>
      </x:c>
      <x:c r="M2953" s="31" t="n">
        <x:f>IF(AND(N2953="미수",G2953&lt;&gt;"",TODAY()&gt;G2953),TODAY()-G2953,0)</x:f>
        <x:v>0</x:v>
      </x:c>
      <x:c r="N2953" s="24" t="str">
        <x:f>IF(J2953&gt;0,"미수",IF(AND(H2953&gt;0,I2953&gt;=H2953),"완납","미확인"))</x:f>
        <x:v>완납</x:v>
      </x:c>
      <x:c r="O2953" s="31" t="n">
        <x:v>29</x:v>
      </x:c>
    </x:row>
    <x:row r="2954" ht="17.25" customHeight="1">
      <x:c r="A2954" s="24" t="str">
        <x:v>PR-B-164노9379-202406</x:v>
      </x:c>
      <x:c r="B2954" s="24" t="str">
        <x:v>프라임구독</x:v>
      </x:c>
      <x:c r="C2954" s="24" t="str">
        <x:v>PR-C-164노9379-1-20230814-56</x:v>
      </x:c>
      <x:c r="D2954" s="24" t="str">
        <x:v>164노9379</x:v>
      </x:c>
      <x:c r="E2954" s="24" t="str">
        <x:v>강민규</x:v>
      </x:c>
      <x:c r="F2954" s="24" t="str">
        <x:v>2024-06</x:v>
      </x:c>
      <x:c r="G2954" s="30" t="n">
        <x:v>45468</x:v>
      </x:c>
      <x:c r="H2954" s="32" t="n">
        <x:v>492000</x:v>
      </x:c>
      <x:c r="I2954" s="32" t="n">
        <x:v>492000</x:v>
      </x:c>
      <x:c r="J2954" s="32" t="n">
        <x:v>0</x:v>
      </x:c>
      <x:c r="K2954" s="30" t="n">
        <x:v>45460</x:v>
      </x:c>
      <x:c r="L2954" s="24" t="str"/>
      <x:c r="M2954" s="31" t="n">
        <x:f>IF(AND(N2954="미수",G2954&lt;&gt;"",TODAY()&gt;G2954),TODAY()-G2954,0)</x:f>
        <x:v>0</x:v>
      </x:c>
      <x:c r="N2954" s="24" t="str">
        <x:f>IF(J2954&gt;0,"미수",IF(AND(H2954&gt;0,I2954&gt;=H2954),"완납","미확인"))</x:f>
        <x:v>완납</x:v>
      </x:c>
      <x:c r="O2954" s="31" t="n">
        <x:v>29</x:v>
      </x:c>
    </x:row>
    <x:row r="2955" ht="17.25" customHeight="1">
      <x:c r="A2955" s="24" t="str">
        <x:v>PR-B-164노9379-202405</x:v>
      </x:c>
      <x:c r="B2955" s="24" t="str">
        <x:v>프라임구독</x:v>
      </x:c>
      <x:c r="C2955" s="24" t="str">
        <x:v>PR-C-164노9379-1-20230814-56</x:v>
      </x:c>
      <x:c r="D2955" s="24" t="str">
        <x:v>164노9379</x:v>
      </x:c>
      <x:c r="E2955" s="24" t="str">
        <x:v>강민규</x:v>
      </x:c>
      <x:c r="F2955" s="24" t="str">
        <x:v>2024-05</x:v>
      </x:c>
      <x:c r="G2955" s="30" t="n">
        <x:v>45437</x:v>
      </x:c>
      <x:c r="H2955" s="32" t="n">
        <x:v>492000</x:v>
      </x:c>
      <x:c r="I2955" s="32" t="n">
        <x:v>492000</x:v>
      </x:c>
      <x:c r="J2955" s="32" t="n">
        <x:v>0</x:v>
      </x:c>
      <x:c r="K2955" s="30" t="n">
        <x:v>45431</x:v>
      </x:c>
      <x:c r="L2955" s="24" t="str"/>
      <x:c r="M2955" s="31" t="n">
        <x:f>IF(AND(N2955="미수",G2955&lt;&gt;"",TODAY()&gt;G2955),TODAY()-G2955,0)</x:f>
        <x:v>0</x:v>
      </x:c>
      <x:c r="N2955" s="24" t="str">
        <x:f>IF(J2955&gt;0,"미수",IF(AND(H2955&gt;0,I2955&gt;=H2955),"완납","미확인"))</x:f>
        <x:v>완납</x:v>
      </x:c>
      <x:c r="O2955" s="31" t="n">
        <x:v>29</x:v>
      </x:c>
    </x:row>
    <x:row r="2956" ht="17.25" customHeight="1">
      <x:c r="A2956" s="24" t="str">
        <x:v>PR-B-56마2851-202608</x:v>
      </x:c>
      <x:c r="B2956" s="24" t="str">
        <x:v>프라임구독</x:v>
      </x:c>
      <x:c r="C2956" s="24" t="str">
        <x:v>PR-C-56마2851-1-20230925-170</x:v>
      </x:c>
      <x:c r="D2956" s="24" t="str">
        <x:v>56마2851</x:v>
      </x:c>
      <x:c r="E2956" s="24" t="str">
        <x:v>윤성민</x:v>
      </x:c>
      <x:c r="F2956" s="24" t="str">
        <x:v>2026-08</x:v>
      </x:c>
      <x:c r="G2956" s="30" t="n">
        <x:v>46259</x:v>
      </x:c>
      <x:c r="H2956" s="32" t="n">
        <x:v>515000</x:v>
      </x:c>
      <x:c r="I2956" s="32"/>
      <x:c r="J2956" s="32" t="n">
        <x:v>10710000</x:v>
      </x:c>
      <x:c r="K2956" s="30"/>
      <x:c r="L2956" s="24" t="str"/>
      <x:c r="M2956" s="31" t="n">
        <x:f>IF(AND(N2956="미수",G2956&lt;&gt;"",TODAY()&gt;G2956),TODAY()-G2956,0)</x:f>
        <x:v>0</x:v>
      </x:c>
      <x:c r="N2956" s="24" t="str">
        <x:f>IF(J2956&gt;0,"미수",IF(AND(H2956&gt;0,I2956&gt;=H2956),"완납","미확인"))</x:f>
        <x:v>미수</x:v>
      </x:c>
      <x:c r="O2956" s="31" t="n">
        <x:v>30</x:v>
      </x:c>
    </x:row>
    <x:row r="2957" ht="17.25" customHeight="1">
      <x:c r="A2957" s="24" t="str">
        <x:v>PR-B-56마2851-202607</x:v>
      </x:c>
      <x:c r="B2957" s="24" t="str">
        <x:v>프라임구독</x:v>
      </x:c>
      <x:c r="C2957" s="24" t="str">
        <x:v>PR-C-56마2851-1-20230925-170</x:v>
      </x:c>
      <x:c r="D2957" s="24" t="str">
        <x:v>56마2851</x:v>
      </x:c>
      <x:c r="E2957" s="24" t="str">
        <x:v>윤성민</x:v>
      </x:c>
      <x:c r="F2957" s="24" t="str">
        <x:v>2026-07</x:v>
      </x:c>
      <x:c r="G2957" s="30" t="n">
        <x:v>46228</x:v>
      </x:c>
      <x:c r="H2957" s="32" t="n">
        <x:v>515000</x:v>
      </x:c>
      <x:c r="I2957" s="32"/>
      <x:c r="J2957" s="32" t="n">
        <x:v>10195000</x:v>
      </x:c>
      <x:c r="K2957" s="30"/>
      <x:c r="L2957" s="24" t="str"/>
      <x:c r="M2957" s="31" t="n">
        <x:f>IF(AND(N2957="미수",G2957&lt;&gt;"",TODAY()&gt;G2957),TODAY()-G2957,0)</x:f>
        <x:v>21</x:v>
      </x:c>
      <x:c r="N2957" s="24" t="str">
        <x:f>IF(J2957&gt;0,"미수",IF(AND(H2957&gt;0,I2957&gt;=H2957),"완납","미확인"))</x:f>
        <x:v>미수</x:v>
      </x:c>
      <x:c r="O2957" s="31" t="n">
        <x:v>30</x:v>
      </x:c>
    </x:row>
    <x:row r="2958" ht="17.25" customHeight="1">
      <x:c r="A2958" s="24" t="str">
        <x:v>PR-B-56마2851-202606</x:v>
      </x:c>
      <x:c r="B2958" s="24" t="str">
        <x:v>프라임구독</x:v>
      </x:c>
      <x:c r="C2958" s="24" t="str">
        <x:v>PR-C-56마2851-1-20230925-170</x:v>
      </x:c>
      <x:c r="D2958" s="24" t="str">
        <x:v>56마2851</x:v>
      </x:c>
      <x:c r="E2958" s="24" t="str">
        <x:v>윤성민</x:v>
      </x:c>
      <x:c r="F2958" s="24" t="str">
        <x:v>2026-06</x:v>
      </x:c>
      <x:c r="G2958" s="30" t="n">
        <x:v>46198</x:v>
      </x:c>
      <x:c r="H2958" s="32" t="n">
        <x:v>515000</x:v>
      </x:c>
      <x:c r="I2958" s="32"/>
      <x:c r="J2958" s="32" t="n">
        <x:v>9680000</x:v>
      </x:c>
      <x:c r="K2958" s="30"/>
      <x:c r="L2958" s="24" t="str"/>
      <x:c r="M2958" s="31" t="n">
        <x:f>IF(AND(N2958="미수",G2958&lt;&gt;"",TODAY()&gt;G2958),TODAY()-G2958,0)</x:f>
        <x:v>51</x:v>
      </x:c>
      <x:c r="N2958" s="24" t="str">
        <x:f>IF(J2958&gt;0,"미수",IF(AND(H2958&gt;0,I2958&gt;=H2958),"완납","미확인"))</x:f>
        <x:v>미수</x:v>
      </x:c>
      <x:c r="O2958" s="31" t="n">
        <x:v>30</x:v>
      </x:c>
    </x:row>
    <x:row r="2959" ht="17.25" customHeight="1">
      <x:c r="A2959" s="24" t="str">
        <x:v>PR-B-56마2851-202605</x:v>
      </x:c>
      <x:c r="B2959" s="24" t="str">
        <x:v>프라임구독</x:v>
      </x:c>
      <x:c r="C2959" s="24" t="str">
        <x:v>PR-C-56마2851-1-20230925-170</x:v>
      </x:c>
      <x:c r="D2959" s="24" t="str">
        <x:v>56마2851</x:v>
      </x:c>
      <x:c r="E2959" s="24" t="str">
        <x:v>윤성민</x:v>
      </x:c>
      <x:c r="F2959" s="24" t="str">
        <x:v>2026-05</x:v>
      </x:c>
      <x:c r="G2959" s="30" t="n">
        <x:v>46167</x:v>
      </x:c>
      <x:c r="H2959" s="32" t="n">
        <x:v>515000</x:v>
      </x:c>
      <x:c r="I2959" s="32"/>
      <x:c r="J2959" s="32" t="n">
        <x:v>9165000</x:v>
      </x:c>
      <x:c r="K2959" s="30"/>
      <x:c r="L2959" s="24" t="str"/>
      <x:c r="M2959" s="31" t="n">
        <x:f>IF(AND(N2959="미수",G2959&lt;&gt;"",TODAY()&gt;G2959),TODAY()-G2959,0)</x:f>
        <x:v>82</x:v>
      </x:c>
      <x:c r="N2959" s="24" t="str">
        <x:f>IF(J2959&gt;0,"미수",IF(AND(H2959&gt;0,I2959&gt;=H2959),"완납","미확인"))</x:f>
        <x:v>미수</x:v>
      </x:c>
      <x:c r="O2959" s="31" t="n">
        <x:v>30</x:v>
      </x:c>
    </x:row>
    <x:row r="2960" ht="17.25" customHeight="1">
      <x:c r="A2960" s="24" t="str">
        <x:v>PR-B-56마2851-202604</x:v>
      </x:c>
      <x:c r="B2960" s="24" t="str">
        <x:v>프라임구독</x:v>
      </x:c>
      <x:c r="C2960" s="24" t="str">
        <x:v>PR-C-56마2851-1-20230925-170</x:v>
      </x:c>
      <x:c r="D2960" s="24" t="str">
        <x:v>56마2851</x:v>
      </x:c>
      <x:c r="E2960" s="24" t="str">
        <x:v>윤성민</x:v>
      </x:c>
      <x:c r="F2960" s="24" t="str">
        <x:v>2026-04</x:v>
      </x:c>
      <x:c r="G2960" s="30" t="n">
        <x:v>46137</x:v>
      </x:c>
      <x:c r="H2960" s="32" t="n">
        <x:v>515000</x:v>
      </x:c>
      <x:c r="I2960" s="32"/>
      <x:c r="J2960" s="32" t="n">
        <x:v>8650000</x:v>
      </x:c>
      <x:c r="K2960" s="30"/>
      <x:c r="L2960" s="24" t="str"/>
      <x:c r="M2960" s="31" t="n">
        <x:f>IF(AND(N2960="미수",G2960&lt;&gt;"",TODAY()&gt;G2960),TODAY()-G2960,0)</x:f>
        <x:v>112</x:v>
      </x:c>
      <x:c r="N2960" s="24" t="str">
        <x:f>IF(J2960&gt;0,"미수",IF(AND(H2960&gt;0,I2960&gt;=H2960),"완납","미확인"))</x:f>
        <x:v>미수</x:v>
      </x:c>
      <x:c r="O2960" s="31" t="n">
        <x:v>30</x:v>
      </x:c>
    </x:row>
    <x:row r="2961" ht="17.25" customHeight="1">
      <x:c r="A2961" s="24" t="str">
        <x:v>PR-B-56마2851-202603</x:v>
      </x:c>
      <x:c r="B2961" s="24" t="str">
        <x:v>프라임구독</x:v>
      </x:c>
      <x:c r="C2961" s="24" t="str">
        <x:v>PR-C-56마2851-1-20230925-170</x:v>
      </x:c>
      <x:c r="D2961" s="24" t="str">
        <x:v>56마2851</x:v>
      </x:c>
      <x:c r="E2961" s="24" t="str">
        <x:v>윤성민</x:v>
      </x:c>
      <x:c r="F2961" s="24" t="str">
        <x:v>2026-03</x:v>
      </x:c>
      <x:c r="G2961" s="30" t="n">
        <x:v>46106</x:v>
      </x:c>
      <x:c r="H2961" s="32" t="n">
        <x:v>515000</x:v>
      </x:c>
      <x:c r="I2961" s="32"/>
      <x:c r="J2961" s="32" t="n">
        <x:v>8135000</x:v>
      </x:c>
      <x:c r="K2961" s="30"/>
      <x:c r="L2961" s="24" t="str"/>
      <x:c r="M2961" s="31" t="n">
        <x:f>IF(AND(N2961="미수",G2961&lt;&gt;"",TODAY()&gt;G2961),TODAY()-G2961,0)</x:f>
        <x:v>143</x:v>
      </x:c>
      <x:c r="N2961" s="24" t="str">
        <x:f>IF(J2961&gt;0,"미수",IF(AND(H2961&gt;0,I2961&gt;=H2961),"완납","미확인"))</x:f>
        <x:v>미수</x:v>
      </x:c>
      <x:c r="O2961" s="31" t="n">
        <x:v>30</x:v>
      </x:c>
    </x:row>
    <x:row r="2962" ht="17.25" customHeight="1">
      <x:c r="A2962" s="24" t="str">
        <x:v>PR-B-56마2851-202602</x:v>
      </x:c>
      <x:c r="B2962" s="24" t="str">
        <x:v>프라임구독</x:v>
      </x:c>
      <x:c r="C2962" s="24" t="str">
        <x:v>PR-C-56마2851-1-20230925-170</x:v>
      </x:c>
      <x:c r="D2962" s="24" t="str">
        <x:v>56마2851</x:v>
      </x:c>
      <x:c r="E2962" s="24" t="str">
        <x:v>윤성민</x:v>
      </x:c>
      <x:c r="F2962" s="24" t="str">
        <x:v>2026-02</x:v>
      </x:c>
      <x:c r="G2962" s="30" t="n">
        <x:v>46078</x:v>
      </x:c>
      <x:c r="H2962" s="32" t="n">
        <x:v>515000</x:v>
      </x:c>
      <x:c r="I2962" s="32"/>
      <x:c r="J2962" s="32" t="n">
        <x:v>7620000</x:v>
      </x:c>
      <x:c r="K2962" s="30"/>
      <x:c r="L2962" s="24" t="str"/>
      <x:c r="M2962" s="31" t="n">
        <x:f>IF(AND(N2962="미수",G2962&lt;&gt;"",TODAY()&gt;G2962),TODAY()-G2962,0)</x:f>
        <x:v>171</x:v>
      </x:c>
      <x:c r="N2962" s="24" t="str">
        <x:f>IF(J2962&gt;0,"미수",IF(AND(H2962&gt;0,I2962&gt;=H2962),"완납","미확인"))</x:f>
        <x:v>미수</x:v>
      </x:c>
      <x:c r="O2962" s="31" t="n">
        <x:v>30</x:v>
      </x:c>
    </x:row>
    <x:row r="2963" ht="17.25" customHeight="1">
      <x:c r="A2963" s="24" t="str">
        <x:v>PR-B-56마2851-202601</x:v>
      </x:c>
      <x:c r="B2963" s="24" t="str">
        <x:v>프라임구독</x:v>
      </x:c>
      <x:c r="C2963" s="24" t="str">
        <x:v>PR-C-56마2851-1-20230925-170</x:v>
      </x:c>
      <x:c r="D2963" s="24" t="str">
        <x:v>56마2851</x:v>
      </x:c>
      <x:c r="E2963" s="24" t="str">
        <x:v>윤성민</x:v>
      </x:c>
      <x:c r="F2963" s="24" t="str">
        <x:v>2026-01</x:v>
      </x:c>
      <x:c r="G2963" s="30" t="n">
        <x:v>46047</x:v>
      </x:c>
      <x:c r="H2963" s="32" t="n">
        <x:v>515000</x:v>
      </x:c>
      <x:c r="I2963" s="32"/>
      <x:c r="J2963" s="32" t="n">
        <x:v>7105000</x:v>
      </x:c>
      <x:c r="K2963" s="30"/>
      <x:c r="L2963" s="24" t="str"/>
      <x:c r="M2963" s="31" t="n">
        <x:f>IF(AND(N2963="미수",G2963&lt;&gt;"",TODAY()&gt;G2963),TODAY()-G2963,0)</x:f>
        <x:v>202</x:v>
      </x:c>
      <x:c r="N2963" s="24" t="str">
        <x:f>IF(J2963&gt;0,"미수",IF(AND(H2963&gt;0,I2963&gt;=H2963),"완납","미확인"))</x:f>
        <x:v>미수</x:v>
      </x:c>
      <x:c r="O2963" s="31" t="n">
        <x:v>30</x:v>
      </x:c>
    </x:row>
    <x:row r="2964" ht="17.25" customHeight="1">
      <x:c r="A2964" s="24" t="str">
        <x:v>PR-B-56마2851-202512</x:v>
      </x:c>
      <x:c r="B2964" s="24" t="str">
        <x:v>프라임구독</x:v>
      </x:c>
      <x:c r="C2964" s="24" t="str">
        <x:v>PR-C-56마2851-1-20230925-170</x:v>
      </x:c>
      <x:c r="D2964" s="24" t="str">
        <x:v>56마2851</x:v>
      </x:c>
      <x:c r="E2964" s="24" t="str">
        <x:v>윤성민</x:v>
      </x:c>
      <x:c r="F2964" s="24" t="str">
        <x:v>2025-12</x:v>
      </x:c>
      <x:c r="G2964" s="30" t="n">
        <x:v>46016</x:v>
      </x:c>
      <x:c r="H2964" s="32" t="n">
        <x:v>515000</x:v>
      </x:c>
      <x:c r="I2964" s="32"/>
      <x:c r="J2964" s="32" t="n">
        <x:v>6590000</x:v>
      </x:c>
      <x:c r="K2964" s="30"/>
      <x:c r="L2964" s="24" t="str"/>
      <x:c r="M2964" s="31" t="n">
        <x:f>IF(AND(N2964="미수",G2964&lt;&gt;"",TODAY()&gt;G2964),TODAY()-G2964,0)</x:f>
        <x:v>233</x:v>
      </x:c>
      <x:c r="N2964" s="24" t="str">
        <x:f>IF(J2964&gt;0,"미수",IF(AND(H2964&gt;0,I2964&gt;=H2964),"완납","미확인"))</x:f>
        <x:v>미수</x:v>
      </x:c>
      <x:c r="O2964" s="31" t="n">
        <x:v>30</x:v>
      </x:c>
    </x:row>
    <x:row r="2965" ht="17.25" customHeight="1">
      <x:c r="A2965" s="24" t="str">
        <x:v>PR-B-56마2851-202511</x:v>
      </x:c>
      <x:c r="B2965" s="24" t="str">
        <x:v>프라임구독</x:v>
      </x:c>
      <x:c r="C2965" s="24" t="str">
        <x:v>PR-C-56마2851-1-20230925-170</x:v>
      </x:c>
      <x:c r="D2965" s="24" t="str">
        <x:v>56마2851</x:v>
      </x:c>
      <x:c r="E2965" s="24" t="str">
        <x:v>윤성민</x:v>
      </x:c>
      <x:c r="F2965" s="24" t="str">
        <x:v>2025-11</x:v>
      </x:c>
      <x:c r="G2965" s="30" t="n">
        <x:v>45986</x:v>
      </x:c>
      <x:c r="H2965" s="32" t="n">
        <x:v>515000</x:v>
      </x:c>
      <x:c r="I2965" s="32"/>
      <x:c r="J2965" s="32" t="n">
        <x:v>6075000</x:v>
      </x:c>
      <x:c r="K2965" s="30"/>
      <x:c r="L2965" s="24" t="str"/>
      <x:c r="M2965" s="31" t="n">
        <x:f>IF(AND(N2965="미수",G2965&lt;&gt;"",TODAY()&gt;G2965),TODAY()-G2965,0)</x:f>
        <x:v>263</x:v>
      </x:c>
      <x:c r="N2965" s="24" t="str">
        <x:f>IF(J2965&gt;0,"미수",IF(AND(H2965&gt;0,I2965&gt;=H2965),"완납","미확인"))</x:f>
        <x:v>미수</x:v>
      </x:c>
      <x:c r="O2965" s="31" t="n">
        <x:v>30</x:v>
      </x:c>
    </x:row>
    <x:row r="2966" ht="17.25" customHeight="1">
      <x:c r="A2966" s="24" t="str">
        <x:v>PR-B-56마2851-202510</x:v>
      </x:c>
      <x:c r="B2966" s="24" t="str">
        <x:v>프라임구독</x:v>
      </x:c>
      <x:c r="C2966" s="24" t="str">
        <x:v>PR-C-56마2851-1-20230925-170</x:v>
      </x:c>
      <x:c r="D2966" s="24" t="str">
        <x:v>56마2851</x:v>
      </x:c>
      <x:c r="E2966" s="24" t="str">
        <x:v>윤성민</x:v>
      </x:c>
      <x:c r="F2966" s="24" t="str">
        <x:v>2025-10</x:v>
      </x:c>
      <x:c r="G2966" s="30" t="n">
        <x:v>45955</x:v>
      </x:c>
      <x:c r="H2966" s="32" t="n">
        <x:v>515000</x:v>
      </x:c>
      <x:c r="I2966" s="32"/>
      <x:c r="J2966" s="32" t="n">
        <x:v>5560000</x:v>
      </x:c>
      <x:c r="K2966" s="30"/>
      <x:c r="L2966" s="24" t="str"/>
      <x:c r="M2966" s="31" t="n">
        <x:f>IF(AND(N2966="미수",G2966&lt;&gt;"",TODAY()&gt;G2966),TODAY()-G2966,0)</x:f>
        <x:v>294</x:v>
      </x:c>
      <x:c r="N2966" s="24" t="str">
        <x:f>IF(J2966&gt;0,"미수",IF(AND(H2966&gt;0,I2966&gt;=H2966),"완납","미확인"))</x:f>
        <x:v>미수</x:v>
      </x:c>
      <x:c r="O2966" s="31" t="n">
        <x:v>30</x:v>
      </x:c>
    </x:row>
    <x:row r="2967" ht="17.25" customHeight="1">
      <x:c r="A2967" s="24" t="str">
        <x:v>PR-B-56마2851-202509</x:v>
      </x:c>
      <x:c r="B2967" s="24" t="str">
        <x:v>프라임구독</x:v>
      </x:c>
      <x:c r="C2967" s="24" t="str">
        <x:v>PR-C-56마2851-1-20230925-170</x:v>
      </x:c>
      <x:c r="D2967" s="24" t="str">
        <x:v>56마2851</x:v>
      </x:c>
      <x:c r="E2967" s="24" t="str">
        <x:v>윤성민</x:v>
      </x:c>
      <x:c r="F2967" s="24" t="str">
        <x:v>2025-09</x:v>
      </x:c>
      <x:c r="G2967" s="30" t="n">
        <x:v>45925</x:v>
      </x:c>
      <x:c r="H2967" s="32" t="n">
        <x:v>515000</x:v>
      </x:c>
      <x:c r="I2967" s="32"/>
      <x:c r="J2967" s="32" t="n">
        <x:v>5045000</x:v>
      </x:c>
      <x:c r="K2967" s="30"/>
      <x:c r="L2967" s="24" t="str"/>
      <x:c r="M2967" s="31" t="n">
        <x:f>IF(AND(N2967="미수",G2967&lt;&gt;"",TODAY()&gt;G2967),TODAY()-G2967,0)</x:f>
        <x:v>324</x:v>
      </x:c>
      <x:c r="N2967" s="24" t="str">
        <x:f>IF(J2967&gt;0,"미수",IF(AND(H2967&gt;0,I2967&gt;=H2967),"완납","미확인"))</x:f>
        <x:v>미수</x:v>
      </x:c>
      <x:c r="O2967" s="31" t="n">
        <x:v>30</x:v>
      </x:c>
    </x:row>
    <x:row r="2968" ht="17.25" customHeight="1">
      <x:c r="A2968" s="24" t="str">
        <x:v>PR-B-56마2851-202508</x:v>
      </x:c>
      <x:c r="B2968" s="24" t="str">
        <x:v>프라임구독</x:v>
      </x:c>
      <x:c r="C2968" s="24" t="str">
        <x:v>PR-C-56마2851-1-20230925-170</x:v>
      </x:c>
      <x:c r="D2968" s="24" t="str">
        <x:v>56마2851</x:v>
      </x:c>
      <x:c r="E2968" s="24" t="str">
        <x:v>윤성민</x:v>
      </x:c>
      <x:c r="F2968" s="24" t="str">
        <x:v>2025-08</x:v>
      </x:c>
      <x:c r="G2968" s="30" t="n">
        <x:v>45894</x:v>
      </x:c>
      <x:c r="H2968" s="32" t="n">
        <x:v>515000</x:v>
      </x:c>
      <x:c r="I2968" s="32"/>
      <x:c r="J2968" s="32" t="n">
        <x:v>4530000</x:v>
      </x:c>
      <x:c r="K2968" s="30"/>
      <x:c r="L2968" s="24" t="str"/>
      <x:c r="M2968" s="31" t="n">
        <x:f>IF(AND(N2968="미수",G2968&lt;&gt;"",TODAY()&gt;G2968),TODAY()-G2968,0)</x:f>
        <x:v>355</x:v>
      </x:c>
      <x:c r="N2968" s="24" t="str">
        <x:f>IF(J2968&gt;0,"미수",IF(AND(H2968&gt;0,I2968&gt;=H2968),"완납","미확인"))</x:f>
        <x:v>미수</x:v>
      </x:c>
      <x:c r="O2968" s="31" t="n">
        <x:v>30</x:v>
      </x:c>
    </x:row>
    <x:row r="2969" ht="17.25" customHeight="1">
      <x:c r="A2969" s="24" t="str">
        <x:v>PR-B-56마2851-202507</x:v>
      </x:c>
      <x:c r="B2969" s="24" t="str">
        <x:v>프라임구독</x:v>
      </x:c>
      <x:c r="C2969" s="24" t="str">
        <x:v>PR-C-56마2851-1-20230925-170</x:v>
      </x:c>
      <x:c r="D2969" s="24" t="str">
        <x:v>56마2851</x:v>
      </x:c>
      <x:c r="E2969" s="24" t="str">
        <x:v>윤성민</x:v>
      </x:c>
      <x:c r="F2969" s="24" t="str">
        <x:v>2025-07</x:v>
      </x:c>
      <x:c r="G2969" s="30" t="n">
        <x:v>45863</x:v>
      </x:c>
      <x:c r="H2969" s="32" t="n">
        <x:v>515000</x:v>
      </x:c>
      <x:c r="I2969" s="32" t="n">
        <x:v>135000</x:v>
      </x:c>
      <x:c r="J2969" s="32" t="n">
        <x:v>4015000</x:v>
      </x:c>
      <x:c r="K2969" s="30" t="n">
        <x:v>45852</x:v>
      </x:c>
      <x:c r="L2969" s="24" t="str">
        <x:v>입금</x:v>
      </x:c>
      <x:c r="M2969" s="31" t="n">
        <x:f>IF(AND(N2969="미수",G2969&lt;&gt;"",TODAY()&gt;G2969),TODAY()-G2969,0)</x:f>
        <x:v>386</x:v>
      </x:c>
      <x:c r="N2969" s="24" t="str">
        <x:f>IF(J2969&gt;0,"미수",IF(AND(H2969&gt;0,I2969&gt;=H2969),"완납","미확인"))</x:f>
        <x:v>미수</x:v>
      </x:c>
      <x:c r="O2969" s="31" t="n">
        <x:v>30</x:v>
      </x:c>
    </x:row>
    <x:row r="2970" ht="17.25" customHeight="1">
      <x:c r="A2970" s="24" t="str">
        <x:v>PR-B-56마2851-202506</x:v>
      </x:c>
      <x:c r="B2970" s="24" t="str">
        <x:v>프라임구독</x:v>
      </x:c>
      <x:c r="C2970" s="24" t="str">
        <x:v>PR-C-56마2851-1-20230925-170</x:v>
      </x:c>
      <x:c r="D2970" s="24" t="str">
        <x:v>56마2851</x:v>
      </x:c>
      <x:c r="E2970" s="24" t="str">
        <x:v>윤성민</x:v>
      </x:c>
      <x:c r="F2970" s="24" t="str">
        <x:v>2025-06</x:v>
      </x:c>
      <x:c r="G2970" s="30" t="n">
        <x:v>45833</x:v>
      </x:c>
      <x:c r="H2970" s="32" t="n">
        <x:v>515000</x:v>
      </x:c>
      <x:c r="I2970" s="32"/>
      <x:c r="J2970" s="32" t="n">
        <x:v>3635000</x:v>
      </x:c>
      <x:c r="K2970" s="30"/>
      <x:c r="L2970" s="24" t="str"/>
      <x:c r="M2970" s="31" t="n">
        <x:f>IF(AND(N2970="미수",G2970&lt;&gt;"",TODAY()&gt;G2970),TODAY()-G2970,0)</x:f>
        <x:v>416</x:v>
      </x:c>
      <x:c r="N2970" s="24" t="str">
        <x:f>IF(J2970&gt;0,"미수",IF(AND(H2970&gt;0,I2970&gt;=H2970),"완납","미확인"))</x:f>
        <x:v>미수</x:v>
      </x:c>
      <x:c r="O2970" s="31" t="n">
        <x:v>30</x:v>
      </x:c>
    </x:row>
    <x:row r="2971" ht="17.25" customHeight="1">
      <x:c r="A2971" s="24" t="str">
        <x:v>PR-B-56마2851-202505</x:v>
      </x:c>
      <x:c r="B2971" s="24" t="str">
        <x:v>프라임구독</x:v>
      </x:c>
      <x:c r="C2971" s="24" t="str">
        <x:v>PR-C-56마2851-1-20230925-170</x:v>
      </x:c>
      <x:c r="D2971" s="24" t="str">
        <x:v>56마2851</x:v>
      </x:c>
      <x:c r="E2971" s="24" t="str">
        <x:v>윤성민</x:v>
      </x:c>
      <x:c r="F2971" s="24" t="str">
        <x:v>2025-05</x:v>
      </x:c>
      <x:c r="G2971" s="30" t="n">
        <x:v>45802</x:v>
      </x:c>
      <x:c r="H2971" s="32" t="n">
        <x:v>515000</x:v>
      </x:c>
      <x:c r="I2971" s="32"/>
      <x:c r="J2971" s="32" t="n">
        <x:v>3120000</x:v>
      </x:c>
      <x:c r="K2971" s="30"/>
      <x:c r="L2971" s="24" t="str"/>
      <x:c r="M2971" s="31" t="n">
        <x:f>IF(AND(N2971="미수",G2971&lt;&gt;"",TODAY()&gt;G2971),TODAY()-G2971,0)</x:f>
        <x:v>447</x:v>
      </x:c>
      <x:c r="N2971" s="24" t="str">
        <x:f>IF(J2971&gt;0,"미수",IF(AND(H2971&gt;0,I2971&gt;=H2971),"완납","미확인"))</x:f>
        <x:v>미수</x:v>
      </x:c>
      <x:c r="O2971" s="31" t="n">
        <x:v>30</x:v>
      </x:c>
    </x:row>
    <x:row r="2972" ht="17.25" customHeight="1">
      <x:c r="A2972" s="24" t="str">
        <x:v>PR-B-56마2851-202504</x:v>
      </x:c>
      <x:c r="B2972" s="24" t="str">
        <x:v>프라임구독</x:v>
      </x:c>
      <x:c r="C2972" s="24" t="str">
        <x:v>PR-C-56마2851-1-20230925-170</x:v>
      </x:c>
      <x:c r="D2972" s="24" t="str">
        <x:v>56마2851</x:v>
      </x:c>
      <x:c r="E2972" s="24" t="str">
        <x:v>윤성민</x:v>
      </x:c>
      <x:c r="F2972" s="24" t="str">
        <x:v>2025-04</x:v>
      </x:c>
      <x:c r="G2972" s="30" t="n">
        <x:v>45772</x:v>
      </x:c>
      <x:c r="H2972" s="32" t="n">
        <x:v>515000</x:v>
      </x:c>
      <x:c r="I2972" s="32"/>
      <x:c r="J2972" s="32" t="n">
        <x:v>2605000</x:v>
      </x:c>
      <x:c r="K2972" s="30"/>
      <x:c r="L2972" s="24" t="str"/>
      <x:c r="M2972" s="31" t="n">
        <x:f>IF(AND(N2972="미수",G2972&lt;&gt;"",TODAY()&gt;G2972),TODAY()-G2972,0)</x:f>
        <x:v>477</x:v>
      </x:c>
      <x:c r="N2972" s="24" t="str">
        <x:f>IF(J2972&gt;0,"미수",IF(AND(H2972&gt;0,I2972&gt;=H2972),"완납","미확인"))</x:f>
        <x:v>미수</x:v>
      </x:c>
      <x:c r="O2972" s="31" t="n">
        <x:v>30</x:v>
      </x:c>
    </x:row>
    <x:row r="2973" ht="17.25" customHeight="1">
      <x:c r="A2973" s="24" t="str">
        <x:v>PR-B-56마2851-202503</x:v>
      </x:c>
      <x:c r="B2973" s="24" t="str">
        <x:v>프라임구독</x:v>
      </x:c>
      <x:c r="C2973" s="24" t="str">
        <x:v>PR-C-56마2851-1-20230925-170</x:v>
      </x:c>
      <x:c r="D2973" s="24" t="str">
        <x:v>56마2851</x:v>
      </x:c>
      <x:c r="E2973" s="24" t="str">
        <x:v>윤성민</x:v>
      </x:c>
      <x:c r="F2973" s="24" t="str">
        <x:v>2025-03</x:v>
      </x:c>
      <x:c r="G2973" s="30" t="n">
        <x:v>45741</x:v>
      </x:c>
      <x:c r="H2973" s="32" t="n">
        <x:v>515000</x:v>
      </x:c>
      <x:c r="I2973" s="32"/>
      <x:c r="J2973" s="32" t="n">
        <x:v>2090000</x:v>
      </x:c>
      <x:c r="K2973" s="30"/>
      <x:c r="L2973" s="24" t="str"/>
      <x:c r="M2973" s="31" t="n">
        <x:f>IF(AND(N2973="미수",G2973&lt;&gt;"",TODAY()&gt;G2973),TODAY()-G2973,0)</x:f>
        <x:v>508</x:v>
      </x:c>
      <x:c r="N2973" s="24" t="str">
        <x:f>IF(J2973&gt;0,"미수",IF(AND(H2973&gt;0,I2973&gt;=H2973),"완납","미확인"))</x:f>
        <x:v>미수</x:v>
      </x:c>
      <x:c r="O2973" s="31" t="n">
        <x:v>30</x:v>
      </x:c>
    </x:row>
    <x:row r="2974" ht="17.25" customHeight="1">
      <x:c r="A2974" s="24" t="str">
        <x:v>PR-B-56마2851-202502</x:v>
      </x:c>
      <x:c r="B2974" s="24" t="str">
        <x:v>프라임구독</x:v>
      </x:c>
      <x:c r="C2974" s="24" t="str">
        <x:v>PR-C-56마2851-1-20230925-170</x:v>
      </x:c>
      <x:c r="D2974" s="24" t="str">
        <x:v>56마2851</x:v>
      </x:c>
      <x:c r="E2974" s="24" t="str">
        <x:v>윤성민</x:v>
      </x:c>
      <x:c r="F2974" s="24" t="str">
        <x:v>2025-02</x:v>
      </x:c>
      <x:c r="G2974" s="30" t="n">
        <x:v>45713</x:v>
      </x:c>
      <x:c r="H2974" s="32" t="n">
        <x:v>515000</x:v>
      </x:c>
      <x:c r="I2974" s="32"/>
      <x:c r="J2974" s="32" t="n">
        <x:v>1575000</x:v>
      </x:c>
      <x:c r="K2974" s="30"/>
      <x:c r="L2974" s="24" t="str"/>
      <x:c r="M2974" s="31" t="n">
        <x:f>IF(AND(N2974="미수",G2974&lt;&gt;"",TODAY()&gt;G2974),TODAY()-G2974,0)</x:f>
        <x:v>536</x:v>
      </x:c>
      <x:c r="N2974" s="24" t="str">
        <x:f>IF(J2974&gt;0,"미수",IF(AND(H2974&gt;0,I2974&gt;=H2974),"완납","미확인"))</x:f>
        <x:v>미수</x:v>
      </x:c>
      <x:c r="O2974" s="31" t="n">
        <x:v>30</x:v>
      </x:c>
    </x:row>
    <x:row r="2975" ht="17.25" customHeight="1">
      <x:c r="A2975" s="24" t="str">
        <x:v>PR-B-56마2851-202501</x:v>
      </x:c>
      <x:c r="B2975" s="24" t="str">
        <x:v>프라임구독</x:v>
      </x:c>
      <x:c r="C2975" s="24" t="str">
        <x:v>PR-C-56마2851-1-20230925-170</x:v>
      </x:c>
      <x:c r="D2975" s="24" t="str">
        <x:v>56마2851</x:v>
      </x:c>
      <x:c r="E2975" s="24" t="str">
        <x:v>윤성민</x:v>
      </x:c>
      <x:c r="F2975" s="24" t="str">
        <x:v>2025-01</x:v>
      </x:c>
      <x:c r="G2975" s="30" t="n">
        <x:v>45682</x:v>
      </x:c>
      <x:c r="H2975" s="32" t="n">
        <x:v>515000</x:v>
      </x:c>
      <x:c r="I2975" s="32"/>
      <x:c r="J2975" s="32" t="n">
        <x:v>1060000</x:v>
      </x:c>
      <x:c r="K2975" s="30"/>
      <x:c r="L2975" s="24" t="str"/>
      <x:c r="M2975" s="31" t="n">
        <x:f>IF(AND(N2975="미수",G2975&lt;&gt;"",TODAY()&gt;G2975),TODAY()-G2975,0)</x:f>
        <x:v>567</x:v>
      </x:c>
      <x:c r="N2975" s="24" t="str">
        <x:f>IF(J2975&gt;0,"미수",IF(AND(H2975&gt;0,I2975&gt;=H2975),"완납","미확인"))</x:f>
        <x:v>미수</x:v>
      </x:c>
      <x:c r="O2975" s="31" t="n">
        <x:v>30</x:v>
      </x:c>
    </x:row>
    <x:row r="2976" ht="17.25" customHeight="1">
      <x:c r="A2976" s="24" t="str">
        <x:v>PR-B-56마2851-202412</x:v>
      </x:c>
      <x:c r="B2976" s="24" t="str">
        <x:v>프라임구독</x:v>
      </x:c>
      <x:c r="C2976" s="24" t="str">
        <x:v>PR-C-56마2851-1-20230925-170</x:v>
      </x:c>
      <x:c r="D2976" s="24" t="str">
        <x:v>56마2851</x:v>
      </x:c>
      <x:c r="E2976" s="24" t="str">
        <x:v>윤성민</x:v>
      </x:c>
      <x:c r="F2976" s="24" t="str">
        <x:v>2024-12</x:v>
      </x:c>
      <x:c r="G2976" s="30" t="n">
        <x:v>45651</x:v>
      </x:c>
      <x:c r="H2976" s="32" t="n">
        <x:v>515000</x:v>
      </x:c>
      <x:c r="I2976" s="32"/>
      <x:c r="J2976" s="32" t="n">
        <x:v>545000</x:v>
      </x:c>
      <x:c r="K2976" s="30"/>
      <x:c r="L2976" s="24" t="str"/>
      <x:c r="M2976" s="31" t="n">
        <x:f>IF(AND(N2976="미수",G2976&lt;&gt;"",TODAY()&gt;G2976),TODAY()-G2976,0)</x:f>
        <x:v>598</x:v>
      </x:c>
      <x:c r="N2976" s="24" t="str">
        <x:f>IF(J2976&gt;0,"미수",IF(AND(H2976&gt;0,I2976&gt;=H2976),"완납","미확인"))</x:f>
        <x:v>미수</x:v>
      </x:c>
      <x:c r="O2976" s="31" t="n">
        <x:v>30</x:v>
      </x:c>
    </x:row>
    <x:row r="2977" ht="17.25" customHeight="1">
      <x:c r="A2977" s="24" t="str">
        <x:v>PR-B-56마2851-202411</x:v>
      </x:c>
      <x:c r="B2977" s="24" t="str">
        <x:v>프라임구독</x:v>
      </x:c>
      <x:c r="C2977" s="24" t="str">
        <x:v>PR-C-56마2851-1-20230925-170</x:v>
      </x:c>
      <x:c r="D2977" s="24" t="str">
        <x:v>56마2851</x:v>
      </x:c>
      <x:c r="E2977" s="24" t="str">
        <x:v>윤성민</x:v>
      </x:c>
      <x:c r="F2977" s="24" t="str">
        <x:v>2024-11</x:v>
      </x:c>
      <x:c r="G2977" s="30" t="n">
        <x:v>45621</x:v>
      </x:c>
      <x:c r="H2977" s="32" t="n">
        <x:v>515000</x:v>
      </x:c>
      <x:c r="I2977" s="32" t="n">
        <x:v>485000</x:v>
      </x:c>
      <x:c r="J2977" s="32" t="n">
        <x:v>30000</x:v>
      </x:c>
      <x:c r="K2977" s="30" t="n">
        <x:v>45657</x:v>
      </x:c>
      <x:c r="L2977" s="24" t="str">
        <x:v>입금</x:v>
      </x:c>
      <x:c r="M2977" s="31" t="n">
        <x:f>IF(AND(N2977="미수",G2977&lt;&gt;"",TODAY()&gt;G2977),TODAY()-G2977,0)</x:f>
        <x:v>628</x:v>
      </x:c>
      <x:c r="N2977" s="24" t="str">
        <x:f>IF(J2977&gt;0,"미수",IF(AND(H2977&gt;0,I2977&gt;=H2977),"완납","미확인"))</x:f>
        <x:v>미수</x:v>
      </x:c>
      <x:c r="O2977" s="31" t="n">
        <x:v>30</x:v>
      </x:c>
    </x:row>
    <x:row r="2978" ht="17.25" customHeight="1">
      <x:c r="A2978" s="24" t="str">
        <x:v>PR-B-56마2851-202410</x:v>
      </x:c>
      <x:c r="B2978" s="24" t="str">
        <x:v>프라임구독</x:v>
      </x:c>
      <x:c r="C2978" s="24" t="str">
        <x:v>PR-C-56마2851-1-20230925-170</x:v>
      </x:c>
      <x:c r="D2978" s="24" t="str">
        <x:v>56마2851</x:v>
      </x:c>
      <x:c r="E2978" s="24" t="str">
        <x:v>윤성민</x:v>
      </x:c>
      <x:c r="F2978" s="24" t="str">
        <x:v>2024-10</x:v>
      </x:c>
      <x:c r="G2978" s="30" t="n">
        <x:v>45590</x:v>
      </x:c>
      <x:c r="H2978" s="32" t="n">
        <x:v>515000</x:v>
      </x:c>
      <x:c r="I2978" s="32" t="n">
        <x:v>515000</x:v>
      </x:c>
      <x:c r="J2978" s="32" t="n">
        <x:v>0</x:v>
      </x:c>
      <x:c r="K2978" s="30" t="n">
        <x:v>45657</x:v>
      </x:c>
      <x:c r="L2978" s="24" t="str">
        <x:v>입금</x:v>
      </x:c>
      <x:c r="M2978" s="31" t="n">
        <x:f>IF(AND(N2978="미수",G2978&lt;&gt;"",TODAY()&gt;G2978),TODAY()-G2978,0)</x:f>
        <x:v>0</x:v>
      </x:c>
      <x:c r="N2978" s="24" t="str">
        <x:f>IF(J2978&gt;0,"미수",IF(AND(H2978&gt;0,I2978&gt;=H2978),"완납","미확인"))</x:f>
        <x:v>완납</x:v>
      </x:c>
      <x:c r="O2978" s="31" t="n">
        <x:v>30</x:v>
      </x:c>
    </x:row>
    <x:row r="2979" ht="17.25" customHeight="1">
      <x:c r="A2979" s="24" t="str">
        <x:v>PR-B-56마2851-202409</x:v>
      </x:c>
      <x:c r="B2979" s="24" t="str">
        <x:v>프라임구독</x:v>
      </x:c>
      <x:c r="C2979" s="24" t="str">
        <x:v>PR-C-56마2851-1-20230925-170</x:v>
      </x:c>
      <x:c r="D2979" s="24" t="str">
        <x:v>56마2851</x:v>
      </x:c>
      <x:c r="E2979" s="24" t="str">
        <x:v>윤성민</x:v>
      </x:c>
      <x:c r="F2979" s="24" t="str">
        <x:v>2024-09</x:v>
      </x:c>
      <x:c r="G2979" s="30" t="n">
        <x:v>45560</x:v>
      </x:c>
      <x:c r="H2979" s="32" t="n">
        <x:v>515000</x:v>
      </x:c>
      <x:c r="I2979" s="32" t="n">
        <x:v>515000</x:v>
      </x:c>
      <x:c r="J2979" s="32" t="n">
        <x:v>0</x:v>
      </x:c>
      <x:c r="K2979" s="30" t="n">
        <x:v>45575</x:v>
      </x:c>
      <x:c r="L2979" s="24" t="str">
        <x:v>입금</x:v>
      </x:c>
      <x:c r="M2979" s="31" t="n">
        <x:f>IF(AND(N2979="미수",G2979&lt;&gt;"",TODAY()&gt;G2979),TODAY()-G2979,0)</x:f>
        <x:v>0</x:v>
      </x:c>
      <x:c r="N2979" s="24" t="str">
        <x:f>IF(J2979&gt;0,"미수",IF(AND(H2979&gt;0,I2979&gt;=H2979),"완납","미확인"))</x:f>
        <x:v>완납</x:v>
      </x:c>
      <x:c r="O2979" s="31" t="n">
        <x:v>30</x:v>
      </x:c>
    </x:row>
    <x:row r="2980" ht="17.25" customHeight="1">
      <x:c r="A2980" s="24" t="str">
        <x:v>PR-B-56마2851-202408</x:v>
      </x:c>
      <x:c r="B2980" s="24" t="str">
        <x:v>프라임구독</x:v>
      </x:c>
      <x:c r="C2980" s="24" t="str">
        <x:v>PR-C-56마2851-1-20230925-170</x:v>
      </x:c>
      <x:c r="D2980" s="24" t="str">
        <x:v>56마2851</x:v>
      </x:c>
      <x:c r="E2980" s="24" t="str">
        <x:v>윤성민</x:v>
      </x:c>
      <x:c r="F2980" s="24" t="str">
        <x:v>2024-08</x:v>
      </x:c>
      <x:c r="G2980" s="30" t="n">
        <x:v>45529</x:v>
      </x:c>
      <x:c r="H2980" s="32" t="n">
        <x:v>515000</x:v>
      </x:c>
      <x:c r="I2980" s="32" t="n">
        <x:v>515000</x:v>
      </x:c>
      <x:c r="J2980" s="32" t="n">
        <x:v>0</x:v>
      </x:c>
      <x:c r="K2980" s="30" t="n">
        <x:v>45530</x:v>
      </x:c>
      <x:c r="L2980" s="24" t="str">
        <x:v>입금</x:v>
      </x:c>
      <x:c r="M2980" s="31" t="n">
        <x:f>IF(AND(N2980="미수",G2980&lt;&gt;"",TODAY()&gt;G2980),TODAY()-G2980,0)</x:f>
        <x:v>0</x:v>
      </x:c>
      <x:c r="N2980" s="24" t="str">
        <x:f>IF(J2980&gt;0,"미수",IF(AND(H2980&gt;0,I2980&gt;=H2980),"완납","미확인"))</x:f>
        <x:v>완납</x:v>
      </x:c>
      <x:c r="O2980" s="31" t="n">
        <x:v>30</x:v>
      </x:c>
    </x:row>
    <x:row r="2981" ht="17.25" customHeight="1">
      <x:c r="A2981" s="24" t="str">
        <x:v>PR-B-56마2851-202407</x:v>
      </x:c>
      <x:c r="B2981" s="24" t="str">
        <x:v>프라임구독</x:v>
      </x:c>
      <x:c r="C2981" s="24" t="str">
        <x:v>PR-C-56마2851-1-20230925-170</x:v>
      </x:c>
      <x:c r="D2981" s="24" t="str">
        <x:v>56마2851</x:v>
      </x:c>
      <x:c r="E2981" s="24" t="str">
        <x:v>윤성민</x:v>
      </x:c>
      <x:c r="F2981" s="24" t="str">
        <x:v>2024-07</x:v>
      </x:c>
      <x:c r="G2981" s="30" t="n">
        <x:v>45498</x:v>
      </x:c>
      <x:c r="H2981" s="32" t="n">
        <x:v>515000</x:v>
      </x:c>
      <x:c r="I2981" s="32" t="n">
        <x:v>515000</x:v>
      </x:c>
      <x:c r="J2981" s="32" t="n">
        <x:v>0</x:v>
      </x:c>
      <x:c r="K2981" s="30" t="n">
        <x:v>45530</x:v>
      </x:c>
      <x:c r="L2981" s="24" t="str">
        <x:v>입금</x:v>
      </x:c>
      <x:c r="M2981" s="31" t="n">
        <x:f>IF(AND(N2981="미수",G2981&lt;&gt;"",TODAY()&gt;G2981),TODAY()-G2981,0)</x:f>
        <x:v>0</x:v>
      </x:c>
      <x:c r="N2981" s="24" t="str">
        <x:f>IF(J2981&gt;0,"미수",IF(AND(H2981&gt;0,I2981&gt;=H2981),"완납","미확인"))</x:f>
        <x:v>완납</x:v>
      </x:c>
      <x:c r="O2981" s="31" t="n">
        <x:v>30</x:v>
      </x:c>
    </x:row>
    <x:row r="2982" ht="17.25" customHeight="1">
      <x:c r="A2982" s="24" t="str">
        <x:v>PR-B-56마2851-202406</x:v>
      </x:c>
      <x:c r="B2982" s="24" t="str">
        <x:v>프라임구독</x:v>
      </x:c>
      <x:c r="C2982" s="24" t="str">
        <x:v>PR-C-56마2851-1-20230925-170</x:v>
      </x:c>
      <x:c r="D2982" s="24" t="str">
        <x:v>56마2851</x:v>
      </x:c>
      <x:c r="E2982" s="24" t="str">
        <x:v>윤성민</x:v>
      </x:c>
      <x:c r="F2982" s="24" t="str">
        <x:v>2024-06</x:v>
      </x:c>
      <x:c r="G2982" s="30" t="n">
        <x:v>45468</x:v>
      </x:c>
      <x:c r="H2982" s="32" t="n">
        <x:v>515000</x:v>
      </x:c>
      <x:c r="I2982" s="32" t="n">
        <x:v>515000</x:v>
      </x:c>
      <x:c r="J2982" s="32" t="n">
        <x:v>0</x:v>
      </x:c>
      <x:c r="K2982" s="30" t="n">
        <x:v>45469</x:v>
      </x:c>
      <x:c r="L2982" s="24" t="str"/>
      <x:c r="M2982" s="31" t="n">
        <x:f>IF(AND(N2982="미수",G2982&lt;&gt;"",TODAY()&gt;G2982),TODAY()-G2982,0)</x:f>
        <x:v>0</x:v>
      </x:c>
      <x:c r="N2982" s="24" t="str">
        <x:f>IF(J2982&gt;0,"미수",IF(AND(H2982&gt;0,I2982&gt;=H2982),"완납","미확인"))</x:f>
        <x:v>완납</x:v>
      </x:c>
      <x:c r="O2982" s="31" t="n">
        <x:v>30</x:v>
      </x:c>
    </x:row>
    <x:row r="2983" ht="17.25" customHeight="1">
      <x:c r="A2983" s="24" t="str">
        <x:v>PR-B-56마2851-202405</x:v>
      </x:c>
      <x:c r="B2983" s="24" t="str">
        <x:v>프라임구독</x:v>
      </x:c>
      <x:c r="C2983" s="24" t="str">
        <x:v>PR-C-56마2851-1-20230925-170</x:v>
      </x:c>
      <x:c r="D2983" s="24" t="str">
        <x:v>56마2851</x:v>
      </x:c>
      <x:c r="E2983" s="24" t="str">
        <x:v>윤성민</x:v>
      </x:c>
      <x:c r="F2983" s="24" t="str">
        <x:v>2024-05</x:v>
      </x:c>
      <x:c r="G2983" s="30" t="n">
        <x:v>45437</x:v>
      </x:c>
      <x:c r="H2983" s="32" t="n">
        <x:v>515000</x:v>
      </x:c>
      <x:c r="I2983" s="32" t="n">
        <x:v>515000</x:v>
      </x:c>
      <x:c r="J2983" s="32" t="n">
        <x:v>0</x:v>
      </x:c>
      <x:c r="K2983" s="30" t="n">
        <x:v>45440</x:v>
      </x:c>
      <x:c r="L2983" s="24" t="str"/>
      <x:c r="M2983" s="31" t="n">
        <x:f>IF(AND(N2983="미수",G2983&lt;&gt;"",TODAY()&gt;G2983),TODAY()-G2983,0)</x:f>
        <x:v>0</x:v>
      </x:c>
      <x:c r="N2983" s="24" t="str">
        <x:f>IF(J2983&gt;0,"미수",IF(AND(H2983&gt;0,I2983&gt;=H2983),"완납","미확인"))</x:f>
        <x:v>완납</x:v>
      </x:c>
      <x:c r="O2983" s="31" t="n">
        <x:v>30</x:v>
      </x:c>
    </x:row>
    <x:row r="2984" ht="17.25" customHeight="1">
      <x:c r="A2984" s="24" t="str">
        <x:v>PR-B-37부6628-202608</x:v>
      </x:c>
      <x:c r="B2984" s="24" t="str">
        <x:v>프라임구독</x:v>
      </x:c>
      <x:c r="C2984" s="24" t="str">
        <x:v>PR-C-37부6628-1-20231031-134</x:v>
      </x:c>
      <x:c r="D2984" s="24" t="str">
        <x:v>37부6628</x:v>
      </x:c>
      <x:c r="E2984" s="24" t="str">
        <x:v>배초롱</x:v>
      </x:c>
      <x:c r="F2984" s="24" t="str">
        <x:v>2026-08</x:v>
      </x:c>
      <x:c r="G2984" s="30" t="n">
        <x:v>46254</x:v>
      </x:c>
      <x:c r="H2984" s="32" t="n">
        <x:v>770000</x:v>
      </x:c>
      <x:c r="I2984" s="32"/>
      <x:c r="J2984" s="32" t="n">
        <x:v>836000</x:v>
      </x:c>
      <x:c r="K2984" s="30"/>
      <x:c r="L2984" s="24" t="str"/>
      <x:c r="M2984" s="31" t="n">
        <x:f>IF(AND(N2984="미수",G2984&lt;&gt;"",TODAY()&gt;G2984),TODAY()-G2984,0)</x:f>
        <x:v>0</x:v>
      </x:c>
      <x:c r="N2984" s="24" t="str">
        <x:f>IF(J2984&gt;0,"미수",IF(AND(H2984&gt;0,I2984&gt;=H2984),"완납","미확인"))</x:f>
        <x:v>미수</x:v>
      </x:c>
      <x:c r="O2984" s="31" t="n">
        <x:v>31</x:v>
      </x:c>
    </x:row>
    <x:row r="2985" ht="17.25" customHeight="1">
      <x:c r="A2985" s="24" t="str">
        <x:v>PR-B-37부6628-202607</x:v>
      </x:c>
      <x:c r="B2985" s="24" t="str">
        <x:v>프라임구독</x:v>
      </x:c>
      <x:c r="C2985" s="24" t="str">
        <x:v>PR-C-37부6628-1-20231031-134</x:v>
      </x:c>
      <x:c r="D2985" s="24" t="str">
        <x:v>37부6628</x:v>
      </x:c>
      <x:c r="E2985" s="24" t="str">
        <x:v>배초롱</x:v>
      </x:c>
      <x:c r="F2985" s="24" t="str">
        <x:v>2026-07</x:v>
      </x:c>
      <x:c r="G2985" s="30" t="n">
        <x:v>46223</x:v>
      </x:c>
      <x:c r="H2985" s="32" t="n">
        <x:v>770000</x:v>
      </x:c>
      <x:c r="I2985" s="32" t="n">
        <x:v>770000</x:v>
      </x:c>
      <x:c r="J2985" s="32" t="n">
        <x:v>66000</x:v>
      </x:c>
      <x:c r="K2985" s="30" t="n">
        <x:v>46224</x:v>
      </x:c>
      <x:c r="L2985" s="24" t="str">
        <x:v>입금</x:v>
      </x:c>
      <x:c r="M2985" s="31" t="n">
        <x:f>IF(AND(N2985="미수",G2985&lt;&gt;"",TODAY()&gt;G2985),TODAY()-G2985,0)</x:f>
        <x:v>26</x:v>
      </x:c>
      <x:c r="N2985" s="24" t="str">
        <x:f>IF(J2985&gt;0,"미수",IF(AND(H2985&gt;0,I2985&gt;=H2985),"완납","미확인"))</x:f>
        <x:v>미수</x:v>
      </x:c>
      <x:c r="O2985" s="31" t="n">
        <x:v>31</x:v>
      </x:c>
    </x:row>
    <x:row r="2986" ht="17.25" customHeight="1">
      <x:c r="A2986" s="24" t="str">
        <x:v>PR-B-37부6628-202606</x:v>
      </x:c>
      <x:c r="B2986" s="24" t="str">
        <x:v>프라임구독</x:v>
      </x:c>
      <x:c r="C2986" s="24" t="str">
        <x:v>PR-C-37부6628-1-20231031-134</x:v>
      </x:c>
      <x:c r="D2986" s="24" t="str">
        <x:v>37부6628</x:v>
      </x:c>
      <x:c r="E2986" s="24" t="str">
        <x:v>배초롱</x:v>
      </x:c>
      <x:c r="F2986" s="24" t="str">
        <x:v>2026-06</x:v>
      </x:c>
      <x:c r="G2986" s="30" t="n">
        <x:v>46193</x:v>
      </x:c>
      <x:c r="H2986" s="32" t="n">
        <x:v>770000</x:v>
      </x:c>
      <x:c r="I2986" s="32" t="n">
        <x:v>770000</x:v>
      </x:c>
      <x:c r="J2986" s="32" t="n">
        <x:v>66000</x:v>
      </x:c>
      <x:c r="K2986" s="30" t="n">
        <x:v>46192</x:v>
      </x:c>
      <x:c r="L2986" s="24" t="str">
        <x:v>입금</x:v>
      </x:c>
      <x:c r="M2986" s="31" t="n">
        <x:f>IF(AND(N2986="미수",G2986&lt;&gt;"",TODAY()&gt;G2986),TODAY()-G2986,0)</x:f>
        <x:v>56</x:v>
      </x:c>
      <x:c r="N2986" s="24" t="str">
        <x:f>IF(J2986&gt;0,"미수",IF(AND(H2986&gt;0,I2986&gt;=H2986),"완납","미확인"))</x:f>
        <x:v>미수</x:v>
      </x:c>
      <x:c r="O2986" s="31" t="n">
        <x:v>31</x:v>
      </x:c>
    </x:row>
    <x:row r="2987" ht="17.25" customHeight="1">
      <x:c r="A2987" s="24" t="str">
        <x:v>PR-B-37부6628-202605</x:v>
      </x:c>
      <x:c r="B2987" s="24" t="str">
        <x:v>프라임구독</x:v>
      </x:c>
      <x:c r="C2987" s="24" t="str">
        <x:v>PR-C-37부6628-1-20231031-134</x:v>
      </x:c>
      <x:c r="D2987" s="24" t="str">
        <x:v>37부6628</x:v>
      </x:c>
      <x:c r="E2987" s="24" t="str">
        <x:v>배초롱</x:v>
      </x:c>
      <x:c r="F2987" s="24" t="str">
        <x:v>2026-05</x:v>
      </x:c>
      <x:c r="G2987" s="30" t="n">
        <x:v>46162</x:v>
      </x:c>
      <x:c r="H2987" s="32" t="n">
        <x:v>770000</x:v>
      </x:c>
      <x:c r="I2987" s="32" t="n">
        <x:v>770000</x:v>
      </x:c>
      <x:c r="J2987" s="32" t="n">
        <x:v>66000</x:v>
      </x:c>
      <x:c r="K2987" s="30" t="n">
        <x:v>46162</x:v>
      </x:c>
      <x:c r="L2987" s="24" t="str">
        <x:v>입금</x:v>
      </x:c>
      <x:c r="M2987" s="31" t="n">
        <x:f>IF(AND(N2987="미수",G2987&lt;&gt;"",TODAY()&gt;G2987),TODAY()-G2987,0)</x:f>
        <x:v>87</x:v>
      </x:c>
      <x:c r="N2987" s="24" t="str">
        <x:f>IF(J2987&gt;0,"미수",IF(AND(H2987&gt;0,I2987&gt;=H2987),"완납","미확인"))</x:f>
        <x:v>미수</x:v>
      </x:c>
      <x:c r="O2987" s="31" t="n">
        <x:v>31</x:v>
      </x:c>
    </x:row>
    <x:row r="2988" ht="17.25" customHeight="1">
      <x:c r="A2988" s="24" t="str">
        <x:v>PR-B-37부6628-202604</x:v>
      </x:c>
      <x:c r="B2988" s="24" t="str">
        <x:v>프라임구독</x:v>
      </x:c>
      <x:c r="C2988" s="24" t="str">
        <x:v>PR-C-37부6628-1-20231031-134</x:v>
      </x:c>
      <x:c r="D2988" s="24" t="str">
        <x:v>37부6628</x:v>
      </x:c>
      <x:c r="E2988" s="24" t="str">
        <x:v>배초롱</x:v>
      </x:c>
      <x:c r="F2988" s="24" t="str">
        <x:v>2026-04</x:v>
      </x:c>
      <x:c r="G2988" s="30" t="n">
        <x:v>46132</x:v>
      </x:c>
      <x:c r="H2988" s="32" t="n">
        <x:v>770000</x:v>
      </x:c>
      <x:c r="I2988" s="32" t="n">
        <x:v>770000</x:v>
      </x:c>
      <x:c r="J2988" s="32" t="n">
        <x:v>66000</x:v>
      </x:c>
      <x:c r="K2988" s="30" t="n">
        <x:v>46132</x:v>
      </x:c>
      <x:c r="L2988" s="24" t="str">
        <x:v>입금</x:v>
      </x:c>
      <x:c r="M2988" s="31" t="n">
        <x:f>IF(AND(N2988="미수",G2988&lt;&gt;"",TODAY()&gt;G2988),TODAY()-G2988,0)</x:f>
        <x:v>117</x:v>
      </x:c>
      <x:c r="N2988" s="24" t="str">
        <x:f>IF(J2988&gt;0,"미수",IF(AND(H2988&gt;0,I2988&gt;=H2988),"완납","미확인"))</x:f>
        <x:v>미수</x:v>
      </x:c>
      <x:c r="O2988" s="31" t="n">
        <x:v>31</x:v>
      </x:c>
    </x:row>
    <x:row r="2989" ht="17.25" customHeight="1">
      <x:c r="A2989" s="24" t="str">
        <x:v>PR-B-37부6628-202603</x:v>
      </x:c>
      <x:c r="B2989" s="24" t="str">
        <x:v>프라임구독</x:v>
      </x:c>
      <x:c r="C2989" s="24" t="str">
        <x:v>PR-C-37부6628-1-20231031-134</x:v>
      </x:c>
      <x:c r="D2989" s="24" t="str">
        <x:v>37부6628</x:v>
      </x:c>
      <x:c r="E2989" s="24" t="str">
        <x:v>배초롱</x:v>
      </x:c>
      <x:c r="F2989" s="24" t="str">
        <x:v>2026-03</x:v>
      </x:c>
      <x:c r="G2989" s="30" t="n">
        <x:v>46101</x:v>
      </x:c>
      <x:c r="H2989" s="32" t="n">
        <x:v>770000</x:v>
      </x:c>
      <x:c r="I2989" s="32" t="n">
        <x:v>770000</x:v>
      </x:c>
      <x:c r="J2989" s="32" t="n">
        <x:v>66000</x:v>
      </x:c>
      <x:c r="K2989" s="30" t="n">
        <x:v>46101</x:v>
      </x:c>
      <x:c r="L2989" s="24" t="str">
        <x:v>입금</x:v>
      </x:c>
      <x:c r="M2989" s="31" t="n">
        <x:f>IF(AND(N2989="미수",G2989&lt;&gt;"",TODAY()&gt;G2989),TODAY()-G2989,0)</x:f>
        <x:v>148</x:v>
      </x:c>
      <x:c r="N2989" s="24" t="str">
        <x:f>IF(J2989&gt;0,"미수",IF(AND(H2989&gt;0,I2989&gt;=H2989),"완납","미확인"))</x:f>
        <x:v>미수</x:v>
      </x:c>
      <x:c r="O2989" s="31" t="n">
        <x:v>31</x:v>
      </x:c>
    </x:row>
    <x:row r="2990" ht="17.25" customHeight="1">
      <x:c r="A2990" s="24" t="str">
        <x:v>PR-B-37부6628-202602</x:v>
      </x:c>
      <x:c r="B2990" s="24" t="str">
        <x:v>프라임구독</x:v>
      </x:c>
      <x:c r="C2990" s="24" t="str">
        <x:v>PR-C-37부6628-1-20231031-134</x:v>
      </x:c>
      <x:c r="D2990" s="24" t="str">
        <x:v>37부6628</x:v>
      </x:c>
      <x:c r="E2990" s="24" t="str">
        <x:v>배초롱</x:v>
      </x:c>
      <x:c r="F2990" s="24" t="str">
        <x:v>2026-02</x:v>
      </x:c>
      <x:c r="G2990" s="30" t="n">
        <x:v>46073</x:v>
      </x:c>
      <x:c r="H2990" s="32" t="n">
        <x:v>770000</x:v>
      </x:c>
      <x:c r="I2990" s="32" t="n">
        <x:v>770000</x:v>
      </x:c>
      <x:c r="J2990" s="32" t="n">
        <x:v>66000</x:v>
      </x:c>
      <x:c r="K2990" s="30" t="n">
        <x:v>46068</x:v>
      </x:c>
      <x:c r="L2990" s="24" t="str">
        <x:v>입금</x:v>
      </x:c>
      <x:c r="M2990" s="31" t="n">
        <x:f>IF(AND(N2990="미수",G2990&lt;&gt;"",TODAY()&gt;G2990),TODAY()-G2990,0)</x:f>
        <x:v>176</x:v>
      </x:c>
      <x:c r="N2990" s="24" t="str">
        <x:f>IF(J2990&gt;0,"미수",IF(AND(H2990&gt;0,I2990&gt;=H2990),"완납","미확인"))</x:f>
        <x:v>미수</x:v>
      </x:c>
      <x:c r="O2990" s="31" t="n">
        <x:v>31</x:v>
      </x:c>
    </x:row>
    <x:row r="2991" ht="17.25" customHeight="1">
      <x:c r="A2991" s="24" t="str">
        <x:v>PR-B-37부6628-202601</x:v>
      </x:c>
      <x:c r="B2991" s="24" t="str">
        <x:v>프라임구독</x:v>
      </x:c>
      <x:c r="C2991" s="24" t="str">
        <x:v>PR-C-37부6628-1-20231031-134</x:v>
      </x:c>
      <x:c r="D2991" s="24" t="str">
        <x:v>37부6628</x:v>
      </x:c>
      <x:c r="E2991" s="24" t="str">
        <x:v>배초롱</x:v>
      </x:c>
      <x:c r="F2991" s="24" t="str">
        <x:v>2026-01</x:v>
      </x:c>
      <x:c r="G2991" s="30" t="n">
        <x:v>46042</x:v>
      </x:c>
      <x:c r="H2991" s="32" t="n">
        <x:v>770000</x:v>
      </x:c>
      <x:c r="I2991" s="32" t="n">
        <x:v>770000</x:v>
      </x:c>
      <x:c r="J2991" s="32" t="n">
        <x:v>66000</x:v>
      </x:c>
      <x:c r="K2991" s="30" t="n">
        <x:v>46042</x:v>
      </x:c>
      <x:c r="L2991" s="24" t="str">
        <x:v>입금</x:v>
      </x:c>
      <x:c r="M2991" s="31" t="n">
        <x:f>IF(AND(N2991="미수",G2991&lt;&gt;"",TODAY()&gt;G2991),TODAY()-G2991,0)</x:f>
        <x:v>207</x:v>
      </x:c>
      <x:c r="N2991" s="24" t="str">
        <x:f>IF(J2991&gt;0,"미수",IF(AND(H2991&gt;0,I2991&gt;=H2991),"완납","미확인"))</x:f>
        <x:v>미수</x:v>
      </x:c>
      <x:c r="O2991" s="31" t="n">
        <x:v>31</x:v>
      </x:c>
    </x:row>
    <x:row r="2992" ht="17.25" customHeight="1">
      <x:c r="A2992" s="24" t="str">
        <x:v>PR-B-37부6628-202512</x:v>
      </x:c>
      <x:c r="B2992" s="24" t="str">
        <x:v>프라임구독</x:v>
      </x:c>
      <x:c r="C2992" s="24" t="str">
        <x:v>PR-C-37부6628-1-20231031-134</x:v>
      </x:c>
      <x:c r="D2992" s="24" t="str">
        <x:v>37부6628</x:v>
      </x:c>
      <x:c r="E2992" s="24" t="str">
        <x:v>배초롱</x:v>
      </x:c>
      <x:c r="F2992" s="24" t="str">
        <x:v>2025-12</x:v>
      </x:c>
      <x:c r="G2992" s="30" t="n">
        <x:v>46011</x:v>
      </x:c>
      <x:c r="H2992" s="32" t="n">
        <x:v>770000</x:v>
      </x:c>
      <x:c r="I2992" s="32" t="n">
        <x:v>770000</x:v>
      </x:c>
      <x:c r="J2992" s="32" t="n">
        <x:v>66000</x:v>
      </x:c>
      <x:c r="K2992" s="30" t="n">
        <x:v>46010</x:v>
      </x:c>
      <x:c r="L2992" s="24" t="str">
        <x:v>입금</x:v>
      </x:c>
      <x:c r="M2992" s="31" t="n">
        <x:f>IF(AND(N2992="미수",G2992&lt;&gt;"",TODAY()&gt;G2992),TODAY()-G2992,0)</x:f>
        <x:v>238</x:v>
      </x:c>
      <x:c r="N2992" s="24" t="str">
        <x:f>IF(J2992&gt;0,"미수",IF(AND(H2992&gt;0,I2992&gt;=H2992),"완납","미확인"))</x:f>
        <x:v>미수</x:v>
      </x:c>
      <x:c r="O2992" s="31" t="n">
        <x:v>31</x:v>
      </x:c>
    </x:row>
    <x:row r="2993" ht="17.25" customHeight="1">
      <x:c r="A2993" s="24" t="str">
        <x:v>PR-B-37부6628-202511</x:v>
      </x:c>
      <x:c r="B2993" s="24" t="str">
        <x:v>프라임구독</x:v>
      </x:c>
      <x:c r="C2993" s="24" t="str">
        <x:v>PR-C-37부6628-1-20231031-134</x:v>
      </x:c>
      <x:c r="D2993" s="24" t="str">
        <x:v>37부6628</x:v>
      </x:c>
      <x:c r="E2993" s="24" t="str">
        <x:v>배초롱</x:v>
      </x:c>
      <x:c r="F2993" s="24" t="str">
        <x:v>2025-11</x:v>
      </x:c>
      <x:c r="G2993" s="30" t="n">
        <x:v>45981</x:v>
      </x:c>
      <x:c r="H2993" s="32" t="n">
        <x:v>770000</x:v>
      </x:c>
      <x:c r="I2993" s="32" t="n">
        <x:v>770000</x:v>
      </x:c>
      <x:c r="J2993" s="32" t="n">
        <x:v>66000</x:v>
      </x:c>
      <x:c r="K2993" s="30" t="n">
        <x:v>45982</x:v>
      </x:c>
      <x:c r="L2993" s="24" t="str">
        <x:v>입금</x:v>
      </x:c>
      <x:c r="M2993" s="31" t="n">
        <x:f>IF(AND(N2993="미수",G2993&lt;&gt;"",TODAY()&gt;G2993),TODAY()-G2993,0)</x:f>
        <x:v>268</x:v>
      </x:c>
      <x:c r="N2993" s="24" t="str">
        <x:f>IF(J2993&gt;0,"미수",IF(AND(H2993&gt;0,I2993&gt;=H2993),"완납","미확인"))</x:f>
        <x:v>미수</x:v>
      </x:c>
      <x:c r="O2993" s="31" t="n">
        <x:v>31</x:v>
      </x:c>
    </x:row>
    <x:row r="2994" ht="17.25" customHeight="1">
      <x:c r="A2994" s="24" t="str">
        <x:v>PR-B-37부6628-202510</x:v>
      </x:c>
      <x:c r="B2994" s="24" t="str">
        <x:v>프라임구독</x:v>
      </x:c>
      <x:c r="C2994" s="24" t="str">
        <x:v>PR-C-37부6628-1-20231031-134</x:v>
      </x:c>
      <x:c r="D2994" s="24" t="str">
        <x:v>37부6628</x:v>
      </x:c>
      <x:c r="E2994" s="24" t="str">
        <x:v>배초롱</x:v>
      </x:c>
      <x:c r="F2994" s="24" t="str">
        <x:v>2025-10</x:v>
      </x:c>
      <x:c r="G2994" s="30" t="n">
        <x:v>45950</x:v>
      </x:c>
      <x:c r="H2994" s="32" t="n">
        <x:v>770000</x:v>
      </x:c>
      <x:c r="I2994" s="32" t="n">
        <x:v>770000</x:v>
      </x:c>
      <x:c r="J2994" s="32" t="n">
        <x:v>66000</x:v>
      </x:c>
      <x:c r="K2994" s="30" t="n">
        <x:v>45951</x:v>
      </x:c>
      <x:c r="L2994" s="24" t="str">
        <x:v>입금</x:v>
      </x:c>
      <x:c r="M2994" s="31" t="n">
        <x:f>IF(AND(N2994="미수",G2994&lt;&gt;"",TODAY()&gt;G2994),TODAY()-G2994,0)</x:f>
        <x:v>299</x:v>
      </x:c>
      <x:c r="N2994" s="24" t="str">
        <x:f>IF(J2994&gt;0,"미수",IF(AND(H2994&gt;0,I2994&gt;=H2994),"완납","미확인"))</x:f>
        <x:v>미수</x:v>
      </x:c>
      <x:c r="O2994" s="31" t="n">
        <x:v>31</x:v>
      </x:c>
    </x:row>
    <x:row r="2995" ht="17.25" customHeight="1">
      <x:c r="A2995" s="24" t="str">
        <x:v>PR-B-37부6628-202509</x:v>
      </x:c>
      <x:c r="B2995" s="24" t="str">
        <x:v>프라임구독</x:v>
      </x:c>
      <x:c r="C2995" s="24" t="str">
        <x:v>PR-C-37부6628-1-20231031-134</x:v>
      </x:c>
      <x:c r="D2995" s="24" t="str">
        <x:v>37부6628</x:v>
      </x:c>
      <x:c r="E2995" s="24" t="str">
        <x:v>배초롱</x:v>
      </x:c>
      <x:c r="F2995" s="24" t="str">
        <x:v>2025-09</x:v>
      </x:c>
      <x:c r="G2995" s="30" t="n">
        <x:v>45920</x:v>
      </x:c>
      <x:c r="H2995" s="32" t="n">
        <x:v>770000</x:v>
      </x:c>
      <x:c r="I2995" s="32" t="n">
        <x:v>770000</x:v>
      </x:c>
      <x:c r="J2995" s="32" t="n">
        <x:v>66000</x:v>
      </x:c>
      <x:c r="K2995" s="30" t="n">
        <x:v>45922</x:v>
      </x:c>
      <x:c r="L2995" s="24" t="str">
        <x:v>입금</x:v>
      </x:c>
      <x:c r="M2995" s="31" t="n">
        <x:f>IF(AND(N2995="미수",G2995&lt;&gt;"",TODAY()&gt;G2995),TODAY()-G2995,0)</x:f>
        <x:v>329</x:v>
      </x:c>
      <x:c r="N2995" s="24" t="str">
        <x:f>IF(J2995&gt;0,"미수",IF(AND(H2995&gt;0,I2995&gt;=H2995),"완납","미확인"))</x:f>
        <x:v>미수</x:v>
      </x:c>
      <x:c r="O2995" s="31" t="n">
        <x:v>31</x:v>
      </x:c>
    </x:row>
    <x:row r="2996" ht="17.25" customHeight="1">
      <x:c r="A2996" s="24" t="str">
        <x:v>PR-B-37부6628-202508</x:v>
      </x:c>
      <x:c r="B2996" s="24" t="str">
        <x:v>프라임구독</x:v>
      </x:c>
      <x:c r="C2996" s="24" t="str">
        <x:v>PR-C-37부6628-1-20231031-134</x:v>
      </x:c>
      <x:c r="D2996" s="24" t="str">
        <x:v>37부6628</x:v>
      </x:c>
      <x:c r="E2996" s="24" t="str">
        <x:v>배초롱</x:v>
      </x:c>
      <x:c r="F2996" s="24" t="str">
        <x:v>2025-08</x:v>
      </x:c>
      <x:c r="G2996" s="30" t="n">
        <x:v>45889</x:v>
      </x:c>
      <x:c r="H2996" s="32" t="n">
        <x:v>770000</x:v>
      </x:c>
      <x:c r="I2996" s="32" t="n">
        <x:v>770000</x:v>
      </x:c>
      <x:c r="J2996" s="32" t="n">
        <x:v>66000</x:v>
      </x:c>
      <x:c r="K2996" s="30" t="n">
        <x:v>45890</x:v>
      </x:c>
      <x:c r="L2996" s="24" t="str">
        <x:v>입금</x:v>
      </x:c>
      <x:c r="M2996" s="31" t="n">
        <x:f>IF(AND(N2996="미수",G2996&lt;&gt;"",TODAY()&gt;G2996),TODAY()-G2996,0)</x:f>
        <x:v>360</x:v>
      </x:c>
      <x:c r="N2996" s="24" t="str">
        <x:f>IF(J2996&gt;0,"미수",IF(AND(H2996&gt;0,I2996&gt;=H2996),"완납","미확인"))</x:f>
        <x:v>미수</x:v>
      </x:c>
      <x:c r="O2996" s="31" t="n">
        <x:v>31</x:v>
      </x:c>
    </x:row>
    <x:row r="2997" ht="17.25" customHeight="1">
      <x:c r="A2997" s="24" t="str">
        <x:v>PR-B-37부6628-202507</x:v>
      </x:c>
      <x:c r="B2997" s="24" t="str">
        <x:v>프라임구독</x:v>
      </x:c>
      <x:c r="C2997" s="24" t="str">
        <x:v>PR-C-37부6628-1-20231031-134</x:v>
      </x:c>
      <x:c r="D2997" s="24" t="str">
        <x:v>37부6628</x:v>
      </x:c>
      <x:c r="E2997" s="24" t="str">
        <x:v>배초롱</x:v>
      </x:c>
      <x:c r="F2997" s="24" t="str">
        <x:v>2025-07</x:v>
      </x:c>
      <x:c r="G2997" s="30" t="n">
        <x:v>45858</x:v>
      </x:c>
      <x:c r="H2997" s="32" t="n">
        <x:v>770000</x:v>
      </x:c>
      <x:c r="I2997" s="32" t="n">
        <x:v>770000</x:v>
      </x:c>
      <x:c r="J2997" s="32" t="n">
        <x:v>66000</x:v>
      </x:c>
      <x:c r="K2997" s="30" t="n">
        <x:v>45860</x:v>
      </x:c>
      <x:c r="L2997" s="24" t="str">
        <x:v>입금</x:v>
      </x:c>
      <x:c r="M2997" s="31" t="n">
        <x:f>IF(AND(N2997="미수",G2997&lt;&gt;"",TODAY()&gt;G2997),TODAY()-G2997,0)</x:f>
        <x:v>391</x:v>
      </x:c>
      <x:c r="N2997" s="24" t="str">
        <x:f>IF(J2997&gt;0,"미수",IF(AND(H2997&gt;0,I2997&gt;=H2997),"완납","미확인"))</x:f>
        <x:v>미수</x:v>
      </x:c>
      <x:c r="O2997" s="31" t="n">
        <x:v>31</x:v>
      </x:c>
    </x:row>
    <x:row r="2998" ht="17.25" customHeight="1">
      <x:c r="A2998" s="24" t="str">
        <x:v>PR-B-37부6628-202506</x:v>
      </x:c>
      <x:c r="B2998" s="24" t="str">
        <x:v>프라임구독</x:v>
      </x:c>
      <x:c r="C2998" s="24" t="str">
        <x:v>PR-C-37부6628-1-20231031-134</x:v>
      </x:c>
      <x:c r="D2998" s="24" t="str">
        <x:v>37부6628</x:v>
      </x:c>
      <x:c r="E2998" s="24" t="str">
        <x:v>배초롱</x:v>
      </x:c>
      <x:c r="F2998" s="24" t="str">
        <x:v>2025-06</x:v>
      </x:c>
      <x:c r="G2998" s="30" t="n">
        <x:v>45828</x:v>
      </x:c>
      <x:c r="H2998" s="32" t="n">
        <x:v>770000</x:v>
      </x:c>
      <x:c r="I2998" s="32" t="n">
        <x:v>770000</x:v>
      </x:c>
      <x:c r="J2998" s="32" t="n">
        <x:v>66000</x:v>
      </x:c>
      <x:c r="K2998" s="30" t="n">
        <x:v>45828</x:v>
      </x:c>
      <x:c r="L2998" s="24" t="str">
        <x:v>입금</x:v>
      </x:c>
      <x:c r="M2998" s="31" t="n">
        <x:f>IF(AND(N2998="미수",G2998&lt;&gt;"",TODAY()&gt;G2998),TODAY()-G2998,0)</x:f>
        <x:v>421</x:v>
      </x:c>
      <x:c r="N2998" s="24" t="str">
        <x:f>IF(J2998&gt;0,"미수",IF(AND(H2998&gt;0,I2998&gt;=H2998),"완납","미확인"))</x:f>
        <x:v>미수</x:v>
      </x:c>
      <x:c r="O2998" s="31" t="n">
        <x:v>31</x:v>
      </x:c>
    </x:row>
    <x:row r="2999" ht="17.25" customHeight="1">
      <x:c r="A2999" s="24" t="str">
        <x:v>PR-B-37부6628-202505</x:v>
      </x:c>
      <x:c r="B2999" s="24" t="str">
        <x:v>프라임구독</x:v>
      </x:c>
      <x:c r="C2999" s="24" t="str">
        <x:v>PR-C-37부6628-1-20231031-134</x:v>
      </x:c>
      <x:c r="D2999" s="24" t="str">
        <x:v>37부6628</x:v>
      </x:c>
      <x:c r="E2999" s="24" t="str">
        <x:v>배초롱</x:v>
      </x:c>
      <x:c r="F2999" s="24" t="str">
        <x:v>2025-05</x:v>
      </x:c>
      <x:c r="G2999" s="30" t="n">
        <x:v>45797</x:v>
      </x:c>
      <x:c r="H2999" s="32" t="n">
        <x:v>770000</x:v>
      </x:c>
      <x:c r="I2999" s="32" t="n">
        <x:v>770000</x:v>
      </x:c>
      <x:c r="J2999" s="32" t="n">
        <x:v>66000</x:v>
      </x:c>
      <x:c r="K2999" s="30" t="n">
        <x:v>45797</x:v>
      </x:c>
      <x:c r="L2999" s="24" t="str">
        <x:v>입금</x:v>
      </x:c>
      <x:c r="M2999" s="31" t="n">
        <x:f>IF(AND(N2999="미수",G2999&lt;&gt;"",TODAY()&gt;G2999),TODAY()-G2999,0)</x:f>
        <x:v>452</x:v>
      </x:c>
      <x:c r="N2999" s="24" t="str">
        <x:f>IF(J2999&gt;0,"미수",IF(AND(H2999&gt;0,I2999&gt;=H2999),"완납","미확인"))</x:f>
        <x:v>미수</x:v>
      </x:c>
      <x:c r="O2999" s="31" t="n">
        <x:v>31</x:v>
      </x:c>
    </x:row>
    <x:row r="3000" ht="17.25" customHeight="1">
      <x:c r="A3000" s="24" t="str">
        <x:v>PR-B-37부6628-202504</x:v>
      </x:c>
      <x:c r="B3000" s="24" t="str">
        <x:v>프라임구독</x:v>
      </x:c>
      <x:c r="C3000" s="24" t="str">
        <x:v>PR-C-37부6628-1-20231031-134</x:v>
      </x:c>
      <x:c r="D3000" s="24" t="str">
        <x:v>37부6628</x:v>
      </x:c>
      <x:c r="E3000" s="24" t="str">
        <x:v>배초롱</x:v>
      </x:c>
      <x:c r="F3000" s="24" t="str">
        <x:v>2025-04</x:v>
      </x:c>
      <x:c r="G3000" s="30" t="n">
        <x:v>45767</x:v>
      </x:c>
      <x:c r="H3000" s="32" t="n">
        <x:v>770000</x:v>
      </x:c>
      <x:c r="I3000" s="32" t="n">
        <x:v>770000</x:v>
      </x:c>
      <x:c r="J3000" s="32" t="n">
        <x:v>66000</x:v>
      </x:c>
      <x:c r="K3000" s="30" t="n">
        <x:v>45765</x:v>
      </x:c>
      <x:c r="L3000" s="24" t="str">
        <x:v>입금</x:v>
      </x:c>
      <x:c r="M3000" s="31" t="n">
        <x:f>IF(AND(N3000="미수",G3000&lt;&gt;"",TODAY()&gt;G3000),TODAY()-G3000,0)</x:f>
        <x:v>482</x:v>
      </x:c>
      <x:c r="N3000" s="24" t="str">
        <x:f>IF(J3000&gt;0,"미수",IF(AND(H3000&gt;0,I3000&gt;=H3000),"완납","미확인"))</x:f>
        <x:v>미수</x:v>
      </x:c>
      <x:c r="O3000" s="31" t="n">
        <x:v>31</x:v>
      </x:c>
    </x:row>
    <x:row r="3001" ht="17.25" customHeight="1">
      <x:c r="A3001" s="24" t="str">
        <x:v>PR-B-37부6628-202503</x:v>
      </x:c>
      <x:c r="B3001" s="24" t="str">
        <x:v>프라임구독</x:v>
      </x:c>
      <x:c r="C3001" s="24" t="str">
        <x:v>PR-C-37부6628-1-20231031-134</x:v>
      </x:c>
      <x:c r="D3001" s="24" t="str">
        <x:v>37부6628</x:v>
      </x:c>
      <x:c r="E3001" s="24" t="str">
        <x:v>배초롱</x:v>
      </x:c>
      <x:c r="F3001" s="24" t="str">
        <x:v>2025-03</x:v>
      </x:c>
      <x:c r="G3001" s="30" t="n">
        <x:v>45736</x:v>
      </x:c>
      <x:c r="H3001" s="32" t="n">
        <x:v>770000</x:v>
      </x:c>
      <x:c r="I3001" s="32" t="n">
        <x:v>770000</x:v>
      </x:c>
      <x:c r="J3001" s="32" t="n">
        <x:v>66000</x:v>
      </x:c>
      <x:c r="K3001" s="30" t="n">
        <x:v>45737</x:v>
      </x:c>
      <x:c r="L3001" s="24" t="str">
        <x:v>입금</x:v>
      </x:c>
      <x:c r="M3001" s="31" t="n">
        <x:f>IF(AND(N3001="미수",G3001&lt;&gt;"",TODAY()&gt;G3001),TODAY()-G3001,0)</x:f>
        <x:v>513</x:v>
      </x:c>
      <x:c r="N3001" s="24" t="str">
        <x:f>IF(J3001&gt;0,"미수",IF(AND(H3001&gt;0,I3001&gt;=H3001),"완납","미확인"))</x:f>
        <x:v>미수</x:v>
      </x:c>
      <x:c r="O3001" s="31" t="n">
        <x:v>31</x:v>
      </x:c>
    </x:row>
    <x:row r="3002" ht="17.25" customHeight="1">
      <x:c r="A3002" s="24" t="str">
        <x:v>PR-B-37부6628-202502</x:v>
      </x:c>
      <x:c r="B3002" s="24" t="str">
        <x:v>프라임구독</x:v>
      </x:c>
      <x:c r="C3002" s="24" t="str">
        <x:v>PR-C-37부6628-1-20231031-134</x:v>
      </x:c>
      <x:c r="D3002" s="24" t="str">
        <x:v>37부6628</x:v>
      </x:c>
      <x:c r="E3002" s="24" t="str">
        <x:v>배초롱</x:v>
      </x:c>
      <x:c r="F3002" s="24" t="str">
        <x:v>2025-02</x:v>
      </x:c>
      <x:c r="G3002" s="30" t="n">
        <x:v>45708</x:v>
      </x:c>
      <x:c r="H3002" s="32" t="n">
        <x:v>770000</x:v>
      </x:c>
      <x:c r="I3002" s="32" t="n">
        <x:v>704000</x:v>
      </x:c>
      <x:c r="J3002" s="32" t="n">
        <x:v>66000</x:v>
      </x:c>
      <x:c r="K3002" s="30" t="n">
        <x:v>45708</x:v>
      </x:c>
      <x:c r="L3002" s="24" t="str">
        <x:v>입금</x:v>
      </x:c>
      <x:c r="M3002" s="31" t="n">
        <x:f>IF(AND(N3002="미수",G3002&lt;&gt;"",TODAY()&gt;G3002),TODAY()-G3002,0)</x:f>
        <x:v>541</x:v>
      </x:c>
      <x:c r="N3002" s="24" t="str">
        <x:f>IF(J3002&gt;0,"미수",IF(AND(H3002&gt;0,I3002&gt;=H3002),"완납","미확인"))</x:f>
        <x:v>미수</x:v>
      </x:c>
      <x:c r="O3002" s="31" t="n">
        <x:v>31</x:v>
      </x:c>
    </x:row>
    <x:row r="3003" ht="17.25" customHeight="1">
      <x:c r="A3003" s="24" t="str">
        <x:v>PR-B-37부6628-202501</x:v>
      </x:c>
      <x:c r="B3003" s="24" t="str">
        <x:v>프라임구독</x:v>
      </x:c>
      <x:c r="C3003" s="24" t="str">
        <x:v>PR-C-37부6628-1-20231031-134</x:v>
      </x:c>
      <x:c r="D3003" s="24" t="str">
        <x:v>37부6628</x:v>
      </x:c>
      <x:c r="E3003" s="24" t="str">
        <x:v>배초롱</x:v>
      </x:c>
      <x:c r="F3003" s="24" t="str">
        <x:v>2025-01</x:v>
      </x:c>
      <x:c r="G3003" s="30" t="n">
        <x:v>45677</x:v>
      </x:c>
      <x:c r="H3003" s="32" t="n">
        <x:v>770000</x:v>
      </x:c>
      <x:c r="I3003" s="32" t="n">
        <x:v>770000</x:v>
      </x:c>
      <x:c r="J3003" s="32" t="n">
        <x:v>0</x:v>
      </x:c>
      <x:c r="K3003" s="30" t="n">
        <x:v>45678</x:v>
      </x:c>
      <x:c r="L3003" s="24" t="str">
        <x:v>입금</x:v>
      </x:c>
      <x:c r="M3003" s="31" t="n">
        <x:f>IF(AND(N3003="미수",G3003&lt;&gt;"",TODAY()&gt;G3003),TODAY()-G3003,0)</x:f>
        <x:v>0</x:v>
      </x:c>
      <x:c r="N3003" s="24" t="str">
        <x:f>IF(J3003&gt;0,"미수",IF(AND(H3003&gt;0,I3003&gt;=H3003),"완납","미확인"))</x:f>
        <x:v>완납</x:v>
      </x:c>
      <x:c r="O3003" s="31" t="n">
        <x:v>31</x:v>
      </x:c>
    </x:row>
    <x:row r="3004" ht="17.25" customHeight="1">
      <x:c r="A3004" s="24" t="str">
        <x:v>PR-B-37부6628-202412</x:v>
      </x:c>
      <x:c r="B3004" s="24" t="str">
        <x:v>프라임구독</x:v>
      </x:c>
      <x:c r="C3004" s="24" t="str">
        <x:v>PR-C-37부6628-1-20231031-134</x:v>
      </x:c>
      <x:c r="D3004" s="24" t="str">
        <x:v>37부6628</x:v>
      </x:c>
      <x:c r="E3004" s="24" t="str">
        <x:v>배초롱</x:v>
      </x:c>
      <x:c r="F3004" s="24" t="str">
        <x:v>2024-12</x:v>
      </x:c>
      <x:c r="G3004" s="30" t="n">
        <x:v>45646</x:v>
      </x:c>
      <x:c r="H3004" s="32" t="n">
        <x:v>770000</x:v>
      </x:c>
      <x:c r="I3004" s="32" t="n">
        <x:v>770000</x:v>
      </x:c>
      <x:c r="J3004" s="32" t="n">
        <x:v>0</x:v>
      </x:c>
      <x:c r="K3004" s="30" t="n">
        <x:v>45646</x:v>
      </x:c>
      <x:c r="L3004" s="24" t="str">
        <x:v>입금</x:v>
      </x:c>
      <x:c r="M3004" s="31" t="n">
        <x:f>IF(AND(N3004="미수",G3004&lt;&gt;"",TODAY()&gt;G3004),TODAY()-G3004,0)</x:f>
        <x:v>0</x:v>
      </x:c>
      <x:c r="N3004" s="24" t="str">
        <x:f>IF(J3004&gt;0,"미수",IF(AND(H3004&gt;0,I3004&gt;=H3004),"완납","미확인"))</x:f>
        <x:v>완납</x:v>
      </x:c>
      <x:c r="O3004" s="31" t="n">
        <x:v>31</x:v>
      </x:c>
    </x:row>
    <x:row r="3005" ht="17.25" customHeight="1">
      <x:c r="A3005" s="24" t="str">
        <x:v>PR-B-37부6628-202411</x:v>
      </x:c>
      <x:c r="B3005" s="24" t="str">
        <x:v>프라임구독</x:v>
      </x:c>
      <x:c r="C3005" s="24" t="str">
        <x:v>PR-C-37부6628-1-20231031-134</x:v>
      </x:c>
      <x:c r="D3005" s="24" t="str">
        <x:v>37부6628</x:v>
      </x:c>
      <x:c r="E3005" s="24" t="str">
        <x:v>배초롱</x:v>
      </x:c>
      <x:c r="F3005" s="24" t="str">
        <x:v>2024-11</x:v>
      </x:c>
      <x:c r="G3005" s="30" t="n">
        <x:v>45616</x:v>
      </x:c>
      <x:c r="H3005" s="32" t="n">
        <x:v>770000</x:v>
      </x:c>
      <x:c r="I3005" s="32" t="n">
        <x:v>770000</x:v>
      </x:c>
      <x:c r="J3005" s="32" t="n">
        <x:v>0</x:v>
      </x:c>
      <x:c r="K3005" s="30" t="n">
        <x:v>45616</x:v>
      </x:c>
      <x:c r="L3005" s="24" t="str">
        <x:v>입금</x:v>
      </x:c>
      <x:c r="M3005" s="31" t="n">
        <x:f>IF(AND(N3005="미수",G3005&lt;&gt;"",TODAY()&gt;G3005),TODAY()-G3005,0)</x:f>
        <x:v>0</x:v>
      </x:c>
      <x:c r="N3005" s="24" t="str">
        <x:f>IF(J3005&gt;0,"미수",IF(AND(H3005&gt;0,I3005&gt;=H3005),"완납","미확인"))</x:f>
        <x:v>완납</x:v>
      </x:c>
      <x:c r="O3005" s="31" t="n">
        <x:v>31</x:v>
      </x:c>
    </x:row>
    <x:row r="3006" ht="17.25" customHeight="1">
      <x:c r="A3006" s="24" t="str">
        <x:v>PR-B-37부6628-202410</x:v>
      </x:c>
      <x:c r="B3006" s="24" t="str">
        <x:v>프라임구독</x:v>
      </x:c>
      <x:c r="C3006" s="24" t="str">
        <x:v>PR-C-37부6628-1-20231031-134</x:v>
      </x:c>
      <x:c r="D3006" s="24" t="str">
        <x:v>37부6628</x:v>
      </x:c>
      <x:c r="E3006" s="24" t="str">
        <x:v>배초롱</x:v>
      </x:c>
      <x:c r="F3006" s="24" t="str">
        <x:v>2024-10</x:v>
      </x:c>
      <x:c r="G3006" s="30" t="n">
        <x:v>45585</x:v>
      </x:c>
      <x:c r="H3006" s="32" t="n">
        <x:v>770000</x:v>
      </x:c>
      <x:c r="I3006" s="32" t="n">
        <x:v>770000</x:v>
      </x:c>
      <x:c r="J3006" s="32" t="n">
        <x:v>0</x:v>
      </x:c>
      <x:c r="K3006" s="30" t="n">
        <x:v>45586</x:v>
      </x:c>
      <x:c r="L3006" s="24" t="str">
        <x:v>입금</x:v>
      </x:c>
      <x:c r="M3006" s="31" t="n">
        <x:f>IF(AND(N3006="미수",G3006&lt;&gt;"",TODAY()&gt;G3006),TODAY()-G3006,0)</x:f>
        <x:v>0</x:v>
      </x:c>
      <x:c r="N3006" s="24" t="str">
        <x:f>IF(J3006&gt;0,"미수",IF(AND(H3006&gt;0,I3006&gt;=H3006),"완납","미확인"))</x:f>
        <x:v>완납</x:v>
      </x:c>
      <x:c r="O3006" s="31" t="n">
        <x:v>31</x:v>
      </x:c>
    </x:row>
    <x:row r="3007" ht="17.25" customHeight="1">
      <x:c r="A3007" s="24" t="str">
        <x:v>PR-B-37부6628-202409</x:v>
      </x:c>
      <x:c r="B3007" s="24" t="str">
        <x:v>프라임구독</x:v>
      </x:c>
      <x:c r="C3007" s="24" t="str">
        <x:v>PR-C-37부6628-1-20231031-134</x:v>
      </x:c>
      <x:c r="D3007" s="24" t="str">
        <x:v>37부6628</x:v>
      </x:c>
      <x:c r="E3007" s="24" t="str">
        <x:v>배초롱</x:v>
      </x:c>
      <x:c r="F3007" s="24" t="str">
        <x:v>2024-09</x:v>
      </x:c>
      <x:c r="G3007" s="30" t="n">
        <x:v>45555</x:v>
      </x:c>
      <x:c r="H3007" s="32" t="n">
        <x:v>770000</x:v>
      </x:c>
      <x:c r="I3007" s="32" t="n">
        <x:v>770000</x:v>
      </x:c>
      <x:c r="J3007" s="32" t="n">
        <x:v>0</x:v>
      </x:c>
      <x:c r="K3007" s="30" t="n">
        <x:v>45556</x:v>
      </x:c>
      <x:c r="L3007" s="24" t="str">
        <x:v>입금</x:v>
      </x:c>
      <x:c r="M3007" s="31" t="n">
        <x:f>IF(AND(N3007="미수",G3007&lt;&gt;"",TODAY()&gt;G3007),TODAY()-G3007,0)</x:f>
        <x:v>0</x:v>
      </x:c>
      <x:c r="N3007" s="24" t="str">
        <x:f>IF(J3007&gt;0,"미수",IF(AND(H3007&gt;0,I3007&gt;=H3007),"완납","미확인"))</x:f>
        <x:v>완납</x:v>
      </x:c>
      <x:c r="O3007" s="31" t="n">
        <x:v>31</x:v>
      </x:c>
    </x:row>
    <x:row r="3008" ht="17.25" customHeight="1">
      <x:c r="A3008" s="24" t="str">
        <x:v>PR-B-37부6628-202408</x:v>
      </x:c>
      <x:c r="B3008" s="24" t="str">
        <x:v>프라임구독</x:v>
      </x:c>
      <x:c r="C3008" s="24" t="str">
        <x:v>PR-C-37부6628-1-20231031-134</x:v>
      </x:c>
      <x:c r="D3008" s="24" t="str">
        <x:v>37부6628</x:v>
      </x:c>
      <x:c r="E3008" s="24" t="str">
        <x:v>배초롱</x:v>
      </x:c>
      <x:c r="F3008" s="24" t="str">
        <x:v>2024-08</x:v>
      </x:c>
      <x:c r="G3008" s="30" t="n">
        <x:v>45524</x:v>
      </x:c>
      <x:c r="H3008" s="32" t="n">
        <x:v>770000</x:v>
      </x:c>
      <x:c r="I3008" s="32" t="n">
        <x:v>770000</x:v>
      </x:c>
      <x:c r="J3008" s="32" t="n">
        <x:v>0</x:v>
      </x:c>
      <x:c r="K3008" s="30" t="n">
        <x:v>45524</x:v>
      </x:c>
      <x:c r="L3008" s="24" t="str">
        <x:v>입금</x:v>
      </x:c>
      <x:c r="M3008" s="31" t="n">
        <x:f>IF(AND(N3008="미수",G3008&lt;&gt;"",TODAY()&gt;G3008),TODAY()-G3008,0)</x:f>
        <x:v>0</x:v>
      </x:c>
      <x:c r="N3008" s="24" t="str">
        <x:f>IF(J3008&gt;0,"미수",IF(AND(H3008&gt;0,I3008&gt;=H3008),"완납","미확인"))</x:f>
        <x:v>완납</x:v>
      </x:c>
      <x:c r="O3008" s="31" t="n">
        <x:v>31</x:v>
      </x:c>
    </x:row>
    <x:row r="3009" ht="17.25" customHeight="1">
      <x:c r="A3009" s="24" t="str">
        <x:v>PR-B-37부6628-202407</x:v>
      </x:c>
      <x:c r="B3009" s="24" t="str">
        <x:v>프라임구독</x:v>
      </x:c>
      <x:c r="C3009" s="24" t="str">
        <x:v>PR-C-37부6628-1-20231031-134</x:v>
      </x:c>
      <x:c r="D3009" s="24" t="str">
        <x:v>37부6628</x:v>
      </x:c>
      <x:c r="E3009" s="24" t="str">
        <x:v>배초롱</x:v>
      </x:c>
      <x:c r="F3009" s="24" t="str">
        <x:v>2024-07</x:v>
      </x:c>
      <x:c r="G3009" s="30" t="n">
        <x:v>45493</x:v>
      </x:c>
      <x:c r="H3009" s="32" t="n">
        <x:v>770000</x:v>
      </x:c>
      <x:c r="I3009" s="32" t="n">
        <x:v>770000</x:v>
      </x:c>
      <x:c r="J3009" s="32" t="n">
        <x:v>0</x:v>
      </x:c>
      <x:c r="K3009" s="30" t="n">
        <x:v>45496</x:v>
      </x:c>
      <x:c r="L3009" s="24" t="str">
        <x:v>입금</x:v>
      </x:c>
      <x:c r="M3009" s="31" t="n">
        <x:f>IF(AND(N3009="미수",G3009&lt;&gt;"",TODAY()&gt;G3009),TODAY()-G3009,0)</x:f>
        <x:v>0</x:v>
      </x:c>
      <x:c r="N3009" s="24" t="str">
        <x:f>IF(J3009&gt;0,"미수",IF(AND(H3009&gt;0,I3009&gt;=H3009),"완납","미확인"))</x:f>
        <x:v>완납</x:v>
      </x:c>
      <x:c r="O3009" s="31" t="n">
        <x:v>31</x:v>
      </x:c>
    </x:row>
    <x:row r="3010" ht="17.25" customHeight="1">
      <x:c r="A3010" s="24" t="str">
        <x:v>PR-B-37부6628-202406</x:v>
      </x:c>
      <x:c r="B3010" s="24" t="str">
        <x:v>프라임구독</x:v>
      </x:c>
      <x:c r="C3010" s="24" t="str">
        <x:v>PR-C-37부6628-1-20231031-134</x:v>
      </x:c>
      <x:c r="D3010" s="24" t="str">
        <x:v>37부6628</x:v>
      </x:c>
      <x:c r="E3010" s="24" t="str">
        <x:v>배초롱</x:v>
      </x:c>
      <x:c r="F3010" s="24" t="str">
        <x:v>2024-06</x:v>
      </x:c>
      <x:c r="G3010" s="30" t="n">
        <x:v>45463</x:v>
      </x:c>
      <x:c r="H3010" s="32" t="n">
        <x:v>770000</x:v>
      </x:c>
      <x:c r="I3010" s="32" t="n">
        <x:v>770000</x:v>
      </x:c>
      <x:c r="J3010" s="32" t="n">
        <x:v>0</x:v>
      </x:c>
      <x:c r="K3010" s="30" t="n">
        <x:v>45463</x:v>
      </x:c>
      <x:c r="L3010" s="24" t="str"/>
      <x:c r="M3010" s="31" t="n">
        <x:f>IF(AND(N3010="미수",G3010&lt;&gt;"",TODAY()&gt;G3010),TODAY()-G3010,0)</x:f>
        <x:v>0</x:v>
      </x:c>
      <x:c r="N3010" s="24" t="str">
        <x:f>IF(J3010&gt;0,"미수",IF(AND(H3010&gt;0,I3010&gt;=H3010),"완납","미확인"))</x:f>
        <x:v>완납</x:v>
      </x:c>
      <x:c r="O3010" s="31" t="n">
        <x:v>31</x:v>
      </x:c>
    </x:row>
    <x:row r="3011" ht="17.25" customHeight="1">
      <x:c r="A3011" s="24" t="str">
        <x:v>PR-B-37부6628-202405</x:v>
      </x:c>
      <x:c r="B3011" s="24" t="str">
        <x:v>프라임구독</x:v>
      </x:c>
      <x:c r="C3011" s="24" t="str">
        <x:v>PR-C-37부6628-1-20231031-134</x:v>
      </x:c>
      <x:c r="D3011" s="24" t="str">
        <x:v>37부6628</x:v>
      </x:c>
      <x:c r="E3011" s="24" t="str">
        <x:v>배초롱</x:v>
      </x:c>
      <x:c r="F3011" s="24" t="str">
        <x:v>2024-05</x:v>
      </x:c>
      <x:c r="G3011" s="30" t="n">
        <x:v>45432</x:v>
      </x:c>
      <x:c r="H3011" s="32" t="n">
        <x:v>770000</x:v>
      </x:c>
      <x:c r="I3011" s="32" t="n">
        <x:v>770000</x:v>
      </x:c>
      <x:c r="J3011" s="32" t="n">
        <x:v>0</x:v>
      </x:c>
      <x:c r="K3011" s="30" t="n">
        <x:v>45432</x:v>
      </x:c>
      <x:c r="L3011" s="24" t="str"/>
      <x:c r="M3011" s="31" t="n">
        <x:f>IF(AND(N3011="미수",G3011&lt;&gt;"",TODAY()&gt;G3011),TODAY()-G3011,0)</x:f>
        <x:v>0</x:v>
      </x:c>
      <x:c r="N3011" s="24" t="str">
        <x:f>IF(J3011&gt;0,"미수",IF(AND(H3011&gt;0,I3011&gt;=H3011),"완납","미확인"))</x:f>
        <x:v>완납</x:v>
      </x:c>
      <x:c r="O3011" s="31" t="n">
        <x:v>31</x:v>
      </x:c>
    </x:row>
    <x:row r="3012" ht="17.25" customHeight="1">
      <x:c r="A3012" s="24" t="str">
        <x:v>PR-B-255오1360-202608</x:v>
      </x:c>
      <x:c r="B3012" s="24" t="str">
        <x:v>프라임구독</x:v>
      </x:c>
      <x:c r="C3012" s="24" t="str">
        <x:v>PR-C-255오1360-1-20231115-92</x:v>
      </x:c>
      <x:c r="D3012" s="24" t="str">
        <x:v>255오1360</x:v>
      </x:c>
      <x:c r="E3012" s="24" t="str">
        <x:v>이문구</x:v>
      </x:c>
      <x:c r="F3012" s="24" t="str">
        <x:v>2026-08</x:v>
      </x:c>
      <x:c r="G3012" s="30" t="n">
        <x:v>46239</x:v>
      </x:c>
      <x:c r="H3012" s="32" t="n">
        <x:v>565000</x:v>
      </x:c>
      <x:c r="I3012" s="32"/>
      <x:c r="J3012" s="32" t="n">
        <x:v>3390000</x:v>
      </x:c>
      <x:c r="K3012" s="30"/>
      <x:c r="L3012" s="24" t="str"/>
      <x:c r="M3012" s="31" t="n">
        <x:f>IF(AND(N3012="미수",G3012&lt;&gt;"",TODAY()&gt;G3012),TODAY()-G3012,0)</x:f>
        <x:v>10</x:v>
      </x:c>
      <x:c r="N3012" s="24" t="str">
        <x:f>IF(J3012&gt;0,"미수",IF(AND(H3012&gt;0,I3012&gt;=H3012),"완납","미확인"))</x:f>
        <x:v>미수</x:v>
      </x:c>
      <x:c r="O3012" s="31" t="n">
        <x:v>32</x:v>
      </x:c>
    </x:row>
    <x:row r="3013" ht="17.25" customHeight="1">
      <x:c r="A3013" s="24" t="str">
        <x:v>PR-B-255오1360-202607</x:v>
      </x:c>
      <x:c r="B3013" s="24" t="str">
        <x:v>프라임구독</x:v>
      </x:c>
      <x:c r="C3013" s="24" t="str">
        <x:v>PR-C-255오1360-1-20231115-92</x:v>
      </x:c>
      <x:c r="D3013" s="24" t="str">
        <x:v>255오1360</x:v>
      </x:c>
      <x:c r="E3013" s="24" t="str">
        <x:v>이문구</x:v>
      </x:c>
      <x:c r="F3013" s="24" t="str">
        <x:v>2026-07</x:v>
      </x:c>
      <x:c r="G3013" s="30" t="n">
        <x:v>46208</x:v>
      </x:c>
      <x:c r="H3013" s="32" t="n">
        <x:v>565000</x:v>
      </x:c>
      <x:c r="I3013" s="32"/>
      <x:c r="J3013" s="32" t="n">
        <x:v>2825000</x:v>
      </x:c>
      <x:c r="K3013" s="30"/>
      <x:c r="L3013" s="24" t="str"/>
      <x:c r="M3013" s="31" t="n">
        <x:f>IF(AND(N3013="미수",G3013&lt;&gt;"",TODAY()&gt;G3013),TODAY()-G3013,0)</x:f>
        <x:v>41</x:v>
      </x:c>
      <x:c r="N3013" s="24" t="str">
        <x:f>IF(J3013&gt;0,"미수",IF(AND(H3013&gt;0,I3013&gt;=H3013),"완납","미확인"))</x:f>
        <x:v>미수</x:v>
      </x:c>
      <x:c r="O3013" s="31" t="n">
        <x:v>32</x:v>
      </x:c>
    </x:row>
    <x:row r="3014" ht="17.25" customHeight="1">
      <x:c r="A3014" s="24" t="str">
        <x:v>PR-B-255오1360-202606</x:v>
      </x:c>
      <x:c r="B3014" s="24" t="str">
        <x:v>프라임구독</x:v>
      </x:c>
      <x:c r="C3014" s="24" t="str">
        <x:v>PR-C-255오1360-1-20231115-92</x:v>
      </x:c>
      <x:c r="D3014" s="24" t="str">
        <x:v>255오1360</x:v>
      </x:c>
      <x:c r="E3014" s="24" t="str">
        <x:v>이문구</x:v>
      </x:c>
      <x:c r="F3014" s="24" t="str">
        <x:v>2026-06</x:v>
      </x:c>
      <x:c r="G3014" s="30" t="n">
        <x:v>46178</x:v>
      </x:c>
      <x:c r="H3014" s="32" t="n">
        <x:v>565000</x:v>
      </x:c>
      <x:c r="I3014" s="32"/>
      <x:c r="J3014" s="32" t="n">
        <x:v>2260000</x:v>
      </x:c>
      <x:c r="K3014" s="30"/>
      <x:c r="L3014" s="24" t="str"/>
      <x:c r="M3014" s="31" t="n">
        <x:f>IF(AND(N3014="미수",G3014&lt;&gt;"",TODAY()&gt;G3014),TODAY()-G3014,0)</x:f>
        <x:v>71</x:v>
      </x:c>
      <x:c r="N3014" s="24" t="str">
        <x:f>IF(J3014&gt;0,"미수",IF(AND(H3014&gt;0,I3014&gt;=H3014),"완납","미확인"))</x:f>
        <x:v>미수</x:v>
      </x:c>
      <x:c r="O3014" s="31" t="n">
        <x:v>32</x:v>
      </x:c>
    </x:row>
    <x:row r="3015" ht="17.25" customHeight="1">
      <x:c r="A3015" s="24" t="str">
        <x:v>PR-B-255오1360-202605</x:v>
      </x:c>
      <x:c r="B3015" s="24" t="str">
        <x:v>프라임구독</x:v>
      </x:c>
      <x:c r="C3015" s="24" t="str">
        <x:v>PR-C-255오1360-1-20231115-92</x:v>
      </x:c>
      <x:c r="D3015" s="24" t="str">
        <x:v>255오1360</x:v>
      </x:c>
      <x:c r="E3015" s="24" t="str">
        <x:v>이문구</x:v>
      </x:c>
      <x:c r="F3015" s="24" t="str">
        <x:v>2026-05</x:v>
      </x:c>
      <x:c r="G3015" s="30" t="n">
        <x:v>46147</x:v>
      </x:c>
      <x:c r="H3015" s="32" t="n">
        <x:v>565000</x:v>
      </x:c>
      <x:c r="I3015" s="32" t="n">
        <x:v>565000</x:v>
      </x:c>
      <x:c r="J3015" s="32" t="n">
        <x:v>1695000</x:v>
      </x:c>
      <x:c r="K3015" s="30" t="n">
        <x:v>46157</x:v>
      </x:c>
      <x:c r="L3015" s="24" t="str">
        <x:v>입금</x:v>
      </x:c>
      <x:c r="M3015" s="31" t="n">
        <x:f>IF(AND(N3015="미수",G3015&lt;&gt;"",TODAY()&gt;G3015),TODAY()-G3015,0)</x:f>
        <x:v>102</x:v>
      </x:c>
      <x:c r="N3015" s="24" t="str">
        <x:f>IF(J3015&gt;0,"미수",IF(AND(H3015&gt;0,I3015&gt;=H3015),"완납","미확인"))</x:f>
        <x:v>미수</x:v>
      </x:c>
      <x:c r="O3015" s="31" t="n">
        <x:v>32</x:v>
      </x:c>
    </x:row>
    <x:row r="3016" ht="17.25" customHeight="1">
      <x:c r="A3016" s="24" t="str">
        <x:v>PR-B-255오1360-202604</x:v>
      </x:c>
      <x:c r="B3016" s="24" t="str">
        <x:v>프라임구독</x:v>
      </x:c>
      <x:c r="C3016" s="24" t="str">
        <x:v>PR-C-255오1360-1-20231115-92</x:v>
      </x:c>
      <x:c r="D3016" s="24" t="str">
        <x:v>255오1360</x:v>
      </x:c>
      <x:c r="E3016" s="24" t="str">
        <x:v>이문구</x:v>
      </x:c>
      <x:c r="F3016" s="24" t="str">
        <x:v>2026-04</x:v>
      </x:c>
      <x:c r="G3016" s="30" t="n">
        <x:v>46117</x:v>
      </x:c>
      <x:c r="H3016" s="32" t="n">
        <x:v>565000</x:v>
      </x:c>
      <x:c r="I3016" s="32" t="n">
        <x:v>565000</x:v>
      </x:c>
      <x:c r="J3016" s="32" t="n">
        <x:v>1695000</x:v>
      </x:c>
      <x:c r="K3016" s="30" t="n">
        <x:v>46114</x:v>
      </x:c>
      <x:c r="L3016" s="24" t="str">
        <x:v>입금</x:v>
      </x:c>
      <x:c r="M3016" s="31" t="n">
        <x:f>IF(AND(N3016="미수",G3016&lt;&gt;"",TODAY()&gt;G3016),TODAY()-G3016,0)</x:f>
        <x:v>132</x:v>
      </x:c>
      <x:c r="N3016" s="24" t="str">
        <x:f>IF(J3016&gt;0,"미수",IF(AND(H3016&gt;0,I3016&gt;=H3016),"완납","미확인"))</x:f>
        <x:v>미수</x:v>
      </x:c>
      <x:c r="O3016" s="31" t="n">
        <x:v>32</x:v>
      </x:c>
    </x:row>
    <x:row r="3017" ht="17.25" customHeight="1">
      <x:c r="A3017" s="24" t="str">
        <x:v>PR-B-255오1360-202603</x:v>
      </x:c>
      <x:c r="B3017" s="24" t="str">
        <x:v>프라임구독</x:v>
      </x:c>
      <x:c r="C3017" s="24" t="str">
        <x:v>PR-C-255오1360-1-20231115-92</x:v>
      </x:c>
      <x:c r="D3017" s="24" t="str">
        <x:v>255오1360</x:v>
      </x:c>
      <x:c r="E3017" s="24" t="str">
        <x:v>이문구</x:v>
      </x:c>
      <x:c r="F3017" s="24" t="str">
        <x:v>2026-03</x:v>
      </x:c>
      <x:c r="G3017" s="30" t="n">
        <x:v>46086</x:v>
      </x:c>
      <x:c r="H3017" s="32" t="n">
        <x:v>565000</x:v>
      </x:c>
      <x:c r="I3017" s="32" t="n">
        <x:v>565000</x:v>
      </x:c>
      <x:c r="J3017" s="32" t="n">
        <x:v>1695000</x:v>
      </x:c>
      <x:c r="K3017" s="30" t="n">
        <x:v>46090</x:v>
      </x:c>
      <x:c r="L3017" s="24" t="str">
        <x:v>입금</x:v>
      </x:c>
      <x:c r="M3017" s="31" t="n">
        <x:f>IF(AND(N3017="미수",G3017&lt;&gt;"",TODAY()&gt;G3017),TODAY()-G3017,0)</x:f>
        <x:v>163</x:v>
      </x:c>
      <x:c r="N3017" s="24" t="str">
        <x:f>IF(J3017&gt;0,"미수",IF(AND(H3017&gt;0,I3017&gt;=H3017),"완납","미확인"))</x:f>
        <x:v>미수</x:v>
      </x:c>
      <x:c r="O3017" s="31" t="n">
        <x:v>32</x:v>
      </x:c>
    </x:row>
    <x:row r="3018" ht="17.25" customHeight="1">
      <x:c r="A3018" s="24" t="str">
        <x:v>PR-B-255오1360-202602</x:v>
      </x:c>
      <x:c r="B3018" s="24" t="str">
        <x:v>프라임구독</x:v>
      </x:c>
      <x:c r="C3018" s="24" t="str">
        <x:v>PR-C-255오1360-1-20231115-92</x:v>
      </x:c>
      <x:c r="D3018" s="24" t="str">
        <x:v>255오1360</x:v>
      </x:c>
      <x:c r="E3018" s="24" t="str">
        <x:v>이문구</x:v>
      </x:c>
      <x:c r="F3018" s="24" t="str">
        <x:v>2026-02</x:v>
      </x:c>
      <x:c r="G3018" s="30" t="n">
        <x:v>46058</x:v>
      </x:c>
      <x:c r="H3018" s="32" t="n">
        <x:v>565000</x:v>
      </x:c>
      <x:c r="I3018" s="32" t="n">
        <x:v>565000</x:v>
      </x:c>
      <x:c r="J3018" s="32" t="n">
        <x:v>1695000</x:v>
      </x:c>
      <x:c r="K3018" s="30" t="n">
        <x:v>46062</x:v>
      </x:c>
      <x:c r="L3018" s="24" t="str">
        <x:v>입금</x:v>
      </x:c>
      <x:c r="M3018" s="31" t="n">
        <x:f>IF(AND(N3018="미수",G3018&lt;&gt;"",TODAY()&gt;G3018),TODAY()-G3018,0)</x:f>
        <x:v>191</x:v>
      </x:c>
      <x:c r="N3018" s="24" t="str">
        <x:f>IF(J3018&gt;0,"미수",IF(AND(H3018&gt;0,I3018&gt;=H3018),"완납","미확인"))</x:f>
        <x:v>미수</x:v>
      </x:c>
      <x:c r="O3018" s="31" t="n">
        <x:v>32</x:v>
      </x:c>
    </x:row>
    <x:row r="3019" ht="17.25" customHeight="1">
      <x:c r="A3019" s="24" t="str">
        <x:v>PR-B-255오1360-202601</x:v>
      </x:c>
      <x:c r="B3019" s="24" t="str">
        <x:v>프라임구독</x:v>
      </x:c>
      <x:c r="C3019" s="24" t="str">
        <x:v>PR-C-255오1360-1-20231115-92</x:v>
      </x:c>
      <x:c r="D3019" s="24" t="str">
        <x:v>255오1360</x:v>
      </x:c>
      <x:c r="E3019" s="24" t="str">
        <x:v>이문구</x:v>
      </x:c>
      <x:c r="F3019" s="24" t="str">
        <x:v>2026-01</x:v>
      </x:c>
      <x:c r="G3019" s="30" t="n">
        <x:v>46027</x:v>
      </x:c>
      <x:c r="H3019" s="32" t="n">
        <x:v>565000</x:v>
      </x:c>
      <x:c r="I3019" s="32" t="n">
        <x:v>565000</x:v>
      </x:c>
      <x:c r="J3019" s="32" t="n">
        <x:v>1695000</x:v>
      </x:c>
      <x:c r="K3019" s="30" t="n">
        <x:v>46028</x:v>
      </x:c>
      <x:c r="L3019" s="24" t="str">
        <x:v>입금</x:v>
      </x:c>
      <x:c r="M3019" s="31" t="n">
        <x:f>IF(AND(N3019="미수",G3019&lt;&gt;"",TODAY()&gt;G3019),TODAY()-G3019,0)</x:f>
        <x:v>222</x:v>
      </x:c>
      <x:c r="N3019" s="24" t="str">
        <x:f>IF(J3019&gt;0,"미수",IF(AND(H3019&gt;0,I3019&gt;=H3019),"완납","미확인"))</x:f>
        <x:v>미수</x:v>
      </x:c>
      <x:c r="O3019" s="31" t="n">
        <x:v>32</x:v>
      </x:c>
    </x:row>
    <x:row r="3020" ht="17.25" customHeight="1">
      <x:c r="A3020" s="24" t="str">
        <x:v>PR-B-255오1360-202512</x:v>
      </x:c>
      <x:c r="B3020" s="24" t="str">
        <x:v>프라임구독</x:v>
      </x:c>
      <x:c r="C3020" s="24" t="str">
        <x:v>PR-C-255오1360-1-20231115-92</x:v>
      </x:c>
      <x:c r="D3020" s="24" t="str">
        <x:v>255오1360</x:v>
      </x:c>
      <x:c r="E3020" s="24" t="str">
        <x:v>이문구</x:v>
      </x:c>
      <x:c r="F3020" s="24" t="str">
        <x:v>2025-12</x:v>
      </x:c>
      <x:c r="G3020" s="30" t="n">
        <x:v>45996</x:v>
      </x:c>
      <x:c r="H3020" s="32" t="n">
        <x:v>565000</x:v>
      </x:c>
      <x:c r="I3020" s="32" t="n">
        <x:v>565000</x:v>
      </x:c>
      <x:c r="J3020" s="32" t="n">
        <x:v>1695000</x:v>
      </x:c>
      <x:c r="K3020" s="30" t="n">
        <x:v>45999</x:v>
      </x:c>
      <x:c r="L3020" s="24" t="str">
        <x:v>입금</x:v>
      </x:c>
      <x:c r="M3020" s="31" t="n">
        <x:f>IF(AND(N3020="미수",G3020&lt;&gt;"",TODAY()&gt;G3020),TODAY()-G3020,0)</x:f>
        <x:v>253</x:v>
      </x:c>
      <x:c r="N3020" s="24" t="str">
        <x:f>IF(J3020&gt;0,"미수",IF(AND(H3020&gt;0,I3020&gt;=H3020),"완납","미확인"))</x:f>
        <x:v>미수</x:v>
      </x:c>
      <x:c r="O3020" s="31" t="n">
        <x:v>32</x:v>
      </x:c>
    </x:row>
    <x:row r="3021" ht="17.25" customHeight="1">
      <x:c r="A3021" s="24" t="str">
        <x:v>PR-B-255오1360-202511</x:v>
      </x:c>
      <x:c r="B3021" s="24" t="str">
        <x:v>프라임구독</x:v>
      </x:c>
      <x:c r="C3021" s="24" t="str">
        <x:v>PR-C-255오1360-1-20231115-92</x:v>
      </x:c>
      <x:c r="D3021" s="24" t="str">
        <x:v>255오1360</x:v>
      </x:c>
      <x:c r="E3021" s="24" t="str">
        <x:v>이문구</x:v>
      </x:c>
      <x:c r="F3021" s="24" t="str">
        <x:v>2025-11</x:v>
      </x:c>
      <x:c r="G3021" s="30" t="n">
        <x:v>45966</x:v>
      </x:c>
      <x:c r="H3021" s="32" t="n">
        <x:v>565000</x:v>
      </x:c>
      <x:c r="I3021" s="32"/>
      <x:c r="J3021" s="32" t="n">
        <x:v>1695000</x:v>
      </x:c>
      <x:c r="K3021" s="30"/>
      <x:c r="L3021" s="24" t="str"/>
      <x:c r="M3021" s="31" t="n">
        <x:f>IF(AND(N3021="미수",G3021&lt;&gt;"",TODAY()&gt;G3021),TODAY()-G3021,0)</x:f>
        <x:v>283</x:v>
      </x:c>
      <x:c r="N3021" s="24" t="str">
        <x:f>IF(J3021&gt;0,"미수",IF(AND(H3021&gt;0,I3021&gt;=H3021),"완납","미확인"))</x:f>
        <x:v>미수</x:v>
      </x:c>
      <x:c r="O3021" s="31" t="n">
        <x:v>32</x:v>
      </x:c>
    </x:row>
    <x:row r="3022" ht="17.25" customHeight="1">
      <x:c r="A3022" s="24" t="str">
        <x:v>PR-B-255오1360-202510</x:v>
      </x:c>
      <x:c r="B3022" s="24" t="str">
        <x:v>프라임구독</x:v>
      </x:c>
      <x:c r="C3022" s="24" t="str">
        <x:v>PR-C-255오1360-1-20231115-92</x:v>
      </x:c>
      <x:c r="D3022" s="24" t="str">
        <x:v>255오1360</x:v>
      </x:c>
      <x:c r="E3022" s="24" t="str">
        <x:v>이문구</x:v>
      </x:c>
      <x:c r="F3022" s="24" t="str">
        <x:v>2025-10</x:v>
      </x:c>
      <x:c r="G3022" s="30" t="n">
        <x:v>45935</x:v>
      </x:c>
      <x:c r="H3022" s="32" t="n">
        <x:v>565000</x:v>
      </x:c>
      <x:c r="I3022" s="32" t="n">
        <x:v>565000</x:v>
      </x:c>
      <x:c r="J3022" s="32" t="n">
        <x:v>1130000</x:v>
      </x:c>
      <x:c r="K3022" s="30" t="n">
        <x:v>45943</x:v>
      </x:c>
      <x:c r="L3022" s="24" t="str">
        <x:v>입금</x:v>
      </x:c>
      <x:c r="M3022" s="31" t="n">
        <x:f>IF(AND(N3022="미수",G3022&lt;&gt;"",TODAY()&gt;G3022),TODAY()-G3022,0)</x:f>
        <x:v>314</x:v>
      </x:c>
      <x:c r="N3022" s="24" t="str">
        <x:f>IF(J3022&gt;0,"미수",IF(AND(H3022&gt;0,I3022&gt;=H3022),"완납","미확인"))</x:f>
        <x:v>미수</x:v>
      </x:c>
      <x:c r="O3022" s="31" t="n">
        <x:v>32</x:v>
      </x:c>
    </x:row>
    <x:row r="3023" ht="17.25" customHeight="1">
      <x:c r="A3023" s="24" t="str">
        <x:v>PR-B-255오1360-202509</x:v>
      </x:c>
      <x:c r="B3023" s="24" t="str">
        <x:v>프라임구독</x:v>
      </x:c>
      <x:c r="C3023" s="24" t="str">
        <x:v>PR-C-255오1360-1-20231115-92</x:v>
      </x:c>
      <x:c r="D3023" s="24" t="str">
        <x:v>255오1360</x:v>
      </x:c>
      <x:c r="E3023" s="24" t="str">
        <x:v>이문구</x:v>
      </x:c>
      <x:c r="F3023" s="24" t="str">
        <x:v>2025-09</x:v>
      </x:c>
      <x:c r="G3023" s="30" t="n">
        <x:v>45905</x:v>
      </x:c>
      <x:c r="H3023" s="32" t="n">
        <x:v>565000</x:v>
      </x:c>
      <x:c r="I3023" s="32"/>
      <x:c r="J3023" s="32" t="n">
        <x:v>1130000</x:v>
      </x:c>
      <x:c r="K3023" s="30"/>
      <x:c r="L3023" s="24" t="str"/>
      <x:c r="M3023" s="31" t="n">
        <x:f>IF(AND(N3023="미수",G3023&lt;&gt;"",TODAY()&gt;G3023),TODAY()-G3023,0)</x:f>
        <x:v>344</x:v>
      </x:c>
      <x:c r="N3023" s="24" t="str">
        <x:f>IF(J3023&gt;0,"미수",IF(AND(H3023&gt;0,I3023&gt;=H3023),"완납","미확인"))</x:f>
        <x:v>미수</x:v>
      </x:c>
      <x:c r="O3023" s="31" t="n">
        <x:v>32</x:v>
      </x:c>
    </x:row>
    <x:row r="3024" ht="17.25" customHeight="1">
      <x:c r="A3024" s="24" t="str">
        <x:v>PR-B-255오1360-202508</x:v>
      </x:c>
      <x:c r="B3024" s="24" t="str">
        <x:v>프라임구독</x:v>
      </x:c>
      <x:c r="C3024" s="24" t="str">
        <x:v>PR-C-255오1360-1-20231115-92</x:v>
      </x:c>
      <x:c r="D3024" s="24" t="str">
        <x:v>255오1360</x:v>
      </x:c>
      <x:c r="E3024" s="24" t="str">
        <x:v>이문구</x:v>
      </x:c>
      <x:c r="F3024" s="24" t="str">
        <x:v>2025-08</x:v>
      </x:c>
      <x:c r="G3024" s="30" t="n">
        <x:v>45874</x:v>
      </x:c>
      <x:c r="H3024" s="32" t="n">
        <x:v>565000</x:v>
      </x:c>
      <x:c r="I3024" s="32" t="n">
        <x:v>1130000</x:v>
      </x:c>
      <x:c r="J3024" s="32" t="n">
        <x:v>565000</x:v>
      </x:c>
      <x:c r="K3024" s="30" t="n">
        <x:v>45875</x:v>
      </x:c>
      <x:c r="L3024" s="24" t="str">
        <x:v>입금</x:v>
      </x:c>
      <x:c r="M3024" s="31" t="n">
        <x:f>IF(AND(N3024="미수",G3024&lt;&gt;"",TODAY()&gt;G3024),TODAY()-G3024,0)</x:f>
        <x:v>375</x:v>
      </x:c>
      <x:c r="N3024" s="24" t="str">
        <x:f>IF(J3024&gt;0,"미수",IF(AND(H3024&gt;0,I3024&gt;=H3024),"완납","미확인"))</x:f>
        <x:v>미수</x:v>
      </x:c>
      <x:c r="O3024" s="31" t="n">
        <x:v>32</x:v>
      </x:c>
    </x:row>
    <x:row r="3025" ht="17.25" customHeight="1">
      <x:c r="A3025" s="24" t="str">
        <x:v>PR-B-255오1360-202507</x:v>
      </x:c>
      <x:c r="B3025" s="24" t="str">
        <x:v>프라임구독</x:v>
      </x:c>
      <x:c r="C3025" s="24" t="str">
        <x:v>PR-C-255오1360-1-20231115-92</x:v>
      </x:c>
      <x:c r="D3025" s="24" t="str">
        <x:v>255오1360</x:v>
      </x:c>
      <x:c r="E3025" s="24" t="str">
        <x:v>이문구</x:v>
      </x:c>
      <x:c r="F3025" s="24" t="str">
        <x:v>2025-07</x:v>
      </x:c>
      <x:c r="G3025" s="30" t="n">
        <x:v>45843</x:v>
      </x:c>
      <x:c r="H3025" s="32" t="n">
        <x:v>565000</x:v>
      </x:c>
      <x:c r="I3025" s="32" t="n">
        <x:v>565000</x:v>
      </x:c>
      <x:c r="J3025" s="32" t="n">
        <x:v>1130000</x:v>
      </x:c>
      <x:c r="K3025" s="30" t="n">
        <x:v>45846</x:v>
      </x:c>
      <x:c r="L3025" s="24" t="str">
        <x:v>입금</x:v>
      </x:c>
      <x:c r="M3025" s="31" t="n">
        <x:f>IF(AND(N3025="미수",G3025&lt;&gt;"",TODAY()&gt;G3025),TODAY()-G3025,0)</x:f>
        <x:v>406</x:v>
      </x:c>
      <x:c r="N3025" s="24" t="str">
        <x:f>IF(J3025&gt;0,"미수",IF(AND(H3025&gt;0,I3025&gt;=H3025),"완납","미확인"))</x:f>
        <x:v>미수</x:v>
      </x:c>
      <x:c r="O3025" s="31" t="n">
        <x:v>32</x:v>
      </x:c>
    </x:row>
    <x:row r="3026" ht="17.25" customHeight="1">
      <x:c r="A3026" s="24" t="str">
        <x:v>PR-B-255오1360-202506</x:v>
      </x:c>
      <x:c r="B3026" s="24" t="str">
        <x:v>프라임구독</x:v>
      </x:c>
      <x:c r="C3026" s="24" t="str">
        <x:v>PR-C-255오1360-1-20231115-92</x:v>
      </x:c>
      <x:c r="D3026" s="24" t="str">
        <x:v>255오1360</x:v>
      </x:c>
      <x:c r="E3026" s="24" t="str">
        <x:v>이문구</x:v>
      </x:c>
      <x:c r="F3026" s="24" t="str">
        <x:v>2025-06</x:v>
      </x:c>
      <x:c r="G3026" s="30" t="n">
        <x:v>45813</x:v>
      </x:c>
      <x:c r="H3026" s="32" t="n">
        <x:v>565000</x:v>
      </x:c>
      <x:c r="I3026" s="32" t="n">
        <x:v>1695000</x:v>
      </x:c>
      <x:c r="J3026" s="32" t="n">
        <x:v>1130000</x:v>
      </x:c>
      <x:c r="K3026" s="30" t="n">
        <x:v>45819</x:v>
      </x:c>
      <x:c r="L3026" s="24" t="str">
        <x:v>입금</x:v>
      </x:c>
      <x:c r="M3026" s="31" t="n">
        <x:f>IF(AND(N3026="미수",G3026&lt;&gt;"",TODAY()&gt;G3026),TODAY()-G3026,0)</x:f>
        <x:v>436</x:v>
      </x:c>
      <x:c r="N3026" s="24" t="str">
        <x:f>IF(J3026&gt;0,"미수",IF(AND(H3026&gt;0,I3026&gt;=H3026),"완납","미확인"))</x:f>
        <x:v>미수</x:v>
      </x:c>
      <x:c r="O3026" s="31" t="n">
        <x:v>32</x:v>
      </x:c>
    </x:row>
    <x:row r="3027" ht="17.25" customHeight="1">
      <x:c r="A3027" s="24" t="str">
        <x:v>PR-B-255오1360-202505</x:v>
      </x:c>
      <x:c r="B3027" s="24" t="str">
        <x:v>프라임구독</x:v>
      </x:c>
      <x:c r="C3027" s="24" t="str">
        <x:v>PR-C-255오1360-1-20231115-92</x:v>
      </x:c>
      <x:c r="D3027" s="24" t="str">
        <x:v>255오1360</x:v>
      </x:c>
      <x:c r="E3027" s="24" t="str">
        <x:v>이문구</x:v>
      </x:c>
      <x:c r="F3027" s="24" t="str">
        <x:v>2025-05</x:v>
      </x:c>
      <x:c r="G3027" s="30" t="n">
        <x:v>45782</x:v>
      </x:c>
      <x:c r="H3027" s="32" t="n">
        <x:v>565000</x:v>
      </x:c>
      <x:c r="I3027" s="32"/>
      <x:c r="J3027" s="32" t="n">
        <x:v>2260000</x:v>
      </x:c>
      <x:c r="K3027" s="30"/>
      <x:c r="L3027" s="24" t="str"/>
      <x:c r="M3027" s="31" t="n">
        <x:f>IF(AND(N3027="미수",G3027&lt;&gt;"",TODAY()&gt;G3027),TODAY()-G3027,0)</x:f>
        <x:v>467</x:v>
      </x:c>
      <x:c r="N3027" s="24" t="str">
        <x:f>IF(J3027&gt;0,"미수",IF(AND(H3027&gt;0,I3027&gt;=H3027),"완납","미확인"))</x:f>
        <x:v>미수</x:v>
      </x:c>
      <x:c r="O3027" s="31" t="n">
        <x:v>32</x:v>
      </x:c>
    </x:row>
    <x:row r="3028" ht="17.25" customHeight="1">
      <x:c r="A3028" s="24" t="str">
        <x:v>PR-B-255오1360-202504</x:v>
      </x:c>
      <x:c r="B3028" s="24" t="str">
        <x:v>프라임구독</x:v>
      </x:c>
      <x:c r="C3028" s="24" t="str">
        <x:v>PR-C-255오1360-1-20231115-92</x:v>
      </x:c>
      <x:c r="D3028" s="24" t="str">
        <x:v>255오1360</x:v>
      </x:c>
      <x:c r="E3028" s="24" t="str">
        <x:v>이문구</x:v>
      </x:c>
      <x:c r="F3028" s="24" t="str">
        <x:v>2025-04</x:v>
      </x:c>
      <x:c r="G3028" s="30" t="n">
        <x:v>45752</x:v>
      </x:c>
      <x:c r="H3028" s="32" t="n">
        <x:v>565000</x:v>
      </x:c>
      <x:c r="I3028" s="32"/>
      <x:c r="J3028" s="32" t="n">
        <x:v>1695000</x:v>
      </x:c>
      <x:c r="K3028" s="30"/>
      <x:c r="L3028" s="24" t="str"/>
      <x:c r="M3028" s="31" t="n">
        <x:f>IF(AND(N3028="미수",G3028&lt;&gt;"",TODAY()&gt;G3028),TODAY()-G3028,0)</x:f>
        <x:v>497</x:v>
      </x:c>
      <x:c r="N3028" s="24" t="str">
        <x:f>IF(J3028&gt;0,"미수",IF(AND(H3028&gt;0,I3028&gt;=H3028),"완납","미확인"))</x:f>
        <x:v>미수</x:v>
      </x:c>
      <x:c r="O3028" s="31" t="n">
        <x:v>32</x:v>
      </x:c>
    </x:row>
    <x:row r="3029" ht="17.25" customHeight="1">
      <x:c r="A3029" s="24" t="str">
        <x:v>PR-B-255오1360-202503</x:v>
      </x:c>
      <x:c r="B3029" s="24" t="str">
        <x:v>프라임구독</x:v>
      </x:c>
      <x:c r="C3029" s="24" t="str">
        <x:v>PR-C-255오1360-1-20231115-92</x:v>
      </x:c>
      <x:c r="D3029" s="24" t="str">
        <x:v>255오1360</x:v>
      </x:c>
      <x:c r="E3029" s="24" t="str">
        <x:v>이문구</x:v>
      </x:c>
      <x:c r="F3029" s="24" t="str">
        <x:v>2025-03</x:v>
      </x:c>
      <x:c r="G3029" s="30" t="n">
        <x:v>45721</x:v>
      </x:c>
      <x:c r="H3029" s="32" t="n">
        <x:v>565000</x:v>
      </x:c>
      <x:c r="I3029" s="32" t="n">
        <x:v>565000</x:v>
      </x:c>
      <x:c r="J3029" s="32" t="n">
        <x:v>1130000</x:v>
      </x:c>
      <x:c r="K3029" s="30" t="n">
        <x:v>45719</x:v>
      </x:c>
      <x:c r="L3029" s="24" t="str">
        <x:v>입금</x:v>
      </x:c>
      <x:c r="M3029" s="31" t="n">
        <x:f>IF(AND(N3029="미수",G3029&lt;&gt;"",TODAY()&gt;G3029),TODAY()-G3029,0)</x:f>
        <x:v>528</x:v>
      </x:c>
      <x:c r="N3029" s="24" t="str">
        <x:f>IF(J3029&gt;0,"미수",IF(AND(H3029&gt;0,I3029&gt;=H3029),"완납","미확인"))</x:f>
        <x:v>미수</x:v>
      </x:c>
      <x:c r="O3029" s="31" t="n">
        <x:v>32</x:v>
      </x:c>
    </x:row>
    <x:row r="3030" ht="17.25" customHeight="1">
      <x:c r="A3030" s="24" t="str">
        <x:v>PR-B-255오1360-202502</x:v>
      </x:c>
      <x:c r="B3030" s="24" t="str">
        <x:v>프라임구독</x:v>
      </x:c>
      <x:c r="C3030" s="24" t="str">
        <x:v>PR-C-255오1360-1-20231115-92</x:v>
      </x:c>
      <x:c r="D3030" s="24" t="str">
        <x:v>255오1360</x:v>
      </x:c>
      <x:c r="E3030" s="24" t="str">
        <x:v>이문구</x:v>
      </x:c>
      <x:c r="F3030" s="24" t="str">
        <x:v>2025-02</x:v>
      </x:c>
      <x:c r="G3030" s="30" t="n">
        <x:v>45693</x:v>
      </x:c>
      <x:c r="H3030" s="32" t="n">
        <x:v>565000</x:v>
      </x:c>
      <x:c r="I3030" s="32"/>
      <x:c r="J3030" s="32" t="n">
        <x:v>1130000</x:v>
      </x:c>
      <x:c r="K3030" s="30"/>
      <x:c r="L3030" s="24" t="str"/>
      <x:c r="M3030" s="31" t="n">
        <x:f>IF(AND(N3030="미수",G3030&lt;&gt;"",TODAY()&gt;G3030),TODAY()-G3030,0)</x:f>
        <x:v>556</x:v>
      </x:c>
      <x:c r="N3030" s="24" t="str">
        <x:f>IF(J3030&gt;0,"미수",IF(AND(H3030&gt;0,I3030&gt;=H3030),"완납","미확인"))</x:f>
        <x:v>미수</x:v>
      </x:c>
      <x:c r="O3030" s="31" t="n">
        <x:v>32</x:v>
      </x:c>
    </x:row>
    <x:row r="3031" ht="17.25" customHeight="1">
      <x:c r="A3031" s="24" t="str">
        <x:v>PR-B-255오1360-202501</x:v>
      </x:c>
      <x:c r="B3031" s="24" t="str">
        <x:v>프라임구독</x:v>
      </x:c>
      <x:c r="C3031" s="24" t="str">
        <x:v>PR-C-255오1360-1-20231115-92</x:v>
      </x:c>
      <x:c r="D3031" s="24" t="str">
        <x:v>255오1360</x:v>
      </x:c>
      <x:c r="E3031" s="24" t="str">
        <x:v>이문구</x:v>
      </x:c>
      <x:c r="F3031" s="24" t="str">
        <x:v>2025-01</x:v>
      </x:c>
      <x:c r="G3031" s="30" t="n">
        <x:v>45662</x:v>
      </x:c>
      <x:c r="H3031" s="32" t="n">
        <x:v>565000</x:v>
      </x:c>
      <x:c r="I3031" s="32"/>
      <x:c r="J3031" s="32" t="n">
        <x:v>565000</x:v>
      </x:c>
      <x:c r="K3031" s="30"/>
      <x:c r="L3031" s="24" t="str"/>
      <x:c r="M3031" s="31" t="n">
        <x:f>IF(AND(N3031="미수",G3031&lt;&gt;"",TODAY()&gt;G3031),TODAY()-G3031,0)</x:f>
        <x:v>587</x:v>
      </x:c>
      <x:c r="N3031" s="24" t="str">
        <x:f>IF(J3031&gt;0,"미수",IF(AND(H3031&gt;0,I3031&gt;=H3031),"완납","미확인"))</x:f>
        <x:v>미수</x:v>
      </x:c>
      <x:c r="O3031" s="31" t="n">
        <x:v>32</x:v>
      </x:c>
    </x:row>
    <x:row r="3032" ht="17.25" customHeight="1">
      <x:c r="A3032" s="24" t="str">
        <x:v>PR-B-255오1360-202412</x:v>
      </x:c>
      <x:c r="B3032" s="24" t="str">
        <x:v>프라임구독</x:v>
      </x:c>
      <x:c r="C3032" s="24" t="str">
        <x:v>PR-C-255오1360-1-20231115-92</x:v>
      </x:c>
      <x:c r="D3032" s="24" t="str">
        <x:v>255오1360</x:v>
      </x:c>
      <x:c r="E3032" s="24" t="str">
        <x:v>이문구</x:v>
      </x:c>
      <x:c r="F3032" s="24" t="str">
        <x:v>2024-12</x:v>
      </x:c>
      <x:c r="G3032" s="30" t="n">
        <x:v>45631</x:v>
      </x:c>
      <x:c r="H3032" s="32" t="n">
        <x:v>565000</x:v>
      </x:c>
      <x:c r="I3032" s="32" t="n">
        <x:v>565000</x:v>
      </x:c>
      <x:c r="J3032" s="32" t="n">
        <x:v>0</x:v>
      </x:c>
      <x:c r="K3032" s="30" t="n">
        <x:v>45675</x:v>
      </x:c>
      <x:c r="L3032" s="24" t="str">
        <x:v>입금</x:v>
      </x:c>
      <x:c r="M3032" s="31" t="n">
        <x:f>IF(AND(N3032="미수",G3032&lt;&gt;"",TODAY()&gt;G3032),TODAY()-G3032,0)</x:f>
        <x:v>0</x:v>
      </x:c>
      <x:c r="N3032" s="24" t="str">
        <x:f>IF(J3032&gt;0,"미수",IF(AND(H3032&gt;0,I3032&gt;=H3032),"완납","미확인"))</x:f>
        <x:v>완납</x:v>
      </x:c>
      <x:c r="O3032" s="31" t="n">
        <x:v>32</x:v>
      </x:c>
    </x:row>
    <x:row r="3033" ht="17.25" customHeight="1">
      <x:c r="A3033" s="24" t="str">
        <x:v>PR-B-255오1360-202411</x:v>
      </x:c>
      <x:c r="B3033" s="24" t="str">
        <x:v>프라임구독</x:v>
      </x:c>
      <x:c r="C3033" s="24" t="str">
        <x:v>PR-C-255오1360-1-20231115-92</x:v>
      </x:c>
      <x:c r="D3033" s="24" t="str">
        <x:v>255오1360</x:v>
      </x:c>
      <x:c r="E3033" s="24" t="str">
        <x:v>이문구</x:v>
      </x:c>
      <x:c r="F3033" s="24" t="str">
        <x:v>2024-11</x:v>
      </x:c>
      <x:c r="G3033" s="30" t="n">
        <x:v>45601</x:v>
      </x:c>
      <x:c r="H3033" s="32" t="n">
        <x:v>565000</x:v>
      </x:c>
      <x:c r="I3033" s="32" t="n">
        <x:v>565000</x:v>
      </x:c>
      <x:c r="J3033" s="32" t="n">
        <x:v>0</x:v>
      </x:c>
      <x:c r="K3033" s="30" t="n">
        <x:v>45631</x:v>
      </x:c>
      <x:c r="L3033" s="24" t="str">
        <x:v>입금</x:v>
      </x:c>
      <x:c r="M3033" s="31" t="n">
        <x:f>IF(AND(N3033="미수",G3033&lt;&gt;"",TODAY()&gt;G3033),TODAY()-G3033,0)</x:f>
        <x:v>0</x:v>
      </x:c>
      <x:c r="N3033" s="24" t="str">
        <x:f>IF(J3033&gt;0,"미수",IF(AND(H3033&gt;0,I3033&gt;=H3033),"완납","미확인"))</x:f>
        <x:v>완납</x:v>
      </x:c>
      <x:c r="O3033" s="31" t="n">
        <x:v>32</x:v>
      </x:c>
    </x:row>
    <x:row r="3034" ht="17.25" customHeight="1">
      <x:c r="A3034" s="24" t="str">
        <x:v>PR-B-255오1360-202410</x:v>
      </x:c>
      <x:c r="B3034" s="24" t="str">
        <x:v>프라임구독</x:v>
      </x:c>
      <x:c r="C3034" s="24" t="str">
        <x:v>PR-C-255오1360-1-20231115-92</x:v>
      </x:c>
      <x:c r="D3034" s="24" t="str">
        <x:v>255오1360</x:v>
      </x:c>
      <x:c r="E3034" s="24" t="str">
        <x:v>이문구</x:v>
      </x:c>
      <x:c r="F3034" s="24" t="str">
        <x:v>2024-10</x:v>
      </x:c>
      <x:c r="G3034" s="30" t="n">
        <x:v>45570</x:v>
      </x:c>
      <x:c r="H3034" s="32" t="n">
        <x:v>565000</x:v>
      </x:c>
      <x:c r="I3034" s="32" t="n">
        <x:v>565000</x:v>
      </x:c>
      <x:c r="J3034" s="32" t="n">
        <x:v>0</x:v>
      </x:c>
      <x:c r="K3034" s="30" t="n">
        <x:v>45599</x:v>
      </x:c>
      <x:c r="L3034" s="24" t="str">
        <x:v>입금</x:v>
      </x:c>
      <x:c r="M3034" s="31" t="n">
        <x:f>IF(AND(N3034="미수",G3034&lt;&gt;"",TODAY()&gt;G3034),TODAY()-G3034,0)</x:f>
        <x:v>0</x:v>
      </x:c>
      <x:c r="N3034" s="24" t="str">
        <x:f>IF(J3034&gt;0,"미수",IF(AND(H3034&gt;0,I3034&gt;=H3034),"완납","미확인"))</x:f>
        <x:v>완납</x:v>
      </x:c>
      <x:c r="O3034" s="31" t="n">
        <x:v>32</x:v>
      </x:c>
    </x:row>
    <x:row r="3035" ht="17.25" customHeight="1">
      <x:c r="A3035" s="24" t="str">
        <x:v>PR-B-255오1360-202409</x:v>
      </x:c>
      <x:c r="B3035" s="24" t="str">
        <x:v>프라임구독</x:v>
      </x:c>
      <x:c r="C3035" s="24" t="str">
        <x:v>PR-C-255오1360-1-20231115-92</x:v>
      </x:c>
      <x:c r="D3035" s="24" t="str">
        <x:v>255오1360</x:v>
      </x:c>
      <x:c r="E3035" s="24" t="str">
        <x:v>이문구</x:v>
      </x:c>
      <x:c r="F3035" s="24" t="str">
        <x:v>2024-09</x:v>
      </x:c>
      <x:c r="G3035" s="30" t="n">
        <x:v>45540</x:v>
      </x:c>
      <x:c r="H3035" s="32" t="n">
        <x:v>565000</x:v>
      </x:c>
      <x:c r="I3035" s="32" t="n">
        <x:v>565000</x:v>
      </x:c>
      <x:c r="J3035" s="32" t="n">
        <x:v>0</x:v>
      </x:c>
      <x:c r="K3035" s="30" t="n">
        <x:v>45571</x:v>
      </x:c>
      <x:c r="L3035" s="24" t="str">
        <x:v>입금</x:v>
      </x:c>
      <x:c r="M3035" s="31" t="n">
        <x:f>IF(AND(N3035="미수",G3035&lt;&gt;"",TODAY()&gt;G3035),TODAY()-G3035,0)</x:f>
        <x:v>0</x:v>
      </x:c>
      <x:c r="N3035" s="24" t="str">
        <x:f>IF(J3035&gt;0,"미수",IF(AND(H3035&gt;0,I3035&gt;=H3035),"완납","미확인"))</x:f>
        <x:v>완납</x:v>
      </x:c>
      <x:c r="O3035" s="31" t="n">
        <x:v>32</x:v>
      </x:c>
    </x:row>
    <x:row r="3036" ht="17.25" customHeight="1">
      <x:c r="A3036" s="24" t="str">
        <x:v>PR-B-255오1360-202408</x:v>
      </x:c>
      <x:c r="B3036" s="24" t="str">
        <x:v>프라임구독</x:v>
      </x:c>
      <x:c r="C3036" s="24" t="str">
        <x:v>PR-C-255오1360-1-20231115-92</x:v>
      </x:c>
      <x:c r="D3036" s="24" t="str">
        <x:v>255오1360</x:v>
      </x:c>
      <x:c r="E3036" s="24" t="str">
        <x:v>이문구</x:v>
      </x:c>
      <x:c r="F3036" s="24" t="str">
        <x:v>2024-08</x:v>
      </x:c>
      <x:c r="G3036" s="30" t="n">
        <x:v>45509</x:v>
      </x:c>
      <x:c r="H3036" s="32" t="n">
        <x:v>565000</x:v>
      </x:c>
      <x:c r="I3036" s="32" t="n">
        <x:v>565000</x:v>
      </x:c>
      <x:c r="J3036" s="32" t="n">
        <x:v>0</x:v>
      </x:c>
      <x:c r="K3036" s="30" t="n">
        <x:v>45547</x:v>
      </x:c>
      <x:c r="L3036" s="24" t="str">
        <x:v>입금</x:v>
      </x:c>
      <x:c r="M3036" s="31" t="n">
        <x:f>IF(AND(N3036="미수",G3036&lt;&gt;"",TODAY()&gt;G3036),TODAY()-G3036,0)</x:f>
        <x:v>0</x:v>
      </x:c>
      <x:c r="N3036" s="24" t="str">
        <x:f>IF(J3036&gt;0,"미수",IF(AND(H3036&gt;0,I3036&gt;=H3036),"완납","미확인"))</x:f>
        <x:v>완납</x:v>
      </x:c>
      <x:c r="O3036" s="31" t="n">
        <x:v>32</x:v>
      </x:c>
    </x:row>
    <x:row r="3037" ht="17.25" customHeight="1">
      <x:c r="A3037" s="24" t="str">
        <x:v>PR-B-255오1360-202407</x:v>
      </x:c>
      <x:c r="B3037" s="24" t="str">
        <x:v>프라임구독</x:v>
      </x:c>
      <x:c r="C3037" s="24" t="str">
        <x:v>PR-C-255오1360-1-20231115-92</x:v>
      </x:c>
      <x:c r="D3037" s="24" t="str">
        <x:v>255오1360</x:v>
      </x:c>
      <x:c r="E3037" s="24" t="str">
        <x:v>이문구</x:v>
      </x:c>
      <x:c r="F3037" s="24" t="str">
        <x:v>2024-07</x:v>
      </x:c>
      <x:c r="G3037" s="30" t="n">
        <x:v>45478</x:v>
      </x:c>
      <x:c r="H3037" s="32" t="n">
        <x:v>565000</x:v>
      </x:c>
      <x:c r="I3037" s="32" t="n">
        <x:v>565000</x:v>
      </x:c>
      <x:c r="J3037" s="32" t="n">
        <x:v>0</x:v>
      </x:c>
      <x:c r="K3037" s="30" t="n">
        <x:v>45493</x:v>
      </x:c>
      <x:c r="L3037" s="24" t="str">
        <x:v>입금</x:v>
      </x:c>
      <x:c r="M3037" s="31" t="n">
        <x:f>IF(AND(N3037="미수",G3037&lt;&gt;"",TODAY()&gt;G3037),TODAY()-G3037,0)</x:f>
        <x:v>0</x:v>
      </x:c>
      <x:c r="N3037" s="24" t="str">
        <x:f>IF(J3037&gt;0,"미수",IF(AND(H3037&gt;0,I3037&gt;=H3037),"완납","미확인"))</x:f>
        <x:v>완납</x:v>
      </x:c>
      <x:c r="O3037" s="31" t="n">
        <x:v>32</x:v>
      </x:c>
    </x:row>
    <x:row r="3038" ht="17.25" customHeight="1">
      <x:c r="A3038" s="24" t="str">
        <x:v>PR-B-255오1360-202406</x:v>
      </x:c>
      <x:c r="B3038" s="24" t="str">
        <x:v>프라임구독</x:v>
      </x:c>
      <x:c r="C3038" s="24" t="str">
        <x:v>PR-C-255오1360-1-20231115-92</x:v>
      </x:c>
      <x:c r="D3038" s="24" t="str">
        <x:v>255오1360</x:v>
      </x:c>
      <x:c r="E3038" s="24" t="str">
        <x:v>이문구</x:v>
      </x:c>
      <x:c r="F3038" s="24" t="str">
        <x:v>2024-06</x:v>
      </x:c>
      <x:c r="G3038" s="30" t="n">
        <x:v>45448</x:v>
      </x:c>
      <x:c r="H3038" s="32" t="n">
        <x:v>565000</x:v>
      </x:c>
      <x:c r="I3038" s="32" t="n">
        <x:v>565000</x:v>
      </x:c>
      <x:c r="J3038" s="32" t="n">
        <x:v>0</x:v>
      </x:c>
      <x:c r="K3038" s="30" t="n">
        <x:v>45453</x:v>
      </x:c>
      <x:c r="L3038" s="24" t="str"/>
      <x:c r="M3038" s="31" t="n">
        <x:f>IF(AND(N3038="미수",G3038&lt;&gt;"",TODAY()&gt;G3038),TODAY()-G3038,0)</x:f>
        <x:v>0</x:v>
      </x:c>
      <x:c r="N3038" s="24" t="str">
        <x:f>IF(J3038&gt;0,"미수",IF(AND(H3038&gt;0,I3038&gt;=H3038),"완납","미확인"))</x:f>
        <x:v>완납</x:v>
      </x:c>
      <x:c r="O3038" s="31" t="n">
        <x:v>32</x:v>
      </x:c>
    </x:row>
    <x:row r="3039" ht="17.25" customHeight="1">
      <x:c r="A3039" s="24" t="str">
        <x:v>PR-B-255오1360-202405</x:v>
      </x:c>
      <x:c r="B3039" s="24" t="str">
        <x:v>프라임구독</x:v>
      </x:c>
      <x:c r="C3039" s="24" t="str">
        <x:v>PR-C-255오1360-1-20231115-92</x:v>
      </x:c>
      <x:c r="D3039" s="24" t="str">
        <x:v>255오1360</x:v>
      </x:c>
      <x:c r="E3039" s="24" t="str">
        <x:v>이문구</x:v>
      </x:c>
      <x:c r="F3039" s="24" t="str">
        <x:v>2024-05</x:v>
      </x:c>
      <x:c r="G3039" s="30" t="n">
        <x:v>45417</x:v>
      </x:c>
      <x:c r="H3039" s="32" t="n">
        <x:v>565000</x:v>
      </x:c>
      <x:c r="I3039" s="32" t="n">
        <x:v>565000</x:v>
      </x:c>
      <x:c r="J3039" s="32" t="n">
        <x:v>0</x:v>
      </x:c>
      <x:c r="K3039" s="30" t="n">
        <x:v>45417</x:v>
      </x:c>
      <x:c r="L3039" s="24" t="str"/>
      <x:c r="M3039" s="31" t="n">
        <x:f>IF(AND(N3039="미수",G3039&lt;&gt;"",TODAY()&gt;G3039),TODAY()-G3039,0)</x:f>
        <x:v>0</x:v>
      </x:c>
      <x:c r="N3039" s="24" t="str">
        <x:f>IF(J3039&gt;0,"미수",IF(AND(H3039&gt;0,I3039&gt;=H3039),"완납","미확인"))</x:f>
        <x:v>완납</x:v>
      </x:c>
      <x:c r="O3039" s="31" t="n">
        <x:v>32</x:v>
      </x:c>
    </x:row>
    <x:row r="3040" ht="17.25" customHeight="1">
      <x:c r="A3040" s="24" t="str">
        <x:v>PR-B-29마4743-202608</x:v>
      </x:c>
      <x:c r="B3040" s="24" t="str">
        <x:v>프라임구독</x:v>
      </x:c>
      <x:c r="C3040" s="24" t="str">
        <x:v>PR-C-29마4743-1-20231113-108</x:v>
      </x:c>
      <x:c r="D3040" s="24" t="str">
        <x:v>29마4743</x:v>
      </x:c>
      <x:c r="E3040" s="24" t="str">
        <x:v>변재영</x:v>
      </x:c>
      <x:c r="F3040" s="24" t="str">
        <x:v>2026-08</x:v>
      </x:c>
      <x:c r="G3040" s="30" t="n">
        <x:v>46259</x:v>
      </x:c>
      <x:c r="H3040" s="32" t="n">
        <x:v>1109000</x:v>
      </x:c>
      <x:c r="I3040" s="32"/>
      <x:c r="J3040" s="32" t="n">
        <x:v>1109000</x:v>
      </x:c>
      <x:c r="K3040" s="30"/>
      <x:c r="L3040" s="24" t="str"/>
      <x:c r="M3040" s="31" t="n">
        <x:f>IF(AND(N3040="미수",G3040&lt;&gt;"",TODAY()&gt;G3040),TODAY()-G3040,0)</x:f>
        <x:v>0</x:v>
      </x:c>
      <x:c r="N3040" s="24" t="str">
        <x:f>IF(J3040&gt;0,"미수",IF(AND(H3040&gt;0,I3040&gt;=H3040),"완납","미확인"))</x:f>
        <x:v>미수</x:v>
      </x:c>
      <x:c r="O3040" s="31" t="n">
        <x:v>33</x:v>
      </x:c>
    </x:row>
    <x:row r="3041" ht="17.25" customHeight="1">
      <x:c r="A3041" s="24" t="str">
        <x:v>PR-B-29마4743-202607</x:v>
      </x:c>
      <x:c r="B3041" s="24" t="str">
        <x:v>프라임구독</x:v>
      </x:c>
      <x:c r="C3041" s="24" t="str">
        <x:v>PR-C-29마4743-1-20231113-108</x:v>
      </x:c>
      <x:c r="D3041" s="24" t="str">
        <x:v>29마4743</x:v>
      </x:c>
      <x:c r="E3041" s="24" t="str">
        <x:v>변재영</x:v>
      </x:c>
      <x:c r="F3041" s="24" t="str">
        <x:v>2026-07</x:v>
      </x:c>
      <x:c r="G3041" s="30" t="n">
        <x:v>46228</x:v>
      </x:c>
      <x:c r="H3041" s="32" t="n">
        <x:v>1109000</x:v>
      </x:c>
      <x:c r="I3041" s="32" t="n">
        <x:v>1109000</x:v>
      </x:c>
      <x:c r="J3041" s="32" t="n">
        <x:v>0</x:v>
      </x:c>
      <x:c r="K3041" s="30" t="n">
        <x:v>46229</x:v>
      </x:c>
      <x:c r="L3041" s="24" t="str">
        <x:v>입금</x:v>
      </x:c>
      <x:c r="M3041" s="31" t="n">
        <x:f>IF(AND(N3041="미수",G3041&lt;&gt;"",TODAY()&gt;G3041),TODAY()-G3041,0)</x:f>
        <x:v>0</x:v>
      </x:c>
      <x:c r="N3041" s="24" t="str">
        <x:f>IF(J3041&gt;0,"미수",IF(AND(H3041&gt;0,I3041&gt;=H3041),"완납","미확인"))</x:f>
        <x:v>완납</x:v>
      </x:c>
      <x:c r="O3041" s="31" t="n">
        <x:v>33</x:v>
      </x:c>
    </x:row>
    <x:row r="3042" ht="17.25" customHeight="1">
      <x:c r="A3042" s="24" t="str">
        <x:v>PR-B-29마4743-202606</x:v>
      </x:c>
      <x:c r="B3042" s="24" t="str">
        <x:v>프라임구독</x:v>
      </x:c>
      <x:c r="C3042" s="24" t="str">
        <x:v>PR-C-29마4743-1-20231113-108</x:v>
      </x:c>
      <x:c r="D3042" s="24" t="str">
        <x:v>29마4743</x:v>
      </x:c>
      <x:c r="E3042" s="24" t="str">
        <x:v>변재영</x:v>
      </x:c>
      <x:c r="F3042" s="24" t="str">
        <x:v>2026-06</x:v>
      </x:c>
      <x:c r="G3042" s="30" t="n">
        <x:v>46198</x:v>
      </x:c>
      <x:c r="H3042" s="32" t="n">
        <x:v>1109000</x:v>
      </x:c>
      <x:c r="I3042" s="32" t="n">
        <x:v>1109000</x:v>
      </x:c>
      <x:c r="J3042" s="32" t="n">
        <x:v>0</x:v>
      </x:c>
      <x:c r="K3042" s="30" t="n">
        <x:v>46198</x:v>
      </x:c>
      <x:c r="L3042" s="24" t="str">
        <x:v>입금</x:v>
      </x:c>
      <x:c r="M3042" s="31" t="n">
        <x:f>IF(AND(N3042="미수",G3042&lt;&gt;"",TODAY()&gt;G3042),TODAY()-G3042,0)</x:f>
        <x:v>0</x:v>
      </x:c>
      <x:c r="N3042" s="24" t="str">
        <x:f>IF(J3042&gt;0,"미수",IF(AND(H3042&gt;0,I3042&gt;=H3042),"완납","미확인"))</x:f>
        <x:v>완납</x:v>
      </x:c>
      <x:c r="O3042" s="31" t="n">
        <x:v>33</x:v>
      </x:c>
    </x:row>
    <x:row r="3043" ht="17.25" customHeight="1">
      <x:c r="A3043" s="24" t="str">
        <x:v>PR-B-29마4743-202605</x:v>
      </x:c>
      <x:c r="B3043" s="24" t="str">
        <x:v>프라임구독</x:v>
      </x:c>
      <x:c r="C3043" s="24" t="str">
        <x:v>PR-C-29마4743-1-20231113-108</x:v>
      </x:c>
      <x:c r="D3043" s="24" t="str">
        <x:v>29마4743</x:v>
      </x:c>
      <x:c r="E3043" s="24" t="str">
        <x:v>변재영</x:v>
      </x:c>
      <x:c r="F3043" s="24" t="str">
        <x:v>2026-05</x:v>
      </x:c>
      <x:c r="G3043" s="30" t="n">
        <x:v>46167</x:v>
      </x:c>
      <x:c r="H3043" s="32" t="n">
        <x:v>1109000</x:v>
      </x:c>
      <x:c r="I3043" s="32" t="n">
        <x:v>1109000</x:v>
      </x:c>
      <x:c r="J3043" s="32" t="n">
        <x:v>0</x:v>
      </x:c>
      <x:c r="K3043" s="30" t="n">
        <x:v>46168</x:v>
      </x:c>
      <x:c r="L3043" s="24" t="str">
        <x:v>입금</x:v>
      </x:c>
      <x:c r="M3043" s="31" t="n">
        <x:f>IF(AND(N3043="미수",G3043&lt;&gt;"",TODAY()&gt;G3043),TODAY()-G3043,0)</x:f>
        <x:v>0</x:v>
      </x:c>
      <x:c r="N3043" s="24" t="str">
        <x:f>IF(J3043&gt;0,"미수",IF(AND(H3043&gt;0,I3043&gt;=H3043),"완납","미확인"))</x:f>
        <x:v>완납</x:v>
      </x:c>
      <x:c r="O3043" s="31" t="n">
        <x:v>33</x:v>
      </x:c>
    </x:row>
    <x:row r="3044" ht="17.25" customHeight="1">
      <x:c r="A3044" s="24" t="str">
        <x:v>PR-B-29마4743-202604</x:v>
      </x:c>
      <x:c r="B3044" s="24" t="str">
        <x:v>프라임구독</x:v>
      </x:c>
      <x:c r="C3044" s="24" t="str">
        <x:v>PR-C-29마4743-1-20231113-108</x:v>
      </x:c>
      <x:c r="D3044" s="24" t="str">
        <x:v>29마4743</x:v>
      </x:c>
      <x:c r="E3044" s="24" t="str">
        <x:v>변재영</x:v>
      </x:c>
      <x:c r="F3044" s="24" t="str">
        <x:v>2026-04</x:v>
      </x:c>
      <x:c r="G3044" s="30" t="n">
        <x:v>46137</x:v>
      </x:c>
      <x:c r="H3044" s="32" t="n">
        <x:v>1109000</x:v>
      </x:c>
      <x:c r="I3044" s="32" t="n">
        <x:v>1109000</x:v>
      </x:c>
      <x:c r="J3044" s="32" t="n">
        <x:v>0</x:v>
      </x:c>
      <x:c r="K3044" s="30" t="n">
        <x:v>46139</x:v>
      </x:c>
      <x:c r="L3044" s="24" t="str">
        <x:v>입금</x:v>
      </x:c>
      <x:c r="M3044" s="31" t="n">
        <x:f>IF(AND(N3044="미수",G3044&lt;&gt;"",TODAY()&gt;G3044),TODAY()-G3044,0)</x:f>
        <x:v>0</x:v>
      </x:c>
      <x:c r="N3044" s="24" t="str">
        <x:f>IF(J3044&gt;0,"미수",IF(AND(H3044&gt;0,I3044&gt;=H3044),"완납","미확인"))</x:f>
        <x:v>완납</x:v>
      </x:c>
      <x:c r="O3044" s="31" t="n">
        <x:v>33</x:v>
      </x:c>
    </x:row>
    <x:row r="3045" ht="17.25" customHeight="1">
      <x:c r="A3045" s="24" t="str">
        <x:v>PR-B-29마4743-202603</x:v>
      </x:c>
      <x:c r="B3045" s="24" t="str">
        <x:v>프라임구독</x:v>
      </x:c>
      <x:c r="C3045" s="24" t="str">
        <x:v>PR-C-29마4743-1-20231113-108</x:v>
      </x:c>
      <x:c r="D3045" s="24" t="str">
        <x:v>29마4743</x:v>
      </x:c>
      <x:c r="E3045" s="24" t="str">
        <x:v>변재영</x:v>
      </x:c>
      <x:c r="F3045" s="24" t="str">
        <x:v>2026-03</x:v>
      </x:c>
      <x:c r="G3045" s="30" t="n">
        <x:v>46106</x:v>
      </x:c>
      <x:c r="H3045" s="32" t="n">
        <x:v>1109000</x:v>
      </x:c>
      <x:c r="I3045" s="32" t="n">
        <x:v>1109000</x:v>
      </x:c>
      <x:c r="J3045" s="32" t="n">
        <x:v>0</x:v>
      </x:c>
      <x:c r="K3045" s="30" t="n">
        <x:v>46106</x:v>
      </x:c>
      <x:c r="L3045" s="24" t="str">
        <x:v>입금</x:v>
      </x:c>
      <x:c r="M3045" s="31" t="n">
        <x:f>IF(AND(N3045="미수",G3045&lt;&gt;"",TODAY()&gt;G3045),TODAY()-G3045,0)</x:f>
        <x:v>0</x:v>
      </x:c>
      <x:c r="N3045" s="24" t="str">
        <x:f>IF(J3045&gt;0,"미수",IF(AND(H3045&gt;0,I3045&gt;=H3045),"완납","미확인"))</x:f>
        <x:v>완납</x:v>
      </x:c>
      <x:c r="O3045" s="31" t="n">
        <x:v>33</x:v>
      </x:c>
    </x:row>
    <x:row r="3046" ht="17.25" customHeight="1">
      <x:c r="A3046" s="24" t="str">
        <x:v>PR-B-29마4743-202602</x:v>
      </x:c>
      <x:c r="B3046" s="24" t="str">
        <x:v>프라임구독</x:v>
      </x:c>
      <x:c r="C3046" s="24" t="str">
        <x:v>PR-C-29마4743-1-20231113-108</x:v>
      </x:c>
      <x:c r="D3046" s="24" t="str">
        <x:v>29마4743</x:v>
      </x:c>
      <x:c r="E3046" s="24" t="str">
        <x:v>변재영</x:v>
      </x:c>
      <x:c r="F3046" s="24" t="str">
        <x:v>2026-02</x:v>
      </x:c>
      <x:c r="G3046" s="30" t="n">
        <x:v>46078</x:v>
      </x:c>
      <x:c r="H3046" s="32" t="n">
        <x:v>1109000</x:v>
      </x:c>
      <x:c r="I3046" s="32" t="n">
        <x:v>1109000</x:v>
      </x:c>
      <x:c r="J3046" s="32" t="n">
        <x:v>0</x:v>
      </x:c>
      <x:c r="K3046" s="30" t="n">
        <x:v>46078</x:v>
      </x:c>
      <x:c r="L3046" s="24" t="str">
        <x:v>입금</x:v>
      </x:c>
      <x:c r="M3046" s="31" t="n">
        <x:f>IF(AND(N3046="미수",G3046&lt;&gt;"",TODAY()&gt;G3046),TODAY()-G3046,0)</x:f>
        <x:v>0</x:v>
      </x:c>
      <x:c r="N3046" s="24" t="str">
        <x:f>IF(J3046&gt;0,"미수",IF(AND(H3046&gt;0,I3046&gt;=H3046),"완납","미확인"))</x:f>
        <x:v>완납</x:v>
      </x:c>
      <x:c r="O3046" s="31" t="n">
        <x:v>33</x:v>
      </x:c>
    </x:row>
    <x:row r="3047" ht="17.25" customHeight="1">
      <x:c r="A3047" s="24" t="str">
        <x:v>PR-B-29마4743-202601</x:v>
      </x:c>
      <x:c r="B3047" s="24" t="str">
        <x:v>프라임구독</x:v>
      </x:c>
      <x:c r="C3047" s="24" t="str">
        <x:v>PR-C-29마4743-1-20231113-108</x:v>
      </x:c>
      <x:c r="D3047" s="24" t="str">
        <x:v>29마4743</x:v>
      </x:c>
      <x:c r="E3047" s="24" t="str">
        <x:v>변재영</x:v>
      </x:c>
      <x:c r="F3047" s="24" t="str">
        <x:v>2026-01</x:v>
      </x:c>
      <x:c r="G3047" s="30" t="n">
        <x:v>46047</x:v>
      </x:c>
      <x:c r="H3047" s="32" t="n">
        <x:v>1109000</x:v>
      </x:c>
      <x:c r="I3047" s="32" t="n">
        <x:v>1109000</x:v>
      </x:c>
      <x:c r="J3047" s="32" t="n">
        <x:v>0</x:v>
      </x:c>
      <x:c r="K3047" s="30" t="n">
        <x:v>46047</x:v>
      </x:c>
      <x:c r="L3047" s="24" t="str">
        <x:v>입금</x:v>
      </x:c>
      <x:c r="M3047" s="31" t="n">
        <x:f>IF(AND(N3047="미수",G3047&lt;&gt;"",TODAY()&gt;G3047),TODAY()-G3047,0)</x:f>
        <x:v>0</x:v>
      </x:c>
      <x:c r="N3047" s="24" t="str">
        <x:f>IF(J3047&gt;0,"미수",IF(AND(H3047&gt;0,I3047&gt;=H3047),"완납","미확인"))</x:f>
        <x:v>완납</x:v>
      </x:c>
      <x:c r="O3047" s="31" t="n">
        <x:v>33</x:v>
      </x:c>
    </x:row>
    <x:row r="3048" ht="17.25" customHeight="1">
      <x:c r="A3048" s="24" t="str">
        <x:v>PR-B-29마4743-202512</x:v>
      </x:c>
      <x:c r="B3048" s="24" t="str">
        <x:v>프라임구독</x:v>
      </x:c>
      <x:c r="C3048" s="24" t="str">
        <x:v>PR-C-29마4743-1-20231113-108</x:v>
      </x:c>
      <x:c r="D3048" s="24" t="str">
        <x:v>29마4743</x:v>
      </x:c>
      <x:c r="E3048" s="24" t="str">
        <x:v>변재영</x:v>
      </x:c>
      <x:c r="F3048" s="24" t="str">
        <x:v>2025-12</x:v>
      </x:c>
      <x:c r="G3048" s="30" t="n">
        <x:v>46016</x:v>
      </x:c>
      <x:c r="H3048" s="32" t="n">
        <x:v>1109000</x:v>
      </x:c>
      <x:c r="I3048" s="32" t="n">
        <x:v>1109000</x:v>
      </x:c>
      <x:c r="J3048" s="32" t="n">
        <x:v>0</x:v>
      </x:c>
      <x:c r="K3048" s="30" t="n">
        <x:v>46016</x:v>
      </x:c>
      <x:c r="L3048" s="24" t="str">
        <x:v>입금</x:v>
      </x:c>
      <x:c r="M3048" s="31" t="n">
        <x:f>IF(AND(N3048="미수",G3048&lt;&gt;"",TODAY()&gt;G3048),TODAY()-G3048,0)</x:f>
        <x:v>0</x:v>
      </x:c>
      <x:c r="N3048" s="24" t="str">
        <x:f>IF(J3048&gt;0,"미수",IF(AND(H3048&gt;0,I3048&gt;=H3048),"완납","미확인"))</x:f>
        <x:v>완납</x:v>
      </x:c>
      <x:c r="O3048" s="31" t="n">
        <x:v>33</x:v>
      </x:c>
    </x:row>
    <x:row r="3049" ht="17.25" customHeight="1">
      <x:c r="A3049" s="24" t="str">
        <x:v>PR-B-29마4743-202511</x:v>
      </x:c>
      <x:c r="B3049" s="24" t="str">
        <x:v>프라임구독</x:v>
      </x:c>
      <x:c r="C3049" s="24" t="str">
        <x:v>PR-C-29마4743-1-20231113-108</x:v>
      </x:c>
      <x:c r="D3049" s="24" t="str">
        <x:v>29마4743</x:v>
      </x:c>
      <x:c r="E3049" s="24" t="str">
        <x:v>변재영</x:v>
      </x:c>
      <x:c r="F3049" s="24" t="str">
        <x:v>2025-11</x:v>
      </x:c>
      <x:c r="G3049" s="30" t="n">
        <x:v>45986</x:v>
      </x:c>
      <x:c r="H3049" s="32" t="n">
        <x:v>1109000</x:v>
      </x:c>
      <x:c r="I3049" s="32" t="n">
        <x:v>1109000</x:v>
      </x:c>
      <x:c r="J3049" s="32" t="n">
        <x:v>0</x:v>
      </x:c>
      <x:c r="K3049" s="30" t="n">
        <x:v>45986</x:v>
      </x:c>
      <x:c r="L3049" s="24" t="str">
        <x:v>입금</x:v>
      </x:c>
      <x:c r="M3049" s="31" t="n">
        <x:f>IF(AND(N3049="미수",G3049&lt;&gt;"",TODAY()&gt;G3049),TODAY()-G3049,0)</x:f>
        <x:v>0</x:v>
      </x:c>
      <x:c r="N3049" s="24" t="str">
        <x:f>IF(J3049&gt;0,"미수",IF(AND(H3049&gt;0,I3049&gt;=H3049),"완납","미확인"))</x:f>
        <x:v>완납</x:v>
      </x:c>
      <x:c r="O3049" s="31" t="n">
        <x:v>33</x:v>
      </x:c>
    </x:row>
    <x:row r="3050" ht="17.25" customHeight="1">
      <x:c r="A3050" s="24" t="str">
        <x:v>PR-B-29마4743-202510</x:v>
      </x:c>
      <x:c r="B3050" s="24" t="str">
        <x:v>프라임구독</x:v>
      </x:c>
      <x:c r="C3050" s="24" t="str">
        <x:v>PR-C-29마4743-1-20231113-108</x:v>
      </x:c>
      <x:c r="D3050" s="24" t="str">
        <x:v>29마4743</x:v>
      </x:c>
      <x:c r="E3050" s="24" t="str">
        <x:v>변재영</x:v>
      </x:c>
      <x:c r="F3050" s="24" t="str">
        <x:v>2025-10</x:v>
      </x:c>
      <x:c r="G3050" s="30" t="n">
        <x:v>45955</x:v>
      </x:c>
      <x:c r="H3050" s="32" t="n">
        <x:v>1109000</x:v>
      </x:c>
      <x:c r="I3050" s="32" t="n">
        <x:v>1109000</x:v>
      </x:c>
      <x:c r="J3050" s="32" t="n">
        <x:v>0</x:v>
      </x:c>
      <x:c r="K3050" s="30" t="n">
        <x:v>45956</x:v>
      </x:c>
      <x:c r="L3050" s="24" t="str">
        <x:v>입금</x:v>
      </x:c>
      <x:c r="M3050" s="31" t="n">
        <x:f>IF(AND(N3050="미수",G3050&lt;&gt;"",TODAY()&gt;G3050),TODAY()-G3050,0)</x:f>
        <x:v>0</x:v>
      </x:c>
      <x:c r="N3050" s="24" t="str">
        <x:f>IF(J3050&gt;0,"미수",IF(AND(H3050&gt;0,I3050&gt;=H3050),"완납","미확인"))</x:f>
        <x:v>완납</x:v>
      </x:c>
      <x:c r="O3050" s="31" t="n">
        <x:v>33</x:v>
      </x:c>
    </x:row>
    <x:row r="3051" ht="17.25" customHeight="1">
      <x:c r="A3051" s="24" t="str">
        <x:v>PR-B-29마4743-202509</x:v>
      </x:c>
      <x:c r="B3051" s="24" t="str">
        <x:v>프라임구독</x:v>
      </x:c>
      <x:c r="C3051" s="24" t="str">
        <x:v>PR-C-29마4743-1-20231113-108</x:v>
      </x:c>
      <x:c r="D3051" s="24" t="str">
        <x:v>29마4743</x:v>
      </x:c>
      <x:c r="E3051" s="24" t="str">
        <x:v>변재영</x:v>
      </x:c>
      <x:c r="F3051" s="24" t="str">
        <x:v>2025-09</x:v>
      </x:c>
      <x:c r="G3051" s="30" t="n">
        <x:v>45925</x:v>
      </x:c>
      <x:c r="H3051" s="32" t="n">
        <x:v>1109000</x:v>
      </x:c>
      <x:c r="I3051" s="32" t="n">
        <x:v>1109000</x:v>
      </x:c>
      <x:c r="J3051" s="32" t="n">
        <x:v>0</x:v>
      </x:c>
      <x:c r="K3051" s="30" t="n">
        <x:v>45925</x:v>
      </x:c>
      <x:c r="L3051" s="24" t="str">
        <x:v>입금</x:v>
      </x:c>
      <x:c r="M3051" s="31" t="n">
        <x:f>IF(AND(N3051="미수",G3051&lt;&gt;"",TODAY()&gt;G3051),TODAY()-G3051,0)</x:f>
        <x:v>0</x:v>
      </x:c>
      <x:c r="N3051" s="24" t="str">
        <x:f>IF(J3051&gt;0,"미수",IF(AND(H3051&gt;0,I3051&gt;=H3051),"완납","미확인"))</x:f>
        <x:v>완납</x:v>
      </x:c>
      <x:c r="O3051" s="31" t="n">
        <x:v>33</x:v>
      </x:c>
    </x:row>
    <x:row r="3052" ht="17.25" customHeight="1">
      <x:c r="A3052" s="24" t="str">
        <x:v>PR-B-29마4743-202508</x:v>
      </x:c>
      <x:c r="B3052" s="24" t="str">
        <x:v>프라임구독</x:v>
      </x:c>
      <x:c r="C3052" s="24" t="str">
        <x:v>PR-C-29마4743-1-20231113-108</x:v>
      </x:c>
      <x:c r="D3052" s="24" t="str">
        <x:v>29마4743</x:v>
      </x:c>
      <x:c r="E3052" s="24" t="str">
        <x:v>변재영</x:v>
      </x:c>
      <x:c r="F3052" s="24" t="str">
        <x:v>2025-08</x:v>
      </x:c>
      <x:c r="G3052" s="30" t="n">
        <x:v>45894</x:v>
      </x:c>
      <x:c r="H3052" s="32" t="n">
        <x:v>1109000</x:v>
      </x:c>
      <x:c r="I3052" s="32" t="n">
        <x:v>1109000</x:v>
      </x:c>
      <x:c r="J3052" s="32" t="n">
        <x:v>0</x:v>
      </x:c>
      <x:c r="K3052" s="30" t="n">
        <x:v>45894</x:v>
      </x:c>
      <x:c r="L3052" s="24" t="str">
        <x:v>입금</x:v>
      </x:c>
      <x:c r="M3052" s="31" t="n">
        <x:f>IF(AND(N3052="미수",G3052&lt;&gt;"",TODAY()&gt;G3052),TODAY()-G3052,0)</x:f>
        <x:v>0</x:v>
      </x:c>
      <x:c r="N3052" s="24" t="str">
        <x:f>IF(J3052&gt;0,"미수",IF(AND(H3052&gt;0,I3052&gt;=H3052),"완납","미확인"))</x:f>
        <x:v>완납</x:v>
      </x:c>
      <x:c r="O3052" s="31" t="n">
        <x:v>33</x:v>
      </x:c>
    </x:row>
    <x:row r="3053" ht="17.25" customHeight="1">
      <x:c r="A3053" s="24" t="str">
        <x:v>PR-B-29마4743-202507</x:v>
      </x:c>
      <x:c r="B3053" s="24" t="str">
        <x:v>프라임구독</x:v>
      </x:c>
      <x:c r="C3053" s="24" t="str">
        <x:v>PR-C-29마4743-1-20231113-108</x:v>
      </x:c>
      <x:c r="D3053" s="24" t="str">
        <x:v>29마4743</x:v>
      </x:c>
      <x:c r="E3053" s="24" t="str">
        <x:v>변재영</x:v>
      </x:c>
      <x:c r="F3053" s="24" t="str">
        <x:v>2025-07</x:v>
      </x:c>
      <x:c r="G3053" s="30" t="n">
        <x:v>45863</x:v>
      </x:c>
      <x:c r="H3053" s="32" t="n">
        <x:v>1109000</x:v>
      </x:c>
      <x:c r="I3053" s="32" t="n">
        <x:v>1109000</x:v>
      </x:c>
      <x:c r="J3053" s="32" t="n">
        <x:v>0</x:v>
      </x:c>
      <x:c r="K3053" s="30" t="n">
        <x:v>45863</x:v>
      </x:c>
      <x:c r="L3053" s="24" t="str">
        <x:v>입금</x:v>
      </x:c>
      <x:c r="M3053" s="31" t="n">
        <x:f>IF(AND(N3053="미수",G3053&lt;&gt;"",TODAY()&gt;G3053),TODAY()-G3053,0)</x:f>
        <x:v>0</x:v>
      </x:c>
      <x:c r="N3053" s="24" t="str">
        <x:f>IF(J3053&gt;0,"미수",IF(AND(H3053&gt;0,I3053&gt;=H3053),"완납","미확인"))</x:f>
        <x:v>완납</x:v>
      </x:c>
      <x:c r="O3053" s="31" t="n">
        <x:v>33</x:v>
      </x:c>
    </x:row>
    <x:row r="3054" ht="17.25" customHeight="1">
      <x:c r="A3054" s="24" t="str">
        <x:v>PR-B-29마4743-202506</x:v>
      </x:c>
      <x:c r="B3054" s="24" t="str">
        <x:v>프라임구독</x:v>
      </x:c>
      <x:c r="C3054" s="24" t="str">
        <x:v>PR-C-29마4743-1-20231113-108</x:v>
      </x:c>
      <x:c r="D3054" s="24" t="str">
        <x:v>29마4743</x:v>
      </x:c>
      <x:c r="E3054" s="24" t="str">
        <x:v>변재영</x:v>
      </x:c>
      <x:c r="F3054" s="24" t="str">
        <x:v>2025-06</x:v>
      </x:c>
      <x:c r="G3054" s="30" t="n">
        <x:v>45833</x:v>
      </x:c>
      <x:c r="H3054" s="32" t="n">
        <x:v>1109000</x:v>
      </x:c>
      <x:c r="I3054" s="32" t="n">
        <x:v>1109000</x:v>
      </x:c>
      <x:c r="J3054" s="32" t="n">
        <x:v>0</x:v>
      </x:c>
      <x:c r="K3054" s="30" t="n">
        <x:v>45833</x:v>
      </x:c>
      <x:c r="L3054" s="24" t="str">
        <x:v>입금</x:v>
      </x:c>
      <x:c r="M3054" s="31" t="n">
        <x:f>IF(AND(N3054="미수",G3054&lt;&gt;"",TODAY()&gt;G3054),TODAY()-G3054,0)</x:f>
        <x:v>0</x:v>
      </x:c>
      <x:c r="N3054" s="24" t="str">
        <x:f>IF(J3054&gt;0,"미수",IF(AND(H3054&gt;0,I3054&gt;=H3054),"완납","미확인"))</x:f>
        <x:v>완납</x:v>
      </x:c>
      <x:c r="O3054" s="31" t="n">
        <x:v>33</x:v>
      </x:c>
    </x:row>
    <x:row r="3055" ht="17.25" customHeight="1">
      <x:c r="A3055" s="24" t="str">
        <x:v>PR-B-29마4743-202505</x:v>
      </x:c>
      <x:c r="B3055" s="24" t="str">
        <x:v>프라임구독</x:v>
      </x:c>
      <x:c r="C3055" s="24" t="str">
        <x:v>PR-C-29마4743-1-20231113-108</x:v>
      </x:c>
      <x:c r="D3055" s="24" t="str">
        <x:v>29마4743</x:v>
      </x:c>
      <x:c r="E3055" s="24" t="str">
        <x:v>변재영</x:v>
      </x:c>
      <x:c r="F3055" s="24" t="str">
        <x:v>2025-05</x:v>
      </x:c>
      <x:c r="G3055" s="30" t="n">
        <x:v>45802</x:v>
      </x:c>
      <x:c r="H3055" s="32" t="n">
        <x:v>1109000</x:v>
      </x:c>
      <x:c r="I3055" s="32" t="n">
        <x:v>1109000</x:v>
      </x:c>
      <x:c r="J3055" s="32" t="n">
        <x:v>0</x:v>
      </x:c>
      <x:c r="K3055" s="30" t="n">
        <x:v>45802</x:v>
      </x:c>
      <x:c r="L3055" s="24" t="str">
        <x:v>입금</x:v>
      </x:c>
      <x:c r="M3055" s="31" t="n">
        <x:f>IF(AND(N3055="미수",G3055&lt;&gt;"",TODAY()&gt;G3055),TODAY()-G3055,0)</x:f>
        <x:v>0</x:v>
      </x:c>
      <x:c r="N3055" s="24" t="str">
        <x:f>IF(J3055&gt;0,"미수",IF(AND(H3055&gt;0,I3055&gt;=H3055),"완납","미확인"))</x:f>
        <x:v>완납</x:v>
      </x:c>
      <x:c r="O3055" s="31" t="n">
        <x:v>33</x:v>
      </x:c>
    </x:row>
    <x:row r="3056" ht="17.25" customHeight="1">
      <x:c r="A3056" s="24" t="str">
        <x:v>PR-B-29마4743-202504</x:v>
      </x:c>
      <x:c r="B3056" s="24" t="str">
        <x:v>프라임구독</x:v>
      </x:c>
      <x:c r="C3056" s="24" t="str">
        <x:v>PR-C-29마4743-1-20231113-108</x:v>
      </x:c>
      <x:c r="D3056" s="24" t="str">
        <x:v>29마4743</x:v>
      </x:c>
      <x:c r="E3056" s="24" t="str">
        <x:v>변재영</x:v>
      </x:c>
      <x:c r="F3056" s="24" t="str">
        <x:v>2025-04</x:v>
      </x:c>
      <x:c r="G3056" s="30" t="n">
        <x:v>45772</x:v>
      </x:c>
      <x:c r="H3056" s="32" t="n">
        <x:v>1109000</x:v>
      </x:c>
      <x:c r="I3056" s="32" t="n">
        <x:v>1109000</x:v>
      </x:c>
      <x:c r="J3056" s="32" t="n">
        <x:v>0</x:v>
      </x:c>
      <x:c r="K3056" s="30" t="n">
        <x:v>45772</x:v>
      </x:c>
      <x:c r="L3056" s="24" t="str">
        <x:v>입금</x:v>
      </x:c>
      <x:c r="M3056" s="31" t="n">
        <x:f>IF(AND(N3056="미수",G3056&lt;&gt;"",TODAY()&gt;G3056),TODAY()-G3056,0)</x:f>
        <x:v>0</x:v>
      </x:c>
      <x:c r="N3056" s="24" t="str">
        <x:f>IF(J3056&gt;0,"미수",IF(AND(H3056&gt;0,I3056&gt;=H3056),"완납","미확인"))</x:f>
        <x:v>완납</x:v>
      </x:c>
      <x:c r="O3056" s="31" t="n">
        <x:v>33</x:v>
      </x:c>
    </x:row>
    <x:row r="3057" ht="17.25" customHeight="1">
      <x:c r="A3057" s="24" t="str">
        <x:v>PR-B-29마4743-202503</x:v>
      </x:c>
      <x:c r="B3057" s="24" t="str">
        <x:v>프라임구독</x:v>
      </x:c>
      <x:c r="C3057" s="24" t="str">
        <x:v>PR-C-29마4743-1-20231113-108</x:v>
      </x:c>
      <x:c r="D3057" s="24" t="str">
        <x:v>29마4743</x:v>
      </x:c>
      <x:c r="E3057" s="24" t="str">
        <x:v>변재영</x:v>
      </x:c>
      <x:c r="F3057" s="24" t="str">
        <x:v>2025-03</x:v>
      </x:c>
      <x:c r="G3057" s="30" t="n">
        <x:v>45741</x:v>
      </x:c>
      <x:c r="H3057" s="32" t="n">
        <x:v>1109000</x:v>
      </x:c>
      <x:c r="I3057" s="32" t="n">
        <x:v>1109000</x:v>
      </x:c>
      <x:c r="J3057" s="32" t="n">
        <x:v>0</x:v>
      </x:c>
      <x:c r="K3057" s="30" t="n">
        <x:v>45740</x:v>
      </x:c>
      <x:c r="L3057" s="24" t="str">
        <x:v>입금</x:v>
      </x:c>
      <x:c r="M3057" s="31" t="n">
        <x:f>IF(AND(N3057="미수",G3057&lt;&gt;"",TODAY()&gt;G3057),TODAY()-G3057,0)</x:f>
        <x:v>0</x:v>
      </x:c>
      <x:c r="N3057" s="24" t="str">
        <x:f>IF(J3057&gt;0,"미수",IF(AND(H3057&gt;0,I3057&gt;=H3057),"완납","미확인"))</x:f>
        <x:v>완납</x:v>
      </x:c>
      <x:c r="O3057" s="31" t="n">
        <x:v>33</x:v>
      </x:c>
    </x:row>
    <x:row r="3058" ht="17.25" customHeight="1">
      <x:c r="A3058" s="24" t="str">
        <x:v>PR-B-29마4743-202502</x:v>
      </x:c>
      <x:c r="B3058" s="24" t="str">
        <x:v>프라임구독</x:v>
      </x:c>
      <x:c r="C3058" s="24" t="str">
        <x:v>PR-C-29마4743-1-20231113-108</x:v>
      </x:c>
      <x:c r="D3058" s="24" t="str">
        <x:v>29마4743</x:v>
      </x:c>
      <x:c r="E3058" s="24" t="str">
        <x:v>변재영</x:v>
      </x:c>
      <x:c r="F3058" s="24" t="str">
        <x:v>2025-02</x:v>
      </x:c>
      <x:c r="G3058" s="30" t="n">
        <x:v>45713</x:v>
      </x:c>
      <x:c r="H3058" s="32" t="n">
        <x:v>1109000</x:v>
      </x:c>
      <x:c r="I3058" s="32" t="n">
        <x:v>1109000</x:v>
      </x:c>
      <x:c r="J3058" s="32" t="n">
        <x:v>0</x:v>
      </x:c>
      <x:c r="K3058" s="30" t="n">
        <x:v>45714</x:v>
      </x:c>
      <x:c r="L3058" s="24" t="str">
        <x:v>입금</x:v>
      </x:c>
      <x:c r="M3058" s="31" t="n">
        <x:f>IF(AND(N3058="미수",G3058&lt;&gt;"",TODAY()&gt;G3058),TODAY()-G3058,0)</x:f>
        <x:v>0</x:v>
      </x:c>
      <x:c r="N3058" s="24" t="str">
        <x:f>IF(J3058&gt;0,"미수",IF(AND(H3058&gt;0,I3058&gt;=H3058),"완납","미확인"))</x:f>
        <x:v>완납</x:v>
      </x:c>
      <x:c r="O3058" s="31" t="n">
        <x:v>33</x:v>
      </x:c>
    </x:row>
    <x:row r="3059" ht="17.25" customHeight="1">
      <x:c r="A3059" s="24" t="str">
        <x:v>PR-B-29마4743-202501</x:v>
      </x:c>
      <x:c r="B3059" s="24" t="str">
        <x:v>프라임구독</x:v>
      </x:c>
      <x:c r="C3059" s="24" t="str">
        <x:v>PR-C-29마4743-1-20231113-108</x:v>
      </x:c>
      <x:c r="D3059" s="24" t="str">
        <x:v>29마4743</x:v>
      </x:c>
      <x:c r="E3059" s="24" t="str">
        <x:v>변재영</x:v>
      </x:c>
      <x:c r="F3059" s="24" t="str">
        <x:v>2025-01</x:v>
      </x:c>
      <x:c r="G3059" s="30" t="n">
        <x:v>45682</x:v>
      </x:c>
      <x:c r="H3059" s="32" t="n">
        <x:v>1109000</x:v>
      </x:c>
      <x:c r="I3059" s="32" t="n">
        <x:v>1109000</x:v>
      </x:c>
      <x:c r="J3059" s="32" t="n">
        <x:v>0</x:v>
      </x:c>
      <x:c r="K3059" s="30" t="n">
        <x:v>45688</x:v>
      </x:c>
      <x:c r="L3059" s="24" t="str">
        <x:v>입금</x:v>
      </x:c>
      <x:c r="M3059" s="31" t="n">
        <x:f>IF(AND(N3059="미수",G3059&lt;&gt;"",TODAY()&gt;G3059),TODAY()-G3059,0)</x:f>
        <x:v>0</x:v>
      </x:c>
      <x:c r="N3059" s="24" t="str">
        <x:f>IF(J3059&gt;0,"미수",IF(AND(H3059&gt;0,I3059&gt;=H3059),"완납","미확인"))</x:f>
        <x:v>완납</x:v>
      </x:c>
      <x:c r="O3059" s="31" t="n">
        <x:v>33</x:v>
      </x:c>
    </x:row>
    <x:row r="3060" ht="17.25" customHeight="1">
      <x:c r="A3060" s="24" t="str">
        <x:v>PR-B-29마4743-202412</x:v>
      </x:c>
      <x:c r="B3060" s="24" t="str">
        <x:v>프라임구독</x:v>
      </x:c>
      <x:c r="C3060" s="24" t="str">
        <x:v>PR-C-29마4743-1-20231113-108</x:v>
      </x:c>
      <x:c r="D3060" s="24" t="str">
        <x:v>29마4743</x:v>
      </x:c>
      <x:c r="E3060" s="24" t="str">
        <x:v>변재영</x:v>
      </x:c>
      <x:c r="F3060" s="24" t="str">
        <x:v>2024-12</x:v>
      </x:c>
      <x:c r="G3060" s="30" t="n">
        <x:v>45651</x:v>
      </x:c>
      <x:c r="H3060" s="32" t="n">
        <x:v>1109000</x:v>
      </x:c>
      <x:c r="I3060" s="32" t="n">
        <x:v>1109000</x:v>
      </x:c>
      <x:c r="J3060" s="32" t="n">
        <x:v>0</x:v>
      </x:c>
      <x:c r="K3060" s="30" t="n">
        <x:v>45653</x:v>
      </x:c>
      <x:c r="L3060" s="24" t="str">
        <x:v>입금</x:v>
      </x:c>
      <x:c r="M3060" s="31" t="n">
        <x:f>IF(AND(N3060="미수",G3060&lt;&gt;"",TODAY()&gt;G3060),TODAY()-G3060,0)</x:f>
        <x:v>0</x:v>
      </x:c>
      <x:c r="N3060" s="24" t="str">
        <x:f>IF(J3060&gt;0,"미수",IF(AND(H3060&gt;0,I3060&gt;=H3060),"완납","미확인"))</x:f>
        <x:v>완납</x:v>
      </x:c>
      <x:c r="O3060" s="31" t="n">
        <x:v>33</x:v>
      </x:c>
    </x:row>
    <x:row r="3061" ht="17.25" customHeight="1">
      <x:c r="A3061" s="24" t="str">
        <x:v>PR-B-29마4743-202411</x:v>
      </x:c>
      <x:c r="B3061" s="24" t="str">
        <x:v>프라임구독</x:v>
      </x:c>
      <x:c r="C3061" s="24" t="str">
        <x:v>PR-C-29마4743-1-20231113-108</x:v>
      </x:c>
      <x:c r="D3061" s="24" t="str">
        <x:v>29마4743</x:v>
      </x:c>
      <x:c r="E3061" s="24" t="str">
        <x:v>변재영</x:v>
      </x:c>
      <x:c r="F3061" s="24" t="str">
        <x:v>2024-11</x:v>
      </x:c>
      <x:c r="G3061" s="30" t="n">
        <x:v>45621</x:v>
      </x:c>
      <x:c r="H3061" s="32" t="n">
        <x:v>1109000</x:v>
      </x:c>
      <x:c r="I3061" s="32" t="n">
        <x:v>1109000</x:v>
      </x:c>
      <x:c r="J3061" s="32" t="n">
        <x:v>0</x:v>
      </x:c>
      <x:c r="K3061" s="30" t="n">
        <x:v>45620</x:v>
      </x:c>
      <x:c r="L3061" s="24" t="str">
        <x:v>입금</x:v>
      </x:c>
      <x:c r="M3061" s="31" t="n">
        <x:f>IF(AND(N3061="미수",G3061&lt;&gt;"",TODAY()&gt;G3061),TODAY()-G3061,0)</x:f>
        <x:v>0</x:v>
      </x:c>
      <x:c r="N3061" s="24" t="str">
        <x:f>IF(J3061&gt;0,"미수",IF(AND(H3061&gt;0,I3061&gt;=H3061),"완납","미확인"))</x:f>
        <x:v>완납</x:v>
      </x:c>
      <x:c r="O3061" s="31" t="n">
        <x:v>33</x:v>
      </x:c>
    </x:row>
    <x:row r="3062" ht="17.25" customHeight="1">
      <x:c r="A3062" s="24" t="str">
        <x:v>PR-B-29마4743-202410</x:v>
      </x:c>
      <x:c r="B3062" s="24" t="str">
        <x:v>프라임구독</x:v>
      </x:c>
      <x:c r="C3062" s="24" t="str">
        <x:v>PR-C-29마4743-1-20231113-108</x:v>
      </x:c>
      <x:c r="D3062" s="24" t="str">
        <x:v>29마4743</x:v>
      </x:c>
      <x:c r="E3062" s="24" t="str">
        <x:v>변재영</x:v>
      </x:c>
      <x:c r="F3062" s="24" t="str">
        <x:v>2024-10</x:v>
      </x:c>
      <x:c r="G3062" s="30" t="n">
        <x:v>45590</x:v>
      </x:c>
      <x:c r="H3062" s="32" t="n">
        <x:v>1109000</x:v>
      </x:c>
      <x:c r="I3062" s="32" t="n">
        <x:v>1109000</x:v>
      </x:c>
      <x:c r="J3062" s="32" t="n">
        <x:v>0</x:v>
      </x:c>
      <x:c r="K3062" s="30" t="n">
        <x:v>45590</x:v>
      </x:c>
      <x:c r="L3062" s="24" t="str">
        <x:v>입금</x:v>
      </x:c>
      <x:c r="M3062" s="31" t="n">
        <x:f>IF(AND(N3062="미수",G3062&lt;&gt;"",TODAY()&gt;G3062),TODAY()-G3062,0)</x:f>
        <x:v>0</x:v>
      </x:c>
      <x:c r="N3062" s="24" t="str">
        <x:f>IF(J3062&gt;0,"미수",IF(AND(H3062&gt;0,I3062&gt;=H3062),"완납","미확인"))</x:f>
        <x:v>완납</x:v>
      </x:c>
      <x:c r="O3062" s="31" t="n">
        <x:v>33</x:v>
      </x:c>
    </x:row>
    <x:row r="3063" ht="17.25" customHeight="1">
      <x:c r="A3063" s="24" t="str">
        <x:v>PR-B-29마4743-202409</x:v>
      </x:c>
      <x:c r="B3063" s="24" t="str">
        <x:v>프라임구독</x:v>
      </x:c>
      <x:c r="C3063" s="24" t="str">
        <x:v>PR-C-29마4743-1-20231113-108</x:v>
      </x:c>
      <x:c r="D3063" s="24" t="str">
        <x:v>29마4743</x:v>
      </x:c>
      <x:c r="E3063" s="24" t="str">
        <x:v>변재영</x:v>
      </x:c>
      <x:c r="F3063" s="24" t="str">
        <x:v>2024-09</x:v>
      </x:c>
      <x:c r="G3063" s="30" t="n">
        <x:v>45560</x:v>
      </x:c>
      <x:c r="H3063" s="32" t="n">
        <x:v>1109000</x:v>
      </x:c>
      <x:c r="I3063" s="32" t="n">
        <x:v>1109000</x:v>
      </x:c>
      <x:c r="J3063" s="32" t="n">
        <x:v>0</x:v>
      </x:c>
      <x:c r="K3063" s="30" t="n">
        <x:v>45559</x:v>
      </x:c>
      <x:c r="L3063" s="24" t="str">
        <x:v>입금</x:v>
      </x:c>
      <x:c r="M3063" s="31" t="n">
        <x:f>IF(AND(N3063="미수",G3063&lt;&gt;"",TODAY()&gt;G3063),TODAY()-G3063,0)</x:f>
        <x:v>0</x:v>
      </x:c>
      <x:c r="N3063" s="24" t="str">
        <x:f>IF(J3063&gt;0,"미수",IF(AND(H3063&gt;0,I3063&gt;=H3063),"완납","미확인"))</x:f>
        <x:v>완납</x:v>
      </x:c>
      <x:c r="O3063" s="31" t="n">
        <x:v>33</x:v>
      </x:c>
    </x:row>
    <x:row r="3064" ht="17.25" customHeight="1">
      <x:c r="A3064" s="24" t="str">
        <x:v>PR-B-29마4743-202408</x:v>
      </x:c>
      <x:c r="B3064" s="24" t="str">
        <x:v>프라임구독</x:v>
      </x:c>
      <x:c r="C3064" s="24" t="str">
        <x:v>PR-C-29마4743-1-20231113-108</x:v>
      </x:c>
      <x:c r="D3064" s="24" t="str">
        <x:v>29마4743</x:v>
      </x:c>
      <x:c r="E3064" s="24" t="str">
        <x:v>변재영</x:v>
      </x:c>
      <x:c r="F3064" s="24" t="str">
        <x:v>2024-08</x:v>
      </x:c>
      <x:c r="G3064" s="30" t="n">
        <x:v>45529</x:v>
      </x:c>
      <x:c r="H3064" s="32" t="n">
        <x:v>1109000</x:v>
      </x:c>
      <x:c r="I3064" s="32" t="n">
        <x:v>1109000</x:v>
      </x:c>
      <x:c r="J3064" s="32" t="n">
        <x:v>0</x:v>
      </x:c>
      <x:c r="K3064" s="30" t="n">
        <x:v>45529</x:v>
      </x:c>
      <x:c r="L3064" s="24" t="str">
        <x:v>입금</x:v>
      </x:c>
      <x:c r="M3064" s="31" t="n">
        <x:f>IF(AND(N3064="미수",G3064&lt;&gt;"",TODAY()&gt;G3064),TODAY()-G3064,0)</x:f>
        <x:v>0</x:v>
      </x:c>
      <x:c r="N3064" s="24" t="str">
        <x:f>IF(J3064&gt;0,"미수",IF(AND(H3064&gt;0,I3064&gt;=H3064),"완납","미확인"))</x:f>
        <x:v>완납</x:v>
      </x:c>
      <x:c r="O3064" s="31" t="n">
        <x:v>33</x:v>
      </x:c>
    </x:row>
    <x:row r="3065" ht="17.25" customHeight="1">
      <x:c r="A3065" s="24" t="str">
        <x:v>PR-B-29마4743-202407</x:v>
      </x:c>
      <x:c r="B3065" s="24" t="str">
        <x:v>프라임구독</x:v>
      </x:c>
      <x:c r="C3065" s="24" t="str">
        <x:v>PR-C-29마4743-1-20231113-108</x:v>
      </x:c>
      <x:c r="D3065" s="24" t="str">
        <x:v>29마4743</x:v>
      </x:c>
      <x:c r="E3065" s="24" t="str">
        <x:v>변재영</x:v>
      </x:c>
      <x:c r="F3065" s="24" t="str">
        <x:v>2024-07</x:v>
      </x:c>
      <x:c r="G3065" s="30" t="n">
        <x:v>45498</x:v>
      </x:c>
      <x:c r="H3065" s="32" t="n">
        <x:v>1109000</x:v>
      </x:c>
      <x:c r="I3065" s="32" t="n">
        <x:v>1109000</x:v>
      </x:c>
      <x:c r="J3065" s="32" t="n">
        <x:v>0</x:v>
      </x:c>
      <x:c r="K3065" s="30" t="n">
        <x:v>45497</x:v>
      </x:c>
      <x:c r="L3065" s="24" t="str">
        <x:v>입금</x:v>
      </x:c>
      <x:c r="M3065" s="31" t="n">
        <x:f>IF(AND(N3065="미수",G3065&lt;&gt;"",TODAY()&gt;G3065),TODAY()-G3065,0)</x:f>
        <x:v>0</x:v>
      </x:c>
      <x:c r="N3065" s="24" t="str">
        <x:f>IF(J3065&gt;0,"미수",IF(AND(H3065&gt;0,I3065&gt;=H3065),"완납","미확인"))</x:f>
        <x:v>완납</x:v>
      </x:c>
      <x:c r="O3065" s="31" t="n">
        <x:v>33</x:v>
      </x:c>
    </x:row>
    <x:row r="3066" ht="17.25" customHeight="1">
      <x:c r="A3066" s="24" t="str">
        <x:v>PR-B-29마4743-202406</x:v>
      </x:c>
      <x:c r="B3066" s="24" t="str">
        <x:v>프라임구독</x:v>
      </x:c>
      <x:c r="C3066" s="24" t="str">
        <x:v>PR-C-29마4743-1-20231113-108</x:v>
      </x:c>
      <x:c r="D3066" s="24" t="str">
        <x:v>29마4743</x:v>
      </x:c>
      <x:c r="E3066" s="24" t="str">
        <x:v>변재영</x:v>
      </x:c>
      <x:c r="F3066" s="24" t="str">
        <x:v>2024-06</x:v>
      </x:c>
      <x:c r="G3066" s="30" t="n">
        <x:v>45468</x:v>
      </x:c>
      <x:c r="H3066" s="32" t="n">
        <x:v>1109000</x:v>
      </x:c>
      <x:c r="I3066" s="32" t="n">
        <x:v>1109000</x:v>
      </x:c>
      <x:c r="J3066" s="32" t="n">
        <x:v>0</x:v>
      </x:c>
      <x:c r="K3066" s="30" t="n">
        <x:v>45467</x:v>
      </x:c>
      <x:c r="L3066" s="24" t="str"/>
      <x:c r="M3066" s="31" t="n">
        <x:f>IF(AND(N3066="미수",G3066&lt;&gt;"",TODAY()&gt;G3066),TODAY()-G3066,0)</x:f>
        <x:v>0</x:v>
      </x:c>
      <x:c r="N3066" s="24" t="str">
        <x:f>IF(J3066&gt;0,"미수",IF(AND(H3066&gt;0,I3066&gt;=H3066),"완납","미확인"))</x:f>
        <x:v>완납</x:v>
      </x:c>
      <x:c r="O3066" s="31" t="n">
        <x:v>33</x:v>
      </x:c>
    </x:row>
    <x:row r="3067" ht="17.25" customHeight="1">
      <x:c r="A3067" s="24" t="str">
        <x:v>PR-B-29마4743-202405</x:v>
      </x:c>
      <x:c r="B3067" s="24" t="str">
        <x:v>프라임구독</x:v>
      </x:c>
      <x:c r="C3067" s="24" t="str">
        <x:v>PR-C-29마4743-1-20231113-108</x:v>
      </x:c>
      <x:c r="D3067" s="24" t="str">
        <x:v>29마4743</x:v>
      </x:c>
      <x:c r="E3067" s="24" t="str">
        <x:v>변재영</x:v>
      </x:c>
      <x:c r="F3067" s="24" t="str">
        <x:v>2024-05</x:v>
      </x:c>
      <x:c r="G3067" s="30" t="n">
        <x:v>45437</x:v>
      </x:c>
      <x:c r="H3067" s="32" t="n">
        <x:v>1109000</x:v>
      </x:c>
      <x:c r="I3067" s="32" t="n">
        <x:v>1109000</x:v>
      </x:c>
      <x:c r="J3067" s="32" t="n">
        <x:v>0</x:v>
      </x:c>
      <x:c r="K3067" s="30" t="n">
        <x:v>45440</x:v>
      </x:c>
      <x:c r="L3067" s="24" t="str"/>
      <x:c r="M3067" s="31" t="n">
        <x:f>IF(AND(N3067="미수",G3067&lt;&gt;"",TODAY()&gt;G3067),TODAY()-G3067,0)</x:f>
        <x:v>0</x:v>
      </x:c>
      <x:c r="N3067" s="24" t="str">
        <x:f>IF(J3067&gt;0,"미수",IF(AND(H3067&gt;0,I3067&gt;=H3067),"완납","미확인"))</x:f>
        <x:v>완납</x:v>
      </x:c>
      <x:c r="O3067" s="31" t="n">
        <x:v>33</x:v>
      </x:c>
    </x:row>
    <x:row r="3068" ht="17.25" customHeight="1">
      <x:c r="A3068" s="24" t="str">
        <x:v>PR-B-14도4653-202608</x:v>
      </x:c>
      <x:c r="B3068" s="24" t="str">
        <x:v>프라임구독</x:v>
      </x:c>
      <x:c r="C3068" s="24" t="str">
        <x:v>PR-C-14도4653-1-20240221-46</x:v>
      </x:c>
      <x:c r="D3068" s="24" t="str">
        <x:v>14도4653</x:v>
      </x:c>
      <x:c r="E3068" s="24" t="str">
        <x:v>백혜리</x:v>
      </x:c>
      <x:c r="F3068" s="24" t="str">
        <x:v>2026-08</x:v>
      </x:c>
      <x:c r="G3068" s="30" t="n">
        <x:v>46239</x:v>
      </x:c>
      <x:c r="H3068" s="32" t="n">
        <x:v>381000</x:v>
      </x:c>
      <x:c r="I3068" s="32"/>
      <x:c r="J3068" s="32" t="n">
        <x:v>381000</x:v>
      </x:c>
      <x:c r="K3068" s="30"/>
      <x:c r="L3068" s="24" t="str"/>
      <x:c r="M3068" s="31" t="n">
        <x:f>IF(AND(N3068="미수",G3068&lt;&gt;"",TODAY()&gt;G3068),TODAY()-G3068,0)</x:f>
        <x:v>10</x:v>
      </x:c>
      <x:c r="N3068" s="24" t="str">
        <x:f>IF(J3068&gt;0,"미수",IF(AND(H3068&gt;0,I3068&gt;=H3068),"완납","미확인"))</x:f>
        <x:v>미수</x:v>
      </x:c>
      <x:c r="O3068" s="31" t="n">
        <x:v>34</x:v>
      </x:c>
    </x:row>
    <x:row r="3069" ht="17.25" customHeight="1">
      <x:c r="A3069" s="24" t="str">
        <x:v>PR-B-14도4653-202607</x:v>
      </x:c>
      <x:c r="B3069" s="24" t="str">
        <x:v>프라임구독</x:v>
      </x:c>
      <x:c r="C3069" s="24" t="str">
        <x:v>PR-C-14도4653-1-20240221-46</x:v>
      </x:c>
      <x:c r="D3069" s="24" t="str">
        <x:v>14도4653</x:v>
      </x:c>
      <x:c r="E3069" s="24" t="str">
        <x:v>백혜리</x:v>
      </x:c>
      <x:c r="F3069" s="24" t="str">
        <x:v>2026-07</x:v>
      </x:c>
      <x:c r="G3069" s="30" t="n">
        <x:v>46208</x:v>
      </x:c>
      <x:c r="H3069" s="32" t="n">
        <x:v>381000</x:v>
      </x:c>
      <x:c r="I3069" s="32" t="n">
        <x:v>381000</x:v>
      </x:c>
      <x:c r="J3069" s="32" t="n">
        <x:v>0</x:v>
      </x:c>
      <x:c r="K3069" s="30" t="n">
        <x:v>46209</x:v>
      </x:c>
      <x:c r="L3069" s="24" t="str">
        <x:v>자동</x:v>
      </x:c>
      <x:c r="M3069" s="31" t="n">
        <x:f>IF(AND(N3069="미수",G3069&lt;&gt;"",TODAY()&gt;G3069),TODAY()-G3069,0)</x:f>
        <x:v>0</x:v>
      </x:c>
      <x:c r="N3069" s="24" t="str">
        <x:f>IF(J3069&gt;0,"미수",IF(AND(H3069&gt;0,I3069&gt;=H3069),"완납","미확인"))</x:f>
        <x:v>완납</x:v>
      </x:c>
      <x:c r="O3069" s="31" t="n">
        <x:v>34</x:v>
      </x:c>
    </x:row>
    <x:row r="3070" ht="17.25" customHeight="1">
      <x:c r="A3070" s="24" t="str">
        <x:v>PR-B-14도4653-202606</x:v>
      </x:c>
      <x:c r="B3070" s="24" t="str">
        <x:v>프라임구독</x:v>
      </x:c>
      <x:c r="C3070" s="24" t="str">
        <x:v>PR-C-14도4653-1-20240221-46</x:v>
      </x:c>
      <x:c r="D3070" s="24" t="str">
        <x:v>14도4653</x:v>
      </x:c>
      <x:c r="E3070" s="24" t="str">
        <x:v>백혜리</x:v>
      </x:c>
      <x:c r="F3070" s="24" t="str">
        <x:v>2026-06</x:v>
      </x:c>
      <x:c r="G3070" s="30" t="n">
        <x:v>46178</x:v>
      </x:c>
      <x:c r="H3070" s="32" t="n">
        <x:v>381000</x:v>
      </x:c>
      <x:c r="I3070" s="32" t="n">
        <x:v>381000</x:v>
      </x:c>
      <x:c r="J3070" s="32" t="n">
        <x:v>0</x:v>
      </x:c>
      <x:c r="K3070" s="30" t="n">
        <x:v>46178</x:v>
      </x:c>
      <x:c r="L3070" s="24" t="str">
        <x:v>자동</x:v>
      </x:c>
      <x:c r="M3070" s="31" t="n">
        <x:f>IF(AND(N3070="미수",G3070&lt;&gt;"",TODAY()&gt;G3070),TODAY()-G3070,0)</x:f>
        <x:v>0</x:v>
      </x:c>
      <x:c r="N3070" s="24" t="str">
        <x:f>IF(J3070&gt;0,"미수",IF(AND(H3070&gt;0,I3070&gt;=H3070),"완납","미확인"))</x:f>
        <x:v>완납</x:v>
      </x:c>
      <x:c r="O3070" s="31" t="n">
        <x:v>34</x:v>
      </x:c>
    </x:row>
    <x:row r="3071" ht="17.25" customHeight="1">
      <x:c r="A3071" s="24" t="str">
        <x:v>PR-B-14도4653-202605</x:v>
      </x:c>
      <x:c r="B3071" s="24" t="str">
        <x:v>프라임구독</x:v>
      </x:c>
      <x:c r="C3071" s="24" t="str">
        <x:v>PR-C-14도4653-1-20240221-46</x:v>
      </x:c>
      <x:c r="D3071" s="24" t="str">
        <x:v>14도4653</x:v>
      </x:c>
      <x:c r="E3071" s="24" t="str">
        <x:v>백혜리</x:v>
      </x:c>
      <x:c r="F3071" s="24" t="str">
        <x:v>2026-05</x:v>
      </x:c>
      <x:c r="G3071" s="30" t="n">
        <x:v>46147</x:v>
      </x:c>
      <x:c r="H3071" s="32" t="n">
        <x:v>381000</x:v>
      </x:c>
      <x:c r="I3071" s="32" t="n">
        <x:v>381000</x:v>
      </x:c>
      <x:c r="J3071" s="32" t="n">
        <x:v>0</x:v>
      </x:c>
      <x:c r="K3071" s="30" t="n">
        <x:v>46147</x:v>
      </x:c>
      <x:c r="L3071" s="24" t="str">
        <x:v>자동</x:v>
      </x:c>
      <x:c r="M3071" s="31" t="n">
        <x:f>IF(AND(N3071="미수",G3071&lt;&gt;"",TODAY()&gt;G3071),TODAY()-G3071,0)</x:f>
        <x:v>0</x:v>
      </x:c>
      <x:c r="N3071" s="24" t="str">
        <x:f>IF(J3071&gt;0,"미수",IF(AND(H3071&gt;0,I3071&gt;=H3071),"완납","미확인"))</x:f>
        <x:v>완납</x:v>
      </x:c>
      <x:c r="O3071" s="31" t="n">
        <x:v>34</x:v>
      </x:c>
    </x:row>
    <x:row r="3072" ht="17.25" customHeight="1">
      <x:c r="A3072" s="24" t="str">
        <x:v>PR-B-14도4653-202604</x:v>
      </x:c>
      <x:c r="B3072" s="24" t="str">
        <x:v>프라임구독</x:v>
      </x:c>
      <x:c r="C3072" s="24" t="str">
        <x:v>PR-C-14도4653-1-20240221-46</x:v>
      </x:c>
      <x:c r="D3072" s="24" t="str">
        <x:v>14도4653</x:v>
      </x:c>
      <x:c r="E3072" s="24" t="str">
        <x:v>백혜리</x:v>
      </x:c>
      <x:c r="F3072" s="24" t="str">
        <x:v>2026-04</x:v>
      </x:c>
      <x:c r="G3072" s="30" t="n">
        <x:v>46117</x:v>
      </x:c>
      <x:c r="H3072" s="32" t="n">
        <x:v>381000</x:v>
      </x:c>
      <x:c r="I3072" s="32" t="n">
        <x:v>381000</x:v>
      </x:c>
      <x:c r="J3072" s="32" t="n">
        <x:v>0</x:v>
      </x:c>
      <x:c r="K3072" s="30" t="n">
        <x:v>46118</x:v>
      </x:c>
      <x:c r="L3072" s="24" t="str">
        <x:v>자동</x:v>
      </x:c>
      <x:c r="M3072" s="31" t="n">
        <x:f>IF(AND(N3072="미수",G3072&lt;&gt;"",TODAY()&gt;G3072),TODAY()-G3072,0)</x:f>
        <x:v>0</x:v>
      </x:c>
      <x:c r="N3072" s="24" t="str">
        <x:f>IF(J3072&gt;0,"미수",IF(AND(H3072&gt;0,I3072&gt;=H3072),"완납","미확인"))</x:f>
        <x:v>완납</x:v>
      </x:c>
      <x:c r="O3072" s="31" t="n">
        <x:v>34</x:v>
      </x:c>
    </x:row>
    <x:row r="3073" ht="17.25" customHeight="1">
      <x:c r="A3073" s="24" t="str">
        <x:v>PR-B-14도4653-202603</x:v>
      </x:c>
      <x:c r="B3073" s="24" t="str">
        <x:v>프라임구독</x:v>
      </x:c>
      <x:c r="C3073" s="24" t="str">
        <x:v>PR-C-14도4653-1-20240221-46</x:v>
      </x:c>
      <x:c r="D3073" s="24" t="str">
        <x:v>14도4653</x:v>
      </x:c>
      <x:c r="E3073" s="24" t="str">
        <x:v>백혜리</x:v>
      </x:c>
      <x:c r="F3073" s="24" t="str">
        <x:v>2026-03</x:v>
      </x:c>
      <x:c r="G3073" s="30" t="n">
        <x:v>46086</x:v>
      </x:c>
      <x:c r="H3073" s="32" t="n">
        <x:v>381000</x:v>
      </x:c>
      <x:c r="I3073" s="32" t="n">
        <x:v>381000</x:v>
      </x:c>
      <x:c r="J3073" s="32" t="n">
        <x:v>0</x:v>
      </x:c>
      <x:c r="K3073" s="30" t="n">
        <x:v>46086</x:v>
      </x:c>
      <x:c r="L3073" s="24" t="str">
        <x:v>자동</x:v>
      </x:c>
      <x:c r="M3073" s="31" t="n">
        <x:f>IF(AND(N3073="미수",G3073&lt;&gt;"",TODAY()&gt;G3073),TODAY()-G3073,0)</x:f>
        <x:v>0</x:v>
      </x:c>
      <x:c r="N3073" s="24" t="str">
        <x:f>IF(J3073&gt;0,"미수",IF(AND(H3073&gt;0,I3073&gt;=H3073),"완납","미확인"))</x:f>
        <x:v>완납</x:v>
      </x:c>
      <x:c r="O3073" s="31" t="n">
        <x:v>34</x:v>
      </x:c>
    </x:row>
    <x:row r="3074" ht="17.25" customHeight="1">
      <x:c r="A3074" s="24" t="str">
        <x:v>PR-B-14도4653-202602</x:v>
      </x:c>
      <x:c r="B3074" s="24" t="str">
        <x:v>프라임구독</x:v>
      </x:c>
      <x:c r="C3074" s="24" t="str">
        <x:v>PR-C-14도4653-1-20240221-46</x:v>
      </x:c>
      <x:c r="D3074" s="24" t="str">
        <x:v>14도4653</x:v>
      </x:c>
      <x:c r="E3074" s="24" t="str">
        <x:v>백혜리</x:v>
      </x:c>
      <x:c r="F3074" s="24" t="str">
        <x:v>2026-02</x:v>
      </x:c>
      <x:c r="G3074" s="30" t="n">
        <x:v>46058</x:v>
      </x:c>
      <x:c r="H3074" s="32" t="n">
        <x:v>381000</x:v>
      </x:c>
      <x:c r="I3074" s="32" t="n">
        <x:v>381000</x:v>
      </x:c>
      <x:c r="J3074" s="32" t="n">
        <x:v>0</x:v>
      </x:c>
      <x:c r="K3074" s="30" t="n">
        <x:v>46058</x:v>
      </x:c>
      <x:c r="L3074" s="24" t="str">
        <x:v>자동</x:v>
      </x:c>
      <x:c r="M3074" s="31" t="n">
        <x:f>IF(AND(N3074="미수",G3074&lt;&gt;"",TODAY()&gt;G3074),TODAY()-G3074,0)</x:f>
        <x:v>0</x:v>
      </x:c>
      <x:c r="N3074" s="24" t="str">
        <x:f>IF(J3074&gt;0,"미수",IF(AND(H3074&gt;0,I3074&gt;=H3074),"완납","미확인"))</x:f>
        <x:v>완납</x:v>
      </x:c>
      <x:c r="O3074" s="31" t="n">
        <x:v>34</x:v>
      </x:c>
    </x:row>
    <x:row r="3075" ht="17.25" customHeight="1">
      <x:c r="A3075" s="24" t="str">
        <x:v>PR-B-14도4653-202601</x:v>
      </x:c>
      <x:c r="B3075" s="24" t="str">
        <x:v>프라임구독</x:v>
      </x:c>
      <x:c r="C3075" s="24" t="str">
        <x:v>PR-C-14도4653-1-20240221-46</x:v>
      </x:c>
      <x:c r="D3075" s="24" t="str">
        <x:v>14도4653</x:v>
      </x:c>
      <x:c r="E3075" s="24" t="str">
        <x:v>백혜리</x:v>
      </x:c>
      <x:c r="F3075" s="24" t="str">
        <x:v>2026-01</x:v>
      </x:c>
      <x:c r="G3075" s="30" t="n">
        <x:v>46027</x:v>
      </x:c>
      <x:c r="H3075" s="32" t="n">
        <x:v>381000</x:v>
      </x:c>
      <x:c r="I3075" s="32" t="n">
        <x:v>381000</x:v>
      </x:c>
      <x:c r="J3075" s="32" t="n">
        <x:v>0</x:v>
      </x:c>
      <x:c r="K3075" s="30" t="n">
        <x:v>46027</x:v>
      </x:c>
      <x:c r="L3075" s="24" t="str">
        <x:v>자동</x:v>
      </x:c>
      <x:c r="M3075" s="31" t="n">
        <x:f>IF(AND(N3075="미수",G3075&lt;&gt;"",TODAY()&gt;G3075),TODAY()-G3075,0)</x:f>
        <x:v>0</x:v>
      </x:c>
      <x:c r="N3075" s="24" t="str">
        <x:f>IF(J3075&gt;0,"미수",IF(AND(H3075&gt;0,I3075&gt;=H3075),"완납","미확인"))</x:f>
        <x:v>완납</x:v>
      </x:c>
      <x:c r="O3075" s="31" t="n">
        <x:v>34</x:v>
      </x:c>
    </x:row>
    <x:row r="3076" ht="17.25" customHeight="1">
      <x:c r="A3076" s="24" t="str">
        <x:v>PR-B-14도4653-202512</x:v>
      </x:c>
      <x:c r="B3076" s="24" t="str">
        <x:v>프라임구독</x:v>
      </x:c>
      <x:c r="C3076" s="24" t="str">
        <x:v>PR-C-14도4653-1-20240221-46</x:v>
      </x:c>
      <x:c r="D3076" s="24" t="str">
        <x:v>14도4653</x:v>
      </x:c>
      <x:c r="E3076" s="24" t="str">
        <x:v>백혜리</x:v>
      </x:c>
      <x:c r="F3076" s="24" t="str">
        <x:v>2025-12</x:v>
      </x:c>
      <x:c r="G3076" s="30" t="n">
        <x:v>45996</x:v>
      </x:c>
      <x:c r="H3076" s="32" t="n">
        <x:v>381000</x:v>
      </x:c>
      <x:c r="I3076" s="32" t="n">
        <x:v>381000</x:v>
      </x:c>
      <x:c r="J3076" s="32" t="n">
        <x:v>0</x:v>
      </x:c>
      <x:c r="K3076" s="30" t="n">
        <x:v>45996</x:v>
      </x:c>
      <x:c r="L3076" s="24" t="str">
        <x:v>자동</x:v>
      </x:c>
      <x:c r="M3076" s="31" t="n">
        <x:f>IF(AND(N3076="미수",G3076&lt;&gt;"",TODAY()&gt;G3076),TODAY()-G3076,0)</x:f>
        <x:v>0</x:v>
      </x:c>
      <x:c r="N3076" s="24" t="str">
        <x:f>IF(J3076&gt;0,"미수",IF(AND(H3076&gt;0,I3076&gt;=H3076),"완납","미확인"))</x:f>
        <x:v>완납</x:v>
      </x:c>
      <x:c r="O3076" s="31" t="n">
        <x:v>34</x:v>
      </x:c>
    </x:row>
    <x:row r="3077" ht="17.25" customHeight="1">
      <x:c r="A3077" s="24" t="str">
        <x:v>PR-B-14도4653-202511</x:v>
      </x:c>
      <x:c r="B3077" s="24" t="str">
        <x:v>프라임구독</x:v>
      </x:c>
      <x:c r="C3077" s="24" t="str">
        <x:v>PR-C-14도4653-1-20240221-46</x:v>
      </x:c>
      <x:c r="D3077" s="24" t="str">
        <x:v>14도4653</x:v>
      </x:c>
      <x:c r="E3077" s="24" t="str">
        <x:v>백혜리</x:v>
      </x:c>
      <x:c r="F3077" s="24" t="str">
        <x:v>2025-11</x:v>
      </x:c>
      <x:c r="G3077" s="30" t="n">
        <x:v>45966</x:v>
      </x:c>
      <x:c r="H3077" s="32" t="n">
        <x:v>381000</x:v>
      </x:c>
      <x:c r="I3077" s="32" t="n">
        <x:v>381000</x:v>
      </x:c>
      <x:c r="J3077" s="32" t="n">
        <x:v>0</x:v>
      </x:c>
      <x:c r="K3077" s="30" t="n">
        <x:v>45966</x:v>
      </x:c>
      <x:c r="L3077" s="24" t="str">
        <x:v>자동</x:v>
      </x:c>
      <x:c r="M3077" s="31" t="n">
        <x:f>IF(AND(N3077="미수",G3077&lt;&gt;"",TODAY()&gt;G3077),TODAY()-G3077,0)</x:f>
        <x:v>0</x:v>
      </x:c>
      <x:c r="N3077" s="24" t="str">
        <x:f>IF(J3077&gt;0,"미수",IF(AND(H3077&gt;0,I3077&gt;=H3077),"완납","미확인"))</x:f>
        <x:v>완납</x:v>
      </x:c>
      <x:c r="O3077" s="31" t="n">
        <x:v>34</x:v>
      </x:c>
    </x:row>
    <x:row r="3078" ht="17.25" customHeight="1">
      <x:c r="A3078" s="24" t="str">
        <x:v>PR-B-14도4653-202510</x:v>
      </x:c>
      <x:c r="B3078" s="24" t="str">
        <x:v>프라임구독</x:v>
      </x:c>
      <x:c r="C3078" s="24" t="str">
        <x:v>PR-C-14도4653-1-20240221-46</x:v>
      </x:c>
      <x:c r="D3078" s="24" t="str">
        <x:v>14도4653</x:v>
      </x:c>
      <x:c r="E3078" s="24" t="str">
        <x:v>백혜리</x:v>
      </x:c>
      <x:c r="F3078" s="24" t="str">
        <x:v>2025-10</x:v>
      </x:c>
      <x:c r="G3078" s="30" t="n">
        <x:v>45935</x:v>
      </x:c>
      <x:c r="H3078" s="32" t="n">
        <x:v>381000</x:v>
      </x:c>
      <x:c r="I3078" s="32" t="n">
        <x:v>381000</x:v>
      </x:c>
      <x:c r="J3078" s="32" t="n">
        <x:v>0</x:v>
      </x:c>
      <x:c r="K3078" s="30" t="n">
        <x:v>45940</x:v>
      </x:c>
      <x:c r="L3078" s="24" t="str">
        <x:v>자동</x:v>
      </x:c>
      <x:c r="M3078" s="31" t="n">
        <x:f>IF(AND(N3078="미수",G3078&lt;&gt;"",TODAY()&gt;G3078),TODAY()-G3078,0)</x:f>
        <x:v>0</x:v>
      </x:c>
      <x:c r="N3078" s="24" t="str">
        <x:f>IF(J3078&gt;0,"미수",IF(AND(H3078&gt;0,I3078&gt;=H3078),"완납","미확인"))</x:f>
        <x:v>완납</x:v>
      </x:c>
      <x:c r="O3078" s="31" t="n">
        <x:v>34</x:v>
      </x:c>
    </x:row>
    <x:row r="3079" ht="17.25" customHeight="1">
      <x:c r="A3079" s="24" t="str">
        <x:v>PR-B-14도4653-202509</x:v>
      </x:c>
      <x:c r="B3079" s="24" t="str">
        <x:v>프라임구독</x:v>
      </x:c>
      <x:c r="C3079" s="24" t="str">
        <x:v>PR-C-14도4653-1-20240221-46</x:v>
      </x:c>
      <x:c r="D3079" s="24" t="str">
        <x:v>14도4653</x:v>
      </x:c>
      <x:c r="E3079" s="24" t="str">
        <x:v>백혜리</x:v>
      </x:c>
      <x:c r="F3079" s="24" t="str">
        <x:v>2025-09</x:v>
      </x:c>
      <x:c r="G3079" s="30" t="n">
        <x:v>45905</x:v>
      </x:c>
      <x:c r="H3079" s="32" t="n">
        <x:v>381000</x:v>
      </x:c>
      <x:c r="I3079" s="32" t="n">
        <x:v>381000</x:v>
      </x:c>
      <x:c r="J3079" s="32" t="n">
        <x:v>0</x:v>
      </x:c>
      <x:c r="K3079" s="30" t="n">
        <x:v>45905</x:v>
      </x:c>
      <x:c r="L3079" s="24" t="str">
        <x:v>자동</x:v>
      </x:c>
      <x:c r="M3079" s="31" t="n">
        <x:f>IF(AND(N3079="미수",G3079&lt;&gt;"",TODAY()&gt;G3079),TODAY()-G3079,0)</x:f>
        <x:v>0</x:v>
      </x:c>
      <x:c r="N3079" s="24" t="str">
        <x:f>IF(J3079&gt;0,"미수",IF(AND(H3079&gt;0,I3079&gt;=H3079),"완납","미확인"))</x:f>
        <x:v>완납</x:v>
      </x:c>
      <x:c r="O3079" s="31" t="n">
        <x:v>34</x:v>
      </x:c>
    </x:row>
    <x:row r="3080" ht="17.25" customHeight="1">
      <x:c r="A3080" s="24" t="str">
        <x:v>PR-B-14도4653-202508</x:v>
      </x:c>
      <x:c r="B3080" s="24" t="str">
        <x:v>프라임구독</x:v>
      </x:c>
      <x:c r="C3080" s="24" t="str">
        <x:v>PR-C-14도4653-1-20240221-46</x:v>
      </x:c>
      <x:c r="D3080" s="24" t="str">
        <x:v>14도4653</x:v>
      </x:c>
      <x:c r="E3080" s="24" t="str">
        <x:v>백혜리</x:v>
      </x:c>
      <x:c r="F3080" s="24" t="str">
        <x:v>2025-08</x:v>
      </x:c>
      <x:c r="G3080" s="30" t="n">
        <x:v>45874</x:v>
      </x:c>
      <x:c r="H3080" s="32" t="n">
        <x:v>381000</x:v>
      </x:c>
      <x:c r="I3080" s="32" t="n">
        <x:v>381000</x:v>
      </x:c>
      <x:c r="J3080" s="32" t="n">
        <x:v>0</x:v>
      </x:c>
      <x:c r="K3080" s="30" t="n">
        <x:v>45874</x:v>
      </x:c>
      <x:c r="L3080" s="24" t="str">
        <x:v>자동</x:v>
      </x:c>
      <x:c r="M3080" s="31" t="n">
        <x:f>IF(AND(N3080="미수",G3080&lt;&gt;"",TODAY()&gt;G3080),TODAY()-G3080,0)</x:f>
        <x:v>0</x:v>
      </x:c>
      <x:c r="N3080" s="24" t="str">
        <x:f>IF(J3080&gt;0,"미수",IF(AND(H3080&gt;0,I3080&gt;=H3080),"완납","미확인"))</x:f>
        <x:v>완납</x:v>
      </x:c>
      <x:c r="O3080" s="31" t="n">
        <x:v>34</x:v>
      </x:c>
    </x:row>
    <x:row r="3081" ht="17.25" customHeight="1">
      <x:c r="A3081" s="24" t="str">
        <x:v>PR-B-14도4653-202507</x:v>
      </x:c>
      <x:c r="B3081" s="24" t="str">
        <x:v>프라임구독</x:v>
      </x:c>
      <x:c r="C3081" s="24" t="str">
        <x:v>PR-C-14도4653-1-20240221-46</x:v>
      </x:c>
      <x:c r="D3081" s="24" t="str">
        <x:v>14도4653</x:v>
      </x:c>
      <x:c r="E3081" s="24" t="str">
        <x:v>백혜리</x:v>
      </x:c>
      <x:c r="F3081" s="24" t="str">
        <x:v>2025-07</x:v>
      </x:c>
      <x:c r="G3081" s="30" t="n">
        <x:v>45843</x:v>
      </x:c>
      <x:c r="H3081" s="32" t="n">
        <x:v>381000</x:v>
      </x:c>
      <x:c r="I3081" s="32" t="n">
        <x:v>381000</x:v>
      </x:c>
      <x:c r="J3081" s="32" t="n">
        <x:v>0</x:v>
      </x:c>
      <x:c r="K3081" s="30" t="n">
        <x:v>45845</x:v>
      </x:c>
      <x:c r="L3081" s="24" t="str">
        <x:v>자동</x:v>
      </x:c>
      <x:c r="M3081" s="31" t="n">
        <x:f>IF(AND(N3081="미수",G3081&lt;&gt;"",TODAY()&gt;G3081),TODAY()-G3081,0)</x:f>
        <x:v>0</x:v>
      </x:c>
      <x:c r="N3081" s="24" t="str">
        <x:f>IF(J3081&gt;0,"미수",IF(AND(H3081&gt;0,I3081&gt;=H3081),"완납","미확인"))</x:f>
        <x:v>완납</x:v>
      </x:c>
      <x:c r="O3081" s="31" t="n">
        <x:v>34</x:v>
      </x:c>
    </x:row>
    <x:row r="3082" ht="17.25" customHeight="1">
      <x:c r="A3082" s="24" t="str">
        <x:v>PR-B-14도4653-202506</x:v>
      </x:c>
      <x:c r="B3082" s="24" t="str">
        <x:v>프라임구독</x:v>
      </x:c>
      <x:c r="C3082" s="24" t="str">
        <x:v>PR-C-14도4653-1-20240221-46</x:v>
      </x:c>
      <x:c r="D3082" s="24" t="str">
        <x:v>14도4653</x:v>
      </x:c>
      <x:c r="E3082" s="24" t="str">
        <x:v>백혜리</x:v>
      </x:c>
      <x:c r="F3082" s="24" t="str">
        <x:v>2025-06</x:v>
      </x:c>
      <x:c r="G3082" s="30" t="n">
        <x:v>45813</x:v>
      </x:c>
      <x:c r="H3082" s="32" t="n">
        <x:v>381000</x:v>
      </x:c>
      <x:c r="I3082" s="32" t="n">
        <x:v>381000</x:v>
      </x:c>
      <x:c r="J3082" s="32" t="n">
        <x:v>0</x:v>
      </x:c>
      <x:c r="K3082" s="30" t="n">
        <x:v>45813</x:v>
      </x:c>
      <x:c r="L3082" s="24" t="str">
        <x:v>자동</x:v>
      </x:c>
      <x:c r="M3082" s="31" t="n">
        <x:f>IF(AND(N3082="미수",G3082&lt;&gt;"",TODAY()&gt;G3082),TODAY()-G3082,0)</x:f>
        <x:v>0</x:v>
      </x:c>
      <x:c r="N3082" s="24" t="str">
        <x:f>IF(J3082&gt;0,"미수",IF(AND(H3082&gt;0,I3082&gt;=H3082),"완납","미확인"))</x:f>
        <x:v>완납</x:v>
      </x:c>
      <x:c r="O3082" s="31" t="n">
        <x:v>34</x:v>
      </x:c>
    </x:row>
    <x:row r="3083" ht="17.25" customHeight="1">
      <x:c r="A3083" s="24" t="str">
        <x:v>PR-B-14도4653-202505</x:v>
      </x:c>
      <x:c r="B3083" s="24" t="str">
        <x:v>프라임구독</x:v>
      </x:c>
      <x:c r="C3083" s="24" t="str">
        <x:v>PR-C-14도4653-1-20240221-46</x:v>
      </x:c>
      <x:c r="D3083" s="24" t="str">
        <x:v>14도4653</x:v>
      </x:c>
      <x:c r="E3083" s="24" t="str">
        <x:v>백혜리</x:v>
      </x:c>
      <x:c r="F3083" s="24" t="str">
        <x:v>2025-05</x:v>
      </x:c>
      <x:c r="G3083" s="30" t="n">
        <x:v>45782</x:v>
      </x:c>
      <x:c r="H3083" s="32" t="n">
        <x:v>381000</x:v>
      </x:c>
      <x:c r="I3083" s="32" t="n">
        <x:v>381000</x:v>
      </x:c>
      <x:c r="J3083" s="32" t="n">
        <x:v>0</x:v>
      </x:c>
      <x:c r="K3083" s="30" t="n">
        <x:v>45784</x:v>
      </x:c>
      <x:c r="L3083" s="24" t="str">
        <x:v>자동</x:v>
      </x:c>
      <x:c r="M3083" s="31" t="n">
        <x:f>IF(AND(N3083="미수",G3083&lt;&gt;"",TODAY()&gt;G3083),TODAY()-G3083,0)</x:f>
        <x:v>0</x:v>
      </x:c>
      <x:c r="N3083" s="24" t="str">
        <x:f>IF(J3083&gt;0,"미수",IF(AND(H3083&gt;0,I3083&gt;=H3083),"완납","미확인"))</x:f>
        <x:v>완납</x:v>
      </x:c>
      <x:c r="O3083" s="31" t="n">
        <x:v>34</x:v>
      </x:c>
    </x:row>
    <x:row r="3084" ht="17.25" customHeight="1">
      <x:c r="A3084" s="24" t="str">
        <x:v>PR-B-14도4653-202504</x:v>
      </x:c>
      <x:c r="B3084" s="24" t="str">
        <x:v>프라임구독</x:v>
      </x:c>
      <x:c r="C3084" s="24" t="str">
        <x:v>PR-C-14도4653-1-20240221-46</x:v>
      </x:c>
      <x:c r="D3084" s="24" t="str">
        <x:v>14도4653</x:v>
      </x:c>
      <x:c r="E3084" s="24" t="str">
        <x:v>백혜리</x:v>
      </x:c>
      <x:c r="F3084" s="24" t="str">
        <x:v>2025-04</x:v>
      </x:c>
      <x:c r="G3084" s="30" t="n">
        <x:v>45752</x:v>
      </x:c>
      <x:c r="H3084" s="32" t="n">
        <x:v>381000</x:v>
      </x:c>
      <x:c r="I3084" s="32" t="n">
        <x:v>381000</x:v>
      </x:c>
      <x:c r="J3084" s="32" t="n">
        <x:v>0</x:v>
      </x:c>
      <x:c r="K3084" s="30" t="n">
        <x:v>45752</x:v>
      </x:c>
      <x:c r="L3084" s="24" t="str">
        <x:v>자동</x:v>
      </x:c>
      <x:c r="M3084" s="31" t="n">
        <x:f>IF(AND(N3084="미수",G3084&lt;&gt;"",TODAY()&gt;G3084),TODAY()-G3084,0)</x:f>
        <x:v>0</x:v>
      </x:c>
      <x:c r="N3084" s="24" t="str">
        <x:f>IF(J3084&gt;0,"미수",IF(AND(H3084&gt;0,I3084&gt;=H3084),"완납","미확인"))</x:f>
        <x:v>완납</x:v>
      </x:c>
      <x:c r="O3084" s="31" t="n">
        <x:v>34</x:v>
      </x:c>
    </x:row>
    <x:row r="3085" ht="17.25" customHeight="1">
      <x:c r="A3085" s="24" t="str">
        <x:v>PR-B-14도4653-202503</x:v>
      </x:c>
      <x:c r="B3085" s="24" t="str">
        <x:v>프라임구독</x:v>
      </x:c>
      <x:c r="C3085" s="24" t="str">
        <x:v>PR-C-14도4653-1-20240221-46</x:v>
      </x:c>
      <x:c r="D3085" s="24" t="str">
        <x:v>14도4653</x:v>
      </x:c>
      <x:c r="E3085" s="24" t="str">
        <x:v>백혜리</x:v>
      </x:c>
      <x:c r="F3085" s="24" t="str">
        <x:v>2025-03</x:v>
      </x:c>
      <x:c r="G3085" s="30" t="n">
        <x:v>45721</x:v>
      </x:c>
      <x:c r="H3085" s="32" t="n">
        <x:v>381000</x:v>
      </x:c>
      <x:c r="I3085" s="32" t="n">
        <x:v>381000</x:v>
      </x:c>
      <x:c r="J3085" s="32" t="n">
        <x:v>0</x:v>
      </x:c>
      <x:c r="K3085" s="30" t="n">
        <x:v>45721</x:v>
      </x:c>
      <x:c r="L3085" s="24" t="str">
        <x:v>자동</x:v>
      </x:c>
      <x:c r="M3085" s="31" t="n">
        <x:f>IF(AND(N3085="미수",G3085&lt;&gt;"",TODAY()&gt;G3085),TODAY()-G3085,0)</x:f>
        <x:v>0</x:v>
      </x:c>
      <x:c r="N3085" s="24" t="str">
        <x:f>IF(J3085&gt;0,"미수",IF(AND(H3085&gt;0,I3085&gt;=H3085),"완납","미확인"))</x:f>
        <x:v>완납</x:v>
      </x:c>
      <x:c r="O3085" s="31" t="n">
        <x:v>34</x:v>
      </x:c>
    </x:row>
    <x:row r="3086" ht="17.25" customHeight="1">
      <x:c r="A3086" s="24" t="str">
        <x:v>PR-B-14도4653-202502</x:v>
      </x:c>
      <x:c r="B3086" s="24" t="str">
        <x:v>프라임구독</x:v>
      </x:c>
      <x:c r="C3086" s="24" t="str">
        <x:v>PR-C-14도4653-1-20240221-46</x:v>
      </x:c>
      <x:c r="D3086" s="24" t="str">
        <x:v>14도4653</x:v>
      </x:c>
      <x:c r="E3086" s="24" t="str">
        <x:v>백혜리</x:v>
      </x:c>
      <x:c r="F3086" s="24" t="str">
        <x:v>2025-02</x:v>
      </x:c>
      <x:c r="G3086" s="30" t="n">
        <x:v>45693</x:v>
      </x:c>
      <x:c r="H3086" s="32" t="n">
        <x:v>381000</x:v>
      </x:c>
      <x:c r="I3086" s="32" t="n">
        <x:v>381000</x:v>
      </x:c>
      <x:c r="J3086" s="32" t="n">
        <x:v>0</x:v>
      </x:c>
      <x:c r="K3086" s="30" t="n">
        <x:v>45693</x:v>
      </x:c>
      <x:c r="L3086" s="24" t="str">
        <x:v>자동</x:v>
      </x:c>
      <x:c r="M3086" s="31" t="n">
        <x:f>IF(AND(N3086="미수",G3086&lt;&gt;"",TODAY()&gt;G3086),TODAY()-G3086,0)</x:f>
        <x:v>0</x:v>
      </x:c>
      <x:c r="N3086" s="24" t="str">
        <x:f>IF(J3086&gt;0,"미수",IF(AND(H3086&gt;0,I3086&gt;=H3086),"완납","미확인"))</x:f>
        <x:v>완납</x:v>
      </x:c>
      <x:c r="O3086" s="31" t="n">
        <x:v>34</x:v>
      </x:c>
    </x:row>
    <x:row r="3087" ht="17.25" customHeight="1">
      <x:c r="A3087" s="24" t="str">
        <x:v>PR-B-14도4653-202501</x:v>
      </x:c>
      <x:c r="B3087" s="24" t="str">
        <x:v>프라임구독</x:v>
      </x:c>
      <x:c r="C3087" s="24" t="str">
        <x:v>PR-C-14도4653-1-20240221-46</x:v>
      </x:c>
      <x:c r="D3087" s="24" t="str">
        <x:v>14도4653</x:v>
      </x:c>
      <x:c r="E3087" s="24" t="str">
        <x:v>백혜리</x:v>
      </x:c>
      <x:c r="F3087" s="24" t="str">
        <x:v>2025-01</x:v>
      </x:c>
      <x:c r="G3087" s="30" t="n">
        <x:v>45662</x:v>
      </x:c>
      <x:c r="H3087" s="32" t="n">
        <x:v>381000</x:v>
      </x:c>
      <x:c r="I3087" s="32" t="n">
        <x:v>381000</x:v>
      </x:c>
      <x:c r="J3087" s="32" t="n">
        <x:v>0</x:v>
      </x:c>
      <x:c r="K3087" s="30" t="n">
        <x:v>45660</x:v>
      </x:c>
      <x:c r="L3087" s="24" t="str">
        <x:v>입금</x:v>
      </x:c>
      <x:c r="M3087" s="31" t="n">
        <x:f>IF(AND(N3087="미수",G3087&lt;&gt;"",TODAY()&gt;G3087),TODAY()-G3087,0)</x:f>
        <x:v>0</x:v>
      </x:c>
      <x:c r="N3087" s="24" t="str">
        <x:f>IF(J3087&gt;0,"미수",IF(AND(H3087&gt;0,I3087&gt;=H3087),"완납","미확인"))</x:f>
        <x:v>완납</x:v>
      </x:c>
      <x:c r="O3087" s="31" t="n">
        <x:v>34</x:v>
      </x:c>
    </x:row>
    <x:row r="3088" ht="17.25" customHeight="1">
      <x:c r="A3088" s="24" t="str">
        <x:v>PR-B-14도4653-202412</x:v>
      </x:c>
      <x:c r="B3088" s="24" t="str">
        <x:v>프라임구독</x:v>
      </x:c>
      <x:c r="C3088" s="24" t="str">
        <x:v>PR-C-14도4653-1-20240221-46</x:v>
      </x:c>
      <x:c r="D3088" s="24" t="str">
        <x:v>14도4653</x:v>
      </x:c>
      <x:c r="E3088" s="24" t="str">
        <x:v>백혜리</x:v>
      </x:c>
      <x:c r="F3088" s="24" t="str">
        <x:v>2024-12</x:v>
      </x:c>
      <x:c r="G3088" s="30" t="n">
        <x:v>45631</x:v>
      </x:c>
      <x:c r="H3088" s="32" t="n">
        <x:v>381000</x:v>
      </x:c>
      <x:c r="I3088" s="32" t="n">
        <x:v>381000</x:v>
      </x:c>
      <x:c r="J3088" s="32" t="n">
        <x:v>0</x:v>
      </x:c>
      <x:c r="K3088" s="30" t="n">
        <x:v>45630</x:v>
      </x:c>
      <x:c r="L3088" s="24" t="str">
        <x:v>입금</x:v>
      </x:c>
      <x:c r="M3088" s="31" t="n">
        <x:f>IF(AND(N3088="미수",G3088&lt;&gt;"",TODAY()&gt;G3088),TODAY()-G3088,0)</x:f>
        <x:v>0</x:v>
      </x:c>
      <x:c r="N3088" s="24" t="str">
        <x:f>IF(J3088&gt;0,"미수",IF(AND(H3088&gt;0,I3088&gt;=H3088),"완납","미확인"))</x:f>
        <x:v>완납</x:v>
      </x:c>
      <x:c r="O3088" s="31" t="n">
        <x:v>34</x:v>
      </x:c>
    </x:row>
    <x:row r="3089" ht="17.25" customHeight="1">
      <x:c r="A3089" s="24" t="str">
        <x:v>PR-B-14도4653-202411</x:v>
      </x:c>
      <x:c r="B3089" s="24" t="str">
        <x:v>프라임구독</x:v>
      </x:c>
      <x:c r="C3089" s="24" t="str">
        <x:v>PR-C-14도4653-1-20240221-46</x:v>
      </x:c>
      <x:c r="D3089" s="24" t="str">
        <x:v>14도4653</x:v>
      </x:c>
      <x:c r="E3089" s="24" t="str">
        <x:v>백혜리</x:v>
      </x:c>
      <x:c r="F3089" s="24" t="str">
        <x:v>2024-11</x:v>
      </x:c>
      <x:c r="G3089" s="30" t="n">
        <x:v>45601</x:v>
      </x:c>
      <x:c r="H3089" s="32" t="n">
        <x:v>381000</x:v>
      </x:c>
      <x:c r="I3089" s="32" t="n">
        <x:v>381000</x:v>
      </x:c>
      <x:c r="J3089" s="32" t="n">
        <x:v>0</x:v>
      </x:c>
      <x:c r="K3089" s="30" t="n">
        <x:v>45600</x:v>
      </x:c>
      <x:c r="L3089" s="24" t="str">
        <x:v>입금</x:v>
      </x:c>
      <x:c r="M3089" s="31" t="n">
        <x:f>IF(AND(N3089="미수",G3089&lt;&gt;"",TODAY()&gt;G3089),TODAY()-G3089,0)</x:f>
        <x:v>0</x:v>
      </x:c>
      <x:c r="N3089" s="24" t="str">
        <x:f>IF(J3089&gt;0,"미수",IF(AND(H3089&gt;0,I3089&gt;=H3089),"완납","미확인"))</x:f>
        <x:v>완납</x:v>
      </x:c>
      <x:c r="O3089" s="31" t="n">
        <x:v>34</x:v>
      </x:c>
    </x:row>
    <x:row r="3090" ht="17.25" customHeight="1">
      <x:c r="A3090" s="24" t="str">
        <x:v>PR-B-14도4653-202410</x:v>
      </x:c>
      <x:c r="B3090" s="24" t="str">
        <x:v>프라임구독</x:v>
      </x:c>
      <x:c r="C3090" s="24" t="str">
        <x:v>PR-C-14도4653-1-20240221-46</x:v>
      </x:c>
      <x:c r="D3090" s="24" t="str">
        <x:v>14도4653</x:v>
      </x:c>
      <x:c r="E3090" s="24" t="str">
        <x:v>백혜리</x:v>
      </x:c>
      <x:c r="F3090" s="24" t="str">
        <x:v>2024-10</x:v>
      </x:c>
      <x:c r="G3090" s="30" t="n">
        <x:v>45570</x:v>
      </x:c>
      <x:c r="H3090" s="32" t="n">
        <x:v>381000</x:v>
      </x:c>
      <x:c r="I3090" s="32" t="n">
        <x:v>381000</x:v>
      </x:c>
      <x:c r="J3090" s="32" t="n">
        <x:v>0</x:v>
      </x:c>
      <x:c r="K3090" s="30" t="n">
        <x:v>45569</x:v>
      </x:c>
      <x:c r="L3090" s="24" t="str">
        <x:v>입금</x:v>
      </x:c>
      <x:c r="M3090" s="31" t="n">
        <x:f>IF(AND(N3090="미수",G3090&lt;&gt;"",TODAY()&gt;G3090),TODAY()-G3090,0)</x:f>
        <x:v>0</x:v>
      </x:c>
      <x:c r="N3090" s="24" t="str">
        <x:f>IF(J3090&gt;0,"미수",IF(AND(H3090&gt;0,I3090&gt;=H3090),"완납","미확인"))</x:f>
        <x:v>완납</x:v>
      </x:c>
      <x:c r="O3090" s="31" t="n">
        <x:v>34</x:v>
      </x:c>
    </x:row>
    <x:row r="3091" ht="17.25" customHeight="1">
      <x:c r="A3091" s="24" t="str">
        <x:v>PR-B-14도4653-202409</x:v>
      </x:c>
      <x:c r="B3091" s="24" t="str">
        <x:v>프라임구독</x:v>
      </x:c>
      <x:c r="C3091" s="24" t="str">
        <x:v>PR-C-14도4653-1-20240221-46</x:v>
      </x:c>
      <x:c r="D3091" s="24" t="str">
        <x:v>14도4653</x:v>
      </x:c>
      <x:c r="E3091" s="24" t="str">
        <x:v>백혜리</x:v>
      </x:c>
      <x:c r="F3091" s="24" t="str">
        <x:v>2024-09</x:v>
      </x:c>
      <x:c r="G3091" s="30" t="n">
        <x:v>45540</x:v>
      </x:c>
      <x:c r="H3091" s="32" t="n">
        <x:v>381000</x:v>
      </x:c>
      <x:c r="I3091" s="32" t="n">
        <x:v>381000</x:v>
      </x:c>
      <x:c r="J3091" s="32" t="n">
        <x:v>0</x:v>
      </x:c>
      <x:c r="K3091" s="30" t="n">
        <x:v>45540</x:v>
      </x:c>
      <x:c r="L3091" s="24" t="str">
        <x:v>입금</x:v>
      </x:c>
      <x:c r="M3091" s="31" t="n">
        <x:f>IF(AND(N3091="미수",G3091&lt;&gt;"",TODAY()&gt;G3091),TODAY()-G3091,0)</x:f>
        <x:v>0</x:v>
      </x:c>
      <x:c r="N3091" s="24" t="str">
        <x:f>IF(J3091&gt;0,"미수",IF(AND(H3091&gt;0,I3091&gt;=H3091),"완납","미확인"))</x:f>
        <x:v>완납</x:v>
      </x:c>
      <x:c r="O3091" s="31" t="n">
        <x:v>34</x:v>
      </x:c>
    </x:row>
    <x:row r="3092" ht="17.25" customHeight="1">
      <x:c r="A3092" s="24" t="str">
        <x:v>PR-B-14도4653-202408</x:v>
      </x:c>
      <x:c r="B3092" s="24" t="str">
        <x:v>프라임구독</x:v>
      </x:c>
      <x:c r="C3092" s="24" t="str">
        <x:v>PR-C-14도4653-1-20240221-46</x:v>
      </x:c>
      <x:c r="D3092" s="24" t="str">
        <x:v>14도4653</x:v>
      </x:c>
      <x:c r="E3092" s="24" t="str">
        <x:v>백혜리</x:v>
      </x:c>
      <x:c r="F3092" s="24" t="str">
        <x:v>2024-08</x:v>
      </x:c>
      <x:c r="G3092" s="30" t="n">
        <x:v>45509</x:v>
      </x:c>
      <x:c r="H3092" s="32" t="n">
        <x:v>381000</x:v>
      </x:c>
      <x:c r="I3092" s="32" t="n">
        <x:v>381000</x:v>
      </x:c>
      <x:c r="J3092" s="32" t="n">
        <x:v>0</x:v>
      </x:c>
      <x:c r="K3092" s="30" t="n">
        <x:v>45520</x:v>
      </x:c>
      <x:c r="L3092" s="24" t="str">
        <x:v>입금</x:v>
      </x:c>
      <x:c r="M3092" s="31" t="n">
        <x:f>IF(AND(N3092="미수",G3092&lt;&gt;"",TODAY()&gt;G3092),TODAY()-G3092,0)</x:f>
        <x:v>0</x:v>
      </x:c>
      <x:c r="N3092" s="24" t="str">
        <x:f>IF(J3092&gt;0,"미수",IF(AND(H3092&gt;0,I3092&gt;=H3092),"완납","미확인"))</x:f>
        <x:v>완납</x:v>
      </x:c>
      <x:c r="O3092" s="31" t="n">
        <x:v>34</x:v>
      </x:c>
    </x:row>
    <x:row r="3093" ht="17.25" customHeight="1">
      <x:c r="A3093" s="24" t="str">
        <x:v>PR-B-14도4653-202407</x:v>
      </x:c>
      <x:c r="B3093" s="24" t="str">
        <x:v>프라임구독</x:v>
      </x:c>
      <x:c r="C3093" s="24" t="str">
        <x:v>PR-C-14도4653-1-20240221-46</x:v>
      </x:c>
      <x:c r="D3093" s="24" t="str">
        <x:v>14도4653</x:v>
      </x:c>
      <x:c r="E3093" s="24" t="str">
        <x:v>백혜리</x:v>
      </x:c>
      <x:c r="F3093" s="24" t="str">
        <x:v>2024-07</x:v>
      </x:c>
      <x:c r="G3093" s="30" t="n">
        <x:v>45478</x:v>
      </x:c>
      <x:c r="H3093" s="32" t="n">
        <x:v>381000</x:v>
      </x:c>
      <x:c r="I3093" s="32" t="n">
        <x:v>381000</x:v>
      </x:c>
      <x:c r="J3093" s="32" t="n">
        <x:v>0</x:v>
      </x:c>
      <x:c r="K3093" s="30" t="n">
        <x:v>45477</x:v>
      </x:c>
      <x:c r="L3093" s="24" t="str">
        <x:v>입금</x:v>
      </x:c>
      <x:c r="M3093" s="31" t="n">
        <x:f>IF(AND(N3093="미수",G3093&lt;&gt;"",TODAY()&gt;G3093),TODAY()-G3093,0)</x:f>
        <x:v>0</x:v>
      </x:c>
      <x:c r="N3093" s="24" t="str">
        <x:f>IF(J3093&gt;0,"미수",IF(AND(H3093&gt;0,I3093&gt;=H3093),"완납","미확인"))</x:f>
        <x:v>완납</x:v>
      </x:c>
      <x:c r="O3093" s="31" t="n">
        <x:v>34</x:v>
      </x:c>
    </x:row>
    <x:row r="3094" ht="17.25" customHeight="1">
      <x:c r="A3094" s="24" t="str">
        <x:v>PR-B-14도4653-202406</x:v>
      </x:c>
      <x:c r="B3094" s="24" t="str">
        <x:v>프라임구독</x:v>
      </x:c>
      <x:c r="C3094" s="24" t="str">
        <x:v>PR-C-14도4653-1-20240221-46</x:v>
      </x:c>
      <x:c r="D3094" s="24" t="str">
        <x:v>14도4653</x:v>
      </x:c>
      <x:c r="E3094" s="24" t="str">
        <x:v>백혜리</x:v>
      </x:c>
      <x:c r="F3094" s="24" t="str">
        <x:v>2024-06</x:v>
      </x:c>
      <x:c r="G3094" s="30" t="n">
        <x:v>45448</x:v>
      </x:c>
      <x:c r="H3094" s="32" t="n">
        <x:v>381000</x:v>
      </x:c>
      <x:c r="I3094" s="32" t="n">
        <x:v>381000</x:v>
      </x:c>
      <x:c r="J3094" s="32" t="n">
        <x:v>0</x:v>
      </x:c>
      <x:c r="K3094" s="30" t="n">
        <x:v>45447</x:v>
      </x:c>
      <x:c r="L3094" s="24" t="str"/>
      <x:c r="M3094" s="31" t="n">
        <x:f>IF(AND(N3094="미수",G3094&lt;&gt;"",TODAY()&gt;G3094),TODAY()-G3094,0)</x:f>
        <x:v>0</x:v>
      </x:c>
      <x:c r="N3094" s="24" t="str">
        <x:f>IF(J3094&gt;0,"미수",IF(AND(H3094&gt;0,I3094&gt;=H3094),"완납","미확인"))</x:f>
        <x:v>완납</x:v>
      </x:c>
      <x:c r="O3094" s="31" t="n">
        <x:v>34</x:v>
      </x:c>
    </x:row>
    <x:row r="3095" ht="17.25" customHeight="1">
      <x:c r="A3095" s="24" t="str">
        <x:v>PR-B-14도4653-202405</x:v>
      </x:c>
      <x:c r="B3095" s="24" t="str">
        <x:v>프라임구독</x:v>
      </x:c>
      <x:c r="C3095" s="24" t="str">
        <x:v>PR-C-14도4653-1-20240221-46</x:v>
      </x:c>
      <x:c r="D3095" s="24" t="str">
        <x:v>14도4653</x:v>
      </x:c>
      <x:c r="E3095" s="24" t="str">
        <x:v>백혜리</x:v>
      </x:c>
      <x:c r="F3095" s="24" t="str">
        <x:v>2024-05</x:v>
      </x:c>
      <x:c r="G3095" s="30" t="n">
        <x:v>45417</x:v>
      </x:c>
      <x:c r="H3095" s="32" t="n">
        <x:v>381000</x:v>
      </x:c>
      <x:c r="I3095" s="32" t="n">
        <x:v>381000</x:v>
      </x:c>
      <x:c r="J3095" s="32" t="n">
        <x:v>0</x:v>
      </x:c>
      <x:c r="K3095" s="30" t="n">
        <x:v>45415</x:v>
      </x:c>
      <x:c r="L3095" s="24" t="str"/>
      <x:c r="M3095" s="31" t="n">
        <x:f>IF(AND(N3095="미수",G3095&lt;&gt;"",TODAY()&gt;G3095),TODAY()-G3095,0)</x:f>
        <x:v>0</x:v>
      </x:c>
      <x:c r="N3095" s="24" t="str">
        <x:f>IF(J3095&gt;0,"미수",IF(AND(H3095&gt;0,I3095&gt;=H3095),"완납","미확인"))</x:f>
        <x:v>완납</x:v>
      </x:c>
      <x:c r="O3095" s="31" t="n">
        <x:v>34</x:v>
      </x:c>
    </x:row>
    <x:row r="3096" ht="17.25" customHeight="1">
      <x:c r="A3096" s="24" t="str">
        <x:v>PR-B-38거0839-202608</x:v>
      </x:c>
      <x:c r="B3096" s="24" t="str">
        <x:v>프라임구독</x:v>
      </x:c>
      <x:c r="C3096" s="24" t="str">
        <x:v>PR-C-38거0839-1-20240130-137</x:v>
      </x:c>
      <x:c r="D3096" s="24" t="str">
        <x:v>38거0839</x:v>
      </x:c>
      <x:c r="E3096" s="24" t="str">
        <x:v>김준모</x:v>
      </x:c>
      <x:c r="F3096" s="24" t="str">
        <x:v>2026-08</x:v>
      </x:c>
      <x:c r="G3096" s="30" t="n">
        <x:v>46239</x:v>
      </x:c>
      <x:c r="H3096" s="32" t="n">
        <x:v>573000</x:v>
      </x:c>
      <x:c r="I3096" s="32"/>
      <x:c r="J3096" s="32" t="n">
        <x:v>3803000</x:v>
      </x:c>
      <x:c r="K3096" s="30"/>
      <x:c r="L3096" s="24" t="str"/>
      <x:c r="M3096" s="31" t="n">
        <x:f>IF(AND(N3096="미수",G3096&lt;&gt;"",TODAY()&gt;G3096),TODAY()-G3096,0)</x:f>
        <x:v>10</x:v>
      </x:c>
      <x:c r="N3096" s="24" t="str">
        <x:f>IF(J3096&gt;0,"미수",IF(AND(H3096&gt;0,I3096&gt;=H3096),"완납","미확인"))</x:f>
        <x:v>미수</x:v>
      </x:c>
      <x:c r="O3096" s="31" t="n">
        <x:v>35</x:v>
      </x:c>
    </x:row>
    <x:row r="3097" ht="17.25" customHeight="1">
      <x:c r="A3097" s="24" t="str">
        <x:v>PR-B-38거0839-202607</x:v>
      </x:c>
      <x:c r="B3097" s="24" t="str">
        <x:v>프라임구독</x:v>
      </x:c>
      <x:c r="C3097" s="24" t="str">
        <x:v>PR-C-38거0839-1-20240130-137</x:v>
      </x:c>
      <x:c r="D3097" s="24" t="str">
        <x:v>38거0839</x:v>
      </x:c>
      <x:c r="E3097" s="24" t="str">
        <x:v>김준모</x:v>
      </x:c>
      <x:c r="F3097" s="24" t="str">
        <x:v>2026-07</x:v>
      </x:c>
      <x:c r="G3097" s="30" t="n">
        <x:v>46208</x:v>
      </x:c>
      <x:c r="H3097" s="32" t="n">
        <x:v>573000</x:v>
      </x:c>
      <x:c r="I3097" s="32"/>
      <x:c r="J3097" s="32" t="n">
        <x:v>3230000</x:v>
      </x:c>
      <x:c r="K3097" s="30"/>
      <x:c r="L3097" s="24" t="str"/>
      <x:c r="M3097" s="31" t="n">
        <x:f>IF(AND(N3097="미수",G3097&lt;&gt;"",TODAY()&gt;G3097),TODAY()-G3097,0)</x:f>
        <x:v>41</x:v>
      </x:c>
      <x:c r="N3097" s="24" t="str">
        <x:f>IF(J3097&gt;0,"미수",IF(AND(H3097&gt;0,I3097&gt;=H3097),"완납","미확인"))</x:f>
        <x:v>미수</x:v>
      </x:c>
      <x:c r="O3097" s="31" t="n">
        <x:v>35</x:v>
      </x:c>
    </x:row>
    <x:row r="3098" ht="17.25" customHeight="1">
      <x:c r="A3098" s="24" t="str">
        <x:v>PR-B-38거0839-202606</x:v>
      </x:c>
      <x:c r="B3098" s="24" t="str">
        <x:v>프라임구독</x:v>
      </x:c>
      <x:c r="C3098" s="24" t="str">
        <x:v>PR-C-38거0839-1-20240130-137</x:v>
      </x:c>
      <x:c r="D3098" s="24" t="str">
        <x:v>38거0839</x:v>
      </x:c>
      <x:c r="E3098" s="24" t="str">
        <x:v>김준모</x:v>
      </x:c>
      <x:c r="F3098" s="24" t="str">
        <x:v>2026-06</x:v>
      </x:c>
      <x:c r="G3098" s="30" t="n">
        <x:v>46178</x:v>
      </x:c>
      <x:c r="H3098" s="32" t="n">
        <x:v>573000</x:v>
      </x:c>
      <x:c r="I3098" s="32" t="n">
        <x:v>273000</x:v>
      </x:c>
      <x:c r="J3098" s="32" t="n">
        <x:v>2657000</x:v>
      </x:c>
      <x:c r="K3098" s="30" t="n">
        <x:v>46181</x:v>
      </x:c>
      <x:c r="L3098" s="24" t="str">
        <x:v>입금</x:v>
      </x:c>
      <x:c r="M3098" s="31" t="n">
        <x:f>IF(AND(N3098="미수",G3098&lt;&gt;"",TODAY()&gt;G3098),TODAY()-G3098,0)</x:f>
        <x:v>71</x:v>
      </x:c>
      <x:c r="N3098" s="24" t="str">
        <x:f>IF(J3098&gt;0,"미수",IF(AND(H3098&gt;0,I3098&gt;=H3098),"완납","미확인"))</x:f>
        <x:v>미수</x:v>
      </x:c>
      <x:c r="O3098" s="31" t="n">
        <x:v>35</x:v>
      </x:c>
    </x:row>
    <x:row r="3099" ht="17.25" customHeight="1">
      <x:c r="A3099" s="24" t="str">
        <x:v>PR-B-38거0839-202605</x:v>
      </x:c>
      <x:c r="B3099" s="24" t="str">
        <x:v>프라임구독</x:v>
      </x:c>
      <x:c r="C3099" s="24" t="str">
        <x:v>PR-C-38거0839-1-20240130-137</x:v>
      </x:c>
      <x:c r="D3099" s="24" t="str">
        <x:v>38거0839</x:v>
      </x:c>
      <x:c r="E3099" s="24" t="str">
        <x:v>김준모</x:v>
      </x:c>
      <x:c r="F3099" s="24" t="str">
        <x:v>2026-05</x:v>
      </x:c>
      <x:c r="G3099" s="30" t="n">
        <x:v>46147</x:v>
      </x:c>
      <x:c r="H3099" s="32" t="n">
        <x:v>573000</x:v>
      </x:c>
      <x:c r="I3099" s="32" t="n">
        <x:v>200000</x:v>
      </x:c>
      <x:c r="J3099" s="32" t="n">
        <x:v>2357000</x:v>
      </x:c>
      <x:c r="K3099" s="30" t="n">
        <x:v>46149</x:v>
      </x:c>
      <x:c r="L3099" s="24" t="str">
        <x:v>입금</x:v>
      </x:c>
      <x:c r="M3099" s="31" t="n">
        <x:f>IF(AND(N3099="미수",G3099&lt;&gt;"",TODAY()&gt;G3099),TODAY()-G3099,0)</x:f>
        <x:v>102</x:v>
      </x:c>
      <x:c r="N3099" s="24" t="str">
        <x:f>IF(J3099&gt;0,"미수",IF(AND(H3099&gt;0,I3099&gt;=H3099),"완납","미확인"))</x:f>
        <x:v>미수</x:v>
      </x:c>
      <x:c r="O3099" s="31" t="n">
        <x:v>35</x:v>
      </x:c>
    </x:row>
    <x:row r="3100" ht="17.25" customHeight="1">
      <x:c r="A3100" s="24" t="str">
        <x:v>PR-B-38거0839-202604</x:v>
      </x:c>
      <x:c r="B3100" s="24" t="str">
        <x:v>프라임구독</x:v>
      </x:c>
      <x:c r="C3100" s="24" t="str">
        <x:v>PR-C-38거0839-1-20240130-137</x:v>
      </x:c>
      <x:c r="D3100" s="24" t="str">
        <x:v>38거0839</x:v>
      </x:c>
      <x:c r="E3100" s="24" t="str">
        <x:v>김준모</x:v>
      </x:c>
      <x:c r="F3100" s="24" t="str">
        <x:v>2026-04</x:v>
      </x:c>
      <x:c r="G3100" s="30" t="n">
        <x:v>46117</x:v>
      </x:c>
      <x:c r="H3100" s="32" t="n">
        <x:v>573000</x:v>
      </x:c>
      <x:c r="I3100" s="32" t="n">
        <x:v>473000</x:v>
      </x:c>
      <x:c r="J3100" s="32" t="n">
        <x:v>1984000</x:v>
      </x:c>
      <x:c r="K3100" s="30" t="n">
        <x:v>46121</x:v>
      </x:c>
      <x:c r="L3100" s="24" t="str">
        <x:v>입금</x:v>
      </x:c>
      <x:c r="M3100" s="31" t="n">
        <x:f>IF(AND(N3100="미수",G3100&lt;&gt;"",TODAY()&gt;G3100),TODAY()-G3100,0)</x:f>
        <x:v>132</x:v>
      </x:c>
      <x:c r="N3100" s="24" t="str">
        <x:f>IF(J3100&gt;0,"미수",IF(AND(H3100&gt;0,I3100&gt;=H3100),"완납","미확인"))</x:f>
        <x:v>미수</x:v>
      </x:c>
      <x:c r="O3100" s="31" t="n">
        <x:v>35</x:v>
      </x:c>
    </x:row>
    <x:row r="3101" ht="17.25" customHeight="1">
      <x:c r="A3101" s="24" t="str">
        <x:v>PR-B-38거0839-202603</x:v>
      </x:c>
      <x:c r="B3101" s="24" t="str">
        <x:v>프라임구독</x:v>
      </x:c>
      <x:c r="C3101" s="24" t="str">
        <x:v>PR-C-38거0839-1-20240130-137</x:v>
      </x:c>
      <x:c r="D3101" s="24" t="str">
        <x:v>38거0839</x:v>
      </x:c>
      <x:c r="E3101" s="24" t="str">
        <x:v>김준모</x:v>
      </x:c>
      <x:c r="F3101" s="24" t="str">
        <x:v>2026-03</x:v>
      </x:c>
      <x:c r="G3101" s="30" t="n">
        <x:v>46086</x:v>
      </x:c>
      <x:c r="H3101" s="32" t="n">
        <x:v>573000</x:v>
      </x:c>
      <x:c r="I3101" s="32" t="n">
        <x:v>646000</x:v>
      </x:c>
      <x:c r="J3101" s="32" t="n">
        <x:v>1884000</x:v>
      </x:c>
      <x:c r="K3101" s="30" t="n">
        <x:v>46092</x:v>
      </x:c>
      <x:c r="L3101" s="24" t="str">
        <x:v>입금</x:v>
      </x:c>
      <x:c r="M3101" s="31" t="n">
        <x:f>IF(AND(N3101="미수",G3101&lt;&gt;"",TODAY()&gt;G3101),TODAY()-G3101,0)</x:f>
        <x:v>163</x:v>
      </x:c>
      <x:c r="N3101" s="24" t="str">
        <x:f>IF(J3101&gt;0,"미수",IF(AND(H3101&gt;0,I3101&gt;=H3101),"완납","미확인"))</x:f>
        <x:v>미수</x:v>
      </x:c>
      <x:c r="O3101" s="31" t="n">
        <x:v>35</x:v>
      </x:c>
    </x:row>
    <x:row r="3102" ht="17.25" customHeight="1">
      <x:c r="A3102" s="24" t="str">
        <x:v>PR-B-38거0839-202602</x:v>
      </x:c>
      <x:c r="B3102" s="24" t="str">
        <x:v>프라임구독</x:v>
      </x:c>
      <x:c r="C3102" s="24" t="str">
        <x:v>PR-C-38거0839-1-20240130-137</x:v>
      </x:c>
      <x:c r="D3102" s="24" t="str">
        <x:v>38거0839</x:v>
      </x:c>
      <x:c r="E3102" s="24" t="str">
        <x:v>김준모</x:v>
      </x:c>
      <x:c r="F3102" s="24" t="str">
        <x:v>2026-02</x:v>
      </x:c>
      <x:c r="G3102" s="30" t="n">
        <x:v>46058</x:v>
      </x:c>
      <x:c r="H3102" s="32" t="n">
        <x:v>573000</x:v>
      </x:c>
      <x:c r="I3102" s="32" t="n">
        <x:v>500000</x:v>
      </x:c>
      <x:c r="J3102" s="32" t="n">
        <x:v>1957000</x:v>
      </x:c>
      <x:c r="K3102" s="30" t="n">
        <x:v>46059</x:v>
      </x:c>
      <x:c r="L3102" s="24" t="str">
        <x:v>입금</x:v>
      </x:c>
      <x:c r="M3102" s="31" t="n">
        <x:f>IF(AND(N3102="미수",G3102&lt;&gt;"",TODAY()&gt;G3102),TODAY()-G3102,0)</x:f>
        <x:v>191</x:v>
      </x:c>
      <x:c r="N3102" s="24" t="str">
        <x:f>IF(J3102&gt;0,"미수",IF(AND(H3102&gt;0,I3102&gt;=H3102),"완납","미확인"))</x:f>
        <x:v>미수</x:v>
      </x:c>
      <x:c r="O3102" s="31" t="n">
        <x:v>35</x:v>
      </x:c>
    </x:row>
    <x:row r="3103" ht="17.25" customHeight="1">
      <x:c r="A3103" s="24" t="str">
        <x:v>PR-B-38거0839-202601</x:v>
      </x:c>
      <x:c r="B3103" s="24" t="str">
        <x:v>프라임구독</x:v>
      </x:c>
      <x:c r="C3103" s="24" t="str">
        <x:v>PR-C-38거0839-1-20240130-137</x:v>
      </x:c>
      <x:c r="D3103" s="24" t="str">
        <x:v>38거0839</x:v>
      </x:c>
      <x:c r="E3103" s="24" t="str">
        <x:v>김준모</x:v>
      </x:c>
      <x:c r="F3103" s="24" t="str">
        <x:v>2026-01</x:v>
      </x:c>
      <x:c r="G3103" s="30" t="n">
        <x:v>46027</x:v>
      </x:c>
      <x:c r="H3103" s="32" t="n">
        <x:v>573000</x:v>
      </x:c>
      <x:c r="I3103" s="32" t="n">
        <x:v>2200000</x:v>
      </x:c>
      <x:c r="J3103" s="32" t="n">
        <x:v>1884000</x:v>
      </x:c>
      <x:c r="K3103" s="30" t="n">
        <x:v>46038</x:v>
      </x:c>
      <x:c r="L3103" s="24" t="str">
        <x:v>입금</x:v>
      </x:c>
      <x:c r="M3103" s="31" t="n">
        <x:f>IF(AND(N3103="미수",G3103&lt;&gt;"",TODAY()&gt;G3103),TODAY()-G3103,0)</x:f>
        <x:v>222</x:v>
      </x:c>
      <x:c r="N3103" s="24" t="str">
        <x:f>IF(J3103&gt;0,"미수",IF(AND(H3103&gt;0,I3103&gt;=H3103),"완납","미확인"))</x:f>
        <x:v>미수</x:v>
      </x:c>
      <x:c r="O3103" s="31" t="n">
        <x:v>35</x:v>
      </x:c>
    </x:row>
    <x:row r="3104" ht="17.25" customHeight="1">
      <x:c r="A3104" s="24" t="str">
        <x:v>PR-B-38거0839-202512</x:v>
      </x:c>
      <x:c r="B3104" s="24" t="str">
        <x:v>프라임구독</x:v>
      </x:c>
      <x:c r="C3104" s="24" t="str">
        <x:v>PR-C-38거0839-1-20240130-137</x:v>
      </x:c>
      <x:c r="D3104" s="24" t="str">
        <x:v>38거0839</x:v>
      </x:c>
      <x:c r="E3104" s="24" t="str">
        <x:v>김준모</x:v>
      </x:c>
      <x:c r="F3104" s="24" t="str">
        <x:v>2025-12</x:v>
      </x:c>
      <x:c r="G3104" s="30" t="n">
        <x:v>45996</x:v>
      </x:c>
      <x:c r="H3104" s="32" t="n">
        <x:v>573000</x:v>
      </x:c>
      <x:c r="I3104" s="32" t="n">
        <x:v>273000</x:v>
      </x:c>
      <x:c r="J3104" s="32" t="n">
        <x:v>3511000</x:v>
      </x:c>
      <x:c r="K3104" s="30" t="n">
        <x:v>45999</x:v>
      </x:c>
      <x:c r="L3104" s="24" t="str">
        <x:v>입금</x:v>
      </x:c>
      <x:c r="M3104" s="31" t="n">
        <x:f>IF(AND(N3104="미수",G3104&lt;&gt;"",TODAY()&gt;G3104),TODAY()-G3104,0)</x:f>
        <x:v>253</x:v>
      </x:c>
      <x:c r="N3104" s="24" t="str">
        <x:f>IF(J3104&gt;0,"미수",IF(AND(H3104&gt;0,I3104&gt;=H3104),"완납","미확인"))</x:f>
        <x:v>미수</x:v>
      </x:c>
      <x:c r="O3104" s="31" t="n">
        <x:v>35</x:v>
      </x:c>
    </x:row>
    <x:row r="3105" ht="17.25" customHeight="1">
      <x:c r="A3105" s="24" t="str">
        <x:v>PR-B-38거0839-202511</x:v>
      </x:c>
      <x:c r="B3105" s="24" t="str">
        <x:v>프라임구독</x:v>
      </x:c>
      <x:c r="C3105" s="24" t="str">
        <x:v>PR-C-38거0839-1-20240130-137</x:v>
      </x:c>
      <x:c r="D3105" s="24" t="str">
        <x:v>38거0839</x:v>
      </x:c>
      <x:c r="E3105" s="24" t="str">
        <x:v>김준모</x:v>
      </x:c>
      <x:c r="F3105" s="24" t="str">
        <x:v>2025-11</x:v>
      </x:c>
      <x:c r="G3105" s="30" t="n">
        <x:v>45966</x:v>
      </x:c>
      <x:c r="H3105" s="32" t="n">
        <x:v>573000</x:v>
      </x:c>
      <x:c r="I3105" s="32" t="n">
        <x:v>300000</x:v>
      </x:c>
      <x:c r="J3105" s="32" t="n">
        <x:v>3211000</x:v>
      </x:c>
      <x:c r="K3105" s="30" t="n">
        <x:v>45967</x:v>
      </x:c>
      <x:c r="L3105" s="24" t="str">
        <x:v>입금</x:v>
      </x:c>
      <x:c r="M3105" s="31" t="n">
        <x:f>IF(AND(N3105="미수",G3105&lt;&gt;"",TODAY()&gt;G3105),TODAY()-G3105,0)</x:f>
        <x:v>283</x:v>
      </x:c>
      <x:c r="N3105" s="24" t="str">
        <x:f>IF(J3105&gt;0,"미수",IF(AND(H3105&gt;0,I3105&gt;=H3105),"완납","미확인"))</x:f>
        <x:v>미수</x:v>
      </x:c>
      <x:c r="O3105" s="31" t="n">
        <x:v>35</x:v>
      </x:c>
    </x:row>
    <x:row r="3106" ht="17.25" customHeight="1">
      <x:c r="A3106" s="24" t="str">
        <x:v>PR-B-38거0839-202510</x:v>
      </x:c>
      <x:c r="B3106" s="24" t="str">
        <x:v>프라임구독</x:v>
      </x:c>
      <x:c r="C3106" s="24" t="str">
        <x:v>PR-C-38거0839-1-20240130-137</x:v>
      </x:c>
      <x:c r="D3106" s="24" t="str">
        <x:v>38거0839</x:v>
      </x:c>
      <x:c r="E3106" s="24" t="str">
        <x:v>김준모</x:v>
      </x:c>
      <x:c r="F3106" s="24" t="str">
        <x:v>2025-10</x:v>
      </x:c>
      <x:c r="G3106" s="30" t="n">
        <x:v>45935</x:v>
      </x:c>
      <x:c r="H3106" s="32" t="n">
        <x:v>573000</x:v>
      </x:c>
      <x:c r="I3106" s="32" t="n">
        <x:v>746000</x:v>
      </x:c>
      <x:c r="J3106" s="32" t="n">
        <x:v>2938000</x:v>
      </x:c>
      <x:c r="K3106" s="30" t="n">
        <x:v>45932</x:v>
      </x:c>
      <x:c r="L3106" s="24" t="str">
        <x:v>입금</x:v>
      </x:c>
      <x:c r="M3106" s="31" t="n">
        <x:f>IF(AND(N3106="미수",G3106&lt;&gt;"",TODAY()&gt;G3106),TODAY()-G3106,0)</x:f>
        <x:v>314</x:v>
      </x:c>
      <x:c r="N3106" s="24" t="str">
        <x:f>IF(J3106&gt;0,"미수",IF(AND(H3106&gt;0,I3106&gt;=H3106),"완납","미확인"))</x:f>
        <x:v>미수</x:v>
      </x:c>
      <x:c r="O3106" s="31" t="n">
        <x:v>35</x:v>
      </x:c>
    </x:row>
    <x:row r="3107" ht="17.25" customHeight="1">
      <x:c r="A3107" s="24" t="str">
        <x:v>PR-B-38거0839-202509</x:v>
      </x:c>
      <x:c r="B3107" s="24" t="str">
        <x:v>프라임구독</x:v>
      </x:c>
      <x:c r="C3107" s="24" t="str">
        <x:v>PR-C-38거0839-1-20240130-137</x:v>
      </x:c>
      <x:c r="D3107" s="24" t="str">
        <x:v>38거0839</x:v>
      </x:c>
      <x:c r="E3107" s="24" t="str">
        <x:v>김준모</x:v>
      </x:c>
      <x:c r="F3107" s="24" t="str">
        <x:v>2025-09</x:v>
      </x:c>
      <x:c r="G3107" s="30" t="n">
        <x:v>45905</x:v>
      </x:c>
      <x:c r="H3107" s="32" t="n">
        <x:v>573000</x:v>
      </x:c>
      <x:c r="I3107" s="32"/>
      <x:c r="J3107" s="32" t="n">
        <x:v>3111000</x:v>
      </x:c>
      <x:c r="K3107" s="30"/>
      <x:c r="L3107" s="24" t="str"/>
      <x:c r="M3107" s="31" t="n">
        <x:f>IF(AND(N3107="미수",G3107&lt;&gt;"",TODAY()&gt;G3107),TODAY()-G3107,0)</x:f>
        <x:v>344</x:v>
      </x:c>
      <x:c r="N3107" s="24" t="str">
        <x:f>IF(J3107&gt;0,"미수",IF(AND(H3107&gt;0,I3107&gt;=H3107),"완납","미확인"))</x:f>
        <x:v>미수</x:v>
      </x:c>
      <x:c r="O3107" s="31" t="n">
        <x:v>35</x:v>
      </x:c>
    </x:row>
    <x:row r="3108" ht="17.25" customHeight="1">
      <x:c r="A3108" s="24" t="str">
        <x:v>PR-B-38거0839-202508</x:v>
      </x:c>
      <x:c r="B3108" s="24" t="str">
        <x:v>프라임구독</x:v>
      </x:c>
      <x:c r="C3108" s="24" t="str">
        <x:v>PR-C-38거0839-1-20240130-137</x:v>
      </x:c>
      <x:c r="D3108" s="24" t="str">
        <x:v>38거0839</x:v>
      </x:c>
      <x:c r="E3108" s="24" t="str">
        <x:v>김준모</x:v>
      </x:c>
      <x:c r="F3108" s="24" t="str">
        <x:v>2025-08</x:v>
      </x:c>
      <x:c r="G3108" s="30" t="n">
        <x:v>45874</x:v>
      </x:c>
      <x:c r="H3108" s="32" t="n">
        <x:v>573000</x:v>
      </x:c>
      <x:c r="I3108" s="32"/>
      <x:c r="J3108" s="32" t="n">
        <x:v>2538000</x:v>
      </x:c>
      <x:c r="K3108" s="30"/>
      <x:c r="L3108" s="24" t="str"/>
      <x:c r="M3108" s="31" t="n">
        <x:f>IF(AND(N3108="미수",G3108&lt;&gt;"",TODAY()&gt;G3108),TODAY()-G3108,0)</x:f>
        <x:v>375</x:v>
      </x:c>
      <x:c r="N3108" s="24" t="str">
        <x:f>IF(J3108&gt;0,"미수",IF(AND(H3108&gt;0,I3108&gt;=H3108),"완납","미확인"))</x:f>
        <x:v>미수</x:v>
      </x:c>
      <x:c r="O3108" s="31" t="n">
        <x:v>35</x:v>
      </x:c>
    </x:row>
    <x:row r="3109" ht="17.25" customHeight="1">
      <x:c r="A3109" s="24" t="str">
        <x:v>PR-B-38거0839-202507</x:v>
      </x:c>
      <x:c r="B3109" s="24" t="str">
        <x:v>프라임구독</x:v>
      </x:c>
      <x:c r="C3109" s="24" t="str">
        <x:v>PR-C-38거0839-1-20240130-137</x:v>
      </x:c>
      <x:c r="D3109" s="24" t="str">
        <x:v>38거0839</x:v>
      </x:c>
      <x:c r="E3109" s="24" t="str">
        <x:v>김준모</x:v>
      </x:c>
      <x:c r="F3109" s="24" t="str">
        <x:v>2025-07</x:v>
      </x:c>
      <x:c r="G3109" s="30" t="n">
        <x:v>45843</x:v>
      </x:c>
      <x:c r="H3109" s="32" t="n">
        <x:v>573000</x:v>
      </x:c>
      <x:c r="I3109" s="32" t="n">
        <x:v>200000</x:v>
      </x:c>
      <x:c r="J3109" s="32" t="n">
        <x:v>1965000</x:v>
      </x:c>
      <x:c r="K3109" s="30" t="n">
        <x:v>45846</x:v>
      </x:c>
      <x:c r="L3109" s="24" t="str">
        <x:v>입금</x:v>
      </x:c>
      <x:c r="M3109" s="31" t="n">
        <x:f>IF(AND(N3109="미수",G3109&lt;&gt;"",TODAY()&gt;G3109),TODAY()-G3109,0)</x:f>
        <x:v>406</x:v>
      </x:c>
      <x:c r="N3109" s="24" t="str">
        <x:f>IF(J3109&gt;0,"미수",IF(AND(H3109&gt;0,I3109&gt;=H3109),"완납","미확인"))</x:f>
        <x:v>미수</x:v>
      </x:c>
      <x:c r="O3109" s="31" t="n">
        <x:v>35</x:v>
      </x:c>
    </x:row>
    <x:row r="3110" ht="17.25" customHeight="1">
      <x:c r="A3110" s="24" t="str">
        <x:v>PR-B-38거0839-202506</x:v>
      </x:c>
      <x:c r="B3110" s="24" t="str">
        <x:v>프라임구독</x:v>
      </x:c>
      <x:c r="C3110" s="24" t="str">
        <x:v>PR-C-38거0839-1-20240130-137</x:v>
      </x:c>
      <x:c r="D3110" s="24" t="str">
        <x:v>38거0839</x:v>
      </x:c>
      <x:c r="E3110" s="24" t="str">
        <x:v>김준모</x:v>
      </x:c>
      <x:c r="F3110" s="24" t="str">
        <x:v>2025-06</x:v>
      </x:c>
      <x:c r="G3110" s="30" t="n">
        <x:v>45813</x:v>
      </x:c>
      <x:c r="H3110" s="32" t="n">
        <x:v>573000</x:v>
      </x:c>
      <x:c r="I3110" s="32" t="n">
        <x:v>300000</x:v>
      </x:c>
      <x:c r="J3110" s="32" t="n">
        <x:v>1592000</x:v>
      </x:c>
      <x:c r="K3110" s="30" t="n">
        <x:v>45830</x:v>
      </x:c>
      <x:c r="L3110" s="24" t="str">
        <x:v>입금</x:v>
      </x:c>
      <x:c r="M3110" s="31" t="n">
        <x:f>IF(AND(N3110="미수",G3110&lt;&gt;"",TODAY()&gt;G3110),TODAY()-G3110,0)</x:f>
        <x:v>436</x:v>
      </x:c>
      <x:c r="N3110" s="24" t="str">
        <x:f>IF(J3110&gt;0,"미수",IF(AND(H3110&gt;0,I3110&gt;=H3110),"완납","미확인"))</x:f>
        <x:v>미수</x:v>
      </x:c>
      <x:c r="O3110" s="31" t="n">
        <x:v>35</x:v>
      </x:c>
    </x:row>
    <x:row r="3111" ht="17.25" customHeight="1">
      <x:c r="A3111" s="24" t="str">
        <x:v>PR-B-38거0839-202505</x:v>
      </x:c>
      <x:c r="B3111" s="24" t="str">
        <x:v>프라임구독</x:v>
      </x:c>
      <x:c r="C3111" s="24" t="str">
        <x:v>PR-C-38거0839-1-20240130-137</x:v>
      </x:c>
      <x:c r="D3111" s="24" t="str">
        <x:v>38거0839</x:v>
      </x:c>
      <x:c r="E3111" s="24" t="str">
        <x:v>김준모</x:v>
      </x:c>
      <x:c r="F3111" s="24" t="str">
        <x:v>2025-05</x:v>
      </x:c>
      <x:c r="G3111" s="30" t="n">
        <x:v>45782</x:v>
      </x:c>
      <x:c r="H3111" s="32" t="n">
        <x:v>573000</x:v>
      </x:c>
      <x:c r="I3111" s="32" t="n">
        <x:v>466000</x:v>
      </x:c>
      <x:c r="J3111" s="32" t="n">
        <x:v>1319000</x:v>
      </x:c>
      <x:c r="K3111" s="30" t="n">
        <x:v>45801</x:v>
      </x:c>
      <x:c r="L3111" s="24" t="str">
        <x:v>입금</x:v>
      </x:c>
      <x:c r="M3111" s="31" t="n">
        <x:f>IF(AND(N3111="미수",G3111&lt;&gt;"",TODAY()&gt;G3111),TODAY()-G3111,0)</x:f>
        <x:v>467</x:v>
      </x:c>
      <x:c r="N3111" s="24" t="str">
        <x:f>IF(J3111&gt;0,"미수",IF(AND(H3111&gt;0,I3111&gt;=H3111),"완납","미확인"))</x:f>
        <x:v>미수</x:v>
      </x:c>
      <x:c r="O3111" s="31" t="n">
        <x:v>35</x:v>
      </x:c>
    </x:row>
    <x:row r="3112" ht="17.25" customHeight="1">
      <x:c r="A3112" s="24" t="str">
        <x:v>PR-B-38거0839-202504</x:v>
      </x:c>
      <x:c r="B3112" s="24" t="str">
        <x:v>프라임구독</x:v>
      </x:c>
      <x:c r="C3112" s="24" t="str">
        <x:v>PR-C-38거0839-1-20240130-137</x:v>
      </x:c>
      <x:c r="D3112" s="24" t="str">
        <x:v>38거0839</x:v>
      </x:c>
      <x:c r="E3112" s="24" t="str">
        <x:v>김준모</x:v>
      </x:c>
      <x:c r="F3112" s="24" t="str">
        <x:v>2025-04</x:v>
      </x:c>
      <x:c r="G3112" s="30" t="n">
        <x:v>45752</x:v>
      </x:c>
      <x:c r="H3112" s="32" t="n">
        <x:v>573000</x:v>
      </x:c>
      <x:c r="I3112" s="32" t="n">
        <x:v>200000</x:v>
      </x:c>
      <x:c r="J3112" s="32" t="n">
        <x:v>1212000</x:v>
      </x:c>
      <x:c r="K3112" s="30" t="n">
        <x:v>45756</x:v>
      </x:c>
      <x:c r="L3112" s="24" t="str">
        <x:v>입금</x:v>
      </x:c>
      <x:c r="M3112" s="31" t="n">
        <x:f>IF(AND(N3112="미수",G3112&lt;&gt;"",TODAY()&gt;G3112),TODAY()-G3112,0)</x:f>
        <x:v>497</x:v>
      </x:c>
      <x:c r="N3112" s="24" t="str">
        <x:f>IF(J3112&gt;0,"미수",IF(AND(H3112&gt;0,I3112&gt;=H3112),"완납","미확인"))</x:f>
        <x:v>미수</x:v>
      </x:c>
      <x:c r="O3112" s="31" t="n">
        <x:v>35</x:v>
      </x:c>
    </x:row>
    <x:row r="3113" ht="17.25" customHeight="1">
      <x:c r="A3113" s="24" t="str">
        <x:v>PR-B-38거0839-202503</x:v>
      </x:c>
      <x:c r="B3113" s="24" t="str">
        <x:v>프라임구독</x:v>
      </x:c>
      <x:c r="C3113" s="24" t="str">
        <x:v>PR-C-38거0839-1-20240130-137</x:v>
      </x:c>
      <x:c r="D3113" s="24" t="str">
        <x:v>38거0839</x:v>
      </x:c>
      <x:c r="E3113" s="24" t="str">
        <x:v>김준모</x:v>
      </x:c>
      <x:c r="F3113" s="24" t="str">
        <x:v>2025-03</x:v>
      </x:c>
      <x:c r="G3113" s="30" t="n">
        <x:v>45721</x:v>
      </x:c>
      <x:c r="H3113" s="32" t="n">
        <x:v>573000</x:v>
      </x:c>
      <x:c r="I3113" s="32" t="n">
        <x:v>200000</x:v>
      </x:c>
      <x:c r="J3113" s="32" t="n">
        <x:v>839000</x:v>
      </x:c>
      <x:c r="K3113" s="30" t="n">
        <x:v>45721</x:v>
      </x:c>
      <x:c r="L3113" s="24" t="str">
        <x:v>입금</x:v>
      </x:c>
      <x:c r="M3113" s="31" t="n">
        <x:f>IF(AND(N3113="미수",G3113&lt;&gt;"",TODAY()&gt;G3113),TODAY()-G3113,0)</x:f>
        <x:v>528</x:v>
      </x:c>
      <x:c r="N3113" s="24" t="str">
        <x:f>IF(J3113&gt;0,"미수",IF(AND(H3113&gt;0,I3113&gt;=H3113),"완납","미확인"))</x:f>
        <x:v>미수</x:v>
      </x:c>
      <x:c r="O3113" s="31" t="n">
        <x:v>35</x:v>
      </x:c>
    </x:row>
    <x:row r="3114" ht="17.25" customHeight="1">
      <x:c r="A3114" s="24" t="str">
        <x:v>PR-B-38거0839-202502</x:v>
      </x:c>
      <x:c r="B3114" s="24" t="str">
        <x:v>프라임구독</x:v>
      </x:c>
      <x:c r="C3114" s="24" t="str">
        <x:v>PR-C-38거0839-1-20240130-137</x:v>
      </x:c>
      <x:c r="D3114" s="24" t="str">
        <x:v>38거0839</x:v>
      </x:c>
      <x:c r="E3114" s="24" t="str">
        <x:v>김준모</x:v>
      </x:c>
      <x:c r="F3114" s="24" t="str">
        <x:v>2025-02</x:v>
      </x:c>
      <x:c r="G3114" s="30" t="n">
        <x:v>45693</x:v>
      </x:c>
      <x:c r="H3114" s="32" t="n">
        <x:v>573000</x:v>
      </x:c>
      <x:c r="I3114" s="32" t="n">
        <x:v>107000</x:v>
      </x:c>
      <x:c r="J3114" s="32" t="n">
        <x:v>466000</x:v>
      </x:c>
      <x:c r="K3114" s="30" t="n">
        <x:v>45712</x:v>
      </x:c>
      <x:c r="L3114" s="24" t="str">
        <x:v>입금</x:v>
      </x:c>
      <x:c r="M3114" s="31" t="n">
        <x:f>IF(AND(N3114="미수",G3114&lt;&gt;"",TODAY()&gt;G3114),TODAY()-G3114,0)</x:f>
        <x:v>556</x:v>
      </x:c>
      <x:c r="N3114" s="24" t="str">
        <x:f>IF(J3114&gt;0,"미수",IF(AND(H3114&gt;0,I3114&gt;=H3114),"완납","미확인"))</x:f>
        <x:v>미수</x:v>
      </x:c>
      <x:c r="O3114" s="31" t="n">
        <x:v>35</x:v>
      </x:c>
    </x:row>
    <x:row r="3115" ht="17.25" customHeight="1">
      <x:c r="A3115" s="24" t="str">
        <x:v>PR-B-38거0839-202501</x:v>
      </x:c>
      <x:c r="B3115" s="24" t="str">
        <x:v>프라임구독</x:v>
      </x:c>
      <x:c r="C3115" s="24" t="str">
        <x:v>PR-C-38거0839-1-20240130-137</x:v>
      </x:c>
      <x:c r="D3115" s="24" t="str">
        <x:v>38거0839</x:v>
      </x:c>
      <x:c r="E3115" s="24" t="str">
        <x:v>김준모</x:v>
      </x:c>
      <x:c r="F3115" s="24" t="str">
        <x:v>2025-01</x:v>
      </x:c>
      <x:c r="G3115" s="30" t="n">
        <x:v>45662</x:v>
      </x:c>
      <x:c r="H3115" s="32" t="n">
        <x:v>573000</x:v>
      </x:c>
      <x:c r="I3115" s="32" t="n">
        <x:v>573000</x:v>
      </x:c>
      <x:c r="J3115" s="32" t="n">
        <x:v>0</x:v>
      </x:c>
      <x:c r="K3115" s="30" t="n">
        <x:v>45679</x:v>
      </x:c>
      <x:c r="L3115" s="24" t="str">
        <x:v>입금</x:v>
      </x:c>
      <x:c r="M3115" s="31" t="n">
        <x:f>IF(AND(N3115="미수",G3115&lt;&gt;"",TODAY()&gt;G3115),TODAY()-G3115,0)</x:f>
        <x:v>0</x:v>
      </x:c>
      <x:c r="N3115" s="24" t="str">
        <x:f>IF(J3115&gt;0,"미수",IF(AND(H3115&gt;0,I3115&gt;=H3115),"완납","미확인"))</x:f>
        <x:v>완납</x:v>
      </x:c>
      <x:c r="O3115" s="31" t="n">
        <x:v>35</x:v>
      </x:c>
    </x:row>
    <x:row r="3116" ht="17.25" customHeight="1">
      <x:c r="A3116" s="24" t="str">
        <x:v>PR-B-38거0839-202412</x:v>
      </x:c>
      <x:c r="B3116" s="24" t="str">
        <x:v>프라임구독</x:v>
      </x:c>
      <x:c r="C3116" s="24" t="str">
        <x:v>PR-C-38거0839-1-20240130-137</x:v>
      </x:c>
      <x:c r="D3116" s="24" t="str">
        <x:v>38거0839</x:v>
      </x:c>
      <x:c r="E3116" s="24" t="str">
        <x:v>김준모</x:v>
      </x:c>
      <x:c r="F3116" s="24" t="str">
        <x:v>2024-12</x:v>
      </x:c>
      <x:c r="G3116" s="30" t="n">
        <x:v>45631</x:v>
      </x:c>
      <x:c r="H3116" s="32" t="n">
        <x:v>573000</x:v>
      </x:c>
      <x:c r="I3116" s="32" t="n">
        <x:v>573000</x:v>
      </x:c>
      <x:c r="J3116" s="32" t="n">
        <x:v>0</x:v>
      </x:c>
      <x:c r="K3116" s="30" t="n">
        <x:v>45631</x:v>
      </x:c>
      <x:c r="L3116" s="24" t="str">
        <x:v>입금</x:v>
      </x:c>
      <x:c r="M3116" s="31" t="n">
        <x:f>IF(AND(N3116="미수",G3116&lt;&gt;"",TODAY()&gt;G3116),TODAY()-G3116,0)</x:f>
        <x:v>0</x:v>
      </x:c>
      <x:c r="N3116" s="24" t="str">
        <x:f>IF(J3116&gt;0,"미수",IF(AND(H3116&gt;0,I3116&gt;=H3116),"완납","미확인"))</x:f>
        <x:v>완납</x:v>
      </x:c>
      <x:c r="O3116" s="31" t="n">
        <x:v>35</x:v>
      </x:c>
    </x:row>
    <x:row r="3117" ht="17.25" customHeight="1">
      <x:c r="A3117" s="24" t="str">
        <x:v>PR-B-38거0839-202411</x:v>
      </x:c>
      <x:c r="B3117" s="24" t="str">
        <x:v>프라임구독</x:v>
      </x:c>
      <x:c r="C3117" s="24" t="str">
        <x:v>PR-C-38거0839-1-20240130-137</x:v>
      </x:c>
      <x:c r="D3117" s="24" t="str">
        <x:v>38거0839</x:v>
      </x:c>
      <x:c r="E3117" s="24" t="str">
        <x:v>김준모</x:v>
      </x:c>
      <x:c r="F3117" s="24" t="str">
        <x:v>2024-11</x:v>
      </x:c>
      <x:c r="G3117" s="30" t="n">
        <x:v>45601</x:v>
      </x:c>
      <x:c r="H3117" s="32" t="n">
        <x:v>573000</x:v>
      </x:c>
      <x:c r="I3117" s="32" t="n">
        <x:v>573000</x:v>
      </x:c>
      <x:c r="J3117" s="32" t="n">
        <x:v>0</x:v>
      </x:c>
      <x:c r="K3117" s="30" t="n">
        <x:v>45601</x:v>
      </x:c>
      <x:c r="L3117" s="24" t="str">
        <x:v>입금</x:v>
      </x:c>
      <x:c r="M3117" s="31" t="n">
        <x:f>IF(AND(N3117="미수",G3117&lt;&gt;"",TODAY()&gt;G3117),TODAY()-G3117,0)</x:f>
        <x:v>0</x:v>
      </x:c>
      <x:c r="N3117" s="24" t="str">
        <x:f>IF(J3117&gt;0,"미수",IF(AND(H3117&gt;0,I3117&gt;=H3117),"완납","미확인"))</x:f>
        <x:v>완납</x:v>
      </x:c>
      <x:c r="O3117" s="31" t="n">
        <x:v>35</x:v>
      </x:c>
    </x:row>
    <x:row r="3118" ht="17.25" customHeight="1">
      <x:c r="A3118" s="24" t="str">
        <x:v>PR-B-38거0839-202410</x:v>
      </x:c>
      <x:c r="B3118" s="24" t="str">
        <x:v>프라임구독</x:v>
      </x:c>
      <x:c r="C3118" s="24" t="str">
        <x:v>PR-C-38거0839-1-20240130-137</x:v>
      </x:c>
      <x:c r="D3118" s="24" t="str">
        <x:v>38거0839</x:v>
      </x:c>
      <x:c r="E3118" s="24" t="str">
        <x:v>김준모</x:v>
      </x:c>
      <x:c r="F3118" s="24" t="str">
        <x:v>2024-10</x:v>
      </x:c>
      <x:c r="G3118" s="30" t="n">
        <x:v>45570</x:v>
      </x:c>
      <x:c r="H3118" s="32" t="n">
        <x:v>573000</x:v>
      </x:c>
      <x:c r="I3118" s="32" t="n">
        <x:v>573000</x:v>
      </x:c>
      <x:c r="J3118" s="32" t="n">
        <x:v>0</x:v>
      </x:c>
      <x:c r="K3118" s="30" t="n">
        <x:v>45572</x:v>
      </x:c>
      <x:c r="L3118" s="24" t="str">
        <x:v>입금</x:v>
      </x:c>
      <x:c r="M3118" s="31" t="n">
        <x:f>IF(AND(N3118="미수",G3118&lt;&gt;"",TODAY()&gt;G3118),TODAY()-G3118,0)</x:f>
        <x:v>0</x:v>
      </x:c>
      <x:c r="N3118" s="24" t="str">
        <x:f>IF(J3118&gt;0,"미수",IF(AND(H3118&gt;0,I3118&gt;=H3118),"완납","미확인"))</x:f>
        <x:v>완납</x:v>
      </x:c>
      <x:c r="O3118" s="31" t="n">
        <x:v>35</x:v>
      </x:c>
    </x:row>
    <x:row r="3119" ht="17.25" customHeight="1">
      <x:c r="A3119" s="24" t="str">
        <x:v>PR-B-38거0839-202409</x:v>
      </x:c>
      <x:c r="B3119" s="24" t="str">
        <x:v>프라임구독</x:v>
      </x:c>
      <x:c r="C3119" s="24" t="str">
        <x:v>PR-C-38거0839-1-20240130-137</x:v>
      </x:c>
      <x:c r="D3119" s="24" t="str">
        <x:v>38거0839</x:v>
      </x:c>
      <x:c r="E3119" s="24" t="str">
        <x:v>김준모</x:v>
      </x:c>
      <x:c r="F3119" s="24" t="str">
        <x:v>2024-09</x:v>
      </x:c>
      <x:c r="G3119" s="30" t="n">
        <x:v>45540</x:v>
      </x:c>
      <x:c r="H3119" s="32" t="n">
        <x:v>573000</x:v>
      </x:c>
      <x:c r="I3119" s="32" t="n">
        <x:v>573000</x:v>
      </x:c>
      <x:c r="J3119" s="32" t="n">
        <x:v>0</x:v>
      </x:c>
      <x:c r="K3119" s="30" t="n">
        <x:v>45540</x:v>
      </x:c>
      <x:c r="L3119" s="24" t="str">
        <x:v>입금</x:v>
      </x:c>
      <x:c r="M3119" s="31" t="n">
        <x:f>IF(AND(N3119="미수",G3119&lt;&gt;"",TODAY()&gt;G3119),TODAY()-G3119,0)</x:f>
        <x:v>0</x:v>
      </x:c>
      <x:c r="N3119" s="24" t="str">
        <x:f>IF(J3119&gt;0,"미수",IF(AND(H3119&gt;0,I3119&gt;=H3119),"완납","미확인"))</x:f>
        <x:v>완납</x:v>
      </x:c>
      <x:c r="O3119" s="31" t="n">
        <x:v>35</x:v>
      </x:c>
    </x:row>
    <x:row r="3120" ht="17.25" customHeight="1">
      <x:c r="A3120" s="24" t="str">
        <x:v>PR-B-38거0839-202408</x:v>
      </x:c>
      <x:c r="B3120" s="24" t="str">
        <x:v>프라임구독</x:v>
      </x:c>
      <x:c r="C3120" s="24" t="str">
        <x:v>PR-C-38거0839-1-20240130-137</x:v>
      </x:c>
      <x:c r="D3120" s="24" t="str">
        <x:v>38거0839</x:v>
      </x:c>
      <x:c r="E3120" s="24" t="str">
        <x:v>김준모</x:v>
      </x:c>
      <x:c r="F3120" s="24" t="str">
        <x:v>2024-08</x:v>
      </x:c>
      <x:c r="G3120" s="30" t="n">
        <x:v>45509</x:v>
      </x:c>
      <x:c r="H3120" s="32" t="n">
        <x:v>573000</x:v>
      </x:c>
      <x:c r="I3120" s="32" t="n">
        <x:v>573000</x:v>
      </x:c>
      <x:c r="J3120" s="32" t="n">
        <x:v>0</x:v>
      </x:c>
      <x:c r="K3120" s="30" t="n">
        <x:v>45509</x:v>
      </x:c>
      <x:c r="L3120" s="24" t="str">
        <x:v>입금</x:v>
      </x:c>
      <x:c r="M3120" s="31" t="n">
        <x:f>IF(AND(N3120="미수",G3120&lt;&gt;"",TODAY()&gt;G3120),TODAY()-G3120,0)</x:f>
        <x:v>0</x:v>
      </x:c>
      <x:c r="N3120" s="24" t="str">
        <x:f>IF(J3120&gt;0,"미수",IF(AND(H3120&gt;0,I3120&gt;=H3120),"완납","미확인"))</x:f>
        <x:v>완납</x:v>
      </x:c>
      <x:c r="O3120" s="31" t="n">
        <x:v>35</x:v>
      </x:c>
    </x:row>
    <x:row r="3121" ht="17.25" customHeight="1">
      <x:c r="A3121" s="24" t="str">
        <x:v>PR-B-38거0839-202407</x:v>
      </x:c>
      <x:c r="B3121" s="24" t="str">
        <x:v>프라임구독</x:v>
      </x:c>
      <x:c r="C3121" s="24" t="str">
        <x:v>PR-C-38거0839-1-20240130-137</x:v>
      </x:c>
      <x:c r="D3121" s="24" t="str">
        <x:v>38거0839</x:v>
      </x:c>
      <x:c r="E3121" s="24" t="str">
        <x:v>김준모</x:v>
      </x:c>
      <x:c r="F3121" s="24" t="str">
        <x:v>2024-07</x:v>
      </x:c>
      <x:c r="G3121" s="30" t="n">
        <x:v>45478</x:v>
      </x:c>
      <x:c r="H3121" s="32" t="n">
        <x:v>573000</x:v>
      </x:c>
      <x:c r="I3121" s="32" t="n">
        <x:v>573000</x:v>
      </x:c>
      <x:c r="J3121" s="32" t="n">
        <x:v>0</x:v>
      </x:c>
      <x:c r="K3121" s="30" t="n">
        <x:v>45477</x:v>
      </x:c>
      <x:c r="L3121" s="24" t="str"/>
      <x:c r="M3121" s="31" t="n">
        <x:f>IF(AND(N3121="미수",G3121&lt;&gt;"",TODAY()&gt;G3121),TODAY()-G3121,0)</x:f>
        <x:v>0</x:v>
      </x:c>
      <x:c r="N3121" s="24" t="str">
        <x:f>IF(J3121&gt;0,"미수",IF(AND(H3121&gt;0,I3121&gt;=H3121),"완납","미확인"))</x:f>
        <x:v>완납</x:v>
      </x:c>
      <x:c r="O3121" s="31" t="n">
        <x:v>35</x:v>
      </x:c>
    </x:row>
    <x:row r="3122" ht="17.25" customHeight="1">
      <x:c r="A3122" s="24" t="str">
        <x:v>PR-B-38거0839-202406</x:v>
      </x:c>
      <x:c r="B3122" s="24" t="str">
        <x:v>프라임구독</x:v>
      </x:c>
      <x:c r="C3122" s="24" t="str">
        <x:v>PR-C-38거0839-1-20240130-137</x:v>
      </x:c>
      <x:c r="D3122" s="24" t="str">
        <x:v>38거0839</x:v>
      </x:c>
      <x:c r="E3122" s="24" t="str">
        <x:v>김준모</x:v>
      </x:c>
      <x:c r="F3122" s="24" t="str">
        <x:v>2024-06</x:v>
      </x:c>
      <x:c r="G3122" s="30" t="n">
        <x:v>45448</x:v>
      </x:c>
      <x:c r="H3122" s="32" t="n">
        <x:v>573000</x:v>
      </x:c>
      <x:c r="I3122" s="32" t="n">
        <x:v>573000</x:v>
      </x:c>
      <x:c r="J3122" s="32" t="n">
        <x:v>0</x:v>
      </x:c>
      <x:c r="K3122" s="30" t="n">
        <x:v>45448</x:v>
      </x:c>
      <x:c r="L3122" s="24" t="str"/>
      <x:c r="M3122" s="31" t="n">
        <x:f>IF(AND(N3122="미수",G3122&lt;&gt;"",TODAY()&gt;G3122),TODAY()-G3122,0)</x:f>
        <x:v>0</x:v>
      </x:c>
      <x:c r="N3122" s="24" t="str">
        <x:f>IF(J3122&gt;0,"미수",IF(AND(H3122&gt;0,I3122&gt;=H3122),"완납","미확인"))</x:f>
        <x:v>완납</x:v>
      </x:c>
      <x:c r="O3122" s="31" t="n">
        <x:v>35</x:v>
      </x:c>
    </x:row>
    <x:row r="3123" ht="17.25" customHeight="1">
      <x:c r="A3123" s="24" t="str">
        <x:v>PR-B-38거0839-202405</x:v>
      </x:c>
      <x:c r="B3123" s="24" t="str">
        <x:v>프라임구독</x:v>
      </x:c>
      <x:c r="C3123" s="24" t="str">
        <x:v>PR-C-38거0839-1-20240130-137</x:v>
      </x:c>
      <x:c r="D3123" s="24" t="str">
        <x:v>38거0839</x:v>
      </x:c>
      <x:c r="E3123" s="24" t="str">
        <x:v>김준모</x:v>
      </x:c>
      <x:c r="F3123" s="24" t="str">
        <x:v>2024-05</x:v>
      </x:c>
      <x:c r="G3123" s="30" t="n">
        <x:v>45417</x:v>
      </x:c>
      <x:c r="H3123" s="32" t="n">
        <x:v>573000</x:v>
      </x:c>
      <x:c r="I3123" s="32" t="n">
        <x:v>573000</x:v>
      </x:c>
      <x:c r="J3123" s="32" t="n">
        <x:v>0</x:v>
      </x:c>
      <x:c r="K3123" s="30" t="n">
        <x:v>45418</x:v>
      </x:c>
      <x:c r="L3123" s="24" t="str"/>
      <x:c r="M3123" s="31" t="n">
        <x:f>IF(AND(N3123="미수",G3123&lt;&gt;"",TODAY()&gt;G3123),TODAY()-G3123,0)</x:f>
        <x:v>0</x:v>
      </x:c>
      <x:c r="N3123" s="24" t="str">
        <x:f>IF(J3123&gt;0,"미수",IF(AND(H3123&gt;0,I3123&gt;=H3123),"완납","미확인"))</x:f>
        <x:v>완납</x:v>
      </x:c>
      <x:c r="O3123" s="31" t="n">
        <x:v>35</x:v>
      </x:c>
    </x:row>
    <x:row r="3124" ht="17.25" customHeight="1">
      <x:c r="A3124" s="24" t="str">
        <x:v>PR-B-14누0912-202608</x:v>
      </x:c>
      <x:c r="B3124" s="24" t="str">
        <x:v>프라임구독</x:v>
      </x:c>
      <x:c r="C3124" s="24" t="str">
        <x:v>PR-C-14누0912-1-20240223-45</x:v>
      </x:c>
      <x:c r="D3124" s="24" t="str">
        <x:v>14누0912</x:v>
      </x:c>
      <x:c r="E3124" s="24" t="str">
        <x:v>정준영3</x:v>
      </x:c>
      <x:c r="F3124" s="24" t="str">
        <x:v>2026-08</x:v>
      </x:c>
      <x:c r="G3124" s="30" t="n">
        <x:v>46259</x:v>
      </x:c>
      <x:c r="H3124" s="32" t="n">
        <x:v>408000</x:v>
      </x:c>
      <x:c r="I3124" s="32"/>
      <x:c r="J3124" s="32" t="n">
        <x:v>1227000</x:v>
      </x:c>
      <x:c r="K3124" s="30"/>
      <x:c r="L3124" s="24" t="str"/>
      <x:c r="M3124" s="31" t="n">
        <x:f>IF(AND(N3124="미수",G3124&lt;&gt;"",TODAY()&gt;G3124),TODAY()-G3124,0)</x:f>
        <x:v>0</x:v>
      </x:c>
      <x:c r="N3124" s="24" t="str">
        <x:f>IF(J3124&gt;0,"미수",IF(AND(H3124&gt;0,I3124&gt;=H3124),"완납","미확인"))</x:f>
        <x:v>미수</x:v>
      </x:c>
      <x:c r="O3124" s="31" t="n">
        <x:v>36</x:v>
      </x:c>
    </x:row>
    <x:row r="3125" ht="17.25" customHeight="1">
      <x:c r="A3125" s="24" t="str">
        <x:v>PR-B-14누0912-202607</x:v>
      </x:c>
      <x:c r="B3125" s="24" t="str">
        <x:v>프라임구독</x:v>
      </x:c>
      <x:c r="C3125" s="24" t="str">
        <x:v>PR-C-14누0912-1-20240223-45</x:v>
      </x:c>
      <x:c r="D3125" s="24" t="str">
        <x:v>14누0912</x:v>
      </x:c>
      <x:c r="E3125" s="24" t="str">
        <x:v>정준영3</x:v>
      </x:c>
      <x:c r="F3125" s="24" t="str">
        <x:v>2026-07</x:v>
      </x:c>
      <x:c r="G3125" s="30" t="n">
        <x:v>46228</x:v>
      </x:c>
      <x:c r="H3125" s="32" t="n">
        <x:v>408000</x:v>
      </x:c>
      <x:c r="I3125" s="32"/>
      <x:c r="J3125" s="32" t="n">
        <x:v>819000</x:v>
      </x:c>
      <x:c r="K3125" s="30"/>
      <x:c r="L3125" s="24" t="str"/>
      <x:c r="M3125" s="31" t="n">
        <x:f>IF(AND(N3125="미수",G3125&lt;&gt;"",TODAY()&gt;G3125),TODAY()-G3125,0)</x:f>
        <x:v>21</x:v>
      </x:c>
      <x:c r="N3125" s="24" t="str">
        <x:f>IF(J3125&gt;0,"미수",IF(AND(H3125&gt;0,I3125&gt;=H3125),"완납","미확인"))</x:f>
        <x:v>미수</x:v>
      </x:c>
      <x:c r="O3125" s="31" t="n">
        <x:v>36</x:v>
      </x:c>
    </x:row>
    <x:row r="3126" ht="17.25" customHeight="1">
      <x:c r="A3126" s="24" t="str">
        <x:v>PR-B-14누0912-202606</x:v>
      </x:c>
      <x:c r="B3126" s="24" t="str">
        <x:v>프라임구독</x:v>
      </x:c>
      <x:c r="C3126" s="24" t="str">
        <x:v>PR-C-14누0912-1-20240223-45</x:v>
      </x:c>
      <x:c r="D3126" s="24" t="str">
        <x:v>14누0912</x:v>
      </x:c>
      <x:c r="E3126" s="24" t="str">
        <x:v>정준영3</x:v>
      </x:c>
      <x:c r="F3126" s="24" t="str">
        <x:v>2026-06</x:v>
      </x:c>
      <x:c r="G3126" s="30" t="n">
        <x:v>46198</x:v>
      </x:c>
      <x:c r="H3126" s="32" t="n">
        <x:v>408000</x:v>
      </x:c>
      <x:c r="I3126" s="32" t="n">
        <x:v>408000</x:v>
      </x:c>
      <x:c r="J3126" s="32" t="n">
        <x:v>411000</x:v>
      </x:c>
      <x:c r="K3126" s="30" t="n">
        <x:v>46201</x:v>
      </x:c>
      <x:c r="L3126" s="24" t="str">
        <x:v>입금</x:v>
      </x:c>
      <x:c r="M3126" s="31" t="n">
        <x:f>IF(AND(N3126="미수",G3126&lt;&gt;"",TODAY()&gt;G3126),TODAY()-G3126,0)</x:f>
        <x:v>51</x:v>
      </x:c>
      <x:c r="N3126" s="24" t="str">
        <x:f>IF(J3126&gt;0,"미수",IF(AND(H3126&gt;0,I3126&gt;=H3126),"완납","미확인"))</x:f>
        <x:v>미수</x:v>
      </x:c>
      <x:c r="O3126" s="31" t="n">
        <x:v>36</x:v>
      </x:c>
    </x:row>
    <x:row r="3127" ht="17.25" customHeight="1">
      <x:c r="A3127" s="24" t="str">
        <x:v>PR-B-14누0912-202605</x:v>
      </x:c>
      <x:c r="B3127" s="24" t="str">
        <x:v>프라임구독</x:v>
      </x:c>
      <x:c r="C3127" s="24" t="str">
        <x:v>PR-C-14누0912-1-20240223-45</x:v>
      </x:c>
      <x:c r="D3127" s="24" t="str">
        <x:v>14누0912</x:v>
      </x:c>
      <x:c r="E3127" s="24" t="str">
        <x:v>정준영3</x:v>
      </x:c>
      <x:c r="F3127" s="24" t="str">
        <x:v>2026-05</x:v>
      </x:c>
      <x:c r="G3127" s="30" t="n">
        <x:v>46167</x:v>
      </x:c>
      <x:c r="H3127" s="32" t="n">
        <x:v>408000</x:v>
      </x:c>
      <x:c r="I3127" s="32"/>
      <x:c r="J3127" s="32" t="n">
        <x:v>411000</x:v>
      </x:c>
      <x:c r="K3127" s="30"/>
      <x:c r="L3127" s="24" t="str"/>
      <x:c r="M3127" s="31" t="n">
        <x:f>IF(AND(N3127="미수",G3127&lt;&gt;"",TODAY()&gt;G3127),TODAY()-G3127,0)</x:f>
        <x:v>82</x:v>
      </x:c>
      <x:c r="N3127" s="24" t="str">
        <x:f>IF(J3127&gt;0,"미수",IF(AND(H3127&gt;0,I3127&gt;=H3127),"완납","미확인"))</x:f>
        <x:v>미수</x:v>
      </x:c>
      <x:c r="O3127" s="31" t="n">
        <x:v>36</x:v>
      </x:c>
    </x:row>
    <x:row r="3128" ht="17.25" customHeight="1">
      <x:c r="A3128" s="24" t="str">
        <x:v>PR-B-14누0912-202604</x:v>
      </x:c>
      <x:c r="B3128" s="24" t="str">
        <x:v>프라임구독</x:v>
      </x:c>
      <x:c r="C3128" s="24" t="str">
        <x:v>PR-C-14누0912-1-20240223-45</x:v>
      </x:c>
      <x:c r="D3128" s="24" t="str">
        <x:v>14누0912</x:v>
      </x:c>
      <x:c r="E3128" s="24" t="str">
        <x:v>정준영3</x:v>
      </x:c>
      <x:c r="F3128" s="24" t="str">
        <x:v>2026-04</x:v>
      </x:c>
      <x:c r="G3128" s="30" t="n">
        <x:v>46137</x:v>
      </x:c>
      <x:c r="H3128" s="32" t="n">
        <x:v>408000</x:v>
      </x:c>
      <x:c r="I3128" s="32" t="n">
        <x:v>408000</x:v>
      </x:c>
      <x:c r="J3128" s="32" t="n">
        <x:v>3000</x:v>
      </x:c>
      <x:c r="K3128" s="30" t="n">
        <x:v>46132</x:v>
      </x:c>
      <x:c r="L3128" s="24" t="str">
        <x:v>입금</x:v>
      </x:c>
      <x:c r="M3128" s="31" t="n">
        <x:f>IF(AND(N3128="미수",G3128&lt;&gt;"",TODAY()&gt;G3128),TODAY()-G3128,0)</x:f>
        <x:v>112</x:v>
      </x:c>
      <x:c r="N3128" s="24" t="str">
        <x:f>IF(J3128&gt;0,"미수",IF(AND(H3128&gt;0,I3128&gt;=H3128),"완납","미확인"))</x:f>
        <x:v>미수</x:v>
      </x:c>
      <x:c r="O3128" s="31" t="n">
        <x:v>36</x:v>
      </x:c>
    </x:row>
    <x:row r="3129" ht="17.25" customHeight="1">
      <x:c r="A3129" s="24" t="str">
        <x:v>PR-B-14누0912-202603</x:v>
      </x:c>
      <x:c r="B3129" s="24" t="str">
        <x:v>프라임구독</x:v>
      </x:c>
      <x:c r="C3129" s="24" t="str">
        <x:v>PR-C-14누0912-1-20240223-45</x:v>
      </x:c>
      <x:c r="D3129" s="24" t="str">
        <x:v>14누0912</x:v>
      </x:c>
      <x:c r="E3129" s="24" t="str">
        <x:v>정준영3</x:v>
      </x:c>
      <x:c r="F3129" s="24" t="str">
        <x:v>2026-03</x:v>
      </x:c>
      <x:c r="G3129" s="30" t="n">
        <x:v>46106</x:v>
      </x:c>
      <x:c r="H3129" s="32" t="n">
        <x:v>408000</x:v>
      </x:c>
      <x:c r="I3129" s="32" t="n">
        <x:v>408000</x:v>
      </x:c>
      <x:c r="J3129" s="32" t="n">
        <x:v>3000</x:v>
      </x:c>
      <x:c r="K3129" s="30" t="n">
        <x:v>46102</x:v>
      </x:c>
      <x:c r="L3129" s="24" t="str">
        <x:v>입금</x:v>
      </x:c>
      <x:c r="M3129" s="31" t="n">
        <x:f>IF(AND(N3129="미수",G3129&lt;&gt;"",TODAY()&gt;G3129),TODAY()-G3129,0)</x:f>
        <x:v>143</x:v>
      </x:c>
      <x:c r="N3129" s="24" t="str">
        <x:f>IF(J3129&gt;0,"미수",IF(AND(H3129&gt;0,I3129&gt;=H3129),"완납","미확인"))</x:f>
        <x:v>미수</x:v>
      </x:c>
      <x:c r="O3129" s="31" t="n">
        <x:v>36</x:v>
      </x:c>
    </x:row>
    <x:row r="3130" ht="17.25" customHeight="1">
      <x:c r="A3130" s="24" t="str">
        <x:v>PR-B-14누0912-202602</x:v>
      </x:c>
      <x:c r="B3130" s="24" t="str">
        <x:v>프라임구독</x:v>
      </x:c>
      <x:c r="C3130" s="24" t="str">
        <x:v>PR-C-14누0912-1-20240223-45</x:v>
      </x:c>
      <x:c r="D3130" s="24" t="str">
        <x:v>14누0912</x:v>
      </x:c>
      <x:c r="E3130" s="24" t="str">
        <x:v>정준영3</x:v>
      </x:c>
      <x:c r="F3130" s="24" t="str">
        <x:v>2026-02</x:v>
      </x:c>
      <x:c r="G3130" s="30" t="n">
        <x:v>46078</x:v>
      </x:c>
      <x:c r="H3130" s="32" t="n">
        <x:v>408000</x:v>
      </x:c>
      <x:c r="I3130" s="32" t="n">
        <x:v>408000</x:v>
      </x:c>
      <x:c r="J3130" s="32" t="n">
        <x:v>3000</x:v>
      </x:c>
      <x:c r="K3130" s="30" t="n">
        <x:v>46069</x:v>
      </x:c>
      <x:c r="L3130" s="24" t="str">
        <x:v>입금</x:v>
      </x:c>
      <x:c r="M3130" s="31" t="n">
        <x:f>IF(AND(N3130="미수",G3130&lt;&gt;"",TODAY()&gt;G3130),TODAY()-G3130,0)</x:f>
        <x:v>171</x:v>
      </x:c>
      <x:c r="N3130" s="24" t="str">
        <x:f>IF(J3130&gt;0,"미수",IF(AND(H3130&gt;0,I3130&gt;=H3130),"완납","미확인"))</x:f>
        <x:v>미수</x:v>
      </x:c>
      <x:c r="O3130" s="31" t="n">
        <x:v>36</x:v>
      </x:c>
    </x:row>
    <x:row r="3131" ht="17.25" customHeight="1">
      <x:c r="A3131" s="24" t="str">
        <x:v>PR-B-14누0912-202601</x:v>
      </x:c>
      <x:c r="B3131" s="24" t="str">
        <x:v>프라임구독</x:v>
      </x:c>
      <x:c r="C3131" s="24" t="str">
        <x:v>PR-C-14누0912-1-20240223-45</x:v>
      </x:c>
      <x:c r="D3131" s="24" t="str">
        <x:v>14누0912</x:v>
      </x:c>
      <x:c r="E3131" s="24" t="str">
        <x:v>정준영3</x:v>
      </x:c>
      <x:c r="F3131" s="24" t="str">
        <x:v>2026-01</x:v>
      </x:c>
      <x:c r="G3131" s="30" t="n">
        <x:v>46047</x:v>
      </x:c>
      <x:c r="H3131" s="32" t="n">
        <x:v>408000</x:v>
      </x:c>
      <x:c r="I3131" s="32" t="n">
        <x:v>408000</x:v>
      </x:c>
      <x:c r="J3131" s="32" t="n">
        <x:v>3000</x:v>
      </x:c>
      <x:c r="K3131" s="30" t="n">
        <x:v>46035</x:v>
      </x:c>
      <x:c r="L3131" s="24" t="str">
        <x:v>입금</x:v>
      </x:c>
      <x:c r="M3131" s="31" t="n">
        <x:f>IF(AND(N3131="미수",G3131&lt;&gt;"",TODAY()&gt;G3131),TODAY()-G3131,0)</x:f>
        <x:v>202</x:v>
      </x:c>
      <x:c r="N3131" s="24" t="str">
        <x:f>IF(J3131&gt;0,"미수",IF(AND(H3131&gt;0,I3131&gt;=H3131),"완납","미확인"))</x:f>
        <x:v>미수</x:v>
      </x:c>
      <x:c r="O3131" s="31" t="n">
        <x:v>36</x:v>
      </x:c>
    </x:row>
    <x:row r="3132" ht="17.25" customHeight="1">
      <x:c r="A3132" s="24" t="str">
        <x:v>PR-B-14누0912-202512</x:v>
      </x:c>
      <x:c r="B3132" s="24" t="str">
        <x:v>프라임구독</x:v>
      </x:c>
      <x:c r="C3132" s="24" t="str">
        <x:v>PR-C-14누0912-1-20240223-45</x:v>
      </x:c>
      <x:c r="D3132" s="24" t="str">
        <x:v>14누0912</x:v>
      </x:c>
      <x:c r="E3132" s="24" t="str">
        <x:v>정준영3</x:v>
      </x:c>
      <x:c r="F3132" s="24" t="str">
        <x:v>2025-12</x:v>
      </x:c>
      <x:c r="G3132" s="30" t="n">
        <x:v>46016</x:v>
      </x:c>
      <x:c r="H3132" s="32" t="n">
        <x:v>408000</x:v>
      </x:c>
      <x:c r="I3132" s="32" t="n">
        <x:v>408000</x:v>
      </x:c>
      <x:c r="J3132" s="32" t="n">
        <x:v>3000</x:v>
      </x:c>
      <x:c r="K3132" s="30" t="n">
        <x:v>46000</x:v>
      </x:c>
      <x:c r="L3132" s="24" t="str">
        <x:v>입금</x:v>
      </x:c>
      <x:c r="M3132" s="31" t="n">
        <x:f>IF(AND(N3132="미수",G3132&lt;&gt;"",TODAY()&gt;G3132),TODAY()-G3132,0)</x:f>
        <x:v>233</x:v>
      </x:c>
      <x:c r="N3132" s="24" t="str">
        <x:f>IF(J3132&gt;0,"미수",IF(AND(H3132&gt;0,I3132&gt;=H3132),"완납","미확인"))</x:f>
        <x:v>미수</x:v>
      </x:c>
      <x:c r="O3132" s="31" t="n">
        <x:v>36</x:v>
      </x:c>
    </x:row>
    <x:row r="3133" ht="17.25" customHeight="1">
      <x:c r="A3133" s="24" t="str">
        <x:v>PR-B-14누0912-202511</x:v>
      </x:c>
      <x:c r="B3133" s="24" t="str">
        <x:v>프라임구독</x:v>
      </x:c>
      <x:c r="C3133" s="24" t="str">
        <x:v>PR-C-14누0912-1-20240223-45</x:v>
      </x:c>
      <x:c r="D3133" s="24" t="str">
        <x:v>14누0912</x:v>
      </x:c>
      <x:c r="E3133" s="24" t="str">
        <x:v>정준영3</x:v>
      </x:c>
      <x:c r="F3133" s="24" t="str">
        <x:v>2025-11</x:v>
      </x:c>
      <x:c r="G3133" s="30" t="n">
        <x:v>45986</x:v>
      </x:c>
      <x:c r="H3133" s="32" t="n">
        <x:v>408000</x:v>
      </x:c>
      <x:c r="I3133" s="32" t="n">
        <x:v>408000</x:v>
      </x:c>
      <x:c r="J3133" s="32" t="n">
        <x:v>3000</x:v>
      </x:c>
      <x:c r="K3133" s="30" t="n">
        <x:v>45981</x:v>
      </x:c>
      <x:c r="L3133" s="24" t="str">
        <x:v>입금</x:v>
      </x:c>
      <x:c r="M3133" s="31" t="n">
        <x:f>IF(AND(N3133="미수",G3133&lt;&gt;"",TODAY()&gt;G3133),TODAY()-G3133,0)</x:f>
        <x:v>263</x:v>
      </x:c>
      <x:c r="N3133" s="24" t="str">
        <x:f>IF(J3133&gt;0,"미수",IF(AND(H3133&gt;0,I3133&gt;=H3133),"완납","미확인"))</x:f>
        <x:v>미수</x:v>
      </x:c>
      <x:c r="O3133" s="31" t="n">
        <x:v>36</x:v>
      </x:c>
    </x:row>
    <x:row r="3134" ht="17.25" customHeight="1">
      <x:c r="A3134" s="24" t="str">
        <x:v>PR-B-14누0912-202510</x:v>
      </x:c>
      <x:c r="B3134" s="24" t="str">
        <x:v>프라임구독</x:v>
      </x:c>
      <x:c r="C3134" s="24" t="str">
        <x:v>PR-C-14누0912-1-20240223-45</x:v>
      </x:c>
      <x:c r="D3134" s="24" t="str">
        <x:v>14누0912</x:v>
      </x:c>
      <x:c r="E3134" s="24" t="str">
        <x:v>정준영3</x:v>
      </x:c>
      <x:c r="F3134" s="24" t="str">
        <x:v>2025-10</x:v>
      </x:c>
      <x:c r="G3134" s="30" t="n">
        <x:v>45955</x:v>
      </x:c>
      <x:c r="H3134" s="32" t="n">
        <x:v>408000</x:v>
      </x:c>
      <x:c r="I3134" s="32" t="n">
        <x:v>408000</x:v>
      </x:c>
      <x:c r="J3134" s="32" t="n">
        <x:v>3000</x:v>
      </x:c>
      <x:c r="K3134" s="30" t="n">
        <x:v>45944</x:v>
      </x:c>
      <x:c r="L3134" s="24" t="str">
        <x:v>입금</x:v>
      </x:c>
      <x:c r="M3134" s="31" t="n">
        <x:f>IF(AND(N3134="미수",G3134&lt;&gt;"",TODAY()&gt;G3134),TODAY()-G3134,0)</x:f>
        <x:v>294</x:v>
      </x:c>
      <x:c r="N3134" s="24" t="str">
        <x:f>IF(J3134&gt;0,"미수",IF(AND(H3134&gt;0,I3134&gt;=H3134),"완납","미확인"))</x:f>
        <x:v>미수</x:v>
      </x:c>
      <x:c r="O3134" s="31" t="n">
        <x:v>36</x:v>
      </x:c>
    </x:row>
    <x:row r="3135" ht="17.25" customHeight="1">
      <x:c r="A3135" s="24" t="str">
        <x:v>PR-B-14누0912-202509</x:v>
      </x:c>
      <x:c r="B3135" s="24" t="str">
        <x:v>프라임구독</x:v>
      </x:c>
      <x:c r="C3135" s="24" t="str">
        <x:v>PR-C-14누0912-1-20240223-45</x:v>
      </x:c>
      <x:c r="D3135" s="24" t="str">
        <x:v>14누0912</x:v>
      </x:c>
      <x:c r="E3135" s="24" t="str">
        <x:v>정준영3</x:v>
      </x:c>
      <x:c r="F3135" s="24" t="str">
        <x:v>2025-09</x:v>
      </x:c>
      <x:c r="G3135" s="30" t="n">
        <x:v>45925</x:v>
      </x:c>
      <x:c r="H3135" s="32" t="n">
        <x:v>408000</x:v>
      </x:c>
      <x:c r="I3135" s="32"/>
      <x:c r="J3135" s="32" t="n">
        <x:v>3000</x:v>
      </x:c>
      <x:c r="K3135" s="30"/>
      <x:c r="L3135" s="24" t="str"/>
      <x:c r="M3135" s="31" t="n">
        <x:f>IF(AND(N3135="미수",G3135&lt;&gt;"",TODAY()&gt;G3135),TODAY()-G3135,0)</x:f>
        <x:v>324</x:v>
      </x:c>
      <x:c r="N3135" s="24" t="str">
        <x:f>IF(J3135&gt;0,"미수",IF(AND(H3135&gt;0,I3135&gt;=H3135),"완납","미확인"))</x:f>
        <x:v>미수</x:v>
      </x:c>
      <x:c r="O3135" s="31" t="n">
        <x:v>36</x:v>
      </x:c>
    </x:row>
    <x:row r="3136" ht="17.25" customHeight="1">
      <x:c r="A3136" s="24" t="str">
        <x:v>PR-B-14누0912-202508</x:v>
      </x:c>
      <x:c r="B3136" s="24" t="str">
        <x:v>프라임구독</x:v>
      </x:c>
      <x:c r="C3136" s="24" t="str">
        <x:v>PR-C-14누0912-1-20240223-45</x:v>
      </x:c>
      <x:c r="D3136" s="24" t="str">
        <x:v>14누0912</x:v>
      </x:c>
      <x:c r="E3136" s="24" t="str">
        <x:v>정준영3</x:v>
      </x:c>
      <x:c r="F3136" s="24" t="str">
        <x:v>2025-08</x:v>
      </x:c>
      <x:c r="G3136" s="30" t="n">
        <x:v>45894</x:v>
      </x:c>
      <x:c r="H3136" s="32" t="n">
        <x:v>408000</x:v>
      </x:c>
      <x:c r="I3136" s="32" t="n">
        <x:v>408000</x:v>
      </x:c>
      <x:c r="J3136" s="32" t="n">
        <x:v>-405000</x:v>
      </x:c>
      <x:c r="K3136" s="30" t="n">
        <x:v>45895</x:v>
      </x:c>
      <x:c r="L3136" s="24" t="str">
        <x:v>입금</x:v>
      </x:c>
      <x:c r="M3136" s="31" t="n">
        <x:f>IF(AND(N3136="미수",G3136&lt;&gt;"",TODAY()&gt;G3136),TODAY()-G3136,0)</x:f>
        <x:v>0</x:v>
      </x:c>
      <x:c r="N3136" s="24" t="str">
        <x:f>IF(J3136&gt;0,"미수",IF(AND(H3136&gt;0,I3136&gt;=H3136),"완납","미확인"))</x:f>
        <x:v>완납</x:v>
      </x:c>
      <x:c r="O3136" s="31" t="n">
        <x:v>36</x:v>
      </x:c>
    </x:row>
    <x:row r="3137" ht="17.25" customHeight="1">
      <x:c r="A3137" s="24" t="str">
        <x:v>PR-B-14누0912-202507</x:v>
      </x:c>
      <x:c r="B3137" s="24" t="str">
        <x:v>프라임구독</x:v>
      </x:c>
      <x:c r="C3137" s="24" t="str">
        <x:v>PR-C-14누0912-1-20240223-45</x:v>
      </x:c>
      <x:c r="D3137" s="24" t="str">
        <x:v>14누0912</x:v>
      </x:c>
      <x:c r="E3137" s="24" t="str">
        <x:v>정준영3</x:v>
      </x:c>
      <x:c r="F3137" s="24" t="str">
        <x:v>2025-07</x:v>
      </x:c>
      <x:c r="G3137" s="30" t="n">
        <x:v>45863</x:v>
      </x:c>
      <x:c r="H3137" s="32" t="n">
        <x:v>408000</x:v>
      </x:c>
      <x:c r="I3137" s="32"/>
      <x:c r="J3137" s="32" t="n">
        <x:v>-405000</x:v>
      </x:c>
      <x:c r="K3137" s="30"/>
      <x:c r="L3137" s="24" t="str"/>
      <x:c r="M3137" s="31" t="n">
        <x:f>IF(AND(N3137="미수",G3137&lt;&gt;"",TODAY()&gt;G3137),TODAY()-G3137,0)</x:f>
        <x:v>0</x:v>
      </x:c>
      <x:c r="N3137" s="24" t="str">
        <x:f>IF(J3137&gt;0,"미수",IF(AND(H3137&gt;0,I3137&gt;=H3137),"완납","미확인"))</x:f>
        <x:v>미확인</x:v>
      </x:c>
      <x:c r="O3137" s="31" t="n">
        <x:v>36</x:v>
      </x:c>
    </x:row>
    <x:row r="3138" ht="17.25" customHeight="1">
      <x:c r="A3138" s="24" t="str">
        <x:v>PR-B-14누0912-202506</x:v>
      </x:c>
      <x:c r="B3138" s="24" t="str">
        <x:v>프라임구독</x:v>
      </x:c>
      <x:c r="C3138" s="24" t="str">
        <x:v>PR-C-14누0912-1-20240223-45</x:v>
      </x:c>
      <x:c r="D3138" s="24" t="str">
        <x:v>14누0912</x:v>
      </x:c>
      <x:c r="E3138" s="24" t="str">
        <x:v>정준영3</x:v>
      </x:c>
      <x:c r="F3138" s="24" t="str">
        <x:v>2025-06</x:v>
      </x:c>
      <x:c r="G3138" s="30" t="n">
        <x:v>45833</x:v>
      </x:c>
      <x:c r="H3138" s="32" t="n">
        <x:v>408000</x:v>
      </x:c>
      <x:c r="I3138" s="32" t="n">
        <x:v>408000</x:v>
      </x:c>
      <x:c r="J3138" s="32" t="n">
        <x:v>-813000</x:v>
      </x:c>
      <x:c r="K3138" s="30" t="n">
        <x:v>45819</x:v>
      </x:c>
      <x:c r="L3138" s="24" t="str">
        <x:v>입금</x:v>
      </x:c>
      <x:c r="M3138" s="31" t="n">
        <x:f>IF(AND(N3138="미수",G3138&lt;&gt;"",TODAY()&gt;G3138),TODAY()-G3138,0)</x:f>
        <x:v>0</x:v>
      </x:c>
      <x:c r="N3138" s="24" t="str">
        <x:f>IF(J3138&gt;0,"미수",IF(AND(H3138&gt;0,I3138&gt;=H3138),"완납","미확인"))</x:f>
        <x:v>완납</x:v>
      </x:c>
      <x:c r="O3138" s="31" t="n">
        <x:v>36</x:v>
      </x:c>
    </x:row>
    <x:row r="3139" ht="17.25" customHeight="1">
      <x:c r="A3139" s="24" t="str">
        <x:v>PR-B-14누0912-202505</x:v>
      </x:c>
      <x:c r="B3139" s="24" t="str">
        <x:v>프라임구독</x:v>
      </x:c>
      <x:c r="C3139" s="24" t="str">
        <x:v>PR-C-14누0912-1-20240223-45</x:v>
      </x:c>
      <x:c r="D3139" s="24" t="str">
        <x:v>14누0912</x:v>
      </x:c>
      <x:c r="E3139" s="24" t="str">
        <x:v>정준영3</x:v>
      </x:c>
      <x:c r="F3139" s="24" t="str">
        <x:v>2025-05</x:v>
      </x:c>
      <x:c r="G3139" s="30" t="n">
        <x:v>45802</x:v>
      </x:c>
      <x:c r="H3139" s="32" t="n">
        <x:v>408000</x:v>
      </x:c>
      <x:c r="I3139" s="32" t="n">
        <x:v>1632000</x:v>
      </x:c>
      <x:c r="J3139" s="32" t="n">
        <x:v>-813000</x:v>
      </x:c>
      <x:c r="K3139" s="30" t="n">
        <x:v>45789</x:v>
      </x:c>
      <x:c r="L3139" s="24" t="str">
        <x:v>입금</x:v>
      </x:c>
      <x:c r="M3139" s="31" t="n">
        <x:f>IF(AND(N3139="미수",G3139&lt;&gt;"",TODAY()&gt;G3139),TODAY()-G3139,0)</x:f>
        <x:v>0</x:v>
      </x:c>
      <x:c r="N3139" s="24" t="str">
        <x:f>IF(J3139&gt;0,"미수",IF(AND(H3139&gt;0,I3139&gt;=H3139),"완납","미확인"))</x:f>
        <x:v>완납</x:v>
      </x:c>
      <x:c r="O3139" s="31" t="n">
        <x:v>36</x:v>
      </x:c>
    </x:row>
    <x:row r="3140" ht="17.25" customHeight="1">
      <x:c r="A3140" s="24" t="str">
        <x:v>PR-B-14누0912-202504</x:v>
      </x:c>
      <x:c r="B3140" s="24" t="str">
        <x:v>프라임구독</x:v>
      </x:c>
      <x:c r="C3140" s="24" t="str">
        <x:v>PR-C-14누0912-1-20240223-45</x:v>
      </x:c>
      <x:c r="D3140" s="24" t="str">
        <x:v>14누0912</x:v>
      </x:c>
      <x:c r="E3140" s="24" t="str">
        <x:v>정준영3</x:v>
      </x:c>
      <x:c r="F3140" s="24" t="str">
        <x:v>2025-04</x:v>
      </x:c>
      <x:c r="G3140" s="30" t="n">
        <x:v>45772</x:v>
      </x:c>
      <x:c r="H3140" s="32" t="n">
        <x:v>408000</x:v>
      </x:c>
      <x:c r="I3140" s="32"/>
      <x:c r="J3140" s="32" t="n">
        <x:v>411000</x:v>
      </x:c>
      <x:c r="K3140" s="30"/>
      <x:c r="L3140" s="24" t="str"/>
      <x:c r="M3140" s="31" t="n">
        <x:f>IF(AND(N3140="미수",G3140&lt;&gt;"",TODAY()&gt;G3140),TODAY()-G3140,0)</x:f>
        <x:v>477</x:v>
      </x:c>
      <x:c r="N3140" s="24" t="str">
        <x:f>IF(J3140&gt;0,"미수",IF(AND(H3140&gt;0,I3140&gt;=H3140),"완납","미확인"))</x:f>
        <x:v>미수</x:v>
      </x:c>
      <x:c r="O3140" s="31" t="n">
        <x:v>36</x:v>
      </x:c>
    </x:row>
    <x:row r="3141" ht="17.25" customHeight="1">
      <x:c r="A3141" s="24" t="str">
        <x:v>PR-B-14누0912-202503</x:v>
      </x:c>
      <x:c r="B3141" s="24" t="str">
        <x:v>프라임구독</x:v>
      </x:c>
      <x:c r="C3141" s="24" t="str">
        <x:v>PR-C-14누0912-1-20240223-45</x:v>
      </x:c>
      <x:c r="D3141" s="24" t="str">
        <x:v>14누0912</x:v>
      </x:c>
      <x:c r="E3141" s="24" t="str">
        <x:v>정준영3</x:v>
      </x:c>
      <x:c r="F3141" s="24" t="str">
        <x:v>2025-03</x:v>
      </x:c>
      <x:c r="G3141" s="30" t="n">
        <x:v>45741</x:v>
      </x:c>
      <x:c r="H3141" s="32" t="n">
        <x:v>408000</x:v>
      </x:c>
      <x:c r="I3141" s="32" t="n">
        <x:v>405000</x:v>
      </x:c>
      <x:c r="J3141" s="32" t="n">
        <x:v>3000</x:v>
      </x:c>
      <x:c r="K3141" s="30" t="n">
        <x:v>45656</x:v>
      </x:c>
      <x:c r="L3141" s="24" t="str">
        <x:v>입금</x:v>
      </x:c>
      <x:c r="M3141" s="31" t="n">
        <x:f>IF(AND(N3141="미수",G3141&lt;&gt;"",TODAY()&gt;G3141),TODAY()-G3141,0)</x:f>
        <x:v>508</x:v>
      </x:c>
      <x:c r="N3141" s="24" t="str">
        <x:f>IF(J3141&gt;0,"미수",IF(AND(H3141&gt;0,I3141&gt;=H3141),"완납","미확인"))</x:f>
        <x:v>미수</x:v>
      </x:c>
      <x:c r="O3141" s="31" t="n">
        <x:v>36</x:v>
      </x:c>
    </x:row>
    <x:row r="3142" ht="17.25" customHeight="1">
      <x:c r="A3142" s="24" t="str">
        <x:v>PR-B-14누0912-202502</x:v>
      </x:c>
      <x:c r="B3142" s="24" t="str">
        <x:v>프라임구독</x:v>
      </x:c>
      <x:c r="C3142" s="24" t="str">
        <x:v>PR-C-14누0912-1-20240223-45</x:v>
      </x:c>
      <x:c r="D3142" s="24" t="str">
        <x:v>14누0912</x:v>
      </x:c>
      <x:c r="E3142" s="24" t="str">
        <x:v>정준영3</x:v>
      </x:c>
      <x:c r="F3142" s="24" t="str">
        <x:v>2025-02</x:v>
      </x:c>
      <x:c r="G3142" s="30" t="n">
        <x:v>45713</x:v>
      </x:c>
      <x:c r="H3142" s="32" t="n">
        <x:v>408000</x:v>
      </x:c>
      <x:c r="I3142" s="32" t="n">
        <x:v>408000</x:v>
      </x:c>
      <x:c r="J3142" s="32" t="n">
        <x:v>0</x:v>
      </x:c>
      <x:c r="K3142" s="30" t="n">
        <x:v>45636</x:v>
      </x:c>
      <x:c r="L3142" s="24" t="str">
        <x:v>입금</x:v>
      </x:c>
      <x:c r="M3142" s="31" t="n">
        <x:f>IF(AND(N3142="미수",G3142&lt;&gt;"",TODAY()&gt;G3142),TODAY()-G3142,0)</x:f>
        <x:v>0</x:v>
      </x:c>
      <x:c r="N3142" s="24" t="str">
        <x:f>IF(J3142&gt;0,"미수",IF(AND(H3142&gt;0,I3142&gt;=H3142),"완납","미확인"))</x:f>
        <x:v>완납</x:v>
      </x:c>
      <x:c r="O3142" s="31" t="n">
        <x:v>36</x:v>
      </x:c>
    </x:row>
    <x:row r="3143" ht="17.25" customHeight="1">
      <x:c r="A3143" s="24" t="str">
        <x:v>PR-B-14누0912-202501</x:v>
      </x:c>
      <x:c r="B3143" s="24" t="str">
        <x:v>프라임구독</x:v>
      </x:c>
      <x:c r="C3143" s="24" t="str">
        <x:v>PR-C-14누0912-1-20240223-45</x:v>
      </x:c>
      <x:c r="D3143" s="24" t="str">
        <x:v>14누0912</x:v>
      </x:c>
      <x:c r="E3143" s="24" t="str">
        <x:v>정준영3</x:v>
      </x:c>
      <x:c r="F3143" s="24" t="str">
        <x:v>2025-01</x:v>
      </x:c>
      <x:c r="G3143" s="30" t="n">
        <x:v>45682</x:v>
      </x:c>
      <x:c r="H3143" s="32" t="n">
        <x:v>408000</x:v>
      </x:c>
      <x:c r="I3143" s="32" t="n">
        <x:v>408000</x:v>
      </x:c>
      <x:c r="J3143" s="32" t="n">
        <x:v>0</x:v>
      </x:c>
      <x:c r="K3143" s="30" t="n">
        <x:v>45636</x:v>
      </x:c>
      <x:c r="L3143" s="24" t="str">
        <x:v>입금</x:v>
      </x:c>
      <x:c r="M3143" s="31" t="n">
        <x:f>IF(AND(N3143="미수",G3143&lt;&gt;"",TODAY()&gt;G3143),TODAY()-G3143,0)</x:f>
        <x:v>0</x:v>
      </x:c>
      <x:c r="N3143" s="24" t="str">
        <x:f>IF(J3143&gt;0,"미수",IF(AND(H3143&gt;0,I3143&gt;=H3143),"완납","미확인"))</x:f>
        <x:v>완납</x:v>
      </x:c>
      <x:c r="O3143" s="31" t="n">
        <x:v>36</x:v>
      </x:c>
    </x:row>
    <x:row r="3144" ht="17.25" customHeight="1">
      <x:c r="A3144" s="24" t="str">
        <x:v>PR-B-14누0912-202412</x:v>
      </x:c>
      <x:c r="B3144" s="24" t="str">
        <x:v>프라임구독</x:v>
      </x:c>
      <x:c r="C3144" s="24" t="str">
        <x:v>PR-C-14누0912-1-20240223-45</x:v>
      </x:c>
      <x:c r="D3144" s="24" t="str">
        <x:v>14누0912</x:v>
      </x:c>
      <x:c r="E3144" s="24" t="str">
        <x:v>정준영3</x:v>
      </x:c>
      <x:c r="F3144" s="24" t="str">
        <x:v>2024-12</x:v>
      </x:c>
      <x:c r="G3144" s="30" t="n">
        <x:v>45651</x:v>
      </x:c>
      <x:c r="H3144" s="32" t="n">
        <x:v>408000</x:v>
      </x:c>
      <x:c r="I3144" s="32" t="n">
        <x:v>408000</x:v>
      </x:c>
      <x:c r="J3144" s="32" t="n">
        <x:v>0</x:v>
      </x:c>
      <x:c r="K3144" s="30" t="n">
        <x:v>45582</x:v>
      </x:c>
      <x:c r="L3144" s="24" t="str">
        <x:v>입금</x:v>
      </x:c>
      <x:c r="M3144" s="31" t="n">
        <x:f>IF(AND(N3144="미수",G3144&lt;&gt;"",TODAY()&gt;G3144),TODAY()-G3144,0)</x:f>
        <x:v>0</x:v>
      </x:c>
      <x:c r="N3144" s="24" t="str">
        <x:f>IF(J3144&gt;0,"미수",IF(AND(H3144&gt;0,I3144&gt;=H3144),"완납","미확인"))</x:f>
        <x:v>완납</x:v>
      </x:c>
      <x:c r="O3144" s="31" t="n">
        <x:v>36</x:v>
      </x:c>
    </x:row>
    <x:row r="3145" ht="17.25" customHeight="1">
      <x:c r="A3145" s="24" t="str">
        <x:v>PR-B-14누0912-202411</x:v>
      </x:c>
      <x:c r="B3145" s="24" t="str">
        <x:v>프라임구독</x:v>
      </x:c>
      <x:c r="C3145" s="24" t="str">
        <x:v>PR-C-14누0912-1-20240223-45</x:v>
      </x:c>
      <x:c r="D3145" s="24" t="str">
        <x:v>14누0912</x:v>
      </x:c>
      <x:c r="E3145" s="24" t="str">
        <x:v>정준영3</x:v>
      </x:c>
      <x:c r="F3145" s="24" t="str">
        <x:v>2024-11</x:v>
      </x:c>
      <x:c r="G3145" s="30" t="n">
        <x:v>45621</x:v>
      </x:c>
      <x:c r="H3145" s="32" t="n">
        <x:v>408000</x:v>
      </x:c>
      <x:c r="I3145" s="32" t="n">
        <x:v>408000</x:v>
      </x:c>
      <x:c r="J3145" s="32" t="n">
        <x:v>0</x:v>
      </x:c>
      <x:c r="K3145" s="30" t="n">
        <x:v>45571</x:v>
      </x:c>
      <x:c r="L3145" s="24" t="str">
        <x:v>입금</x:v>
      </x:c>
      <x:c r="M3145" s="31" t="n">
        <x:f>IF(AND(N3145="미수",G3145&lt;&gt;"",TODAY()&gt;G3145),TODAY()-G3145,0)</x:f>
        <x:v>0</x:v>
      </x:c>
      <x:c r="N3145" s="24" t="str">
        <x:f>IF(J3145&gt;0,"미수",IF(AND(H3145&gt;0,I3145&gt;=H3145),"완납","미확인"))</x:f>
        <x:v>완납</x:v>
      </x:c>
      <x:c r="O3145" s="31" t="n">
        <x:v>36</x:v>
      </x:c>
    </x:row>
    <x:row r="3146" ht="17.25" customHeight="1">
      <x:c r="A3146" s="24" t="str">
        <x:v>PR-B-14누0912-202410</x:v>
      </x:c>
      <x:c r="B3146" s="24" t="str">
        <x:v>프라임구독</x:v>
      </x:c>
      <x:c r="C3146" s="24" t="str">
        <x:v>PR-C-14누0912-1-20240223-45</x:v>
      </x:c>
      <x:c r="D3146" s="24" t="str">
        <x:v>14누0912</x:v>
      </x:c>
      <x:c r="E3146" s="24" t="str">
        <x:v>정준영3</x:v>
      </x:c>
      <x:c r="F3146" s="24" t="str">
        <x:v>2024-10</x:v>
      </x:c>
      <x:c r="G3146" s="30" t="n">
        <x:v>45590</x:v>
      </x:c>
      <x:c r="H3146" s="32" t="n">
        <x:v>408000</x:v>
      </x:c>
      <x:c r="I3146" s="32" t="n">
        <x:v>408000</x:v>
      </x:c>
      <x:c r="J3146" s="32" t="n">
        <x:v>0</x:v>
      </x:c>
      <x:c r="K3146" s="30" t="n">
        <x:v>45511</x:v>
      </x:c>
      <x:c r="L3146" s="24" t="str">
        <x:v>입금</x:v>
      </x:c>
      <x:c r="M3146" s="31" t="n">
        <x:f>IF(AND(N3146="미수",G3146&lt;&gt;"",TODAY()&gt;G3146),TODAY()-G3146,0)</x:f>
        <x:v>0</x:v>
      </x:c>
      <x:c r="N3146" s="24" t="str">
        <x:f>IF(J3146&gt;0,"미수",IF(AND(H3146&gt;0,I3146&gt;=H3146),"완납","미확인"))</x:f>
        <x:v>완납</x:v>
      </x:c>
      <x:c r="O3146" s="31" t="n">
        <x:v>36</x:v>
      </x:c>
    </x:row>
    <x:row r="3147" ht="17.25" customHeight="1">
      <x:c r="A3147" s="24" t="str">
        <x:v>PR-B-14누0912-202409</x:v>
      </x:c>
      <x:c r="B3147" s="24" t="str">
        <x:v>프라임구독</x:v>
      </x:c>
      <x:c r="C3147" s="24" t="str">
        <x:v>PR-C-14누0912-1-20240223-45</x:v>
      </x:c>
      <x:c r="D3147" s="24" t="str">
        <x:v>14누0912</x:v>
      </x:c>
      <x:c r="E3147" s="24" t="str">
        <x:v>정준영3</x:v>
      </x:c>
      <x:c r="F3147" s="24" t="str">
        <x:v>2024-09</x:v>
      </x:c>
      <x:c r="G3147" s="30" t="n">
        <x:v>45560</x:v>
      </x:c>
      <x:c r="H3147" s="32" t="n">
        <x:v>408000</x:v>
      </x:c>
      <x:c r="I3147" s="32" t="n">
        <x:v>408000</x:v>
      </x:c>
      <x:c r="J3147" s="32" t="n">
        <x:v>0</x:v>
      </x:c>
      <x:c r="K3147" s="30" t="n">
        <x:v>45511</x:v>
      </x:c>
      <x:c r="L3147" s="24" t="str">
        <x:v>입금</x:v>
      </x:c>
      <x:c r="M3147" s="31" t="n">
        <x:f>IF(AND(N3147="미수",G3147&lt;&gt;"",TODAY()&gt;G3147),TODAY()-G3147,0)</x:f>
        <x:v>0</x:v>
      </x:c>
      <x:c r="N3147" s="24" t="str">
        <x:f>IF(J3147&gt;0,"미수",IF(AND(H3147&gt;0,I3147&gt;=H3147),"완납","미확인"))</x:f>
        <x:v>완납</x:v>
      </x:c>
      <x:c r="O3147" s="31" t="n">
        <x:v>36</x:v>
      </x:c>
    </x:row>
    <x:row r="3148" ht="17.25" customHeight="1">
      <x:c r="A3148" s="24" t="str">
        <x:v>PR-B-14누0912-202408</x:v>
      </x:c>
      <x:c r="B3148" s="24" t="str">
        <x:v>프라임구독</x:v>
      </x:c>
      <x:c r="C3148" s="24" t="str">
        <x:v>PR-C-14누0912-1-20240223-45</x:v>
      </x:c>
      <x:c r="D3148" s="24" t="str">
        <x:v>14누0912</x:v>
      </x:c>
      <x:c r="E3148" s="24" t="str">
        <x:v>정준영3</x:v>
      </x:c>
      <x:c r="F3148" s="24" t="str">
        <x:v>2024-08</x:v>
      </x:c>
      <x:c r="G3148" s="30" t="n">
        <x:v>45529</x:v>
      </x:c>
      <x:c r="H3148" s="32" t="n">
        <x:v>408000</x:v>
      </x:c>
      <x:c r="I3148" s="32" t="n">
        <x:v>408000</x:v>
      </x:c>
      <x:c r="J3148" s="32" t="n">
        <x:v>0</x:v>
      </x:c>
      <x:c r="K3148" s="30" t="n">
        <x:v>45412</x:v>
      </x:c>
      <x:c r="L3148" s="24" t="str"/>
      <x:c r="M3148" s="31" t="n">
        <x:f>IF(AND(N3148="미수",G3148&lt;&gt;"",TODAY()&gt;G3148),TODAY()-G3148,0)</x:f>
        <x:v>0</x:v>
      </x:c>
      <x:c r="N3148" s="24" t="str">
        <x:f>IF(J3148&gt;0,"미수",IF(AND(H3148&gt;0,I3148&gt;=H3148),"완납","미확인"))</x:f>
        <x:v>완납</x:v>
      </x:c>
      <x:c r="O3148" s="31" t="n">
        <x:v>36</x:v>
      </x:c>
    </x:row>
    <x:row r="3149" ht="17.25" customHeight="1">
      <x:c r="A3149" s="24" t="str">
        <x:v>PR-B-14누0912-202407</x:v>
      </x:c>
      <x:c r="B3149" s="24" t="str">
        <x:v>프라임구독</x:v>
      </x:c>
      <x:c r="C3149" s="24" t="str">
        <x:v>PR-C-14누0912-1-20240223-45</x:v>
      </x:c>
      <x:c r="D3149" s="24" t="str">
        <x:v>14누0912</x:v>
      </x:c>
      <x:c r="E3149" s="24" t="str">
        <x:v>정준영3</x:v>
      </x:c>
      <x:c r="F3149" s="24" t="str">
        <x:v>2024-07</x:v>
      </x:c>
      <x:c r="G3149" s="30" t="n">
        <x:v>45498</x:v>
      </x:c>
      <x:c r="H3149" s="32" t="n">
        <x:v>408000</x:v>
      </x:c>
      <x:c r="I3149" s="32" t="n">
        <x:v>408000</x:v>
      </x:c>
      <x:c r="J3149" s="32" t="n">
        <x:v>0</x:v>
      </x:c>
      <x:c r="K3149" s="30" t="n">
        <x:v>45387</x:v>
      </x:c>
      <x:c r="L3149" s="24" t="str"/>
      <x:c r="M3149" s="31" t="n">
        <x:f>IF(AND(N3149="미수",G3149&lt;&gt;"",TODAY()&gt;G3149),TODAY()-G3149,0)</x:f>
        <x:v>0</x:v>
      </x:c>
      <x:c r="N3149" s="24" t="str">
        <x:f>IF(J3149&gt;0,"미수",IF(AND(H3149&gt;0,I3149&gt;=H3149),"완납","미확인"))</x:f>
        <x:v>완납</x:v>
      </x:c>
      <x:c r="O3149" s="31" t="n">
        <x:v>36</x:v>
      </x:c>
    </x:row>
    <x:row r="3150" ht="17.25" customHeight="1">
      <x:c r="A3150" s="24" t="str">
        <x:v>PR-B-14누0912-202406</x:v>
      </x:c>
      <x:c r="B3150" s="24" t="str">
        <x:v>프라임구독</x:v>
      </x:c>
      <x:c r="C3150" s="24" t="str">
        <x:v>PR-C-14누0912-1-20240223-45</x:v>
      </x:c>
      <x:c r="D3150" s="24" t="str">
        <x:v>14누0912</x:v>
      </x:c>
      <x:c r="E3150" s="24" t="str">
        <x:v>정준영3</x:v>
      </x:c>
      <x:c r="F3150" s="24" t="str">
        <x:v>2024-06</x:v>
      </x:c>
      <x:c r="G3150" s="30" t="n">
        <x:v>45468</x:v>
      </x:c>
      <x:c r="H3150" s="32" t="n">
        <x:v>408000</x:v>
      </x:c>
      <x:c r="I3150" s="32" t="n">
        <x:v>408000</x:v>
      </x:c>
      <x:c r="J3150" s="32" t="n">
        <x:v>0</x:v>
      </x:c>
      <x:c r="K3150" s="30" t="n">
        <x:v>45370</x:v>
      </x:c>
      <x:c r="L3150" s="24" t="str"/>
      <x:c r="M3150" s="31" t="n">
        <x:f>IF(AND(N3150="미수",G3150&lt;&gt;"",TODAY()&gt;G3150),TODAY()-G3150,0)</x:f>
        <x:v>0</x:v>
      </x:c>
      <x:c r="N3150" s="24" t="str">
        <x:f>IF(J3150&gt;0,"미수",IF(AND(H3150&gt;0,I3150&gt;=H3150),"완납","미확인"))</x:f>
        <x:v>완납</x:v>
      </x:c>
      <x:c r="O3150" s="31" t="n">
        <x:v>36</x:v>
      </x:c>
    </x:row>
    <x:row r="3151" ht="17.25" customHeight="1">
      <x:c r="A3151" s="24" t="str">
        <x:v>PR-B-14누0912-202405</x:v>
      </x:c>
      <x:c r="B3151" s="24" t="str">
        <x:v>프라임구독</x:v>
      </x:c>
      <x:c r="C3151" s="24" t="str">
        <x:v>PR-C-14누0912-1-20240223-45</x:v>
      </x:c>
      <x:c r="D3151" s="24" t="str">
        <x:v>14누0912</x:v>
      </x:c>
      <x:c r="E3151" s="24" t="str">
        <x:v>정준영3</x:v>
      </x:c>
      <x:c r="F3151" s="24" t="str">
        <x:v>2024-05</x:v>
      </x:c>
      <x:c r="G3151" s="30" t="n">
        <x:v>45437</x:v>
      </x:c>
      <x:c r="H3151" s="32" t="n">
        <x:v>408000</x:v>
      </x:c>
      <x:c r="I3151" s="32" t="n">
        <x:v>408000</x:v>
      </x:c>
      <x:c r="J3151" s="32" t="n">
        <x:v>0</x:v>
      </x:c>
      <x:c r="K3151" s="30" t="n">
        <x:v>45367</x:v>
      </x:c>
      <x:c r="L3151" s="24" t="str"/>
      <x:c r="M3151" s="31" t="n">
        <x:f>IF(AND(N3151="미수",G3151&lt;&gt;"",TODAY()&gt;G3151),TODAY()-G3151,0)</x:f>
        <x:v>0</x:v>
      </x:c>
      <x:c r="N3151" s="24" t="str">
        <x:f>IF(J3151&gt;0,"미수",IF(AND(H3151&gt;0,I3151&gt;=H3151),"완납","미확인"))</x:f>
        <x:v>완납</x:v>
      </x:c>
      <x:c r="O3151" s="31" t="n">
        <x:v>36</x:v>
      </x:c>
    </x:row>
    <x:row r="3152" ht="17.25" customHeight="1">
      <x:c r="A3152" s="24" t="str">
        <x:v>PR-B-69버0299-202608</x:v>
      </x:c>
      <x:c r="B3152" s="24" t="str">
        <x:v>프라임구독</x:v>
      </x:c>
      <x:c r="C3152" s="24" t="str">
        <x:v>PR-C-69버0299-1-20240305-191</x:v>
      </x:c>
      <x:c r="D3152" s="24" t="str">
        <x:v>69버0299</x:v>
      </x:c>
      <x:c r="E3152" s="24" t="str">
        <x:v>이준영</x:v>
      </x:c>
      <x:c r="F3152" s="24" t="str">
        <x:v>2026-08</x:v>
      </x:c>
      <x:c r="G3152" s="30" t="n">
        <x:v>46259</x:v>
      </x:c>
      <x:c r="H3152" s="32" t="n">
        <x:v>550000</x:v>
      </x:c>
      <x:c r="I3152" s="32"/>
      <x:c r="J3152" s="32" t="n">
        <x:v>550000</x:v>
      </x:c>
      <x:c r="K3152" s="30"/>
      <x:c r="L3152" s="24" t="str"/>
      <x:c r="M3152" s="31" t="n">
        <x:f>IF(AND(N3152="미수",G3152&lt;&gt;"",TODAY()&gt;G3152),TODAY()-G3152,0)</x:f>
        <x:v>0</x:v>
      </x:c>
      <x:c r="N3152" s="24" t="str">
        <x:f>IF(J3152&gt;0,"미수",IF(AND(H3152&gt;0,I3152&gt;=H3152),"완납","미확인"))</x:f>
        <x:v>미수</x:v>
      </x:c>
      <x:c r="O3152" s="31" t="n">
        <x:v>37</x:v>
      </x:c>
    </x:row>
    <x:row r="3153" ht="17.25" customHeight="1">
      <x:c r="A3153" s="24" t="str">
        <x:v>PR-B-69버0299-202607</x:v>
      </x:c>
      <x:c r="B3153" s="24" t="str">
        <x:v>프라임구독</x:v>
      </x:c>
      <x:c r="C3153" s="24" t="str">
        <x:v>PR-C-69버0299-1-20240305-191</x:v>
      </x:c>
      <x:c r="D3153" s="24" t="str">
        <x:v>69버0299</x:v>
      </x:c>
      <x:c r="E3153" s="24" t="str">
        <x:v>이준영</x:v>
      </x:c>
      <x:c r="F3153" s="24" t="str">
        <x:v>2026-07</x:v>
      </x:c>
      <x:c r="G3153" s="30" t="n">
        <x:v>46228</x:v>
      </x:c>
      <x:c r="H3153" s="32" t="n">
        <x:v>550000</x:v>
      </x:c>
      <x:c r="I3153" s="32" t="n">
        <x:v>550000</x:v>
      </x:c>
      <x:c r="J3153" s="32" t="n">
        <x:v>0</x:v>
      </x:c>
      <x:c r="K3153" s="30" t="n">
        <x:v>46228</x:v>
      </x:c>
      <x:c r="L3153" s="24" t="str">
        <x:v>입금</x:v>
      </x:c>
      <x:c r="M3153" s="31" t="n">
        <x:f>IF(AND(N3153="미수",G3153&lt;&gt;"",TODAY()&gt;G3153),TODAY()-G3153,0)</x:f>
        <x:v>0</x:v>
      </x:c>
      <x:c r="N3153" s="24" t="str">
        <x:f>IF(J3153&gt;0,"미수",IF(AND(H3153&gt;0,I3153&gt;=H3153),"완납","미확인"))</x:f>
        <x:v>완납</x:v>
      </x:c>
      <x:c r="O3153" s="31" t="n">
        <x:v>37</x:v>
      </x:c>
    </x:row>
    <x:row r="3154" ht="17.25" customHeight="1">
      <x:c r="A3154" s="24" t="str">
        <x:v>PR-B-69버0299-202606</x:v>
      </x:c>
      <x:c r="B3154" s="24" t="str">
        <x:v>프라임구독</x:v>
      </x:c>
      <x:c r="C3154" s="24" t="str">
        <x:v>PR-C-69버0299-1-20240305-191</x:v>
      </x:c>
      <x:c r="D3154" s="24" t="str">
        <x:v>69버0299</x:v>
      </x:c>
      <x:c r="E3154" s="24" t="str">
        <x:v>이준영</x:v>
      </x:c>
      <x:c r="F3154" s="24" t="str">
        <x:v>2026-06</x:v>
      </x:c>
      <x:c r="G3154" s="30" t="n">
        <x:v>46198</x:v>
      </x:c>
      <x:c r="H3154" s="32" t="n">
        <x:v>550000</x:v>
      </x:c>
      <x:c r="I3154" s="32" t="n">
        <x:v>550000</x:v>
      </x:c>
      <x:c r="J3154" s="32" t="n">
        <x:v>0</x:v>
      </x:c>
      <x:c r="K3154" s="30" t="n">
        <x:v>46198</x:v>
      </x:c>
      <x:c r="L3154" s="24" t="str">
        <x:v>입금</x:v>
      </x:c>
      <x:c r="M3154" s="31" t="n">
        <x:f>IF(AND(N3154="미수",G3154&lt;&gt;"",TODAY()&gt;G3154),TODAY()-G3154,0)</x:f>
        <x:v>0</x:v>
      </x:c>
      <x:c r="N3154" s="24" t="str">
        <x:f>IF(J3154&gt;0,"미수",IF(AND(H3154&gt;0,I3154&gt;=H3154),"완납","미확인"))</x:f>
        <x:v>완납</x:v>
      </x:c>
      <x:c r="O3154" s="31" t="n">
        <x:v>37</x:v>
      </x:c>
    </x:row>
    <x:row r="3155" ht="17.25" customHeight="1">
      <x:c r="A3155" s="24" t="str">
        <x:v>PR-B-69버0299-202605</x:v>
      </x:c>
      <x:c r="B3155" s="24" t="str">
        <x:v>프라임구독</x:v>
      </x:c>
      <x:c r="C3155" s="24" t="str">
        <x:v>PR-C-69버0299-1-20240305-191</x:v>
      </x:c>
      <x:c r="D3155" s="24" t="str">
        <x:v>69버0299</x:v>
      </x:c>
      <x:c r="E3155" s="24" t="str">
        <x:v>이준영</x:v>
      </x:c>
      <x:c r="F3155" s="24" t="str">
        <x:v>2026-05</x:v>
      </x:c>
      <x:c r="G3155" s="30" t="n">
        <x:v>46167</x:v>
      </x:c>
      <x:c r="H3155" s="32" t="n">
        <x:v>550000</x:v>
      </x:c>
      <x:c r="I3155" s="32" t="n">
        <x:v>550000</x:v>
      </x:c>
      <x:c r="J3155" s="32" t="n">
        <x:v>0</x:v>
      </x:c>
      <x:c r="K3155" s="30" t="n">
        <x:v>46169</x:v>
      </x:c>
      <x:c r="L3155" s="24" t="str">
        <x:v>입금</x:v>
      </x:c>
      <x:c r="M3155" s="31" t="n">
        <x:f>IF(AND(N3155="미수",G3155&lt;&gt;"",TODAY()&gt;G3155),TODAY()-G3155,0)</x:f>
        <x:v>0</x:v>
      </x:c>
      <x:c r="N3155" s="24" t="str">
        <x:f>IF(J3155&gt;0,"미수",IF(AND(H3155&gt;0,I3155&gt;=H3155),"완납","미확인"))</x:f>
        <x:v>완납</x:v>
      </x:c>
      <x:c r="O3155" s="31" t="n">
        <x:v>37</x:v>
      </x:c>
    </x:row>
    <x:row r="3156" ht="17.25" customHeight="1">
      <x:c r="A3156" s="24" t="str">
        <x:v>PR-B-69버0299-202604</x:v>
      </x:c>
      <x:c r="B3156" s="24" t="str">
        <x:v>프라임구독</x:v>
      </x:c>
      <x:c r="C3156" s="24" t="str">
        <x:v>PR-C-69버0299-1-20240305-191</x:v>
      </x:c>
      <x:c r="D3156" s="24" t="str">
        <x:v>69버0299</x:v>
      </x:c>
      <x:c r="E3156" s="24" t="str">
        <x:v>이준영</x:v>
      </x:c>
      <x:c r="F3156" s="24" t="str">
        <x:v>2026-04</x:v>
      </x:c>
      <x:c r="G3156" s="30" t="n">
        <x:v>46137</x:v>
      </x:c>
      <x:c r="H3156" s="32" t="n">
        <x:v>550000</x:v>
      </x:c>
      <x:c r="I3156" s="32" t="n">
        <x:v>550000</x:v>
      </x:c>
      <x:c r="J3156" s="32" t="n">
        <x:v>0</x:v>
      </x:c>
      <x:c r="K3156" s="30" t="n">
        <x:v>46137</x:v>
      </x:c>
      <x:c r="L3156" s="24" t="str">
        <x:v>입금</x:v>
      </x:c>
      <x:c r="M3156" s="31" t="n">
        <x:f>IF(AND(N3156="미수",G3156&lt;&gt;"",TODAY()&gt;G3156),TODAY()-G3156,0)</x:f>
        <x:v>0</x:v>
      </x:c>
      <x:c r="N3156" s="24" t="str">
        <x:f>IF(J3156&gt;0,"미수",IF(AND(H3156&gt;0,I3156&gt;=H3156),"완납","미확인"))</x:f>
        <x:v>완납</x:v>
      </x:c>
      <x:c r="O3156" s="31" t="n">
        <x:v>37</x:v>
      </x:c>
    </x:row>
    <x:row r="3157" ht="17.25" customHeight="1">
      <x:c r="A3157" s="24" t="str">
        <x:v>PR-B-69버0299-202603</x:v>
      </x:c>
      <x:c r="B3157" s="24" t="str">
        <x:v>프라임구독</x:v>
      </x:c>
      <x:c r="C3157" s="24" t="str">
        <x:v>PR-C-69버0299-1-20240305-191</x:v>
      </x:c>
      <x:c r="D3157" s="24" t="str">
        <x:v>69버0299</x:v>
      </x:c>
      <x:c r="E3157" s="24" t="str">
        <x:v>이준영</x:v>
      </x:c>
      <x:c r="F3157" s="24" t="str">
        <x:v>2026-03</x:v>
      </x:c>
      <x:c r="G3157" s="30" t="n">
        <x:v>46106</x:v>
      </x:c>
      <x:c r="H3157" s="32" t="n">
        <x:v>550000</x:v>
      </x:c>
      <x:c r="I3157" s="32" t="n">
        <x:v>550000</x:v>
      </x:c>
      <x:c r="J3157" s="32" t="n">
        <x:v>0</x:v>
      </x:c>
      <x:c r="K3157" s="30" t="n">
        <x:v>46106</x:v>
      </x:c>
      <x:c r="L3157" s="24" t="str">
        <x:v>입금</x:v>
      </x:c>
      <x:c r="M3157" s="31" t="n">
        <x:f>IF(AND(N3157="미수",G3157&lt;&gt;"",TODAY()&gt;G3157),TODAY()-G3157,0)</x:f>
        <x:v>0</x:v>
      </x:c>
      <x:c r="N3157" s="24" t="str">
        <x:f>IF(J3157&gt;0,"미수",IF(AND(H3157&gt;0,I3157&gt;=H3157),"완납","미확인"))</x:f>
        <x:v>완납</x:v>
      </x:c>
      <x:c r="O3157" s="31" t="n">
        <x:v>37</x:v>
      </x:c>
    </x:row>
    <x:row r="3158" ht="17.25" customHeight="1">
      <x:c r="A3158" s="24" t="str">
        <x:v>PR-B-69버0299-202602</x:v>
      </x:c>
      <x:c r="B3158" s="24" t="str">
        <x:v>프라임구독</x:v>
      </x:c>
      <x:c r="C3158" s="24" t="str">
        <x:v>PR-C-69버0299-1-20240305-191</x:v>
      </x:c>
      <x:c r="D3158" s="24" t="str">
        <x:v>69버0299</x:v>
      </x:c>
      <x:c r="E3158" s="24" t="str">
        <x:v>이준영</x:v>
      </x:c>
      <x:c r="F3158" s="24" t="str">
        <x:v>2026-02</x:v>
      </x:c>
      <x:c r="G3158" s="30" t="n">
        <x:v>46078</x:v>
      </x:c>
      <x:c r="H3158" s="32" t="n">
        <x:v>550000</x:v>
      </x:c>
      <x:c r="I3158" s="32" t="n">
        <x:v>550000</x:v>
      </x:c>
      <x:c r="J3158" s="32" t="n">
        <x:v>0</x:v>
      </x:c>
      <x:c r="K3158" s="30" t="n">
        <x:v>46081</x:v>
      </x:c>
      <x:c r="L3158" s="24" t="str">
        <x:v>입금</x:v>
      </x:c>
      <x:c r="M3158" s="31" t="n">
        <x:f>IF(AND(N3158="미수",G3158&lt;&gt;"",TODAY()&gt;G3158),TODAY()-G3158,0)</x:f>
        <x:v>0</x:v>
      </x:c>
      <x:c r="N3158" s="24" t="str">
        <x:f>IF(J3158&gt;0,"미수",IF(AND(H3158&gt;0,I3158&gt;=H3158),"완납","미확인"))</x:f>
        <x:v>완납</x:v>
      </x:c>
      <x:c r="O3158" s="31" t="n">
        <x:v>37</x:v>
      </x:c>
    </x:row>
    <x:row r="3159" ht="17.25" customHeight="1">
      <x:c r="A3159" s="24" t="str">
        <x:v>PR-B-69버0299-202601</x:v>
      </x:c>
      <x:c r="B3159" s="24" t="str">
        <x:v>프라임구독</x:v>
      </x:c>
      <x:c r="C3159" s="24" t="str">
        <x:v>PR-C-69버0299-1-20240305-191</x:v>
      </x:c>
      <x:c r="D3159" s="24" t="str">
        <x:v>69버0299</x:v>
      </x:c>
      <x:c r="E3159" s="24" t="str">
        <x:v>이준영</x:v>
      </x:c>
      <x:c r="F3159" s="24" t="str">
        <x:v>2026-01</x:v>
      </x:c>
      <x:c r="G3159" s="30" t="n">
        <x:v>46047</x:v>
      </x:c>
      <x:c r="H3159" s="32" t="n">
        <x:v>550000</x:v>
      </x:c>
      <x:c r="I3159" s="32" t="n">
        <x:v>550000</x:v>
      </x:c>
      <x:c r="J3159" s="32" t="n">
        <x:v>0</x:v>
      </x:c>
      <x:c r="K3159" s="30" t="n">
        <x:v>46046</x:v>
      </x:c>
      <x:c r="L3159" s="24" t="str">
        <x:v>입금</x:v>
      </x:c>
      <x:c r="M3159" s="31" t="n">
        <x:f>IF(AND(N3159="미수",G3159&lt;&gt;"",TODAY()&gt;G3159),TODAY()-G3159,0)</x:f>
        <x:v>0</x:v>
      </x:c>
      <x:c r="N3159" s="24" t="str">
        <x:f>IF(J3159&gt;0,"미수",IF(AND(H3159&gt;0,I3159&gt;=H3159),"완납","미확인"))</x:f>
        <x:v>완납</x:v>
      </x:c>
      <x:c r="O3159" s="31" t="n">
        <x:v>37</x:v>
      </x:c>
    </x:row>
    <x:row r="3160" ht="17.25" customHeight="1">
      <x:c r="A3160" s="24" t="str">
        <x:v>PR-B-69버0299-202512</x:v>
      </x:c>
      <x:c r="B3160" s="24" t="str">
        <x:v>프라임구독</x:v>
      </x:c>
      <x:c r="C3160" s="24" t="str">
        <x:v>PR-C-69버0299-1-20240305-191</x:v>
      </x:c>
      <x:c r="D3160" s="24" t="str">
        <x:v>69버0299</x:v>
      </x:c>
      <x:c r="E3160" s="24" t="str">
        <x:v>이준영</x:v>
      </x:c>
      <x:c r="F3160" s="24" t="str">
        <x:v>2025-12</x:v>
      </x:c>
      <x:c r="G3160" s="30" t="n">
        <x:v>46016</x:v>
      </x:c>
      <x:c r="H3160" s="32" t="n">
        <x:v>550000</x:v>
      </x:c>
      <x:c r="I3160" s="32" t="n">
        <x:v>550000</x:v>
      </x:c>
      <x:c r="J3160" s="32" t="n">
        <x:v>0</x:v>
      </x:c>
      <x:c r="K3160" s="30" t="n">
        <x:v>46016</x:v>
      </x:c>
      <x:c r="L3160" s="24" t="str">
        <x:v>입금</x:v>
      </x:c>
      <x:c r="M3160" s="31" t="n">
        <x:f>IF(AND(N3160="미수",G3160&lt;&gt;"",TODAY()&gt;G3160),TODAY()-G3160,0)</x:f>
        <x:v>0</x:v>
      </x:c>
      <x:c r="N3160" s="24" t="str">
        <x:f>IF(J3160&gt;0,"미수",IF(AND(H3160&gt;0,I3160&gt;=H3160),"완납","미확인"))</x:f>
        <x:v>완납</x:v>
      </x:c>
      <x:c r="O3160" s="31" t="n">
        <x:v>37</x:v>
      </x:c>
    </x:row>
    <x:row r="3161" ht="17.25" customHeight="1">
      <x:c r="A3161" s="24" t="str">
        <x:v>PR-B-69버0299-202511</x:v>
      </x:c>
      <x:c r="B3161" s="24" t="str">
        <x:v>프라임구독</x:v>
      </x:c>
      <x:c r="C3161" s="24" t="str">
        <x:v>PR-C-69버0299-1-20240305-191</x:v>
      </x:c>
      <x:c r="D3161" s="24" t="str">
        <x:v>69버0299</x:v>
      </x:c>
      <x:c r="E3161" s="24" t="str">
        <x:v>이준영</x:v>
      </x:c>
      <x:c r="F3161" s="24" t="str">
        <x:v>2025-11</x:v>
      </x:c>
      <x:c r="G3161" s="30" t="n">
        <x:v>45986</x:v>
      </x:c>
      <x:c r="H3161" s="32" t="n">
        <x:v>550000</x:v>
      </x:c>
      <x:c r="I3161" s="32" t="n">
        <x:v>550000</x:v>
      </x:c>
      <x:c r="J3161" s="32" t="n">
        <x:v>0</x:v>
      </x:c>
      <x:c r="K3161" s="30" t="n">
        <x:v>45986</x:v>
      </x:c>
      <x:c r="L3161" s="24" t="str">
        <x:v>입금</x:v>
      </x:c>
      <x:c r="M3161" s="31" t="n">
        <x:f>IF(AND(N3161="미수",G3161&lt;&gt;"",TODAY()&gt;G3161),TODAY()-G3161,0)</x:f>
        <x:v>0</x:v>
      </x:c>
      <x:c r="N3161" s="24" t="str">
        <x:f>IF(J3161&gt;0,"미수",IF(AND(H3161&gt;0,I3161&gt;=H3161),"완납","미확인"))</x:f>
        <x:v>완납</x:v>
      </x:c>
      <x:c r="O3161" s="31" t="n">
        <x:v>37</x:v>
      </x:c>
    </x:row>
    <x:row r="3162" ht="17.25" customHeight="1">
      <x:c r="A3162" s="24" t="str">
        <x:v>PR-B-69버0299-202510</x:v>
      </x:c>
      <x:c r="B3162" s="24" t="str">
        <x:v>프라임구독</x:v>
      </x:c>
      <x:c r="C3162" s="24" t="str">
        <x:v>PR-C-69버0299-1-20240305-191</x:v>
      </x:c>
      <x:c r="D3162" s="24" t="str">
        <x:v>69버0299</x:v>
      </x:c>
      <x:c r="E3162" s="24" t="str">
        <x:v>이준영</x:v>
      </x:c>
      <x:c r="F3162" s="24" t="str">
        <x:v>2025-10</x:v>
      </x:c>
      <x:c r="G3162" s="30" t="n">
        <x:v>45955</x:v>
      </x:c>
      <x:c r="H3162" s="32" t="n">
        <x:v>550000</x:v>
      </x:c>
      <x:c r="I3162" s="32" t="n">
        <x:v>550000</x:v>
      </x:c>
      <x:c r="J3162" s="32" t="n">
        <x:v>0</x:v>
      </x:c>
      <x:c r="K3162" s="30" t="n">
        <x:v>45957</x:v>
      </x:c>
      <x:c r="L3162" s="24" t="str">
        <x:v>입금</x:v>
      </x:c>
      <x:c r="M3162" s="31" t="n">
        <x:f>IF(AND(N3162="미수",G3162&lt;&gt;"",TODAY()&gt;G3162),TODAY()-G3162,0)</x:f>
        <x:v>0</x:v>
      </x:c>
      <x:c r="N3162" s="24" t="str">
        <x:f>IF(J3162&gt;0,"미수",IF(AND(H3162&gt;0,I3162&gt;=H3162),"완납","미확인"))</x:f>
        <x:v>완납</x:v>
      </x:c>
      <x:c r="O3162" s="31" t="n">
        <x:v>37</x:v>
      </x:c>
    </x:row>
    <x:row r="3163" ht="17.25" customHeight="1">
      <x:c r="A3163" s="24" t="str">
        <x:v>PR-B-69버0299-202509</x:v>
      </x:c>
      <x:c r="B3163" s="24" t="str">
        <x:v>프라임구독</x:v>
      </x:c>
      <x:c r="C3163" s="24" t="str">
        <x:v>PR-C-69버0299-1-20240305-191</x:v>
      </x:c>
      <x:c r="D3163" s="24" t="str">
        <x:v>69버0299</x:v>
      </x:c>
      <x:c r="E3163" s="24" t="str">
        <x:v>이준영</x:v>
      </x:c>
      <x:c r="F3163" s="24" t="str">
        <x:v>2025-09</x:v>
      </x:c>
      <x:c r="G3163" s="30" t="n">
        <x:v>45925</x:v>
      </x:c>
      <x:c r="H3163" s="32" t="n">
        <x:v>550000</x:v>
      </x:c>
      <x:c r="I3163" s="32" t="n">
        <x:v>550000</x:v>
      </x:c>
      <x:c r="J3163" s="32" t="n">
        <x:v>0</x:v>
      </x:c>
      <x:c r="K3163" s="30" t="n">
        <x:v>45926</x:v>
      </x:c>
      <x:c r="L3163" s="24" t="str">
        <x:v>입금</x:v>
      </x:c>
      <x:c r="M3163" s="31" t="n">
        <x:f>IF(AND(N3163="미수",G3163&lt;&gt;"",TODAY()&gt;G3163),TODAY()-G3163,0)</x:f>
        <x:v>0</x:v>
      </x:c>
      <x:c r="N3163" s="24" t="str">
        <x:f>IF(J3163&gt;0,"미수",IF(AND(H3163&gt;0,I3163&gt;=H3163),"완납","미확인"))</x:f>
        <x:v>완납</x:v>
      </x:c>
      <x:c r="O3163" s="31" t="n">
        <x:v>37</x:v>
      </x:c>
    </x:row>
    <x:row r="3164" ht="17.25" customHeight="1">
      <x:c r="A3164" s="24" t="str">
        <x:v>PR-B-69버0299-202508</x:v>
      </x:c>
      <x:c r="B3164" s="24" t="str">
        <x:v>프라임구독</x:v>
      </x:c>
      <x:c r="C3164" s="24" t="str">
        <x:v>PR-C-69버0299-1-20240305-191</x:v>
      </x:c>
      <x:c r="D3164" s="24" t="str">
        <x:v>69버0299</x:v>
      </x:c>
      <x:c r="E3164" s="24" t="str">
        <x:v>이준영</x:v>
      </x:c>
      <x:c r="F3164" s="24" t="str">
        <x:v>2025-08</x:v>
      </x:c>
      <x:c r="G3164" s="30" t="n">
        <x:v>45894</x:v>
      </x:c>
      <x:c r="H3164" s="32" t="n">
        <x:v>550000</x:v>
      </x:c>
      <x:c r="I3164" s="32" t="n">
        <x:v>550000</x:v>
      </x:c>
      <x:c r="J3164" s="32" t="n">
        <x:v>0</x:v>
      </x:c>
      <x:c r="K3164" s="30" t="n">
        <x:v>45894</x:v>
      </x:c>
      <x:c r="L3164" s="24" t="str">
        <x:v>입금</x:v>
      </x:c>
      <x:c r="M3164" s="31" t="n">
        <x:f>IF(AND(N3164="미수",G3164&lt;&gt;"",TODAY()&gt;G3164),TODAY()-G3164,0)</x:f>
        <x:v>0</x:v>
      </x:c>
      <x:c r="N3164" s="24" t="str">
        <x:f>IF(J3164&gt;0,"미수",IF(AND(H3164&gt;0,I3164&gt;=H3164),"완납","미확인"))</x:f>
        <x:v>완납</x:v>
      </x:c>
      <x:c r="O3164" s="31" t="n">
        <x:v>37</x:v>
      </x:c>
    </x:row>
    <x:row r="3165" ht="17.25" customHeight="1">
      <x:c r="A3165" s="24" t="str">
        <x:v>PR-B-69버0299-202507</x:v>
      </x:c>
      <x:c r="B3165" s="24" t="str">
        <x:v>프라임구독</x:v>
      </x:c>
      <x:c r="C3165" s="24" t="str">
        <x:v>PR-C-69버0299-1-20240305-191</x:v>
      </x:c>
      <x:c r="D3165" s="24" t="str">
        <x:v>69버0299</x:v>
      </x:c>
      <x:c r="E3165" s="24" t="str">
        <x:v>이준영</x:v>
      </x:c>
      <x:c r="F3165" s="24" t="str">
        <x:v>2025-07</x:v>
      </x:c>
      <x:c r="G3165" s="30" t="n">
        <x:v>45863</x:v>
      </x:c>
      <x:c r="H3165" s="32" t="n">
        <x:v>550000</x:v>
      </x:c>
      <x:c r="I3165" s="32" t="n">
        <x:v>550000</x:v>
      </x:c>
      <x:c r="J3165" s="32" t="n">
        <x:v>0</x:v>
      </x:c>
      <x:c r="K3165" s="30" t="n">
        <x:v>45864</x:v>
      </x:c>
      <x:c r="L3165" s="24" t="str">
        <x:v>입금</x:v>
      </x:c>
      <x:c r="M3165" s="31" t="n">
        <x:f>IF(AND(N3165="미수",G3165&lt;&gt;"",TODAY()&gt;G3165),TODAY()-G3165,0)</x:f>
        <x:v>0</x:v>
      </x:c>
      <x:c r="N3165" s="24" t="str">
        <x:f>IF(J3165&gt;0,"미수",IF(AND(H3165&gt;0,I3165&gt;=H3165),"완납","미확인"))</x:f>
        <x:v>완납</x:v>
      </x:c>
      <x:c r="O3165" s="31" t="n">
        <x:v>37</x:v>
      </x:c>
    </x:row>
    <x:row r="3166" ht="17.25" customHeight="1">
      <x:c r="A3166" s="24" t="str">
        <x:v>PR-B-69버0299-202506</x:v>
      </x:c>
      <x:c r="B3166" s="24" t="str">
        <x:v>프라임구독</x:v>
      </x:c>
      <x:c r="C3166" s="24" t="str">
        <x:v>PR-C-69버0299-1-20240305-191</x:v>
      </x:c>
      <x:c r="D3166" s="24" t="str">
        <x:v>69버0299</x:v>
      </x:c>
      <x:c r="E3166" s="24" t="str">
        <x:v>이준영</x:v>
      </x:c>
      <x:c r="F3166" s="24" t="str">
        <x:v>2025-06</x:v>
      </x:c>
      <x:c r="G3166" s="30" t="n">
        <x:v>45833</x:v>
      </x:c>
      <x:c r="H3166" s="32" t="n">
        <x:v>550000</x:v>
      </x:c>
      <x:c r="I3166" s="32" t="n">
        <x:v>550000</x:v>
      </x:c>
      <x:c r="J3166" s="32" t="n">
        <x:v>0</x:v>
      </x:c>
      <x:c r="K3166" s="30" t="n">
        <x:v>45833</x:v>
      </x:c>
      <x:c r="L3166" s="24" t="str">
        <x:v>입금</x:v>
      </x:c>
      <x:c r="M3166" s="31" t="n">
        <x:f>IF(AND(N3166="미수",G3166&lt;&gt;"",TODAY()&gt;G3166),TODAY()-G3166,0)</x:f>
        <x:v>0</x:v>
      </x:c>
      <x:c r="N3166" s="24" t="str">
        <x:f>IF(J3166&gt;0,"미수",IF(AND(H3166&gt;0,I3166&gt;=H3166),"완납","미확인"))</x:f>
        <x:v>완납</x:v>
      </x:c>
      <x:c r="O3166" s="31" t="n">
        <x:v>37</x:v>
      </x:c>
    </x:row>
    <x:row r="3167" ht="17.25" customHeight="1">
      <x:c r="A3167" s="24" t="str">
        <x:v>PR-B-69버0299-202505</x:v>
      </x:c>
      <x:c r="B3167" s="24" t="str">
        <x:v>프라임구독</x:v>
      </x:c>
      <x:c r="C3167" s="24" t="str">
        <x:v>PR-C-69버0299-1-20240305-191</x:v>
      </x:c>
      <x:c r="D3167" s="24" t="str">
        <x:v>69버0299</x:v>
      </x:c>
      <x:c r="E3167" s="24" t="str">
        <x:v>이준영</x:v>
      </x:c>
      <x:c r="F3167" s="24" t="str">
        <x:v>2025-05</x:v>
      </x:c>
      <x:c r="G3167" s="30" t="n">
        <x:v>45802</x:v>
      </x:c>
      <x:c r="H3167" s="32" t="n">
        <x:v>550000</x:v>
      </x:c>
      <x:c r="I3167" s="32" t="n">
        <x:v>550000</x:v>
      </x:c>
      <x:c r="J3167" s="32" t="n">
        <x:v>0</x:v>
      </x:c>
      <x:c r="K3167" s="30" t="n">
        <x:v>45803</x:v>
      </x:c>
      <x:c r="L3167" s="24" t="str">
        <x:v>입금</x:v>
      </x:c>
      <x:c r="M3167" s="31" t="n">
        <x:f>IF(AND(N3167="미수",G3167&lt;&gt;"",TODAY()&gt;G3167),TODAY()-G3167,0)</x:f>
        <x:v>0</x:v>
      </x:c>
      <x:c r="N3167" s="24" t="str">
        <x:f>IF(J3167&gt;0,"미수",IF(AND(H3167&gt;0,I3167&gt;=H3167),"완납","미확인"))</x:f>
        <x:v>완납</x:v>
      </x:c>
      <x:c r="O3167" s="31" t="n">
        <x:v>37</x:v>
      </x:c>
    </x:row>
    <x:row r="3168" ht="17.25" customHeight="1">
      <x:c r="A3168" s="24" t="str">
        <x:v>PR-B-69버0299-202504</x:v>
      </x:c>
      <x:c r="B3168" s="24" t="str">
        <x:v>프라임구독</x:v>
      </x:c>
      <x:c r="C3168" s="24" t="str">
        <x:v>PR-C-69버0299-1-20240305-191</x:v>
      </x:c>
      <x:c r="D3168" s="24" t="str">
        <x:v>69버0299</x:v>
      </x:c>
      <x:c r="E3168" s="24" t="str">
        <x:v>이준영</x:v>
      </x:c>
      <x:c r="F3168" s="24" t="str">
        <x:v>2025-04</x:v>
      </x:c>
      <x:c r="G3168" s="30" t="n">
        <x:v>45772</x:v>
      </x:c>
      <x:c r="H3168" s="32" t="n">
        <x:v>550000</x:v>
      </x:c>
      <x:c r="I3168" s="32" t="n">
        <x:v>550000</x:v>
      </x:c>
      <x:c r="J3168" s="32" t="n">
        <x:v>0</x:v>
      </x:c>
      <x:c r="K3168" s="30" t="n">
        <x:v>45773</x:v>
      </x:c>
      <x:c r="L3168" s="24" t="str">
        <x:v>입금</x:v>
      </x:c>
      <x:c r="M3168" s="31" t="n">
        <x:f>IF(AND(N3168="미수",G3168&lt;&gt;"",TODAY()&gt;G3168),TODAY()-G3168,0)</x:f>
        <x:v>0</x:v>
      </x:c>
      <x:c r="N3168" s="24" t="str">
        <x:f>IF(J3168&gt;0,"미수",IF(AND(H3168&gt;0,I3168&gt;=H3168),"완납","미확인"))</x:f>
        <x:v>완납</x:v>
      </x:c>
      <x:c r="O3168" s="31" t="n">
        <x:v>37</x:v>
      </x:c>
    </x:row>
    <x:row r="3169" ht="17.25" customHeight="1">
      <x:c r="A3169" s="24" t="str">
        <x:v>PR-B-69버0299-202503</x:v>
      </x:c>
      <x:c r="B3169" s="24" t="str">
        <x:v>프라임구독</x:v>
      </x:c>
      <x:c r="C3169" s="24" t="str">
        <x:v>PR-C-69버0299-1-20240305-191</x:v>
      </x:c>
      <x:c r="D3169" s="24" t="str">
        <x:v>69버0299</x:v>
      </x:c>
      <x:c r="E3169" s="24" t="str">
        <x:v>이준영</x:v>
      </x:c>
      <x:c r="F3169" s="24" t="str">
        <x:v>2025-03</x:v>
      </x:c>
      <x:c r="G3169" s="30" t="n">
        <x:v>45741</x:v>
      </x:c>
      <x:c r="H3169" s="32" t="n">
        <x:v>550000</x:v>
      </x:c>
      <x:c r="I3169" s="32" t="n">
        <x:v>550000</x:v>
      </x:c>
      <x:c r="J3169" s="32" t="n">
        <x:v>0</x:v>
      </x:c>
      <x:c r="K3169" s="30" t="n">
        <x:v>45741</x:v>
      </x:c>
      <x:c r="L3169" s="24" t="str">
        <x:v>입금</x:v>
      </x:c>
      <x:c r="M3169" s="31" t="n">
        <x:f>IF(AND(N3169="미수",G3169&lt;&gt;"",TODAY()&gt;G3169),TODAY()-G3169,0)</x:f>
        <x:v>0</x:v>
      </x:c>
      <x:c r="N3169" s="24" t="str">
        <x:f>IF(J3169&gt;0,"미수",IF(AND(H3169&gt;0,I3169&gt;=H3169),"완납","미확인"))</x:f>
        <x:v>완납</x:v>
      </x:c>
      <x:c r="O3169" s="31" t="n">
        <x:v>37</x:v>
      </x:c>
    </x:row>
    <x:row r="3170" ht="17.25" customHeight="1">
      <x:c r="A3170" s="24" t="str">
        <x:v>PR-B-69버0299-202502</x:v>
      </x:c>
      <x:c r="B3170" s="24" t="str">
        <x:v>프라임구독</x:v>
      </x:c>
      <x:c r="C3170" s="24" t="str">
        <x:v>PR-C-69버0299-1-20240305-191</x:v>
      </x:c>
      <x:c r="D3170" s="24" t="str">
        <x:v>69버0299</x:v>
      </x:c>
      <x:c r="E3170" s="24" t="str">
        <x:v>이준영</x:v>
      </x:c>
      <x:c r="F3170" s="24" t="str">
        <x:v>2025-02</x:v>
      </x:c>
      <x:c r="G3170" s="30" t="n">
        <x:v>45713</x:v>
      </x:c>
      <x:c r="H3170" s="32" t="n">
        <x:v>550000</x:v>
      </x:c>
      <x:c r="I3170" s="32" t="n">
        <x:v>550000</x:v>
      </x:c>
      <x:c r="J3170" s="32" t="n">
        <x:v>0</x:v>
      </x:c>
      <x:c r="K3170" s="30" t="n">
        <x:v>45713</x:v>
      </x:c>
      <x:c r="L3170" s="24" t="str">
        <x:v>입금</x:v>
      </x:c>
      <x:c r="M3170" s="31" t="n">
        <x:f>IF(AND(N3170="미수",G3170&lt;&gt;"",TODAY()&gt;G3170),TODAY()-G3170,0)</x:f>
        <x:v>0</x:v>
      </x:c>
      <x:c r="N3170" s="24" t="str">
        <x:f>IF(J3170&gt;0,"미수",IF(AND(H3170&gt;0,I3170&gt;=H3170),"완납","미확인"))</x:f>
        <x:v>완납</x:v>
      </x:c>
      <x:c r="O3170" s="31" t="n">
        <x:v>37</x:v>
      </x:c>
    </x:row>
    <x:row r="3171" ht="17.25" customHeight="1">
      <x:c r="A3171" s="24" t="str">
        <x:v>PR-B-69버0299-202501</x:v>
      </x:c>
      <x:c r="B3171" s="24" t="str">
        <x:v>프라임구독</x:v>
      </x:c>
      <x:c r="C3171" s="24" t="str">
        <x:v>PR-C-69버0299-1-20240305-191</x:v>
      </x:c>
      <x:c r="D3171" s="24" t="str">
        <x:v>69버0299</x:v>
      </x:c>
      <x:c r="E3171" s="24" t="str">
        <x:v>이준영</x:v>
      </x:c>
      <x:c r="F3171" s="24" t="str">
        <x:v>2025-01</x:v>
      </x:c>
      <x:c r="G3171" s="30" t="n">
        <x:v>45682</x:v>
      </x:c>
      <x:c r="H3171" s="32" t="n">
        <x:v>550000</x:v>
      </x:c>
      <x:c r="I3171" s="32" t="n">
        <x:v>550000</x:v>
      </x:c>
      <x:c r="J3171" s="32" t="n">
        <x:v>0</x:v>
      </x:c>
      <x:c r="K3171" s="30" t="n">
        <x:v>45683</x:v>
      </x:c>
      <x:c r="L3171" s="24" t="str">
        <x:v>입금</x:v>
      </x:c>
      <x:c r="M3171" s="31" t="n">
        <x:f>IF(AND(N3171="미수",G3171&lt;&gt;"",TODAY()&gt;G3171),TODAY()-G3171,0)</x:f>
        <x:v>0</x:v>
      </x:c>
      <x:c r="N3171" s="24" t="str">
        <x:f>IF(J3171&gt;0,"미수",IF(AND(H3171&gt;0,I3171&gt;=H3171),"완납","미확인"))</x:f>
        <x:v>완납</x:v>
      </x:c>
      <x:c r="O3171" s="31" t="n">
        <x:v>37</x:v>
      </x:c>
    </x:row>
    <x:row r="3172" ht="17.25" customHeight="1">
      <x:c r="A3172" s="24" t="str">
        <x:v>PR-B-69버0299-202412</x:v>
      </x:c>
      <x:c r="B3172" s="24" t="str">
        <x:v>프라임구독</x:v>
      </x:c>
      <x:c r="C3172" s="24" t="str">
        <x:v>PR-C-69버0299-1-20240305-191</x:v>
      </x:c>
      <x:c r="D3172" s="24" t="str">
        <x:v>69버0299</x:v>
      </x:c>
      <x:c r="E3172" s="24" t="str">
        <x:v>이준영</x:v>
      </x:c>
      <x:c r="F3172" s="24" t="str">
        <x:v>2024-12</x:v>
      </x:c>
      <x:c r="G3172" s="30" t="n">
        <x:v>45651</x:v>
      </x:c>
      <x:c r="H3172" s="32" t="n">
        <x:v>550000</x:v>
      </x:c>
      <x:c r="I3172" s="32" t="n">
        <x:v>550000</x:v>
      </x:c>
      <x:c r="J3172" s="32" t="n">
        <x:v>0</x:v>
      </x:c>
      <x:c r="K3172" s="30" t="n">
        <x:v>45651</x:v>
      </x:c>
      <x:c r="L3172" s="24" t="str">
        <x:v>입금</x:v>
      </x:c>
      <x:c r="M3172" s="31" t="n">
        <x:f>IF(AND(N3172="미수",G3172&lt;&gt;"",TODAY()&gt;G3172),TODAY()-G3172,0)</x:f>
        <x:v>0</x:v>
      </x:c>
      <x:c r="N3172" s="24" t="str">
        <x:f>IF(J3172&gt;0,"미수",IF(AND(H3172&gt;0,I3172&gt;=H3172),"완납","미확인"))</x:f>
        <x:v>완납</x:v>
      </x:c>
      <x:c r="O3172" s="31" t="n">
        <x:v>37</x:v>
      </x:c>
    </x:row>
    <x:row r="3173" ht="17.25" customHeight="1">
      <x:c r="A3173" s="24" t="str">
        <x:v>PR-B-69버0299-202411</x:v>
      </x:c>
      <x:c r="B3173" s="24" t="str">
        <x:v>프라임구독</x:v>
      </x:c>
      <x:c r="C3173" s="24" t="str">
        <x:v>PR-C-69버0299-1-20240305-191</x:v>
      </x:c>
      <x:c r="D3173" s="24" t="str">
        <x:v>69버0299</x:v>
      </x:c>
      <x:c r="E3173" s="24" t="str">
        <x:v>이준영</x:v>
      </x:c>
      <x:c r="F3173" s="24" t="str">
        <x:v>2024-11</x:v>
      </x:c>
      <x:c r="G3173" s="30" t="n">
        <x:v>45621</x:v>
      </x:c>
      <x:c r="H3173" s="32" t="n">
        <x:v>550000</x:v>
      </x:c>
      <x:c r="I3173" s="32" t="n">
        <x:v>550000</x:v>
      </x:c>
      <x:c r="J3173" s="32" t="n">
        <x:v>0</x:v>
      </x:c>
      <x:c r="K3173" s="30" t="n">
        <x:v>45621</x:v>
      </x:c>
      <x:c r="L3173" s="24" t="str">
        <x:v>입금</x:v>
      </x:c>
      <x:c r="M3173" s="31" t="n">
        <x:f>IF(AND(N3173="미수",G3173&lt;&gt;"",TODAY()&gt;G3173),TODAY()-G3173,0)</x:f>
        <x:v>0</x:v>
      </x:c>
      <x:c r="N3173" s="24" t="str">
        <x:f>IF(J3173&gt;0,"미수",IF(AND(H3173&gt;0,I3173&gt;=H3173),"완납","미확인"))</x:f>
        <x:v>완납</x:v>
      </x:c>
      <x:c r="O3173" s="31" t="n">
        <x:v>37</x:v>
      </x:c>
    </x:row>
    <x:row r="3174" ht="17.25" customHeight="1">
      <x:c r="A3174" s="24" t="str">
        <x:v>PR-B-69버0299-202410</x:v>
      </x:c>
      <x:c r="B3174" s="24" t="str">
        <x:v>프라임구독</x:v>
      </x:c>
      <x:c r="C3174" s="24" t="str">
        <x:v>PR-C-69버0299-1-20240305-191</x:v>
      </x:c>
      <x:c r="D3174" s="24" t="str">
        <x:v>69버0299</x:v>
      </x:c>
      <x:c r="E3174" s="24" t="str">
        <x:v>이준영</x:v>
      </x:c>
      <x:c r="F3174" s="24" t="str">
        <x:v>2024-10</x:v>
      </x:c>
      <x:c r="G3174" s="30" t="n">
        <x:v>45590</x:v>
      </x:c>
      <x:c r="H3174" s="32" t="n">
        <x:v>550000</x:v>
      </x:c>
      <x:c r="I3174" s="32" t="n">
        <x:v>550000</x:v>
      </x:c>
      <x:c r="J3174" s="32" t="n">
        <x:v>0</x:v>
      </x:c>
      <x:c r="K3174" s="30" t="n">
        <x:v>45591</x:v>
      </x:c>
      <x:c r="L3174" s="24" t="str">
        <x:v>입금</x:v>
      </x:c>
      <x:c r="M3174" s="31" t="n">
        <x:f>IF(AND(N3174="미수",G3174&lt;&gt;"",TODAY()&gt;G3174),TODAY()-G3174,0)</x:f>
        <x:v>0</x:v>
      </x:c>
      <x:c r="N3174" s="24" t="str">
        <x:f>IF(J3174&gt;0,"미수",IF(AND(H3174&gt;0,I3174&gt;=H3174),"완납","미확인"))</x:f>
        <x:v>완납</x:v>
      </x:c>
      <x:c r="O3174" s="31" t="n">
        <x:v>37</x:v>
      </x:c>
    </x:row>
    <x:row r="3175" ht="17.25" customHeight="1">
      <x:c r="A3175" s="24" t="str">
        <x:v>PR-B-69버0299-202409</x:v>
      </x:c>
      <x:c r="B3175" s="24" t="str">
        <x:v>프라임구독</x:v>
      </x:c>
      <x:c r="C3175" s="24" t="str">
        <x:v>PR-C-69버0299-1-20240305-191</x:v>
      </x:c>
      <x:c r="D3175" s="24" t="str">
        <x:v>69버0299</x:v>
      </x:c>
      <x:c r="E3175" s="24" t="str">
        <x:v>이준영</x:v>
      </x:c>
      <x:c r="F3175" s="24" t="str">
        <x:v>2024-09</x:v>
      </x:c>
      <x:c r="G3175" s="30" t="n">
        <x:v>45560</x:v>
      </x:c>
      <x:c r="H3175" s="32" t="n">
        <x:v>550000</x:v>
      </x:c>
      <x:c r="I3175" s="32" t="n">
        <x:v>550000</x:v>
      </x:c>
      <x:c r="J3175" s="32" t="n">
        <x:v>0</x:v>
      </x:c>
      <x:c r="K3175" s="30" t="n">
        <x:v>45563</x:v>
      </x:c>
      <x:c r="L3175" s="24" t="str">
        <x:v>입금</x:v>
      </x:c>
      <x:c r="M3175" s="31" t="n">
        <x:f>IF(AND(N3175="미수",G3175&lt;&gt;"",TODAY()&gt;G3175),TODAY()-G3175,0)</x:f>
        <x:v>0</x:v>
      </x:c>
      <x:c r="N3175" s="24" t="str">
        <x:f>IF(J3175&gt;0,"미수",IF(AND(H3175&gt;0,I3175&gt;=H3175),"완납","미확인"))</x:f>
        <x:v>완납</x:v>
      </x:c>
      <x:c r="O3175" s="31" t="n">
        <x:v>37</x:v>
      </x:c>
    </x:row>
    <x:row r="3176" ht="17.25" customHeight="1">
      <x:c r="A3176" s="24" t="str">
        <x:v>PR-B-69버0299-202408</x:v>
      </x:c>
      <x:c r="B3176" s="24" t="str">
        <x:v>프라임구독</x:v>
      </x:c>
      <x:c r="C3176" s="24" t="str">
        <x:v>PR-C-69버0299-1-20240305-191</x:v>
      </x:c>
      <x:c r="D3176" s="24" t="str">
        <x:v>69버0299</x:v>
      </x:c>
      <x:c r="E3176" s="24" t="str">
        <x:v>이준영</x:v>
      </x:c>
      <x:c r="F3176" s="24" t="str">
        <x:v>2024-08</x:v>
      </x:c>
      <x:c r="G3176" s="30" t="n">
        <x:v>45529</x:v>
      </x:c>
      <x:c r="H3176" s="32" t="n">
        <x:v>550000</x:v>
      </x:c>
      <x:c r="I3176" s="32" t="n">
        <x:v>550000</x:v>
      </x:c>
      <x:c r="J3176" s="32" t="n">
        <x:v>0</x:v>
      </x:c>
      <x:c r="K3176" s="30" t="n">
        <x:v>45535</x:v>
      </x:c>
      <x:c r="L3176" s="24" t="str">
        <x:v>입금</x:v>
      </x:c>
      <x:c r="M3176" s="31" t="n">
        <x:f>IF(AND(N3176="미수",G3176&lt;&gt;"",TODAY()&gt;G3176),TODAY()-G3176,0)</x:f>
        <x:v>0</x:v>
      </x:c>
      <x:c r="N3176" s="24" t="str">
        <x:f>IF(J3176&gt;0,"미수",IF(AND(H3176&gt;0,I3176&gt;=H3176),"완납","미확인"))</x:f>
        <x:v>완납</x:v>
      </x:c>
      <x:c r="O3176" s="31" t="n">
        <x:v>37</x:v>
      </x:c>
    </x:row>
    <x:row r="3177" ht="17.25" customHeight="1">
      <x:c r="A3177" s="24" t="str">
        <x:v>PR-B-69버0299-202407</x:v>
      </x:c>
      <x:c r="B3177" s="24" t="str">
        <x:v>프라임구독</x:v>
      </x:c>
      <x:c r="C3177" s="24" t="str">
        <x:v>PR-C-69버0299-1-20240305-191</x:v>
      </x:c>
      <x:c r="D3177" s="24" t="str">
        <x:v>69버0299</x:v>
      </x:c>
      <x:c r="E3177" s="24" t="str">
        <x:v>이준영</x:v>
      </x:c>
      <x:c r="F3177" s="24" t="str">
        <x:v>2024-07</x:v>
      </x:c>
      <x:c r="G3177" s="30" t="n">
        <x:v>45498</x:v>
      </x:c>
      <x:c r="H3177" s="32" t="n">
        <x:v>550000</x:v>
      </x:c>
      <x:c r="I3177" s="32" t="n">
        <x:v>550000</x:v>
      </x:c>
      <x:c r="J3177" s="32" t="n">
        <x:v>0</x:v>
      </x:c>
      <x:c r="K3177" s="30" t="n">
        <x:v>45499</x:v>
      </x:c>
      <x:c r="L3177" s="24" t="str">
        <x:v>입금</x:v>
      </x:c>
      <x:c r="M3177" s="31" t="n">
        <x:f>IF(AND(N3177="미수",G3177&lt;&gt;"",TODAY()&gt;G3177),TODAY()-G3177,0)</x:f>
        <x:v>0</x:v>
      </x:c>
      <x:c r="N3177" s="24" t="str">
        <x:f>IF(J3177&gt;0,"미수",IF(AND(H3177&gt;0,I3177&gt;=H3177),"완납","미확인"))</x:f>
        <x:v>완납</x:v>
      </x:c>
      <x:c r="O3177" s="31" t="n">
        <x:v>37</x:v>
      </x:c>
    </x:row>
    <x:row r="3178" ht="17.25" customHeight="1">
      <x:c r="A3178" s="24" t="str">
        <x:v>PR-B-69버0299-202406</x:v>
      </x:c>
      <x:c r="B3178" s="24" t="str">
        <x:v>프라임구독</x:v>
      </x:c>
      <x:c r="C3178" s="24" t="str">
        <x:v>PR-C-69버0299-1-20240305-191</x:v>
      </x:c>
      <x:c r="D3178" s="24" t="str">
        <x:v>69버0299</x:v>
      </x:c>
      <x:c r="E3178" s="24" t="str">
        <x:v>이준영</x:v>
      </x:c>
      <x:c r="F3178" s="24" t="str">
        <x:v>2024-06</x:v>
      </x:c>
      <x:c r="G3178" s="30" t="n">
        <x:v>45468</x:v>
      </x:c>
      <x:c r="H3178" s="32" t="n">
        <x:v>550000</x:v>
      </x:c>
      <x:c r="I3178" s="32" t="n">
        <x:v>550000</x:v>
      </x:c>
      <x:c r="J3178" s="32" t="n">
        <x:v>0</x:v>
      </x:c>
      <x:c r="K3178" s="30" t="n">
        <x:v>45468</x:v>
      </x:c>
      <x:c r="L3178" s="24" t="str"/>
      <x:c r="M3178" s="31" t="n">
        <x:f>IF(AND(N3178="미수",G3178&lt;&gt;"",TODAY()&gt;G3178),TODAY()-G3178,0)</x:f>
        <x:v>0</x:v>
      </x:c>
      <x:c r="N3178" s="24" t="str">
        <x:f>IF(J3178&gt;0,"미수",IF(AND(H3178&gt;0,I3178&gt;=H3178),"완납","미확인"))</x:f>
        <x:v>완납</x:v>
      </x:c>
      <x:c r="O3178" s="31" t="n">
        <x:v>37</x:v>
      </x:c>
    </x:row>
    <x:row r="3179" ht="17.25" customHeight="1">
      <x:c r="A3179" s="24" t="str">
        <x:v>PR-B-69버0299-202405</x:v>
      </x:c>
      <x:c r="B3179" s="24" t="str">
        <x:v>프라임구독</x:v>
      </x:c>
      <x:c r="C3179" s="24" t="str">
        <x:v>PR-C-69버0299-1-20240305-191</x:v>
      </x:c>
      <x:c r="D3179" s="24" t="str">
        <x:v>69버0299</x:v>
      </x:c>
      <x:c r="E3179" s="24" t="str">
        <x:v>이준영</x:v>
      </x:c>
      <x:c r="F3179" s="24" t="str">
        <x:v>2024-05</x:v>
      </x:c>
      <x:c r="G3179" s="30" t="n">
        <x:v>45437</x:v>
      </x:c>
      <x:c r="H3179" s="32" t="n">
        <x:v>550000</x:v>
      </x:c>
      <x:c r="I3179" s="32" t="n">
        <x:v>550000</x:v>
      </x:c>
      <x:c r="J3179" s="32" t="n">
        <x:v>0</x:v>
      </x:c>
      <x:c r="K3179" s="30" t="n">
        <x:v>45439</x:v>
      </x:c>
      <x:c r="L3179" s="24" t="str"/>
      <x:c r="M3179" s="31" t="n">
        <x:f>IF(AND(N3179="미수",G3179&lt;&gt;"",TODAY()&gt;G3179),TODAY()-G3179,0)</x:f>
        <x:v>0</x:v>
      </x:c>
      <x:c r="N3179" s="24" t="str">
        <x:f>IF(J3179&gt;0,"미수",IF(AND(H3179&gt;0,I3179&gt;=H3179),"완납","미확인"))</x:f>
        <x:v>완납</x:v>
      </x:c>
      <x:c r="O3179" s="31" t="n">
        <x:v>37</x:v>
      </x:c>
    </x:row>
    <x:row r="3180" ht="17.25" customHeight="1">
      <x:c r="A3180" s="24" t="str">
        <x:v>PR-B-136저9431-202608</x:v>
      </x:c>
      <x:c r="B3180" s="24" t="str">
        <x:v>프라임구독</x:v>
      </x:c>
      <x:c r="C3180" s="24" t="str">
        <x:v>PR-C-136저9431-1-20240307-36</x:v>
      </x:c>
      <x:c r="D3180" s="24" t="str">
        <x:v>136저9431</x:v>
      </x:c>
      <x:c r="E3180" s="24" t="str">
        <x:v>김태윤</x:v>
      </x:c>
      <x:c r="F3180" s="24" t="str">
        <x:v>2026-08</x:v>
      </x:c>
      <x:c r="G3180" s="30" t="n">
        <x:v>46249</x:v>
      </x:c>
      <x:c r="H3180" s="32" t="n">
        <x:v>627000</x:v>
      </x:c>
      <x:c r="I3180" s="32"/>
      <x:c r="J3180" s="32" t="n">
        <x:v>7786000</x:v>
      </x:c>
      <x:c r="K3180" s="30"/>
      <x:c r="L3180" s="24" t="str"/>
      <x:c r="M3180" s="31" t="n">
        <x:f>IF(AND(N3180="미수",G3180&lt;&gt;"",TODAY()&gt;G3180),TODAY()-G3180,0)</x:f>
        <x:v>0</x:v>
      </x:c>
      <x:c r="N3180" s="24" t="str">
        <x:f>IF(J3180&gt;0,"미수",IF(AND(H3180&gt;0,I3180&gt;=H3180),"완납","미확인"))</x:f>
        <x:v>미수</x:v>
      </x:c>
      <x:c r="O3180" s="31" t="n">
        <x:v>38</x:v>
      </x:c>
    </x:row>
    <x:row r="3181" ht="17.25" customHeight="1">
      <x:c r="A3181" s="24" t="str">
        <x:v>PR-B-136저9431-202607</x:v>
      </x:c>
      <x:c r="B3181" s="24" t="str">
        <x:v>프라임구독</x:v>
      </x:c>
      <x:c r="C3181" s="24" t="str">
        <x:v>PR-C-136저9431-1-20240307-36</x:v>
      </x:c>
      <x:c r="D3181" s="24" t="str">
        <x:v>136저9431</x:v>
      </x:c>
      <x:c r="E3181" s="24" t="str">
        <x:v>김태윤</x:v>
      </x:c>
      <x:c r="F3181" s="24" t="str">
        <x:v>2026-07</x:v>
      </x:c>
      <x:c r="G3181" s="30" t="n">
        <x:v>46218</x:v>
      </x:c>
      <x:c r="H3181" s="32" t="n">
        <x:v>627000</x:v>
      </x:c>
      <x:c r="I3181" s="32"/>
      <x:c r="J3181" s="32" t="n">
        <x:v>7159000</x:v>
      </x:c>
      <x:c r="K3181" s="30"/>
      <x:c r="L3181" s="24" t="str"/>
      <x:c r="M3181" s="31" t="n">
        <x:f>IF(AND(N3181="미수",G3181&lt;&gt;"",TODAY()&gt;G3181),TODAY()-G3181,0)</x:f>
        <x:v>31</x:v>
      </x:c>
      <x:c r="N3181" s="24" t="str">
        <x:f>IF(J3181&gt;0,"미수",IF(AND(H3181&gt;0,I3181&gt;=H3181),"완납","미확인"))</x:f>
        <x:v>미수</x:v>
      </x:c>
      <x:c r="O3181" s="31" t="n">
        <x:v>38</x:v>
      </x:c>
    </x:row>
    <x:row r="3182" ht="17.25" customHeight="1">
      <x:c r="A3182" s="24" t="str">
        <x:v>PR-B-136저9431-202606</x:v>
      </x:c>
      <x:c r="B3182" s="24" t="str">
        <x:v>프라임구독</x:v>
      </x:c>
      <x:c r="C3182" s="24" t="str">
        <x:v>PR-C-136저9431-1-20240307-36</x:v>
      </x:c>
      <x:c r="D3182" s="24" t="str">
        <x:v>136저9431</x:v>
      </x:c>
      <x:c r="E3182" s="24" t="str">
        <x:v>김태윤</x:v>
      </x:c>
      <x:c r="F3182" s="24" t="str">
        <x:v>2026-06</x:v>
      </x:c>
      <x:c r="G3182" s="30" t="n">
        <x:v>46188</x:v>
      </x:c>
      <x:c r="H3182" s="32" t="n">
        <x:v>627000</x:v>
      </x:c>
      <x:c r="I3182" s="32"/>
      <x:c r="J3182" s="32" t="n">
        <x:v>6532000</x:v>
      </x:c>
      <x:c r="K3182" s="30"/>
      <x:c r="L3182" s="24" t="str"/>
      <x:c r="M3182" s="31" t="n">
        <x:f>IF(AND(N3182="미수",G3182&lt;&gt;"",TODAY()&gt;G3182),TODAY()-G3182,0)</x:f>
        <x:v>61</x:v>
      </x:c>
      <x:c r="N3182" s="24" t="str">
        <x:f>IF(J3182&gt;0,"미수",IF(AND(H3182&gt;0,I3182&gt;=H3182),"완납","미확인"))</x:f>
        <x:v>미수</x:v>
      </x:c>
      <x:c r="O3182" s="31" t="n">
        <x:v>38</x:v>
      </x:c>
    </x:row>
    <x:row r="3183" ht="17.25" customHeight="1">
      <x:c r="A3183" s="24" t="str">
        <x:v>PR-B-136저9431-202605</x:v>
      </x:c>
      <x:c r="B3183" s="24" t="str">
        <x:v>프라임구독</x:v>
      </x:c>
      <x:c r="C3183" s="24" t="str">
        <x:v>PR-C-136저9431-1-20240307-36</x:v>
      </x:c>
      <x:c r="D3183" s="24" t="str">
        <x:v>136저9431</x:v>
      </x:c>
      <x:c r="E3183" s="24" t="str">
        <x:v>김태윤</x:v>
      </x:c>
      <x:c r="F3183" s="24" t="str">
        <x:v>2026-05</x:v>
      </x:c>
      <x:c r="G3183" s="30" t="n">
        <x:v>46157</x:v>
      </x:c>
      <x:c r="H3183" s="32" t="n">
        <x:v>627000</x:v>
      </x:c>
      <x:c r="I3183" s="32"/>
      <x:c r="J3183" s="32" t="n">
        <x:v>5905000</x:v>
      </x:c>
      <x:c r="K3183" s="30"/>
      <x:c r="L3183" s="24" t="str"/>
      <x:c r="M3183" s="31" t="n">
        <x:f>IF(AND(N3183="미수",G3183&lt;&gt;"",TODAY()&gt;G3183),TODAY()-G3183,0)</x:f>
        <x:v>92</x:v>
      </x:c>
      <x:c r="N3183" s="24" t="str">
        <x:f>IF(J3183&gt;0,"미수",IF(AND(H3183&gt;0,I3183&gt;=H3183),"완납","미확인"))</x:f>
        <x:v>미수</x:v>
      </x:c>
      <x:c r="O3183" s="31" t="n">
        <x:v>38</x:v>
      </x:c>
    </x:row>
    <x:row r="3184" ht="17.25" customHeight="1">
      <x:c r="A3184" s="24" t="str">
        <x:v>PR-B-136저9431-202604</x:v>
      </x:c>
      <x:c r="B3184" s="24" t="str">
        <x:v>프라임구독</x:v>
      </x:c>
      <x:c r="C3184" s="24" t="str">
        <x:v>PR-C-136저9431-1-20240307-36</x:v>
      </x:c>
      <x:c r="D3184" s="24" t="str">
        <x:v>136저9431</x:v>
      </x:c>
      <x:c r="E3184" s="24" t="str">
        <x:v>김태윤</x:v>
      </x:c>
      <x:c r="F3184" s="24" t="str">
        <x:v>2026-04</x:v>
      </x:c>
      <x:c r="G3184" s="30" t="n">
        <x:v>46127</x:v>
      </x:c>
      <x:c r="H3184" s="32" t="n">
        <x:v>627000</x:v>
      </x:c>
      <x:c r="I3184" s="32"/>
      <x:c r="J3184" s="32" t="n">
        <x:v>5278000</x:v>
      </x:c>
      <x:c r="K3184" s="30"/>
      <x:c r="L3184" s="24" t="str"/>
      <x:c r="M3184" s="31" t="n">
        <x:f>IF(AND(N3184="미수",G3184&lt;&gt;"",TODAY()&gt;G3184),TODAY()-G3184,0)</x:f>
        <x:v>122</x:v>
      </x:c>
      <x:c r="N3184" s="24" t="str">
        <x:f>IF(J3184&gt;0,"미수",IF(AND(H3184&gt;0,I3184&gt;=H3184),"완납","미확인"))</x:f>
        <x:v>미수</x:v>
      </x:c>
      <x:c r="O3184" s="31" t="n">
        <x:v>38</x:v>
      </x:c>
    </x:row>
    <x:row r="3185" ht="17.25" customHeight="1">
      <x:c r="A3185" s="24" t="str">
        <x:v>PR-B-136저9431-202603</x:v>
      </x:c>
      <x:c r="B3185" s="24" t="str">
        <x:v>프라임구독</x:v>
      </x:c>
      <x:c r="C3185" s="24" t="str">
        <x:v>PR-C-136저9431-1-20240307-36</x:v>
      </x:c>
      <x:c r="D3185" s="24" t="str">
        <x:v>136저9431</x:v>
      </x:c>
      <x:c r="E3185" s="24" t="str">
        <x:v>김태윤</x:v>
      </x:c>
      <x:c r="F3185" s="24" t="str">
        <x:v>2026-03</x:v>
      </x:c>
      <x:c r="G3185" s="30" t="n">
        <x:v>46096</x:v>
      </x:c>
      <x:c r="H3185" s="32" t="n">
        <x:v>627000</x:v>
      </x:c>
      <x:c r="I3185" s="32"/>
      <x:c r="J3185" s="32" t="n">
        <x:v>4651000</x:v>
      </x:c>
      <x:c r="K3185" s="30"/>
      <x:c r="L3185" s="24" t="str"/>
      <x:c r="M3185" s="31" t="n">
        <x:f>IF(AND(N3185="미수",G3185&lt;&gt;"",TODAY()&gt;G3185),TODAY()-G3185,0)</x:f>
        <x:v>153</x:v>
      </x:c>
      <x:c r="N3185" s="24" t="str">
        <x:f>IF(J3185&gt;0,"미수",IF(AND(H3185&gt;0,I3185&gt;=H3185),"완납","미확인"))</x:f>
        <x:v>미수</x:v>
      </x:c>
      <x:c r="O3185" s="31" t="n">
        <x:v>38</x:v>
      </x:c>
    </x:row>
    <x:row r="3186" ht="17.25" customHeight="1">
      <x:c r="A3186" s="24" t="str">
        <x:v>PR-B-136저9431-202602</x:v>
      </x:c>
      <x:c r="B3186" s="24" t="str">
        <x:v>프라임구독</x:v>
      </x:c>
      <x:c r="C3186" s="24" t="str">
        <x:v>PR-C-136저9431-1-20240307-36</x:v>
      </x:c>
      <x:c r="D3186" s="24" t="str">
        <x:v>136저9431</x:v>
      </x:c>
      <x:c r="E3186" s="24" t="str">
        <x:v>김태윤</x:v>
      </x:c>
      <x:c r="F3186" s="24" t="str">
        <x:v>2026-02</x:v>
      </x:c>
      <x:c r="G3186" s="30" t="n">
        <x:v>46068</x:v>
      </x:c>
      <x:c r="H3186" s="32" t="n">
        <x:v>627000</x:v>
      </x:c>
      <x:c r="I3186" s="32"/>
      <x:c r="J3186" s="32" t="n">
        <x:v>4024000</x:v>
      </x:c>
      <x:c r="K3186" s="30"/>
      <x:c r="L3186" s="24" t="str"/>
      <x:c r="M3186" s="31" t="n">
        <x:f>IF(AND(N3186="미수",G3186&lt;&gt;"",TODAY()&gt;G3186),TODAY()-G3186,0)</x:f>
        <x:v>181</x:v>
      </x:c>
      <x:c r="N3186" s="24" t="str">
        <x:f>IF(J3186&gt;0,"미수",IF(AND(H3186&gt;0,I3186&gt;=H3186),"완납","미확인"))</x:f>
        <x:v>미수</x:v>
      </x:c>
      <x:c r="O3186" s="31" t="n">
        <x:v>38</x:v>
      </x:c>
    </x:row>
    <x:row r="3187" ht="17.25" customHeight="1">
      <x:c r="A3187" s="24" t="str">
        <x:v>PR-B-136저9431-202601</x:v>
      </x:c>
      <x:c r="B3187" s="24" t="str">
        <x:v>프라임구독</x:v>
      </x:c>
      <x:c r="C3187" s="24" t="str">
        <x:v>PR-C-136저9431-1-20240307-36</x:v>
      </x:c>
      <x:c r="D3187" s="24" t="str">
        <x:v>136저9431</x:v>
      </x:c>
      <x:c r="E3187" s="24" t="str">
        <x:v>김태윤</x:v>
      </x:c>
      <x:c r="F3187" s="24" t="str">
        <x:v>2026-01</x:v>
      </x:c>
      <x:c r="G3187" s="30" t="n">
        <x:v>46037</x:v>
      </x:c>
      <x:c r="H3187" s="32" t="n">
        <x:v>627000</x:v>
      </x:c>
      <x:c r="I3187" s="32" t="n">
        <x:v>2300000</x:v>
      </x:c>
      <x:c r="J3187" s="32" t="n">
        <x:v>3397000</x:v>
      </x:c>
      <x:c r="K3187" s="30" t="n">
        <x:v>46037</x:v>
      </x:c>
      <x:c r="L3187" s="24" t="str">
        <x:v>입금</x:v>
      </x:c>
      <x:c r="M3187" s="31" t="n">
        <x:f>IF(AND(N3187="미수",G3187&lt;&gt;"",TODAY()&gt;G3187),TODAY()-G3187,0)</x:f>
        <x:v>212</x:v>
      </x:c>
      <x:c r="N3187" s="24" t="str">
        <x:f>IF(J3187&gt;0,"미수",IF(AND(H3187&gt;0,I3187&gt;=H3187),"완납","미확인"))</x:f>
        <x:v>미수</x:v>
      </x:c>
      <x:c r="O3187" s="31" t="n">
        <x:v>38</x:v>
      </x:c>
    </x:row>
    <x:row r="3188" ht="17.25" customHeight="1">
      <x:c r="A3188" s="24" t="str">
        <x:v>PR-B-136저9431-202512</x:v>
      </x:c>
      <x:c r="B3188" s="24" t="str">
        <x:v>프라임구독</x:v>
      </x:c>
      <x:c r="C3188" s="24" t="str">
        <x:v>PR-C-136저9431-1-20240307-36</x:v>
      </x:c>
      <x:c r="D3188" s="24" t="str">
        <x:v>136저9431</x:v>
      </x:c>
      <x:c r="E3188" s="24" t="str">
        <x:v>김태윤</x:v>
      </x:c>
      <x:c r="F3188" s="24" t="str">
        <x:v>2025-12</x:v>
      </x:c>
      <x:c r="G3188" s="30" t="n">
        <x:v>46006</x:v>
      </x:c>
      <x:c r="H3188" s="32" t="n">
        <x:v>627000</x:v>
      </x:c>
      <x:c r="I3188" s="32"/>
      <x:c r="J3188" s="32" t="n">
        <x:v>5070000</x:v>
      </x:c>
      <x:c r="K3188" s="30"/>
      <x:c r="L3188" s="24" t="str"/>
      <x:c r="M3188" s="31" t="n">
        <x:f>IF(AND(N3188="미수",G3188&lt;&gt;"",TODAY()&gt;G3188),TODAY()-G3188,0)</x:f>
        <x:v>243</x:v>
      </x:c>
      <x:c r="N3188" s="24" t="str">
        <x:f>IF(J3188&gt;0,"미수",IF(AND(H3188&gt;0,I3188&gt;=H3188),"완납","미확인"))</x:f>
        <x:v>미수</x:v>
      </x:c>
      <x:c r="O3188" s="31" t="n">
        <x:v>38</x:v>
      </x:c>
    </x:row>
    <x:row r="3189" ht="17.25" customHeight="1">
      <x:c r="A3189" s="24" t="str">
        <x:v>PR-B-136저9431-202511</x:v>
      </x:c>
      <x:c r="B3189" s="24" t="str">
        <x:v>프라임구독</x:v>
      </x:c>
      <x:c r="C3189" s="24" t="str">
        <x:v>PR-C-136저9431-1-20240307-36</x:v>
      </x:c>
      <x:c r="D3189" s="24" t="str">
        <x:v>136저9431</x:v>
      </x:c>
      <x:c r="E3189" s="24" t="str">
        <x:v>김태윤</x:v>
      </x:c>
      <x:c r="F3189" s="24" t="str">
        <x:v>2025-11</x:v>
      </x:c>
      <x:c r="G3189" s="30" t="n">
        <x:v>45976</x:v>
      </x:c>
      <x:c r="H3189" s="32" t="n">
        <x:v>627000</x:v>
      </x:c>
      <x:c r="I3189" s="32"/>
      <x:c r="J3189" s="32" t="n">
        <x:v>4443000</x:v>
      </x:c>
      <x:c r="K3189" s="30"/>
      <x:c r="L3189" s="24" t="str"/>
      <x:c r="M3189" s="31" t="n">
        <x:f>IF(AND(N3189="미수",G3189&lt;&gt;"",TODAY()&gt;G3189),TODAY()-G3189,0)</x:f>
        <x:v>273</x:v>
      </x:c>
      <x:c r="N3189" s="24" t="str">
        <x:f>IF(J3189&gt;0,"미수",IF(AND(H3189&gt;0,I3189&gt;=H3189),"완납","미확인"))</x:f>
        <x:v>미수</x:v>
      </x:c>
      <x:c r="O3189" s="31" t="n">
        <x:v>38</x:v>
      </x:c>
    </x:row>
    <x:row r="3190" ht="17.25" customHeight="1">
      <x:c r="A3190" s="24" t="str">
        <x:v>PR-B-136저9431-202510</x:v>
      </x:c>
      <x:c r="B3190" s="24" t="str">
        <x:v>프라임구독</x:v>
      </x:c>
      <x:c r="C3190" s="24" t="str">
        <x:v>PR-C-136저9431-1-20240307-36</x:v>
      </x:c>
      <x:c r="D3190" s="24" t="str">
        <x:v>136저9431</x:v>
      </x:c>
      <x:c r="E3190" s="24" t="str">
        <x:v>김태윤</x:v>
      </x:c>
      <x:c r="F3190" s="24" t="str">
        <x:v>2025-10</x:v>
      </x:c>
      <x:c r="G3190" s="30" t="n">
        <x:v>45945</x:v>
      </x:c>
      <x:c r="H3190" s="32" t="n">
        <x:v>627000</x:v>
      </x:c>
      <x:c r="I3190" s="32"/>
      <x:c r="J3190" s="32" t="n">
        <x:v>3816000</x:v>
      </x:c>
      <x:c r="K3190" s="30"/>
      <x:c r="L3190" s="24" t="str"/>
      <x:c r="M3190" s="31" t="n">
        <x:f>IF(AND(N3190="미수",G3190&lt;&gt;"",TODAY()&gt;G3190),TODAY()-G3190,0)</x:f>
        <x:v>304</x:v>
      </x:c>
      <x:c r="N3190" s="24" t="str">
        <x:f>IF(J3190&gt;0,"미수",IF(AND(H3190&gt;0,I3190&gt;=H3190),"완납","미확인"))</x:f>
        <x:v>미수</x:v>
      </x:c>
      <x:c r="O3190" s="31" t="n">
        <x:v>38</x:v>
      </x:c>
    </x:row>
    <x:row r="3191" ht="17.25" customHeight="1">
      <x:c r="A3191" s="24" t="str">
        <x:v>PR-B-136저9431-202509</x:v>
      </x:c>
      <x:c r="B3191" s="24" t="str">
        <x:v>프라임구독</x:v>
      </x:c>
      <x:c r="C3191" s="24" t="str">
        <x:v>PR-C-136저9431-1-20240307-36</x:v>
      </x:c>
      <x:c r="D3191" s="24" t="str">
        <x:v>136저9431</x:v>
      </x:c>
      <x:c r="E3191" s="24" t="str">
        <x:v>김태윤</x:v>
      </x:c>
      <x:c r="F3191" s="24" t="str">
        <x:v>2025-09</x:v>
      </x:c>
      <x:c r="G3191" s="30" t="n">
        <x:v>45915</x:v>
      </x:c>
      <x:c r="H3191" s="32" t="n">
        <x:v>627000</x:v>
      </x:c>
      <x:c r="I3191" s="32"/>
      <x:c r="J3191" s="32" t="n">
        <x:v>3189000</x:v>
      </x:c>
      <x:c r="K3191" s="30"/>
      <x:c r="L3191" s="24" t="str"/>
      <x:c r="M3191" s="31" t="n">
        <x:f>IF(AND(N3191="미수",G3191&lt;&gt;"",TODAY()&gt;G3191),TODAY()-G3191,0)</x:f>
        <x:v>334</x:v>
      </x:c>
      <x:c r="N3191" s="24" t="str">
        <x:f>IF(J3191&gt;0,"미수",IF(AND(H3191&gt;0,I3191&gt;=H3191),"완납","미확인"))</x:f>
        <x:v>미수</x:v>
      </x:c>
      <x:c r="O3191" s="31" t="n">
        <x:v>38</x:v>
      </x:c>
    </x:row>
    <x:row r="3192" ht="17.25" customHeight="1">
      <x:c r="A3192" s="24" t="str">
        <x:v>PR-B-136저9431-202508</x:v>
      </x:c>
      <x:c r="B3192" s="24" t="str">
        <x:v>프라임구독</x:v>
      </x:c>
      <x:c r="C3192" s="24" t="str">
        <x:v>PR-C-136저9431-1-20240307-36</x:v>
      </x:c>
      <x:c r="D3192" s="24" t="str">
        <x:v>136저9431</x:v>
      </x:c>
      <x:c r="E3192" s="24" t="str">
        <x:v>김태윤</x:v>
      </x:c>
      <x:c r="F3192" s="24" t="str">
        <x:v>2025-08</x:v>
      </x:c>
      <x:c r="G3192" s="30" t="n">
        <x:v>45884</x:v>
      </x:c>
      <x:c r="H3192" s="32" t="n">
        <x:v>627000</x:v>
      </x:c>
      <x:c r="I3192" s="32"/>
      <x:c r="J3192" s="32" t="n">
        <x:v>2562000</x:v>
      </x:c>
      <x:c r="K3192" s="30"/>
      <x:c r="L3192" s="24" t="str"/>
      <x:c r="M3192" s="31" t="n">
        <x:f>IF(AND(N3192="미수",G3192&lt;&gt;"",TODAY()&gt;G3192),TODAY()-G3192,0)</x:f>
        <x:v>365</x:v>
      </x:c>
      <x:c r="N3192" s="24" t="str">
        <x:f>IF(J3192&gt;0,"미수",IF(AND(H3192&gt;0,I3192&gt;=H3192),"완납","미확인"))</x:f>
        <x:v>미수</x:v>
      </x:c>
      <x:c r="O3192" s="31" t="n">
        <x:v>38</x:v>
      </x:c>
    </x:row>
    <x:row r="3193" ht="17.25" customHeight="1">
      <x:c r="A3193" s="24" t="str">
        <x:v>PR-B-136저9431-202507</x:v>
      </x:c>
      <x:c r="B3193" s="24" t="str">
        <x:v>프라임구독</x:v>
      </x:c>
      <x:c r="C3193" s="24" t="str">
        <x:v>PR-C-136저9431-1-20240307-36</x:v>
      </x:c>
      <x:c r="D3193" s="24" t="str">
        <x:v>136저9431</x:v>
      </x:c>
      <x:c r="E3193" s="24" t="str">
        <x:v>김태윤</x:v>
      </x:c>
      <x:c r="F3193" s="24" t="str">
        <x:v>2025-07</x:v>
      </x:c>
      <x:c r="G3193" s="30" t="n">
        <x:v>45853</x:v>
      </x:c>
      <x:c r="H3193" s="32" t="n">
        <x:v>627000</x:v>
      </x:c>
      <x:c r="I3193" s="32" t="n">
        <x:v>1200000</x:v>
      </x:c>
      <x:c r="J3193" s="32" t="n">
        <x:v>1935000</x:v>
      </x:c>
      <x:c r="K3193" s="30" t="n">
        <x:v>45852</x:v>
      </x:c>
      <x:c r="L3193" s="24" t="str">
        <x:v>입금</x:v>
      </x:c>
      <x:c r="M3193" s="31" t="n">
        <x:f>IF(AND(N3193="미수",G3193&lt;&gt;"",TODAY()&gt;G3193),TODAY()-G3193,0)</x:f>
        <x:v>396</x:v>
      </x:c>
      <x:c r="N3193" s="24" t="str">
        <x:f>IF(J3193&gt;0,"미수",IF(AND(H3193&gt;0,I3193&gt;=H3193),"완납","미확인"))</x:f>
        <x:v>미수</x:v>
      </x:c>
      <x:c r="O3193" s="31" t="n">
        <x:v>38</x:v>
      </x:c>
    </x:row>
    <x:row r="3194" ht="17.25" customHeight="1">
      <x:c r="A3194" s="24" t="str">
        <x:v>PR-B-136저9431-202506</x:v>
      </x:c>
      <x:c r="B3194" s="24" t="str">
        <x:v>프라임구독</x:v>
      </x:c>
      <x:c r="C3194" s="24" t="str">
        <x:v>PR-C-136저9431-1-20240307-36</x:v>
      </x:c>
      <x:c r="D3194" s="24" t="str">
        <x:v>136저9431</x:v>
      </x:c>
      <x:c r="E3194" s="24" t="str">
        <x:v>김태윤</x:v>
      </x:c>
      <x:c r="F3194" s="24" t="str">
        <x:v>2025-06</x:v>
      </x:c>
      <x:c r="G3194" s="30" t="n">
        <x:v>45823</x:v>
      </x:c>
      <x:c r="H3194" s="32" t="n">
        <x:v>627000</x:v>
      </x:c>
      <x:c r="I3194" s="32"/>
      <x:c r="J3194" s="32" t="n">
        <x:v>2508000</x:v>
      </x:c>
      <x:c r="K3194" s="30"/>
      <x:c r="L3194" s="24" t="str"/>
      <x:c r="M3194" s="31" t="n">
        <x:f>IF(AND(N3194="미수",G3194&lt;&gt;"",TODAY()&gt;G3194),TODAY()-G3194,0)</x:f>
        <x:v>426</x:v>
      </x:c>
      <x:c r="N3194" s="24" t="str">
        <x:f>IF(J3194&gt;0,"미수",IF(AND(H3194&gt;0,I3194&gt;=H3194),"완납","미확인"))</x:f>
        <x:v>미수</x:v>
      </x:c>
      <x:c r="O3194" s="31" t="n">
        <x:v>38</x:v>
      </x:c>
    </x:row>
    <x:row r="3195" ht="17.25" customHeight="1">
      <x:c r="A3195" s="24" t="str">
        <x:v>PR-B-136저9431-202505</x:v>
      </x:c>
      <x:c r="B3195" s="24" t="str">
        <x:v>프라임구독</x:v>
      </x:c>
      <x:c r="C3195" s="24" t="str">
        <x:v>PR-C-136저9431-1-20240307-36</x:v>
      </x:c>
      <x:c r="D3195" s="24" t="str">
        <x:v>136저9431</x:v>
      </x:c>
      <x:c r="E3195" s="24" t="str">
        <x:v>김태윤</x:v>
      </x:c>
      <x:c r="F3195" s="24" t="str">
        <x:v>2025-05</x:v>
      </x:c>
      <x:c r="G3195" s="30" t="n">
        <x:v>45792</x:v>
      </x:c>
      <x:c r="H3195" s="32" t="n">
        <x:v>627000</x:v>
      </x:c>
      <x:c r="I3195" s="32"/>
      <x:c r="J3195" s="32" t="n">
        <x:v>1881000</x:v>
      </x:c>
      <x:c r="K3195" s="30"/>
      <x:c r="L3195" s="24" t="str"/>
      <x:c r="M3195" s="31" t="n">
        <x:f>IF(AND(N3195="미수",G3195&lt;&gt;"",TODAY()&gt;G3195),TODAY()-G3195,0)</x:f>
        <x:v>457</x:v>
      </x:c>
      <x:c r="N3195" s="24" t="str">
        <x:f>IF(J3195&gt;0,"미수",IF(AND(H3195&gt;0,I3195&gt;=H3195),"완납","미확인"))</x:f>
        <x:v>미수</x:v>
      </x:c>
      <x:c r="O3195" s="31" t="n">
        <x:v>38</x:v>
      </x:c>
    </x:row>
    <x:row r="3196" ht="17.25" customHeight="1">
      <x:c r="A3196" s="24" t="str">
        <x:v>PR-B-136저9431-202504</x:v>
      </x:c>
      <x:c r="B3196" s="24" t="str">
        <x:v>프라임구독</x:v>
      </x:c>
      <x:c r="C3196" s="24" t="str">
        <x:v>PR-C-136저9431-1-20240307-36</x:v>
      </x:c>
      <x:c r="D3196" s="24" t="str">
        <x:v>136저9431</x:v>
      </x:c>
      <x:c r="E3196" s="24" t="str">
        <x:v>김태윤</x:v>
      </x:c>
      <x:c r="F3196" s="24" t="str">
        <x:v>2025-04</x:v>
      </x:c>
      <x:c r="G3196" s="30" t="n">
        <x:v>45762</x:v>
      </x:c>
      <x:c r="H3196" s="32" t="n">
        <x:v>627000</x:v>
      </x:c>
      <x:c r="I3196" s="32"/>
      <x:c r="J3196" s="32" t="n">
        <x:v>1254000</x:v>
      </x:c>
      <x:c r="K3196" s="30"/>
      <x:c r="L3196" s="24" t="str"/>
      <x:c r="M3196" s="31" t="n">
        <x:f>IF(AND(N3196="미수",G3196&lt;&gt;"",TODAY()&gt;G3196),TODAY()-G3196,0)</x:f>
        <x:v>487</x:v>
      </x:c>
      <x:c r="N3196" s="24" t="str">
        <x:f>IF(J3196&gt;0,"미수",IF(AND(H3196&gt;0,I3196&gt;=H3196),"완납","미확인"))</x:f>
        <x:v>미수</x:v>
      </x:c>
      <x:c r="O3196" s="31" t="n">
        <x:v>38</x:v>
      </x:c>
    </x:row>
    <x:row r="3197" ht="17.25" customHeight="1">
      <x:c r="A3197" s="24" t="str">
        <x:v>PR-B-136저9431-202503</x:v>
      </x:c>
      <x:c r="B3197" s="24" t="str">
        <x:v>프라임구독</x:v>
      </x:c>
      <x:c r="C3197" s="24" t="str">
        <x:v>PR-C-136저9431-1-20240307-36</x:v>
      </x:c>
      <x:c r="D3197" s="24" t="str">
        <x:v>136저9431</x:v>
      </x:c>
      <x:c r="E3197" s="24" t="str">
        <x:v>김태윤</x:v>
      </x:c>
      <x:c r="F3197" s="24" t="str">
        <x:v>2025-03</x:v>
      </x:c>
      <x:c r="G3197" s="30" t="n">
        <x:v>45731</x:v>
      </x:c>
      <x:c r="H3197" s="32" t="n">
        <x:v>627000</x:v>
      </x:c>
      <x:c r="I3197" s="32" t="n">
        <x:v>627000</x:v>
      </x:c>
      <x:c r="J3197" s="32" t="n">
        <x:v>627000</x:v>
      </x:c>
      <x:c r="K3197" s="30" t="n">
        <x:v>45734</x:v>
      </x:c>
      <x:c r="L3197" s="24" t="str">
        <x:v>입금</x:v>
      </x:c>
      <x:c r="M3197" s="31" t="n">
        <x:f>IF(AND(N3197="미수",G3197&lt;&gt;"",TODAY()&gt;G3197),TODAY()-G3197,0)</x:f>
        <x:v>518</x:v>
      </x:c>
      <x:c r="N3197" s="24" t="str">
        <x:f>IF(J3197&gt;0,"미수",IF(AND(H3197&gt;0,I3197&gt;=H3197),"완납","미확인"))</x:f>
        <x:v>미수</x:v>
      </x:c>
      <x:c r="O3197" s="31" t="n">
        <x:v>38</x:v>
      </x:c>
    </x:row>
    <x:row r="3198" ht="17.25" customHeight="1">
      <x:c r="A3198" s="24" t="str">
        <x:v>PR-B-136저9431-202502</x:v>
      </x:c>
      <x:c r="B3198" s="24" t="str">
        <x:v>프라임구독</x:v>
      </x:c>
      <x:c r="C3198" s="24" t="str">
        <x:v>PR-C-136저9431-1-20240307-36</x:v>
      </x:c>
      <x:c r="D3198" s="24" t="str">
        <x:v>136저9431</x:v>
      </x:c>
      <x:c r="E3198" s="24" t="str">
        <x:v>김태윤</x:v>
      </x:c>
      <x:c r="F3198" s="24" t="str">
        <x:v>2025-02</x:v>
      </x:c>
      <x:c r="G3198" s="30" t="n">
        <x:v>45703</x:v>
      </x:c>
      <x:c r="H3198" s="32" t="n">
        <x:v>627000</x:v>
      </x:c>
      <x:c r="I3198" s="32"/>
      <x:c r="J3198" s="32" t="n">
        <x:v>627000</x:v>
      </x:c>
      <x:c r="K3198" s="30"/>
      <x:c r="L3198" s="24" t="str"/>
      <x:c r="M3198" s="31" t="n">
        <x:f>IF(AND(N3198="미수",G3198&lt;&gt;"",TODAY()&gt;G3198),TODAY()-G3198,0)</x:f>
        <x:v>546</x:v>
      </x:c>
      <x:c r="N3198" s="24" t="str">
        <x:f>IF(J3198&gt;0,"미수",IF(AND(H3198&gt;0,I3198&gt;=H3198),"완납","미확인"))</x:f>
        <x:v>미수</x:v>
      </x:c>
      <x:c r="O3198" s="31" t="n">
        <x:v>38</x:v>
      </x:c>
    </x:row>
    <x:row r="3199" ht="17.25" customHeight="1">
      <x:c r="A3199" s="24" t="str">
        <x:v>PR-B-136저9431-202501</x:v>
      </x:c>
      <x:c r="B3199" s="24" t="str">
        <x:v>프라임구독</x:v>
      </x:c>
      <x:c r="C3199" s="24" t="str">
        <x:v>PR-C-136저9431-1-20240307-36</x:v>
      </x:c>
      <x:c r="D3199" s="24" t="str">
        <x:v>136저9431</x:v>
      </x:c>
      <x:c r="E3199" s="24" t="str">
        <x:v>김태윤</x:v>
      </x:c>
      <x:c r="F3199" s="24" t="str">
        <x:v>2025-01</x:v>
      </x:c>
      <x:c r="G3199" s="30" t="n">
        <x:v>45672</x:v>
      </x:c>
      <x:c r="H3199" s="32" t="n">
        <x:v>627000</x:v>
      </x:c>
      <x:c r="I3199" s="32" t="n">
        <x:v>627000</x:v>
      </x:c>
      <x:c r="J3199" s="32" t="n">
        <x:v>0</x:v>
      </x:c>
      <x:c r="K3199" s="30" t="n">
        <x:v>45677</x:v>
      </x:c>
      <x:c r="L3199" s="24" t="str">
        <x:v>입금</x:v>
      </x:c>
      <x:c r="M3199" s="31" t="n">
        <x:f>IF(AND(N3199="미수",G3199&lt;&gt;"",TODAY()&gt;G3199),TODAY()-G3199,0)</x:f>
        <x:v>0</x:v>
      </x:c>
      <x:c r="N3199" s="24" t="str">
        <x:f>IF(J3199&gt;0,"미수",IF(AND(H3199&gt;0,I3199&gt;=H3199),"완납","미확인"))</x:f>
        <x:v>완납</x:v>
      </x:c>
      <x:c r="O3199" s="31" t="n">
        <x:v>38</x:v>
      </x:c>
    </x:row>
    <x:row r="3200" ht="17.25" customHeight="1">
      <x:c r="A3200" s="24" t="str">
        <x:v>PR-B-136저9431-202412</x:v>
      </x:c>
      <x:c r="B3200" s="24" t="str">
        <x:v>프라임구독</x:v>
      </x:c>
      <x:c r="C3200" s="24" t="str">
        <x:v>PR-C-136저9431-1-20240307-36</x:v>
      </x:c>
      <x:c r="D3200" s="24" t="str">
        <x:v>136저9431</x:v>
      </x:c>
      <x:c r="E3200" s="24" t="str">
        <x:v>김태윤</x:v>
      </x:c>
      <x:c r="F3200" s="24" t="str">
        <x:v>2024-12</x:v>
      </x:c>
      <x:c r="G3200" s="30" t="n">
        <x:v>45641</x:v>
      </x:c>
      <x:c r="H3200" s="32" t="n">
        <x:v>627000</x:v>
      </x:c>
      <x:c r="I3200" s="32" t="n">
        <x:v>627000</x:v>
      </x:c>
      <x:c r="J3200" s="32" t="n">
        <x:v>0</x:v>
      </x:c>
      <x:c r="K3200" s="30" t="n">
        <x:v>45650</x:v>
      </x:c>
      <x:c r="L3200" s="24" t="str">
        <x:v>입금</x:v>
      </x:c>
      <x:c r="M3200" s="31" t="n">
        <x:f>IF(AND(N3200="미수",G3200&lt;&gt;"",TODAY()&gt;G3200),TODAY()-G3200,0)</x:f>
        <x:v>0</x:v>
      </x:c>
      <x:c r="N3200" s="24" t="str">
        <x:f>IF(J3200&gt;0,"미수",IF(AND(H3200&gt;0,I3200&gt;=H3200),"완납","미확인"))</x:f>
        <x:v>완납</x:v>
      </x:c>
      <x:c r="O3200" s="31" t="n">
        <x:v>38</x:v>
      </x:c>
    </x:row>
    <x:row r="3201" ht="17.25" customHeight="1">
      <x:c r="A3201" s="24" t="str">
        <x:v>PR-B-136저9431-202411</x:v>
      </x:c>
      <x:c r="B3201" s="24" t="str">
        <x:v>프라임구독</x:v>
      </x:c>
      <x:c r="C3201" s="24" t="str">
        <x:v>PR-C-136저9431-1-20240307-36</x:v>
      </x:c>
      <x:c r="D3201" s="24" t="str">
        <x:v>136저9431</x:v>
      </x:c>
      <x:c r="E3201" s="24" t="str">
        <x:v>김태윤</x:v>
      </x:c>
      <x:c r="F3201" s="24" t="str">
        <x:v>2024-11</x:v>
      </x:c>
      <x:c r="G3201" s="30" t="n">
        <x:v>45611</x:v>
      </x:c>
      <x:c r="H3201" s="32" t="n">
        <x:v>627000</x:v>
      </x:c>
      <x:c r="I3201" s="32" t="n">
        <x:v>627000</x:v>
      </x:c>
      <x:c r="J3201" s="32" t="n">
        <x:v>0</x:v>
      </x:c>
      <x:c r="K3201" s="30" t="n">
        <x:v>45618</x:v>
      </x:c>
      <x:c r="L3201" s="24" t="str">
        <x:v>입금</x:v>
      </x:c>
      <x:c r="M3201" s="31" t="n">
        <x:f>IF(AND(N3201="미수",G3201&lt;&gt;"",TODAY()&gt;G3201),TODAY()-G3201,0)</x:f>
        <x:v>0</x:v>
      </x:c>
      <x:c r="N3201" s="24" t="str">
        <x:f>IF(J3201&gt;0,"미수",IF(AND(H3201&gt;0,I3201&gt;=H3201),"완납","미확인"))</x:f>
        <x:v>완납</x:v>
      </x:c>
      <x:c r="O3201" s="31" t="n">
        <x:v>38</x:v>
      </x:c>
    </x:row>
    <x:row r="3202" ht="17.25" customHeight="1">
      <x:c r="A3202" s="24" t="str">
        <x:v>PR-B-136저9431-202410</x:v>
      </x:c>
      <x:c r="B3202" s="24" t="str">
        <x:v>프라임구독</x:v>
      </x:c>
      <x:c r="C3202" s="24" t="str">
        <x:v>PR-C-136저9431-1-20240307-36</x:v>
      </x:c>
      <x:c r="D3202" s="24" t="str">
        <x:v>136저9431</x:v>
      </x:c>
      <x:c r="E3202" s="24" t="str">
        <x:v>김태윤</x:v>
      </x:c>
      <x:c r="F3202" s="24" t="str">
        <x:v>2024-10</x:v>
      </x:c>
      <x:c r="G3202" s="30" t="n">
        <x:v>45580</x:v>
      </x:c>
      <x:c r="H3202" s="32" t="n">
        <x:v>627000</x:v>
      </x:c>
      <x:c r="I3202" s="32" t="n">
        <x:v>627000</x:v>
      </x:c>
      <x:c r="J3202" s="32" t="n">
        <x:v>0</x:v>
      </x:c>
      <x:c r="K3202" s="30" t="n">
        <x:v>45587</x:v>
      </x:c>
      <x:c r="L3202" s="24" t="str">
        <x:v>입금</x:v>
      </x:c>
      <x:c r="M3202" s="31" t="n">
        <x:f>IF(AND(N3202="미수",G3202&lt;&gt;"",TODAY()&gt;G3202),TODAY()-G3202,0)</x:f>
        <x:v>0</x:v>
      </x:c>
      <x:c r="N3202" s="24" t="str">
        <x:f>IF(J3202&gt;0,"미수",IF(AND(H3202&gt;0,I3202&gt;=H3202),"완납","미확인"))</x:f>
        <x:v>완납</x:v>
      </x:c>
      <x:c r="O3202" s="31" t="n">
        <x:v>38</x:v>
      </x:c>
    </x:row>
    <x:row r="3203" ht="17.25" customHeight="1">
      <x:c r="A3203" s="24" t="str">
        <x:v>PR-B-136저9431-202409</x:v>
      </x:c>
      <x:c r="B3203" s="24" t="str">
        <x:v>프라임구독</x:v>
      </x:c>
      <x:c r="C3203" s="24" t="str">
        <x:v>PR-C-136저9431-1-20240307-36</x:v>
      </x:c>
      <x:c r="D3203" s="24" t="str">
        <x:v>136저9431</x:v>
      </x:c>
      <x:c r="E3203" s="24" t="str">
        <x:v>김태윤</x:v>
      </x:c>
      <x:c r="F3203" s="24" t="str">
        <x:v>2024-09</x:v>
      </x:c>
      <x:c r="G3203" s="30" t="n">
        <x:v>45550</x:v>
      </x:c>
      <x:c r="H3203" s="32" t="n">
        <x:v>627000</x:v>
      </x:c>
      <x:c r="I3203" s="32" t="n">
        <x:v>627000</x:v>
      </x:c>
      <x:c r="J3203" s="32" t="n">
        <x:v>0</x:v>
      </x:c>
      <x:c r="K3203" s="30" t="n">
        <x:v>45548</x:v>
      </x:c>
      <x:c r="L3203" s="24" t="str">
        <x:v>입금</x:v>
      </x:c>
      <x:c r="M3203" s="31" t="n">
        <x:f>IF(AND(N3203="미수",G3203&lt;&gt;"",TODAY()&gt;G3203),TODAY()-G3203,0)</x:f>
        <x:v>0</x:v>
      </x:c>
      <x:c r="N3203" s="24" t="str">
        <x:f>IF(J3203&gt;0,"미수",IF(AND(H3203&gt;0,I3203&gt;=H3203),"완납","미확인"))</x:f>
        <x:v>완납</x:v>
      </x:c>
      <x:c r="O3203" s="31" t="n">
        <x:v>38</x:v>
      </x:c>
    </x:row>
    <x:row r="3204" ht="17.25" customHeight="1">
      <x:c r="A3204" s="24" t="str">
        <x:v>PR-B-136저9431-202408</x:v>
      </x:c>
      <x:c r="B3204" s="24" t="str">
        <x:v>프라임구독</x:v>
      </x:c>
      <x:c r="C3204" s="24" t="str">
        <x:v>PR-C-136저9431-1-20240307-36</x:v>
      </x:c>
      <x:c r="D3204" s="24" t="str">
        <x:v>136저9431</x:v>
      </x:c>
      <x:c r="E3204" s="24" t="str">
        <x:v>김태윤</x:v>
      </x:c>
      <x:c r="F3204" s="24" t="str">
        <x:v>2024-08</x:v>
      </x:c>
      <x:c r="G3204" s="30" t="n">
        <x:v>45519</x:v>
      </x:c>
      <x:c r="H3204" s="32" t="n">
        <x:v>627000</x:v>
      </x:c>
      <x:c r="I3204" s="32" t="n">
        <x:v>627000</x:v>
      </x:c>
      <x:c r="J3204" s="32" t="n">
        <x:v>0</x:v>
      </x:c>
      <x:c r="K3204" s="30" t="n">
        <x:v>45524</x:v>
      </x:c>
      <x:c r="L3204" s="24" t="str">
        <x:v>입금</x:v>
      </x:c>
      <x:c r="M3204" s="31" t="n">
        <x:f>IF(AND(N3204="미수",G3204&lt;&gt;"",TODAY()&gt;G3204),TODAY()-G3204,0)</x:f>
        <x:v>0</x:v>
      </x:c>
      <x:c r="N3204" s="24" t="str">
        <x:f>IF(J3204&gt;0,"미수",IF(AND(H3204&gt;0,I3204&gt;=H3204),"완납","미확인"))</x:f>
        <x:v>완납</x:v>
      </x:c>
      <x:c r="O3204" s="31" t="n">
        <x:v>38</x:v>
      </x:c>
    </x:row>
    <x:row r="3205" ht="17.25" customHeight="1">
      <x:c r="A3205" s="24" t="str">
        <x:v>PR-B-136저9431-202407</x:v>
      </x:c>
      <x:c r="B3205" s="24" t="str">
        <x:v>프라임구독</x:v>
      </x:c>
      <x:c r="C3205" s="24" t="str">
        <x:v>PR-C-136저9431-1-20240307-36</x:v>
      </x:c>
      <x:c r="D3205" s="24" t="str">
        <x:v>136저9431</x:v>
      </x:c>
      <x:c r="E3205" s="24" t="str">
        <x:v>김태윤</x:v>
      </x:c>
      <x:c r="F3205" s="24" t="str">
        <x:v>2024-07</x:v>
      </x:c>
      <x:c r="G3205" s="30" t="n">
        <x:v>45488</x:v>
      </x:c>
      <x:c r="H3205" s="32" t="n">
        <x:v>627000</x:v>
      </x:c>
      <x:c r="I3205" s="32" t="n">
        <x:v>627000</x:v>
      </x:c>
      <x:c r="J3205" s="32" t="n">
        <x:v>0</x:v>
      </x:c>
      <x:c r="K3205" s="30" t="n">
        <x:v>45494</x:v>
      </x:c>
      <x:c r="L3205" s="24" t="str">
        <x:v>입금</x:v>
      </x:c>
      <x:c r="M3205" s="31" t="n">
        <x:f>IF(AND(N3205="미수",G3205&lt;&gt;"",TODAY()&gt;G3205),TODAY()-G3205,0)</x:f>
        <x:v>0</x:v>
      </x:c>
      <x:c r="N3205" s="24" t="str">
        <x:f>IF(J3205&gt;0,"미수",IF(AND(H3205&gt;0,I3205&gt;=H3205),"완납","미확인"))</x:f>
        <x:v>완납</x:v>
      </x:c>
      <x:c r="O3205" s="31" t="n">
        <x:v>38</x:v>
      </x:c>
    </x:row>
    <x:row r="3206" ht="17.25" customHeight="1">
      <x:c r="A3206" s="24" t="str">
        <x:v>PR-B-136저9431-202406</x:v>
      </x:c>
      <x:c r="B3206" s="24" t="str">
        <x:v>프라임구독</x:v>
      </x:c>
      <x:c r="C3206" s="24" t="str">
        <x:v>PR-C-136저9431-1-20240307-36</x:v>
      </x:c>
      <x:c r="D3206" s="24" t="str">
        <x:v>136저9431</x:v>
      </x:c>
      <x:c r="E3206" s="24" t="str">
        <x:v>김태윤</x:v>
      </x:c>
      <x:c r="F3206" s="24" t="str">
        <x:v>2024-06</x:v>
      </x:c>
      <x:c r="G3206" s="30" t="n">
        <x:v>45458</x:v>
      </x:c>
      <x:c r="H3206" s="32" t="n">
        <x:v>627000</x:v>
      </x:c>
      <x:c r="I3206" s="32" t="n">
        <x:v>627000</x:v>
      </x:c>
      <x:c r="J3206" s="32" t="n">
        <x:v>0</x:v>
      </x:c>
      <x:c r="K3206" s="30" t="n">
        <x:v>45457</x:v>
      </x:c>
      <x:c r="L3206" s="24" t="str"/>
      <x:c r="M3206" s="31" t="n">
        <x:f>IF(AND(N3206="미수",G3206&lt;&gt;"",TODAY()&gt;G3206),TODAY()-G3206,0)</x:f>
        <x:v>0</x:v>
      </x:c>
      <x:c r="N3206" s="24" t="str">
        <x:f>IF(J3206&gt;0,"미수",IF(AND(H3206&gt;0,I3206&gt;=H3206),"완납","미확인"))</x:f>
        <x:v>완납</x:v>
      </x:c>
      <x:c r="O3206" s="31" t="n">
        <x:v>38</x:v>
      </x:c>
    </x:row>
    <x:row r="3207" ht="17.25" customHeight="1">
      <x:c r="A3207" s="24" t="str">
        <x:v>PR-B-136저9431-202405</x:v>
      </x:c>
      <x:c r="B3207" s="24" t="str">
        <x:v>프라임구독</x:v>
      </x:c>
      <x:c r="C3207" s="24" t="str">
        <x:v>PR-C-136저9431-1-20240307-36</x:v>
      </x:c>
      <x:c r="D3207" s="24" t="str">
        <x:v>136저9431</x:v>
      </x:c>
      <x:c r="E3207" s="24" t="str">
        <x:v>김태윤</x:v>
      </x:c>
      <x:c r="F3207" s="24" t="str">
        <x:v>2024-05</x:v>
      </x:c>
      <x:c r="G3207" s="30" t="n">
        <x:v>45427</x:v>
      </x:c>
      <x:c r="H3207" s="32" t="n">
        <x:v>836000</x:v>
      </x:c>
      <x:c r="I3207" s="32" t="n">
        <x:v>836000</x:v>
      </x:c>
      <x:c r="J3207" s="32" t="n">
        <x:v>0</x:v>
      </x:c>
      <x:c r="K3207" s="30" t="n">
        <x:v>45442</x:v>
      </x:c>
      <x:c r="L3207" s="24" t="str"/>
      <x:c r="M3207" s="31" t="n">
        <x:f>IF(AND(N3207="미수",G3207&lt;&gt;"",TODAY()&gt;G3207),TODAY()-G3207,0)</x:f>
        <x:v>0</x:v>
      </x:c>
      <x:c r="N3207" s="24" t="str">
        <x:f>IF(J3207&gt;0,"미수",IF(AND(H3207&gt;0,I3207&gt;=H3207),"완납","미확인"))</x:f>
        <x:v>완납</x:v>
      </x:c>
      <x:c r="O3207" s="31" t="n">
        <x:v>38</x:v>
      </x:c>
    </x:row>
    <x:row r="3208" ht="17.25" customHeight="1">
      <x:c r="A3208" s="24" t="str">
        <x:v>PR-B-236보1364-202608</x:v>
      </x:c>
      <x:c r="B3208" s="24" t="str">
        <x:v>프라임구독</x:v>
      </x:c>
      <x:c r="C3208" s="24" t="str">
        <x:v>PR-C-236보1364-1-20240313-85</x:v>
      </x:c>
      <x:c r="D3208" s="24" t="str">
        <x:v>236보1364</x:v>
      </x:c>
      <x:c r="E3208" s="24" t="str">
        <x:v>조영훈b</x:v>
      </x:c>
      <x:c r="F3208" s="24" t="str">
        <x:v>2026-08</x:v>
      </x:c>
      <x:c r="G3208" s="30" t="n">
        <x:v>46259</x:v>
      </x:c>
      <x:c r="H3208" s="32" t="n">
        <x:v>399000</x:v>
      </x:c>
      <x:c r="I3208" s="32"/>
      <x:c r="J3208" s="32" t="n">
        <x:v>1077280</x:v>
      </x:c>
      <x:c r="K3208" s="30"/>
      <x:c r="L3208" s="24" t="str"/>
      <x:c r="M3208" s="31" t="n">
        <x:f>IF(AND(N3208="미수",G3208&lt;&gt;"",TODAY()&gt;G3208),TODAY()-G3208,0)</x:f>
        <x:v>0</x:v>
      </x:c>
      <x:c r="N3208" s="24" t="str">
        <x:f>IF(J3208&gt;0,"미수",IF(AND(H3208&gt;0,I3208&gt;=H3208),"완납","미확인"))</x:f>
        <x:v>미수</x:v>
      </x:c>
      <x:c r="O3208" s="31" t="n">
        <x:v>39</x:v>
      </x:c>
    </x:row>
    <x:row r="3209" ht="17.25" customHeight="1">
      <x:c r="A3209" s="24" t="str">
        <x:v>PR-B-236보1364-202607</x:v>
      </x:c>
      <x:c r="B3209" s="24" t="str">
        <x:v>프라임구독</x:v>
      </x:c>
      <x:c r="C3209" s="24" t="str">
        <x:v>PR-C-236보1364-1-20240313-85</x:v>
      </x:c>
      <x:c r="D3209" s="24" t="str">
        <x:v>236보1364</x:v>
      </x:c>
      <x:c r="E3209" s="24" t="str">
        <x:v>조영훈b</x:v>
      </x:c>
      <x:c r="F3209" s="24" t="str">
        <x:v>2026-07</x:v>
      </x:c>
      <x:c r="G3209" s="30" t="n">
        <x:v>46228</x:v>
      </x:c>
      <x:c r="H3209" s="32" t="n">
        <x:v>399000</x:v>
      </x:c>
      <x:c r="I3209" s="32" t="n">
        <x:v>399900</x:v>
      </x:c>
      <x:c r="J3209" s="32" t="n">
        <x:v>678280</x:v>
      </x:c>
      <x:c r="K3209" s="30" t="n">
        <x:v>46213</x:v>
      </x:c>
      <x:c r="L3209" s="24" t="str">
        <x:v>입금</x:v>
      </x:c>
      <x:c r="M3209" s="31" t="n">
        <x:f>IF(AND(N3209="미수",G3209&lt;&gt;"",TODAY()&gt;G3209),TODAY()-G3209,0)</x:f>
        <x:v>21</x:v>
      </x:c>
      <x:c r="N3209" s="24" t="str">
        <x:f>IF(J3209&gt;0,"미수",IF(AND(H3209&gt;0,I3209&gt;=H3209),"완납","미확인"))</x:f>
        <x:v>미수</x:v>
      </x:c>
      <x:c r="O3209" s="31" t="n">
        <x:v>39</x:v>
      </x:c>
    </x:row>
    <x:row r="3210" ht="17.25" customHeight="1">
      <x:c r="A3210" s="24" t="str">
        <x:v>PR-B-236보1364-202606</x:v>
      </x:c>
      <x:c r="B3210" s="24" t="str">
        <x:v>프라임구독</x:v>
      </x:c>
      <x:c r="C3210" s="24" t="str">
        <x:v>PR-C-236보1364-1-20240313-85</x:v>
      </x:c>
      <x:c r="D3210" s="24" t="str">
        <x:v>236보1364</x:v>
      </x:c>
      <x:c r="E3210" s="24" t="str">
        <x:v>조영훈b</x:v>
      </x:c>
      <x:c r="F3210" s="24" t="str">
        <x:v>2026-06</x:v>
      </x:c>
      <x:c r="G3210" s="30" t="n">
        <x:v>46198</x:v>
      </x:c>
      <x:c r="H3210" s="32" t="n">
        <x:v>399000</x:v>
      </x:c>
      <x:c r="I3210" s="32" t="n">
        <x:v>399900</x:v>
      </x:c>
      <x:c r="J3210" s="32" t="n">
        <x:v>679180</x:v>
      </x:c>
      <x:c r="K3210" s="30" t="n">
        <x:v>46183</x:v>
      </x:c>
      <x:c r="L3210" s="24" t="str">
        <x:v>입금</x:v>
      </x:c>
      <x:c r="M3210" s="31" t="n">
        <x:f>IF(AND(N3210="미수",G3210&lt;&gt;"",TODAY()&gt;G3210),TODAY()-G3210,0)</x:f>
        <x:v>51</x:v>
      </x:c>
      <x:c r="N3210" s="24" t="str">
        <x:f>IF(J3210&gt;0,"미수",IF(AND(H3210&gt;0,I3210&gt;=H3210),"완납","미확인"))</x:f>
        <x:v>미수</x:v>
      </x:c>
      <x:c r="O3210" s="31" t="n">
        <x:v>39</x:v>
      </x:c>
    </x:row>
    <x:row r="3211" ht="17.25" customHeight="1">
      <x:c r="A3211" s="24" t="str">
        <x:v>PR-B-236보1364-202605</x:v>
      </x:c>
      <x:c r="B3211" s="24" t="str">
        <x:v>프라임구독</x:v>
      </x:c>
      <x:c r="C3211" s="24" t="str">
        <x:v>PR-C-236보1364-1-20240313-85</x:v>
      </x:c>
      <x:c r="D3211" s="24" t="str">
        <x:v>236보1364</x:v>
      </x:c>
      <x:c r="E3211" s="24" t="str">
        <x:v>조영훈b</x:v>
      </x:c>
      <x:c r="F3211" s="24" t="str">
        <x:v>2026-05</x:v>
      </x:c>
      <x:c r="G3211" s="30" t="n">
        <x:v>46167</x:v>
      </x:c>
      <x:c r="H3211" s="32" t="n">
        <x:v>399000</x:v>
      </x:c>
      <x:c r="I3211" s="32" t="n">
        <x:v>399900</x:v>
      </x:c>
      <x:c r="J3211" s="32" t="n">
        <x:v>680080</x:v>
      </x:c>
      <x:c r="K3211" s="30" t="n">
        <x:v>46150</x:v>
      </x:c>
      <x:c r="L3211" s="24" t="str">
        <x:v>입금</x:v>
      </x:c>
      <x:c r="M3211" s="31" t="n">
        <x:f>IF(AND(N3211="미수",G3211&lt;&gt;"",TODAY()&gt;G3211),TODAY()-G3211,0)</x:f>
        <x:v>82</x:v>
      </x:c>
      <x:c r="N3211" s="24" t="str">
        <x:f>IF(J3211&gt;0,"미수",IF(AND(H3211&gt;0,I3211&gt;=H3211),"완납","미확인"))</x:f>
        <x:v>미수</x:v>
      </x:c>
      <x:c r="O3211" s="31" t="n">
        <x:v>39</x:v>
      </x:c>
    </x:row>
    <x:row r="3212" ht="17.25" customHeight="1">
      <x:c r="A3212" s="24" t="str">
        <x:v>PR-B-236보1364-202604</x:v>
      </x:c>
      <x:c r="B3212" s="24" t="str">
        <x:v>프라임구독</x:v>
      </x:c>
      <x:c r="C3212" s="24" t="str">
        <x:v>PR-C-236보1364-1-20240313-85</x:v>
      </x:c>
      <x:c r="D3212" s="24" t="str">
        <x:v>236보1364</x:v>
      </x:c>
      <x:c r="E3212" s="24" t="str">
        <x:v>조영훈b</x:v>
      </x:c>
      <x:c r="F3212" s="24" t="str">
        <x:v>2026-04</x:v>
      </x:c>
      <x:c r="G3212" s="30" t="n">
        <x:v>46137</x:v>
      </x:c>
      <x:c r="H3212" s="32" t="n">
        <x:v>399000</x:v>
      </x:c>
      <x:c r="I3212" s="32" t="n">
        <x:v>399900</x:v>
      </x:c>
      <x:c r="J3212" s="32" t="n">
        <x:v>680980</x:v>
      </x:c>
      <x:c r="K3212" s="30" t="n">
        <x:v>46122</x:v>
      </x:c>
      <x:c r="L3212" s="24" t="str">
        <x:v>입금</x:v>
      </x:c>
      <x:c r="M3212" s="31" t="n">
        <x:f>IF(AND(N3212="미수",G3212&lt;&gt;"",TODAY()&gt;G3212),TODAY()-G3212,0)</x:f>
        <x:v>112</x:v>
      </x:c>
      <x:c r="N3212" s="24" t="str">
        <x:f>IF(J3212&gt;0,"미수",IF(AND(H3212&gt;0,I3212&gt;=H3212),"완납","미확인"))</x:f>
        <x:v>미수</x:v>
      </x:c>
      <x:c r="O3212" s="31" t="n">
        <x:v>39</x:v>
      </x:c>
    </x:row>
    <x:row r="3213" ht="17.25" customHeight="1">
      <x:c r="A3213" s="24" t="str">
        <x:v>PR-B-236보1364-202603</x:v>
      </x:c>
      <x:c r="B3213" s="24" t="str">
        <x:v>프라임구독</x:v>
      </x:c>
      <x:c r="C3213" s="24" t="str">
        <x:v>PR-C-236보1364-1-20240313-85</x:v>
      </x:c>
      <x:c r="D3213" s="24" t="str">
        <x:v>236보1364</x:v>
      </x:c>
      <x:c r="E3213" s="24" t="str">
        <x:v>조영훈b</x:v>
      </x:c>
      <x:c r="F3213" s="24" t="str">
        <x:v>2026-03</x:v>
      </x:c>
      <x:c r="G3213" s="30" t="n">
        <x:v>46106</x:v>
      </x:c>
      <x:c r="H3213" s="32" t="n">
        <x:v>399000</x:v>
      </x:c>
      <x:c r="I3213" s="32" t="n">
        <x:v>399900</x:v>
      </x:c>
      <x:c r="J3213" s="32" t="n">
        <x:v>681880</x:v>
      </x:c>
      <x:c r="K3213" s="30" t="n">
        <x:v>46091</x:v>
      </x:c>
      <x:c r="L3213" s="24" t="str">
        <x:v>입금</x:v>
      </x:c>
      <x:c r="M3213" s="31" t="n">
        <x:f>IF(AND(N3213="미수",G3213&lt;&gt;"",TODAY()&gt;G3213),TODAY()-G3213,0)</x:f>
        <x:v>143</x:v>
      </x:c>
      <x:c r="N3213" s="24" t="str">
        <x:f>IF(J3213&gt;0,"미수",IF(AND(H3213&gt;0,I3213&gt;=H3213),"완납","미확인"))</x:f>
        <x:v>미수</x:v>
      </x:c>
      <x:c r="O3213" s="31" t="n">
        <x:v>39</x:v>
      </x:c>
    </x:row>
    <x:row r="3214" ht="17.25" customHeight="1">
      <x:c r="A3214" s="24" t="str">
        <x:v>PR-B-236보1364-202602</x:v>
      </x:c>
      <x:c r="B3214" s="24" t="str">
        <x:v>프라임구독</x:v>
      </x:c>
      <x:c r="C3214" s="24" t="str">
        <x:v>PR-C-236보1364-1-20240313-85</x:v>
      </x:c>
      <x:c r="D3214" s="24" t="str">
        <x:v>236보1364</x:v>
      </x:c>
      <x:c r="E3214" s="24" t="str">
        <x:v>조영훈b</x:v>
      </x:c>
      <x:c r="F3214" s="24" t="str">
        <x:v>2026-02</x:v>
      </x:c>
      <x:c r="G3214" s="30" t="n">
        <x:v>46078</x:v>
      </x:c>
      <x:c r="H3214" s="32" t="n">
        <x:v>399000</x:v>
      </x:c>
      <x:c r="I3214" s="32" t="n">
        <x:v>399000</x:v>
      </x:c>
      <x:c r="J3214" s="32" t="n">
        <x:v>682780</x:v>
      </x:c>
      <x:c r="K3214" s="30" t="n">
        <x:v>46058</x:v>
      </x:c>
      <x:c r="L3214" s="24" t="str">
        <x:v>입금</x:v>
      </x:c>
      <x:c r="M3214" s="31" t="n">
        <x:f>IF(AND(N3214="미수",G3214&lt;&gt;"",TODAY()&gt;G3214),TODAY()-G3214,0)</x:f>
        <x:v>171</x:v>
      </x:c>
      <x:c r="N3214" s="24" t="str">
        <x:f>IF(J3214&gt;0,"미수",IF(AND(H3214&gt;0,I3214&gt;=H3214),"완납","미확인"))</x:f>
        <x:v>미수</x:v>
      </x:c>
      <x:c r="O3214" s="31" t="n">
        <x:v>39</x:v>
      </x:c>
    </x:row>
    <x:row r="3215" ht="17.25" customHeight="1">
      <x:c r="A3215" s="24" t="str">
        <x:v>PR-B-236보1364-202601</x:v>
      </x:c>
      <x:c r="B3215" s="24" t="str">
        <x:v>프라임구독</x:v>
      </x:c>
      <x:c r="C3215" s="24" t="str">
        <x:v>PR-C-236보1364-1-20240313-85</x:v>
      </x:c>
      <x:c r="D3215" s="24" t="str">
        <x:v>236보1364</x:v>
      </x:c>
      <x:c r="E3215" s="24" t="str">
        <x:v>조영훈b</x:v>
      </x:c>
      <x:c r="F3215" s="24" t="str">
        <x:v>2026-01</x:v>
      </x:c>
      <x:c r="G3215" s="30" t="n">
        <x:v>46047</x:v>
      </x:c>
      <x:c r="H3215" s="32" t="n">
        <x:v>399000</x:v>
      </x:c>
      <x:c r="I3215" s="32" t="n">
        <x:v>399000</x:v>
      </x:c>
      <x:c r="J3215" s="32" t="n">
        <x:v>682780</x:v>
      </x:c>
      <x:c r="K3215" s="30" t="n">
        <x:v>46032</x:v>
      </x:c>
      <x:c r="L3215" s="24" t="str">
        <x:v>입금</x:v>
      </x:c>
      <x:c r="M3215" s="31" t="n">
        <x:f>IF(AND(N3215="미수",G3215&lt;&gt;"",TODAY()&gt;G3215),TODAY()-G3215,0)</x:f>
        <x:v>202</x:v>
      </x:c>
      <x:c r="N3215" s="24" t="str">
        <x:f>IF(J3215&gt;0,"미수",IF(AND(H3215&gt;0,I3215&gt;=H3215),"완납","미확인"))</x:f>
        <x:v>미수</x:v>
      </x:c>
      <x:c r="O3215" s="31" t="n">
        <x:v>39</x:v>
      </x:c>
    </x:row>
    <x:row r="3216" ht="17.25" customHeight="1">
      <x:c r="A3216" s="24" t="str">
        <x:v>PR-B-236보1364-202512</x:v>
      </x:c>
      <x:c r="B3216" s="24" t="str">
        <x:v>프라임구독</x:v>
      </x:c>
      <x:c r="C3216" s="24" t="str">
        <x:v>PR-C-236보1364-1-20240313-85</x:v>
      </x:c>
      <x:c r="D3216" s="24" t="str">
        <x:v>236보1364</x:v>
      </x:c>
      <x:c r="E3216" s="24" t="str">
        <x:v>조영훈b</x:v>
      </x:c>
      <x:c r="F3216" s="24" t="str">
        <x:v>2025-12</x:v>
      </x:c>
      <x:c r="G3216" s="30" t="n">
        <x:v>46016</x:v>
      </x:c>
      <x:c r="H3216" s="32" t="n">
        <x:v>399000</x:v>
      </x:c>
      <x:c r="I3216" s="32" t="n">
        <x:v>399990</x:v>
      </x:c>
      <x:c r="J3216" s="32" t="n">
        <x:v>682780</x:v>
      </x:c>
      <x:c r="K3216" s="30" t="n">
        <x:v>46001</x:v>
      </x:c>
      <x:c r="L3216" s="24" t="str">
        <x:v>입금</x:v>
      </x:c>
      <x:c r="M3216" s="31" t="n">
        <x:f>IF(AND(N3216="미수",G3216&lt;&gt;"",TODAY()&gt;G3216),TODAY()-G3216,0)</x:f>
        <x:v>233</x:v>
      </x:c>
      <x:c r="N3216" s="24" t="str">
        <x:f>IF(J3216&gt;0,"미수",IF(AND(H3216&gt;0,I3216&gt;=H3216),"완납","미확인"))</x:f>
        <x:v>미수</x:v>
      </x:c>
      <x:c r="O3216" s="31" t="n">
        <x:v>39</x:v>
      </x:c>
    </x:row>
    <x:row r="3217" ht="17.25" customHeight="1">
      <x:c r="A3217" s="24" t="str">
        <x:v>PR-B-236보1364-202511</x:v>
      </x:c>
      <x:c r="B3217" s="24" t="str">
        <x:v>프라임구독</x:v>
      </x:c>
      <x:c r="C3217" s="24" t="str">
        <x:v>PR-C-236보1364-1-20240313-85</x:v>
      </x:c>
      <x:c r="D3217" s="24" t="str">
        <x:v>236보1364</x:v>
      </x:c>
      <x:c r="E3217" s="24" t="str">
        <x:v>조영훈b</x:v>
      </x:c>
      <x:c r="F3217" s="24" t="str">
        <x:v>2025-11</x:v>
      </x:c>
      <x:c r="G3217" s="30" t="n">
        <x:v>45986</x:v>
      </x:c>
      <x:c r="H3217" s="32" t="n">
        <x:v>399000</x:v>
      </x:c>
      <x:c r="I3217" s="32" t="n">
        <x:v>499900</x:v>
      </x:c>
      <x:c r="J3217" s="32" t="n">
        <x:v>683770</x:v>
      </x:c>
      <x:c r="K3217" s="30" t="n">
        <x:v>45971</x:v>
      </x:c>
      <x:c r="L3217" s="24" t="str">
        <x:v>입금</x:v>
      </x:c>
      <x:c r="M3217" s="31" t="n">
        <x:f>IF(AND(N3217="미수",G3217&lt;&gt;"",TODAY()&gt;G3217),TODAY()-G3217,0)</x:f>
        <x:v>263</x:v>
      </x:c>
      <x:c r="N3217" s="24" t="str">
        <x:f>IF(J3217&gt;0,"미수",IF(AND(H3217&gt;0,I3217&gt;=H3217),"완납","미확인"))</x:f>
        <x:v>미수</x:v>
      </x:c>
      <x:c r="O3217" s="31" t="n">
        <x:v>39</x:v>
      </x:c>
    </x:row>
    <x:row r="3218" ht="17.25" customHeight="1">
      <x:c r="A3218" s="24" t="str">
        <x:v>PR-B-236보1364-202510</x:v>
      </x:c>
      <x:c r="B3218" s="24" t="str">
        <x:v>프라임구독</x:v>
      </x:c>
      <x:c r="C3218" s="24" t="str">
        <x:v>PR-C-236보1364-1-20240313-85</x:v>
      </x:c>
      <x:c r="D3218" s="24" t="str">
        <x:v>236보1364</x:v>
      </x:c>
      <x:c r="E3218" s="24" t="str">
        <x:v>조영훈b</x:v>
      </x:c>
      <x:c r="F3218" s="24" t="str">
        <x:v>2025-10</x:v>
      </x:c>
      <x:c r="G3218" s="30" t="n">
        <x:v>45955</x:v>
      </x:c>
      <x:c r="H3218" s="32" t="n">
        <x:v>399000</x:v>
      </x:c>
      <x:c r="I3218" s="32" t="n">
        <x:v>399900</x:v>
      </x:c>
      <x:c r="J3218" s="32" t="n">
        <x:v>784670</x:v>
      </x:c>
      <x:c r="K3218" s="30" t="n">
        <x:v>45940</x:v>
      </x:c>
      <x:c r="L3218" s="24" t="str">
        <x:v>입금</x:v>
      </x:c>
      <x:c r="M3218" s="31" t="n">
        <x:f>IF(AND(N3218="미수",G3218&lt;&gt;"",TODAY()&gt;G3218),TODAY()-G3218,0)</x:f>
        <x:v>294</x:v>
      </x:c>
      <x:c r="N3218" s="24" t="str">
        <x:f>IF(J3218&gt;0,"미수",IF(AND(H3218&gt;0,I3218&gt;=H3218),"완납","미확인"))</x:f>
        <x:v>미수</x:v>
      </x:c>
      <x:c r="O3218" s="31" t="n">
        <x:v>39</x:v>
      </x:c>
    </x:row>
    <x:row r="3219" ht="17.25" customHeight="1">
      <x:c r="A3219" s="24" t="str">
        <x:v>PR-B-236보1364-202509</x:v>
      </x:c>
      <x:c r="B3219" s="24" t="str">
        <x:v>프라임구독</x:v>
      </x:c>
      <x:c r="C3219" s="24" t="str">
        <x:v>PR-C-236보1364-1-20240313-85</x:v>
      </x:c>
      <x:c r="D3219" s="24" t="str">
        <x:v>236보1364</x:v>
      </x:c>
      <x:c r="E3219" s="24" t="str">
        <x:v>조영훈b</x:v>
      </x:c>
      <x:c r="F3219" s="24" t="str">
        <x:v>2025-09</x:v>
      </x:c>
      <x:c r="G3219" s="30" t="n">
        <x:v>45925</x:v>
      </x:c>
      <x:c r="H3219" s="32" t="n">
        <x:v>399000</x:v>
      </x:c>
      <x:c r="I3219" s="32" t="n">
        <x:v>299900</x:v>
      </x:c>
      <x:c r="J3219" s="32" t="n">
        <x:v>785570</x:v>
      </x:c>
      <x:c r="K3219" s="30" t="n">
        <x:v>45910</x:v>
      </x:c>
      <x:c r="L3219" s="24" t="str">
        <x:v>입금</x:v>
      </x:c>
      <x:c r="M3219" s="31" t="n">
        <x:f>IF(AND(N3219="미수",G3219&lt;&gt;"",TODAY()&gt;G3219),TODAY()-G3219,0)</x:f>
        <x:v>324</x:v>
      </x:c>
      <x:c r="N3219" s="24" t="str">
        <x:f>IF(J3219&gt;0,"미수",IF(AND(H3219&gt;0,I3219&gt;=H3219),"완납","미확인"))</x:f>
        <x:v>미수</x:v>
      </x:c>
      <x:c r="O3219" s="31" t="n">
        <x:v>39</x:v>
      </x:c>
    </x:row>
    <x:row r="3220" ht="17.25" customHeight="1">
      <x:c r="A3220" s="24" t="str">
        <x:v>PR-B-236보1364-202508</x:v>
      </x:c>
      <x:c r="B3220" s="24" t="str">
        <x:v>프라임구독</x:v>
      </x:c>
      <x:c r="C3220" s="24" t="str">
        <x:v>PR-C-236보1364-1-20240313-85</x:v>
      </x:c>
      <x:c r="D3220" s="24" t="str">
        <x:v>236보1364</x:v>
      </x:c>
      <x:c r="E3220" s="24" t="str">
        <x:v>조영훈b</x:v>
      </x:c>
      <x:c r="F3220" s="24" t="str">
        <x:v>2025-08</x:v>
      </x:c>
      <x:c r="G3220" s="30" t="n">
        <x:v>45894</x:v>
      </x:c>
      <x:c r="H3220" s="32" t="n">
        <x:v>399000</x:v>
      </x:c>
      <x:c r="I3220" s="32" t="n">
        <x:v>100000</x:v>
      </x:c>
      <x:c r="J3220" s="32" t="n">
        <x:v>686470</x:v>
      </x:c>
      <x:c r="K3220" s="30" t="n">
        <x:v>45898</x:v>
      </x:c>
      <x:c r="L3220" s="24" t="str">
        <x:v>입금</x:v>
      </x:c>
      <x:c r="M3220" s="31" t="n">
        <x:f>IF(AND(N3220="미수",G3220&lt;&gt;"",TODAY()&gt;G3220),TODAY()-G3220,0)</x:f>
        <x:v>355</x:v>
      </x:c>
      <x:c r="N3220" s="24" t="str">
        <x:f>IF(J3220&gt;0,"미수",IF(AND(H3220&gt;0,I3220&gt;=H3220),"완납","미확인"))</x:f>
        <x:v>미수</x:v>
      </x:c>
      <x:c r="O3220" s="31" t="n">
        <x:v>39</x:v>
      </x:c>
    </x:row>
    <x:row r="3221" ht="17.25" customHeight="1">
      <x:c r="A3221" s="24" t="str">
        <x:v>PR-B-236보1364-202507</x:v>
      </x:c>
      <x:c r="B3221" s="24" t="str">
        <x:v>프라임구독</x:v>
      </x:c>
      <x:c r="C3221" s="24" t="str">
        <x:v>PR-C-236보1364-1-20240313-85</x:v>
      </x:c>
      <x:c r="D3221" s="24" t="str">
        <x:v>236보1364</x:v>
      </x:c>
      <x:c r="E3221" s="24" t="str">
        <x:v>조영훈b</x:v>
      </x:c>
      <x:c r="F3221" s="24" t="str">
        <x:v>2025-07</x:v>
      </x:c>
      <x:c r="G3221" s="30" t="n">
        <x:v>45863</x:v>
      </x:c>
      <x:c r="H3221" s="32" t="n">
        <x:v>399000</x:v>
      </x:c>
      <x:c r="I3221" s="32" t="n">
        <x:v>399990</x:v>
      </x:c>
      <x:c r="J3221" s="32" t="n">
        <x:v>387470</x:v>
      </x:c>
      <x:c r="K3221" s="30" t="n">
        <x:v>45863</x:v>
      </x:c>
      <x:c r="L3221" s="24" t="str">
        <x:v>입금</x:v>
      </x:c>
      <x:c r="M3221" s="31" t="n">
        <x:f>IF(AND(N3221="미수",G3221&lt;&gt;"",TODAY()&gt;G3221),TODAY()-G3221,0)</x:f>
        <x:v>386</x:v>
      </x:c>
      <x:c r="N3221" s="24" t="str">
        <x:f>IF(J3221&gt;0,"미수",IF(AND(H3221&gt;0,I3221&gt;=H3221),"완납","미확인"))</x:f>
        <x:v>미수</x:v>
      </x:c>
      <x:c r="O3221" s="31" t="n">
        <x:v>39</x:v>
      </x:c>
    </x:row>
    <x:row r="3222" ht="17.25" customHeight="1">
      <x:c r="A3222" s="24" t="str">
        <x:v>PR-B-236보1364-202506</x:v>
      </x:c>
      <x:c r="B3222" s="24" t="str">
        <x:v>프라임구독</x:v>
      </x:c>
      <x:c r="C3222" s="24" t="str">
        <x:v>PR-C-236보1364-1-20240313-85</x:v>
      </x:c>
      <x:c r="D3222" s="24" t="str">
        <x:v>236보1364</x:v>
      </x:c>
      <x:c r="E3222" s="24" t="str">
        <x:v>조영훈b</x:v>
      </x:c>
      <x:c r="F3222" s="24" t="str">
        <x:v>2025-06</x:v>
      </x:c>
      <x:c r="G3222" s="30" t="n">
        <x:v>45833</x:v>
      </x:c>
      <x:c r="H3222" s="32" t="n">
        <x:v>399000</x:v>
      </x:c>
      <x:c r="I3222" s="32" t="n">
        <x:v>399990</x:v>
      </x:c>
      <x:c r="J3222" s="32" t="n">
        <x:v>388460</x:v>
      </x:c>
      <x:c r="K3222" s="30" t="n">
        <x:v>45818</x:v>
      </x:c>
      <x:c r="L3222" s="24" t="str">
        <x:v>입금</x:v>
      </x:c>
      <x:c r="M3222" s="31" t="n">
        <x:f>IF(AND(N3222="미수",G3222&lt;&gt;"",TODAY()&gt;G3222),TODAY()-G3222,0)</x:f>
        <x:v>416</x:v>
      </x:c>
      <x:c r="N3222" s="24" t="str">
        <x:f>IF(J3222&gt;0,"미수",IF(AND(H3222&gt;0,I3222&gt;=H3222),"완납","미확인"))</x:f>
        <x:v>미수</x:v>
      </x:c>
      <x:c r="O3222" s="31" t="n">
        <x:v>39</x:v>
      </x:c>
    </x:row>
    <x:row r="3223" ht="17.25" customHeight="1">
      <x:c r="A3223" s="24" t="str">
        <x:v>PR-B-236보1364-202505</x:v>
      </x:c>
      <x:c r="B3223" s="24" t="str">
        <x:v>프라임구독</x:v>
      </x:c>
      <x:c r="C3223" s="24" t="str">
        <x:v>PR-C-236보1364-1-20240313-85</x:v>
      </x:c>
      <x:c r="D3223" s="24" t="str">
        <x:v>236보1364</x:v>
      </x:c>
      <x:c r="E3223" s="24" t="str">
        <x:v>조영훈b</x:v>
      </x:c>
      <x:c r="F3223" s="24" t="str">
        <x:v>2025-05</x:v>
      </x:c>
      <x:c r="G3223" s="30" t="n">
        <x:v>45802</x:v>
      </x:c>
      <x:c r="H3223" s="32" t="n">
        <x:v>399000</x:v>
      </x:c>
      <x:c r="I3223" s="32" t="n">
        <x:v>399000</x:v>
      </x:c>
      <x:c r="J3223" s="32" t="n">
        <x:v>389450</x:v>
      </x:c>
      <x:c r="K3223" s="30" t="n">
        <x:v>45807</x:v>
      </x:c>
      <x:c r="L3223" s="24" t="str">
        <x:v>입금</x:v>
      </x:c>
      <x:c r="M3223" s="31" t="n">
        <x:f>IF(AND(N3223="미수",G3223&lt;&gt;"",TODAY()&gt;G3223),TODAY()-G3223,0)</x:f>
        <x:v>447</x:v>
      </x:c>
      <x:c r="N3223" s="24" t="str">
        <x:f>IF(J3223&gt;0,"미수",IF(AND(H3223&gt;0,I3223&gt;=H3223),"완납","미확인"))</x:f>
        <x:v>미수</x:v>
      </x:c>
      <x:c r="O3223" s="31" t="n">
        <x:v>39</x:v>
      </x:c>
    </x:row>
    <x:row r="3224" ht="17.25" customHeight="1">
      <x:c r="A3224" s="24" t="str">
        <x:v>PR-B-236보1364-202504</x:v>
      </x:c>
      <x:c r="B3224" s="24" t="str">
        <x:v>프라임구독</x:v>
      </x:c>
      <x:c r="C3224" s="24" t="str">
        <x:v>PR-C-236보1364-1-20240313-85</x:v>
      </x:c>
      <x:c r="D3224" s="24" t="str">
        <x:v>236보1364</x:v>
      </x:c>
      <x:c r="E3224" s="24" t="str">
        <x:v>조영훈b</x:v>
      </x:c>
      <x:c r="F3224" s="24" t="str">
        <x:v>2025-04</x:v>
      </x:c>
      <x:c r="G3224" s="30" t="n">
        <x:v>45772</x:v>
      </x:c>
      <x:c r="H3224" s="32" t="n">
        <x:v>399000</x:v>
      </x:c>
      <x:c r="I3224" s="32"/>
      <x:c r="J3224" s="32" t="n">
        <x:v>389450</x:v>
      </x:c>
      <x:c r="K3224" s="30"/>
      <x:c r="L3224" s="24" t="str"/>
      <x:c r="M3224" s="31" t="n">
        <x:f>IF(AND(N3224="미수",G3224&lt;&gt;"",TODAY()&gt;G3224),TODAY()-G3224,0)</x:f>
        <x:v>477</x:v>
      </x:c>
      <x:c r="N3224" s="24" t="str">
        <x:f>IF(J3224&gt;0,"미수",IF(AND(H3224&gt;0,I3224&gt;=H3224),"완납","미확인"))</x:f>
        <x:v>미수</x:v>
      </x:c>
      <x:c r="O3224" s="31" t="n">
        <x:v>39</x:v>
      </x:c>
    </x:row>
    <x:row r="3225" ht="17.25" customHeight="1">
      <x:c r="A3225" s="24" t="str">
        <x:v>PR-B-236보1364-202503</x:v>
      </x:c>
      <x:c r="B3225" s="24" t="str">
        <x:v>프라임구독</x:v>
      </x:c>
      <x:c r="C3225" s="24" t="str">
        <x:v>PR-C-236보1364-1-20240313-85</x:v>
      </x:c>
      <x:c r="D3225" s="24" t="str">
        <x:v>236보1364</x:v>
      </x:c>
      <x:c r="E3225" s="24" t="str">
        <x:v>조영훈b</x:v>
      </x:c>
      <x:c r="F3225" s="24" t="str">
        <x:v>2025-03</x:v>
      </x:c>
      <x:c r="G3225" s="30" t="n">
        <x:v>45741</x:v>
      </x:c>
      <x:c r="H3225" s="32" t="n">
        <x:v>399000</x:v>
      </x:c>
      <x:c r="I3225" s="32" t="n">
        <x:v>399990</x:v>
      </x:c>
      <x:c r="J3225" s="32" t="n">
        <x:v>-9550</x:v>
      </x:c>
      <x:c r="K3225" s="30" t="n">
        <x:v>45736</x:v>
      </x:c>
      <x:c r="L3225" s="24" t="str">
        <x:v>입금</x:v>
      </x:c>
      <x:c r="M3225" s="31" t="n">
        <x:f>IF(AND(N3225="미수",G3225&lt;&gt;"",TODAY()&gt;G3225),TODAY()-G3225,0)</x:f>
        <x:v>0</x:v>
      </x:c>
      <x:c r="N3225" s="24" t="str">
        <x:f>IF(J3225&gt;0,"미수",IF(AND(H3225&gt;0,I3225&gt;=H3225),"완납","미확인"))</x:f>
        <x:v>완납</x:v>
      </x:c>
      <x:c r="O3225" s="31" t="n">
        <x:v>39</x:v>
      </x:c>
    </x:row>
    <x:row r="3226" ht="17.25" customHeight="1">
      <x:c r="A3226" s="24" t="str">
        <x:v>PR-B-236보1364-202502</x:v>
      </x:c>
      <x:c r="B3226" s="24" t="str">
        <x:v>프라임구독</x:v>
      </x:c>
      <x:c r="C3226" s="24" t="str">
        <x:v>PR-C-236보1364-1-20240313-85</x:v>
      </x:c>
      <x:c r="D3226" s="24" t="str">
        <x:v>236보1364</x:v>
      </x:c>
      <x:c r="E3226" s="24" t="str">
        <x:v>조영훈b</x:v>
      </x:c>
      <x:c r="F3226" s="24" t="str">
        <x:v>2025-02</x:v>
      </x:c>
      <x:c r="G3226" s="30" t="n">
        <x:v>45713</x:v>
      </x:c>
      <x:c r="H3226" s="32" t="n">
        <x:v>399000</x:v>
      </x:c>
      <x:c r="I3226" s="32" t="n">
        <x:v>399990</x:v>
      </x:c>
      <x:c r="J3226" s="32" t="n">
        <x:v>-8560</x:v>
      </x:c>
      <x:c r="K3226" s="30" t="n">
        <x:v>45708</x:v>
      </x:c>
      <x:c r="L3226" s="24" t="str">
        <x:v>입금</x:v>
      </x:c>
      <x:c r="M3226" s="31" t="n">
        <x:f>IF(AND(N3226="미수",G3226&lt;&gt;"",TODAY()&gt;G3226),TODAY()-G3226,0)</x:f>
        <x:v>0</x:v>
      </x:c>
      <x:c r="N3226" s="24" t="str">
        <x:f>IF(J3226&gt;0,"미수",IF(AND(H3226&gt;0,I3226&gt;=H3226),"완납","미확인"))</x:f>
        <x:v>완납</x:v>
      </x:c>
      <x:c r="O3226" s="31" t="n">
        <x:v>39</x:v>
      </x:c>
    </x:row>
    <x:row r="3227" ht="17.25" customHeight="1">
      <x:c r="A3227" s="24" t="str">
        <x:v>PR-B-236보1364-202501</x:v>
      </x:c>
      <x:c r="B3227" s="24" t="str">
        <x:v>프라임구독</x:v>
      </x:c>
      <x:c r="C3227" s="24" t="str">
        <x:v>PR-C-236보1364-1-20240313-85</x:v>
      </x:c>
      <x:c r="D3227" s="24" t="str">
        <x:v>236보1364</x:v>
      </x:c>
      <x:c r="E3227" s="24" t="str">
        <x:v>조영훈b</x:v>
      </x:c>
      <x:c r="F3227" s="24" t="str">
        <x:v>2025-01</x:v>
      </x:c>
      <x:c r="G3227" s="30" t="n">
        <x:v>45682</x:v>
      </x:c>
      <x:c r="H3227" s="32" t="n">
        <x:v>399000</x:v>
      </x:c>
      <x:c r="I3227" s="32" t="n">
        <x:v>399990</x:v>
      </x:c>
      <x:c r="J3227" s="32" t="n">
        <x:v>-7570</x:v>
      </x:c>
      <x:c r="K3227" s="30" t="n">
        <x:v>45677</x:v>
      </x:c>
      <x:c r="L3227" s="24" t="str">
        <x:v>입금</x:v>
      </x:c>
      <x:c r="M3227" s="31" t="n">
        <x:f>IF(AND(N3227="미수",G3227&lt;&gt;"",TODAY()&gt;G3227),TODAY()-G3227,0)</x:f>
        <x:v>0</x:v>
      </x:c>
      <x:c r="N3227" s="24" t="str">
        <x:f>IF(J3227&gt;0,"미수",IF(AND(H3227&gt;0,I3227&gt;=H3227),"완납","미확인"))</x:f>
        <x:v>완납</x:v>
      </x:c>
      <x:c r="O3227" s="31" t="n">
        <x:v>39</x:v>
      </x:c>
    </x:row>
    <x:row r="3228" ht="17.25" customHeight="1">
      <x:c r="A3228" s="24" t="str">
        <x:v>PR-B-236보1364-202412</x:v>
      </x:c>
      <x:c r="B3228" s="24" t="str">
        <x:v>프라임구독</x:v>
      </x:c>
      <x:c r="C3228" s="24" t="str">
        <x:v>PR-C-236보1364-1-20240313-85</x:v>
      </x:c>
      <x:c r="D3228" s="24" t="str">
        <x:v>236보1364</x:v>
      </x:c>
      <x:c r="E3228" s="24" t="str">
        <x:v>조영훈b</x:v>
      </x:c>
      <x:c r="F3228" s="24" t="str">
        <x:v>2024-12</x:v>
      </x:c>
      <x:c r="G3228" s="30" t="n">
        <x:v>45651</x:v>
      </x:c>
      <x:c r="H3228" s="32" t="n">
        <x:v>399000</x:v>
      </x:c>
      <x:c r="I3228" s="32" t="n">
        <x:v>399900</x:v>
      </x:c>
      <x:c r="J3228" s="32" t="n">
        <x:v>-6580</x:v>
      </x:c>
      <x:c r="K3228" s="30" t="n">
        <x:v>45646</x:v>
      </x:c>
      <x:c r="L3228" s="24" t="str">
        <x:v>입금</x:v>
      </x:c>
      <x:c r="M3228" s="31" t="n">
        <x:f>IF(AND(N3228="미수",G3228&lt;&gt;"",TODAY()&gt;G3228),TODAY()-G3228,0)</x:f>
        <x:v>0</x:v>
      </x:c>
      <x:c r="N3228" s="24" t="str">
        <x:f>IF(J3228&gt;0,"미수",IF(AND(H3228&gt;0,I3228&gt;=H3228),"완납","미확인"))</x:f>
        <x:v>완납</x:v>
      </x:c>
      <x:c r="O3228" s="31" t="n">
        <x:v>39</x:v>
      </x:c>
    </x:row>
    <x:row r="3229" ht="17.25" customHeight="1">
      <x:c r="A3229" s="24" t="str">
        <x:v>PR-B-236보1364-202411</x:v>
      </x:c>
      <x:c r="B3229" s="24" t="str">
        <x:v>프라임구독</x:v>
      </x:c>
      <x:c r="C3229" s="24" t="str">
        <x:v>PR-C-236보1364-1-20240313-85</x:v>
      </x:c>
      <x:c r="D3229" s="24" t="str">
        <x:v>236보1364</x:v>
      </x:c>
      <x:c r="E3229" s="24" t="str">
        <x:v>조영훈b</x:v>
      </x:c>
      <x:c r="F3229" s="24" t="str">
        <x:v>2024-11</x:v>
      </x:c>
      <x:c r="G3229" s="30" t="n">
        <x:v>45621</x:v>
      </x:c>
      <x:c r="H3229" s="32" t="n">
        <x:v>399000</x:v>
      </x:c>
      <x:c r="I3229" s="32" t="n">
        <x:v>399990</x:v>
      </x:c>
      <x:c r="J3229" s="32" t="n">
        <x:v>-5680</x:v>
      </x:c>
      <x:c r="K3229" s="30" t="n">
        <x:v>45616</x:v>
      </x:c>
      <x:c r="L3229" s="24" t="str">
        <x:v>입금</x:v>
      </x:c>
      <x:c r="M3229" s="31" t="n">
        <x:f>IF(AND(N3229="미수",G3229&lt;&gt;"",TODAY()&gt;G3229),TODAY()-G3229,0)</x:f>
        <x:v>0</x:v>
      </x:c>
      <x:c r="N3229" s="24" t="str">
        <x:f>IF(J3229&gt;0,"미수",IF(AND(H3229&gt;0,I3229&gt;=H3229),"완납","미확인"))</x:f>
        <x:v>완납</x:v>
      </x:c>
      <x:c r="O3229" s="31" t="n">
        <x:v>39</x:v>
      </x:c>
    </x:row>
    <x:row r="3230" ht="17.25" customHeight="1">
      <x:c r="A3230" s="24" t="str">
        <x:v>PR-B-236보1364-202410</x:v>
      </x:c>
      <x:c r="B3230" s="24" t="str">
        <x:v>프라임구독</x:v>
      </x:c>
      <x:c r="C3230" s="24" t="str">
        <x:v>PR-C-236보1364-1-20240313-85</x:v>
      </x:c>
      <x:c r="D3230" s="24" t="str">
        <x:v>236보1364</x:v>
      </x:c>
      <x:c r="E3230" s="24" t="str">
        <x:v>조영훈b</x:v>
      </x:c>
      <x:c r="F3230" s="24" t="str">
        <x:v>2024-10</x:v>
      </x:c>
      <x:c r="G3230" s="30" t="n">
        <x:v>45590</x:v>
      </x:c>
      <x:c r="H3230" s="32" t="n">
        <x:v>399000</x:v>
      </x:c>
      <x:c r="I3230" s="32" t="n">
        <x:v>399990</x:v>
      </x:c>
      <x:c r="J3230" s="32" t="n">
        <x:v>-4690</x:v>
      </x:c>
      <x:c r="K3230" s="30" t="n">
        <x:v>45586</x:v>
      </x:c>
      <x:c r="L3230" s="24" t="str">
        <x:v>입금</x:v>
      </x:c>
      <x:c r="M3230" s="31" t="n">
        <x:f>IF(AND(N3230="미수",G3230&lt;&gt;"",TODAY()&gt;G3230),TODAY()-G3230,0)</x:f>
        <x:v>0</x:v>
      </x:c>
      <x:c r="N3230" s="24" t="str">
        <x:f>IF(J3230&gt;0,"미수",IF(AND(H3230&gt;0,I3230&gt;=H3230),"완납","미확인"))</x:f>
        <x:v>완납</x:v>
      </x:c>
      <x:c r="O3230" s="31" t="n">
        <x:v>39</x:v>
      </x:c>
    </x:row>
    <x:row r="3231" ht="17.25" customHeight="1">
      <x:c r="A3231" s="24" t="str">
        <x:v>PR-B-236보1364-202409</x:v>
      </x:c>
      <x:c r="B3231" s="24" t="str">
        <x:v>프라임구독</x:v>
      </x:c>
      <x:c r="C3231" s="24" t="str">
        <x:v>PR-C-236보1364-1-20240313-85</x:v>
      </x:c>
      <x:c r="D3231" s="24" t="str">
        <x:v>236보1364</x:v>
      </x:c>
      <x:c r="E3231" s="24" t="str">
        <x:v>조영훈b</x:v>
      </x:c>
      <x:c r="F3231" s="24" t="str">
        <x:v>2024-09</x:v>
      </x:c>
      <x:c r="G3231" s="30" t="n">
        <x:v>45560</x:v>
      </x:c>
      <x:c r="H3231" s="32" t="n">
        <x:v>399000</x:v>
      </x:c>
      <x:c r="I3231" s="32" t="n">
        <x:v>399900</x:v>
      </x:c>
      <x:c r="J3231" s="32" t="n">
        <x:v>-3700</x:v>
      </x:c>
      <x:c r="K3231" s="30" t="n">
        <x:v>45555</x:v>
      </x:c>
      <x:c r="L3231" s="24" t="str">
        <x:v>입금</x:v>
      </x:c>
      <x:c r="M3231" s="31" t="n">
        <x:f>IF(AND(N3231="미수",G3231&lt;&gt;"",TODAY()&gt;G3231),TODAY()-G3231,0)</x:f>
        <x:v>0</x:v>
      </x:c>
      <x:c r="N3231" s="24" t="str">
        <x:f>IF(J3231&gt;0,"미수",IF(AND(H3231&gt;0,I3231&gt;=H3231),"완납","미확인"))</x:f>
        <x:v>완납</x:v>
      </x:c>
      <x:c r="O3231" s="31" t="n">
        <x:v>39</x:v>
      </x:c>
    </x:row>
    <x:row r="3232" ht="17.25" customHeight="1">
      <x:c r="A3232" s="24" t="str">
        <x:v>PR-B-236보1364-202408</x:v>
      </x:c>
      <x:c r="B3232" s="24" t="str">
        <x:v>프라임구독</x:v>
      </x:c>
      <x:c r="C3232" s="24" t="str">
        <x:v>PR-C-236보1364-1-20240313-85</x:v>
      </x:c>
      <x:c r="D3232" s="24" t="str">
        <x:v>236보1364</x:v>
      </x:c>
      <x:c r="E3232" s="24" t="str">
        <x:v>조영훈b</x:v>
      </x:c>
      <x:c r="F3232" s="24" t="str">
        <x:v>2024-08</x:v>
      </x:c>
      <x:c r="G3232" s="30" t="n">
        <x:v>45529</x:v>
      </x:c>
      <x:c r="H3232" s="32" t="n">
        <x:v>397100</x:v>
      </x:c>
      <x:c r="I3232" s="32" t="n">
        <x:v>399900</x:v>
      </x:c>
      <x:c r="J3232" s="32" t="n">
        <x:v>-2800</x:v>
      </x:c>
      <x:c r="K3232" s="30" t="n">
        <x:v>45524</x:v>
      </x:c>
      <x:c r="L3232" s="24" t="str">
        <x:v>입금</x:v>
      </x:c>
      <x:c r="M3232" s="31" t="n">
        <x:f>IF(AND(N3232="미수",G3232&lt;&gt;"",TODAY()&gt;G3232),TODAY()-G3232,0)</x:f>
        <x:v>0</x:v>
      </x:c>
      <x:c r="N3232" s="24" t="str">
        <x:f>IF(J3232&gt;0,"미수",IF(AND(H3232&gt;0,I3232&gt;=H3232),"완납","미확인"))</x:f>
        <x:v>완납</x:v>
      </x:c>
      <x:c r="O3232" s="31" t="n">
        <x:v>39</x:v>
      </x:c>
    </x:row>
    <x:row r="3233" ht="17.25" customHeight="1">
      <x:c r="A3233" s="24" t="str">
        <x:v>PR-B-236보1364-202407</x:v>
      </x:c>
      <x:c r="B3233" s="24" t="str">
        <x:v>프라임구독</x:v>
      </x:c>
      <x:c r="C3233" s="24" t="str">
        <x:v>PR-C-236보1364-1-20240313-85</x:v>
      </x:c>
      <x:c r="D3233" s="24" t="str">
        <x:v>236보1364</x:v>
      </x:c>
      <x:c r="E3233" s="24" t="str">
        <x:v>조영훈b</x:v>
      </x:c>
      <x:c r="F3233" s="24" t="str">
        <x:v>2024-07</x:v>
      </x:c>
      <x:c r="G3233" s="30" t="n">
        <x:v>45498</x:v>
      </x:c>
      <x:c r="H3233" s="32" t="n">
        <x:v>399900</x:v>
      </x:c>
      <x:c r="I3233" s="32" t="n">
        <x:v>399900</x:v>
      </x:c>
      <x:c r="J3233" s="32" t="n">
        <x:v>0</x:v>
      </x:c>
      <x:c r="K3233" s="30" t="n">
        <x:v>45493</x:v>
      </x:c>
      <x:c r="L3233" s="24" t="str">
        <x:v>입금</x:v>
      </x:c>
      <x:c r="M3233" s="31" t="n">
        <x:f>IF(AND(N3233="미수",G3233&lt;&gt;"",TODAY()&gt;G3233),TODAY()-G3233,0)</x:f>
        <x:v>0</x:v>
      </x:c>
      <x:c r="N3233" s="24" t="str">
        <x:f>IF(J3233&gt;0,"미수",IF(AND(H3233&gt;0,I3233&gt;=H3233),"완납","미확인"))</x:f>
        <x:v>완납</x:v>
      </x:c>
      <x:c r="O3233" s="31" t="n">
        <x:v>39</x:v>
      </x:c>
    </x:row>
    <x:row r="3234" ht="17.25" customHeight="1">
      <x:c r="A3234" s="24" t="str">
        <x:v>PR-B-236보1364-202406</x:v>
      </x:c>
      <x:c r="B3234" s="24" t="str">
        <x:v>프라임구독</x:v>
      </x:c>
      <x:c r="C3234" s="24" t="str">
        <x:v>PR-C-236보1364-1-20240313-85</x:v>
      </x:c>
      <x:c r="D3234" s="24" t="str">
        <x:v>236보1364</x:v>
      </x:c>
      <x:c r="E3234" s="24" t="str">
        <x:v>조영훈b</x:v>
      </x:c>
      <x:c r="F3234" s="24" t="str">
        <x:v>2024-06</x:v>
      </x:c>
      <x:c r="G3234" s="30" t="n">
        <x:v>45468</x:v>
      </x:c>
      <x:c r="H3234" s="32" t="n">
        <x:v>399000</x:v>
      </x:c>
      <x:c r="I3234" s="32" t="n">
        <x:v>399000</x:v>
      </x:c>
      <x:c r="J3234" s="32" t="n">
        <x:v>0</x:v>
      </x:c>
      <x:c r="K3234" s="30" t="n">
        <x:v>45463</x:v>
      </x:c>
      <x:c r="L3234" s="24" t="str"/>
      <x:c r="M3234" s="31" t="n">
        <x:f>IF(AND(N3234="미수",G3234&lt;&gt;"",TODAY()&gt;G3234),TODAY()-G3234,0)</x:f>
        <x:v>0</x:v>
      </x:c>
      <x:c r="N3234" s="24" t="str">
        <x:f>IF(J3234&gt;0,"미수",IF(AND(H3234&gt;0,I3234&gt;=H3234),"완납","미확인"))</x:f>
        <x:v>완납</x:v>
      </x:c>
      <x:c r="O3234" s="31" t="n">
        <x:v>39</x:v>
      </x:c>
    </x:row>
    <x:row r="3235" ht="17.25" customHeight="1">
      <x:c r="A3235" s="24" t="str">
        <x:v>PR-B-236보1364-202405</x:v>
      </x:c>
      <x:c r="B3235" s="24" t="str">
        <x:v>프라임구독</x:v>
      </x:c>
      <x:c r="C3235" s="24" t="str">
        <x:v>PR-C-236보1364-1-20240313-85</x:v>
      </x:c>
      <x:c r="D3235" s="24" t="str">
        <x:v>236보1364</x:v>
      </x:c>
      <x:c r="E3235" s="24" t="str">
        <x:v>조영훈b</x:v>
      </x:c>
      <x:c r="F3235" s="24" t="str">
        <x:v>2024-05</x:v>
      </x:c>
      <x:c r="G3235" s="30" t="n">
        <x:v>45437</x:v>
      </x:c>
      <x:c r="H3235" s="32" t="n">
        <x:v>399000</x:v>
      </x:c>
      <x:c r="I3235" s="32" t="n">
        <x:v>399000</x:v>
      </x:c>
      <x:c r="J3235" s="32" t="n">
        <x:v>0</x:v>
      </x:c>
      <x:c r="K3235" s="30" t="n">
        <x:v>45412</x:v>
      </x:c>
      <x:c r="L3235" s="24" t="str"/>
      <x:c r="M3235" s="31" t="n">
        <x:f>IF(AND(N3235="미수",G3235&lt;&gt;"",TODAY()&gt;G3235),TODAY()-G3235,0)</x:f>
        <x:v>0</x:v>
      </x:c>
      <x:c r="N3235" s="24" t="str">
        <x:f>IF(J3235&gt;0,"미수",IF(AND(H3235&gt;0,I3235&gt;=H3235),"완납","미확인"))</x:f>
        <x:v>완납</x:v>
      </x:c>
      <x:c r="O3235" s="31" t="n">
        <x:v>39</x:v>
      </x:c>
    </x:row>
    <x:row r="3236" ht="17.25" customHeight="1">
      <x:c r="A3236" s="24" t="str">
        <x:v>PR-B-290주5804-202608</x:v>
      </x:c>
      <x:c r="B3236" s="24" t="str">
        <x:v>프라임구독</x:v>
      </x:c>
      <x:c r="C3236" s="24" t="str">
        <x:v>PR-C-290주5804-1-20240422-107</x:v>
      </x:c>
      <x:c r="D3236" s="24" t="str">
        <x:v>290주5804</x:v>
      </x:c>
      <x:c r="E3236" s="24" t="str">
        <x:v>김순용</x:v>
      </x:c>
      <x:c r="F3236" s="24" t="str">
        <x:v>2026-08</x:v>
      </x:c>
      <x:c r="G3236" s="30" t="n">
        <x:v>46239</x:v>
      </x:c>
      <x:c r="H3236" s="32" t="n">
        <x:v>533000</x:v>
      </x:c>
      <x:c r="I3236" s="32" t="n">
        <x:v>533000</x:v>
      </x:c>
      <x:c r="J3236" s="32" t="n">
        <x:v>-661000</x:v>
      </x:c>
      <x:c r="K3236" s="30" t="n">
        <x:v>46244</x:v>
      </x:c>
      <x:c r="L3236" s="24" t="str">
        <x:v>입금</x:v>
      </x:c>
      <x:c r="M3236" s="31" t="n">
        <x:f>IF(AND(N3236="미수",G3236&lt;&gt;"",TODAY()&gt;G3236),TODAY()-G3236,0)</x:f>
        <x:v>0</x:v>
      </x:c>
      <x:c r="N3236" s="24" t="str">
        <x:f>IF(J3236&gt;0,"미수",IF(AND(H3236&gt;0,I3236&gt;=H3236),"완납","미확인"))</x:f>
        <x:v>완납</x:v>
      </x:c>
      <x:c r="O3236" s="31" t="n">
        <x:v>40</x:v>
      </x:c>
    </x:row>
    <x:row r="3237" ht="17.25" customHeight="1">
      <x:c r="A3237" s="24" t="str">
        <x:v>PR-B-290주5804-202607</x:v>
      </x:c>
      <x:c r="B3237" s="24" t="str">
        <x:v>프라임구독</x:v>
      </x:c>
      <x:c r="C3237" s="24" t="str">
        <x:v>PR-C-290주5804-1-20240422-107</x:v>
      </x:c>
      <x:c r="D3237" s="24" t="str">
        <x:v>290주5804</x:v>
      </x:c>
      <x:c r="E3237" s="24" t="str">
        <x:v>김순용</x:v>
      </x:c>
      <x:c r="F3237" s="24" t="str">
        <x:v>2026-07</x:v>
      </x:c>
      <x:c r="G3237" s="30" t="n">
        <x:v>46208</x:v>
      </x:c>
      <x:c r="H3237" s="32" t="n">
        <x:v>533000</x:v>
      </x:c>
      <x:c r="I3237" s="32" t="n">
        <x:v>533000</x:v>
      </x:c>
      <x:c r="J3237" s="32" t="n">
        <x:v>-661000</x:v>
      </x:c>
      <x:c r="K3237" s="30" t="n">
        <x:v>46208</x:v>
      </x:c>
      <x:c r="L3237" s="24" t="str">
        <x:v>입금</x:v>
      </x:c>
      <x:c r="M3237" s="31" t="n">
        <x:f>IF(AND(N3237="미수",G3237&lt;&gt;"",TODAY()&gt;G3237),TODAY()-G3237,0)</x:f>
        <x:v>0</x:v>
      </x:c>
      <x:c r="N3237" s="24" t="str">
        <x:f>IF(J3237&gt;0,"미수",IF(AND(H3237&gt;0,I3237&gt;=H3237),"완납","미확인"))</x:f>
        <x:v>완납</x:v>
      </x:c>
      <x:c r="O3237" s="31" t="n">
        <x:v>40</x:v>
      </x:c>
    </x:row>
    <x:row r="3238" ht="17.25" customHeight="1">
      <x:c r="A3238" s="24" t="str">
        <x:v>PR-B-290주5804-202606</x:v>
      </x:c>
      <x:c r="B3238" s="24" t="str">
        <x:v>프라임구독</x:v>
      </x:c>
      <x:c r="C3238" s="24" t="str">
        <x:v>PR-C-290주5804-1-20240422-107</x:v>
      </x:c>
      <x:c r="D3238" s="24" t="str">
        <x:v>290주5804</x:v>
      </x:c>
      <x:c r="E3238" s="24" t="str">
        <x:v>김순용</x:v>
      </x:c>
      <x:c r="F3238" s="24" t="str">
        <x:v>2026-06</x:v>
      </x:c>
      <x:c r="G3238" s="30" t="n">
        <x:v>46178</x:v>
      </x:c>
      <x:c r="H3238" s="32" t="n">
        <x:v>533000</x:v>
      </x:c>
      <x:c r="I3238" s="32" t="n">
        <x:v>533000</x:v>
      </x:c>
      <x:c r="J3238" s="32" t="n">
        <x:v>-661000</x:v>
      </x:c>
      <x:c r="K3238" s="30" t="n">
        <x:v>46178</x:v>
      </x:c>
      <x:c r="L3238" s="24" t="str">
        <x:v>입금</x:v>
      </x:c>
      <x:c r="M3238" s="31" t="n">
        <x:f>IF(AND(N3238="미수",G3238&lt;&gt;"",TODAY()&gt;G3238),TODAY()-G3238,0)</x:f>
        <x:v>0</x:v>
      </x:c>
      <x:c r="N3238" s="24" t="str">
        <x:f>IF(J3238&gt;0,"미수",IF(AND(H3238&gt;0,I3238&gt;=H3238),"완납","미확인"))</x:f>
        <x:v>완납</x:v>
      </x:c>
      <x:c r="O3238" s="31" t="n">
        <x:v>40</x:v>
      </x:c>
    </x:row>
    <x:row r="3239" ht="17.25" customHeight="1">
      <x:c r="A3239" s="24" t="str">
        <x:v>PR-B-290주5804-202605</x:v>
      </x:c>
      <x:c r="B3239" s="24" t="str">
        <x:v>프라임구독</x:v>
      </x:c>
      <x:c r="C3239" s="24" t="str">
        <x:v>PR-C-290주5804-1-20240422-107</x:v>
      </x:c>
      <x:c r="D3239" s="24" t="str">
        <x:v>290주5804</x:v>
      </x:c>
      <x:c r="E3239" s="24" t="str">
        <x:v>김순용</x:v>
      </x:c>
      <x:c r="F3239" s="24" t="str">
        <x:v>2026-05</x:v>
      </x:c>
      <x:c r="G3239" s="30" t="n">
        <x:v>46147</x:v>
      </x:c>
      <x:c r="H3239" s="32" t="n">
        <x:v>533000</x:v>
      </x:c>
      <x:c r="I3239" s="32" t="n">
        <x:v>533000</x:v>
      </x:c>
      <x:c r="J3239" s="32" t="n">
        <x:v>-661000</x:v>
      </x:c>
      <x:c r="K3239" s="30" t="n">
        <x:v>46147</x:v>
      </x:c>
      <x:c r="L3239" s="24" t="str">
        <x:v>입금</x:v>
      </x:c>
      <x:c r="M3239" s="31" t="n">
        <x:f>IF(AND(N3239="미수",G3239&lt;&gt;"",TODAY()&gt;G3239),TODAY()-G3239,0)</x:f>
        <x:v>0</x:v>
      </x:c>
      <x:c r="N3239" s="24" t="str">
        <x:f>IF(J3239&gt;0,"미수",IF(AND(H3239&gt;0,I3239&gt;=H3239),"완납","미확인"))</x:f>
        <x:v>완납</x:v>
      </x:c>
      <x:c r="O3239" s="31" t="n">
        <x:v>40</x:v>
      </x:c>
    </x:row>
    <x:row r="3240" ht="17.25" customHeight="1">
      <x:c r="A3240" s="24" t="str">
        <x:v>PR-B-290주5804-202604</x:v>
      </x:c>
      <x:c r="B3240" s="24" t="str">
        <x:v>프라임구독</x:v>
      </x:c>
      <x:c r="C3240" s="24" t="str">
        <x:v>PR-C-290주5804-1-20240422-107</x:v>
      </x:c>
      <x:c r="D3240" s="24" t="str">
        <x:v>290주5804</x:v>
      </x:c>
      <x:c r="E3240" s="24" t="str">
        <x:v>김순용</x:v>
      </x:c>
      <x:c r="F3240" s="24" t="str">
        <x:v>2026-04</x:v>
      </x:c>
      <x:c r="G3240" s="30" t="n">
        <x:v>46117</x:v>
      </x:c>
      <x:c r="H3240" s="32" t="n">
        <x:v>533000</x:v>
      </x:c>
      <x:c r="I3240" s="32" t="n">
        <x:v>533000</x:v>
      </x:c>
      <x:c r="J3240" s="32" t="n">
        <x:v>-661000</x:v>
      </x:c>
      <x:c r="K3240" s="30" t="n">
        <x:v>46117</x:v>
      </x:c>
      <x:c r="L3240" s="24" t="str">
        <x:v>입금</x:v>
      </x:c>
      <x:c r="M3240" s="31" t="n">
        <x:f>IF(AND(N3240="미수",G3240&lt;&gt;"",TODAY()&gt;G3240),TODAY()-G3240,0)</x:f>
        <x:v>0</x:v>
      </x:c>
      <x:c r="N3240" s="24" t="str">
        <x:f>IF(J3240&gt;0,"미수",IF(AND(H3240&gt;0,I3240&gt;=H3240),"완납","미확인"))</x:f>
        <x:v>완납</x:v>
      </x:c>
      <x:c r="O3240" s="31" t="n">
        <x:v>40</x:v>
      </x:c>
    </x:row>
    <x:row r="3241" ht="17.25" customHeight="1">
      <x:c r="A3241" s="24" t="str">
        <x:v>PR-B-290주5804-202603</x:v>
      </x:c>
      <x:c r="B3241" s="24" t="str">
        <x:v>프라임구독</x:v>
      </x:c>
      <x:c r="C3241" s="24" t="str">
        <x:v>PR-C-290주5804-1-20240422-107</x:v>
      </x:c>
      <x:c r="D3241" s="24" t="str">
        <x:v>290주5804</x:v>
      </x:c>
      <x:c r="E3241" s="24" t="str">
        <x:v>김순용</x:v>
      </x:c>
      <x:c r="F3241" s="24" t="str">
        <x:v>2026-03</x:v>
      </x:c>
      <x:c r="G3241" s="30" t="n">
        <x:v>46086</x:v>
      </x:c>
      <x:c r="H3241" s="32" t="n">
        <x:v>533000</x:v>
      </x:c>
      <x:c r="I3241" s="32" t="n">
        <x:v>533000</x:v>
      </x:c>
      <x:c r="J3241" s="32" t="n">
        <x:v>-661000</x:v>
      </x:c>
      <x:c r="K3241" s="30" t="n">
        <x:v>46086</x:v>
      </x:c>
      <x:c r="L3241" s="24" t="str">
        <x:v>입금</x:v>
      </x:c>
      <x:c r="M3241" s="31" t="n">
        <x:f>IF(AND(N3241="미수",G3241&lt;&gt;"",TODAY()&gt;G3241),TODAY()-G3241,0)</x:f>
        <x:v>0</x:v>
      </x:c>
      <x:c r="N3241" s="24" t="str">
        <x:f>IF(J3241&gt;0,"미수",IF(AND(H3241&gt;0,I3241&gt;=H3241),"완납","미확인"))</x:f>
        <x:v>완납</x:v>
      </x:c>
      <x:c r="O3241" s="31" t="n">
        <x:v>40</x:v>
      </x:c>
    </x:row>
    <x:row r="3242" ht="17.25" customHeight="1">
      <x:c r="A3242" s="24" t="str">
        <x:v>PR-B-290주5804-202602</x:v>
      </x:c>
      <x:c r="B3242" s="24" t="str">
        <x:v>프라임구독</x:v>
      </x:c>
      <x:c r="C3242" s="24" t="str">
        <x:v>PR-C-290주5804-1-20240422-107</x:v>
      </x:c>
      <x:c r="D3242" s="24" t="str">
        <x:v>290주5804</x:v>
      </x:c>
      <x:c r="E3242" s="24" t="str">
        <x:v>김순용</x:v>
      </x:c>
      <x:c r="F3242" s="24" t="str">
        <x:v>2026-02</x:v>
      </x:c>
      <x:c r="G3242" s="30" t="n">
        <x:v>46058</x:v>
      </x:c>
      <x:c r="H3242" s="32" t="n">
        <x:v>533000</x:v>
      </x:c>
      <x:c r="I3242" s="32" t="n">
        <x:v>533000</x:v>
      </x:c>
      <x:c r="J3242" s="32" t="n">
        <x:v>-661000</x:v>
      </x:c>
      <x:c r="K3242" s="30" t="n">
        <x:v>46058</x:v>
      </x:c>
      <x:c r="L3242" s="24" t="str">
        <x:v>입금</x:v>
      </x:c>
      <x:c r="M3242" s="31" t="n">
        <x:f>IF(AND(N3242="미수",G3242&lt;&gt;"",TODAY()&gt;G3242),TODAY()-G3242,0)</x:f>
        <x:v>0</x:v>
      </x:c>
      <x:c r="N3242" s="24" t="str">
        <x:f>IF(J3242&gt;0,"미수",IF(AND(H3242&gt;0,I3242&gt;=H3242),"완납","미확인"))</x:f>
        <x:v>완납</x:v>
      </x:c>
      <x:c r="O3242" s="31" t="n">
        <x:v>40</x:v>
      </x:c>
    </x:row>
    <x:row r="3243" ht="17.25" customHeight="1">
      <x:c r="A3243" s="24" t="str">
        <x:v>PR-B-290주5804-202601</x:v>
      </x:c>
      <x:c r="B3243" s="24" t="str">
        <x:v>프라임구독</x:v>
      </x:c>
      <x:c r="C3243" s="24" t="str">
        <x:v>PR-C-290주5804-1-20240422-107</x:v>
      </x:c>
      <x:c r="D3243" s="24" t="str">
        <x:v>290주5804</x:v>
      </x:c>
      <x:c r="E3243" s="24" t="str">
        <x:v>김순용</x:v>
      </x:c>
      <x:c r="F3243" s="24" t="str">
        <x:v>2026-01</x:v>
      </x:c>
      <x:c r="G3243" s="30" t="n">
        <x:v>46027</x:v>
      </x:c>
      <x:c r="H3243" s="32" t="n">
        <x:v>533000</x:v>
      </x:c>
      <x:c r="I3243" s="32" t="n">
        <x:v>533000</x:v>
      </x:c>
      <x:c r="J3243" s="32" t="n">
        <x:v>-661000</x:v>
      </x:c>
      <x:c r="K3243" s="30" t="n">
        <x:v>46028</x:v>
      </x:c>
      <x:c r="L3243" s="24" t="str">
        <x:v>입금</x:v>
      </x:c>
      <x:c r="M3243" s="31" t="n">
        <x:f>IF(AND(N3243="미수",G3243&lt;&gt;"",TODAY()&gt;G3243),TODAY()-G3243,0)</x:f>
        <x:v>0</x:v>
      </x:c>
      <x:c r="N3243" s="24" t="str">
        <x:f>IF(J3243&gt;0,"미수",IF(AND(H3243&gt;0,I3243&gt;=H3243),"완납","미확인"))</x:f>
        <x:v>완납</x:v>
      </x:c>
      <x:c r="O3243" s="31" t="n">
        <x:v>40</x:v>
      </x:c>
    </x:row>
    <x:row r="3244" ht="17.25" customHeight="1">
      <x:c r="A3244" s="24" t="str">
        <x:v>PR-B-290주5804-202512</x:v>
      </x:c>
      <x:c r="B3244" s="24" t="str">
        <x:v>프라임구독</x:v>
      </x:c>
      <x:c r="C3244" s="24" t="str">
        <x:v>PR-C-290주5804-1-20240422-107</x:v>
      </x:c>
      <x:c r="D3244" s="24" t="str">
        <x:v>290주5804</x:v>
      </x:c>
      <x:c r="E3244" s="24" t="str">
        <x:v>김순용</x:v>
      </x:c>
      <x:c r="F3244" s="24" t="str">
        <x:v>2025-12</x:v>
      </x:c>
      <x:c r="G3244" s="30" t="n">
        <x:v>45996</x:v>
      </x:c>
      <x:c r="H3244" s="32" t="n">
        <x:v>533000</x:v>
      </x:c>
      <x:c r="I3244" s="32" t="n">
        <x:v>533000</x:v>
      </x:c>
      <x:c r="J3244" s="32" t="n">
        <x:v>-661000</x:v>
      </x:c>
      <x:c r="K3244" s="30" t="n">
        <x:v>45996</x:v>
      </x:c>
      <x:c r="L3244" s="24" t="str">
        <x:v>입금</x:v>
      </x:c>
      <x:c r="M3244" s="31" t="n">
        <x:f>IF(AND(N3244="미수",G3244&lt;&gt;"",TODAY()&gt;G3244),TODAY()-G3244,0)</x:f>
        <x:v>0</x:v>
      </x:c>
      <x:c r="N3244" s="24" t="str">
        <x:f>IF(J3244&gt;0,"미수",IF(AND(H3244&gt;0,I3244&gt;=H3244),"완납","미확인"))</x:f>
        <x:v>완납</x:v>
      </x:c>
      <x:c r="O3244" s="31" t="n">
        <x:v>40</x:v>
      </x:c>
    </x:row>
    <x:row r="3245" ht="17.25" customHeight="1">
      <x:c r="A3245" s="24" t="str">
        <x:v>PR-B-290주5804-202511</x:v>
      </x:c>
      <x:c r="B3245" s="24" t="str">
        <x:v>프라임구독</x:v>
      </x:c>
      <x:c r="C3245" s="24" t="str">
        <x:v>PR-C-290주5804-1-20240422-107</x:v>
      </x:c>
      <x:c r="D3245" s="24" t="str">
        <x:v>290주5804</x:v>
      </x:c>
      <x:c r="E3245" s="24" t="str">
        <x:v>김순용</x:v>
      </x:c>
      <x:c r="F3245" s="24" t="str">
        <x:v>2025-11</x:v>
      </x:c>
      <x:c r="G3245" s="30" t="n">
        <x:v>45966</x:v>
      </x:c>
      <x:c r="H3245" s="32" t="n">
        <x:v>533000</x:v>
      </x:c>
      <x:c r="I3245" s="32" t="n">
        <x:v>553000</x:v>
      </x:c>
      <x:c r="J3245" s="32" t="n">
        <x:v>-661000</x:v>
      </x:c>
      <x:c r="K3245" s="30" t="n">
        <x:v>45967</x:v>
      </x:c>
      <x:c r="L3245" s="24" t="str">
        <x:v>입금</x:v>
      </x:c>
      <x:c r="M3245" s="31" t="n">
        <x:f>IF(AND(N3245="미수",G3245&lt;&gt;"",TODAY()&gt;G3245),TODAY()-G3245,0)</x:f>
        <x:v>0</x:v>
      </x:c>
      <x:c r="N3245" s="24" t="str">
        <x:f>IF(J3245&gt;0,"미수",IF(AND(H3245&gt;0,I3245&gt;=H3245),"완납","미확인"))</x:f>
        <x:v>완납</x:v>
      </x:c>
      <x:c r="O3245" s="31" t="n">
        <x:v>40</x:v>
      </x:c>
    </x:row>
    <x:row r="3246" ht="17.25" customHeight="1">
      <x:c r="A3246" s="24" t="str">
        <x:v>PR-B-290주5804-202510</x:v>
      </x:c>
      <x:c r="B3246" s="24" t="str">
        <x:v>프라임구독</x:v>
      </x:c>
      <x:c r="C3246" s="24" t="str">
        <x:v>PR-C-290주5804-1-20240422-107</x:v>
      </x:c>
      <x:c r="D3246" s="24" t="str">
        <x:v>290주5804</x:v>
      </x:c>
      <x:c r="E3246" s="24" t="str">
        <x:v>김순용</x:v>
      </x:c>
      <x:c r="F3246" s="24" t="str">
        <x:v>2025-10</x:v>
      </x:c>
      <x:c r="G3246" s="30" t="n">
        <x:v>45935</x:v>
      </x:c>
      <x:c r="H3246" s="32" t="n">
        <x:v>533000</x:v>
      </x:c>
      <x:c r="I3246" s="32" t="n">
        <x:v>553000</x:v>
      </x:c>
      <x:c r="J3246" s="32" t="n">
        <x:v>-641000</x:v>
      </x:c>
      <x:c r="K3246" s="30" t="n">
        <x:v>45936</x:v>
      </x:c>
      <x:c r="L3246" s="24" t="str">
        <x:v>입금</x:v>
      </x:c>
      <x:c r="M3246" s="31" t="n">
        <x:f>IF(AND(N3246="미수",G3246&lt;&gt;"",TODAY()&gt;G3246),TODAY()-G3246,0)</x:f>
        <x:v>0</x:v>
      </x:c>
      <x:c r="N3246" s="24" t="str">
        <x:f>IF(J3246&gt;0,"미수",IF(AND(H3246&gt;0,I3246&gt;=H3246),"완납","미확인"))</x:f>
        <x:v>완납</x:v>
      </x:c>
      <x:c r="O3246" s="31" t="n">
        <x:v>40</x:v>
      </x:c>
    </x:row>
    <x:row r="3247" ht="17.25" customHeight="1">
      <x:c r="A3247" s="24" t="str">
        <x:v>PR-B-290주5804-202509</x:v>
      </x:c>
      <x:c r="B3247" s="24" t="str">
        <x:v>프라임구독</x:v>
      </x:c>
      <x:c r="C3247" s="24" t="str">
        <x:v>PR-C-290주5804-1-20240422-107</x:v>
      </x:c>
      <x:c r="D3247" s="24" t="str">
        <x:v>290주5804</x:v>
      </x:c>
      <x:c r="E3247" s="24" t="str">
        <x:v>김순용</x:v>
      </x:c>
      <x:c r="F3247" s="24" t="str">
        <x:v>2025-09</x:v>
      </x:c>
      <x:c r="G3247" s="30" t="n">
        <x:v>45905</x:v>
      </x:c>
      <x:c r="H3247" s="32" t="n">
        <x:v>533000</x:v>
      </x:c>
      <x:c r="I3247" s="32" t="n">
        <x:v>553000</x:v>
      </x:c>
      <x:c r="J3247" s="32" t="n">
        <x:v>-621000</x:v>
      </x:c>
      <x:c r="K3247" s="30" t="n">
        <x:v>45905</x:v>
      </x:c>
      <x:c r="L3247" s="24" t="str">
        <x:v>입금</x:v>
      </x:c>
      <x:c r="M3247" s="31" t="n">
        <x:f>IF(AND(N3247="미수",G3247&lt;&gt;"",TODAY()&gt;G3247),TODAY()-G3247,0)</x:f>
        <x:v>0</x:v>
      </x:c>
      <x:c r="N3247" s="24" t="str">
        <x:f>IF(J3247&gt;0,"미수",IF(AND(H3247&gt;0,I3247&gt;=H3247),"완납","미확인"))</x:f>
        <x:v>완납</x:v>
      </x:c>
      <x:c r="O3247" s="31" t="n">
        <x:v>40</x:v>
      </x:c>
    </x:row>
    <x:row r="3248" ht="17.25" customHeight="1">
      <x:c r="A3248" s="24" t="str">
        <x:v>PR-B-290주5804-202508</x:v>
      </x:c>
      <x:c r="B3248" s="24" t="str">
        <x:v>프라임구독</x:v>
      </x:c>
      <x:c r="C3248" s="24" t="str">
        <x:v>PR-C-290주5804-1-20240422-107</x:v>
      </x:c>
      <x:c r="D3248" s="24" t="str">
        <x:v>290주5804</x:v>
      </x:c>
      <x:c r="E3248" s="24" t="str">
        <x:v>김순용</x:v>
      </x:c>
      <x:c r="F3248" s="24" t="str">
        <x:v>2025-08</x:v>
      </x:c>
      <x:c r="G3248" s="30" t="n">
        <x:v>45874</x:v>
      </x:c>
      <x:c r="H3248" s="32" t="n">
        <x:v>533000</x:v>
      </x:c>
      <x:c r="I3248" s="32" t="n">
        <x:v>553000</x:v>
      </x:c>
      <x:c r="J3248" s="32" t="n">
        <x:v>-601000</x:v>
      </x:c>
      <x:c r="K3248" s="30" t="n">
        <x:v>45905</x:v>
      </x:c>
      <x:c r="L3248" s="24" t="str">
        <x:v>입금</x:v>
      </x:c>
      <x:c r="M3248" s="31" t="n">
        <x:f>IF(AND(N3248="미수",G3248&lt;&gt;"",TODAY()&gt;G3248),TODAY()-G3248,0)</x:f>
        <x:v>0</x:v>
      </x:c>
      <x:c r="N3248" s="24" t="str">
        <x:f>IF(J3248&gt;0,"미수",IF(AND(H3248&gt;0,I3248&gt;=H3248),"완납","미확인"))</x:f>
        <x:v>완납</x:v>
      </x:c>
      <x:c r="O3248" s="31" t="n">
        <x:v>40</x:v>
      </x:c>
    </x:row>
    <x:row r="3249" ht="17.25" customHeight="1">
      <x:c r="A3249" s="24" t="str">
        <x:v>PR-B-290주5804-202507</x:v>
      </x:c>
      <x:c r="B3249" s="24" t="str">
        <x:v>프라임구독</x:v>
      </x:c>
      <x:c r="C3249" s="24" t="str">
        <x:v>PR-C-290주5804-1-20240422-107</x:v>
      </x:c>
      <x:c r="D3249" s="24" t="str">
        <x:v>290주5804</x:v>
      </x:c>
      <x:c r="E3249" s="24" t="str">
        <x:v>김순용</x:v>
      </x:c>
      <x:c r="F3249" s="24" t="str">
        <x:v>2025-07</x:v>
      </x:c>
      <x:c r="G3249" s="30" t="n">
        <x:v>45843</x:v>
      </x:c>
      <x:c r="H3249" s="32" t="n">
        <x:v>533000</x:v>
      </x:c>
      <x:c r="I3249" s="32" t="n">
        <x:v>553000</x:v>
      </x:c>
      <x:c r="J3249" s="32" t="n">
        <x:v>-581000</x:v>
      </x:c>
      <x:c r="K3249" s="30" t="n">
        <x:v>45874</x:v>
      </x:c>
      <x:c r="L3249" s="24" t="str">
        <x:v>입금</x:v>
      </x:c>
      <x:c r="M3249" s="31" t="n">
        <x:f>IF(AND(N3249="미수",G3249&lt;&gt;"",TODAY()&gt;G3249),TODAY()-G3249,0)</x:f>
        <x:v>0</x:v>
      </x:c>
      <x:c r="N3249" s="24" t="str">
        <x:f>IF(J3249&gt;0,"미수",IF(AND(H3249&gt;0,I3249&gt;=H3249),"완납","미확인"))</x:f>
        <x:v>완납</x:v>
      </x:c>
      <x:c r="O3249" s="31" t="n">
        <x:v>40</x:v>
      </x:c>
    </x:row>
    <x:row r="3250" ht="17.25" customHeight="1">
      <x:c r="A3250" s="24" t="str">
        <x:v>PR-B-290주5804-202506</x:v>
      </x:c>
      <x:c r="B3250" s="24" t="str">
        <x:v>프라임구독</x:v>
      </x:c>
      <x:c r="C3250" s="24" t="str">
        <x:v>PR-C-290주5804-1-20240422-107</x:v>
      </x:c>
      <x:c r="D3250" s="24" t="str">
        <x:v>290주5804</x:v>
      </x:c>
      <x:c r="E3250" s="24" t="str">
        <x:v>김순용</x:v>
      </x:c>
      <x:c r="F3250" s="24" t="str">
        <x:v>2025-06</x:v>
      </x:c>
      <x:c r="G3250" s="30" t="n">
        <x:v>45813</x:v>
      </x:c>
      <x:c r="H3250" s="32" t="n">
        <x:v>533000</x:v>
      </x:c>
      <x:c r="I3250" s="32" t="n">
        <x:v>533000</x:v>
      </x:c>
      <x:c r="J3250" s="32" t="n">
        <x:v>-561000</x:v>
      </x:c>
      <x:c r="K3250" s="30" t="n">
        <x:v>45817</x:v>
      </x:c>
      <x:c r="L3250" s="24" t="str">
        <x:v>입금</x:v>
      </x:c>
      <x:c r="M3250" s="31" t="n">
        <x:f>IF(AND(N3250="미수",G3250&lt;&gt;"",TODAY()&gt;G3250),TODAY()-G3250,0)</x:f>
        <x:v>0</x:v>
      </x:c>
      <x:c r="N3250" s="24" t="str">
        <x:f>IF(J3250&gt;0,"미수",IF(AND(H3250&gt;0,I3250&gt;=H3250),"완납","미확인"))</x:f>
        <x:v>완납</x:v>
      </x:c>
      <x:c r="O3250" s="31" t="n">
        <x:v>40</x:v>
      </x:c>
    </x:row>
    <x:row r="3251" ht="17.25" customHeight="1">
      <x:c r="A3251" s="24" t="str">
        <x:v>PR-B-290주5804-202505</x:v>
      </x:c>
      <x:c r="B3251" s="24" t="str">
        <x:v>프라임구독</x:v>
      </x:c>
      <x:c r="C3251" s="24" t="str">
        <x:v>PR-C-290주5804-1-20240422-107</x:v>
      </x:c>
      <x:c r="D3251" s="24" t="str">
        <x:v>290주5804</x:v>
      </x:c>
      <x:c r="E3251" s="24" t="str">
        <x:v>김순용</x:v>
      </x:c>
      <x:c r="F3251" s="24" t="str">
        <x:v>2025-05</x:v>
      </x:c>
      <x:c r="G3251" s="30" t="n">
        <x:v>45782</x:v>
      </x:c>
      <x:c r="H3251" s="32" t="n">
        <x:v>533000</x:v>
      </x:c>
      <x:c r="I3251" s="32" t="n">
        <x:v>533000</x:v>
      </x:c>
      <x:c r="J3251" s="32" t="n">
        <x:v>-561000</x:v>
      </x:c>
      <x:c r="K3251" s="30" t="n">
        <x:v>45808</x:v>
      </x:c>
      <x:c r="L3251" s="24" t="str">
        <x:v>입금</x:v>
      </x:c>
      <x:c r="M3251" s="31" t="n">
        <x:f>IF(AND(N3251="미수",G3251&lt;&gt;"",TODAY()&gt;G3251),TODAY()-G3251,0)</x:f>
        <x:v>0</x:v>
      </x:c>
      <x:c r="N3251" s="24" t="str">
        <x:f>IF(J3251&gt;0,"미수",IF(AND(H3251&gt;0,I3251&gt;=H3251),"완납","미확인"))</x:f>
        <x:v>완납</x:v>
      </x:c>
      <x:c r="O3251" s="31" t="n">
        <x:v>40</x:v>
      </x:c>
    </x:row>
    <x:row r="3252" ht="17.25" customHeight="1">
      <x:c r="A3252" s="24" t="str">
        <x:v>PR-B-290주5804-202504</x:v>
      </x:c>
      <x:c r="B3252" s="24" t="str">
        <x:v>프라임구독</x:v>
      </x:c>
      <x:c r="C3252" s="24" t="str">
        <x:v>PR-C-290주5804-1-20240422-107</x:v>
      </x:c>
      <x:c r="D3252" s="24" t="str">
        <x:v>290주5804</x:v>
      </x:c>
      <x:c r="E3252" s="24" t="str">
        <x:v>김순용</x:v>
      </x:c>
      <x:c r="F3252" s="24" t="str">
        <x:v>2025-04</x:v>
      </x:c>
      <x:c r="G3252" s="30" t="n">
        <x:v>45752</x:v>
      </x:c>
      <x:c r="H3252" s="32" t="n">
        <x:v>533000</x:v>
      </x:c>
      <x:c r="I3252" s="32" t="n">
        <x:v>553000</x:v>
      </x:c>
      <x:c r="J3252" s="32" t="n">
        <x:v>-561000</x:v>
      </x:c>
      <x:c r="K3252" s="30" t="n">
        <x:v>45748</x:v>
      </x:c>
      <x:c r="L3252" s="24" t="str">
        <x:v>입금</x:v>
      </x:c>
      <x:c r="M3252" s="31" t="n">
        <x:f>IF(AND(N3252="미수",G3252&lt;&gt;"",TODAY()&gt;G3252),TODAY()-G3252,0)</x:f>
        <x:v>0</x:v>
      </x:c>
      <x:c r="N3252" s="24" t="str">
        <x:f>IF(J3252&gt;0,"미수",IF(AND(H3252&gt;0,I3252&gt;=H3252),"완납","미확인"))</x:f>
        <x:v>완납</x:v>
      </x:c>
      <x:c r="O3252" s="31" t="n">
        <x:v>40</x:v>
      </x:c>
    </x:row>
    <x:row r="3253" ht="17.25" customHeight="1">
      <x:c r="A3253" s="24" t="str">
        <x:v>PR-B-290주5804-202503</x:v>
      </x:c>
      <x:c r="B3253" s="24" t="str">
        <x:v>프라임구독</x:v>
      </x:c>
      <x:c r="C3253" s="24" t="str">
        <x:v>PR-C-290주5804-1-20240422-107</x:v>
      </x:c>
      <x:c r="D3253" s="24" t="str">
        <x:v>290주5804</x:v>
      </x:c>
      <x:c r="E3253" s="24" t="str">
        <x:v>김순용</x:v>
      </x:c>
      <x:c r="F3253" s="24" t="str">
        <x:v>2025-03</x:v>
      </x:c>
      <x:c r="G3253" s="30" t="n">
        <x:v>45721</x:v>
      </x:c>
      <x:c r="H3253" s="32" t="n">
        <x:v>533000</x:v>
      </x:c>
      <x:c r="I3253" s="32" t="n">
        <x:v>973000</x:v>
      </x:c>
      <x:c r="J3253" s="32" t="n">
        <x:v>-541000</x:v>
      </x:c>
      <x:c r="K3253" s="30" t="n">
        <x:v>45717</x:v>
      </x:c>
      <x:c r="L3253" s="24" t="str">
        <x:v>입금</x:v>
      </x:c>
      <x:c r="M3253" s="31" t="n">
        <x:f>IF(AND(N3253="미수",G3253&lt;&gt;"",TODAY()&gt;G3253),TODAY()-G3253,0)</x:f>
        <x:v>0</x:v>
      </x:c>
      <x:c r="N3253" s="24" t="str">
        <x:f>IF(J3253&gt;0,"미수",IF(AND(H3253&gt;0,I3253&gt;=H3253),"완납","미확인"))</x:f>
        <x:v>완납</x:v>
      </x:c>
      <x:c r="O3253" s="31" t="n">
        <x:v>40</x:v>
      </x:c>
    </x:row>
    <x:row r="3254" ht="17.25" customHeight="1">
      <x:c r="A3254" s="24" t="str">
        <x:v>PR-B-290주5804-202502</x:v>
      </x:c>
      <x:c r="B3254" s="24" t="str">
        <x:v>프라임구독</x:v>
      </x:c>
      <x:c r="C3254" s="24" t="str">
        <x:v>PR-C-290주5804-1-20240422-107</x:v>
      </x:c>
      <x:c r="D3254" s="24" t="str">
        <x:v>290주5804</x:v>
      </x:c>
      <x:c r="E3254" s="24" t="str">
        <x:v>김순용</x:v>
      </x:c>
      <x:c r="F3254" s="24" t="str">
        <x:v>2025-02</x:v>
      </x:c>
      <x:c r="G3254" s="30" t="n">
        <x:v>45693</x:v>
      </x:c>
      <x:c r="H3254" s="32" t="n">
        <x:v>533000</x:v>
      </x:c>
      <x:c r="I3254" s="32" t="n">
        <x:v>553000</x:v>
      </x:c>
      <x:c r="J3254" s="32" t="n">
        <x:v>-101000</x:v>
      </x:c>
      <x:c r="K3254" s="30" t="n">
        <x:v>45682</x:v>
      </x:c>
      <x:c r="L3254" s="24" t="str">
        <x:v>입금</x:v>
      </x:c>
      <x:c r="M3254" s="31" t="n">
        <x:f>IF(AND(N3254="미수",G3254&lt;&gt;"",TODAY()&gt;G3254),TODAY()-G3254,0)</x:f>
        <x:v>0</x:v>
      </x:c>
      <x:c r="N3254" s="24" t="str">
        <x:f>IF(J3254&gt;0,"미수",IF(AND(H3254&gt;0,I3254&gt;=H3254),"완납","미확인"))</x:f>
        <x:v>완납</x:v>
      </x:c>
      <x:c r="O3254" s="31" t="n">
        <x:v>40</x:v>
      </x:c>
    </x:row>
    <x:row r="3255" ht="17.25" customHeight="1">
      <x:c r="A3255" s="24" t="str">
        <x:v>PR-B-290주5804-202501</x:v>
      </x:c>
      <x:c r="B3255" s="24" t="str">
        <x:v>프라임구독</x:v>
      </x:c>
      <x:c r="C3255" s="24" t="str">
        <x:v>PR-C-290주5804-1-20240422-107</x:v>
      </x:c>
      <x:c r="D3255" s="24" t="str">
        <x:v>290주5804</x:v>
      </x:c>
      <x:c r="E3255" s="24" t="str">
        <x:v>김순용</x:v>
      </x:c>
      <x:c r="F3255" s="24" t="str">
        <x:v>2025-01</x:v>
      </x:c>
      <x:c r="G3255" s="30" t="n">
        <x:v>45662</x:v>
      </x:c>
      <x:c r="H3255" s="32" t="n">
        <x:v>533000</x:v>
      </x:c>
      <x:c r="I3255" s="32" t="n">
        <x:v>533000</x:v>
      </x:c>
      <x:c r="J3255" s="32" t="n">
        <x:v>-81000</x:v>
      </x:c>
      <x:c r="K3255" s="30" t="n">
        <x:v>45657</x:v>
      </x:c>
      <x:c r="L3255" s="24" t="str">
        <x:v>입금</x:v>
      </x:c>
      <x:c r="M3255" s="31" t="n">
        <x:f>IF(AND(N3255="미수",G3255&lt;&gt;"",TODAY()&gt;G3255),TODAY()-G3255,0)</x:f>
        <x:v>0</x:v>
      </x:c>
      <x:c r="N3255" s="24" t="str">
        <x:f>IF(J3255&gt;0,"미수",IF(AND(H3255&gt;0,I3255&gt;=H3255),"완납","미확인"))</x:f>
        <x:v>완납</x:v>
      </x:c>
      <x:c r="O3255" s="31" t="n">
        <x:v>40</x:v>
      </x:c>
    </x:row>
    <x:row r="3256" ht="17.25" customHeight="1">
      <x:c r="A3256" s="24" t="str">
        <x:v>PR-B-290주5804-202412</x:v>
      </x:c>
      <x:c r="B3256" s="24" t="str">
        <x:v>프라임구독</x:v>
      </x:c>
      <x:c r="C3256" s="24" t="str">
        <x:v>PR-C-290주5804-1-20240422-107</x:v>
      </x:c>
      <x:c r="D3256" s="24" t="str">
        <x:v>290주5804</x:v>
      </x:c>
      <x:c r="E3256" s="24" t="str">
        <x:v>김순용</x:v>
      </x:c>
      <x:c r="F3256" s="24" t="str">
        <x:v>2024-12</x:v>
      </x:c>
      <x:c r="G3256" s="30" t="n">
        <x:v>45631</x:v>
      </x:c>
      <x:c r="H3256" s="32" t="n">
        <x:v>533000</x:v>
      </x:c>
      <x:c r="I3256" s="32" t="n">
        <x:v>560000</x:v>
      </x:c>
      <x:c r="J3256" s="32" t="n">
        <x:v>-81000</x:v>
      </x:c>
      <x:c r="K3256" s="30" t="n">
        <x:v>45625</x:v>
      </x:c>
      <x:c r="L3256" s="24" t="str">
        <x:v>입금</x:v>
      </x:c>
      <x:c r="M3256" s="31" t="n">
        <x:f>IF(AND(N3256="미수",G3256&lt;&gt;"",TODAY()&gt;G3256),TODAY()-G3256,0)</x:f>
        <x:v>0</x:v>
      </x:c>
      <x:c r="N3256" s="24" t="str">
        <x:f>IF(J3256&gt;0,"미수",IF(AND(H3256&gt;0,I3256&gt;=H3256),"완납","미확인"))</x:f>
        <x:v>완납</x:v>
      </x:c>
      <x:c r="O3256" s="31" t="n">
        <x:v>40</x:v>
      </x:c>
    </x:row>
    <x:row r="3257" ht="17.25" customHeight="1">
      <x:c r="A3257" s="24" t="str">
        <x:v>PR-B-290주5804-202411</x:v>
      </x:c>
      <x:c r="B3257" s="24" t="str">
        <x:v>프라임구독</x:v>
      </x:c>
      <x:c r="C3257" s="24" t="str">
        <x:v>PR-C-290주5804-1-20240422-107</x:v>
      </x:c>
      <x:c r="D3257" s="24" t="str">
        <x:v>290주5804</x:v>
      </x:c>
      <x:c r="E3257" s="24" t="str">
        <x:v>김순용</x:v>
      </x:c>
      <x:c r="F3257" s="24" t="str">
        <x:v>2024-11</x:v>
      </x:c>
      <x:c r="G3257" s="30" t="n">
        <x:v>45601</x:v>
      </x:c>
      <x:c r="H3257" s="32" t="n">
        <x:v>533000</x:v>
      </x:c>
      <x:c r="I3257" s="32" t="n">
        <x:v>540000</x:v>
      </x:c>
      <x:c r="J3257" s="32" t="n">
        <x:v>-54000</x:v>
      </x:c>
      <x:c r="K3257" s="30" t="n">
        <x:v>45596</x:v>
      </x:c>
      <x:c r="L3257" s="24" t="str">
        <x:v>입금</x:v>
      </x:c>
      <x:c r="M3257" s="31" t="n">
        <x:f>IF(AND(N3257="미수",G3257&lt;&gt;"",TODAY()&gt;G3257),TODAY()-G3257,0)</x:f>
        <x:v>0</x:v>
      </x:c>
      <x:c r="N3257" s="24" t="str">
        <x:f>IF(J3257&gt;0,"미수",IF(AND(H3257&gt;0,I3257&gt;=H3257),"완납","미확인"))</x:f>
        <x:v>완납</x:v>
      </x:c>
      <x:c r="O3257" s="31" t="n">
        <x:v>40</x:v>
      </x:c>
    </x:row>
    <x:row r="3258" ht="17.25" customHeight="1">
      <x:c r="A3258" s="24" t="str">
        <x:v>PR-B-290주5804-202410</x:v>
      </x:c>
      <x:c r="B3258" s="24" t="str">
        <x:v>프라임구독</x:v>
      </x:c>
      <x:c r="C3258" s="24" t="str">
        <x:v>PR-C-290주5804-1-20240422-107</x:v>
      </x:c>
      <x:c r="D3258" s="24" t="str">
        <x:v>290주5804</x:v>
      </x:c>
      <x:c r="E3258" s="24" t="str">
        <x:v>김순용</x:v>
      </x:c>
      <x:c r="F3258" s="24" t="str">
        <x:v>2024-10</x:v>
      </x:c>
      <x:c r="G3258" s="30" t="n">
        <x:v>45570</x:v>
      </x:c>
      <x:c r="H3258" s="32" t="n">
        <x:v>533000</x:v>
      </x:c>
      <x:c r="I3258" s="32" t="n">
        <x:v>540000</x:v>
      </x:c>
      <x:c r="J3258" s="32" t="n">
        <x:v>-47000</x:v>
      </x:c>
      <x:c r="K3258" s="30" t="n">
        <x:v>45565</x:v>
      </x:c>
      <x:c r="L3258" s="24" t="str">
        <x:v>입금</x:v>
      </x:c>
      <x:c r="M3258" s="31" t="n">
        <x:f>IF(AND(N3258="미수",G3258&lt;&gt;"",TODAY()&gt;G3258),TODAY()-G3258,0)</x:f>
        <x:v>0</x:v>
      </x:c>
      <x:c r="N3258" s="24" t="str">
        <x:f>IF(J3258&gt;0,"미수",IF(AND(H3258&gt;0,I3258&gt;=H3258),"완납","미확인"))</x:f>
        <x:v>완납</x:v>
      </x:c>
      <x:c r="O3258" s="31" t="n">
        <x:v>40</x:v>
      </x:c>
    </x:row>
    <x:row r="3259" ht="17.25" customHeight="1">
      <x:c r="A3259" s="24" t="str">
        <x:v>PR-B-290주5804-202409</x:v>
      </x:c>
      <x:c r="B3259" s="24" t="str">
        <x:v>프라임구독</x:v>
      </x:c>
      <x:c r="C3259" s="24" t="str">
        <x:v>PR-C-290주5804-1-20240422-107</x:v>
      </x:c>
      <x:c r="D3259" s="24" t="str">
        <x:v>290주5804</x:v>
      </x:c>
      <x:c r="E3259" s="24" t="str">
        <x:v>김순용</x:v>
      </x:c>
      <x:c r="F3259" s="24" t="str">
        <x:v>2024-09</x:v>
      </x:c>
      <x:c r="G3259" s="30" t="n">
        <x:v>45540</x:v>
      </x:c>
      <x:c r="H3259" s="32" t="n">
        <x:v>533000</x:v>
      </x:c>
      <x:c r="I3259" s="32" t="n">
        <x:v>553000</x:v>
      </x:c>
      <x:c r="J3259" s="32" t="n">
        <x:v>-40000</x:v>
      </x:c>
      <x:c r="K3259" s="30" t="n">
        <x:v>45542</x:v>
      </x:c>
      <x:c r="L3259" s="24" t="str"/>
      <x:c r="M3259" s="31" t="n">
        <x:f>IF(AND(N3259="미수",G3259&lt;&gt;"",TODAY()&gt;G3259),TODAY()-G3259,0)</x:f>
        <x:v>0</x:v>
      </x:c>
      <x:c r="N3259" s="24" t="str">
        <x:f>IF(J3259&gt;0,"미수",IF(AND(H3259&gt;0,I3259&gt;=H3259),"완납","미확인"))</x:f>
        <x:v>완납</x:v>
      </x:c>
      <x:c r="O3259" s="31" t="n">
        <x:v>40</x:v>
      </x:c>
    </x:row>
    <x:row r="3260" ht="17.25" customHeight="1">
      <x:c r="A3260" s="24" t="str">
        <x:v>PR-B-290주5804-202408</x:v>
      </x:c>
      <x:c r="B3260" s="24" t="str">
        <x:v>프라임구독</x:v>
      </x:c>
      <x:c r="C3260" s="24" t="str">
        <x:v>PR-C-290주5804-1-20240422-107</x:v>
      </x:c>
      <x:c r="D3260" s="24" t="str">
        <x:v>290주5804</x:v>
      </x:c>
      <x:c r="E3260" s="24" t="str">
        <x:v>김순용</x:v>
      </x:c>
      <x:c r="F3260" s="24" t="str">
        <x:v>2024-08</x:v>
      </x:c>
      <x:c r="G3260" s="30" t="n">
        <x:v>45509</x:v>
      </x:c>
      <x:c r="H3260" s="32" t="n">
        <x:v>533000</x:v>
      </x:c>
      <x:c r="I3260" s="32" t="n">
        <x:v>553000</x:v>
      </x:c>
      <x:c r="J3260" s="32" t="n">
        <x:v>-20000</x:v>
      </x:c>
      <x:c r="K3260" s="30" t="n">
        <x:v>45505</x:v>
      </x:c>
      <x:c r="L3260" s="24" t="str">
        <x:v>입금</x:v>
      </x:c>
      <x:c r="M3260" s="31" t="n">
        <x:f>IF(AND(N3260="미수",G3260&lt;&gt;"",TODAY()&gt;G3260),TODAY()-G3260,0)</x:f>
        <x:v>0</x:v>
      </x:c>
      <x:c r="N3260" s="24" t="str">
        <x:f>IF(J3260&gt;0,"미수",IF(AND(H3260&gt;0,I3260&gt;=H3260),"완납","미확인"))</x:f>
        <x:v>완납</x:v>
      </x:c>
      <x:c r="O3260" s="31" t="n">
        <x:v>40</x:v>
      </x:c>
    </x:row>
    <x:row r="3261" ht="17.25" customHeight="1">
      <x:c r="A3261" s="24" t="str">
        <x:v>PR-B-290주5804-202407</x:v>
      </x:c>
      <x:c r="B3261" s="24" t="str">
        <x:v>프라임구독</x:v>
      </x:c>
      <x:c r="C3261" s="24" t="str">
        <x:v>PR-C-290주5804-1-20240422-107</x:v>
      </x:c>
      <x:c r="D3261" s="24" t="str">
        <x:v>290주5804</x:v>
      </x:c>
      <x:c r="E3261" s="24" t="str">
        <x:v>김순용</x:v>
      </x:c>
      <x:c r="F3261" s="24" t="str">
        <x:v>2024-07</x:v>
      </x:c>
      <x:c r="G3261" s="30" t="n">
        <x:v>45478</x:v>
      </x:c>
      <x:c r="H3261" s="32" t="n">
        <x:v>533000</x:v>
      </x:c>
      <x:c r="I3261" s="32" t="n">
        <x:v>533000</x:v>
      </x:c>
      <x:c r="J3261" s="32" t="n">
        <x:v>0</x:v>
      </x:c>
      <x:c r="K3261" s="30" t="n">
        <x:v>45471</x:v>
      </x:c>
      <x:c r="L3261" s="24" t="str"/>
      <x:c r="M3261" s="31" t="n">
        <x:f>IF(AND(N3261="미수",G3261&lt;&gt;"",TODAY()&gt;G3261),TODAY()-G3261,0)</x:f>
        <x:v>0</x:v>
      </x:c>
      <x:c r="N3261" s="24" t="str">
        <x:f>IF(J3261&gt;0,"미수",IF(AND(H3261&gt;0,I3261&gt;=H3261),"완납","미확인"))</x:f>
        <x:v>완납</x:v>
      </x:c>
      <x:c r="O3261" s="31" t="n">
        <x:v>40</x:v>
      </x:c>
    </x:row>
    <x:row r="3262" ht="17.25" customHeight="1">
      <x:c r="A3262" s="24" t="str">
        <x:v>PR-B-290주5804-202406</x:v>
      </x:c>
      <x:c r="B3262" s="24" t="str">
        <x:v>프라임구독</x:v>
      </x:c>
      <x:c r="C3262" s="24" t="str">
        <x:v>PR-C-290주5804-1-20240422-107</x:v>
      </x:c>
      <x:c r="D3262" s="24" t="str">
        <x:v>290주5804</x:v>
      </x:c>
      <x:c r="E3262" s="24" t="str">
        <x:v>김순용</x:v>
      </x:c>
      <x:c r="F3262" s="24" t="str">
        <x:v>2024-06</x:v>
      </x:c>
      <x:c r="G3262" s="30" t="n">
        <x:v>45448</x:v>
      </x:c>
      <x:c r="H3262" s="32" t="n">
        <x:v>533000</x:v>
      </x:c>
      <x:c r="I3262" s="32" t="n">
        <x:v>533000</x:v>
      </x:c>
      <x:c r="J3262" s="32" t="n">
        <x:v>0</x:v>
      </x:c>
      <x:c r="K3262" s="30" t="n">
        <x:v>45443</x:v>
      </x:c>
      <x:c r="L3262" s="24" t="str"/>
      <x:c r="M3262" s="31" t="n">
        <x:f>IF(AND(N3262="미수",G3262&lt;&gt;"",TODAY()&gt;G3262),TODAY()-G3262,0)</x:f>
        <x:v>0</x:v>
      </x:c>
      <x:c r="N3262" s="24" t="str">
        <x:f>IF(J3262&gt;0,"미수",IF(AND(H3262&gt;0,I3262&gt;=H3262),"완납","미확인"))</x:f>
        <x:v>완납</x:v>
      </x:c>
      <x:c r="O3262" s="31" t="n">
        <x:v>40</x:v>
      </x:c>
    </x:row>
    <x:row r="3263" ht="17.25" customHeight="1">
      <x:c r="A3263" s="24" t="str">
        <x:v>PR-B-290주5804-202405</x:v>
      </x:c>
      <x:c r="B3263" s="24" t="str">
        <x:v>프라임구독</x:v>
      </x:c>
      <x:c r="C3263" s="24" t="str">
        <x:v>PR-C-290주5804-1-20240422-107</x:v>
      </x:c>
      <x:c r="D3263" s="24" t="str">
        <x:v>290주5804</x:v>
      </x:c>
      <x:c r="E3263" s="24" t="str">
        <x:v>김순용</x:v>
      </x:c>
      <x:c r="F3263" s="24" t="str">
        <x:v>2024-05</x:v>
      </x:c>
      <x:c r="G3263" s="30" t="n">
        <x:v>45417</x:v>
      </x:c>
      <x:c r="H3263" s="32" t="n">
        <x:v>300000</x:v>
      </x:c>
      <x:c r="I3263" s="32" t="n">
        <x:v>300000</x:v>
      </x:c>
      <x:c r="J3263" s="32" t="n">
        <x:v>0</x:v>
      </x:c>
      <x:c r="K3263" s="30" t="n">
        <x:v>45419</x:v>
      </x:c>
      <x:c r="L3263" s="24" t="str"/>
      <x:c r="M3263" s="31" t="n">
        <x:f>IF(AND(N3263="미수",G3263&lt;&gt;"",TODAY()&gt;G3263),TODAY()-G3263,0)</x:f>
        <x:v>0</x:v>
      </x:c>
      <x:c r="N3263" s="24" t="str">
        <x:f>IF(J3263&gt;0,"미수",IF(AND(H3263&gt;0,I3263&gt;=H3263),"완납","미확인"))</x:f>
        <x:v>완납</x:v>
      </x:c>
      <x:c r="O3263" s="31" t="n">
        <x:v>40</x:v>
      </x:c>
    </x:row>
    <x:row r="3264" ht="17.25" customHeight="1">
      <x:c r="A3264" s="24" t="str">
        <x:v>PR-B-49어2497-202608</x:v>
      </x:c>
      <x:c r="B3264" s="24" t="str">
        <x:v>프라임구독</x:v>
      </x:c>
      <x:c r="C3264" s="24" t="str">
        <x:v>PR-C-49어2497-1-20240403-159</x:v>
      </x:c>
      <x:c r="D3264" s="24" t="str">
        <x:v>49어2497</x:v>
      </x:c>
      <x:c r="E3264" s="24" t="str">
        <x:v>양원호</x:v>
      </x:c>
      <x:c r="F3264" s="24" t="str">
        <x:v>2026-08</x:v>
      </x:c>
      <x:c r="G3264" s="30" t="n">
        <x:v>46239</x:v>
      </x:c>
      <x:c r="H3264" s="32" t="n">
        <x:v>559000</x:v>
      </x:c>
      <x:c r="I3264" s="32"/>
      <x:c r="J3264" s="32" t="n">
        <x:v>2755000</x:v>
      </x:c>
      <x:c r="K3264" s="30"/>
      <x:c r="L3264" s="24" t="str"/>
      <x:c r="M3264" s="31" t="n">
        <x:f>IF(AND(N3264="미수",G3264&lt;&gt;"",TODAY()&gt;G3264),TODAY()-G3264,0)</x:f>
        <x:v>10</x:v>
      </x:c>
      <x:c r="N3264" s="24" t="str">
        <x:f>IF(J3264&gt;0,"미수",IF(AND(H3264&gt;0,I3264&gt;=H3264),"완납","미확인"))</x:f>
        <x:v>미수</x:v>
      </x:c>
      <x:c r="O3264" s="31" t="n">
        <x:v>41</x:v>
      </x:c>
    </x:row>
    <x:row r="3265" ht="17.25" customHeight="1">
      <x:c r="A3265" s="24" t="str">
        <x:v>PR-B-49어2497-202607</x:v>
      </x:c>
      <x:c r="B3265" s="24" t="str">
        <x:v>프라임구독</x:v>
      </x:c>
      <x:c r="C3265" s="24" t="str">
        <x:v>PR-C-49어2497-1-20240403-159</x:v>
      </x:c>
      <x:c r="D3265" s="24" t="str">
        <x:v>49어2497</x:v>
      </x:c>
      <x:c r="E3265" s="24" t="str">
        <x:v>양원호</x:v>
      </x:c>
      <x:c r="F3265" s="24" t="str">
        <x:v>2026-07</x:v>
      </x:c>
      <x:c r="G3265" s="30" t="n">
        <x:v>46208</x:v>
      </x:c>
      <x:c r="H3265" s="32" t="n">
        <x:v>559000</x:v>
      </x:c>
      <x:c r="I3265" s="32"/>
      <x:c r="J3265" s="32" t="n">
        <x:v>2196000</x:v>
      </x:c>
      <x:c r="K3265" s="30"/>
      <x:c r="L3265" s="24" t="str"/>
      <x:c r="M3265" s="31" t="n">
        <x:f>IF(AND(N3265="미수",G3265&lt;&gt;"",TODAY()&gt;G3265),TODAY()-G3265,0)</x:f>
        <x:v>41</x:v>
      </x:c>
      <x:c r="N3265" s="24" t="str">
        <x:f>IF(J3265&gt;0,"미수",IF(AND(H3265&gt;0,I3265&gt;=H3265),"완납","미확인"))</x:f>
        <x:v>미수</x:v>
      </x:c>
      <x:c r="O3265" s="31" t="n">
        <x:v>41</x:v>
      </x:c>
    </x:row>
    <x:row r="3266" ht="17.25" customHeight="1">
      <x:c r="A3266" s="24" t="str">
        <x:v>PR-B-49어2497-202606</x:v>
      </x:c>
      <x:c r="B3266" s="24" t="str">
        <x:v>프라임구독</x:v>
      </x:c>
      <x:c r="C3266" s="24" t="str">
        <x:v>PR-C-49어2497-1-20240403-159</x:v>
      </x:c>
      <x:c r="D3266" s="24" t="str">
        <x:v>49어2497</x:v>
      </x:c>
      <x:c r="E3266" s="24" t="str">
        <x:v>양원호</x:v>
      </x:c>
      <x:c r="F3266" s="24" t="str">
        <x:v>2026-06</x:v>
      </x:c>
      <x:c r="G3266" s="30" t="n">
        <x:v>46178</x:v>
      </x:c>
      <x:c r="H3266" s="32" t="n">
        <x:v>559000</x:v>
      </x:c>
      <x:c r="I3266" s="32" t="n">
        <x:v>559000</x:v>
      </x:c>
      <x:c r="J3266" s="32" t="n">
        <x:v>1637000</x:v>
      </x:c>
      <x:c r="K3266" s="30" t="n">
        <x:v>46174</x:v>
      </x:c>
      <x:c r="L3266" s="24" t="str">
        <x:v>입금</x:v>
      </x:c>
      <x:c r="M3266" s="31" t="n">
        <x:f>IF(AND(N3266="미수",G3266&lt;&gt;"",TODAY()&gt;G3266),TODAY()-G3266,0)</x:f>
        <x:v>71</x:v>
      </x:c>
      <x:c r="N3266" s="24" t="str">
        <x:f>IF(J3266&gt;0,"미수",IF(AND(H3266&gt;0,I3266&gt;=H3266),"완납","미확인"))</x:f>
        <x:v>미수</x:v>
      </x:c>
      <x:c r="O3266" s="31" t="n">
        <x:v>41</x:v>
      </x:c>
    </x:row>
    <x:row r="3267" ht="17.25" customHeight="1">
      <x:c r="A3267" s="24" t="str">
        <x:v>PR-B-49어2497-202605</x:v>
      </x:c>
      <x:c r="B3267" s="24" t="str">
        <x:v>프라임구독</x:v>
      </x:c>
      <x:c r="C3267" s="24" t="str">
        <x:v>PR-C-49어2497-1-20240403-159</x:v>
      </x:c>
      <x:c r="D3267" s="24" t="str">
        <x:v>49어2497</x:v>
      </x:c>
      <x:c r="E3267" s="24" t="str">
        <x:v>양원호</x:v>
      </x:c>
      <x:c r="F3267" s="24" t="str">
        <x:v>2026-05</x:v>
      </x:c>
      <x:c r="G3267" s="30" t="n">
        <x:v>46147</x:v>
      </x:c>
      <x:c r="H3267" s="32" t="n">
        <x:v>559000</x:v>
      </x:c>
      <x:c r="I3267" s="32"/>
      <x:c r="J3267" s="32" t="n">
        <x:v>1637000</x:v>
      </x:c>
      <x:c r="K3267" s="30"/>
      <x:c r="L3267" s="24" t="str"/>
      <x:c r="M3267" s="31" t="n">
        <x:f>IF(AND(N3267="미수",G3267&lt;&gt;"",TODAY()&gt;G3267),TODAY()-G3267,0)</x:f>
        <x:v>102</x:v>
      </x:c>
      <x:c r="N3267" s="24" t="str">
        <x:f>IF(J3267&gt;0,"미수",IF(AND(H3267&gt;0,I3267&gt;=H3267),"완납","미확인"))</x:f>
        <x:v>미수</x:v>
      </x:c>
      <x:c r="O3267" s="31" t="n">
        <x:v>41</x:v>
      </x:c>
    </x:row>
    <x:row r="3268" ht="17.25" customHeight="1">
      <x:c r="A3268" s="24" t="str">
        <x:v>PR-B-49어2497-202604</x:v>
      </x:c>
      <x:c r="B3268" s="24" t="str">
        <x:v>프라임구독</x:v>
      </x:c>
      <x:c r="C3268" s="24" t="str">
        <x:v>PR-C-49어2497-1-20240403-159</x:v>
      </x:c>
      <x:c r="D3268" s="24" t="str">
        <x:v>49어2497</x:v>
      </x:c>
      <x:c r="E3268" s="24" t="str">
        <x:v>양원호</x:v>
      </x:c>
      <x:c r="F3268" s="24" t="str">
        <x:v>2026-04</x:v>
      </x:c>
      <x:c r="G3268" s="30" t="n">
        <x:v>46117</x:v>
      </x:c>
      <x:c r="H3268" s="32" t="n">
        <x:v>559000</x:v>
      </x:c>
      <x:c r="I3268" s="32"/>
      <x:c r="J3268" s="32" t="n">
        <x:v>1078000</x:v>
      </x:c>
      <x:c r="K3268" s="30"/>
      <x:c r="L3268" s="24" t="str"/>
      <x:c r="M3268" s="31" t="n">
        <x:f>IF(AND(N3268="미수",G3268&lt;&gt;"",TODAY()&gt;G3268),TODAY()-G3268,0)</x:f>
        <x:v>132</x:v>
      </x:c>
      <x:c r="N3268" s="24" t="str">
        <x:f>IF(J3268&gt;0,"미수",IF(AND(H3268&gt;0,I3268&gt;=H3268),"완납","미확인"))</x:f>
        <x:v>미수</x:v>
      </x:c>
      <x:c r="O3268" s="31" t="n">
        <x:v>41</x:v>
      </x:c>
    </x:row>
    <x:row r="3269" ht="17.25" customHeight="1">
      <x:c r="A3269" s="24" t="str">
        <x:v>PR-B-49어2497-202603</x:v>
      </x:c>
      <x:c r="B3269" s="24" t="str">
        <x:v>프라임구독</x:v>
      </x:c>
      <x:c r="C3269" s="24" t="str">
        <x:v>PR-C-49어2497-1-20240403-159</x:v>
      </x:c>
      <x:c r="D3269" s="24" t="str">
        <x:v>49어2497</x:v>
      </x:c>
      <x:c r="E3269" s="24" t="str">
        <x:v>양원호</x:v>
      </x:c>
      <x:c r="F3269" s="24" t="str">
        <x:v>2026-03</x:v>
      </x:c>
      <x:c r="G3269" s="30" t="n">
        <x:v>46086</x:v>
      </x:c>
      <x:c r="H3269" s="32" t="n">
        <x:v>559000</x:v>
      </x:c>
      <x:c r="I3269" s="32" t="n">
        <x:v>559000</x:v>
      </x:c>
      <x:c r="J3269" s="32" t="n">
        <x:v>519000</x:v>
      </x:c>
      <x:c r="K3269" s="30" t="n">
        <x:v>46108</x:v>
      </x:c>
      <x:c r="L3269" s="24" t="str">
        <x:v>입금</x:v>
      </x:c>
      <x:c r="M3269" s="31" t="n">
        <x:f>IF(AND(N3269="미수",G3269&lt;&gt;"",TODAY()&gt;G3269),TODAY()-G3269,0)</x:f>
        <x:v>163</x:v>
      </x:c>
      <x:c r="N3269" s="24" t="str">
        <x:f>IF(J3269&gt;0,"미수",IF(AND(H3269&gt;0,I3269&gt;=H3269),"완납","미확인"))</x:f>
        <x:v>미수</x:v>
      </x:c>
      <x:c r="O3269" s="31" t="n">
        <x:v>41</x:v>
      </x:c>
    </x:row>
    <x:row r="3270" ht="17.25" customHeight="1">
      <x:c r="A3270" s="24" t="str">
        <x:v>PR-B-49어2497-202602</x:v>
      </x:c>
      <x:c r="B3270" s="24" t="str">
        <x:v>프라임구독</x:v>
      </x:c>
      <x:c r="C3270" s="24" t="str">
        <x:v>PR-C-49어2497-1-20240403-159</x:v>
      </x:c>
      <x:c r="D3270" s="24" t="str">
        <x:v>49어2497</x:v>
      </x:c>
      <x:c r="E3270" s="24" t="str">
        <x:v>양원호</x:v>
      </x:c>
      <x:c r="F3270" s="24" t="str">
        <x:v>2026-02</x:v>
      </x:c>
      <x:c r="G3270" s="30" t="n">
        <x:v>46058</x:v>
      </x:c>
      <x:c r="H3270" s="32" t="n">
        <x:v>559000</x:v>
      </x:c>
      <x:c r="I3270" s="32" t="n">
        <x:v>559000</x:v>
      </x:c>
      <x:c r="J3270" s="32" t="n">
        <x:v>519000</x:v>
      </x:c>
      <x:c r="K3270" s="30" t="n">
        <x:v>46080</x:v>
      </x:c>
      <x:c r="L3270" s="24" t="str">
        <x:v>입금</x:v>
      </x:c>
      <x:c r="M3270" s="31" t="n">
        <x:f>IF(AND(N3270="미수",G3270&lt;&gt;"",TODAY()&gt;G3270),TODAY()-G3270,0)</x:f>
        <x:v>191</x:v>
      </x:c>
      <x:c r="N3270" s="24" t="str">
        <x:f>IF(J3270&gt;0,"미수",IF(AND(H3270&gt;0,I3270&gt;=H3270),"완납","미확인"))</x:f>
        <x:v>미수</x:v>
      </x:c>
      <x:c r="O3270" s="31" t="n">
        <x:v>41</x:v>
      </x:c>
    </x:row>
    <x:row r="3271" ht="17.25" customHeight="1">
      <x:c r="A3271" s="24" t="str">
        <x:v>PR-B-49어2497-202601</x:v>
      </x:c>
      <x:c r="B3271" s="24" t="str">
        <x:v>프라임구독</x:v>
      </x:c>
      <x:c r="C3271" s="24" t="str">
        <x:v>PR-C-49어2497-1-20240403-159</x:v>
      </x:c>
      <x:c r="D3271" s="24" t="str">
        <x:v>49어2497</x:v>
      </x:c>
      <x:c r="E3271" s="24" t="str">
        <x:v>양원호</x:v>
      </x:c>
      <x:c r="F3271" s="24" t="str">
        <x:v>2026-01</x:v>
      </x:c>
      <x:c r="G3271" s="30" t="n">
        <x:v>46027</x:v>
      </x:c>
      <x:c r="H3271" s="32" t="n">
        <x:v>559000</x:v>
      </x:c>
      <x:c r="I3271" s="32"/>
      <x:c r="J3271" s="32" t="n">
        <x:v>519000</x:v>
      </x:c>
      <x:c r="K3271" s="30"/>
      <x:c r="L3271" s="24" t="str"/>
      <x:c r="M3271" s="31" t="n">
        <x:f>IF(AND(N3271="미수",G3271&lt;&gt;"",TODAY()&gt;G3271),TODAY()-G3271,0)</x:f>
        <x:v>222</x:v>
      </x:c>
      <x:c r="N3271" s="24" t="str">
        <x:f>IF(J3271&gt;0,"미수",IF(AND(H3271&gt;0,I3271&gt;=H3271),"완납","미확인"))</x:f>
        <x:v>미수</x:v>
      </x:c>
      <x:c r="O3271" s="31" t="n">
        <x:v>41</x:v>
      </x:c>
    </x:row>
    <x:row r="3272" ht="17.25" customHeight="1">
      <x:c r="A3272" s="24" t="str">
        <x:v>PR-B-49어2497-202512</x:v>
      </x:c>
      <x:c r="B3272" s="24" t="str">
        <x:v>프라임구독</x:v>
      </x:c>
      <x:c r="C3272" s="24" t="str">
        <x:v>PR-C-49어2497-1-20240403-159</x:v>
      </x:c>
      <x:c r="D3272" s="24" t="str">
        <x:v>49어2497</x:v>
      </x:c>
      <x:c r="E3272" s="24" t="str">
        <x:v>양원호</x:v>
      </x:c>
      <x:c r="F3272" s="24" t="str">
        <x:v>2025-12</x:v>
      </x:c>
      <x:c r="G3272" s="30" t="n">
        <x:v>45996</x:v>
      </x:c>
      <x:c r="H3272" s="32" t="n">
        <x:v>559000</x:v>
      </x:c>
      <x:c r="I3272" s="32" t="n">
        <x:v>559000</x:v>
      </x:c>
      <x:c r="J3272" s="32" t="n">
        <x:v>-40000</x:v>
      </x:c>
      <x:c r="K3272" s="30" t="n">
        <x:v>46017</x:v>
      </x:c>
      <x:c r="L3272" s="24" t="str">
        <x:v>입금</x:v>
      </x:c>
      <x:c r="M3272" s="31" t="n">
        <x:f>IF(AND(N3272="미수",G3272&lt;&gt;"",TODAY()&gt;G3272),TODAY()-G3272,0)</x:f>
        <x:v>0</x:v>
      </x:c>
      <x:c r="N3272" s="24" t="str">
        <x:f>IF(J3272&gt;0,"미수",IF(AND(H3272&gt;0,I3272&gt;=H3272),"완납","미확인"))</x:f>
        <x:v>완납</x:v>
      </x:c>
      <x:c r="O3272" s="31" t="n">
        <x:v>41</x:v>
      </x:c>
    </x:row>
    <x:row r="3273" ht="17.25" customHeight="1">
      <x:c r="A3273" s="24" t="str">
        <x:v>PR-B-49어2497-202511</x:v>
      </x:c>
      <x:c r="B3273" s="24" t="str">
        <x:v>프라임구독</x:v>
      </x:c>
      <x:c r="C3273" s="24" t="str">
        <x:v>PR-C-49어2497-1-20240403-159</x:v>
      </x:c>
      <x:c r="D3273" s="24" t="str">
        <x:v>49어2497</x:v>
      </x:c>
      <x:c r="E3273" s="24" t="str">
        <x:v>양원호</x:v>
      </x:c>
      <x:c r="F3273" s="24" t="str">
        <x:v>2025-11</x:v>
      </x:c>
      <x:c r="G3273" s="30" t="n">
        <x:v>45966</x:v>
      </x:c>
      <x:c r="H3273" s="32" t="n">
        <x:v>559000</x:v>
      </x:c>
      <x:c r="I3273" s="32" t="n">
        <x:v>559000</x:v>
      </x:c>
      <x:c r="J3273" s="32" t="n">
        <x:v>-40000</x:v>
      </x:c>
      <x:c r="K3273" s="30" t="n">
        <x:v>45988</x:v>
      </x:c>
      <x:c r="L3273" s="24" t="str">
        <x:v>입금</x:v>
      </x:c>
      <x:c r="M3273" s="31" t="n">
        <x:f>IF(AND(N3273="미수",G3273&lt;&gt;"",TODAY()&gt;G3273),TODAY()-G3273,0)</x:f>
        <x:v>0</x:v>
      </x:c>
      <x:c r="N3273" s="24" t="str">
        <x:f>IF(J3273&gt;0,"미수",IF(AND(H3273&gt;0,I3273&gt;=H3273),"완납","미확인"))</x:f>
        <x:v>완납</x:v>
      </x:c>
      <x:c r="O3273" s="31" t="n">
        <x:v>41</x:v>
      </x:c>
    </x:row>
    <x:row r="3274" ht="17.25" customHeight="1">
      <x:c r="A3274" s="24" t="str">
        <x:v>PR-B-49어2497-202510</x:v>
      </x:c>
      <x:c r="B3274" s="24" t="str">
        <x:v>프라임구독</x:v>
      </x:c>
      <x:c r="C3274" s="24" t="str">
        <x:v>PR-C-49어2497-1-20240403-159</x:v>
      </x:c>
      <x:c r="D3274" s="24" t="str">
        <x:v>49어2497</x:v>
      </x:c>
      <x:c r="E3274" s="24" t="str">
        <x:v>양원호</x:v>
      </x:c>
      <x:c r="F3274" s="24" t="str">
        <x:v>2025-10</x:v>
      </x:c>
      <x:c r="G3274" s="30" t="n">
        <x:v>45935</x:v>
      </x:c>
      <x:c r="H3274" s="32" t="n">
        <x:v>559000</x:v>
      </x:c>
      <x:c r="I3274" s="32" t="n">
        <x:v>559000</x:v>
      </x:c>
      <x:c r="J3274" s="32" t="n">
        <x:v>-40000</x:v>
      </x:c>
      <x:c r="K3274" s="30" t="n">
        <x:v>45958</x:v>
      </x:c>
      <x:c r="L3274" s="24" t="str">
        <x:v>입금</x:v>
      </x:c>
      <x:c r="M3274" s="31" t="n">
        <x:f>IF(AND(N3274="미수",G3274&lt;&gt;"",TODAY()&gt;G3274),TODAY()-G3274,0)</x:f>
        <x:v>0</x:v>
      </x:c>
      <x:c r="N3274" s="24" t="str">
        <x:f>IF(J3274&gt;0,"미수",IF(AND(H3274&gt;0,I3274&gt;=H3274),"완납","미확인"))</x:f>
        <x:v>완납</x:v>
      </x:c>
      <x:c r="O3274" s="31" t="n">
        <x:v>41</x:v>
      </x:c>
    </x:row>
    <x:row r="3275" ht="17.25" customHeight="1">
      <x:c r="A3275" s="24" t="str">
        <x:v>PR-B-49어2497-202509</x:v>
      </x:c>
      <x:c r="B3275" s="24" t="str">
        <x:v>프라임구독</x:v>
      </x:c>
      <x:c r="C3275" s="24" t="str">
        <x:v>PR-C-49어2497-1-20240403-159</x:v>
      </x:c>
      <x:c r="D3275" s="24" t="str">
        <x:v>49어2497</x:v>
      </x:c>
      <x:c r="E3275" s="24" t="str">
        <x:v>양원호</x:v>
      </x:c>
      <x:c r="F3275" s="24" t="str">
        <x:v>2025-09</x:v>
      </x:c>
      <x:c r="G3275" s="30" t="n">
        <x:v>45905</x:v>
      </x:c>
      <x:c r="H3275" s="32" t="n">
        <x:v>559000</x:v>
      </x:c>
      <x:c r="I3275" s="32" t="n">
        <x:v>559000</x:v>
      </x:c>
      <x:c r="J3275" s="32" t="n">
        <x:v>-40000</x:v>
      </x:c>
      <x:c r="K3275" s="30" t="n">
        <x:v>45926</x:v>
      </x:c>
      <x:c r="L3275" s="24" t="str">
        <x:v>입금</x:v>
      </x:c>
      <x:c r="M3275" s="31" t="n">
        <x:f>IF(AND(N3275="미수",G3275&lt;&gt;"",TODAY()&gt;G3275),TODAY()-G3275,0)</x:f>
        <x:v>0</x:v>
      </x:c>
      <x:c r="N3275" s="24" t="str">
        <x:f>IF(J3275&gt;0,"미수",IF(AND(H3275&gt;0,I3275&gt;=H3275),"완납","미확인"))</x:f>
        <x:v>완납</x:v>
      </x:c>
      <x:c r="O3275" s="31" t="n">
        <x:v>41</x:v>
      </x:c>
    </x:row>
    <x:row r="3276" ht="17.25" customHeight="1">
      <x:c r="A3276" s="24" t="str">
        <x:v>PR-B-49어2497-202508</x:v>
      </x:c>
      <x:c r="B3276" s="24" t="str">
        <x:v>프라임구독</x:v>
      </x:c>
      <x:c r="C3276" s="24" t="str">
        <x:v>PR-C-49어2497-1-20240403-159</x:v>
      </x:c>
      <x:c r="D3276" s="24" t="str">
        <x:v>49어2497</x:v>
      </x:c>
      <x:c r="E3276" s="24" t="str">
        <x:v>양원호</x:v>
      </x:c>
      <x:c r="F3276" s="24" t="str">
        <x:v>2025-08</x:v>
      </x:c>
      <x:c r="G3276" s="30" t="n">
        <x:v>45874</x:v>
      </x:c>
      <x:c r="H3276" s="32" t="n">
        <x:v>559000</x:v>
      </x:c>
      <x:c r="I3276" s="32" t="n">
        <x:v>519000</x:v>
      </x:c>
      <x:c r="J3276" s="32" t="n">
        <x:v>-40000</x:v>
      </x:c>
      <x:c r="K3276" s="30" t="n">
        <x:v>45896</x:v>
      </x:c>
      <x:c r="L3276" s="24" t="str">
        <x:v>입금</x:v>
      </x:c>
      <x:c r="M3276" s="31" t="n">
        <x:f>IF(AND(N3276="미수",G3276&lt;&gt;"",TODAY()&gt;G3276),TODAY()-G3276,0)</x:f>
        <x:v>0</x:v>
      </x:c>
      <x:c r="N3276" s="24" t="str">
        <x:f>IF(J3276&gt;0,"미수",IF(AND(H3276&gt;0,I3276&gt;=H3276),"완납","미확인"))</x:f>
        <x:v>미확인</x:v>
      </x:c>
      <x:c r="O3276" s="31" t="n">
        <x:v>41</x:v>
      </x:c>
    </x:row>
    <x:row r="3277" ht="17.25" customHeight="1">
      <x:c r="A3277" s="24" t="str">
        <x:v>PR-B-49어2497-202507</x:v>
      </x:c>
      <x:c r="B3277" s="24" t="str">
        <x:v>프라임구독</x:v>
      </x:c>
      <x:c r="C3277" s="24" t="str">
        <x:v>PR-C-49어2497-1-20240403-159</x:v>
      </x:c>
      <x:c r="D3277" s="24" t="str">
        <x:v>49어2497</x:v>
      </x:c>
      <x:c r="E3277" s="24" t="str">
        <x:v>양원호</x:v>
      </x:c>
      <x:c r="F3277" s="24" t="str">
        <x:v>2025-07</x:v>
      </x:c>
      <x:c r="G3277" s="30" t="n">
        <x:v>45843</x:v>
      </x:c>
      <x:c r="H3277" s="32" t="n">
        <x:v>559000</x:v>
      </x:c>
      <x:c r="I3277" s="32" t="n">
        <x:v>559000</x:v>
      </x:c>
      <x:c r="J3277" s="32" t="n">
        <x:v>-80000</x:v>
      </x:c>
      <x:c r="K3277" s="30" t="n">
        <x:v>45863</x:v>
      </x:c>
      <x:c r="L3277" s="24" t="str">
        <x:v>입금</x:v>
      </x:c>
      <x:c r="M3277" s="31" t="n">
        <x:f>IF(AND(N3277="미수",G3277&lt;&gt;"",TODAY()&gt;G3277),TODAY()-G3277,0)</x:f>
        <x:v>0</x:v>
      </x:c>
      <x:c r="N3277" s="24" t="str">
        <x:f>IF(J3277&gt;0,"미수",IF(AND(H3277&gt;0,I3277&gt;=H3277),"완납","미확인"))</x:f>
        <x:v>완납</x:v>
      </x:c>
      <x:c r="O3277" s="31" t="n">
        <x:v>41</x:v>
      </x:c>
    </x:row>
    <x:row r="3278" ht="17.25" customHeight="1">
      <x:c r="A3278" s="24" t="str">
        <x:v>PR-B-49어2497-202506</x:v>
      </x:c>
      <x:c r="B3278" s="24" t="str">
        <x:v>프라임구독</x:v>
      </x:c>
      <x:c r="C3278" s="24" t="str">
        <x:v>PR-C-49어2497-1-20240403-159</x:v>
      </x:c>
      <x:c r="D3278" s="24" t="str">
        <x:v>49어2497</x:v>
      </x:c>
      <x:c r="E3278" s="24" t="str">
        <x:v>양원호</x:v>
      </x:c>
      <x:c r="F3278" s="24" t="str">
        <x:v>2025-06</x:v>
      </x:c>
      <x:c r="G3278" s="30" t="n">
        <x:v>45813</x:v>
      </x:c>
      <x:c r="H3278" s="32" t="n">
        <x:v>559000</x:v>
      </x:c>
      <x:c r="I3278" s="32" t="n">
        <x:v>599000</x:v>
      </x:c>
      <x:c r="J3278" s="32" t="n">
        <x:v>-80000</x:v>
      </x:c>
      <x:c r="K3278" s="30" t="n">
        <x:v>45835</x:v>
      </x:c>
      <x:c r="L3278" s="24" t="str">
        <x:v>입금</x:v>
      </x:c>
      <x:c r="M3278" s="31" t="n">
        <x:f>IF(AND(N3278="미수",G3278&lt;&gt;"",TODAY()&gt;G3278),TODAY()-G3278,0)</x:f>
        <x:v>0</x:v>
      </x:c>
      <x:c r="N3278" s="24" t="str">
        <x:f>IF(J3278&gt;0,"미수",IF(AND(H3278&gt;0,I3278&gt;=H3278),"완납","미확인"))</x:f>
        <x:v>완납</x:v>
      </x:c>
      <x:c r="O3278" s="31" t="n">
        <x:v>41</x:v>
      </x:c>
    </x:row>
    <x:row r="3279" ht="17.25" customHeight="1">
      <x:c r="A3279" s="24" t="str">
        <x:v>PR-B-49어2497-202505</x:v>
      </x:c>
      <x:c r="B3279" s="24" t="str">
        <x:v>프라임구독</x:v>
      </x:c>
      <x:c r="C3279" s="24" t="str">
        <x:v>PR-C-49어2497-1-20240403-159</x:v>
      </x:c>
      <x:c r="D3279" s="24" t="str">
        <x:v>49어2497</x:v>
      </x:c>
      <x:c r="E3279" s="24" t="str">
        <x:v>양원호</x:v>
      </x:c>
      <x:c r="F3279" s="24" t="str">
        <x:v>2025-05</x:v>
      </x:c>
      <x:c r="G3279" s="30" t="n">
        <x:v>45782</x:v>
      </x:c>
      <x:c r="H3279" s="32" t="n">
        <x:v>559000</x:v>
      </x:c>
      <x:c r="I3279" s="32" t="n">
        <x:v>559000</x:v>
      </x:c>
      <x:c r="J3279" s="32" t="n">
        <x:v>-40000</x:v>
      </x:c>
      <x:c r="K3279" s="30" t="n">
        <x:v>45804</x:v>
      </x:c>
      <x:c r="L3279" s="24" t="str">
        <x:v>입금</x:v>
      </x:c>
      <x:c r="M3279" s="31" t="n">
        <x:f>IF(AND(N3279="미수",G3279&lt;&gt;"",TODAY()&gt;G3279),TODAY()-G3279,0)</x:f>
        <x:v>0</x:v>
      </x:c>
      <x:c r="N3279" s="24" t="str">
        <x:f>IF(J3279&gt;0,"미수",IF(AND(H3279&gt;0,I3279&gt;=H3279),"완납","미확인"))</x:f>
        <x:v>완납</x:v>
      </x:c>
      <x:c r="O3279" s="31" t="n">
        <x:v>41</x:v>
      </x:c>
    </x:row>
    <x:row r="3280" ht="17.25" customHeight="1">
      <x:c r="A3280" s="24" t="str">
        <x:v>PR-B-49어2497-202504</x:v>
      </x:c>
      <x:c r="B3280" s="24" t="str">
        <x:v>프라임구독</x:v>
      </x:c>
      <x:c r="C3280" s="24" t="str">
        <x:v>PR-C-49어2497-1-20240403-159</x:v>
      </x:c>
      <x:c r="D3280" s="24" t="str">
        <x:v>49어2497</x:v>
      </x:c>
      <x:c r="E3280" s="24" t="str">
        <x:v>양원호</x:v>
      </x:c>
      <x:c r="F3280" s="24" t="str">
        <x:v>2025-04</x:v>
      </x:c>
      <x:c r="G3280" s="30" t="n">
        <x:v>45752</x:v>
      </x:c>
      <x:c r="H3280" s="32" t="n">
        <x:v>559000</x:v>
      </x:c>
      <x:c r="I3280" s="32" t="n">
        <x:v>599000</x:v>
      </x:c>
      <x:c r="J3280" s="32" t="n">
        <x:v>-40000</x:v>
      </x:c>
      <x:c r="K3280" s="30" t="n">
        <x:v>45772</x:v>
      </x:c>
      <x:c r="L3280" s="24" t="str">
        <x:v>입금</x:v>
      </x:c>
      <x:c r="M3280" s="31" t="n">
        <x:f>IF(AND(N3280="미수",G3280&lt;&gt;"",TODAY()&gt;G3280),TODAY()-G3280,0)</x:f>
        <x:v>0</x:v>
      </x:c>
      <x:c r="N3280" s="24" t="str">
        <x:f>IF(J3280&gt;0,"미수",IF(AND(H3280&gt;0,I3280&gt;=H3280),"완납","미확인"))</x:f>
        <x:v>완납</x:v>
      </x:c>
      <x:c r="O3280" s="31" t="n">
        <x:v>41</x:v>
      </x:c>
    </x:row>
    <x:row r="3281" ht="17.25" customHeight="1">
      <x:c r="A3281" s="24" t="str">
        <x:v>PR-B-49어2497-202503</x:v>
      </x:c>
      <x:c r="B3281" s="24" t="str">
        <x:v>프라임구독</x:v>
      </x:c>
      <x:c r="C3281" s="24" t="str">
        <x:v>PR-C-49어2497-1-20240403-159</x:v>
      </x:c>
      <x:c r="D3281" s="24" t="str">
        <x:v>49어2497</x:v>
      </x:c>
      <x:c r="E3281" s="24" t="str">
        <x:v>양원호</x:v>
      </x:c>
      <x:c r="F3281" s="24" t="str">
        <x:v>2025-03</x:v>
      </x:c>
      <x:c r="G3281" s="30" t="n">
        <x:v>45721</x:v>
      </x:c>
      <x:c r="H3281" s="32" t="n">
        <x:v>559000</x:v>
      </x:c>
      <x:c r="I3281" s="32" t="n">
        <x:v>559000</x:v>
      </x:c>
      <x:c r="J3281" s="32" t="n">
        <x:v>0</x:v>
      </x:c>
      <x:c r="K3281" s="30" t="n">
        <x:v>45745</x:v>
      </x:c>
      <x:c r="L3281" s="24" t="str">
        <x:v>입금</x:v>
      </x:c>
      <x:c r="M3281" s="31" t="n">
        <x:f>IF(AND(N3281="미수",G3281&lt;&gt;"",TODAY()&gt;G3281),TODAY()-G3281,0)</x:f>
        <x:v>0</x:v>
      </x:c>
      <x:c r="N3281" s="24" t="str">
        <x:f>IF(J3281&gt;0,"미수",IF(AND(H3281&gt;0,I3281&gt;=H3281),"완납","미확인"))</x:f>
        <x:v>완납</x:v>
      </x:c>
      <x:c r="O3281" s="31" t="n">
        <x:v>41</x:v>
      </x:c>
    </x:row>
    <x:row r="3282" ht="17.25" customHeight="1">
      <x:c r="A3282" s="24" t="str">
        <x:v>PR-B-49어2497-202502</x:v>
      </x:c>
      <x:c r="B3282" s="24" t="str">
        <x:v>프라임구독</x:v>
      </x:c>
      <x:c r="C3282" s="24" t="str">
        <x:v>PR-C-49어2497-1-20240403-159</x:v>
      </x:c>
      <x:c r="D3282" s="24" t="str">
        <x:v>49어2497</x:v>
      </x:c>
      <x:c r="E3282" s="24" t="str">
        <x:v>양원호</x:v>
      </x:c>
      <x:c r="F3282" s="24" t="str">
        <x:v>2025-02</x:v>
      </x:c>
      <x:c r="G3282" s="30" t="n">
        <x:v>45693</x:v>
      </x:c>
      <x:c r="H3282" s="32" t="n">
        <x:v>559000</x:v>
      </x:c>
      <x:c r="I3282" s="32" t="n">
        <x:v>559000</x:v>
      </x:c>
      <x:c r="J3282" s="32" t="n">
        <x:v>0</x:v>
      </x:c>
      <x:c r="K3282" s="30" t="n">
        <x:v>45716</x:v>
      </x:c>
      <x:c r="L3282" s="24" t="str">
        <x:v>입금</x:v>
      </x:c>
      <x:c r="M3282" s="31" t="n">
        <x:f>IF(AND(N3282="미수",G3282&lt;&gt;"",TODAY()&gt;G3282),TODAY()-G3282,0)</x:f>
        <x:v>0</x:v>
      </x:c>
      <x:c r="N3282" s="24" t="str">
        <x:f>IF(J3282&gt;0,"미수",IF(AND(H3282&gt;0,I3282&gt;=H3282),"완납","미확인"))</x:f>
        <x:v>완납</x:v>
      </x:c>
      <x:c r="O3282" s="31" t="n">
        <x:v>41</x:v>
      </x:c>
    </x:row>
    <x:row r="3283" ht="17.25" customHeight="1">
      <x:c r="A3283" s="24" t="str">
        <x:v>PR-B-49어2497-202501</x:v>
      </x:c>
      <x:c r="B3283" s="24" t="str">
        <x:v>프라임구독</x:v>
      </x:c>
      <x:c r="C3283" s="24" t="str">
        <x:v>PR-C-49어2497-1-20240403-159</x:v>
      </x:c>
      <x:c r="D3283" s="24" t="str">
        <x:v>49어2497</x:v>
      </x:c>
      <x:c r="E3283" s="24" t="str">
        <x:v>양원호</x:v>
      </x:c>
      <x:c r="F3283" s="24" t="str">
        <x:v>2025-01</x:v>
      </x:c>
      <x:c r="G3283" s="30" t="n">
        <x:v>45662</x:v>
      </x:c>
      <x:c r="H3283" s="32" t="n">
        <x:v>559000</x:v>
      </x:c>
      <x:c r="I3283" s="32" t="n">
        <x:v>559000</x:v>
      </x:c>
      <x:c r="J3283" s="32" t="n">
        <x:v>0</x:v>
      </x:c>
      <x:c r="K3283" s="30" t="n">
        <x:v>45681</x:v>
      </x:c>
      <x:c r="L3283" s="24" t="str">
        <x:v>입금</x:v>
      </x:c>
      <x:c r="M3283" s="31" t="n">
        <x:f>IF(AND(N3283="미수",G3283&lt;&gt;"",TODAY()&gt;G3283),TODAY()-G3283,0)</x:f>
        <x:v>0</x:v>
      </x:c>
      <x:c r="N3283" s="24" t="str">
        <x:f>IF(J3283&gt;0,"미수",IF(AND(H3283&gt;0,I3283&gt;=H3283),"완납","미확인"))</x:f>
        <x:v>완납</x:v>
      </x:c>
      <x:c r="O3283" s="31" t="n">
        <x:v>41</x:v>
      </x:c>
    </x:row>
    <x:row r="3284" ht="17.25" customHeight="1">
      <x:c r="A3284" s="24" t="str">
        <x:v>PR-B-49어2497-202412</x:v>
      </x:c>
      <x:c r="B3284" s="24" t="str">
        <x:v>프라임구독</x:v>
      </x:c>
      <x:c r="C3284" s="24" t="str">
        <x:v>PR-C-49어2497-1-20240403-159</x:v>
      </x:c>
      <x:c r="D3284" s="24" t="str">
        <x:v>49어2497</x:v>
      </x:c>
      <x:c r="E3284" s="24" t="str">
        <x:v>양원호</x:v>
      </x:c>
      <x:c r="F3284" s="24" t="str">
        <x:v>2024-12</x:v>
      </x:c>
      <x:c r="G3284" s="30" t="n">
        <x:v>45631</x:v>
      </x:c>
      <x:c r="H3284" s="32" t="n">
        <x:v>559000</x:v>
      </x:c>
      <x:c r="I3284" s="32" t="n">
        <x:v>559000</x:v>
      </x:c>
      <x:c r="J3284" s="32" t="n">
        <x:v>0</x:v>
      </x:c>
      <x:c r="K3284" s="30" t="n">
        <x:v>45653</x:v>
      </x:c>
      <x:c r="L3284" s="24" t="str">
        <x:v>입금</x:v>
      </x:c>
      <x:c r="M3284" s="31" t="n">
        <x:f>IF(AND(N3284="미수",G3284&lt;&gt;"",TODAY()&gt;G3284),TODAY()-G3284,0)</x:f>
        <x:v>0</x:v>
      </x:c>
      <x:c r="N3284" s="24" t="str">
        <x:f>IF(J3284&gt;0,"미수",IF(AND(H3284&gt;0,I3284&gt;=H3284),"완납","미확인"))</x:f>
        <x:v>완납</x:v>
      </x:c>
      <x:c r="O3284" s="31" t="n">
        <x:v>41</x:v>
      </x:c>
    </x:row>
    <x:row r="3285" ht="17.25" customHeight="1">
      <x:c r="A3285" s="24" t="str">
        <x:v>PR-B-49어2497-202411</x:v>
      </x:c>
      <x:c r="B3285" s="24" t="str">
        <x:v>프라임구독</x:v>
      </x:c>
      <x:c r="C3285" s="24" t="str">
        <x:v>PR-C-49어2497-1-20240403-159</x:v>
      </x:c>
      <x:c r="D3285" s="24" t="str">
        <x:v>49어2497</x:v>
      </x:c>
      <x:c r="E3285" s="24" t="str">
        <x:v>양원호</x:v>
      </x:c>
      <x:c r="F3285" s="24" t="str">
        <x:v>2024-11</x:v>
      </x:c>
      <x:c r="G3285" s="30" t="n">
        <x:v>45601</x:v>
      </x:c>
      <x:c r="H3285" s="32" t="n">
        <x:v>559000</x:v>
      </x:c>
      <x:c r="I3285" s="32" t="n">
        <x:v>559000</x:v>
      </x:c>
      <x:c r="J3285" s="32" t="n">
        <x:v>0</x:v>
      </x:c>
      <x:c r="K3285" s="30" t="n">
        <x:v>45617</x:v>
      </x:c>
      <x:c r="L3285" s="24" t="str">
        <x:v>입금</x:v>
      </x:c>
      <x:c r="M3285" s="31" t="n">
        <x:f>IF(AND(N3285="미수",G3285&lt;&gt;"",TODAY()&gt;G3285),TODAY()-G3285,0)</x:f>
        <x:v>0</x:v>
      </x:c>
      <x:c r="N3285" s="24" t="str">
        <x:f>IF(J3285&gt;0,"미수",IF(AND(H3285&gt;0,I3285&gt;=H3285),"완납","미확인"))</x:f>
        <x:v>완납</x:v>
      </x:c>
      <x:c r="O3285" s="31" t="n">
        <x:v>41</x:v>
      </x:c>
    </x:row>
    <x:row r="3286" ht="17.25" customHeight="1">
      <x:c r="A3286" s="24" t="str">
        <x:v>PR-B-49어2497-202410</x:v>
      </x:c>
      <x:c r="B3286" s="24" t="str">
        <x:v>프라임구독</x:v>
      </x:c>
      <x:c r="C3286" s="24" t="str">
        <x:v>PR-C-49어2497-1-20240403-159</x:v>
      </x:c>
      <x:c r="D3286" s="24" t="str">
        <x:v>49어2497</x:v>
      </x:c>
      <x:c r="E3286" s="24" t="str">
        <x:v>양원호</x:v>
      </x:c>
      <x:c r="F3286" s="24" t="str">
        <x:v>2024-10</x:v>
      </x:c>
      <x:c r="G3286" s="30" t="n">
        <x:v>45570</x:v>
      </x:c>
      <x:c r="H3286" s="32" t="n">
        <x:v>559000</x:v>
      </x:c>
      <x:c r="I3286" s="32" t="n">
        <x:v>559000</x:v>
      </x:c>
      <x:c r="J3286" s="32" t="n">
        <x:v>0</x:v>
      </x:c>
      <x:c r="K3286" s="30" t="n">
        <x:v>45573</x:v>
      </x:c>
      <x:c r="L3286" s="24" t="str">
        <x:v>입금</x:v>
      </x:c>
      <x:c r="M3286" s="31" t="n">
        <x:f>IF(AND(N3286="미수",G3286&lt;&gt;"",TODAY()&gt;G3286),TODAY()-G3286,0)</x:f>
        <x:v>0</x:v>
      </x:c>
      <x:c r="N3286" s="24" t="str">
        <x:f>IF(J3286&gt;0,"미수",IF(AND(H3286&gt;0,I3286&gt;=H3286),"완납","미확인"))</x:f>
        <x:v>완납</x:v>
      </x:c>
      <x:c r="O3286" s="31" t="n">
        <x:v>41</x:v>
      </x:c>
    </x:row>
    <x:row r="3287" ht="17.25" customHeight="1">
      <x:c r="A3287" s="24" t="str">
        <x:v>PR-B-49어2497-202409</x:v>
      </x:c>
      <x:c r="B3287" s="24" t="str">
        <x:v>프라임구독</x:v>
      </x:c>
      <x:c r="C3287" s="24" t="str">
        <x:v>PR-C-49어2497-1-20240403-159</x:v>
      </x:c>
      <x:c r="D3287" s="24" t="str">
        <x:v>49어2497</x:v>
      </x:c>
      <x:c r="E3287" s="24" t="str">
        <x:v>양원호</x:v>
      </x:c>
      <x:c r="F3287" s="24" t="str">
        <x:v>2024-09</x:v>
      </x:c>
      <x:c r="G3287" s="30" t="n">
        <x:v>45540</x:v>
      </x:c>
      <x:c r="H3287" s="32" t="n">
        <x:v>559000</x:v>
      </x:c>
      <x:c r="I3287" s="32" t="n">
        <x:v>559000</x:v>
      </x:c>
      <x:c r="J3287" s="32" t="n">
        <x:v>0</x:v>
      </x:c>
      <x:c r="K3287" s="30" t="n">
        <x:v>45540</x:v>
      </x:c>
      <x:c r="L3287" s="24" t="str">
        <x:v>입금</x:v>
      </x:c>
      <x:c r="M3287" s="31" t="n">
        <x:f>IF(AND(N3287="미수",G3287&lt;&gt;"",TODAY()&gt;G3287),TODAY()-G3287,0)</x:f>
        <x:v>0</x:v>
      </x:c>
      <x:c r="N3287" s="24" t="str">
        <x:f>IF(J3287&gt;0,"미수",IF(AND(H3287&gt;0,I3287&gt;=H3287),"완납","미확인"))</x:f>
        <x:v>완납</x:v>
      </x:c>
      <x:c r="O3287" s="31" t="n">
        <x:v>41</x:v>
      </x:c>
    </x:row>
    <x:row r="3288" ht="17.25" customHeight="1">
      <x:c r="A3288" s="24" t="str">
        <x:v>PR-B-49어2497-202408</x:v>
      </x:c>
      <x:c r="B3288" s="24" t="str">
        <x:v>프라임구독</x:v>
      </x:c>
      <x:c r="C3288" s="24" t="str">
        <x:v>PR-C-49어2497-1-20240403-159</x:v>
      </x:c>
      <x:c r="D3288" s="24" t="str">
        <x:v>49어2497</x:v>
      </x:c>
      <x:c r="E3288" s="24" t="str">
        <x:v>양원호</x:v>
      </x:c>
      <x:c r="F3288" s="24" t="str">
        <x:v>2024-08</x:v>
      </x:c>
      <x:c r="G3288" s="30" t="n">
        <x:v>45509</x:v>
      </x:c>
      <x:c r="H3288" s="32" t="n">
        <x:v>559000</x:v>
      </x:c>
      <x:c r="I3288" s="32" t="n">
        <x:v>559000</x:v>
      </x:c>
      <x:c r="J3288" s="32" t="n">
        <x:v>0</x:v>
      </x:c>
      <x:c r="K3288" s="30" t="n">
        <x:v>45509</x:v>
      </x:c>
      <x:c r="L3288" s="24" t="str">
        <x:v>자동</x:v>
      </x:c>
      <x:c r="M3288" s="31" t="n">
        <x:f>IF(AND(N3288="미수",G3288&lt;&gt;"",TODAY()&gt;G3288),TODAY()-G3288,0)</x:f>
        <x:v>0</x:v>
      </x:c>
      <x:c r="N3288" s="24" t="str">
        <x:f>IF(J3288&gt;0,"미수",IF(AND(H3288&gt;0,I3288&gt;=H3288),"완납","미확인"))</x:f>
        <x:v>완납</x:v>
      </x:c>
      <x:c r="O3288" s="31" t="n">
        <x:v>41</x:v>
      </x:c>
    </x:row>
    <x:row r="3289" ht="17.25" customHeight="1">
      <x:c r="A3289" s="24" t="str">
        <x:v>PR-B-49어2497-202407</x:v>
      </x:c>
      <x:c r="B3289" s="24" t="str">
        <x:v>프라임구독</x:v>
      </x:c>
      <x:c r="C3289" s="24" t="str">
        <x:v>PR-C-49어2497-1-20240403-159</x:v>
      </x:c>
      <x:c r="D3289" s="24" t="str">
        <x:v>49어2497</x:v>
      </x:c>
      <x:c r="E3289" s="24" t="str">
        <x:v>양원호</x:v>
      </x:c>
      <x:c r="F3289" s="24" t="str">
        <x:v>2024-07</x:v>
      </x:c>
      <x:c r="G3289" s="30" t="n">
        <x:v>45478</x:v>
      </x:c>
      <x:c r="H3289" s="32" t="n">
        <x:v>559000</x:v>
      </x:c>
      <x:c r="I3289" s="32" t="n">
        <x:v>559000</x:v>
      </x:c>
      <x:c r="J3289" s="32" t="n">
        <x:v>0</x:v>
      </x:c>
      <x:c r="K3289" s="30" t="n">
        <x:v>45478</x:v>
      </x:c>
      <x:c r="L3289" s="24" t="str">
        <x:v>자동</x:v>
      </x:c>
      <x:c r="M3289" s="31" t="n">
        <x:f>IF(AND(N3289="미수",G3289&lt;&gt;"",TODAY()&gt;G3289),TODAY()-G3289,0)</x:f>
        <x:v>0</x:v>
      </x:c>
      <x:c r="N3289" s="24" t="str">
        <x:f>IF(J3289&gt;0,"미수",IF(AND(H3289&gt;0,I3289&gt;=H3289),"완납","미확인"))</x:f>
        <x:v>완납</x:v>
      </x:c>
      <x:c r="O3289" s="31" t="n">
        <x:v>41</x:v>
      </x:c>
    </x:row>
    <x:row r="3290" ht="17.25" customHeight="1">
      <x:c r="A3290" s="24" t="str">
        <x:v>PR-B-49어2497-202406</x:v>
      </x:c>
      <x:c r="B3290" s="24" t="str">
        <x:v>프라임구독</x:v>
      </x:c>
      <x:c r="C3290" s="24" t="str">
        <x:v>PR-C-49어2497-1-20240403-159</x:v>
      </x:c>
      <x:c r="D3290" s="24" t="str">
        <x:v>49어2497</x:v>
      </x:c>
      <x:c r="E3290" s="24" t="str">
        <x:v>양원호</x:v>
      </x:c>
      <x:c r="F3290" s="24" t="str">
        <x:v>2024-06</x:v>
      </x:c>
      <x:c r="G3290" s="30" t="n">
        <x:v>45448</x:v>
      </x:c>
      <x:c r="H3290" s="32" t="n">
        <x:v>559000</x:v>
      </x:c>
      <x:c r="I3290" s="32" t="n">
        <x:v>559000</x:v>
      </x:c>
      <x:c r="J3290" s="32" t="n">
        <x:v>0</x:v>
      </x:c>
      <x:c r="K3290" s="30" t="n">
        <x:v>45448</x:v>
      </x:c>
      <x:c r="L3290" s="24" t="str"/>
      <x:c r="M3290" s="31" t="n">
        <x:f>IF(AND(N3290="미수",G3290&lt;&gt;"",TODAY()&gt;G3290),TODAY()-G3290,0)</x:f>
        <x:v>0</x:v>
      </x:c>
      <x:c r="N3290" s="24" t="str">
        <x:f>IF(J3290&gt;0,"미수",IF(AND(H3290&gt;0,I3290&gt;=H3290),"완납","미확인"))</x:f>
        <x:v>완납</x:v>
      </x:c>
      <x:c r="O3290" s="31" t="n">
        <x:v>41</x:v>
      </x:c>
    </x:row>
    <x:row r="3291" ht="17.25" customHeight="1">
      <x:c r="A3291" s="24" t="str">
        <x:v>PR-B-49어2497-202405</x:v>
      </x:c>
      <x:c r="B3291" s="24" t="str">
        <x:v>프라임구독</x:v>
      </x:c>
      <x:c r="C3291" s="24" t="str">
        <x:v>PR-C-49어2497-1-20240403-159</x:v>
      </x:c>
      <x:c r="D3291" s="24" t="str">
        <x:v>49어2497</x:v>
      </x:c>
      <x:c r="E3291" s="24" t="str">
        <x:v>양원호</x:v>
      </x:c>
      <x:c r="F3291" s="24" t="str">
        <x:v>2024-05</x:v>
      </x:c>
      <x:c r="G3291" s="30" t="n">
        <x:v>45417</x:v>
      </x:c>
      <x:c r="H3291" s="32" t="n">
        <x:v>559000</x:v>
      </x:c>
      <x:c r="I3291" s="32" t="n">
        <x:v>559000</x:v>
      </x:c>
      <x:c r="J3291" s="32" t="n">
        <x:v>0</x:v>
      </x:c>
      <x:c r="K3291" s="30" t="n">
        <x:v>45387</x:v>
      </x:c>
      <x:c r="L3291" s="24" t="str"/>
      <x:c r="M3291" s="31" t="n">
        <x:f>IF(AND(N3291="미수",G3291&lt;&gt;"",TODAY()&gt;G3291),TODAY()-G3291,0)</x:f>
        <x:v>0</x:v>
      </x:c>
      <x:c r="N3291" s="24" t="str">
        <x:f>IF(J3291&gt;0,"미수",IF(AND(H3291&gt;0,I3291&gt;=H3291),"완납","미확인"))</x:f>
        <x:v>완납</x:v>
      </x:c>
      <x:c r="O3291" s="31" t="n">
        <x:v>41</x:v>
      </x:c>
    </x:row>
    <x:row r="3292" ht="17.25" customHeight="1">
      <x:c r="A3292" s="24" t="str">
        <x:v>PR-B-34구0251-202608</x:v>
      </x:c>
      <x:c r="B3292" s="24" t="str">
        <x:v>프라임구독</x:v>
      </x:c>
      <x:c r="C3292" s="24" t="str">
        <x:v>PR-C-34구0251-1-20240415-119</x:v>
      </x:c>
      <x:c r="D3292" s="24" t="str">
        <x:v>34구0251</x:v>
      </x:c>
      <x:c r="E3292" s="24" t="str">
        <x:v>김진성2</x:v>
      </x:c>
      <x:c r="F3292" s="24" t="str">
        <x:v>2026-08</x:v>
      </x:c>
      <x:c r="G3292" s="30" t="n">
        <x:v>46254</x:v>
      </x:c>
      <x:c r="H3292" s="32" t="n">
        <x:v>550000</x:v>
      </x:c>
      <x:c r="I3292" s="32"/>
      <x:c r="J3292" s="32" t="n">
        <x:v>550000</x:v>
      </x:c>
      <x:c r="K3292" s="30"/>
      <x:c r="L3292" s="24" t="str"/>
      <x:c r="M3292" s="31" t="n">
        <x:f>IF(AND(N3292="미수",G3292&lt;&gt;"",TODAY()&gt;G3292),TODAY()-G3292,0)</x:f>
        <x:v>0</x:v>
      </x:c>
      <x:c r="N3292" s="24" t="str">
        <x:f>IF(J3292&gt;0,"미수",IF(AND(H3292&gt;0,I3292&gt;=H3292),"완납","미확인"))</x:f>
        <x:v>미수</x:v>
      </x:c>
      <x:c r="O3292" s="31" t="n">
        <x:v>42</x:v>
      </x:c>
    </x:row>
    <x:row r="3293" ht="17.25" customHeight="1">
      <x:c r="A3293" s="24" t="str">
        <x:v>PR-B-34구0251-202607</x:v>
      </x:c>
      <x:c r="B3293" s="24" t="str">
        <x:v>프라임구독</x:v>
      </x:c>
      <x:c r="C3293" s="24" t="str">
        <x:v>PR-C-34구0251-1-20240415-119</x:v>
      </x:c>
      <x:c r="D3293" s="24" t="str">
        <x:v>34구0251</x:v>
      </x:c>
      <x:c r="E3293" s="24" t="str">
        <x:v>김진성2</x:v>
      </x:c>
      <x:c r="F3293" s="24" t="str">
        <x:v>2026-07</x:v>
      </x:c>
      <x:c r="G3293" s="30" t="n">
        <x:v>46223</x:v>
      </x:c>
      <x:c r="H3293" s="32" t="n">
        <x:v>550000</x:v>
      </x:c>
      <x:c r="I3293" s="32" t="n">
        <x:v>550000</x:v>
      </x:c>
      <x:c r="J3293" s="32" t="n">
        <x:v>0</x:v>
      </x:c>
      <x:c r="K3293" s="30" t="n">
        <x:v>46221</x:v>
      </x:c>
      <x:c r="L3293" s="24" t="str">
        <x:v>입금</x:v>
      </x:c>
      <x:c r="M3293" s="31" t="n">
        <x:f>IF(AND(N3293="미수",G3293&lt;&gt;"",TODAY()&gt;G3293),TODAY()-G3293,0)</x:f>
        <x:v>0</x:v>
      </x:c>
      <x:c r="N3293" s="24" t="str">
        <x:f>IF(J3293&gt;0,"미수",IF(AND(H3293&gt;0,I3293&gt;=H3293),"완납","미확인"))</x:f>
        <x:v>완납</x:v>
      </x:c>
      <x:c r="O3293" s="31" t="n">
        <x:v>42</x:v>
      </x:c>
    </x:row>
    <x:row r="3294" ht="17.25" customHeight="1">
      <x:c r="A3294" s="24" t="str">
        <x:v>PR-B-34구0251-202606</x:v>
      </x:c>
      <x:c r="B3294" s="24" t="str">
        <x:v>프라임구독</x:v>
      </x:c>
      <x:c r="C3294" s="24" t="str">
        <x:v>PR-C-34구0251-1-20240415-119</x:v>
      </x:c>
      <x:c r="D3294" s="24" t="str">
        <x:v>34구0251</x:v>
      </x:c>
      <x:c r="E3294" s="24" t="str">
        <x:v>김진성2</x:v>
      </x:c>
      <x:c r="F3294" s="24" t="str">
        <x:v>2026-06</x:v>
      </x:c>
      <x:c r="G3294" s="30" t="n">
        <x:v>46193</x:v>
      </x:c>
      <x:c r="H3294" s="32" t="n">
        <x:v>550000</x:v>
      </x:c>
      <x:c r="I3294" s="32" t="n">
        <x:v>550000</x:v>
      </x:c>
      <x:c r="J3294" s="32" t="n">
        <x:v>0</x:v>
      </x:c>
      <x:c r="K3294" s="30" t="n">
        <x:v>46194</x:v>
      </x:c>
      <x:c r="L3294" s="24" t="str">
        <x:v>입금</x:v>
      </x:c>
      <x:c r="M3294" s="31" t="n">
        <x:f>IF(AND(N3294="미수",G3294&lt;&gt;"",TODAY()&gt;G3294),TODAY()-G3294,0)</x:f>
        <x:v>0</x:v>
      </x:c>
      <x:c r="N3294" s="24" t="str">
        <x:f>IF(J3294&gt;0,"미수",IF(AND(H3294&gt;0,I3294&gt;=H3294),"완납","미확인"))</x:f>
        <x:v>완납</x:v>
      </x:c>
      <x:c r="O3294" s="31" t="n">
        <x:v>42</x:v>
      </x:c>
    </x:row>
    <x:row r="3295" ht="17.25" customHeight="1">
      <x:c r="A3295" s="24" t="str">
        <x:v>PR-B-34구0251-202605</x:v>
      </x:c>
      <x:c r="B3295" s="24" t="str">
        <x:v>프라임구독</x:v>
      </x:c>
      <x:c r="C3295" s="24" t="str">
        <x:v>PR-C-34구0251-1-20240415-119</x:v>
      </x:c>
      <x:c r="D3295" s="24" t="str">
        <x:v>34구0251</x:v>
      </x:c>
      <x:c r="E3295" s="24" t="str">
        <x:v>김진성2</x:v>
      </x:c>
      <x:c r="F3295" s="24" t="str">
        <x:v>2026-05</x:v>
      </x:c>
      <x:c r="G3295" s="30" t="n">
        <x:v>46162</x:v>
      </x:c>
      <x:c r="H3295" s="32" t="n">
        <x:v>550000</x:v>
      </x:c>
      <x:c r="I3295" s="32" t="n">
        <x:v>550000</x:v>
      </x:c>
      <x:c r="J3295" s="32" t="n">
        <x:v>0</x:v>
      </x:c>
      <x:c r="K3295" s="30" t="n">
        <x:v>46161</x:v>
      </x:c>
      <x:c r="L3295" s="24" t="str">
        <x:v>입금</x:v>
      </x:c>
      <x:c r="M3295" s="31" t="n">
        <x:f>IF(AND(N3295="미수",G3295&lt;&gt;"",TODAY()&gt;G3295),TODAY()-G3295,0)</x:f>
        <x:v>0</x:v>
      </x:c>
      <x:c r="N3295" s="24" t="str">
        <x:f>IF(J3295&gt;0,"미수",IF(AND(H3295&gt;0,I3295&gt;=H3295),"완납","미확인"))</x:f>
        <x:v>완납</x:v>
      </x:c>
      <x:c r="O3295" s="31" t="n">
        <x:v>42</x:v>
      </x:c>
    </x:row>
    <x:row r="3296" ht="17.25" customHeight="1">
      <x:c r="A3296" s="24" t="str">
        <x:v>PR-B-34구0251-202604</x:v>
      </x:c>
      <x:c r="B3296" s="24" t="str">
        <x:v>프라임구독</x:v>
      </x:c>
      <x:c r="C3296" s="24" t="str">
        <x:v>PR-C-34구0251-1-20240415-119</x:v>
      </x:c>
      <x:c r="D3296" s="24" t="str">
        <x:v>34구0251</x:v>
      </x:c>
      <x:c r="E3296" s="24" t="str">
        <x:v>김진성2</x:v>
      </x:c>
      <x:c r="F3296" s="24" t="str">
        <x:v>2026-04</x:v>
      </x:c>
      <x:c r="G3296" s="30" t="n">
        <x:v>46132</x:v>
      </x:c>
      <x:c r="H3296" s="32" t="n">
        <x:v>550000</x:v>
      </x:c>
      <x:c r="I3296" s="32" t="n">
        <x:v>550000</x:v>
      </x:c>
      <x:c r="J3296" s="32" t="n">
        <x:v>0</x:v>
      </x:c>
      <x:c r="K3296" s="30" t="n">
        <x:v>46132</x:v>
      </x:c>
      <x:c r="L3296" s="24" t="str">
        <x:v>입금</x:v>
      </x:c>
      <x:c r="M3296" s="31" t="n">
        <x:f>IF(AND(N3296="미수",G3296&lt;&gt;"",TODAY()&gt;G3296),TODAY()-G3296,0)</x:f>
        <x:v>0</x:v>
      </x:c>
      <x:c r="N3296" s="24" t="str">
        <x:f>IF(J3296&gt;0,"미수",IF(AND(H3296&gt;0,I3296&gt;=H3296),"완납","미확인"))</x:f>
        <x:v>완납</x:v>
      </x:c>
      <x:c r="O3296" s="31" t="n">
        <x:v>42</x:v>
      </x:c>
    </x:row>
    <x:row r="3297" ht="17.25" customHeight="1">
      <x:c r="A3297" s="24" t="str">
        <x:v>PR-B-34구0251-202603</x:v>
      </x:c>
      <x:c r="B3297" s="24" t="str">
        <x:v>프라임구독</x:v>
      </x:c>
      <x:c r="C3297" s="24" t="str">
        <x:v>PR-C-34구0251-1-20240415-119</x:v>
      </x:c>
      <x:c r="D3297" s="24" t="str">
        <x:v>34구0251</x:v>
      </x:c>
      <x:c r="E3297" s="24" t="str">
        <x:v>김진성2</x:v>
      </x:c>
      <x:c r="F3297" s="24" t="str">
        <x:v>2026-03</x:v>
      </x:c>
      <x:c r="G3297" s="30" t="n">
        <x:v>46101</x:v>
      </x:c>
      <x:c r="H3297" s="32" t="n">
        <x:v>550000</x:v>
      </x:c>
      <x:c r="I3297" s="32" t="n">
        <x:v>550000</x:v>
      </x:c>
      <x:c r="J3297" s="32" t="n">
        <x:v>0</x:v>
      </x:c>
      <x:c r="K3297" s="30" t="n">
        <x:v>46101</x:v>
      </x:c>
      <x:c r="L3297" s="24" t="str">
        <x:v>입금</x:v>
      </x:c>
      <x:c r="M3297" s="31" t="n">
        <x:f>IF(AND(N3297="미수",G3297&lt;&gt;"",TODAY()&gt;G3297),TODAY()-G3297,0)</x:f>
        <x:v>0</x:v>
      </x:c>
      <x:c r="N3297" s="24" t="str">
        <x:f>IF(J3297&gt;0,"미수",IF(AND(H3297&gt;0,I3297&gt;=H3297),"완납","미확인"))</x:f>
        <x:v>완납</x:v>
      </x:c>
      <x:c r="O3297" s="31" t="n">
        <x:v>42</x:v>
      </x:c>
    </x:row>
    <x:row r="3298" ht="17.25" customHeight="1">
      <x:c r="A3298" s="24" t="str">
        <x:v>PR-B-34구0251-202602</x:v>
      </x:c>
      <x:c r="B3298" s="24" t="str">
        <x:v>프라임구독</x:v>
      </x:c>
      <x:c r="C3298" s="24" t="str">
        <x:v>PR-C-34구0251-1-20240415-119</x:v>
      </x:c>
      <x:c r="D3298" s="24" t="str">
        <x:v>34구0251</x:v>
      </x:c>
      <x:c r="E3298" s="24" t="str">
        <x:v>김진성2</x:v>
      </x:c>
      <x:c r="F3298" s="24" t="str">
        <x:v>2026-02</x:v>
      </x:c>
      <x:c r="G3298" s="30" t="n">
        <x:v>46073</x:v>
      </x:c>
      <x:c r="H3298" s="32" t="n">
        <x:v>550000</x:v>
      </x:c>
      <x:c r="I3298" s="32" t="n">
        <x:v>550000</x:v>
      </x:c>
      <x:c r="J3298" s="32" t="n">
        <x:v>0</x:v>
      </x:c>
      <x:c r="K3298" s="30" t="n">
        <x:v>46072</x:v>
      </x:c>
      <x:c r="L3298" s="24" t="str">
        <x:v>입금</x:v>
      </x:c>
      <x:c r="M3298" s="31" t="n">
        <x:f>IF(AND(N3298="미수",G3298&lt;&gt;"",TODAY()&gt;G3298),TODAY()-G3298,0)</x:f>
        <x:v>0</x:v>
      </x:c>
      <x:c r="N3298" s="24" t="str">
        <x:f>IF(J3298&gt;0,"미수",IF(AND(H3298&gt;0,I3298&gt;=H3298),"완납","미확인"))</x:f>
        <x:v>완납</x:v>
      </x:c>
      <x:c r="O3298" s="31" t="n">
        <x:v>42</x:v>
      </x:c>
    </x:row>
    <x:row r="3299" ht="17.25" customHeight="1">
      <x:c r="A3299" s="24" t="str">
        <x:v>PR-B-34구0251-202601</x:v>
      </x:c>
      <x:c r="B3299" s="24" t="str">
        <x:v>프라임구독</x:v>
      </x:c>
      <x:c r="C3299" s="24" t="str">
        <x:v>PR-C-34구0251-1-20240415-119</x:v>
      </x:c>
      <x:c r="D3299" s="24" t="str">
        <x:v>34구0251</x:v>
      </x:c>
      <x:c r="E3299" s="24" t="str">
        <x:v>김진성2</x:v>
      </x:c>
      <x:c r="F3299" s="24" t="str">
        <x:v>2026-01</x:v>
      </x:c>
      <x:c r="G3299" s="30" t="n">
        <x:v>46042</x:v>
      </x:c>
      <x:c r="H3299" s="32" t="n">
        <x:v>550000</x:v>
      </x:c>
      <x:c r="I3299" s="32" t="n">
        <x:v>550000</x:v>
      </x:c>
      <x:c r="J3299" s="32" t="n">
        <x:v>0</x:v>
      </x:c>
      <x:c r="K3299" s="30" t="n">
        <x:v>46041</x:v>
      </x:c>
      <x:c r="L3299" s="24" t="str">
        <x:v>입금</x:v>
      </x:c>
      <x:c r="M3299" s="31" t="n">
        <x:f>IF(AND(N3299="미수",G3299&lt;&gt;"",TODAY()&gt;G3299),TODAY()-G3299,0)</x:f>
        <x:v>0</x:v>
      </x:c>
      <x:c r="N3299" s="24" t="str">
        <x:f>IF(J3299&gt;0,"미수",IF(AND(H3299&gt;0,I3299&gt;=H3299),"완납","미확인"))</x:f>
        <x:v>완납</x:v>
      </x:c>
      <x:c r="O3299" s="31" t="n">
        <x:v>42</x:v>
      </x:c>
    </x:row>
    <x:row r="3300" ht="17.25" customHeight="1">
      <x:c r="A3300" s="24" t="str">
        <x:v>PR-B-34구0251-202512</x:v>
      </x:c>
      <x:c r="B3300" s="24" t="str">
        <x:v>프라임구독</x:v>
      </x:c>
      <x:c r="C3300" s="24" t="str">
        <x:v>PR-C-34구0251-1-20240415-119</x:v>
      </x:c>
      <x:c r="D3300" s="24" t="str">
        <x:v>34구0251</x:v>
      </x:c>
      <x:c r="E3300" s="24" t="str">
        <x:v>김진성2</x:v>
      </x:c>
      <x:c r="F3300" s="24" t="str">
        <x:v>2025-12</x:v>
      </x:c>
      <x:c r="G3300" s="30" t="n">
        <x:v>46011</x:v>
      </x:c>
      <x:c r="H3300" s="32" t="n">
        <x:v>550000</x:v>
      </x:c>
      <x:c r="I3300" s="32" t="n">
        <x:v>550000</x:v>
      </x:c>
      <x:c r="J3300" s="32" t="n">
        <x:v>0</x:v>
      </x:c>
      <x:c r="K3300" s="30" t="n">
        <x:v>46011</x:v>
      </x:c>
      <x:c r="L3300" s="24" t="str">
        <x:v>입금</x:v>
      </x:c>
      <x:c r="M3300" s="31" t="n">
        <x:f>IF(AND(N3300="미수",G3300&lt;&gt;"",TODAY()&gt;G3300),TODAY()-G3300,0)</x:f>
        <x:v>0</x:v>
      </x:c>
      <x:c r="N3300" s="24" t="str">
        <x:f>IF(J3300&gt;0,"미수",IF(AND(H3300&gt;0,I3300&gt;=H3300),"완납","미확인"))</x:f>
        <x:v>완납</x:v>
      </x:c>
      <x:c r="O3300" s="31" t="n">
        <x:v>42</x:v>
      </x:c>
    </x:row>
    <x:row r="3301" ht="17.25" customHeight="1">
      <x:c r="A3301" s="24" t="str">
        <x:v>PR-B-34구0251-202511</x:v>
      </x:c>
      <x:c r="B3301" s="24" t="str">
        <x:v>프라임구독</x:v>
      </x:c>
      <x:c r="C3301" s="24" t="str">
        <x:v>PR-C-34구0251-1-20240415-119</x:v>
      </x:c>
      <x:c r="D3301" s="24" t="str">
        <x:v>34구0251</x:v>
      </x:c>
      <x:c r="E3301" s="24" t="str">
        <x:v>김진성2</x:v>
      </x:c>
      <x:c r="F3301" s="24" t="str">
        <x:v>2025-11</x:v>
      </x:c>
      <x:c r="G3301" s="30" t="n">
        <x:v>45981</x:v>
      </x:c>
      <x:c r="H3301" s="32" t="n">
        <x:v>550000</x:v>
      </x:c>
      <x:c r="I3301" s="32" t="n">
        <x:v>550000</x:v>
      </x:c>
      <x:c r="J3301" s="32" t="n">
        <x:v>0</x:v>
      </x:c>
      <x:c r="K3301" s="30" t="n">
        <x:v>45981</x:v>
      </x:c>
      <x:c r="L3301" s="24" t="str">
        <x:v>입금</x:v>
      </x:c>
      <x:c r="M3301" s="31" t="n">
        <x:f>IF(AND(N3301="미수",G3301&lt;&gt;"",TODAY()&gt;G3301),TODAY()-G3301,0)</x:f>
        <x:v>0</x:v>
      </x:c>
      <x:c r="N3301" s="24" t="str">
        <x:f>IF(J3301&gt;0,"미수",IF(AND(H3301&gt;0,I3301&gt;=H3301),"완납","미확인"))</x:f>
        <x:v>완납</x:v>
      </x:c>
      <x:c r="O3301" s="31" t="n">
        <x:v>42</x:v>
      </x:c>
    </x:row>
    <x:row r="3302" ht="17.25" customHeight="1">
      <x:c r="A3302" s="24" t="str">
        <x:v>PR-B-34구0251-202510</x:v>
      </x:c>
      <x:c r="B3302" s="24" t="str">
        <x:v>프라임구독</x:v>
      </x:c>
      <x:c r="C3302" s="24" t="str">
        <x:v>PR-C-34구0251-1-20240415-119</x:v>
      </x:c>
      <x:c r="D3302" s="24" t="str">
        <x:v>34구0251</x:v>
      </x:c>
      <x:c r="E3302" s="24" t="str">
        <x:v>김진성2</x:v>
      </x:c>
      <x:c r="F3302" s="24" t="str">
        <x:v>2025-10</x:v>
      </x:c>
      <x:c r="G3302" s="30" t="n">
        <x:v>45950</x:v>
      </x:c>
      <x:c r="H3302" s="32" t="n">
        <x:v>550000</x:v>
      </x:c>
      <x:c r="I3302" s="32" t="n">
        <x:v>550000</x:v>
      </x:c>
      <x:c r="J3302" s="32" t="n">
        <x:v>0</x:v>
      </x:c>
      <x:c r="K3302" s="30" t="n">
        <x:v>45951</x:v>
      </x:c>
      <x:c r="L3302" s="24" t="str">
        <x:v>입금</x:v>
      </x:c>
      <x:c r="M3302" s="31" t="n">
        <x:f>IF(AND(N3302="미수",G3302&lt;&gt;"",TODAY()&gt;G3302),TODAY()-G3302,0)</x:f>
        <x:v>0</x:v>
      </x:c>
      <x:c r="N3302" s="24" t="str">
        <x:f>IF(J3302&gt;0,"미수",IF(AND(H3302&gt;0,I3302&gt;=H3302),"완납","미확인"))</x:f>
        <x:v>완납</x:v>
      </x:c>
      <x:c r="O3302" s="31" t="n">
        <x:v>42</x:v>
      </x:c>
    </x:row>
    <x:row r="3303" ht="17.25" customHeight="1">
      <x:c r="A3303" s="24" t="str">
        <x:v>PR-B-34구0251-202509</x:v>
      </x:c>
      <x:c r="B3303" s="24" t="str">
        <x:v>프라임구독</x:v>
      </x:c>
      <x:c r="C3303" s="24" t="str">
        <x:v>PR-C-34구0251-1-20240415-119</x:v>
      </x:c>
      <x:c r="D3303" s="24" t="str">
        <x:v>34구0251</x:v>
      </x:c>
      <x:c r="E3303" s="24" t="str">
        <x:v>김진성2</x:v>
      </x:c>
      <x:c r="F3303" s="24" t="str">
        <x:v>2025-09</x:v>
      </x:c>
      <x:c r="G3303" s="30" t="n">
        <x:v>45920</x:v>
      </x:c>
      <x:c r="H3303" s="32" t="n">
        <x:v>550000</x:v>
      </x:c>
      <x:c r="I3303" s="32" t="n">
        <x:v>550000</x:v>
      </x:c>
      <x:c r="J3303" s="32" t="n">
        <x:v>0</x:v>
      </x:c>
      <x:c r="K3303" s="30" t="n">
        <x:v>45921</x:v>
      </x:c>
      <x:c r="L3303" s="24" t="str">
        <x:v>입금</x:v>
      </x:c>
      <x:c r="M3303" s="31" t="n">
        <x:f>IF(AND(N3303="미수",G3303&lt;&gt;"",TODAY()&gt;G3303),TODAY()-G3303,0)</x:f>
        <x:v>0</x:v>
      </x:c>
      <x:c r="N3303" s="24" t="str">
        <x:f>IF(J3303&gt;0,"미수",IF(AND(H3303&gt;0,I3303&gt;=H3303),"완납","미확인"))</x:f>
        <x:v>완납</x:v>
      </x:c>
      <x:c r="O3303" s="31" t="n">
        <x:v>42</x:v>
      </x:c>
    </x:row>
    <x:row r="3304" ht="17.25" customHeight="1">
      <x:c r="A3304" s="24" t="str">
        <x:v>PR-B-34구0251-202508</x:v>
      </x:c>
      <x:c r="B3304" s="24" t="str">
        <x:v>프라임구독</x:v>
      </x:c>
      <x:c r="C3304" s="24" t="str">
        <x:v>PR-C-34구0251-1-20240415-119</x:v>
      </x:c>
      <x:c r="D3304" s="24" t="str">
        <x:v>34구0251</x:v>
      </x:c>
      <x:c r="E3304" s="24" t="str">
        <x:v>김진성2</x:v>
      </x:c>
      <x:c r="F3304" s="24" t="str">
        <x:v>2025-08</x:v>
      </x:c>
      <x:c r="G3304" s="30" t="n">
        <x:v>45889</x:v>
      </x:c>
      <x:c r="H3304" s="32" t="n">
        <x:v>550000</x:v>
      </x:c>
      <x:c r="I3304" s="32" t="n">
        <x:v>550000</x:v>
      </x:c>
      <x:c r="J3304" s="32" t="n">
        <x:v>0</x:v>
      </x:c>
      <x:c r="K3304" s="30" t="n">
        <x:v>45889</x:v>
      </x:c>
      <x:c r="L3304" s="24" t="str">
        <x:v>입금</x:v>
      </x:c>
      <x:c r="M3304" s="31" t="n">
        <x:f>IF(AND(N3304="미수",G3304&lt;&gt;"",TODAY()&gt;G3304),TODAY()-G3304,0)</x:f>
        <x:v>0</x:v>
      </x:c>
      <x:c r="N3304" s="24" t="str">
        <x:f>IF(J3304&gt;0,"미수",IF(AND(H3304&gt;0,I3304&gt;=H3304),"완납","미확인"))</x:f>
        <x:v>완납</x:v>
      </x:c>
      <x:c r="O3304" s="31" t="n">
        <x:v>42</x:v>
      </x:c>
    </x:row>
    <x:row r="3305" ht="17.25" customHeight="1">
      <x:c r="A3305" s="24" t="str">
        <x:v>PR-B-34구0251-202507</x:v>
      </x:c>
      <x:c r="B3305" s="24" t="str">
        <x:v>프라임구독</x:v>
      </x:c>
      <x:c r="C3305" s="24" t="str">
        <x:v>PR-C-34구0251-1-20240415-119</x:v>
      </x:c>
      <x:c r="D3305" s="24" t="str">
        <x:v>34구0251</x:v>
      </x:c>
      <x:c r="E3305" s="24" t="str">
        <x:v>김진성2</x:v>
      </x:c>
      <x:c r="F3305" s="24" t="str">
        <x:v>2025-07</x:v>
      </x:c>
      <x:c r="G3305" s="30" t="n">
        <x:v>45858</x:v>
      </x:c>
      <x:c r="H3305" s="32" t="n">
        <x:v>550000</x:v>
      </x:c>
      <x:c r="I3305" s="32" t="n">
        <x:v>550000</x:v>
      </x:c>
      <x:c r="J3305" s="32" t="n">
        <x:v>0</x:v>
      </x:c>
      <x:c r="K3305" s="30" t="n">
        <x:v>45859</x:v>
      </x:c>
      <x:c r="L3305" s="24" t="str">
        <x:v>입금</x:v>
      </x:c>
      <x:c r="M3305" s="31" t="n">
        <x:f>IF(AND(N3305="미수",G3305&lt;&gt;"",TODAY()&gt;G3305),TODAY()-G3305,0)</x:f>
        <x:v>0</x:v>
      </x:c>
      <x:c r="N3305" s="24" t="str">
        <x:f>IF(J3305&gt;0,"미수",IF(AND(H3305&gt;0,I3305&gt;=H3305),"완납","미확인"))</x:f>
        <x:v>완납</x:v>
      </x:c>
      <x:c r="O3305" s="31" t="n">
        <x:v>42</x:v>
      </x:c>
    </x:row>
    <x:row r="3306" ht="17.25" customHeight="1">
      <x:c r="A3306" s="24" t="str">
        <x:v>PR-B-34구0251-202506</x:v>
      </x:c>
      <x:c r="B3306" s="24" t="str">
        <x:v>프라임구독</x:v>
      </x:c>
      <x:c r="C3306" s="24" t="str">
        <x:v>PR-C-34구0251-1-20240415-119</x:v>
      </x:c>
      <x:c r="D3306" s="24" t="str">
        <x:v>34구0251</x:v>
      </x:c>
      <x:c r="E3306" s="24" t="str">
        <x:v>김진성2</x:v>
      </x:c>
      <x:c r="F3306" s="24" t="str">
        <x:v>2025-06</x:v>
      </x:c>
      <x:c r="G3306" s="30" t="n">
        <x:v>45828</x:v>
      </x:c>
      <x:c r="H3306" s="32" t="n">
        <x:v>550000</x:v>
      </x:c>
      <x:c r="I3306" s="32" t="n">
        <x:v>550000</x:v>
      </x:c>
      <x:c r="J3306" s="32" t="n">
        <x:v>0</x:v>
      </x:c>
      <x:c r="K3306" s="30" t="n">
        <x:v>45827</x:v>
      </x:c>
      <x:c r="L3306" s="24" t="str">
        <x:v>입금</x:v>
      </x:c>
      <x:c r="M3306" s="31" t="n">
        <x:f>IF(AND(N3306="미수",G3306&lt;&gt;"",TODAY()&gt;G3306),TODAY()-G3306,0)</x:f>
        <x:v>0</x:v>
      </x:c>
      <x:c r="N3306" s="24" t="str">
        <x:f>IF(J3306&gt;0,"미수",IF(AND(H3306&gt;0,I3306&gt;=H3306),"완납","미확인"))</x:f>
        <x:v>완납</x:v>
      </x:c>
      <x:c r="O3306" s="31" t="n">
        <x:v>42</x:v>
      </x:c>
    </x:row>
    <x:row r="3307" ht="17.25" customHeight="1">
      <x:c r="A3307" s="24" t="str">
        <x:v>PR-B-34구0251-202505</x:v>
      </x:c>
      <x:c r="B3307" s="24" t="str">
        <x:v>프라임구독</x:v>
      </x:c>
      <x:c r="C3307" s="24" t="str">
        <x:v>PR-C-34구0251-1-20240415-119</x:v>
      </x:c>
      <x:c r="D3307" s="24" t="str">
        <x:v>34구0251</x:v>
      </x:c>
      <x:c r="E3307" s="24" t="str">
        <x:v>김진성2</x:v>
      </x:c>
      <x:c r="F3307" s="24" t="str">
        <x:v>2025-05</x:v>
      </x:c>
      <x:c r="G3307" s="30" t="n">
        <x:v>45797</x:v>
      </x:c>
      <x:c r="H3307" s="32" t="n">
        <x:v>550000</x:v>
      </x:c>
      <x:c r="I3307" s="32" t="n">
        <x:v>550000</x:v>
      </x:c>
      <x:c r="J3307" s="32" t="n">
        <x:v>0</x:v>
      </x:c>
      <x:c r="K3307" s="30" t="n">
        <x:v>45797</x:v>
      </x:c>
      <x:c r="L3307" s="24" t="str">
        <x:v>입금</x:v>
      </x:c>
      <x:c r="M3307" s="31" t="n">
        <x:f>IF(AND(N3307="미수",G3307&lt;&gt;"",TODAY()&gt;G3307),TODAY()-G3307,0)</x:f>
        <x:v>0</x:v>
      </x:c>
      <x:c r="N3307" s="24" t="str">
        <x:f>IF(J3307&gt;0,"미수",IF(AND(H3307&gt;0,I3307&gt;=H3307),"완납","미확인"))</x:f>
        <x:v>완납</x:v>
      </x:c>
      <x:c r="O3307" s="31" t="n">
        <x:v>42</x:v>
      </x:c>
    </x:row>
    <x:row r="3308" ht="17.25" customHeight="1">
      <x:c r="A3308" s="24" t="str">
        <x:v>PR-B-34구0251-202504</x:v>
      </x:c>
      <x:c r="B3308" s="24" t="str">
        <x:v>프라임구독</x:v>
      </x:c>
      <x:c r="C3308" s="24" t="str">
        <x:v>PR-C-34구0251-1-20240415-119</x:v>
      </x:c>
      <x:c r="D3308" s="24" t="str">
        <x:v>34구0251</x:v>
      </x:c>
      <x:c r="E3308" s="24" t="str">
        <x:v>김진성2</x:v>
      </x:c>
      <x:c r="F3308" s="24" t="str">
        <x:v>2025-04</x:v>
      </x:c>
      <x:c r="G3308" s="30" t="n">
        <x:v>45767</x:v>
      </x:c>
      <x:c r="H3308" s="32" t="n">
        <x:v>550000</x:v>
      </x:c>
      <x:c r="I3308" s="32" t="n">
        <x:v>550000</x:v>
      </x:c>
      <x:c r="J3308" s="32" t="n">
        <x:v>0</x:v>
      </x:c>
      <x:c r="K3308" s="30" t="n">
        <x:v>45768</x:v>
      </x:c>
      <x:c r="L3308" s="24" t="str">
        <x:v>입금</x:v>
      </x:c>
      <x:c r="M3308" s="31" t="n">
        <x:f>IF(AND(N3308="미수",G3308&lt;&gt;"",TODAY()&gt;G3308),TODAY()-G3308,0)</x:f>
        <x:v>0</x:v>
      </x:c>
      <x:c r="N3308" s="24" t="str">
        <x:f>IF(J3308&gt;0,"미수",IF(AND(H3308&gt;0,I3308&gt;=H3308),"완납","미확인"))</x:f>
        <x:v>완납</x:v>
      </x:c>
      <x:c r="O3308" s="31" t="n">
        <x:v>42</x:v>
      </x:c>
    </x:row>
    <x:row r="3309" ht="17.25" customHeight="1">
      <x:c r="A3309" s="24" t="str">
        <x:v>PR-B-34구0251-202503</x:v>
      </x:c>
      <x:c r="B3309" s="24" t="str">
        <x:v>프라임구독</x:v>
      </x:c>
      <x:c r="C3309" s="24" t="str">
        <x:v>PR-C-34구0251-1-20240415-119</x:v>
      </x:c>
      <x:c r="D3309" s="24" t="str">
        <x:v>34구0251</x:v>
      </x:c>
      <x:c r="E3309" s="24" t="str">
        <x:v>김진성2</x:v>
      </x:c>
      <x:c r="F3309" s="24" t="str">
        <x:v>2025-03</x:v>
      </x:c>
      <x:c r="G3309" s="30" t="n">
        <x:v>45736</x:v>
      </x:c>
      <x:c r="H3309" s="32" t="n">
        <x:v>550000</x:v>
      </x:c>
      <x:c r="I3309" s="32" t="n">
        <x:v>550000</x:v>
      </x:c>
      <x:c r="J3309" s="32" t="n">
        <x:v>0</x:v>
      </x:c>
      <x:c r="K3309" s="30" t="n">
        <x:v>45737</x:v>
      </x:c>
      <x:c r="L3309" s="24" t="str">
        <x:v>입금</x:v>
      </x:c>
      <x:c r="M3309" s="31" t="n">
        <x:f>IF(AND(N3309="미수",G3309&lt;&gt;"",TODAY()&gt;G3309),TODAY()-G3309,0)</x:f>
        <x:v>0</x:v>
      </x:c>
      <x:c r="N3309" s="24" t="str">
        <x:f>IF(J3309&gt;0,"미수",IF(AND(H3309&gt;0,I3309&gt;=H3309),"완납","미확인"))</x:f>
        <x:v>완납</x:v>
      </x:c>
      <x:c r="O3309" s="31" t="n">
        <x:v>42</x:v>
      </x:c>
    </x:row>
    <x:row r="3310" ht="17.25" customHeight="1">
      <x:c r="A3310" s="24" t="str">
        <x:v>PR-B-34구0251-202502</x:v>
      </x:c>
      <x:c r="B3310" s="24" t="str">
        <x:v>프라임구독</x:v>
      </x:c>
      <x:c r="C3310" s="24" t="str">
        <x:v>PR-C-34구0251-1-20240415-119</x:v>
      </x:c>
      <x:c r="D3310" s="24" t="str">
        <x:v>34구0251</x:v>
      </x:c>
      <x:c r="E3310" s="24" t="str">
        <x:v>김진성2</x:v>
      </x:c>
      <x:c r="F3310" s="24" t="str">
        <x:v>2025-02</x:v>
      </x:c>
      <x:c r="G3310" s="30" t="n">
        <x:v>45708</x:v>
      </x:c>
      <x:c r="H3310" s="32" t="n">
        <x:v>550000</x:v>
      </x:c>
      <x:c r="I3310" s="32" t="n">
        <x:v>550000</x:v>
      </x:c>
      <x:c r="J3310" s="32" t="n">
        <x:v>0</x:v>
      </x:c>
      <x:c r="K3310" s="30" t="n">
        <x:v>45708</x:v>
      </x:c>
      <x:c r="L3310" s="24" t="str">
        <x:v>자동</x:v>
      </x:c>
      <x:c r="M3310" s="31" t="n">
        <x:f>IF(AND(N3310="미수",G3310&lt;&gt;"",TODAY()&gt;G3310),TODAY()-G3310,0)</x:f>
        <x:v>0</x:v>
      </x:c>
      <x:c r="N3310" s="24" t="str">
        <x:f>IF(J3310&gt;0,"미수",IF(AND(H3310&gt;0,I3310&gt;=H3310),"완납","미확인"))</x:f>
        <x:v>완납</x:v>
      </x:c>
      <x:c r="O3310" s="31" t="n">
        <x:v>42</x:v>
      </x:c>
    </x:row>
    <x:row r="3311" ht="17.25" customHeight="1">
      <x:c r="A3311" s="24" t="str">
        <x:v>PR-B-34구0251-202501</x:v>
      </x:c>
      <x:c r="B3311" s="24" t="str">
        <x:v>프라임구독</x:v>
      </x:c>
      <x:c r="C3311" s="24" t="str">
        <x:v>PR-C-34구0251-1-20240415-119</x:v>
      </x:c>
      <x:c r="D3311" s="24" t="str">
        <x:v>34구0251</x:v>
      </x:c>
      <x:c r="E3311" s="24" t="str">
        <x:v>김진성2</x:v>
      </x:c>
      <x:c r="F3311" s="24" t="str">
        <x:v>2025-01</x:v>
      </x:c>
      <x:c r="G3311" s="30" t="n">
        <x:v>45677</x:v>
      </x:c>
      <x:c r="H3311" s="32" t="n">
        <x:v>550000</x:v>
      </x:c>
      <x:c r="I3311" s="32" t="n">
        <x:v>550000</x:v>
      </x:c>
      <x:c r="J3311" s="32" t="n">
        <x:v>0</x:v>
      </x:c>
      <x:c r="K3311" s="30" t="n">
        <x:v>45677</x:v>
      </x:c>
      <x:c r="L3311" s="24" t="str">
        <x:v>자동</x:v>
      </x:c>
      <x:c r="M3311" s="31" t="n">
        <x:f>IF(AND(N3311="미수",G3311&lt;&gt;"",TODAY()&gt;G3311),TODAY()-G3311,0)</x:f>
        <x:v>0</x:v>
      </x:c>
      <x:c r="N3311" s="24" t="str">
        <x:f>IF(J3311&gt;0,"미수",IF(AND(H3311&gt;0,I3311&gt;=H3311),"완납","미확인"))</x:f>
        <x:v>완납</x:v>
      </x:c>
      <x:c r="O3311" s="31" t="n">
        <x:v>42</x:v>
      </x:c>
    </x:row>
    <x:row r="3312" ht="17.25" customHeight="1">
      <x:c r="A3312" s="24" t="str">
        <x:v>PR-B-34구0251-202412</x:v>
      </x:c>
      <x:c r="B3312" s="24" t="str">
        <x:v>프라임구독</x:v>
      </x:c>
      <x:c r="C3312" s="24" t="str">
        <x:v>PR-C-34구0251-1-20240415-119</x:v>
      </x:c>
      <x:c r="D3312" s="24" t="str">
        <x:v>34구0251</x:v>
      </x:c>
      <x:c r="E3312" s="24" t="str">
        <x:v>김진성2</x:v>
      </x:c>
      <x:c r="F3312" s="24" t="str">
        <x:v>2024-12</x:v>
      </x:c>
      <x:c r="G3312" s="30" t="n">
        <x:v>45646</x:v>
      </x:c>
      <x:c r="H3312" s="32" t="n">
        <x:v>550000</x:v>
      </x:c>
      <x:c r="I3312" s="32" t="n">
        <x:v>550000</x:v>
      </x:c>
      <x:c r="J3312" s="32" t="n">
        <x:v>0</x:v>
      </x:c>
      <x:c r="K3312" s="30" t="n">
        <x:v>45646</x:v>
      </x:c>
      <x:c r="L3312" s="24" t="str">
        <x:v>자동</x:v>
      </x:c>
      <x:c r="M3312" s="31" t="n">
        <x:f>IF(AND(N3312="미수",G3312&lt;&gt;"",TODAY()&gt;G3312),TODAY()-G3312,0)</x:f>
        <x:v>0</x:v>
      </x:c>
      <x:c r="N3312" s="24" t="str">
        <x:f>IF(J3312&gt;0,"미수",IF(AND(H3312&gt;0,I3312&gt;=H3312),"완납","미확인"))</x:f>
        <x:v>완납</x:v>
      </x:c>
      <x:c r="O3312" s="31" t="n">
        <x:v>42</x:v>
      </x:c>
    </x:row>
    <x:row r="3313" ht="17.25" customHeight="1">
      <x:c r="A3313" s="24" t="str">
        <x:v>PR-B-34구0251-202411</x:v>
      </x:c>
      <x:c r="B3313" s="24" t="str">
        <x:v>프라임구독</x:v>
      </x:c>
      <x:c r="C3313" s="24" t="str">
        <x:v>PR-C-34구0251-1-20240415-119</x:v>
      </x:c>
      <x:c r="D3313" s="24" t="str">
        <x:v>34구0251</x:v>
      </x:c>
      <x:c r="E3313" s="24" t="str">
        <x:v>김진성2</x:v>
      </x:c>
      <x:c r="F3313" s="24" t="str">
        <x:v>2024-11</x:v>
      </x:c>
      <x:c r="G3313" s="30" t="n">
        <x:v>45616</x:v>
      </x:c>
      <x:c r="H3313" s="32" t="n">
        <x:v>550000</x:v>
      </x:c>
      <x:c r="I3313" s="32" t="n">
        <x:v>550000</x:v>
      </x:c>
      <x:c r="J3313" s="32" t="n">
        <x:v>0</x:v>
      </x:c>
      <x:c r="K3313" s="30" t="n">
        <x:v>45616</x:v>
      </x:c>
      <x:c r="L3313" s="24" t="str">
        <x:v>자동</x:v>
      </x:c>
      <x:c r="M3313" s="31" t="n">
        <x:f>IF(AND(N3313="미수",G3313&lt;&gt;"",TODAY()&gt;G3313),TODAY()-G3313,0)</x:f>
        <x:v>0</x:v>
      </x:c>
      <x:c r="N3313" s="24" t="str">
        <x:f>IF(J3313&gt;0,"미수",IF(AND(H3313&gt;0,I3313&gt;=H3313),"완납","미확인"))</x:f>
        <x:v>완납</x:v>
      </x:c>
      <x:c r="O3313" s="31" t="n">
        <x:v>42</x:v>
      </x:c>
    </x:row>
    <x:row r="3314" ht="17.25" customHeight="1">
      <x:c r="A3314" s="24" t="str">
        <x:v>PR-B-34구0251-202410</x:v>
      </x:c>
      <x:c r="B3314" s="24" t="str">
        <x:v>프라임구독</x:v>
      </x:c>
      <x:c r="C3314" s="24" t="str">
        <x:v>PR-C-34구0251-1-20240415-119</x:v>
      </x:c>
      <x:c r="D3314" s="24" t="str">
        <x:v>34구0251</x:v>
      </x:c>
      <x:c r="E3314" s="24" t="str">
        <x:v>김진성2</x:v>
      </x:c>
      <x:c r="F3314" s="24" t="str">
        <x:v>2024-10</x:v>
      </x:c>
      <x:c r="G3314" s="30" t="n">
        <x:v>45585</x:v>
      </x:c>
      <x:c r="H3314" s="32" t="n">
        <x:v>550000</x:v>
      </x:c>
      <x:c r="I3314" s="32" t="n">
        <x:v>550000</x:v>
      </x:c>
      <x:c r="J3314" s="32" t="n">
        <x:v>0</x:v>
      </x:c>
      <x:c r="K3314" s="30" t="n">
        <x:v>45585</x:v>
      </x:c>
      <x:c r="L3314" s="24" t="str">
        <x:v>자동</x:v>
      </x:c>
      <x:c r="M3314" s="31" t="n">
        <x:f>IF(AND(N3314="미수",G3314&lt;&gt;"",TODAY()&gt;G3314),TODAY()-G3314,0)</x:f>
        <x:v>0</x:v>
      </x:c>
      <x:c r="N3314" s="24" t="str">
        <x:f>IF(J3314&gt;0,"미수",IF(AND(H3314&gt;0,I3314&gt;=H3314),"완납","미확인"))</x:f>
        <x:v>완납</x:v>
      </x:c>
      <x:c r="O3314" s="31" t="n">
        <x:v>42</x:v>
      </x:c>
    </x:row>
    <x:row r="3315" ht="17.25" customHeight="1">
      <x:c r="A3315" s="24" t="str">
        <x:v>PR-B-34구0251-202409</x:v>
      </x:c>
      <x:c r="B3315" s="24" t="str">
        <x:v>프라임구독</x:v>
      </x:c>
      <x:c r="C3315" s="24" t="str">
        <x:v>PR-C-34구0251-1-20240415-119</x:v>
      </x:c>
      <x:c r="D3315" s="24" t="str">
        <x:v>34구0251</x:v>
      </x:c>
      <x:c r="E3315" s="24" t="str">
        <x:v>김진성2</x:v>
      </x:c>
      <x:c r="F3315" s="24" t="str">
        <x:v>2024-09</x:v>
      </x:c>
      <x:c r="G3315" s="30" t="n">
        <x:v>45555</x:v>
      </x:c>
      <x:c r="H3315" s="32" t="n">
        <x:v>550000</x:v>
      </x:c>
      <x:c r="I3315" s="32" t="n">
        <x:v>550000</x:v>
      </x:c>
      <x:c r="J3315" s="32" t="n">
        <x:v>0</x:v>
      </x:c>
      <x:c r="K3315" s="30" t="n">
        <x:v>45555</x:v>
      </x:c>
      <x:c r="L3315" s="24" t="str">
        <x:v>자동</x:v>
      </x:c>
      <x:c r="M3315" s="31" t="n">
        <x:f>IF(AND(N3315="미수",G3315&lt;&gt;"",TODAY()&gt;G3315),TODAY()-G3315,0)</x:f>
        <x:v>0</x:v>
      </x:c>
      <x:c r="N3315" s="24" t="str">
        <x:f>IF(J3315&gt;0,"미수",IF(AND(H3315&gt;0,I3315&gt;=H3315),"완납","미확인"))</x:f>
        <x:v>완납</x:v>
      </x:c>
      <x:c r="O3315" s="31" t="n">
        <x:v>42</x:v>
      </x:c>
    </x:row>
    <x:row r="3316" ht="17.25" customHeight="1">
      <x:c r="A3316" s="24" t="str">
        <x:v>PR-B-34구0251-202408</x:v>
      </x:c>
      <x:c r="B3316" s="24" t="str">
        <x:v>프라임구독</x:v>
      </x:c>
      <x:c r="C3316" s="24" t="str">
        <x:v>PR-C-34구0251-1-20240415-119</x:v>
      </x:c>
      <x:c r="D3316" s="24" t="str">
        <x:v>34구0251</x:v>
      </x:c>
      <x:c r="E3316" s="24" t="str">
        <x:v>김진성2</x:v>
      </x:c>
      <x:c r="F3316" s="24" t="str">
        <x:v>2024-08</x:v>
      </x:c>
      <x:c r="G3316" s="30" t="n">
        <x:v>45524</x:v>
      </x:c>
      <x:c r="H3316" s="32" t="n">
        <x:v>550000</x:v>
      </x:c>
      <x:c r="I3316" s="32" t="n">
        <x:v>550000</x:v>
      </x:c>
      <x:c r="J3316" s="32" t="n">
        <x:v>0</x:v>
      </x:c>
      <x:c r="K3316" s="30" t="n">
        <x:v>45524</x:v>
      </x:c>
      <x:c r="L3316" s="24" t="str">
        <x:v>자동</x:v>
      </x:c>
      <x:c r="M3316" s="31" t="n">
        <x:f>IF(AND(N3316="미수",G3316&lt;&gt;"",TODAY()&gt;G3316),TODAY()-G3316,0)</x:f>
        <x:v>0</x:v>
      </x:c>
      <x:c r="N3316" s="24" t="str">
        <x:f>IF(J3316&gt;0,"미수",IF(AND(H3316&gt;0,I3316&gt;=H3316),"완납","미확인"))</x:f>
        <x:v>완납</x:v>
      </x:c>
      <x:c r="O3316" s="31" t="n">
        <x:v>42</x:v>
      </x:c>
    </x:row>
    <x:row r="3317" ht="17.25" customHeight="1">
      <x:c r="A3317" s="24" t="str">
        <x:v>PR-B-34구0251-202407</x:v>
      </x:c>
      <x:c r="B3317" s="24" t="str">
        <x:v>프라임구독</x:v>
      </x:c>
      <x:c r="C3317" s="24" t="str">
        <x:v>PR-C-34구0251-1-20240415-119</x:v>
      </x:c>
      <x:c r="D3317" s="24" t="str">
        <x:v>34구0251</x:v>
      </x:c>
      <x:c r="E3317" s="24" t="str">
        <x:v>김진성2</x:v>
      </x:c>
      <x:c r="F3317" s="24" t="str">
        <x:v>2024-07</x:v>
      </x:c>
      <x:c r="G3317" s="30" t="n">
        <x:v>45493</x:v>
      </x:c>
      <x:c r="H3317" s="32" t="n">
        <x:v>550000</x:v>
      </x:c>
      <x:c r="I3317" s="32" t="n">
        <x:v>550000</x:v>
      </x:c>
      <x:c r="J3317" s="32" t="n">
        <x:v>0</x:v>
      </x:c>
      <x:c r="K3317" s="30" t="n">
        <x:v>45493</x:v>
      </x:c>
      <x:c r="L3317" s="24" t="str">
        <x:v>자동</x:v>
      </x:c>
      <x:c r="M3317" s="31" t="n">
        <x:f>IF(AND(N3317="미수",G3317&lt;&gt;"",TODAY()&gt;G3317),TODAY()-G3317,0)</x:f>
        <x:v>0</x:v>
      </x:c>
      <x:c r="N3317" s="24" t="str">
        <x:f>IF(J3317&gt;0,"미수",IF(AND(H3317&gt;0,I3317&gt;=H3317),"완납","미확인"))</x:f>
        <x:v>완납</x:v>
      </x:c>
      <x:c r="O3317" s="31" t="n">
        <x:v>42</x:v>
      </x:c>
    </x:row>
    <x:row r="3318" ht="17.25" customHeight="1">
      <x:c r="A3318" s="24" t="str">
        <x:v>PR-B-34구0251-202406</x:v>
      </x:c>
      <x:c r="B3318" s="24" t="str">
        <x:v>프라임구독</x:v>
      </x:c>
      <x:c r="C3318" s="24" t="str">
        <x:v>PR-C-34구0251-1-20240415-119</x:v>
      </x:c>
      <x:c r="D3318" s="24" t="str">
        <x:v>34구0251</x:v>
      </x:c>
      <x:c r="E3318" s="24" t="str">
        <x:v>김진성2</x:v>
      </x:c>
      <x:c r="F3318" s="24" t="str">
        <x:v>2024-06</x:v>
      </x:c>
      <x:c r="G3318" s="30" t="n">
        <x:v>45463</x:v>
      </x:c>
      <x:c r="H3318" s="32" t="n">
        <x:v>550000</x:v>
      </x:c>
      <x:c r="I3318" s="32" t="n">
        <x:v>550000</x:v>
      </x:c>
      <x:c r="J3318" s="32" t="n">
        <x:v>0</x:v>
      </x:c>
      <x:c r="K3318" s="30" t="n">
        <x:v>45463</x:v>
      </x:c>
      <x:c r="L3318" s="24" t="str"/>
      <x:c r="M3318" s="31" t="n">
        <x:f>IF(AND(N3318="미수",G3318&lt;&gt;"",TODAY()&gt;G3318),TODAY()-G3318,0)</x:f>
        <x:v>0</x:v>
      </x:c>
      <x:c r="N3318" s="24" t="str">
        <x:f>IF(J3318&gt;0,"미수",IF(AND(H3318&gt;0,I3318&gt;=H3318),"완납","미확인"))</x:f>
        <x:v>완납</x:v>
      </x:c>
      <x:c r="O3318" s="31" t="n">
        <x:v>42</x:v>
      </x:c>
    </x:row>
    <x:row r="3319" ht="17.25" customHeight="1">
      <x:c r="A3319" s="24" t="str">
        <x:v>PR-B-34구0251-202405</x:v>
      </x:c>
      <x:c r="B3319" s="24" t="str">
        <x:v>프라임구독</x:v>
      </x:c>
      <x:c r="C3319" s="24" t="str">
        <x:v>PR-C-34구0251-1-20240415-119</x:v>
      </x:c>
      <x:c r="D3319" s="24" t="str">
        <x:v>34구0251</x:v>
      </x:c>
      <x:c r="E3319" s="24" t="str">
        <x:v>김진성2</x:v>
      </x:c>
      <x:c r="F3319" s="24" t="str">
        <x:v>2024-05</x:v>
      </x:c>
      <x:c r="G3319" s="30" t="n">
        <x:v>45432</x:v>
      </x:c>
      <x:c r="H3319" s="32" t="n">
        <x:v>641000</x:v>
      </x:c>
      <x:c r="I3319" s="32" t="n">
        <x:v>641000</x:v>
      </x:c>
      <x:c r="J3319" s="32" t="n">
        <x:v>0</x:v>
      </x:c>
      <x:c r="K3319" s="30" t="n">
        <x:v>45398</x:v>
      </x:c>
      <x:c r="L3319" s="24" t="str"/>
      <x:c r="M3319" s="31" t="n">
        <x:f>IF(AND(N3319="미수",G3319&lt;&gt;"",TODAY()&gt;G3319),TODAY()-G3319,0)</x:f>
        <x:v>0</x:v>
      </x:c>
      <x:c r="N3319" s="24" t="str">
        <x:f>IF(J3319&gt;0,"미수",IF(AND(H3319&gt;0,I3319&gt;=H3319),"완납","미확인"))</x:f>
        <x:v>완납</x:v>
      </x:c>
      <x:c r="O3319" s="31" t="n">
        <x:v>42</x:v>
      </x:c>
    </x:row>
    <x:row r="3320" ht="17.25" customHeight="1">
      <x:c r="A3320" s="24" t="str">
        <x:v>PR-B-309무3799-202608</x:v>
      </x:c>
      <x:c r="B3320" s="24" t="str">
        <x:v>프라임구독</x:v>
      </x:c>
      <x:c r="C3320" s="24" t="str">
        <x:v>PR-C-309무3799-1-20240618-110</x:v>
      </x:c>
      <x:c r="D3320" s="24" t="str">
        <x:v>309무3799</x:v>
      </x:c>
      <x:c r="E3320" s="24" t="str">
        <x:v>신용엽</x:v>
      </x:c>
      <x:c r="F3320" s="24" t="str">
        <x:v>2026-08</x:v>
      </x:c>
      <x:c r="G3320" s="30" t="n">
        <x:v>46259</x:v>
      </x:c>
      <x:c r="H3320" s="32" t="n">
        <x:v>559000</x:v>
      </x:c>
      <x:c r="I3320" s="32"/>
      <x:c r="J3320" s="32" t="n">
        <x:v>559000</x:v>
      </x:c>
      <x:c r="K3320" s="30"/>
      <x:c r="L3320" s="24" t="str"/>
      <x:c r="M3320" s="31" t="n">
        <x:f>IF(AND(N3320="미수",G3320&lt;&gt;"",TODAY()&gt;G3320),TODAY()-G3320,0)</x:f>
        <x:v>0</x:v>
      </x:c>
      <x:c r="N3320" s="24" t="str">
        <x:f>IF(J3320&gt;0,"미수",IF(AND(H3320&gt;0,I3320&gt;=H3320),"완납","미확인"))</x:f>
        <x:v>미수</x:v>
      </x:c>
      <x:c r="O3320" s="31" t="n">
        <x:v>43</x:v>
      </x:c>
    </x:row>
    <x:row r="3321" ht="17.25" customHeight="1">
      <x:c r="A3321" s="24" t="str">
        <x:v>PR-B-309무3799-202607</x:v>
      </x:c>
      <x:c r="B3321" s="24" t="str">
        <x:v>프라임구독</x:v>
      </x:c>
      <x:c r="C3321" s="24" t="str">
        <x:v>PR-C-309무3799-1-20240618-110</x:v>
      </x:c>
      <x:c r="D3321" s="24" t="str">
        <x:v>309무3799</x:v>
      </x:c>
      <x:c r="E3321" s="24" t="str">
        <x:v>신용엽</x:v>
      </x:c>
      <x:c r="F3321" s="24" t="str">
        <x:v>2026-07</x:v>
      </x:c>
      <x:c r="G3321" s="30" t="n">
        <x:v>46228</x:v>
      </x:c>
      <x:c r="H3321" s="32" t="n">
        <x:v>559000</x:v>
      </x:c>
      <x:c r="I3321" s="32" t="n">
        <x:v>559000</x:v>
      </x:c>
      <x:c r="J3321" s="32" t="n">
        <x:v>0</x:v>
      </x:c>
      <x:c r="K3321" s="30" t="n">
        <x:v>46218</x:v>
      </x:c>
      <x:c r="L3321" s="24" t="str">
        <x:v>입금</x:v>
      </x:c>
      <x:c r="M3321" s="31" t="n">
        <x:f>IF(AND(N3321="미수",G3321&lt;&gt;"",TODAY()&gt;G3321),TODAY()-G3321,0)</x:f>
        <x:v>0</x:v>
      </x:c>
      <x:c r="N3321" s="24" t="str">
        <x:f>IF(J3321&gt;0,"미수",IF(AND(H3321&gt;0,I3321&gt;=H3321),"완납","미확인"))</x:f>
        <x:v>완납</x:v>
      </x:c>
      <x:c r="O3321" s="31" t="n">
        <x:v>43</x:v>
      </x:c>
    </x:row>
    <x:row r="3322" ht="17.25" customHeight="1">
      <x:c r="A3322" s="24" t="str">
        <x:v>PR-B-309무3799-202606</x:v>
      </x:c>
      <x:c r="B3322" s="24" t="str">
        <x:v>프라임구독</x:v>
      </x:c>
      <x:c r="C3322" s="24" t="str">
        <x:v>PR-C-309무3799-1-20240618-110</x:v>
      </x:c>
      <x:c r="D3322" s="24" t="str">
        <x:v>309무3799</x:v>
      </x:c>
      <x:c r="E3322" s="24" t="str">
        <x:v>신용엽</x:v>
      </x:c>
      <x:c r="F3322" s="24" t="str">
        <x:v>2026-06</x:v>
      </x:c>
      <x:c r="G3322" s="30" t="n">
        <x:v>46198</x:v>
      </x:c>
      <x:c r="H3322" s="32" t="n">
        <x:v>559000</x:v>
      </x:c>
      <x:c r="I3322" s="32" t="n">
        <x:v>559000</x:v>
      </x:c>
      <x:c r="J3322" s="32" t="n">
        <x:v>0</x:v>
      </x:c>
      <x:c r="K3322" s="30" t="n">
        <x:v>46188</x:v>
      </x:c>
      <x:c r="L3322" s="24" t="str">
        <x:v>입금</x:v>
      </x:c>
      <x:c r="M3322" s="31" t="n">
        <x:f>IF(AND(N3322="미수",G3322&lt;&gt;"",TODAY()&gt;G3322),TODAY()-G3322,0)</x:f>
        <x:v>0</x:v>
      </x:c>
      <x:c r="N3322" s="24" t="str">
        <x:f>IF(J3322&gt;0,"미수",IF(AND(H3322&gt;0,I3322&gt;=H3322),"완납","미확인"))</x:f>
        <x:v>완납</x:v>
      </x:c>
      <x:c r="O3322" s="31" t="n">
        <x:v>43</x:v>
      </x:c>
    </x:row>
    <x:row r="3323" ht="17.25" customHeight="1">
      <x:c r="A3323" s="24" t="str">
        <x:v>PR-B-309무3799-202605</x:v>
      </x:c>
      <x:c r="B3323" s="24" t="str">
        <x:v>프라임구독</x:v>
      </x:c>
      <x:c r="C3323" s="24" t="str">
        <x:v>PR-C-309무3799-1-20240618-110</x:v>
      </x:c>
      <x:c r="D3323" s="24" t="str">
        <x:v>309무3799</x:v>
      </x:c>
      <x:c r="E3323" s="24" t="str">
        <x:v>신용엽</x:v>
      </x:c>
      <x:c r="F3323" s="24" t="str">
        <x:v>2026-05</x:v>
      </x:c>
      <x:c r="G3323" s="30" t="n">
        <x:v>46167</x:v>
      </x:c>
      <x:c r="H3323" s="32" t="n">
        <x:v>559000</x:v>
      </x:c>
      <x:c r="I3323" s="32" t="n">
        <x:v>559000</x:v>
      </x:c>
      <x:c r="J3323" s="32" t="n">
        <x:v>0</x:v>
      </x:c>
      <x:c r="K3323" s="30" t="n">
        <x:v>46157</x:v>
      </x:c>
      <x:c r="L3323" s="24" t="str">
        <x:v>입금</x:v>
      </x:c>
      <x:c r="M3323" s="31" t="n">
        <x:f>IF(AND(N3323="미수",G3323&lt;&gt;"",TODAY()&gt;G3323),TODAY()-G3323,0)</x:f>
        <x:v>0</x:v>
      </x:c>
      <x:c r="N3323" s="24" t="str">
        <x:f>IF(J3323&gt;0,"미수",IF(AND(H3323&gt;0,I3323&gt;=H3323),"완납","미확인"))</x:f>
        <x:v>완납</x:v>
      </x:c>
      <x:c r="O3323" s="31" t="n">
        <x:v>43</x:v>
      </x:c>
    </x:row>
    <x:row r="3324" ht="17.25" customHeight="1">
      <x:c r="A3324" s="24" t="str">
        <x:v>PR-B-309무3799-202604</x:v>
      </x:c>
      <x:c r="B3324" s="24" t="str">
        <x:v>프라임구독</x:v>
      </x:c>
      <x:c r="C3324" s="24" t="str">
        <x:v>PR-C-309무3799-1-20240618-110</x:v>
      </x:c>
      <x:c r="D3324" s="24" t="str">
        <x:v>309무3799</x:v>
      </x:c>
      <x:c r="E3324" s="24" t="str">
        <x:v>신용엽</x:v>
      </x:c>
      <x:c r="F3324" s="24" t="str">
        <x:v>2026-04</x:v>
      </x:c>
      <x:c r="G3324" s="30" t="n">
        <x:v>46137</x:v>
      </x:c>
      <x:c r="H3324" s="32" t="n">
        <x:v>559000</x:v>
      </x:c>
      <x:c r="I3324" s="32" t="n">
        <x:v>559000</x:v>
      </x:c>
      <x:c r="J3324" s="32" t="n">
        <x:v>0</x:v>
      </x:c>
      <x:c r="K3324" s="30" t="n">
        <x:v>46127</x:v>
      </x:c>
      <x:c r="L3324" s="24" t="str">
        <x:v>입금</x:v>
      </x:c>
      <x:c r="M3324" s="31" t="n">
        <x:f>IF(AND(N3324="미수",G3324&lt;&gt;"",TODAY()&gt;G3324),TODAY()-G3324,0)</x:f>
        <x:v>0</x:v>
      </x:c>
      <x:c r="N3324" s="24" t="str">
        <x:f>IF(J3324&gt;0,"미수",IF(AND(H3324&gt;0,I3324&gt;=H3324),"완납","미확인"))</x:f>
        <x:v>완납</x:v>
      </x:c>
      <x:c r="O3324" s="31" t="n">
        <x:v>43</x:v>
      </x:c>
    </x:row>
    <x:row r="3325" ht="17.25" customHeight="1">
      <x:c r="A3325" s="24" t="str">
        <x:v>PR-B-309무3799-202603</x:v>
      </x:c>
      <x:c r="B3325" s="24" t="str">
        <x:v>프라임구독</x:v>
      </x:c>
      <x:c r="C3325" s="24" t="str">
        <x:v>PR-C-309무3799-1-20240618-110</x:v>
      </x:c>
      <x:c r="D3325" s="24" t="str">
        <x:v>309무3799</x:v>
      </x:c>
      <x:c r="E3325" s="24" t="str">
        <x:v>신용엽</x:v>
      </x:c>
      <x:c r="F3325" s="24" t="str">
        <x:v>2026-03</x:v>
      </x:c>
      <x:c r="G3325" s="30" t="n">
        <x:v>46106</x:v>
      </x:c>
      <x:c r="H3325" s="32" t="n">
        <x:v>559000</x:v>
      </x:c>
      <x:c r="I3325" s="32" t="n">
        <x:v>559000</x:v>
      </x:c>
      <x:c r="J3325" s="32" t="n">
        <x:v>0</x:v>
      </x:c>
      <x:c r="K3325" s="30" t="n">
        <x:v>46094</x:v>
      </x:c>
      <x:c r="L3325" s="24" t="str">
        <x:v>입금</x:v>
      </x:c>
      <x:c r="M3325" s="31" t="n">
        <x:f>IF(AND(N3325="미수",G3325&lt;&gt;"",TODAY()&gt;G3325),TODAY()-G3325,0)</x:f>
        <x:v>0</x:v>
      </x:c>
      <x:c r="N3325" s="24" t="str">
        <x:f>IF(J3325&gt;0,"미수",IF(AND(H3325&gt;0,I3325&gt;=H3325),"완납","미확인"))</x:f>
        <x:v>완납</x:v>
      </x:c>
      <x:c r="O3325" s="31" t="n">
        <x:v>43</x:v>
      </x:c>
    </x:row>
    <x:row r="3326" ht="17.25" customHeight="1">
      <x:c r="A3326" s="24" t="str">
        <x:v>PR-B-309무3799-202602</x:v>
      </x:c>
      <x:c r="B3326" s="24" t="str">
        <x:v>프라임구독</x:v>
      </x:c>
      <x:c r="C3326" s="24" t="str">
        <x:v>PR-C-309무3799-1-20240618-110</x:v>
      </x:c>
      <x:c r="D3326" s="24" t="str">
        <x:v>309무3799</x:v>
      </x:c>
      <x:c r="E3326" s="24" t="str">
        <x:v>신용엽</x:v>
      </x:c>
      <x:c r="F3326" s="24" t="str">
        <x:v>2026-02</x:v>
      </x:c>
      <x:c r="G3326" s="30" t="n">
        <x:v>46078</x:v>
      </x:c>
      <x:c r="H3326" s="32" t="n">
        <x:v>559000</x:v>
      </x:c>
      <x:c r="I3326" s="32" t="n">
        <x:v>559000</x:v>
      </x:c>
      <x:c r="J3326" s="32" t="n">
        <x:v>0</x:v>
      </x:c>
      <x:c r="K3326" s="30" t="n">
        <x:v>46066</x:v>
      </x:c>
      <x:c r="L3326" s="24" t="str">
        <x:v>입금</x:v>
      </x:c>
      <x:c r="M3326" s="31" t="n">
        <x:f>IF(AND(N3326="미수",G3326&lt;&gt;"",TODAY()&gt;G3326),TODAY()-G3326,0)</x:f>
        <x:v>0</x:v>
      </x:c>
      <x:c r="N3326" s="24" t="str">
        <x:f>IF(J3326&gt;0,"미수",IF(AND(H3326&gt;0,I3326&gt;=H3326),"완납","미확인"))</x:f>
        <x:v>완납</x:v>
      </x:c>
      <x:c r="O3326" s="31" t="n">
        <x:v>43</x:v>
      </x:c>
    </x:row>
    <x:row r="3327" ht="17.25" customHeight="1">
      <x:c r="A3327" s="24" t="str">
        <x:v>PR-B-309무3799-202601</x:v>
      </x:c>
      <x:c r="B3327" s="24" t="str">
        <x:v>프라임구독</x:v>
      </x:c>
      <x:c r="C3327" s="24" t="str">
        <x:v>PR-C-309무3799-1-20240618-110</x:v>
      </x:c>
      <x:c r="D3327" s="24" t="str">
        <x:v>309무3799</x:v>
      </x:c>
      <x:c r="E3327" s="24" t="str">
        <x:v>신용엽</x:v>
      </x:c>
      <x:c r="F3327" s="24" t="str">
        <x:v>2026-01</x:v>
      </x:c>
      <x:c r="G3327" s="30" t="n">
        <x:v>46047</x:v>
      </x:c>
      <x:c r="H3327" s="32" t="n">
        <x:v>559000</x:v>
      </x:c>
      <x:c r="I3327" s="32" t="n">
        <x:v>559000</x:v>
      </x:c>
      <x:c r="J3327" s="32" t="n">
        <x:v>0</x:v>
      </x:c>
      <x:c r="K3327" s="30" t="n">
        <x:v>46029</x:v>
      </x:c>
      <x:c r="L3327" s="24" t="str">
        <x:v>입금</x:v>
      </x:c>
      <x:c r="M3327" s="31" t="n">
        <x:f>IF(AND(N3327="미수",G3327&lt;&gt;"",TODAY()&gt;G3327),TODAY()-G3327,0)</x:f>
        <x:v>0</x:v>
      </x:c>
      <x:c r="N3327" s="24" t="str">
        <x:f>IF(J3327&gt;0,"미수",IF(AND(H3327&gt;0,I3327&gt;=H3327),"완납","미확인"))</x:f>
        <x:v>완납</x:v>
      </x:c>
      <x:c r="O3327" s="31" t="n">
        <x:v>43</x:v>
      </x:c>
    </x:row>
    <x:row r="3328" ht="17.25" customHeight="1">
      <x:c r="A3328" s="24" t="str">
        <x:v>PR-B-309무3799-202512</x:v>
      </x:c>
      <x:c r="B3328" s="24" t="str">
        <x:v>프라임구독</x:v>
      </x:c>
      <x:c r="C3328" s="24" t="str">
        <x:v>PR-C-309무3799-1-20240618-110</x:v>
      </x:c>
      <x:c r="D3328" s="24" t="str">
        <x:v>309무3799</x:v>
      </x:c>
      <x:c r="E3328" s="24" t="str">
        <x:v>신용엽</x:v>
      </x:c>
      <x:c r="F3328" s="24" t="str">
        <x:v>2025-12</x:v>
      </x:c>
      <x:c r="G3328" s="30" t="n">
        <x:v>46016</x:v>
      </x:c>
      <x:c r="H3328" s="32" t="n">
        <x:v>559000</x:v>
      </x:c>
      <x:c r="I3328" s="32" t="n">
        <x:v>559000</x:v>
      </x:c>
      <x:c r="J3328" s="32" t="n">
        <x:v>0</x:v>
      </x:c>
      <x:c r="K3328" s="30" t="n">
        <x:v>46014</x:v>
      </x:c>
      <x:c r="L3328" s="24" t="str">
        <x:v>입금</x:v>
      </x:c>
      <x:c r="M3328" s="31" t="n">
        <x:f>IF(AND(N3328="미수",G3328&lt;&gt;"",TODAY()&gt;G3328),TODAY()-G3328,0)</x:f>
        <x:v>0</x:v>
      </x:c>
      <x:c r="N3328" s="24" t="str">
        <x:f>IF(J3328&gt;0,"미수",IF(AND(H3328&gt;0,I3328&gt;=H3328),"완납","미확인"))</x:f>
        <x:v>완납</x:v>
      </x:c>
      <x:c r="O3328" s="31" t="n">
        <x:v>43</x:v>
      </x:c>
    </x:row>
    <x:row r="3329" ht="17.25" customHeight="1">
      <x:c r="A3329" s="24" t="str">
        <x:v>PR-B-309무3799-202511</x:v>
      </x:c>
      <x:c r="B3329" s="24" t="str">
        <x:v>프라임구독</x:v>
      </x:c>
      <x:c r="C3329" s="24" t="str">
        <x:v>PR-C-309무3799-1-20240618-110</x:v>
      </x:c>
      <x:c r="D3329" s="24" t="str">
        <x:v>309무3799</x:v>
      </x:c>
      <x:c r="E3329" s="24" t="str">
        <x:v>신용엽</x:v>
      </x:c>
      <x:c r="F3329" s="24" t="str">
        <x:v>2025-11</x:v>
      </x:c>
      <x:c r="G3329" s="30" t="n">
        <x:v>45986</x:v>
      </x:c>
      <x:c r="H3329" s="32" t="n">
        <x:v>559000</x:v>
      </x:c>
      <x:c r="I3329" s="32" t="n">
        <x:v>559000</x:v>
      </x:c>
      <x:c r="J3329" s="32" t="n">
        <x:v>0</x:v>
      </x:c>
      <x:c r="K3329" s="30" t="n">
        <x:v>45979</x:v>
      </x:c>
      <x:c r="L3329" s="24" t="str">
        <x:v>입금</x:v>
      </x:c>
      <x:c r="M3329" s="31" t="n">
        <x:f>IF(AND(N3329="미수",G3329&lt;&gt;"",TODAY()&gt;G3329),TODAY()-G3329,0)</x:f>
        <x:v>0</x:v>
      </x:c>
      <x:c r="N3329" s="24" t="str">
        <x:f>IF(J3329&gt;0,"미수",IF(AND(H3329&gt;0,I3329&gt;=H3329),"완납","미확인"))</x:f>
        <x:v>완납</x:v>
      </x:c>
      <x:c r="O3329" s="31" t="n">
        <x:v>43</x:v>
      </x:c>
    </x:row>
    <x:row r="3330" ht="17.25" customHeight="1">
      <x:c r="A3330" s="24" t="str">
        <x:v>PR-B-309무3799-202510</x:v>
      </x:c>
      <x:c r="B3330" s="24" t="str">
        <x:v>프라임구독</x:v>
      </x:c>
      <x:c r="C3330" s="24" t="str">
        <x:v>PR-C-309무3799-1-20240618-110</x:v>
      </x:c>
      <x:c r="D3330" s="24" t="str">
        <x:v>309무3799</x:v>
      </x:c>
      <x:c r="E3330" s="24" t="str">
        <x:v>신용엽</x:v>
      </x:c>
      <x:c r="F3330" s="24" t="str">
        <x:v>2025-10</x:v>
      </x:c>
      <x:c r="G3330" s="30" t="n">
        <x:v>45955</x:v>
      </x:c>
      <x:c r="H3330" s="32" t="n">
        <x:v>559000</x:v>
      </x:c>
      <x:c r="I3330" s="32" t="n">
        <x:v>559000</x:v>
      </x:c>
      <x:c r="J3330" s="32" t="n">
        <x:v>0</x:v>
      </x:c>
      <x:c r="K3330" s="30" t="n">
        <x:v>45951</x:v>
      </x:c>
      <x:c r="L3330" s="24" t="str">
        <x:v>입금</x:v>
      </x:c>
      <x:c r="M3330" s="31" t="n">
        <x:f>IF(AND(N3330="미수",G3330&lt;&gt;"",TODAY()&gt;G3330),TODAY()-G3330,0)</x:f>
        <x:v>0</x:v>
      </x:c>
      <x:c r="N3330" s="24" t="str">
        <x:f>IF(J3330&gt;0,"미수",IF(AND(H3330&gt;0,I3330&gt;=H3330),"완납","미확인"))</x:f>
        <x:v>완납</x:v>
      </x:c>
      <x:c r="O3330" s="31" t="n">
        <x:v>43</x:v>
      </x:c>
    </x:row>
    <x:row r="3331" ht="17.25" customHeight="1">
      <x:c r="A3331" s="24" t="str">
        <x:v>PR-B-309무3799-202509</x:v>
      </x:c>
      <x:c r="B3331" s="24" t="str">
        <x:v>프라임구독</x:v>
      </x:c>
      <x:c r="C3331" s="24" t="str">
        <x:v>PR-C-309무3799-1-20240618-110</x:v>
      </x:c>
      <x:c r="D3331" s="24" t="str">
        <x:v>309무3799</x:v>
      </x:c>
      <x:c r="E3331" s="24" t="str">
        <x:v>신용엽</x:v>
      </x:c>
      <x:c r="F3331" s="24" t="str">
        <x:v>2025-09</x:v>
      </x:c>
      <x:c r="G3331" s="30" t="n">
        <x:v>45925</x:v>
      </x:c>
      <x:c r="H3331" s="32" t="n">
        <x:v>559000</x:v>
      </x:c>
      <x:c r="I3331" s="32" t="n">
        <x:v>559000</x:v>
      </x:c>
      <x:c r="J3331" s="32" t="n">
        <x:v>0</x:v>
      </x:c>
      <x:c r="K3331" s="30" t="n">
        <x:v>45923</x:v>
      </x:c>
      <x:c r="L3331" s="24" t="str">
        <x:v>입금</x:v>
      </x:c>
      <x:c r="M3331" s="31" t="n">
        <x:f>IF(AND(N3331="미수",G3331&lt;&gt;"",TODAY()&gt;G3331),TODAY()-G3331,0)</x:f>
        <x:v>0</x:v>
      </x:c>
      <x:c r="N3331" s="24" t="str">
        <x:f>IF(J3331&gt;0,"미수",IF(AND(H3331&gt;0,I3331&gt;=H3331),"완납","미확인"))</x:f>
        <x:v>완납</x:v>
      </x:c>
      <x:c r="O3331" s="31" t="n">
        <x:v>43</x:v>
      </x:c>
    </x:row>
    <x:row r="3332" ht="17.25" customHeight="1">
      <x:c r="A3332" s="24" t="str">
        <x:v>PR-B-309무3799-202508</x:v>
      </x:c>
      <x:c r="B3332" s="24" t="str">
        <x:v>프라임구독</x:v>
      </x:c>
      <x:c r="C3332" s="24" t="str">
        <x:v>PR-C-309무3799-1-20240618-110</x:v>
      </x:c>
      <x:c r="D3332" s="24" t="str">
        <x:v>309무3799</x:v>
      </x:c>
      <x:c r="E3332" s="24" t="str">
        <x:v>신용엽</x:v>
      </x:c>
      <x:c r="F3332" s="24" t="str">
        <x:v>2025-08</x:v>
      </x:c>
      <x:c r="G3332" s="30" t="n">
        <x:v>45894</x:v>
      </x:c>
      <x:c r="H3332" s="32" t="n">
        <x:v>559000</x:v>
      </x:c>
      <x:c r="I3332" s="32" t="n">
        <x:v>559000</x:v>
      </x:c>
      <x:c r="J3332" s="32" t="n">
        <x:v>0</x:v>
      </x:c>
      <x:c r="K3332" s="30" t="n">
        <x:v>45888</x:v>
      </x:c>
      <x:c r="L3332" s="24" t="str">
        <x:v>입금</x:v>
      </x:c>
      <x:c r="M3332" s="31" t="n">
        <x:f>IF(AND(N3332="미수",G3332&lt;&gt;"",TODAY()&gt;G3332),TODAY()-G3332,0)</x:f>
        <x:v>0</x:v>
      </x:c>
      <x:c r="N3332" s="24" t="str">
        <x:f>IF(J3332&gt;0,"미수",IF(AND(H3332&gt;0,I3332&gt;=H3332),"완납","미확인"))</x:f>
        <x:v>완납</x:v>
      </x:c>
      <x:c r="O3332" s="31" t="n">
        <x:v>43</x:v>
      </x:c>
    </x:row>
    <x:row r="3333" ht="17.25" customHeight="1">
      <x:c r="A3333" s="24" t="str">
        <x:v>PR-B-309무3799-202507</x:v>
      </x:c>
      <x:c r="B3333" s="24" t="str">
        <x:v>프라임구독</x:v>
      </x:c>
      <x:c r="C3333" s="24" t="str">
        <x:v>PR-C-309무3799-1-20240618-110</x:v>
      </x:c>
      <x:c r="D3333" s="24" t="str">
        <x:v>309무3799</x:v>
      </x:c>
      <x:c r="E3333" s="24" t="str">
        <x:v>신용엽</x:v>
      </x:c>
      <x:c r="F3333" s="24" t="str">
        <x:v>2025-07</x:v>
      </x:c>
      <x:c r="G3333" s="30" t="n">
        <x:v>45863</x:v>
      </x:c>
      <x:c r="H3333" s="32" t="n">
        <x:v>559000</x:v>
      </x:c>
      <x:c r="I3333" s="32" t="n">
        <x:v>559000</x:v>
      </x:c>
      <x:c r="J3333" s="32" t="n">
        <x:v>0</x:v>
      </x:c>
      <x:c r="K3333" s="30" t="n">
        <x:v>45860</x:v>
      </x:c>
      <x:c r="L3333" s="24" t="str">
        <x:v>입금</x:v>
      </x:c>
      <x:c r="M3333" s="31" t="n">
        <x:f>IF(AND(N3333="미수",G3333&lt;&gt;"",TODAY()&gt;G3333),TODAY()-G3333,0)</x:f>
        <x:v>0</x:v>
      </x:c>
      <x:c r="N3333" s="24" t="str">
        <x:f>IF(J3333&gt;0,"미수",IF(AND(H3333&gt;0,I3333&gt;=H3333),"완납","미확인"))</x:f>
        <x:v>완납</x:v>
      </x:c>
      <x:c r="O3333" s="31" t="n">
        <x:v>43</x:v>
      </x:c>
    </x:row>
    <x:row r="3334" ht="17.25" customHeight="1">
      <x:c r="A3334" s="24" t="str">
        <x:v>PR-B-309무3799-202506</x:v>
      </x:c>
      <x:c r="B3334" s="24" t="str">
        <x:v>프라임구독</x:v>
      </x:c>
      <x:c r="C3334" s="24" t="str">
        <x:v>PR-C-309무3799-1-20240618-110</x:v>
      </x:c>
      <x:c r="D3334" s="24" t="str">
        <x:v>309무3799</x:v>
      </x:c>
      <x:c r="E3334" s="24" t="str">
        <x:v>신용엽</x:v>
      </x:c>
      <x:c r="F3334" s="24" t="str">
        <x:v>2025-06</x:v>
      </x:c>
      <x:c r="G3334" s="30" t="n">
        <x:v>45833</x:v>
      </x:c>
      <x:c r="H3334" s="32" t="n">
        <x:v>559000</x:v>
      </x:c>
      <x:c r="I3334" s="32" t="n">
        <x:v>559000</x:v>
      </x:c>
      <x:c r="J3334" s="32" t="n">
        <x:v>0</x:v>
      </x:c>
      <x:c r="K3334" s="30" t="n">
        <x:v>45826</x:v>
      </x:c>
      <x:c r="L3334" s="24" t="str">
        <x:v>입금</x:v>
      </x:c>
      <x:c r="M3334" s="31" t="n">
        <x:f>IF(AND(N3334="미수",G3334&lt;&gt;"",TODAY()&gt;G3334),TODAY()-G3334,0)</x:f>
        <x:v>0</x:v>
      </x:c>
      <x:c r="N3334" s="24" t="str">
        <x:f>IF(J3334&gt;0,"미수",IF(AND(H3334&gt;0,I3334&gt;=H3334),"완납","미확인"))</x:f>
        <x:v>완납</x:v>
      </x:c>
      <x:c r="O3334" s="31" t="n">
        <x:v>43</x:v>
      </x:c>
    </x:row>
    <x:row r="3335" ht="17.25" customHeight="1">
      <x:c r="A3335" s="24" t="str">
        <x:v>PR-B-309무3799-202505</x:v>
      </x:c>
      <x:c r="B3335" s="24" t="str">
        <x:v>프라임구독</x:v>
      </x:c>
      <x:c r="C3335" s="24" t="str">
        <x:v>PR-C-309무3799-1-20240618-110</x:v>
      </x:c>
      <x:c r="D3335" s="24" t="str">
        <x:v>309무3799</x:v>
      </x:c>
      <x:c r="E3335" s="24" t="str">
        <x:v>신용엽</x:v>
      </x:c>
      <x:c r="F3335" s="24" t="str">
        <x:v>2025-05</x:v>
      </x:c>
      <x:c r="G3335" s="30" t="n">
        <x:v>45802</x:v>
      </x:c>
      <x:c r="H3335" s="32" t="n">
        <x:v>559000</x:v>
      </x:c>
      <x:c r="I3335" s="32" t="n">
        <x:v>559000</x:v>
      </x:c>
      <x:c r="J3335" s="32" t="n">
        <x:v>0</x:v>
      </x:c>
      <x:c r="K3335" s="30" t="n">
        <x:v>45797</x:v>
      </x:c>
      <x:c r="L3335" s="24" t="str">
        <x:v>입금</x:v>
      </x:c>
      <x:c r="M3335" s="31" t="n">
        <x:f>IF(AND(N3335="미수",G3335&lt;&gt;"",TODAY()&gt;G3335),TODAY()-G3335,0)</x:f>
        <x:v>0</x:v>
      </x:c>
      <x:c r="N3335" s="24" t="str">
        <x:f>IF(J3335&gt;0,"미수",IF(AND(H3335&gt;0,I3335&gt;=H3335),"완납","미확인"))</x:f>
        <x:v>완납</x:v>
      </x:c>
      <x:c r="O3335" s="31" t="n">
        <x:v>43</x:v>
      </x:c>
    </x:row>
    <x:row r="3336" ht="17.25" customHeight="1">
      <x:c r="A3336" s="24" t="str">
        <x:v>PR-B-309무3799-202504</x:v>
      </x:c>
      <x:c r="B3336" s="24" t="str">
        <x:v>프라임구독</x:v>
      </x:c>
      <x:c r="C3336" s="24" t="str">
        <x:v>PR-C-309무3799-1-20240618-110</x:v>
      </x:c>
      <x:c r="D3336" s="24" t="str">
        <x:v>309무3799</x:v>
      </x:c>
      <x:c r="E3336" s="24" t="str">
        <x:v>신용엽</x:v>
      </x:c>
      <x:c r="F3336" s="24" t="str">
        <x:v>2025-04</x:v>
      </x:c>
      <x:c r="G3336" s="30" t="n">
        <x:v>45772</x:v>
      </x:c>
      <x:c r="H3336" s="32" t="n">
        <x:v>559000</x:v>
      </x:c>
      <x:c r="I3336" s="32" t="n">
        <x:v>559000</x:v>
      </x:c>
      <x:c r="J3336" s="32" t="n">
        <x:v>0</x:v>
      </x:c>
      <x:c r="K3336" s="30" t="n">
        <x:v>45769</x:v>
      </x:c>
      <x:c r="L3336" s="24" t="str">
        <x:v>입금</x:v>
      </x:c>
      <x:c r="M3336" s="31" t="n">
        <x:f>IF(AND(N3336="미수",G3336&lt;&gt;"",TODAY()&gt;G3336),TODAY()-G3336,0)</x:f>
        <x:v>0</x:v>
      </x:c>
      <x:c r="N3336" s="24" t="str">
        <x:f>IF(J3336&gt;0,"미수",IF(AND(H3336&gt;0,I3336&gt;=H3336),"완납","미확인"))</x:f>
        <x:v>완납</x:v>
      </x:c>
      <x:c r="O3336" s="31" t="n">
        <x:v>43</x:v>
      </x:c>
    </x:row>
    <x:row r="3337" ht="17.25" customHeight="1">
      <x:c r="A3337" s="24" t="str">
        <x:v>PR-B-309무3799-202503</x:v>
      </x:c>
      <x:c r="B3337" s="24" t="str">
        <x:v>프라임구독</x:v>
      </x:c>
      <x:c r="C3337" s="24" t="str">
        <x:v>PR-C-309무3799-1-20240618-110</x:v>
      </x:c>
      <x:c r="D3337" s="24" t="str">
        <x:v>309무3799</x:v>
      </x:c>
      <x:c r="E3337" s="24" t="str">
        <x:v>신용엽</x:v>
      </x:c>
      <x:c r="F3337" s="24" t="str">
        <x:v>2025-03</x:v>
      </x:c>
      <x:c r="G3337" s="30" t="n">
        <x:v>45741</x:v>
      </x:c>
      <x:c r="H3337" s="32" t="n">
        <x:v>559000</x:v>
      </x:c>
      <x:c r="I3337" s="32" t="n">
        <x:v>559000</x:v>
      </x:c>
      <x:c r="J3337" s="32" t="n">
        <x:v>0</x:v>
      </x:c>
      <x:c r="K3337" s="30" t="n">
        <x:v>45734</x:v>
      </x:c>
      <x:c r="L3337" s="24" t="str">
        <x:v>입금</x:v>
      </x:c>
      <x:c r="M3337" s="31" t="n">
        <x:f>IF(AND(N3337="미수",G3337&lt;&gt;"",TODAY()&gt;G3337),TODAY()-G3337,0)</x:f>
        <x:v>0</x:v>
      </x:c>
      <x:c r="N3337" s="24" t="str">
        <x:f>IF(J3337&gt;0,"미수",IF(AND(H3337&gt;0,I3337&gt;=H3337),"완납","미확인"))</x:f>
        <x:v>완납</x:v>
      </x:c>
      <x:c r="O3337" s="31" t="n">
        <x:v>43</x:v>
      </x:c>
    </x:row>
    <x:row r="3338" ht="17.25" customHeight="1">
      <x:c r="A3338" s="24" t="str">
        <x:v>PR-B-309무3799-202502</x:v>
      </x:c>
      <x:c r="B3338" s="24" t="str">
        <x:v>프라임구독</x:v>
      </x:c>
      <x:c r="C3338" s="24" t="str">
        <x:v>PR-C-309무3799-1-20240618-110</x:v>
      </x:c>
      <x:c r="D3338" s="24" t="str">
        <x:v>309무3799</x:v>
      </x:c>
      <x:c r="E3338" s="24" t="str">
        <x:v>신용엽</x:v>
      </x:c>
      <x:c r="F3338" s="24" t="str">
        <x:v>2025-02</x:v>
      </x:c>
      <x:c r="G3338" s="30" t="n">
        <x:v>45713</x:v>
      </x:c>
      <x:c r="H3338" s="32" t="n">
        <x:v>559000</x:v>
      </x:c>
      <x:c r="I3338" s="32" t="n">
        <x:v>559000</x:v>
      </x:c>
      <x:c r="J3338" s="32" t="n">
        <x:v>0</x:v>
      </x:c>
      <x:c r="K3338" s="30" t="n">
        <x:v>45706</x:v>
      </x:c>
      <x:c r="L3338" s="24" t="str">
        <x:v>입금</x:v>
      </x:c>
      <x:c r="M3338" s="31" t="n">
        <x:f>IF(AND(N3338="미수",G3338&lt;&gt;"",TODAY()&gt;G3338),TODAY()-G3338,0)</x:f>
        <x:v>0</x:v>
      </x:c>
      <x:c r="N3338" s="24" t="str">
        <x:f>IF(J3338&gt;0,"미수",IF(AND(H3338&gt;0,I3338&gt;=H3338),"완납","미확인"))</x:f>
        <x:v>완납</x:v>
      </x:c>
      <x:c r="O3338" s="31" t="n">
        <x:v>43</x:v>
      </x:c>
    </x:row>
    <x:row r="3339" ht="17.25" customHeight="1">
      <x:c r="A3339" s="24" t="str">
        <x:v>PR-B-309무3799-202501</x:v>
      </x:c>
      <x:c r="B3339" s="24" t="str">
        <x:v>프라임구독</x:v>
      </x:c>
      <x:c r="C3339" s="24" t="str">
        <x:v>PR-C-309무3799-1-20240618-110</x:v>
      </x:c>
      <x:c r="D3339" s="24" t="str">
        <x:v>309무3799</x:v>
      </x:c>
      <x:c r="E3339" s="24" t="str">
        <x:v>신용엽</x:v>
      </x:c>
      <x:c r="F3339" s="24" t="str">
        <x:v>2025-01</x:v>
      </x:c>
      <x:c r="G3339" s="30" t="n">
        <x:v>45682</x:v>
      </x:c>
      <x:c r="H3339" s="32" t="n">
        <x:v>559000</x:v>
      </x:c>
      <x:c r="I3339" s="32" t="n">
        <x:v>559000</x:v>
      </x:c>
      <x:c r="J3339" s="32" t="n">
        <x:v>0</x:v>
      </x:c>
      <x:c r="K3339" s="30" t="n">
        <x:v>45678</x:v>
      </x:c>
      <x:c r="L3339" s="24" t="str">
        <x:v>입금</x:v>
      </x:c>
      <x:c r="M3339" s="31" t="n">
        <x:f>IF(AND(N3339="미수",G3339&lt;&gt;"",TODAY()&gt;G3339),TODAY()-G3339,0)</x:f>
        <x:v>0</x:v>
      </x:c>
      <x:c r="N3339" s="24" t="str">
        <x:f>IF(J3339&gt;0,"미수",IF(AND(H3339&gt;0,I3339&gt;=H3339),"완납","미확인"))</x:f>
        <x:v>완납</x:v>
      </x:c>
      <x:c r="O3339" s="31" t="n">
        <x:v>43</x:v>
      </x:c>
    </x:row>
    <x:row r="3340" ht="17.25" customHeight="1">
      <x:c r="A3340" s="24" t="str">
        <x:v>PR-B-309무3799-202412</x:v>
      </x:c>
      <x:c r="B3340" s="24" t="str">
        <x:v>프라임구독</x:v>
      </x:c>
      <x:c r="C3340" s="24" t="str">
        <x:v>PR-C-309무3799-1-20240618-110</x:v>
      </x:c>
      <x:c r="D3340" s="24" t="str">
        <x:v>309무3799</x:v>
      </x:c>
      <x:c r="E3340" s="24" t="str">
        <x:v>신용엽</x:v>
      </x:c>
      <x:c r="F3340" s="24" t="str">
        <x:v>2024-12</x:v>
      </x:c>
      <x:c r="G3340" s="30" t="n">
        <x:v>45651</x:v>
      </x:c>
      <x:c r="H3340" s="32" t="n">
        <x:v>559000</x:v>
      </x:c>
      <x:c r="I3340" s="32" t="n">
        <x:v>559000</x:v>
      </x:c>
      <x:c r="J3340" s="32" t="n">
        <x:v>0</x:v>
      </x:c>
      <x:c r="K3340" s="30" t="n">
        <x:v>45650</x:v>
      </x:c>
      <x:c r="L3340" s="24" t="str">
        <x:v>입금</x:v>
      </x:c>
      <x:c r="M3340" s="31" t="n">
        <x:f>IF(AND(N3340="미수",G3340&lt;&gt;"",TODAY()&gt;G3340),TODAY()-G3340,0)</x:f>
        <x:v>0</x:v>
      </x:c>
      <x:c r="N3340" s="24" t="str">
        <x:f>IF(J3340&gt;0,"미수",IF(AND(H3340&gt;0,I3340&gt;=H3340),"완납","미확인"))</x:f>
        <x:v>완납</x:v>
      </x:c>
      <x:c r="O3340" s="31" t="n">
        <x:v>43</x:v>
      </x:c>
    </x:row>
    <x:row r="3341" ht="17.25" customHeight="1">
      <x:c r="A3341" s="24" t="str">
        <x:v>PR-B-309무3799-202411</x:v>
      </x:c>
      <x:c r="B3341" s="24" t="str">
        <x:v>프라임구독</x:v>
      </x:c>
      <x:c r="C3341" s="24" t="str">
        <x:v>PR-C-309무3799-1-20240618-110</x:v>
      </x:c>
      <x:c r="D3341" s="24" t="str">
        <x:v>309무3799</x:v>
      </x:c>
      <x:c r="E3341" s="24" t="str">
        <x:v>신용엽</x:v>
      </x:c>
      <x:c r="F3341" s="24" t="str">
        <x:v>2024-11</x:v>
      </x:c>
      <x:c r="G3341" s="30" t="n">
        <x:v>45621</x:v>
      </x:c>
      <x:c r="H3341" s="32" t="n">
        <x:v>559000</x:v>
      </x:c>
      <x:c r="I3341" s="32" t="n">
        <x:v>559000</x:v>
      </x:c>
      <x:c r="J3341" s="32" t="n">
        <x:v>0</x:v>
      </x:c>
      <x:c r="K3341" s="30" t="n">
        <x:v>45615</x:v>
      </x:c>
      <x:c r="L3341" s="24" t="str">
        <x:v>입금</x:v>
      </x:c>
      <x:c r="M3341" s="31" t="n">
        <x:f>IF(AND(N3341="미수",G3341&lt;&gt;"",TODAY()&gt;G3341),TODAY()-G3341,0)</x:f>
        <x:v>0</x:v>
      </x:c>
      <x:c r="N3341" s="24" t="str">
        <x:f>IF(J3341&gt;0,"미수",IF(AND(H3341&gt;0,I3341&gt;=H3341),"완납","미확인"))</x:f>
        <x:v>완납</x:v>
      </x:c>
      <x:c r="O3341" s="31" t="n">
        <x:v>43</x:v>
      </x:c>
    </x:row>
    <x:row r="3342" ht="17.25" customHeight="1">
      <x:c r="A3342" s="24" t="str">
        <x:v>PR-B-309무3799-202410</x:v>
      </x:c>
      <x:c r="B3342" s="24" t="str">
        <x:v>프라임구독</x:v>
      </x:c>
      <x:c r="C3342" s="24" t="str">
        <x:v>PR-C-309무3799-1-20240618-110</x:v>
      </x:c>
      <x:c r="D3342" s="24" t="str">
        <x:v>309무3799</x:v>
      </x:c>
      <x:c r="E3342" s="24" t="str">
        <x:v>신용엽</x:v>
      </x:c>
      <x:c r="F3342" s="24" t="str">
        <x:v>2024-10</x:v>
      </x:c>
      <x:c r="G3342" s="30" t="n">
        <x:v>45590</x:v>
      </x:c>
      <x:c r="H3342" s="32" t="n">
        <x:v>559000</x:v>
      </x:c>
      <x:c r="I3342" s="32" t="n">
        <x:v>559000</x:v>
      </x:c>
      <x:c r="J3342" s="32" t="n">
        <x:v>0</x:v>
      </x:c>
      <x:c r="K3342" s="30" t="n">
        <x:v>45587</x:v>
      </x:c>
      <x:c r="L3342" s="24" t="str">
        <x:v>입금</x:v>
      </x:c>
      <x:c r="M3342" s="31" t="n">
        <x:f>IF(AND(N3342="미수",G3342&lt;&gt;"",TODAY()&gt;G3342),TODAY()-G3342,0)</x:f>
        <x:v>0</x:v>
      </x:c>
      <x:c r="N3342" s="24" t="str">
        <x:f>IF(J3342&gt;0,"미수",IF(AND(H3342&gt;0,I3342&gt;=H3342),"완납","미확인"))</x:f>
        <x:v>완납</x:v>
      </x:c>
      <x:c r="O3342" s="31" t="n">
        <x:v>43</x:v>
      </x:c>
    </x:row>
    <x:row r="3343" ht="17.25" customHeight="1">
      <x:c r="A3343" s="24" t="str">
        <x:v>PR-B-309무3799-202409</x:v>
      </x:c>
      <x:c r="B3343" s="24" t="str">
        <x:v>프라임구독</x:v>
      </x:c>
      <x:c r="C3343" s="24" t="str">
        <x:v>PR-C-309무3799-1-20240618-110</x:v>
      </x:c>
      <x:c r="D3343" s="24" t="str">
        <x:v>309무3799</x:v>
      </x:c>
      <x:c r="E3343" s="24" t="str">
        <x:v>신용엽</x:v>
      </x:c>
      <x:c r="F3343" s="24" t="str">
        <x:v>2024-09</x:v>
      </x:c>
      <x:c r="G3343" s="30" t="n">
        <x:v>45560</x:v>
      </x:c>
      <x:c r="H3343" s="32" t="n">
        <x:v>559000</x:v>
      </x:c>
      <x:c r="I3343" s="32" t="n">
        <x:v>559000</x:v>
      </x:c>
      <x:c r="J3343" s="32" t="n">
        <x:v>0</x:v>
      </x:c>
      <x:c r="K3343" s="30" t="n">
        <x:v>45548</x:v>
      </x:c>
      <x:c r="L3343" s="24" t="str">
        <x:v>입금</x:v>
      </x:c>
      <x:c r="M3343" s="31" t="n">
        <x:f>IF(AND(N3343="미수",G3343&lt;&gt;"",TODAY()&gt;G3343),TODAY()-G3343,0)</x:f>
        <x:v>0</x:v>
      </x:c>
      <x:c r="N3343" s="24" t="str">
        <x:f>IF(J3343&gt;0,"미수",IF(AND(H3343&gt;0,I3343&gt;=H3343),"완납","미확인"))</x:f>
        <x:v>완납</x:v>
      </x:c>
      <x:c r="O3343" s="31" t="n">
        <x:v>43</x:v>
      </x:c>
    </x:row>
    <x:row r="3344" ht="17.25" customHeight="1">
      <x:c r="A3344" s="24" t="str">
        <x:v>PR-B-309무3799-202408</x:v>
      </x:c>
      <x:c r="B3344" s="24" t="str">
        <x:v>프라임구독</x:v>
      </x:c>
      <x:c r="C3344" s="24" t="str">
        <x:v>PR-C-309무3799-1-20240618-110</x:v>
      </x:c>
      <x:c r="D3344" s="24" t="str">
        <x:v>309무3799</x:v>
      </x:c>
      <x:c r="E3344" s="24" t="str">
        <x:v>신용엽</x:v>
      </x:c>
      <x:c r="F3344" s="24" t="str">
        <x:v>2024-08</x:v>
      </x:c>
      <x:c r="G3344" s="30" t="n">
        <x:v>45529</x:v>
      </x:c>
      <x:c r="H3344" s="32" t="n">
        <x:v>559000</x:v>
      </x:c>
      <x:c r="I3344" s="32" t="n">
        <x:v>559000</x:v>
      </x:c>
      <x:c r="J3344" s="32" t="n">
        <x:v>0</x:v>
      </x:c>
      <x:c r="K3344" s="30" t="n">
        <x:v>45524</x:v>
      </x:c>
      <x:c r="L3344" s="24" t="str">
        <x:v>입금</x:v>
      </x:c>
      <x:c r="M3344" s="31" t="n">
        <x:f>IF(AND(N3344="미수",G3344&lt;&gt;"",TODAY()&gt;G3344),TODAY()-G3344,0)</x:f>
        <x:v>0</x:v>
      </x:c>
      <x:c r="N3344" s="24" t="str">
        <x:f>IF(J3344&gt;0,"미수",IF(AND(H3344&gt;0,I3344&gt;=H3344),"완납","미확인"))</x:f>
        <x:v>완납</x:v>
      </x:c>
      <x:c r="O3344" s="31" t="n">
        <x:v>43</x:v>
      </x:c>
    </x:row>
    <x:row r="3345" ht="17.25" customHeight="1">
      <x:c r="A3345" s="24" t="str">
        <x:v>PR-B-309무3799-202407</x:v>
      </x:c>
      <x:c r="B3345" s="24" t="str">
        <x:v>프라임구독</x:v>
      </x:c>
      <x:c r="C3345" s="24" t="str">
        <x:v>PR-C-309무3799-1-20240618-110</x:v>
      </x:c>
      <x:c r="D3345" s="24" t="str">
        <x:v>309무3799</x:v>
      </x:c>
      <x:c r="E3345" s="24" t="str">
        <x:v>신용엽</x:v>
      </x:c>
      <x:c r="F3345" s="24" t="str">
        <x:v>2024-07</x:v>
      </x:c>
      <x:c r="G3345" s="30" t="n">
        <x:v>45498</x:v>
      </x:c>
      <x:c r="H3345" s="32" t="n">
        <x:v>689000</x:v>
      </x:c>
      <x:c r="I3345" s="32" t="n">
        <x:v>689000</x:v>
      </x:c>
      <x:c r="J3345" s="32" t="n">
        <x:v>0</x:v>
      </x:c>
      <x:c r="K3345" s="30" t="n">
        <x:v>45497</x:v>
      </x:c>
      <x:c r="L3345" s="24" t="str">
        <x:v>입금</x:v>
      </x:c>
      <x:c r="M3345" s="31" t="n">
        <x:f>IF(AND(N3345="미수",G3345&lt;&gt;"",TODAY()&gt;G3345),TODAY()-G3345,0)</x:f>
        <x:v>0</x:v>
      </x:c>
      <x:c r="N3345" s="24" t="str">
        <x:f>IF(J3345&gt;0,"미수",IF(AND(H3345&gt;0,I3345&gt;=H3345),"완납","미확인"))</x:f>
        <x:v>완납</x:v>
      </x:c>
      <x:c r="O3345" s="31" t="n">
        <x:v>43</x:v>
      </x:c>
    </x:row>
    <x:row r="3346" ht="17.25" customHeight="1">
      <x:c r="A3346" s="24" t="str">
        <x:v>PR-B-309무3799-202406</x:v>
      </x:c>
      <x:c r="B3346" s="24" t="str">
        <x:v>프라임구독</x:v>
      </x:c>
      <x:c r="C3346" s="24" t="str">
        <x:v>PR-C-309무3799-1-20240618-110</x:v>
      </x:c>
      <x:c r="D3346" s="24" t="str">
        <x:v>309무3799</x:v>
      </x:c>
      <x:c r="E3346" s="24" t="str">
        <x:v>신용엽</x:v>
      </x:c>
      <x:c r="F3346" s="24" t="str">
        <x:v>2024-06</x:v>
      </x:c>
      <x:c r="G3346" s="30" t="n">
        <x:v>45468</x:v>
      </x:c>
      <x:c r="H3346" s="32"/>
      <x:c r="I3346" s="32"/>
      <x:c r="J3346" s="32" t="n">
        <x:v>0</x:v>
      </x:c>
      <x:c r="K3346" s="30"/>
      <x:c r="L3346" s="24" t="str"/>
      <x:c r="M3346" s="31" t="n">
        <x:f>IF(AND(N3346="미수",G3346&lt;&gt;"",TODAY()&gt;G3346),TODAY()-G3346,0)</x:f>
        <x:v>0</x:v>
      </x:c>
      <x:c r="N3346" s="24" t="str">
        <x:f>IF(J3346&gt;0,"미수",IF(AND(H3346&gt;0,I3346&gt;=H3346),"완납","미확인"))</x:f>
        <x:v>미확인</x:v>
      </x:c>
      <x:c r="O3346" s="31" t="n">
        <x:v>43</x:v>
      </x:c>
    </x:row>
    <x:row r="3347" ht="17.25" customHeight="1">
      <x:c r="A3347" s="24" t="str">
        <x:v>PR-B-309무3799-202405</x:v>
      </x:c>
      <x:c r="B3347" s="24" t="str">
        <x:v>프라임구독</x:v>
      </x:c>
      <x:c r="C3347" s="24" t="str">
        <x:v>PR-C-309무3799-1-20240618-110</x:v>
      </x:c>
      <x:c r="D3347" s="24" t="str">
        <x:v>309무3799</x:v>
      </x:c>
      <x:c r="E3347" s="24" t="str">
        <x:v>신용엽</x:v>
      </x:c>
      <x:c r="F3347" s="24" t="str">
        <x:v>2024-05</x:v>
      </x:c>
      <x:c r="G3347" s="30" t="n">
        <x:v>45437</x:v>
      </x:c>
      <x:c r="H3347" s="32"/>
      <x:c r="I3347" s="32"/>
      <x:c r="J3347" s="32" t="n">
        <x:v>0</x:v>
      </x:c>
      <x:c r="K3347" s="30"/>
      <x:c r="L3347" s="24" t="str"/>
      <x:c r="M3347" s="31" t="n">
        <x:f>IF(AND(N3347="미수",G3347&lt;&gt;"",TODAY()&gt;G3347),TODAY()-G3347,0)</x:f>
        <x:v>0</x:v>
      </x:c>
      <x:c r="N3347" s="24" t="str">
        <x:f>IF(J3347&gt;0,"미수",IF(AND(H3347&gt;0,I3347&gt;=H3347),"완납","미확인"))</x:f>
        <x:v>미확인</x:v>
      </x:c>
      <x:c r="O3347" s="31" t="n">
        <x:v>43</x:v>
      </x:c>
    </x:row>
    <x:row r="3348" ht="17.25" customHeight="1">
      <x:c r="A3348" s="24" t="str">
        <x:v>PR-B-93너4040-202608</x:v>
      </x:c>
      <x:c r="B3348" s="24" t="str">
        <x:v>프라임구독</x:v>
      </x:c>
      <x:c r="C3348" s="24" t="str">
        <x:v>PR-C-93너4040-1-20231012-210</x:v>
      </x:c>
      <x:c r="D3348" s="24" t="str">
        <x:v>93너4040</x:v>
      </x:c>
      <x:c r="E3348" s="24" t="str">
        <x:v>이효기</x:v>
      </x:c>
      <x:c r="F3348" s="24" t="str">
        <x:v>2026-08</x:v>
      </x:c>
      <x:c r="G3348" s="30" t="n">
        <x:v>46254</x:v>
      </x:c>
      <x:c r="H3348" s="32" t="n">
        <x:v>561668</x:v>
      </x:c>
      <x:c r="I3348" s="32"/>
      <x:c r="J3348" s="32" t="n">
        <x:v>9671692</x:v>
      </x:c>
      <x:c r="K3348" s="30"/>
      <x:c r="L3348" s="24" t="str"/>
      <x:c r="M3348" s="31" t="n">
        <x:f>IF(AND(N3348="미수",G3348&lt;&gt;"",TODAY()&gt;G3348),TODAY()-G3348,0)</x:f>
        <x:v>0</x:v>
      </x:c>
      <x:c r="N3348" s="24" t="str">
        <x:f>IF(J3348&gt;0,"미수",IF(AND(H3348&gt;0,I3348&gt;=H3348),"완납","미확인"))</x:f>
        <x:v>미수</x:v>
      </x:c>
      <x:c r="O3348" s="31" t="n">
        <x:v>44</x:v>
      </x:c>
    </x:row>
    <x:row r="3349" ht="17.25" customHeight="1">
      <x:c r="A3349" s="24" t="str">
        <x:v>PR-B-93너4040-202607</x:v>
      </x:c>
      <x:c r="B3349" s="24" t="str">
        <x:v>프라임구독</x:v>
      </x:c>
      <x:c r="C3349" s="24" t="str">
        <x:v>PR-C-93너4040-1-20231012-210</x:v>
      </x:c>
      <x:c r="D3349" s="24" t="str">
        <x:v>93너4040</x:v>
      </x:c>
      <x:c r="E3349" s="24" t="str">
        <x:v>이효기</x:v>
      </x:c>
      <x:c r="F3349" s="24" t="str">
        <x:v>2026-07</x:v>
      </x:c>
      <x:c r="G3349" s="30" t="n">
        <x:v>46223</x:v>
      </x:c>
      <x:c r="H3349" s="32" t="n">
        <x:v>561668</x:v>
      </x:c>
      <x:c r="I3349" s="32"/>
      <x:c r="J3349" s="32" t="n">
        <x:v>9110024</x:v>
      </x:c>
      <x:c r="K3349" s="30"/>
      <x:c r="L3349" s="24" t="str"/>
      <x:c r="M3349" s="31" t="n">
        <x:f>IF(AND(N3349="미수",G3349&lt;&gt;"",TODAY()&gt;G3349),TODAY()-G3349,0)</x:f>
        <x:v>26</x:v>
      </x:c>
      <x:c r="N3349" s="24" t="str">
        <x:f>IF(J3349&gt;0,"미수",IF(AND(H3349&gt;0,I3349&gt;=H3349),"완납","미확인"))</x:f>
        <x:v>미수</x:v>
      </x:c>
      <x:c r="O3349" s="31" t="n">
        <x:v>44</x:v>
      </x:c>
    </x:row>
    <x:row r="3350" ht="17.25" customHeight="1">
      <x:c r="A3350" s="24" t="str">
        <x:v>PR-B-93너4040-202606</x:v>
      </x:c>
      <x:c r="B3350" s="24" t="str">
        <x:v>프라임구독</x:v>
      </x:c>
      <x:c r="C3350" s="24" t="str">
        <x:v>PR-C-93너4040-1-20231012-210</x:v>
      </x:c>
      <x:c r="D3350" s="24" t="str">
        <x:v>93너4040</x:v>
      </x:c>
      <x:c r="E3350" s="24" t="str">
        <x:v>이효기</x:v>
      </x:c>
      <x:c r="F3350" s="24" t="str">
        <x:v>2026-06</x:v>
      </x:c>
      <x:c r="G3350" s="30" t="n">
        <x:v>46193</x:v>
      </x:c>
      <x:c r="H3350" s="32" t="n">
        <x:v>561668</x:v>
      </x:c>
      <x:c r="I3350" s="32"/>
      <x:c r="J3350" s="32" t="n">
        <x:v>8548356</x:v>
      </x:c>
      <x:c r="K3350" s="30"/>
      <x:c r="L3350" s="24" t="str"/>
      <x:c r="M3350" s="31" t="n">
        <x:f>IF(AND(N3350="미수",G3350&lt;&gt;"",TODAY()&gt;G3350),TODAY()-G3350,0)</x:f>
        <x:v>56</x:v>
      </x:c>
      <x:c r="N3350" s="24" t="str">
        <x:f>IF(J3350&gt;0,"미수",IF(AND(H3350&gt;0,I3350&gt;=H3350),"완납","미확인"))</x:f>
        <x:v>미수</x:v>
      </x:c>
      <x:c r="O3350" s="31" t="n">
        <x:v>44</x:v>
      </x:c>
    </x:row>
    <x:row r="3351" ht="17.25" customHeight="1">
      <x:c r="A3351" s="24" t="str">
        <x:v>PR-B-93너4040-202605</x:v>
      </x:c>
      <x:c r="B3351" s="24" t="str">
        <x:v>프라임구독</x:v>
      </x:c>
      <x:c r="C3351" s="24" t="str">
        <x:v>PR-C-93너4040-1-20231012-210</x:v>
      </x:c>
      <x:c r="D3351" s="24" t="str">
        <x:v>93너4040</x:v>
      </x:c>
      <x:c r="E3351" s="24" t="str">
        <x:v>이효기</x:v>
      </x:c>
      <x:c r="F3351" s="24" t="str">
        <x:v>2026-05</x:v>
      </x:c>
      <x:c r="G3351" s="30" t="n">
        <x:v>46162</x:v>
      </x:c>
      <x:c r="H3351" s="32" t="n">
        <x:v>561668</x:v>
      </x:c>
      <x:c r="I3351" s="32"/>
      <x:c r="J3351" s="32" t="n">
        <x:v>7986688</x:v>
      </x:c>
      <x:c r="K3351" s="30"/>
      <x:c r="L3351" s="24" t="str"/>
      <x:c r="M3351" s="31" t="n">
        <x:f>IF(AND(N3351="미수",G3351&lt;&gt;"",TODAY()&gt;G3351),TODAY()-G3351,0)</x:f>
        <x:v>87</x:v>
      </x:c>
      <x:c r="N3351" s="24" t="str">
        <x:f>IF(J3351&gt;0,"미수",IF(AND(H3351&gt;0,I3351&gt;=H3351),"완납","미확인"))</x:f>
        <x:v>미수</x:v>
      </x:c>
      <x:c r="O3351" s="31" t="n">
        <x:v>44</x:v>
      </x:c>
    </x:row>
    <x:row r="3352" ht="17.25" customHeight="1">
      <x:c r="A3352" s="24" t="str">
        <x:v>PR-B-93너4040-202604</x:v>
      </x:c>
      <x:c r="B3352" s="24" t="str">
        <x:v>프라임구독</x:v>
      </x:c>
      <x:c r="C3352" s="24" t="str">
        <x:v>PR-C-93너4040-1-20231012-210</x:v>
      </x:c>
      <x:c r="D3352" s="24" t="str">
        <x:v>93너4040</x:v>
      </x:c>
      <x:c r="E3352" s="24" t="str">
        <x:v>이효기</x:v>
      </x:c>
      <x:c r="F3352" s="24" t="str">
        <x:v>2026-04</x:v>
      </x:c>
      <x:c r="G3352" s="30" t="n">
        <x:v>46132</x:v>
      </x:c>
      <x:c r="H3352" s="32" t="n">
        <x:v>561668</x:v>
      </x:c>
      <x:c r="I3352" s="32"/>
      <x:c r="J3352" s="32" t="n">
        <x:v>7425020</x:v>
      </x:c>
      <x:c r="K3352" s="30"/>
      <x:c r="L3352" s="24" t="str"/>
      <x:c r="M3352" s="31" t="n">
        <x:f>IF(AND(N3352="미수",G3352&lt;&gt;"",TODAY()&gt;G3352),TODAY()-G3352,0)</x:f>
        <x:v>117</x:v>
      </x:c>
      <x:c r="N3352" s="24" t="str">
        <x:f>IF(J3352&gt;0,"미수",IF(AND(H3352&gt;0,I3352&gt;=H3352),"완납","미확인"))</x:f>
        <x:v>미수</x:v>
      </x:c>
      <x:c r="O3352" s="31" t="n">
        <x:v>44</x:v>
      </x:c>
    </x:row>
    <x:row r="3353" ht="17.25" customHeight="1">
      <x:c r="A3353" s="24" t="str">
        <x:v>PR-B-93너4040-202603</x:v>
      </x:c>
      <x:c r="B3353" s="24" t="str">
        <x:v>프라임구독</x:v>
      </x:c>
      <x:c r="C3353" s="24" t="str">
        <x:v>PR-C-93너4040-1-20231012-210</x:v>
      </x:c>
      <x:c r="D3353" s="24" t="str">
        <x:v>93너4040</x:v>
      </x:c>
      <x:c r="E3353" s="24" t="str">
        <x:v>이효기</x:v>
      </x:c>
      <x:c r="F3353" s="24" t="str">
        <x:v>2026-03</x:v>
      </x:c>
      <x:c r="G3353" s="30" t="n">
        <x:v>46101</x:v>
      </x:c>
      <x:c r="H3353" s="32" t="n">
        <x:v>561668</x:v>
      </x:c>
      <x:c r="I3353" s="32"/>
      <x:c r="J3353" s="32" t="n">
        <x:v>6863352</x:v>
      </x:c>
      <x:c r="K3353" s="30"/>
      <x:c r="L3353" s="24" t="str"/>
      <x:c r="M3353" s="31" t="n">
        <x:f>IF(AND(N3353="미수",G3353&lt;&gt;"",TODAY()&gt;G3353),TODAY()-G3353,0)</x:f>
        <x:v>148</x:v>
      </x:c>
      <x:c r="N3353" s="24" t="str">
        <x:f>IF(J3353&gt;0,"미수",IF(AND(H3353&gt;0,I3353&gt;=H3353),"완납","미확인"))</x:f>
        <x:v>미수</x:v>
      </x:c>
      <x:c r="O3353" s="31" t="n">
        <x:v>44</x:v>
      </x:c>
    </x:row>
    <x:row r="3354" ht="17.25" customHeight="1">
      <x:c r="A3354" s="24" t="str">
        <x:v>PR-B-93너4040-202602</x:v>
      </x:c>
      <x:c r="B3354" s="24" t="str">
        <x:v>프라임구독</x:v>
      </x:c>
      <x:c r="C3354" s="24" t="str">
        <x:v>PR-C-93너4040-1-20231012-210</x:v>
      </x:c>
      <x:c r="D3354" s="24" t="str">
        <x:v>93너4040</x:v>
      </x:c>
      <x:c r="E3354" s="24" t="str">
        <x:v>이효기</x:v>
      </x:c>
      <x:c r="F3354" s="24" t="str">
        <x:v>2026-02</x:v>
      </x:c>
      <x:c r="G3354" s="30" t="n">
        <x:v>46073</x:v>
      </x:c>
      <x:c r="H3354" s="32" t="n">
        <x:v>561668</x:v>
      </x:c>
      <x:c r="I3354" s="32"/>
      <x:c r="J3354" s="32" t="n">
        <x:v>6301684</x:v>
      </x:c>
      <x:c r="K3354" s="30"/>
      <x:c r="L3354" s="24" t="str"/>
      <x:c r="M3354" s="31" t="n">
        <x:f>IF(AND(N3354="미수",G3354&lt;&gt;"",TODAY()&gt;G3354),TODAY()-G3354,0)</x:f>
        <x:v>176</x:v>
      </x:c>
      <x:c r="N3354" s="24" t="str">
        <x:f>IF(J3354&gt;0,"미수",IF(AND(H3354&gt;0,I3354&gt;=H3354),"완납","미확인"))</x:f>
        <x:v>미수</x:v>
      </x:c>
      <x:c r="O3354" s="31" t="n">
        <x:v>44</x:v>
      </x:c>
    </x:row>
    <x:row r="3355" ht="17.25" customHeight="1">
      <x:c r="A3355" s="24" t="str">
        <x:v>PR-B-93너4040-202601</x:v>
      </x:c>
      <x:c r="B3355" s="24" t="str">
        <x:v>프라임구독</x:v>
      </x:c>
      <x:c r="C3355" s="24" t="str">
        <x:v>PR-C-93너4040-1-20231012-210</x:v>
      </x:c>
      <x:c r="D3355" s="24" t="str">
        <x:v>93너4040</x:v>
      </x:c>
      <x:c r="E3355" s="24" t="str">
        <x:v>이효기</x:v>
      </x:c>
      <x:c r="F3355" s="24" t="str">
        <x:v>2026-01</x:v>
      </x:c>
      <x:c r="G3355" s="30" t="n">
        <x:v>46042</x:v>
      </x:c>
      <x:c r="H3355" s="32" t="n">
        <x:v>561668</x:v>
      </x:c>
      <x:c r="I3355" s="32"/>
      <x:c r="J3355" s="32" t="n">
        <x:v>5740016</x:v>
      </x:c>
      <x:c r="K3355" s="30"/>
      <x:c r="L3355" s="24" t="str"/>
      <x:c r="M3355" s="31" t="n">
        <x:f>IF(AND(N3355="미수",G3355&lt;&gt;"",TODAY()&gt;G3355),TODAY()-G3355,0)</x:f>
        <x:v>207</x:v>
      </x:c>
      <x:c r="N3355" s="24" t="str">
        <x:f>IF(J3355&gt;0,"미수",IF(AND(H3355&gt;0,I3355&gt;=H3355),"완납","미확인"))</x:f>
        <x:v>미수</x:v>
      </x:c>
      <x:c r="O3355" s="31" t="n">
        <x:v>44</x:v>
      </x:c>
    </x:row>
    <x:row r="3356" ht="17.25" customHeight="1">
      <x:c r="A3356" s="24" t="str">
        <x:v>PR-B-93너4040-202512</x:v>
      </x:c>
      <x:c r="B3356" s="24" t="str">
        <x:v>프라임구독</x:v>
      </x:c>
      <x:c r="C3356" s="24" t="str">
        <x:v>PR-C-93너4040-1-20231012-210</x:v>
      </x:c>
      <x:c r="D3356" s="24" t="str">
        <x:v>93너4040</x:v>
      </x:c>
      <x:c r="E3356" s="24" t="str">
        <x:v>이효기</x:v>
      </x:c>
      <x:c r="F3356" s="24" t="str">
        <x:v>2025-12</x:v>
      </x:c>
      <x:c r="G3356" s="30" t="n">
        <x:v>46011</x:v>
      </x:c>
      <x:c r="H3356" s="32" t="n">
        <x:v>561668</x:v>
      </x:c>
      <x:c r="I3356" s="32"/>
      <x:c r="J3356" s="32" t="n">
        <x:v>5178348</x:v>
      </x:c>
      <x:c r="K3356" s="30"/>
      <x:c r="L3356" s="24" t="str"/>
      <x:c r="M3356" s="31" t="n">
        <x:f>IF(AND(N3356="미수",G3356&lt;&gt;"",TODAY()&gt;G3356),TODAY()-G3356,0)</x:f>
        <x:v>238</x:v>
      </x:c>
      <x:c r="N3356" s="24" t="str">
        <x:f>IF(J3356&gt;0,"미수",IF(AND(H3356&gt;0,I3356&gt;=H3356),"완납","미확인"))</x:f>
        <x:v>미수</x:v>
      </x:c>
      <x:c r="O3356" s="31" t="n">
        <x:v>44</x:v>
      </x:c>
    </x:row>
    <x:row r="3357" ht="17.25" customHeight="1">
      <x:c r="A3357" s="24" t="str">
        <x:v>PR-B-93너4040-202511</x:v>
      </x:c>
      <x:c r="B3357" s="24" t="str">
        <x:v>프라임구독</x:v>
      </x:c>
      <x:c r="C3357" s="24" t="str">
        <x:v>PR-C-93너4040-1-20231012-210</x:v>
      </x:c>
      <x:c r="D3357" s="24" t="str">
        <x:v>93너4040</x:v>
      </x:c>
      <x:c r="E3357" s="24" t="str">
        <x:v>이효기</x:v>
      </x:c>
      <x:c r="F3357" s="24" t="str">
        <x:v>2025-11</x:v>
      </x:c>
      <x:c r="G3357" s="30" t="n">
        <x:v>45981</x:v>
      </x:c>
      <x:c r="H3357" s="32" t="n">
        <x:v>561668</x:v>
      </x:c>
      <x:c r="I3357" s="32"/>
      <x:c r="J3357" s="32" t="n">
        <x:v>4616680</x:v>
      </x:c>
      <x:c r="K3357" s="30"/>
      <x:c r="L3357" s="24" t="str"/>
      <x:c r="M3357" s="31" t="n">
        <x:f>IF(AND(N3357="미수",G3357&lt;&gt;"",TODAY()&gt;G3357),TODAY()-G3357,0)</x:f>
        <x:v>268</x:v>
      </x:c>
      <x:c r="N3357" s="24" t="str">
        <x:f>IF(J3357&gt;0,"미수",IF(AND(H3357&gt;0,I3357&gt;=H3357),"완납","미확인"))</x:f>
        <x:v>미수</x:v>
      </x:c>
      <x:c r="O3357" s="31" t="n">
        <x:v>44</x:v>
      </x:c>
    </x:row>
    <x:row r="3358" ht="17.25" customHeight="1">
      <x:c r="A3358" s="24" t="str">
        <x:v>PR-B-93너4040-202510</x:v>
      </x:c>
      <x:c r="B3358" s="24" t="str">
        <x:v>프라임구독</x:v>
      </x:c>
      <x:c r="C3358" s="24" t="str">
        <x:v>PR-C-93너4040-1-20231012-210</x:v>
      </x:c>
      <x:c r="D3358" s="24" t="str">
        <x:v>93너4040</x:v>
      </x:c>
      <x:c r="E3358" s="24" t="str">
        <x:v>이효기</x:v>
      </x:c>
      <x:c r="F3358" s="24" t="str">
        <x:v>2025-10</x:v>
      </x:c>
      <x:c r="G3358" s="30" t="n">
        <x:v>45950</x:v>
      </x:c>
      <x:c r="H3358" s="32" t="n">
        <x:v>561668</x:v>
      </x:c>
      <x:c r="I3358" s="32"/>
      <x:c r="J3358" s="32" t="n">
        <x:v>4055012</x:v>
      </x:c>
      <x:c r="K3358" s="30"/>
      <x:c r="L3358" s="24" t="str"/>
      <x:c r="M3358" s="31" t="n">
        <x:f>IF(AND(N3358="미수",G3358&lt;&gt;"",TODAY()&gt;G3358),TODAY()-G3358,0)</x:f>
        <x:v>299</x:v>
      </x:c>
      <x:c r="N3358" s="24" t="str">
        <x:f>IF(J3358&gt;0,"미수",IF(AND(H3358&gt;0,I3358&gt;=H3358),"완납","미확인"))</x:f>
        <x:v>미수</x:v>
      </x:c>
      <x:c r="O3358" s="31" t="n">
        <x:v>44</x:v>
      </x:c>
    </x:row>
    <x:row r="3359" ht="17.25" customHeight="1">
      <x:c r="A3359" s="24" t="str">
        <x:v>PR-B-93너4040-202509</x:v>
      </x:c>
      <x:c r="B3359" s="24" t="str">
        <x:v>프라임구독</x:v>
      </x:c>
      <x:c r="C3359" s="24" t="str">
        <x:v>PR-C-93너4040-1-20231012-210</x:v>
      </x:c>
      <x:c r="D3359" s="24" t="str">
        <x:v>93너4040</x:v>
      </x:c>
      <x:c r="E3359" s="24" t="str">
        <x:v>이효기</x:v>
      </x:c>
      <x:c r="F3359" s="24" t="str">
        <x:v>2025-09</x:v>
      </x:c>
      <x:c r="G3359" s="30" t="n">
        <x:v>45920</x:v>
      </x:c>
      <x:c r="H3359" s="32" t="n">
        <x:v>561668</x:v>
      </x:c>
      <x:c r="I3359" s="32"/>
      <x:c r="J3359" s="32" t="n">
        <x:v>3493344</x:v>
      </x:c>
      <x:c r="K3359" s="30"/>
      <x:c r="L3359" s="24" t="str"/>
      <x:c r="M3359" s="31" t="n">
        <x:f>IF(AND(N3359="미수",G3359&lt;&gt;"",TODAY()&gt;G3359),TODAY()-G3359,0)</x:f>
        <x:v>329</x:v>
      </x:c>
      <x:c r="N3359" s="24" t="str">
        <x:f>IF(J3359&gt;0,"미수",IF(AND(H3359&gt;0,I3359&gt;=H3359),"완납","미확인"))</x:f>
        <x:v>미수</x:v>
      </x:c>
      <x:c r="O3359" s="31" t="n">
        <x:v>44</x:v>
      </x:c>
    </x:row>
    <x:row r="3360" ht="17.25" customHeight="1">
      <x:c r="A3360" s="24" t="str">
        <x:v>PR-B-93너4040-202508</x:v>
      </x:c>
      <x:c r="B3360" s="24" t="str">
        <x:v>프라임구독</x:v>
      </x:c>
      <x:c r="C3360" s="24" t="str">
        <x:v>PR-C-93너4040-1-20231012-210</x:v>
      </x:c>
      <x:c r="D3360" s="24" t="str">
        <x:v>93너4040</x:v>
      </x:c>
      <x:c r="E3360" s="24" t="str">
        <x:v>이효기</x:v>
      </x:c>
      <x:c r="F3360" s="24" t="str">
        <x:v>2025-08</x:v>
      </x:c>
      <x:c r="G3360" s="30" t="n">
        <x:v>45889</x:v>
      </x:c>
      <x:c r="H3360" s="32" t="n">
        <x:v>561668</x:v>
      </x:c>
      <x:c r="I3360" s="32" t="n">
        <x:v>561668</x:v>
      </x:c>
      <x:c r="J3360" s="32" t="n">
        <x:v>2931676</x:v>
      </x:c>
      <x:c r="K3360" s="30" t="n">
        <x:v>45872</x:v>
      </x:c>
      <x:c r="L3360" s="24" t="str">
        <x:v>입금</x:v>
      </x:c>
      <x:c r="M3360" s="31" t="n">
        <x:f>IF(AND(N3360="미수",G3360&lt;&gt;"",TODAY()&gt;G3360),TODAY()-G3360,0)</x:f>
        <x:v>360</x:v>
      </x:c>
      <x:c r="N3360" s="24" t="str">
        <x:f>IF(J3360&gt;0,"미수",IF(AND(H3360&gt;0,I3360&gt;=H3360),"완납","미확인"))</x:f>
        <x:v>미수</x:v>
      </x:c>
      <x:c r="O3360" s="31" t="n">
        <x:v>44</x:v>
      </x:c>
    </x:row>
    <x:row r="3361" ht="17.25" customHeight="1">
      <x:c r="A3361" s="24" t="str">
        <x:v>PR-B-93너4040-202507</x:v>
      </x:c>
      <x:c r="B3361" s="24" t="str">
        <x:v>프라임구독</x:v>
      </x:c>
      <x:c r="C3361" s="24" t="str">
        <x:v>PR-C-93너4040-1-20231012-210</x:v>
      </x:c>
      <x:c r="D3361" s="24" t="str">
        <x:v>93너4040</x:v>
      </x:c>
      <x:c r="E3361" s="24" t="str">
        <x:v>이효기</x:v>
      </x:c>
      <x:c r="F3361" s="24" t="str">
        <x:v>2025-07</x:v>
      </x:c>
      <x:c r="G3361" s="30" t="n">
        <x:v>45858</x:v>
      </x:c>
      <x:c r="H3361" s="32" t="n">
        <x:v>561668</x:v>
      </x:c>
      <x:c r="I3361" s="32" t="n">
        <x:v>561668</x:v>
      </x:c>
      <x:c r="J3361" s="32" t="n">
        <x:v>2931676</x:v>
      </x:c>
      <x:c r="K3361" s="30" t="n">
        <x:v>45853</x:v>
      </x:c>
      <x:c r="L3361" s="24" t="str">
        <x:v>입금</x:v>
      </x:c>
      <x:c r="M3361" s="31" t="n">
        <x:f>IF(AND(N3361="미수",G3361&lt;&gt;"",TODAY()&gt;G3361),TODAY()-G3361,0)</x:f>
        <x:v>391</x:v>
      </x:c>
      <x:c r="N3361" s="24" t="str">
        <x:f>IF(J3361&gt;0,"미수",IF(AND(H3361&gt;0,I3361&gt;=H3361),"완납","미확인"))</x:f>
        <x:v>미수</x:v>
      </x:c>
      <x:c r="O3361" s="31" t="n">
        <x:v>44</x:v>
      </x:c>
    </x:row>
    <x:row r="3362" ht="17.25" customHeight="1">
      <x:c r="A3362" s="24" t="str">
        <x:v>PR-B-93너4040-202506</x:v>
      </x:c>
      <x:c r="B3362" s="24" t="str">
        <x:v>프라임구독</x:v>
      </x:c>
      <x:c r="C3362" s="24" t="str">
        <x:v>PR-C-93너4040-1-20231012-210</x:v>
      </x:c>
      <x:c r="D3362" s="24" t="str">
        <x:v>93너4040</x:v>
      </x:c>
      <x:c r="E3362" s="24" t="str">
        <x:v>이효기</x:v>
      </x:c>
      <x:c r="F3362" s="24" t="str">
        <x:v>2025-06</x:v>
      </x:c>
      <x:c r="G3362" s="30" t="n">
        <x:v>45828</x:v>
      </x:c>
      <x:c r="H3362" s="32" t="n">
        <x:v>561668</x:v>
      </x:c>
      <x:c r="I3362" s="32" t="n">
        <x:v>1000000</x:v>
      </x:c>
      <x:c r="J3362" s="32" t="n">
        <x:v>2931676</x:v>
      </x:c>
      <x:c r="K3362" s="30" t="n">
        <x:v>45828</x:v>
      </x:c>
      <x:c r="L3362" s="24" t="str">
        <x:v>입금</x:v>
      </x:c>
      <x:c r="M3362" s="31" t="n">
        <x:f>IF(AND(N3362="미수",G3362&lt;&gt;"",TODAY()&gt;G3362),TODAY()-G3362,0)</x:f>
        <x:v>421</x:v>
      </x:c>
      <x:c r="N3362" s="24" t="str">
        <x:f>IF(J3362&gt;0,"미수",IF(AND(H3362&gt;0,I3362&gt;=H3362),"완납","미확인"))</x:f>
        <x:v>미수</x:v>
      </x:c>
      <x:c r="O3362" s="31" t="n">
        <x:v>44</x:v>
      </x:c>
    </x:row>
    <x:row r="3363" ht="17.25" customHeight="1">
      <x:c r="A3363" s="24" t="str">
        <x:v>PR-B-93너4040-202505</x:v>
      </x:c>
      <x:c r="B3363" s="24" t="str">
        <x:v>프라임구독</x:v>
      </x:c>
      <x:c r="C3363" s="24" t="str">
        <x:v>PR-C-93너4040-1-20231012-210</x:v>
      </x:c>
      <x:c r="D3363" s="24" t="str">
        <x:v>93너4040</x:v>
      </x:c>
      <x:c r="E3363" s="24" t="str">
        <x:v>이효기</x:v>
      </x:c>
      <x:c r="F3363" s="24" t="str">
        <x:v>2025-05</x:v>
      </x:c>
      <x:c r="G3363" s="30" t="n">
        <x:v>45797</x:v>
      </x:c>
      <x:c r="H3363" s="32" t="n">
        <x:v>561668</x:v>
      </x:c>
      <x:c r="I3363" s="32"/>
      <x:c r="J3363" s="32" t="n">
        <x:v>3370008</x:v>
      </x:c>
      <x:c r="K3363" s="30"/>
      <x:c r="L3363" s="24" t="str"/>
      <x:c r="M3363" s="31" t="n">
        <x:f>IF(AND(N3363="미수",G3363&lt;&gt;"",TODAY()&gt;G3363),TODAY()-G3363,0)</x:f>
        <x:v>452</x:v>
      </x:c>
      <x:c r="N3363" s="24" t="str">
        <x:f>IF(J3363&gt;0,"미수",IF(AND(H3363&gt;0,I3363&gt;=H3363),"완납","미확인"))</x:f>
        <x:v>미수</x:v>
      </x:c>
      <x:c r="O3363" s="31" t="n">
        <x:v>44</x:v>
      </x:c>
    </x:row>
    <x:row r="3364" ht="17.25" customHeight="1">
      <x:c r="A3364" s="24" t="str">
        <x:v>PR-B-93너4040-202504</x:v>
      </x:c>
      <x:c r="B3364" s="24" t="str">
        <x:v>프라임구독</x:v>
      </x:c>
      <x:c r="C3364" s="24" t="str">
        <x:v>PR-C-93너4040-1-20231012-210</x:v>
      </x:c>
      <x:c r="D3364" s="24" t="str">
        <x:v>93너4040</x:v>
      </x:c>
      <x:c r="E3364" s="24" t="str">
        <x:v>이효기</x:v>
      </x:c>
      <x:c r="F3364" s="24" t="str">
        <x:v>2025-04</x:v>
      </x:c>
      <x:c r="G3364" s="30" t="n">
        <x:v>45767</x:v>
      </x:c>
      <x:c r="H3364" s="32" t="n">
        <x:v>561668</x:v>
      </x:c>
      <x:c r="I3364" s="32"/>
      <x:c r="J3364" s="32" t="n">
        <x:v>2808340</x:v>
      </x:c>
      <x:c r="K3364" s="30"/>
      <x:c r="L3364" s="24" t="str"/>
      <x:c r="M3364" s="31" t="n">
        <x:f>IF(AND(N3364="미수",G3364&lt;&gt;"",TODAY()&gt;G3364),TODAY()-G3364,0)</x:f>
        <x:v>482</x:v>
      </x:c>
      <x:c r="N3364" s="24" t="str">
        <x:f>IF(J3364&gt;0,"미수",IF(AND(H3364&gt;0,I3364&gt;=H3364),"완납","미확인"))</x:f>
        <x:v>미수</x:v>
      </x:c>
      <x:c r="O3364" s="31" t="n">
        <x:v>44</x:v>
      </x:c>
    </x:row>
    <x:row r="3365" ht="17.25" customHeight="1">
      <x:c r="A3365" s="24" t="str">
        <x:v>PR-B-93너4040-202503</x:v>
      </x:c>
      <x:c r="B3365" s="24" t="str">
        <x:v>프라임구독</x:v>
      </x:c>
      <x:c r="C3365" s="24" t="str">
        <x:v>PR-C-93너4040-1-20231012-210</x:v>
      </x:c>
      <x:c r="D3365" s="24" t="str">
        <x:v>93너4040</x:v>
      </x:c>
      <x:c r="E3365" s="24" t="str">
        <x:v>이효기</x:v>
      </x:c>
      <x:c r="F3365" s="24" t="str">
        <x:v>2025-03</x:v>
      </x:c>
      <x:c r="G3365" s="30" t="n">
        <x:v>45736</x:v>
      </x:c>
      <x:c r="H3365" s="32" t="n">
        <x:v>561668</x:v>
      </x:c>
      <x:c r="I3365" s="32"/>
      <x:c r="J3365" s="32" t="n">
        <x:v>2246672</x:v>
      </x:c>
      <x:c r="K3365" s="30"/>
      <x:c r="L3365" s="24" t="str"/>
      <x:c r="M3365" s="31" t="n">
        <x:f>IF(AND(N3365="미수",G3365&lt;&gt;"",TODAY()&gt;G3365),TODAY()-G3365,0)</x:f>
        <x:v>513</x:v>
      </x:c>
      <x:c r="N3365" s="24" t="str">
        <x:f>IF(J3365&gt;0,"미수",IF(AND(H3365&gt;0,I3365&gt;=H3365),"완납","미확인"))</x:f>
        <x:v>미수</x:v>
      </x:c>
      <x:c r="O3365" s="31" t="n">
        <x:v>44</x:v>
      </x:c>
    </x:row>
    <x:row r="3366" ht="17.25" customHeight="1">
      <x:c r="A3366" s="24" t="str">
        <x:v>PR-B-93너4040-202502</x:v>
      </x:c>
      <x:c r="B3366" s="24" t="str">
        <x:v>프라임구독</x:v>
      </x:c>
      <x:c r="C3366" s="24" t="str">
        <x:v>PR-C-93너4040-1-20231012-210</x:v>
      </x:c>
      <x:c r="D3366" s="24" t="str">
        <x:v>93너4040</x:v>
      </x:c>
      <x:c r="E3366" s="24" t="str">
        <x:v>이효기</x:v>
      </x:c>
      <x:c r="F3366" s="24" t="str">
        <x:v>2025-02</x:v>
      </x:c>
      <x:c r="G3366" s="30" t="n">
        <x:v>45708</x:v>
      </x:c>
      <x:c r="H3366" s="32" t="n">
        <x:v>561668</x:v>
      </x:c>
      <x:c r="I3366" s="32"/>
      <x:c r="J3366" s="32" t="n">
        <x:v>1685004</x:v>
      </x:c>
      <x:c r="K3366" s="30"/>
      <x:c r="L3366" s="24" t="str"/>
      <x:c r="M3366" s="31" t="n">
        <x:f>IF(AND(N3366="미수",G3366&lt;&gt;"",TODAY()&gt;G3366),TODAY()-G3366,0)</x:f>
        <x:v>541</x:v>
      </x:c>
      <x:c r="N3366" s="24" t="str">
        <x:f>IF(J3366&gt;0,"미수",IF(AND(H3366&gt;0,I3366&gt;=H3366),"완납","미확인"))</x:f>
        <x:v>미수</x:v>
      </x:c>
      <x:c r="O3366" s="31" t="n">
        <x:v>44</x:v>
      </x:c>
    </x:row>
    <x:row r="3367" ht="17.25" customHeight="1">
      <x:c r="A3367" s="24" t="str">
        <x:v>PR-B-93너4040-202501</x:v>
      </x:c>
      <x:c r="B3367" s="24" t="str">
        <x:v>프라임구독</x:v>
      </x:c>
      <x:c r="C3367" s="24" t="str">
        <x:v>PR-C-93너4040-1-20231012-210</x:v>
      </x:c>
      <x:c r="D3367" s="24" t="str">
        <x:v>93너4040</x:v>
      </x:c>
      <x:c r="E3367" s="24" t="str">
        <x:v>이효기</x:v>
      </x:c>
      <x:c r="F3367" s="24" t="str">
        <x:v>2025-01</x:v>
      </x:c>
      <x:c r="G3367" s="30" t="n">
        <x:v>45677</x:v>
      </x:c>
      <x:c r="H3367" s="32" t="n">
        <x:v>561668</x:v>
      </x:c>
      <x:c r="I3367" s="32"/>
      <x:c r="J3367" s="32" t="n">
        <x:v>1123336</x:v>
      </x:c>
      <x:c r="K3367" s="30"/>
      <x:c r="L3367" s="24" t="str"/>
      <x:c r="M3367" s="31" t="n">
        <x:f>IF(AND(N3367="미수",G3367&lt;&gt;"",TODAY()&gt;G3367),TODAY()-G3367,0)</x:f>
        <x:v>572</x:v>
      </x:c>
      <x:c r="N3367" s="24" t="str">
        <x:f>IF(J3367&gt;0,"미수",IF(AND(H3367&gt;0,I3367&gt;=H3367),"완납","미확인"))</x:f>
        <x:v>미수</x:v>
      </x:c>
      <x:c r="O3367" s="31" t="n">
        <x:v>44</x:v>
      </x:c>
    </x:row>
    <x:row r="3368" ht="17.25" customHeight="1">
      <x:c r="A3368" s="24" t="str">
        <x:v>PR-B-93너4040-202412</x:v>
      </x:c>
      <x:c r="B3368" s="24" t="str">
        <x:v>프라임구독</x:v>
      </x:c>
      <x:c r="C3368" s="24" t="str">
        <x:v>PR-C-93너4040-1-20231012-210</x:v>
      </x:c>
      <x:c r="D3368" s="24" t="str">
        <x:v>93너4040</x:v>
      </x:c>
      <x:c r="E3368" s="24" t="str">
        <x:v>이효기</x:v>
      </x:c>
      <x:c r="F3368" s="24" t="str">
        <x:v>2024-12</x:v>
      </x:c>
      <x:c r="G3368" s="30" t="n">
        <x:v>45646</x:v>
      </x:c>
      <x:c r="H3368" s="32" t="n">
        <x:v>561668</x:v>
      </x:c>
      <x:c r="I3368" s="32"/>
      <x:c r="J3368" s="32" t="n">
        <x:v>561668</x:v>
      </x:c>
      <x:c r="K3368" s="30"/>
      <x:c r="L3368" s="24" t="str"/>
      <x:c r="M3368" s="31" t="n">
        <x:f>IF(AND(N3368="미수",G3368&lt;&gt;"",TODAY()&gt;G3368),TODAY()-G3368,0)</x:f>
        <x:v>603</x:v>
      </x:c>
      <x:c r="N3368" s="24" t="str">
        <x:f>IF(J3368&gt;0,"미수",IF(AND(H3368&gt;0,I3368&gt;=H3368),"완납","미확인"))</x:f>
        <x:v>미수</x:v>
      </x:c>
      <x:c r="O3368" s="31" t="n">
        <x:v>44</x:v>
      </x:c>
    </x:row>
    <x:row r="3369" ht="17.25" customHeight="1">
      <x:c r="A3369" s="24" t="str">
        <x:v>PR-B-93너4040-202411</x:v>
      </x:c>
      <x:c r="B3369" s="24" t="str">
        <x:v>프라임구독</x:v>
      </x:c>
      <x:c r="C3369" s="24" t="str">
        <x:v>PR-C-93너4040-1-20231012-210</x:v>
      </x:c>
      <x:c r="D3369" s="24" t="str">
        <x:v>93너4040</x:v>
      </x:c>
      <x:c r="E3369" s="24" t="str">
        <x:v>이효기</x:v>
      </x:c>
      <x:c r="F3369" s="24" t="str">
        <x:v>2024-11</x:v>
      </x:c>
      <x:c r="G3369" s="30" t="n">
        <x:v>45616</x:v>
      </x:c>
      <x:c r="H3369" s="32" t="n">
        <x:v>561668</x:v>
      </x:c>
      <x:c r="I3369" s="32" t="n">
        <x:v>561668</x:v>
      </x:c>
      <x:c r="J3369" s="32" t="n">
        <x:v>0</x:v>
      </x:c>
      <x:c r="K3369" s="30" t="n">
        <x:v>45677</x:v>
      </x:c>
      <x:c r="L3369" s="24" t="str">
        <x:v>입금</x:v>
      </x:c>
      <x:c r="M3369" s="31" t="n">
        <x:f>IF(AND(N3369="미수",G3369&lt;&gt;"",TODAY()&gt;G3369),TODAY()-G3369,0)</x:f>
        <x:v>0</x:v>
      </x:c>
      <x:c r="N3369" s="24" t="str">
        <x:f>IF(J3369&gt;0,"미수",IF(AND(H3369&gt;0,I3369&gt;=H3369),"완납","미확인"))</x:f>
        <x:v>완납</x:v>
      </x:c>
      <x:c r="O3369" s="31" t="n">
        <x:v>44</x:v>
      </x:c>
    </x:row>
    <x:row r="3370" ht="17.25" customHeight="1">
      <x:c r="A3370" s="24" t="str">
        <x:v>PR-B-93너4040-202410</x:v>
      </x:c>
      <x:c r="B3370" s="24" t="str">
        <x:v>프라임구독</x:v>
      </x:c>
      <x:c r="C3370" s="24" t="str">
        <x:v>PR-C-93너4040-1-20231012-210</x:v>
      </x:c>
      <x:c r="D3370" s="24" t="str">
        <x:v>93너4040</x:v>
      </x:c>
      <x:c r="E3370" s="24" t="str">
        <x:v>이효기</x:v>
      </x:c>
      <x:c r="F3370" s="24" t="str">
        <x:v>2024-10</x:v>
      </x:c>
      <x:c r="G3370" s="30" t="n">
        <x:v>45585</x:v>
      </x:c>
      <x:c r="H3370" s="32" t="n">
        <x:v>561668</x:v>
      </x:c>
      <x:c r="I3370" s="32" t="n">
        <x:v>561668</x:v>
      </x:c>
      <x:c r="J3370" s="32" t="n">
        <x:v>0</x:v>
      </x:c>
      <x:c r="K3370" s="30" t="n">
        <x:v>45593</x:v>
      </x:c>
      <x:c r="L3370" s="24" t="str">
        <x:v>입금</x:v>
      </x:c>
      <x:c r="M3370" s="31" t="n">
        <x:f>IF(AND(N3370="미수",G3370&lt;&gt;"",TODAY()&gt;G3370),TODAY()-G3370,0)</x:f>
        <x:v>0</x:v>
      </x:c>
      <x:c r="N3370" s="24" t="str">
        <x:f>IF(J3370&gt;0,"미수",IF(AND(H3370&gt;0,I3370&gt;=H3370),"완납","미확인"))</x:f>
        <x:v>완납</x:v>
      </x:c>
      <x:c r="O3370" s="31" t="n">
        <x:v>44</x:v>
      </x:c>
    </x:row>
    <x:row r="3371" ht="17.25" customHeight="1">
      <x:c r="A3371" s="24" t="str">
        <x:v>PR-B-93너4040-202409</x:v>
      </x:c>
      <x:c r="B3371" s="24" t="str">
        <x:v>프라임구독</x:v>
      </x:c>
      <x:c r="C3371" s="24" t="str">
        <x:v>PR-C-93너4040-1-20231012-210</x:v>
      </x:c>
      <x:c r="D3371" s="24" t="str">
        <x:v>93너4040</x:v>
      </x:c>
      <x:c r="E3371" s="24" t="str">
        <x:v>이효기</x:v>
      </x:c>
      <x:c r="F3371" s="24" t="str">
        <x:v>2024-09</x:v>
      </x:c>
      <x:c r="G3371" s="30" t="n">
        <x:v>45555</x:v>
      </x:c>
      <x:c r="H3371" s="32" t="n">
        <x:v>561668</x:v>
      </x:c>
      <x:c r="I3371" s="32" t="n">
        <x:v>561668</x:v>
      </x:c>
      <x:c r="J3371" s="32" t="n">
        <x:v>0</x:v>
      </x:c>
      <x:c r="K3371" s="30" t="n">
        <x:v>45567</x:v>
      </x:c>
      <x:c r="L3371" s="24" t="str">
        <x:v>입금</x:v>
      </x:c>
      <x:c r="M3371" s="31" t="n">
        <x:f>IF(AND(N3371="미수",G3371&lt;&gt;"",TODAY()&gt;G3371),TODAY()-G3371,0)</x:f>
        <x:v>0</x:v>
      </x:c>
      <x:c r="N3371" s="24" t="str">
        <x:f>IF(J3371&gt;0,"미수",IF(AND(H3371&gt;0,I3371&gt;=H3371),"완납","미확인"))</x:f>
        <x:v>완납</x:v>
      </x:c>
      <x:c r="O3371" s="31" t="n">
        <x:v>44</x:v>
      </x:c>
    </x:row>
    <x:row r="3372" ht="17.25" customHeight="1">
      <x:c r="A3372" s="24" t="str">
        <x:v>PR-B-93너4040-202408</x:v>
      </x:c>
      <x:c r="B3372" s="24" t="str">
        <x:v>프라임구독</x:v>
      </x:c>
      <x:c r="C3372" s="24" t="str">
        <x:v>PR-C-93너4040-1-20231012-210</x:v>
      </x:c>
      <x:c r="D3372" s="24" t="str">
        <x:v>93너4040</x:v>
      </x:c>
      <x:c r="E3372" s="24" t="str">
        <x:v>이효기</x:v>
      </x:c>
      <x:c r="F3372" s="24" t="str">
        <x:v>2024-08</x:v>
      </x:c>
      <x:c r="G3372" s="30" t="n">
        <x:v>45524</x:v>
      </x:c>
      <x:c r="H3372" s="32" t="n">
        <x:v>561668</x:v>
      </x:c>
      <x:c r="I3372" s="32" t="n">
        <x:v>561668</x:v>
      </x:c>
      <x:c r="J3372" s="32" t="n">
        <x:v>0</x:v>
      </x:c>
      <x:c r="K3372" s="30" t="n">
        <x:v>45555</x:v>
      </x:c>
      <x:c r="L3372" s="24" t="str">
        <x:v>입금</x:v>
      </x:c>
      <x:c r="M3372" s="31" t="n">
        <x:f>IF(AND(N3372="미수",G3372&lt;&gt;"",TODAY()&gt;G3372),TODAY()-G3372,0)</x:f>
        <x:v>0</x:v>
      </x:c>
      <x:c r="N3372" s="24" t="str">
        <x:f>IF(J3372&gt;0,"미수",IF(AND(H3372&gt;0,I3372&gt;=H3372),"완납","미확인"))</x:f>
        <x:v>완납</x:v>
      </x:c>
      <x:c r="O3372" s="31" t="n">
        <x:v>44</x:v>
      </x:c>
    </x:row>
    <x:row r="3373" ht="17.25" customHeight="1">
      <x:c r="A3373" s="24" t="str">
        <x:v>PR-B-93너4040-202407</x:v>
      </x:c>
      <x:c r="B3373" s="24" t="str">
        <x:v>프라임구독</x:v>
      </x:c>
      <x:c r="C3373" s="24" t="str">
        <x:v>PR-C-93너4040-1-20231012-210</x:v>
      </x:c>
      <x:c r="D3373" s="24" t="str">
        <x:v>93너4040</x:v>
      </x:c>
      <x:c r="E3373" s="24" t="str">
        <x:v>이효기</x:v>
      </x:c>
      <x:c r="F3373" s="24" t="str">
        <x:v>2024-07</x:v>
      </x:c>
      <x:c r="G3373" s="30" t="n">
        <x:v>45493</x:v>
      </x:c>
      <x:c r="H3373" s="32" t="n">
        <x:v>561668</x:v>
      </x:c>
      <x:c r="I3373" s="32" t="n">
        <x:v>561668</x:v>
      </x:c>
      <x:c r="J3373" s="32" t="n">
        <x:v>0</x:v>
      </x:c>
      <x:c r="K3373" s="30" t="n">
        <x:v>45493</x:v>
      </x:c>
      <x:c r="L3373" s="24" t="str">
        <x:v>자동</x:v>
      </x:c>
      <x:c r="M3373" s="31" t="n">
        <x:f>IF(AND(N3373="미수",G3373&lt;&gt;"",TODAY()&gt;G3373),TODAY()-G3373,0)</x:f>
        <x:v>0</x:v>
      </x:c>
      <x:c r="N3373" s="24" t="str">
        <x:f>IF(J3373&gt;0,"미수",IF(AND(H3373&gt;0,I3373&gt;=H3373),"완납","미확인"))</x:f>
        <x:v>완납</x:v>
      </x:c>
      <x:c r="O3373" s="31" t="n">
        <x:v>44</x:v>
      </x:c>
    </x:row>
    <x:row r="3374" ht="17.25" customHeight="1">
      <x:c r="A3374" s="24" t="str">
        <x:v>PR-B-93너4040-202406</x:v>
      </x:c>
      <x:c r="B3374" s="24" t="str">
        <x:v>프라임구독</x:v>
      </x:c>
      <x:c r="C3374" s="24" t="str">
        <x:v>PR-C-93너4040-1-20231012-210</x:v>
      </x:c>
      <x:c r="D3374" s="24" t="str">
        <x:v>93너4040</x:v>
      </x:c>
      <x:c r="E3374" s="24" t="str">
        <x:v>이효기</x:v>
      </x:c>
      <x:c r="F3374" s="24" t="str">
        <x:v>2024-06</x:v>
      </x:c>
      <x:c r="G3374" s="30" t="n">
        <x:v>45463</x:v>
      </x:c>
      <x:c r="H3374" s="32" t="n">
        <x:v>561668</x:v>
      </x:c>
      <x:c r="I3374" s="32" t="n">
        <x:v>561668</x:v>
      </x:c>
      <x:c r="J3374" s="32" t="n">
        <x:v>0</x:v>
      </x:c>
      <x:c r="K3374" s="30" t="n">
        <x:v>45482</x:v>
      </x:c>
      <x:c r="L3374" s="24" t="str">
        <x:v>입금</x:v>
      </x:c>
      <x:c r="M3374" s="31" t="n">
        <x:f>IF(AND(N3374="미수",G3374&lt;&gt;"",TODAY()&gt;G3374),TODAY()-G3374,0)</x:f>
        <x:v>0</x:v>
      </x:c>
      <x:c r="N3374" s="24" t="str">
        <x:f>IF(J3374&gt;0,"미수",IF(AND(H3374&gt;0,I3374&gt;=H3374),"완납","미확인"))</x:f>
        <x:v>완납</x:v>
      </x:c>
      <x:c r="O3374" s="31" t="n">
        <x:v>44</x:v>
      </x:c>
    </x:row>
    <x:row r="3375" ht="17.25" customHeight="1">
      <x:c r="A3375" s="24" t="str">
        <x:v>PR-B-93너4040-202405</x:v>
      </x:c>
      <x:c r="B3375" s="24" t="str">
        <x:v>프라임구독</x:v>
      </x:c>
      <x:c r="C3375" s="24" t="str">
        <x:v>PR-C-93너4040-1-20231012-210</x:v>
      </x:c>
      <x:c r="D3375" s="24" t="str">
        <x:v>93너4040</x:v>
      </x:c>
      <x:c r="E3375" s="24" t="str">
        <x:v>이효기</x:v>
      </x:c>
      <x:c r="F3375" s="24" t="str">
        <x:v>2024-05</x:v>
      </x:c>
      <x:c r="G3375" s="30" t="n">
        <x:v>45432</x:v>
      </x:c>
      <x:c r="H3375" s="32" t="n">
        <x:v>561668</x:v>
      </x:c>
      <x:c r="I3375" s="32" t="n">
        <x:v>561668</x:v>
      </x:c>
      <x:c r="J3375" s="32" t="n">
        <x:v>0</x:v>
      </x:c>
      <x:c r="K3375" s="30" t="n">
        <x:v>45463</x:v>
      </x:c>
      <x:c r="L3375" s="24" t="str"/>
      <x:c r="M3375" s="31" t="n">
        <x:f>IF(AND(N3375="미수",G3375&lt;&gt;"",TODAY()&gt;G3375),TODAY()-G3375,0)</x:f>
        <x:v>0</x:v>
      </x:c>
      <x:c r="N3375" s="24" t="str">
        <x:f>IF(J3375&gt;0,"미수",IF(AND(H3375&gt;0,I3375&gt;=H3375),"완납","미확인"))</x:f>
        <x:v>완납</x:v>
      </x:c>
      <x:c r="O3375" s="31" t="n">
        <x:v>44</x:v>
      </x:c>
    </x:row>
    <x:row r="3376" ht="17.25" customHeight="1">
      <x:c r="A3376" s="24" t="str">
        <x:v>PR-B-93너4019-202608</x:v>
      </x:c>
      <x:c r="B3376" s="24" t="str">
        <x:v>프라임구독</x:v>
      </x:c>
      <x:c r="C3376" s="24" t="str">
        <x:v>PR-C-93너4019-1-20231024-209</x:v>
      </x:c>
      <x:c r="D3376" s="24" t="str">
        <x:v>93너4019</x:v>
      </x:c>
      <x:c r="E3376" s="24" t="str">
        <x:v>최유미</x:v>
      </x:c>
      <x:c r="F3376" s="24" t="str">
        <x:v>2026-08</x:v>
      </x:c>
      <x:c r="G3376" s="30" t="n">
        <x:v>46259</x:v>
      </x:c>
      <x:c r="H3376" s="32" t="n">
        <x:v>554212</x:v>
      </x:c>
      <x:c r="I3376" s="32"/>
      <x:c r="J3376" s="32" t="n">
        <x:v>3325272</x:v>
      </x:c>
      <x:c r="K3376" s="30"/>
      <x:c r="L3376" s="24" t="str"/>
      <x:c r="M3376" s="31" t="n">
        <x:f>IF(AND(N3376="미수",G3376&lt;&gt;"",TODAY()&gt;G3376),TODAY()-G3376,0)</x:f>
        <x:v>0</x:v>
      </x:c>
      <x:c r="N3376" s="24" t="str">
        <x:f>IF(J3376&gt;0,"미수",IF(AND(H3376&gt;0,I3376&gt;=H3376),"완납","미확인"))</x:f>
        <x:v>미수</x:v>
      </x:c>
      <x:c r="O3376" s="31" t="n">
        <x:v>45</x:v>
      </x:c>
    </x:row>
    <x:row r="3377" ht="17.25" customHeight="1">
      <x:c r="A3377" s="24" t="str">
        <x:v>PR-B-93너4019-202607</x:v>
      </x:c>
      <x:c r="B3377" s="24" t="str">
        <x:v>프라임구독</x:v>
      </x:c>
      <x:c r="C3377" s="24" t="str">
        <x:v>PR-C-93너4019-1-20231024-209</x:v>
      </x:c>
      <x:c r="D3377" s="24" t="str">
        <x:v>93너4019</x:v>
      </x:c>
      <x:c r="E3377" s="24" t="str">
        <x:v>최유미</x:v>
      </x:c>
      <x:c r="F3377" s="24" t="str">
        <x:v>2026-07</x:v>
      </x:c>
      <x:c r="G3377" s="30" t="n">
        <x:v>46228</x:v>
      </x:c>
      <x:c r="H3377" s="32" t="n">
        <x:v>554212</x:v>
      </x:c>
      <x:c r="I3377" s="32" t="n">
        <x:v>554212</x:v>
      </x:c>
      <x:c r="J3377" s="32" t="n">
        <x:v>2771060</x:v>
      </x:c>
      <x:c r="K3377" s="30" t="n">
        <x:v>46232</x:v>
      </x:c>
      <x:c r="L3377" s="24" t="str">
        <x:v>입금</x:v>
      </x:c>
      <x:c r="M3377" s="31" t="n">
        <x:f>IF(AND(N3377="미수",G3377&lt;&gt;"",TODAY()&gt;G3377),TODAY()-G3377,0)</x:f>
        <x:v>21</x:v>
      </x:c>
      <x:c r="N3377" s="24" t="str">
        <x:f>IF(J3377&gt;0,"미수",IF(AND(H3377&gt;0,I3377&gt;=H3377),"완납","미확인"))</x:f>
        <x:v>미수</x:v>
      </x:c>
      <x:c r="O3377" s="31" t="n">
        <x:v>45</x:v>
      </x:c>
    </x:row>
    <x:row r="3378" ht="17.25" customHeight="1">
      <x:c r="A3378" s="24" t="str">
        <x:v>PR-B-93너4019-202606</x:v>
      </x:c>
      <x:c r="B3378" s="24" t="str">
        <x:v>프라임구독</x:v>
      </x:c>
      <x:c r="C3378" s="24" t="str">
        <x:v>PR-C-93너4019-1-20231024-209</x:v>
      </x:c>
      <x:c r="D3378" s="24" t="str">
        <x:v>93너4019</x:v>
      </x:c>
      <x:c r="E3378" s="24" t="str">
        <x:v>최유미</x:v>
      </x:c>
      <x:c r="F3378" s="24" t="str">
        <x:v>2026-06</x:v>
      </x:c>
      <x:c r="G3378" s="30" t="n">
        <x:v>46198</x:v>
      </x:c>
      <x:c r="H3378" s="32" t="n">
        <x:v>554212</x:v>
      </x:c>
      <x:c r="I3378" s="32" t="n">
        <x:v>554212</x:v>
      </x:c>
      <x:c r="J3378" s="32" t="n">
        <x:v>2771060</x:v>
      </x:c>
      <x:c r="K3378" s="30" t="n">
        <x:v>46198</x:v>
      </x:c>
      <x:c r="L3378" s="24" t="str">
        <x:v>자동</x:v>
      </x:c>
      <x:c r="M3378" s="31" t="n">
        <x:f>IF(AND(N3378="미수",G3378&lt;&gt;"",TODAY()&gt;G3378),TODAY()-G3378,0)</x:f>
        <x:v>51</x:v>
      </x:c>
      <x:c r="N3378" s="24" t="str">
        <x:f>IF(J3378&gt;0,"미수",IF(AND(H3378&gt;0,I3378&gt;=H3378),"완납","미확인"))</x:f>
        <x:v>미수</x:v>
      </x:c>
      <x:c r="O3378" s="31" t="n">
        <x:v>45</x:v>
      </x:c>
    </x:row>
    <x:row r="3379" ht="17.25" customHeight="1">
      <x:c r="A3379" s="24" t="str">
        <x:v>PR-B-93너4019-202605</x:v>
      </x:c>
      <x:c r="B3379" s="24" t="str">
        <x:v>프라임구독</x:v>
      </x:c>
      <x:c r="C3379" s="24" t="str">
        <x:v>PR-C-93너4019-1-20231024-209</x:v>
      </x:c>
      <x:c r="D3379" s="24" t="str">
        <x:v>93너4019</x:v>
      </x:c>
      <x:c r="E3379" s="24" t="str">
        <x:v>최유미</x:v>
      </x:c>
      <x:c r="F3379" s="24" t="str">
        <x:v>2026-05</x:v>
      </x:c>
      <x:c r="G3379" s="30" t="n">
        <x:v>46167</x:v>
      </x:c>
      <x:c r="H3379" s="32" t="n">
        <x:v>554212</x:v>
      </x:c>
      <x:c r="I3379" s="32" t="n">
        <x:v>554212</x:v>
      </x:c>
      <x:c r="J3379" s="32" t="n">
        <x:v>2771060</x:v>
      </x:c>
      <x:c r="K3379" s="30" t="n">
        <x:v>46169</x:v>
      </x:c>
      <x:c r="L3379" s="24" t="str">
        <x:v>입금</x:v>
      </x:c>
      <x:c r="M3379" s="31" t="n">
        <x:f>IF(AND(N3379="미수",G3379&lt;&gt;"",TODAY()&gt;G3379),TODAY()-G3379,0)</x:f>
        <x:v>82</x:v>
      </x:c>
      <x:c r="N3379" s="24" t="str">
        <x:f>IF(J3379&gt;0,"미수",IF(AND(H3379&gt;0,I3379&gt;=H3379),"완납","미확인"))</x:f>
        <x:v>미수</x:v>
      </x:c>
      <x:c r="O3379" s="31" t="n">
        <x:v>45</x:v>
      </x:c>
    </x:row>
    <x:row r="3380" ht="17.25" customHeight="1">
      <x:c r="A3380" s="24" t="str">
        <x:v>PR-B-93너4019-202604</x:v>
      </x:c>
      <x:c r="B3380" s="24" t="str">
        <x:v>프라임구독</x:v>
      </x:c>
      <x:c r="C3380" s="24" t="str">
        <x:v>PR-C-93너4019-1-20231024-209</x:v>
      </x:c>
      <x:c r="D3380" s="24" t="str">
        <x:v>93너4019</x:v>
      </x:c>
      <x:c r="E3380" s="24" t="str">
        <x:v>최유미</x:v>
      </x:c>
      <x:c r="F3380" s="24" t="str">
        <x:v>2026-04</x:v>
      </x:c>
      <x:c r="G3380" s="30" t="n">
        <x:v>46137</x:v>
      </x:c>
      <x:c r="H3380" s="32" t="n">
        <x:v>554212</x:v>
      </x:c>
      <x:c r="I3380" s="32" t="n">
        <x:v>2216848</x:v>
      </x:c>
      <x:c r="J3380" s="32" t="n">
        <x:v>2771060</x:v>
      </x:c>
      <x:c r="K3380" s="30" t="n">
        <x:v>46118</x:v>
      </x:c>
      <x:c r="L3380" s="24" t="str">
        <x:v>입금</x:v>
      </x:c>
      <x:c r="M3380" s="31" t="n">
        <x:f>IF(AND(N3380="미수",G3380&lt;&gt;"",TODAY()&gt;G3380),TODAY()-G3380,0)</x:f>
        <x:v>112</x:v>
      </x:c>
      <x:c r="N3380" s="24" t="str">
        <x:f>IF(J3380&gt;0,"미수",IF(AND(H3380&gt;0,I3380&gt;=H3380),"완납","미확인"))</x:f>
        <x:v>미수</x:v>
      </x:c>
      <x:c r="O3380" s="31" t="n">
        <x:v>45</x:v>
      </x:c>
    </x:row>
    <x:row r="3381" ht="17.25" customHeight="1">
      <x:c r="A3381" s="24" t="str">
        <x:v>PR-B-93너4019-202603</x:v>
      </x:c>
      <x:c r="B3381" s="24" t="str">
        <x:v>프라임구독</x:v>
      </x:c>
      <x:c r="C3381" s="24" t="str">
        <x:v>PR-C-93너4019-1-20231024-209</x:v>
      </x:c>
      <x:c r="D3381" s="24" t="str">
        <x:v>93너4019</x:v>
      </x:c>
      <x:c r="E3381" s="24" t="str">
        <x:v>최유미</x:v>
      </x:c>
      <x:c r="F3381" s="24" t="str">
        <x:v>2026-03</x:v>
      </x:c>
      <x:c r="G3381" s="30" t="n">
        <x:v>46106</x:v>
      </x:c>
      <x:c r="H3381" s="32" t="n">
        <x:v>554212</x:v>
      </x:c>
      <x:c r="I3381" s="32"/>
      <x:c r="J3381" s="32" t="n">
        <x:v>4433696</x:v>
      </x:c>
      <x:c r="K3381" s="30"/>
      <x:c r="L3381" s="24" t="str"/>
      <x:c r="M3381" s="31" t="n">
        <x:f>IF(AND(N3381="미수",G3381&lt;&gt;"",TODAY()&gt;G3381),TODAY()-G3381,0)</x:f>
        <x:v>143</x:v>
      </x:c>
      <x:c r="N3381" s="24" t="str">
        <x:f>IF(J3381&gt;0,"미수",IF(AND(H3381&gt;0,I3381&gt;=H3381),"완납","미확인"))</x:f>
        <x:v>미수</x:v>
      </x:c>
      <x:c r="O3381" s="31" t="n">
        <x:v>45</x:v>
      </x:c>
    </x:row>
    <x:row r="3382" ht="17.25" customHeight="1">
      <x:c r="A3382" s="24" t="str">
        <x:v>PR-B-93너4019-202602</x:v>
      </x:c>
      <x:c r="B3382" s="24" t="str">
        <x:v>프라임구독</x:v>
      </x:c>
      <x:c r="C3382" s="24" t="str">
        <x:v>PR-C-93너4019-1-20231024-209</x:v>
      </x:c>
      <x:c r="D3382" s="24" t="str">
        <x:v>93너4019</x:v>
      </x:c>
      <x:c r="E3382" s="24" t="str">
        <x:v>최유미</x:v>
      </x:c>
      <x:c r="F3382" s="24" t="str">
        <x:v>2026-02</x:v>
      </x:c>
      <x:c r="G3382" s="30" t="n">
        <x:v>46078</x:v>
      </x:c>
      <x:c r="H3382" s="32" t="n">
        <x:v>554212</x:v>
      </x:c>
      <x:c r="I3382" s="32"/>
      <x:c r="J3382" s="32" t="n">
        <x:v>3879484</x:v>
      </x:c>
      <x:c r="K3382" s="30"/>
      <x:c r="L3382" s="24" t="str"/>
      <x:c r="M3382" s="31" t="n">
        <x:f>IF(AND(N3382="미수",G3382&lt;&gt;"",TODAY()&gt;G3382),TODAY()-G3382,0)</x:f>
        <x:v>171</x:v>
      </x:c>
      <x:c r="N3382" s="24" t="str">
        <x:f>IF(J3382&gt;0,"미수",IF(AND(H3382&gt;0,I3382&gt;=H3382),"완납","미확인"))</x:f>
        <x:v>미수</x:v>
      </x:c>
      <x:c r="O3382" s="31" t="n">
        <x:v>45</x:v>
      </x:c>
    </x:row>
    <x:row r="3383" ht="17.25" customHeight="1">
      <x:c r="A3383" s="24" t="str">
        <x:v>PR-B-93너4019-202601</x:v>
      </x:c>
      <x:c r="B3383" s="24" t="str">
        <x:v>프라임구독</x:v>
      </x:c>
      <x:c r="C3383" s="24" t="str">
        <x:v>PR-C-93너4019-1-20231024-209</x:v>
      </x:c>
      <x:c r="D3383" s="24" t="str">
        <x:v>93너4019</x:v>
      </x:c>
      <x:c r="E3383" s="24" t="str">
        <x:v>최유미</x:v>
      </x:c>
      <x:c r="F3383" s="24" t="str">
        <x:v>2026-01</x:v>
      </x:c>
      <x:c r="G3383" s="30" t="n">
        <x:v>46047</x:v>
      </x:c>
      <x:c r="H3383" s="32" t="n">
        <x:v>554212</x:v>
      </x:c>
      <x:c r="I3383" s="32" t="n">
        <x:v>554212</x:v>
      </x:c>
      <x:c r="J3383" s="32" t="n">
        <x:v>3325272</x:v>
      </x:c>
      <x:c r="K3383" s="30" t="n">
        <x:v>46048</x:v>
      </x:c>
      <x:c r="L3383" s="24" t="str">
        <x:v>자동</x:v>
      </x:c>
      <x:c r="M3383" s="31" t="n">
        <x:f>IF(AND(N3383="미수",G3383&lt;&gt;"",TODAY()&gt;G3383),TODAY()-G3383,0)</x:f>
        <x:v>202</x:v>
      </x:c>
      <x:c r="N3383" s="24" t="str">
        <x:f>IF(J3383&gt;0,"미수",IF(AND(H3383&gt;0,I3383&gt;=H3383),"완납","미확인"))</x:f>
        <x:v>미수</x:v>
      </x:c>
      <x:c r="O3383" s="31" t="n">
        <x:v>45</x:v>
      </x:c>
    </x:row>
    <x:row r="3384" ht="17.25" customHeight="1">
      <x:c r="A3384" s="24" t="str">
        <x:v>PR-B-93너4019-202512</x:v>
      </x:c>
      <x:c r="B3384" s="24" t="str">
        <x:v>프라임구독</x:v>
      </x:c>
      <x:c r="C3384" s="24" t="str">
        <x:v>PR-C-93너4019-1-20231024-209</x:v>
      </x:c>
      <x:c r="D3384" s="24" t="str">
        <x:v>93너4019</x:v>
      </x:c>
      <x:c r="E3384" s="24" t="str">
        <x:v>최유미</x:v>
      </x:c>
      <x:c r="F3384" s="24" t="str">
        <x:v>2025-12</x:v>
      </x:c>
      <x:c r="G3384" s="30" t="n">
        <x:v>46016</x:v>
      </x:c>
      <x:c r="H3384" s="32" t="n">
        <x:v>554212</x:v>
      </x:c>
      <x:c r="I3384" s="32" t="n">
        <x:v>554212</x:v>
      </x:c>
      <x:c r="J3384" s="32" t="n">
        <x:v>3325272</x:v>
      </x:c>
      <x:c r="K3384" s="30" t="n">
        <x:v>46017</x:v>
      </x:c>
      <x:c r="L3384" s="24" t="str">
        <x:v>자동</x:v>
      </x:c>
      <x:c r="M3384" s="31" t="n">
        <x:f>IF(AND(N3384="미수",G3384&lt;&gt;"",TODAY()&gt;G3384),TODAY()-G3384,0)</x:f>
        <x:v>233</x:v>
      </x:c>
      <x:c r="N3384" s="24" t="str">
        <x:f>IF(J3384&gt;0,"미수",IF(AND(H3384&gt;0,I3384&gt;=H3384),"완납","미확인"))</x:f>
        <x:v>미수</x:v>
      </x:c>
      <x:c r="O3384" s="31" t="n">
        <x:v>45</x:v>
      </x:c>
    </x:row>
    <x:row r="3385" ht="17.25" customHeight="1">
      <x:c r="A3385" s="24" t="str">
        <x:v>PR-B-93너4019-202511</x:v>
      </x:c>
      <x:c r="B3385" s="24" t="str">
        <x:v>프라임구독</x:v>
      </x:c>
      <x:c r="C3385" s="24" t="str">
        <x:v>PR-C-93너4019-1-20231024-209</x:v>
      </x:c>
      <x:c r="D3385" s="24" t="str">
        <x:v>93너4019</x:v>
      </x:c>
      <x:c r="E3385" s="24" t="str">
        <x:v>최유미</x:v>
      </x:c>
      <x:c r="F3385" s="24" t="str">
        <x:v>2025-11</x:v>
      </x:c>
      <x:c r="G3385" s="30" t="n">
        <x:v>45986</x:v>
      </x:c>
      <x:c r="H3385" s="32" t="n">
        <x:v>554212</x:v>
      </x:c>
      <x:c r="I3385" s="32"/>
      <x:c r="J3385" s="32" t="n">
        <x:v>3325272</x:v>
      </x:c>
      <x:c r="K3385" s="30"/>
      <x:c r="L3385" s="24" t="str"/>
      <x:c r="M3385" s="31" t="n">
        <x:f>IF(AND(N3385="미수",G3385&lt;&gt;"",TODAY()&gt;G3385),TODAY()-G3385,0)</x:f>
        <x:v>263</x:v>
      </x:c>
      <x:c r="N3385" s="24" t="str">
        <x:f>IF(J3385&gt;0,"미수",IF(AND(H3385&gt;0,I3385&gt;=H3385),"완납","미확인"))</x:f>
        <x:v>미수</x:v>
      </x:c>
      <x:c r="O3385" s="31" t="n">
        <x:v>45</x:v>
      </x:c>
    </x:row>
    <x:row r="3386" ht="17.25" customHeight="1">
      <x:c r="A3386" s="24" t="str">
        <x:v>PR-B-93너4019-202510</x:v>
      </x:c>
      <x:c r="B3386" s="24" t="str">
        <x:v>프라임구독</x:v>
      </x:c>
      <x:c r="C3386" s="24" t="str">
        <x:v>PR-C-93너4019-1-20231024-209</x:v>
      </x:c>
      <x:c r="D3386" s="24" t="str">
        <x:v>93너4019</x:v>
      </x:c>
      <x:c r="E3386" s="24" t="str">
        <x:v>최유미</x:v>
      </x:c>
      <x:c r="F3386" s="24" t="str">
        <x:v>2025-10</x:v>
      </x:c>
      <x:c r="G3386" s="30" t="n">
        <x:v>45955</x:v>
      </x:c>
      <x:c r="H3386" s="32" t="n">
        <x:v>554212</x:v>
      </x:c>
      <x:c r="I3386" s="32"/>
      <x:c r="J3386" s="32" t="n">
        <x:v>2771060</x:v>
      </x:c>
      <x:c r="K3386" s="30"/>
      <x:c r="L3386" s="24" t="str"/>
      <x:c r="M3386" s="31" t="n">
        <x:f>IF(AND(N3386="미수",G3386&lt;&gt;"",TODAY()&gt;G3386),TODAY()-G3386,0)</x:f>
        <x:v>294</x:v>
      </x:c>
      <x:c r="N3386" s="24" t="str">
        <x:f>IF(J3386&gt;0,"미수",IF(AND(H3386&gt;0,I3386&gt;=H3386),"완납","미확인"))</x:f>
        <x:v>미수</x:v>
      </x:c>
      <x:c r="O3386" s="31" t="n">
        <x:v>45</x:v>
      </x:c>
    </x:row>
    <x:row r="3387" ht="17.25" customHeight="1">
      <x:c r="A3387" s="24" t="str">
        <x:v>PR-B-93너4019-202509</x:v>
      </x:c>
      <x:c r="B3387" s="24" t="str">
        <x:v>프라임구독</x:v>
      </x:c>
      <x:c r="C3387" s="24" t="str">
        <x:v>PR-C-93너4019-1-20231024-209</x:v>
      </x:c>
      <x:c r="D3387" s="24" t="str">
        <x:v>93너4019</x:v>
      </x:c>
      <x:c r="E3387" s="24" t="str">
        <x:v>최유미</x:v>
      </x:c>
      <x:c r="F3387" s="24" t="str">
        <x:v>2025-09</x:v>
      </x:c>
      <x:c r="G3387" s="30" t="n">
        <x:v>45925</x:v>
      </x:c>
      <x:c r="H3387" s="32" t="n">
        <x:v>554212</x:v>
      </x:c>
      <x:c r="I3387" s="32"/>
      <x:c r="J3387" s="32" t="n">
        <x:v>2216848</x:v>
      </x:c>
      <x:c r="K3387" s="30"/>
      <x:c r="L3387" s="24" t="str"/>
      <x:c r="M3387" s="31" t="n">
        <x:f>IF(AND(N3387="미수",G3387&lt;&gt;"",TODAY()&gt;G3387),TODAY()-G3387,0)</x:f>
        <x:v>324</x:v>
      </x:c>
      <x:c r="N3387" s="24" t="str">
        <x:f>IF(J3387&gt;0,"미수",IF(AND(H3387&gt;0,I3387&gt;=H3387),"완납","미확인"))</x:f>
        <x:v>미수</x:v>
      </x:c>
      <x:c r="O3387" s="31" t="n">
        <x:v>45</x:v>
      </x:c>
    </x:row>
    <x:row r="3388" ht="17.25" customHeight="1">
      <x:c r="A3388" s="24" t="str">
        <x:v>PR-B-93너4019-202508</x:v>
      </x:c>
      <x:c r="B3388" s="24" t="str">
        <x:v>프라임구독</x:v>
      </x:c>
      <x:c r="C3388" s="24" t="str">
        <x:v>PR-C-93너4019-1-20231024-209</x:v>
      </x:c>
      <x:c r="D3388" s="24" t="str">
        <x:v>93너4019</x:v>
      </x:c>
      <x:c r="E3388" s="24" t="str">
        <x:v>최유미</x:v>
      </x:c>
      <x:c r="F3388" s="24" t="str">
        <x:v>2025-08</x:v>
      </x:c>
      <x:c r="G3388" s="30" t="n">
        <x:v>45894</x:v>
      </x:c>
      <x:c r="H3388" s="32" t="n">
        <x:v>554212</x:v>
      </x:c>
      <x:c r="I3388" s="32" t="n">
        <x:v>554212</x:v>
      </x:c>
      <x:c r="J3388" s="32" t="n">
        <x:v>1662636</x:v>
      </x:c>
      <x:c r="K3388" s="30" t="n">
        <x:v>45894</x:v>
      </x:c>
      <x:c r="L3388" s="24" t="str">
        <x:v>자동</x:v>
      </x:c>
      <x:c r="M3388" s="31" t="n">
        <x:f>IF(AND(N3388="미수",G3388&lt;&gt;"",TODAY()&gt;G3388),TODAY()-G3388,0)</x:f>
        <x:v>355</x:v>
      </x:c>
      <x:c r="N3388" s="24" t="str">
        <x:f>IF(J3388&gt;0,"미수",IF(AND(H3388&gt;0,I3388&gt;=H3388),"완납","미확인"))</x:f>
        <x:v>미수</x:v>
      </x:c>
      <x:c r="O3388" s="31" t="n">
        <x:v>45</x:v>
      </x:c>
    </x:row>
    <x:row r="3389" ht="17.25" customHeight="1">
      <x:c r="A3389" s="24" t="str">
        <x:v>PR-B-93너4019-202507</x:v>
      </x:c>
      <x:c r="B3389" s="24" t="str">
        <x:v>프라임구독</x:v>
      </x:c>
      <x:c r="C3389" s="24" t="str">
        <x:v>PR-C-93너4019-1-20231024-209</x:v>
      </x:c>
      <x:c r="D3389" s="24" t="str">
        <x:v>93너4019</x:v>
      </x:c>
      <x:c r="E3389" s="24" t="str">
        <x:v>최유미</x:v>
      </x:c>
      <x:c r="F3389" s="24" t="str">
        <x:v>2025-07</x:v>
      </x:c>
      <x:c r="G3389" s="30" t="n">
        <x:v>45863</x:v>
      </x:c>
      <x:c r="H3389" s="32" t="n">
        <x:v>554212</x:v>
      </x:c>
      <x:c r="I3389" s="32" t="n">
        <x:v>1108424</x:v>
      </x:c>
      <x:c r="J3389" s="32" t="n">
        <x:v>1662636</x:v>
      </x:c>
      <x:c r="K3389" s="30" t="n">
        <x:v>45863</x:v>
      </x:c>
      <x:c r="L3389" s="24" t="str">
        <x:v>자동</x:v>
      </x:c>
      <x:c r="M3389" s="31" t="n">
        <x:f>IF(AND(N3389="미수",G3389&lt;&gt;"",TODAY()&gt;G3389),TODAY()-G3389,0)</x:f>
        <x:v>386</x:v>
      </x:c>
      <x:c r="N3389" s="24" t="str">
        <x:f>IF(J3389&gt;0,"미수",IF(AND(H3389&gt;0,I3389&gt;=H3389),"완납","미확인"))</x:f>
        <x:v>미수</x:v>
      </x:c>
      <x:c r="O3389" s="31" t="n">
        <x:v>45</x:v>
      </x:c>
    </x:row>
    <x:row r="3390" ht="17.25" customHeight="1">
      <x:c r="A3390" s="24" t="str">
        <x:v>PR-B-93너4019-202506</x:v>
      </x:c>
      <x:c r="B3390" s="24" t="str">
        <x:v>프라임구독</x:v>
      </x:c>
      <x:c r="C3390" s="24" t="str">
        <x:v>PR-C-93너4019-1-20231024-209</x:v>
      </x:c>
      <x:c r="D3390" s="24" t="str">
        <x:v>93너4019</x:v>
      </x:c>
      <x:c r="E3390" s="24" t="str">
        <x:v>최유미</x:v>
      </x:c>
      <x:c r="F3390" s="24" t="str">
        <x:v>2025-06</x:v>
      </x:c>
      <x:c r="G3390" s="30" t="n">
        <x:v>45833</x:v>
      </x:c>
      <x:c r="H3390" s="32" t="n">
        <x:v>554212</x:v>
      </x:c>
      <x:c r="I3390" s="32" t="n">
        <x:v>554212</x:v>
      </x:c>
      <x:c r="J3390" s="32" t="n">
        <x:v>2216848</x:v>
      </x:c>
      <x:c r="K3390" s="30" t="n">
        <x:v>45833</x:v>
      </x:c>
      <x:c r="L3390" s="24" t="str">
        <x:v>자동</x:v>
      </x:c>
      <x:c r="M3390" s="31" t="n">
        <x:f>IF(AND(N3390="미수",G3390&lt;&gt;"",TODAY()&gt;G3390),TODAY()-G3390,0)</x:f>
        <x:v>416</x:v>
      </x:c>
      <x:c r="N3390" s="24" t="str">
        <x:f>IF(J3390&gt;0,"미수",IF(AND(H3390&gt;0,I3390&gt;=H3390),"완납","미확인"))</x:f>
        <x:v>미수</x:v>
      </x:c>
      <x:c r="O3390" s="31" t="n">
        <x:v>45</x:v>
      </x:c>
    </x:row>
    <x:row r="3391" ht="17.25" customHeight="1">
      <x:c r="A3391" s="24" t="str">
        <x:v>PR-B-93너4019-202505</x:v>
      </x:c>
      <x:c r="B3391" s="24" t="str">
        <x:v>프라임구독</x:v>
      </x:c>
      <x:c r="C3391" s="24" t="str">
        <x:v>PR-C-93너4019-1-20231024-209</x:v>
      </x:c>
      <x:c r="D3391" s="24" t="str">
        <x:v>93너4019</x:v>
      </x:c>
      <x:c r="E3391" s="24" t="str">
        <x:v>최유미</x:v>
      </x:c>
      <x:c r="F3391" s="24" t="str">
        <x:v>2025-05</x:v>
      </x:c>
      <x:c r="G3391" s="30" t="n">
        <x:v>45802</x:v>
      </x:c>
      <x:c r="H3391" s="32" t="n">
        <x:v>554212</x:v>
      </x:c>
      <x:c r="I3391" s="32" t="n">
        <x:v>554212</x:v>
      </x:c>
      <x:c r="J3391" s="32" t="n">
        <x:v>2216848</x:v>
      </x:c>
      <x:c r="K3391" s="30" t="n">
        <x:v>45804</x:v>
      </x:c>
      <x:c r="L3391" s="24" t="str">
        <x:v>입금</x:v>
      </x:c>
      <x:c r="M3391" s="31" t="n">
        <x:f>IF(AND(N3391="미수",G3391&lt;&gt;"",TODAY()&gt;G3391),TODAY()-G3391,0)</x:f>
        <x:v>447</x:v>
      </x:c>
      <x:c r="N3391" s="24" t="str">
        <x:f>IF(J3391&gt;0,"미수",IF(AND(H3391&gt;0,I3391&gt;=H3391),"완납","미확인"))</x:f>
        <x:v>미수</x:v>
      </x:c>
      <x:c r="O3391" s="31" t="n">
        <x:v>45</x:v>
      </x:c>
    </x:row>
    <x:row r="3392" ht="17.25" customHeight="1">
      <x:c r="A3392" s="24" t="str">
        <x:v>PR-B-93너4019-202504</x:v>
      </x:c>
      <x:c r="B3392" s="24" t="str">
        <x:v>프라임구독</x:v>
      </x:c>
      <x:c r="C3392" s="24" t="str">
        <x:v>PR-C-93너4019-1-20231024-209</x:v>
      </x:c>
      <x:c r="D3392" s="24" t="str">
        <x:v>93너4019</x:v>
      </x:c>
      <x:c r="E3392" s="24" t="str">
        <x:v>최유미</x:v>
      </x:c>
      <x:c r="F3392" s="24" t="str">
        <x:v>2025-04</x:v>
      </x:c>
      <x:c r="G3392" s="30" t="n">
        <x:v>45772</x:v>
      </x:c>
      <x:c r="H3392" s="32" t="n">
        <x:v>554212</x:v>
      </x:c>
      <x:c r="I3392" s="32"/>
      <x:c r="J3392" s="32" t="n">
        <x:v>2216848</x:v>
      </x:c>
      <x:c r="K3392" s="30"/>
      <x:c r="L3392" s="24" t="str"/>
      <x:c r="M3392" s="31" t="n">
        <x:f>IF(AND(N3392="미수",G3392&lt;&gt;"",TODAY()&gt;G3392),TODAY()-G3392,0)</x:f>
        <x:v>477</x:v>
      </x:c>
      <x:c r="N3392" s="24" t="str">
        <x:f>IF(J3392&gt;0,"미수",IF(AND(H3392&gt;0,I3392&gt;=H3392),"완납","미확인"))</x:f>
        <x:v>미수</x:v>
      </x:c>
      <x:c r="O3392" s="31" t="n">
        <x:v>45</x:v>
      </x:c>
    </x:row>
    <x:row r="3393" ht="17.25" customHeight="1">
      <x:c r="A3393" s="24" t="str">
        <x:v>PR-B-93너4019-202503</x:v>
      </x:c>
      <x:c r="B3393" s="24" t="str">
        <x:v>프라임구독</x:v>
      </x:c>
      <x:c r="C3393" s="24" t="str">
        <x:v>PR-C-93너4019-1-20231024-209</x:v>
      </x:c>
      <x:c r="D3393" s="24" t="str">
        <x:v>93너4019</x:v>
      </x:c>
      <x:c r="E3393" s="24" t="str">
        <x:v>최유미</x:v>
      </x:c>
      <x:c r="F3393" s="24" t="str">
        <x:v>2025-03</x:v>
      </x:c>
      <x:c r="G3393" s="30" t="n">
        <x:v>45741</x:v>
      </x:c>
      <x:c r="H3393" s="32" t="n">
        <x:v>554212</x:v>
      </x:c>
      <x:c r="I3393" s="32"/>
      <x:c r="J3393" s="32" t="n">
        <x:v>1662636</x:v>
      </x:c>
      <x:c r="K3393" s="30"/>
      <x:c r="L3393" s="24" t="str"/>
      <x:c r="M3393" s="31" t="n">
        <x:f>IF(AND(N3393="미수",G3393&lt;&gt;"",TODAY()&gt;G3393),TODAY()-G3393,0)</x:f>
        <x:v>508</x:v>
      </x:c>
      <x:c r="N3393" s="24" t="str">
        <x:f>IF(J3393&gt;0,"미수",IF(AND(H3393&gt;0,I3393&gt;=H3393),"완납","미확인"))</x:f>
        <x:v>미수</x:v>
      </x:c>
      <x:c r="O3393" s="31" t="n">
        <x:v>45</x:v>
      </x:c>
    </x:row>
    <x:row r="3394" ht="17.25" customHeight="1">
      <x:c r="A3394" s="24" t="str">
        <x:v>PR-B-93너4019-202502</x:v>
      </x:c>
      <x:c r="B3394" s="24" t="str">
        <x:v>프라임구독</x:v>
      </x:c>
      <x:c r="C3394" s="24" t="str">
        <x:v>PR-C-93너4019-1-20231024-209</x:v>
      </x:c>
      <x:c r="D3394" s="24" t="str">
        <x:v>93너4019</x:v>
      </x:c>
      <x:c r="E3394" s="24" t="str">
        <x:v>최유미</x:v>
      </x:c>
      <x:c r="F3394" s="24" t="str">
        <x:v>2025-02</x:v>
      </x:c>
      <x:c r="G3394" s="30" t="n">
        <x:v>45713</x:v>
      </x:c>
      <x:c r="H3394" s="32" t="n">
        <x:v>554212</x:v>
      </x:c>
      <x:c r="I3394" s="32"/>
      <x:c r="J3394" s="32" t="n">
        <x:v>1108424</x:v>
      </x:c>
      <x:c r="K3394" s="30"/>
      <x:c r="L3394" s="24" t="str"/>
      <x:c r="M3394" s="31" t="n">
        <x:f>IF(AND(N3394="미수",G3394&lt;&gt;"",TODAY()&gt;G3394),TODAY()-G3394,0)</x:f>
        <x:v>536</x:v>
      </x:c>
      <x:c r="N3394" s="24" t="str">
        <x:f>IF(J3394&gt;0,"미수",IF(AND(H3394&gt;0,I3394&gt;=H3394),"완납","미확인"))</x:f>
        <x:v>미수</x:v>
      </x:c>
      <x:c r="O3394" s="31" t="n">
        <x:v>45</x:v>
      </x:c>
    </x:row>
    <x:row r="3395" ht="17.25" customHeight="1">
      <x:c r="A3395" s="24" t="str">
        <x:v>PR-B-93너4019-202501</x:v>
      </x:c>
      <x:c r="B3395" s="24" t="str">
        <x:v>프라임구독</x:v>
      </x:c>
      <x:c r="C3395" s="24" t="str">
        <x:v>PR-C-93너4019-1-20231024-209</x:v>
      </x:c>
      <x:c r="D3395" s="24" t="str">
        <x:v>93너4019</x:v>
      </x:c>
      <x:c r="E3395" s="24" t="str">
        <x:v>최유미</x:v>
      </x:c>
      <x:c r="F3395" s="24" t="str">
        <x:v>2025-01</x:v>
      </x:c>
      <x:c r="G3395" s="30" t="n">
        <x:v>45682</x:v>
      </x:c>
      <x:c r="H3395" s="32" t="n">
        <x:v>554212</x:v>
      </x:c>
      <x:c r="I3395" s="32"/>
      <x:c r="J3395" s="32" t="n">
        <x:v>554212</x:v>
      </x:c>
      <x:c r="K3395" s="30"/>
      <x:c r="L3395" s="24" t="str"/>
      <x:c r="M3395" s="31" t="n">
        <x:f>IF(AND(N3395="미수",G3395&lt;&gt;"",TODAY()&gt;G3395),TODAY()-G3395,0)</x:f>
        <x:v>567</x:v>
      </x:c>
      <x:c r="N3395" s="24" t="str">
        <x:f>IF(J3395&gt;0,"미수",IF(AND(H3395&gt;0,I3395&gt;=H3395),"완납","미확인"))</x:f>
        <x:v>미수</x:v>
      </x:c>
      <x:c r="O3395" s="31" t="n">
        <x:v>45</x:v>
      </x:c>
    </x:row>
    <x:row r="3396" ht="17.25" customHeight="1">
      <x:c r="A3396" s="24" t="str">
        <x:v>PR-B-93너4019-202412</x:v>
      </x:c>
      <x:c r="B3396" s="24" t="str">
        <x:v>프라임구독</x:v>
      </x:c>
      <x:c r="C3396" s="24" t="str">
        <x:v>PR-C-93너4019-1-20231024-209</x:v>
      </x:c>
      <x:c r="D3396" s="24" t="str">
        <x:v>93너4019</x:v>
      </x:c>
      <x:c r="E3396" s="24" t="str">
        <x:v>최유미</x:v>
      </x:c>
      <x:c r="F3396" s="24" t="str">
        <x:v>2024-12</x:v>
      </x:c>
      <x:c r="G3396" s="30" t="n">
        <x:v>45651</x:v>
      </x:c>
      <x:c r="H3396" s="32" t="n">
        <x:v>554212</x:v>
      </x:c>
      <x:c r="I3396" s="32" t="n">
        <x:v>554212</x:v>
      </x:c>
      <x:c r="J3396" s="32" t="n">
        <x:v>0</x:v>
      </x:c>
      <x:c r="K3396" s="30" t="n">
        <x:v>45714</x:v>
      </x:c>
      <x:c r="L3396" s="24" t="str">
        <x:v>입금</x:v>
      </x:c>
      <x:c r="M3396" s="31" t="n">
        <x:f>IF(AND(N3396="미수",G3396&lt;&gt;"",TODAY()&gt;G3396),TODAY()-G3396,0)</x:f>
        <x:v>0</x:v>
      </x:c>
      <x:c r="N3396" s="24" t="str">
        <x:f>IF(J3396&gt;0,"미수",IF(AND(H3396&gt;0,I3396&gt;=H3396),"완납","미확인"))</x:f>
        <x:v>완납</x:v>
      </x:c>
      <x:c r="O3396" s="31" t="n">
        <x:v>45</x:v>
      </x:c>
    </x:row>
    <x:row r="3397" ht="17.25" customHeight="1">
      <x:c r="A3397" s="24" t="str">
        <x:v>PR-B-93너4019-202411</x:v>
      </x:c>
      <x:c r="B3397" s="24" t="str">
        <x:v>프라임구독</x:v>
      </x:c>
      <x:c r="C3397" s="24" t="str">
        <x:v>PR-C-93너4019-1-20231024-209</x:v>
      </x:c>
      <x:c r="D3397" s="24" t="str">
        <x:v>93너4019</x:v>
      </x:c>
      <x:c r="E3397" s="24" t="str">
        <x:v>최유미</x:v>
      </x:c>
      <x:c r="F3397" s="24" t="str">
        <x:v>2024-11</x:v>
      </x:c>
      <x:c r="G3397" s="30" t="n">
        <x:v>45621</x:v>
      </x:c>
      <x:c r="H3397" s="32" t="n">
        <x:v>554212</x:v>
      </x:c>
      <x:c r="I3397" s="32" t="n">
        <x:v>554212</x:v>
      </x:c>
      <x:c r="J3397" s="32" t="n">
        <x:v>0</x:v>
      </x:c>
      <x:c r="K3397" s="30" t="n">
        <x:v>45650</x:v>
      </x:c>
      <x:c r="L3397" s="24" t="str">
        <x:v>입금</x:v>
      </x:c>
      <x:c r="M3397" s="31" t="n">
        <x:f>IF(AND(N3397="미수",G3397&lt;&gt;"",TODAY()&gt;G3397),TODAY()-G3397,0)</x:f>
        <x:v>0</x:v>
      </x:c>
      <x:c r="N3397" s="24" t="str">
        <x:f>IF(J3397&gt;0,"미수",IF(AND(H3397&gt;0,I3397&gt;=H3397),"완납","미확인"))</x:f>
        <x:v>완납</x:v>
      </x:c>
      <x:c r="O3397" s="31" t="n">
        <x:v>45</x:v>
      </x:c>
    </x:row>
    <x:row r="3398" ht="17.25" customHeight="1">
      <x:c r="A3398" s="24" t="str">
        <x:v>PR-B-93너4019-202410</x:v>
      </x:c>
      <x:c r="B3398" s="24" t="str">
        <x:v>프라임구독</x:v>
      </x:c>
      <x:c r="C3398" s="24" t="str">
        <x:v>PR-C-93너4019-1-20231024-209</x:v>
      </x:c>
      <x:c r="D3398" s="24" t="str">
        <x:v>93너4019</x:v>
      </x:c>
      <x:c r="E3398" s="24" t="str">
        <x:v>최유미</x:v>
      </x:c>
      <x:c r="F3398" s="24" t="str">
        <x:v>2024-10</x:v>
      </x:c>
      <x:c r="G3398" s="30" t="n">
        <x:v>45590</x:v>
      </x:c>
      <x:c r="H3398" s="32" t="n">
        <x:v>554212</x:v>
      </x:c>
      <x:c r="I3398" s="32" t="n">
        <x:v>554212</x:v>
      </x:c>
      <x:c r="J3398" s="32" t="n">
        <x:v>0</x:v>
      </x:c>
      <x:c r="K3398" s="30" t="n">
        <x:v>45590</x:v>
      </x:c>
      <x:c r="L3398" s="24" t="str">
        <x:v>입금</x:v>
      </x:c>
      <x:c r="M3398" s="31" t="n">
        <x:f>IF(AND(N3398="미수",G3398&lt;&gt;"",TODAY()&gt;G3398),TODAY()-G3398,0)</x:f>
        <x:v>0</x:v>
      </x:c>
      <x:c r="N3398" s="24" t="str">
        <x:f>IF(J3398&gt;0,"미수",IF(AND(H3398&gt;0,I3398&gt;=H3398),"완납","미확인"))</x:f>
        <x:v>완납</x:v>
      </x:c>
      <x:c r="O3398" s="31" t="n">
        <x:v>45</x:v>
      </x:c>
    </x:row>
    <x:row r="3399" ht="17.25" customHeight="1">
      <x:c r="A3399" s="24" t="str">
        <x:v>PR-B-93너4019-202409</x:v>
      </x:c>
      <x:c r="B3399" s="24" t="str">
        <x:v>프라임구독</x:v>
      </x:c>
      <x:c r="C3399" s="24" t="str">
        <x:v>PR-C-93너4019-1-20231024-209</x:v>
      </x:c>
      <x:c r="D3399" s="24" t="str">
        <x:v>93너4019</x:v>
      </x:c>
      <x:c r="E3399" s="24" t="str">
        <x:v>최유미</x:v>
      </x:c>
      <x:c r="F3399" s="24" t="str">
        <x:v>2024-09</x:v>
      </x:c>
      <x:c r="G3399" s="30" t="n">
        <x:v>45560</x:v>
      </x:c>
      <x:c r="H3399" s="32" t="n">
        <x:v>554212</x:v>
      </x:c>
      <x:c r="I3399" s="32" t="n">
        <x:v>554212</x:v>
      </x:c>
      <x:c r="J3399" s="32" t="n">
        <x:v>0</x:v>
      </x:c>
      <x:c r="K3399" s="30" t="n">
        <x:v>45562</x:v>
      </x:c>
      <x:c r="L3399" s="24" t="str">
        <x:v>입금</x:v>
      </x:c>
      <x:c r="M3399" s="31" t="n">
        <x:f>IF(AND(N3399="미수",G3399&lt;&gt;"",TODAY()&gt;G3399),TODAY()-G3399,0)</x:f>
        <x:v>0</x:v>
      </x:c>
      <x:c r="N3399" s="24" t="str">
        <x:f>IF(J3399&gt;0,"미수",IF(AND(H3399&gt;0,I3399&gt;=H3399),"완납","미확인"))</x:f>
        <x:v>완납</x:v>
      </x:c>
      <x:c r="O3399" s="31" t="n">
        <x:v>45</x:v>
      </x:c>
    </x:row>
    <x:row r="3400" ht="17.25" customHeight="1">
      <x:c r="A3400" s="24" t="str">
        <x:v>PR-B-93너4019-202408</x:v>
      </x:c>
      <x:c r="B3400" s="24" t="str">
        <x:v>프라임구독</x:v>
      </x:c>
      <x:c r="C3400" s="24" t="str">
        <x:v>PR-C-93너4019-1-20231024-209</x:v>
      </x:c>
      <x:c r="D3400" s="24" t="str">
        <x:v>93너4019</x:v>
      </x:c>
      <x:c r="E3400" s="24" t="str">
        <x:v>최유미</x:v>
      </x:c>
      <x:c r="F3400" s="24" t="str">
        <x:v>2024-08</x:v>
      </x:c>
      <x:c r="G3400" s="30" t="n">
        <x:v>45529</x:v>
      </x:c>
      <x:c r="H3400" s="32" t="n">
        <x:v>554212</x:v>
      </x:c>
      <x:c r="I3400" s="32" t="n">
        <x:v>554212</x:v>
      </x:c>
      <x:c r="J3400" s="32" t="n">
        <x:v>0</x:v>
      </x:c>
      <x:c r="K3400" s="30" t="n">
        <x:v>45529</x:v>
      </x:c>
      <x:c r="L3400" s="24" t="str">
        <x:v>자동</x:v>
      </x:c>
      <x:c r="M3400" s="31" t="n">
        <x:f>IF(AND(N3400="미수",G3400&lt;&gt;"",TODAY()&gt;G3400),TODAY()-G3400,0)</x:f>
        <x:v>0</x:v>
      </x:c>
      <x:c r="N3400" s="24" t="str">
        <x:f>IF(J3400&gt;0,"미수",IF(AND(H3400&gt;0,I3400&gt;=H3400),"완납","미확인"))</x:f>
        <x:v>완납</x:v>
      </x:c>
      <x:c r="O3400" s="31" t="n">
        <x:v>45</x:v>
      </x:c>
    </x:row>
    <x:row r="3401" ht="17.25" customHeight="1">
      <x:c r="A3401" s="24" t="str">
        <x:v>PR-B-93너4019-202407</x:v>
      </x:c>
      <x:c r="B3401" s="24" t="str">
        <x:v>프라임구독</x:v>
      </x:c>
      <x:c r="C3401" s="24" t="str">
        <x:v>PR-C-93너4019-1-20231024-209</x:v>
      </x:c>
      <x:c r="D3401" s="24" t="str">
        <x:v>93너4019</x:v>
      </x:c>
      <x:c r="E3401" s="24" t="str">
        <x:v>최유미</x:v>
      </x:c>
      <x:c r="F3401" s="24" t="str">
        <x:v>2024-07</x:v>
      </x:c>
      <x:c r="G3401" s="30" t="n">
        <x:v>45498</x:v>
      </x:c>
      <x:c r="H3401" s="32" t="n">
        <x:v>554212</x:v>
      </x:c>
      <x:c r="I3401" s="32" t="n">
        <x:v>554212</x:v>
      </x:c>
      <x:c r="J3401" s="32" t="n">
        <x:v>0</x:v>
      </x:c>
      <x:c r="K3401" s="30" t="n">
        <x:v>45498</x:v>
      </x:c>
      <x:c r="L3401" s="24" t="str">
        <x:v>입금</x:v>
      </x:c>
      <x:c r="M3401" s="31" t="n">
        <x:f>IF(AND(N3401="미수",G3401&lt;&gt;"",TODAY()&gt;G3401),TODAY()-G3401,0)</x:f>
        <x:v>0</x:v>
      </x:c>
      <x:c r="N3401" s="24" t="str">
        <x:f>IF(J3401&gt;0,"미수",IF(AND(H3401&gt;0,I3401&gt;=H3401),"완납","미확인"))</x:f>
        <x:v>완납</x:v>
      </x:c>
      <x:c r="O3401" s="31" t="n">
        <x:v>45</x:v>
      </x:c>
    </x:row>
    <x:row r="3402" ht="17.25" customHeight="1">
      <x:c r="A3402" s="24" t="str">
        <x:v>PR-B-93너4019-202406</x:v>
      </x:c>
      <x:c r="B3402" s="24" t="str">
        <x:v>프라임구독</x:v>
      </x:c>
      <x:c r="C3402" s="24" t="str">
        <x:v>PR-C-93너4019-1-20231024-209</x:v>
      </x:c>
      <x:c r="D3402" s="24" t="str">
        <x:v>93너4019</x:v>
      </x:c>
      <x:c r="E3402" s="24" t="str">
        <x:v>최유미</x:v>
      </x:c>
      <x:c r="F3402" s="24" t="str">
        <x:v>2024-06</x:v>
      </x:c>
      <x:c r="G3402" s="30" t="n">
        <x:v>45468</x:v>
      </x:c>
      <x:c r="H3402" s="32" t="n">
        <x:v>554212</x:v>
      </x:c>
      <x:c r="I3402" s="32" t="n">
        <x:v>554212</x:v>
      </x:c>
      <x:c r="J3402" s="32" t="n">
        <x:v>0</x:v>
      </x:c>
      <x:c r="K3402" s="30" t="n">
        <x:v>45468</x:v>
      </x:c>
      <x:c r="L3402" s="24" t="str"/>
      <x:c r="M3402" s="31" t="n">
        <x:f>IF(AND(N3402="미수",G3402&lt;&gt;"",TODAY()&gt;G3402),TODAY()-G3402,0)</x:f>
        <x:v>0</x:v>
      </x:c>
      <x:c r="N3402" s="24" t="str">
        <x:f>IF(J3402&gt;0,"미수",IF(AND(H3402&gt;0,I3402&gt;=H3402),"완납","미확인"))</x:f>
        <x:v>완납</x:v>
      </x:c>
      <x:c r="O3402" s="31" t="n">
        <x:v>45</x:v>
      </x:c>
    </x:row>
    <x:row r="3403" ht="17.25" customHeight="1">
      <x:c r="A3403" s="24" t="str">
        <x:v>PR-B-93너4019-202405</x:v>
      </x:c>
      <x:c r="B3403" s="24" t="str">
        <x:v>프라임구독</x:v>
      </x:c>
      <x:c r="C3403" s="24" t="str">
        <x:v>PR-C-93너4019-1-20231024-209</x:v>
      </x:c>
      <x:c r="D3403" s="24" t="str">
        <x:v>93너4019</x:v>
      </x:c>
      <x:c r="E3403" s="24" t="str">
        <x:v>최유미</x:v>
      </x:c>
      <x:c r="F3403" s="24" t="str">
        <x:v>2024-05</x:v>
      </x:c>
      <x:c r="G3403" s="30" t="n">
        <x:v>45437</x:v>
      </x:c>
      <x:c r="H3403" s="32" t="n">
        <x:v>554212</x:v>
      </x:c>
      <x:c r="I3403" s="32" t="n">
        <x:v>554212</x:v>
      </x:c>
      <x:c r="J3403" s="32" t="n">
        <x:v>0</x:v>
      </x:c>
      <x:c r="K3403" s="30" t="n">
        <x:v>45440</x:v>
      </x:c>
      <x:c r="L3403" s="24" t="str"/>
      <x:c r="M3403" s="31" t="n">
        <x:f>IF(AND(N3403="미수",G3403&lt;&gt;"",TODAY()&gt;G3403),TODAY()-G3403,0)</x:f>
        <x:v>0</x:v>
      </x:c>
      <x:c r="N3403" s="24" t="str">
        <x:f>IF(J3403&gt;0,"미수",IF(AND(H3403&gt;0,I3403&gt;=H3403),"완납","미확인"))</x:f>
        <x:v>완납</x:v>
      </x:c>
      <x:c r="O3403" s="31" t="n">
        <x:v>45</x:v>
      </x:c>
    </x:row>
    <x:row r="3404" ht="17.25" customHeight="1">
      <x:c r="A3404" s="24" t="str">
        <x:v>PR-B-84모5364-202608</x:v>
      </x:c>
      <x:c r="B3404" s="24" t="str">
        <x:v>프라임구독</x:v>
      </x:c>
      <x:c r="C3404" s="24" t="str">
        <x:v>PR-C-84모5364-1-20231122-200</x:v>
      </x:c>
      <x:c r="D3404" s="24" t="str">
        <x:v>84모5364</x:v>
      </x:c>
      <x:c r="E3404" s="24" t="str">
        <x:v>권용구</x:v>
      </x:c>
      <x:c r="F3404" s="24" t="str">
        <x:v>2026-08</x:v>
      </x:c>
      <x:c r="G3404" s="30" t="n">
        <x:v>46254</x:v>
      </x:c>
      <x:c r="H3404" s="32" t="n">
        <x:v>521405</x:v>
      </x:c>
      <x:c r="I3404" s="32"/>
      <x:c r="J3404" s="32" t="n">
        <x:v>8992315</x:v>
      </x:c>
      <x:c r="K3404" s="30"/>
      <x:c r="L3404" s="24" t="str"/>
      <x:c r="M3404" s="31" t="n">
        <x:f>IF(AND(N3404="미수",G3404&lt;&gt;"",TODAY()&gt;G3404),TODAY()-G3404,0)</x:f>
        <x:v>0</x:v>
      </x:c>
      <x:c r="N3404" s="24" t="str">
        <x:f>IF(J3404&gt;0,"미수",IF(AND(H3404&gt;0,I3404&gt;=H3404),"완납","미확인"))</x:f>
        <x:v>미수</x:v>
      </x:c>
      <x:c r="O3404" s="31" t="n">
        <x:v>46</x:v>
      </x:c>
    </x:row>
    <x:row r="3405" ht="17.25" customHeight="1">
      <x:c r="A3405" s="24" t="str">
        <x:v>PR-B-84모5364-202607</x:v>
      </x:c>
      <x:c r="B3405" s="24" t="str">
        <x:v>프라임구독</x:v>
      </x:c>
      <x:c r="C3405" s="24" t="str">
        <x:v>PR-C-84모5364-1-20231122-200</x:v>
      </x:c>
      <x:c r="D3405" s="24" t="str">
        <x:v>84모5364</x:v>
      </x:c>
      <x:c r="E3405" s="24" t="str">
        <x:v>권용구</x:v>
      </x:c>
      <x:c r="F3405" s="24" t="str">
        <x:v>2026-07</x:v>
      </x:c>
      <x:c r="G3405" s="30" t="n">
        <x:v>46223</x:v>
      </x:c>
      <x:c r="H3405" s="32" t="n">
        <x:v>521405</x:v>
      </x:c>
      <x:c r="I3405" s="32"/>
      <x:c r="J3405" s="32" t="n">
        <x:v>8470910</x:v>
      </x:c>
      <x:c r="K3405" s="30"/>
      <x:c r="L3405" s="24" t="str"/>
      <x:c r="M3405" s="31" t="n">
        <x:f>IF(AND(N3405="미수",G3405&lt;&gt;"",TODAY()&gt;G3405),TODAY()-G3405,0)</x:f>
        <x:v>26</x:v>
      </x:c>
      <x:c r="N3405" s="24" t="str">
        <x:f>IF(J3405&gt;0,"미수",IF(AND(H3405&gt;0,I3405&gt;=H3405),"완납","미확인"))</x:f>
        <x:v>미수</x:v>
      </x:c>
      <x:c r="O3405" s="31" t="n">
        <x:v>46</x:v>
      </x:c>
    </x:row>
    <x:row r="3406" ht="17.25" customHeight="1">
      <x:c r="A3406" s="24" t="str">
        <x:v>PR-B-84모5364-202606</x:v>
      </x:c>
      <x:c r="B3406" s="24" t="str">
        <x:v>프라임구독</x:v>
      </x:c>
      <x:c r="C3406" s="24" t="str">
        <x:v>PR-C-84모5364-1-20231122-200</x:v>
      </x:c>
      <x:c r="D3406" s="24" t="str">
        <x:v>84모5364</x:v>
      </x:c>
      <x:c r="E3406" s="24" t="str">
        <x:v>권용구</x:v>
      </x:c>
      <x:c r="F3406" s="24" t="str">
        <x:v>2026-06</x:v>
      </x:c>
      <x:c r="G3406" s="30" t="n">
        <x:v>46193</x:v>
      </x:c>
      <x:c r="H3406" s="32" t="n">
        <x:v>521405</x:v>
      </x:c>
      <x:c r="I3406" s="32"/>
      <x:c r="J3406" s="32" t="n">
        <x:v>7949505</x:v>
      </x:c>
      <x:c r="K3406" s="30"/>
      <x:c r="L3406" s="24" t="str"/>
      <x:c r="M3406" s="31" t="n">
        <x:f>IF(AND(N3406="미수",G3406&lt;&gt;"",TODAY()&gt;G3406),TODAY()-G3406,0)</x:f>
        <x:v>56</x:v>
      </x:c>
      <x:c r="N3406" s="24" t="str">
        <x:f>IF(J3406&gt;0,"미수",IF(AND(H3406&gt;0,I3406&gt;=H3406),"완납","미확인"))</x:f>
        <x:v>미수</x:v>
      </x:c>
      <x:c r="O3406" s="31" t="n">
        <x:v>46</x:v>
      </x:c>
    </x:row>
    <x:row r="3407" ht="17.25" customHeight="1">
      <x:c r="A3407" s="24" t="str">
        <x:v>PR-B-84모5364-202605</x:v>
      </x:c>
      <x:c r="B3407" s="24" t="str">
        <x:v>프라임구독</x:v>
      </x:c>
      <x:c r="C3407" s="24" t="str">
        <x:v>PR-C-84모5364-1-20231122-200</x:v>
      </x:c>
      <x:c r="D3407" s="24" t="str">
        <x:v>84모5364</x:v>
      </x:c>
      <x:c r="E3407" s="24" t="str">
        <x:v>권용구</x:v>
      </x:c>
      <x:c r="F3407" s="24" t="str">
        <x:v>2026-05</x:v>
      </x:c>
      <x:c r="G3407" s="30" t="n">
        <x:v>46162</x:v>
      </x:c>
      <x:c r="H3407" s="32" t="n">
        <x:v>521405</x:v>
      </x:c>
      <x:c r="I3407" s="32"/>
      <x:c r="J3407" s="32" t="n">
        <x:v>7428100</x:v>
      </x:c>
      <x:c r="K3407" s="30"/>
      <x:c r="L3407" s="24" t="str"/>
      <x:c r="M3407" s="31" t="n">
        <x:f>IF(AND(N3407="미수",G3407&lt;&gt;"",TODAY()&gt;G3407),TODAY()-G3407,0)</x:f>
        <x:v>87</x:v>
      </x:c>
      <x:c r="N3407" s="24" t="str">
        <x:f>IF(J3407&gt;0,"미수",IF(AND(H3407&gt;0,I3407&gt;=H3407),"완납","미확인"))</x:f>
        <x:v>미수</x:v>
      </x:c>
      <x:c r="O3407" s="31" t="n">
        <x:v>46</x:v>
      </x:c>
    </x:row>
    <x:row r="3408" ht="17.25" customHeight="1">
      <x:c r="A3408" s="24" t="str">
        <x:v>PR-B-84모5364-202604</x:v>
      </x:c>
      <x:c r="B3408" s="24" t="str">
        <x:v>프라임구독</x:v>
      </x:c>
      <x:c r="C3408" s="24" t="str">
        <x:v>PR-C-84모5364-1-20231122-200</x:v>
      </x:c>
      <x:c r="D3408" s="24" t="str">
        <x:v>84모5364</x:v>
      </x:c>
      <x:c r="E3408" s="24" t="str">
        <x:v>권용구</x:v>
      </x:c>
      <x:c r="F3408" s="24" t="str">
        <x:v>2026-04</x:v>
      </x:c>
      <x:c r="G3408" s="30" t="n">
        <x:v>46132</x:v>
      </x:c>
      <x:c r="H3408" s="32" t="n">
        <x:v>521405</x:v>
      </x:c>
      <x:c r="I3408" s="32"/>
      <x:c r="J3408" s="32" t="n">
        <x:v>6906695</x:v>
      </x:c>
      <x:c r="K3408" s="30"/>
      <x:c r="L3408" s="24" t="str"/>
      <x:c r="M3408" s="31" t="n">
        <x:f>IF(AND(N3408="미수",G3408&lt;&gt;"",TODAY()&gt;G3408),TODAY()-G3408,0)</x:f>
        <x:v>117</x:v>
      </x:c>
      <x:c r="N3408" s="24" t="str">
        <x:f>IF(J3408&gt;0,"미수",IF(AND(H3408&gt;0,I3408&gt;=H3408),"완납","미확인"))</x:f>
        <x:v>미수</x:v>
      </x:c>
      <x:c r="O3408" s="31" t="n">
        <x:v>46</x:v>
      </x:c>
    </x:row>
    <x:row r="3409" ht="17.25" customHeight="1">
      <x:c r="A3409" s="24" t="str">
        <x:v>PR-B-84모5364-202603</x:v>
      </x:c>
      <x:c r="B3409" s="24" t="str">
        <x:v>프라임구독</x:v>
      </x:c>
      <x:c r="C3409" s="24" t="str">
        <x:v>PR-C-84모5364-1-20231122-200</x:v>
      </x:c>
      <x:c r="D3409" s="24" t="str">
        <x:v>84모5364</x:v>
      </x:c>
      <x:c r="E3409" s="24" t="str">
        <x:v>권용구</x:v>
      </x:c>
      <x:c r="F3409" s="24" t="str">
        <x:v>2026-03</x:v>
      </x:c>
      <x:c r="G3409" s="30" t="n">
        <x:v>46101</x:v>
      </x:c>
      <x:c r="H3409" s="32" t="n">
        <x:v>521405</x:v>
      </x:c>
      <x:c r="I3409" s="32"/>
      <x:c r="J3409" s="32" t="n">
        <x:v>6385290</x:v>
      </x:c>
      <x:c r="K3409" s="30"/>
      <x:c r="L3409" s="24" t="str"/>
      <x:c r="M3409" s="31" t="n">
        <x:f>IF(AND(N3409="미수",G3409&lt;&gt;"",TODAY()&gt;G3409),TODAY()-G3409,0)</x:f>
        <x:v>148</x:v>
      </x:c>
      <x:c r="N3409" s="24" t="str">
        <x:f>IF(J3409&gt;0,"미수",IF(AND(H3409&gt;0,I3409&gt;=H3409),"완납","미확인"))</x:f>
        <x:v>미수</x:v>
      </x:c>
      <x:c r="O3409" s="31" t="n">
        <x:v>46</x:v>
      </x:c>
    </x:row>
    <x:row r="3410" ht="17.25" customHeight="1">
      <x:c r="A3410" s="24" t="str">
        <x:v>PR-B-84모5364-202602</x:v>
      </x:c>
      <x:c r="B3410" s="24" t="str">
        <x:v>프라임구독</x:v>
      </x:c>
      <x:c r="C3410" s="24" t="str">
        <x:v>PR-C-84모5364-1-20231122-200</x:v>
      </x:c>
      <x:c r="D3410" s="24" t="str">
        <x:v>84모5364</x:v>
      </x:c>
      <x:c r="E3410" s="24" t="str">
        <x:v>권용구</x:v>
      </x:c>
      <x:c r="F3410" s="24" t="str">
        <x:v>2026-02</x:v>
      </x:c>
      <x:c r="G3410" s="30" t="n">
        <x:v>46073</x:v>
      </x:c>
      <x:c r="H3410" s="32" t="n">
        <x:v>521405</x:v>
      </x:c>
      <x:c r="I3410" s="32"/>
      <x:c r="J3410" s="32" t="n">
        <x:v>5863885</x:v>
      </x:c>
      <x:c r="K3410" s="30"/>
      <x:c r="L3410" s="24" t="str"/>
      <x:c r="M3410" s="31" t="n">
        <x:f>IF(AND(N3410="미수",G3410&lt;&gt;"",TODAY()&gt;G3410),TODAY()-G3410,0)</x:f>
        <x:v>176</x:v>
      </x:c>
      <x:c r="N3410" s="24" t="str">
        <x:f>IF(J3410&gt;0,"미수",IF(AND(H3410&gt;0,I3410&gt;=H3410),"완납","미확인"))</x:f>
        <x:v>미수</x:v>
      </x:c>
      <x:c r="O3410" s="31" t="n">
        <x:v>46</x:v>
      </x:c>
    </x:row>
    <x:row r="3411" ht="17.25" customHeight="1">
      <x:c r="A3411" s="24" t="str">
        <x:v>PR-B-84모5364-202601</x:v>
      </x:c>
      <x:c r="B3411" s="24" t="str">
        <x:v>프라임구독</x:v>
      </x:c>
      <x:c r="C3411" s="24" t="str">
        <x:v>PR-C-84모5364-1-20231122-200</x:v>
      </x:c>
      <x:c r="D3411" s="24" t="str">
        <x:v>84모5364</x:v>
      </x:c>
      <x:c r="E3411" s="24" t="str">
        <x:v>권용구</x:v>
      </x:c>
      <x:c r="F3411" s="24" t="str">
        <x:v>2026-01</x:v>
      </x:c>
      <x:c r="G3411" s="30" t="n">
        <x:v>46042</x:v>
      </x:c>
      <x:c r="H3411" s="32" t="n">
        <x:v>521405</x:v>
      </x:c>
      <x:c r="I3411" s="32"/>
      <x:c r="J3411" s="32" t="n">
        <x:v>5342480</x:v>
      </x:c>
      <x:c r="K3411" s="30"/>
      <x:c r="L3411" s="24" t="str"/>
      <x:c r="M3411" s="31" t="n">
        <x:f>IF(AND(N3411="미수",G3411&lt;&gt;"",TODAY()&gt;G3411),TODAY()-G3411,0)</x:f>
        <x:v>207</x:v>
      </x:c>
      <x:c r="N3411" s="24" t="str">
        <x:f>IF(J3411&gt;0,"미수",IF(AND(H3411&gt;0,I3411&gt;=H3411),"완납","미확인"))</x:f>
        <x:v>미수</x:v>
      </x:c>
      <x:c r="O3411" s="31" t="n">
        <x:v>46</x:v>
      </x:c>
    </x:row>
    <x:row r="3412" ht="17.25" customHeight="1">
      <x:c r="A3412" s="24" t="str">
        <x:v>PR-B-84모5364-202512</x:v>
      </x:c>
      <x:c r="B3412" s="24" t="str">
        <x:v>프라임구독</x:v>
      </x:c>
      <x:c r="C3412" s="24" t="str">
        <x:v>PR-C-84모5364-1-20231122-200</x:v>
      </x:c>
      <x:c r="D3412" s="24" t="str">
        <x:v>84모5364</x:v>
      </x:c>
      <x:c r="E3412" s="24" t="str">
        <x:v>권용구</x:v>
      </x:c>
      <x:c r="F3412" s="24" t="str">
        <x:v>2025-12</x:v>
      </x:c>
      <x:c r="G3412" s="30" t="n">
        <x:v>46011</x:v>
      </x:c>
      <x:c r="H3412" s="32" t="n">
        <x:v>521405</x:v>
      </x:c>
      <x:c r="I3412" s="32"/>
      <x:c r="J3412" s="32" t="n">
        <x:v>4821075</x:v>
      </x:c>
      <x:c r="K3412" s="30"/>
      <x:c r="L3412" s="24" t="str"/>
      <x:c r="M3412" s="31" t="n">
        <x:f>IF(AND(N3412="미수",G3412&lt;&gt;"",TODAY()&gt;G3412),TODAY()-G3412,0)</x:f>
        <x:v>238</x:v>
      </x:c>
      <x:c r="N3412" s="24" t="str">
        <x:f>IF(J3412&gt;0,"미수",IF(AND(H3412&gt;0,I3412&gt;=H3412),"완납","미확인"))</x:f>
        <x:v>미수</x:v>
      </x:c>
      <x:c r="O3412" s="31" t="n">
        <x:v>46</x:v>
      </x:c>
    </x:row>
    <x:row r="3413" ht="17.25" customHeight="1">
      <x:c r="A3413" s="24" t="str">
        <x:v>PR-B-84모5364-202511</x:v>
      </x:c>
      <x:c r="B3413" s="24" t="str">
        <x:v>프라임구독</x:v>
      </x:c>
      <x:c r="C3413" s="24" t="str">
        <x:v>PR-C-84모5364-1-20231122-200</x:v>
      </x:c>
      <x:c r="D3413" s="24" t="str">
        <x:v>84모5364</x:v>
      </x:c>
      <x:c r="E3413" s="24" t="str">
        <x:v>권용구</x:v>
      </x:c>
      <x:c r="F3413" s="24" t="str">
        <x:v>2025-11</x:v>
      </x:c>
      <x:c r="G3413" s="30" t="n">
        <x:v>45981</x:v>
      </x:c>
      <x:c r="H3413" s="32" t="n">
        <x:v>521405</x:v>
      </x:c>
      <x:c r="I3413" s="32"/>
      <x:c r="J3413" s="32" t="n">
        <x:v>4299670</x:v>
      </x:c>
      <x:c r="K3413" s="30"/>
      <x:c r="L3413" s="24" t="str"/>
      <x:c r="M3413" s="31" t="n">
        <x:f>IF(AND(N3413="미수",G3413&lt;&gt;"",TODAY()&gt;G3413),TODAY()-G3413,0)</x:f>
        <x:v>268</x:v>
      </x:c>
      <x:c r="N3413" s="24" t="str">
        <x:f>IF(J3413&gt;0,"미수",IF(AND(H3413&gt;0,I3413&gt;=H3413),"완납","미확인"))</x:f>
        <x:v>미수</x:v>
      </x:c>
      <x:c r="O3413" s="31" t="n">
        <x:v>46</x:v>
      </x:c>
    </x:row>
    <x:row r="3414" ht="17.25" customHeight="1">
      <x:c r="A3414" s="24" t="str">
        <x:v>PR-B-84모5364-202510</x:v>
      </x:c>
      <x:c r="B3414" s="24" t="str">
        <x:v>프라임구독</x:v>
      </x:c>
      <x:c r="C3414" s="24" t="str">
        <x:v>PR-C-84모5364-1-20231122-200</x:v>
      </x:c>
      <x:c r="D3414" s="24" t="str">
        <x:v>84모5364</x:v>
      </x:c>
      <x:c r="E3414" s="24" t="str">
        <x:v>권용구</x:v>
      </x:c>
      <x:c r="F3414" s="24" t="str">
        <x:v>2025-10</x:v>
      </x:c>
      <x:c r="G3414" s="30" t="n">
        <x:v>45950</x:v>
      </x:c>
      <x:c r="H3414" s="32" t="n">
        <x:v>521405</x:v>
      </x:c>
      <x:c r="I3414" s="32"/>
      <x:c r="J3414" s="32" t="n">
        <x:v>3778265</x:v>
      </x:c>
      <x:c r="K3414" s="30"/>
      <x:c r="L3414" s="24" t="str"/>
      <x:c r="M3414" s="31" t="n">
        <x:f>IF(AND(N3414="미수",G3414&lt;&gt;"",TODAY()&gt;G3414),TODAY()-G3414,0)</x:f>
        <x:v>299</x:v>
      </x:c>
      <x:c r="N3414" s="24" t="str">
        <x:f>IF(J3414&gt;0,"미수",IF(AND(H3414&gt;0,I3414&gt;=H3414),"완납","미확인"))</x:f>
        <x:v>미수</x:v>
      </x:c>
      <x:c r="O3414" s="31" t="n">
        <x:v>46</x:v>
      </x:c>
    </x:row>
    <x:row r="3415" ht="17.25" customHeight="1">
      <x:c r="A3415" s="24" t="str">
        <x:v>PR-B-84모5364-202509</x:v>
      </x:c>
      <x:c r="B3415" s="24" t="str">
        <x:v>프라임구독</x:v>
      </x:c>
      <x:c r="C3415" s="24" t="str">
        <x:v>PR-C-84모5364-1-20231122-200</x:v>
      </x:c>
      <x:c r="D3415" s="24" t="str">
        <x:v>84모5364</x:v>
      </x:c>
      <x:c r="E3415" s="24" t="str">
        <x:v>권용구</x:v>
      </x:c>
      <x:c r="F3415" s="24" t="str">
        <x:v>2025-09</x:v>
      </x:c>
      <x:c r="G3415" s="30" t="n">
        <x:v>45920</x:v>
      </x:c>
      <x:c r="H3415" s="32" t="n">
        <x:v>521405</x:v>
      </x:c>
      <x:c r="I3415" s="32"/>
      <x:c r="J3415" s="32" t="n">
        <x:v>3256860</x:v>
      </x:c>
      <x:c r="K3415" s="30"/>
      <x:c r="L3415" s="24" t="str"/>
      <x:c r="M3415" s="31" t="n">
        <x:f>IF(AND(N3415="미수",G3415&lt;&gt;"",TODAY()&gt;G3415),TODAY()-G3415,0)</x:f>
        <x:v>329</x:v>
      </x:c>
      <x:c r="N3415" s="24" t="str">
        <x:f>IF(J3415&gt;0,"미수",IF(AND(H3415&gt;0,I3415&gt;=H3415),"완납","미확인"))</x:f>
        <x:v>미수</x:v>
      </x:c>
      <x:c r="O3415" s="31" t="n">
        <x:v>46</x:v>
      </x:c>
    </x:row>
    <x:row r="3416" ht="17.25" customHeight="1">
      <x:c r="A3416" s="24" t="str">
        <x:v>PR-B-84모5364-202508</x:v>
      </x:c>
      <x:c r="B3416" s="24" t="str">
        <x:v>프라임구독</x:v>
      </x:c>
      <x:c r="C3416" s="24" t="str">
        <x:v>PR-C-84모5364-1-20231122-200</x:v>
      </x:c>
      <x:c r="D3416" s="24" t="str">
        <x:v>84모5364</x:v>
      </x:c>
      <x:c r="E3416" s="24" t="str">
        <x:v>권용구</x:v>
      </x:c>
      <x:c r="F3416" s="24" t="str">
        <x:v>2025-08</x:v>
      </x:c>
      <x:c r="G3416" s="30" t="n">
        <x:v>45889</x:v>
      </x:c>
      <x:c r="H3416" s="32" t="n">
        <x:v>521405</x:v>
      </x:c>
      <x:c r="I3416" s="32"/>
      <x:c r="J3416" s="32" t="n">
        <x:v>2735455</x:v>
      </x:c>
      <x:c r="K3416" s="30"/>
      <x:c r="L3416" s="24" t="str"/>
      <x:c r="M3416" s="31" t="n">
        <x:f>IF(AND(N3416="미수",G3416&lt;&gt;"",TODAY()&gt;G3416),TODAY()-G3416,0)</x:f>
        <x:v>360</x:v>
      </x:c>
      <x:c r="N3416" s="24" t="str">
        <x:f>IF(J3416&gt;0,"미수",IF(AND(H3416&gt;0,I3416&gt;=H3416),"완납","미확인"))</x:f>
        <x:v>미수</x:v>
      </x:c>
      <x:c r="O3416" s="31" t="n">
        <x:v>46</x:v>
      </x:c>
    </x:row>
    <x:row r="3417" ht="17.25" customHeight="1">
      <x:c r="A3417" s="24" t="str">
        <x:v>PR-B-84모5364-202507</x:v>
      </x:c>
      <x:c r="B3417" s="24" t="str">
        <x:v>프라임구독</x:v>
      </x:c>
      <x:c r="C3417" s="24" t="str">
        <x:v>PR-C-84모5364-1-20231122-200</x:v>
      </x:c>
      <x:c r="D3417" s="24" t="str">
        <x:v>84모5364</x:v>
      </x:c>
      <x:c r="E3417" s="24" t="str">
        <x:v>권용구</x:v>
      </x:c>
      <x:c r="F3417" s="24" t="str">
        <x:v>2025-07</x:v>
      </x:c>
      <x:c r="G3417" s="30" t="n">
        <x:v>45858</x:v>
      </x:c>
      <x:c r="H3417" s="32" t="n">
        <x:v>521405</x:v>
      </x:c>
      <x:c r="I3417" s="32"/>
      <x:c r="J3417" s="32" t="n">
        <x:v>2214050</x:v>
      </x:c>
      <x:c r="K3417" s="30"/>
      <x:c r="L3417" s="24" t="str"/>
      <x:c r="M3417" s="31" t="n">
        <x:f>IF(AND(N3417="미수",G3417&lt;&gt;"",TODAY()&gt;G3417),TODAY()-G3417,0)</x:f>
        <x:v>391</x:v>
      </x:c>
      <x:c r="N3417" s="24" t="str">
        <x:f>IF(J3417&gt;0,"미수",IF(AND(H3417&gt;0,I3417&gt;=H3417),"완납","미확인"))</x:f>
        <x:v>미수</x:v>
      </x:c>
      <x:c r="O3417" s="31" t="n">
        <x:v>46</x:v>
      </x:c>
    </x:row>
    <x:row r="3418" ht="17.25" customHeight="1">
      <x:c r="A3418" s="24" t="str">
        <x:v>PR-B-84모5364-202506</x:v>
      </x:c>
      <x:c r="B3418" s="24" t="str">
        <x:v>프라임구독</x:v>
      </x:c>
      <x:c r="C3418" s="24" t="str">
        <x:v>PR-C-84모5364-1-20231122-200</x:v>
      </x:c>
      <x:c r="D3418" s="24" t="str">
        <x:v>84모5364</x:v>
      </x:c>
      <x:c r="E3418" s="24" t="str">
        <x:v>권용구</x:v>
      </x:c>
      <x:c r="F3418" s="24" t="str">
        <x:v>2025-06</x:v>
      </x:c>
      <x:c r="G3418" s="30" t="n">
        <x:v>45828</x:v>
      </x:c>
      <x:c r="H3418" s="32" t="n">
        <x:v>521405</x:v>
      </x:c>
      <x:c r="I3418" s="32" t="n">
        <x:v>3000000</x:v>
      </x:c>
      <x:c r="J3418" s="32" t="n">
        <x:v>1692645</x:v>
      </x:c>
      <x:c r="K3418" s="30" t="n">
        <x:v>45828</x:v>
      </x:c>
      <x:c r="L3418" s="24" t="str">
        <x:v>입금</x:v>
      </x:c>
      <x:c r="M3418" s="31" t="n">
        <x:f>IF(AND(N3418="미수",G3418&lt;&gt;"",TODAY()&gt;G3418),TODAY()-G3418,0)</x:f>
        <x:v>421</x:v>
      </x:c>
      <x:c r="N3418" s="24" t="str">
        <x:f>IF(J3418&gt;0,"미수",IF(AND(H3418&gt;0,I3418&gt;=H3418),"완납","미확인"))</x:f>
        <x:v>미수</x:v>
      </x:c>
      <x:c r="O3418" s="31" t="n">
        <x:v>46</x:v>
      </x:c>
    </x:row>
    <x:row r="3419" ht="17.25" customHeight="1">
      <x:c r="A3419" s="24" t="str">
        <x:v>PR-B-84모5364-202505</x:v>
      </x:c>
      <x:c r="B3419" s="24" t="str">
        <x:v>프라임구독</x:v>
      </x:c>
      <x:c r="C3419" s="24" t="str">
        <x:v>PR-C-84모5364-1-20231122-200</x:v>
      </x:c>
      <x:c r="D3419" s="24" t="str">
        <x:v>84모5364</x:v>
      </x:c>
      <x:c r="E3419" s="24" t="str">
        <x:v>권용구</x:v>
      </x:c>
      <x:c r="F3419" s="24" t="str">
        <x:v>2025-05</x:v>
      </x:c>
      <x:c r="G3419" s="30" t="n">
        <x:v>45797</x:v>
      </x:c>
      <x:c r="H3419" s="32" t="n">
        <x:v>521405</x:v>
      </x:c>
      <x:c r="I3419" s="32"/>
      <x:c r="J3419" s="32" t="n">
        <x:v>4171240</x:v>
      </x:c>
      <x:c r="K3419" s="30"/>
      <x:c r="L3419" s="24" t="str"/>
      <x:c r="M3419" s="31" t="n">
        <x:f>IF(AND(N3419="미수",G3419&lt;&gt;"",TODAY()&gt;G3419),TODAY()-G3419,0)</x:f>
        <x:v>452</x:v>
      </x:c>
      <x:c r="N3419" s="24" t="str">
        <x:f>IF(J3419&gt;0,"미수",IF(AND(H3419&gt;0,I3419&gt;=H3419),"완납","미확인"))</x:f>
        <x:v>미수</x:v>
      </x:c>
      <x:c r="O3419" s="31" t="n">
        <x:v>46</x:v>
      </x:c>
    </x:row>
    <x:row r="3420" ht="17.25" customHeight="1">
      <x:c r="A3420" s="24" t="str">
        <x:v>PR-B-84모5364-202504</x:v>
      </x:c>
      <x:c r="B3420" s="24" t="str">
        <x:v>프라임구독</x:v>
      </x:c>
      <x:c r="C3420" s="24" t="str">
        <x:v>PR-C-84모5364-1-20231122-200</x:v>
      </x:c>
      <x:c r="D3420" s="24" t="str">
        <x:v>84모5364</x:v>
      </x:c>
      <x:c r="E3420" s="24" t="str">
        <x:v>권용구</x:v>
      </x:c>
      <x:c r="F3420" s="24" t="str">
        <x:v>2025-04</x:v>
      </x:c>
      <x:c r="G3420" s="30" t="n">
        <x:v>45767</x:v>
      </x:c>
      <x:c r="H3420" s="32" t="n">
        <x:v>521405</x:v>
      </x:c>
      <x:c r="I3420" s="32"/>
      <x:c r="J3420" s="32" t="n">
        <x:v>3649835</x:v>
      </x:c>
      <x:c r="K3420" s="30"/>
      <x:c r="L3420" s="24" t="str"/>
      <x:c r="M3420" s="31" t="n">
        <x:f>IF(AND(N3420="미수",G3420&lt;&gt;"",TODAY()&gt;G3420),TODAY()-G3420,0)</x:f>
        <x:v>482</x:v>
      </x:c>
      <x:c r="N3420" s="24" t="str">
        <x:f>IF(J3420&gt;0,"미수",IF(AND(H3420&gt;0,I3420&gt;=H3420),"완납","미확인"))</x:f>
        <x:v>미수</x:v>
      </x:c>
      <x:c r="O3420" s="31" t="n">
        <x:v>46</x:v>
      </x:c>
    </x:row>
    <x:row r="3421" ht="17.25" customHeight="1">
      <x:c r="A3421" s="24" t="str">
        <x:v>PR-B-84모5364-202503</x:v>
      </x:c>
      <x:c r="B3421" s="24" t="str">
        <x:v>프라임구독</x:v>
      </x:c>
      <x:c r="C3421" s="24" t="str">
        <x:v>PR-C-84모5364-1-20231122-200</x:v>
      </x:c>
      <x:c r="D3421" s="24" t="str">
        <x:v>84모5364</x:v>
      </x:c>
      <x:c r="E3421" s="24" t="str">
        <x:v>권용구</x:v>
      </x:c>
      <x:c r="F3421" s="24" t="str">
        <x:v>2025-03</x:v>
      </x:c>
      <x:c r="G3421" s="30" t="n">
        <x:v>45736</x:v>
      </x:c>
      <x:c r="H3421" s="32" t="n">
        <x:v>521405</x:v>
      </x:c>
      <x:c r="I3421" s="32"/>
      <x:c r="J3421" s="32" t="n">
        <x:v>3128430</x:v>
      </x:c>
      <x:c r="K3421" s="30"/>
      <x:c r="L3421" s="24" t="str"/>
      <x:c r="M3421" s="31" t="n">
        <x:f>IF(AND(N3421="미수",G3421&lt;&gt;"",TODAY()&gt;G3421),TODAY()-G3421,0)</x:f>
        <x:v>513</x:v>
      </x:c>
      <x:c r="N3421" s="24" t="str">
        <x:f>IF(J3421&gt;0,"미수",IF(AND(H3421&gt;0,I3421&gt;=H3421),"완납","미확인"))</x:f>
        <x:v>미수</x:v>
      </x:c>
      <x:c r="O3421" s="31" t="n">
        <x:v>46</x:v>
      </x:c>
    </x:row>
    <x:row r="3422" ht="17.25" customHeight="1">
      <x:c r="A3422" s="24" t="str">
        <x:v>PR-B-84모5364-202502</x:v>
      </x:c>
      <x:c r="B3422" s="24" t="str">
        <x:v>프라임구독</x:v>
      </x:c>
      <x:c r="C3422" s="24" t="str">
        <x:v>PR-C-84모5364-1-20231122-200</x:v>
      </x:c>
      <x:c r="D3422" s="24" t="str">
        <x:v>84모5364</x:v>
      </x:c>
      <x:c r="E3422" s="24" t="str">
        <x:v>권용구</x:v>
      </x:c>
      <x:c r="F3422" s="24" t="str">
        <x:v>2025-02</x:v>
      </x:c>
      <x:c r="G3422" s="30" t="n">
        <x:v>45708</x:v>
      </x:c>
      <x:c r="H3422" s="32" t="n">
        <x:v>521405</x:v>
      </x:c>
      <x:c r="I3422" s="32"/>
      <x:c r="J3422" s="32" t="n">
        <x:v>2607025</x:v>
      </x:c>
      <x:c r="K3422" s="30"/>
      <x:c r="L3422" s="24" t="str"/>
      <x:c r="M3422" s="31" t="n">
        <x:f>IF(AND(N3422="미수",G3422&lt;&gt;"",TODAY()&gt;G3422),TODAY()-G3422,0)</x:f>
        <x:v>541</x:v>
      </x:c>
      <x:c r="N3422" s="24" t="str">
        <x:f>IF(J3422&gt;0,"미수",IF(AND(H3422&gt;0,I3422&gt;=H3422),"완납","미확인"))</x:f>
        <x:v>미수</x:v>
      </x:c>
      <x:c r="O3422" s="31" t="n">
        <x:v>46</x:v>
      </x:c>
    </x:row>
    <x:row r="3423" ht="17.25" customHeight="1">
      <x:c r="A3423" s="24" t="str">
        <x:v>PR-B-84모5364-202501</x:v>
      </x:c>
      <x:c r="B3423" s="24" t="str">
        <x:v>프라임구독</x:v>
      </x:c>
      <x:c r="C3423" s="24" t="str">
        <x:v>PR-C-84모5364-1-20231122-200</x:v>
      </x:c>
      <x:c r="D3423" s="24" t="str">
        <x:v>84모5364</x:v>
      </x:c>
      <x:c r="E3423" s="24" t="str">
        <x:v>권용구</x:v>
      </x:c>
      <x:c r="F3423" s="24" t="str">
        <x:v>2025-01</x:v>
      </x:c>
      <x:c r="G3423" s="30" t="n">
        <x:v>45677</x:v>
      </x:c>
      <x:c r="H3423" s="32" t="n">
        <x:v>521405</x:v>
      </x:c>
      <x:c r="I3423" s="32"/>
      <x:c r="J3423" s="32" t="n">
        <x:v>2085620</x:v>
      </x:c>
      <x:c r="K3423" s="30"/>
      <x:c r="L3423" s="24" t="str"/>
      <x:c r="M3423" s="31" t="n">
        <x:f>IF(AND(N3423="미수",G3423&lt;&gt;"",TODAY()&gt;G3423),TODAY()-G3423,0)</x:f>
        <x:v>572</x:v>
      </x:c>
      <x:c r="N3423" s="24" t="str">
        <x:f>IF(J3423&gt;0,"미수",IF(AND(H3423&gt;0,I3423&gt;=H3423),"완납","미확인"))</x:f>
        <x:v>미수</x:v>
      </x:c>
      <x:c r="O3423" s="31" t="n">
        <x:v>46</x:v>
      </x:c>
    </x:row>
    <x:row r="3424" ht="17.25" customHeight="1">
      <x:c r="A3424" s="24" t="str">
        <x:v>PR-B-84모5364-202412</x:v>
      </x:c>
      <x:c r="B3424" s="24" t="str">
        <x:v>프라임구독</x:v>
      </x:c>
      <x:c r="C3424" s="24" t="str">
        <x:v>PR-C-84모5364-1-20231122-200</x:v>
      </x:c>
      <x:c r="D3424" s="24" t="str">
        <x:v>84모5364</x:v>
      </x:c>
      <x:c r="E3424" s="24" t="str">
        <x:v>권용구</x:v>
      </x:c>
      <x:c r="F3424" s="24" t="str">
        <x:v>2024-12</x:v>
      </x:c>
      <x:c r="G3424" s="30" t="n">
        <x:v>45646</x:v>
      </x:c>
      <x:c r="H3424" s="32" t="n">
        <x:v>521405</x:v>
      </x:c>
      <x:c r="I3424" s="32"/>
      <x:c r="J3424" s="32" t="n">
        <x:v>1564215</x:v>
      </x:c>
      <x:c r="K3424" s="30"/>
      <x:c r="L3424" s="24" t="str"/>
      <x:c r="M3424" s="31" t="n">
        <x:f>IF(AND(N3424="미수",G3424&lt;&gt;"",TODAY()&gt;G3424),TODAY()-G3424,0)</x:f>
        <x:v>603</x:v>
      </x:c>
      <x:c r="N3424" s="24" t="str">
        <x:f>IF(J3424&gt;0,"미수",IF(AND(H3424&gt;0,I3424&gt;=H3424),"완납","미확인"))</x:f>
        <x:v>미수</x:v>
      </x:c>
      <x:c r="O3424" s="31" t="n">
        <x:v>46</x:v>
      </x:c>
    </x:row>
    <x:row r="3425" ht="17.25" customHeight="1">
      <x:c r="A3425" s="24" t="str">
        <x:v>PR-B-84모5364-202411</x:v>
      </x:c>
      <x:c r="B3425" s="24" t="str">
        <x:v>프라임구독</x:v>
      </x:c>
      <x:c r="C3425" s="24" t="str">
        <x:v>PR-C-84모5364-1-20231122-200</x:v>
      </x:c>
      <x:c r="D3425" s="24" t="str">
        <x:v>84모5364</x:v>
      </x:c>
      <x:c r="E3425" s="24" t="str">
        <x:v>권용구</x:v>
      </x:c>
      <x:c r="F3425" s="24" t="str">
        <x:v>2024-11</x:v>
      </x:c>
      <x:c r="G3425" s="30" t="n">
        <x:v>45616</x:v>
      </x:c>
      <x:c r="H3425" s="32" t="n">
        <x:v>521405</x:v>
      </x:c>
      <x:c r="I3425" s="32"/>
      <x:c r="J3425" s="32" t="n">
        <x:v>1042810</x:v>
      </x:c>
      <x:c r="K3425" s="30"/>
      <x:c r="L3425" s="24" t="str"/>
      <x:c r="M3425" s="31" t="n">
        <x:f>IF(AND(N3425="미수",G3425&lt;&gt;"",TODAY()&gt;G3425),TODAY()-G3425,0)</x:f>
        <x:v>633</x:v>
      </x:c>
      <x:c r="N3425" s="24" t="str">
        <x:f>IF(J3425&gt;0,"미수",IF(AND(H3425&gt;0,I3425&gt;=H3425),"완납","미확인"))</x:f>
        <x:v>미수</x:v>
      </x:c>
      <x:c r="O3425" s="31" t="n">
        <x:v>46</x:v>
      </x:c>
    </x:row>
    <x:row r="3426" ht="17.25" customHeight="1">
      <x:c r="A3426" s="24" t="str">
        <x:v>PR-B-84모5364-202410</x:v>
      </x:c>
      <x:c r="B3426" s="24" t="str">
        <x:v>프라임구독</x:v>
      </x:c>
      <x:c r="C3426" s="24" t="str">
        <x:v>PR-C-84모5364-1-20231122-200</x:v>
      </x:c>
      <x:c r="D3426" s="24" t="str">
        <x:v>84모5364</x:v>
      </x:c>
      <x:c r="E3426" s="24" t="str">
        <x:v>권용구</x:v>
      </x:c>
      <x:c r="F3426" s="24" t="str">
        <x:v>2024-10</x:v>
      </x:c>
      <x:c r="G3426" s="30" t="n">
        <x:v>45585</x:v>
      </x:c>
      <x:c r="H3426" s="32" t="n">
        <x:v>521405</x:v>
      </x:c>
      <x:c r="I3426" s="32"/>
      <x:c r="J3426" s="32" t="n">
        <x:v>521405</x:v>
      </x:c>
      <x:c r="K3426" s="30"/>
      <x:c r="L3426" s="24" t="str"/>
      <x:c r="M3426" s="31" t="n">
        <x:f>IF(AND(N3426="미수",G3426&lt;&gt;"",TODAY()&gt;G3426),TODAY()-G3426,0)</x:f>
        <x:v>664</x:v>
      </x:c>
      <x:c r="N3426" s="24" t="str">
        <x:f>IF(J3426&gt;0,"미수",IF(AND(H3426&gt;0,I3426&gt;=H3426),"완납","미확인"))</x:f>
        <x:v>미수</x:v>
      </x:c>
      <x:c r="O3426" s="31" t="n">
        <x:v>46</x:v>
      </x:c>
    </x:row>
    <x:row r="3427" ht="17.25" customHeight="1">
      <x:c r="A3427" s="24" t="str">
        <x:v>PR-B-84모5364-202409</x:v>
      </x:c>
      <x:c r="B3427" s="24" t="str">
        <x:v>프라임구독</x:v>
      </x:c>
      <x:c r="C3427" s="24" t="str">
        <x:v>PR-C-84모5364-1-20231122-200</x:v>
      </x:c>
      <x:c r="D3427" s="24" t="str">
        <x:v>84모5364</x:v>
      </x:c>
      <x:c r="E3427" s="24" t="str">
        <x:v>권용구</x:v>
      </x:c>
      <x:c r="F3427" s="24" t="str">
        <x:v>2024-09</x:v>
      </x:c>
      <x:c r="G3427" s="30" t="n">
        <x:v>45555</x:v>
      </x:c>
      <x:c r="H3427" s="32" t="n">
        <x:v>521405</x:v>
      </x:c>
      <x:c r="I3427" s="32" t="n">
        <x:v>521405</x:v>
      </x:c>
      <x:c r="J3427" s="32" t="n">
        <x:v>0</x:v>
      </x:c>
      <x:c r="K3427" s="30" t="n">
        <x:v>45582</x:v>
      </x:c>
      <x:c r="L3427" s="24" t="str">
        <x:v>입금</x:v>
      </x:c>
      <x:c r="M3427" s="31" t="n">
        <x:f>IF(AND(N3427="미수",G3427&lt;&gt;"",TODAY()&gt;G3427),TODAY()-G3427,0)</x:f>
        <x:v>0</x:v>
      </x:c>
      <x:c r="N3427" s="24" t="str">
        <x:f>IF(J3427&gt;0,"미수",IF(AND(H3427&gt;0,I3427&gt;=H3427),"완납","미확인"))</x:f>
        <x:v>완납</x:v>
      </x:c>
      <x:c r="O3427" s="31" t="n">
        <x:v>46</x:v>
      </x:c>
    </x:row>
    <x:row r="3428" ht="17.25" customHeight="1">
      <x:c r="A3428" s="24" t="str">
        <x:v>PR-B-84모5364-202408</x:v>
      </x:c>
      <x:c r="B3428" s="24" t="str">
        <x:v>프라임구독</x:v>
      </x:c>
      <x:c r="C3428" s="24" t="str">
        <x:v>PR-C-84모5364-1-20231122-200</x:v>
      </x:c>
      <x:c r="D3428" s="24" t="str">
        <x:v>84모5364</x:v>
      </x:c>
      <x:c r="E3428" s="24" t="str">
        <x:v>권용구</x:v>
      </x:c>
      <x:c r="F3428" s="24" t="str">
        <x:v>2024-08</x:v>
      </x:c>
      <x:c r="G3428" s="30" t="n">
        <x:v>45524</x:v>
      </x:c>
      <x:c r="H3428" s="32" t="n">
        <x:v>521405</x:v>
      </x:c>
      <x:c r="I3428" s="32" t="n">
        <x:v>521405</x:v>
      </x:c>
      <x:c r="J3428" s="32" t="n">
        <x:v>0</x:v>
      </x:c>
      <x:c r="K3428" s="30" t="n">
        <x:v>45582</x:v>
      </x:c>
      <x:c r="L3428" s="24" t="str">
        <x:v>입금</x:v>
      </x:c>
      <x:c r="M3428" s="31" t="n">
        <x:f>IF(AND(N3428="미수",G3428&lt;&gt;"",TODAY()&gt;G3428),TODAY()-G3428,0)</x:f>
        <x:v>0</x:v>
      </x:c>
      <x:c r="N3428" s="24" t="str">
        <x:f>IF(J3428&gt;0,"미수",IF(AND(H3428&gt;0,I3428&gt;=H3428),"완납","미확인"))</x:f>
        <x:v>완납</x:v>
      </x:c>
      <x:c r="O3428" s="31" t="n">
        <x:v>46</x:v>
      </x:c>
    </x:row>
    <x:row r="3429" ht="17.25" customHeight="1">
      <x:c r="A3429" s="24" t="str">
        <x:v>PR-B-84모5364-202407</x:v>
      </x:c>
      <x:c r="B3429" s="24" t="str">
        <x:v>프라임구독</x:v>
      </x:c>
      <x:c r="C3429" s="24" t="str">
        <x:v>PR-C-84모5364-1-20231122-200</x:v>
      </x:c>
      <x:c r="D3429" s="24" t="str">
        <x:v>84모5364</x:v>
      </x:c>
      <x:c r="E3429" s="24" t="str">
        <x:v>권용구</x:v>
      </x:c>
      <x:c r="F3429" s="24" t="str">
        <x:v>2024-07</x:v>
      </x:c>
      <x:c r="G3429" s="30" t="n">
        <x:v>45493</x:v>
      </x:c>
      <x:c r="H3429" s="32" t="n">
        <x:v>521405</x:v>
      </x:c>
      <x:c r="I3429" s="32" t="n">
        <x:v>521405</x:v>
      </x:c>
      <x:c r="J3429" s="32" t="n">
        <x:v>0</x:v>
      </x:c>
      <x:c r="K3429" s="30" t="n">
        <x:v>45493</x:v>
      </x:c>
      <x:c r="L3429" s="24" t="str">
        <x:v>자동</x:v>
      </x:c>
      <x:c r="M3429" s="31" t="n">
        <x:f>IF(AND(N3429="미수",G3429&lt;&gt;"",TODAY()&gt;G3429),TODAY()-G3429,0)</x:f>
        <x:v>0</x:v>
      </x:c>
      <x:c r="N3429" s="24" t="str">
        <x:f>IF(J3429&gt;0,"미수",IF(AND(H3429&gt;0,I3429&gt;=H3429),"완납","미확인"))</x:f>
        <x:v>완납</x:v>
      </x:c>
      <x:c r="O3429" s="31" t="n">
        <x:v>46</x:v>
      </x:c>
    </x:row>
    <x:row r="3430" ht="17.25" customHeight="1">
      <x:c r="A3430" s="24" t="str">
        <x:v>PR-B-84모5364-202406</x:v>
      </x:c>
      <x:c r="B3430" s="24" t="str">
        <x:v>프라임구독</x:v>
      </x:c>
      <x:c r="C3430" s="24" t="str">
        <x:v>PR-C-84모5364-1-20231122-200</x:v>
      </x:c>
      <x:c r="D3430" s="24" t="str">
        <x:v>84모5364</x:v>
      </x:c>
      <x:c r="E3430" s="24" t="str">
        <x:v>권용구</x:v>
      </x:c>
      <x:c r="F3430" s="24" t="str">
        <x:v>2024-06</x:v>
      </x:c>
      <x:c r="G3430" s="30" t="n">
        <x:v>45463</x:v>
      </x:c>
      <x:c r="H3430" s="32" t="n">
        <x:v>521405</x:v>
      </x:c>
      <x:c r="I3430" s="32" t="n">
        <x:v>521405</x:v>
      </x:c>
      <x:c r="J3430" s="32" t="n">
        <x:v>0</x:v>
      </x:c>
      <x:c r="K3430" s="30" t="n">
        <x:v>45468</x:v>
      </x:c>
      <x:c r="L3430" s="24" t="str"/>
      <x:c r="M3430" s="31" t="n">
        <x:f>IF(AND(N3430="미수",G3430&lt;&gt;"",TODAY()&gt;G3430),TODAY()-G3430,0)</x:f>
        <x:v>0</x:v>
      </x:c>
      <x:c r="N3430" s="24" t="str">
        <x:f>IF(J3430&gt;0,"미수",IF(AND(H3430&gt;0,I3430&gt;=H3430),"완납","미확인"))</x:f>
        <x:v>완납</x:v>
      </x:c>
      <x:c r="O3430" s="31" t="n">
        <x:v>46</x:v>
      </x:c>
    </x:row>
    <x:row r="3431" ht="17.25" customHeight="1">
      <x:c r="A3431" s="24" t="str">
        <x:v>PR-B-84모5364-202405</x:v>
      </x:c>
      <x:c r="B3431" s="24" t="str">
        <x:v>프라임구독</x:v>
      </x:c>
      <x:c r="C3431" s="24" t="str">
        <x:v>PR-C-84모5364-1-20231122-200</x:v>
      </x:c>
      <x:c r="D3431" s="24" t="str">
        <x:v>84모5364</x:v>
      </x:c>
      <x:c r="E3431" s="24" t="str">
        <x:v>권용구</x:v>
      </x:c>
      <x:c r="F3431" s="24" t="str">
        <x:v>2024-05</x:v>
      </x:c>
      <x:c r="G3431" s="30" t="n">
        <x:v>45432</x:v>
      </x:c>
      <x:c r="H3431" s="32" t="n">
        <x:v>521405</x:v>
      </x:c>
      <x:c r="I3431" s="32" t="n">
        <x:v>521405</x:v>
      </x:c>
      <x:c r="J3431" s="32" t="n">
        <x:v>0</x:v>
      </x:c>
      <x:c r="K3431" s="30" t="n">
        <x:v>45432</x:v>
      </x:c>
      <x:c r="L3431" s="24" t="str"/>
      <x:c r="M3431" s="31" t="n">
        <x:f>IF(AND(N3431="미수",G3431&lt;&gt;"",TODAY()&gt;G3431),TODAY()-G3431,0)</x:f>
        <x:v>0</x:v>
      </x:c>
      <x:c r="N3431" s="24" t="str">
        <x:f>IF(J3431&gt;0,"미수",IF(AND(H3431&gt;0,I3431&gt;=H3431),"완납","미확인"))</x:f>
        <x:v>완납</x:v>
      </x:c>
      <x:c r="O3431" s="31" t="n">
        <x:v>46</x:v>
      </x:c>
    </x:row>
    <x:row r="3432" ht="17.25" customHeight="1">
      <x:c r="A3432" s="24" t="str">
        <x:v>PR-B-95서4126-202608</x:v>
      </x:c>
      <x:c r="B3432" s="24" t="str">
        <x:v>프라임구독</x:v>
      </x:c>
      <x:c r="C3432" s="24" t="str">
        <x:v>PR-C-95서4126-1-20231128-212</x:v>
      </x:c>
      <x:c r="D3432" s="24" t="str">
        <x:v>95서4126</x:v>
      </x:c>
      <x:c r="E3432" s="24" t="str">
        <x:v>임은희</x:v>
      </x:c>
      <x:c r="F3432" s="24" t="str">
        <x:v>2026-08</x:v>
      </x:c>
      <x:c r="G3432" s="30" t="n">
        <x:v>46244</x:v>
      </x:c>
      <x:c r="H3432" s="32" t="n">
        <x:v>529000</x:v>
      </x:c>
      <x:c r="I3432" s="32"/>
      <x:c r="J3432" s="32" t="n">
        <x:v>529000</x:v>
      </x:c>
      <x:c r="K3432" s="30"/>
      <x:c r="L3432" s="24" t="str"/>
      <x:c r="M3432" s="31" t="n">
        <x:f>IF(AND(N3432="미수",G3432&lt;&gt;"",TODAY()&gt;G3432),TODAY()-G3432,0)</x:f>
        <x:v>5</x:v>
      </x:c>
      <x:c r="N3432" s="24" t="str">
        <x:f>IF(J3432&gt;0,"미수",IF(AND(H3432&gt;0,I3432&gt;=H3432),"완납","미확인"))</x:f>
        <x:v>미수</x:v>
      </x:c>
      <x:c r="O3432" s="31" t="n">
        <x:v>47</x:v>
      </x:c>
    </x:row>
    <x:row r="3433" ht="17.25" customHeight="1">
      <x:c r="A3433" s="24" t="str">
        <x:v>PR-B-95서4126-202607</x:v>
      </x:c>
      <x:c r="B3433" s="24" t="str">
        <x:v>프라임구독</x:v>
      </x:c>
      <x:c r="C3433" s="24" t="str">
        <x:v>PR-C-95서4126-1-20231128-212</x:v>
      </x:c>
      <x:c r="D3433" s="24" t="str">
        <x:v>95서4126</x:v>
      </x:c>
      <x:c r="E3433" s="24" t="str">
        <x:v>임은희</x:v>
      </x:c>
      <x:c r="F3433" s="24" t="str">
        <x:v>2026-07</x:v>
      </x:c>
      <x:c r="G3433" s="30" t="n">
        <x:v>46213</x:v>
      </x:c>
      <x:c r="H3433" s="32" t="n">
        <x:v>529000</x:v>
      </x:c>
      <x:c r="I3433" s="32" t="n">
        <x:v>529000</x:v>
      </x:c>
      <x:c r="J3433" s="32" t="n">
        <x:v>0</x:v>
      </x:c>
      <x:c r="K3433" s="30" t="n">
        <x:v>46216</x:v>
      </x:c>
      <x:c r="L3433" s="24" t="str">
        <x:v>자동</x:v>
      </x:c>
      <x:c r="M3433" s="31" t="n">
        <x:f>IF(AND(N3433="미수",G3433&lt;&gt;"",TODAY()&gt;G3433),TODAY()-G3433,0)</x:f>
        <x:v>0</x:v>
      </x:c>
      <x:c r="N3433" s="24" t="str">
        <x:f>IF(J3433&gt;0,"미수",IF(AND(H3433&gt;0,I3433&gt;=H3433),"완납","미확인"))</x:f>
        <x:v>완납</x:v>
      </x:c>
      <x:c r="O3433" s="31" t="n">
        <x:v>47</x:v>
      </x:c>
    </x:row>
    <x:row r="3434" ht="17.25" customHeight="1">
      <x:c r="A3434" s="24" t="str">
        <x:v>PR-B-95서4126-202606</x:v>
      </x:c>
      <x:c r="B3434" s="24" t="str">
        <x:v>프라임구독</x:v>
      </x:c>
      <x:c r="C3434" s="24" t="str">
        <x:v>PR-C-95서4126-1-20231128-212</x:v>
      </x:c>
      <x:c r="D3434" s="24" t="str">
        <x:v>95서4126</x:v>
      </x:c>
      <x:c r="E3434" s="24" t="str">
        <x:v>임은희</x:v>
      </x:c>
      <x:c r="F3434" s="24" t="str">
        <x:v>2026-06</x:v>
      </x:c>
      <x:c r="G3434" s="30" t="n">
        <x:v>46183</x:v>
      </x:c>
      <x:c r="H3434" s="32" t="n">
        <x:v>529000</x:v>
      </x:c>
      <x:c r="I3434" s="32" t="n">
        <x:v>529000</x:v>
      </x:c>
      <x:c r="J3434" s="32" t="n">
        <x:v>0</x:v>
      </x:c>
      <x:c r="K3434" s="30" t="n">
        <x:v>46183</x:v>
      </x:c>
      <x:c r="L3434" s="24" t="str">
        <x:v>입금</x:v>
      </x:c>
      <x:c r="M3434" s="31" t="n">
        <x:f>IF(AND(N3434="미수",G3434&lt;&gt;"",TODAY()&gt;G3434),TODAY()-G3434,0)</x:f>
        <x:v>0</x:v>
      </x:c>
      <x:c r="N3434" s="24" t="str">
        <x:f>IF(J3434&gt;0,"미수",IF(AND(H3434&gt;0,I3434&gt;=H3434),"완납","미확인"))</x:f>
        <x:v>완납</x:v>
      </x:c>
      <x:c r="O3434" s="31" t="n">
        <x:v>47</x:v>
      </x:c>
    </x:row>
    <x:row r="3435" ht="17.25" customHeight="1">
      <x:c r="A3435" s="24" t="str">
        <x:v>PR-B-95서4126-202605</x:v>
      </x:c>
      <x:c r="B3435" s="24" t="str">
        <x:v>프라임구독</x:v>
      </x:c>
      <x:c r="C3435" s="24" t="str">
        <x:v>PR-C-95서4126-1-20231128-212</x:v>
      </x:c>
      <x:c r="D3435" s="24" t="str">
        <x:v>95서4126</x:v>
      </x:c>
      <x:c r="E3435" s="24" t="str">
        <x:v>임은희</x:v>
      </x:c>
      <x:c r="F3435" s="24" t="str">
        <x:v>2026-05</x:v>
      </x:c>
      <x:c r="G3435" s="30" t="n">
        <x:v>46152</x:v>
      </x:c>
      <x:c r="H3435" s="32" t="n">
        <x:v>529000</x:v>
      </x:c>
      <x:c r="I3435" s="32" t="n">
        <x:v>529000</x:v>
      </x:c>
      <x:c r="J3435" s="32" t="n">
        <x:v>0</x:v>
      </x:c>
      <x:c r="K3435" s="30" t="n">
        <x:v>46152</x:v>
      </x:c>
      <x:c r="L3435" s="24" t="str">
        <x:v>자동</x:v>
      </x:c>
      <x:c r="M3435" s="31" t="n">
        <x:f>IF(AND(N3435="미수",G3435&lt;&gt;"",TODAY()&gt;G3435),TODAY()-G3435,0)</x:f>
        <x:v>0</x:v>
      </x:c>
      <x:c r="N3435" s="24" t="str">
        <x:f>IF(J3435&gt;0,"미수",IF(AND(H3435&gt;0,I3435&gt;=H3435),"완납","미확인"))</x:f>
        <x:v>완납</x:v>
      </x:c>
      <x:c r="O3435" s="31" t="n">
        <x:v>47</x:v>
      </x:c>
    </x:row>
    <x:row r="3436" ht="17.25" customHeight="1">
      <x:c r="A3436" s="24" t="str">
        <x:v>PR-B-95서4126-202604</x:v>
      </x:c>
      <x:c r="B3436" s="24" t="str">
        <x:v>프라임구독</x:v>
      </x:c>
      <x:c r="C3436" s="24" t="str">
        <x:v>PR-C-95서4126-1-20231128-212</x:v>
      </x:c>
      <x:c r="D3436" s="24" t="str">
        <x:v>95서4126</x:v>
      </x:c>
      <x:c r="E3436" s="24" t="str">
        <x:v>임은희</x:v>
      </x:c>
      <x:c r="F3436" s="24" t="str">
        <x:v>2026-04</x:v>
      </x:c>
      <x:c r="G3436" s="30" t="n">
        <x:v>46122</x:v>
      </x:c>
      <x:c r="H3436" s="32" t="n">
        <x:v>529000</x:v>
      </x:c>
      <x:c r="I3436" s="32" t="n">
        <x:v>529000</x:v>
      </x:c>
      <x:c r="J3436" s="32" t="n">
        <x:v>0</x:v>
      </x:c>
      <x:c r="K3436" s="30" t="n">
        <x:v>46122</x:v>
      </x:c>
      <x:c r="L3436" s="24" t="str">
        <x:v>자동</x:v>
      </x:c>
      <x:c r="M3436" s="31" t="n">
        <x:f>IF(AND(N3436="미수",G3436&lt;&gt;"",TODAY()&gt;G3436),TODAY()-G3436,0)</x:f>
        <x:v>0</x:v>
      </x:c>
      <x:c r="N3436" s="24" t="str">
        <x:f>IF(J3436&gt;0,"미수",IF(AND(H3436&gt;0,I3436&gt;=H3436),"완납","미확인"))</x:f>
        <x:v>완납</x:v>
      </x:c>
      <x:c r="O3436" s="31" t="n">
        <x:v>47</x:v>
      </x:c>
    </x:row>
    <x:row r="3437" ht="17.25" customHeight="1">
      <x:c r="A3437" s="24" t="str">
        <x:v>PR-B-95서4126-202603</x:v>
      </x:c>
      <x:c r="B3437" s="24" t="str">
        <x:v>프라임구독</x:v>
      </x:c>
      <x:c r="C3437" s="24" t="str">
        <x:v>PR-C-95서4126-1-20231128-212</x:v>
      </x:c>
      <x:c r="D3437" s="24" t="str">
        <x:v>95서4126</x:v>
      </x:c>
      <x:c r="E3437" s="24" t="str">
        <x:v>임은희</x:v>
      </x:c>
      <x:c r="F3437" s="24" t="str">
        <x:v>2026-03</x:v>
      </x:c>
      <x:c r="G3437" s="30" t="n">
        <x:v>46091</x:v>
      </x:c>
      <x:c r="H3437" s="32" t="n">
        <x:v>529000</x:v>
      </x:c>
      <x:c r="I3437" s="32" t="n">
        <x:v>529000</x:v>
      </x:c>
      <x:c r="J3437" s="32" t="n">
        <x:v>0</x:v>
      </x:c>
      <x:c r="K3437" s="30" t="n">
        <x:v>46091</x:v>
      </x:c>
      <x:c r="L3437" s="24" t="str">
        <x:v>자동</x:v>
      </x:c>
      <x:c r="M3437" s="31" t="n">
        <x:f>IF(AND(N3437="미수",G3437&lt;&gt;"",TODAY()&gt;G3437),TODAY()-G3437,0)</x:f>
        <x:v>0</x:v>
      </x:c>
      <x:c r="N3437" s="24" t="str">
        <x:f>IF(J3437&gt;0,"미수",IF(AND(H3437&gt;0,I3437&gt;=H3437),"완납","미확인"))</x:f>
        <x:v>완납</x:v>
      </x:c>
      <x:c r="O3437" s="31" t="n">
        <x:v>47</x:v>
      </x:c>
    </x:row>
    <x:row r="3438" ht="17.25" customHeight="1">
      <x:c r="A3438" s="24" t="str">
        <x:v>PR-B-95서4126-202602</x:v>
      </x:c>
      <x:c r="B3438" s="24" t="str">
        <x:v>프라임구독</x:v>
      </x:c>
      <x:c r="C3438" s="24" t="str">
        <x:v>PR-C-95서4126-1-20231128-212</x:v>
      </x:c>
      <x:c r="D3438" s="24" t="str">
        <x:v>95서4126</x:v>
      </x:c>
      <x:c r="E3438" s="24" t="str">
        <x:v>임은희</x:v>
      </x:c>
      <x:c r="F3438" s="24" t="str">
        <x:v>2026-02</x:v>
      </x:c>
      <x:c r="G3438" s="30" t="n">
        <x:v>46063</x:v>
      </x:c>
      <x:c r="H3438" s="32" t="n">
        <x:v>529000</x:v>
      </x:c>
      <x:c r="I3438" s="32" t="n">
        <x:v>529000</x:v>
      </x:c>
      <x:c r="J3438" s="32" t="n">
        <x:v>0</x:v>
      </x:c>
      <x:c r="K3438" s="30" t="n">
        <x:v>46063</x:v>
      </x:c>
      <x:c r="L3438" s="24" t="str">
        <x:v>자동</x:v>
      </x:c>
      <x:c r="M3438" s="31" t="n">
        <x:f>IF(AND(N3438="미수",G3438&lt;&gt;"",TODAY()&gt;G3438),TODAY()-G3438,0)</x:f>
        <x:v>0</x:v>
      </x:c>
      <x:c r="N3438" s="24" t="str">
        <x:f>IF(J3438&gt;0,"미수",IF(AND(H3438&gt;0,I3438&gt;=H3438),"완납","미확인"))</x:f>
        <x:v>완납</x:v>
      </x:c>
      <x:c r="O3438" s="31" t="n">
        <x:v>47</x:v>
      </x:c>
    </x:row>
    <x:row r="3439" ht="17.25" customHeight="1">
      <x:c r="A3439" s="24" t="str">
        <x:v>PR-B-95서4126-202601</x:v>
      </x:c>
      <x:c r="B3439" s="24" t="str">
        <x:v>프라임구독</x:v>
      </x:c>
      <x:c r="C3439" s="24" t="str">
        <x:v>PR-C-95서4126-1-20231128-212</x:v>
      </x:c>
      <x:c r="D3439" s="24" t="str">
        <x:v>95서4126</x:v>
      </x:c>
      <x:c r="E3439" s="24" t="str">
        <x:v>임은희</x:v>
      </x:c>
      <x:c r="F3439" s="24" t="str">
        <x:v>2026-01</x:v>
      </x:c>
      <x:c r="G3439" s="30" t="n">
        <x:v>46032</x:v>
      </x:c>
      <x:c r="H3439" s="32" t="n">
        <x:v>529000</x:v>
      </x:c>
      <x:c r="I3439" s="32" t="n">
        <x:v>529000</x:v>
      </x:c>
      <x:c r="J3439" s="32" t="n">
        <x:v>0</x:v>
      </x:c>
      <x:c r="K3439" s="30" t="n">
        <x:v>46034</x:v>
      </x:c>
      <x:c r="L3439" s="24" t="str">
        <x:v>자동</x:v>
      </x:c>
      <x:c r="M3439" s="31" t="n">
        <x:f>IF(AND(N3439="미수",G3439&lt;&gt;"",TODAY()&gt;G3439),TODAY()-G3439,0)</x:f>
        <x:v>0</x:v>
      </x:c>
      <x:c r="N3439" s="24" t="str">
        <x:f>IF(J3439&gt;0,"미수",IF(AND(H3439&gt;0,I3439&gt;=H3439),"완납","미확인"))</x:f>
        <x:v>완납</x:v>
      </x:c>
      <x:c r="O3439" s="31" t="n">
        <x:v>47</x:v>
      </x:c>
    </x:row>
    <x:row r="3440" ht="17.25" customHeight="1">
      <x:c r="A3440" s="24" t="str">
        <x:v>PR-B-95서4126-202512</x:v>
      </x:c>
      <x:c r="B3440" s="24" t="str">
        <x:v>프라임구독</x:v>
      </x:c>
      <x:c r="C3440" s="24" t="str">
        <x:v>PR-C-95서4126-1-20231128-212</x:v>
      </x:c>
      <x:c r="D3440" s="24" t="str">
        <x:v>95서4126</x:v>
      </x:c>
      <x:c r="E3440" s="24" t="str">
        <x:v>임은희</x:v>
      </x:c>
      <x:c r="F3440" s="24" t="str">
        <x:v>2025-12</x:v>
      </x:c>
      <x:c r="G3440" s="30" t="n">
        <x:v>46001</x:v>
      </x:c>
      <x:c r="H3440" s="32" t="n">
        <x:v>529000</x:v>
      </x:c>
      <x:c r="I3440" s="32" t="n">
        <x:v>529000</x:v>
      </x:c>
      <x:c r="J3440" s="32" t="n">
        <x:v>0</x:v>
      </x:c>
      <x:c r="K3440" s="30" t="n">
        <x:v>46001</x:v>
      </x:c>
      <x:c r="L3440" s="24" t="str">
        <x:v>자동</x:v>
      </x:c>
      <x:c r="M3440" s="31" t="n">
        <x:f>IF(AND(N3440="미수",G3440&lt;&gt;"",TODAY()&gt;G3440),TODAY()-G3440,0)</x:f>
        <x:v>0</x:v>
      </x:c>
      <x:c r="N3440" s="24" t="str">
        <x:f>IF(J3440&gt;0,"미수",IF(AND(H3440&gt;0,I3440&gt;=H3440),"완납","미확인"))</x:f>
        <x:v>완납</x:v>
      </x:c>
      <x:c r="O3440" s="31" t="n">
        <x:v>47</x:v>
      </x:c>
    </x:row>
    <x:row r="3441" ht="17.25" customHeight="1">
      <x:c r="A3441" s="24" t="str">
        <x:v>PR-B-95서4126-202511</x:v>
      </x:c>
      <x:c r="B3441" s="24" t="str">
        <x:v>프라임구독</x:v>
      </x:c>
      <x:c r="C3441" s="24" t="str">
        <x:v>PR-C-95서4126-1-20231128-212</x:v>
      </x:c>
      <x:c r="D3441" s="24" t="str">
        <x:v>95서4126</x:v>
      </x:c>
      <x:c r="E3441" s="24" t="str">
        <x:v>임은희</x:v>
      </x:c>
      <x:c r="F3441" s="24" t="str">
        <x:v>2025-11</x:v>
      </x:c>
      <x:c r="G3441" s="30" t="n">
        <x:v>45971</x:v>
      </x:c>
      <x:c r="H3441" s="32" t="n">
        <x:v>529000</x:v>
      </x:c>
      <x:c r="I3441" s="32" t="n">
        <x:v>529000</x:v>
      </x:c>
      <x:c r="J3441" s="32" t="n">
        <x:v>0</x:v>
      </x:c>
      <x:c r="K3441" s="30" t="n">
        <x:v>45971</x:v>
      </x:c>
      <x:c r="L3441" s="24" t="str">
        <x:v>자동</x:v>
      </x:c>
      <x:c r="M3441" s="31" t="n">
        <x:f>IF(AND(N3441="미수",G3441&lt;&gt;"",TODAY()&gt;G3441),TODAY()-G3441,0)</x:f>
        <x:v>0</x:v>
      </x:c>
      <x:c r="N3441" s="24" t="str">
        <x:f>IF(J3441&gt;0,"미수",IF(AND(H3441&gt;0,I3441&gt;=H3441),"완납","미확인"))</x:f>
        <x:v>완납</x:v>
      </x:c>
      <x:c r="O3441" s="31" t="n">
        <x:v>47</x:v>
      </x:c>
    </x:row>
    <x:row r="3442" ht="17.25" customHeight="1">
      <x:c r="A3442" s="24" t="str">
        <x:v>PR-B-95서4126-202510</x:v>
      </x:c>
      <x:c r="B3442" s="24" t="str">
        <x:v>프라임구독</x:v>
      </x:c>
      <x:c r="C3442" s="24" t="str">
        <x:v>PR-C-95서4126-1-20231128-212</x:v>
      </x:c>
      <x:c r="D3442" s="24" t="str">
        <x:v>95서4126</x:v>
      </x:c>
      <x:c r="E3442" s="24" t="str">
        <x:v>임은희</x:v>
      </x:c>
      <x:c r="F3442" s="24" t="str">
        <x:v>2025-10</x:v>
      </x:c>
      <x:c r="G3442" s="30" t="n">
        <x:v>45940</x:v>
      </x:c>
      <x:c r="H3442" s="32" t="n">
        <x:v>529000</x:v>
      </x:c>
      <x:c r="I3442" s="32" t="n">
        <x:v>529000</x:v>
      </x:c>
      <x:c r="J3442" s="32" t="n">
        <x:v>0</x:v>
      </x:c>
      <x:c r="K3442" s="30" t="n">
        <x:v>45940</x:v>
      </x:c>
      <x:c r="L3442" s="24" t="str">
        <x:v>자동</x:v>
      </x:c>
      <x:c r="M3442" s="31" t="n">
        <x:f>IF(AND(N3442="미수",G3442&lt;&gt;"",TODAY()&gt;G3442),TODAY()-G3442,0)</x:f>
        <x:v>0</x:v>
      </x:c>
      <x:c r="N3442" s="24" t="str">
        <x:f>IF(J3442&gt;0,"미수",IF(AND(H3442&gt;0,I3442&gt;=H3442),"완납","미확인"))</x:f>
        <x:v>완납</x:v>
      </x:c>
      <x:c r="O3442" s="31" t="n">
        <x:v>47</x:v>
      </x:c>
    </x:row>
    <x:row r="3443" ht="17.25" customHeight="1">
      <x:c r="A3443" s="24" t="str">
        <x:v>PR-B-95서4126-202509</x:v>
      </x:c>
      <x:c r="B3443" s="24" t="str">
        <x:v>프라임구독</x:v>
      </x:c>
      <x:c r="C3443" s="24" t="str">
        <x:v>PR-C-95서4126-1-20231128-212</x:v>
      </x:c>
      <x:c r="D3443" s="24" t="str">
        <x:v>95서4126</x:v>
      </x:c>
      <x:c r="E3443" s="24" t="str">
        <x:v>임은희</x:v>
      </x:c>
      <x:c r="F3443" s="24" t="str">
        <x:v>2025-09</x:v>
      </x:c>
      <x:c r="G3443" s="30" t="n">
        <x:v>45910</x:v>
      </x:c>
      <x:c r="H3443" s="32" t="n">
        <x:v>529000</x:v>
      </x:c>
      <x:c r="I3443" s="32" t="n">
        <x:v>529000</x:v>
      </x:c>
      <x:c r="J3443" s="32" t="n">
        <x:v>0</x:v>
      </x:c>
      <x:c r="K3443" s="30" t="n">
        <x:v>45910</x:v>
      </x:c>
      <x:c r="L3443" s="24" t="str">
        <x:v>자동</x:v>
      </x:c>
      <x:c r="M3443" s="31" t="n">
        <x:f>IF(AND(N3443="미수",G3443&lt;&gt;"",TODAY()&gt;G3443),TODAY()-G3443,0)</x:f>
        <x:v>0</x:v>
      </x:c>
      <x:c r="N3443" s="24" t="str">
        <x:f>IF(J3443&gt;0,"미수",IF(AND(H3443&gt;0,I3443&gt;=H3443),"완납","미확인"))</x:f>
        <x:v>완납</x:v>
      </x:c>
      <x:c r="O3443" s="31" t="n">
        <x:v>47</x:v>
      </x:c>
    </x:row>
    <x:row r="3444" ht="17.25" customHeight="1">
      <x:c r="A3444" s="24" t="str">
        <x:v>PR-B-95서4126-202508</x:v>
      </x:c>
      <x:c r="B3444" s="24" t="str">
        <x:v>프라임구독</x:v>
      </x:c>
      <x:c r="C3444" s="24" t="str">
        <x:v>PR-C-95서4126-1-20231128-212</x:v>
      </x:c>
      <x:c r="D3444" s="24" t="str">
        <x:v>95서4126</x:v>
      </x:c>
      <x:c r="E3444" s="24" t="str">
        <x:v>임은희</x:v>
      </x:c>
      <x:c r="F3444" s="24" t="str">
        <x:v>2025-08</x:v>
      </x:c>
      <x:c r="G3444" s="30" t="n">
        <x:v>45879</x:v>
      </x:c>
      <x:c r="H3444" s="32" t="n">
        <x:v>529000</x:v>
      </x:c>
      <x:c r="I3444" s="32" t="n">
        <x:v>529000</x:v>
      </x:c>
      <x:c r="J3444" s="32" t="n">
        <x:v>0</x:v>
      </x:c>
      <x:c r="K3444" s="30" t="n">
        <x:v>45880</x:v>
      </x:c>
      <x:c r="L3444" s="24" t="str">
        <x:v>자동</x:v>
      </x:c>
      <x:c r="M3444" s="31" t="n">
        <x:f>IF(AND(N3444="미수",G3444&lt;&gt;"",TODAY()&gt;G3444),TODAY()-G3444,0)</x:f>
        <x:v>0</x:v>
      </x:c>
      <x:c r="N3444" s="24" t="str">
        <x:f>IF(J3444&gt;0,"미수",IF(AND(H3444&gt;0,I3444&gt;=H3444),"완납","미확인"))</x:f>
        <x:v>완납</x:v>
      </x:c>
      <x:c r="O3444" s="31" t="n">
        <x:v>47</x:v>
      </x:c>
    </x:row>
    <x:row r="3445" ht="17.25" customHeight="1">
      <x:c r="A3445" s="24" t="str">
        <x:v>PR-B-95서4126-202507</x:v>
      </x:c>
      <x:c r="B3445" s="24" t="str">
        <x:v>프라임구독</x:v>
      </x:c>
      <x:c r="C3445" s="24" t="str">
        <x:v>PR-C-95서4126-1-20231128-212</x:v>
      </x:c>
      <x:c r="D3445" s="24" t="str">
        <x:v>95서4126</x:v>
      </x:c>
      <x:c r="E3445" s="24" t="str">
        <x:v>임은희</x:v>
      </x:c>
      <x:c r="F3445" s="24" t="str">
        <x:v>2025-07</x:v>
      </x:c>
      <x:c r="G3445" s="30" t="n">
        <x:v>45848</x:v>
      </x:c>
      <x:c r="H3445" s="32" t="n">
        <x:v>529000</x:v>
      </x:c>
      <x:c r="I3445" s="32" t="n">
        <x:v>529000</x:v>
      </x:c>
      <x:c r="J3445" s="32" t="n">
        <x:v>0</x:v>
      </x:c>
      <x:c r="K3445" s="30" t="n">
        <x:v>45848</x:v>
      </x:c>
      <x:c r="L3445" s="24" t="str">
        <x:v>자동</x:v>
      </x:c>
      <x:c r="M3445" s="31" t="n">
        <x:f>IF(AND(N3445="미수",G3445&lt;&gt;"",TODAY()&gt;G3445),TODAY()-G3445,0)</x:f>
        <x:v>0</x:v>
      </x:c>
      <x:c r="N3445" s="24" t="str">
        <x:f>IF(J3445&gt;0,"미수",IF(AND(H3445&gt;0,I3445&gt;=H3445),"완납","미확인"))</x:f>
        <x:v>완납</x:v>
      </x:c>
      <x:c r="O3445" s="31" t="n">
        <x:v>47</x:v>
      </x:c>
    </x:row>
    <x:row r="3446" ht="17.25" customHeight="1">
      <x:c r="A3446" s="24" t="str">
        <x:v>PR-B-95서4126-202506</x:v>
      </x:c>
      <x:c r="B3446" s="24" t="str">
        <x:v>프라임구독</x:v>
      </x:c>
      <x:c r="C3446" s="24" t="str">
        <x:v>PR-C-95서4126-1-20231128-212</x:v>
      </x:c>
      <x:c r="D3446" s="24" t="str">
        <x:v>95서4126</x:v>
      </x:c>
      <x:c r="E3446" s="24" t="str">
        <x:v>임은희</x:v>
      </x:c>
      <x:c r="F3446" s="24" t="str">
        <x:v>2025-06</x:v>
      </x:c>
      <x:c r="G3446" s="30" t="n">
        <x:v>45818</x:v>
      </x:c>
      <x:c r="H3446" s="32" t="n">
        <x:v>529000</x:v>
      </x:c>
      <x:c r="I3446" s="32" t="n">
        <x:v>529000</x:v>
      </x:c>
      <x:c r="J3446" s="32" t="n">
        <x:v>0</x:v>
      </x:c>
      <x:c r="K3446" s="30" t="n">
        <x:v>45818</x:v>
      </x:c>
      <x:c r="L3446" s="24" t="str">
        <x:v>자동</x:v>
      </x:c>
      <x:c r="M3446" s="31" t="n">
        <x:f>IF(AND(N3446="미수",G3446&lt;&gt;"",TODAY()&gt;G3446),TODAY()-G3446,0)</x:f>
        <x:v>0</x:v>
      </x:c>
      <x:c r="N3446" s="24" t="str">
        <x:f>IF(J3446&gt;0,"미수",IF(AND(H3446&gt;0,I3446&gt;=H3446),"완납","미확인"))</x:f>
        <x:v>완납</x:v>
      </x:c>
      <x:c r="O3446" s="31" t="n">
        <x:v>47</x:v>
      </x:c>
    </x:row>
    <x:row r="3447" ht="17.25" customHeight="1">
      <x:c r="A3447" s="24" t="str">
        <x:v>PR-B-95서4126-202505</x:v>
      </x:c>
      <x:c r="B3447" s="24" t="str">
        <x:v>프라임구독</x:v>
      </x:c>
      <x:c r="C3447" s="24" t="str">
        <x:v>PR-C-95서4126-1-20231128-212</x:v>
      </x:c>
      <x:c r="D3447" s="24" t="str">
        <x:v>95서4126</x:v>
      </x:c>
      <x:c r="E3447" s="24" t="str">
        <x:v>임은희</x:v>
      </x:c>
      <x:c r="F3447" s="24" t="str">
        <x:v>2025-05</x:v>
      </x:c>
      <x:c r="G3447" s="30" t="n">
        <x:v>45787</x:v>
      </x:c>
      <x:c r="H3447" s="32" t="n">
        <x:v>529000</x:v>
      </x:c>
      <x:c r="I3447" s="32" t="n">
        <x:v>529000</x:v>
      </x:c>
      <x:c r="J3447" s="32" t="n">
        <x:v>0</x:v>
      </x:c>
      <x:c r="K3447" s="30" t="n">
        <x:v>45789</x:v>
      </x:c>
      <x:c r="L3447" s="24" t="str">
        <x:v>자동</x:v>
      </x:c>
      <x:c r="M3447" s="31" t="n">
        <x:f>IF(AND(N3447="미수",G3447&lt;&gt;"",TODAY()&gt;G3447),TODAY()-G3447,0)</x:f>
        <x:v>0</x:v>
      </x:c>
      <x:c r="N3447" s="24" t="str">
        <x:f>IF(J3447&gt;0,"미수",IF(AND(H3447&gt;0,I3447&gt;=H3447),"완납","미확인"))</x:f>
        <x:v>완납</x:v>
      </x:c>
      <x:c r="O3447" s="31" t="n">
        <x:v>47</x:v>
      </x:c>
    </x:row>
    <x:row r="3448" ht="17.25" customHeight="1">
      <x:c r="A3448" s="24" t="str">
        <x:v>PR-B-95서4126-202504</x:v>
      </x:c>
      <x:c r="B3448" s="24" t="str">
        <x:v>프라임구독</x:v>
      </x:c>
      <x:c r="C3448" s="24" t="str">
        <x:v>PR-C-95서4126-1-20231128-212</x:v>
      </x:c>
      <x:c r="D3448" s="24" t="str">
        <x:v>95서4126</x:v>
      </x:c>
      <x:c r="E3448" s="24" t="str">
        <x:v>임은희</x:v>
      </x:c>
      <x:c r="F3448" s="24" t="str">
        <x:v>2025-04</x:v>
      </x:c>
      <x:c r="G3448" s="30" t="n">
        <x:v>45757</x:v>
      </x:c>
      <x:c r="H3448" s="32" t="n">
        <x:v>529000</x:v>
      </x:c>
      <x:c r="I3448" s="32" t="n">
        <x:v>529000</x:v>
      </x:c>
      <x:c r="J3448" s="32" t="n">
        <x:v>0</x:v>
      </x:c>
      <x:c r="K3448" s="30" t="n">
        <x:v>45757</x:v>
      </x:c>
      <x:c r="L3448" s="24" t="str">
        <x:v>자동</x:v>
      </x:c>
      <x:c r="M3448" s="31" t="n">
        <x:f>IF(AND(N3448="미수",G3448&lt;&gt;"",TODAY()&gt;G3448),TODAY()-G3448,0)</x:f>
        <x:v>0</x:v>
      </x:c>
      <x:c r="N3448" s="24" t="str">
        <x:f>IF(J3448&gt;0,"미수",IF(AND(H3448&gt;0,I3448&gt;=H3448),"완납","미확인"))</x:f>
        <x:v>완납</x:v>
      </x:c>
      <x:c r="O3448" s="31" t="n">
        <x:v>47</x:v>
      </x:c>
    </x:row>
    <x:row r="3449" ht="17.25" customHeight="1">
      <x:c r="A3449" s="24" t="str">
        <x:v>PR-B-95서4126-202503</x:v>
      </x:c>
      <x:c r="B3449" s="24" t="str">
        <x:v>프라임구독</x:v>
      </x:c>
      <x:c r="C3449" s="24" t="str">
        <x:v>PR-C-95서4126-1-20231128-212</x:v>
      </x:c>
      <x:c r="D3449" s="24" t="str">
        <x:v>95서4126</x:v>
      </x:c>
      <x:c r="E3449" s="24" t="str">
        <x:v>임은희</x:v>
      </x:c>
      <x:c r="F3449" s="24" t="str">
        <x:v>2025-03</x:v>
      </x:c>
      <x:c r="G3449" s="30" t="n">
        <x:v>45726</x:v>
      </x:c>
      <x:c r="H3449" s="32" t="n">
        <x:v>529000</x:v>
      </x:c>
      <x:c r="I3449" s="32" t="n">
        <x:v>529000</x:v>
      </x:c>
      <x:c r="J3449" s="32" t="n">
        <x:v>0</x:v>
      </x:c>
      <x:c r="K3449" s="30" t="n">
        <x:v>45726</x:v>
      </x:c>
      <x:c r="L3449" s="24" t="str">
        <x:v>자동</x:v>
      </x:c>
      <x:c r="M3449" s="31" t="n">
        <x:f>IF(AND(N3449="미수",G3449&lt;&gt;"",TODAY()&gt;G3449),TODAY()-G3449,0)</x:f>
        <x:v>0</x:v>
      </x:c>
      <x:c r="N3449" s="24" t="str">
        <x:f>IF(J3449&gt;0,"미수",IF(AND(H3449&gt;0,I3449&gt;=H3449),"완납","미확인"))</x:f>
        <x:v>완납</x:v>
      </x:c>
      <x:c r="O3449" s="31" t="n">
        <x:v>47</x:v>
      </x:c>
    </x:row>
    <x:row r="3450" ht="17.25" customHeight="1">
      <x:c r="A3450" s="24" t="str">
        <x:v>PR-B-95서4126-202502</x:v>
      </x:c>
      <x:c r="B3450" s="24" t="str">
        <x:v>프라임구독</x:v>
      </x:c>
      <x:c r="C3450" s="24" t="str">
        <x:v>PR-C-95서4126-1-20231128-212</x:v>
      </x:c>
      <x:c r="D3450" s="24" t="str">
        <x:v>95서4126</x:v>
      </x:c>
      <x:c r="E3450" s="24" t="str">
        <x:v>임은희</x:v>
      </x:c>
      <x:c r="F3450" s="24" t="str">
        <x:v>2025-02</x:v>
      </x:c>
      <x:c r="G3450" s="30" t="n">
        <x:v>45698</x:v>
      </x:c>
      <x:c r="H3450" s="32" t="n">
        <x:v>529000</x:v>
      </x:c>
      <x:c r="I3450" s="32" t="n">
        <x:v>529000</x:v>
      </x:c>
      <x:c r="J3450" s="32" t="n">
        <x:v>0</x:v>
      </x:c>
      <x:c r="K3450" s="30" t="n">
        <x:v>45698</x:v>
      </x:c>
      <x:c r="L3450" s="24" t="str">
        <x:v>자동</x:v>
      </x:c>
      <x:c r="M3450" s="31" t="n">
        <x:f>IF(AND(N3450="미수",G3450&lt;&gt;"",TODAY()&gt;G3450),TODAY()-G3450,0)</x:f>
        <x:v>0</x:v>
      </x:c>
      <x:c r="N3450" s="24" t="str">
        <x:f>IF(J3450&gt;0,"미수",IF(AND(H3450&gt;0,I3450&gt;=H3450),"완납","미확인"))</x:f>
        <x:v>완납</x:v>
      </x:c>
      <x:c r="O3450" s="31" t="n">
        <x:v>47</x:v>
      </x:c>
    </x:row>
    <x:row r="3451" ht="17.25" customHeight="1">
      <x:c r="A3451" s="24" t="str">
        <x:v>PR-B-95서4126-202501</x:v>
      </x:c>
      <x:c r="B3451" s="24" t="str">
        <x:v>프라임구독</x:v>
      </x:c>
      <x:c r="C3451" s="24" t="str">
        <x:v>PR-C-95서4126-1-20231128-212</x:v>
      </x:c>
      <x:c r="D3451" s="24" t="str">
        <x:v>95서4126</x:v>
      </x:c>
      <x:c r="E3451" s="24" t="str">
        <x:v>임은희</x:v>
      </x:c>
      <x:c r="F3451" s="24" t="str">
        <x:v>2025-01</x:v>
      </x:c>
      <x:c r="G3451" s="30" t="n">
        <x:v>45667</x:v>
      </x:c>
      <x:c r="H3451" s="32" t="n">
        <x:v>529000</x:v>
      </x:c>
      <x:c r="I3451" s="32" t="n">
        <x:v>529000</x:v>
      </x:c>
      <x:c r="J3451" s="32" t="n">
        <x:v>0</x:v>
      </x:c>
      <x:c r="K3451" s="30" t="n">
        <x:v>45667</x:v>
      </x:c>
      <x:c r="L3451" s="24" t="str">
        <x:v>자동</x:v>
      </x:c>
      <x:c r="M3451" s="31" t="n">
        <x:f>IF(AND(N3451="미수",G3451&lt;&gt;"",TODAY()&gt;G3451),TODAY()-G3451,0)</x:f>
        <x:v>0</x:v>
      </x:c>
      <x:c r="N3451" s="24" t="str">
        <x:f>IF(J3451&gt;0,"미수",IF(AND(H3451&gt;0,I3451&gt;=H3451),"완납","미확인"))</x:f>
        <x:v>완납</x:v>
      </x:c>
      <x:c r="O3451" s="31" t="n">
        <x:v>47</x:v>
      </x:c>
    </x:row>
    <x:row r="3452" ht="17.25" customHeight="1">
      <x:c r="A3452" s="24" t="str">
        <x:v>PR-B-95서4126-202412</x:v>
      </x:c>
      <x:c r="B3452" s="24" t="str">
        <x:v>프라임구독</x:v>
      </x:c>
      <x:c r="C3452" s="24" t="str">
        <x:v>PR-C-95서4126-1-20231128-212</x:v>
      </x:c>
      <x:c r="D3452" s="24" t="str">
        <x:v>95서4126</x:v>
      </x:c>
      <x:c r="E3452" s="24" t="str">
        <x:v>임은희</x:v>
      </x:c>
      <x:c r="F3452" s="24" t="str">
        <x:v>2024-12</x:v>
      </x:c>
      <x:c r="G3452" s="30" t="n">
        <x:v>45636</x:v>
      </x:c>
      <x:c r="H3452" s="32" t="n">
        <x:v>529000</x:v>
      </x:c>
      <x:c r="I3452" s="32" t="n">
        <x:v>529000</x:v>
      </x:c>
      <x:c r="J3452" s="32" t="n">
        <x:v>0</x:v>
      </x:c>
      <x:c r="K3452" s="30" t="n">
        <x:v>45636</x:v>
      </x:c>
      <x:c r="L3452" s="24" t="str">
        <x:v>자동</x:v>
      </x:c>
      <x:c r="M3452" s="31" t="n">
        <x:f>IF(AND(N3452="미수",G3452&lt;&gt;"",TODAY()&gt;G3452),TODAY()-G3452,0)</x:f>
        <x:v>0</x:v>
      </x:c>
      <x:c r="N3452" s="24" t="str">
        <x:f>IF(J3452&gt;0,"미수",IF(AND(H3452&gt;0,I3452&gt;=H3452),"완납","미확인"))</x:f>
        <x:v>완납</x:v>
      </x:c>
      <x:c r="O3452" s="31" t="n">
        <x:v>47</x:v>
      </x:c>
    </x:row>
    <x:row r="3453" ht="17.25" customHeight="1">
      <x:c r="A3453" s="24" t="str">
        <x:v>PR-B-95서4126-202411</x:v>
      </x:c>
      <x:c r="B3453" s="24" t="str">
        <x:v>프라임구독</x:v>
      </x:c>
      <x:c r="C3453" s="24" t="str">
        <x:v>PR-C-95서4126-1-20231128-212</x:v>
      </x:c>
      <x:c r="D3453" s="24" t="str">
        <x:v>95서4126</x:v>
      </x:c>
      <x:c r="E3453" s="24" t="str">
        <x:v>임은희</x:v>
      </x:c>
      <x:c r="F3453" s="24" t="str">
        <x:v>2024-11</x:v>
      </x:c>
      <x:c r="G3453" s="30" t="n">
        <x:v>45606</x:v>
      </x:c>
      <x:c r="H3453" s="32" t="n">
        <x:v>529000</x:v>
      </x:c>
      <x:c r="I3453" s="32" t="n">
        <x:v>529000</x:v>
      </x:c>
      <x:c r="J3453" s="32" t="n">
        <x:v>0</x:v>
      </x:c>
      <x:c r="K3453" s="30" t="n">
        <x:v>45606</x:v>
      </x:c>
      <x:c r="L3453" s="24" t="str">
        <x:v>자동</x:v>
      </x:c>
      <x:c r="M3453" s="31" t="n">
        <x:f>IF(AND(N3453="미수",G3453&lt;&gt;"",TODAY()&gt;G3453),TODAY()-G3453,0)</x:f>
        <x:v>0</x:v>
      </x:c>
      <x:c r="N3453" s="24" t="str">
        <x:f>IF(J3453&gt;0,"미수",IF(AND(H3453&gt;0,I3453&gt;=H3453),"완납","미확인"))</x:f>
        <x:v>완납</x:v>
      </x:c>
      <x:c r="O3453" s="31" t="n">
        <x:v>47</x:v>
      </x:c>
    </x:row>
    <x:row r="3454" ht="17.25" customHeight="1">
      <x:c r="A3454" s="24" t="str">
        <x:v>PR-B-95서4126-202410</x:v>
      </x:c>
      <x:c r="B3454" s="24" t="str">
        <x:v>프라임구독</x:v>
      </x:c>
      <x:c r="C3454" s="24" t="str">
        <x:v>PR-C-95서4126-1-20231128-212</x:v>
      </x:c>
      <x:c r="D3454" s="24" t="str">
        <x:v>95서4126</x:v>
      </x:c>
      <x:c r="E3454" s="24" t="str">
        <x:v>임은희</x:v>
      </x:c>
      <x:c r="F3454" s="24" t="str">
        <x:v>2024-10</x:v>
      </x:c>
      <x:c r="G3454" s="30" t="n">
        <x:v>45575</x:v>
      </x:c>
      <x:c r="H3454" s="32" t="n">
        <x:v>529000</x:v>
      </x:c>
      <x:c r="I3454" s="32" t="n">
        <x:v>529000</x:v>
      </x:c>
      <x:c r="J3454" s="32" t="n">
        <x:v>0</x:v>
      </x:c>
      <x:c r="K3454" s="30" t="n">
        <x:v>45575</x:v>
      </x:c>
      <x:c r="L3454" s="24" t="str">
        <x:v>자동</x:v>
      </x:c>
      <x:c r="M3454" s="31" t="n">
        <x:f>IF(AND(N3454="미수",G3454&lt;&gt;"",TODAY()&gt;G3454),TODAY()-G3454,0)</x:f>
        <x:v>0</x:v>
      </x:c>
      <x:c r="N3454" s="24" t="str">
        <x:f>IF(J3454&gt;0,"미수",IF(AND(H3454&gt;0,I3454&gt;=H3454),"완납","미확인"))</x:f>
        <x:v>완납</x:v>
      </x:c>
      <x:c r="O3454" s="31" t="n">
        <x:v>47</x:v>
      </x:c>
    </x:row>
    <x:row r="3455" ht="17.25" customHeight="1">
      <x:c r="A3455" s="24" t="str">
        <x:v>PR-B-95서4126-202409</x:v>
      </x:c>
      <x:c r="B3455" s="24" t="str">
        <x:v>프라임구독</x:v>
      </x:c>
      <x:c r="C3455" s="24" t="str">
        <x:v>PR-C-95서4126-1-20231128-212</x:v>
      </x:c>
      <x:c r="D3455" s="24" t="str">
        <x:v>95서4126</x:v>
      </x:c>
      <x:c r="E3455" s="24" t="str">
        <x:v>임은희</x:v>
      </x:c>
      <x:c r="F3455" s="24" t="str">
        <x:v>2024-09</x:v>
      </x:c>
      <x:c r="G3455" s="30" t="n">
        <x:v>45545</x:v>
      </x:c>
      <x:c r="H3455" s="32" t="n">
        <x:v>529000</x:v>
      </x:c>
      <x:c r="I3455" s="32" t="n">
        <x:v>529000</x:v>
      </x:c>
      <x:c r="J3455" s="32" t="n">
        <x:v>0</x:v>
      </x:c>
      <x:c r="K3455" s="30" t="n">
        <x:v>45545</x:v>
      </x:c>
      <x:c r="L3455" s="24" t="str">
        <x:v>자동</x:v>
      </x:c>
      <x:c r="M3455" s="31" t="n">
        <x:f>IF(AND(N3455="미수",G3455&lt;&gt;"",TODAY()&gt;G3455),TODAY()-G3455,0)</x:f>
        <x:v>0</x:v>
      </x:c>
      <x:c r="N3455" s="24" t="str">
        <x:f>IF(J3455&gt;0,"미수",IF(AND(H3455&gt;0,I3455&gt;=H3455),"완납","미확인"))</x:f>
        <x:v>완납</x:v>
      </x:c>
      <x:c r="O3455" s="31" t="n">
        <x:v>47</x:v>
      </x:c>
    </x:row>
    <x:row r="3456" ht="17.25" customHeight="1">
      <x:c r="A3456" s="24" t="str">
        <x:v>PR-B-95서4126-202408</x:v>
      </x:c>
      <x:c r="B3456" s="24" t="str">
        <x:v>프라임구독</x:v>
      </x:c>
      <x:c r="C3456" s="24" t="str">
        <x:v>PR-C-95서4126-1-20231128-212</x:v>
      </x:c>
      <x:c r="D3456" s="24" t="str">
        <x:v>95서4126</x:v>
      </x:c>
      <x:c r="E3456" s="24" t="str">
        <x:v>임은희</x:v>
      </x:c>
      <x:c r="F3456" s="24" t="str">
        <x:v>2024-08</x:v>
      </x:c>
      <x:c r="G3456" s="30" t="n">
        <x:v>45514</x:v>
      </x:c>
      <x:c r="H3456" s="32" t="n">
        <x:v>529000</x:v>
      </x:c>
      <x:c r="I3456" s="32" t="n">
        <x:v>529000</x:v>
      </x:c>
      <x:c r="J3456" s="32" t="n">
        <x:v>0</x:v>
      </x:c>
      <x:c r="K3456" s="30" t="n">
        <x:v>45514</x:v>
      </x:c>
      <x:c r="L3456" s="24" t="str">
        <x:v>자동</x:v>
      </x:c>
      <x:c r="M3456" s="31" t="n">
        <x:f>IF(AND(N3456="미수",G3456&lt;&gt;"",TODAY()&gt;G3456),TODAY()-G3456,0)</x:f>
        <x:v>0</x:v>
      </x:c>
      <x:c r="N3456" s="24" t="str">
        <x:f>IF(J3456&gt;0,"미수",IF(AND(H3456&gt;0,I3456&gt;=H3456),"완납","미확인"))</x:f>
        <x:v>완납</x:v>
      </x:c>
      <x:c r="O3456" s="31" t="n">
        <x:v>47</x:v>
      </x:c>
    </x:row>
    <x:row r="3457" ht="17.25" customHeight="1">
      <x:c r="A3457" s="24" t="str">
        <x:v>PR-B-95서4126-202407</x:v>
      </x:c>
      <x:c r="B3457" s="24" t="str">
        <x:v>프라임구독</x:v>
      </x:c>
      <x:c r="C3457" s="24" t="str">
        <x:v>PR-C-95서4126-1-20231128-212</x:v>
      </x:c>
      <x:c r="D3457" s="24" t="str">
        <x:v>95서4126</x:v>
      </x:c>
      <x:c r="E3457" s="24" t="str">
        <x:v>임은희</x:v>
      </x:c>
      <x:c r="F3457" s="24" t="str">
        <x:v>2024-07</x:v>
      </x:c>
      <x:c r="G3457" s="30" t="n">
        <x:v>45483</x:v>
      </x:c>
      <x:c r="H3457" s="32" t="n">
        <x:v>529000</x:v>
      </x:c>
      <x:c r="I3457" s="32" t="n">
        <x:v>529000</x:v>
      </x:c>
      <x:c r="J3457" s="32" t="n">
        <x:v>0</x:v>
      </x:c>
      <x:c r="K3457" s="30" t="n">
        <x:v>45483</x:v>
      </x:c>
      <x:c r="L3457" s="24" t="str">
        <x:v>자동</x:v>
      </x:c>
      <x:c r="M3457" s="31" t="n">
        <x:f>IF(AND(N3457="미수",G3457&lt;&gt;"",TODAY()&gt;G3457),TODAY()-G3457,0)</x:f>
        <x:v>0</x:v>
      </x:c>
      <x:c r="N3457" s="24" t="str">
        <x:f>IF(J3457&gt;0,"미수",IF(AND(H3457&gt;0,I3457&gt;=H3457),"완납","미확인"))</x:f>
        <x:v>완납</x:v>
      </x:c>
      <x:c r="O3457" s="31" t="n">
        <x:v>47</x:v>
      </x:c>
    </x:row>
    <x:row r="3458" ht="17.25" customHeight="1">
      <x:c r="A3458" s="24" t="str">
        <x:v>PR-B-95서4126-202406</x:v>
      </x:c>
      <x:c r="B3458" s="24" t="str">
        <x:v>프라임구독</x:v>
      </x:c>
      <x:c r="C3458" s="24" t="str">
        <x:v>PR-C-95서4126-1-20231128-212</x:v>
      </x:c>
      <x:c r="D3458" s="24" t="str">
        <x:v>95서4126</x:v>
      </x:c>
      <x:c r="E3458" s="24" t="str">
        <x:v>임은희</x:v>
      </x:c>
      <x:c r="F3458" s="24" t="str">
        <x:v>2024-06</x:v>
      </x:c>
      <x:c r="G3458" s="30" t="n">
        <x:v>45453</x:v>
      </x:c>
      <x:c r="H3458" s="32" t="n">
        <x:v>529000</x:v>
      </x:c>
      <x:c r="I3458" s="32" t="n">
        <x:v>529000</x:v>
      </x:c>
      <x:c r="J3458" s="32" t="n">
        <x:v>0</x:v>
      </x:c>
      <x:c r="K3458" s="30" t="n">
        <x:v>45453</x:v>
      </x:c>
      <x:c r="L3458" s="24" t="str"/>
      <x:c r="M3458" s="31" t="n">
        <x:f>IF(AND(N3458="미수",G3458&lt;&gt;"",TODAY()&gt;G3458),TODAY()-G3458,0)</x:f>
        <x:v>0</x:v>
      </x:c>
      <x:c r="N3458" s="24" t="str">
        <x:f>IF(J3458&gt;0,"미수",IF(AND(H3458&gt;0,I3458&gt;=H3458),"완납","미확인"))</x:f>
        <x:v>완납</x:v>
      </x:c>
      <x:c r="O3458" s="31" t="n">
        <x:v>47</x:v>
      </x:c>
    </x:row>
    <x:row r="3459" ht="17.25" customHeight="1">
      <x:c r="A3459" s="24" t="str">
        <x:v>PR-B-95서4126-202405</x:v>
      </x:c>
      <x:c r="B3459" s="24" t="str">
        <x:v>프라임구독</x:v>
      </x:c>
      <x:c r="C3459" s="24" t="str">
        <x:v>PR-C-95서4126-1-20231128-212</x:v>
      </x:c>
      <x:c r="D3459" s="24" t="str">
        <x:v>95서4126</x:v>
      </x:c>
      <x:c r="E3459" s="24" t="str">
        <x:v>임은희</x:v>
      </x:c>
      <x:c r="F3459" s="24" t="str">
        <x:v>2024-05</x:v>
      </x:c>
      <x:c r="G3459" s="30" t="n">
        <x:v>45422</x:v>
      </x:c>
      <x:c r="H3459" s="32" t="n">
        <x:v>529000</x:v>
      </x:c>
      <x:c r="I3459" s="32" t="n">
        <x:v>529000</x:v>
      </x:c>
      <x:c r="J3459" s="32" t="n">
        <x:v>0</x:v>
      </x:c>
      <x:c r="K3459" s="30" t="n">
        <x:v>45422</x:v>
      </x:c>
      <x:c r="L3459" s="24" t="str"/>
      <x:c r="M3459" s="31" t="n">
        <x:f>IF(AND(N3459="미수",G3459&lt;&gt;"",TODAY()&gt;G3459),TODAY()-G3459,0)</x:f>
        <x:v>0</x:v>
      </x:c>
      <x:c r="N3459" s="24" t="str">
        <x:f>IF(J3459&gt;0,"미수",IF(AND(H3459&gt;0,I3459&gt;=H3459),"완납","미확인"))</x:f>
        <x:v>완납</x:v>
      </x:c>
      <x:c r="O3459" s="31" t="n">
        <x:v>47</x:v>
      </x:c>
    </x:row>
  </x:sheetData>
  <x:conditionalFormatting sqref="N2:N3459">
    <x:cfRule type="containsText" dxfId="6" priority="1" operator="containsText" text="미수"/>
  </x:conditionalFormatting>
  <x:pageMargins left="0.7" right="0.7" top="0.75" bottom="0.75" header="0.3" footer="0.3"/>
  <x:tableParts count="1">
    <x:tablePart xmlns:r="http://schemas.openxmlformats.org/officeDocument/2006/relationships" r:id="Rf954316f250d41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130000114440918" hidden="0" customWidth="1"/>
    <x:col min="3" max="3" width="11.25" hidden="0" customWidth="1"/>
    <x:col min="4" max="4" width="11.25" hidden="0" customWidth="1"/>
    <x:col min="5" max="5" width="16.25" hidden="0" customWidth="1"/>
    <x:col min="6" max="6" width="11.25" hidden="0" customWidth="1"/>
    <x:col min="7" max="7" width="11.25" hidden="0" customWidth="1"/>
    <x:col min="8" max="8" width="12.5" hidden="0" customWidth="1"/>
    <x:col min="9" max="9" width="12.5" hidden="0" customWidth="1"/>
    <x:col min="10" max="10" width="15" hidden="0" customWidth="1"/>
    <x:col min="11" max="11" width="15" hidden="0" customWidth="1"/>
    <x:col min="12" max="12" width="11.880000114440918" hidden="0" customWidth="1"/>
    <x:col min="13" max="13" width="13.75" hidden="0" customWidth="1"/>
    <x:col min="14" max="14" width="22.5" hidden="0" customWidth="1"/>
    <x:col min="15" max="15" width="11.25" hidden="0" customWidth="1"/>
    <x:col min="16" max="16" width="25" hidden="0" customWidth="1"/>
  </x:cols>
  <x:sheetData>
    <x:row r="1" ht="25.5" customHeight="1">
      <x:c r="A1" s="29" t="str">
        <x:v>보험ID</x:v>
      </x:c>
      <x:c r="B1" s="29" t="str">
        <x:v>법인</x:v>
      </x:c>
      <x:c r="C1" s="29" t="str">
        <x:v>차량번호</x:v>
      </x:c>
      <x:c r="D1" s="29" t="str">
        <x:v>보험사</x:v>
      </x:c>
      <x:c r="E1" s="29" t="str">
        <x:v>증권번호</x:v>
      </x:c>
      <x:c r="F1" s="29" t="str">
        <x:v>시작일</x:v>
      </x:c>
      <x:c r="G1" s="29" t="str">
        <x:v>만기일</x:v>
      </x:c>
      <x:c r="H1" s="29" t="str">
        <x:v>보험최저연령</x:v>
      </x:c>
      <x:c r="I1" s="29" t="str">
        <x:v>계약최저연령</x:v>
      </x:c>
      <x:c r="J1" s="29" t="str">
        <x:v>연령점검</x:v>
      </x:c>
      <x:c r="K1" s="29" t="str">
        <x:v>가입상태</x:v>
      </x:c>
      <x:c r="L1" s="29" t="str">
        <x:v>계약고객</x:v>
      </x:c>
      <x:c r="M1" s="29" t="str">
        <x:v>추가운전자</x:v>
      </x:c>
      <x:c r="N1" s="29" t="str">
        <x:v>보험증빙링크</x:v>
      </x:c>
      <x:c r="O1" s="29" t="str">
        <x:v>확인상태</x:v>
      </x:c>
      <x:c r="P1" s="29" t="str">
        <x:v>비고</x:v>
      </x:c>
    </x:row>
    <x:row r="2" ht="17.25" customHeight="1">
      <x:c r="A2" s="24" t="str">
        <x:v>SW-I-16부2718</x:v>
      </x:c>
      <x:c r="B2" s="24" t="str">
        <x:v>스위치플랜</x:v>
      </x:c>
      <x:c r="C2" s="24" t="str">
        <x:v>16부2718</x:v>
      </x:c>
      <x:c r="D2" s="24" t="str">
        <x:v>DB</x:v>
      </x:c>
      <x:c r="E2" s="24" t="str"/>
      <x:c r="F2" s="30"/>
      <x:c r="G2" s="30"/>
      <x:c r="H2" s="24" t="str"/>
      <x:c r="I2" s="24" t="str">
        <x:v>개인</x:v>
      </x:c>
      <x:c r="J2" s="24" t="str">
        <x:f>IF(I2="","계약연령 미입력",IFERROR(IF(H2="","보험연령 미입력",IF(VALUE(H2)=VALUE(I2),"정상",IF(VALUE(H2)&gt;VALUE(I2),"보장 불일치","과보장 점검"))),"계약연령 형식확인"))</x:f>
        <x:v>보험연령 미입력</x:v>
      </x:c>
      <x:c r="K2" s="24" t="str">
        <x:v>보험 자료 없음</x:v>
      </x:c>
      <x:c r="L2" s="24" t="str">
        <x:v>김근하</x:v>
      </x:c>
      <x:c r="M2" s="24" t="str"/>
      <x:c r="N2" s="24" t="str"/>
      <x:c r="O2" s="24" t="str">
        <x:v>확인필요</x:v>
      </x:c>
      <x:c r="P2" s="24" t="str"/>
    </x:row>
    <x:row r="3" ht="17.25" customHeight="1">
      <x:c r="A3" s="24" t="str">
        <x:v>SW-I-181로2705</x:v>
      </x:c>
      <x:c r="B3" s="24" t="str">
        <x:v>스위치플랜</x:v>
      </x:c>
      <x:c r="C3" s="24" t="str">
        <x:v>181로2705</x:v>
      </x:c>
      <x:c r="D3" s="24" t="str">
        <x:v>DB</x:v>
      </x:c>
      <x:c r="E3" s="24" t="str"/>
      <x:c r="F3" s="30"/>
      <x:c r="G3" s="30"/>
      <x:c r="H3" s="24" t="str"/>
      <x:c r="I3" s="24" t="str">
        <x:v>26</x:v>
      </x:c>
      <x:c r="J3" s="24" t="str">
        <x:f>IF(I3="","계약연령 미입력",IFERROR(IF(H3="","보험연령 미입력",IF(VALUE(H3)=VALUE(I3),"정상",IF(VALUE(H3)&gt;VALUE(I3),"보장 불일치","과보장 점검"))),"계약연령 형식확인"))</x:f>
        <x:v>보험연령 미입력</x:v>
      </x:c>
      <x:c r="K3" s="24" t="str">
        <x:v>보험 자료 없음</x:v>
      </x:c>
      <x:c r="L3" s="24" t="str">
        <x:v>김현우</x:v>
      </x:c>
      <x:c r="M3" s="24" t="str"/>
      <x:c r="N3" s="24" t="str"/>
      <x:c r="O3" s="24" t="str">
        <x:v>확인필요</x:v>
      </x:c>
      <x:c r="P3" s="24" t="str"/>
    </x:row>
    <x:row r="4" ht="17.25" customHeight="1">
      <x:c r="A4" s="24" t="str">
        <x:v>SW-I-03머0389</x:v>
      </x:c>
      <x:c r="B4" s="24" t="str">
        <x:v>스위치플랜</x:v>
      </x:c>
      <x:c r="C4" s="24" t="str">
        <x:v>03머0389</x:v>
      </x:c>
      <x:c r="D4" s="24" t="str">
        <x:v>DB</x:v>
      </x:c>
      <x:c r="E4" s="24" t="str"/>
      <x:c r="F4" s="30"/>
      <x:c r="G4" s="30"/>
      <x:c r="H4" s="24" t="str"/>
      <x:c r="I4" s="24" t="str">
        <x:v>26</x:v>
      </x:c>
      <x:c r="J4" s="24" t="str">
        <x:f>IF(I4="","계약연령 미입력",IFERROR(IF(H4="","보험연령 미입력",IF(VALUE(H4)=VALUE(I4),"정상",IF(VALUE(H4)&gt;VALUE(I4),"보장 불일치","과보장 점검"))),"계약연령 형식확인"))</x:f>
        <x:v>보험연령 미입력</x:v>
      </x:c>
      <x:c r="K4" s="24" t="str">
        <x:v>보험 자료 없음</x:v>
      </x:c>
      <x:c r="L4" s="24" t="str">
        <x:v>고욱</x:v>
      </x:c>
      <x:c r="M4" s="24" t="str"/>
      <x:c r="N4" s="24" t="str"/>
      <x:c r="O4" s="24" t="str">
        <x:v>확인필요</x:v>
      </x:c>
      <x:c r="P4" s="24" t="str"/>
    </x:row>
    <x:row r="5" ht="17.25" customHeight="1">
      <x:c r="A5" s="24" t="str">
        <x:v>SW-I-117머4942</x:v>
      </x:c>
      <x:c r="B5" s="24" t="str">
        <x:v>스위치플랜</x:v>
      </x:c>
      <x:c r="C5" s="24" t="str">
        <x:v>117머4942</x:v>
      </x:c>
      <x:c r="D5" s="24" t="str">
        <x:v>DB</x:v>
      </x:c>
      <x:c r="E5" s="24" t="str"/>
      <x:c r="F5" s="30"/>
      <x:c r="G5" s="30"/>
      <x:c r="H5" s="24" t="str"/>
      <x:c r="I5" s="24" t="str">
        <x:v>30</x:v>
      </x:c>
      <x:c r="J5" s="24" t="str">
        <x:f>IF(I5="","계약연령 미입력",IFERROR(IF(H5="","보험연령 미입력",IF(VALUE(H5)=VALUE(I5),"정상",IF(VALUE(H5)&gt;VALUE(I5),"보장 불일치","과보장 점검"))),"계약연령 형식확인"))</x:f>
        <x:v>보험연령 미입력</x:v>
      </x:c>
      <x:c r="K5" s="24" t="str">
        <x:v>보험 자료 없음</x:v>
      </x:c>
      <x:c r="L5" s="24" t="str">
        <x:v>김지원</x:v>
      </x:c>
      <x:c r="M5" s="24" t="str"/>
      <x:c r="N5" s="24" t="str"/>
      <x:c r="O5" s="24" t="str">
        <x:v>확인필요</x:v>
      </x:c>
      <x:c r="P5" s="24" t="str"/>
    </x:row>
    <x:row r="6" ht="17.25" customHeight="1">
      <x:c r="A6" s="24" t="str">
        <x:v>SW-I-19마6497</x:v>
      </x:c>
      <x:c r="B6" s="24" t="str">
        <x:v>스위치플랜</x:v>
      </x:c>
      <x:c r="C6" s="24" t="str">
        <x:v>19마6497</x:v>
      </x:c>
      <x:c r="D6" s="24" t="str">
        <x:v>DB</x:v>
      </x:c>
      <x:c r="E6" s="24" t="str"/>
      <x:c r="F6" s="30"/>
      <x:c r="G6" s="30"/>
      <x:c r="H6" s="24" t="str"/>
      <x:c r="I6" s="24" t="str">
        <x:v>35</x:v>
      </x:c>
      <x:c r="J6" s="24" t="str">
        <x:f>IF(I6="","계약연령 미입력",IFERROR(IF(H6="","보험연령 미입력",IF(VALUE(H6)=VALUE(I6),"정상",IF(VALUE(H6)&gt;VALUE(I6),"보장 불일치","과보장 점검"))),"계약연령 형식확인"))</x:f>
        <x:v>보험연령 미입력</x:v>
      </x:c>
      <x:c r="K6" s="24" t="str">
        <x:v>보험 자료 없음</x:v>
      </x:c>
      <x:c r="L6" s="24" t="str">
        <x:v>강권식</x:v>
      </x:c>
      <x:c r="M6" s="24" t="str"/>
      <x:c r="N6" s="24" t="str"/>
      <x:c r="O6" s="24" t="str">
        <x:v>확인필요</x:v>
      </x:c>
      <x:c r="P6" s="24" t="str"/>
    </x:row>
    <x:row r="7" ht="17.25" customHeight="1">
      <x:c r="A7" s="24" t="str">
        <x:v>SW-I-62조4444</x:v>
      </x:c>
      <x:c r="B7" s="24" t="str">
        <x:v>스위치플랜</x:v>
      </x:c>
      <x:c r="C7" s="24" t="str">
        <x:v>62조4444</x:v>
      </x:c>
      <x:c r="D7" s="24" t="str">
        <x:v>DB</x:v>
      </x:c>
      <x:c r="E7" s="24" t="str"/>
      <x:c r="F7" s="30"/>
      <x:c r="G7" s="30"/>
      <x:c r="H7" s="24" t="str"/>
      <x:c r="I7" s="24" t="str">
        <x:v>35</x:v>
      </x:c>
      <x:c r="J7" s="24" t="str">
        <x:f>IF(I7="","계약연령 미입력",IFERROR(IF(H7="","보험연령 미입력",IF(VALUE(H7)=VALUE(I7),"정상",IF(VALUE(H7)&gt;VALUE(I7),"보장 불일치","과보장 점검"))),"계약연령 형식확인"))</x:f>
        <x:v>보험연령 미입력</x:v>
      </x:c>
      <x:c r="K7" s="24" t="str">
        <x:v>보험 자료 없음</x:v>
      </x:c>
      <x:c r="L7" s="24" t="str">
        <x:v>이경석</x:v>
      </x:c>
      <x:c r="M7" s="24" t="str"/>
      <x:c r="N7" s="24" t="str"/>
      <x:c r="O7" s="24" t="str">
        <x:v>확인필요</x:v>
      </x:c>
      <x:c r="P7" s="24" t="str"/>
    </x:row>
    <x:row r="8" ht="17.25" customHeight="1">
      <x:c r="A8" s="24" t="str">
        <x:v>SW-I-41구1614</x:v>
      </x:c>
      <x:c r="B8" s="24" t="str">
        <x:v>스위치플랜</x:v>
      </x:c>
      <x:c r="C8" s="24" t="str">
        <x:v>41구1614</x:v>
      </x:c>
      <x:c r="D8" s="24" t="str">
        <x:v>DB</x:v>
      </x:c>
      <x:c r="E8" s="24" t="str"/>
      <x:c r="F8" s="30"/>
      <x:c r="G8" s="30"/>
      <x:c r="H8" s="24" t="str"/>
      <x:c r="I8" s="24" t="str">
        <x:v>30</x:v>
      </x:c>
      <x:c r="J8" s="24" t="str">
        <x:f>IF(I8="","계약연령 미입력",IFERROR(IF(H8="","보험연령 미입력",IF(VALUE(H8)=VALUE(I8),"정상",IF(VALUE(H8)&gt;VALUE(I8),"보장 불일치","과보장 점검"))),"계약연령 형식확인"))</x:f>
        <x:v>보험연령 미입력</x:v>
      </x:c>
      <x:c r="K8" s="24" t="str">
        <x:v>보험 자료 없음</x:v>
      </x:c>
      <x:c r="L8" s="24" t="str">
        <x:v>조해인</x:v>
      </x:c>
      <x:c r="M8" s="24" t="str"/>
      <x:c r="N8" s="24" t="str"/>
      <x:c r="O8" s="24" t="str">
        <x:v>확인필요</x:v>
      </x:c>
      <x:c r="P8" s="24" t="str"/>
    </x:row>
    <x:row r="9" ht="17.25" customHeight="1">
      <x:c r="A9" s="24" t="str">
        <x:v>SW-I-52수7832</x:v>
      </x:c>
      <x:c r="B9" s="24" t="str">
        <x:v>스위치플랜</x:v>
      </x:c>
      <x:c r="C9" s="24" t="str">
        <x:v>52수7832</x:v>
      </x:c>
      <x:c r="D9" s="24" t="str">
        <x:v>삼성</x:v>
      </x:c>
      <x:c r="E9" s="24" t="str"/>
      <x:c r="F9" s="30"/>
      <x:c r="G9" s="30"/>
      <x:c r="H9" s="24" t="str"/>
      <x:c r="I9" s="24" t="str">
        <x:v>개인</x:v>
      </x:c>
      <x:c r="J9" s="24" t="str">
        <x:f>IF(I9="","계약연령 미입력",IFERROR(IF(H9="","보험연령 미입력",IF(VALUE(H9)=VALUE(I9),"정상",IF(VALUE(H9)&gt;VALUE(I9),"보장 불일치","과보장 점검"))),"계약연령 형식확인"))</x:f>
        <x:v>보험연령 미입력</x:v>
      </x:c>
      <x:c r="K9" s="24" t="str">
        <x:v>보험 자료 없음</x:v>
      </x:c>
      <x:c r="L9" s="24" t="str">
        <x:v>손영태</x:v>
      </x:c>
      <x:c r="M9" s="24" t="str"/>
      <x:c r="N9" s="24" t="str"/>
      <x:c r="O9" s="24" t="str">
        <x:v>확인필요</x:v>
      </x:c>
      <x:c r="P9" s="24" t="str"/>
    </x:row>
    <x:row r="10" ht="17.25" customHeight="1">
      <x:c r="A10" s="24" t="str">
        <x:v>SW-I-36머9150</x:v>
      </x:c>
      <x:c r="B10" s="24" t="str">
        <x:v>스위치플랜</x:v>
      </x:c>
      <x:c r="C10" s="24" t="str">
        <x:v>36머9150</x:v>
      </x:c>
      <x:c r="D10" s="24" t="str">
        <x:v>DB</x:v>
      </x:c>
      <x:c r="E10" s="24" t="str"/>
      <x:c r="F10" s="30"/>
      <x:c r="G10" s="30"/>
      <x:c r="H10" s="24" t="str"/>
      <x:c r="I10" s="24" t="str">
        <x:v>35</x:v>
      </x:c>
      <x:c r="J10" s="24" t="str">
        <x:f>IF(I10="","계약연령 미입력",IFERROR(IF(H10="","보험연령 미입력",IF(VALUE(H10)=VALUE(I10),"정상",IF(VALUE(H10)&gt;VALUE(I10),"보장 불일치","과보장 점검"))),"계약연령 형식확인"))</x:f>
        <x:v>보험연령 미입력</x:v>
      </x:c>
      <x:c r="K10" s="24" t="str">
        <x:v>보험 자료 없음</x:v>
      </x:c>
      <x:c r="L10" s="24" t="str">
        <x:v>상품화예정</x:v>
      </x:c>
      <x:c r="M10" s="24" t="str"/>
      <x:c r="N10" s="24" t="str"/>
      <x:c r="O10" s="24" t="str">
        <x:v>확인필요</x:v>
      </x:c>
      <x:c r="P10" s="24" t="str"/>
    </x:row>
    <x:row r="11" ht="17.25" customHeight="1">
      <x:c r="A11" s="24" t="str">
        <x:v>SW-I-07버3390</x:v>
      </x:c>
      <x:c r="B11" s="24" t="str">
        <x:v>스위치플랜</x:v>
      </x:c>
      <x:c r="C11" s="24" t="str">
        <x:v>07버3390</x:v>
      </x:c>
      <x:c r="D11" s="24" t="str">
        <x:v>DB</x:v>
      </x:c>
      <x:c r="E11" s="24" t="str"/>
      <x:c r="F11" s="30"/>
      <x:c r="G11" s="30"/>
      <x:c r="H11" s="24" t="str"/>
      <x:c r="I11" s="24" t="str">
        <x:v>35</x:v>
      </x:c>
      <x:c r="J11" s="24" t="str">
        <x:f>IF(I11="","계약연령 미입력",IFERROR(IF(H11="","보험연령 미입력",IF(VALUE(H11)=VALUE(I11),"정상",IF(VALUE(H11)&gt;VALUE(I11),"보장 불일치","과보장 점검"))),"계약연령 형식확인"))</x:f>
        <x:v>보험연령 미입력</x:v>
      </x:c>
      <x:c r="K11" s="24" t="str">
        <x:v>보험 자료 없음</x:v>
      </x:c>
      <x:c r="L11" s="24" t="str">
        <x:v>유정란</x:v>
      </x:c>
      <x:c r="M11" s="24" t="str"/>
      <x:c r="N11" s="24" t="str"/>
      <x:c r="O11" s="24" t="str">
        <x:v>확인필요</x:v>
      </x:c>
      <x:c r="P11" s="24" t="str"/>
    </x:row>
    <x:row r="12" ht="17.25" customHeight="1">
      <x:c r="A12" s="24" t="str">
        <x:v>SW-I-12다2400</x:v>
      </x:c>
      <x:c r="B12" s="24" t="str">
        <x:v>스위치플랜</x:v>
      </x:c>
      <x:c r="C12" s="24" t="str">
        <x:v>12다2400</x:v>
      </x:c>
      <x:c r="D12" s="24" t="str">
        <x:v>DB</x:v>
      </x:c>
      <x:c r="E12" s="24" t="str"/>
      <x:c r="F12" s="30"/>
      <x:c r="G12" s="30"/>
      <x:c r="H12" s="24" t="str"/>
      <x:c r="I12" s="24" t="str">
        <x:v>21</x:v>
      </x:c>
      <x:c r="J12" s="24" t="str">
        <x:f>IF(I12="","계약연령 미입력",IFERROR(IF(H12="","보험연령 미입력",IF(VALUE(H12)=VALUE(I12),"정상",IF(VALUE(H12)&gt;VALUE(I12),"보장 불일치","과보장 점검"))),"계약연령 형식확인"))</x:f>
        <x:v>보험연령 미입력</x:v>
      </x:c>
      <x:c r="K12" s="24" t="str">
        <x:v>보험 자료 없음</x:v>
      </x:c>
      <x:c r="L12" s="24" t="str">
        <x:v>배준호</x:v>
      </x:c>
      <x:c r="M12" s="24" t="str"/>
      <x:c r="N12" s="24" t="str"/>
      <x:c r="O12" s="24" t="str">
        <x:v>확인필요</x:v>
      </x:c>
      <x:c r="P12" s="24" t="str"/>
    </x:row>
    <x:row r="13" ht="17.25" customHeight="1">
      <x:c r="A13" s="24" t="str">
        <x:v>SW-I-54무1552</x:v>
      </x:c>
      <x:c r="B13" s="24" t="str">
        <x:v>스위치플랜</x:v>
      </x:c>
      <x:c r="C13" s="24" t="str">
        <x:v>54무1552</x:v>
      </x:c>
      <x:c r="D13" s="24" t="str">
        <x:v>DB</x:v>
      </x:c>
      <x:c r="E13" s="24" t="str"/>
      <x:c r="F13" s="30"/>
      <x:c r="G13" s="30"/>
      <x:c r="H13" s="24" t="str"/>
      <x:c r="I13" s="24" t="str">
        <x:v>35</x:v>
      </x:c>
      <x:c r="J13" s="24" t="str">
        <x:f>IF(I13="","계약연령 미입력",IFERROR(IF(H13="","보험연령 미입력",IF(VALUE(H13)=VALUE(I13),"정상",IF(VALUE(H13)&gt;VALUE(I13),"보장 불일치","과보장 점검"))),"계약연령 형식확인"))</x:f>
        <x:v>보험연령 미입력</x:v>
      </x:c>
      <x:c r="K13" s="24" t="str">
        <x:v>보험 자료 없음</x:v>
      </x:c>
      <x:c r="L13" s="24" t="str">
        <x:v>정현묵</x:v>
      </x:c>
      <x:c r="M13" s="24" t="str"/>
      <x:c r="N13" s="24" t="str"/>
      <x:c r="O13" s="24" t="str">
        <x:v>확인필요</x:v>
      </x:c>
      <x:c r="P13" s="24" t="str"/>
    </x:row>
    <x:row r="14" ht="17.25" customHeight="1">
      <x:c r="A14" s="24" t="str">
        <x:v>SW-I-24부3251</x:v>
      </x:c>
      <x:c r="B14" s="24" t="str">
        <x:v>스위치플랜</x:v>
      </x:c>
      <x:c r="C14" s="24" t="str">
        <x:v>24부3251</x:v>
      </x:c>
      <x:c r="D14" s="24" t="str">
        <x:v>DB</x:v>
      </x:c>
      <x:c r="E14" s="24" t="str"/>
      <x:c r="F14" s="30"/>
      <x:c r="G14" s="30"/>
      <x:c r="H14" s="24" t="str"/>
      <x:c r="I14" s="24" t="str">
        <x:v>30</x:v>
      </x:c>
      <x:c r="J14" s="24" t="str">
        <x:f>IF(I14="","계약연령 미입력",IFERROR(IF(H14="","보험연령 미입력",IF(VALUE(H14)=VALUE(I14),"정상",IF(VALUE(H14)&gt;VALUE(I14),"보장 불일치","과보장 점검"))),"계약연령 형식확인"))</x:f>
        <x:v>보험연령 미입력</x:v>
      </x:c>
      <x:c r="K14" s="24" t="str">
        <x:v>보험 자료 없음</x:v>
      </x:c>
      <x:c r="L14" s="24" t="str">
        <x:v>이정원</x:v>
      </x:c>
      <x:c r="M14" s="24" t="str"/>
      <x:c r="N14" s="24" t="str"/>
      <x:c r="O14" s="24" t="str">
        <x:v>확인필요</x:v>
      </x:c>
      <x:c r="P14" s="24" t="str"/>
    </x:row>
    <x:row r="15" ht="17.25" customHeight="1">
      <x:c r="A15" s="24" t="str">
        <x:v>SW-I-297거4892</x:v>
      </x:c>
      <x:c r="B15" s="24" t="str">
        <x:v>스위치플랜</x:v>
      </x:c>
      <x:c r="C15" s="24" t="str">
        <x:v>297거4892</x:v>
      </x:c>
      <x:c r="D15" s="24" t="str">
        <x:v>DB</x:v>
      </x:c>
      <x:c r="E15" s="24" t="str"/>
      <x:c r="F15" s="30"/>
      <x:c r="G15" s="30"/>
      <x:c r="H15" s="24" t="str"/>
      <x:c r="I15" s="24" t="str">
        <x:v>24</x:v>
      </x:c>
      <x:c r="J15" s="24" t="str">
        <x:f>IF(I15="","계약연령 미입력",IFERROR(IF(H15="","보험연령 미입력",IF(VALUE(H15)=VALUE(I15),"정상",IF(VALUE(H15)&gt;VALUE(I15),"보장 불일치","과보장 점검"))),"계약연령 형식확인"))</x:f>
        <x:v>보험연령 미입력</x:v>
      </x:c>
      <x:c r="K15" s="24" t="str">
        <x:v>보험 자료 없음</x:v>
      </x:c>
      <x:c r="L15" s="24" t="str">
        <x:v>김선우</x:v>
      </x:c>
      <x:c r="M15" s="24" t="str"/>
      <x:c r="N15" s="24" t="str"/>
      <x:c r="O15" s="24" t="str">
        <x:v>확인필요</x:v>
      </x:c>
      <x:c r="P15" s="24" t="str"/>
    </x:row>
    <x:row r="16" ht="17.25" customHeight="1">
      <x:c r="A16" s="24" t="str">
        <x:v>SW-I-263모3889</x:v>
      </x:c>
      <x:c r="B16" s="24" t="str">
        <x:v>스위치플랜</x:v>
      </x:c>
      <x:c r="C16" s="24" t="str">
        <x:v>263모3889</x:v>
      </x:c>
      <x:c r="D16" s="24" t="str">
        <x:v>DB</x:v>
      </x:c>
      <x:c r="E16" s="24" t="str"/>
      <x:c r="F16" s="30"/>
      <x:c r="G16" s="30"/>
      <x:c r="H16" s="24" t="str"/>
      <x:c r="I16" s="24" t="str">
        <x:v>35</x:v>
      </x:c>
      <x:c r="J16" s="24" t="str">
        <x:f>IF(I16="","계약연령 미입력",IFERROR(IF(H16="","보험연령 미입력",IF(VALUE(H16)=VALUE(I16),"정상",IF(VALUE(H16)&gt;VALUE(I16),"보장 불일치","과보장 점검"))),"계약연령 형식확인"))</x:f>
        <x:v>보험연령 미입력</x:v>
      </x:c>
      <x:c r="K16" s="24" t="str">
        <x:v>보험 자료 없음</x:v>
      </x:c>
      <x:c r="L16" s="24" t="str">
        <x:v>박진경</x:v>
      </x:c>
      <x:c r="M16" s="24" t="str"/>
      <x:c r="N16" s="24" t="str"/>
      <x:c r="O16" s="24" t="str">
        <x:v>확인필요</x:v>
      </x:c>
      <x:c r="P16" s="24" t="str"/>
    </x:row>
    <x:row r="17" ht="17.25" customHeight="1">
      <x:c r="A17" s="24" t="str">
        <x:v>SW-I-01도9893</x:v>
      </x:c>
      <x:c r="B17" s="24" t="str">
        <x:v>스위치플랜</x:v>
      </x:c>
      <x:c r="C17" s="24" t="str">
        <x:v>01도9893</x:v>
      </x:c>
      <x:c r="D17" s="24" t="str">
        <x:v>DB</x:v>
      </x:c>
      <x:c r="E17" s="24" t="str"/>
      <x:c r="F17" s="30"/>
      <x:c r="G17" s="30"/>
      <x:c r="H17" s="24" t="str"/>
      <x:c r="I17" s="24" t="str">
        <x:v>24</x:v>
      </x:c>
      <x:c r="J17" s="24" t="str">
        <x:f>IF(I17="","계약연령 미입력",IFERROR(IF(H17="","보험연령 미입력",IF(VALUE(H17)=VALUE(I17),"정상",IF(VALUE(H17)&gt;VALUE(I17),"보장 불일치","과보장 점검"))),"계약연령 형식확인"))</x:f>
        <x:v>보험연령 미입력</x:v>
      </x:c>
      <x:c r="K17" s="24" t="str">
        <x:v>보험 자료 없음</x:v>
      </x:c>
      <x:c r="L17" s="24" t="str">
        <x:v>김효은</x:v>
      </x:c>
      <x:c r="M17" s="24" t="str"/>
      <x:c r="N17" s="24" t="str"/>
      <x:c r="O17" s="24" t="str">
        <x:v>확인필요</x:v>
      </x:c>
      <x:c r="P17" s="24" t="str"/>
    </x:row>
    <x:row r="18" ht="17.25" customHeight="1">
      <x:c r="A18" s="24" t="str">
        <x:v>SW-I-02마4731</x:v>
      </x:c>
      <x:c r="B18" s="24" t="str">
        <x:v>스위치플랜</x:v>
      </x:c>
      <x:c r="C18" s="24" t="str">
        <x:v>02마4731</x:v>
      </x:c>
      <x:c r="D18" s="24" t="str">
        <x:v>DB</x:v>
      </x:c>
      <x:c r="E18" s="24" t="str"/>
      <x:c r="F18" s="30"/>
      <x:c r="G18" s="30"/>
      <x:c r="H18" s="24" t="str"/>
      <x:c r="I18" s="24" t="str">
        <x:v>30</x:v>
      </x:c>
      <x:c r="J18" s="24" t="str">
        <x:f>IF(I18="","계약연령 미입력",IFERROR(IF(H18="","보험연령 미입력",IF(VALUE(H18)=VALUE(I18),"정상",IF(VALUE(H18)&gt;VALUE(I18),"보장 불일치","과보장 점검"))),"계약연령 형식확인"))</x:f>
        <x:v>보험연령 미입력</x:v>
      </x:c>
      <x:c r="K18" s="24" t="str">
        <x:v>보험 자료 없음</x:v>
      </x:c>
      <x:c r="L18" s="24" t="str">
        <x:v>하정만</x:v>
      </x:c>
      <x:c r="M18" s="24" t="str"/>
      <x:c r="N18" s="24" t="str"/>
      <x:c r="O18" s="24" t="str">
        <x:v>확인필요</x:v>
      </x:c>
      <x:c r="P18" s="24" t="str"/>
    </x:row>
    <x:row r="19" ht="17.25" customHeight="1">
      <x:c r="A19" s="24" t="str">
        <x:v>SW-I-306조9919</x:v>
      </x:c>
      <x:c r="B19" s="24" t="str">
        <x:v>스위치플랜</x:v>
      </x:c>
      <x:c r="C19" s="24" t="str">
        <x:v>306조9919</x:v>
      </x:c>
      <x:c r="D19" s="24" t="str">
        <x:v>DB</x:v>
      </x:c>
      <x:c r="E19" s="24" t="str"/>
      <x:c r="F19" s="30"/>
      <x:c r="G19" s="30"/>
      <x:c r="H19" s="24" t="str"/>
      <x:c r="I19" s="24" t="str">
        <x:v>35</x:v>
      </x:c>
      <x:c r="J19" s="24" t="str">
        <x:f>IF(I19="","계약연령 미입력",IFERROR(IF(H19="","보험연령 미입력",IF(VALUE(H19)=VALUE(I19),"정상",IF(VALUE(H19)&gt;VALUE(I19),"보장 불일치","과보장 점검"))),"계약연령 형식확인"))</x:f>
        <x:v>보험연령 미입력</x:v>
      </x:c>
      <x:c r="K19" s="24" t="str">
        <x:v>보험 자료 없음</x:v>
      </x:c>
      <x:c r="L19" s="24" t="str">
        <x:v>김기영</x:v>
      </x:c>
      <x:c r="M19" s="24" t="str"/>
      <x:c r="N19" s="24" t="str"/>
      <x:c r="O19" s="24" t="str">
        <x:v>확인필요</x:v>
      </x:c>
      <x:c r="P19" s="24" t="str"/>
    </x:row>
    <x:row r="20" ht="17.25" customHeight="1">
      <x:c r="A20" s="24" t="str">
        <x:v>SW-I-109로1819</x:v>
      </x:c>
      <x:c r="B20" s="24" t="str">
        <x:v>스위치플랜</x:v>
      </x:c>
      <x:c r="C20" s="24" t="str">
        <x:v>109로1819</x:v>
      </x:c>
      <x:c r="D20" s="24" t="str">
        <x:v>DB</x:v>
      </x:c>
      <x:c r="E20" s="24" t="str"/>
      <x:c r="F20" s="30"/>
      <x:c r="G20" s="30"/>
      <x:c r="H20" s="24" t="str"/>
      <x:c r="I20" s="24" t="str">
        <x:v>35</x:v>
      </x:c>
      <x:c r="J20" s="24" t="str">
        <x:f>IF(I20="","계약연령 미입력",IFERROR(IF(H20="","보험연령 미입력",IF(VALUE(H20)=VALUE(I20),"정상",IF(VALUE(H20)&gt;VALUE(I20),"보장 불일치","과보장 점검"))),"계약연령 형식확인"))</x:f>
        <x:v>보험연령 미입력</x:v>
      </x:c>
      <x:c r="K20" s="24" t="str">
        <x:v>보험 자료 없음</x:v>
      </x:c>
      <x:c r="L20" s="24" t="str">
        <x:v>박주신</x:v>
      </x:c>
      <x:c r="M20" s="24" t="str"/>
      <x:c r="N20" s="24" t="str"/>
      <x:c r="O20" s="24" t="str">
        <x:v>확인필요</x:v>
      </x:c>
      <x:c r="P20" s="24" t="str"/>
    </x:row>
    <x:row r="21" ht="17.25" customHeight="1">
      <x:c r="A21" s="24" t="str">
        <x:v>SW-I-17수4278</x:v>
      </x:c>
      <x:c r="B21" s="24" t="str">
        <x:v>스위치플랜</x:v>
      </x:c>
      <x:c r="C21" s="24" t="str">
        <x:v>17수4278</x:v>
      </x:c>
      <x:c r="D21" s="24" t="str">
        <x:v>DB</x:v>
      </x:c>
      <x:c r="E21" s="24" t="str"/>
      <x:c r="F21" s="30"/>
      <x:c r="G21" s="30"/>
      <x:c r="H21" s="24" t="str"/>
      <x:c r="I21" s="24" t="str">
        <x:v>35</x:v>
      </x:c>
      <x:c r="J21" s="24" t="str">
        <x:f>IF(I21="","계약연령 미입력",IFERROR(IF(H21="","보험연령 미입력",IF(VALUE(H21)=VALUE(I21),"정상",IF(VALUE(H21)&gt;VALUE(I21),"보장 불일치","과보장 점검"))),"계약연령 형식확인"))</x:f>
        <x:v>보험연령 미입력</x:v>
      </x:c>
      <x:c r="K21" s="24" t="str">
        <x:v>보험 자료 없음</x:v>
      </x:c>
      <x:c r="L21" s="24" t="str">
        <x:v>김은옥</x:v>
      </x:c>
      <x:c r="M21" s="24" t="str"/>
      <x:c r="N21" s="24" t="str"/>
      <x:c r="O21" s="24" t="str">
        <x:v>확인필요</x:v>
      </x:c>
      <x:c r="P21" s="24" t="str"/>
    </x:row>
    <x:row r="22" ht="17.25" customHeight="1">
      <x:c r="A22" s="24" t="str">
        <x:v>SW-I-15두2255</x:v>
      </x:c>
      <x:c r="B22" s="24" t="str">
        <x:v>스위치플랜</x:v>
      </x:c>
      <x:c r="C22" s="24" t="str">
        <x:v>15두2255</x:v>
      </x:c>
      <x:c r="D22" s="24" t="str">
        <x:v>AXA</x:v>
      </x:c>
      <x:c r="E22" s="24" t="str"/>
      <x:c r="F22" s="30"/>
      <x:c r="G22" s="30"/>
      <x:c r="H22" s="24" t="str"/>
      <x:c r="I22" s="24" t="str">
        <x:v>35</x:v>
      </x:c>
      <x:c r="J22" s="24" t="str">
        <x:f>IF(I22="","계약연령 미입력",IFERROR(IF(H22="","보험연령 미입력",IF(VALUE(H22)=VALUE(I22),"정상",IF(VALUE(H22)&gt;VALUE(I22),"보장 불일치","과보장 점검"))),"계약연령 형식확인"))</x:f>
        <x:v>보험연령 미입력</x:v>
      </x:c>
      <x:c r="K22" s="24" t="str">
        <x:v>보험 자료 없음</x:v>
      </x:c>
      <x:c r="L22" s="24" t="str">
        <x:v>송대성</x:v>
      </x:c>
      <x:c r="M22" s="24" t="str"/>
      <x:c r="N22" s="24" t="str"/>
      <x:c r="O22" s="24" t="str">
        <x:v>확인필요</x:v>
      </x:c>
      <x:c r="P22" s="24" t="str"/>
    </x:row>
    <x:row r="23" ht="17.25" customHeight="1">
      <x:c r="A23" s="24" t="str">
        <x:v>SW-I-311마8929</x:v>
      </x:c>
      <x:c r="B23" s="24" t="str">
        <x:v>스위치플랜</x:v>
      </x:c>
      <x:c r="C23" s="24" t="str">
        <x:v>311마8929</x:v>
      </x:c>
      <x:c r="D23" s="24" t="str">
        <x:v>KB</x:v>
      </x:c>
      <x:c r="E23" s="24" t="str"/>
      <x:c r="F23" s="30"/>
      <x:c r="G23" s="30"/>
      <x:c r="H23" s="24" t="str"/>
      <x:c r="I23" s="24" t="str">
        <x:v>개인</x:v>
      </x:c>
      <x:c r="J23" s="24" t="str">
        <x:f>IF(I23="","계약연령 미입력",IFERROR(IF(H23="","보험연령 미입력",IF(VALUE(H23)=VALUE(I23),"정상",IF(VALUE(H23)&gt;VALUE(I23),"보장 불일치","과보장 점검"))),"계약연령 형식확인"))</x:f>
        <x:v>보험연령 미입력</x:v>
      </x:c>
      <x:c r="K23" s="24" t="str">
        <x:v>보험 자료 없음</x:v>
      </x:c>
      <x:c r="L23" s="24" t="str">
        <x:v>김태원</x:v>
      </x:c>
      <x:c r="M23" s="24" t="str"/>
      <x:c r="N23" s="24" t="str"/>
      <x:c r="O23" s="24" t="str">
        <x:v>확인필요</x:v>
      </x:c>
      <x:c r="P23" s="24" t="str"/>
    </x:row>
    <x:row r="24" ht="17.25" customHeight="1">
      <x:c r="A24" s="24" t="str">
        <x:v>SW-I-10어7374</x:v>
      </x:c>
      <x:c r="B24" s="24" t="str">
        <x:v>스위치플랜</x:v>
      </x:c>
      <x:c r="C24" s="24" t="str">
        <x:v>10어7374</x:v>
      </x:c>
      <x:c r="D24" s="24" t="str">
        <x:v>DB</x:v>
      </x:c>
      <x:c r="E24" s="24" t="str"/>
      <x:c r="F24" s="30"/>
      <x:c r="G24" s="30"/>
      <x:c r="H24" s="24" t="str"/>
      <x:c r="I24" s="24" t="str">
        <x:v>24</x:v>
      </x:c>
      <x:c r="J24" s="24" t="str">
        <x:f>IF(I24="","계약연령 미입력",IFERROR(IF(H24="","보험연령 미입력",IF(VALUE(H24)=VALUE(I24),"정상",IF(VALUE(H24)&gt;VALUE(I24),"보장 불일치","과보장 점검"))),"계약연령 형식확인"))</x:f>
        <x:v>보험연령 미입력</x:v>
      </x:c>
      <x:c r="K24" s="24" t="str">
        <x:v>보험 자료 없음</x:v>
      </x:c>
      <x:c r="L24" s="24" t="str">
        <x:v>오종석</x:v>
      </x:c>
      <x:c r="M24" s="24" t="str"/>
      <x:c r="N24" s="24" t="str"/>
      <x:c r="O24" s="24" t="str">
        <x:v>확인필요</x:v>
      </x:c>
      <x:c r="P24" s="24" t="str"/>
    </x:row>
    <x:row r="25" ht="17.25" customHeight="1">
      <x:c r="A25" s="24" t="str">
        <x:v>SW-I-252거3143</x:v>
      </x:c>
      <x:c r="B25" s="24" t="str">
        <x:v>스위치플랜</x:v>
      </x:c>
      <x:c r="C25" s="24" t="str">
        <x:v>252거3143</x:v>
      </x:c>
      <x:c r="D25" s="24" t="str">
        <x:v>DB</x:v>
      </x:c>
      <x:c r="E25" s="24" t="str"/>
      <x:c r="F25" s="30"/>
      <x:c r="G25" s="30"/>
      <x:c r="H25" s="24" t="str"/>
      <x:c r="I25" s="24" t="str">
        <x:v>35</x:v>
      </x:c>
      <x:c r="J25" s="24" t="str">
        <x:f>IF(I25="","계약연령 미입력",IFERROR(IF(H25="","보험연령 미입력",IF(VALUE(H25)=VALUE(I25),"정상",IF(VALUE(H25)&gt;VALUE(I25),"보장 불일치","과보장 점검"))),"계약연령 형식확인"))</x:f>
        <x:v>보험연령 미입력</x:v>
      </x:c>
      <x:c r="K25" s="24" t="str">
        <x:v>보험 자료 없음</x:v>
      </x:c>
      <x:c r="L25" s="24" t="str">
        <x:v>김종원</x:v>
      </x:c>
      <x:c r="M25" s="24" t="str"/>
      <x:c r="N25" s="24" t="str"/>
      <x:c r="O25" s="24" t="str">
        <x:v>확인필요</x:v>
      </x:c>
      <x:c r="P25" s="24" t="str"/>
    </x:row>
    <x:row r="26" ht="17.25" customHeight="1">
      <x:c r="A26" s="24" t="str">
        <x:v>SW-I-57나3382</x:v>
      </x:c>
      <x:c r="B26" s="24" t="str">
        <x:v>스위치플랜</x:v>
      </x:c>
      <x:c r="C26" s="24" t="str">
        <x:v>57나3382</x:v>
      </x:c>
      <x:c r="D26" s="24" t="str">
        <x:v>한화손보</x:v>
      </x:c>
      <x:c r="E26" s="24" t="str"/>
      <x:c r="F26" s="30"/>
      <x:c r="G26" s="30"/>
      <x:c r="H26" s="24" t="str"/>
      <x:c r="I26" s="24" t="str">
        <x:v>개인</x:v>
      </x:c>
      <x:c r="J26" s="24" t="str">
        <x:f>IF(I26="","계약연령 미입력",IFERROR(IF(H26="","보험연령 미입력",IF(VALUE(H26)=VALUE(I26),"정상",IF(VALUE(H26)&gt;VALUE(I26),"보장 불일치","과보장 점검"))),"계약연령 형식확인"))</x:f>
        <x:v>보험연령 미입력</x:v>
      </x:c>
      <x:c r="K26" s="24" t="str">
        <x:v>보험 자료 없음</x:v>
      </x:c>
      <x:c r="L26" s="24" t="str">
        <x:v>김대훈</x:v>
      </x:c>
      <x:c r="M26" s="24" t="str"/>
      <x:c r="N26" s="24" t="str"/>
      <x:c r="O26" s="24" t="str">
        <x:v>확인필요</x:v>
      </x:c>
      <x:c r="P26" s="24" t="str"/>
    </x:row>
    <x:row r="27" ht="17.25" customHeight="1">
      <x:c r="A27" s="24" t="str">
        <x:v>SW-I-81너0984</x:v>
      </x:c>
      <x:c r="B27" s="24" t="str">
        <x:v>스위치플랜</x:v>
      </x:c>
      <x:c r="C27" s="24" t="str">
        <x:v>81너0984</x:v>
      </x:c>
      <x:c r="D27" s="24" t="str">
        <x:v>DB</x:v>
      </x:c>
      <x:c r="E27" s="24" t="str"/>
      <x:c r="F27" s="30"/>
      <x:c r="G27" s="30"/>
      <x:c r="H27" s="24" t="str"/>
      <x:c r="I27" s="24" t="str">
        <x:v>35</x:v>
      </x:c>
      <x:c r="J27" s="24" t="str">
        <x:f>IF(I27="","계약연령 미입력",IFERROR(IF(H27="","보험연령 미입력",IF(VALUE(H27)=VALUE(I27),"정상",IF(VALUE(H27)&gt;VALUE(I27),"보장 불일치","과보장 점검"))),"계약연령 형식확인"))</x:f>
        <x:v>보험연령 미입력</x:v>
      </x:c>
      <x:c r="K27" s="24" t="str">
        <x:v>보험 자료 없음</x:v>
      </x:c>
      <x:c r="L27" s="24" t="str">
        <x:v>양인석</x:v>
      </x:c>
      <x:c r="M27" s="24" t="str"/>
      <x:c r="N27" s="24" t="str"/>
      <x:c r="O27" s="24" t="str">
        <x:v>확인필요</x:v>
      </x:c>
      <x:c r="P27" s="24" t="str"/>
    </x:row>
    <x:row r="28" ht="17.25" customHeight="1">
      <x:c r="A28" s="24" t="str">
        <x:v>SW-I-133가8292</x:v>
      </x:c>
      <x:c r="B28" s="24" t="str">
        <x:v>스위치플랜</x:v>
      </x:c>
      <x:c r="C28" s="24" t="str">
        <x:v>133가8292</x:v>
      </x:c>
      <x:c r="D28" s="24" t="str">
        <x:v>AXA</x:v>
      </x:c>
      <x:c r="E28" s="24" t="str"/>
      <x:c r="F28" s="30"/>
      <x:c r="G28" s="30"/>
      <x:c r="H28" s="24" t="str"/>
      <x:c r="I28" s="24" t="str">
        <x:v>35</x:v>
      </x:c>
      <x:c r="J28" s="24" t="str">
        <x:f>IF(I28="","계약연령 미입력",IFERROR(IF(H28="","보험연령 미입력",IF(VALUE(H28)=VALUE(I28),"정상",IF(VALUE(H28)&gt;VALUE(I28),"보장 불일치","과보장 점검"))),"계약연령 형식확인"))</x:f>
        <x:v>보험연령 미입력</x:v>
      </x:c>
      <x:c r="K28" s="24" t="str">
        <x:v>보험 자료 없음</x:v>
      </x:c>
      <x:c r="L28" s="24" t="str">
        <x:v>김찬일</x:v>
      </x:c>
      <x:c r="M28" s="24" t="str"/>
      <x:c r="N28" s="24" t="str"/>
      <x:c r="O28" s="24" t="str">
        <x:v>확인필요</x:v>
      </x:c>
      <x:c r="P28" s="24" t="str"/>
    </x:row>
    <x:row r="29" ht="17.25" customHeight="1">
      <x:c r="A29" s="24" t="str">
        <x:v>SW-I-51라1828</x:v>
      </x:c>
      <x:c r="B29" s="24" t="str">
        <x:v>스위치플랜</x:v>
      </x:c>
      <x:c r="C29" s="24" t="str">
        <x:v>51라1828</x:v>
      </x:c>
      <x:c r="D29" s="24" t="str">
        <x:v>DB</x:v>
      </x:c>
      <x:c r="E29" s="24" t="str"/>
      <x:c r="F29" s="30"/>
      <x:c r="G29" s="30"/>
      <x:c r="H29" s="24" t="str"/>
      <x:c r="I29" s="24" t="str">
        <x:v>26</x:v>
      </x:c>
      <x:c r="J29" s="24" t="str">
        <x:f>IF(I29="","계약연령 미입력",IFERROR(IF(H29="","보험연령 미입력",IF(VALUE(H29)=VALUE(I29),"정상",IF(VALUE(H29)&gt;VALUE(I29),"보장 불일치","과보장 점검"))),"계약연령 형식확인"))</x:f>
        <x:v>보험연령 미입력</x:v>
      </x:c>
      <x:c r="K29" s="24" t="str">
        <x:v>보험 자료 없음</x:v>
      </x:c>
      <x:c r="L29" s="24" t="str">
        <x:v>안준우</x:v>
      </x:c>
      <x:c r="M29" s="24" t="str"/>
      <x:c r="N29" s="24" t="str"/>
      <x:c r="O29" s="24" t="str">
        <x:v>확인필요</x:v>
      </x:c>
      <x:c r="P29" s="24" t="str"/>
    </x:row>
    <x:row r="30" ht="17.25" customHeight="1">
      <x:c r="A30" s="24" t="str">
        <x:v>SW-I-265가2481</x:v>
      </x:c>
      <x:c r="B30" s="24" t="str">
        <x:v>스위치플랜</x:v>
      </x:c>
      <x:c r="C30" s="24" t="str">
        <x:v>265가2481</x:v>
      </x:c>
      <x:c r="D30" s="24" t="str">
        <x:v>DB</x:v>
      </x:c>
      <x:c r="E30" s="24" t="str"/>
      <x:c r="F30" s="30"/>
      <x:c r="G30" s="30"/>
      <x:c r="H30" s="24" t="str"/>
      <x:c r="I30" s="24" t="str">
        <x:v>30</x:v>
      </x:c>
      <x:c r="J30" s="24" t="str">
        <x:f>IF(I30="","계약연령 미입력",IFERROR(IF(H30="","보험연령 미입력",IF(VALUE(H30)=VALUE(I30),"정상",IF(VALUE(H30)&gt;VALUE(I30),"보장 불일치","과보장 점검"))),"계약연령 형식확인"))</x:f>
        <x:v>보험연령 미입력</x:v>
      </x:c>
      <x:c r="K30" s="24" t="str">
        <x:v>보험 자료 없음</x:v>
      </x:c>
      <x:c r="L30" s="24" t="str">
        <x:v>최희영</x:v>
      </x:c>
      <x:c r="M30" s="24" t="str"/>
      <x:c r="N30" s="24" t="str"/>
      <x:c r="O30" s="24" t="str">
        <x:v>확인필요</x:v>
      </x:c>
      <x:c r="P30" s="24" t="str"/>
    </x:row>
    <x:row r="31" ht="17.25" customHeight="1">
      <x:c r="A31" s="24" t="str">
        <x:v>SW-I-30어1926</x:v>
      </x:c>
      <x:c r="B31" s="24" t="str">
        <x:v>스위치플랜</x:v>
      </x:c>
      <x:c r="C31" s="24" t="str">
        <x:v>30어1926</x:v>
      </x:c>
      <x:c r="D31" s="24" t="str">
        <x:v>DB</x:v>
      </x:c>
      <x:c r="E31" s="24" t="str"/>
      <x:c r="F31" s="30"/>
      <x:c r="G31" s="30"/>
      <x:c r="H31" s="24" t="str"/>
      <x:c r="I31" s="24" t="str">
        <x:v>30</x:v>
      </x:c>
      <x:c r="J31" s="24" t="str">
        <x:f>IF(I31="","계약연령 미입력",IFERROR(IF(H31="","보험연령 미입력",IF(VALUE(H31)=VALUE(I31),"정상",IF(VALUE(H31)&gt;VALUE(I31),"보장 불일치","과보장 점검"))),"계약연령 형식확인"))</x:f>
        <x:v>보험연령 미입력</x:v>
      </x:c>
      <x:c r="K31" s="24" t="str">
        <x:v>보험 자료 없음</x:v>
      </x:c>
      <x:c r="L31" s="24" t="str">
        <x:v>광명건설</x:v>
      </x:c>
      <x:c r="M31" s="24" t="str"/>
      <x:c r="N31" s="24" t="str"/>
      <x:c r="O31" s="24" t="str">
        <x:v>확인필요</x:v>
      </x:c>
      <x:c r="P31" s="24" t="str"/>
    </x:row>
    <x:row r="32" ht="17.25" customHeight="1">
      <x:c r="A32" s="24" t="str">
        <x:v>SW-I-172수8945</x:v>
      </x:c>
      <x:c r="B32" s="24" t="str">
        <x:v>스위치플랜</x:v>
      </x:c>
      <x:c r="C32" s="24" t="str">
        <x:v>172수8945</x:v>
      </x:c>
      <x:c r="D32" s="24" t="str">
        <x:v>삼성</x:v>
      </x:c>
      <x:c r="E32" s="24" t="str"/>
      <x:c r="F32" s="30"/>
      <x:c r="G32" s="30"/>
      <x:c r="H32" s="24" t="str"/>
      <x:c r="I32" s="24" t="str">
        <x:v>개인</x:v>
      </x:c>
      <x:c r="J32" s="24" t="str">
        <x:f>IF(I32="","계약연령 미입력",IFERROR(IF(H32="","보험연령 미입력",IF(VALUE(H32)=VALUE(I32),"정상",IF(VALUE(H32)&gt;VALUE(I32),"보장 불일치","과보장 점검"))),"계약연령 형식확인"))</x:f>
        <x:v>보험연령 미입력</x:v>
      </x:c>
      <x:c r="K32" s="24" t="str">
        <x:v>보험 자료 없음</x:v>
      </x:c>
      <x:c r="L32" s="24" t="str">
        <x:v>박형주</x:v>
      </x:c>
      <x:c r="M32" s="24" t="str"/>
      <x:c r="N32" s="24" t="str"/>
      <x:c r="O32" s="24" t="str">
        <x:v>확인필요</x:v>
      </x:c>
      <x:c r="P32" s="24" t="str"/>
    </x:row>
    <x:row r="33" ht="17.25" customHeight="1">
      <x:c r="A33" s="24" t="str">
        <x:v>SW-I-81소0566</x:v>
      </x:c>
      <x:c r="B33" s="24" t="str">
        <x:v>스위치플랜</x:v>
      </x:c>
      <x:c r="C33" s="24" t="str">
        <x:v>81소0566</x:v>
      </x:c>
      <x:c r="D33" s="24" t="str">
        <x:v>DB</x:v>
      </x:c>
      <x:c r="E33" s="24" t="str"/>
      <x:c r="F33" s="30"/>
      <x:c r="G33" s="30"/>
      <x:c r="H33" s="24" t="str"/>
      <x:c r="I33" s="24" t="str">
        <x:v>35</x:v>
      </x:c>
      <x:c r="J33" s="24" t="str">
        <x:f>IF(I33="","계약연령 미입력",IFERROR(IF(H33="","보험연령 미입력",IF(VALUE(H33)=VALUE(I33),"정상",IF(VALUE(H33)&gt;VALUE(I33),"보장 불일치","과보장 점검"))),"계약연령 형식확인"))</x:f>
        <x:v>보험연령 미입력</x:v>
      </x:c>
      <x:c r="K33" s="24" t="str">
        <x:v>보험 자료 없음</x:v>
      </x:c>
      <x:c r="L33" s="24" t="str">
        <x:v>김승겸</x:v>
      </x:c>
      <x:c r="M33" s="24" t="str"/>
      <x:c r="N33" s="24" t="str"/>
      <x:c r="O33" s="24" t="str">
        <x:v>확인필요</x:v>
      </x:c>
      <x:c r="P33" s="24" t="str"/>
    </x:row>
    <x:row r="34" ht="17.25" customHeight="1">
      <x:c r="A34" s="24" t="str">
        <x:v>SW-I-89너4007</x:v>
      </x:c>
      <x:c r="B34" s="24" t="str">
        <x:v>스위치플랜</x:v>
      </x:c>
      <x:c r="C34" s="24" t="str">
        <x:v>89너4007</x:v>
      </x:c>
      <x:c r="D34" s="24" t="str">
        <x:v>DB</x:v>
      </x:c>
      <x:c r="E34" s="24" t="str"/>
      <x:c r="F34" s="30"/>
      <x:c r="G34" s="30"/>
      <x:c r="H34" s="24" t="str"/>
      <x:c r="I34" s="24" t="str">
        <x:v>35</x:v>
      </x:c>
      <x:c r="J34" s="24" t="str">
        <x:f>IF(I34="","계약연령 미입력",IFERROR(IF(H34="","보험연령 미입력",IF(VALUE(H34)=VALUE(I34),"정상",IF(VALUE(H34)&gt;VALUE(I34),"보장 불일치","과보장 점검"))),"계약연령 형식확인"))</x:f>
        <x:v>보험연령 미입력</x:v>
      </x:c>
      <x:c r="K34" s="24" t="str">
        <x:v>보험 자료 없음</x:v>
      </x:c>
      <x:c r="L34" s="24" t="str">
        <x:v>박영현</x:v>
      </x:c>
      <x:c r="M34" s="24" t="str"/>
      <x:c r="N34" s="24" t="str"/>
      <x:c r="O34" s="24" t="str">
        <x:v>확인필요</x:v>
      </x:c>
      <x:c r="P34" s="24" t="str"/>
    </x:row>
    <x:row r="35" ht="17.25" customHeight="1">
      <x:c r="A35" s="24" t="str">
        <x:v>SW-I-314소2486</x:v>
      </x:c>
      <x:c r="B35" s="24" t="str">
        <x:v>스위치플랜</x:v>
      </x:c>
      <x:c r="C35" s="24" t="str">
        <x:v>314소2486</x:v>
      </x:c>
      <x:c r="D35" s="24" t="str">
        <x:v>DB</x:v>
      </x:c>
      <x:c r="E35" s="24" t="str"/>
      <x:c r="F35" s="30"/>
      <x:c r="G35" s="30"/>
      <x:c r="H35" s="24" t="str"/>
      <x:c r="I35" s="24" t="str">
        <x:v>35</x:v>
      </x:c>
      <x:c r="J35" s="24" t="str">
        <x:f>IF(I35="","계약연령 미입력",IFERROR(IF(H35="","보험연령 미입력",IF(VALUE(H35)=VALUE(I35),"정상",IF(VALUE(H35)&gt;VALUE(I35),"보장 불일치","과보장 점검"))),"계약연령 형식확인"))</x:f>
        <x:v>보험연령 미입력</x:v>
      </x:c>
      <x:c r="K35" s="24" t="str">
        <x:v>보험 자료 없음</x:v>
      </x:c>
      <x:c r="L35" s="24" t="str">
        <x:v>우재민</x:v>
      </x:c>
      <x:c r="M35" s="24" t="str"/>
      <x:c r="N35" s="24" t="str"/>
      <x:c r="O35" s="24" t="str">
        <x:v>확인필요</x:v>
      </x:c>
      <x:c r="P35" s="24" t="str"/>
    </x:row>
    <x:row r="36" ht="17.25" customHeight="1">
      <x:c r="A36" s="24" t="str">
        <x:v>SW-I-52모6211</x:v>
      </x:c>
      <x:c r="B36" s="24" t="str">
        <x:v>스위치플랜</x:v>
      </x:c>
      <x:c r="C36" s="24" t="str">
        <x:v>52모6211</x:v>
      </x:c>
      <x:c r="D36" s="24" t="str">
        <x:v>DB</x:v>
      </x:c>
      <x:c r="E36" s="24" t="str"/>
      <x:c r="F36" s="30"/>
      <x:c r="G36" s="30"/>
      <x:c r="H36" s="24" t="str"/>
      <x:c r="I36" s="24" t="str">
        <x:v>30</x:v>
      </x:c>
      <x:c r="J36" s="24" t="str">
        <x:f>IF(I36="","계약연령 미입력",IFERROR(IF(H36="","보험연령 미입력",IF(VALUE(H36)=VALUE(I36),"정상",IF(VALUE(H36)&gt;VALUE(I36),"보장 불일치","과보장 점검"))),"계약연령 형식확인"))</x:f>
        <x:v>보험연령 미입력</x:v>
      </x:c>
      <x:c r="K36" s="24" t="str">
        <x:v>보험 자료 없음</x:v>
      </x:c>
      <x:c r="L36" s="24" t="str">
        <x:v>이우진</x:v>
      </x:c>
      <x:c r="M36" s="24" t="str"/>
      <x:c r="N36" s="24" t="str"/>
      <x:c r="O36" s="24" t="str">
        <x:v>확인필요</x:v>
      </x:c>
      <x:c r="P36" s="24" t="str"/>
    </x:row>
    <x:row r="37" ht="17.25" customHeight="1">
      <x:c r="A37" s="24" t="str">
        <x:v>SW-I-376두7844</x:v>
      </x:c>
      <x:c r="B37" s="24" t="str">
        <x:v>스위치플랜</x:v>
      </x:c>
      <x:c r="C37" s="24" t="str">
        <x:v>376두7844</x:v>
      </x:c>
      <x:c r="D37" s="24" t="str">
        <x:v>DB</x:v>
      </x:c>
      <x:c r="E37" s="24" t="str"/>
      <x:c r="F37" s="30"/>
      <x:c r="G37" s="30"/>
      <x:c r="H37" s="24" t="str"/>
      <x:c r="I37" s="24" t="str">
        <x:v>35</x:v>
      </x:c>
      <x:c r="J37" s="24" t="str">
        <x:f>IF(I37="","계약연령 미입력",IFERROR(IF(H37="","보험연령 미입력",IF(VALUE(H37)=VALUE(I37),"정상",IF(VALUE(H37)&gt;VALUE(I37),"보장 불일치","과보장 점검"))),"계약연령 형식확인"))</x:f>
        <x:v>보험연령 미입력</x:v>
      </x:c>
      <x:c r="K37" s="24" t="str">
        <x:v>보험 자료 없음</x:v>
      </x:c>
      <x:c r="L37" s="24" t="str">
        <x:v>김동현</x:v>
      </x:c>
      <x:c r="M37" s="24" t="str"/>
      <x:c r="N37" s="24" t="str"/>
      <x:c r="O37" s="24" t="str">
        <x:v>확인필요</x:v>
      </x:c>
      <x:c r="P37" s="24" t="str"/>
    </x:row>
    <x:row r="38" ht="17.25" customHeight="1">
      <x:c r="A38" s="24" t="str">
        <x:v>SW-I-66소6317</x:v>
      </x:c>
      <x:c r="B38" s="24" t="str">
        <x:v>스위치플랜</x:v>
      </x:c>
      <x:c r="C38" s="24" t="str">
        <x:v>66소6317</x:v>
      </x:c>
      <x:c r="D38" s="24" t="str">
        <x:v>삼성</x:v>
      </x:c>
      <x:c r="E38" s="24" t="str"/>
      <x:c r="F38" s="30"/>
      <x:c r="G38" s="30"/>
      <x:c r="H38" s="24" t="str"/>
      <x:c r="I38" s="24" t="str">
        <x:v>책임</x:v>
      </x:c>
      <x:c r="J38" s="24" t="str">
        <x:f>IF(I38="","계약연령 미입력",IFERROR(IF(H38="","보험연령 미입력",IF(VALUE(H38)=VALUE(I38),"정상",IF(VALUE(H38)&gt;VALUE(I38),"보장 불일치","과보장 점검"))),"계약연령 형식확인"))</x:f>
        <x:v>보험연령 미입력</x:v>
      </x:c>
      <x:c r="K38" s="24" t="str">
        <x:v>보험 자료 없음</x:v>
      </x:c>
      <x:c r="L38" s="24" t="str">
        <x:v>내부의전용</x:v>
      </x:c>
      <x:c r="M38" s="24" t="str"/>
      <x:c r="N38" s="24" t="str"/>
      <x:c r="O38" s="24" t="str">
        <x:v>확인필요</x:v>
      </x:c>
      <x:c r="P38" s="24" t="str"/>
    </x:row>
    <x:row r="39" ht="17.25" customHeight="1">
      <x:c r="A39" s="24" t="str">
        <x:v>SW-I-162고5602</x:v>
      </x:c>
      <x:c r="B39" s="24" t="str">
        <x:v>스위치플랜</x:v>
      </x:c>
      <x:c r="C39" s="24" t="str">
        <x:v>162고5602</x:v>
      </x:c>
      <x:c r="D39" s="24" t="str">
        <x:v>DB</x:v>
      </x:c>
      <x:c r="E39" s="24" t="str"/>
      <x:c r="F39" s="30"/>
      <x:c r="G39" s="30"/>
      <x:c r="H39" s="24" t="str"/>
      <x:c r="I39" s="24" t="str">
        <x:v>26</x:v>
      </x:c>
      <x:c r="J39" s="24" t="str">
        <x:f>IF(I39="","계약연령 미입력",IFERROR(IF(H39="","보험연령 미입력",IF(VALUE(H39)=VALUE(I39),"정상",IF(VALUE(H39)&gt;VALUE(I39),"보장 불일치","과보장 점검"))),"계약연령 형식확인"))</x:f>
        <x:v>보험연령 미입력</x:v>
      </x:c>
      <x:c r="K39" s="24" t="str">
        <x:v>보험 자료 없음</x:v>
      </x:c>
      <x:c r="L39" s="24" t="str">
        <x:v>디테힐링(장승민)</x:v>
      </x:c>
      <x:c r="M39" s="24" t="str"/>
      <x:c r="N39" s="24" t="str"/>
      <x:c r="O39" s="24" t="str">
        <x:v>확인필요</x:v>
      </x:c>
      <x:c r="P39" s="24" t="str"/>
    </x:row>
    <x:row r="40" ht="17.25" customHeight="1">
      <x:c r="A40" s="24" t="str">
        <x:v>SW-I-15나3640</x:v>
      </x:c>
      <x:c r="B40" s="24" t="str">
        <x:v>스위치플랜</x:v>
      </x:c>
      <x:c r="C40" s="24" t="str">
        <x:v>15나3640</x:v>
      </x:c>
      <x:c r="D40" s="24" t="str">
        <x:v>DB</x:v>
      </x:c>
      <x:c r="E40" s="24" t="str"/>
      <x:c r="F40" s="30"/>
      <x:c r="G40" s="30"/>
      <x:c r="H40" s="24" t="str"/>
      <x:c r="I40" s="24" t="str">
        <x:v>26</x:v>
      </x:c>
      <x:c r="J40" s="24" t="str">
        <x:f>IF(I40="","계약연령 미입력",IFERROR(IF(H40="","보험연령 미입력",IF(VALUE(H40)=VALUE(I40),"정상",IF(VALUE(H40)&gt;VALUE(I40),"보장 불일치","과보장 점검"))),"계약연령 형식확인"))</x:f>
        <x:v>보험연령 미입력</x:v>
      </x:c>
      <x:c r="K40" s="24" t="str">
        <x:v>보험 자료 없음</x:v>
      </x:c>
      <x:c r="L40" s="24" t="str">
        <x:v>이영민</x:v>
      </x:c>
      <x:c r="M40" s="24" t="str"/>
      <x:c r="N40" s="24" t="str"/>
      <x:c r="O40" s="24" t="str">
        <x:v>확인필요</x:v>
      </x:c>
      <x:c r="P40" s="24" t="str"/>
    </x:row>
    <x:row r="41" ht="17.25" customHeight="1">
      <x:c r="A41" s="24" t="str">
        <x:v>SW-I-97러0815</x:v>
      </x:c>
      <x:c r="B41" s="24" t="str">
        <x:v>스위치플랜</x:v>
      </x:c>
      <x:c r="C41" s="24" t="str">
        <x:v>97러0815</x:v>
      </x:c>
      <x:c r="D41" s="24" t="str">
        <x:v>DB</x:v>
      </x:c>
      <x:c r="E41" s="24" t="str"/>
      <x:c r="F41" s="30"/>
      <x:c r="G41" s="30"/>
      <x:c r="H41" s="24" t="str"/>
      <x:c r="I41" s="24" t="str">
        <x:v>35</x:v>
      </x:c>
      <x:c r="J41" s="24" t="str">
        <x:f>IF(I41="","계약연령 미입력",IFERROR(IF(H41="","보험연령 미입력",IF(VALUE(H41)=VALUE(I41),"정상",IF(VALUE(H41)&gt;VALUE(I41),"보장 불일치","과보장 점검"))),"계약연령 형식확인"))</x:f>
        <x:v>보험연령 미입력</x:v>
      </x:c>
      <x:c r="K41" s="24" t="str">
        <x:v>보험 자료 없음</x:v>
      </x:c>
      <x:c r="L41" s="24" t="str">
        <x:v>쏘노엠</x:v>
      </x:c>
      <x:c r="M41" s="24" t="str"/>
      <x:c r="N41" s="24" t="str"/>
      <x:c r="O41" s="24" t="str">
        <x:v>확인필요</x:v>
      </x:c>
      <x:c r="P41" s="24" t="str"/>
    </x:row>
    <x:row r="42" ht="17.25" customHeight="1">
      <x:c r="A42" s="24" t="str">
        <x:v>SW-I-68서5320</x:v>
      </x:c>
      <x:c r="B42" s="24" t="str">
        <x:v>스위치플랜</x:v>
      </x:c>
      <x:c r="C42" s="24" t="str">
        <x:v>68서5320</x:v>
      </x:c>
      <x:c r="D42" s="24" t="str">
        <x:v>DB</x:v>
      </x:c>
      <x:c r="E42" s="24" t="str"/>
      <x:c r="F42" s="30"/>
      <x:c r="G42" s="30"/>
      <x:c r="H42" s="24" t="str"/>
      <x:c r="I42" s="24" t="str">
        <x:v>26</x:v>
      </x:c>
      <x:c r="J42" s="24" t="str">
        <x:f>IF(I42="","계약연령 미입력",IFERROR(IF(H42="","보험연령 미입력",IF(VALUE(H42)=VALUE(I42),"정상",IF(VALUE(H42)&gt;VALUE(I42),"보장 불일치","과보장 점검"))),"계약연령 형식확인"))</x:f>
        <x:v>보험연령 미입력</x:v>
      </x:c>
      <x:c r="K42" s="24" t="str">
        <x:v>보험 자료 없음</x:v>
      </x:c>
      <x:c r="L42" s="24" t="str">
        <x:v>이승조</x:v>
      </x:c>
      <x:c r="M42" s="24" t="str"/>
      <x:c r="N42" s="24" t="str"/>
      <x:c r="O42" s="24" t="str">
        <x:v>확인필요</x:v>
      </x:c>
      <x:c r="P42" s="24" t="str"/>
    </x:row>
    <x:row r="43" ht="17.25" customHeight="1">
      <x:c r="A43" s="24" t="str">
        <x:v>SW-I-28구4152</x:v>
      </x:c>
      <x:c r="B43" s="24" t="str">
        <x:v>스위치플랜</x:v>
      </x:c>
      <x:c r="C43" s="24" t="str">
        <x:v>28구4152</x:v>
      </x:c>
      <x:c r="D43" s="24" t="str">
        <x:v>DB</x:v>
      </x:c>
      <x:c r="E43" s="24" t="str"/>
      <x:c r="F43" s="30"/>
      <x:c r="G43" s="30"/>
      <x:c r="H43" s="24" t="str"/>
      <x:c r="I43" s="24" t="str">
        <x:v>35</x:v>
      </x:c>
      <x:c r="J43" s="24" t="str">
        <x:f>IF(I43="","계약연령 미입력",IFERROR(IF(H43="","보험연령 미입력",IF(VALUE(H43)=VALUE(I43),"정상",IF(VALUE(H43)&gt;VALUE(I43),"보장 불일치","과보장 점검"))),"계약연령 형식확인"))</x:f>
        <x:v>보험연령 미입력</x:v>
      </x:c>
      <x:c r="K43" s="24" t="str">
        <x:v>보험 자료 없음</x:v>
      </x:c>
      <x:c r="L43" s="24" t="str">
        <x:v>김경남</x:v>
      </x:c>
      <x:c r="M43" s="24" t="str"/>
      <x:c r="N43" s="24" t="str"/>
      <x:c r="O43" s="24" t="str">
        <x:v>확인필요</x:v>
      </x:c>
      <x:c r="P43" s="24" t="str"/>
    </x:row>
    <x:row r="44" ht="17.25" customHeight="1">
      <x:c r="A44" s="24" t="str">
        <x:v>SW-I-365주3303</x:v>
      </x:c>
      <x:c r="B44" s="24" t="str">
        <x:v>스위치플랜</x:v>
      </x:c>
      <x:c r="C44" s="24" t="str">
        <x:v>365주3303</x:v>
      </x:c>
      <x:c r="D44" s="24" t="str">
        <x:v>DB</x:v>
      </x:c>
      <x:c r="E44" s="24" t="str"/>
      <x:c r="F44" s="30"/>
      <x:c r="G44" s="30"/>
      <x:c r="H44" s="24" t="str"/>
      <x:c r="I44" s="24" t="str">
        <x:v>35</x:v>
      </x:c>
      <x:c r="J44" s="24" t="str">
        <x:f>IF(I44="","계약연령 미입력",IFERROR(IF(H44="","보험연령 미입력",IF(VALUE(H44)=VALUE(I44),"정상",IF(VALUE(H44)&gt;VALUE(I44),"보장 불일치","과보장 점검"))),"계약연령 형식확인"))</x:f>
        <x:v>보험연령 미입력</x:v>
      </x:c>
      <x:c r="K44" s="24" t="str">
        <x:v>보험 자료 없음</x:v>
      </x:c>
      <x:c r="L44" s="24" t="str">
        <x:v>이은규</x:v>
      </x:c>
      <x:c r="M44" s="24" t="str"/>
      <x:c r="N44" s="24" t="str"/>
      <x:c r="O44" s="24" t="str">
        <x:v>확인필요</x:v>
      </x:c>
      <x:c r="P44" s="24" t="str"/>
    </x:row>
    <x:row r="45" ht="17.25" customHeight="1">
      <x:c r="A45" s="24" t="str">
        <x:v>SW-I-165서6056</x:v>
      </x:c>
      <x:c r="B45" s="24" t="str">
        <x:v>스위치플랜</x:v>
      </x:c>
      <x:c r="C45" s="24" t="str">
        <x:v>165서6056</x:v>
      </x:c>
      <x:c r="D45" s="24" t="str">
        <x:v>DB</x:v>
      </x:c>
      <x:c r="E45" s="24" t="str"/>
      <x:c r="F45" s="30"/>
      <x:c r="G45" s="30"/>
      <x:c r="H45" s="24" t="str"/>
      <x:c r="I45" s="24" t="str">
        <x:v>35</x:v>
      </x:c>
      <x:c r="J45" s="24" t="str">
        <x:f>IF(I45="","계약연령 미입력",IFERROR(IF(H45="","보험연령 미입력",IF(VALUE(H45)=VALUE(I45),"정상",IF(VALUE(H45)&gt;VALUE(I45),"보장 불일치","과보장 점검"))),"계약연령 형식확인"))</x:f>
        <x:v>보험연령 미입력</x:v>
      </x:c>
      <x:c r="K45" s="24" t="str">
        <x:v>보험 자료 없음</x:v>
      </x:c>
      <x:c r="L45" s="24" t="str">
        <x:v>백규열</x:v>
      </x:c>
      <x:c r="M45" s="24" t="str"/>
      <x:c r="N45" s="24" t="str"/>
      <x:c r="O45" s="24" t="str">
        <x:v>확인필요</x:v>
      </x:c>
      <x:c r="P45" s="24" t="str"/>
    </x:row>
    <x:row r="46" ht="17.25" customHeight="1">
      <x:c r="A46" s="24" t="str">
        <x:v>SW-I-32어3092</x:v>
      </x:c>
      <x:c r="B46" s="24" t="str">
        <x:v>스위치플랜</x:v>
      </x:c>
      <x:c r="C46" s="24" t="str">
        <x:v>32어3092</x:v>
      </x:c>
      <x:c r="D46" s="24" t="str">
        <x:v>삼성</x:v>
      </x:c>
      <x:c r="E46" s="24" t="str"/>
      <x:c r="F46" s="30"/>
      <x:c r="G46" s="30"/>
      <x:c r="H46" s="24" t="str"/>
      <x:c r="I46" s="24" t="str">
        <x:v>개인</x:v>
      </x:c>
      <x:c r="J46" s="24" t="str">
        <x:f>IF(I46="","계약연령 미입력",IFERROR(IF(H46="","보험연령 미입력",IF(VALUE(H46)=VALUE(I46),"정상",IF(VALUE(H46)&gt;VALUE(I46),"보장 불일치","과보장 점검"))),"계약연령 형식확인"))</x:f>
        <x:v>보험연령 미입력</x:v>
      </x:c>
      <x:c r="K46" s="24" t="str">
        <x:v>보험 자료 없음</x:v>
      </x:c>
      <x:c r="L46" s="24" t="str">
        <x:v>박태윤</x:v>
      </x:c>
      <x:c r="M46" s="24" t="str"/>
      <x:c r="N46" s="24" t="str"/>
      <x:c r="O46" s="24" t="str">
        <x:v>확인필요</x:v>
      </x:c>
      <x:c r="P46" s="24" t="str"/>
    </x:row>
    <x:row r="47" ht="17.25" customHeight="1">
      <x:c r="A47" s="24" t="str">
        <x:v>SW-I-193우6384</x:v>
      </x:c>
      <x:c r="B47" s="24" t="str">
        <x:v>스위치플랜</x:v>
      </x:c>
      <x:c r="C47" s="24" t="str">
        <x:v>193우6384</x:v>
      </x:c>
      <x:c r="D47" s="24" t="str">
        <x:v>AXA</x:v>
      </x:c>
      <x:c r="E47" s="24" t="str"/>
      <x:c r="F47" s="30"/>
      <x:c r="G47" s="30"/>
      <x:c r="H47" s="24" t="str"/>
      <x:c r="I47" s="24" t="str">
        <x:v>24</x:v>
      </x:c>
      <x:c r="J47" s="24" t="str">
        <x:f>IF(I47="","계약연령 미입력",IFERROR(IF(H47="","보험연령 미입력",IF(VALUE(H47)=VALUE(I47),"정상",IF(VALUE(H47)&gt;VALUE(I47),"보장 불일치","과보장 점검"))),"계약연령 형식확인"))</x:f>
        <x:v>보험연령 미입력</x:v>
      </x:c>
      <x:c r="K47" s="24" t="str">
        <x:v>보험 자료 없음</x:v>
      </x:c>
      <x:c r="L47" s="24" t="str">
        <x:v>김도건</x:v>
      </x:c>
      <x:c r="M47" s="24" t="str"/>
      <x:c r="N47" s="24" t="str"/>
      <x:c r="O47" s="24" t="str">
        <x:v>확인필요</x:v>
      </x:c>
      <x:c r="P47" s="24" t="str"/>
    </x:row>
    <x:row r="48" ht="17.25" customHeight="1">
      <x:c r="A48" s="24" t="str">
        <x:v>SW-I-293서9081</x:v>
      </x:c>
      <x:c r="B48" s="24" t="str">
        <x:v>스위치플랜</x:v>
      </x:c>
      <x:c r="C48" s="24" t="str">
        <x:v>293서9081</x:v>
      </x:c>
      <x:c r="D48" s="24" t="str">
        <x:v>DB</x:v>
      </x:c>
      <x:c r="E48" s="24" t="str"/>
      <x:c r="F48" s="30"/>
      <x:c r="G48" s="30"/>
      <x:c r="H48" s="24" t="str"/>
      <x:c r="I48" s="24" t="str">
        <x:v>35</x:v>
      </x:c>
      <x:c r="J48" s="24" t="str">
        <x:f>IF(I48="","계약연령 미입력",IFERROR(IF(H48="","보험연령 미입력",IF(VALUE(H48)=VALUE(I48),"정상",IF(VALUE(H48)&gt;VALUE(I48),"보장 불일치","과보장 점검"))),"계약연령 형식확인"))</x:f>
        <x:v>보험연령 미입력</x:v>
      </x:c>
      <x:c r="K48" s="24" t="str">
        <x:v>보험 자료 없음</x:v>
      </x:c>
      <x:c r="L48" s="24" t="str">
        <x:v>진보민</x:v>
      </x:c>
      <x:c r="M48" s="24" t="str"/>
      <x:c r="N48" s="24" t="str"/>
      <x:c r="O48" s="24" t="str">
        <x:v>확인필요</x:v>
      </x:c>
      <x:c r="P48" s="24" t="str"/>
    </x:row>
    <x:row r="49" ht="17.25" customHeight="1">
      <x:c r="A49" s="24" t="str">
        <x:v>SW-I-149조6163</x:v>
      </x:c>
      <x:c r="B49" s="24" t="str">
        <x:v>스위치플랜</x:v>
      </x:c>
      <x:c r="C49" s="24" t="str">
        <x:v>149조6163</x:v>
      </x:c>
      <x:c r="D49" s="24" t="str">
        <x:v>DB</x:v>
      </x:c>
      <x:c r="E49" s="24" t="str"/>
      <x:c r="F49" s="30"/>
      <x:c r="G49" s="30"/>
      <x:c r="H49" s="24" t="str"/>
      <x:c r="I49" s="24" t="str">
        <x:v>35</x:v>
      </x:c>
      <x:c r="J49" s="24" t="str">
        <x:f>IF(I49="","계약연령 미입력",IFERROR(IF(H49="","보험연령 미입력",IF(VALUE(H49)=VALUE(I49),"정상",IF(VALUE(H49)&gt;VALUE(I49),"보장 불일치","과보장 점검"))),"계약연령 형식확인"))</x:f>
        <x:v>보험연령 미입력</x:v>
      </x:c>
      <x:c r="K49" s="24" t="str">
        <x:v>보험 자료 없음</x:v>
      </x:c>
      <x:c r="L49" s="24" t="str">
        <x:v>한상관</x:v>
      </x:c>
      <x:c r="M49" s="24" t="str"/>
      <x:c r="N49" s="24" t="str"/>
      <x:c r="O49" s="24" t="str">
        <x:v>확인필요</x:v>
      </x:c>
      <x:c r="P49" s="24" t="str"/>
    </x:row>
    <x:row r="50" ht="17.25" customHeight="1">
      <x:c r="A50" s="24" t="str">
        <x:v>SW-I-193우6308</x:v>
      </x:c>
      <x:c r="B50" s="24" t="str">
        <x:v>스위치플랜</x:v>
      </x:c>
      <x:c r="C50" s="24" t="str">
        <x:v>193우6308</x:v>
      </x:c>
      <x:c r="D50" s="24" t="str">
        <x:v>AXA</x:v>
      </x:c>
      <x:c r="E50" s="24" t="str"/>
      <x:c r="F50" s="30"/>
      <x:c r="G50" s="30"/>
      <x:c r="H50" s="24" t="str"/>
      <x:c r="I50" s="24" t="str">
        <x:v>35</x:v>
      </x:c>
      <x:c r="J50" s="24" t="str">
        <x:f>IF(I50="","계약연령 미입력",IFERROR(IF(H50="","보험연령 미입력",IF(VALUE(H50)=VALUE(I50),"정상",IF(VALUE(H50)&gt;VALUE(I50),"보장 불일치","과보장 점검"))),"계약연령 형식확인"))</x:f>
        <x:v>보험연령 미입력</x:v>
      </x:c>
      <x:c r="K50" s="24" t="str">
        <x:v>보험 자료 없음</x:v>
      </x:c>
      <x:c r="L50" s="24" t="str">
        <x:v>권오현</x:v>
      </x:c>
      <x:c r="M50" s="24" t="str"/>
      <x:c r="N50" s="24" t="str"/>
      <x:c r="O50" s="24" t="str">
        <x:v>확인필요</x:v>
      </x:c>
      <x:c r="P50" s="24" t="str"/>
    </x:row>
    <x:row r="51" ht="17.25" customHeight="1">
      <x:c r="A51" s="24" t="str">
        <x:v>SW-I-314구7889</x:v>
      </x:c>
      <x:c r="B51" s="24" t="str">
        <x:v>스위치플랜</x:v>
      </x:c>
      <x:c r="C51" s="24" t="str">
        <x:v>314구7889</x:v>
      </x:c>
      <x:c r="D51" s="24" t="str">
        <x:v>DB</x:v>
      </x:c>
      <x:c r="E51" s="24" t="str"/>
      <x:c r="F51" s="30"/>
      <x:c r="G51" s="30"/>
      <x:c r="H51" s="24" t="str"/>
      <x:c r="I51" s="24" t="str">
        <x:v>35</x:v>
      </x:c>
      <x:c r="J51" s="24" t="str">
        <x:f>IF(I51="","계약연령 미입력",IFERROR(IF(H51="","보험연령 미입력",IF(VALUE(H51)=VALUE(I51),"정상",IF(VALUE(H51)&gt;VALUE(I51),"보장 불일치","과보장 점검"))),"계약연령 형식확인"))</x:f>
        <x:v>보험연령 미입력</x:v>
      </x:c>
      <x:c r="K51" s="24" t="str">
        <x:v>보험 자료 없음</x:v>
      </x:c>
      <x:c r="L51" s="24" t="str">
        <x:v>홍미정</x:v>
      </x:c>
      <x:c r="M51" s="24" t="str"/>
      <x:c r="N51" s="24" t="str"/>
      <x:c r="O51" s="24" t="str">
        <x:v>확인필요</x:v>
      </x:c>
      <x:c r="P51" s="24" t="str"/>
    </x:row>
    <x:row r="52" ht="17.25" customHeight="1">
      <x:c r="A52" s="24" t="str">
        <x:v>SW-I-383마3206</x:v>
      </x:c>
      <x:c r="B52" s="24" t="str">
        <x:v>스위치플랜</x:v>
      </x:c>
      <x:c r="C52" s="24" t="str">
        <x:v>383마3206</x:v>
      </x:c>
      <x:c r="D52" s="24" t="str">
        <x:v>DB</x:v>
      </x:c>
      <x:c r="E52" s="24" t="str"/>
      <x:c r="F52" s="30"/>
      <x:c r="G52" s="30"/>
      <x:c r="H52" s="24" t="str"/>
      <x:c r="I52" s="24" t="str">
        <x:v>30</x:v>
      </x:c>
      <x:c r="J52" s="24" t="str">
        <x:f>IF(I52="","계약연령 미입력",IFERROR(IF(H52="","보험연령 미입력",IF(VALUE(H52)=VALUE(I52),"정상",IF(VALUE(H52)&gt;VALUE(I52),"보장 불일치","과보장 점검"))),"계약연령 형식확인"))</x:f>
        <x:v>보험연령 미입력</x:v>
      </x:c>
      <x:c r="K52" s="24" t="str">
        <x:v>보험 자료 없음</x:v>
      </x:c>
      <x:c r="L52" s="24" t="str">
        <x:v>이수정</x:v>
      </x:c>
      <x:c r="M52" s="24" t="str"/>
      <x:c r="N52" s="24" t="str"/>
      <x:c r="O52" s="24" t="str">
        <x:v>확인필요</x:v>
      </x:c>
      <x:c r="P52" s="24" t="str"/>
    </x:row>
    <x:row r="53" ht="17.25" customHeight="1">
      <x:c r="A53" s="24" t="str">
        <x:v>SW-I-193우6312</x:v>
      </x:c>
      <x:c r="B53" s="24" t="str">
        <x:v>스위치플랜</x:v>
      </x:c>
      <x:c r="C53" s="24" t="str">
        <x:v>193우6312</x:v>
      </x:c>
      <x:c r="D53" s="24" t="str">
        <x:v>DB</x:v>
      </x:c>
      <x:c r="E53" s="24" t="str"/>
      <x:c r="F53" s="30"/>
      <x:c r="G53" s="30"/>
      <x:c r="H53" s="24" t="str"/>
      <x:c r="I53" s="24" t="str">
        <x:v>35</x:v>
      </x:c>
      <x:c r="J53" s="24" t="str">
        <x:f>IF(I53="","계약연령 미입력",IFERROR(IF(H53="","보험연령 미입력",IF(VALUE(H53)=VALUE(I53),"정상",IF(VALUE(H53)&gt;VALUE(I53),"보장 불일치","과보장 점검"))),"계약연령 형식확인"))</x:f>
        <x:v>보험연령 미입력</x:v>
      </x:c>
      <x:c r="K53" s="24" t="str">
        <x:v>보험 자료 없음</x:v>
      </x:c>
      <x:c r="L53" s="24" t="str">
        <x:v>김서진</x:v>
      </x:c>
      <x:c r="M53" s="24" t="str"/>
      <x:c r="N53" s="24" t="str"/>
      <x:c r="O53" s="24" t="str">
        <x:v>확인필요</x:v>
      </x:c>
      <x:c r="P53" s="24" t="str"/>
    </x:row>
    <x:row r="54" ht="17.25" customHeight="1">
      <x:c r="A54" s="24" t="str">
        <x:v>SW-I-193우6391</x:v>
      </x:c>
      <x:c r="B54" s="24" t="str">
        <x:v>스위치플랜</x:v>
      </x:c>
      <x:c r="C54" s="24" t="str">
        <x:v>193우6391</x:v>
      </x:c>
      <x:c r="D54" s="24" t="str">
        <x:v>DB</x:v>
      </x:c>
      <x:c r="E54" s="24" t="str"/>
      <x:c r="F54" s="30"/>
      <x:c r="G54" s="30"/>
      <x:c r="H54" s="24" t="str"/>
      <x:c r="I54" s="24" t="str">
        <x:v>35</x:v>
      </x:c>
      <x:c r="J54" s="24" t="str">
        <x:f>IF(I54="","계약연령 미입력",IFERROR(IF(H54="","보험연령 미입력",IF(VALUE(H54)=VALUE(I54),"정상",IF(VALUE(H54)&gt;VALUE(I54),"보장 불일치","과보장 점검"))),"계약연령 형식확인"))</x:f>
        <x:v>보험연령 미입력</x:v>
      </x:c>
      <x:c r="K54" s="24" t="str">
        <x:v>보험 자료 없음</x:v>
      </x:c>
      <x:c r="L54" s="24" t="str">
        <x:v>엠제이에스</x:v>
      </x:c>
      <x:c r="M54" s="24" t="str"/>
      <x:c r="N54" s="24" t="str"/>
      <x:c r="O54" s="24" t="str">
        <x:v>확인필요</x:v>
      </x:c>
      <x:c r="P54" s="24" t="str"/>
    </x:row>
    <x:row r="55" ht="17.25" customHeight="1">
      <x:c r="A55" s="24" t="str">
        <x:v>SW-I-193우6343</x:v>
      </x:c>
      <x:c r="B55" s="24" t="str">
        <x:v>스위치플랜</x:v>
      </x:c>
      <x:c r="C55" s="24" t="str">
        <x:v>193우6343</x:v>
      </x:c>
      <x:c r="D55" s="24" t="str">
        <x:v>DB</x:v>
      </x:c>
      <x:c r="E55" s="24" t="str"/>
      <x:c r="F55" s="30"/>
      <x:c r="G55" s="30"/>
      <x:c r="H55" s="24" t="str"/>
      <x:c r="I55" s="24" t="str">
        <x:v>26</x:v>
      </x:c>
      <x:c r="J55" s="24" t="str">
        <x:f>IF(I55="","계약연령 미입력",IFERROR(IF(H55="","보험연령 미입력",IF(VALUE(H55)=VALUE(I55),"정상",IF(VALUE(H55)&gt;VALUE(I55),"보장 불일치","과보장 점검"))),"계약연령 형식확인"))</x:f>
        <x:v>보험연령 미입력</x:v>
      </x:c>
      <x:c r="K55" s="24" t="str">
        <x:v>보험 자료 없음</x:v>
      </x:c>
      <x:c r="L55" s="24" t="str">
        <x:v>권현지</x:v>
      </x:c>
      <x:c r="M55" s="24" t="str"/>
      <x:c r="N55" s="24" t="str"/>
      <x:c r="O55" s="24" t="str">
        <x:v>확인필요</x:v>
      </x:c>
      <x:c r="P55" s="24" t="str"/>
    </x:row>
    <x:row r="56" ht="17.25" customHeight="1">
      <x:c r="A56" s="24" t="str">
        <x:v>SW-I-245고2473</x:v>
      </x:c>
      <x:c r="B56" s="24" t="str">
        <x:v>스위치플랜</x:v>
      </x:c>
      <x:c r="C56" s="24" t="str">
        <x:v>245고2473</x:v>
      </x:c>
      <x:c r="D56" s="24" t="str">
        <x:v>DB</x:v>
      </x:c>
      <x:c r="E56" s="24" t="str"/>
      <x:c r="F56" s="30"/>
      <x:c r="G56" s="30"/>
      <x:c r="H56" s="24" t="str"/>
      <x:c r="I56" s="24" t="str">
        <x:v>35</x:v>
      </x:c>
      <x:c r="J56" s="24" t="str">
        <x:f>IF(I56="","계약연령 미입력",IFERROR(IF(H56="","보험연령 미입력",IF(VALUE(H56)=VALUE(I56),"정상",IF(VALUE(H56)&gt;VALUE(I56),"보장 불일치","과보장 점검"))),"계약연령 형식확인"))</x:f>
        <x:v>보험연령 미입력</x:v>
      </x:c>
      <x:c r="K56" s="24" t="str">
        <x:v>보험 자료 없음</x:v>
      </x:c>
      <x:c r="L56" s="24" t="str">
        <x:v>최윤형</x:v>
      </x:c>
      <x:c r="M56" s="24" t="str"/>
      <x:c r="N56" s="24" t="str"/>
      <x:c r="O56" s="24" t="str">
        <x:v>확인필요</x:v>
      </x:c>
      <x:c r="P56" s="24" t="str"/>
    </x:row>
    <x:row r="57" ht="17.25" customHeight="1">
      <x:c r="A57" s="24" t="str">
        <x:v>SW-I-193우6396</x:v>
      </x:c>
      <x:c r="B57" s="24" t="str">
        <x:v>스위치플랜</x:v>
      </x:c>
      <x:c r="C57" s="24" t="str">
        <x:v>193우6396</x:v>
      </x:c>
      <x:c r="D57" s="24" t="str">
        <x:v>DB</x:v>
      </x:c>
      <x:c r="E57" s="24" t="str"/>
      <x:c r="F57" s="30"/>
      <x:c r="G57" s="30"/>
      <x:c r="H57" s="24" t="str"/>
      <x:c r="I57" s="24" t="str">
        <x:v>35</x:v>
      </x:c>
      <x:c r="J57" s="24" t="str">
        <x:f>IF(I57="","계약연령 미입력",IFERROR(IF(H57="","보험연령 미입력",IF(VALUE(H57)=VALUE(I57),"정상",IF(VALUE(H57)&gt;VALUE(I57),"보장 불일치","과보장 점검"))),"계약연령 형식확인"))</x:f>
        <x:v>보험연령 미입력</x:v>
      </x:c>
      <x:c r="K57" s="24" t="str">
        <x:v>보험 자료 없음</x:v>
      </x:c>
      <x:c r="L57" s="24" t="str">
        <x:v>권성호</x:v>
      </x:c>
      <x:c r="M57" s="24" t="str"/>
      <x:c r="N57" s="24" t="str"/>
      <x:c r="O57" s="24" t="str">
        <x:v>확인필요</x:v>
      </x:c>
      <x:c r="P57" s="24" t="str"/>
    </x:row>
    <x:row r="58" ht="17.25" customHeight="1">
      <x:c r="A58" s="24" t="str">
        <x:v>SW-I-204나2940</x:v>
      </x:c>
      <x:c r="B58" s="24" t="str">
        <x:v>스위치플랜</x:v>
      </x:c>
      <x:c r="C58" s="24" t="str">
        <x:v>204나2940</x:v>
      </x:c>
      <x:c r="D58" s="24" t="str">
        <x:v>AXA</x:v>
      </x:c>
      <x:c r="E58" s="24" t="str"/>
      <x:c r="F58" s="30"/>
      <x:c r="G58" s="30"/>
      <x:c r="H58" s="24" t="str"/>
      <x:c r="I58" s="24" t="str">
        <x:v>26</x:v>
      </x:c>
      <x:c r="J58" s="24" t="str">
        <x:f>IF(I58="","계약연령 미입력",IFERROR(IF(H58="","보험연령 미입력",IF(VALUE(H58)=VALUE(I58),"정상",IF(VALUE(H58)&gt;VALUE(I58),"보장 불일치","과보장 점검"))),"계약연령 형식확인"))</x:f>
        <x:v>보험연령 미입력</x:v>
      </x:c>
      <x:c r="K58" s="24" t="str">
        <x:v>보험 자료 없음</x:v>
      </x:c>
      <x:c r="L58" s="24" t="str">
        <x:v>상품화예정</x:v>
      </x:c>
      <x:c r="M58" s="24" t="str"/>
      <x:c r="N58" s="24" t="str"/>
      <x:c r="O58" s="24" t="str">
        <x:v>확인필요</x:v>
      </x:c>
      <x:c r="P58" s="24" t="str"/>
    </x:row>
    <x:row r="59" ht="17.25" customHeight="1">
      <x:c r="A59" s="24" t="str">
        <x:v>SW-I-204거7383</x:v>
      </x:c>
      <x:c r="B59" s="24" t="str">
        <x:v>스위치플랜</x:v>
      </x:c>
      <x:c r="C59" s="24" t="str">
        <x:v>204거7383</x:v>
      </x:c>
      <x:c r="D59" s="24" t="str">
        <x:v>DB</x:v>
      </x:c>
      <x:c r="E59" s="24" t="str"/>
      <x:c r="F59" s="30"/>
      <x:c r="G59" s="30"/>
      <x:c r="H59" s="24" t="str"/>
      <x:c r="I59" s="24" t="str">
        <x:v>35</x:v>
      </x:c>
      <x:c r="J59" s="24" t="str">
        <x:f>IF(I59="","계약연령 미입력",IFERROR(IF(H59="","보험연령 미입력",IF(VALUE(H59)=VALUE(I59),"정상",IF(VALUE(H59)&gt;VALUE(I59),"보장 불일치","과보장 점검"))),"계약연령 형식확인"))</x:f>
        <x:v>보험연령 미입력</x:v>
      </x:c>
      <x:c r="K59" s="24" t="str">
        <x:v>보험 자료 없음</x:v>
      </x:c>
      <x:c r="L59" s="24" t="str">
        <x:v>박영협대표 지인(이현희)</x:v>
      </x:c>
      <x:c r="M59" s="24" t="str"/>
      <x:c r="N59" s="24" t="str"/>
      <x:c r="O59" s="24" t="str">
        <x:v>확인필요</x:v>
      </x:c>
      <x:c r="P59" s="24" t="str"/>
    </x:row>
    <x:row r="60" ht="17.25" customHeight="1">
      <x:c r="A60" s="24" t="str">
        <x:v>SW-I-15가4481</x:v>
      </x:c>
      <x:c r="B60" s="24" t="str">
        <x:v>스위치플랜</x:v>
      </x:c>
      <x:c r="C60" s="24" t="str">
        <x:v>15가4481</x:v>
      </x:c>
      <x:c r="D60" s="24" t="str">
        <x:v>AXA</x:v>
      </x:c>
      <x:c r="E60" s="24" t="str"/>
      <x:c r="F60" s="30"/>
      <x:c r="G60" s="30"/>
      <x:c r="H60" s="24" t="str"/>
      <x:c r="I60" s="24" t="str">
        <x:v>개인</x:v>
      </x:c>
      <x:c r="J60" s="24" t="str">
        <x:f>IF(I60="","계약연령 미입력",IFERROR(IF(H60="","보험연령 미입력",IF(VALUE(H60)=VALUE(I60),"정상",IF(VALUE(H60)&gt;VALUE(I60),"보장 불일치","과보장 점검"))),"계약연령 형식확인"))</x:f>
        <x:v>보험연령 미입력</x:v>
      </x:c>
      <x:c r="K60" s="24" t="str">
        <x:v>보험 자료 없음</x:v>
      </x:c>
      <x:c r="L60" s="24" t="str">
        <x:v>이용호</x:v>
      </x:c>
      <x:c r="M60" s="24" t="str"/>
      <x:c r="N60" s="24" t="str"/>
      <x:c r="O60" s="24" t="str">
        <x:v>확인필요</x:v>
      </x:c>
      <x:c r="P60" s="24" t="str"/>
    </x:row>
    <x:row r="61" ht="17.25" customHeight="1">
      <x:c r="A61" s="24" t="str">
        <x:v>SW-I-299수4820</x:v>
      </x:c>
      <x:c r="B61" s="24" t="str">
        <x:v>스위치플랜</x:v>
      </x:c>
      <x:c r="C61" s="24" t="str">
        <x:v>299수4820</x:v>
      </x:c>
      <x:c r="D61" s="24" t="str">
        <x:v>DB</x:v>
      </x:c>
      <x:c r="E61" s="24" t="str"/>
      <x:c r="F61" s="30"/>
      <x:c r="G61" s="30"/>
      <x:c r="H61" s="24" t="str"/>
      <x:c r="I61" s="24" t="str">
        <x:v>35</x:v>
      </x:c>
      <x:c r="J61" s="24" t="str">
        <x:f>IF(I61="","계약연령 미입력",IFERROR(IF(H61="","보험연령 미입력",IF(VALUE(H61)=VALUE(I61),"정상",IF(VALUE(H61)&gt;VALUE(I61),"보장 불일치","과보장 점검"))),"계약연령 형식확인"))</x:f>
        <x:v>보험연령 미입력</x:v>
      </x:c>
      <x:c r="K61" s="24" t="str">
        <x:v>보험 자료 없음</x:v>
      </x:c>
      <x:c r="L61" s="24" t="str">
        <x:v>이훈4820</x:v>
      </x:c>
      <x:c r="M61" s="24" t="str"/>
      <x:c r="N61" s="24" t="str"/>
      <x:c r="O61" s="24" t="str">
        <x:v>확인필요</x:v>
      </x:c>
      <x:c r="P61" s="24" t="str"/>
    </x:row>
    <x:row r="62" ht="17.25" customHeight="1">
      <x:c r="A62" s="24" t="str">
        <x:v>SW-I-154모5759</x:v>
      </x:c>
      <x:c r="B62" s="24" t="str">
        <x:v>스위치플랜</x:v>
      </x:c>
      <x:c r="C62" s="24" t="str">
        <x:v>154모5759</x:v>
      </x:c>
      <x:c r="D62" s="24" t="str">
        <x:v>DB</x:v>
      </x:c>
      <x:c r="E62" s="24" t="str"/>
      <x:c r="F62" s="30"/>
      <x:c r="G62" s="30"/>
      <x:c r="H62" s="24" t="str"/>
      <x:c r="I62" s="24" t="str">
        <x:v>35</x:v>
      </x:c>
      <x:c r="J62" s="24" t="str">
        <x:f>IF(I62="","계약연령 미입력",IFERROR(IF(H62="","보험연령 미입력",IF(VALUE(H62)=VALUE(I62),"정상",IF(VALUE(H62)&gt;VALUE(I62),"보장 불일치","과보장 점검"))),"계약연령 형식확인"))</x:f>
        <x:v>보험연령 미입력</x:v>
      </x:c>
      <x:c r="K62" s="24" t="str">
        <x:v>보험 자료 없음</x:v>
      </x:c>
      <x:c r="L62" s="24" t="str">
        <x:v>아산휴먼</x:v>
      </x:c>
      <x:c r="M62" s="24" t="str"/>
      <x:c r="N62" s="24" t="str"/>
      <x:c r="O62" s="24" t="str">
        <x:v>확인필요</x:v>
      </x:c>
      <x:c r="P62" s="24" t="str"/>
    </x:row>
    <x:row r="63" ht="17.25" customHeight="1">
      <x:c r="A63" s="24" t="str">
        <x:v>SW-I-135수5711</x:v>
      </x:c>
      <x:c r="B63" s="24" t="str">
        <x:v>스위치플랜</x:v>
      </x:c>
      <x:c r="C63" s="24" t="str">
        <x:v>135수5711</x:v>
      </x:c>
      <x:c r="D63" s="24" t="str">
        <x:v>DB</x:v>
      </x:c>
      <x:c r="E63" s="24" t="str"/>
      <x:c r="F63" s="30"/>
      <x:c r="G63" s="30"/>
      <x:c r="H63" s="24" t="str"/>
      <x:c r="I63" s="24" t="str">
        <x:v>35</x:v>
      </x:c>
      <x:c r="J63" s="24" t="str">
        <x:f>IF(I63="","계약연령 미입력",IFERROR(IF(H63="","보험연령 미입력",IF(VALUE(H63)=VALUE(I63),"정상",IF(VALUE(H63)&gt;VALUE(I63),"보장 불일치","과보장 점검"))),"계약연령 형식확인"))</x:f>
        <x:v>보험연령 미입력</x:v>
      </x:c>
      <x:c r="K63" s="24" t="str">
        <x:v>보험 자료 없음</x:v>
      </x:c>
      <x:c r="L63" s="24" t="str">
        <x:v>상품화예정</x:v>
      </x:c>
      <x:c r="M63" s="24" t="str"/>
      <x:c r="N63" s="24" t="str"/>
      <x:c r="O63" s="24" t="str">
        <x:v>확인필요</x:v>
      </x:c>
      <x:c r="P63" s="24" t="str"/>
    </x:row>
    <x:row r="64" ht="17.25" customHeight="1">
      <x:c r="A64" s="24" t="str">
        <x:v>SW-I-94주0700</x:v>
      </x:c>
      <x:c r="B64" s="24" t="str">
        <x:v>스위치플랜</x:v>
      </x:c>
      <x:c r="C64" s="24" t="str">
        <x:v>94주0700</x:v>
      </x:c>
      <x:c r="D64" s="24" t="str">
        <x:v>DB</x:v>
      </x:c>
      <x:c r="E64" s="24" t="str"/>
      <x:c r="F64" s="30"/>
      <x:c r="G64" s="30"/>
      <x:c r="H64" s="24" t="str"/>
      <x:c r="I64" s="24" t="str">
        <x:v>35</x:v>
      </x:c>
      <x:c r="J64" s="24" t="str">
        <x:f>IF(I64="","계약연령 미입력",IFERROR(IF(H64="","보험연령 미입력",IF(VALUE(H64)=VALUE(I64),"정상",IF(VALUE(H64)&gt;VALUE(I64),"보장 불일치","과보장 점검"))),"계약연령 형식확인"))</x:f>
        <x:v>보험연령 미입력</x:v>
      </x:c>
      <x:c r="K64" s="24" t="str">
        <x:v>보험 자료 없음</x:v>
      </x:c>
      <x:c r="L64" s="24" t="str">
        <x:v>신태민</x:v>
      </x:c>
      <x:c r="M64" s="24" t="str"/>
      <x:c r="N64" s="24" t="str"/>
      <x:c r="O64" s="24" t="str">
        <x:v>확인필요</x:v>
      </x:c>
      <x:c r="P64" s="24" t="str"/>
    </x:row>
    <x:row r="65" ht="17.25" customHeight="1">
      <x:c r="A65" s="24" t="str">
        <x:v>SW-I-236로9998</x:v>
      </x:c>
      <x:c r="B65" s="24" t="str">
        <x:v>스위치플랜</x:v>
      </x:c>
      <x:c r="C65" s="24" t="str">
        <x:v>236로9998</x:v>
      </x:c>
      <x:c r="D65" s="24" t="str">
        <x:v>DB</x:v>
      </x:c>
      <x:c r="E65" s="24" t="str"/>
      <x:c r="F65" s="30"/>
      <x:c r="G65" s="30"/>
      <x:c r="H65" s="24" t="str"/>
      <x:c r="I65" s="24" t="str">
        <x:v>개인</x:v>
      </x:c>
      <x:c r="J65" s="24" t="str">
        <x:f>IF(I65="","계약연령 미입력",IFERROR(IF(H65="","보험연령 미입력",IF(VALUE(H65)=VALUE(I65),"정상",IF(VALUE(H65)&gt;VALUE(I65),"보장 불일치","과보장 점검"))),"계약연령 형식확인"))</x:f>
        <x:v>보험연령 미입력</x:v>
      </x:c>
      <x:c r="K65" s="24" t="str">
        <x:v>보험 자료 없음</x:v>
      </x:c>
      <x:c r="L65" s="24" t="str">
        <x:v>유승</x:v>
      </x:c>
      <x:c r="M65" s="24" t="str"/>
      <x:c r="N65" s="24" t="str"/>
      <x:c r="O65" s="24" t="str">
        <x:v>확인필요</x:v>
      </x:c>
      <x:c r="P65" s="24" t="str"/>
    </x:row>
    <x:row r="66" ht="17.25" customHeight="1">
      <x:c r="A66" s="24" t="str">
        <x:v>SW-I-45루6163</x:v>
      </x:c>
      <x:c r="B66" s="24" t="str">
        <x:v>스위치플랜</x:v>
      </x:c>
      <x:c r="C66" s="24" t="str">
        <x:v>45루6163</x:v>
      </x:c>
      <x:c r="D66" s="24" t="str">
        <x:v>삼성</x:v>
      </x:c>
      <x:c r="E66" s="24" t="str"/>
      <x:c r="F66" s="30"/>
      <x:c r="G66" s="30"/>
      <x:c r="H66" s="24" t="str"/>
      <x:c r="I66" s="24" t="str">
        <x:v>30</x:v>
      </x:c>
      <x:c r="J66" s="24" t="str">
        <x:f>IF(I66="","계약연령 미입력",IFERROR(IF(H66="","보험연령 미입력",IF(VALUE(H66)=VALUE(I66),"정상",IF(VALUE(H66)&gt;VALUE(I66),"보장 불일치","과보장 점검"))),"계약연령 형식확인"))</x:f>
        <x:v>보험연령 미입력</x:v>
      </x:c>
      <x:c r="K66" s="24" t="str">
        <x:v>보험 자료 없음</x:v>
      </x:c>
      <x:c r="L66" s="24" t="str">
        <x:v>김민수</x:v>
      </x:c>
      <x:c r="M66" s="24" t="str"/>
      <x:c r="N66" s="24" t="str"/>
      <x:c r="O66" s="24" t="str">
        <x:v>확인필요</x:v>
      </x:c>
      <x:c r="P66" s="24" t="str"/>
    </x:row>
    <x:row r="67" ht="17.25" customHeight="1">
      <x:c r="A67" s="24" t="str">
        <x:v>SW-I-143조2022</x:v>
      </x:c>
      <x:c r="B67" s="24" t="str">
        <x:v>스위치플랜</x:v>
      </x:c>
      <x:c r="C67" s="24" t="str">
        <x:v>143조2022</x:v>
      </x:c>
      <x:c r="D67" s="24" t="str">
        <x:v>한화손보</x:v>
      </x:c>
      <x:c r="E67" s="24" t="str"/>
      <x:c r="F67" s="30"/>
      <x:c r="G67" s="30"/>
      <x:c r="H67" s="24" t="str"/>
      <x:c r="I67" s="24" t="str">
        <x:v>개인</x:v>
      </x:c>
      <x:c r="J67" s="24" t="str">
        <x:f>IF(I67="","계약연령 미입력",IFERROR(IF(H67="","보험연령 미입력",IF(VALUE(H67)=VALUE(I67),"정상",IF(VALUE(H67)&gt;VALUE(I67),"보장 불일치","과보장 점검"))),"계약연령 형식확인"))</x:f>
        <x:v>보험연령 미입력</x:v>
      </x:c>
      <x:c r="K67" s="24" t="str">
        <x:v>보험 자료 없음</x:v>
      </x:c>
      <x:c r="L67" s="24" t="str">
        <x:v>김현민</x:v>
      </x:c>
      <x:c r="M67" s="24" t="str"/>
      <x:c r="N67" s="24" t="str"/>
      <x:c r="O67" s="24" t="str">
        <x:v>확인필요</x:v>
      </x:c>
      <x:c r="P67" s="24" t="str"/>
    </x:row>
    <x:row r="68" ht="17.25" customHeight="1">
      <x:c r="A68" s="24" t="str">
        <x:v>SW-I-377마3268</x:v>
      </x:c>
      <x:c r="B68" s="24" t="str">
        <x:v>스위치플랜</x:v>
      </x:c>
      <x:c r="C68" s="24" t="str">
        <x:v>377마3268</x:v>
      </x:c>
      <x:c r="D68" s="24" t="str">
        <x:v>DB</x:v>
      </x:c>
      <x:c r="E68" s="24" t="str"/>
      <x:c r="F68" s="30"/>
      <x:c r="G68" s="30"/>
      <x:c r="H68" s="24" t="str"/>
      <x:c r="I68" s="24" t="str">
        <x:v>26</x:v>
      </x:c>
      <x:c r="J68" s="24" t="str">
        <x:f>IF(I68="","계약연령 미입력",IFERROR(IF(H68="","보험연령 미입력",IF(VALUE(H68)=VALUE(I68),"정상",IF(VALUE(H68)&gt;VALUE(I68),"보장 불일치","과보장 점검"))),"계약연령 형식확인"))</x:f>
        <x:v>보험연령 미입력</x:v>
      </x:c>
      <x:c r="K68" s="24" t="str">
        <x:v>보험 자료 없음</x:v>
      </x:c>
      <x:c r="L68" s="24" t="str">
        <x:v>상품화예정</x:v>
      </x:c>
      <x:c r="M68" s="24" t="str"/>
      <x:c r="N68" s="24" t="str"/>
      <x:c r="O68" s="24" t="str">
        <x:v>확인필요</x:v>
      </x:c>
      <x:c r="P68" s="24" t="str"/>
    </x:row>
    <x:row r="69" ht="17.25" customHeight="1">
      <x:c r="A69" s="24" t="str">
        <x:v>SW-I-104버2190</x:v>
      </x:c>
      <x:c r="B69" s="24" t="str">
        <x:v>스위치플랜</x:v>
      </x:c>
      <x:c r="C69" s="24" t="str">
        <x:v>104버2190</x:v>
      </x:c>
      <x:c r="D69" s="24" t="str">
        <x:v>DB</x:v>
      </x:c>
      <x:c r="E69" s="24" t="str"/>
      <x:c r="F69" s="30"/>
      <x:c r="G69" s="30"/>
      <x:c r="H69" s="24" t="str"/>
      <x:c r="I69" s="24" t="str">
        <x:v>35</x:v>
      </x:c>
      <x:c r="J69" s="24" t="str">
        <x:f>IF(I69="","계약연령 미입력",IFERROR(IF(H69="","보험연령 미입력",IF(VALUE(H69)=VALUE(I69),"정상",IF(VALUE(H69)&gt;VALUE(I69),"보장 불일치","과보장 점검"))),"계약연령 형식확인"))</x:f>
        <x:v>보험연령 미입력</x:v>
      </x:c>
      <x:c r="K69" s="24" t="str">
        <x:v>보험 자료 없음</x:v>
      </x:c>
      <x:c r="L69" s="24" t="str">
        <x:v>박지혜</x:v>
      </x:c>
      <x:c r="M69" s="24" t="str"/>
      <x:c r="N69" s="24" t="str"/>
      <x:c r="O69" s="24" t="str">
        <x:v>확인필요</x:v>
      </x:c>
      <x:c r="P69" s="24" t="str"/>
    </x:row>
    <x:row r="70" ht="17.25" customHeight="1">
      <x:c r="A70" s="24" t="str">
        <x:v>SW-I-155라6323</x:v>
      </x:c>
      <x:c r="B70" s="24" t="str">
        <x:v>스위치플랜</x:v>
      </x:c>
      <x:c r="C70" s="24" t="str">
        <x:v>155라6323</x:v>
      </x:c>
      <x:c r="D70" s="24" t="str">
        <x:v>DB</x:v>
      </x:c>
      <x:c r="E70" s="24" t="str"/>
      <x:c r="F70" s="30"/>
      <x:c r="G70" s="30"/>
      <x:c r="H70" s="24" t="str"/>
      <x:c r="I70" s="24" t="str">
        <x:v>24</x:v>
      </x:c>
      <x:c r="J70" s="24" t="str">
        <x:f>IF(I70="","계약연령 미입력",IFERROR(IF(H70="","보험연령 미입력",IF(VALUE(H70)=VALUE(I70),"정상",IF(VALUE(H70)&gt;VALUE(I70),"보장 불일치","과보장 점검"))),"계약연령 형식확인"))</x:f>
        <x:v>보험연령 미입력</x:v>
      </x:c>
      <x:c r="K70" s="24" t="str">
        <x:v>보험 자료 없음</x:v>
      </x:c>
      <x:c r="L70" s="24" t="str">
        <x:v>장준</x:v>
      </x:c>
      <x:c r="M70" s="24" t="str"/>
      <x:c r="N70" s="24" t="str"/>
      <x:c r="O70" s="24" t="str">
        <x:v>확인필요</x:v>
      </x:c>
      <x:c r="P70" s="24" t="str"/>
    </x:row>
    <x:row r="71" ht="17.25" customHeight="1">
      <x:c r="A71" s="24" t="str">
        <x:v>SW-I-325구9443</x:v>
      </x:c>
      <x:c r="B71" s="24" t="str">
        <x:v>스위치플랜</x:v>
      </x:c>
      <x:c r="C71" s="24" t="str">
        <x:v>325구9443</x:v>
      </x:c>
      <x:c r="D71" s="24" t="str">
        <x:v>DB</x:v>
      </x:c>
      <x:c r="E71" s="24" t="str"/>
      <x:c r="F71" s="30"/>
      <x:c r="G71" s="30"/>
      <x:c r="H71" s="24" t="str"/>
      <x:c r="I71" s="24" t="str">
        <x:v>26</x:v>
      </x:c>
      <x:c r="J71" s="24" t="str">
        <x:f>IF(I71="","계약연령 미입력",IFERROR(IF(H71="","보험연령 미입력",IF(VALUE(H71)=VALUE(I71),"정상",IF(VALUE(H71)&gt;VALUE(I71),"보장 불일치","과보장 점검"))),"계약연령 형식확인"))</x:f>
        <x:v>보험연령 미입력</x:v>
      </x:c>
      <x:c r="K71" s="24" t="str">
        <x:v>보험 자료 없음</x:v>
      </x:c>
      <x:c r="L71" s="24" t="str">
        <x:v>최정훈</x:v>
      </x:c>
      <x:c r="M71" s="24" t="str"/>
      <x:c r="N71" s="24" t="str"/>
      <x:c r="O71" s="24" t="str">
        <x:v>확인필요</x:v>
      </x:c>
      <x:c r="P71" s="24" t="str"/>
    </x:row>
    <x:row r="72" ht="17.25" customHeight="1">
      <x:c r="A72" s="24" t="str">
        <x:v>SW-I-268저3547</x:v>
      </x:c>
      <x:c r="B72" s="24" t="str">
        <x:v>스위치플랜</x:v>
      </x:c>
      <x:c r="C72" s="24" t="str">
        <x:v>268저3547</x:v>
      </x:c>
      <x:c r="D72" s="24" t="str">
        <x:v>DB</x:v>
      </x:c>
      <x:c r="E72" s="24" t="str"/>
      <x:c r="F72" s="30"/>
      <x:c r="G72" s="30"/>
      <x:c r="H72" s="24" t="str"/>
      <x:c r="I72" s="24" t="str">
        <x:v>35</x:v>
      </x:c>
      <x:c r="J72" s="24" t="str">
        <x:f>IF(I72="","계약연령 미입력",IFERROR(IF(H72="","보험연령 미입력",IF(VALUE(H72)=VALUE(I72),"정상",IF(VALUE(H72)&gt;VALUE(I72),"보장 불일치","과보장 점검"))),"계약연령 형식확인"))</x:f>
        <x:v>보험연령 미입력</x:v>
      </x:c>
      <x:c r="K72" s="24" t="str">
        <x:v>보험 자료 없음</x:v>
      </x:c>
      <x:c r="L72" s="24" t="str">
        <x:v>제이엠</x:v>
      </x:c>
      <x:c r="M72" s="24" t="str"/>
      <x:c r="N72" s="24" t="str"/>
      <x:c r="O72" s="24" t="str">
        <x:v>확인필요</x:v>
      </x:c>
      <x:c r="P72" s="24" t="str"/>
    </x:row>
    <x:row r="73" ht="17.25" customHeight="1">
      <x:c r="A73" s="24" t="str">
        <x:v>SW-I-336소9711</x:v>
      </x:c>
      <x:c r="B73" s="24" t="str">
        <x:v>스위치플랜</x:v>
      </x:c>
      <x:c r="C73" s="24" t="str">
        <x:v>336소9711</x:v>
      </x:c>
      <x:c r="D73" s="24" t="str">
        <x:v>DB</x:v>
      </x:c>
      <x:c r="E73" s="24" t="str"/>
      <x:c r="F73" s="30"/>
      <x:c r="G73" s="30"/>
      <x:c r="H73" s="24" t="str"/>
      <x:c r="I73" s="24" t="str">
        <x:v>24</x:v>
      </x:c>
      <x:c r="J73" s="24" t="str">
        <x:f>IF(I73="","계약연령 미입력",IFERROR(IF(H73="","보험연령 미입력",IF(VALUE(H73)=VALUE(I73),"정상",IF(VALUE(H73)&gt;VALUE(I73),"보장 불일치","과보장 점검"))),"계약연령 형식확인"))</x:f>
        <x:v>보험연령 미입력</x:v>
      </x:c>
      <x:c r="K73" s="24" t="str">
        <x:v>보험 자료 없음</x:v>
      </x:c>
      <x:c r="L73" s="24" t="str">
        <x:v>문성오</x:v>
      </x:c>
      <x:c r="M73" s="24" t="str"/>
      <x:c r="N73" s="24" t="str"/>
      <x:c r="O73" s="24" t="str">
        <x:v>확인필요</x:v>
      </x:c>
      <x:c r="P73" s="24" t="str"/>
    </x:row>
    <x:row r="74" ht="17.25" customHeight="1">
      <x:c r="A74" s="24" t="str">
        <x:v>SW-I-182거8282</x:v>
      </x:c>
      <x:c r="B74" s="24" t="str">
        <x:v>스위치플랜</x:v>
      </x:c>
      <x:c r="C74" s="24" t="str">
        <x:v>182거8282</x:v>
      </x:c>
      <x:c r="D74" s="24" t="str">
        <x:v>DB</x:v>
      </x:c>
      <x:c r="E74" s="24" t="str"/>
      <x:c r="F74" s="30"/>
      <x:c r="G74" s="30"/>
      <x:c r="H74" s="24" t="str"/>
      <x:c r="I74" s="24" t="str">
        <x:v>35</x:v>
      </x:c>
      <x:c r="J74" s="24" t="str">
        <x:f>IF(I74="","계약연령 미입력",IFERROR(IF(H74="","보험연령 미입력",IF(VALUE(H74)=VALUE(I74),"정상",IF(VALUE(H74)&gt;VALUE(I74),"보장 불일치","과보장 점검"))),"계약연령 형식확인"))</x:f>
        <x:v>보험연령 미입력</x:v>
      </x:c>
      <x:c r="K74" s="24" t="str">
        <x:v>보험 자료 없음</x:v>
      </x:c>
      <x:c r="L74" s="24" t="str">
        <x:v>지승언</x:v>
      </x:c>
      <x:c r="M74" s="24" t="str"/>
      <x:c r="N74" s="24" t="str"/>
      <x:c r="O74" s="24" t="str">
        <x:v>확인필요</x:v>
      </x:c>
      <x:c r="P74" s="24" t="str"/>
    </x:row>
    <x:row r="75" ht="17.25" customHeight="1">
      <x:c r="A75" s="24" t="str">
        <x:v>SW-I-165다5063</x:v>
      </x:c>
      <x:c r="B75" s="24" t="str">
        <x:v>스위치플랜</x:v>
      </x:c>
      <x:c r="C75" s="24" t="str">
        <x:v>165다5063</x:v>
      </x:c>
      <x:c r="D75" s="24" t="str">
        <x:v>DB</x:v>
      </x:c>
      <x:c r="E75" s="24" t="str"/>
      <x:c r="F75" s="30"/>
      <x:c r="G75" s="30"/>
      <x:c r="H75" s="24" t="str"/>
      <x:c r="I75" s="24" t="str">
        <x:v>35</x:v>
      </x:c>
      <x:c r="J75" s="24" t="str">
        <x:f>IF(I75="","계약연령 미입력",IFERROR(IF(H75="","보험연령 미입력",IF(VALUE(H75)=VALUE(I75),"정상",IF(VALUE(H75)&gt;VALUE(I75),"보장 불일치","과보장 점검"))),"계약연령 형식확인"))</x:f>
        <x:v>보험연령 미입력</x:v>
      </x:c>
      <x:c r="K75" s="24" t="str">
        <x:v>보험 자료 없음</x:v>
      </x:c>
      <x:c r="L75" s="24" t="str">
        <x:v>정성</x:v>
      </x:c>
      <x:c r="M75" s="24" t="str"/>
      <x:c r="N75" s="24" t="str"/>
      <x:c r="O75" s="24" t="str">
        <x:v>확인필요</x:v>
      </x:c>
      <x:c r="P75" s="24" t="str"/>
    </x:row>
    <x:row r="76" ht="17.25" customHeight="1">
      <x:c r="A76" s="24" t="str">
        <x:v>SW-I-145가1781</x:v>
      </x:c>
      <x:c r="B76" s="24" t="str">
        <x:v>스위치플랜</x:v>
      </x:c>
      <x:c r="C76" s="24" t="str">
        <x:v>145가1781</x:v>
      </x:c>
      <x:c r="D76" s="24" t="str">
        <x:v>DB</x:v>
      </x:c>
      <x:c r="E76" s="24" t="str"/>
      <x:c r="F76" s="30"/>
      <x:c r="G76" s="30"/>
      <x:c r="H76" s="24" t="str"/>
      <x:c r="I76" s="24" t="str">
        <x:v>35</x:v>
      </x:c>
      <x:c r="J76" s="24" t="str">
        <x:f>IF(I76="","계약연령 미입력",IFERROR(IF(H76="","보험연령 미입력",IF(VALUE(H76)=VALUE(I76),"정상",IF(VALUE(H76)&gt;VALUE(I76),"보장 불일치","과보장 점검"))),"계약연령 형식확인"))</x:f>
        <x:v>보험연령 미입력</x:v>
      </x:c>
      <x:c r="K76" s="24" t="str">
        <x:v>보험 자료 없음</x:v>
      </x:c>
      <x:c r="L76" s="24" t="str">
        <x:v>김용순</x:v>
      </x:c>
      <x:c r="M76" s="24" t="str"/>
      <x:c r="N76" s="24" t="str"/>
      <x:c r="O76" s="24" t="str">
        <x:v>확인필요</x:v>
      </x:c>
      <x:c r="P76" s="24" t="str"/>
    </x:row>
    <x:row r="77" ht="17.25" customHeight="1">
      <x:c r="A77" s="24" t="str">
        <x:v>SW-I-145가1796</x:v>
      </x:c>
      <x:c r="B77" s="24" t="str">
        <x:v>스위치플랜</x:v>
      </x:c>
      <x:c r="C77" s="24" t="str">
        <x:v>145가1796</x:v>
      </x:c>
      <x:c r="D77" s="24" t="str">
        <x:v>DB</x:v>
      </x:c>
      <x:c r="E77" s="24" t="str"/>
      <x:c r="F77" s="30"/>
      <x:c r="G77" s="30"/>
      <x:c r="H77" s="24" t="str"/>
      <x:c r="I77" s="24" t="str">
        <x:v>30</x:v>
      </x:c>
      <x:c r="J77" s="24" t="str">
        <x:f>IF(I77="","계약연령 미입력",IFERROR(IF(H77="","보험연령 미입력",IF(VALUE(H77)=VALUE(I77),"정상",IF(VALUE(H77)&gt;VALUE(I77),"보장 불일치","과보장 점검"))),"계약연령 형식확인"))</x:f>
        <x:v>보험연령 미입력</x:v>
      </x:c>
      <x:c r="K77" s="24" t="str">
        <x:v>보험 자료 없음</x:v>
      </x:c>
      <x:c r="L77" s="24" t="str">
        <x:v>정유림</x:v>
      </x:c>
      <x:c r="M77" s="24" t="str"/>
      <x:c r="N77" s="24" t="str"/>
      <x:c r="O77" s="24" t="str">
        <x:v>확인필요</x:v>
      </x:c>
      <x:c r="P77" s="24" t="str"/>
    </x:row>
    <x:row r="78" ht="17.25" customHeight="1">
      <x:c r="A78" s="24" t="str">
        <x:v>SW-I-155라6311</x:v>
      </x:c>
      <x:c r="B78" s="24" t="str">
        <x:v>스위치플랜</x:v>
      </x:c>
      <x:c r="C78" s="24" t="str">
        <x:v>155라6311</x:v>
      </x:c>
      <x:c r="D78" s="24" t="str">
        <x:v>DB</x:v>
      </x:c>
      <x:c r="E78" s="24" t="str"/>
      <x:c r="F78" s="30"/>
      <x:c r="G78" s="30"/>
      <x:c r="H78" s="24" t="str"/>
      <x:c r="I78" s="24" t="str">
        <x:v>35</x:v>
      </x:c>
      <x:c r="J78" s="24" t="str">
        <x:f>IF(I78="","계약연령 미입력",IFERROR(IF(H78="","보험연령 미입력",IF(VALUE(H78)=VALUE(I78),"정상",IF(VALUE(H78)&gt;VALUE(I78),"보장 불일치","과보장 점검"))),"계약연령 형식확인"))</x:f>
        <x:v>보험연령 미입력</x:v>
      </x:c>
      <x:c r="K78" s="24" t="str">
        <x:v>보험 자료 없음</x:v>
      </x:c>
      <x:c r="L78" s="24" t="str">
        <x:v>상품화예정</x:v>
      </x:c>
      <x:c r="M78" s="24" t="str"/>
      <x:c r="N78" s="24" t="str"/>
      <x:c r="O78" s="24" t="str">
        <x:v>확인필요</x:v>
      </x:c>
      <x:c r="P78" s="24" t="str"/>
    </x:row>
    <x:row r="79" ht="17.25" customHeight="1">
      <x:c r="A79" s="24" t="str">
        <x:v>SW-I-155라6331</x:v>
      </x:c>
      <x:c r="B79" s="24" t="str">
        <x:v>스위치플랜</x:v>
      </x:c>
      <x:c r="C79" s="24" t="str">
        <x:v>155라6331</x:v>
      </x:c>
      <x:c r="D79" s="24" t="str">
        <x:v>DB</x:v>
      </x:c>
      <x:c r="E79" s="24" t="str"/>
      <x:c r="F79" s="30"/>
      <x:c r="G79" s="30"/>
      <x:c r="H79" s="24" t="str"/>
      <x:c r="I79" s="24" t="str">
        <x:v>30</x:v>
      </x:c>
      <x:c r="J79" s="24" t="str">
        <x:f>IF(I79="","계약연령 미입력",IFERROR(IF(H79="","보험연령 미입력",IF(VALUE(H79)=VALUE(I79),"정상",IF(VALUE(H79)&gt;VALUE(I79),"보장 불일치","과보장 점검"))),"계약연령 형식확인"))</x:f>
        <x:v>보험연령 미입력</x:v>
      </x:c>
      <x:c r="K79" s="24" t="str">
        <x:v>보험 자료 없음</x:v>
      </x:c>
      <x:c r="L79" s="24" t="str">
        <x:v>김지현</x:v>
      </x:c>
      <x:c r="M79" s="24" t="str"/>
      <x:c r="N79" s="24" t="str"/>
      <x:c r="O79" s="24" t="str">
        <x:v>확인필요</x:v>
      </x:c>
      <x:c r="P79" s="24" t="str"/>
    </x:row>
    <x:row r="80" ht="17.25" customHeight="1">
      <x:c r="A80" s="24" t="str">
        <x:v>SW-I-248너5286</x:v>
      </x:c>
      <x:c r="B80" s="24" t="str">
        <x:v>스위치플랜</x:v>
      </x:c>
      <x:c r="C80" s="24" t="str">
        <x:v>248너5286</x:v>
      </x:c>
      <x:c r="D80" s="24" t="str">
        <x:v>DB</x:v>
      </x:c>
      <x:c r="E80" s="24" t="str"/>
      <x:c r="F80" s="30"/>
      <x:c r="G80" s="30"/>
      <x:c r="H80" s="24" t="str"/>
      <x:c r="I80" s="24" t="str">
        <x:v>35</x:v>
      </x:c>
      <x:c r="J80" s="24" t="str">
        <x:f>IF(I80="","계약연령 미입력",IFERROR(IF(H80="","보험연령 미입력",IF(VALUE(H80)=VALUE(I80),"정상",IF(VALUE(H80)&gt;VALUE(I80),"보장 불일치","과보장 점검"))),"계약연령 형식확인"))</x:f>
        <x:v>보험연령 미입력</x:v>
      </x:c>
      <x:c r="K80" s="24" t="str">
        <x:v>보험 자료 없음</x:v>
      </x:c>
      <x:c r="L80" s="24" t="str">
        <x:v>김후집</x:v>
      </x:c>
      <x:c r="M80" s="24" t="str"/>
      <x:c r="N80" s="24" t="str"/>
      <x:c r="O80" s="24" t="str">
        <x:v>확인필요</x:v>
      </x:c>
      <x:c r="P80" s="24" t="str"/>
    </x:row>
    <x:row r="81" ht="17.25" customHeight="1">
      <x:c r="A81" s="24" t="str">
        <x:v>SW-I-350수9623</x:v>
      </x:c>
      <x:c r="B81" s="24" t="str">
        <x:v>스위치플랜</x:v>
      </x:c>
      <x:c r="C81" s="24" t="str">
        <x:v>350수9623</x:v>
      </x:c>
      <x:c r="D81" s="24" t="str">
        <x:v>삼성</x:v>
      </x:c>
      <x:c r="E81" s="24" t="str"/>
      <x:c r="F81" s="30"/>
      <x:c r="G81" s="30"/>
      <x:c r="H81" s="24" t="str"/>
      <x:c r="I81" s="24" t="str">
        <x:v>개인</x:v>
      </x:c>
      <x:c r="J81" s="24" t="str">
        <x:f>IF(I81="","계약연령 미입력",IFERROR(IF(H81="","보험연령 미입력",IF(VALUE(H81)=VALUE(I81),"정상",IF(VALUE(H81)&gt;VALUE(I81),"보장 불일치","과보장 점검"))),"계약연령 형식확인"))</x:f>
        <x:v>보험연령 미입력</x:v>
      </x:c>
      <x:c r="K81" s="24" t="str">
        <x:v>보험 자료 없음</x:v>
      </x:c>
      <x:c r="L81" s="24" t="str">
        <x:v>청산물류</x:v>
      </x:c>
      <x:c r="M81" s="24" t="str"/>
      <x:c r="N81" s="24" t="str"/>
      <x:c r="O81" s="24" t="str">
        <x:v>확인필요</x:v>
      </x:c>
      <x:c r="P81" s="24" t="str"/>
    </x:row>
    <x:row r="82" ht="17.25" customHeight="1">
      <x:c r="A82" s="24" t="str">
        <x:v>SW-I-827버3872</x:v>
      </x:c>
      <x:c r="B82" s="24" t="str">
        <x:v>스위치플랜</x:v>
      </x:c>
      <x:c r="C82" s="24" t="str">
        <x:v>827버3872</x:v>
      </x:c>
      <x:c r="D82" s="24" t="str">
        <x:v>AXA</x:v>
      </x:c>
      <x:c r="E82" s="24" t="str"/>
      <x:c r="F82" s="30"/>
      <x:c r="G82" s="30"/>
      <x:c r="H82" s="24" t="str"/>
      <x:c r="I82" s="24" t="str">
        <x:v>35</x:v>
      </x:c>
      <x:c r="J82" s="24" t="str">
        <x:f>IF(I82="","계약연령 미입력",IFERROR(IF(H82="","보험연령 미입력",IF(VALUE(H82)=VALUE(I82),"정상",IF(VALUE(H82)&gt;VALUE(I82),"보장 불일치","과보장 점검"))),"계약연령 형식확인"))</x:f>
        <x:v>보험연령 미입력</x:v>
      </x:c>
      <x:c r="K82" s="24" t="str">
        <x:v>보험 자료 없음</x:v>
      </x:c>
      <x:c r="L82" s="24" t="str">
        <x:v>전국연합누수119</x:v>
      </x:c>
      <x:c r="M82" s="24" t="str"/>
      <x:c r="N82" s="24" t="str"/>
      <x:c r="O82" s="24" t="str">
        <x:v>확인필요</x:v>
      </x:c>
      <x:c r="P82" s="24" t="str"/>
    </x:row>
    <x:row r="83" ht="17.25" customHeight="1">
      <x:c r="A83" s="24" t="str">
        <x:v>SW-I-201다3498</x:v>
      </x:c>
      <x:c r="B83" s="24" t="str">
        <x:v>스위치플랜</x:v>
      </x:c>
      <x:c r="C83" s="24" t="str">
        <x:v>201다3498</x:v>
      </x:c>
      <x:c r="D83" s="24" t="str">
        <x:v>DB</x:v>
      </x:c>
      <x:c r="E83" s="24" t="str"/>
      <x:c r="F83" s="30"/>
      <x:c r="G83" s="30"/>
      <x:c r="H83" s="24" t="str"/>
      <x:c r="I83" s="24" t="str">
        <x:v>35</x:v>
      </x:c>
      <x:c r="J83" s="24" t="str">
        <x:f>IF(I83="","계약연령 미입력",IFERROR(IF(H83="","보험연령 미입력",IF(VALUE(H83)=VALUE(I83),"정상",IF(VALUE(H83)&gt;VALUE(I83),"보장 불일치","과보장 점검"))),"계약연령 형식확인"))</x:f>
        <x:v>보험연령 미입력</x:v>
      </x:c>
      <x:c r="K83" s="24" t="str">
        <x:v>보험 자료 없음</x:v>
      </x:c>
      <x:c r="L83" s="24" t="str">
        <x:v>남정식</x:v>
      </x:c>
      <x:c r="M83" s="24" t="str"/>
      <x:c r="N83" s="24" t="str"/>
      <x:c r="O83" s="24" t="str">
        <x:v>확인필요</x:v>
      </x:c>
      <x:c r="P83" s="24" t="str"/>
    </x:row>
    <x:row r="84" ht="17.25" customHeight="1">
      <x:c r="A84" s="24" t="str">
        <x:v>SW-I-288수6402</x:v>
      </x:c>
      <x:c r="B84" s="24" t="str">
        <x:v>스위치플랜</x:v>
      </x:c>
      <x:c r="C84" s="24" t="str">
        <x:v>288수6402</x:v>
      </x:c>
      <x:c r="D84" s="24" t="str">
        <x:v>DB</x:v>
      </x:c>
      <x:c r="E84" s="24" t="str"/>
      <x:c r="F84" s="30"/>
      <x:c r="G84" s="30"/>
      <x:c r="H84" s="24" t="str"/>
      <x:c r="I84" s="24" t="str">
        <x:v>35</x:v>
      </x:c>
      <x:c r="J84" s="24" t="str">
        <x:f>IF(I84="","계약연령 미입력",IFERROR(IF(H84="","보험연령 미입력",IF(VALUE(H84)=VALUE(I84),"정상",IF(VALUE(H84)&gt;VALUE(I84),"보장 불일치","과보장 점검"))),"계약연령 형식확인"))</x:f>
        <x:v>보험연령 미입력</x:v>
      </x:c>
      <x:c r="K84" s="24" t="str">
        <x:v>보험 자료 없음</x:v>
      </x:c>
      <x:c r="L84" s="24" t="str">
        <x:v>김서운</x:v>
      </x:c>
      <x:c r="M84" s="24" t="str"/>
      <x:c r="N84" s="24" t="str"/>
      <x:c r="O84" s="24" t="str">
        <x:v>확인필요</x:v>
      </x:c>
      <x:c r="P84" s="24" t="str"/>
    </x:row>
    <x:row r="85" ht="17.25" customHeight="1">
      <x:c r="A85" s="24" t="str">
        <x:v>SW-I-244루2757</x:v>
      </x:c>
      <x:c r="B85" s="24" t="str">
        <x:v>스위치플랜</x:v>
      </x:c>
      <x:c r="C85" s="24" t="str">
        <x:v>244루2757</x:v>
      </x:c>
      <x:c r="D85" s="24" t="str">
        <x:v>삼성</x:v>
      </x:c>
      <x:c r="E85" s="24" t="str"/>
      <x:c r="F85" s="30"/>
      <x:c r="G85" s="30"/>
      <x:c r="H85" s="24" t="str"/>
      <x:c r="I85" s="24" t="str">
        <x:v>개인</x:v>
      </x:c>
      <x:c r="J85" s="24" t="str">
        <x:f>IF(I85="","계약연령 미입력",IFERROR(IF(H85="","보험연령 미입력",IF(VALUE(H85)=VALUE(I85),"정상",IF(VALUE(H85)&gt;VALUE(I85),"보장 불일치","과보장 점검"))),"계약연령 형식확인"))</x:f>
        <x:v>보험연령 미입력</x:v>
      </x:c>
      <x:c r="K85" s="24" t="str">
        <x:v>보험 자료 없음</x:v>
      </x:c>
      <x:c r="L85" s="24" t="str">
        <x:v>홍이삭</x:v>
      </x:c>
      <x:c r="M85" s="24" t="str"/>
      <x:c r="N85" s="24" t="str"/>
      <x:c r="O85" s="24" t="str">
        <x:v>확인필요</x:v>
      </x:c>
      <x:c r="P85" s="24" t="str"/>
    </x:row>
    <x:row r="86" ht="17.25" customHeight="1">
      <x:c r="A86" s="24" t="str">
        <x:v>SW-I-330모8787</x:v>
      </x:c>
      <x:c r="B86" s="24" t="str">
        <x:v>스위치플랜</x:v>
      </x:c>
      <x:c r="C86" s="24" t="str">
        <x:v>330모8787</x:v>
      </x:c>
      <x:c r="D86" s="24" t="str">
        <x:v>DB</x:v>
      </x:c>
      <x:c r="E86" s="24" t="str"/>
      <x:c r="F86" s="30"/>
      <x:c r="G86" s="30"/>
      <x:c r="H86" s="24" t="str"/>
      <x:c r="I86" s="24" t="str">
        <x:v>26</x:v>
      </x:c>
      <x:c r="J86" s="24" t="str">
        <x:f>IF(I86="","계약연령 미입력",IFERROR(IF(H86="","보험연령 미입력",IF(VALUE(H86)=VALUE(I86),"정상",IF(VALUE(H86)&gt;VALUE(I86),"보장 불일치","과보장 점검"))),"계약연령 형식확인"))</x:f>
        <x:v>보험연령 미입력</x:v>
      </x:c>
      <x:c r="K86" s="24" t="str">
        <x:v>보험 자료 없음</x:v>
      </x:c>
      <x:c r="L86" s="24" t="str">
        <x:v>이상원</x:v>
      </x:c>
      <x:c r="M86" s="24" t="str"/>
      <x:c r="N86" s="24" t="str"/>
      <x:c r="O86" s="24" t="str">
        <x:v>확인필요</x:v>
      </x:c>
      <x:c r="P86" s="24" t="str"/>
    </x:row>
    <x:row r="87" ht="17.25" customHeight="1">
      <x:c r="A87" s="24" t="str">
        <x:v>SW-I-186고4026</x:v>
      </x:c>
      <x:c r="B87" s="24" t="str">
        <x:v>스위치플랜</x:v>
      </x:c>
      <x:c r="C87" s="24" t="str">
        <x:v>186고4026</x:v>
      </x:c>
      <x:c r="D87" s="24" t="str">
        <x:v>AXA</x:v>
      </x:c>
      <x:c r="E87" s="24" t="str"/>
      <x:c r="F87" s="30"/>
      <x:c r="G87" s="30"/>
      <x:c r="H87" s="24" t="str"/>
      <x:c r="I87" s="24" t="str">
        <x:v>35</x:v>
      </x:c>
      <x:c r="J87" s="24" t="str">
        <x:f>IF(I87="","계약연령 미입력",IFERROR(IF(H87="","보험연령 미입력",IF(VALUE(H87)=VALUE(I87),"정상",IF(VALUE(H87)&gt;VALUE(I87),"보장 불일치","과보장 점검"))),"계약연령 형식확인"))</x:f>
        <x:v>보험연령 미입력</x:v>
      </x:c>
      <x:c r="K87" s="24" t="str">
        <x:v>보험 자료 없음</x:v>
      </x:c>
      <x:c r="L87" s="24" t="str">
        <x:v>김경호</x:v>
      </x:c>
      <x:c r="M87" s="24" t="str"/>
      <x:c r="N87" s="24" t="str"/>
      <x:c r="O87" s="24" t="str">
        <x:v>확인필요</x:v>
      </x:c>
      <x:c r="P87" s="24" t="str"/>
    </x:row>
    <x:row r="88" ht="17.25" customHeight="1">
      <x:c r="A88" s="24" t="str">
        <x:v>SW-I-151나8783</x:v>
      </x:c>
      <x:c r="B88" s="24" t="str">
        <x:v>스위치플랜</x:v>
      </x:c>
      <x:c r="C88" s="24" t="str">
        <x:v>151나8783</x:v>
      </x:c>
      <x:c r="D88" s="24" t="str">
        <x:v>DB</x:v>
      </x:c>
      <x:c r="E88" s="24" t="str"/>
      <x:c r="F88" s="30"/>
      <x:c r="G88" s="30"/>
      <x:c r="H88" s="24" t="str"/>
      <x:c r="I88" s="24" t="str">
        <x:v>26</x:v>
      </x:c>
      <x:c r="J88" s="24" t="str">
        <x:f>IF(I88="","계약연령 미입력",IFERROR(IF(H88="","보험연령 미입력",IF(VALUE(H88)=VALUE(I88),"정상",IF(VALUE(H88)&gt;VALUE(I88),"보장 불일치","과보장 점검"))),"계약연령 형식확인"))</x:f>
        <x:v>보험연령 미입력</x:v>
      </x:c>
      <x:c r="K88" s="24" t="str">
        <x:v>보험 자료 없음</x:v>
      </x:c>
      <x:c r="L88" s="24" t="str">
        <x:v>황우정</x:v>
      </x:c>
      <x:c r="M88" s="24" t="str"/>
      <x:c r="N88" s="24" t="str"/>
      <x:c r="O88" s="24" t="str">
        <x:v>확인필요</x:v>
      </x:c>
      <x:c r="P88" s="24" t="str"/>
    </x:row>
    <x:row r="89" ht="17.25" customHeight="1">
      <x:c r="A89" s="24" t="str">
        <x:v>SW-I-181조8459</x:v>
      </x:c>
      <x:c r="B89" s="24" t="str">
        <x:v>스위치플랜</x:v>
      </x:c>
      <x:c r="C89" s="24" t="str">
        <x:v>181조8459</x:v>
      </x:c>
      <x:c r="D89" s="24" t="str">
        <x:v>AXA</x:v>
      </x:c>
      <x:c r="E89" s="24" t="str"/>
      <x:c r="F89" s="30"/>
      <x:c r="G89" s="30"/>
      <x:c r="H89" s="24" t="str"/>
      <x:c r="I89" s="24" t="str">
        <x:v>개인</x:v>
      </x:c>
      <x:c r="J89" s="24" t="str">
        <x:f>IF(I89="","계약연령 미입력",IFERROR(IF(H89="","보험연령 미입력",IF(VALUE(H89)=VALUE(I89),"정상",IF(VALUE(H89)&gt;VALUE(I89),"보장 불일치","과보장 점검"))),"계약연령 형식확인"))</x:f>
        <x:v>보험연령 미입력</x:v>
      </x:c>
      <x:c r="K89" s="24" t="str">
        <x:v>보험 자료 없음</x:v>
      </x:c>
      <x:c r="L89" s="24" t="str">
        <x:v>배성호</x:v>
      </x:c>
      <x:c r="M89" s="24" t="str"/>
      <x:c r="N89" s="24" t="str"/>
      <x:c r="O89" s="24" t="str">
        <x:v>확인필요</x:v>
      </x:c>
      <x:c r="P89" s="24" t="str"/>
    </x:row>
    <x:row r="90" ht="17.25" customHeight="1">
      <x:c r="A90" s="24" t="str">
        <x:v>SW-I-120라5445</x:v>
      </x:c>
      <x:c r="B90" s="24" t="str">
        <x:v>스위치플랜</x:v>
      </x:c>
      <x:c r="C90" s="24" t="str">
        <x:v>120라5445</x:v>
      </x:c>
      <x:c r="D90" s="24" t="str">
        <x:v>DB</x:v>
      </x:c>
      <x:c r="E90" s="24" t="str"/>
      <x:c r="F90" s="30"/>
      <x:c r="G90" s="30"/>
      <x:c r="H90" s="24" t="str"/>
      <x:c r="I90" s="24" t="str">
        <x:v>35</x:v>
      </x:c>
      <x:c r="J90" s="24" t="str">
        <x:f>IF(I90="","계약연령 미입력",IFERROR(IF(H90="","보험연령 미입력",IF(VALUE(H90)=VALUE(I90),"정상",IF(VALUE(H90)&gt;VALUE(I90),"보장 불일치","과보장 점검"))),"계약연령 형식확인"))</x:f>
        <x:v>보험연령 미입력</x:v>
      </x:c>
      <x:c r="K90" s="24" t="str">
        <x:v>보험 자료 없음</x:v>
      </x:c>
      <x:c r="L90" s="24" t="str">
        <x:v>백민정</x:v>
      </x:c>
      <x:c r="M90" s="24" t="str"/>
      <x:c r="N90" s="24" t="str"/>
      <x:c r="O90" s="24" t="str">
        <x:v>확인필요</x:v>
      </x:c>
      <x:c r="P90" s="24" t="str"/>
    </x:row>
    <x:row r="91" ht="17.25" customHeight="1">
      <x:c r="A91" s="24" t="str">
        <x:v>SW-I-363소9788</x:v>
      </x:c>
      <x:c r="B91" s="24" t="str">
        <x:v>스위치플랜</x:v>
      </x:c>
      <x:c r="C91" s="24" t="str">
        <x:v>363소9788</x:v>
      </x:c>
      <x:c r="D91" s="24" t="str">
        <x:v>DB</x:v>
      </x:c>
      <x:c r="E91" s="24" t="str"/>
      <x:c r="F91" s="30"/>
      <x:c r="G91" s="30"/>
      <x:c r="H91" s="24" t="str"/>
      <x:c r="I91" s="24" t="str">
        <x:v>35</x:v>
      </x:c>
      <x:c r="J91" s="24" t="str">
        <x:f>IF(I91="","계약연령 미입력",IFERROR(IF(H91="","보험연령 미입력",IF(VALUE(H91)=VALUE(I91),"정상",IF(VALUE(H91)&gt;VALUE(I91),"보장 불일치","과보장 점검"))),"계약연령 형식확인"))</x:f>
        <x:v>보험연령 미입력</x:v>
      </x:c>
      <x:c r="K91" s="24" t="str">
        <x:v>보험 자료 없음</x:v>
      </x:c>
      <x:c r="L91" s="24" t="str">
        <x:v>김기남</x:v>
      </x:c>
      <x:c r="M91" s="24" t="str"/>
      <x:c r="N91" s="24" t="str"/>
      <x:c r="O91" s="24" t="str">
        <x:v>확인필요</x:v>
      </x:c>
      <x:c r="P91" s="24" t="str"/>
    </x:row>
    <x:row r="92" ht="17.25" customHeight="1">
      <x:c r="A92" s="24" t="str">
        <x:v>SW-I-162버2918</x:v>
      </x:c>
      <x:c r="B92" s="24" t="str">
        <x:v>스위치플랜</x:v>
      </x:c>
      <x:c r="C92" s="24" t="str">
        <x:v>162버2918</x:v>
      </x:c>
      <x:c r="D92" s="24" t="str">
        <x:v>DB</x:v>
      </x:c>
      <x:c r="E92" s="24" t="str"/>
      <x:c r="F92" s="30"/>
      <x:c r="G92" s="30"/>
      <x:c r="H92" s="24" t="str"/>
      <x:c r="I92" s="24" t="str">
        <x:v>30</x:v>
      </x:c>
      <x:c r="J92" s="24" t="str">
        <x:f>IF(I92="","계약연령 미입력",IFERROR(IF(H92="","보험연령 미입력",IF(VALUE(H92)=VALUE(I92),"정상",IF(VALUE(H92)&gt;VALUE(I92),"보장 불일치","과보장 점검"))),"계약연령 형식확인"))</x:f>
        <x:v>보험연령 미입력</x:v>
      </x:c>
      <x:c r="K92" s="24" t="str">
        <x:v>보험 자료 없음</x:v>
      </x:c>
      <x:c r="L92" s="24" t="str">
        <x:v>박소희</x:v>
      </x:c>
      <x:c r="M92" s="24" t="str"/>
      <x:c r="N92" s="24" t="str"/>
      <x:c r="O92" s="24" t="str">
        <x:v>확인필요</x:v>
      </x:c>
      <x:c r="P92" s="24" t="str"/>
    </x:row>
    <x:row r="93" ht="17.25" customHeight="1">
      <x:c r="A93" s="24" t="str">
        <x:v>SW-I-286주8294</x:v>
      </x:c>
      <x:c r="B93" s="24" t="str">
        <x:v>스위치플랜</x:v>
      </x:c>
      <x:c r="C93" s="24" t="str">
        <x:v>286주8294</x:v>
      </x:c>
      <x:c r="D93" s="24" t="str">
        <x:v>DB</x:v>
      </x:c>
      <x:c r="E93" s="24" t="str"/>
      <x:c r="F93" s="30"/>
      <x:c r="G93" s="30"/>
      <x:c r="H93" s="24" t="str"/>
      <x:c r="I93" s="24" t="str">
        <x:v>30</x:v>
      </x:c>
      <x:c r="J93" s="24" t="str">
        <x:f>IF(I93="","계약연령 미입력",IFERROR(IF(H93="","보험연령 미입력",IF(VALUE(H93)=VALUE(I93),"정상",IF(VALUE(H93)&gt;VALUE(I93),"보장 불일치","과보장 점검"))),"계약연령 형식확인"))</x:f>
        <x:v>보험연령 미입력</x:v>
      </x:c>
      <x:c r="K93" s="24" t="str">
        <x:v>보험 자료 없음</x:v>
      </x:c>
      <x:c r="L93" s="24" t="str">
        <x:v>성진우</x:v>
      </x:c>
      <x:c r="M93" s="24" t="str"/>
      <x:c r="N93" s="24" t="str"/>
      <x:c r="O93" s="24" t="str">
        <x:v>확인필요</x:v>
      </x:c>
      <x:c r="P93" s="24" t="str"/>
    </x:row>
    <x:row r="94" ht="17.25" customHeight="1">
      <x:c r="A94" s="24" t="str">
        <x:v>SW-I-347다5712</x:v>
      </x:c>
      <x:c r="B94" s="24" t="str">
        <x:v>스위치플랜</x:v>
      </x:c>
      <x:c r="C94" s="24" t="str">
        <x:v>347다5712</x:v>
      </x:c>
      <x:c r="D94" s="24" t="str">
        <x:v>DB</x:v>
      </x:c>
      <x:c r="E94" s="24" t="str"/>
      <x:c r="F94" s="30"/>
      <x:c r="G94" s="30"/>
      <x:c r="H94" s="24" t="str"/>
      <x:c r="I94" s="24" t="str">
        <x:v>35</x:v>
      </x:c>
      <x:c r="J94" s="24" t="str">
        <x:f>IF(I94="","계약연령 미입력",IFERROR(IF(H94="","보험연령 미입력",IF(VALUE(H94)=VALUE(I94),"정상",IF(VALUE(H94)&gt;VALUE(I94),"보장 불일치","과보장 점검"))),"계약연령 형식확인"))</x:f>
        <x:v>보험연령 미입력</x:v>
      </x:c>
      <x:c r="K94" s="24" t="str">
        <x:v>보험 자료 없음</x:v>
      </x:c>
      <x:c r="L94" s="24" t="str">
        <x:v>이은진</x:v>
      </x:c>
      <x:c r="M94" s="24" t="str"/>
      <x:c r="N94" s="24" t="str"/>
      <x:c r="O94" s="24" t="str">
        <x:v>확인필요</x:v>
      </x:c>
      <x:c r="P94" s="24" t="str"/>
    </x:row>
    <x:row r="95" ht="17.25" customHeight="1">
      <x:c r="A95" s="24" t="str">
        <x:v>SW-I-257구2888</x:v>
      </x:c>
      <x:c r="B95" s="24" t="str">
        <x:v>스위치플랜</x:v>
      </x:c>
      <x:c r="C95" s="24" t="str">
        <x:v>257구2888</x:v>
      </x:c>
      <x:c r="D95" s="24" t="str">
        <x:v>DB</x:v>
      </x:c>
      <x:c r="E95" s="24" t="str"/>
      <x:c r="F95" s="30"/>
      <x:c r="G95" s="30"/>
      <x:c r="H95" s="24" t="str"/>
      <x:c r="I95" s="24" t="str">
        <x:v>35</x:v>
      </x:c>
      <x:c r="J95" s="24" t="str">
        <x:f>IF(I95="","계약연령 미입력",IFERROR(IF(H95="","보험연령 미입력",IF(VALUE(H95)=VALUE(I95),"정상",IF(VALUE(H95)&gt;VALUE(I95),"보장 불일치","과보장 점검"))),"계약연령 형식확인"))</x:f>
        <x:v>보험연령 미입력</x:v>
      </x:c>
      <x:c r="K95" s="24" t="str">
        <x:v>보험 자료 없음</x:v>
      </x:c>
      <x:c r="L95" s="24" t="str">
        <x:v>상품화예정</x:v>
      </x:c>
      <x:c r="M95" s="24" t="str"/>
      <x:c r="N95" s="24" t="str"/>
      <x:c r="O95" s="24" t="str">
        <x:v>확인필요</x:v>
      </x:c>
      <x:c r="P95" s="24" t="str"/>
    </x:row>
    <x:row r="96" ht="17.25" customHeight="1">
      <x:c r="A96" s="24" t="str">
        <x:v>SW-I-126서4223</x:v>
      </x:c>
      <x:c r="B96" s="24" t="str">
        <x:v>스위치플랜</x:v>
      </x:c>
      <x:c r="C96" s="24" t="str">
        <x:v>126서4223</x:v>
      </x:c>
      <x:c r="D96" s="24" t="str">
        <x:v>한화손보</x:v>
      </x:c>
      <x:c r="E96" s="24" t="str"/>
      <x:c r="F96" s="30"/>
      <x:c r="G96" s="30"/>
      <x:c r="H96" s="24" t="str"/>
      <x:c r="I96" s="24" t="str">
        <x:v>개인</x:v>
      </x:c>
      <x:c r="J96" s="24" t="str">
        <x:f>IF(I96="","계약연령 미입력",IFERROR(IF(H96="","보험연령 미입력",IF(VALUE(H96)=VALUE(I96),"정상",IF(VALUE(H96)&gt;VALUE(I96),"보장 불일치","과보장 점검"))),"계약연령 형식확인"))</x:f>
        <x:v>보험연령 미입력</x:v>
      </x:c>
      <x:c r="K96" s="24" t="str">
        <x:v>보험 자료 없음</x:v>
      </x:c>
      <x:c r="L96" s="24" t="str">
        <x:v>김민창</x:v>
      </x:c>
      <x:c r="M96" s="24" t="str"/>
      <x:c r="N96" s="24" t="str"/>
      <x:c r="O96" s="24" t="str">
        <x:v>확인필요</x:v>
      </x:c>
      <x:c r="P96" s="24" t="str"/>
    </x:row>
    <x:row r="97" ht="17.25" customHeight="1">
      <x:c r="A97" s="24" t="str">
        <x:v>SW-I-391서7476</x:v>
      </x:c>
      <x:c r="B97" s="24" t="str">
        <x:v>스위치플랜</x:v>
      </x:c>
      <x:c r="C97" s="24" t="str">
        <x:v>391서7476</x:v>
      </x:c>
      <x:c r="D97" s="24" t="str">
        <x:v>DB</x:v>
      </x:c>
      <x:c r="E97" s="24" t="str"/>
      <x:c r="F97" s="30"/>
      <x:c r="G97" s="30"/>
      <x:c r="H97" s="24" t="str"/>
      <x:c r="I97" s="24" t="str">
        <x:v>21</x:v>
      </x:c>
      <x:c r="J97" s="24" t="str">
        <x:f>IF(I97="","계약연령 미입력",IFERROR(IF(H97="","보험연령 미입력",IF(VALUE(H97)=VALUE(I97),"정상",IF(VALUE(H97)&gt;VALUE(I97),"보장 불일치","과보장 점검"))),"계약연령 형식확인"))</x:f>
        <x:v>보험연령 미입력</x:v>
      </x:c>
      <x:c r="K97" s="24" t="str">
        <x:v>보험 자료 없음</x:v>
      </x:c>
      <x:c r="L97" s="24" t="str">
        <x:v>태재완</x:v>
      </x:c>
      <x:c r="M97" s="24" t="str"/>
      <x:c r="N97" s="24" t="str"/>
      <x:c r="O97" s="24" t="str">
        <x:v>확인필요</x:v>
      </x:c>
      <x:c r="P97" s="24" t="str"/>
    </x:row>
    <x:row r="98" ht="17.25" customHeight="1">
      <x:c r="A98" s="24" t="str">
        <x:v>SW-I-139우7166</x:v>
      </x:c>
      <x:c r="B98" s="24" t="str">
        <x:v>스위치플랜</x:v>
      </x:c>
      <x:c r="C98" s="24" t="str">
        <x:v>139우7166</x:v>
      </x:c>
      <x:c r="D98" s="24" t="str">
        <x:v>DB</x:v>
      </x:c>
      <x:c r="E98" s="24" t="str"/>
      <x:c r="F98" s="30"/>
      <x:c r="G98" s="30"/>
      <x:c r="H98" s="24" t="str"/>
      <x:c r="I98" s="24" t="str">
        <x:v>35</x:v>
      </x:c>
      <x:c r="J98" s="24" t="str">
        <x:f>IF(I98="","계약연령 미입력",IFERROR(IF(H98="","보험연령 미입력",IF(VALUE(H98)=VALUE(I98),"정상",IF(VALUE(H98)&gt;VALUE(I98),"보장 불일치","과보장 점검"))),"계약연령 형식확인"))</x:f>
        <x:v>보험연령 미입력</x:v>
      </x:c>
      <x:c r="K98" s="24" t="str">
        <x:v>보험 자료 없음</x:v>
      </x:c>
      <x:c r="L98" s="24" t="str">
        <x:v>박진택</x:v>
      </x:c>
      <x:c r="M98" s="24" t="str"/>
      <x:c r="N98" s="24" t="str"/>
      <x:c r="O98" s="24" t="str">
        <x:v>확인필요</x:v>
      </x:c>
      <x:c r="P98" s="24" t="str"/>
    </x:row>
    <x:row r="99" ht="17.25" customHeight="1">
      <x:c r="A99" s="24" t="str">
        <x:v>SW-I-41호8300</x:v>
      </x:c>
      <x:c r="B99" s="24" t="str">
        <x:v>스위치플랜</x:v>
      </x:c>
      <x:c r="C99" s="24" t="str">
        <x:v>41호8300</x:v>
      </x:c>
      <x:c r="D99" s="24" t="str">
        <x:v>공제조합</x:v>
      </x:c>
      <x:c r="E99" s="24" t="str"/>
      <x:c r="F99" s="30"/>
      <x:c r="G99" s="30"/>
      <x:c r="H99" s="24" t="str"/>
      <x:c r="I99" s="24" t="str">
        <x:v>26</x:v>
      </x:c>
      <x:c r="J99" s="24" t="str">
        <x:f>IF(I99="","계약연령 미입력",IFERROR(IF(H99="","보험연령 미입력",IF(VALUE(H99)=VALUE(I99),"정상",IF(VALUE(H99)&gt;VALUE(I99),"보장 불일치","과보장 점검"))),"계약연령 형식확인"))</x:f>
        <x:v>보험연령 미입력</x:v>
      </x:c>
      <x:c r="K99" s="24" t="str">
        <x:v>보험 자료 없음</x:v>
      </x:c>
      <x:c r="L99" s="24" t="str">
        <x:v>손오공 강태리부장</x:v>
      </x:c>
      <x:c r="M99" s="24" t="str"/>
      <x:c r="N99" s="24" t="str"/>
      <x:c r="O99" s="24" t="str">
        <x:v>확인필요</x:v>
      </x:c>
      <x:c r="P99" s="24" t="str"/>
    </x:row>
    <x:row r="100" ht="17.25" customHeight="1">
      <x:c r="A100" s="24" t="str">
        <x:v>SW-I-41호8301</x:v>
      </x:c>
      <x:c r="B100" s="24" t="str">
        <x:v>스위치플랜</x:v>
      </x:c>
      <x:c r="C100" s="24" t="str">
        <x:v>41호8301</x:v>
      </x:c>
      <x:c r="D100" s="24" t="str">
        <x:v>공제조합</x:v>
      </x:c>
      <x:c r="E100" s="24" t="str"/>
      <x:c r="F100" s="30"/>
      <x:c r="G100" s="30"/>
      <x:c r="H100" s="24" t="str"/>
      <x:c r="I100" s="24" t="str">
        <x:v>26</x:v>
      </x:c>
      <x:c r="J100" s="24" t="str">
        <x:f>IF(I100="","계약연령 미입력",IFERROR(IF(H100="","보험연령 미입력",IF(VALUE(H100)=VALUE(I100),"정상",IF(VALUE(H100)&gt;VALUE(I100),"보장 불일치","과보장 점검"))),"계약연령 형식확인"))</x:f>
        <x:v>보험연령 미입력</x:v>
      </x:c>
      <x:c r="K100" s="24" t="str">
        <x:v>보험 자료 없음</x:v>
      </x:c>
      <x:c r="L100" s="24" t="str">
        <x:v>상품화예정</x:v>
      </x:c>
      <x:c r="M100" s="24" t="str"/>
      <x:c r="N100" s="24" t="str"/>
      <x:c r="O100" s="24" t="str">
        <x:v>확인필요</x:v>
      </x:c>
      <x:c r="P100" s="24" t="str"/>
    </x:row>
    <x:row r="101" ht="17.25" customHeight="1">
      <x:c r="A101" s="24" t="str">
        <x:v>SW-I-41호8302</x:v>
      </x:c>
      <x:c r="B101" s="24" t="str">
        <x:v>스위치플랜</x:v>
      </x:c>
      <x:c r="C101" s="24" t="str">
        <x:v>41호8302</x:v>
      </x:c>
      <x:c r="D101" s="24" t="str">
        <x:v>공제조합</x:v>
      </x:c>
      <x:c r="E101" s="24" t="str"/>
      <x:c r="F101" s="30"/>
      <x:c r="G101" s="30"/>
      <x:c r="H101" s="24" t="str"/>
      <x:c r="I101" s="24" t="str">
        <x:v>26</x:v>
      </x:c>
      <x:c r="J101" s="24" t="str">
        <x:f>IF(I101="","계약연령 미입력",IFERROR(IF(H101="","보험연령 미입력",IF(VALUE(H101)=VALUE(I101),"정상",IF(VALUE(H101)&gt;VALUE(I101),"보장 불일치","과보장 점검"))),"계약연령 형식확인"))</x:f>
        <x:v>보험연령 미입력</x:v>
      </x:c>
      <x:c r="K101" s="24" t="str">
        <x:v>보험 자료 없음</x:v>
      </x:c>
      <x:c r="L101" s="24" t="str">
        <x:v>김성은</x:v>
      </x:c>
      <x:c r="M101" s="24" t="str"/>
      <x:c r="N101" s="24" t="str"/>
      <x:c r="O101" s="24" t="str">
        <x:v>확인필요</x:v>
      </x:c>
      <x:c r="P101" s="24" t="str"/>
    </x:row>
    <x:row r="102" ht="17.25" customHeight="1">
      <x:c r="A102" s="24" t="str">
        <x:v>SW-I-41호8303</x:v>
      </x:c>
      <x:c r="B102" s="24" t="str">
        <x:v>스위치플랜</x:v>
      </x:c>
      <x:c r="C102" s="24" t="str">
        <x:v>41호8303</x:v>
      </x:c>
      <x:c r="D102" s="24" t="str">
        <x:v>공제조합</x:v>
      </x:c>
      <x:c r="E102" s="24" t="str"/>
      <x:c r="F102" s="30"/>
      <x:c r="G102" s="30"/>
      <x:c r="H102" s="24" t="str"/>
      <x:c r="I102" s="24" t="str">
        <x:v>26</x:v>
      </x:c>
      <x:c r="J102" s="24" t="str">
        <x:f>IF(I102="","계약연령 미입력",IFERROR(IF(H102="","보험연령 미입력",IF(VALUE(H102)=VALUE(I102),"정상",IF(VALUE(H102)&gt;VALUE(I102),"보장 불일치","과보장 점검"))),"계약연령 형식확인"))</x:f>
        <x:v>보험연령 미입력</x:v>
      </x:c>
      <x:c r="K102" s="24" t="str">
        <x:v>보험 자료 없음</x:v>
      </x:c>
      <x:c r="L102" s="24" t="str">
        <x:v>또바기</x:v>
      </x:c>
      <x:c r="M102" s="24" t="str"/>
      <x:c r="N102" s="24" t="str"/>
      <x:c r="O102" s="24" t="str">
        <x:v>확인필요</x:v>
      </x:c>
      <x:c r="P102" s="24" t="str"/>
    </x:row>
    <x:row r="103" ht="17.25" customHeight="1">
      <x:c r="A103" s="24" t="str">
        <x:v>SW-I-41호8304</x:v>
      </x:c>
      <x:c r="B103" s="24" t="str">
        <x:v>스위치플랜</x:v>
      </x:c>
      <x:c r="C103" s="24" t="str">
        <x:v>41호8304</x:v>
      </x:c>
      <x:c r="D103" s="24" t="str">
        <x:v>공제조합</x:v>
      </x:c>
      <x:c r="E103" s="24" t="str"/>
      <x:c r="F103" s="30"/>
      <x:c r="G103" s="30"/>
      <x:c r="H103" s="24" t="str"/>
      <x:c r="I103" s="24" t="str">
        <x:v>26</x:v>
      </x:c>
      <x:c r="J103" s="24" t="str">
        <x:f>IF(I103="","계약연령 미입력",IFERROR(IF(H103="","보험연령 미입력",IF(VALUE(H103)=VALUE(I103),"정상",IF(VALUE(H103)&gt;VALUE(I103),"보장 불일치","과보장 점검"))),"계약연령 형식확인"))</x:f>
        <x:v>보험연령 미입력</x:v>
      </x:c>
      <x:c r="K103" s="24" t="str">
        <x:v>보험 자료 없음</x:v>
      </x:c>
      <x:c r="L103" s="24" t="str">
        <x:v>상품화예정</x:v>
      </x:c>
      <x:c r="M103" s="24" t="str"/>
      <x:c r="N103" s="24" t="str"/>
      <x:c r="O103" s="24" t="str">
        <x:v>확인필요</x:v>
      </x:c>
      <x:c r="P103" s="24" t="str"/>
    </x:row>
    <x:row r="104" ht="17.25" customHeight="1">
      <x:c r="A104" s="24" t="str">
        <x:v>SW-I-41호8306</x:v>
      </x:c>
      <x:c r="B104" s="24" t="str">
        <x:v>스위치플랜</x:v>
      </x:c>
      <x:c r="C104" s="24" t="str">
        <x:v>41호8306</x:v>
      </x:c>
      <x:c r="D104" s="24" t="str">
        <x:v>공제조합</x:v>
      </x:c>
      <x:c r="E104" s="24" t="str"/>
      <x:c r="F104" s="30"/>
      <x:c r="G104" s="30"/>
      <x:c r="H104" s="24" t="str"/>
      <x:c r="I104" s="24" t="str">
        <x:v>26</x:v>
      </x:c>
      <x:c r="J104" s="24" t="str">
        <x:f>IF(I104="","계약연령 미입력",IFERROR(IF(H104="","보험연령 미입력",IF(VALUE(H104)=VALUE(I104),"정상",IF(VALUE(H104)&gt;VALUE(I104),"보장 불일치","과보장 점검"))),"계약연령 형식확인"))</x:f>
        <x:v>보험연령 미입력</x:v>
      </x:c>
      <x:c r="K104" s="24" t="str">
        <x:v>보험 자료 없음</x:v>
      </x:c>
      <x:c r="L104" s="24" t="str">
        <x:v>상품화예정</x:v>
      </x:c>
      <x:c r="M104" s="24" t="str"/>
      <x:c r="N104" s="24" t="str"/>
      <x:c r="O104" s="24" t="str">
        <x:v>확인필요</x:v>
      </x:c>
      <x:c r="P104" s="24" t="str"/>
    </x:row>
    <x:row r="105" ht="17.25" customHeight="1">
      <x:c r="A105" s="24" t="str">
        <x:v>SW-I-41호8307</x:v>
      </x:c>
      <x:c r="B105" s="24" t="str">
        <x:v>스위치플랜</x:v>
      </x:c>
      <x:c r="C105" s="24" t="str">
        <x:v>41호8307</x:v>
      </x:c>
      <x:c r="D105" s="24" t="str">
        <x:v>공제조합</x:v>
      </x:c>
      <x:c r="E105" s="24" t="str"/>
      <x:c r="F105" s="30"/>
      <x:c r="G105" s="30"/>
      <x:c r="H105" s="24" t="str"/>
      <x:c r="I105" s="24" t="str">
        <x:v>26</x:v>
      </x:c>
      <x:c r="J105" s="24" t="str">
        <x:f>IF(I105="","계약연령 미입력",IFERROR(IF(H105="","보험연령 미입력",IF(VALUE(H105)=VALUE(I105),"정상",IF(VALUE(H105)&gt;VALUE(I105),"보장 불일치","과보장 점검"))),"계약연령 형식확인"))</x:f>
        <x:v>보험연령 미입력</x:v>
      </x:c>
      <x:c r="K105" s="24" t="str">
        <x:v>보험 자료 없음</x:v>
      </x:c>
      <x:c r="L105" s="24" t="str">
        <x:v>박진용</x:v>
      </x:c>
      <x:c r="M105" s="24" t="str"/>
      <x:c r="N105" s="24" t="str"/>
      <x:c r="O105" s="24" t="str">
        <x:v>확인필요</x:v>
      </x:c>
      <x:c r="P105" s="24" t="str"/>
    </x:row>
    <x:row r="106" ht="17.25" customHeight="1">
      <x:c r="A106" s="24" t="str">
        <x:v>SW-I-17하3915</x:v>
      </x:c>
      <x:c r="B106" s="24" t="str">
        <x:v>스위치플랜</x:v>
      </x:c>
      <x:c r="C106" s="24" t="str">
        <x:v>17하3915</x:v>
      </x:c>
      <x:c r="D106" s="24" t="str">
        <x:v>공제조합</x:v>
      </x:c>
      <x:c r="E106" s="24" t="str"/>
      <x:c r="F106" s="30"/>
      <x:c r="G106" s="30"/>
      <x:c r="H106" s="24" t="str"/>
      <x:c r="I106" s="24" t="str">
        <x:v>26</x:v>
      </x:c>
      <x:c r="J106" s="24" t="str">
        <x:f>IF(I106="","계약연령 미입력",IFERROR(IF(H106="","보험연령 미입력",IF(VALUE(H106)=VALUE(I106),"정상",IF(VALUE(H106)&gt;VALUE(I106),"보장 불일치","과보장 점검"))),"계약연령 형식확인"))</x:f>
        <x:v>보험연령 미입력</x:v>
      </x:c>
      <x:c r="K106" s="24" t="str">
        <x:v>보험 자료 없음</x:v>
      </x:c>
      <x:c r="L106" s="24" t="str">
        <x:v>천설</x:v>
      </x:c>
      <x:c r="M106" s="24" t="str"/>
      <x:c r="N106" s="24" t="str"/>
      <x:c r="O106" s="24" t="str">
        <x:v>확인필요</x:v>
      </x:c>
      <x:c r="P106" s="24" t="str"/>
    </x:row>
    <x:row r="107" ht="17.25" customHeight="1">
      <x:c r="A107" s="24" t="str">
        <x:v>SW-I-17하3922</x:v>
      </x:c>
      <x:c r="B107" s="24" t="str">
        <x:v>스위치플랜</x:v>
      </x:c>
      <x:c r="C107" s="24" t="str">
        <x:v>17하3922</x:v>
      </x:c>
      <x:c r="D107" s="24" t="str">
        <x:v>공제조합</x:v>
      </x:c>
      <x:c r="E107" s="24" t="str"/>
      <x:c r="F107" s="30"/>
      <x:c r="G107" s="30"/>
      <x:c r="H107" s="24" t="str"/>
      <x:c r="I107" s="24" t="str">
        <x:v>21</x:v>
      </x:c>
      <x:c r="J107" s="24" t="str">
        <x:f>IF(I107="","계약연령 미입력",IFERROR(IF(H107="","보험연령 미입력",IF(VALUE(H107)=VALUE(I107),"정상",IF(VALUE(H107)&gt;VALUE(I107),"보장 불일치","과보장 점검"))),"계약연령 형식확인"))</x:f>
        <x:v>보험연령 미입력</x:v>
      </x:c>
      <x:c r="K107" s="24" t="str">
        <x:v>보험 자료 없음</x:v>
      </x:c>
      <x:c r="L107" s="24" t="str">
        <x:v>김상호</x:v>
      </x:c>
      <x:c r="M107" s="24" t="str"/>
      <x:c r="N107" s="24" t="str"/>
      <x:c r="O107" s="24" t="str">
        <x:v>확인필요</x:v>
      </x:c>
      <x:c r="P107" s="24" t="str"/>
    </x:row>
    <x:row r="108" ht="17.25" customHeight="1">
      <x:c r="A108" s="24" t="str">
        <x:v>SW-I-75두7416</x:v>
      </x:c>
      <x:c r="B108" s="24" t="str">
        <x:v>스위치플랜</x:v>
      </x:c>
      <x:c r="C108" s="24" t="str">
        <x:v>75두7416</x:v>
      </x:c>
      <x:c r="D108" s="24" t="str">
        <x:v>AXA</x:v>
      </x:c>
      <x:c r="E108" s="24" t="str"/>
      <x:c r="F108" s="30"/>
      <x:c r="G108" s="30"/>
      <x:c r="H108" s="24" t="str"/>
      <x:c r="I108" s="24" t="str">
        <x:v>35</x:v>
      </x:c>
      <x:c r="J108" s="24" t="str">
        <x:f>IF(I108="","계약연령 미입력",IFERROR(IF(H108="","보험연령 미입력",IF(VALUE(H108)=VALUE(I108),"정상",IF(VALUE(H108)&gt;VALUE(I108),"보장 불일치","과보장 점검"))),"계약연령 형식확인"))</x:f>
        <x:v>보험연령 미입력</x:v>
      </x:c>
      <x:c r="K108" s="24" t="str">
        <x:v>보험 자료 없음</x:v>
      </x:c>
      <x:c r="L108" s="24" t="str">
        <x:v>이훈7416</x:v>
      </x:c>
      <x:c r="M108" s="24" t="str"/>
      <x:c r="N108" s="24" t="str"/>
      <x:c r="O108" s="24" t="str">
        <x:v>확인필요</x:v>
      </x:c>
      <x:c r="P108" s="24" t="str"/>
    </x:row>
    <x:row r="109" ht="17.25" customHeight="1">
      <x:c r="A109" s="24" t="str">
        <x:v>SW-I-161허1751</x:v>
      </x:c>
      <x:c r="B109" s="24" t="str">
        <x:v>스위치플랜</x:v>
      </x:c>
      <x:c r="C109" s="24" t="str">
        <x:v>161허1751</x:v>
      </x:c>
      <x:c r="D109" s="24" t="str">
        <x:v>공제조합</x:v>
      </x:c>
      <x:c r="E109" s="24" t="str"/>
      <x:c r="F109" s="30"/>
      <x:c r="G109" s="30"/>
      <x:c r="H109" s="24" t="str"/>
      <x:c r="I109" s="24" t="str">
        <x:v>35</x:v>
      </x:c>
      <x:c r="J109" s="24" t="str">
        <x:f>IF(I109="","계약연령 미입력",IFERROR(IF(H109="","보험연령 미입력",IF(VALUE(H109)=VALUE(I109),"정상",IF(VALUE(H109)&gt;VALUE(I109),"보장 불일치","과보장 점검"))),"계약연령 형식확인"))</x:f>
        <x:v>보험연령 미입력</x:v>
      </x:c>
      <x:c r="K109" s="24" t="str">
        <x:v>보험 자료 없음</x:v>
      </x:c>
      <x:c r="L109" s="24" t="str">
        <x:v>양용득 상무</x:v>
      </x:c>
      <x:c r="M109" s="24" t="str"/>
      <x:c r="N109" s="24" t="str"/>
      <x:c r="O109" s="24" t="str">
        <x:v>확인필요</x:v>
      </x:c>
      <x:c r="P109" s="24" t="str"/>
    </x:row>
    <x:row r="110" ht="17.25" customHeight="1">
      <x:c r="A110" s="24" t="str">
        <x:v>SW-I-252나8761</x:v>
      </x:c>
      <x:c r="B110" s="24" t="str">
        <x:v>스위치플랜</x:v>
      </x:c>
      <x:c r="C110" s="24" t="str">
        <x:v>252나8761</x:v>
      </x:c>
      <x:c r="D110" s="24" t="str"/>
      <x:c r="E110" s="24" t="str"/>
      <x:c r="F110" s="30"/>
      <x:c r="G110" s="30"/>
      <x:c r="H110" s="24" t="str"/>
      <x:c r="I110" s="24" t="str"/>
      <x:c r="J110" s="24" t="str">
        <x:f>IF(I110="","계약연령 미입력",IFERROR(IF(H110="","보험연령 미입력",IF(VALUE(H110)=VALUE(I110),"정상",IF(VALUE(H110)&gt;VALUE(I110),"보장 불일치","과보장 점검"))),"계약연령 형식확인"))</x:f>
        <x:v>계약연령 미입력</x:v>
      </x:c>
      <x:c r="K110" s="24" t="str">
        <x:v>보험 자료 없음</x:v>
      </x:c>
      <x:c r="L110" s="24" t="str"/>
      <x:c r="M110" s="24" t="str"/>
      <x:c r="N110" s="24" t="str"/>
      <x:c r="O110" s="24" t="str">
        <x:v>확인필요</x:v>
      </x:c>
      <x:c r="P110" s="24" t="str"/>
    </x:row>
    <x:row r="111" ht="17.25" customHeight="1">
      <x:c r="A111" s="24" t="str">
        <x:v>PR-I-01도2340</x:v>
      </x:c>
      <x:c r="B111" s="24" t="str">
        <x:v>프라임구독</x:v>
      </x:c>
      <x:c r="C111" s="24" t="str">
        <x:v>01도2340</x:v>
      </x:c>
      <x:c r="D111" s="24" t="str"/>
      <x:c r="E111" s="24" t="str"/>
      <x:c r="F111" s="30"/>
      <x:c r="G111" s="30" t="n">
        <x:v>46117</x:v>
      </x:c>
      <x:c r="H111" s="24" t="str"/>
      <x:c r="I111" s="24" t="str"/>
      <x:c r="J111" s="24" t="str">
        <x:f>IF(I111="","계약연령 미입력",IFERROR(IF(H111="","보험연령 미입력",IF(VALUE(H111)=VALUE(I111),"정상",IF(VALUE(H111)&gt;VALUE(I111),"보장 불일치","과보장 점검"))),"계약연령 형식확인"))</x:f>
        <x:v>계약연령 미입력</x:v>
      </x:c>
      <x:c r="K111" s="24" t="str">
        <x:v>만기 자료 갱신 필요</x:v>
      </x:c>
      <x:c r="L111" s="24" t="str">
        <x:v>이광용</x:v>
      </x:c>
      <x:c r="M111" s="24" t="str"/>
      <x:c r="N111" s="24" t="str"/>
      <x:c r="O111" s="24" t="str">
        <x:v>확인필요</x:v>
      </x:c>
      <x:c r="P111" s="24" t="str"/>
    </x:row>
    <x:row r="112" ht="17.25" customHeight="1">
      <x:c r="A112" s="24" t="str">
        <x:v>PR-I-01두1601</x:v>
      </x:c>
      <x:c r="B112" s="24" t="str">
        <x:v>프라임구독</x:v>
      </x:c>
      <x:c r="C112" s="24" t="str">
        <x:v>01두1601</x:v>
      </x:c>
      <x:c r="D112" s="24" t="str">
        <x:v>AXA</x:v>
      </x:c>
      <x:c r="E112" s="24" t="str"/>
      <x:c r="F112" s="30"/>
      <x:c r="G112" s="30" t="n">
        <x:v>45752</x:v>
      </x:c>
      <x:c r="H112" s="24" t="str"/>
      <x:c r="I112" s="24" t="str"/>
      <x:c r="J112" s="24" t="str">
        <x:f>IF(I112="","계약연령 미입력",IFERROR(IF(H112="","보험연령 미입력",IF(VALUE(H112)=VALUE(I112),"정상",IF(VALUE(H112)&gt;VALUE(I112),"보장 불일치","과보장 점검"))),"계약연령 형식확인"))</x:f>
        <x:v>계약연령 미입력</x:v>
      </x:c>
      <x:c r="K112" s="24" t="str">
        <x:v>만기 자료 갱신 필요</x:v>
      </x:c>
      <x:c r="L112" s="24" t="str"/>
      <x:c r="M112" s="24" t="str"/>
      <x:c r="N112" s="24" t="str"/>
      <x:c r="O112" s="24" t="str">
        <x:v>확인필요</x:v>
      </x:c>
      <x:c r="P112" s="24" t="str">
        <x:v>AXA 갱신완료</x:v>
      </x:c>
    </x:row>
    <x:row r="113" ht="17.25" customHeight="1">
      <x:c r="A113" s="24" t="str">
        <x:v>PR-I-01무1615</x:v>
      </x:c>
      <x:c r="B113" s="24" t="str">
        <x:v>프라임구독</x:v>
      </x:c>
      <x:c r="C113" s="24" t="str">
        <x:v>01무1615</x:v>
      </x:c>
      <x:c r="D113" s="24" t="str">
        <x:v>DB</x:v>
      </x:c>
      <x:c r="E113" s="24" t="str"/>
      <x:c r="F113" s="30"/>
      <x:c r="G113" s="30" t="n">
        <x:v>46054</x:v>
      </x:c>
      <x:c r="H113" s="24" t="str"/>
      <x:c r="I113" s="24" t="str"/>
      <x:c r="J113" s="24" t="str">
        <x:f>IF(I113="","계약연령 미입력",IFERROR(IF(H113="","보험연령 미입력",IF(VALUE(H113)=VALUE(I113),"정상",IF(VALUE(H113)&gt;VALUE(I113),"보장 불일치","과보장 점검"))),"계약연령 형식확인"))</x:f>
        <x:v>계약연령 미입력</x:v>
      </x:c>
      <x:c r="K113" s="24" t="str">
        <x:v>만기 자료 갱신 필요</x:v>
      </x:c>
      <x:c r="L113" s="24" t="str"/>
      <x:c r="M113" s="24" t="str"/>
      <x:c r="N113" s="24" t="str"/>
      <x:c r="O113" s="24" t="str">
        <x:v>확인필요</x:v>
      </x:c>
      <x:c r="P113" s="24" t="str">
        <x:v>DB 갱신완료</x:v>
      </x:c>
    </x:row>
    <x:row r="114" ht="17.25" customHeight="1">
      <x:c r="A114" s="24" t="str">
        <x:v>PR-I-01부3634</x:v>
      </x:c>
      <x:c r="B114" s="24" t="str">
        <x:v>프라임구독</x:v>
      </x:c>
      <x:c r="C114" s="24" t="str">
        <x:v>01부3634</x:v>
      </x:c>
      <x:c r="D114" s="24" t="str">
        <x:v>AXA</x:v>
      </x:c>
      <x:c r="E114" s="24" t="str"/>
      <x:c r="F114" s="30"/>
      <x:c r="G114" s="30" t="n">
        <x:v>45890</x:v>
      </x:c>
      <x:c r="H114" s="24" t="str"/>
      <x:c r="I114" s="24" t="str"/>
      <x:c r="J114" s="24" t="str">
        <x:f>IF(I114="","계약연령 미입력",IFERROR(IF(H114="","보험연령 미입력",IF(VALUE(H114)=VALUE(I114),"정상",IF(VALUE(H114)&gt;VALUE(I114),"보장 불일치","과보장 점검"))),"계약연령 형식확인"))</x:f>
        <x:v>계약연령 미입력</x:v>
      </x:c>
      <x:c r="K114" s="24" t="str">
        <x:v>만기 자료 갱신 필요</x:v>
      </x:c>
      <x:c r="L114" s="24" t="str">
        <x:v>김창준b</x:v>
      </x:c>
      <x:c r="M114" s="24" t="str"/>
      <x:c r="N114" s="24" t="str"/>
      <x:c r="O114" s="24" t="str">
        <x:v>확인필요</x:v>
      </x:c>
      <x:c r="P114" s="24" t="str">
        <x:v>AXA 고객 직접가입 완료</x:v>
      </x:c>
    </x:row>
    <x:row r="115" ht="17.25" customHeight="1">
      <x:c r="A115" s="24" t="str">
        <x:v>PR-I-02노0857</x:v>
      </x:c>
      <x:c r="B115" s="24" t="str">
        <x:v>프라임구독</x:v>
      </x:c>
      <x:c r="C115" s="24" t="str">
        <x:v>02노0857</x:v>
      </x:c>
      <x:c r="D115" s="24" t="str"/>
      <x:c r="E115" s="24" t="str"/>
      <x:c r="F115" s="30"/>
      <x:c r="G115" s="30" t="n">
        <x:v>46092</x:v>
      </x:c>
      <x:c r="H115" s="24" t="str"/>
      <x:c r="I115" s="24" t="str"/>
      <x:c r="J115" s="24" t="str">
        <x:f>IF(I115="","계약연령 미입력",IFERROR(IF(H115="","보험연령 미입력",IF(VALUE(H115)=VALUE(I115),"정상",IF(VALUE(H115)&gt;VALUE(I115),"보장 불일치","과보장 점검"))),"계약연령 형식확인"))</x:f>
        <x:v>계약연령 미입력</x:v>
      </x:c>
      <x:c r="K115" s="24" t="str">
        <x:v>만기 자료 갱신 필요</x:v>
      </x:c>
      <x:c r="L115" s="24" t="str">
        <x:v>박이석</x:v>
      </x:c>
      <x:c r="M115" s="24" t="str"/>
      <x:c r="N115" s="24" t="str"/>
      <x:c r="O115" s="24" t="str">
        <x:v>확인필요</x:v>
      </x:c>
      <x:c r="P115" s="24" t="str"/>
    </x:row>
    <x:row r="116" ht="17.25" customHeight="1">
      <x:c r="A116" s="24" t="str">
        <x:v>PR-I-02어5437</x:v>
      </x:c>
      <x:c r="B116" s="24" t="str">
        <x:v>프라임구독</x:v>
      </x:c>
      <x:c r="C116" s="24" t="str">
        <x:v>02어5437</x:v>
      </x:c>
      <x:c r="D116" s="24" t="str">
        <x:v>DB</x:v>
      </x:c>
      <x:c r="E116" s="24" t="str"/>
      <x:c r="F116" s="30"/>
      <x:c r="G116" s="30" t="n">
        <x:v>45767</x:v>
      </x:c>
      <x:c r="H116" s="24" t="str"/>
      <x:c r="I116" s="24" t="str"/>
      <x:c r="J116" s="24" t="str">
        <x:f>IF(I116="","계약연령 미입력",IFERROR(IF(H116="","보험연령 미입력",IF(VALUE(H116)=VALUE(I116),"정상",IF(VALUE(H116)&gt;VALUE(I116),"보장 불일치","과보장 점검"))),"계약연령 형식확인"))</x:f>
        <x:v>계약연령 미입력</x:v>
      </x:c>
      <x:c r="K116" s="24" t="str">
        <x:v>만기 자료 갱신 필요</x:v>
      </x:c>
      <x:c r="L116" s="24" t="str"/>
      <x:c r="M116" s="24" t="str"/>
      <x:c r="N116" s="24" t="str"/>
      <x:c r="O116" s="24" t="str">
        <x:v>확인필요</x:v>
      </x:c>
      <x:c r="P116" s="24" t="str">
        <x:v>25.05.23 강제회수, 책보가입완료</x:v>
      </x:c>
    </x:row>
    <x:row r="117" ht="17.25" customHeight="1">
      <x:c r="A117" s="24" t="str">
        <x:v>PR-I-03거6049</x:v>
      </x:c>
      <x:c r="B117" s="24" t="str">
        <x:v>프라임구독</x:v>
      </x:c>
      <x:c r="C117" s="24" t="str">
        <x:v>03거6049</x:v>
      </x:c>
      <x:c r="D117" s="24" t="str">
        <x:v>DB</x:v>
      </x:c>
      <x:c r="E117" s="24" t="str"/>
      <x:c r="F117" s="30"/>
      <x:c r="G117" s="30" t="n">
        <x:v>46102</x:v>
      </x:c>
      <x:c r="H117" s="24" t="str"/>
      <x:c r="I117" s="24" t="str"/>
      <x:c r="J117" s="24" t="str">
        <x:f>IF(I117="","계약연령 미입력",IFERROR(IF(H117="","보험연령 미입력",IF(VALUE(H117)=VALUE(I117),"정상",IF(VALUE(H117)&gt;VALUE(I117),"보장 불일치","과보장 점검"))),"계약연령 형식확인"))</x:f>
        <x:v>계약연령 미입력</x:v>
      </x:c>
      <x:c r="K117" s="24" t="str">
        <x:v>만기 자료 갱신 필요</x:v>
      </x:c>
      <x:c r="L117" s="24" t="str"/>
      <x:c r="M117" s="24" t="str"/>
      <x:c r="N117" s="24" t="str"/>
      <x:c r="O117" s="24" t="str">
        <x:v>확인필요</x:v>
      </x:c>
      <x:c r="P117" s="24" t="str">
        <x:v>DB 갱신완료</x:v>
      </x:c>
    </x:row>
    <x:row r="118" ht="17.25" customHeight="1">
      <x:c r="A118" s="24" t="str">
        <x:v>PR-I-03고7687</x:v>
      </x:c>
      <x:c r="B118" s="24" t="str">
        <x:v>프라임구독</x:v>
      </x:c>
      <x:c r="C118" s="24" t="str">
        <x:v>03고7687</x:v>
      </x:c>
      <x:c r="D118" s="24" t="str"/>
      <x:c r="E118" s="24" t="str"/>
      <x:c r="F118" s="30"/>
      <x:c r="G118" s="30" t="n">
        <x:v>45628</x:v>
      </x:c>
      <x:c r="H118" s="24" t="str"/>
      <x:c r="I118" s="24" t="str"/>
      <x:c r="J118" s="24" t="str">
        <x:f>IF(I118="","계약연령 미입력",IFERROR(IF(H118="","보험연령 미입력",IF(VALUE(H118)=VALUE(I118),"정상",IF(VALUE(H118)&gt;VALUE(I118),"보장 불일치","과보장 점검"))),"계약연령 형식확인"))</x:f>
        <x:v>계약연령 미입력</x:v>
      </x:c>
      <x:c r="K118" s="24" t="str">
        <x:v>만기 자료 갱신 필요</x:v>
      </x:c>
      <x:c r="L118" s="24" t="str"/>
      <x:c r="M118" s="24" t="str"/>
      <x:c r="N118" s="24" t="str"/>
      <x:c r="O118" s="24" t="str">
        <x:v>확인필요</x:v>
      </x:c>
      <x:c r="P118" s="24" t="str"/>
    </x:row>
    <x:row r="119" ht="17.25" customHeight="1">
      <x:c r="A119" s="24" t="str">
        <x:v>PR-I-03러8697</x:v>
      </x:c>
      <x:c r="B119" s="24" t="str">
        <x:v>프라임구독</x:v>
      </x:c>
      <x:c r="C119" s="24" t="str">
        <x:v>03러8697</x:v>
      </x:c>
      <x:c r="D119" s="24" t="str">
        <x:v>DB</x:v>
      </x:c>
      <x:c r="E119" s="24" t="str"/>
      <x:c r="F119" s="30"/>
      <x:c r="G119" s="30" t="n">
        <x:v>45731</x:v>
      </x:c>
      <x:c r="H119" s="24" t="str"/>
      <x:c r="I119" s="24" t="str"/>
      <x:c r="J119" s="24" t="str">
        <x:f>IF(I119="","계약연령 미입력",IFERROR(IF(H119="","보험연령 미입력",IF(VALUE(H119)=VALUE(I119),"정상",IF(VALUE(H119)&gt;VALUE(I119),"보장 불일치","과보장 점검"))),"계약연령 형식확인"))</x:f>
        <x:v>계약연령 미입력</x:v>
      </x:c>
      <x:c r="K119" s="24" t="str">
        <x:v>만기 자료 갱신 필요</x:v>
      </x:c>
      <x:c r="L119" s="24" t="str"/>
      <x:c r="M119" s="24" t="str"/>
      <x:c r="N119" s="24" t="str"/>
      <x:c r="O119" s="24" t="str">
        <x:v>확인필요</x:v>
      </x:c>
      <x:c r="P119" s="24" t="str">
        <x:v>고객병원 장기입원 관계로 1개월 단기 책임보험 가입 진행함(24.08.20) -&gt; 병원장기입원으로 책임보험 재가입(24.10.04) -&gt; 책임보험 재가입(25.01.15) -&gt; 책임보험 재가입(25.02.13)</x:v>
      </x:c>
    </x:row>
    <x:row r="120" ht="17.25" customHeight="1">
      <x:c r="A120" s="24" t="str">
        <x:v>PR-I-04모0665</x:v>
      </x:c>
      <x:c r="B120" s="24" t="str">
        <x:v>프라임구독</x:v>
      </x:c>
      <x:c r="C120" s="24" t="str">
        <x:v>04모0665</x:v>
      </x:c>
      <x:c r="D120" s="24" t="str">
        <x:v>중도인수</x:v>
      </x:c>
      <x:c r="E120" s="24" t="str"/>
      <x:c r="F120" s="30"/>
      <x:c r="G120" s="30" t="n">
        <x:v>45571</x:v>
      </x:c>
      <x:c r="H120" s="24" t="str"/>
      <x:c r="I120" s="24" t="str"/>
      <x:c r="J120" s="24" t="str">
        <x:f>IF(I120="","계약연령 미입력",IFERROR(IF(H120="","보험연령 미입력",IF(VALUE(H120)=VALUE(I120),"정상",IF(VALUE(H120)&gt;VALUE(I120),"보장 불일치","과보장 점검"))),"계약연령 형식확인"))</x:f>
        <x:v>계약연령 미입력</x:v>
      </x:c>
      <x:c r="K120" s="24" t="str">
        <x:v>만기 자료 갱신 필요</x:v>
      </x:c>
      <x:c r="L120" s="24" t="str"/>
      <x:c r="M120" s="24" t="str"/>
      <x:c r="N120" s="24" t="str"/>
      <x:c r="O120" s="24" t="str">
        <x:v>확인필요</x:v>
      </x:c>
      <x:c r="P120" s="24" t="str">
        <x:v>2024.10.04 중도인수</x:v>
      </x:c>
    </x:row>
    <x:row r="121" ht="17.25" customHeight="1">
      <x:c r="A121" s="24" t="str">
        <x:v>PR-I-06오8368</x:v>
      </x:c>
      <x:c r="B121" s="24" t="str">
        <x:v>프라임구독</x:v>
      </x:c>
      <x:c r="C121" s="24" t="str">
        <x:v>06오8368</x:v>
      </x:c>
      <x:c r="D121" s="24" t="str">
        <x:v>DB</x:v>
      </x:c>
      <x:c r="E121" s="24" t="str"/>
      <x:c r="F121" s="30"/>
      <x:c r="G121" s="30" t="n">
        <x:v>45991</x:v>
      </x:c>
      <x:c r="H121" s="24" t="str"/>
      <x:c r="I121" s="24" t="str"/>
      <x:c r="J121" s="24" t="str">
        <x:f>IF(I121="","계약연령 미입력",IFERROR(IF(H121="","보험연령 미입력",IF(VALUE(H121)=VALUE(I121),"정상",IF(VALUE(H121)&gt;VALUE(I121),"보장 불일치","과보장 점검"))),"계약연령 형식확인"))</x:f>
        <x:v>계약연령 미입력</x:v>
      </x:c>
      <x:c r="K121" s="24" t="str">
        <x:v>만기 자료 갱신 필요</x:v>
      </x:c>
      <x:c r="L121" s="24" t="str"/>
      <x:c r="M121" s="24" t="str"/>
      <x:c r="N121" s="24" t="str"/>
      <x:c r="O121" s="24" t="str">
        <x:v>확인필요</x:v>
      </x:c>
      <x:c r="P121" s="24" t="str">
        <x:v>DB 가입완료</x:v>
      </x:c>
    </x:row>
    <x:row r="122" ht="17.25" customHeight="1">
      <x:c r="A122" s="24" t="str">
        <x:v>PR-I-07로0775</x:v>
      </x:c>
      <x:c r="B122" s="24" t="str">
        <x:v>프라임구독</x:v>
      </x:c>
      <x:c r="C122" s="24" t="str">
        <x:v>07로0775</x:v>
      </x:c>
      <x:c r="D122" s="24" t="str">
        <x:v>삼성</x:v>
      </x:c>
      <x:c r="E122" s="24" t="str"/>
      <x:c r="F122" s="30"/>
      <x:c r="G122" s="30" t="n">
        <x:v>45976</x:v>
      </x:c>
      <x:c r="H122" s="24" t="str"/>
      <x:c r="I122" s="24" t="str"/>
      <x:c r="J122" s="24" t="str">
        <x:f>IF(I122="","계약연령 미입력",IFERROR(IF(H122="","보험연령 미입력",IF(VALUE(H122)=VALUE(I122),"정상",IF(VALUE(H122)&gt;VALUE(I122),"보장 불일치","과보장 점검"))),"계약연령 형식확인"))</x:f>
        <x:v>계약연령 미입력</x:v>
      </x:c>
      <x:c r="K122" s="24" t="str">
        <x:v>만기 자료 갱신 필요</x:v>
      </x:c>
      <x:c r="L122" s="24" t="str"/>
      <x:c r="M122" s="24" t="str"/>
      <x:c r="N122" s="24" t="str"/>
      <x:c r="O122" s="24" t="str">
        <x:v>확인필요</x:v>
      </x:c>
      <x:c r="P122" s="24" t="str">
        <x:v>삼성화재 직접 갱신 완료</x:v>
      </x:c>
    </x:row>
    <x:row r="123" ht="17.25" customHeight="1">
      <x:c r="A123" s="24" t="str">
        <x:v>PR-I-08모1646</x:v>
      </x:c>
      <x:c r="B123" s="24" t="str">
        <x:v>프라임구독</x:v>
      </x:c>
      <x:c r="C123" s="24" t="str">
        <x:v>08모1646</x:v>
      </x:c>
      <x:c r="D123" s="24" t="str"/>
      <x:c r="E123" s="24" t="str"/>
      <x:c r="F123" s="30"/>
      <x:c r="G123" s="30" t="n">
        <x:v>46088</x:v>
      </x:c>
      <x:c r="H123" s="24" t="str"/>
      <x:c r="I123" s="24" t="str"/>
      <x:c r="J123" s="24" t="str">
        <x:f>IF(I123="","계약연령 미입력",IFERROR(IF(H123="","보험연령 미입력",IF(VALUE(H123)=VALUE(I123),"정상",IF(VALUE(H123)&gt;VALUE(I123),"보장 불일치","과보장 점검"))),"계약연령 형식확인"))</x:f>
        <x:v>계약연령 미입력</x:v>
      </x:c>
      <x:c r="K123" s="24" t="str">
        <x:v>만기 자료 갱신 필요</x:v>
      </x:c>
      <x:c r="L123" s="24" t="str"/>
      <x:c r="M123" s="24" t="str"/>
      <x:c r="N123" s="24" t="str"/>
      <x:c r="O123" s="24" t="str">
        <x:v>확인필요</x:v>
      </x:c>
      <x:c r="P123" s="24" t="str"/>
    </x:row>
    <x:row r="124" ht="17.25" customHeight="1">
      <x:c r="A124" s="24" t="str">
        <x:v>PR-I-09누4209</x:v>
      </x:c>
      <x:c r="B124" s="24" t="str">
        <x:v>프라임구독</x:v>
      </x:c>
      <x:c r="C124" s="24" t="str">
        <x:v>09누4209</x:v>
      </x:c>
      <x:c r="D124" s="24" t="str"/>
      <x:c r="E124" s="24" t="str"/>
      <x:c r="F124" s="30"/>
      <x:c r="G124" s="30" t="n">
        <x:v>45881</x:v>
      </x:c>
      <x:c r="H124" s="24" t="str"/>
      <x:c r="I124" s="24" t="str"/>
      <x:c r="J124" s="24" t="str">
        <x:f>IF(I124="","계약연령 미입력",IFERROR(IF(H124="","보험연령 미입력",IF(VALUE(H124)=VALUE(I124),"정상",IF(VALUE(H124)&gt;VALUE(I124),"보장 불일치","과보장 점검"))),"계약연령 형식확인"))</x:f>
        <x:v>계약연령 미입력</x:v>
      </x:c>
      <x:c r="K124" s="24" t="str">
        <x:v>만기 자료 갱신 필요</x:v>
      </x:c>
      <x:c r="L124" s="24" t="str"/>
      <x:c r="M124" s="24" t="str"/>
      <x:c r="N124" s="24" t="str"/>
      <x:c r="O124" s="24" t="str">
        <x:v>확인필요</x:v>
      </x:c>
      <x:c r="P124" s="24" t="str"/>
    </x:row>
    <x:row r="125" ht="17.25" customHeight="1">
      <x:c r="A125" s="24" t="str">
        <x:v>PR-I-103너3604</x:v>
      </x:c>
      <x:c r="B125" s="24" t="str">
        <x:v>프라임구독</x:v>
      </x:c>
      <x:c r="C125" s="24" t="str">
        <x:v>103너3604</x:v>
      </x:c>
      <x:c r="D125" s="24" t="str">
        <x:v>캐롯</x:v>
      </x:c>
      <x:c r="E125" s="24" t="str"/>
      <x:c r="F125" s="30"/>
      <x:c r="G125" s="30" t="n">
        <x:v>46003</x:v>
      </x:c>
      <x:c r="H125" s="24" t="str"/>
      <x:c r="I125" s="24" t="str"/>
      <x:c r="J125" s="24" t="str">
        <x:f>IF(I125="","계약연령 미입력",IFERROR(IF(H125="","보험연령 미입력",IF(VALUE(H125)=VALUE(I125),"정상",IF(VALUE(H125)&gt;VALUE(I125),"보장 불일치","과보장 점검"))),"계약연령 형식확인"))</x:f>
        <x:v>계약연령 미입력</x:v>
      </x:c>
      <x:c r="K125" s="24" t="str">
        <x:v>만기 자료 갱신 필요</x:v>
      </x:c>
      <x:c r="L125" s="24" t="str"/>
      <x:c r="M125" s="24" t="str"/>
      <x:c r="N125" s="24" t="str"/>
      <x:c r="O125" s="24" t="str">
        <x:v>확인필요</x:v>
      </x:c>
      <x:c r="P125" s="24" t="str">
        <x:v>캐롯 직접가입완료</x:v>
      </x:c>
    </x:row>
    <x:row r="126" ht="17.25" customHeight="1">
      <x:c r="A126" s="24" t="str">
        <x:v>PR-I-107고5687</x:v>
      </x:c>
      <x:c r="B126" s="24" t="str">
        <x:v>프라임구독</x:v>
      </x:c>
      <x:c r="C126" s="24" t="str">
        <x:v>107고5687</x:v>
      </x:c>
      <x:c r="D126" s="24" t="str"/>
      <x:c r="E126" s="24" t="str"/>
      <x:c r="F126" s="30"/>
      <x:c r="G126" s="30" t="n">
        <x:v>45790</x:v>
      </x:c>
      <x:c r="H126" s="24" t="str"/>
      <x:c r="I126" s="24" t="str"/>
      <x:c r="J126" s="24" t="str">
        <x:f>IF(I126="","계약연령 미입력",IFERROR(IF(H126="","보험연령 미입력",IF(VALUE(H126)=VALUE(I126),"정상",IF(VALUE(H126)&gt;VALUE(I126),"보장 불일치","과보장 점검"))),"계약연령 형식확인"))</x:f>
        <x:v>계약연령 미입력</x:v>
      </x:c>
      <x:c r="K126" s="24" t="str">
        <x:v>만기 자료 갱신 필요</x:v>
      </x:c>
      <x:c r="L126" s="24" t="str"/>
      <x:c r="M126" s="24" t="str"/>
      <x:c r="N126" s="24" t="str"/>
      <x:c r="O126" s="24" t="str">
        <x:v>확인필요</x:v>
      </x:c>
      <x:c r="P126" s="24" t="str"/>
    </x:row>
    <x:row r="127" ht="17.25" customHeight="1">
      <x:c r="A127" s="24" t="str">
        <x:v>PR-I-107보9912</x:v>
      </x:c>
      <x:c r="B127" s="24" t="str">
        <x:v>프라임구독</x:v>
      </x:c>
      <x:c r="C127" s="24" t="str">
        <x:v>107보9912</x:v>
      </x:c>
      <x:c r="D127" s="24" t="str"/>
      <x:c r="E127" s="24" t="str"/>
      <x:c r="F127" s="30"/>
      <x:c r="G127" s="30" t="n">
        <x:v>45657</x:v>
      </x:c>
      <x:c r="H127" s="24" t="str"/>
      <x:c r="I127" s="24" t="str"/>
      <x:c r="J127" s="24" t="str">
        <x:f>IF(I127="","계약연령 미입력",IFERROR(IF(H127="","보험연령 미입력",IF(VALUE(H127)=VALUE(I127),"정상",IF(VALUE(H127)&gt;VALUE(I127),"보장 불일치","과보장 점검"))),"계약연령 형식확인"))</x:f>
        <x:v>계약연령 미입력</x:v>
      </x:c>
      <x:c r="K127" s="24" t="str">
        <x:v>만기 자료 갱신 필요</x:v>
      </x:c>
      <x:c r="L127" s="24" t="str"/>
      <x:c r="M127" s="24" t="str"/>
      <x:c r="N127" s="24" t="str"/>
      <x:c r="O127" s="24" t="str">
        <x:v>확인필요</x:v>
      </x:c>
      <x:c r="P127" s="24" t="str"/>
    </x:row>
    <x:row r="128" ht="17.25" customHeight="1">
      <x:c r="A128" s="24" t="str">
        <x:v>PR-I-10고0707</x:v>
      </x:c>
      <x:c r="B128" s="24" t="str">
        <x:v>프라임구독</x:v>
      </x:c>
      <x:c r="C128" s="24" t="str">
        <x:v>10고0707</x:v>
      </x:c>
      <x:c r="D128" s="24" t="str"/>
      <x:c r="E128" s="24" t="str"/>
      <x:c r="F128" s="30"/>
      <x:c r="G128" s="30" t="n">
        <x:v>45745</x:v>
      </x:c>
      <x:c r="H128" s="24" t="str"/>
      <x:c r="I128" s="24" t="str"/>
      <x:c r="J128" s="24" t="str">
        <x:f>IF(I128="","계약연령 미입력",IFERROR(IF(H128="","보험연령 미입력",IF(VALUE(H128)=VALUE(I128),"정상",IF(VALUE(H128)&gt;VALUE(I128),"보장 불일치","과보장 점검"))),"계약연령 형식확인"))</x:f>
        <x:v>계약연령 미입력</x:v>
      </x:c>
      <x:c r="K128" s="24" t="str">
        <x:v>만기 자료 갱신 필요</x:v>
      </x:c>
      <x:c r="L128" s="24" t="str"/>
      <x:c r="M128" s="24" t="str"/>
      <x:c r="N128" s="24" t="str"/>
      <x:c r="O128" s="24" t="str">
        <x:v>확인필요</x:v>
      </x:c>
      <x:c r="P128" s="24" t="str"/>
    </x:row>
    <x:row r="129" ht="17.25" customHeight="1">
      <x:c r="A129" s="24" t="str">
        <x:v>PR-I-10루8404</x:v>
      </x:c>
      <x:c r="B129" s="24" t="str">
        <x:v>프라임구독</x:v>
      </x:c>
      <x:c r="C129" s="24" t="str">
        <x:v>10루8404</x:v>
      </x:c>
      <x:c r="D129" s="24" t="str">
        <x:v>AXA</x:v>
      </x:c>
      <x:c r="E129" s="24" t="str"/>
      <x:c r="F129" s="30"/>
      <x:c r="G129" s="30" t="n">
        <x:v>45697</x:v>
      </x:c>
      <x:c r="H129" s="24" t="str"/>
      <x:c r="I129" s="24" t="str"/>
      <x:c r="J129" s="24" t="str">
        <x:f>IF(I129="","계약연령 미입력",IFERROR(IF(H129="","보험연령 미입력",IF(VALUE(H129)=VALUE(I129),"정상",IF(VALUE(H129)&gt;VALUE(I129),"보장 불일치","과보장 점검"))),"계약연령 형식확인"))</x:f>
        <x:v>계약연령 미입력</x:v>
      </x:c>
      <x:c r="K129" s="24" t="str">
        <x:v>만기 자료 갱신 필요</x:v>
      </x:c>
      <x:c r="L129" s="24" t="str"/>
      <x:c r="M129" s="24" t="str"/>
      <x:c r="N129" s="24" t="str"/>
      <x:c r="O129" s="24" t="str">
        <x:v>확인필요</x:v>
      </x:c>
      <x:c r="P129" s="24" t="str">
        <x:v>AXA갱신완료(24.11.07 / 보험료 선납 751,320 받아야함)</x:v>
      </x:c>
    </x:row>
    <x:row r="130" ht="17.25" customHeight="1">
      <x:c r="A130" s="24" t="str">
        <x:v>PR-I-10버7680</x:v>
      </x:c>
      <x:c r="B130" s="24" t="str">
        <x:v>프라임구독</x:v>
      </x:c>
      <x:c r="C130" s="24" t="str">
        <x:v>10버7680</x:v>
      </x:c>
      <x:c r="D130" s="24" t="str"/>
      <x:c r="E130" s="24" t="str"/>
      <x:c r="F130" s="30"/>
      <x:c r="G130" s="30" t="n">
        <x:v>45824</x:v>
      </x:c>
      <x:c r="H130" s="24" t="str"/>
      <x:c r="I130" s="24" t="str"/>
      <x:c r="J130" s="24" t="str">
        <x:f>IF(I130="","계약연령 미입력",IFERROR(IF(H130="","보험연령 미입력",IF(VALUE(H130)=VALUE(I130),"정상",IF(VALUE(H130)&gt;VALUE(I130),"보장 불일치","과보장 점검"))),"계약연령 형식확인"))</x:f>
        <x:v>계약연령 미입력</x:v>
      </x:c>
      <x:c r="K130" s="24" t="str">
        <x:v>만기 자료 갱신 필요</x:v>
      </x:c>
      <x:c r="L130" s="24" t="str"/>
      <x:c r="M130" s="24" t="str"/>
      <x:c r="N130" s="24" t="str"/>
      <x:c r="O130" s="24" t="str">
        <x:v>확인필요</x:v>
      </x:c>
      <x:c r="P130" s="24" t="str">
        <x:v>강제회수</x:v>
      </x:c>
    </x:row>
    <x:row r="131" ht="17.25" customHeight="1">
      <x:c r="A131" s="24" t="str">
        <x:v>PR-I-110오3731</x:v>
      </x:c>
      <x:c r="B131" s="24" t="str">
        <x:v>프라임구독</x:v>
      </x:c>
      <x:c r="C131" s="24" t="str">
        <x:v>110오3731</x:v>
      </x:c>
      <x:c r="D131" s="24" t="str"/>
      <x:c r="E131" s="24" t="str"/>
      <x:c r="F131" s="30"/>
      <x:c r="G131" s="30" t="n">
        <x:v>45849</x:v>
      </x:c>
      <x:c r="H131" s="24" t="str"/>
      <x:c r="I131" s="24" t="str"/>
      <x:c r="J131" s="24" t="str">
        <x:f>IF(I131="","계약연령 미입력",IFERROR(IF(H131="","보험연령 미입력",IF(VALUE(H131)=VALUE(I131),"정상",IF(VALUE(H131)&gt;VALUE(I131),"보장 불일치","과보장 점검"))),"계약연령 형식확인"))</x:f>
        <x:v>계약연령 미입력</x:v>
      </x:c>
      <x:c r="K131" s="24" t="str">
        <x:v>만기 자료 갱신 필요</x:v>
      </x:c>
      <x:c r="L131" s="24" t="str"/>
      <x:c r="M131" s="24" t="str"/>
      <x:c r="N131" s="24" t="str"/>
      <x:c r="O131" s="24" t="str">
        <x:v>확인필요</x:v>
      </x:c>
      <x:c r="P131" s="24" t="str"/>
    </x:row>
    <x:row r="132" ht="17.25" customHeight="1">
      <x:c r="A132" s="24" t="str">
        <x:v>PR-I-110오3787</x:v>
      </x:c>
      <x:c r="B132" s="24" t="str">
        <x:v>프라임구독</x:v>
      </x:c>
      <x:c r="C132" s="24" t="str">
        <x:v>110오3787</x:v>
      </x:c>
      <x:c r="D132" s="24" t="str">
        <x:v>DB</x:v>
      </x:c>
      <x:c r="E132" s="24" t="str"/>
      <x:c r="F132" s="30"/>
      <x:c r="G132" s="30" t="n">
        <x:v>45682</x:v>
      </x:c>
      <x:c r="H132" s="24" t="str"/>
      <x:c r="I132" s="24" t="str"/>
      <x:c r="J132" s="24" t="str">
        <x:f>IF(I132="","계약연령 미입력",IFERROR(IF(H132="","보험연령 미입력",IF(VALUE(H132)=VALUE(I132),"정상",IF(VALUE(H132)&gt;VALUE(I132),"보장 불일치","과보장 점검"))),"계약연령 형식확인"))</x:f>
        <x:v>계약연령 미입력</x:v>
      </x:c>
      <x:c r="K132" s="24" t="str">
        <x:v>만기 자료 갱신 필요</x:v>
      </x:c>
      <x:c r="L132" s="24" t="str"/>
      <x:c r="M132" s="24" t="str"/>
      <x:c r="N132" s="24" t="str"/>
      <x:c r="O132" s="24" t="str">
        <x:v>확인필요</x:v>
      </x:c>
      <x:c r="P132" s="24" t="str">
        <x:v>조기인수 완료</x:v>
      </x:c>
    </x:row>
    <x:row r="133" ht="17.25" customHeight="1">
      <x:c r="A133" s="24" t="str">
        <x:v>PR-I-111로8548</x:v>
      </x:c>
      <x:c r="B133" s="24" t="str">
        <x:v>프라임구독</x:v>
      </x:c>
      <x:c r="C133" s="24" t="str">
        <x:v>111로8548</x:v>
      </x:c>
      <x:c r="D133" s="24" t="str">
        <x:v>DB</x:v>
      </x:c>
      <x:c r="E133" s="24" t="str"/>
      <x:c r="F133" s="30"/>
      <x:c r="G133" s="30" t="n">
        <x:v>45947</x:v>
      </x:c>
      <x:c r="H133" s="24" t="str"/>
      <x:c r="I133" s="24" t="str"/>
      <x:c r="J133" s="24" t="str">
        <x:f>IF(I133="","계약연령 미입력",IFERROR(IF(H133="","보험연령 미입력",IF(VALUE(H133)=VALUE(I133),"정상",IF(VALUE(H133)&gt;VALUE(I133),"보장 불일치","과보장 점검"))),"계약연령 형식확인"))</x:f>
        <x:v>계약연령 미입력</x:v>
      </x:c>
      <x:c r="K133" s="24" t="str">
        <x:v>만기 자료 갱신 필요</x:v>
      </x:c>
      <x:c r="L133" s="24" t="str"/>
      <x:c r="M133" s="24" t="str"/>
      <x:c r="N133" s="24" t="str"/>
      <x:c r="O133" s="24" t="str">
        <x:v>확인필요</x:v>
      </x:c>
      <x:c r="P133" s="24" t="str">
        <x:v>DB 가입완료</x:v>
      </x:c>
    </x:row>
    <x:row r="134" ht="17.25" customHeight="1">
      <x:c r="A134" s="24" t="str">
        <x:v>PR-I-112가8342</x:v>
      </x:c>
      <x:c r="B134" s="24" t="str">
        <x:v>프라임구독</x:v>
      </x:c>
      <x:c r="C134" s="24" t="str">
        <x:v>112가8342</x:v>
      </x:c>
      <x:c r="D134" s="24" t="str"/>
      <x:c r="E134" s="24" t="str"/>
      <x:c r="F134" s="30"/>
      <x:c r="G134" s="30" t="n">
        <x:v>45800</x:v>
      </x:c>
      <x:c r="H134" s="24" t="str"/>
      <x:c r="I134" s="24" t="str"/>
      <x:c r="J134" s="24" t="str">
        <x:f>IF(I134="","계약연령 미입력",IFERROR(IF(H134="","보험연령 미입력",IF(VALUE(H134)=VALUE(I134),"정상",IF(VALUE(H134)&gt;VALUE(I134),"보장 불일치","과보장 점검"))),"계약연령 형식확인"))</x:f>
        <x:v>계약연령 미입력</x:v>
      </x:c>
      <x:c r="K134" s="24" t="str">
        <x:v>만기 자료 갱신 필요</x:v>
      </x:c>
      <x:c r="L134" s="24" t="str"/>
      <x:c r="M134" s="24" t="str"/>
      <x:c r="N134" s="24" t="str"/>
      <x:c r="O134" s="24" t="str">
        <x:v>확인필요</x:v>
      </x:c>
      <x:c r="P134" s="24" t="str"/>
    </x:row>
    <x:row r="135" ht="17.25" customHeight="1">
      <x:c r="A135" s="24" t="str">
        <x:v>PR-I-112수8932</x:v>
      </x:c>
      <x:c r="B135" s="24" t="str">
        <x:v>프라임구독</x:v>
      </x:c>
      <x:c r="C135" s="24" t="str">
        <x:v>112수8932</x:v>
      </x:c>
      <x:c r="D135" s="24" t="str"/>
      <x:c r="E135" s="24" t="str"/>
      <x:c r="F135" s="30"/>
      <x:c r="G135" s="30" t="n">
        <x:v>45500</x:v>
      </x:c>
      <x:c r="H135" s="24" t="str"/>
      <x:c r="I135" s="24" t="str"/>
      <x:c r="J135" s="24" t="str">
        <x:f>IF(I135="","계약연령 미입력",IFERROR(IF(H135="","보험연령 미입력",IF(VALUE(H135)=VALUE(I135),"정상",IF(VALUE(H135)&gt;VALUE(I135),"보장 불일치","과보장 점검"))),"계약연령 형식확인"))</x:f>
        <x:v>계약연령 미입력</x:v>
      </x:c>
      <x:c r="K135" s="24" t="str">
        <x:v>만기 자료 갱신 필요</x:v>
      </x:c>
      <x:c r="L135" s="24" t="str"/>
      <x:c r="M135" s="24" t="str"/>
      <x:c r="N135" s="24" t="str"/>
      <x:c r="O135" s="24" t="str">
        <x:v>확인필요</x:v>
      </x:c>
      <x:c r="P135" s="24" t="str"/>
    </x:row>
    <x:row r="136" ht="17.25" customHeight="1">
      <x:c r="A136" s="24" t="str">
        <x:v>PR-I-113더8112</x:v>
      </x:c>
      <x:c r="B136" s="24" t="str">
        <x:v>프라임구독</x:v>
      </x:c>
      <x:c r="C136" s="24" t="str">
        <x:v>113더8112</x:v>
      </x:c>
      <x:c r="D136" s="24" t="str">
        <x:v>DB</x:v>
      </x:c>
      <x:c r="E136" s="24" t="str"/>
      <x:c r="F136" s="30"/>
      <x:c r="G136" s="30" t="n">
        <x:v>45886</x:v>
      </x:c>
      <x:c r="H136" s="24" t="str"/>
      <x:c r="I136" s="24" t="str"/>
      <x:c r="J136" s="24" t="str">
        <x:f>IF(I136="","계약연령 미입력",IFERROR(IF(H136="","보험연령 미입력",IF(VALUE(H136)=VALUE(I136),"정상",IF(VALUE(H136)&gt;VALUE(I136),"보장 불일치","과보장 점검"))),"계약연령 형식확인"))</x:f>
        <x:v>계약연령 미입력</x:v>
      </x:c>
      <x:c r="K136" s="24" t="str">
        <x:v>만기 자료 갱신 필요</x:v>
      </x:c>
      <x:c r="L136" s="24" t="str">
        <x:v>곽현중</x:v>
      </x:c>
      <x:c r="M136" s="24" t="str"/>
      <x:c r="N136" s="24" t="str"/>
      <x:c r="O136" s="24" t="str">
        <x:v>확인필요</x:v>
      </x:c>
      <x:c r="P136" s="24" t="str">
        <x:v>DB 고객 직접가입 완료</x:v>
      </x:c>
    </x:row>
    <x:row r="137" ht="17.25" customHeight="1">
      <x:c r="A137" s="24" t="str">
        <x:v>PR-I-114루8423</x:v>
      </x:c>
      <x:c r="B137" s="24" t="str">
        <x:v>프라임구독</x:v>
      </x:c>
      <x:c r="C137" s="24" t="str">
        <x:v>114루8423</x:v>
      </x:c>
      <x:c r="D137" s="24" t="str">
        <x:v>중도인수</x:v>
      </x:c>
      <x:c r="E137" s="24" t="str"/>
      <x:c r="F137" s="30"/>
      <x:c r="G137" s="30" t="n">
        <x:v>45597</x:v>
      </x:c>
      <x:c r="H137" s="24" t="str"/>
      <x:c r="I137" s="24" t="str"/>
      <x:c r="J137" s="24" t="str">
        <x:f>IF(I137="","계약연령 미입력",IFERROR(IF(H137="","보험연령 미입력",IF(VALUE(H137)=VALUE(I137),"정상",IF(VALUE(H137)&gt;VALUE(I137),"보장 불일치","과보장 점검"))),"계약연령 형식확인"))</x:f>
        <x:v>계약연령 미입력</x:v>
      </x:c>
      <x:c r="K137" s="24" t="str">
        <x:v>만기 자료 갱신 필요</x:v>
      </x:c>
      <x:c r="L137" s="24" t="str"/>
      <x:c r="M137" s="24" t="str"/>
      <x:c r="N137" s="24" t="str"/>
      <x:c r="O137" s="24" t="str">
        <x:v>확인필요</x:v>
      </x:c>
      <x:c r="P137" s="24" t="str">
        <x:v>2024.11.01 중도인수</x:v>
      </x:c>
    </x:row>
    <x:row r="138" ht="17.25" customHeight="1">
      <x:c r="A138" s="24" t="str">
        <x:v>PR-I-119두7903</x:v>
      </x:c>
      <x:c r="B138" s="24" t="str">
        <x:v>프라임구독</x:v>
      </x:c>
      <x:c r="C138" s="24" t="str">
        <x:v>119두7903</x:v>
      </x:c>
      <x:c r="D138" s="24" t="str"/>
      <x:c r="E138" s="24" t="str"/>
      <x:c r="F138" s="30"/>
      <x:c r="G138" s="30" t="n">
        <x:v>45821</x:v>
      </x:c>
      <x:c r="H138" s="24" t="str"/>
      <x:c r="I138" s="24" t="str"/>
      <x:c r="J138" s="24" t="str">
        <x:f>IF(I138="","계약연령 미입력",IFERROR(IF(H138="","보험연령 미입력",IF(VALUE(H138)=VALUE(I138),"정상",IF(VALUE(H138)&gt;VALUE(I138),"보장 불일치","과보장 점검"))),"계약연령 형식확인"))</x:f>
        <x:v>계약연령 미입력</x:v>
      </x:c>
      <x:c r="K138" s="24" t="str">
        <x:v>만기 자료 갱신 필요</x:v>
      </x:c>
      <x:c r="L138" s="24" t="str">
        <x:v>이보영</x:v>
      </x:c>
      <x:c r="M138" s="24" t="str"/>
      <x:c r="N138" s="24" t="str"/>
      <x:c r="O138" s="24" t="str">
        <x:v>확인필요</x:v>
      </x:c>
      <x:c r="P138" s="24" t="str"/>
    </x:row>
    <x:row r="139" ht="17.25" customHeight="1">
      <x:c r="A139" s="24" t="str">
        <x:v>PR-I-119라1440</x:v>
      </x:c>
      <x:c r="B139" s="24" t="str">
        <x:v>프라임구독</x:v>
      </x:c>
      <x:c r="C139" s="24" t="str">
        <x:v>119라1440</x:v>
      </x:c>
      <x:c r="D139" s="24" t="str">
        <x:v>DB</x:v>
      </x:c>
      <x:c r="E139" s="24" t="str"/>
      <x:c r="F139" s="30"/>
      <x:c r="G139" s="30" t="n">
        <x:v>46076</x:v>
      </x:c>
      <x:c r="H139" s="24" t="str"/>
      <x:c r="I139" s="24" t="str"/>
      <x:c r="J139" s="24" t="str">
        <x:f>IF(I139="","계약연령 미입력",IFERROR(IF(H139="","보험연령 미입력",IF(VALUE(H139)=VALUE(I139),"정상",IF(VALUE(H139)&gt;VALUE(I139),"보장 불일치","과보장 점검"))),"계약연령 형식확인"))</x:f>
        <x:v>계약연령 미입력</x:v>
      </x:c>
      <x:c r="K139" s="24" t="str">
        <x:v>만기 자료 갱신 필요</x:v>
      </x:c>
      <x:c r="L139" s="24" t="str"/>
      <x:c r="M139" s="24" t="str"/>
      <x:c r="N139" s="24" t="str"/>
      <x:c r="O139" s="24" t="str">
        <x:v>확인필요</x:v>
      </x:c>
      <x:c r="P139" s="24" t="str">
        <x:v>DB 가입완료</x:v>
      </x:c>
    </x:row>
    <x:row r="140" ht="17.25" customHeight="1">
      <x:c r="A140" s="24" t="str">
        <x:v>PR-I-11구5844</x:v>
      </x:c>
      <x:c r="B140" s="24" t="str">
        <x:v>프라임구독</x:v>
      </x:c>
      <x:c r="C140" s="24" t="str">
        <x:v>11구5844</x:v>
      </x:c>
      <x:c r="D140" s="24" t="str">
        <x:v>DB</x:v>
      </x:c>
      <x:c r="E140" s="24" t="str"/>
      <x:c r="F140" s="30"/>
      <x:c r="G140" s="30" t="n">
        <x:v>45873</x:v>
      </x:c>
      <x:c r="H140" s="24" t="str"/>
      <x:c r="I140" s="24" t="str"/>
      <x:c r="J140" s="24" t="str">
        <x:f>IF(I140="","계약연령 미입력",IFERROR(IF(H140="","보험연령 미입력",IF(VALUE(H140)=VALUE(I140),"정상",IF(VALUE(H140)&gt;VALUE(I140),"보장 불일치","과보장 점검"))),"계약연령 형식확인"))</x:f>
        <x:v>계약연령 미입력</x:v>
      </x:c>
      <x:c r="K140" s="24" t="str">
        <x:v>만기 자료 갱신 필요</x:v>
      </x:c>
      <x:c r="L140" s="24" t="str"/>
      <x:c r="M140" s="24" t="str"/>
      <x:c r="N140" s="24" t="str"/>
      <x:c r="O140" s="24" t="str">
        <x:v>확인필요</x:v>
      </x:c>
      <x:c r="P140" s="24" t="str">
        <x:v>DB로 가입완료</x:v>
      </x:c>
    </x:row>
    <x:row r="141" ht="17.25" customHeight="1">
      <x:c r="A141" s="24" t="str">
        <x:v>PR-I-11머0509</x:v>
      </x:c>
      <x:c r="B141" s="24" t="str">
        <x:v>프라임구독</x:v>
      </x:c>
      <x:c r="C141" s="24" t="str">
        <x:v>11머0509</x:v>
      </x:c>
      <x:c r="D141" s="24" t="str">
        <x:v>DB</x:v>
      </x:c>
      <x:c r="E141" s="24" t="str"/>
      <x:c r="F141" s="30"/>
      <x:c r="G141" s="30" t="n">
        <x:v>45887</x:v>
      </x:c>
      <x:c r="H141" s="24" t="str"/>
      <x:c r="I141" s="24" t="str"/>
      <x:c r="J141" s="24" t="str">
        <x:f>IF(I141="","계약연령 미입력",IFERROR(IF(H141="","보험연령 미입력",IF(VALUE(H141)=VALUE(I141),"정상",IF(VALUE(H141)&gt;VALUE(I141),"보장 불일치","과보장 점검"))),"계약연령 형식확인"))</x:f>
        <x:v>계약연령 미입력</x:v>
      </x:c>
      <x:c r="K141" s="24" t="str">
        <x:v>만기 자료 갱신 필요</x:v>
      </x:c>
      <x:c r="L141" s="24" t="str"/>
      <x:c r="M141" s="24" t="str"/>
      <x:c r="N141" s="24" t="str"/>
      <x:c r="O141" s="24" t="str">
        <x:v>확인필요</x:v>
      </x:c>
      <x:c r="P141" s="24" t="str">
        <x:v>2024.10.30 중도인수</x:v>
      </x:c>
    </x:row>
    <x:row r="142" ht="17.25" customHeight="1">
      <x:c r="A142" s="24" t="str">
        <x:v>PR-I-11서5986</x:v>
      </x:c>
      <x:c r="B142" s="24" t="str">
        <x:v>프라임구독</x:v>
      </x:c>
      <x:c r="C142" s="24" t="str">
        <x:v>11서5986</x:v>
      </x:c>
      <x:c r="D142" s="24" t="str">
        <x:v>KB</x:v>
      </x:c>
      <x:c r="E142" s="24" t="str"/>
      <x:c r="F142" s="30"/>
      <x:c r="G142" s="30" t="n">
        <x:v>45930</x:v>
      </x:c>
      <x:c r="H142" s="24" t="str"/>
      <x:c r="I142" s="24" t="str"/>
      <x:c r="J142" s="24" t="str">
        <x:f>IF(I142="","계약연령 미입력",IFERROR(IF(H142="","보험연령 미입력",IF(VALUE(H142)=VALUE(I142),"정상",IF(VALUE(H142)&gt;VALUE(I142),"보장 불일치","과보장 점검"))),"계약연령 형식확인"))</x:f>
        <x:v>계약연령 미입력</x:v>
      </x:c>
      <x:c r="K142" s="24" t="str">
        <x:v>만기 자료 갱신 필요</x:v>
      </x:c>
      <x:c r="L142" s="24" t="str"/>
      <x:c r="M142" s="24" t="str"/>
      <x:c r="N142" s="24" t="str"/>
      <x:c r="O142" s="24" t="str">
        <x:v>확인필요</x:v>
      </x:c>
      <x:c r="P142" s="24" t="str">
        <x:v>2024/09/20 차량구독만기 직접가입하겠다고함</x:v>
      </x:c>
    </x:row>
    <x:row r="143" ht="17.25" customHeight="1">
      <x:c r="A143" s="24" t="str">
        <x:v>PR-I-129수4096</x:v>
      </x:c>
      <x:c r="B143" s="24" t="str">
        <x:v>프라임구독</x:v>
      </x:c>
      <x:c r="C143" s="24" t="str">
        <x:v>129수4096</x:v>
      </x:c>
      <x:c r="D143" s="24" t="str">
        <x:v>DB</x:v>
      </x:c>
      <x:c r="E143" s="24" t="str"/>
      <x:c r="F143" s="30"/>
      <x:c r="G143" s="30" t="n">
        <x:v>45993</x:v>
      </x:c>
      <x:c r="H143" s="24" t="str"/>
      <x:c r="I143" s="24" t="str"/>
      <x:c r="J143" s="24" t="str">
        <x:f>IF(I143="","계약연령 미입력",IFERROR(IF(H143="","보험연령 미입력",IF(VALUE(H143)=VALUE(I143),"정상",IF(VALUE(H143)&gt;VALUE(I143),"보장 불일치","과보장 점검"))),"계약연령 형식확인"))</x:f>
        <x:v>계약연령 미입력</x:v>
      </x:c>
      <x:c r="K143" s="24" t="str">
        <x:v>만기 자료 갱신 필요</x:v>
      </x:c>
      <x:c r="L143" s="24" t="str"/>
      <x:c r="M143" s="24" t="str"/>
      <x:c r="N143" s="24" t="str"/>
      <x:c r="O143" s="24" t="str">
        <x:v>확인필요</x:v>
      </x:c>
      <x:c r="P143" s="24" t="str">
        <x:v>DB 가입완료</x:v>
      </x:c>
    </x:row>
    <x:row r="144" ht="17.25" customHeight="1">
      <x:c r="A144" s="24" t="str">
        <x:v>PR-I-136저9431</x:v>
      </x:c>
      <x:c r="B144" s="24" t="str">
        <x:v>프라임구독</x:v>
      </x:c>
      <x:c r="C144" s="24" t="str">
        <x:v>136저9431</x:v>
      </x:c>
      <x:c r="D144" s="24" t="str"/>
      <x:c r="E144" s="24" t="str"/>
      <x:c r="F144" s="30"/>
      <x:c r="G144" s="30" t="n">
        <x:v>46091</x:v>
      </x:c>
      <x:c r="H144" s="24" t="str"/>
      <x:c r="I144" s="24" t="str"/>
      <x:c r="J144" s="24" t="str">
        <x:f>IF(I144="","계약연령 미입력",IFERROR(IF(H144="","보험연령 미입력",IF(VALUE(H144)=VALUE(I144),"정상",IF(VALUE(H144)&gt;VALUE(I144),"보장 불일치","과보장 점검"))),"계약연령 형식확인"))</x:f>
        <x:v>계약연령 미입력</x:v>
      </x:c>
      <x:c r="K144" s="24" t="str">
        <x:v>만기 자료 갱신 필요</x:v>
      </x:c>
      <x:c r="L144" s="24" t="str">
        <x:v>김태윤</x:v>
      </x:c>
      <x:c r="M144" s="24" t="str"/>
      <x:c r="N144" s="24" t="str"/>
      <x:c r="O144" s="24" t="str">
        <x:v>확인필요</x:v>
      </x:c>
      <x:c r="P144" s="24" t="str"/>
    </x:row>
    <x:row r="145" ht="17.25" customHeight="1">
      <x:c r="A145" s="24" t="str">
        <x:v>PR-I-13보6078</x:v>
      </x:c>
      <x:c r="B145" s="24" t="str">
        <x:v>프라임구독</x:v>
      </x:c>
      <x:c r="C145" s="24" t="str">
        <x:v>13보6078</x:v>
      </x:c>
      <x:c r="D145" s="24" t="str">
        <x:v>DB</x:v>
      </x:c>
      <x:c r="E145" s="24" t="str"/>
      <x:c r="F145" s="30"/>
      <x:c r="G145" s="30" t="n">
        <x:v>46028</x:v>
      </x:c>
      <x:c r="H145" s="24" t="str"/>
      <x:c r="I145" s="24" t="str"/>
      <x:c r="J145" s="24" t="str">
        <x:f>IF(I145="","계약연령 미입력",IFERROR(IF(H145="","보험연령 미입력",IF(VALUE(H145)=VALUE(I145),"정상",IF(VALUE(H145)&gt;VALUE(I145),"보장 불일치","과보장 점검"))),"계약연령 형식확인"))</x:f>
        <x:v>계약연령 미입력</x:v>
      </x:c>
      <x:c r="K145" s="24" t="str">
        <x:v>만기 자료 갱신 필요</x:v>
      </x:c>
      <x:c r="L145" s="24" t="str"/>
      <x:c r="M145" s="24" t="str"/>
      <x:c r="N145" s="24" t="str"/>
      <x:c r="O145" s="24" t="str">
        <x:v>확인필요</x:v>
      </x:c>
      <x:c r="P145" s="24" t="str">
        <x:v>삼성 직접 가입 후 DB로 다시 직접가입함</x:v>
      </x:c>
    </x:row>
    <x:row r="146" ht="17.25" customHeight="1">
      <x:c r="A146" s="24" t="str">
        <x:v>PR-I-13서8926</x:v>
      </x:c>
      <x:c r="B146" s="24" t="str">
        <x:v>프라임구독</x:v>
      </x:c>
      <x:c r="C146" s="24" t="str">
        <x:v>13서8926</x:v>
      </x:c>
      <x:c r="D146" s="24" t="str">
        <x:v>중도인수</x:v>
      </x:c>
      <x:c r="E146" s="24" t="str"/>
      <x:c r="F146" s="30"/>
      <x:c r="G146" s="30" t="n">
        <x:v>45585</x:v>
      </x:c>
      <x:c r="H146" s="24" t="str"/>
      <x:c r="I146" s="24" t="str"/>
      <x:c r="J146" s="24" t="str">
        <x:f>IF(I146="","계약연령 미입력",IFERROR(IF(H146="","보험연령 미입력",IF(VALUE(H146)=VALUE(I146),"정상",IF(VALUE(H146)&gt;VALUE(I146),"보장 불일치","과보장 점검"))),"계약연령 형식확인"))</x:f>
        <x:v>계약연령 미입력</x:v>
      </x:c>
      <x:c r="K146" s="24" t="str">
        <x:v>만기 자료 갱신 필요</x:v>
      </x:c>
      <x:c r="L146" s="24" t="str"/>
      <x:c r="M146" s="24" t="str"/>
      <x:c r="N146" s="24" t="str"/>
      <x:c r="O146" s="24" t="str">
        <x:v>확인필요</x:v>
      </x:c>
      <x:c r="P146" s="24" t="str">
        <x:v>2024.10.16 중도인수</x:v>
      </x:c>
    </x:row>
    <x:row r="147" ht="17.25" customHeight="1">
      <x:c r="A147" s="24" t="str">
        <x:v>PR-I-141라3003</x:v>
      </x:c>
      <x:c r="B147" s="24" t="str">
        <x:v>프라임구독</x:v>
      </x:c>
      <x:c r="C147" s="24" t="str">
        <x:v>141라3003</x:v>
      </x:c>
      <x:c r="D147" s="24" t="str"/>
      <x:c r="E147" s="24" t="str"/>
      <x:c r="F147" s="30"/>
      <x:c r="G147" s="30"/>
      <x:c r="H147" s="24" t="str"/>
      <x:c r="I147" s="24" t="str"/>
      <x:c r="J147" s="24" t="str">
        <x:f>IF(I147="","계약연령 미입력",IFERROR(IF(H147="","보험연령 미입력",IF(VALUE(H147)=VALUE(I147),"정상",IF(VALUE(H147)&gt;VALUE(I147),"보장 불일치","과보장 점검"))),"계약연령 형식확인"))</x:f>
        <x:v>계약연령 미입력</x:v>
      </x:c>
      <x:c r="K147" s="24" t="str">
        <x:v>보험 자료 없음</x:v>
      </x:c>
      <x:c r="L147" s="24" t="str"/>
      <x:c r="M147" s="24" t="str"/>
      <x:c r="N147" s="24" t="str"/>
      <x:c r="O147" s="24" t="str">
        <x:v>확인필요</x:v>
      </x:c>
      <x:c r="P147" s="24" t="str"/>
    </x:row>
    <x:row r="148" ht="17.25" customHeight="1">
      <x:c r="A148" s="24" t="str">
        <x:v>PR-I-141로3689</x:v>
      </x:c>
      <x:c r="B148" s="24" t="str">
        <x:v>프라임구독</x:v>
      </x:c>
      <x:c r="C148" s="24" t="str">
        <x:v>141로3689</x:v>
      </x:c>
      <x:c r="D148" s="24" t="str">
        <x:v>DB</x:v>
      </x:c>
      <x:c r="E148" s="24" t="str"/>
      <x:c r="F148" s="30"/>
      <x:c r="G148" s="30" t="n">
        <x:v>45795</x:v>
      </x:c>
      <x:c r="H148" s="24" t="str"/>
      <x:c r="I148" s="24" t="str"/>
      <x:c r="J148" s="24" t="str">
        <x:f>IF(I148="","계약연령 미입력",IFERROR(IF(H148="","보험연령 미입력",IF(VALUE(H148)=VALUE(I148),"정상",IF(VALUE(H148)&gt;VALUE(I148),"보장 불일치","과보장 점검"))),"계약연령 형식확인"))</x:f>
        <x:v>계약연령 미입력</x:v>
      </x:c>
      <x:c r="K148" s="24" t="str">
        <x:v>만기 자료 갱신 필요</x:v>
      </x:c>
      <x:c r="L148" s="24" t="str"/>
      <x:c r="M148" s="24" t="str"/>
      <x:c r="N148" s="24" t="str"/>
      <x:c r="O148" s="24" t="str">
        <x:v>확인필요</x:v>
      </x:c>
      <x:c r="P148" s="24" t="str">
        <x:v>DB 갱신완료 - 24.11.13 사고가 많아서 보험료 높게책정됨 - 프라임 선납함</x:v>
      </x:c>
    </x:row>
    <x:row r="149" ht="17.25" customHeight="1">
      <x:c r="A149" s="24" t="str">
        <x:v>PR-I-145부9300</x:v>
      </x:c>
      <x:c r="B149" s="24" t="str">
        <x:v>프라임구독</x:v>
      </x:c>
      <x:c r="C149" s="24" t="str">
        <x:v>145부9300</x:v>
      </x:c>
      <x:c r="D149" s="24" t="str"/>
      <x:c r="E149" s="24" t="str"/>
      <x:c r="F149" s="30"/>
      <x:c r="G149" s="30" t="n">
        <x:v>45721</x:v>
      </x:c>
      <x:c r="H149" s="24" t="str"/>
      <x:c r="I149" s="24" t="str"/>
      <x:c r="J149" s="24" t="str">
        <x:f>IF(I149="","계약연령 미입력",IFERROR(IF(H149="","보험연령 미입력",IF(VALUE(H149)=VALUE(I149),"정상",IF(VALUE(H149)&gt;VALUE(I149),"보장 불일치","과보장 점검"))),"계약연령 형식확인"))</x:f>
        <x:v>계약연령 미입력</x:v>
      </x:c>
      <x:c r="K149" s="24" t="str">
        <x:v>만기 자료 갱신 필요</x:v>
      </x:c>
      <x:c r="L149" s="24" t="str"/>
      <x:c r="M149" s="24" t="str"/>
      <x:c r="N149" s="24" t="str"/>
      <x:c r="O149" s="24" t="str">
        <x:v>확인필요</x:v>
      </x:c>
      <x:c r="P149" s="24" t="str">
        <x:v>24.08.16 중도인수 1,400만원</x:v>
      </x:c>
    </x:row>
    <x:row r="150" ht="17.25" customHeight="1">
      <x:c r="A150" s="24" t="str">
        <x:v>PR-I-14누0912</x:v>
      </x:c>
      <x:c r="B150" s="24" t="str">
        <x:v>프라임구독</x:v>
      </x:c>
      <x:c r="C150" s="24" t="str">
        <x:v>14누0912</x:v>
      </x:c>
      <x:c r="D150" s="24" t="str">
        <x:v>삼성</x:v>
      </x:c>
      <x:c r="E150" s="24" t="str"/>
      <x:c r="F150" s="30"/>
      <x:c r="G150" s="30" t="n">
        <x:v>45800</x:v>
      </x:c>
      <x:c r="H150" s="24" t="str"/>
      <x:c r="I150" s="24" t="str"/>
      <x:c r="J150" s="24" t="str">
        <x:f>IF(I150="","계약연령 미입력",IFERROR(IF(H150="","보험연령 미입력",IF(VALUE(H150)=VALUE(I150),"정상",IF(VALUE(H150)&gt;VALUE(I150),"보장 불일치","과보장 점검"))),"계약연령 형식확인"))</x:f>
        <x:v>계약연령 미입력</x:v>
      </x:c>
      <x:c r="K150" s="24" t="str">
        <x:v>만기 자료 갱신 필요</x:v>
      </x:c>
      <x:c r="L150" s="24" t="str">
        <x:v>정준영3</x:v>
      </x:c>
      <x:c r="M150" s="24" t="str"/>
      <x:c r="N150" s="24" t="str"/>
      <x:c r="O150" s="24" t="str">
        <x:v>확인필요</x:v>
      </x:c>
      <x:c r="P150" s="24" t="str">
        <x:v>지멋대로 삼성가입</x:v>
      </x:c>
    </x:row>
    <x:row r="151" ht="17.25" customHeight="1">
      <x:c r="A151" s="24" t="str">
        <x:v>PR-I-14도4653</x:v>
      </x:c>
      <x:c r="B151" s="24" t="str">
        <x:v>프라임구독</x:v>
      </x:c>
      <x:c r="C151" s="24" t="str">
        <x:v>14도4653</x:v>
      </x:c>
      <x:c r="D151" s="24" t="str">
        <x:v>DB</x:v>
      </x:c>
      <x:c r="E151" s="24" t="str"/>
      <x:c r="F151" s="30"/>
      <x:c r="G151" s="30" t="n">
        <x:v>46074</x:v>
      </x:c>
      <x:c r="H151" s="24" t="str"/>
      <x:c r="I151" s="24" t="str"/>
      <x:c r="J151" s="24" t="str">
        <x:f>IF(I151="","계약연령 미입력",IFERROR(IF(H151="","보험연령 미입력",IF(VALUE(H151)=VALUE(I151),"정상",IF(VALUE(H151)&gt;VALUE(I151),"보장 불일치","과보장 점검"))),"계약연령 형식확인"))</x:f>
        <x:v>계약연령 미입력</x:v>
      </x:c>
      <x:c r="K151" s="24" t="str">
        <x:v>만기 자료 갱신 필요</x:v>
      </x:c>
      <x:c r="L151" s="24" t="str">
        <x:v>백혜리</x:v>
      </x:c>
      <x:c r="M151" s="24" t="str"/>
      <x:c r="N151" s="24" t="str"/>
      <x:c r="O151" s="24" t="str">
        <x:v>확인필요</x:v>
      </x:c>
      <x:c r="P151" s="24" t="str">
        <x:v>DB 가입완료</x:v>
      </x:c>
    </x:row>
    <x:row r="152" ht="17.25" customHeight="1">
      <x:c r="A152" s="24" t="str">
        <x:v>PR-I-14두9128</x:v>
      </x:c>
      <x:c r="B152" s="24" t="str">
        <x:v>프라임구독</x:v>
      </x:c>
      <x:c r="C152" s="24" t="str">
        <x:v>14두9128</x:v>
      </x:c>
      <x:c r="D152" s="24" t="str">
        <x:v>AXA</x:v>
      </x:c>
      <x:c r="E152" s="24" t="str"/>
      <x:c r="F152" s="30"/>
      <x:c r="G152" s="30" t="n">
        <x:v>45854</x:v>
      </x:c>
      <x:c r="H152" s="24" t="str"/>
      <x:c r="I152" s="24" t="str"/>
      <x:c r="J152" s="24" t="str">
        <x:f>IF(I152="","계약연령 미입력",IFERROR(IF(H152="","보험연령 미입력",IF(VALUE(H152)=VALUE(I152),"정상",IF(VALUE(H152)&gt;VALUE(I152),"보장 불일치","과보장 점검"))),"계약연령 형식확인"))</x:f>
        <x:v>계약연령 미입력</x:v>
      </x:c>
      <x:c r="K152" s="24" t="str">
        <x:v>만기 자료 갱신 필요</x:v>
      </x:c>
      <x:c r="L152" s="24" t="str">
        <x:v>권소아</x:v>
      </x:c>
      <x:c r="M152" s="24" t="str"/>
      <x:c r="N152" s="24" t="str"/>
      <x:c r="O152" s="24" t="str">
        <x:v>확인필요</x:v>
      </x:c>
      <x:c r="P152" s="24" t="str">
        <x:v>10.21갱신인데 10.10 해외감. 한달후에 오심</x:v>
      </x:c>
    </x:row>
    <x:row r="153" ht="17.25" customHeight="1">
      <x:c r="A153" s="24" t="str">
        <x:v>PR-I-14소0456</x:v>
      </x:c>
      <x:c r="B153" s="24" t="str">
        <x:v>프라임구독</x:v>
      </x:c>
      <x:c r="C153" s="24" t="str">
        <x:v>14소0456</x:v>
      </x:c>
      <x:c r="D153" s="24" t="str">
        <x:v>DB</x:v>
      </x:c>
      <x:c r="E153" s="24" t="str"/>
      <x:c r="F153" s="30"/>
      <x:c r="G153" s="30" t="n">
        <x:v>45735</x:v>
      </x:c>
      <x:c r="H153" s="24" t="str"/>
      <x:c r="I153" s="24" t="str"/>
      <x:c r="J153" s="24" t="str">
        <x:f>IF(I153="","계약연령 미입력",IFERROR(IF(H153="","보험연령 미입력",IF(VALUE(H153)=VALUE(I153),"정상",IF(VALUE(H153)&gt;VALUE(I153),"보장 불일치","과보장 점검"))),"계약연령 형식확인"))</x:f>
        <x:v>계약연령 미입력</x:v>
      </x:c>
      <x:c r="K153" s="24" t="str">
        <x:v>만기 자료 갱신 필요</x:v>
      </x:c>
      <x:c r="L153" s="24" t="str">
        <x:v>양두식</x:v>
      </x:c>
      <x:c r="M153" s="24" t="str"/>
      <x:c r="N153" s="24" t="str"/>
      <x:c r="O153" s="24" t="str">
        <x:v>확인필요</x:v>
      </x:c>
      <x:c r="P153" s="24" t="str">
        <x:v>DB 책임보험 가입완료 / 시동제어</x:v>
      </x:c>
    </x:row>
    <x:row r="154" ht="17.25" customHeight="1">
      <x:c r="A154" s="24" t="str">
        <x:v>PR-I-152거6619</x:v>
      </x:c>
      <x:c r="B154" s="24" t="str">
        <x:v>프라임구독</x:v>
      </x:c>
      <x:c r="C154" s="24" t="str">
        <x:v>152거6619</x:v>
      </x:c>
      <x:c r="D154" s="24" t="str">
        <x:v>DB</x:v>
      </x:c>
      <x:c r="E154" s="24" t="str"/>
      <x:c r="F154" s="30"/>
      <x:c r="G154" s="30" t="n">
        <x:v>45887</x:v>
      </x:c>
      <x:c r="H154" s="24" t="str"/>
      <x:c r="I154" s="24" t="str"/>
      <x:c r="J154" s="24" t="str">
        <x:f>IF(I154="","계약연령 미입력",IFERROR(IF(H154="","보험연령 미입력",IF(VALUE(H154)=VALUE(I154),"정상",IF(VALUE(H154)&gt;VALUE(I154),"보장 불일치","과보장 점검"))),"계약연령 형식확인"))</x:f>
        <x:v>계약연령 미입력</x:v>
      </x:c>
      <x:c r="K154" s="24" t="str">
        <x:v>만기 자료 갱신 필요</x:v>
      </x:c>
      <x:c r="L154" s="24" t="str"/>
      <x:c r="M154" s="24" t="str"/>
      <x:c r="N154" s="24" t="str"/>
      <x:c r="O154" s="24" t="str">
        <x:v>확인필요</x:v>
      </x:c>
      <x:c r="P154" s="24" t="str">
        <x:v>DB 갱신완료</x:v>
      </x:c>
    </x:row>
    <x:row r="155" ht="17.25" customHeight="1">
      <x:c r="A155" s="24" t="str">
        <x:v>PR-I-157구9550</x:v>
      </x:c>
      <x:c r="B155" s="24" t="str">
        <x:v>프라임구독</x:v>
      </x:c>
      <x:c r="C155" s="24" t="str">
        <x:v>157구9550</x:v>
      </x:c>
      <x:c r="D155" s="24" t="str">
        <x:v>DB</x:v>
      </x:c>
      <x:c r="E155" s="24" t="str"/>
      <x:c r="F155" s="30"/>
      <x:c r="G155" s="30" t="n">
        <x:v>45697</x:v>
      </x:c>
      <x:c r="H155" s="24" t="str"/>
      <x:c r="I155" s="24" t="str"/>
      <x:c r="J155" s="24" t="str">
        <x:f>IF(I155="","계약연령 미입력",IFERROR(IF(H155="","보험연령 미입력",IF(VALUE(H155)=VALUE(I155),"정상",IF(VALUE(H155)&gt;VALUE(I155),"보장 불일치","과보장 점검"))),"계약연령 형식확인"))</x:f>
        <x:v>계약연령 미입력</x:v>
      </x:c>
      <x:c r="K155" s="24" t="str">
        <x:v>만기 자료 갱신 필요</x:v>
      </x:c>
      <x:c r="L155" s="24" t="str"/>
      <x:c r="M155" s="24" t="str"/>
      <x:c r="N155" s="24" t="str"/>
      <x:c r="O155" s="24" t="str">
        <x:v>확인필요</x:v>
      </x:c>
      <x:c r="P155" s="24" t="str"/>
    </x:row>
    <x:row r="156" ht="17.25" customHeight="1">
      <x:c r="A156" s="24" t="str">
        <x:v>PR-I-15도5239</x:v>
      </x:c>
      <x:c r="B156" s="24" t="str">
        <x:v>프라임구독</x:v>
      </x:c>
      <x:c r="C156" s="24" t="str">
        <x:v>15도5239</x:v>
      </x:c>
      <x:c r="D156" s="24" t="str">
        <x:v>DB</x:v>
      </x:c>
      <x:c r="E156" s="24" t="str"/>
      <x:c r="F156" s="30"/>
      <x:c r="G156" s="30" t="n">
        <x:v>46039</x:v>
      </x:c>
      <x:c r="H156" s="24" t="str"/>
      <x:c r="I156" s="24" t="str"/>
      <x:c r="J156" s="24" t="str">
        <x:f>IF(I156="","계약연령 미입력",IFERROR(IF(H156="","보험연령 미입력",IF(VALUE(H156)=VALUE(I156),"정상",IF(VALUE(H156)&gt;VALUE(I156),"보장 불일치","과보장 점검"))),"계약연령 형식확인"))</x:f>
        <x:v>계약연령 미입력</x:v>
      </x:c>
      <x:c r="K156" s="24" t="str">
        <x:v>만기 자료 갱신 필요</x:v>
      </x:c>
      <x:c r="L156" s="24" t="str"/>
      <x:c r="M156" s="24" t="str"/>
      <x:c r="N156" s="24" t="str"/>
      <x:c r="O156" s="24" t="str">
        <x:v>확인필요</x:v>
      </x:c>
      <x:c r="P156" s="24" t="str">
        <x:v>DB 갱신완료</x:v>
      </x:c>
    </x:row>
    <x:row r="157" ht="17.25" customHeight="1">
      <x:c r="A157" s="24" t="str">
        <x:v>PR-I-15마0652</x:v>
      </x:c>
      <x:c r="B157" s="24" t="str">
        <x:v>프라임구독</x:v>
      </x:c>
      <x:c r="C157" s="24" t="str">
        <x:v>15마0652</x:v>
      </x:c>
      <x:c r="D157" s="24" t="str">
        <x:v>DB</x:v>
      </x:c>
      <x:c r="E157" s="24" t="str"/>
      <x:c r="F157" s="30"/>
      <x:c r="G157" s="30" t="n">
        <x:v>45979</x:v>
      </x:c>
      <x:c r="H157" s="24" t="str"/>
      <x:c r="I157" s="24" t="str"/>
      <x:c r="J157" s="24" t="str">
        <x:f>IF(I157="","계약연령 미입력",IFERROR(IF(H157="","보험연령 미입력",IF(VALUE(H157)=VALUE(I157),"정상",IF(VALUE(H157)&gt;VALUE(I157),"보장 불일치","과보장 점검"))),"계약연령 형식확인"))</x:f>
        <x:v>계약연령 미입력</x:v>
      </x:c>
      <x:c r="K157" s="24" t="str">
        <x:v>만기 자료 갱신 필요</x:v>
      </x:c>
      <x:c r="L157" s="24" t="str"/>
      <x:c r="M157" s="24" t="str"/>
      <x:c r="N157" s="24" t="str"/>
      <x:c r="O157" s="24" t="str">
        <x:v>확인필요</x:v>
      </x:c>
      <x:c r="P157" s="24" t="str">
        <x:v>DB다이렉트 직접가입완료</x:v>
      </x:c>
    </x:row>
    <x:row r="158" ht="17.25" customHeight="1">
      <x:c r="A158" s="24" t="str">
        <x:v>PR-I-15머9092</x:v>
      </x:c>
      <x:c r="B158" s="24" t="str">
        <x:v>프라임구독</x:v>
      </x:c>
      <x:c r="C158" s="24" t="str">
        <x:v>15머9092</x:v>
      </x:c>
      <x:c r="D158" s="24" t="str"/>
      <x:c r="E158" s="24" t="str"/>
      <x:c r="F158" s="30"/>
      <x:c r="G158" s="30" t="n">
        <x:v>45830</x:v>
      </x:c>
      <x:c r="H158" s="24" t="str"/>
      <x:c r="I158" s="24" t="str"/>
      <x:c r="J158" s="24" t="str">
        <x:f>IF(I158="","계약연령 미입력",IFERROR(IF(H158="","보험연령 미입력",IF(VALUE(H158)=VALUE(I158),"정상",IF(VALUE(H158)&gt;VALUE(I158),"보장 불일치","과보장 점검"))),"계약연령 형식확인"))</x:f>
        <x:v>계약연령 미입력</x:v>
      </x:c>
      <x:c r="K158" s="24" t="str">
        <x:v>만기 자료 갱신 필요</x:v>
      </x:c>
      <x:c r="L158" s="24" t="str"/>
      <x:c r="M158" s="24" t="str"/>
      <x:c r="N158" s="24" t="str"/>
      <x:c r="O158" s="24" t="str">
        <x:v>확인필요</x:v>
      </x:c>
      <x:c r="P158" s="24" t="str"/>
    </x:row>
    <x:row r="159" ht="17.25" customHeight="1">
      <x:c r="A159" s="24" t="str">
        <x:v>PR-I-163부8390</x:v>
      </x:c>
      <x:c r="B159" s="24" t="str">
        <x:v>프라임구독</x:v>
      </x:c>
      <x:c r="C159" s="24" t="str">
        <x:v>163부8390</x:v>
      </x:c>
      <x:c r="D159" s="24" t="str">
        <x:v>DB</x:v>
      </x:c>
      <x:c r="E159" s="24" t="str"/>
      <x:c r="F159" s="30"/>
      <x:c r="G159" s="30" t="n">
        <x:v>45791</x:v>
      </x:c>
      <x:c r="H159" s="24" t="str"/>
      <x:c r="I159" s="24" t="str"/>
      <x:c r="J159" s="24" t="str">
        <x:f>IF(I159="","계약연령 미입력",IFERROR(IF(H159="","보험연령 미입력",IF(VALUE(H159)=VALUE(I159),"정상",IF(VALUE(H159)&gt;VALUE(I159),"보장 불일치","과보장 점검"))),"계약연령 형식확인"))</x:f>
        <x:v>계약연령 미입력</x:v>
      </x:c>
      <x:c r="K159" s="24" t="str">
        <x:v>만기 자료 갱신 필요</x:v>
      </x:c>
      <x:c r="L159" s="24" t="str"/>
      <x:c r="M159" s="24" t="str"/>
      <x:c r="N159" s="24" t="str"/>
      <x:c r="O159" s="24" t="str">
        <x:v>확인필요</x:v>
      </x:c>
      <x:c r="P159" s="24" t="str">
        <x:v>DB 갱신완료</x:v>
      </x:c>
    </x:row>
    <x:row r="160" ht="17.25" customHeight="1">
      <x:c r="A160" s="24" t="str">
        <x:v>PR-I-164노9379</x:v>
      </x:c>
      <x:c r="B160" s="24" t="str">
        <x:v>프라임구독</x:v>
      </x:c>
      <x:c r="C160" s="24" t="str">
        <x:v>164노9379</x:v>
      </x:c>
      <x:c r="D160" s="24" t="str">
        <x:v>DB</x:v>
      </x:c>
      <x:c r="E160" s="24" t="str"/>
      <x:c r="F160" s="30"/>
      <x:c r="G160" s="30" t="n">
        <x:v>45883</x:v>
      </x:c>
      <x:c r="H160" s="24" t="str"/>
      <x:c r="I160" s="24" t="str"/>
      <x:c r="J160" s="24" t="str">
        <x:f>IF(I160="","계약연령 미입력",IFERROR(IF(H160="","보험연령 미입력",IF(VALUE(H160)=VALUE(I160),"정상",IF(VALUE(H160)&gt;VALUE(I160),"보장 불일치","과보장 점검"))),"계약연령 형식확인"))</x:f>
        <x:v>계약연령 미입력</x:v>
      </x:c>
      <x:c r="K160" s="24" t="str">
        <x:v>만기 자료 갱신 필요</x:v>
      </x:c>
      <x:c r="L160" s="24" t="str">
        <x:v>강민규</x:v>
      </x:c>
      <x:c r="M160" s="24" t="str"/>
      <x:c r="N160" s="24" t="str"/>
      <x:c r="O160" s="24" t="str">
        <x:v>확인필요</x:v>
      </x:c>
      <x:c r="P160" s="24" t="str">
        <x:v>갱신완료</x:v>
      </x:c>
    </x:row>
    <x:row r="161" ht="17.25" customHeight="1">
      <x:c r="A161" s="24" t="str">
        <x:v>PR-I-169버5426</x:v>
      </x:c>
      <x:c r="B161" s="24" t="str">
        <x:v>프라임구독</x:v>
      </x:c>
      <x:c r="C161" s="24" t="str">
        <x:v>169버5426</x:v>
      </x:c>
      <x:c r="D161" s="24" t="str">
        <x:v>DB책보</x:v>
      </x:c>
      <x:c r="E161" s="24" t="str"/>
      <x:c r="F161" s="30"/>
      <x:c r="G161" s="30" t="n">
        <x:v>45739</x:v>
      </x:c>
      <x:c r="H161" s="24" t="str"/>
      <x:c r="I161" s="24" t="str"/>
      <x:c r="J161" s="24" t="str">
        <x:f>IF(I161="","계약연령 미입력",IFERROR(IF(H161="","보험연령 미입력",IF(VALUE(H161)=VALUE(I161),"정상",IF(VALUE(H161)&gt;VALUE(I161),"보장 불일치","과보장 점검"))),"계약연령 형식확인"))</x:f>
        <x:v>계약연령 미입력</x:v>
      </x:c>
      <x:c r="K161" s="24" t="str">
        <x:v>만기 자료 갱신 필요</x:v>
      </x:c>
      <x:c r="L161" s="24" t="str"/>
      <x:c r="M161" s="24" t="str"/>
      <x:c r="N161" s="24" t="str"/>
      <x:c r="O161" s="24" t="str">
        <x:v>확인필요</x:v>
      </x:c>
      <x:c r="P161" s="24" t="str">
        <x:v>DB 가입완료 =&gt; 반납예정 책보가입 12/23 -&gt; 책보갱신 25/01/23 -&gt; 책보갱신 25/02/21</x:v>
      </x:c>
    </x:row>
    <x:row r="162" ht="17.25" customHeight="1">
      <x:c r="A162" s="24" t="str">
        <x:v>PR-I-16다6556</x:v>
      </x:c>
      <x:c r="B162" s="24" t="str">
        <x:v>프라임구독</x:v>
      </x:c>
      <x:c r="C162" s="24" t="str">
        <x:v>16다6556</x:v>
      </x:c>
      <x:c r="D162" s="24" t="str"/>
      <x:c r="E162" s="24" t="str"/>
      <x:c r="F162" s="30"/>
      <x:c r="G162" s="30" t="n">
        <x:v>45707</x:v>
      </x:c>
      <x:c r="H162" s="24" t="str"/>
      <x:c r="I162" s="24" t="str"/>
      <x:c r="J162" s="24" t="str">
        <x:f>IF(I162="","계약연령 미입력",IFERROR(IF(H162="","보험연령 미입력",IF(VALUE(H162)=VALUE(I162),"정상",IF(VALUE(H162)&gt;VALUE(I162),"보장 불일치","과보장 점검"))),"계약연령 형식확인"))</x:f>
        <x:v>계약연령 미입력</x:v>
      </x:c>
      <x:c r="K162" s="24" t="str">
        <x:v>만기 자료 갱신 필요</x:v>
      </x:c>
      <x:c r="L162" s="24" t="str"/>
      <x:c r="M162" s="24" t="str"/>
      <x:c r="N162" s="24" t="str"/>
      <x:c r="O162" s="24" t="str">
        <x:v>확인필요</x:v>
      </x:c>
      <x:c r="P162" s="24" t="str"/>
    </x:row>
    <x:row r="163" ht="17.25" customHeight="1">
      <x:c r="A163" s="24" t="str">
        <x:v>PR-I-16소0356</x:v>
      </x:c>
      <x:c r="B163" s="24" t="str">
        <x:v>프라임구독</x:v>
      </x:c>
      <x:c r="C163" s="24" t="str">
        <x:v>16소0356</x:v>
      </x:c>
      <x:c r="D163" s="24" t="str">
        <x:v>메리츠</x:v>
      </x:c>
      <x:c r="E163" s="24" t="str"/>
      <x:c r="F163" s="30"/>
      <x:c r="G163" s="30" t="n">
        <x:v>46024</x:v>
      </x:c>
      <x:c r="H163" s="24" t="str"/>
      <x:c r="I163" s="24" t="str"/>
      <x:c r="J163" s="24" t="str">
        <x:f>IF(I163="","계약연령 미입력",IFERROR(IF(H163="","보험연령 미입력",IF(VALUE(H163)=VALUE(I163),"정상",IF(VALUE(H163)&gt;VALUE(I163),"보장 불일치","과보장 점검"))),"계약연령 형식확인"))</x:f>
        <x:v>계약연령 미입력</x:v>
      </x:c>
      <x:c r="K163" s="24" t="str">
        <x:v>만기 자료 갱신 필요</x:v>
      </x:c>
      <x:c r="L163" s="24" t="str"/>
      <x:c r="M163" s="24" t="str"/>
      <x:c r="N163" s="24" t="str"/>
      <x:c r="O163" s="24" t="str">
        <x:v>확인필요</x:v>
      </x:c>
      <x:c r="P163" s="24" t="str">
        <x:v>메리츠 가입완료</x:v>
      </x:c>
    </x:row>
    <x:row r="164" ht="17.25" customHeight="1">
      <x:c r="A164" s="24" t="str">
        <x:v>PR-I-16어0497</x:v>
      </x:c>
      <x:c r="B164" s="24" t="str">
        <x:v>프라임구독</x:v>
      </x:c>
      <x:c r="C164" s="24" t="str">
        <x:v>16어0497</x:v>
      </x:c>
      <x:c r="D164" s="24" t="str">
        <x:v>캐롯</x:v>
      </x:c>
      <x:c r="E164" s="24" t="str"/>
      <x:c r="F164" s="30"/>
      <x:c r="G164" s="30" t="n">
        <x:v>45910</x:v>
      </x:c>
      <x:c r="H164" s="24" t="str"/>
      <x:c r="I164" s="24" t="str"/>
      <x:c r="J164" s="24" t="str">
        <x:f>IF(I164="","계약연령 미입력",IFERROR(IF(H164="","보험연령 미입력",IF(VALUE(H164)=VALUE(I164),"정상",IF(VALUE(H164)&gt;VALUE(I164),"보장 불일치","과보장 점검"))),"계약연령 형식확인"))</x:f>
        <x:v>계약연령 미입력</x:v>
      </x:c>
      <x:c r="K164" s="24" t="str">
        <x:v>만기 자료 갱신 필요</x:v>
      </x:c>
      <x:c r="L164" s="24" t="str"/>
      <x:c r="M164" s="24" t="str"/>
      <x:c r="N164" s="24" t="str"/>
      <x:c r="O164" s="24" t="str">
        <x:v>확인필요</x:v>
      </x:c>
      <x:c r="P164" s="24" t="str">
        <x:v>캐롯으로 직접 가입하겠다고함</x:v>
      </x:c>
    </x:row>
    <x:row r="165" ht="17.25" customHeight="1">
      <x:c r="A165" s="24" t="str">
        <x:v>PR-I-179다2681</x:v>
      </x:c>
      <x:c r="B165" s="24" t="str">
        <x:v>프라임구독</x:v>
      </x:c>
      <x:c r="C165" s="24" t="str">
        <x:v>179다2681</x:v>
      </x:c>
      <x:c r="D165" s="24" t="str">
        <x:v>DB</x:v>
      </x:c>
      <x:c r="E165" s="24" t="str"/>
      <x:c r="F165" s="30"/>
      <x:c r="G165" s="30" t="n">
        <x:v>45786</x:v>
      </x:c>
      <x:c r="H165" s="24" t="str"/>
      <x:c r="I165" s="24" t="str"/>
      <x:c r="J165" s="24" t="str">
        <x:f>IF(I165="","계약연령 미입력",IFERROR(IF(H165="","보험연령 미입력",IF(VALUE(H165)=VALUE(I165),"정상",IF(VALUE(H165)&gt;VALUE(I165),"보장 불일치","과보장 점검"))),"계약연령 형식확인"))</x:f>
        <x:v>계약연령 미입력</x:v>
      </x:c>
      <x:c r="K165" s="24" t="str">
        <x:v>만기 자료 갱신 필요</x:v>
      </x:c>
      <x:c r="L165" s="24" t="str">
        <x:v>이미옥</x:v>
      </x:c>
      <x:c r="M165" s="24" t="str"/>
      <x:c r="N165" s="24" t="str"/>
      <x:c r="O165" s="24" t="str">
        <x:v>확인필요</x:v>
      </x:c>
      <x:c r="P165" s="24" t="str">
        <x:v>DB 갱신완료</x:v>
      </x:c>
    </x:row>
    <x:row r="166" ht="17.25" customHeight="1">
      <x:c r="A166" s="24" t="str">
        <x:v>PR-I-184주9892</x:v>
      </x:c>
      <x:c r="B166" s="24" t="str">
        <x:v>프라임구독</x:v>
      </x:c>
      <x:c r="C166" s="24" t="str">
        <x:v>184주9892</x:v>
      </x:c>
      <x:c r="D166" s="24" t="str"/>
      <x:c r="E166" s="24" t="str"/>
      <x:c r="F166" s="30"/>
      <x:c r="G166" s="30" t="n">
        <x:v>45691</x:v>
      </x:c>
      <x:c r="H166" s="24" t="str"/>
      <x:c r="I166" s="24" t="str"/>
      <x:c r="J166" s="24" t="str">
        <x:f>IF(I166="","계약연령 미입력",IFERROR(IF(H166="","보험연령 미입력",IF(VALUE(H166)=VALUE(I166),"정상",IF(VALUE(H166)&gt;VALUE(I166),"보장 불일치","과보장 점검"))),"계약연령 형식확인"))</x:f>
        <x:v>계약연령 미입력</x:v>
      </x:c>
      <x:c r="K166" s="24" t="str">
        <x:v>만기 자료 갱신 필요</x:v>
      </x:c>
      <x:c r="L166" s="24" t="str"/>
      <x:c r="M166" s="24" t="str"/>
      <x:c r="N166" s="24" t="str"/>
      <x:c r="O166" s="24" t="str">
        <x:v>확인필요</x:v>
      </x:c>
      <x:c r="P166" s="24" t="str">
        <x:v>8/10 보험료 257,670 청구해야됨=&gt; 해지해야됨 =&gt; 25.01.02 중도반납</x:v>
      </x:c>
    </x:row>
    <x:row r="167" ht="17.25" customHeight="1">
      <x:c r="A167" s="24" t="str">
        <x:v>PR-I-193저7763</x:v>
      </x:c>
      <x:c r="B167" s="24" t="str">
        <x:v>프라임구독</x:v>
      </x:c>
      <x:c r="C167" s="24" t="str">
        <x:v>193저7763</x:v>
      </x:c>
      <x:c r="D167" s="24" t="str">
        <x:v>KB</x:v>
      </x:c>
      <x:c r="E167" s="24" t="str"/>
      <x:c r="F167" s="30"/>
      <x:c r="G167" s="30" t="n">
        <x:v>45975</x:v>
      </x:c>
      <x:c r="H167" s="24" t="str"/>
      <x:c r="I167" s="24" t="str"/>
      <x:c r="J167" s="24" t="str">
        <x:f>IF(I167="","계약연령 미입력",IFERROR(IF(H167="","보험연령 미입력",IF(VALUE(H167)=VALUE(I167),"정상",IF(VALUE(H167)&gt;VALUE(I167),"보장 불일치","과보장 점검"))),"계약연령 형식확인"))</x:f>
        <x:v>계약연령 미입력</x:v>
      </x:c>
      <x:c r="K167" s="24" t="str">
        <x:v>만기 자료 갱신 필요</x:v>
      </x:c>
      <x:c r="L167" s="24" t="str"/>
      <x:c r="M167" s="24" t="str"/>
      <x:c r="N167" s="24" t="str"/>
      <x:c r="O167" s="24" t="str">
        <x:v>확인필요</x:v>
      </x:c>
      <x:c r="P167" s="24" t="str">
        <x:v>KB 갱신완료</x:v>
      </x:c>
    </x:row>
    <x:row r="168" ht="17.25" customHeight="1">
      <x:c r="A168" s="24" t="str">
        <x:v>PR-I-198조2892</x:v>
      </x:c>
      <x:c r="B168" s="24" t="str">
        <x:v>프라임구독</x:v>
      </x:c>
      <x:c r="C168" s="24" t="str">
        <x:v>198조2892</x:v>
      </x:c>
      <x:c r="D168" s="24" t="str">
        <x:v>DB</x:v>
      </x:c>
      <x:c r="E168" s="24" t="str"/>
      <x:c r="F168" s="30"/>
      <x:c r="G168" s="30" t="n">
        <x:v>46025</x:v>
      </x:c>
      <x:c r="H168" s="24" t="str"/>
      <x:c r="I168" s="24" t="str"/>
      <x:c r="J168" s="24" t="str">
        <x:f>IF(I168="","계약연령 미입력",IFERROR(IF(H168="","보험연령 미입력",IF(VALUE(H168)=VALUE(I168),"정상",IF(VALUE(H168)&gt;VALUE(I168),"보장 불일치","과보장 점검"))),"계약연령 형식확인"))</x:f>
        <x:v>계약연령 미입력</x:v>
      </x:c>
      <x:c r="K168" s="24" t="str">
        <x:v>만기 자료 갱신 필요</x:v>
      </x:c>
      <x:c r="L168" s="24" t="str"/>
      <x:c r="M168" s="24" t="str"/>
      <x:c r="N168" s="24" t="str"/>
      <x:c r="O168" s="24" t="str">
        <x:v>확인필요</x:v>
      </x:c>
      <x:c r="P168" s="24" t="str">
        <x:v>DB 갱신완료</x:v>
      </x:c>
    </x:row>
    <x:row r="169" ht="17.25" customHeight="1">
      <x:c r="A169" s="24" t="str">
        <x:v>PR-I-19너5699</x:v>
      </x:c>
      <x:c r="B169" s="24" t="str">
        <x:v>프라임구독</x:v>
      </x:c>
      <x:c r="C169" s="24" t="str">
        <x:v>19너5699</x:v>
      </x:c>
      <x:c r="D169" s="24" t="str"/>
      <x:c r="E169" s="24" t="str"/>
      <x:c r="F169" s="30"/>
      <x:c r="G169" s="30" t="n">
        <x:v>45861</x:v>
      </x:c>
      <x:c r="H169" s="24" t="str"/>
      <x:c r="I169" s="24" t="str"/>
      <x:c r="J169" s="24" t="str">
        <x:f>IF(I169="","계약연령 미입력",IFERROR(IF(H169="","보험연령 미입력",IF(VALUE(H169)=VALUE(I169),"정상",IF(VALUE(H169)&gt;VALUE(I169),"보장 불일치","과보장 점검"))),"계약연령 형식확인"))</x:f>
        <x:v>계약연령 미입력</x:v>
      </x:c>
      <x:c r="K169" s="24" t="str">
        <x:v>만기 자료 갱신 필요</x:v>
      </x:c>
      <x:c r="L169" s="24" t="str">
        <x:v>김수연</x:v>
      </x:c>
      <x:c r="M169" s="24" t="str"/>
      <x:c r="N169" s="24" t="str"/>
      <x:c r="O169" s="24" t="str">
        <x:v>확인필요</x:v>
      </x:c>
      <x:c r="P169" s="24" t="str"/>
    </x:row>
    <x:row r="170" ht="17.25" customHeight="1">
      <x:c r="A170" s="24" t="str">
        <x:v>PR-I-19보9990</x:v>
      </x:c>
      <x:c r="B170" s="24" t="str">
        <x:v>프라임구독</x:v>
      </x:c>
      <x:c r="C170" s="24" t="str">
        <x:v>19보9990</x:v>
      </x:c>
      <x:c r="D170" s="24" t="str">
        <x:v>DB</x:v>
      </x:c>
      <x:c r="E170" s="24" t="str"/>
      <x:c r="F170" s="30"/>
      <x:c r="G170" s="30" t="n">
        <x:v>45726</x:v>
      </x:c>
      <x:c r="H170" s="24" t="str"/>
      <x:c r="I170" s="24" t="str"/>
      <x:c r="J170" s="24" t="str">
        <x:f>IF(I170="","계약연령 미입력",IFERROR(IF(H170="","보험연령 미입력",IF(VALUE(H170)=VALUE(I170),"정상",IF(VALUE(H170)&gt;VALUE(I170),"보장 불일치","과보장 점검"))),"계약연령 형식확인"))</x:f>
        <x:v>계약연령 미입력</x:v>
      </x:c>
      <x:c r="K170" s="24" t="str">
        <x:v>만기 자료 갱신 필요</x:v>
      </x:c>
      <x:c r="L170" s="24" t="str"/>
      <x:c r="M170" s="24" t="str"/>
      <x:c r="N170" s="24" t="str"/>
      <x:c r="O170" s="24" t="str">
        <x:v>확인필요</x:v>
      </x:c>
      <x:c r="P170" s="24" t="str">
        <x:v>DB갱신완료(2024.08.08) // DB갱신완료(24.11.10 -&gt; 25.02.10) // 구독료 너무 안내서 시동제어 및 책보가입(02-10)</x:v>
      </x:c>
    </x:row>
    <x:row r="171" ht="17.25" customHeight="1">
      <x:c r="A171" s="24" t="str">
        <x:v>PR-I-200나9556</x:v>
      </x:c>
      <x:c r="B171" s="24" t="str">
        <x:v>프라임구독</x:v>
      </x:c>
      <x:c r="C171" s="24" t="str">
        <x:v>200나9556</x:v>
      </x:c>
      <x:c r="D171" s="24" t="str">
        <x:v>DB</x:v>
      </x:c>
      <x:c r="E171" s="24" t="str"/>
      <x:c r="F171" s="30"/>
      <x:c r="G171" s="30" t="n">
        <x:v>45957</x:v>
      </x:c>
      <x:c r="H171" s="24" t="str"/>
      <x:c r="I171" s="24" t="str"/>
      <x:c r="J171" s="24" t="str">
        <x:f>IF(I171="","계약연령 미입력",IFERROR(IF(H171="","보험연령 미입력",IF(VALUE(H171)=VALUE(I171),"정상",IF(VALUE(H171)&gt;VALUE(I171),"보장 불일치","과보장 점검"))),"계약연령 형식확인"))</x:f>
        <x:v>계약연령 미입력</x:v>
      </x:c>
      <x:c r="K171" s="24" t="str">
        <x:v>만기 자료 갱신 필요</x:v>
      </x:c>
      <x:c r="L171" s="24" t="str"/>
      <x:c r="M171" s="24" t="str"/>
      <x:c r="N171" s="24" t="str"/>
      <x:c r="O171" s="24" t="str">
        <x:v>확인필요</x:v>
      </x:c>
      <x:c r="P171" s="24" t="str">
        <x:v>DB 가입완료 -&gt; 프라임 선납 1,599,630원 -&gt; 11월부터 납부 예정</x:v>
      </x:c>
    </x:row>
    <x:row r="172" ht="17.25" customHeight="1">
      <x:c r="A172" s="24" t="str">
        <x:v>PR-I-20가6992</x:v>
      </x:c>
      <x:c r="B172" s="24" t="str">
        <x:v>프라임구독</x:v>
      </x:c>
      <x:c r="C172" s="24" t="str">
        <x:v>20가6992</x:v>
      </x:c>
      <x:c r="D172" s="24" t="str">
        <x:v>DB</x:v>
      </x:c>
      <x:c r="E172" s="24" t="str"/>
      <x:c r="F172" s="30"/>
      <x:c r="G172" s="30" t="n">
        <x:v>45722</x:v>
      </x:c>
      <x:c r="H172" s="24" t="str"/>
      <x:c r="I172" s="24" t="str"/>
      <x:c r="J172" s="24" t="str">
        <x:f>IF(I172="","계약연령 미입력",IFERROR(IF(H172="","보험연령 미입력",IF(VALUE(H172)=VALUE(I172),"정상",IF(VALUE(H172)&gt;VALUE(I172),"보장 불일치","과보장 점검"))),"계약연령 형식확인"))</x:f>
        <x:v>계약연령 미입력</x:v>
      </x:c>
      <x:c r="K172" s="24" t="str">
        <x:v>만기 자료 갱신 필요</x:v>
      </x:c>
      <x:c r="L172" s="24" t="str"/>
      <x:c r="M172" s="24" t="str"/>
      <x:c r="N172" s="24" t="str"/>
      <x:c r="O172" s="24" t="str">
        <x:v>확인필요</x:v>
      </x:c>
      <x:c r="P172" s="24" t="str">
        <x:v>중도반납, 기존보험유지 / 기간 경과시 책임보험 가입해야함 -&gt; 25-02-06 책보 가입완료 -&gt; 매각완료</x:v>
      </x:c>
    </x:row>
    <x:row r="173" ht="17.25" customHeight="1">
      <x:c r="A173" s="24" t="str">
        <x:v>PR-I-20누1882</x:v>
      </x:c>
      <x:c r="B173" s="24" t="str">
        <x:v>프라임구독</x:v>
      </x:c>
      <x:c r="C173" s="24" t="str">
        <x:v>20누1882</x:v>
      </x:c>
      <x:c r="D173" s="24" t="str"/>
      <x:c r="E173" s="24" t="str"/>
      <x:c r="F173" s="30"/>
      <x:c r="G173" s="30" t="n">
        <x:v>45780</x:v>
      </x:c>
      <x:c r="H173" s="24" t="str"/>
      <x:c r="I173" s="24" t="str"/>
      <x:c r="J173" s="24" t="str">
        <x:f>IF(I173="","계약연령 미입력",IFERROR(IF(H173="","보험연령 미입력",IF(VALUE(H173)=VALUE(I173),"정상",IF(VALUE(H173)&gt;VALUE(I173),"보장 불일치","과보장 점검"))),"계약연령 형식확인"))</x:f>
        <x:v>계약연령 미입력</x:v>
      </x:c>
      <x:c r="K173" s="24" t="str">
        <x:v>만기 자료 갱신 필요</x:v>
      </x:c>
      <x:c r="L173" s="24" t="str"/>
      <x:c r="M173" s="24" t="str"/>
      <x:c r="N173" s="24" t="str"/>
      <x:c r="O173" s="24" t="str">
        <x:v>확인필요</x:v>
      </x:c>
      <x:c r="P173" s="24" t="str"/>
    </x:row>
    <x:row r="174" ht="17.25" customHeight="1">
      <x:c r="A174" s="24" t="str">
        <x:v>PR-I-20부2787</x:v>
      </x:c>
      <x:c r="B174" s="24" t="str">
        <x:v>프라임구독</x:v>
      </x:c>
      <x:c r="C174" s="24" t="str">
        <x:v>20부2787</x:v>
      </x:c>
      <x:c r="D174" s="24" t="str"/>
      <x:c r="E174" s="24" t="str"/>
      <x:c r="F174" s="30"/>
      <x:c r="G174" s="30" t="n">
        <x:v>46182</x:v>
      </x:c>
      <x:c r="H174" s="24" t="str"/>
      <x:c r="I174" s="24" t="str"/>
      <x:c r="J174" s="24" t="str">
        <x:f>IF(I174="","계약연령 미입력",IFERROR(IF(H174="","보험연령 미입력",IF(VALUE(H174)=VALUE(I174),"정상",IF(VALUE(H174)&gt;VALUE(I174),"보장 불일치","과보장 점검"))),"계약연령 형식확인"))</x:f>
        <x:v>계약연령 미입력</x:v>
      </x:c>
      <x:c r="K174" s="24" t="str">
        <x:v>만기 자료 갱신 필요</x:v>
      </x:c>
      <x:c r="L174" s="24" t="str"/>
      <x:c r="M174" s="24" t="str"/>
      <x:c r="N174" s="24" t="str"/>
      <x:c r="O174" s="24" t="str">
        <x:v>확인필요</x:v>
      </x:c>
      <x:c r="P174" s="24" t="str"/>
    </x:row>
    <x:row r="175" ht="17.25" customHeight="1">
      <x:c r="A175" s="24" t="str">
        <x:v>PR-I-20서8159</x:v>
      </x:c>
      <x:c r="B175" s="24" t="str">
        <x:v>프라임구독</x:v>
      </x:c>
      <x:c r="C175" s="24" t="str">
        <x:v>20서8159</x:v>
      </x:c>
      <x:c r="D175" s="24" t="str"/>
      <x:c r="E175" s="24" t="str"/>
      <x:c r="F175" s="30"/>
      <x:c r="G175" s="30" t="n">
        <x:v>46087</x:v>
      </x:c>
      <x:c r="H175" s="24" t="str"/>
      <x:c r="I175" s="24" t="str"/>
      <x:c r="J175" s="24" t="str">
        <x:f>IF(I175="","계약연령 미입력",IFERROR(IF(H175="","보험연령 미입력",IF(VALUE(H175)=VALUE(I175),"정상",IF(VALUE(H175)&gt;VALUE(I175),"보장 불일치","과보장 점검"))),"계약연령 형식확인"))</x:f>
        <x:v>계약연령 미입력</x:v>
      </x:c>
      <x:c r="K175" s="24" t="str">
        <x:v>만기 자료 갱신 필요</x:v>
      </x:c>
      <x:c r="L175" s="24" t="str"/>
      <x:c r="M175" s="24" t="str"/>
      <x:c r="N175" s="24" t="str"/>
      <x:c r="O175" s="24" t="str">
        <x:v>확인필요</x:v>
      </x:c>
      <x:c r="P175" s="24" t="str">
        <x:v>8/10 보험료 160,780 청구해야됨 -&gt; 08/23 납부완료</x:v>
      </x:c>
    </x:row>
    <x:row r="176" ht="17.25" customHeight="1">
      <x:c r="A176" s="24" t="str">
        <x:v>PR-I-21고4882</x:v>
      </x:c>
      <x:c r="B176" s="24" t="str">
        <x:v>프라임구독</x:v>
      </x:c>
      <x:c r="C176" s="24" t="str">
        <x:v>21고4882</x:v>
      </x:c>
      <x:c r="D176" s="24" t="str">
        <x:v>DB</x:v>
      </x:c>
      <x:c r="E176" s="24" t="str"/>
      <x:c r="F176" s="30"/>
      <x:c r="G176" s="30" t="n">
        <x:v>45979</x:v>
      </x:c>
      <x:c r="H176" s="24" t="str"/>
      <x:c r="I176" s="24" t="str"/>
      <x:c r="J176" s="24" t="str">
        <x:f>IF(I176="","계약연령 미입력",IFERROR(IF(H176="","보험연령 미입력",IF(VALUE(H176)=VALUE(I176),"정상",IF(VALUE(H176)&gt;VALUE(I176),"보장 불일치","과보장 점검"))),"계약연령 형식확인"))</x:f>
        <x:v>계약연령 미입력</x:v>
      </x:c>
      <x:c r="K176" s="24" t="str">
        <x:v>만기 자료 갱신 필요</x:v>
      </x:c>
      <x:c r="L176" s="24" t="str">
        <x:v>김윤정</x:v>
      </x:c>
      <x:c r="M176" s="24" t="str"/>
      <x:c r="N176" s="24" t="str"/>
      <x:c r="O176" s="24" t="str">
        <x:v>확인필요</x:v>
      </x:c>
      <x:c r="P176" s="24" t="str">
        <x:v>DB 가입완료</x:v>
      </x:c>
    </x:row>
    <x:row r="177" ht="17.25" customHeight="1">
      <x:c r="A177" s="24" t="str">
        <x:v>PR-I-227서8291</x:v>
      </x:c>
      <x:c r="B177" s="24" t="str">
        <x:v>프라임구독</x:v>
      </x:c>
      <x:c r="C177" s="24" t="str">
        <x:v>227서8291</x:v>
      </x:c>
      <x:c r="D177" s="24" t="str">
        <x:v>DB책보</x:v>
      </x:c>
      <x:c r="E177" s="24" t="str"/>
      <x:c r="F177" s="30"/>
      <x:c r="G177" s="30" t="n">
        <x:v>45739</x:v>
      </x:c>
      <x:c r="H177" s="24" t="str"/>
      <x:c r="I177" s="24" t="str"/>
      <x:c r="J177" s="24" t="str">
        <x:f>IF(I177="","계약연령 미입력",IFERROR(IF(H177="","보험연령 미입력",IF(VALUE(H177)=VALUE(I177),"정상",IF(VALUE(H177)&gt;VALUE(I177),"보장 불일치","과보장 점검"))),"계약연령 형식확인"))</x:f>
        <x:v>계약연령 미입력</x:v>
      </x:c>
      <x:c r="K177" s="24" t="str">
        <x:v>만기 자료 갱신 필요</x:v>
      </x:c>
      <x:c r="L177" s="24" t="str"/>
      <x:c r="M177" s="24" t="str"/>
      <x:c r="N177" s="24" t="str"/>
      <x:c r="O177" s="24" t="str">
        <x:v>확인필요</x:v>
      </x:c>
      <x:c r="P177" s="24" t="str">
        <x:v>직업군인, 보험 만기일에 책임보험 가입 후 고객연락대기(연락처 확인불가) -&gt; 24.11.22 갱신 -&gt; 24.12.23 갱신 -&gt; 25.01.23 갱신 -&gt; 25.02.21 갱신</x:v>
      </x:c>
    </x:row>
    <x:row r="178" ht="17.25" customHeight="1">
      <x:c r="A178" s="24" t="str">
        <x:v>PR-I-22거1063</x:v>
      </x:c>
      <x:c r="B178" s="24" t="str">
        <x:v>프라임구독</x:v>
      </x:c>
      <x:c r="C178" s="24" t="str">
        <x:v>22거1063</x:v>
      </x:c>
      <x:c r="D178" s="24" t="str">
        <x:v>AXA</x:v>
      </x:c>
      <x:c r="E178" s="24" t="str"/>
      <x:c r="F178" s="30"/>
      <x:c r="G178" s="30" t="n">
        <x:v>45794</x:v>
      </x:c>
      <x:c r="H178" s="24" t="str"/>
      <x:c r="I178" s="24" t="str"/>
      <x:c r="J178" s="24" t="str">
        <x:f>IF(I178="","계약연령 미입력",IFERROR(IF(H178="","보험연령 미입력",IF(VALUE(H178)=VALUE(I178),"정상",IF(VALUE(H178)&gt;VALUE(I178),"보장 불일치","과보장 점검"))),"계약연령 형식확인"))</x:f>
        <x:v>계약연령 미입력</x:v>
      </x:c>
      <x:c r="K178" s="24" t="str">
        <x:v>만기 자료 갱신 필요</x:v>
      </x:c>
      <x:c r="L178" s="24" t="str"/>
      <x:c r="M178" s="24" t="str"/>
      <x:c r="N178" s="24" t="str"/>
      <x:c r="O178" s="24" t="str">
        <x:v>확인필요</x:v>
      </x:c>
      <x:c r="P178" s="24" t="str">
        <x:v>AXA 갱신완료</x:v>
      </x:c>
    </x:row>
    <x:row r="179" ht="17.25" customHeight="1">
      <x:c r="A179" s="24" t="str">
        <x:v>PR-I-231더7227</x:v>
      </x:c>
      <x:c r="B179" s="24" t="str">
        <x:v>프라임구독</x:v>
      </x:c>
      <x:c r="C179" s="24" t="str">
        <x:v>231더7227</x:v>
      </x:c>
      <x:c r="D179" s="24" t="str">
        <x:v>DB</x:v>
      </x:c>
      <x:c r="E179" s="24" t="str"/>
      <x:c r="F179" s="30"/>
      <x:c r="G179" s="30" t="n">
        <x:v>45871</x:v>
      </x:c>
      <x:c r="H179" s="24" t="str"/>
      <x:c r="I179" s="24" t="str"/>
      <x:c r="J179" s="24" t="str">
        <x:f>IF(I179="","계약연령 미입력",IFERROR(IF(H179="","보험연령 미입력",IF(VALUE(H179)=VALUE(I179),"정상",IF(VALUE(H179)&gt;VALUE(I179),"보장 불일치","과보장 점검"))),"계약연령 형식확인"))</x:f>
        <x:v>계약연령 미입력</x:v>
      </x:c>
      <x:c r="K179" s="24" t="str">
        <x:v>만기 자료 갱신 필요</x:v>
      </x:c>
      <x:c r="L179" s="24" t="str"/>
      <x:c r="M179" s="24" t="str"/>
      <x:c r="N179" s="24" t="str"/>
      <x:c r="O179" s="24" t="str">
        <x:v>확인필요</x:v>
      </x:c>
      <x:c r="P179" s="24" t="str">
        <x:v>DB로 가입완료</x:v>
      </x:c>
    </x:row>
    <x:row r="180" ht="17.25" customHeight="1">
      <x:c r="A180" s="24" t="str">
        <x:v>PR-I-236가3220</x:v>
      </x:c>
      <x:c r="B180" s="24" t="str">
        <x:v>프라임구독</x:v>
      </x:c>
      <x:c r="C180" s="24" t="str">
        <x:v>236가3220</x:v>
      </x:c>
      <x:c r="D180" s="24" t="str">
        <x:v>DB</x:v>
      </x:c>
      <x:c r="E180" s="24" t="str"/>
      <x:c r="F180" s="30"/>
      <x:c r="G180" s="30" t="n">
        <x:v>45714</x:v>
      </x:c>
      <x:c r="H180" s="24" t="str"/>
      <x:c r="I180" s="24" t="str"/>
      <x:c r="J180" s="24" t="str">
        <x:f>IF(I180="","계약연령 미입력",IFERROR(IF(H180="","보험연령 미입력",IF(VALUE(H180)=VALUE(I180),"정상",IF(VALUE(H180)&gt;VALUE(I180),"보장 불일치","과보장 점검"))),"계약연령 형식확인"))</x:f>
        <x:v>계약연령 미입력</x:v>
      </x:c>
      <x:c r="K180" s="24" t="str">
        <x:v>만기 자료 갱신 필요</x:v>
      </x:c>
      <x:c r="L180" s="24" t="str"/>
      <x:c r="M180" s="24" t="str"/>
      <x:c r="N180" s="24" t="str"/>
      <x:c r="O180" s="24" t="str">
        <x:v>확인필요</x:v>
      </x:c>
      <x:c r="P180" s="24" t="str">
        <x:v>6개월 216만원 / 악사 검토 필요 / 시동제어 완료</x:v>
      </x:c>
    </x:row>
    <x:row r="181" ht="17.25" customHeight="1">
      <x:c r="A181" s="24" t="str">
        <x:v>PR-I-236보1364</x:v>
      </x:c>
      <x:c r="B181" s="24" t="str">
        <x:v>프라임구독</x:v>
      </x:c>
      <x:c r="C181" s="24" t="str">
        <x:v>236보1364</x:v>
      </x:c>
      <x:c r="D181" s="24" t="str"/>
      <x:c r="E181" s="24" t="str"/>
      <x:c r="F181" s="30"/>
      <x:c r="G181" s="30" t="n">
        <x:v>45828</x:v>
      </x:c>
      <x:c r="H181" s="24" t="str"/>
      <x:c r="I181" s="24" t="str"/>
      <x:c r="J181" s="24" t="str">
        <x:f>IF(I181="","계약연령 미입력",IFERROR(IF(H181="","보험연령 미입력",IF(VALUE(H181)=VALUE(I181),"정상",IF(VALUE(H181)&gt;VALUE(I181),"보장 불일치","과보장 점검"))),"계약연령 형식확인"))</x:f>
        <x:v>계약연령 미입력</x:v>
      </x:c>
      <x:c r="K181" s="24" t="str">
        <x:v>만기 자료 갱신 필요</x:v>
      </x:c>
      <x:c r="L181" s="24" t="str">
        <x:v>조영훈b</x:v>
      </x:c>
      <x:c r="M181" s="24" t="str"/>
      <x:c r="N181" s="24" t="str"/>
      <x:c r="O181" s="24" t="str">
        <x:v>확인필요</x:v>
      </x:c>
      <x:c r="P181" s="24" t="str"/>
    </x:row>
    <x:row r="182" ht="17.25" customHeight="1">
      <x:c r="A182" s="24" t="str">
        <x:v>PR-I-239버3661</x:v>
      </x:c>
      <x:c r="B182" s="24" t="str">
        <x:v>프라임구독</x:v>
      </x:c>
      <x:c r="C182" s="24" t="str">
        <x:v>239버3661</x:v>
      </x:c>
      <x:c r="D182" s="24" t="str"/>
      <x:c r="E182" s="24" t="str"/>
      <x:c r="F182" s="30"/>
      <x:c r="G182" s="30" t="n">
        <x:v>46108</x:v>
      </x:c>
      <x:c r="H182" s="24" t="str"/>
      <x:c r="I182" s="24" t="str"/>
      <x:c r="J182" s="24" t="str">
        <x:f>IF(I182="","계약연령 미입력",IFERROR(IF(H182="","보험연령 미입력",IF(VALUE(H182)=VALUE(I182),"정상",IF(VALUE(H182)&gt;VALUE(I182),"보장 불일치","과보장 점검"))),"계약연령 형식확인"))</x:f>
        <x:v>계약연령 미입력</x:v>
      </x:c>
      <x:c r="K182" s="24" t="str">
        <x:v>만기 자료 갱신 필요</x:v>
      </x:c>
      <x:c r="L182" s="24" t="str"/>
      <x:c r="M182" s="24" t="str"/>
      <x:c r="N182" s="24" t="str"/>
      <x:c r="O182" s="24" t="str">
        <x:v>확인필요</x:v>
      </x:c>
      <x:c r="P182" s="24" t="str"/>
    </x:row>
    <x:row r="183" ht="17.25" customHeight="1">
      <x:c r="A183" s="24" t="str">
        <x:v>PR-I-23더7974</x:v>
      </x:c>
      <x:c r="B183" s="24" t="str">
        <x:v>프라임구독</x:v>
      </x:c>
      <x:c r="C183" s="24" t="str">
        <x:v>23더7974</x:v>
      </x:c>
      <x:c r="D183" s="24" t="str"/>
      <x:c r="E183" s="24" t="str"/>
      <x:c r="F183" s="30"/>
      <x:c r="G183" s="30" t="n">
        <x:v>45848</x:v>
      </x:c>
      <x:c r="H183" s="24" t="str"/>
      <x:c r="I183" s="24" t="str"/>
      <x:c r="J183" s="24" t="str">
        <x:f>IF(I183="","계약연령 미입력",IFERROR(IF(H183="","보험연령 미입력",IF(VALUE(H183)=VALUE(I183),"정상",IF(VALUE(H183)&gt;VALUE(I183),"보장 불일치","과보장 점검"))),"계약연령 형식확인"))</x:f>
        <x:v>계약연령 미입력</x:v>
      </x:c>
      <x:c r="K183" s="24" t="str">
        <x:v>만기 자료 갱신 필요</x:v>
      </x:c>
      <x:c r="L183" s="24" t="str"/>
      <x:c r="M183" s="24" t="str"/>
      <x:c r="N183" s="24" t="str"/>
      <x:c r="O183" s="24" t="str">
        <x:v>확인필요</x:v>
      </x:c>
      <x:c r="P183" s="24" t="str">
        <x:v>사고폐차</x:v>
      </x:c>
    </x:row>
    <x:row r="184" ht="17.25" customHeight="1">
      <x:c r="A184" s="24" t="str">
        <x:v>PR-I-240보1114</x:v>
      </x:c>
      <x:c r="B184" s="24" t="str">
        <x:v>프라임구독</x:v>
      </x:c>
      <x:c r="C184" s="24" t="str">
        <x:v>240보1114</x:v>
      </x:c>
      <x:c r="D184" s="24" t="str">
        <x:v>DB</x:v>
      </x:c>
      <x:c r="E184" s="24" t="str"/>
      <x:c r="F184" s="30"/>
      <x:c r="G184" s="30" t="n">
        <x:v>46025</x:v>
      </x:c>
      <x:c r="H184" s="24" t="str"/>
      <x:c r="I184" s="24" t="str"/>
      <x:c r="J184" s="24" t="str">
        <x:f>IF(I184="","계약연령 미입력",IFERROR(IF(H184="","보험연령 미입력",IF(VALUE(H184)=VALUE(I184),"정상",IF(VALUE(H184)&gt;VALUE(I184),"보장 불일치","과보장 점검"))),"계약연령 형식확인"))</x:f>
        <x:v>계약연령 미입력</x:v>
      </x:c>
      <x:c r="K184" s="24" t="str">
        <x:v>만기 자료 갱신 필요</x:v>
      </x:c>
      <x:c r="L184" s="24" t="str"/>
      <x:c r="M184" s="24" t="str"/>
      <x:c r="N184" s="24" t="str"/>
      <x:c r="O184" s="24" t="str">
        <x:v>확인필요</x:v>
      </x:c>
      <x:c r="P184" s="24" t="str">
        <x:v>DB 갱신완료</x:v>
      </x:c>
    </x:row>
    <x:row r="185" ht="17.25" customHeight="1">
      <x:c r="A185" s="24" t="str">
        <x:v>PR-I-24고7227</x:v>
      </x:c>
      <x:c r="B185" s="24" t="str">
        <x:v>프라임구독</x:v>
      </x:c>
      <x:c r="C185" s="24" t="str">
        <x:v>24고7227</x:v>
      </x:c>
      <x:c r="D185" s="24" t="str"/>
      <x:c r="E185" s="24" t="str"/>
      <x:c r="F185" s="30"/>
      <x:c r="G185" s="30" t="n">
        <x:v>46047</x:v>
      </x:c>
      <x:c r="H185" s="24" t="str"/>
      <x:c r="I185" s="24" t="str"/>
      <x:c r="J185" s="24" t="str">
        <x:f>IF(I185="","계약연령 미입력",IFERROR(IF(H185="","보험연령 미입력",IF(VALUE(H185)=VALUE(I185),"정상",IF(VALUE(H185)&gt;VALUE(I185),"보장 불일치","과보장 점검"))),"계약연령 형식확인"))</x:f>
        <x:v>계약연령 미입력</x:v>
      </x:c>
      <x:c r="K185" s="24" t="str">
        <x:v>만기 자료 갱신 필요</x:v>
      </x:c>
      <x:c r="L185" s="24" t="str"/>
      <x:c r="M185" s="24" t="str"/>
      <x:c r="N185" s="24" t="str"/>
      <x:c r="O185" s="24" t="str">
        <x:v>확인필요</x:v>
      </x:c>
      <x:c r="P185" s="24" t="str"/>
    </x:row>
    <x:row r="186" ht="17.25" customHeight="1">
      <x:c r="A186" s="24" t="str">
        <x:v>PR-I-250서5013</x:v>
      </x:c>
      <x:c r="B186" s="24" t="str">
        <x:v>프라임구독</x:v>
      </x:c>
      <x:c r="C186" s="24" t="str">
        <x:v>250서5013</x:v>
      </x:c>
      <x:c r="D186" s="24" t="str">
        <x:v>DB</x:v>
      </x:c>
      <x:c r="E186" s="24" t="str"/>
      <x:c r="F186" s="30"/>
      <x:c r="G186" s="30" t="n">
        <x:v>45892</x:v>
      </x:c>
      <x:c r="H186" s="24" t="str"/>
      <x:c r="I186" s="24" t="str"/>
      <x:c r="J186" s="24" t="str">
        <x:f>IF(I186="","계약연령 미입력",IFERROR(IF(H186="","보험연령 미입력",IF(VALUE(H186)=VALUE(I186),"정상",IF(VALUE(H186)&gt;VALUE(I186),"보장 불일치","과보장 점검"))),"계약연령 형식확인"))</x:f>
        <x:v>계약연령 미입력</x:v>
      </x:c>
      <x:c r="K186" s="24" t="str">
        <x:v>만기 자료 갱신 필요</x:v>
      </x:c>
      <x:c r="L186" s="24" t="str"/>
      <x:c r="M186" s="24" t="str"/>
      <x:c r="N186" s="24" t="str"/>
      <x:c r="O186" s="24" t="str">
        <x:v>확인필요</x:v>
      </x:c>
      <x:c r="P186" s="24" t="str">
        <x:v>DB 가입완료</x:v>
      </x:c>
    </x:row>
    <x:row r="187" ht="17.25" customHeight="1">
      <x:c r="A187" s="24" t="str">
        <x:v>PR-I-255로9949</x:v>
      </x:c>
      <x:c r="B187" s="24" t="str">
        <x:v>프라임구독</x:v>
      </x:c>
      <x:c r="C187" s="24" t="str">
        <x:v>255로9949</x:v>
      </x:c>
      <x:c r="D187" s="24" t="str">
        <x:v>KB</x:v>
      </x:c>
      <x:c r="E187" s="24" t="str"/>
      <x:c r="F187" s="30"/>
      <x:c r="G187" s="30" t="n">
        <x:v>45874</x:v>
      </x:c>
      <x:c r="H187" s="24" t="str"/>
      <x:c r="I187" s="24" t="str"/>
      <x:c r="J187" s="24" t="str">
        <x:f>IF(I187="","계약연령 미입력",IFERROR(IF(H187="","보험연령 미입력",IF(VALUE(H187)=VALUE(I187),"정상",IF(VALUE(H187)&gt;VALUE(I187),"보장 불일치","과보장 점검"))),"계약연령 형식확인"))</x:f>
        <x:v>계약연령 미입력</x:v>
      </x:c>
      <x:c r="K187" s="24" t="str">
        <x:v>만기 자료 갱신 필요</x:v>
      </x:c>
      <x:c r="L187" s="24" t="str"/>
      <x:c r="M187" s="24" t="str"/>
      <x:c r="N187" s="24" t="str"/>
      <x:c r="O187" s="24" t="str">
        <x:v>확인필요</x:v>
      </x:c>
      <x:c r="P187" s="24" t="str">
        <x:v>연락안해도됨(신희찬)</x:v>
      </x:c>
    </x:row>
    <x:row r="188" ht="17.25" customHeight="1">
      <x:c r="A188" s="24" t="str">
        <x:v>PR-I-255오1360</x:v>
      </x:c>
      <x:c r="B188" s="24" t="str">
        <x:v>프라임구독</x:v>
      </x:c>
      <x:c r="C188" s="24" t="str">
        <x:v>255오1360</x:v>
      </x:c>
      <x:c r="D188" s="24" t="str">
        <x:v>삼성</x:v>
      </x:c>
      <x:c r="E188" s="24" t="str"/>
      <x:c r="F188" s="30"/>
      <x:c r="G188" s="30" t="n">
        <x:v>45977</x:v>
      </x:c>
      <x:c r="H188" s="24" t="str"/>
      <x:c r="I188" s="24" t="str"/>
      <x:c r="J188" s="24" t="str">
        <x:f>IF(I188="","계약연령 미입력",IFERROR(IF(H188="","보험연령 미입력",IF(VALUE(H188)=VALUE(I188),"정상",IF(VALUE(H188)&gt;VALUE(I188),"보장 불일치","과보장 점검"))),"계약연령 형식확인"))</x:f>
        <x:v>계약연령 미입력</x:v>
      </x:c>
      <x:c r="K188" s="24" t="str">
        <x:v>만기 자료 갱신 필요</x:v>
      </x:c>
      <x:c r="L188" s="24" t="str">
        <x:v>이문구</x:v>
      </x:c>
      <x:c r="M188" s="24" t="str"/>
      <x:c r="N188" s="24" t="str"/>
      <x:c r="O188" s="24" t="str">
        <x:v>확인필요</x:v>
      </x:c>
      <x:c r="P188" s="24" t="str">
        <x:v>삼성화재 직접 갱신 완료</x:v>
      </x:c>
    </x:row>
    <x:row r="189" ht="17.25" customHeight="1">
      <x:c r="A189" s="24" t="str">
        <x:v>PR-I-255우2089</x:v>
      </x:c>
      <x:c r="B189" s="24" t="str">
        <x:v>프라임구독</x:v>
      </x:c>
      <x:c r="C189" s="24" t="str">
        <x:v>255우2089</x:v>
      </x:c>
      <x:c r="D189" s="24" t="str">
        <x:v>AXA</x:v>
      </x:c>
      <x:c r="E189" s="24" t="str"/>
      <x:c r="F189" s="30"/>
      <x:c r="G189" s="30" t="n">
        <x:v>45767</x:v>
      </x:c>
      <x:c r="H189" s="24" t="str"/>
      <x:c r="I189" s="24" t="str"/>
      <x:c r="J189" s="24" t="str">
        <x:f>IF(I189="","계약연령 미입력",IFERROR(IF(H189="","보험연령 미입력",IF(VALUE(H189)=VALUE(I189),"정상",IF(VALUE(H189)&gt;VALUE(I189),"보장 불일치","과보장 점검"))),"계약연령 형식확인"))</x:f>
        <x:v>계약연령 미입력</x:v>
      </x:c>
      <x:c r="K189" s="24" t="str">
        <x:v>만기 자료 갱신 필요</x:v>
      </x:c>
      <x:c r="L189" s="24" t="str"/>
      <x:c r="M189" s="24" t="str"/>
      <x:c r="N189" s="24" t="str"/>
      <x:c r="O189" s="24" t="str">
        <x:v>확인필요</x:v>
      </x:c>
      <x:c r="P189" s="24" t="str">
        <x:v>AXA 갱신완료 (25.01.20 과태료 나올듯함)</x:v>
      </x:c>
    </x:row>
    <x:row r="190" ht="17.25" customHeight="1">
      <x:c r="A190" s="24" t="str">
        <x:v>PR-I-25머4399</x:v>
      </x:c>
      <x:c r="B190" s="24" t="str">
        <x:v>프라임구독</x:v>
      </x:c>
      <x:c r="C190" s="24" t="str">
        <x:v>25머4399</x:v>
      </x:c>
      <x:c r="D190" s="24" t="str"/>
      <x:c r="E190" s="24" t="str"/>
      <x:c r="F190" s="30"/>
      <x:c r="G190" s="30" t="n">
        <x:v>45508</x:v>
      </x:c>
      <x:c r="H190" s="24" t="str"/>
      <x:c r="I190" s="24" t="str"/>
      <x:c r="J190" s="24" t="str">
        <x:f>IF(I190="","계약연령 미입력",IFERROR(IF(H190="","보험연령 미입력",IF(VALUE(H190)=VALUE(I190),"정상",IF(VALUE(H190)&gt;VALUE(I190),"보장 불일치","과보장 점검"))),"계약연령 형식확인"))</x:f>
        <x:v>계약연령 미입력</x:v>
      </x:c>
      <x:c r="K190" s="24" t="str">
        <x:v>만기 자료 갱신 필요</x:v>
      </x:c>
      <x:c r="L190" s="24" t="str"/>
      <x:c r="M190" s="24" t="str"/>
      <x:c r="N190" s="24" t="str"/>
      <x:c r="O190" s="24" t="str">
        <x:v>확인필요</x:v>
      </x:c>
      <x:c r="P190" s="24" t="str">
        <x:v>직접가입</x:v>
      </x:c>
    </x:row>
    <x:row r="191" ht="17.25" customHeight="1">
      <x:c r="A191" s="24" t="str">
        <x:v>PR-I-25부0580</x:v>
      </x:c>
      <x:c r="B191" s="24" t="str">
        <x:v>프라임구독</x:v>
      </x:c>
      <x:c r="C191" s="24" t="str">
        <x:v>25부0580</x:v>
      </x:c>
      <x:c r="D191" s="24" t="str"/>
      <x:c r="E191" s="24" t="str"/>
      <x:c r="F191" s="30"/>
      <x:c r="G191" s="30" t="n">
        <x:v>45740</x:v>
      </x:c>
      <x:c r="H191" s="24" t="str"/>
      <x:c r="I191" s="24" t="str"/>
      <x:c r="J191" s="24" t="str">
        <x:f>IF(I191="","계약연령 미입력",IFERROR(IF(H191="","보험연령 미입력",IF(VALUE(H191)=VALUE(I191),"정상",IF(VALUE(H191)&gt;VALUE(I191),"보장 불일치","과보장 점검"))),"계약연령 형식확인"))</x:f>
        <x:v>계약연령 미입력</x:v>
      </x:c>
      <x:c r="K191" s="24" t="str">
        <x:v>만기 자료 갱신 필요</x:v>
      </x:c>
      <x:c r="L191" s="24" t="str"/>
      <x:c r="M191" s="24" t="str"/>
      <x:c r="N191" s="24" t="str"/>
      <x:c r="O191" s="24" t="str">
        <x:v>확인필요</x:v>
      </x:c>
      <x:c r="P191" s="24" t="str"/>
    </x:row>
    <x:row r="192" ht="17.25" customHeight="1">
      <x:c r="A192" s="24" t="str">
        <x:v>PR-I-25오7995</x:v>
      </x:c>
      <x:c r="B192" s="24" t="str">
        <x:v>프라임구독</x:v>
      </x:c>
      <x:c r="C192" s="24" t="str">
        <x:v>25오7995</x:v>
      </x:c>
      <x:c r="D192" s="24" t="str">
        <x:v>DB</x:v>
      </x:c>
      <x:c r="E192" s="24" t="str"/>
      <x:c r="F192" s="30"/>
      <x:c r="G192" s="30" t="n">
        <x:v>45898</x:v>
      </x:c>
      <x:c r="H192" s="24" t="str"/>
      <x:c r="I192" s="24" t="str"/>
      <x:c r="J192" s="24" t="str">
        <x:f>IF(I192="","계약연령 미입력",IFERROR(IF(H192="","보험연령 미입력",IF(VALUE(H192)=VALUE(I192),"정상",IF(VALUE(H192)&gt;VALUE(I192),"보장 불일치","과보장 점검"))),"계약연령 형식확인"))</x:f>
        <x:v>계약연령 미입력</x:v>
      </x:c>
      <x:c r="K192" s="24" t="str">
        <x:v>만기 자료 갱신 필요</x:v>
      </x:c>
      <x:c r="L192" s="24" t="str"/>
      <x:c r="M192" s="24" t="str"/>
      <x:c r="N192" s="24" t="str"/>
      <x:c r="O192" s="24" t="str">
        <x:v>확인필요</x:v>
      </x:c>
      <x:c r="P192" s="24" t="str"/>
    </x:row>
    <x:row r="193" ht="17.25" customHeight="1">
      <x:c r="A193" s="24" t="str">
        <x:v>PR-I-263오7836</x:v>
      </x:c>
      <x:c r="B193" s="24" t="str">
        <x:v>프라임구독</x:v>
      </x:c>
      <x:c r="C193" s="24" t="str">
        <x:v>263오7836</x:v>
      </x:c>
      <x:c r="D193" s="24" t="str"/>
      <x:c r="E193" s="24" t="str"/>
      <x:c r="F193" s="30"/>
      <x:c r="G193" s="30" t="n">
        <x:v>45767</x:v>
      </x:c>
      <x:c r="H193" s="24" t="str"/>
      <x:c r="I193" s="24" t="str"/>
      <x:c r="J193" s="24" t="str">
        <x:f>IF(I193="","계약연령 미입력",IFERROR(IF(H193="","보험연령 미입력",IF(VALUE(H193)=VALUE(I193),"정상",IF(VALUE(H193)&gt;VALUE(I193),"보장 불일치","과보장 점검"))),"계약연령 형식확인"))</x:f>
        <x:v>계약연령 미입력</x:v>
      </x:c>
      <x:c r="K193" s="24" t="str">
        <x:v>만기 자료 갱신 필요</x:v>
      </x:c>
      <x:c r="L193" s="24" t="str"/>
      <x:c r="M193" s="24" t="str"/>
      <x:c r="N193" s="24" t="str"/>
      <x:c r="O193" s="24" t="str">
        <x:v>확인필요</x:v>
      </x:c>
      <x:c r="P193" s="24" t="str"/>
    </x:row>
    <x:row r="194" ht="17.25" customHeight="1">
      <x:c r="A194" s="24" t="str">
        <x:v>PR-I-266버3645</x:v>
      </x:c>
      <x:c r="B194" s="24" t="str">
        <x:v>프라임구독</x:v>
      </x:c>
      <x:c r="C194" s="24" t="str">
        <x:v>266버3645</x:v>
      </x:c>
      <x:c r="D194" s="24" t="str"/>
      <x:c r="E194" s="24" t="str"/>
      <x:c r="F194" s="30"/>
      <x:c r="G194" s="30" t="n">
        <x:v>45843</x:v>
      </x:c>
      <x:c r="H194" s="24" t="str"/>
      <x:c r="I194" s="24" t="str"/>
      <x:c r="J194" s="24" t="str">
        <x:f>IF(I194="","계약연령 미입력",IFERROR(IF(H194="","보험연령 미입력",IF(VALUE(H194)=VALUE(I194),"정상",IF(VALUE(H194)&gt;VALUE(I194),"보장 불일치","과보장 점검"))),"계약연령 형식확인"))</x:f>
        <x:v>계약연령 미입력</x:v>
      </x:c>
      <x:c r="K194" s="24" t="str">
        <x:v>만기 자료 갱신 필요</x:v>
      </x:c>
      <x:c r="L194" s="24" t="str"/>
      <x:c r="M194" s="24" t="str"/>
      <x:c r="N194" s="24" t="str"/>
      <x:c r="O194" s="24" t="str">
        <x:v>확인필요</x:v>
      </x:c>
      <x:c r="P194" s="24" t="str"/>
    </x:row>
    <x:row r="195" ht="17.25" customHeight="1">
      <x:c r="A195" s="24" t="str">
        <x:v>PR-I-26너0333</x:v>
      </x:c>
      <x:c r="B195" s="24" t="str">
        <x:v>프라임구독</x:v>
      </x:c>
      <x:c r="C195" s="24" t="str">
        <x:v>26너0333</x:v>
      </x:c>
      <x:c r="D195" s="24" t="str">
        <x:v>KB</x:v>
      </x:c>
      <x:c r="E195" s="24" t="str"/>
      <x:c r="F195" s="30"/>
      <x:c r="G195" s="30" t="n">
        <x:v>45976</x:v>
      </x:c>
      <x:c r="H195" s="24" t="str"/>
      <x:c r="I195" s="24" t="str"/>
      <x:c r="J195" s="24" t="str">
        <x:f>IF(I195="","계약연령 미입력",IFERROR(IF(H195="","보험연령 미입력",IF(VALUE(H195)=VALUE(I195),"정상",IF(VALUE(H195)&gt;VALUE(I195),"보장 불일치","과보장 점검"))),"계약연령 형식확인"))</x:f>
        <x:v>계약연령 미입력</x:v>
      </x:c>
      <x:c r="K195" s="24" t="str">
        <x:v>만기 자료 갱신 필요</x:v>
      </x:c>
      <x:c r="L195" s="24" t="str"/>
      <x:c r="M195" s="24" t="str"/>
      <x:c r="N195" s="24" t="str"/>
      <x:c r="O195" s="24" t="str">
        <x:v>확인필요</x:v>
      </x:c>
      <x:c r="P195" s="24" t="str">
        <x:v>KB 갱신완료</x:v>
      </x:c>
    </x:row>
    <x:row r="196" ht="17.25" customHeight="1">
      <x:c r="A196" s="24" t="str">
        <x:v>PR-I-26수4134</x:v>
      </x:c>
      <x:c r="B196" s="24" t="str">
        <x:v>프라임구독</x:v>
      </x:c>
      <x:c r="C196" s="24" t="str">
        <x:v>26수4134</x:v>
      </x:c>
      <x:c r="D196" s="24" t="str">
        <x:v>KB</x:v>
      </x:c>
      <x:c r="E196" s="24" t="str"/>
      <x:c r="F196" s="30"/>
      <x:c r="G196" s="30" t="n">
        <x:v>45943</x:v>
      </x:c>
      <x:c r="H196" s="24" t="str"/>
      <x:c r="I196" s="24" t="str"/>
      <x:c r="J196" s="24" t="str">
        <x:f>IF(I196="","계약연령 미입력",IFERROR(IF(H196="","보험연령 미입력",IF(VALUE(H196)=VALUE(I196),"정상",IF(VALUE(H196)&gt;VALUE(I196),"보장 불일치","과보장 점검"))),"계약연령 형식확인"))</x:f>
        <x:v>계약연령 미입력</x:v>
      </x:c>
      <x:c r="K196" s="24" t="str">
        <x:v>만기 자료 갱신 필요</x:v>
      </x:c>
      <x:c r="L196" s="24" t="str"/>
      <x:c r="M196" s="24" t="str"/>
      <x:c r="N196" s="24" t="str"/>
      <x:c r="O196" s="24" t="str">
        <x:v>확인필요</x:v>
      </x:c>
      <x:c r="P196" s="24" t="str">
        <x:v>기존 보험사 직접 갱신한다고함(10.10)</x:v>
      </x:c>
    </x:row>
    <x:row r="197" ht="17.25" customHeight="1">
      <x:c r="A197" s="24" t="str">
        <x:v>PR-I-272오2150</x:v>
      </x:c>
      <x:c r="B197" s="24" t="str">
        <x:v>프라임구독</x:v>
      </x:c>
      <x:c r="C197" s="24" t="str">
        <x:v>272오2150</x:v>
      </x:c>
      <x:c r="D197" s="24" t="str">
        <x:v>DB</x:v>
      </x:c>
      <x:c r="E197" s="24" t="str"/>
      <x:c r="F197" s="30"/>
      <x:c r="G197" s="30" t="n">
        <x:v>45570</x:v>
      </x:c>
      <x:c r="H197" s="24" t="str"/>
      <x:c r="I197" s="24" t="str"/>
      <x:c r="J197" s="24" t="str">
        <x:f>IF(I197="","계약연령 미입력",IFERROR(IF(H197="","보험연령 미입력",IF(VALUE(H197)=VALUE(I197),"정상",IF(VALUE(H197)&gt;VALUE(I197),"보장 불일치","과보장 점검"))),"계약연령 형식확인"))</x:f>
        <x:v>계약연령 미입력</x:v>
      </x:c>
      <x:c r="K197" s="24" t="str">
        <x:v>만기 자료 갱신 필요</x:v>
      </x:c>
      <x:c r="L197" s="24" t="str"/>
      <x:c r="M197" s="24" t="str"/>
      <x:c r="N197" s="24" t="str"/>
      <x:c r="O197" s="24" t="str">
        <x:v>확인필요</x:v>
      </x:c>
      <x:c r="P197" s="24" t="str">
        <x:v>2024/09/30 차량구독만기</x:v>
      </x:c>
    </x:row>
    <x:row r="198" ht="17.25" customHeight="1">
      <x:c r="A198" s="24" t="str">
        <x:v>PR-I-27로0765</x:v>
      </x:c>
      <x:c r="B198" s="24" t="str">
        <x:v>프라임구독</x:v>
      </x:c>
      <x:c r="C198" s="24" t="str">
        <x:v>27로0765</x:v>
      </x:c>
      <x:c r="D198" s="24" t="str">
        <x:v>AXA</x:v>
      </x:c>
      <x:c r="E198" s="24" t="str"/>
      <x:c r="F198" s="30"/>
      <x:c r="G198" s="30" t="n">
        <x:v>45751</x:v>
      </x:c>
      <x:c r="H198" s="24" t="str"/>
      <x:c r="I198" s="24" t="str"/>
      <x:c r="J198" s="24" t="str">
        <x:f>IF(I198="","계약연령 미입력",IFERROR(IF(H198="","보험연령 미입력",IF(VALUE(H198)=VALUE(I198),"정상",IF(VALUE(H198)&gt;VALUE(I198),"보장 불일치","과보장 점검"))),"계약연령 형식확인"))</x:f>
        <x:v>계약연령 미입력</x:v>
      </x:c>
      <x:c r="K198" s="24" t="str">
        <x:v>만기 자료 갱신 필요</x:v>
      </x:c>
      <x:c r="L198" s="24" t="str"/>
      <x:c r="M198" s="24" t="str"/>
      <x:c r="N198" s="24" t="str"/>
      <x:c r="O198" s="24" t="str">
        <x:v>확인필요</x:v>
      </x:c>
      <x:c r="P198" s="24" t="str">
        <x:v>DB승인불가 AXA가입진행해야함, AXA 가입완료</x:v>
      </x:c>
    </x:row>
    <x:row r="199" ht="17.25" customHeight="1">
      <x:c r="A199" s="24" t="str">
        <x:v>PR-I-27무0874</x:v>
      </x:c>
      <x:c r="B199" s="24" t="str">
        <x:v>프라임구독</x:v>
      </x:c>
      <x:c r="C199" s="24" t="str">
        <x:v>27무0874</x:v>
      </x:c>
      <x:c r="D199" s="24" t="str">
        <x:v>삼성</x:v>
      </x:c>
      <x:c r="E199" s="24" t="str"/>
      <x:c r="F199" s="30"/>
      <x:c r="G199" s="30" t="n">
        <x:v>45992</x:v>
      </x:c>
      <x:c r="H199" s="24" t="str"/>
      <x:c r="I199" s="24" t="str"/>
      <x:c r="J199" s="24" t="str">
        <x:f>IF(I199="","계약연령 미입력",IFERROR(IF(H199="","보험연령 미입력",IF(VALUE(H199)=VALUE(I199),"정상",IF(VALUE(H199)&gt;VALUE(I199),"보장 불일치","과보장 점검"))),"계약연령 형식확인"))</x:f>
        <x:v>계약연령 미입력</x:v>
      </x:c>
      <x:c r="K199" s="24" t="str">
        <x:v>만기 자료 갱신 필요</x:v>
      </x:c>
      <x:c r="L199" s="24" t="str"/>
      <x:c r="M199" s="24" t="str"/>
      <x:c r="N199" s="24" t="str"/>
      <x:c r="O199" s="24" t="str">
        <x:v>확인필요</x:v>
      </x:c>
      <x:c r="P199" s="24" t="str">
        <x:v>삼성 직접가입완료</x:v>
      </x:c>
    </x:row>
    <x:row r="200" ht="17.25" customHeight="1">
      <x:c r="A200" s="24" t="str">
        <x:v>PR-I-27오1144</x:v>
      </x:c>
      <x:c r="B200" s="24" t="str">
        <x:v>프라임구독</x:v>
      </x:c>
      <x:c r="C200" s="24" t="str">
        <x:v>27오1144</x:v>
      </x:c>
      <x:c r="D200" s="24" t="str"/>
      <x:c r="E200" s="24" t="str"/>
      <x:c r="F200" s="30"/>
      <x:c r="G200" s="30" t="n">
        <x:v>45845</x:v>
      </x:c>
      <x:c r="H200" s="24" t="str"/>
      <x:c r="I200" s="24" t="str"/>
      <x:c r="J200" s="24" t="str">
        <x:f>IF(I200="","계약연령 미입력",IFERROR(IF(H200="","보험연령 미입력",IF(VALUE(H200)=VALUE(I200),"정상",IF(VALUE(H200)&gt;VALUE(I200),"보장 불일치","과보장 점검"))),"계약연령 형식확인"))</x:f>
        <x:v>계약연령 미입력</x:v>
      </x:c>
      <x:c r="K200" s="24" t="str">
        <x:v>만기 자료 갱신 필요</x:v>
      </x:c>
      <x:c r="L200" s="24" t="str">
        <x:v>김현규</x:v>
      </x:c>
      <x:c r="M200" s="24" t="str"/>
      <x:c r="N200" s="24" t="str"/>
      <x:c r="O200" s="24" t="str">
        <x:v>확인필요</x:v>
      </x:c>
      <x:c r="P200" s="24" t="str">
        <x:v>25-07-08 개인이 가입함</x:v>
      </x:c>
    </x:row>
    <x:row r="201" ht="17.25" customHeight="1">
      <x:c r="A201" s="24" t="str">
        <x:v>PR-I-28머4792</x:v>
      </x:c>
      <x:c r="B201" s="24" t="str">
        <x:v>프라임구독</x:v>
      </x:c>
      <x:c r="C201" s="24" t="str">
        <x:v>28머4792</x:v>
      </x:c>
      <x:c r="D201" s="24" t="str">
        <x:v>DB</x:v>
      </x:c>
      <x:c r="E201" s="24" t="str"/>
      <x:c r="F201" s="30"/>
      <x:c r="G201" s="30" t="n">
        <x:v>45831</x:v>
      </x:c>
      <x:c r="H201" s="24" t="str"/>
      <x:c r="I201" s="24" t="str"/>
      <x:c r="J201" s="24" t="str">
        <x:f>IF(I201="","계약연령 미입력",IFERROR(IF(H201="","보험연령 미입력",IF(VALUE(H201)=VALUE(I201),"정상",IF(VALUE(H201)&gt;VALUE(I201),"보장 불일치","과보장 점검"))),"계약연령 형식확인"))</x:f>
        <x:v>계약연령 미입력</x:v>
      </x:c>
      <x:c r="K201" s="24" t="str">
        <x:v>만기 자료 갱신 필요</x:v>
      </x:c>
      <x:c r="L201" s="24" t="str"/>
      <x:c r="M201" s="24" t="str"/>
      <x:c r="N201" s="24" t="str"/>
      <x:c r="O201" s="24" t="str">
        <x:v>확인필요</x:v>
      </x:c>
      <x:c r="P201" s="24" t="str">
        <x:v>DB 갱신완료 -&gt; 2024.12.23 프라임 선납 249,450원</x:v>
      </x:c>
    </x:row>
    <x:row r="202" ht="17.25" customHeight="1">
      <x:c r="A202" s="24" t="str">
        <x:v>PR-I-290주5804</x:v>
      </x:c>
      <x:c r="B202" s="24" t="str">
        <x:v>프라임구독</x:v>
      </x:c>
      <x:c r="C202" s="24" t="str">
        <x:v>290주5804</x:v>
      </x:c>
      <x:c r="D202" s="24" t="str"/>
      <x:c r="E202" s="24" t="str"/>
      <x:c r="F202" s="30"/>
      <x:c r="G202" s="30" t="n">
        <x:v>46134</x:v>
      </x:c>
      <x:c r="H202" s="24" t="str"/>
      <x:c r="I202" s="24" t="str"/>
      <x:c r="J202" s="24" t="str">
        <x:f>IF(I202="","계약연령 미입력",IFERROR(IF(H202="","보험연령 미입력",IF(VALUE(H202)=VALUE(I202),"정상",IF(VALUE(H202)&gt;VALUE(I202),"보장 불일치","과보장 점검"))),"계약연령 형식확인"))</x:f>
        <x:v>계약연령 미입력</x:v>
      </x:c>
      <x:c r="K202" s="24" t="str">
        <x:v>만기 자료 갱신 필요</x:v>
      </x:c>
      <x:c r="L202" s="24" t="str">
        <x:v>김순용</x:v>
      </x:c>
      <x:c r="M202" s="24" t="str"/>
      <x:c r="N202" s="24" t="str"/>
      <x:c r="O202" s="24" t="str">
        <x:v>확인필요</x:v>
      </x:c>
      <x:c r="P202" s="24" t="str"/>
    </x:row>
    <x:row r="203" ht="17.25" customHeight="1">
      <x:c r="A203" s="24" t="str">
        <x:v>PR-I-29마4743</x:v>
      </x:c>
      <x:c r="B203" s="24" t="str">
        <x:v>프라임구독</x:v>
      </x:c>
      <x:c r="C203" s="24" t="str">
        <x:v>29마4743</x:v>
      </x:c>
      <x:c r="D203" s="24" t="str">
        <x:v>삼성</x:v>
      </x:c>
      <x:c r="E203" s="24" t="str"/>
      <x:c r="F203" s="30"/>
      <x:c r="G203" s="30" t="n">
        <x:v>45784</x:v>
      </x:c>
      <x:c r="H203" s="24" t="str"/>
      <x:c r="I203" s="24" t="str"/>
      <x:c r="J203" s="24" t="str">
        <x:f>IF(I203="","계약연령 미입력",IFERROR(IF(H203="","보험연령 미입력",IF(VALUE(H203)=VALUE(I203),"정상",IF(VALUE(H203)&gt;VALUE(I203),"보장 불일치","과보장 점검"))),"계약연령 형식확인"))</x:f>
        <x:v>계약연령 미입력</x:v>
      </x:c>
      <x:c r="K203" s="24" t="str">
        <x:v>만기 자료 갱신 필요</x:v>
      </x:c>
      <x:c r="L203" s="24" t="str">
        <x:v>변재영</x:v>
      </x:c>
      <x:c r="M203" s="24" t="str"/>
      <x:c r="N203" s="24" t="str"/>
      <x:c r="O203" s="24" t="str">
        <x:v>확인필요</x:v>
      </x:c>
      <x:c r="P203" s="24" t="str">
        <x:v>삼성 갱신완료</x:v>
      </x:c>
    </x:row>
    <x:row r="204" ht="17.25" customHeight="1">
      <x:c r="A204" s="24" t="str">
        <x:v>PR-I-302보9212</x:v>
      </x:c>
      <x:c r="B204" s="24" t="str">
        <x:v>프라임구독</x:v>
      </x:c>
      <x:c r="C204" s="24" t="str">
        <x:v>302보9212</x:v>
      </x:c>
      <x:c r="D204" s="24" t="str">
        <x:v>현대해상</x:v>
      </x:c>
      <x:c r="E204" s="24" t="str"/>
      <x:c r="F204" s="30"/>
      <x:c r="G204" s="30" t="n">
        <x:v>45618</x:v>
      </x:c>
      <x:c r="H204" s="24" t="str"/>
      <x:c r="I204" s="24" t="str"/>
      <x:c r="J204" s="24" t="str">
        <x:f>IF(I204="","계약연령 미입력",IFERROR(IF(H204="","보험연령 미입력",IF(VALUE(H204)=VALUE(I204),"정상",IF(VALUE(H204)&gt;VALUE(I204),"보장 불일치","과보장 점검"))),"계약연령 형식확인"))</x:f>
        <x:v>계약연령 미입력</x:v>
      </x:c>
      <x:c r="K204" s="24" t="str">
        <x:v>만기 자료 갱신 필요</x:v>
      </x:c>
      <x:c r="L204" s="24" t="str"/>
      <x:c r="M204" s="24" t="str"/>
      <x:c r="N204" s="24" t="str"/>
      <x:c r="O204" s="24" t="str">
        <x:v>확인필요</x:v>
      </x:c>
      <x:c r="P204" s="24" t="str">
        <x:v>만기인수 완료</x:v>
      </x:c>
    </x:row>
    <x:row r="205" ht="17.25" customHeight="1">
      <x:c r="A205" s="24" t="str">
        <x:v>PR-I-309무3799</x:v>
      </x:c>
      <x:c r="B205" s="24" t="str">
        <x:v>프라임구독</x:v>
      </x:c>
      <x:c r="C205" s="24" t="str">
        <x:v>309무3799</x:v>
      </x:c>
      <x:c r="D205" s="24" t="str"/>
      <x:c r="E205" s="24" t="str"/>
      <x:c r="F205" s="30"/>
      <x:c r="G205" s="30" t="n">
        <x:v>45826</x:v>
      </x:c>
      <x:c r="H205" s="24" t="str"/>
      <x:c r="I205" s="24" t="str"/>
      <x:c r="J205" s="24" t="str">
        <x:f>IF(I205="","계약연령 미입력",IFERROR(IF(H205="","보험연령 미입력",IF(VALUE(H205)=VALUE(I205),"정상",IF(VALUE(H205)&gt;VALUE(I205),"보장 불일치","과보장 점검"))),"계약연령 형식확인"))</x:f>
        <x:v>계약연령 미입력</x:v>
      </x:c>
      <x:c r="K205" s="24" t="str">
        <x:v>만기 자료 갱신 필요</x:v>
      </x:c>
      <x:c r="L205" s="24" t="str">
        <x:v>신용엽</x:v>
      </x:c>
      <x:c r="M205" s="24" t="str"/>
      <x:c r="N205" s="24" t="str"/>
      <x:c r="O205" s="24" t="str">
        <x:v>확인필요</x:v>
      </x:c>
      <x:c r="P205" s="24" t="str"/>
    </x:row>
    <x:row r="206" ht="17.25" customHeight="1">
      <x:c r="A206" s="24" t="str">
        <x:v>PR-I-30고0596</x:v>
      </x:c>
      <x:c r="B206" s="24" t="str">
        <x:v>프라임구독</x:v>
      </x:c>
      <x:c r="C206" s="24" t="str">
        <x:v>30고0596</x:v>
      </x:c>
      <x:c r="D206" s="24" t="str">
        <x:v>DB</x:v>
      </x:c>
      <x:c r="E206" s="24" t="str"/>
      <x:c r="F206" s="30"/>
      <x:c r="G206" s="30" t="n">
        <x:v>46024</x:v>
      </x:c>
      <x:c r="H206" s="24" t="str"/>
      <x:c r="I206" s="24" t="str"/>
      <x:c r="J206" s="24" t="str">
        <x:f>IF(I206="","계약연령 미입력",IFERROR(IF(H206="","보험연령 미입력",IF(VALUE(H206)=VALUE(I206),"정상",IF(VALUE(H206)&gt;VALUE(I206),"보장 불일치","과보장 점검"))),"계약연령 형식확인"))</x:f>
        <x:v>계약연령 미입력</x:v>
      </x:c>
      <x:c r="K206" s="24" t="str">
        <x:v>만기 자료 갱신 필요</x:v>
      </x:c>
      <x:c r="L206" s="24" t="str"/>
      <x:c r="M206" s="24" t="str"/>
      <x:c r="N206" s="24" t="str"/>
      <x:c r="O206" s="24" t="str">
        <x:v>확인필요</x:v>
      </x:c>
      <x:c r="P206" s="24" t="str">
        <x:v>DB 갱신완료</x:v>
      </x:c>
    </x:row>
    <x:row r="207" ht="17.25" customHeight="1">
      <x:c r="A207" s="24" t="str">
        <x:v>PR-I-322주8288</x:v>
      </x:c>
      <x:c r="B207" s="24" t="str">
        <x:v>프라임구독</x:v>
      </x:c>
      <x:c r="C207" s="24" t="str">
        <x:v>322주8288</x:v>
      </x:c>
      <x:c r="D207" s="24" t="str"/>
      <x:c r="E207" s="24" t="str"/>
      <x:c r="F207" s="30"/>
      <x:c r="G207" s="30" t="n">
        <x:v>45691</x:v>
      </x:c>
      <x:c r="H207" s="24" t="str"/>
      <x:c r="I207" s="24" t="str"/>
      <x:c r="J207" s="24" t="str">
        <x:f>IF(I207="","계약연령 미입력",IFERROR(IF(H207="","보험연령 미입력",IF(VALUE(H207)=VALUE(I207),"정상",IF(VALUE(H207)&gt;VALUE(I207),"보장 불일치","과보장 점검"))),"계약연령 형식확인"))</x:f>
        <x:v>계약연령 미입력</x:v>
      </x:c>
      <x:c r="K207" s="24" t="str">
        <x:v>만기 자료 갱신 필요</x:v>
      </x:c>
      <x:c r="L207" s="24" t="str"/>
      <x:c r="M207" s="24" t="str"/>
      <x:c r="N207" s="24" t="str"/>
      <x:c r="O207" s="24" t="str">
        <x:v>확인필요</x:v>
      </x:c>
      <x:c r="P207" s="24" t="str"/>
    </x:row>
    <x:row r="208" ht="17.25" customHeight="1">
      <x:c r="A208" s="24" t="str">
        <x:v>PR-I-32오3869</x:v>
      </x:c>
      <x:c r="B208" s="24" t="str">
        <x:v>프라임구독</x:v>
      </x:c>
      <x:c r="C208" s="24" t="str">
        <x:v>32오3869</x:v>
      </x:c>
      <x:c r="D208" s="24" t="str"/>
      <x:c r="E208" s="24" t="str"/>
      <x:c r="F208" s="30"/>
      <x:c r="G208" s="30" t="n">
        <x:v>45787</x:v>
      </x:c>
      <x:c r="H208" s="24" t="str"/>
      <x:c r="I208" s="24" t="str"/>
      <x:c r="J208" s="24" t="str">
        <x:f>IF(I208="","계약연령 미입력",IFERROR(IF(H208="","보험연령 미입력",IF(VALUE(H208)=VALUE(I208),"정상",IF(VALUE(H208)&gt;VALUE(I208),"보장 불일치","과보장 점검"))),"계약연령 형식확인"))</x:f>
        <x:v>계약연령 미입력</x:v>
      </x:c>
      <x:c r="K208" s="24" t="str">
        <x:v>만기 자료 갱신 필요</x:v>
      </x:c>
      <x:c r="L208" s="24" t="str"/>
      <x:c r="M208" s="24" t="str"/>
      <x:c r="N208" s="24" t="str"/>
      <x:c r="O208" s="24" t="str">
        <x:v>확인필요</x:v>
      </x:c>
      <x:c r="P208" s="24" t="str"/>
    </x:row>
    <x:row r="209" ht="17.25" customHeight="1">
      <x:c r="A209" s="24" t="str">
        <x:v>PR-I-338우2810</x:v>
      </x:c>
      <x:c r="B209" s="24" t="str">
        <x:v>프라임구독</x:v>
      </x:c>
      <x:c r="C209" s="24" t="str">
        <x:v>338우2810</x:v>
      </x:c>
      <x:c r="D209" s="24" t="str">
        <x:v>DB</x:v>
      </x:c>
      <x:c r="E209" s="24" t="str"/>
      <x:c r="F209" s="30"/>
      <x:c r="G209" s="30" t="n">
        <x:v>46066</x:v>
      </x:c>
      <x:c r="H209" s="24" t="str"/>
      <x:c r="I209" s="24" t="str"/>
      <x:c r="J209" s="24" t="str">
        <x:f>IF(I209="","계약연령 미입력",IFERROR(IF(H209="","보험연령 미입력",IF(VALUE(H209)=VALUE(I209),"정상",IF(VALUE(H209)&gt;VALUE(I209),"보장 불일치","과보장 점검"))),"계약연령 형식확인"))</x:f>
        <x:v>계약연령 미입력</x:v>
      </x:c>
      <x:c r="K209" s="24" t="str">
        <x:v>만기 자료 갱신 필요</x:v>
      </x:c>
      <x:c r="L209" s="24" t="str"/>
      <x:c r="M209" s="24" t="str"/>
      <x:c r="N209" s="24" t="str"/>
      <x:c r="O209" s="24" t="str">
        <x:v>확인필요</x:v>
      </x:c>
      <x:c r="P209" s="24" t="str">
        <x:v>DB 가입완료</x:v>
      </x:c>
    </x:row>
    <x:row r="210" ht="17.25" customHeight="1">
      <x:c r="A210" s="24" t="str">
        <x:v>PR-I-340고3084</x:v>
      </x:c>
      <x:c r="B210" s="24" t="str">
        <x:v>프라임구독</x:v>
      </x:c>
      <x:c r="C210" s="24" t="str">
        <x:v>340고3084</x:v>
      </x:c>
      <x:c r="D210" s="24" t="str">
        <x:v>DB</x:v>
      </x:c>
      <x:c r="E210" s="24" t="str"/>
      <x:c r="F210" s="30"/>
      <x:c r="G210" s="30" t="n">
        <x:v>45648</x:v>
      </x:c>
      <x:c r="H210" s="24" t="str"/>
      <x:c r="I210" s="24" t="str"/>
      <x:c r="J210" s="24" t="str">
        <x:f>IF(I210="","계약연령 미입력",IFERROR(IF(H210="","보험연령 미입력",IF(VALUE(H210)=VALUE(I210),"정상",IF(VALUE(H210)&gt;VALUE(I210),"보장 불일치","과보장 점검"))),"계약연령 형식확인"))</x:f>
        <x:v>계약연령 미입력</x:v>
      </x:c>
      <x:c r="K210" s="24" t="str">
        <x:v>만기 자료 갱신 필요</x:v>
      </x:c>
      <x:c r="L210" s="24" t="str"/>
      <x:c r="M210" s="24" t="str"/>
      <x:c r="N210" s="24" t="str"/>
      <x:c r="O210" s="24" t="str">
        <x:v>확인필요</x:v>
      </x:c>
      <x:c r="P210" s="24" t="str">
        <x:v>DB 단기가입 -&gt; 10.25 연락부재로 책임보험 2주 가입 -&gt; 10.28 해지신청 하였으나 될지 모름 -&gt; 계속 1주일씩 가입함</x:v>
      </x:c>
    </x:row>
    <x:row r="211" ht="17.25" customHeight="1">
      <x:c r="A211" s="24" t="str">
        <x:v>PR-I-343거1533</x:v>
      </x:c>
      <x:c r="B211" s="24" t="str">
        <x:v>프라임구독</x:v>
      </x:c>
      <x:c r="C211" s="24" t="str">
        <x:v>343거1533</x:v>
      </x:c>
      <x:c r="D211" s="24" t="str">
        <x:v>DB</x:v>
      </x:c>
      <x:c r="E211" s="24" t="str"/>
      <x:c r="F211" s="30"/>
      <x:c r="G211" s="30" t="n">
        <x:v>45721</x:v>
      </x:c>
      <x:c r="H211" s="24" t="str"/>
      <x:c r="I211" s="24" t="str"/>
      <x:c r="J211" s="24" t="str">
        <x:f>IF(I211="","계약연령 미입력",IFERROR(IF(H211="","보험연령 미입력",IF(VALUE(H211)=VALUE(I211),"정상",IF(VALUE(H211)&gt;VALUE(I211),"보장 불일치","과보장 점검"))),"계약연령 형식확인"))</x:f>
        <x:v>계약연령 미입력</x:v>
      </x:c>
      <x:c r="K211" s="24" t="str">
        <x:v>만기 자료 갱신 필요</x:v>
      </x:c>
      <x:c r="L211" s="24" t="str"/>
      <x:c r="M211" s="24" t="str"/>
      <x:c r="N211" s="24" t="str"/>
      <x:c r="O211" s="24" t="str">
        <x:v>확인필요</x:v>
      </x:c>
      <x:c r="P211" s="24" t="str"/>
    </x:row>
    <x:row r="212" ht="17.25" customHeight="1">
      <x:c r="A212" s="24" t="str">
        <x:v>PR-I-34구0251</x:v>
      </x:c>
      <x:c r="B212" s="24" t="str">
        <x:v>프라임구독</x:v>
      </x:c>
      <x:c r="C212" s="24" t="str">
        <x:v>34구0251</x:v>
      </x:c>
      <x:c r="D212" s="24" t="str"/>
      <x:c r="E212" s="24" t="str"/>
      <x:c r="F212" s="30"/>
      <x:c r="G212" s="30" t="n">
        <x:v>45762</x:v>
      </x:c>
      <x:c r="H212" s="24" t="str"/>
      <x:c r="I212" s="24" t="str"/>
      <x:c r="J212" s="24" t="str">
        <x:f>IF(I212="","계약연령 미입력",IFERROR(IF(H212="","보험연령 미입력",IF(VALUE(H212)=VALUE(I212),"정상",IF(VALUE(H212)&gt;VALUE(I212),"보장 불일치","과보장 점검"))),"계약연령 형식확인"))</x:f>
        <x:v>계약연령 미입력</x:v>
      </x:c>
      <x:c r="K212" s="24" t="str">
        <x:v>만기 자료 갱신 필요</x:v>
      </x:c>
      <x:c r="L212" s="24" t="str">
        <x:v>김진성2</x:v>
      </x:c>
      <x:c r="M212" s="24" t="str"/>
      <x:c r="N212" s="24" t="str"/>
      <x:c r="O212" s="24" t="str">
        <x:v>확인필요</x:v>
      </x:c>
      <x:c r="P212" s="24" t="str"/>
    </x:row>
    <x:row r="213" ht="17.25" customHeight="1">
      <x:c r="A213" s="24" t="str">
        <x:v>PR-I-34우4050</x:v>
      </x:c>
      <x:c r="B213" s="24" t="str">
        <x:v>프라임구독</x:v>
      </x:c>
      <x:c r="C213" s="24" t="str">
        <x:v>34우4050</x:v>
      </x:c>
      <x:c r="D213" s="24" t="str">
        <x:v>DB</x:v>
      </x:c>
      <x:c r="E213" s="24" t="str"/>
      <x:c r="F213" s="30"/>
      <x:c r="G213" s="30" t="n">
        <x:v>45723</x:v>
      </x:c>
      <x:c r="H213" s="24" t="str"/>
      <x:c r="I213" s="24" t="str"/>
      <x:c r="J213" s="24" t="str">
        <x:f>IF(I213="","계약연령 미입력",IFERROR(IF(H213="","보험연령 미입력",IF(VALUE(H213)=VALUE(I213),"정상",IF(VALUE(H213)&gt;VALUE(I213),"보장 불일치","과보장 점검"))),"계약연령 형식확인"))</x:f>
        <x:v>계약연령 미입력</x:v>
      </x:c>
      <x:c r="K213" s="24" t="str">
        <x:v>만기 자료 갱신 필요</x:v>
      </x:c>
      <x:c r="L213" s="24" t="str"/>
      <x:c r="M213" s="24" t="str"/>
      <x:c r="N213" s="24" t="str"/>
      <x:c r="O213" s="24" t="str">
        <x:v>확인필요</x:v>
      </x:c>
      <x:c r="P213" s="24" t="str">
        <x:v>DB 책보 가입완료 -&gt; 책임보험 갱신(25.01.07) -&gt; 책임보험 갱신(25.02.07)</x:v>
      </x:c>
    </x:row>
    <x:row r="214" ht="17.25" customHeight="1">
      <x:c r="A214" s="24" t="str">
        <x:v>PR-I-355루1724</x:v>
      </x:c>
      <x:c r="B214" s="24" t="str">
        <x:v>프라임구독</x:v>
      </x:c>
      <x:c r="C214" s="24" t="str">
        <x:v>355루1724</x:v>
      </x:c>
      <x:c r="D214" s="24" t="str">
        <x:v>DB</x:v>
      </x:c>
      <x:c r="E214" s="24" t="str"/>
      <x:c r="F214" s="30"/>
      <x:c r="G214" s="30" t="n">
        <x:v>45980</x:v>
      </x:c>
      <x:c r="H214" s="24" t="str"/>
      <x:c r="I214" s="24" t="str"/>
      <x:c r="J214" s="24" t="str">
        <x:f>IF(I214="","계약연령 미입력",IFERROR(IF(H214="","보험연령 미입력",IF(VALUE(H214)=VALUE(I214),"정상",IF(VALUE(H214)&gt;VALUE(I214),"보장 불일치","과보장 점검"))),"계약연령 형식확인"))</x:f>
        <x:v>계약연령 미입력</x:v>
      </x:c>
      <x:c r="K214" s="24" t="str">
        <x:v>만기 자료 갱신 필요</x:v>
      </x:c>
      <x:c r="L214" s="24" t="str"/>
      <x:c r="M214" s="24" t="str"/>
      <x:c r="N214" s="24" t="str"/>
      <x:c r="O214" s="24" t="str">
        <x:v>확인필요</x:v>
      </x:c>
      <x:c r="P214" s="24" t="str">
        <x:v>DB 가입완료 - 프라임 대납 - 카드납부 받아야함</x:v>
      </x:c>
    </x:row>
    <x:row r="215" ht="17.25" customHeight="1">
      <x:c r="A215" s="24" t="str">
        <x:v>PR-I-358다8942</x:v>
      </x:c>
      <x:c r="B215" s="24" t="str">
        <x:v>프라임구독</x:v>
      </x:c>
      <x:c r="C215" s="24" t="str">
        <x:v>358다8942</x:v>
      </x:c>
      <x:c r="D215" s="24" t="str"/>
      <x:c r="E215" s="24" t="str"/>
      <x:c r="F215" s="30"/>
      <x:c r="G215" s="30" t="n">
        <x:v>45669</x:v>
      </x:c>
      <x:c r="H215" s="24" t="str"/>
      <x:c r="I215" s="24" t="str"/>
      <x:c r="J215" s="24" t="str">
        <x:f>IF(I215="","계약연령 미입력",IFERROR(IF(H215="","보험연령 미입력",IF(VALUE(H215)=VALUE(I215),"정상",IF(VALUE(H215)&gt;VALUE(I215),"보장 불일치","과보장 점검"))),"계약연령 형식확인"))</x:f>
        <x:v>계약연령 미입력</x:v>
      </x:c>
      <x:c r="K215" s="24" t="str">
        <x:v>만기 자료 갱신 필요</x:v>
      </x:c>
      <x:c r="L215" s="24" t="str">
        <x:v>김종범</x:v>
      </x:c>
      <x:c r="M215" s="24" t="str"/>
      <x:c r="N215" s="24" t="str"/>
      <x:c r="O215" s="24" t="str">
        <x:v>확인필요</x:v>
      </x:c>
      <x:c r="P215" s="24" t="str">
        <x:v>25.01.10 캐롯으로 본인이 직접 가입한다고 함. 금일 증명서 보내주기로함. 12일에 제어걸 수 있다고도 안내함 -&gt; 인피니티 외제차 제어 불가(25.01.12 23:41)</x:v>
      </x:c>
    </x:row>
    <x:row r="216" ht="17.25" customHeight="1">
      <x:c r="A216" s="24" t="str">
        <x:v>PR-I-35라3486</x:v>
      </x:c>
      <x:c r="B216" s="24" t="str">
        <x:v>프라임구독</x:v>
      </x:c>
      <x:c r="C216" s="24" t="str">
        <x:v>35라3486</x:v>
      </x:c>
      <x:c r="D216" s="24" t="str">
        <x:v>AXA</x:v>
      </x:c>
      <x:c r="E216" s="24" t="str"/>
      <x:c r="F216" s="30"/>
      <x:c r="G216" s="30" t="n">
        <x:v>45719</x:v>
      </x:c>
      <x:c r="H216" s="24" t="str"/>
      <x:c r="I216" s="24" t="str"/>
      <x:c r="J216" s="24" t="str">
        <x:f>IF(I216="","계약연령 미입력",IFERROR(IF(H216="","보험연령 미입력",IF(VALUE(H216)=VALUE(I216),"정상",IF(VALUE(H216)&gt;VALUE(I216),"보장 불일치","과보장 점검"))),"계약연령 형식확인"))</x:f>
        <x:v>계약연령 미입력</x:v>
      </x:c>
      <x:c r="K216" s="24" t="str">
        <x:v>만기 자료 갱신 필요</x:v>
      </x:c>
      <x:c r="L216" s="24" t="str"/>
      <x:c r="M216" s="24" t="str"/>
      <x:c r="N216" s="24" t="str"/>
      <x:c r="O216" s="24" t="str">
        <x:v>확인필요</x:v>
      </x:c>
      <x:c r="P216" s="24" t="str"/>
    </x:row>
    <x:row r="217" ht="17.25" customHeight="1">
      <x:c r="A217" s="24" t="str">
        <x:v>PR-I-35조0980</x:v>
      </x:c>
      <x:c r="B217" s="24" t="str">
        <x:v>프라임구독</x:v>
      </x:c>
      <x:c r="C217" s="24" t="str">
        <x:v>35조0980</x:v>
      </x:c>
      <x:c r="D217" s="24" t="str">
        <x:v>KB</x:v>
      </x:c>
      <x:c r="E217" s="24" t="str"/>
      <x:c r="F217" s="30"/>
      <x:c r="G217" s="30" t="n">
        <x:v>45880</x:v>
      </x:c>
      <x:c r="H217" s="24" t="str"/>
      <x:c r="I217" s="24" t="str"/>
      <x:c r="J217" s="24" t="str">
        <x:f>IF(I217="","계약연령 미입력",IFERROR(IF(H217="","보험연령 미입력",IF(VALUE(H217)=VALUE(I217),"정상",IF(VALUE(H217)&gt;VALUE(I217),"보장 불일치","과보장 점검"))),"계약연령 형식확인"))</x:f>
        <x:v>계약연령 미입력</x:v>
      </x:c>
      <x:c r="K217" s="24" t="str">
        <x:v>만기 자료 갱신 필요</x:v>
      </x:c>
      <x:c r="L217" s="24" t="str">
        <x:v>김진성1</x:v>
      </x:c>
      <x:c r="M217" s="24" t="str"/>
      <x:c r="N217" s="24" t="str"/>
      <x:c r="O217" s="24" t="str">
        <x:v>확인필요</x:v>
      </x:c>
      <x:c r="P217" s="24" t="str">
        <x:v>갱신완료</x:v>
      </x:c>
    </x:row>
    <x:row r="218" ht="17.25" customHeight="1">
      <x:c r="A218" s="24" t="str">
        <x:v>PR-I-366버2054</x:v>
      </x:c>
      <x:c r="B218" s="24" t="str">
        <x:v>프라임구독</x:v>
      </x:c>
      <x:c r="C218" s="24" t="str">
        <x:v>366버2054</x:v>
      </x:c>
      <x:c r="D218" s="24" t="str"/>
      <x:c r="E218" s="24" t="str"/>
      <x:c r="F218" s="30"/>
      <x:c r="G218" s="30" t="n">
        <x:v>45504</x:v>
      </x:c>
      <x:c r="H218" s="24" t="str"/>
      <x:c r="I218" s="24" t="str"/>
      <x:c r="J218" s="24" t="str">
        <x:f>IF(I218="","계약연령 미입력",IFERROR(IF(H218="","보험연령 미입력",IF(VALUE(H218)=VALUE(I218),"정상",IF(VALUE(H218)&gt;VALUE(I218),"보장 불일치","과보장 점검"))),"계약연령 형식확인"))</x:f>
        <x:v>계약연령 미입력</x:v>
      </x:c>
      <x:c r="K218" s="24" t="str">
        <x:v>만기 자료 갱신 필요</x:v>
      </x:c>
      <x:c r="L218" s="24" t="str"/>
      <x:c r="M218" s="24" t="str"/>
      <x:c r="N218" s="24" t="str"/>
      <x:c r="O218" s="24" t="str">
        <x:v>확인필요</x:v>
      </x:c>
      <x:c r="P218" s="24" t="str">
        <x:v>연락안해도됨(신희찬) -&gt; 24.12.10 만기인수</x:v>
      </x:c>
    </x:row>
    <x:row r="219" ht="17.25" customHeight="1">
      <x:c r="A219" s="24" t="str">
        <x:v>PR-I-36너9100</x:v>
      </x:c>
      <x:c r="B219" s="24" t="str">
        <x:v>프라임구독</x:v>
      </x:c>
      <x:c r="C219" s="24" t="str">
        <x:v>36너9100</x:v>
      </x:c>
      <x:c r="D219" s="24" t="str">
        <x:v>DB</x:v>
      </x:c>
      <x:c r="E219" s="24" t="str"/>
      <x:c r="F219" s="30"/>
      <x:c r="G219" s="30" t="n">
        <x:v>45899</x:v>
      </x:c>
      <x:c r="H219" s="24" t="str"/>
      <x:c r="I219" s="24" t="str"/>
      <x:c r="J219" s="24" t="str">
        <x:f>IF(I219="","계약연령 미입력",IFERROR(IF(H219="","보험연령 미입력",IF(VALUE(H219)=VALUE(I219),"정상",IF(VALUE(H219)&gt;VALUE(I219),"보장 불일치","과보장 점검"))),"계약연령 형식확인"))</x:f>
        <x:v>계약연령 미입력</x:v>
      </x:c>
      <x:c r="K219" s="24" t="str">
        <x:v>만기 자료 갱신 필요</x:v>
      </x:c>
      <x:c r="L219" s="24" t="str"/>
      <x:c r="M219" s="24" t="str"/>
      <x:c r="N219" s="24" t="str"/>
      <x:c r="O219" s="24" t="str">
        <x:v>확인필요</x:v>
      </x:c>
      <x:c r="P219" s="24" t="str">
        <x:v>DB 가입완료</x:v>
      </x:c>
    </x:row>
    <x:row r="220" ht="17.25" customHeight="1">
      <x:c r="A220" s="24" t="str">
        <x:v>PR-I-36조8835</x:v>
      </x:c>
      <x:c r="B220" s="24" t="str">
        <x:v>프라임구독</x:v>
      </x:c>
      <x:c r="C220" s="24" t="str">
        <x:v>36조8835</x:v>
      </x:c>
      <x:c r="D220" s="24" t="str">
        <x:v>DB</x:v>
      </x:c>
      <x:c r="E220" s="24" t="str"/>
      <x:c r="F220" s="30"/>
      <x:c r="G220" s="30" t="n">
        <x:v>45800</x:v>
      </x:c>
      <x:c r="H220" s="24" t="str"/>
      <x:c r="I220" s="24" t="str"/>
      <x:c r="J220" s="24" t="str">
        <x:f>IF(I220="","계약연령 미입력",IFERROR(IF(H220="","보험연령 미입력",IF(VALUE(H220)=VALUE(I220),"정상",IF(VALUE(H220)&gt;VALUE(I220),"보장 불일치","과보장 점검"))),"계약연령 형식확인"))</x:f>
        <x:v>계약연령 미입력</x:v>
      </x:c>
      <x:c r="K220" s="24" t="str">
        <x:v>만기 자료 갱신 필요</x:v>
      </x:c>
      <x:c r="L220" s="24" t="str"/>
      <x:c r="M220" s="24" t="str"/>
      <x:c r="N220" s="24" t="str"/>
      <x:c r="O220" s="24" t="str">
        <x:v>확인필요</x:v>
      </x:c>
      <x:c r="P220" s="24" t="str">
        <x:v>DB 갱신완료</x:v>
      </x:c>
    </x:row>
    <x:row r="221" ht="17.25" customHeight="1">
      <x:c r="A221" s="24" t="str">
        <x:v>PR-I-372너6080</x:v>
      </x:c>
      <x:c r="B221" s="24" t="str">
        <x:v>프라임구독</x:v>
      </x:c>
      <x:c r="C221" s="24" t="str">
        <x:v>372너6080</x:v>
      </x:c>
      <x:c r="D221" s="24" t="str">
        <x:v>DB</x:v>
      </x:c>
      <x:c r="E221" s="24" t="str"/>
      <x:c r="F221" s="30"/>
      <x:c r="G221" s="30" t="n">
        <x:v>46001</x:v>
      </x:c>
      <x:c r="H221" s="24" t="str"/>
      <x:c r="I221" s="24" t="str"/>
      <x:c r="J221" s="24" t="str">
        <x:f>IF(I221="","계약연령 미입력",IFERROR(IF(H221="","보험연령 미입력",IF(VALUE(H221)=VALUE(I221),"정상",IF(VALUE(H221)&gt;VALUE(I221),"보장 불일치","과보장 점검"))),"계약연령 형식확인"))</x:f>
        <x:v>계약연령 미입력</x:v>
      </x:c>
      <x:c r="K221" s="24" t="str">
        <x:v>만기 자료 갱신 필요</x:v>
      </x:c>
      <x:c r="L221" s="24" t="str"/>
      <x:c r="M221" s="24" t="str"/>
      <x:c r="N221" s="24" t="str"/>
      <x:c r="O221" s="24" t="str">
        <x:v>확인필요</x:v>
      </x:c>
      <x:c r="P221" s="24" t="str">
        <x:v>DB 가입완료</x:v>
      </x:c>
    </x:row>
    <x:row r="222" ht="17.25" customHeight="1">
      <x:c r="A222" s="24" t="str">
        <x:v>PR-I-375노8331</x:v>
      </x:c>
      <x:c r="B222" s="24" t="str">
        <x:v>프라임구독</x:v>
      </x:c>
      <x:c r="C222" s="24" t="str">
        <x:v>375노8331</x:v>
      </x:c>
      <x:c r="D222" s="24" t="str">
        <x:v>DB</x:v>
      </x:c>
      <x:c r="E222" s="24" t="str"/>
      <x:c r="F222" s="30"/>
      <x:c r="G222" s="30" t="n">
        <x:v>46004</x:v>
      </x:c>
      <x:c r="H222" s="24" t="str"/>
      <x:c r="I222" s="24" t="str"/>
      <x:c r="J222" s="24" t="str">
        <x:f>IF(I222="","계약연령 미입력",IFERROR(IF(H222="","보험연령 미입력",IF(VALUE(H222)=VALUE(I222),"정상",IF(VALUE(H222)&gt;VALUE(I222),"보장 불일치","과보장 점검"))),"계약연령 형식확인"))</x:f>
        <x:v>계약연령 미입력</x:v>
      </x:c>
      <x:c r="K222" s="24" t="str">
        <x:v>만기 자료 갱신 필요</x:v>
      </x:c>
      <x:c r="L222" s="24" t="str"/>
      <x:c r="M222" s="24" t="str"/>
      <x:c r="N222" s="24" t="str"/>
      <x:c r="O222" s="24" t="str">
        <x:v>확인필요</x:v>
      </x:c>
      <x:c r="P222" s="24" t="str">
        <x:v>DB 가입완료</x:v>
      </x:c>
    </x:row>
    <x:row r="223" ht="17.25" customHeight="1">
      <x:c r="A223" s="24" t="str">
        <x:v>PR-I-375어9516</x:v>
      </x:c>
      <x:c r="B223" s="24" t="str">
        <x:v>프라임구독</x:v>
      </x:c>
      <x:c r="C223" s="24" t="str">
        <x:v>375어9516</x:v>
      </x:c>
      <x:c r="D223" s="24" t="str">
        <x:v>KB</x:v>
      </x:c>
      <x:c r="E223" s="24" t="str"/>
      <x:c r="F223" s="30"/>
      <x:c r="G223" s="30" t="n">
        <x:v>45986</x:v>
      </x:c>
      <x:c r="H223" s="24" t="str"/>
      <x:c r="I223" s="24" t="str"/>
      <x:c r="J223" s="24" t="str">
        <x:f>IF(I223="","계약연령 미입력",IFERROR(IF(H223="","보험연령 미입력",IF(VALUE(H223)=VALUE(I223),"정상",IF(VALUE(H223)&gt;VALUE(I223),"보장 불일치","과보장 점검"))),"계약연령 형식확인"))</x:f>
        <x:v>계약연령 미입력</x:v>
      </x:c>
      <x:c r="K223" s="24" t="str">
        <x:v>만기 자료 갱신 필요</x:v>
      </x:c>
      <x:c r="L223" s="24" t="str"/>
      <x:c r="M223" s="24" t="str"/>
      <x:c r="N223" s="24" t="str"/>
      <x:c r="O223" s="24" t="str">
        <x:v>확인필요</x:v>
      </x:c>
      <x:c r="P223" s="24" t="str">
        <x:v>KB 갱신완료</x:v>
      </x:c>
    </x:row>
    <x:row r="224" ht="17.25" customHeight="1">
      <x:c r="A224" s="24" t="str">
        <x:v>PR-I-37가6818</x:v>
      </x:c>
      <x:c r="B224" s="24" t="str">
        <x:v>프라임구독</x:v>
      </x:c>
      <x:c r="C224" s="24" t="str">
        <x:v>37가6818</x:v>
      </x:c>
      <x:c r="D224" s="24" t="str">
        <x:v>DB</x:v>
      </x:c>
      <x:c r="E224" s="24" t="str"/>
      <x:c r="F224" s="30"/>
      <x:c r="G224" s="30" t="n">
        <x:v>45723</x:v>
      </x:c>
      <x:c r="H224" s="24" t="str"/>
      <x:c r="I224" s="24" t="str"/>
      <x:c r="J224" s="24" t="str">
        <x:f>IF(I224="","계약연령 미입력",IFERROR(IF(H224="","보험연령 미입력",IF(VALUE(H224)=VALUE(I224),"정상",IF(VALUE(H224)&gt;VALUE(I224),"보장 불일치","과보장 점검"))),"계약연령 형식확인"))</x:f>
        <x:v>계약연령 미입력</x:v>
      </x:c>
      <x:c r="K224" s="24" t="str">
        <x:v>만기 자료 갱신 필요</x:v>
      </x:c>
      <x:c r="L224" s="24" t="str"/>
      <x:c r="M224" s="24" t="str"/>
      <x:c r="N224" s="24" t="str"/>
      <x:c r="O224" s="24" t="str">
        <x:v>확인필요</x:v>
      </x:c>
      <x:c r="P224" s="24" t="str">
        <x:v>09.25 연락안됨/시동제어 진행함 -&gt; 책임보험 가입함(24.10.04) -&gt; 책임보험 갱신(24.11.04) -&gt; 책임보험 갱신(24.12.05) -&gt; 책임보험 갱신(25.01.07) -&gt; 책임보험 갱신(25.02.07)</x:v>
      </x:c>
    </x:row>
    <x:row r="225" ht="17.25" customHeight="1">
      <x:c r="A225" s="24" t="str">
        <x:v>PR-I-37루0709</x:v>
      </x:c>
      <x:c r="B225" s="24" t="str">
        <x:v>프라임구독</x:v>
      </x:c>
      <x:c r="C225" s="24" t="str">
        <x:v>37루0709</x:v>
      </x:c>
      <x:c r="D225" s="24" t="str">
        <x:v>중도인수</x:v>
      </x:c>
      <x:c r="E225" s="24" t="str"/>
      <x:c r="F225" s="30"/>
      <x:c r="G225" s="30" t="n">
        <x:v>45596</x:v>
      </x:c>
      <x:c r="H225" s="24" t="str"/>
      <x:c r="I225" s="24" t="str"/>
      <x:c r="J225" s="24" t="str">
        <x:f>IF(I225="","계약연령 미입력",IFERROR(IF(H225="","보험연령 미입력",IF(VALUE(H225)=VALUE(I225),"정상",IF(VALUE(H225)&gt;VALUE(I225),"보장 불일치","과보장 점검"))),"계약연령 형식확인"))</x:f>
        <x:v>계약연령 미입력</x:v>
      </x:c>
      <x:c r="K225" s="24" t="str">
        <x:v>만기 자료 갱신 필요</x:v>
      </x:c>
      <x:c r="L225" s="24" t="str"/>
      <x:c r="M225" s="24" t="str"/>
      <x:c r="N225" s="24" t="str"/>
      <x:c r="O225" s="24" t="str">
        <x:v>확인필요</x:v>
      </x:c>
      <x:c r="P225" s="24" t="str">
        <x:v>2024.10.16 중도인수</x:v>
      </x:c>
    </x:row>
    <x:row r="226" ht="17.25" customHeight="1">
      <x:c r="A226" s="24" t="str">
        <x:v>PR-I-37부6628</x:v>
      </x:c>
      <x:c r="B226" s="24" t="str">
        <x:v>프라임구독</x:v>
      </x:c>
      <x:c r="C226" s="24" t="str">
        <x:v>37부6628</x:v>
      </x:c>
      <x:c r="D226" s="24" t="str">
        <x:v>DB</x:v>
      </x:c>
      <x:c r="E226" s="24" t="str"/>
      <x:c r="F226" s="30"/>
      <x:c r="G226" s="30" t="n">
        <x:v>46100</x:v>
      </x:c>
      <x:c r="H226" s="24" t="str"/>
      <x:c r="I226" s="24" t="str"/>
      <x:c r="J226" s="24" t="str">
        <x:f>IF(I226="","계약연령 미입력",IFERROR(IF(H226="","보험연령 미입력",IF(VALUE(H226)=VALUE(I226),"정상",IF(VALUE(H226)&gt;VALUE(I226),"보장 불일치","과보장 점검"))),"계약연령 형식확인"))</x:f>
        <x:v>계약연령 미입력</x:v>
      </x:c>
      <x:c r="K226" s="24" t="str">
        <x:v>만기 자료 갱신 필요</x:v>
      </x:c>
      <x:c r="L226" s="24" t="str">
        <x:v>배초롱</x:v>
      </x:c>
      <x:c r="M226" s="24" t="str"/>
      <x:c r="N226" s="24" t="str"/>
      <x:c r="O226" s="24" t="str">
        <x:v>확인필요</x:v>
      </x:c>
      <x:c r="P226" s="24" t="str">
        <x:v>DB 가입완료(배우자 명의 가입)</x:v>
      </x:c>
    </x:row>
    <x:row r="227" ht="17.25" customHeight="1">
      <x:c r="A227" s="24" t="str">
        <x:v>PR-I-383고5530</x:v>
      </x:c>
      <x:c r="B227" s="24" t="str">
        <x:v>프라임구독</x:v>
      </x:c>
      <x:c r="C227" s="24" t="str">
        <x:v>383고5530</x:v>
      </x:c>
      <x:c r="D227" s="24" t="str">
        <x:v>DB</x:v>
      </x:c>
      <x:c r="E227" s="24" t="str"/>
      <x:c r="F227" s="30"/>
      <x:c r="G227" s="30" t="n">
        <x:v>46034</x:v>
      </x:c>
      <x:c r="H227" s="24" t="str"/>
      <x:c r="I227" s="24" t="str"/>
      <x:c r="J227" s="24" t="str">
        <x:f>IF(I227="","계약연령 미입력",IFERROR(IF(H227="","보험연령 미입력",IF(VALUE(H227)=VALUE(I227),"정상",IF(VALUE(H227)&gt;VALUE(I227),"보장 불일치","과보장 점검"))),"계약연령 형식확인"))</x:f>
        <x:v>계약연령 미입력</x:v>
      </x:c>
      <x:c r="K227" s="24" t="str">
        <x:v>만기 자료 갱신 필요</x:v>
      </x:c>
      <x:c r="L227" s="24" t="str"/>
      <x:c r="M227" s="24" t="str"/>
      <x:c r="N227" s="24" t="str"/>
      <x:c r="O227" s="24" t="str">
        <x:v>확인필요</x:v>
      </x:c>
      <x:c r="P227" s="24" t="str">
        <x:v>DB 갱신완료</x:v>
      </x:c>
    </x:row>
    <x:row r="228" ht="17.25" customHeight="1">
      <x:c r="A228" s="24" t="str">
        <x:v>PR-I-385두9468</x:v>
      </x:c>
      <x:c r="B228" s="24" t="str">
        <x:v>프라임구독</x:v>
      </x:c>
      <x:c r="C228" s="24" t="str">
        <x:v>385두9468</x:v>
      </x:c>
      <x:c r="D228" s="24" t="str"/>
      <x:c r="E228" s="24" t="str"/>
      <x:c r="F228" s="30"/>
      <x:c r="G228" s="30" t="n">
        <x:v>45514</x:v>
      </x:c>
      <x:c r="H228" s="24" t="str"/>
      <x:c r="I228" s="24" t="str"/>
      <x:c r="J228" s="24" t="str">
        <x:f>IF(I228="","계약연령 미입력",IFERROR(IF(H228="","보험연령 미입력",IF(VALUE(H228)=VALUE(I228),"정상",IF(VALUE(H228)&gt;VALUE(I228),"보장 불일치","과보장 점검"))),"계약연령 형식확인"))</x:f>
        <x:v>계약연령 미입력</x:v>
      </x:c>
      <x:c r="K228" s="24" t="str">
        <x:v>만기 자료 갱신 필요</x:v>
      </x:c>
      <x:c r="L228" s="24" t="str"/>
      <x:c r="M228" s="24" t="str"/>
      <x:c r="N228" s="24" t="str"/>
      <x:c r="O228" s="24" t="str">
        <x:v>확인필요</x:v>
      </x:c>
      <x:c r="P228" s="24" t="str">
        <x:v>연락안됨 / GPS미장착 차량</x:v>
      </x:c>
    </x:row>
    <x:row r="229" ht="17.25" customHeight="1">
      <x:c r="A229" s="24" t="str">
        <x:v>PR-I-38거0839</x:v>
      </x:c>
      <x:c r="B229" s="24" t="str">
        <x:v>프라임구독</x:v>
      </x:c>
      <x:c r="C229" s="24" t="str">
        <x:v>38거0839</x:v>
      </x:c>
      <x:c r="D229" s="24" t="str">
        <x:v>DB</x:v>
      </x:c>
      <x:c r="E229" s="24" t="str"/>
      <x:c r="F229" s="30"/>
      <x:c r="G229" s="30" t="n">
        <x:v>45747</x:v>
      </x:c>
      <x:c r="H229" s="24" t="str"/>
      <x:c r="I229" s="24" t="str"/>
      <x:c r="J229" s="24" t="str">
        <x:f>IF(I229="","계약연령 미입력",IFERROR(IF(H229="","보험연령 미입력",IF(VALUE(H229)=VALUE(I229),"정상",IF(VALUE(H229)&gt;VALUE(I229),"보장 불일치","과보장 점검"))),"계약연령 형식확인"))</x:f>
        <x:v>계약연령 미입력</x:v>
      </x:c>
      <x:c r="K229" s="24" t="str">
        <x:v>만기 자료 갱신 필요</x:v>
      </x:c>
      <x:c r="L229" s="24" t="str">
        <x:v>김준모</x:v>
      </x:c>
      <x:c r="M229" s="24" t="str"/>
      <x:c r="N229" s="24" t="str"/>
      <x:c r="O229" s="24" t="str">
        <x:v>확인필요</x:v>
      </x:c>
      <x:c r="P229" s="24" t="str">
        <x:v>DB 가입완료</x:v>
      </x:c>
    </x:row>
    <x:row r="230" ht="17.25" customHeight="1">
      <x:c r="A230" s="24" t="str">
        <x:v>PR-I-38나0980</x:v>
      </x:c>
      <x:c r="B230" s="24" t="str">
        <x:v>프라임구독</x:v>
      </x:c>
      <x:c r="C230" s="24" t="str">
        <x:v>38나0980</x:v>
      </x:c>
      <x:c r="D230" s="24" t="str">
        <x:v>DB</x:v>
      </x:c>
      <x:c r="E230" s="24" t="str"/>
      <x:c r="F230" s="30"/>
      <x:c r="G230" s="30" t="n">
        <x:v>45820</x:v>
      </x:c>
      <x:c r="H230" s="24" t="str"/>
      <x:c r="I230" s="24" t="str"/>
      <x:c r="J230" s="24" t="str">
        <x:f>IF(I230="","계약연령 미입력",IFERROR(IF(H230="","보험연령 미입력",IF(VALUE(H230)=VALUE(I230),"정상",IF(VALUE(H230)&gt;VALUE(I230),"보장 불일치","과보장 점검"))),"계약연령 형식확인"))</x:f>
        <x:v>계약연령 미입력</x:v>
      </x:c>
      <x:c r="K230" s="24" t="str">
        <x:v>만기 자료 갱신 필요</x:v>
      </x:c>
      <x:c r="L230" s="24" t="str"/>
      <x:c r="M230" s="24" t="str"/>
      <x:c r="N230" s="24" t="str"/>
      <x:c r="O230" s="24" t="str">
        <x:v>확인필요</x:v>
      </x:c>
      <x:c r="P230" s="24" t="str">
        <x:v>DB 가입완료</x:v>
      </x:c>
    </x:row>
    <x:row r="231" ht="17.25" customHeight="1">
      <x:c r="A231" s="24" t="str">
        <x:v>PR-I-38모0931</x:v>
      </x:c>
      <x:c r="B231" s="24" t="str">
        <x:v>프라임구독</x:v>
      </x:c>
      <x:c r="C231" s="24" t="str">
        <x:v>38모0931</x:v>
      </x:c>
      <x:c r="D231" s="24" t="str">
        <x:v>KB</x:v>
      </x:c>
      <x:c r="E231" s="24" t="str"/>
      <x:c r="F231" s="30"/>
      <x:c r="G231" s="30" t="n">
        <x:v>45923</x:v>
      </x:c>
      <x:c r="H231" s="24" t="str"/>
      <x:c r="I231" s="24" t="str"/>
      <x:c r="J231" s="24" t="str">
        <x:f>IF(I231="","계약연령 미입력",IFERROR(IF(H231="","보험연령 미입력",IF(VALUE(H231)=VALUE(I231),"정상",IF(VALUE(H231)&gt;VALUE(I231),"보장 불일치","과보장 점검"))),"계약연령 형식확인"))</x:f>
        <x:v>계약연령 미입력</x:v>
      </x:c>
      <x:c r="K231" s="24" t="str">
        <x:v>만기 자료 갱신 필요</x:v>
      </x:c>
      <x:c r="L231" s="24" t="str"/>
      <x:c r="M231" s="24" t="str"/>
      <x:c r="N231" s="24" t="str"/>
      <x:c r="O231" s="24" t="str">
        <x:v>확인필요</x:v>
      </x:c>
      <x:c r="P231" s="24" t="str">
        <x:v>기존보험사 가입하겠다고함</x:v>
      </x:c>
    </x:row>
    <x:row r="232" ht="17.25" customHeight="1">
      <x:c r="A232" s="24" t="str">
        <x:v>PR-I-392주8214</x:v>
      </x:c>
      <x:c r="B232" s="24" t="str">
        <x:v>프라임구독</x:v>
      </x:c>
      <x:c r="C232" s="24" t="str">
        <x:v>392주8214</x:v>
      </x:c>
      <x:c r="D232" s="24" t="str">
        <x:v>AXA</x:v>
      </x:c>
      <x:c r="E232" s="24" t="str"/>
      <x:c r="F232" s="30"/>
      <x:c r="G232" s="30" t="n">
        <x:v>45740</x:v>
      </x:c>
      <x:c r="H232" s="24" t="str"/>
      <x:c r="I232" s="24" t="str"/>
      <x:c r="J232" s="24" t="str">
        <x:f>IF(I232="","계약연령 미입력",IFERROR(IF(H232="","보험연령 미입력",IF(VALUE(H232)=VALUE(I232),"정상",IF(VALUE(H232)&gt;VALUE(I232),"보장 불일치","과보장 점검"))),"계약연령 형식확인"))</x:f>
        <x:v>계약연령 미입력</x:v>
      </x:c>
      <x:c r="K232" s="24" t="str">
        <x:v>만기 자료 갱신 필요</x:v>
      </x:c>
      <x:c r="L232" s="24" t="str"/>
      <x:c r="M232" s="24" t="str"/>
      <x:c r="N232" s="24" t="str"/>
      <x:c r="O232" s="24" t="str">
        <x:v>확인필요</x:v>
      </x:c>
      <x:c r="P232" s="24" t="str">
        <x:v>DB승인불가 AXA가입진행해야함, AXA 가입완료</x:v>
      </x:c>
    </x:row>
    <x:row r="233" ht="17.25" customHeight="1">
      <x:c r="A233" s="24" t="str">
        <x:v>PR-I-40가4998</x:v>
      </x:c>
      <x:c r="B233" s="24" t="str">
        <x:v>프라임구독</x:v>
      </x:c>
      <x:c r="C233" s="24" t="str">
        <x:v>40가4998</x:v>
      </x:c>
      <x:c r="D233" s="24" t="str">
        <x:v>KB</x:v>
      </x:c>
      <x:c r="E233" s="24" t="str"/>
      <x:c r="F233" s="30"/>
      <x:c r="G233" s="30" t="n">
        <x:v>45981</x:v>
      </x:c>
      <x:c r="H233" s="24" t="str"/>
      <x:c r="I233" s="24" t="str"/>
      <x:c r="J233" s="24" t="str">
        <x:f>IF(I233="","계약연령 미입력",IFERROR(IF(H233="","보험연령 미입력",IF(VALUE(H233)=VALUE(I233),"정상",IF(VALUE(H233)&gt;VALUE(I233),"보장 불일치","과보장 점검"))),"계약연령 형식확인"))</x:f>
        <x:v>계약연령 미입력</x:v>
      </x:c>
      <x:c r="K233" s="24" t="str">
        <x:v>만기 자료 갱신 필요</x:v>
      </x:c>
      <x:c r="L233" s="24" t="str"/>
      <x:c r="M233" s="24" t="str"/>
      <x:c r="N233" s="24" t="str"/>
      <x:c r="O233" s="24" t="str">
        <x:v>확인필요</x:v>
      </x:c>
      <x:c r="P233" s="24" t="str">
        <x:v>KB 갱신완료</x:v>
      </x:c>
    </x:row>
    <x:row r="234" ht="17.25" customHeight="1">
      <x:c r="A234" s="24" t="str">
        <x:v>PR-I-41누0758</x:v>
      </x:c>
      <x:c r="B234" s="24" t="str">
        <x:v>프라임구독</x:v>
      </x:c>
      <x:c r="C234" s="24" t="str">
        <x:v>41누0758</x:v>
      </x:c>
      <x:c r="D234" s="24" t="str"/>
      <x:c r="E234" s="24" t="str"/>
      <x:c r="F234" s="30"/>
      <x:c r="G234" s="30" t="n">
        <x:v>45991</x:v>
      </x:c>
      <x:c r="H234" s="24" t="str"/>
      <x:c r="I234" s="24" t="str"/>
      <x:c r="J234" s="24" t="str">
        <x:f>IF(I234="","계약연령 미입력",IFERROR(IF(H234="","보험연령 미입력",IF(VALUE(H234)=VALUE(I234),"정상",IF(VALUE(H234)&gt;VALUE(I234),"보장 불일치","과보장 점검"))),"계약연령 형식확인"))</x:f>
        <x:v>계약연령 미입력</x:v>
      </x:c>
      <x:c r="K234" s="24" t="str">
        <x:v>만기 자료 갱신 필요</x:v>
      </x:c>
      <x:c r="L234" s="24" t="str">
        <x:v>장두식</x:v>
      </x:c>
      <x:c r="M234" s="24" t="str"/>
      <x:c r="N234" s="24" t="str"/>
      <x:c r="O234" s="24" t="str">
        <x:v>확인필요</x:v>
      </x:c>
      <x:c r="P234" s="24" t="str"/>
    </x:row>
    <x:row r="235" ht="17.25" customHeight="1">
      <x:c r="A235" s="24" t="str">
        <x:v>PR-I-46누5796</x:v>
      </x:c>
      <x:c r="B235" s="24" t="str">
        <x:v>프라임구독</x:v>
      </x:c>
      <x:c r="C235" s="24" t="str">
        <x:v>46누5796</x:v>
      </x:c>
      <x:c r="D235" s="24" t="str">
        <x:v>DB</x:v>
      </x:c>
      <x:c r="E235" s="24" t="str"/>
      <x:c r="F235" s="30"/>
      <x:c r="G235" s="30" t="n">
        <x:v>45863</x:v>
      </x:c>
      <x:c r="H235" s="24" t="str"/>
      <x:c r="I235" s="24" t="str"/>
      <x:c r="J235" s="24" t="str">
        <x:f>IF(I235="","계약연령 미입력",IFERROR(IF(H235="","보험연령 미입력",IF(VALUE(H235)=VALUE(I235),"정상",IF(VALUE(H235)&gt;VALUE(I235),"보장 불일치","과보장 점검"))),"계약연령 형식확인"))</x:f>
        <x:v>계약연령 미입력</x:v>
      </x:c>
      <x:c r="K235" s="24" t="str">
        <x:v>만기 자료 갱신 필요</x:v>
      </x:c>
      <x:c r="L235" s="24" t="str"/>
      <x:c r="M235" s="24" t="str"/>
      <x:c r="N235" s="24" t="str"/>
      <x:c r="O235" s="24" t="str">
        <x:v>확인필요</x:v>
      </x:c>
      <x:c r="P235" s="24" t="str">
        <x:v>db로 가입완료</x:v>
      </x:c>
    </x:row>
    <x:row r="236" ht="17.25" customHeight="1">
      <x:c r="A236" s="24" t="str">
        <x:v>PR-I-46어0360</x:v>
      </x:c>
      <x:c r="B236" s="24" t="str">
        <x:v>프라임구독</x:v>
      </x:c>
      <x:c r="C236" s="24" t="str">
        <x:v>46어0360</x:v>
      </x:c>
      <x:c r="D236" s="24" t="str"/>
      <x:c r="E236" s="24" t="str"/>
      <x:c r="F236" s="30"/>
      <x:c r="G236" s="30"/>
      <x:c r="H236" s="24" t="str"/>
      <x:c r="I236" s="24" t="str"/>
      <x:c r="J236" s="24" t="str">
        <x:f>IF(I236="","계약연령 미입력",IFERROR(IF(H236="","보험연령 미입력",IF(VALUE(H236)=VALUE(I236),"정상",IF(VALUE(H236)&gt;VALUE(I236),"보장 불일치","과보장 점검"))),"계약연령 형식확인"))</x:f>
        <x:v>계약연령 미입력</x:v>
      </x:c>
      <x:c r="K236" s="24" t="str">
        <x:v>보험 자료 없음</x:v>
      </x:c>
      <x:c r="L236" s="24" t="str"/>
      <x:c r="M236" s="24" t="str"/>
      <x:c r="N236" s="24" t="str"/>
      <x:c r="O236" s="24" t="str">
        <x:v>확인필요</x:v>
      </x:c>
      <x:c r="P236" s="24" t="str"/>
    </x:row>
    <x:row r="237" ht="17.25" customHeight="1">
      <x:c r="A237" s="24" t="str">
        <x:v>PR-I-47너7301</x:v>
      </x:c>
      <x:c r="B237" s="24" t="str">
        <x:v>프라임구독</x:v>
      </x:c>
      <x:c r="C237" s="24" t="str">
        <x:v>47너7301</x:v>
      </x:c>
      <x:c r="D237" s="24" t="str">
        <x:v>DB</x:v>
      </x:c>
      <x:c r="E237" s="24" t="str"/>
      <x:c r="F237" s="30"/>
      <x:c r="G237" s="30" t="n">
        <x:v>45818</x:v>
      </x:c>
      <x:c r="H237" s="24" t="str"/>
      <x:c r="I237" s="24" t="str"/>
      <x:c r="J237" s="24" t="str">
        <x:f>IF(I237="","계약연령 미입력",IFERROR(IF(H237="","보험연령 미입력",IF(VALUE(H237)=VALUE(I237),"정상",IF(VALUE(H237)&gt;VALUE(I237),"보장 불일치","과보장 점검"))),"계약연령 형식확인"))</x:f>
        <x:v>계약연령 미입력</x:v>
      </x:c>
      <x:c r="K237" s="24" t="str">
        <x:v>만기 자료 갱신 필요</x:v>
      </x:c>
      <x:c r="L237" s="24" t="str"/>
      <x:c r="M237" s="24" t="str"/>
      <x:c r="N237" s="24" t="str"/>
      <x:c r="O237" s="24" t="str">
        <x:v>확인필요</x:v>
      </x:c>
      <x:c r="P237" s="24" t="str">
        <x:v>DB 갱신완료</x:v>
      </x:c>
    </x:row>
    <x:row r="238" ht="17.25" customHeight="1">
      <x:c r="A238" s="24" t="str">
        <x:v>PR-I-47마0220</x:v>
      </x:c>
      <x:c r="B238" s="24" t="str">
        <x:v>프라임구독</x:v>
      </x:c>
      <x:c r="C238" s="24" t="str">
        <x:v>47마0220</x:v>
      </x:c>
      <x:c r="D238" s="24" t="str">
        <x:v>DB</x:v>
      </x:c>
      <x:c r="E238" s="24" t="str"/>
      <x:c r="F238" s="30"/>
      <x:c r="G238" s="30" t="n">
        <x:v>46031</x:v>
      </x:c>
      <x:c r="H238" s="24" t="str"/>
      <x:c r="I238" s="24" t="str"/>
      <x:c r="J238" s="24" t="str">
        <x:f>IF(I238="","계약연령 미입력",IFERROR(IF(H238="","보험연령 미입력",IF(VALUE(H238)=VALUE(I238),"정상",IF(VALUE(H238)&gt;VALUE(I238),"보장 불일치","과보장 점검"))),"계약연령 형식확인"))</x:f>
        <x:v>계약연령 미입력</x:v>
      </x:c>
      <x:c r="K238" s="24" t="str">
        <x:v>만기 자료 갱신 필요</x:v>
      </x:c>
      <x:c r="L238" s="24" t="str"/>
      <x:c r="M238" s="24" t="str"/>
      <x:c r="N238" s="24" t="str"/>
      <x:c r="O238" s="24" t="str">
        <x:v>확인필요</x:v>
      </x:c>
      <x:c r="P238" s="24" t="str">
        <x:v>DB 갱신완료</x:v>
      </x:c>
    </x:row>
    <x:row r="239" ht="17.25" customHeight="1">
      <x:c r="A239" s="24" t="str">
        <x:v>PR-I-47어0249</x:v>
      </x:c>
      <x:c r="B239" s="24" t="str">
        <x:v>프라임구독</x:v>
      </x:c>
      <x:c r="C239" s="24" t="str">
        <x:v>47어0249</x:v>
      </x:c>
      <x:c r="D239" s="24" t="str"/>
      <x:c r="E239" s="24" t="str"/>
      <x:c r="F239" s="30"/>
      <x:c r="G239" s="30" t="n">
        <x:v>45746</x:v>
      </x:c>
      <x:c r="H239" s="24" t="str"/>
      <x:c r="I239" s="24" t="str"/>
      <x:c r="J239" s="24" t="str">
        <x:f>IF(I239="","계약연령 미입력",IFERROR(IF(H239="","보험연령 미입력",IF(VALUE(H239)=VALUE(I239),"정상",IF(VALUE(H239)&gt;VALUE(I239),"보장 불일치","과보장 점검"))),"계약연령 형식확인"))</x:f>
        <x:v>계약연령 미입력</x:v>
      </x:c>
      <x:c r="K239" s="24" t="str">
        <x:v>만기 자료 갱신 필요</x:v>
      </x:c>
      <x:c r="L239" s="24" t="str"/>
      <x:c r="M239" s="24" t="str"/>
      <x:c r="N239" s="24" t="str"/>
      <x:c r="O239" s="24" t="str">
        <x:v>확인필요</x:v>
      </x:c>
      <x:c r="P239" s="24" t="str"/>
    </x:row>
    <x:row r="240" ht="17.25" customHeight="1">
      <x:c r="A240" s="24" t="str">
        <x:v>PR-I-48라0691</x:v>
      </x:c>
      <x:c r="B240" s="24" t="str">
        <x:v>프라임구독</x:v>
      </x:c>
      <x:c r="C240" s="24" t="str">
        <x:v>48라0691</x:v>
      </x:c>
      <x:c r="D240" s="24" t="str"/>
      <x:c r="E240" s="24" t="str"/>
      <x:c r="F240" s="30"/>
      <x:c r="G240" s="30" t="n">
        <x:v>45703</x:v>
      </x:c>
      <x:c r="H240" s="24" t="str"/>
      <x:c r="I240" s="24" t="str"/>
      <x:c r="J240" s="24" t="str">
        <x:f>IF(I240="","계약연령 미입력",IFERROR(IF(H240="","보험연령 미입력",IF(VALUE(H240)=VALUE(I240),"정상",IF(VALUE(H240)&gt;VALUE(I240),"보장 불일치","과보장 점검"))),"계약연령 형식확인"))</x:f>
        <x:v>계약연령 미입력</x:v>
      </x:c>
      <x:c r="K240" s="24" t="str">
        <x:v>만기 자료 갱신 필요</x:v>
      </x:c>
      <x:c r="L240" s="24" t="str"/>
      <x:c r="M240" s="24" t="str"/>
      <x:c r="N240" s="24" t="str"/>
      <x:c r="O240" s="24" t="str">
        <x:v>확인필요</x:v>
      </x:c>
      <x:c r="P240" s="24" t="str"/>
    </x:row>
    <x:row r="241" ht="17.25" customHeight="1">
      <x:c r="A241" s="24" t="str">
        <x:v>PR-I-48저0234</x:v>
      </x:c>
      <x:c r="B241" s="24" t="str">
        <x:v>프라임구독</x:v>
      </x:c>
      <x:c r="C241" s="24" t="str">
        <x:v>48저0234</x:v>
      </x:c>
      <x:c r="D241" s="24" t="str">
        <x:v>DB</x:v>
      </x:c>
      <x:c r="E241" s="24" t="str"/>
      <x:c r="F241" s="30"/>
      <x:c r="G241" s="30" t="n">
        <x:v>45906</x:v>
      </x:c>
      <x:c r="H241" s="24" t="str"/>
      <x:c r="I241" s="24" t="str"/>
      <x:c r="J241" s="24" t="str">
        <x:f>IF(I241="","계약연령 미입력",IFERROR(IF(H241="","보험연령 미입력",IF(VALUE(H241)=VALUE(I241),"정상",IF(VALUE(H241)&gt;VALUE(I241),"보장 불일치","과보장 점검"))),"계약연령 형식확인"))</x:f>
        <x:v>계약연령 미입력</x:v>
      </x:c>
      <x:c r="K241" s="24" t="str">
        <x:v>만기 자료 갱신 필요</x:v>
      </x:c>
      <x:c r="L241" s="24" t="str"/>
      <x:c r="M241" s="24" t="str"/>
      <x:c r="N241" s="24" t="str"/>
      <x:c r="O241" s="24" t="str">
        <x:v>확인필요</x:v>
      </x:c>
      <x:c r="P241" s="24" t="str"/>
    </x:row>
    <x:row r="242" ht="17.25" customHeight="1">
      <x:c r="A242" s="24" t="str">
        <x:v>PR-I-49노4773</x:v>
      </x:c>
      <x:c r="B242" s="24" t="str">
        <x:v>프라임구독</x:v>
      </x:c>
      <x:c r="C242" s="24" t="str">
        <x:v>49노4773</x:v>
      </x:c>
      <x:c r="D242" s="24" t="str">
        <x:v>DB</x:v>
      </x:c>
      <x:c r="E242" s="24" t="str"/>
      <x:c r="F242" s="30"/>
      <x:c r="G242" s="30" t="n">
        <x:v>45865</x:v>
      </x:c>
      <x:c r="H242" s="24" t="str"/>
      <x:c r="I242" s="24" t="str"/>
      <x:c r="J242" s="24" t="str">
        <x:f>IF(I242="","계약연령 미입력",IFERROR(IF(H242="","보험연령 미입력",IF(VALUE(H242)=VALUE(I242),"정상",IF(VALUE(H242)&gt;VALUE(I242),"보장 불일치","과보장 점검"))),"계약연령 형식확인"))</x:f>
        <x:v>계약연령 미입력</x:v>
      </x:c>
      <x:c r="K242" s="24" t="str">
        <x:v>만기 자료 갱신 필요</x:v>
      </x:c>
      <x:c r="L242" s="24" t="str"/>
      <x:c r="M242" s="24" t="str"/>
      <x:c r="N242" s="24" t="str"/>
      <x:c r="O242" s="24" t="str">
        <x:v>확인필요</x:v>
      </x:c>
      <x:c r="P242" s="24" t="str">
        <x:v>DB로 가입완료</x:v>
      </x:c>
    </x:row>
    <x:row r="243" ht="17.25" customHeight="1">
      <x:c r="A243" s="24" t="str">
        <x:v>PR-I-49누4194</x:v>
      </x:c>
      <x:c r="B243" s="24" t="str">
        <x:v>프라임구독</x:v>
      </x:c>
      <x:c r="C243" s="24" t="str">
        <x:v>49누4194</x:v>
      </x:c>
      <x:c r="D243" s="24" t="str"/>
      <x:c r="E243" s="24" t="str"/>
      <x:c r="F243" s="30"/>
      <x:c r="G243" s="30" t="n">
        <x:v>45774</x:v>
      </x:c>
      <x:c r="H243" s="24" t="str"/>
      <x:c r="I243" s="24" t="str"/>
      <x:c r="J243" s="24" t="str">
        <x:f>IF(I243="","계약연령 미입력",IFERROR(IF(H243="","보험연령 미입력",IF(VALUE(H243)=VALUE(I243),"정상",IF(VALUE(H243)&gt;VALUE(I243),"보장 불일치","과보장 점검"))),"계약연령 형식확인"))</x:f>
        <x:v>계약연령 미입력</x:v>
      </x:c>
      <x:c r="K243" s="24" t="str">
        <x:v>만기 자료 갱신 필요</x:v>
      </x:c>
      <x:c r="L243" s="24" t="str"/>
      <x:c r="M243" s="24" t="str"/>
      <x:c r="N243" s="24" t="str"/>
      <x:c r="O243" s="24" t="str">
        <x:v>확인필요</x:v>
      </x:c>
      <x:c r="P243" s="24" t="str"/>
    </x:row>
    <x:row r="244" ht="17.25" customHeight="1">
      <x:c r="A244" s="24" t="str">
        <x:v>PR-I-49더0163</x:v>
      </x:c>
      <x:c r="B244" s="24" t="str">
        <x:v>프라임구독</x:v>
      </x:c>
      <x:c r="C244" s="24" t="str">
        <x:v>49더0163</x:v>
      </x:c>
      <x:c r="D244" s="24" t="str"/>
      <x:c r="E244" s="24" t="str"/>
      <x:c r="F244" s="30"/>
      <x:c r="G244" s="30" t="n">
        <x:v>45850</x:v>
      </x:c>
      <x:c r="H244" s="24" t="str"/>
      <x:c r="I244" s="24" t="str"/>
      <x:c r="J244" s="24" t="str">
        <x:f>IF(I244="","계약연령 미입력",IFERROR(IF(H244="","보험연령 미입력",IF(VALUE(H244)=VALUE(I244),"정상",IF(VALUE(H244)&gt;VALUE(I244),"보장 불일치","과보장 점검"))),"계약연령 형식확인"))</x:f>
        <x:v>계약연령 미입력</x:v>
      </x:c>
      <x:c r="K244" s="24" t="str">
        <x:v>만기 자료 갱신 필요</x:v>
      </x:c>
      <x:c r="L244" s="24" t="str">
        <x:v>김정웅</x:v>
      </x:c>
      <x:c r="M244" s="24" t="str"/>
      <x:c r="N244" s="24" t="str"/>
      <x:c r="O244" s="24" t="str">
        <x:v>확인필요</x:v>
      </x:c>
      <x:c r="P244" s="24" t="str"/>
    </x:row>
    <x:row r="245" ht="17.25" customHeight="1">
      <x:c r="A245" s="24" t="str">
        <x:v>PR-I-49두5388</x:v>
      </x:c>
      <x:c r="B245" s="24" t="str">
        <x:v>프라임구독</x:v>
      </x:c>
      <x:c r="C245" s="24" t="str">
        <x:v>49두5388</x:v>
      </x:c>
      <x:c r="D245" s="24" t="str">
        <x:v>DB</x:v>
      </x:c>
      <x:c r="E245" s="24" t="str"/>
      <x:c r="F245" s="30"/>
      <x:c r="G245" s="30" t="n">
        <x:v>45732</x:v>
      </x:c>
      <x:c r="H245" s="24" t="str"/>
      <x:c r="I245" s="24" t="str"/>
      <x:c r="J245" s="24" t="str">
        <x:f>IF(I245="","계약연령 미입력",IFERROR(IF(H245="","보험연령 미입력",IF(VALUE(H245)=VALUE(I245),"정상",IF(VALUE(H245)&gt;VALUE(I245),"보장 불일치","과보장 점검"))),"계약연령 형식확인"))</x:f>
        <x:v>계약연령 미입력</x:v>
      </x:c>
      <x:c r="K245" s="24" t="str">
        <x:v>만기 자료 갱신 필요</x:v>
      </x:c>
      <x:c r="L245" s="24" t="str"/>
      <x:c r="M245" s="24" t="str"/>
      <x:c r="N245" s="24" t="str"/>
      <x:c r="O245" s="24" t="str">
        <x:v>확인필요</x:v>
      </x:c>
      <x:c r="P245" s="24" t="str">
        <x:v>DB 갱신완료</x:v>
      </x:c>
    </x:row>
    <x:row r="246" ht="17.25" customHeight="1">
      <x:c r="A246" s="24" t="str">
        <x:v>PR-I-49부7248</x:v>
      </x:c>
      <x:c r="B246" s="24" t="str">
        <x:v>프라임구독</x:v>
      </x:c>
      <x:c r="C246" s="24" t="str">
        <x:v>49부7248</x:v>
      </x:c>
      <x:c r="D246" s="24" t="str">
        <x:v>DB</x:v>
      </x:c>
      <x:c r="E246" s="24" t="str"/>
      <x:c r="F246" s="30"/>
      <x:c r="G246" s="30" t="n">
        <x:v>45757</x:v>
      </x:c>
      <x:c r="H246" s="24" t="str"/>
      <x:c r="I246" s="24" t="str"/>
      <x:c r="J246" s="24" t="str">
        <x:f>IF(I246="","계약연령 미입력",IFERROR(IF(H246="","보험연령 미입력",IF(VALUE(H246)=VALUE(I246),"정상",IF(VALUE(H246)&gt;VALUE(I246),"보장 불일치","과보장 점검"))),"계약연령 형식확인"))</x:f>
        <x:v>계약연령 미입력</x:v>
      </x:c>
      <x:c r="K246" s="24" t="str">
        <x:v>만기 자료 갱신 필요</x:v>
      </x:c>
      <x:c r="L246" s="24" t="str"/>
      <x:c r="M246" s="24" t="str"/>
      <x:c r="N246" s="24" t="str"/>
      <x:c r="O246" s="24" t="str">
        <x:v>확인필요</x:v>
      </x:c>
      <x:c r="P246" s="24" t="str">
        <x:v>DB 가입완료</x:v>
      </x:c>
    </x:row>
    <x:row r="247" ht="17.25" customHeight="1">
      <x:c r="A247" s="24" t="str">
        <x:v>PR-I-49수2445</x:v>
      </x:c>
      <x:c r="B247" s="24" t="str">
        <x:v>프라임구독</x:v>
      </x:c>
      <x:c r="C247" s="24" t="str">
        <x:v>49수2445</x:v>
      </x:c>
      <x:c r="D247" s="24" t="str">
        <x:v>DB</x:v>
      </x:c>
      <x:c r="E247" s="24" t="str"/>
      <x:c r="F247" s="30"/>
      <x:c r="G247" s="30" t="n">
        <x:v>46019</x:v>
      </x:c>
      <x:c r="H247" s="24" t="str"/>
      <x:c r="I247" s="24" t="str"/>
      <x:c r="J247" s="24" t="str">
        <x:f>IF(I247="","계약연령 미입력",IFERROR(IF(H247="","보험연령 미입력",IF(VALUE(H247)=VALUE(I247),"정상",IF(VALUE(H247)&gt;VALUE(I247),"보장 불일치","과보장 점검"))),"계약연령 형식확인"))</x:f>
        <x:v>계약연령 미입력</x:v>
      </x:c>
      <x:c r="K247" s="24" t="str">
        <x:v>만기 자료 갱신 필요</x:v>
      </x:c>
      <x:c r="L247" s="24" t="str"/>
      <x:c r="M247" s="24" t="str"/>
      <x:c r="N247" s="24" t="str"/>
      <x:c r="O247" s="24" t="str">
        <x:v>확인필요</x:v>
      </x:c>
      <x:c r="P247" s="24" t="str">
        <x:v>DB 직접가입완료</x:v>
      </x:c>
    </x:row>
    <x:row r="248" ht="17.25" customHeight="1">
      <x:c r="A248" s="24" t="str">
        <x:v>PR-I-49어2497</x:v>
      </x:c>
      <x:c r="B248" s="24" t="str">
        <x:v>프라임구독</x:v>
      </x:c>
      <x:c r="C248" s="24" t="str">
        <x:v>49어2497</x:v>
      </x:c>
      <x:c r="D248" s="24" t="str"/>
      <x:c r="E248" s="24" t="str"/>
      <x:c r="F248" s="30"/>
      <x:c r="G248" s="30" t="n">
        <x:v>45750</x:v>
      </x:c>
      <x:c r="H248" s="24" t="str"/>
      <x:c r="I248" s="24" t="str"/>
      <x:c r="J248" s="24" t="str">
        <x:f>IF(I248="","계약연령 미입력",IFERROR(IF(H248="","보험연령 미입력",IF(VALUE(H248)=VALUE(I248),"정상",IF(VALUE(H248)&gt;VALUE(I248),"보장 불일치","과보장 점검"))),"계약연령 형식확인"))</x:f>
        <x:v>계약연령 미입력</x:v>
      </x:c>
      <x:c r="K248" s="24" t="str">
        <x:v>만기 자료 갱신 필요</x:v>
      </x:c>
      <x:c r="L248" s="24" t="str">
        <x:v>양원호</x:v>
      </x:c>
      <x:c r="M248" s="24" t="str"/>
      <x:c r="N248" s="24" t="str"/>
      <x:c r="O248" s="24" t="str">
        <x:v>확인필요</x:v>
      </x:c>
      <x:c r="P248" s="24" t="str"/>
    </x:row>
    <x:row r="249" ht="17.25" customHeight="1">
      <x:c r="A249" s="24" t="str">
        <x:v>PR-I-50마3675</x:v>
      </x:c>
      <x:c r="B249" s="24" t="str">
        <x:v>프라임구독</x:v>
      </x:c>
      <x:c r="C249" s="24" t="str">
        <x:v>50마3675</x:v>
      </x:c>
      <x:c r="D249" s="24" t="str">
        <x:v>AXA</x:v>
      </x:c>
      <x:c r="E249" s="24" t="str"/>
      <x:c r="F249" s="30"/>
      <x:c r="G249" s="30" t="n">
        <x:v>45636</x:v>
      </x:c>
      <x:c r="H249" s="24" t="str"/>
      <x:c r="I249" s="24" t="str"/>
      <x:c r="J249" s="24" t="str">
        <x:f>IF(I249="","계약연령 미입력",IFERROR(IF(H249="","보험연령 미입력",IF(VALUE(H249)=VALUE(I249),"정상",IF(VALUE(H249)&gt;VALUE(I249),"보장 불일치","과보장 점검"))),"계약연령 형식확인"))</x:f>
        <x:v>계약연령 미입력</x:v>
      </x:c>
      <x:c r="K249" s="24" t="str">
        <x:v>만기 자료 갱신 필요</x:v>
      </x:c>
      <x:c r="L249" s="24" t="str"/>
      <x:c r="M249" s="24" t="str"/>
      <x:c r="N249" s="24" t="str"/>
      <x:c r="O249" s="24" t="str">
        <x:v>확인필요</x:v>
      </x:c>
      <x:c r="P249" s="24" t="str">
        <x:v>2024.12.10 만기인수</x:v>
      </x:c>
    </x:row>
    <x:row r="250" ht="17.25" customHeight="1">
      <x:c r="A250" s="24" t="str">
        <x:v>PR-I-51누9585</x:v>
      </x:c>
      <x:c r="B250" s="24" t="str">
        <x:v>프라임구독</x:v>
      </x:c>
      <x:c r="C250" s="24" t="str">
        <x:v>51누9585</x:v>
      </x:c>
      <x:c r="D250" s="24" t="str">
        <x:v>중도인수</x:v>
      </x:c>
      <x:c r="E250" s="24" t="str"/>
      <x:c r="F250" s="30"/>
      <x:c r="G250" s="30" t="n">
        <x:v>45620</x:v>
      </x:c>
      <x:c r="H250" s="24" t="str"/>
      <x:c r="I250" s="24" t="str"/>
      <x:c r="J250" s="24" t="str">
        <x:f>IF(I250="","계약연령 미입력",IFERROR(IF(H250="","보험연령 미입력",IF(VALUE(H250)=VALUE(I250),"정상",IF(VALUE(H250)&gt;VALUE(I250),"보장 불일치","과보장 점검"))),"계약연령 형식확인"))</x:f>
        <x:v>계약연령 미입력</x:v>
      </x:c>
      <x:c r="K250" s="24" t="str">
        <x:v>만기 자료 갱신 필요</x:v>
      </x:c>
      <x:c r="L250" s="24" t="str"/>
      <x:c r="M250" s="24" t="str"/>
      <x:c r="N250" s="24" t="str"/>
      <x:c r="O250" s="24" t="str">
        <x:v>확인필요</x:v>
      </x:c>
      <x:c r="P250" s="24" t="str">
        <x:v>24.11.04 중도인수</x:v>
      </x:c>
    </x:row>
    <x:row r="251" ht="17.25" customHeight="1">
      <x:c r="A251" s="24" t="str">
        <x:v>PR-I-51주4315</x:v>
      </x:c>
      <x:c r="B251" s="24" t="str">
        <x:v>프라임구독</x:v>
      </x:c>
      <x:c r="C251" s="24" t="str">
        <x:v>51주4315</x:v>
      </x:c>
      <x:c r="D251" s="24" t="str"/>
      <x:c r="E251" s="24" t="str"/>
      <x:c r="F251" s="30"/>
      <x:c r="G251" s="30" t="n">
        <x:v>46127</x:v>
      </x:c>
      <x:c r="H251" s="24" t="str"/>
      <x:c r="I251" s="24" t="str"/>
      <x:c r="J251" s="24" t="str">
        <x:f>IF(I251="","계약연령 미입력",IFERROR(IF(H251="","보험연령 미입력",IF(VALUE(H251)=VALUE(I251),"정상",IF(VALUE(H251)&gt;VALUE(I251),"보장 불일치","과보장 점검"))),"계약연령 형식확인"))</x:f>
        <x:v>계약연령 미입력</x:v>
      </x:c>
      <x:c r="K251" s="24" t="str">
        <x:v>만기 자료 갱신 필요</x:v>
      </x:c>
      <x:c r="L251" s="24" t="str"/>
      <x:c r="M251" s="24" t="str"/>
      <x:c r="N251" s="24" t="str"/>
      <x:c r="O251" s="24" t="str">
        <x:v>확인필요</x:v>
      </x:c>
      <x:c r="P251" s="24" t="str"/>
    </x:row>
    <x:row r="252" ht="17.25" customHeight="1">
      <x:c r="A252" s="24" t="str">
        <x:v>PR-I-52우0228</x:v>
      </x:c>
      <x:c r="B252" s="24" t="str">
        <x:v>프라임구독</x:v>
      </x:c>
      <x:c r="C252" s="24" t="str">
        <x:v>52우0228</x:v>
      </x:c>
      <x:c r="D252" s="24" t="str"/>
      <x:c r="E252" s="24" t="str"/>
      <x:c r="F252" s="30"/>
      <x:c r="G252" s="30" t="n">
        <x:v>45842</x:v>
      </x:c>
      <x:c r="H252" s="24" t="str"/>
      <x:c r="I252" s="24" t="str"/>
      <x:c r="J252" s="24" t="str">
        <x:f>IF(I252="","계약연령 미입력",IFERROR(IF(H252="","보험연령 미입력",IF(VALUE(H252)=VALUE(I252),"정상",IF(VALUE(H252)&gt;VALUE(I252),"보장 불일치","과보장 점검"))),"계약연령 형식확인"))</x:f>
        <x:v>계약연령 미입력</x:v>
      </x:c>
      <x:c r="K252" s="24" t="str">
        <x:v>만기 자료 갱신 필요</x:v>
      </x:c>
      <x:c r="L252" s="24" t="str">
        <x:v>서기열</x:v>
      </x:c>
      <x:c r="M252" s="24" t="str"/>
      <x:c r="N252" s="24" t="str"/>
      <x:c r="O252" s="24" t="str">
        <x:v>확인필요</x:v>
      </x:c>
      <x:c r="P252" s="24" t="str"/>
    </x:row>
    <x:row r="253" ht="17.25" customHeight="1">
      <x:c r="A253" s="24" t="str">
        <x:v>PR-I-54라8654</x:v>
      </x:c>
      <x:c r="B253" s="24" t="str">
        <x:v>프라임구독</x:v>
      </x:c>
      <x:c r="C253" s="24" t="str">
        <x:v>54라8654</x:v>
      </x:c>
      <x:c r="D253" s="24" t="str"/>
      <x:c r="E253" s="24" t="str"/>
      <x:c r="F253" s="30"/>
      <x:c r="G253" s="30" t="n">
        <x:v>46105</x:v>
      </x:c>
      <x:c r="H253" s="24" t="str"/>
      <x:c r="I253" s="24" t="str"/>
      <x:c r="J253" s="24" t="str">
        <x:f>IF(I253="","계약연령 미입력",IFERROR(IF(H253="","보험연령 미입력",IF(VALUE(H253)=VALUE(I253),"정상",IF(VALUE(H253)&gt;VALUE(I253),"보장 불일치","과보장 점검"))),"계약연령 형식확인"))</x:f>
        <x:v>계약연령 미입력</x:v>
      </x:c>
      <x:c r="K253" s="24" t="str">
        <x:v>만기 자료 갱신 필요</x:v>
      </x:c>
      <x:c r="L253" s="24" t="str"/>
      <x:c r="M253" s="24" t="str"/>
      <x:c r="N253" s="24" t="str"/>
      <x:c r="O253" s="24" t="str">
        <x:v>확인필요</x:v>
      </x:c>
      <x:c r="P253" s="24" t="str">
        <x:v>25.03.24~26.03.24 악사로 가입함. 고객이 1회130만원 // 2회  1,289,750원 이체해줄거임 -&gt; 25.03.24 1회분 입금완료 =&gt; 25.04.23 전부 입금완료</x:v>
      </x:c>
    </x:row>
    <x:row r="254" ht="17.25" customHeight="1">
      <x:c r="A254" s="24" t="str">
        <x:v>PR-I-55두2701</x:v>
      </x:c>
      <x:c r="B254" s="24" t="str">
        <x:v>프라임구독</x:v>
      </x:c>
      <x:c r="C254" s="24" t="str">
        <x:v>55두2701</x:v>
      </x:c>
      <x:c r="D254" s="24" t="str"/>
      <x:c r="E254" s="24" t="str"/>
      <x:c r="F254" s="30"/>
      <x:c r="G254" s="30" t="n">
        <x:v>45721</x:v>
      </x:c>
      <x:c r="H254" s="24" t="str"/>
      <x:c r="I254" s="24" t="str"/>
      <x:c r="J254" s="24" t="str">
        <x:f>IF(I254="","계약연령 미입력",IFERROR(IF(H254="","보험연령 미입력",IF(VALUE(H254)=VALUE(I254),"정상",IF(VALUE(H254)&gt;VALUE(I254),"보장 불일치","과보장 점검"))),"계약연령 형식확인"))</x:f>
        <x:v>계약연령 미입력</x:v>
      </x:c>
      <x:c r="K254" s="24" t="str">
        <x:v>만기 자료 갱신 필요</x:v>
      </x:c>
      <x:c r="L254" s="24" t="str"/>
      <x:c r="M254" s="24" t="str"/>
      <x:c r="N254" s="24" t="str"/>
      <x:c r="O254" s="24" t="str">
        <x:v>확인필요</x:v>
      </x:c>
      <x:c r="P254" s="24" t="str">
        <x:v>사고다발자 / 악사 가입 필요</x:v>
      </x:c>
    </x:row>
    <x:row r="255" ht="17.25" customHeight="1">
      <x:c r="A255" s="24" t="str">
        <x:v>PR-I-56마2851</x:v>
      </x:c>
      <x:c r="B255" s="24" t="str">
        <x:v>프라임구독</x:v>
      </x:c>
      <x:c r="C255" s="24" t="str">
        <x:v>56마2851</x:v>
      </x:c>
      <x:c r="D255" s="24" t="str">
        <x:v>DB</x:v>
      </x:c>
      <x:c r="E255" s="24" t="str"/>
      <x:c r="F255" s="30"/>
      <x:c r="G255" s="30" t="n">
        <x:v>45716</x:v>
      </x:c>
      <x:c r="H255" s="24" t="str"/>
      <x:c r="I255" s="24" t="str"/>
      <x:c r="J255" s="24" t="str">
        <x:f>IF(I255="","계약연령 미입력",IFERROR(IF(H255="","보험연령 미입력",IF(VALUE(H255)=VALUE(I255),"정상",IF(VALUE(H255)&gt;VALUE(I255),"보장 불일치","과보장 점검"))),"계약연령 형식확인"))</x:f>
        <x:v>계약연령 미입력</x:v>
      </x:c>
      <x:c r="K255" s="24" t="str">
        <x:v>만기 자료 갱신 필요</x:v>
      </x:c>
      <x:c r="L255" s="24" t="str">
        <x:v>윤성민</x:v>
      </x:c>
      <x:c r="M255" s="24" t="str"/>
      <x:c r="N255" s="24" t="str"/>
      <x:c r="O255" s="24" t="str">
        <x:v>확인필요</x:v>
      </x:c>
      <x:c r="P255" s="24" t="str">
        <x:v>DB 직접갱신완료</x:v>
      </x:c>
    </x:row>
    <x:row r="256" ht="17.25" customHeight="1">
      <x:c r="A256" s="24" t="str">
        <x:v>PR-I-56보8997</x:v>
      </x:c>
      <x:c r="B256" s="24" t="str">
        <x:v>프라임구독</x:v>
      </x:c>
      <x:c r="C256" s="24" t="str">
        <x:v>56보8997</x:v>
      </x:c>
      <x:c r="D256" s="24" t="str">
        <x:v>DB</x:v>
      </x:c>
      <x:c r="E256" s="24" t="str"/>
      <x:c r="F256" s="30"/>
      <x:c r="G256" s="30" t="n">
        <x:v>45717</x:v>
      </x:c>
      <x:c r="H256" s="24" t="str"/>
      <x:c r="I256" s="24" t="str"/>
      <x:c r="J256" s="24" t="str">
        <x:f>IF(I256="","계약연령 미입력",IFERROR(IF(H256="","보험연령 미입력",IF(VALUE(H256)=VALUE(I256),"정상",IF(VALUE(H256)&gt;VALUE(I256),"보장 불일치","과보장 점검"))),"계약연령 형식확인"))</x:f>
        <x:v>계약연령 미입력</x:v>
      </x:c>
      <x:c r="K256" s="24" t="str">
        <x:v>만기 자료 갱신 필요</x:v>
      </x:c>
      <x:c r="L256" s="24" t="str"/>
      <x:c r="M256" s="24" t="str"/>
      <x:c r="N256" s="24" t="str"/>
      <x:c r="O256" s="24" t="str">
        <x:v>확인필요</x:v>
      </x:c>
      <x:c r="P256" s="24" t="str">
        <x:v>DB 갱신완료 -&gt; 569,050 받아야함 -&gt; 12/18 569,050 받았다. 카드결제</x:v>
      </x:c>
    </x:row>
    <x:row r="257" ht="17.25" customHeight="1">
      <x:c r="A257" s="24" t="str">
        <x:v>PR-I-57두7690</x:v>
      </x:c>
      <x:c r="B257" s="24" t="str">
        <x:v>프라임구독</x:v>
      </x:c>
      <x:c r="C257" s="24" t="str">
        <x:v>57두7690</x:v>
      </x:c>
      <x:c r="D257" s="24" t="str">
        <x:v>DB</x:v>
      </x:c>
      <x:c r="E257" s="24" t="str"/>
      <x:c r="F257" s="30"/>
      <x:c r="G257" s="30" t="n">
        <x:v>46013</x:v>
      </x:c>
      <x:c r="H257" s="24" t="str"/>
      <x:c r="I257" s="24" t="str"/>
      <x:c r="J257" s="24" t="str">
        <x:f>IF(I257="","계약연령 미입력",IFERROR(IF(H257="","보험연령 미입력",IF(VALUE(H257)=VALUE(I257),"정상",IF(VALUE(H257)&gt;VALUE(I257),"보장 불일치","과보장 점검"))),"계약연령 형식확인"))</x:f>
        <x:v>계약연령 미입력</x:v>
      </x:c>
      <x:c r="K257" s="24" t="str">
        <x:v>만기 자료 갱신 필요</x:v>
      </x:c>
      <x:c r="L257" s="24" t="str"/>
      <x:c r="M257" s="24" t="str"/>
      <x:c r="N257" s="24" t="str"/>
      <x:c r="O257" s="24" t="str">
        <x:v>확인필요</x:v>
      </x:c>
      <x:c r="P257" s="24" t="str">
        <x:v>DB 가입완료</x:v>
      </x:c>
    </x:row>
    <x:row r="258" ht="17.25" customHeight="1">
      <x:c r="A258" s="24" t="str">
        <x:v>PR-I-59보0161</x:v>
      </x:c>
      <x:c r="B258" s="24" t="str">
        <x:v>프라임구독</x:v>
      </x:c>
      <x:c r="C258" s="24" t="str">
        <x:v>59보0161</x:v>
      </x:c>
      <x:c r="D258" s="24" t="str">
        <x:v>DB</x:v>
      </x:c>
      <x:c r="E258" s="24" t="str"/>
      <x:c r="F258" s="30"/>
      <x:c r="G258" s="30" t="n">
        <x:v>46042</x:v>
      </x:c>
      <x:c r="H258" s="24" t="str"/>
      <x:c r="I258" s="24" t="str"/>
      <x:c r="J258" s="24" t="str">
        <x:f>IF(I258="","계약연령 미입력",IFERROR(IF(H258="","보험연령 미입력",IF(VALUE(H258)=VALUE(I258),"정상",IF(VALUE(H258)&gt;VALUE(I258),"보장 불일치","과보장 점검"))),"계약연령 형식확인"))</x:f>
        <x:v>계약연령 미입력</x:v>
      </x:c>
      <x:c r="K258" s="24" t="str">
        <x:v>만기 자료 갱신 필요</x:v>
      </x:c>
      <x:c r="L258" s="24" t="str"/>
      <x:c r="M258" s="24" t="str"/>
      <x:c r="N258" s="24" t="str"/>
      <x:c r="O258" s="24" t="str">
        <x:v>확인필요</x:v>
      </x:c>
      <x:c r="P258" s="24" t="str">
        <x:v>DB 가입완료</x:v>
      </x:c>
    </x:row>
    <x:row r="259" ht="17.25" customHeight="1">
      <x:c r="A259" s="24" t="str">
        <x:v>PR-I-59보0907</x:v>
      </x:c>
      <x:c r="B259" s="24" t="str">
        <x:v>프라임구독</x:v>
      </x:c>
      <x:c r="C259" s="24" t="str">
        <x:v>59보0907</x:v>
      </x:c>
      <x:c r="D259" s="24" t="str">
        <x:v>DB</x:v>
      </x:c>
      <x:c r="E259" s="24" t="str"/>
      <x:c r="F259" s="30"/>
      <x:c r="G259" s="30" t="n">
        <x:v>45694</x:v>
      </x:c>
      <x:c r="H259" s="24" t="str"/>
      <x:c r="I259" s="24" t="str"/>
      <x:c r="J259" s="24" t="str">
        <x:f>IF(I259="","계약연령 미입력",IFERROR(IF(H259="","보험연령 미입력",IF(VALUE(H259)=VALUE(I259),"정상",IF(VALUE(H259)&gt;VALUE(I259),"보장 불일치","과보장 점검"))),"계약연령 형식확인"))</x:f>
        <x:v>계약연령 미입력</x:v>
      </x:c>
      <x:c r="K259" s="24" t="str">
        <x:v>만기 자료 갱신 필요</x:v>
      </x:c>
      <x:c r="L259" s="24" t="str"/>
      <x:c r="M259" s="24" t="str"/>
      <x:c r="N259" s="24" t="str"/>
      <x:c r="O259" s="24" t="str">
        <x:v>확인필요</x:v>
      </x:c>
      <x:c r="P259" s="24" t="str">
        <x:v>2025.01.08 중도인수</x:v>
      </x:c>
    </x:row>
    <x:row r="260" ht="17.25" customHeight="1">
      <x:c r="A260" s="24" t="str">
        <x:v>PR-I-60조0437</x:v>
      </x:c>
      <x:c r="B260" s="24" t="str">
        <x:v>프라임구독</x:v>
      </x:c>
      <x:c r="C260" s="24" t="str">
        <x:v>60조0437</x:v>
      </x:c>
      <x:c r="D260" s="24" t="str"/>
      <x:c r="E260" s="24" t="str"/>
      <x:c r="F260" s="30"/>
      <x:c r="G260" s="30" t="n">
        <x:v>46130</x:v>
      </x:c>
      <x:c r="H260" s="24" t="str"/>
      <x:c r="I260" s="24" t="str"/>
      <x:c r="J260" s="24" t="str">
        <x:f>IF(I260="","계약연령 미입력",IFERROR(IF(H260="","보험연령 미입력",IF(VALUE(H260)=VALUE(I260),"정상",IF(VALUE(H260)&gt;VALUE(I260),"보장 불일치","과보장 점검"))),"계약연령 형식확인"))</x:f>
        <x:v>계약연령 미입력</x:v>
      </x:c>
      <x:c r="K260" s="24" t="str">
        <x:v>만기 자료 갱신 필요</x:v>
      </x:c>
      <x:c r="L260" s="24" t="str">
        <x:v>우창식</x:v>
      </x:c>
      <x:c r="M260" s="24" t="str"/>
      <x:c r="N260" s="24" t="str"/>
      <x:c r="O260" s="24" t="str">
        <x:v>확인필요</x:v>
      </x:c>
      <x:c r="P260" s="24" t="str"/>
    </x:row>
    <x:row r="261" ht="17.25" customHeight="1">
      <x:c r="A261" s="24" t="str">
        <x:v>PR-I-61너5024</x:v>
      </x:c>
      <x:c r="B261" s="24" t="str">
        <x:v>프라임구독</x:v>
      </x:c>
      <x:c r="C261" s="24" t="str">
        <x:v>61너5024</x:v>
      </x:c>
      <x:c r="D261" s="24" t="str"/>
      <x:c r="E261" s="24" t="str"/>
      <x:c r="F261" s="30"/>
      <x:c r="G261" s="30" t="n">
        <x:v>46202</x:v>
      </x:c>
      <x:c r="H261" s="24" t="str"/>
      <x:c r="I261" s="24" t="str"/>
      <x:c r="J261" s="24" t="str">
        <x:f>IF(I261="","계약연령 미입력",IFERROR(IF(H261="","보험연령 미입력",IF(VALUE(H261)=VALUE(I261),"정상",IF(VALUE(H261)&gt;VALUE(I261),"보장 불일치","과보장 점검"))),"계약연령 형식확인"))</x:f>
        <x:v>계약연령 미입력</x:v>
      </x:c>
      <x:c r="K261" s="24" t="str">
        <x:v>만기 자료 갱신 필요</x:v>
      </x:c>
      <x:c r="L261" s="24" t="str">
        <x:v>안미숙</x:v>
      </x:c>
      <x:c r="M261" s="24" t="str"/>
      <x:c r="N261" s="24" t="str"/>
      <x:c r="O261" s="24" t="str">
        <x:v>확인필요</x:v>
      </x:c>
      <x:c r="P261" s="24" t="str"/>
    </x:row>
    <x:row r="262" ht="17.25" customHeight="1">
      <x:c r="A262" s="24" t="str">
        <x:v>PR-I-61루2328</x:v>
      </x:c>
      <x:c r="B262" s="24" t="str">
        <x:v>프라임구독</x:v>
      </x:c>
      <x:c r="C262" s="24" t="str">
        <x:v>61루2328</x:v>
      </x:c>
      <x:c r="D262" s="24" t="str"/>
      <x:c r="E262" s="24" t="str"/>
      <x:c r="F262" s="30"/>
      <x:c r="G262" s="30" t="n">
        <x:v>46208</x:v>
      </x:c>
      <x:c r="H262" s="24" t="str"/>
      <x:c r="I262" s="24" t="str"/>
      <x:c r="J262" s="24" t="str">
        <x:f>IF(I262="","계약연령 미입력",IFERROR(IF(H262="","보험연령 미입력",IF(VALUE(H262)=VALUE(I262),"정상",IF(VALUE(H262)&gt;VALUE(I262),"보장 불일치","과보장 점검"))),"계약연령 형식확인"))</x:f>
        <x:v>계약연령 미입력</x:v>
      </x:c>
      <x:c r="K262" s="24" t="str">
        <x:v>만기 자료 갱신 필요</x:v>
      </x:c>
      <x:c r="L262" s="24" t="str">
        <x:v>권오중</x:v>
      </x:c>
      <x:c r="M262" s="24" t="str"/>
      <x:c r="N262" s="24" t="str"/>
      <x:c r="O262" s="24" t="str">
        <x:v>확인필요</x:v>
      </x:c>
      <x:c r="P262" s="24" t="str"/>
    </x:row>
    <x:row r="263" ht="17.25" customHeight="1">
      <x:c r="A263" s="24" t="str">
        <x:v>PR-I-61마9264</x:v>
      </x:c>
      <x:c r="B263" s="24" t="str">
        <x:v>프라임구독</x:v>
      </x:c>
      <x:c r="C263" s="24" t="str">
        <x:v>61마9264</x:v>
      </x:c>
      <x:c r="D263" s="24" t="str"/>
      <x:c r="E263" s="24" t="str"/>
      <x:c r="F263" s="30"/>
      <x:c r="G263" s="30" t="n">
        <x:v>45704</x:v>
      </x:c>
      <x:c r="H263" s="24" t="str"/>
      <x:c r="I263" s="24" t="str"/>
      <x:c r="J263" s="24" t="str">
        <x:f>IF(I263="","계약연령 미입력",IFERROR(IF(H263="","보험연령 미입력",IF(VALUE(H263)=VALUE(I263),"정상",IF(VALUE(H263)&gt;VALUE(I263),"보장 불일치","과보장 점검"))),"계약연령 형식확인"))</x:f>
        <x:v>계약연령 미입력</x:v>
      </x:c>
      <x:c r="K263" s="24" t="str">
        <x:v>만기 자료 갱신 필요</x:v>
      </x:c>
      <x:c r="L263" s="24" t="str"/>
      <x:c r="M263" s="24" t="str"/>
      <x:c r="N263" s="24" t="str"/>
      <x:c r="O263" s="24" t="str">
        <x:v>확인필요</x:v>
      </x:c>
      <x:c r="P263" s="24" t="str"/>
    </x:row>
    <x:row r="264" ht="17.25" customHeight="1">
      <x:c r="A264" s="24" t="str">
        <x:v>PR-I-64너1414</x:v>
      </x:c>
      <x:c r="B264" s="24" t="str">
        <x:v>프라임구독</x:v>
      </x:c>
      <x:c r="C264" s="24" t="str">
        <x:v>64너1414</x:v>
      </x:c>
      <x:c r="D264" s="24" t="str"/>
      <x:c r="E264" s="24" t="str"/>
      <x:c r="F264" s="30"/>
      <x:c r="G264" s="30"/>
      <x:c r="H264" s="24" t="str"/>
      <x:c r="I264" s="24" t="str"/>
      <x:c r="J264" s="24" t="str">
        <x:f>IF(I264="","계약연령 미입력",IFERROR(IF(H264="","보험연령 미입력",IF(VALUE(H264)=VALUE(I264),"정상",IF(VALUE(H264)&gt;VALUE(I264),"보장 불일치","과보장 점검"))),"계약연령 형식확인"))</x:f>
        <x:v>계약연령 미입력</x:v>
      </x:c>
      <x:c r="K264" s="24" t="str">
        <x:v>보험 자료 없음</x:v>
      </x:c>
      <x:c r="L264" s="24" t="str"/>
      <x:c r="M264" s="24" t="str"/>
      <x:c r="N264" s="24" t="str"/>
      <x:c r="O264" s="24" t="str">
        <x:v>확인필요</x:v>
      </x:c>
      <x:c r="P264" s="24" t="str"/>
    </x:row>
    <x:row r="265" ht="17.25" customHeight="1">
      <x:c r="A265" s="24" t="str">
        <x:v>PR-I-64로0269</x:v>
      </x:c>
      <x:c r="B265" s="24" t="str">
        <x:v>프라임구독</x:v>
      </x:c>
      <x:c r="C265" s="24" t="str">
        <x:v>64로0269</x:v>
      </x:c>
      <x:c r="D265" s="24" t="str"/>
      <x:c r="E265" s="24" t="str"/>
      <x:c r="F265" s="30"/>
      <x:c r="G265" s="30" t="n">
        <x:v>45831</x:v>
      </x:c>
      <x:c r="H265" s="24" t="str"/>
      <x:c r="I265" s="24" t="str"/>
      <x:c r="J265" s="24" t="str">
        <x:f>IF(I265="","계약연령 미입력",IFERROR(IF(H265="","보험연령 미입력",IF(VALUE(H265)=VALUE(I265),"정상",IF(VALUE(H265)&gt;VALUE(I265),"보장 불일치","과보장 점검"))),"계약연령 형식확인"))</x:f>
        <x:v>계약연령 미입력</x:v>
      </x:c>
      <x:c r="K265" s="24" t="str">
        <x:v>만기 자료 갱신 필요</x:v>
      </x:c>
      <x:c r="L265" s="24" t="str">
        <x:v>배미주</x:v>
      </x:c>
      <x:c r="M265" s="24" t="str"/>
      <x:c r="N265" s="24" t="str"/>
      <x:c r="O265" s="24" t="str">
        <x:v>확인필요</x:v>
      </x:c>
      <x:c r="P265" s="24" t="str"/>
    </x:row>
    <x:row r="266" ht="17.25" customHeight="1">
      <x:c r="A266" s="24" t="str">
        <x:v>PR-I-65서0911</x:v>
      </x:c>
      <x:c r="B266" s="24" t="str">
        <x:v>프라임구독</x:v>
      </x:c>
      <x:c r="C266" s="24" t="str">
        <x:v>65서0911</x:v>
      </x:c>
      <x:c r="D266" s="24" t="str"/>
      <x:c r="E266" s="24" t="str"/>
      <x:c r="F266" s="30"/>
      <x:c r="G266" s="30" t="n">
        <x:v>45846</x:v>
      </x:c>
      <x:c r="H266" s="24" t="str"/>
      <x:c r="I266" s="24" t="str"/>
      <x:c r="J266" s="24" t="str">
        <x:f>IF(I266="","계약연령 미입력",IFERROR(IF(H266="","보험연령 미입력",IF(VALUE(H266)=VALUE(I266),"정상",IF(VALUE(H266)&gt;VALUE(I266),"보장 불일치","과보장 점검"))),"계약연령 형식확인"))</x:f>
        <x:v>계약연령 미입력</x:v>
      </x:c>
      <x:c r="K266" s="24" t="str">
        <x:v>만기 자료 갱신 필요</x:v>
      </x:c>
      <x:c r="L266" s="24" t="str"/>
      <x:c r="M266" s="24" t="str"/>
      <x:c r="N266" s="24" t="str"/>
      <x:c r="O266" s="24" t="str">
        <x:v>확인필요</x:v>
      </x:c>
      <x:c r="P266" s="24" t="str"/>
    </x:row>
    <x:row r="267" ht="17.25" customHeight="1">
      <x:c r="A267" s="24" t="str">
        <x:v>PR-I-66어1934</x:v>
      </x:c>
      <x:c r="B267" s="24" t="str">
        <x:v>프라임구독</x:v>
      </x:c>
      <x:c r="C267" s="24" t="str">
        <x:v>66어1934</x:v>
      </x:c>
      <x:c r="D267" s="24" t="str">
        <x:v>DB</x:v>
      </x:c>
      <x:c r="E267" s="24" t="str"/>
      <x:c r="F267" s="30"/>
      <x:c r="G267" s="30" t="n">
        <x:v>45735</x:v>
      </x:c>
      <x:c r="H267" s="24" t="str"/>
      <x:c r="I267" s="24" t="str"/>
      <x:c r="J267" s="24" t="str">
        <x:f>IF(I267="","계약연령 미입력",IFERROR(IF(H267="","보험연령 미입력",IF(VALUE(H267)=VALUE(I267),"정상",IF(VALUE(H267)&gt;VALUE(I267),"보장 불일치","과보장 점검"))),"계약연령 형식확인"))</x:f>
        <x:v>계약연령 미입력</x:v>
      </x:c>
      <x:c r="K267" s="24" t="str">
        <x:v>만기 자료 갱신 필요</x:v>
      </x:c>
      <x:c r="L267" s="24" t="str">
        <x:v>박진훈</x:v>
      </x:c>
      <x:c r="M267" s="24" t="str"/>
      <x:c r="N267" s="24" t="str"/>
      <x:c r="O267" s="24" t="str">
        <x:v>확인필요</x:v>
      </x:c>
      <x:c r="P267" s="24" t="str">
        <x:v>통화 안됨 / DB책임보험 가입완료</x:v>
      </x:c>
    </x:row>
    <x:row r="268" ht="17.25" customHeight="1">
      <x:c r="A268" s="24" t="str">
        <x:v>PR-I-66오8575</x:v>
      </x:c>
      <x:c r="B268" s="24" t="str">
        <x:v>프라임구독</x:v>
      </x:c>
      <x:c r="C268" s="24" t="str">
        <x:v>66오8575</x:v>
      </x:c>
      <x:c r="D268" s="24" t="str">
        <x:v>DB</x:v>
      </x:c>
      <x:c r="E268" s="24" t="str"/>
      <x:c r="F268" s="30"/>
      <x:c r="G268" s="30" t="n">
        <x:v>45828</x:v>
      </x:c>
      <x:c r="H268" s="24" t="str"/>
      <x:c r="I268" s="24" t="str"/>
      <x:c r="J268" s="24" t="str">
        <x:f>IF(I268="","계약연령 미입력",IFERROR(IF(H268="","보험연령 미입력",IF(VALUE(H268)=VALUE(I268),"정상",IF(VALUE(H268)&gt;VALUE(I268),"보장 불일치","과보장 점검"))),"계약연령 형식확인"))</x:f>
        <x:v>계약연령 미입력</x:v>
      </x:c>
      <x:c r="K268" s="24" t="str">
        <x:v>만기 자료 갱신 필요</x:v>
      </x:c>
      <x:c r="L268" s="24" t="str"/>
      <x:c r="M268" s="24" t="str"/>
      <x:c r="N268" s="24" t="str"/>
      <x:c r="O268" s="24" t="str">
        <x:v>확인필요</x:v>
      </x:c>
      <x:c r="P268" s="24" t="str">
        <x:v>DB 갱신완료 (2개월씩 갱신해서 상상인스에서 못챙김, 우리가 챙겨야함)</x:v>
      </x:c>
    </x:row>
    <x:row r="269" ht="17.25" customHeight="1">
      <x:c r="A269" s="24" t="str">
        <x:v>PR-I-67거4224</x:v>
      </x:c>
      <x:c r="B269" s="24" t="str">
        <x:v>프라임구독</x:v>
      </x:c>
      <x:c r="C269" s="24" t="str">
        <x:v>67거4224</x:v>
      </x:c>
      <x:c r="D269" s="24" t="str"/>
      <x:c r="E269" s="24" t="str"/>
      <x:c r="F269" s="30"/>
      <x:c r="G269" s="30" t="n">
        <x:v>45702</x:v>
      </x:c>
      <x:c r="H269" s="24" t="str"/>
      <x:c r="I269" s="24" t="str"/>
      <x:c r="J269" s="24" t="str">
        <x:f>IF(I269="","계약연령 미입력",IFERROR(IF(H269="","보험연령 미입력",IF(VALUE(H269)=VALUE(I269),"정상",IF(VALUE(H269)&gt;VALUE(I269),"보장 불일치","과보장 점검"))),"계약연령 형식확인"))</x:f>
        <x:v>계약연령 미입력</x:v>
      </x:c>
      <x:c r="K269" s="24" t="str">
        <x:v>만기 자료 갱신 필요</x:v>
      </x:c>
      <x:c r="L269" s="24" t="str"/>
      <x:c r="M269" s="24" t="str"/>
      <x:c r="N269" s="24" t="str"/>
      <x:c r="O269" s="24" t="str">
        <x:v>확인필요</x:v>
      </x:c>
      <x:c r="P269" s="24" t="str"/>
    </x:row>
    <x:row r="270" ht="17.25" customHeight="1">
      <x:c r="A270" s="24" t="str">
        <x:v>PR-I-67구7368</x:v>
      </x:c>
      <x:c r="B270" s="24" t="str">
        <x:v>프라임구독</x:v>
      </x:c>
      <x:c r="C270" s="24" t="str">
        <x:v>67구7368</x:v>
      </x:c>
      <x:c r="D270" s="24" t="str">
        <x:v>DB</x:v>
      </x:c>
      <x:c r="E270" s="24" t="str"/>
      <x:c r="F270" s="30"/>
      <x:c r="G270" s="30" t="n">
        <x:v>45841</x:v>
      </x:c>
      <x:c r="H270" s="24" t="str"/>
      <x:c r="I270" s="24" t="str"/>
      <x:c r="J270" s="24" t="str">
        <x:f>IF(I270="","계약연령 미입력",IFERROR(IF(H270="","보험연령 미입력",IF(VALUE(H270)=VALUE(I270),"정상",IF(VALUE(H270)&gt;VALUE(I270),"보장 불일치","과보장 점검"))),"계약연령 형식확인"))</x:f>
        <x:v>계약연령 미입력</x:v>
      </x:c>
      <x:c r="K270" s="24" t="str">
        <x:v>만기 자료 갱신 필요</x:v>
      </x:c>
      <x:c r="L270" s="24" t="str">
        <x:v>드림하우징</x:v>
      </x:c>
      <x:c r="M270" s="24" t="str"/>
      <x:c r="N270" s="24" t="str"/>
      <x:c r="O270" s="24" t="str">
        <x:v>확인필요</x:v>
      </x:c>
      <x:c r="P270" s="24" t="str">
        <x:v>DB 갱신완료</x:v>
      </x:c>
    </x:row>
    <x:row r="271" ht="17.25" customHeight="1">
      <x:c r="A271" s="24" t="str">
        <x:v>PR-I-67어3004</x:v>
      </x:c>
      <x:c r="B271" s="24" t="str">
        <x:v>프라임구독</x:v>
      </x:c>
      <x:c r="C271" s="24" t="str">
        <x:v>67어3004</x:v>
      </x:c>
      <x:c r="D271" s="24" t="str">
        <x:v>DB</x:v>
      </x:c>
      <x:c r="E271" s="24" t="str"/>
      <x:c r="F271" s="30"/>
      <x:c r="G271" s="30" t="n">
        <x:v>45696</x:v>
      </x:c>
      <x:c r="H271" s="24" t="str"/>
      <x:c r="I271" s="24" t="str"/>
      <x:c r="J271" s="24" t="str">
        <x:f>IF(I271="","계약연령 미입력",IFERROR(IF(H271="","보험연령 미입력",IF(VALUE(H271)=VALUE(I271),"정상",IF(VALUE(H271)&gt;VALUE(I271),"보장 불일치","과보장 점검"))),"계약연령 형식확인"))</x:f>
        <x:v>계약연령 미입력</x:v>
      </x:c>
      <x:c r="K271" s="24" t="str">
        <x:v>만기 자료 갱신 필요</x:v>
      </x:c>
      <x:c r="L271" s="24" t="str"/>
      <x:c r="M271" s="24" t="str"/>
      <x:c r="N271" s="24" t="str"/>
      <x:c r="O271" s="24" t="str">
        <x:v>확인필요</x:v>
      </x:c>
      <x:c r="P271" s="24" t="str"/>
    </x:row>
    <x:row r="272" ht="17.25" customHeight="1">
      <x:c r="A272" s="24" t="str">
        <x:v>PR-I-68수7744</x:v>
      </x:c>
      <x:c r="B272" s="24" t="str">
        <x:v>프라임구독</x:v>
      </x:c>
      <x:c r="C272" s="24" t="str">
        <x:v>68수7744</x:v>
      </x:c>
      <x:c r="D272" s="24" t="str">
        <x:v>DB</x:v>
      </x:c>
      <x:c r="E272" s="24" t="str"/>
      <x:c r="F272" s="30"/>
      <x:c r="G272" s="30" t="n">
        <x:v>45668</x:v>
      </x:c>
      <x:c r="H272" s="24" t="str"/>
      <x:c r="I272" s="24" t="str"/>
      <x:c r="J272" s="24" t="str">
        <x:f>IF(I272="","계약연령 미입력",IFERROR(IF(H272="","보험연령 미입력",IF(VALUE(H272)=VALUE(I272),"정상",IF(VALUE(H272)&gt;VALUE(I272),"보장 불일치","과보장 점검"))),"계약연령 형식확인"))</x:f>
        <x:v>계약연령 미입력</x:v>
      </x:c>
      <x:c r="K272" s="24" t="str">
        <x:v>만기 자료 갱신 필요</x:v>
      </x:c>
      <x:c r="L272" s="24" t="str"/>
      <x:c r="M272" s="24" t="str"/>
      <x:c r="N272" s="24" t="str"/>
      <x:c r="O272" s="24" t="str">
        <x:v>확인필요</x:v>
      </x:c>
      <x:c r="P272" s="24" t="str">
        <x:v>DB 책보가입완료(24.12.11) -&gt; 24.12.13 매각</x:v>
      </x:c>
    </x:row>
    <x:row r="273" ht="17.25" customHeight="1">
      <x:c r="A273" s="24" t="str">
        <x:v>PR-I-69나9074</x:v>
      </x:c>
      <x:c r="B273" s="24" t="str">
        <x:v>프라임구독</x:v>
      </x:c>
      <x:c r="C273" s="24" t="str">
        <x:v>69나9074</x:v>
      </x:c>
      <x:c r="D273" s="24" t="str">
        <x:v>중도인수</x:v>
      </x:c>
      <x:c r="E273" s="24" t="str"/>
      <x:c r="F273" s="30"/>
      <x:c r="G273" s="30" t="n">
        <x:v>45520</x:v>
      </x:c>
      <x:c r="H273" s="24" t="str"/>
      <x:c r="I273" s="24" t="str"/>
      <x:c r="J273" s="24" t="str">
        <x:f>IF(I273="","계약연령 미입력",IFERROR(IF(H273="","보험연령 미입력",IF(VALUE(H273)=VALUE(I273),"정상",IF(VALUE(H273)&gt;VALUE(I273),"보장 불일치","과보장 점검"))),"계약연령 형식확인"))</x:f>
        <x:v>계약연령 미입력</x:v>
      </x:c>
      <x:c r="K273" s="24" t="str">
        <x:v>만기 자료 갱신 필요</x:v>
      </x:c>
      <x:c r="L273" s="24" t="str"/>
      <x:c r="M273" s="24" t="str"/>
      <x:c r="N273" s="24" t="str"/>
      <x:c r="O273" s="24" t="str">
        <x:v>확인필요</x:v>
      </x:c>
      <x:c r="P273" s="24" t="str">
        <x:v>중도인수 후 오토파트너로 매각함(24.08.13)</x:v>
      </x:c>
    </x:row>
    <x:row r="274" ht="17.25" customHeight="1">
      <x:c r="A274" s="24" t="str">
        <x:v>PR-I-69모6244</x:v>
      </x:c>
      <x:c r="B274" s="24" t="str">
        <x:v>프라임구독</x:v>
      </x:c>
      <x:c r="C274" s="24" t="str">
        <x:v>69모6244</x:v>
      </x:c>
      <x:c r="D274" s="24" t="str">
        <x:v>KB</x:v>
      </x:c>
      <x:c r="E274" s="24" t="str"/>
      <x:c r="F274" s="30"/>
      <x:c r="G274" s="30" t="n">
        <x:v>45810</x:v>
      </x:c>
      <x:c r="H274" s="24" t="str"/>
      <x:c r="I274" s="24" t="str"/>
      <x:c r="J274" s="24" t="str">
        <x:f>IF(I274="","계약연령 미입력",IFERROR(IF(H274="","보험연령 미입력",IF(VALUE(H274)=VALUE(I274),"정상",IF(VALUE(H274)&gt;VALUE(I274),"보장 불일치","과보장 점검"))),"계약연령 형식확인"))</x:f>
        <x:v>계약연령 미입력</x:v>
      </x:c>
      <x:c r="K274" s="24" t="str">
        <x:v>만기 자료 갱신 필요</x:v>
      </x:c>
      <x:c r="L274" s="24" t="str"/>
      <x:c r="M274" s="24" t="str"/>
      <x:c r="N274" s="24" t="str"/>
      <x:c r="O274" s="24" t="str">
        <x:v>확인필요</x:v>
      </x:c>
      <x:c r="P274" s="24" t="str"/>
    </x:row>
    <x:row r="275" ht="17.25" customHeight="1">
      <x:c r="A275" s="24" t="str">
        <x:v>PR-I-69버0299</x:v>
      </x:c>
      <x:c r="B275" s="24" t="str">
        <x:v>프라임구독</x:v>
      </x:c>
      <x:c r="C275" s="24" t="str">
        <x:v>69버0299</x:v>
      </x:c>
      <x:c r="D275" s="24" t="str"/>
      <x:c r="E275" s="24" t="str"/>
      <x:c r="F275" s="30"/>
      <x:c r="G275" s="30" t="n">
        <x:v>46272</x:v>
      </x:c>
      <x:c r="H275" s="24" t="str"/>
      <x:c r="I275" s="24" t="str"/>
      <x:c r="J275" s="24" t="str">
        <x:f>IF(I275="","계약연령 미입력",IFERROR(IF(H275="","보험연령 미입력",IF(VALUE(H275)=VALUE(I275),"정상",IF(VALUE(H275)&gt;VALUE(I275),"보장 불일치","과보장 점검"))),"계약연령 형식확인"))</x:f>
        <x:v>계약연령 미입력</x:v>
      </x:c>
      <x:c r="K275" s="24" t="str">
        <x:v>정상</x:v>
      </x:c>
      <x:c r="L275" s="24" t="str">
        <x:v>이준영</x:v>
      </x:c>
      <x:c r="M275" s="24" t="str"/>
      <x:c r="N275" s="24" t="str"/>
      <x:c r="O275" s="24" t="str"/>
      <x:c r="P275" s="24" t="str"/>
    </x:row>
    <x:row r="276" ht="17.25" customHeight="1">
      <x:c r="A276" s="24" t="str">
        <x:v>PR-I-69오7954</x:v>
      </x:c>
      <x:c r="B276" s="24" t="str">
        <x:v>프라임구독</x:v>
      </x:c>
      <x:c r="C276" s="24" t="str">
        <x:v>69오7954</x:v>
      </x:c>
      <x:c r="D276" s="24" t="str">
        <x:v>DB</x:v>
      </x:c>
      <x:c r="E276" s="24" t="str"/>
      <x:c r="F276" s="30"/>
      <x:c r="G276" s="30" t="n">
        <x:v>45896</x:v>
      </x:c>
      <x:c r="H276" s="24" t="str"/>
      <x:c r="I276" s="24" t="str"/>
      <x:c r="J276" s="24" t="str">
        <x:f>IF(I276="","계약연령 미입력",IFERROR(IF(H276="","보험연령 미입력",IF(VALUE(H276)=VALUE(I276),"정상",IF(VALUE(H276)&gt;VALUE(I276),"보장 불일치","과보장 점검"))),"계약연령 형식확인"))</x:f>
        <x:v>계약연령 미입력</x:v>
      </x:c>
      <x:c r="K276" s="24" t="str">
        <x:v>만기 자료 갱신 필요</x:v>
      </x:c>
      <x:c r="L276" s="24" t="str"/>
      <x:c r="M276" s="24" t="str"/>
      <x:c r="N276" s="24" t="str"/>
      <x:c r="O276" s="24" t="str">
        <x:v>확인필요</x:v>
      </x:c>
      <x:c r="P276" s="24" t="str">
        <x:v>DB 갱신완료</x:v>
      </x:c>
    </x:row>
    <x:row r="277" ht="17.25" customHeight="1">
      <x:c r="A277" s="24" t="str">
        <x:v>PR-I-72러4490</x:v>
      </x:c>
      <x:c r="B277" s="24" t="str">
        <x:v>프라임구독</x:v>
      </x:c>
      <x:c r="C277" s="24" t="str">
        <x:v>72러4490</x:v>
      </x:c>
      <x:c r="D277" s="24" t="str">
        <x:v>중도인수</x:v>
      </x:c>
      <x:c r="E277" s="24" t="str"/>
      <x:c r="F277" s="30"/>
      <x:c r="G277" s="30" t="n">
        <x:v>45597</x:v>
      </x:c>
      <x:c r="H277" s="24" t="str"/>
      <x:c r="I277" s="24" t="str"/>
      <x:c r="J277" s="24" t="str">
        <x:f>IF(I277="","계약연령 미입력",IFERROR(IF(H277="","보험연령 미입력",IF(VALUE(H277)=VALUE(I277),"정상",IF(VALUE(H277)&gt;VALUE(I277),"보장 불일치","과보장 점검"))),"계약연령 형식확인"))</x:f>
        <x:v>계약연령 미입력</x:v>
      </x:c>
      <x:c r="K277" s="24" t="str">
        <x:v>만기 자료 갱신 필요</x:v>
      </x:c>
      <x:c r="L277" s="24" t="str"/>
      <x:c r="M277" s="24" t="str"/>
      <x:c r="N277" s="24" t="str"/>
      <x:c r="O277" s="24" t="str">
        <x:v>확인필요</x:v>
      </x:c>
      <x:c r="P277" s="24" t="str">
        <x:v>2024.10.15 중도인수</x:v>
      </x:c>
    </x:row>
    <x:row r="278" ht="17.25" customHeight="1">
      <x:c r="A278" s="24" t="str">
        <x:v>PR-I-76버5489</x:v>
      </x:c>
      <x:c r="B278" s="24" t="str">
        <x:v>프라임구독</x:v>
      </x:c>
      <x:c r="C278" s="24" t="str">
        <x:v>76버5489</x:v>
      </x:c>
      <x:c r="D278" s="24" t="str">
        <x:v>캐롯</x:v>
      </x:c>
      <x:c r="E278" s="24" t="str"/>
      <x:c r="F278" s="30"/>
      <x:c r="G278" s="30" t="n">
        <x:v>45885</x:v>
      </x:c>
      <x:c r="H278" s="24" t="str"/>
      <x:c r="I278" s="24" t="str"/>
      <x:c r="J278" s="24" t="str">
        <x:f>IF(I278="","계약연령 미입력",IFERROR(IF(H278="","보험연령 미입력",IF(VALUE(H278)=VALUE(I278),"정상",IF(VALUE(H278)&gt;VALUE(I278),"보장 불일치","과보장 점검"))),"계약연령 형식확인"))</x:f>
        <x:v>계약연령 미입력</x:v>
      </x:c>
      <x:c r="K278" s="24" t="str">
        <x:v>만기 자료 갱신 필요</x:v>
      </x:c>
      <x:c r="L278" s="24" t="str">
        <x:v>한샘</x:v>
      </x:c>
      <x:c r="M278" s="24" t="str"/>
      <x:c r="N278" s="24" t="str"/>
      <x:c r="O278" s="24" t="str">
        <x:v>확인필요</x:v>
      </x:c>
      <x:c r="P278" s="24" t="str">
        <x:v>캐롯에 개별적으로 가입하겠다고 함, 가입 후 가입증명서 회신받기로함(24.08.14) -&gt; 연락안되서 시동제어 및 계약해지 문자보냄(24.08.16) -&gt; 캐롯 직접 가입 완료(24.08.16)</x:v>
      </x:c>
    </x:row>
    <x:row r="279" ht="17.25" customHeight="1">
      <x:c r="A279" s="24" t="str">
        <x:v>PR-I-78고8923</x:v>
      </x:c>
      <x:c r="B279" s="24" t="str">
        <x:v>프라임구독</x:v>
      </x:c>
      <x:c r="C279" s="24" t="str">
        <x:v>78고8923</x:v>
      </x:c>
      <x:c r="D279" s="24" t="str">
        <x:v>메리츠</x:v>
      </x:c>
      <x:c r="E279" s="24" t="str"/>
      <x:c r="F279" s="30"/>
      <x:c r="G279" s="30" t="n">
        <x:v>45872</x:v>
      </x:c>
      <x:c r="H279" s="24" t="str"/>
      <x:c r="I279" s="24" t="str"/>
      <x:c r="J279" s="24" t="str">
        <x:f>IF(I279="","계약연령 미입력",IFERROR(IF(H279="","보험연령 미입력",IF(VALUE(H279)=VALUE(I279),"정상",IF(VALUE(H279)&gt;VALUE(I279),"보장 불일치","과보장 점검"))),"계약연령 형식확인"))</x:f>
        <x:v>계약연령 미입력</x:v>
      </x:c>
      <x:c r="K279" s="24" t="str">
        <x:v>만기 자료 갱신 필요</x:v>
      </x:c>
      <x:c r="L279" s="24" t="str"/>
      <x:c r="M279" s="24" t="str"/>
      <x:c r="N279" s="24" t="str"/>
      <x:c r="O279" s="24" t="str">
        <x:v>확인필요</x:v>
      </x:c>
      <x:c r="P279" s="24" t="str">
        <x:v>메리츠 가입완료</x:v>
      </x:c>
    </x:row>
    <x:row r="280" ht="17.25" customHeight="1">
      <x:c r="A280" s="24" t="str">
        <x:v>PR-I-79도2997</x:v>
      </x:c>
      <x:c r="B280" s="24" t="str">
        <x:v>프라임구독</x:v>
      </x:c>
      <x:c r="C280" s="24" t="str">
        <x:v>79도2997</x:v>
      </x:c>
      <x:c r="D280" s="24" t="str"/>
      <x:c r="E280" s="24" t="str"/>
      <x:c r="F280" s="30"/>
      <x:c r="G280" s="30" t="n">
        <x:v>45765</x:v>
      </x:c>
      <x:c r="H280" s="24" t="str"/>
      <x:c r="I280" s="24" t="str"/>
      <x:c r="J280" s="24" t="str">
        <x:f>IF(I280="","계약연령 미입력",IFERROR(IF(H280="","보험연령 미입력",IF(VALUE(H280)=VALUE(I280),"정상",IF(VALUE(H280)&gt;VALUE(I280),"보장 불일치","과보장 점검"))),"계약연령 형식확인"))</x:f>
        <x:v>계약연령 미입력</x:v>
      </x:c>
      <x:c r="K280" s="24" t="str">
        <x:v>만기 자료 갱신 필요</x:v>
      </x:c>
      <x:c r="L280" s="24" t="str"/>
      <x:c r="M280" s="24" t="str"/>
      <x:c r="N280" s="24" t="str"/>
      <x:c r="O280" s="24" t="str">
        <x:v>확인필요</x:v>
      </x:c>
      <x:c r="P280" s="24" t="str"/>
    </x:row>
    <x:row r="281" ht="17.25" customHeight="1">
      <x:c r="A281" s="24" t="str">
        <x:v>PR-I-824도7383</x:v>
      </x:c>
      <x:c r="B281" s="24" t="str">
        <x:v>프라임구독</x:v>
      </x:c>
      <x:c r="C281" s="24" t="str">
        <x:v>824도7383</x:v>
      </x:c>
      <x:c r="D281" s="24" t="str"/>
      <x:c r="E281" s="24" t="str"/>
      <x:c r="F281" s="30"/>
      <x:c r="G281" s="30" t="n">
        <x:v>46138</x:v>
      </x:c>
      <x:c r="H281" s="24" t="str"/>
      <x:c r="I281" s="24" t="str"/>
      <x:c r="J281" s="24" t="str">
        <x:f>IF(I281="","계약연령 미입력",IFERROR(IF(H281="","보험연령 미입력",IF(VALUE(H281)=VALUE(I281),"정상",IF(VALUE(H281)&gt;VALUE(I281),"보장 불일치","과보장 점검"))),"계약연령 형식확인"))</x:f>
        <x:v>계약연령 미입력</x:v>
      </x:c>
      <x:c r="K281" s="24" t="str">
        <x:v>만기 자료 갱신 필요</x:v>
      </x:c>
      <x:c r="L281" s="24" t="str"/>
      <x:c r="M281" s="24" t="str"/>
      <x:c r="N281" s="24" t="str"/>
      <x:c r="O281" s="24" t="str">
        <x:v>확인필요</x:v>
      </x:c>
      <x:c r="P281" s="24" t="str"/>
    </x:row>
    <x:row r="282" ht="17.25" customHeight="1">
      <x:c r="A282" s="24" t="str">
        <x:v>PR-I-84고8297</x:v>
      </x:c>
      <x:c r="B282" s="24" t="str">
        <x:v>프라임구독</x:v>
      </x:c>
      <x:c r="C282" s="24" t="str">
        <x:v>84고8297</x:v>
      </x:c>
      <x:c r="D282" s="24" t="str"/>
      <x:c r="E282" s="24" t="str"/>
      <x:c r="F282" s="30"/>
      <x:c r="G282" s="30" t="n">
        <x:v>46154</x:v>
      </x:c>
      <x:c r="H282" s="24" t="str"/>
      <x:c r="I282" s="24" t="str"/>
      <x:c r="J282" s="24" t="str">
        <x:f>IF(I282="","계약연령 미입력",IFERROR(IF(H282="","보험연령 미입력",IF(VALUE(H282)=VALUE(I282),"정상",IF(VALUE(H282)&gt;VALUE(I282),"보장 불일치","과보장 점검"))),"계약연령 형식확인"))</x:f>
        <x:v>계약연령 미입력</x:v>
      </x:c>
      <x:c r="K282" s="24" t="str">
        <x:v>만기 자료 갱신 필요</x:v>
      </x:c>
      <x:c r="L282" s="24" t="str"/>
      <x:c r="M282" s="24" t="str"/>
      <x:c r="N282" s="24" t="str"/>
      <x:c r="O282" s="24" t="str">
        <x:v>확인필요</x:v>
      </x:c>
      <x:c r="P282" s="24" t="str"/>
    </x:row>
    <x:row r="283" ht="17.25" customHeight="1">
      <x:c r="A283" s="24" t="str">
        <x:v>PR-I-84모5364</x:v>
      </x:c>
      <x:c r="B283" s="24" t="str">
        <x:v>프라임구독</x:v>
      </x:c>
      <x:c r="C283" s="24" t="str">
        <x:v>84모5364</x:v>
      </x:c>
      <x:c r="D283" s="24" t="str"/>
      <x:c r="E283" s="24" t="str"/>
      <x:c r="F283" s="30"/>
      <x:c r="G283" s="30"/>
      <x:c r="H283" s="24" t="str"/>
      <x:c r="I283" s="24" t="str"/>
      <x:c r="J283" s="24" t="str">
        <x:f>IF(I283="","계약연령 미입력",IFERROR(IF(H283="","보험연령 미입력",IF(VALUE(H283)=VALUE(I283),"정상",IF(VALUE(H283)&gt;VALUE(I283),"보장 불일치","과보장 점검"))),"계약연령 형식확인"))</x:f>
        <x:v>계약연령 미입력</x:v>
      </x:c>
      <x:c r="K283" s="24" t="str">
        <x:v>보험 자료 없음</x:v>
      </x:c>
      <x:c r="L283" s="24" t="str">
        <x:v>권용구</x:v>
      </x:c>
      <x:c r="M283" s="24" t="str"/>
      <x:c r="N283" s="24" t="str"/>
      <x:c r="O283" s="24" t="str">
        <x:v>확인필요</x:v>
      </x:c>
      <x:c r="P283" s="24" t="str"/>
    </x:row>
    <x:row r="284" ht="17.25" customHeight="1">
      <x:c r="A284" s="24" t="str">
        <x:v>PR-I-84모5456</x:v>
      </x:c>
      <x:c r="B284" s="24" t="str">
        <x:v>프라임구독</x:v>
      </x:c>
      <x:c r="C284" s="24" t="str">
        <x:v>84모5456</x:v>
      </x:c>
      <x:c r="D284" s="24" t="str"/>
      <x:c r="E284" s="24" t="str"/>
      <x:c r="F284" s="30"/>
      <x:c r="G284" s="30"/>
      <x:c r="H284" s="24" t="str"/>
      <x:c r="I284" s="24" t="str"/>
      <x:c r="J284" s="24" t="str">
        <x:f>IF(I284="","계약연령 미입력",IFERROR(IF(H284="","보험연령 미입력",IF(VALUE(H284)=VALUE(I284),"정상",IF(VALUE(H284)&gt;VALUE(I284),"보장 불일치","과보장 점검"))),"계약연령 형식확인"))</x:f>
        <x:v>계약연령 미입력</x:v>
      </x:c>
      <x:c r="K284" s="24" t="str">
        <x:v>보험 자료 없음</x:v>
      </x:c>
      <x:c r="L284" s="24" t="str"/>
      <x:c r="M284" s="24" t="str"/>
      <x:c r="N284" s="24" t="str"/>
      <x:c r="O284" s="24" t="str">
        <x:v>확인필요</x:v>
      </x:c>
      <x:c r="P284" s="24" t="str"/>
    </x:row>
    <x:row r="285" ht="17.25" customHeight="1">
      <x:c r="A285" s="24" t="str">
        <x:v>PR-I-86어0692</x:v>
      </x:c>
      <x:c r="B285" s="24" t="str">
        <x:v>프라임구독</x:v>
      </x:c>
      <x:c r="C285" s="24" t="str">
        <x:v>86어0692</x:v>
      </x:c>
      <x:c r="D285" s="24" t="str">
        <x:v>DB</x:v>
      </x:c>
      <x:c r="E285" s="24" t="str"/>
      <x:c r="F285" s="30"/>
      <x:c r="G285" s="30" t="n">
        <x:v>45851</x:v>
      </x:c>
      <x:c r="H285" s="24" t="str"/>
      <x:c r="I285" s="24" t="str"/>
      <x:c r="J285" s="24" t="str">
        <x:f>IF(I285="","계약연령 미입력",IFERROR(IF(H285="","보험연령 미입력",IF(VALUE(H285)=VALUE(I285),"정상",IF(VALUE(H285)&gt;VALUE(I285),"보장 불일치","과보장 점검"))),"계약연령 형식확인"))</x:f>
        <x:v>계약연령 미입력</x:v>
      </x:c>
      <x:c r="K285" s="24" t="str">
        <x:v>만기 자료 갱신 필요</x:v>
      </x:c>
      <x:c r="L285" s="24" t="str"/>
      <x:c r="M285" s="24" t="str"/>
      <x:c r="N285" s="24" t="str"/>
      <x:c r="O285" s="24" t="str">
        <x:v>확인필요</x:v>
      </x:c>
      <x:c r="P285" s="24" t="str">
        <x:v>DB 가입완료</x:v>
      </x:c>
    </x:row>
    <x:row r="286" ht="17.25" customHeight="1">
      <x:c r="A286" s="24" t="str">
        <x:v>PR-I-88오9333</x:v>
      </x:c>
      <x:c r="B286" s="24" t="str">
        <x:v>프라임구독</x:v>
      </x:c>
      <x:c r="C286" s="24" t="str">
        <x:v>88오9333</x:v>
      </x:c>
      <x:c r="D286" s="24" t="str"/>
      <x:c r="E286" s="24" t="str"/>
      <x:c r="F286" s="30"/>
      <x:c r="G286" s="30" t="n">
        <x:v>46086</x:v>
      </x:c>
      <x:c r="H286" s="24" t="str"/>
      <x:c r="I286" s="24" t="str"/>
      <x:c r="J286" s="24" t="str">
        <x:f>IF(I286="","계약연령 미입력",IFERROR(IF(H286="","보험연령 미입력",IF(VALUE(H286)=VALUE(I286),"정상",IF(VALUE(H286)&gt;VALUE(I286),"보장 불일치","과보장 점검"))),"계약연령 형식확인"))</x:f>
        <x:v>계약연령 미입력</x:v>
      </x:c>
      <x:c r="K286" s="24" t="str">
        <x:v>만기 자료 갱신 필요</x:v>
      </x:c>
      <x:c r="L286" s="24" t="str"/>
      <x:c r="M286" s="24" t="str"/>
      <x:c r="N286" s="24" t="str"/>
      <x:c r="O286" s="24" t="str">
        <x:v>확인필요</x:v>
      </x:c>
      <x:c r="P286" s="24" t="str">
        <x:v>kb 원은진 통해서 가입 완료</x:v>
      </x:c>
    </x:row>
    <x:row r="287" ht="17.25" customHeight="1">
      <x:c r="A287" s="24" t="str">
        <x:v>PR-I-89누6882</x:v>
      </x:c>
      <x:c r="B287" s="24" t="str">
        <x:v>프라임구독</x:v>
      </x:c>
      <x:c r="C287" s="24" t="str">
        <x:v>89누6882</x:v>
      </x:c>
      <x:c r="D287" s="24" t="str">
        <x:v>DB</x:v>
      </x:c>
      <x:c r="E287" s="24" t="str"/>
      <x:c r="F287" s="30"/>
      <x:c r="G287" s="30" t="n">
        <x:v>45777</x:v>
      </x:c>
      <x:c r="H287" s="24" t="str"/>
      <x:c r="I287" s="24" t="str"/>
      <x:c r="J287" s="24" t="str">
        <x:f>IF(I287="","계약연령 미입력",IFERROR(IF(H287="","보험연령 미입력",IF(VALUE(H287)=VALUE(I287),"정상",IF(VALUE(H287)&gt;VALUE(I287),"보장 불일치","과보장 점검"))),"계약연령 형식확인"))</x:f>
        <x:v>계약연령 미입력</x:v>
      </x:c>
      <x:c r="K287" s="24" t="str">
        <x:v>만기 자료 갱신 필요</x:v>
      </x:c>
      <x:c r="L287" s="24" t="str"/>
      <x:c r="M287" s="24" t="str"/>
      <x:c r="N287" s="24" t="str"/>
      <x:c r="O287" s="24" t="str">
        <x:v>확인필요</x:v>
      </x:c>
      <x:c r="P287" s="24" t="str">
        <x:v>DB 갱신완료</x:v>
      </x:c>
    </x:row>
    <x:row r="288" ht="17.25" customHeight="1">
      <x:c r="A288" s="24" t="str">
        <x:v>PR-I-89더0565</x:v>
      </x:c>
      <x:c r="B288" s="24" t="str">
        <x:v>프라임구독</x:v>
      </x:c>
      <x:c r="C288" s="24" t="str">
        <x:v>89더0565</x:v>
      </x:c>
      <x:c r="D288" s="24" t="str">
        <x:v>DB</x:v>
      </x:c>
      <x:c r="E288" s="24" t="str"/>
      <x:c r="F288" s="30"/>
      <x:c r="G288" s="30" t="n">
        <x:v>45978</x:v>
      </x:c>
      <x:c r="H288" s="24" t="str"/>
      <x:c r="I288" s="24" t="str"/>
      <x:c r="J288" s="24" t="str">
        <x:f>IF(I288="","계약연령 미입력",IFERROR(IF(H288="","보험연령 미입력",IF(VALUE(H288)=VALUE(I288),"정상",IF(VALUE(H288)&gt;VALUE(I288),"보장 불일치","과보장 점검"))),"계약연령 형식확인"))</x:f>
        <x:v>계약연령 미입력</x:v>
      </x:c>
      <x:c r="K288" s="24" t="str">
        <x:v>만기 자료 갱신 필요</x:v>
      </x:c>
      <x:c r="L288" s="24" t="str"/>
      <x:c r="M288" s="24" t="str"/>
      <x:c r="N288" s="24" t="str"/>
      <x:c r="O288" s="24" t="str">
        <x:v>확인필요</x:v>
      </x:c>
      <x:c r="P288" s="24" t="str">
        <x:v>DB 가입완료</x:v>
      </x:c>
    </x:row>
    <x:row r="289" ht="17.25" customHeight="1">
      <x:c r="A289" s="24" t="str">
        <x:v>PR-I-91구1898</x:v>
      </x:c>
      <x:c r="B289" s="24" t="str">
        <x:v>프라임구독</x:v>
      </x:c>
      <x:c r="C289" s="24" t="str">
        <x:v>91구1898</x:v>
      </x:c>
      <x:c r="D289" s="24" t="str"/>
      <x:c r="E289" s="24" t="str"/>
      <x:c r="F289" s="30"/>
      <x:c r="G289" s="30" t="n">
        <x:v>45738</x:v>
      </x:c>
      <x:c r="H289" s="24" t="str"/>
      <x:c r="I289" s="24" t="str"/>
      <x:c r="J289" s="24" t="str">
        <x:f>IF(I289="","계약연령 미입력",IFERROR(IF(H289="","보험연령 미입력",IF(VALUE(H289)=VALUE(I289),"정상",IF(VALUE(H289)&gt;VALUE(I289),"보장 불일치","과보장 점검"))),"계약연령 형식확인"))</x:f>
        <x:v>계약연령 미입력</x:v>
      </x:c>
      <x:c r="K289" s="24" t="str">
        <x:v>만기 자료 갱신 필요</x:v>
      </x:c>
      <x:c r="L289" s="24" t="str"/>
      <x:c r="M289" s="24" t="str"/>
      <x:c r="N289" s="24" t="str"/>
      <x:c r="O289" s="24" t="str">
        <x:v>확인필요</x:v>
      </x:c>
      <x:c r="P289" s="24" t="str"/>
    </x:row>
    <x:row r="290" ht="17.25" customHeight="1">
      <x:c r="A290" s="24" t="str">
        <x:v>PR-I-93너4019</x:v>
      </x:c>
      <x:c r="B290" s="24" t="str">
        <x:v>프라임구독</x:v>
      </x:c>
      <x:c r="C290" s="24" t="str">
        <x:v>93너4019</x:v>
      </x:c>
      <x:c r="D290" s="24" t="str"/>
      <x:c r="E290" s="24" t="str"/>
      <x:c r="F290" s="30"/>
      <x:c r="G290" s="30"/>
      <x:c r="H290" s="24" t="str"/>
      <x:c r="I290" s="24" t="str"/>
      <x:c r="J290" s="24" t="str">
        <x:f>IF(I290="","계약연령 미입력",IFERROR(IF(H290="","보험연령 미입력",IF(VALUE(H290)=VALUE(I290),"정상",IF(VALUE(H290)&gt;VALUE(I290),"보장 불일치","과보장 점검"))),"계약연령 형식확인"))</x:f>
        <x:v>계약연령 미입력</x:v>
      </x:c>
      <x:c r="K290" s="24" t="str">
        <x:v>보험 자료 없음</x:v>
      </x:c>
      <x:c r="L290" s="24" t="str">
        <x:v>최유미</x:v>
      </x:c>
      <x:c r="M290" s="24" t="str"/>
      <x:c r="N290" s="24" t="str"/>
      <x:c r="O290" s="24" t="str">
        <x:v>확인필요</x:v>
      </x:c>
      <x:c r="P290" s="24" t="str"/>
    </x:row>
    <x:row r="291" ht="17.25" customHeight="1">
      <x:c r="A291" s="24" t="str">
        <x:v>PR-I-93오0716</x:v>
      </x:c>
      <x:c r="B291" s="24" t="str">
        <x:v>프라임구독</x:v>
      </x:c>
      <x:c r="C291" s="24" t="str">
        <x:v>93오0716</x:v>
      </x:c>
      <x:c r="D291" s="24" t="str">
        <x:v>AXA</x:v>
      </x:c>
      <x:c r="E291" s="24" t="str"/>
      <x:c r="F291" s="30"/>
      <x:c r="G291" s="30" t="n">
        <x:v>45766</x:v>
      </x:c>
      <x:c r="H291" s="24" t="str"/>
      <x:c r="I291" s="24" t="str"/>
      <x:c r="J291" s="24" t="str">
        <x:f>IF(I291="","계약연령 미입력",IFERROR(IF(H291="","보험연령 미입력",IF(VALUE(H291)=VALUE(I291),"정상",IF(VALUE(H291)&gt;VALUE(I291),"보장 불일치","과보장 점검"))),"계약연령 형식확인"))</x:f>
        <x:v>계약연령 미입력</x:v>
      </x:c>
      <x:c r="K291" s="24" t="str">
        <x:v>만기 자료 갱신 필요</x:v>
      </x:c>
      <x:c r="L291" s="24" t="str">
        <x:v>김성룡</x:v>
      </x:c>
      <x:c r="M291" s="24" t="str"/>
      <x:c r="N291" s="24" t="str"/>
      <x:c r="O291" s="24" t="str">
        <x:v>확인필요</x:v>
      </x:c>
      <x:c r="P291" s="24" t="str">
        <x:v>AXA 갱신완료</x:v>
      </x:c>
    </x:row>
    <x:row r="292" ht="17.25" customHeight="1">
      <x:c r="A292" s="24" t="str">
        <x:v>PR-I-95서4167</x:v>
      </x:c>
      <x:c r="B292" s="24" t="str">
        <x:v>프라임구독</x:v>
      </x:c>
      <x:c r="C292" s="24" t="str">
        <x:v>95서4167</x:v>
      </x:c>
      <x:c r="D292" s="24" t="str"/>
      <x:c r="E292" s="24" t="str"/>
      <x:c r="F292" s="30"/>
      <x:c r="G292" s="30"/>
      <x:c r="H292" s="24" t="str"/>
      <x:c r="I292" s="24" t="str"/>
      <x:c r="J292" s="24" t="str">
        <x:f>IF(I292="","계약연령 미입력",IFERROR(IF(H292="","보험연령 미입력",IF(VALUE(H292)=VALUE(I292),"정상",IF(VALUE(H292)&gt;VALUE(I292),"보장 불일치","과보장 점검"))),"계약연령 형식확인"))</x:f>
        <x:v>계약연령 미입력</x:v>
      </x:c>
      <x:c r="K292" s="24" t="str">
        <x:v>보험 자료 없음</x:v>
      </x:c>
      <x:c r="L292" s="24" t="str"/>
      <x:c r="M292" s="24" t="str"/>
      <x:c r="N292" s="24" t="str"/>
      <x:c r="O292" s="24" t="str">
        <x:v>확인필요</x:v>
      </x:c>
      <x:c r="P292" s="24" t="str"/>
    </x:row>
    <x:row r="293" ht="17.25" customHeight="1">
      <x:c r="A293" s="24" t="str">
        <x:v>PR-I-96머7474</x:v>
      </x:c>
      <x:c r="B293" s="24" t="str">
        <x:v>프라임구독</x:v>
      </x:c>
      <x:c r="C293" s="24" t="str">
        <x:v>96머7474</x:v>
      </x:c>
      <x:c r="D293" s="24" t="str">
        <x:v>DB</x:v>
      </x:c>
      <x:c r="E293" s="24" t="str"/>
      <x:c r="F293" s="30"/>
      <x:c r="G293" s="30" t="n">
        <x:v>46053</x:v>
      </x:c>
      <x:c r="H293" s="24" t="str"/>
      <x:c r="I293" s="24" t="str"/>
      <x:c r="J293" s="24" t="str">
        <x:f>IF(I293="","계약연령 미입력",IFERROR(IF(H293="","보험연령 미입력",IF(VALUE(H293)=VALUE(I293),"정상",IF(VALUE(H293)&gt;VALUE(I293),"보장 불일치","과보장 점검"))),"계약연령 형식확인"))</x:f>
        <x:v>계약연령 미입력</x:v>
      </x:c>
      <x:c r="K293" s="24" t="str">
        <x:v>만기 자료 갱신 필요</x:v>
      </x:c>
      <x:c r="L293" s="24" t="str">
        <x:v>김동석</x:v>
      </x:c>
      <x:c r="M293" s="24" t="str"/>
      <x:c r="N293" s="24" t="str"/>
      <x:c r="O293" s="24" t="str">
        <x:v>확인필요</x:v>
      </x:c>
      <x:c r="P293" s="24" t="str">
        <x:v>DB 직접갱신완료</x:v>
      </x:c>
    </x:row>
    <x:row r="294" ht="17.25" customHeight="1">
      <x:c r="A294" s="24" t="str">
        <x:v>PR-I-96서1502</x:v>
      </x:c>
      <x:c r="B294" s="24" t="str">
        <x:v>프라임구독</x:v>
      </x:c>
      <x:c r="C294" s="24" t="str">
        <x:v>96서1502</x:v>
      </x:c>
      <x:c r="D294" s="24" t="str"/>
      <x:c r="E294" s="24" t="str"/>
      <x:c r="F294" s="30"/>
      <x:c r="G294" s="30" t="n">
        <x:v>45820</x:v>
      </x:c>
      <x:c r="H294" s="24" t="str"/>
      <x:c r="I294" s="24" t="str"/>
      <x:c r="J294" s="24" t="str">
        <x:f>IF(I294="","계약연령 미입력",IFERROR(IF(H294="","보험연령 미입력",IF(VALUE(H294)=VALUE(I294),"정상",IF(VALUE(H294)&gt;VALUE(I294),"보장 불일치","과보장 점검"))),"계약연령 형식확인"))</x:f>
        <x:v>계약연령 미입력</x:v>
      </x:c>
      <x:c r="K294" s="24" t="str">
        <x:v>만기 자료 갱신 필요</x:v>
      </x:c>
      <x:c r="L294" s="24" t="str"/>
      <x:c r="M294" s="24" t="str"/>
      <x:c r="N294" s="24" t="str"/>
      <x:c r="O294" s="24" t="str">
        <x:v>확인필요</x:v>
      </x:c>
      <x:c r="P294" s="24" t="str"/>
    </x:row>
  </x:sheetData>
  <x:conditionalFormatting sqref="J2:K294">
    <x:cfRule type="containsText" dxfId="7" priority="1" operator="containsText" text="불일치"/>
    <x:cfRule type="containsText" dxfId="8" priority="2" operator="containsText" text="미입력"/>
    <x:cfRule type="containsText" dxfId="9" priority="3" operator="containsText" text="갱신"/>
  </x:conditionalFormatting>
  <x:pageMargins left="0.7" right="0.7" top="0.75" bottom="0.75" header="0.3" footer="0.3"/>
  <x:tableParts count="1">
    <x:tablePart xmlns:r="http://schemas.openxmlformats.org/officeDocument/2006/relationships" r:id="R3f3e3020dd6c4e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3.130000114440918" hidden="0" customWidth="1"/>
    <x:col min="3" max="3" width="11.25" hidden="0" customWidth="1"/>
    <x:col min="4" max="4" width="21.8799991607666" hidden="0" customWidth="1"/>
    <x:col min="5" max="5" width="11.880000114440918" hidden="0" customWidth="1"/>
    <x:col min="6" max="6" width="9.380000114440918" hidden="0" customWidth="1"/>
    <x:col min="7" max="7" width="11.880000114440918" hidden="0" customWidth="1"/>
    <x:col min="8" max="8" width="11.25" hidden="0" customWidth="1"/>
    <x:col min="9" max="9" width="9.380000114440918" hidden="0" customWidth="1"/>
    <x:col min="10" max="10" width="14.380000114440918" hidden="0" customWidth="1"/>
    <x:col min="11" max="11" width="16.25" hidden="0" customWidth="1"/>
    <x:col min="12" max="12" width="11.25" hidden="0" customWidth="1"/>
    <x:col min="13" max="13" width="15" hidden="0" customWidth="1"/>
    <x:col min="14" max="14" width="17.5" hidden="0" customWidth="1"/>
    <x:col min="15" max="15" width="10" hidden="0" customWidth="1"/>
    <x:col min="16" max="16" width="10" hidden="0" customWidth="1"/>
    <x:col min="17" max="17" width="10.630000114440918" hidden="0" customWidth="1"/>
    <x:col min="18" max="18" width="10" hidden="0" customWidth="1"/>
    <x:col min="19" max="19" width="16.25" hidden="0" customWidth="1"/>
    <x:col min="20" max="20" width="11.25" hidden="0" customWidth="1"/>
    <x:col min="21" max="21" width="11.25" hidden="0" customWidth="1"/>
    <x:col min="22" max="22" width="20" hidden="0" customWidth="1"/>
  </x:cols>
  <x:sheetData>
    <x:row r="1" ht="25.5" customHeight="1">
      <x:c r="A1" s="29" t="str">
        <x:v>회수ID</x:v>
      </x:c>
      <x:c r="B1" s="29" t="str">
        <x:v>법인</x:v>
      </x:c>
      <x:c r="C1" s="29" t="str">
        <x:v>차량번호</x:v>
      </x:c>
      <x:c r="D1" s="29" t="str">
        <x:v>계약ID</x:v>
      </x:c>
      <x:c r="E1" s="29" t="str">
        <x:v>고객명</x:v>
      </x:c>
      <x:c r="F1" s="29" t="str">
        <x:v>미수건수</x:v>
      </x:c>
      <x:c r="G1" s="29" t="str">
        <x:v>미수금액</x:v>
      </x:c>
      <x:c r="H1" s="29" t="str">
        <x:v>최초미납일</x:v>
      </x:c>
      <x:c r="I1" s="29" t="str">
        <x:v>연체일수</x:v>
      </x:c>
      <x:c r="J1" s="29" t="str">
        <x:v>계약회수요건</x:v>
      </x:c>
      <x:c r="K1" s="29" t="str">
        <x:v>독촉상태</x:v>
      </x:c>
      <x:c r="L1" s="29" t="str">
        <x:v>내용증명일</x:v>
      </x:c>
      <x:c r="M1" s="29" t="str">
        <x:v>보험상태</x:v>
      </x:c>
      <x:c r="N1" s="29" t="str">
        <x:v>차량위치</x:v>
      </x:c>
      <x:c r="O1" s="29" t="str">
        <x:v>GPS</x:v>
      </x:c>
      <x:c r="P1" s="29" t="str">
        <x:v>시동제어</x:v>
      </x:c>
      <x:c r="Q1" s="29" t="str">
        <x:v>승인상태</x:v>
      </x:c>
      <x:c r="R1" s="29" t="str">
        <x:v>담당자</x:v>
      </x:c>
      <x:c r="S1" s="29" t="str">
        <x:v>다음조치</x:v>
      </x:c>
      <x:c r="T1" s="29" t="str">
        <x:v>기한</x:v>
      </x:c>
      <x:c r="U1" s="29" t="str">
        <x:v>완료일</x:v>
      </x:c>
      <x:c r="V1" s="29" t="str">
        <x:v>증빙</x:v>
      </x:c>
    </x:row>
    <x:row r="2" ht="17.25" customHeight="1">
      <x:c r="A2" s="24" t="str">
        <x:v>R-0001</x:v>
      </x:c>
      <x:c r="B2" s="24" t="str">
        <x:v>스위치플랜</x:v>
      </x:c>
      <x:c r="C2" s="24" t="str">
        <x:v>181로2705</x:v>
      </x:c>
      <x:c r="D2" s="24" t="str">
        <x:v>SW-C-181로2705-1-20241209-4</x:v>
      </x:c>
      <x:c r="E2" s="24" t="str">
        <x:v>김현우</x:v>
      </x:c>
      <x:c r="F2" s="31" t="n">
        <x:v>7</x:v>
      </x:c>
      <x:c r="G2" s="32" t="n">
        <x:v>810000</x:v>
      </x:c>
      <x:c r="H2" s="30" t="n">
        <x:v>46063</x:v>
      </x:c>
      <x:c r="I2" s="31" t="n">
        <x:v>186</x:v>
      </x:c>
      <x:c r="J2" s="24" t="str"/>
      <x:c r="K2" s="24" t="str">
        <x:v>독촉 5일 · 만기 임박</x:v>
      </x:c>
      <x:c r="L2" s="30"/>
      <x:c r="M2" s="24" t="str">
        <x:v>보험 자료 없음</x:v>
      </x:c>
      <x:c r="N2" s="24" t="str"/>
      <x:c r="O2" s="24" t="str"/>
      <x:c r="P2" s="24" t="str"/>
      <x:c r="Q2" s="24" t="str">
        <x:v>검토전</x:v>
      </x:c>
      <x:c r="R2" s="24" t="str"/>
      <x:c r="S2" s="24" t="str">
        <x:v>미수 확인</x:v>
      </x:c>
      <x:c r="T2" s="30"/>
      <x:c r="U2" s="30"/>
      <x:c r="V2" s="24" t="str"/>
    </x:row>
    <x:row r="3" ht="17.25" customHeight="1">
      <x:c r="A3" s="24" t="str">
        <x:v>R-0002</x:v>
      </x:c>
      <x:c r="B3" s="24" t="str">
        <x:v>스위치플랜</x:v>
      </x:c>
      <x:c r="C3" s="24" t="str">
        <x:v>03머0389</x:v>
      </x:c>
      <x:c r="D3" s="24" t="str">
        <x:v>SW-C-03머0389-1-20240104-5</x:v>
      </x:c>
      <x:c r="E3" s="24" t="str">
        <x:v>고욱</x:v>
      </x:c>
      <x:c r="F3" s="31" t="n">
        <x:v>5</x:v>
      </x:c>
      <x:c r="G3" s="32" t="n">
        <x:v>2060000</x:v>
      </x:c>
      <x:c r="H3" s="30" t="n">
        <x:v>45721</x:v>
      </x:c>
      <x:c r="I3" s="31" t="n">
        <x:v>528</x:v>
      </x:c>
      <x:c r="J3" s="24" t="str"/>
      <x:c r="K3" s="24" t="str">
        <x:v>회수 판단</x:v>
      </x:c>
      <x:c r="L3" s="30"/>
      <x:c r="M3" s="24" t="str">
        <x:v>보험 자료 없음</x:v>
      </x:c>
      <x:c r="N3" s="24" t="str"/>
      <x:c r="O3" s="24" t="str"/>
      <x:c r="P3" s="24" t="str"/>
      <x:c r="Q3" s="24" t="str">
        <x:v>검토전</x:v>
      </x:c>
      <x:c r="R3" s="24" t="str"/>
      <x:c r="S3" s="24" t="str">
        <x:v>회수 검토</x:v>
      </x:c>
      <x:c r="T3" s="30"/>
      <x:c r="U3" s="30"/>
      <x:c r="V3" s="24" t="str"/>
    </x:row>
    <x:row r="4" ht="17.25" customHeight="1">
      <x:c r="A4" s="24" t="str">
        <x:v>R-0003</x:v>
      </x:c>
      <x:c r="B4" s="24" t="str">
        <x:v>스위치플랜</x:v>
      </x:c>
      <x:c r="C4" s="24" t="str">
        <x:v>117머4942</x:v>
      </x:c>
      <x:c r="D4" s="24" t="str">
        <x:v>SW-C-117머4942-1-20250623-6</x:v>
      </x:c>
      <x:c r="E4" s="24" t="str">
        <x:v>김지원</x:v>
      </x:c>
      <x:c r="F4" s="31" t="n">
        <x:v>8</x:v>
      </x:c>
      <x:c r="G4" s="32" t="n">
        <x:v>990000</x:v>
      </x:c>
      <x:c r="H4" s="30" t="n">
        <x:v>45802</x:v>
      </x:c>
      <x:c r="I4" s="31" t="n">
        <x:v>447</x:v>
      </x:c>
      <x:c r="J4" s="24" t="str"/>
      <x:c r="K4" s="24" t="str"/>
      <x:c r="L4" s="30"/>
      <x:c r="M4" s="24" t="str">
        <x:v>보험 자료 없음</x:v>
      </x:c>
      <x:c r="N4" s="24" t="str"/>
      <x:c r="O4" s="24" t="str"/>
      <x:c r="P4" s="24" t="str"/>
      <x:c r="Q4" s="24" t="str">
        <x:v>검토전</x:v>
      </x:c>
      <x:c r="R4" s="24" t="str"/>
      <x:c r="S4" s="24" t="str">
        <x:v>미수 확인</x:v>
      </x:c>
      <x:c r="T4" s="30"/>
      <x:c r="U4" s="30"/>
      <x:c r="V4" s="24" t="str"/>
    </x:row>
    <x:row r="5" ht="17.25" customHeight="1">
      <x:c r="A5" s="24" t="str">
        <x:v>R-0004</x:v>
      </x:c>
      <x:c r="B5" s="24" t="str">
        <x:v>스위치플랜</x:v>
      </x:c>
      <x:c r="C5" s="24" t="str">
        <x:v>62조4444</x:v>
      </x:c>
      <x:c r="D5" s="24" t="str">
        <x:v>SW-C-62조4444-1-2510-8</x:v>
      </x:c>
      <x:c r="E5" s="24" t="str">
        <x:v>이경석</x:v>
      </x:c>
      <x:c r="F5" s="31" t="n">
        <x:v>7</x:v>
      </x:c>
      <x:c r="G5" s="32" t="n">
        <x:v>5000000</x:v>
      </x:c>
      <x:c r="H5" s="30" t="n">
        <x:v>45713</x:v>
      </x:c>
      <x:c r="I5" s="31" t="n">
        <x:v>536</x:v>
      </x:c>
      <x:c r="J5" s="24" t="str"/>
      <x:c r="K5" s="24" t="str">
        <x:v>회수 판단</x:v>
      </x:c>
      <x:c r="L5" s="30"/>
      <x:c r="M5" s="24" t="str">
        <x:v>보험 자료 없음</x:v>
      </x:c>
      <x:c r="N5" s="24" t="str"/>
      <x:c r="O5" s="24" t="str"/>
      <x:c r="P5" s="24" t="str"/>
      <x:c r="Q5" s="24" t="str">
        <x:v>검토전</x:v>
      </x:c>
      <x:c r="R5" s="24" t="str"/>
      <x:c r="S5" s="24" t="str">
        <x:v>회수 검토</x:v>
      </x:c>
      <x:c r="T5" s="30"/>
      <x:c r="U5" s="30"/>
      <x:c r="V5" s="24" t="str"/>
    </x:row>
    <x:row r="6" ht="17.25" customHeight="1">
      <x:c r="A6" s="24" t="str">
        <x:v>R-0005</x:v>
      </x:c>
      <x:c r="B6" s="24" t="str">
        <x:v>스위치플랜</x:v>
      </x:c>
      <x:c r="C6" s="24" t="str">
        <x:v>41구1614</x:v>
      </x:c>
      <x:c r="D6" s="24" t="str">
        <x:v>SW-C-41구1614-1-20250422-9</x:v>
      </x:c>
      <x:c r="E6" s="24" t="str">
        <x:v>조해인</x:v>
      </x:c>
      <x:c r="F6" s="31" t="n">
        <x:v>1</x:v>
      </x:c>
      <x:c r="G6" s="32" t="n">
        <x:v>330000</x:v>
      </x:c>
      <x:c r="H6" s="30" t="n">
        <x:v>46254</x:v>
      </x:c>
      <x:c r="I6" s="31" t="n">
        <x:v>0</x:v>
      </x:c>
      <x:c r="J6" s="24" t="str"/>
      <x:c r="K6" s="24" t="str"/>
      <x:c r="L6" s="30"/>
      <x:c r="M6" s="24" t="str">
        <x:v>보험 자료 없음</x:v>
      </x:c>
      <x:c r="N6" s="24" t="str"/>
      <x:c r="O6" s="24" t="str"/>
      <x:c r="P6" s="24" t="str"/>
      <x:c r="Q6" s="24" t="str">
        <x:v>검토전</x:v>
      </x:c>
      <x:c r="R6" s="24" t="str"/>
      <x:c r="S6" s="24" t="str">
        <x:v>미수 확인</x:v>
      </x:c>
      <x:c r="T6" s="30"/>
      <x:c r="U6" s="30"/>
      <x:c r="V6" s="24" t="str"/>
    </x:row>
    <x:row r="7" ht="17.25" customHeight="1">
      <x:c r="A7" s="24" t="str">
        <x:v>R-0006</x:v>
      </x:c>
      <x:c r="B7" s="24" t="str">
        <x:v>스위치플랜</x:v>
      </x:c>
      <x:c r="C7" s="24" t="str">
        <x:v>52수7832</x:v>
      </x:c>
      <x:c r="D7" s="24" t="str">
        <x:v>SW-C-52수7832-1-20260526-10</x:v>
      </x:c>
      <x:c r="E7" s="24" t="str">
        <x:v>손영태</x:v>
      </x:c>
      <x:c r="F7" s="31" t="n">
        <x:v>2</x:v>
      </x:c>
      <x:c r="G7" s="32" t="n">
        <x:v>1510000</x:v>
      </x:c>
      <x:c r="H7" s="30" t="n">
        <x:v>46228</x:v>
      </x:c>
      <x:c r="I7" s="31" t="n">
        <x:v>21</x:v>
      </x:c>
      <x:c r="J7" s="24" t="str"/>
      <x:c r="K7" s="24" t="str">
        <x:v>회수 판단</x:v>
      </x:c>
      <x:c r="L7" s="30"/>
      <x:c r="M7" s="24" t="str">
        <x:v>보험 자료 없음</x:v>
      </x:c>
      <x:c r="N7" s="24" t="str"/>
      <x:c r="O7" s="24" t="str"/>
      <x:c r="P7" s="24" t="str"/>
      <x:c r="Q7" s="24" t="str">
        <x:v>검토전</x:v>
      </x:c>
      <x:c r="R7" s="24" t="str"/>
      <x:c r="S7" s="24" t="str">
        <x:v>회수 검토</x:v>
      </x:c>
      <x:c r="T7" s="30"/>
      <x:c r="U7" s="30"/>
      <x:c r="V7" s="24" t="str"/>
    </x:row>
    <x:row r="8" ht="17.25" customHeight="1">
      <x:c r="A8" s="24" t="str">
        <x:v>R-0007</x:v>
      </x:c>
      <x:c r="B8" s="24" t="str">
        <x:v>스위치플랜</x:v>
      </x:c>
      <x:c r="C8" s="24" t="str">
        <x:v>07버3390</x:v>
      </x:c>
      <x:c r="D8" s="24" t="str">
        <x:v>SW-C-07버3390-1-20250729-12</x:v>
      </x:c>
      <x:c r="E8" s="24" t="str">
        <x:v>유정란</x:v>
      </x:c>
      <x:c r="F8" s="31" t="n">
        <x:v>7</x:v>
      </x:c>
      <x:c r="G8" s="32" t="n">
        <x:v>550000</x:v>
      </x:c>
      <x:c r="H8" s="30" t="n">
        <x:v>45986</x:v>
      </x:c>
      <x:c r="I8" s="31" t="n">
        <x:v>263</x:v>
      </x:c>
      <x:c r="J8" s="24" t="str"/>
      <x:c r="K8" s="24" t="str"/>
      <x:c r="L8" s="30"/>
      <x:c r="M8" s="24" t="str">
        <x:v>보험 자료 없음</x:v>
      </x:c>
      <x:c r="N8" s="24" t="str"/>
      <x:c r="O8" s="24" t="str"/>
      <x:c r="P8" s="24" t="str"/>
      <x:c r="Q8" s="24" t="str">
        <x:v>검토전</x:v>
      </x:c>
      <x:c r="R8" s="24" t="str"/>
      <x:c r="S8" s="24" t="str">
        <x:v>미수 확인</x:v>
      </x:c>
      <x:c r="T8" s="30"/>
      <x:c r="U8" s="30"/>
      <x:c r="V8" s="24" t="str"/>
    </x:row>
    <x:row r="9" ht="17.25" customHeight="1">
      <x:c r="A9" s="24" t="str">
        <x:v>R-0008</x:v>
      </x:c>
      <x:c r="B9" s="24" t="str">
        <x:v>스위치플랜</x:v>
      </x:c>
      <x:c r="C9" s="24" t="str">
        <x:v>12다2400</x:v>
      </x:c>
      <x:c r="D9" s="24" t="str">
        <x:v>SW-C-12다2400-1-20240921-13</x:v>
      </x:c>
      <x:c r="E9" s="24" t="str">
        <x:v>배준호</x:v>
      </x:c>
      <x:c r="F9" s="31" t="n">
        <x:v>2</x:v>
      </x:c>
      <x:c r="G9" s="32" t="n">
        <x:v>1800000</x:v>
      </x:c>
      <x:c r="H9" s="30" t="n">
        <x:v>46223</x:v>
      </x:c>
      <x:c r="I9" s="31" t="n">
        <x:v>26</x:v>
      </x:c>
      <x:c r="J9" s="24" t="str"/>
      <x:c r="K9" s="24" t="str">
        <x:v>회수 판단</x:v>
      </x:c>
      <x:c r="L9" s="30"/>
      <x:c r="M9" s="24" t="str">
        <x:v>보험 자료 없음</x:v>
      </x:c>
      <x:c r="N9" s="24" t="str"/>
      <x:c r="O9" s="24" t="str"/>
      <x:c r="P9" s="24" t="str"/>
      <x:c r="Q9" s="24" t="str">
        <x:v>검토전</x:v>
      </x:c>
      <x:c r="R9" s="24" t="str"/>
      <x:c r="S9" s="24" t="str">
        <x:v>회수 검토</x:v>
      </x:c>
      <x:c r="T9" s="30"/>
      <x:c r="U9" s="30"/>
      <x:c r="V9" s="24" t="str"/>
    </x:row>
    <x:row r="10" ht="17.25" customHeight="1">
      <x:c r="A10" s="24" t="str">
        <x:v>R-0009</x:v>
      </x:c>
      <x:c r="B10" s="24" t="str">
        <x:v>스위치플랜</x:v>
      </x:c>
      <x:c r="C10" s="24" t="str">
        <x:v>297거4892</x:v>
      </x:c>
      <x:c r="D10" s="24" t="str">
        <x:v>SW-C-297거4892-1-20251017-16</x:v>
      </x:c>
      <x:c r="E10" s="24" t="str">
        <x:v>김선우</x:v>
      </x:c>
      <x:c r="F10" s="31" t="n">
        <x:v>2</x:v>
      </x:c>
      <x:c r="G10" s="32" t="n">
        <x:v>1860000</x:v>
      </x:c>
      <x:c r="H10" s="30" t="n">
        <x:v>46213</x:v>
      </x:c>
      <x:c r="I10" s="31" t="n">
        <x:v>36</x:v>
      </x:c>
      <x:c r="J10" s="24" t="str"/>
      <x:c r="K10" s="24" t="str">
        <x:v>회수 판단</x:v>
      </x:c>
      <x:c r="L10" s="30"/>
      <x:c r="M10" s="24" t="str">
        <x:v>보험 자료 없음</x:v>
      </x:c>
      <x:c r="N10" s="24" t="str"/>
      <x:c r="O10" s="24" t="str"/>
      <x:c r="P10" s="24" t="str"/>
      <x:c r="Q10" s="24" t="str">
        <x:v>검토전</x:v>
      </x:c>
      <x:c r="R10" s="24" t="str"/>
      <x:c r="S10" s="24" t="str">
        <x:v>회수 검토</x:v>
      </x:c>
      <x:c r="T10" s="30"/>
      <x:c r="U10" s="30"/>
      <x:c r="V10" s="24" t="str"/>
    </x:row>
    <x:row r="11" ht="17.25" customHeight="1">
      <x:c r="A11" s="24" t="str">
        <x:v>R-0010</x:v>
      </x:c>
      <x:c r="B11" s="24" t="str">
        <x:v>스위치플랜</x:v>
      </x:c>
      <x:c r="C11" s="24" t="str">
        <x:v>263모3889</x:v>
      </x:c>
      <x:c r="D11" s="24" t="str">
        <x:v>SW-C-263모3889-1-20250422-17</x:v>
      </x:c>
      <x:c r="E11" s="24" t="str">
        <x:v>박진경</x:v>
      </x:c>
      <x:c r="F11" s="31" t="n">
        <x:v>7</x:v>
      </x:c>
      <x:c r="G11" s="32" t="n">
        <x:v>2580000</x:v>
      </x:c>
      <x:c r="H11" s="30" t="n">
        <x:v>46047</x:v>
      </x:c>
      <x:c r="I11" s="31" t="n">
        <x:v>202</x:v>
      </x:c>
      <x:c r="J11" s="24" t="str"/>
      <x:c r="K11" s="24" t="str">
        <x:v>회수 판단</x:v>
      </x:c>
      <x:c r="L11" s="30"/>
      <x:c r="M11" s="24" t="str">
        <x:v>보험 자료 없음</x:v>
      </x:c>
      <x:c r="N11" s="24" t="str"/>
      <x:c r="O11" s="24" t="str"/>
      <x:c r="P11" s="24" t="str"/>
      <x:c r="Q11" s="24" t="str">
        <x:v>검토전</x:v>
      </x:c>
      <x:c r="R11" s="24" t="str"/>
      <x:c r="S11" s="24" t="str">
        <x:v>회수 검토</x:v>
      </x:c>
      <x:c r="T11" s="30"/>
      <x:c r="U11" s="30"/>
      <x:c r="V11" s="24" t="str"/>
    </x:row>
    <x:row r="12" ht="17.25" customHeight="1">
      <x:c r="A12" s="24" t="str">
        <x:v>R-0011</x:v>
      </x:c>
      <x:c r="B12" s="24" t="str">
        <x:v>스위치플랜</x:v>
      </x:c>
      <x:c r="C12" s="24" t="str">
        <x:v>01도9893</x:v>
      </x:c>
      <x:c r="D12" s="24" t="str">
        <x:v>SW-C-01도9893-1-20241014-18</x:v>
      </x:c>
      <x:c r="E12" s="24" t="str">
        <x:v>김효은</x:v>
      </x:c>
      <x:c r="F12" s="31" t="n">
        <x:v>1</x:v>
      </x:c>
      <x:c r="G12" s="32" t="n">
        <x:v>450000</x:v>
      </x:c>
      <x:c r="H12" s="30" t="n">
        <x:v>46249</x:v>
      </x:c>
      <x:c r="I12" s="31" t="n">
        <x:v>0</x:v>
      </x:c>
      <x:c r="J12" s="24" t="str"/>
      <x:c r="K12" s="24" t="str">
        <x:v>만기 임박</x:v>
      </x:c>
      <x:c r="L12" s="30"/>
      <x:c r="M12" s="24" t="str">
        <x:v>보험 자료 없음</x:v>
      </x:c>
      <x:c r="N12" s="24" t="str"/>
      <x:c r="O12" s="24" t="str"/>
      <x:c r="P12" s="24" t="str"/>
      <x:c r="Q12" s="24" t="str">
        <x:v>검토전</x:v>
      </x:c>
      <x:c r="R12" s="24" t="str"/>
      <x:c r="S12" s="24" t="str">
        <x:v>미수 확인</x:v>
      </x:c>
      <x:c r="T12" s="30"/>
      <x:c r="U12" s="30"/>
      <x:c r="V12" s="24" t="str"/>
    </x:row>
    <x:row r="13" ht="17.25" customHeight="1">
      <x:c r="A13" s="24" t="str">
        <x:v>R-0012</x:v>
      </x:c>
      <x:c r="B13" s="24" t="str">
        <x:v>스위치플랜</x:v>
      </x:c>
      <x:c r="C13" s="24" t="str">
        <x:v>306조9919</x:v>
      </x:c>
      <x:c r="D13" s="24" t="str">
        <x:v>SW-C-306조9919-1-20260204-20</x:v>
      </x:c>
      <x:c r="E13" s="24" t="str">
        <x:v>김기영</x:v>
      </x:c>
      <x:c r="F13" s="31" t="n">
        <x:v>1</x:v>
      </x:c>
      <x:c r="G13" s="32" t="n">
        <x:v>1070000</x:v>
      </x:c>
      <x:c r="H13" s="30" t="n">
        <x:v>46239</x:v>
      </x:c>
      <x:c r="I13" s="31" t="n">
        <x:v>10</x:v>
      </x:c>
      <x:c r="J13" s="24" t="str"/>
      <x:c r="K13" s="24" t="str">
        <x:v>독촉 10일</x:v>
      </x:c>
      <x:c r="L13" s="30"/>
      <x:c r="M13" s="24" t="str">
        <x:v>보험 자료 없음</x:v>
      </x:c>
      <x:c r="N13" s="24" t="str"/>
      <x:c r="O13" s="24" t="str"/>
      <x:c r="P13" s="24" t="str"/>
      <x:c r="Q13" s="24" t="str">
        <x:v>검토전</x:v>
      </x:c>
      <x:c r="R13" s="24" t="str"/>
      <x:c r="S13" s="24" t="str">
        <x:v>미수 확인</x:v>
      </x:c>
      <x:c r="T13" s="30"/>
      <x:c r="U13" s="30"/>
      <x:c r="V13" s="24" t="str"/>
    </x:row>
    <x:row r="14" ht="17.25" customHeight="1">
      <x:c r="A14" s="24" t="str">
        <x:v>R-0013</x:v>
      </x:c>
      <x:c r="B14" s="24" t="str">
        <x:v>스위치플랜</x:v>
      </x:c>
      <x:c r="C14" s="24" t="str">
        <x:v>109로1819</x:v>
      </x:c>
      <x:c r="D14" s="24" t="str">
        <x:v>SW-C-109로1819-1-20250716-21</x:v>
      </x:c>
      <x:c r="E14" s="24" t="str">
        <x:v>박주신</x:v>
      </x:c>
      <x:c r="F14" s="31" t="n">
        <x:v>4</x:v>
      </x:c>
      <x:c r="G14" s="32" t="n">
        <x:v>1800000</x:v>
      </x:c>
      <x:c r="H14" s="30" t="n">
        <x:v>46037</x:v>
      </x:c>
      <x:c r="I14" s="31" t="n">
        <x:v>212</x:v>
      </x:c>
      <x:c r="J14" s="24" t="str"/>
      <x:c r="K14" s="24" t="str"/>
      <x:c r="L14" s="30"/>
      <x:c r="M14" s="24" t="str">
        <x:v>보험 자료 없음</x:v>
      </x:c>
      <x:c r="N14" s="24" t="str"/>
      <x:c r="O14" s="24" t="str"/>
      <x:c r="P14" s="24" t="str"/>
      <x:c r="Q14" s="24" t="str">
        <x:v>검토전</x:v>
      </x:c>
      <x:c r="R14" s="24" t="str"/>
      <x:c r="S14" s="24" t="str">
        <x:v>미수 확인</x:v>
      </x:c>
      <x:c r="T14" s="30"/>
      <x:c r="U14" s="30"/>
      <x:c r="V14" s="24" t="str"/>
    </x:row>
    <x:row r="15" ht="17.25" customHeight="1">
      <x:c r="A15" s="24" t="str">
        <x:v>R-0014</x:v>
      </x:c>
      <x:c r="B15" s="24" t="str">
        <x:v>스위치플랜</x:v>
      </x:c>
      <x:c r="C15" s="24" t="str">
        <x:v>17수4278</x:v>
      </x:c>
      <x:c r="D15" s="24" t="str">
        <x:v>SW-C-17수4278-1-20260303-22</x:v>
      </x:c>
      <x:c r="E15" s="24" t="str">
        <x:v>김은옥</x:v>
      </x:c>
      <x:c r="F15" s="31" t="n">
        <x:v>3</x:v>
      </x:c>
      <x:c r="G15" s="32" t="n">
        <x:v>630000</x:v>
      </x:c>
      <x:c r="H15" s="30" t="n">
        <x:v>46078</x:v>
      </x:c>
      <x:c r="I15" s="31" t="n">
        <x:v>171</x:v>
      </x:c>
      <x:c r="J15" s="24" t="str"/>
      <x:c r="K15" s="24" t="str"/>
      <x:c r="L15" s="30"/>
      <x:c r="M15" s="24" t="str">
        <x:v>보험 자료 없음</x:v>
      </x:c>
      <x:c r="N15" s="24" t="str"/>
      <x:c r="O15" s="24" t="str"/>
      <x:c r="P15" s="24" t="str"/>
      <x:c r="Q15" s="24" t="str">
        <x:v>검토전</x:v>
      </x:c>
      <x:c r="R15" s="24" t="str"/>
      <x:c r="S15" s="24" t="str">
        <x:v>미수 확인</x:v>
      </x:c>
      <x:c r="T15" s="30"/>
      <x:c r="U15" s="30"/>
      <x:c r="V15" s="24" t="str"/>
    </x:row>
    <x:row r="16" ht="17.25" customHeight="1">
      <x:c r="A16" s="24" t="str">
        <x:v>R-0015</x:v>
      </x:c>
      <x:c r="B16" s="24" t="str">
        <x:v>스위치플랜</x:v>
      </x:c>
      <x:c r="C16" s="24" t="str">
        <x:v>15두2255</x:v>
      </x:c>
      <x:c r="D16" s="24" t="str">
        <x:v>SW-C-15두2255-1-20260325-23</x:v>
      </x:c>
      <x:c r="E16" s="24" t="str">
        <x:v>송대성</x:v>
      </x:c>
      <x:c r="F16" s="31" t="n">
        <x:v>1</x:v>
      </x:c>
      <x:c r="G16" s="32" t="n">
        <x:v>850000</x:v>
      </x:c>
      <x:c r="H16" s="30" t="n">
        <x:v>46254</x:v>
      </x:c>
      <x:c r="I16" s="31" t="n">
        <x:v>0</x:v>
      </x:c>
      <x:c r="J16" s="24" t="str"/>
      <x:c r="K16" s="24" t="str"/>
      <x:c r="L16" s="30"/>
      <x:c r="M16" s="24" t="str">
        <x:v>보험 자료 없음</x:v>
      </x:c>
      <x:c r="N16" s="24" t="str"/>
      <x:c r="O16" s="24" t="str"/>
      <x:c r="P16" s="24" t="str"/>
      <x:c r="Q16" s="24" t="str">
        <x:v>검토전</x:v>
      </x:c>
      <x:c r="R16" s="24" t="str"/>
      <x:c r="S16" s="24" t="str">
        <x:v>미수 확인</x:v>
      </x:c>
      <x:c r="T16" s="30"/>
      <x:c r="U16" s="30"/>
      <x:c r="V16" s="24" t="str"/>
    </x:row>
    <x:row r="17" ht="17.25" customHeight="1">
      <x:c r="A17" s="24" t="str">
        <x:v>R-0016</x:v>
      </x:c>
      <x:c r="B17" s="24" t="str">
        <x:v>스위치플랜</x:v>
      </x:c>
      <x:c r="C17" s="24" t="str">
        <x:v>252거3143</x:v>
      </x:c>
      <x:c r="D17" s="24" t="str">
        <x:v>SW-C-252거3143-1-20240820-26</x:v>
      </x:c>
      <x:c r="E17" s="24" t="str">
        <x:v>김종원</x:v>
      </x:c>
      <x:c r="F17" s="31" t="n">
        <x:v>1</x:v>
      </x:c>
      <x:c r="G17" s="32" t="n">
        <x:v>320000</x:v>
      </x:c>
      <x:c r="H17" s="30" t="n">
        <x:v>46254</x:v>
      </x:c>
      <x:c r="I17" s="31" t="n">
        <x:v>0</x:v>
      </x:c>
      <x:c r="J17" s="24" t="str"/>
      <x:c r="K17" s="24" t="str"/>
      <x:c r="L17" s="30"/>
      <x:c r="M17" s="24" t="str">
        <x:v>보험 자료 없음</x:v>
      </x:c>
      <x:c r="N17" s="24" t="str"/>
      <x:c r="O17" s="24" t="str"/>
      <x:c r="P17" s="24" t="str"/>
      <x:c r="Q17" s="24" t="str">
        <x:v>검토전</x:v>
      </x:c>
      <x:c r="R17" s="24" t="str"/>
      <x:c r="S17" s="24" t="str">
        <x:v>미수 확인</x:v>
      </x:c>
      <x:c r="T17" s="30"/>
      <x:c r="U17" s="30"/>
      <x:c r="V17" s="24" t="str"/>
    </x:row>
    <x:row r="18" ht="17.25" customHeight="1">
      <x:c r="A18" s="24" t="str">
        <x:v>R-0017</x:v>
      </x:c>
      <x:c r="B18" s="24" t="str">
        <x:v>스위치플랜</x:v>
      </x:c>
      <x:c r="C18" s="24" t="str">
        <x:v>57나3382</x:v>
      </x:c>
      <x:c r="D18" s="24" t="str">
        <x:v>SW-C-57나3382-1-20260520-27</x:v>
      </x:c>
      <x:c r="E18" s="24" t="str">
        <x:v>김대훈</x:v>
      </x:c>
      <x:c r="F18" s="31" t="n">
        <x:v>7</x:v>
      </x:c>
      <x:c r="G18" s="32" t="n">
        <x:v>350000</x:v>
      </x:c>
      <x:c r="H18" s="30" t="n">
        <x:v>45950</x:v>
      </x:c>
      <x:c r="I18" s="31" t="n">
        <x:v>299</x:v>
      </x:c>
      <x:c r="J18" s="24" t="str"/>
      <x:c r="K18" s="24" t="str"/>
      <x:c r="L18" s="30"/>
      <x:c r="M18" s="24" t="str">
        <x:v>보험 자료 없음</x:v>
      </x:c>
      <x:c r="N18" s="24" t="str"/>
      <x:c r="O18" s="24" t="str"/>
      <x:c r="P18" s="24" t="str"/>
      <x:c r="Q18" s="24" t="str">
        <x:v>검토전</x:v>
      </x:c>
      <x:c r="R18" s="24" t="str"/>
      <x:c r="S18" s="24" t="str">
        <x:v>미수 확인</x:v>
      </x:c>
      <x:c r="T18" s="30"/>
      <x:c r="U18" s="30"/>
      <x:c r="V18" s="24" t="str"/>
    </x:row>
    <x:row r="19" ht="17.25" customHeight="1">
      <x:c r="A19" s="24" t="str">
        <x:v>R-0018</x:v>
      </x:c>
      <x:c r="B19" s="24" t="str">
        <x:v>스위치플랜</x:v>
      </x:c>
      <x:c r="C19" s="24" t="str">
        <x:v>81너0984</x:v>
      </x:c>
      <x:c r="D19" s="24" t="str">
        <x:v>SW-C-81너0984-1-20240118-28</x:v>
      </x:c>
      <x:c r="E19" s="24" t="str">
        <x:v>양인석</x:v>
      </x:c>
      <x:c r="F19" s="31" t="n">
        <x:v>2</x:v>
      </x:c>
      <x:c r="G19" s="32" t="n">
        <x:v>720000</x:v>
      </x:c>
      <x:c r="H19" s="30" t="n">
        <x:v>46223</x:v>
      </x:c>
      <x:c r="I19" s="31" t="n">
        <x:v>26</x:v>
      </x:c>
      <x:c r="J19" s="24" t="str"/>
      <x:c r="K19" s="24" t="str"/>
      <x:c r="L19" s="30"/>
      <x:c r="M19" s="24" t="str">
        <x:v>보험 자료 없음</x:v>
      </x:c>
      <x:c r="N19" s="24" t="str"/>
      <x:c r="O19" s="24" t="str"/>
      <x:c r="P19" s="24" t="str"/>
      <x:c r="Q19" s="24" t="str">
        <x:v>검토전</x:v>
      </x:c>
      <x:c r="R19" s="24" t="str"/>
      <x:c r="S19" s="24" t="str">
        <x:v>미수 확인</x:v>
      </x:c>
      <x:c r="T19" s="30"/>
      <x:c r="U19" s="30"/>
      <x:c r="V19" s="24" t="str"/>
    </x:row>
    <x:row r="20" ht="17.25" customHeight="1">
      <x:c r="A20" s="24" t="str">
        <x:v>R-0019</x:v>
      </x:c>
      <x:c r="B20" s="24" t="str">
        <x:v>스위치플랜</x:v>
      </x:c>
      <x:c r="C20" s="24" t="str">
        <x:v>133가8292</x:v>
      </x:c>
      <x:c r="D20" s="24" t="str">
        <x:v>SW-C-133가8292-1-20240504-29</x:v>
      </x:c>
      <x:c r="E20" s="24" t="str">
        <x:v>김찬일</x:v>
      </x:c>
      <x:c r="F20" s="31" t="n">
        <x:v>0</x:v>
      </x:c>
      <x:c r="G20" s="32" t="n">
        <x:v>0</x:v>
      </x:c>
      <x:c r="H20" s="30"/>
      <x:c r="I20" s="31" t="n">
        <x:v>0</x:v>
      </x:c>
      <x:c r="J20" s="24" t="str"/>
      <x:c r="K20" s="24" t="str">
        <x:v>만기 임박</x:v>
      </x:c>
      <x:c r="L20" s="30"/>
      <x:c r="M20" s="24" t="str">
        <x:v>보험 자료 없음</x:v>
      </x:c>
      <x:c r="N20" s="24" t="str"/>
      <x:c r="O20" s="24" t="str"/>
      <x:c r="P20" s="24" t="str"/>
      <x:c r="Q20" s="24" t="str">
        <x:v>검토전</x:v>
      </x:c>
      <x:c r="R20" s="24" t="str"/>
      <x:c r="S20" s="24" t="str">
        <x:v>보험 연령 입력</x:v>
      </x:c>
      <x:c r="T20" s="30"/>
      <x:c r="U20" s="30"/>
      <x:c r="V20" s="24" t="str"/>
    </x:row>
    <x:row r="21" ht="17.25" customHeight="1">
      <x:c r="A21" s="24" t="str">
        <x:v>R-0020</x:v>
      </x:c>
      <x:c r="B21" s="24" t="str">
        <x:v>스위치플랜</x:v>
      </x:c>
      <x:c r="C21" s="24" t="str">
        <x:v>265가2481</x:v>
      </x:c>
      <x:c r="D21" s="24" t="str">
        <x:v>SW-C-265가2481-1-20240718-31</x:v>
      </x:c>
      <x:c r="E21" s="24" t="str">
        <x:v>최희영</x:v>
      </x:c>
      <x:c r="F21" s="31" t="n">
        <x:v>4</x:v>
      </x:c>
      <x:c r="G21" s="32" t="n">
        <x:v>990000</x:v>
      </x:c>
      <x:c r="H21" s="30" t="n">
        <x:v>45767</x:v>
      </x:c>
      <x:c r="I21" s="31" t="n">
        <x:v>482</x:v>
      </x:c>
      <x:c r="J21" s="24" t="str"/>
      <x:c r="K21" s="24" t="str"/>
      <x:c r="L21" s="30"/>
      <x:c r="M21" s="24" t="str">
        <x:v>보험 자료 없음</x:v>
      </x:c>
      <x:c r="N21" s="24" t="str"/>
      <x:c r="O21" s="24" t="str"/>
      <x:c r="P21" s="24" t="str"/>
      <x:c r="Q21" s="24" t="str">
        <x:v>검토전</x:v>
      </x:c>
      <x:c r="R21" s="24" t="str"/>
      <x:c r="S21" s="24" t="str">
        <x:v>미수 확인</x:v>
      </x:c>
      <x:c r="T21" s="30"/>
      <x:c r="U21" s="30"/>
      <x:c r="V21" s="24" t="str"/>
    </x:row>
    <x:row r="22" ht="17.25" customHeight="1">
      <x:c r="A22" s="24" t="str">
        <x:v>R-0021</x:v>
      </x:c>
      <x:c r="B22" s="24" t="str">
        <x:v>스위치플랜</x:v>
      </x:c>
      <x:c r="C22" s="24" t="str">
        <x:v>30어1926</x:v>
      </x:c>
      <x:c r="D22" s="24" t="str">
        <x:v>SW-C-30어1926-1-20250804-32</x:v>
      </x:c>
      <x:c r="E22" s="24" t="str">
        <x:v>광명건설</x:v>
      </x:c>
      <x:c r="F22" s="31" t="n">
        <x:v>1</x:v>
      </x:c>
      <x:c r="G22" s="32" t="n">
        <x:v>1080000</x:v>
      </x:c>
      <x:c r="H22" s="30" t="n">
        <x:v>46249</x:v>
      </x:c>
      <x:c r="I22" s="31" t="n">
        <x:v>0</x:v>
      </x:c>
      <x:c r="J22" s="24" t="str"/>
      <x:c r="K22" s="24" t="str"/>
      <x:c r="L22" s="30"/>
      <x:c r="M22" s="24" t="str">
        <x:v>보험 자료 없음</x:v>
      </x:c>
      <x:c r="N22" s="24" t="str"/>
      <x:c r="O22" s="24" t="str"/>
      <x:c r="P22" s="24" t="str"/>
      <x:c r="Q22" s="24" t="str">
        <x:v>검토전</x:v>
      </x:c>
      <x:c r="R22" s="24" t="str"/>
      <x:c r="S22" s="24" t="str">
        <x:v>미수 확인</x:v>
      </x:c>
      <x:c r="T22" s="30"/>
      <x:c r="U22" s="30"/>
      <x:c r="V22" s="24" t="str"/>
    </x:row>
    <x:row r="23" ht="17.25" customHeight="1">
      <x:c r="A23" s="24" t="str">
        <x:v>R-0022</x:v>
      </x:c>
      <x:c r="B23" s="24" t="str">
        <x:v>스위치플랜</x:v>
      </x:c>
      <x:c r="C23" s="24" t="str">
        <x:v>172수8945</x:v>
      </x:c>
      <x:c r="D23" s="24" t="str">
        <x:v>SW-C-172수8945-1-20260528-33</x:v>
      </x:c>
      <x:c r="E23" s="24" t="str">
        <x:v>박형주</x:v>
      </x:c>
      <x:c r="F23" s="31" t="n">
        <x:v>1</x:v>
      </x:c>
      <x:c r="G23" s="32" t="n">
        <x:v>680000</x:v>
      </x:c>
      <x:c r="H23" s="30" t="n">
        <x:v>46259</x:v>
      </x:c>
      <x:c r="I23" s="31" t="n">
        <x:v>0</x:v>
      </x:c>
      <x:c r="J23" s="24" t="str"/>
      <x:c r="K23" s="24" t="str"/>
      <x:c r="L23" s="30"/>
      <x:c r="M23" s="24" t="str">
        <x:v>보험 자료 없음</x:v>
      </x:c>
      <x:c r="N23" s="24" t="str"/>
      <x:c r="O23" s="24" t="str"/>
      <x:c r="P23" s="24" t="str"/>
      <x:c r="Q23" s="24" t="str">
        <x:v>검토전</x:v>
      </x:c>
      <x:c r="R23" s="24" t="str"/>
      <x:c r="S23" s="24" t="str">
        <x:v>미수 확인</x:v>
      </x:c>
      <x:c r="T23" s="30"/>
      <x:c r="U23" s="30"/>
      <x:c r="V23" s="24" t="str"/>
    </x:row>
    <x:row r="24" ht="17.25" customHeight="1">
      <x:c r="A24" s="24" t="str">
        <x:v>R-0023</x:v>
      </x:c>
      <x:c r="B24" s="24" t="str">
        <x:v>스위치플랜</x:v>
      </x:c>
      <x:c r="C24" s="24" t="str">
        <x:v>81소0566</x:v>
      </x:c>
      <x:c r="D24" s="24" t="str">
        <x:v>SW-C-81소0566-1-20240130-34</x:v>
      </x:c>
      <x:c r="E24" s="24" t="str">
        <x:v>김승겸</x:v>
      </x:c>
      <x:c r="F24" s="31" t="n">
        <x:v>10</x:v>
      </x:c>
      <x:c r="G24" s="32" t="n">
        <x:v>1160000</x:v>
      </x:c>
      <x:c r="H24" s="30"/>
      <x:c r="I24" s="31" t="n">
        <x:v>0</x:v>
      </x:c>
      <x:c r="J24" s="24" t="str"/>
      <x:c r="K24" s="24" t="str">
        <x:v>회수 판단</x:v>
      </x:c>
      <x:c r="L24" s="30"/>
      <x:c r="M24" s="24" t="str">
        <x:v>보험 자료 없음</x:v>
      </x:c>
      <x:c r="N24" s="24" t="str"/>
      <x:c r="O24" s="24" t="str"/>
      <x:c r="P24" s="24" t="str"/>
      <x:c r="Q24" s="24" t="str">
        <x:v>검토전</x:v>
      </x:c>
      <x:c r="R24" s="24" t="str"/>
      <x:c r="S24" s="24" t="str">
        <x:v>회수 검토</x:v>
      </x:c>
      <x:c r="T24" s="30"/>
      <x:c r="U24" s="30"/>
      <x:c r="V24" s="24" t="str"/>
    </x:row>
    <x:row r="25" ht="17.25" customHeight="1">
      <x:c r="A25" s="24" t="str">
        <x:v>R-0024</x:v>
      </x:c>
      <x:c r="B25" s="24" t="str">
        <x:v>스위치플랜</x:v>
      </x:c>
      <x:c r="C25" s="24" t="str">
        <x:v>314소2486</x:v>
      </x:c>
      <x:c r="D25" s="24" t="str">
        <x:v>SW-C-314소2486-1-20231121-36</x:v>
      </x:c>
      <x:c r="E25" s="24" t="str">
        <x:v>우재민</x:v>
      </x:c>
      <x:c r="F25" s="31" t="n">
        <x:v>13</x:v>
      </x:c>
      <x:c r="G25" s="32" t="n">
        <x:v>660000</x:v>
      </x:c>
      <x:c r="H25" s="30" t="n">
        <x:v>45616</x:v>
      </x:c>
      <x:c r="I25" s="31" t="n">
        <x:v>633</x:v>
      </x:c>
      <x:c r="J25" s="24" t="str"/>
      <x:c r="K25" s="24" t="str"/>
      <x:c r="L25" s="30"/>
      <x:c r="M25" s="24" t="str">
        <x:v>보험 자료 없음</x:v>
      </x:c>
      <x:c r="N25" s="24" t="str"/>
      <x:c r="O25" s="24" t="str"/>
      <x:c r="P25" s="24" t="str"/>
      <x:c r="Q25" s="24" t="str">
        <x:v>검토전</x:v>
      </x:c>
      <x:c r="R25" s="24" t="str"/>
      <x:c r="S25" s="24" t="str">
        <x:v>미수 확인</x:v>
      </x:c>
      <x:c r="T25" s="30"/>
      <x:c r="U25" s="30"/>
      <x:c r="V25" s="24" t="str"/>
    </x:row>
    <x:row r="26" ht="17.25" customHeight="1">
      <x:c r="A26" s="24" t="str">
        <x:v>R-0025</x:v>
      </x:c>
      <x:c r="B26" s="24" t="str">
        <x:v>스위치플랜</x:v>
      </x:c>
      <x:c r="C26" s="24" t="str">
        <x:v>376두7844</x:v>
      </x:c>
      <x:c r="D26" s="24" t="str">
        <x:v>SW-C-376두7844-1-20250616-38</x:v>
      </x:c>
      <x:c r="E26" s="24" t="str">
        <x:v>김동현</x:v>
      </x:c>
      <x:c r="F26" s="31" t="n">
        <x:v>1</x:v>
      </x:c>
      <x:c r="G26" s="32" t="n">
        <x:v>1170000</x:v>
      </x:c>
      <x:c r="H26" s="30" t="n">
        <x:v>46249</x:v>
      </x:c>
      <x:c r="I26" s="31" t="n">
        <x:v>0</x:v>
      </x:c>
      <x:c r="J26" s="24" t="str"/>
      <x:c r="K26" s="24" t="str"/>
      <x:c r="L26" s="30"/>
      <x:c r="M26" s="24" t="str">
        <x:v>보험 자료 없음</x:v>
      </x:c>
      <x:c r="N26" s="24" t="str"/>
      <x:c r="O26" s="24" t="str"/>
      <x:c r="P26" s="24" t="str"/>
      <x:c r="Q26" s="24" t="str">
        <x:v>검토전</x:v>
      </x:c>
      <x:c r="R26" s="24" t="str"/>
      <x:c r="S26" s="24" t="str">
        <x:v>미수 확인</x:v>
      </x:c>
      <x:c r="T26" s="30"/>
      <x:c r="U26" s="30"/>
      <x:c r="V26" s="24" t="str"/>
    </x:row>
    <x:row r="27" ht="17.25" customHeight="1">
      <x:c r="A27" s="24" t="str">
        <x:v>R-0026</x:v>
      </x:c>
      <x:c r="B27" s="24" t="str">
        <x:v>스위치플랜</x:v>
      </x:c>
      <x:c r="C27" s="24" t="str">
        <x:v>162고5602</x:v>
      </x:c>
      <x:c r="D27" s="24" t="str">
        <x:v>SW-C-162고5602-1-20241216-40</x:v>
      </x:c>
      <x:c r="E27" s="24" t="str">
        <x:v>디테힐링(장승민)</x:v>
      </x:c>
      <x:c r="F27" s="31" t="n">
        <x:v>1</x:v>
      </x:c>
      <x:c r="G27" s="32" t="n">
        <x:v>280000</x:v>
      </x:c>
      <x:c r="H27" s="30" t="n">
        <x:v>46249</x:v>
      </x:c>
      <x:c r="I27" s="31" t="n">
        <x:v>0</x:v>
      </x:c>
      <x:c r="J27" s="24" t="str"/>
      <x:c r="K27" s="24" t="str"/>
      <x:c r="L27" s="30"/>
      <x:c r="M27" s="24" t="str">
        <x:v>보험 자료 없음</x:v>
      </x:c>
      <x:c r="N27" s="24" t="str"/>
      <x:c r="O27" s="24" t="str"/>
      <x:c r="P27" s="24" t="str"/>
      <x:c r="Q27" s="24" t="str">
        <x:v>검토전</x:v>
      </x:c>
      <x:c r="R27" s="24" t="str"/>
      <x:c r="S27" s="24" t="str">
        <x:v>미수 확인</x:v>
      </x:c>
      <x:c r="T27" s="30"/>
      <x:c r="U27" s="30"/>
      <x:c r="V27" s="24" t="str"/>
    </x:row>
    <x:row r="28" ht="17.25" customHeight="1">
      <x:c r="A28" s="24" t="str">
        <x:v>R-0027</x:v>
      </x:c>
      <x:c r="B28" s="24" t="str">
        <x:v>스위치플랜</x:v>
      </x:c>
      <x:c r="C28" s="24" t="str">
        <x:v>15나3640</x:v>
      </x:c>
      <x:c r="D28" s="24" t="str">
        <x:v>SW-C-15나3640-1-20250822-41</x:v>
      </x:c>
      <x:c r="E28" s="24" t="str">
        <x:v>이영민</x:v>
      </x:c>
      <x:c r="F28" s="31" t="n">
        <x:v>1</x:v>
      </x:c>
      <x:c r="G28" s="32" t="n">
        <x:v>850000</x:v>
      </x:c>
      <x:c r="H28" s="30" t="n">
        <x:v>46259</x:v>
      </x:c>
      <x:c r="I28" s="31" t="n">
        <x:v>0</x:v>
      </x:c>
      <x:c r="J28" s="24" t="str"/>
      <x:c r="K28" s="24" t="str"/>
      <x:c r="L28" s="30"/>
      <x:c r="M28" s="24" t="str">
        <x:v>보험 자료 없음</x:v>
      </x:c>
      <x:c r="N28" s="24" t="str"/>
      <x:c r="O28" s="24" t="str"/>
      <x:c r="P28" s="24" t="str"/>
      <x:c r="Q28" s="24" t="str">
        <x:v>검토전</x:v>
      </x:c>
      <x:c r="R28" s="24" t="str"/>
      <x:c r="S28" s="24" t="str">
        <x:v>미수 확인</x:v>
      </x:c>
      <x:c r="T28" s="30"/>
      <x:c r="U28" s="30"/>
      <x:c r="V28" s="24" t="str"/>
    </x:row>
    <x:row r="29" ht="17.25" customHeight="1">
      <x:c r="A29" s="24" t="str">
        <x:v>R-0028</x:v>
      </x:c>
      <x:c r="B29" s="24" t="str">
        <x:v>스위치플랜</x:v>
      </x:c>
      <x:c r="C29" s="24" t="str">
        <x:v>365주3303</x:v>
      </x:c>
      <x:c r="D29" s="24" t="str">
        <x:v>SW-C-365주3303-1-20231121-45</x:v>
      </x:c>
      <x:c r="E29" s="24" t="str">
        <x:v>이은규</x:v>
      </x:c>
      <x:c r="F29" s="31" t="n">
        <x:v>22</x:v>
      </x:c>
      <x:c r="G29" s="32" t="n">
        <x:v>930000</x:v>
      </x:c>
      <x:c r="H29" s="30" t="n">
        <x:v>45616</x:v>
      </x:c>
      <x:c r="I29" s="31" t="n">
        <x:v>633</x:v>
      </x:c>
      <x:c r="J29" s="24" t="str"/>
      <x:c r="K29" s="24" t="str"/>
      <x:c r="L29" s="30"/>
      <x:c r="M29" s="24" t="str">
        <x:v>보험 자료 없음</x:v>
      </x:c>
      <x:c r="N29" s="24" t="str"/>
      <x:c r="O29" s="24" t="str"/>
      <x:c r="P29" s="24" t="str"/>
      <x:c r="Q29" s="24" t="str">
        <x:v>검토전</x:v>
      </x:c>
      <x:c r="R29" s="24" t="str"/>
      <x:c r="S29" s="24" t="str">
        <x:v>미수 확인</x:v>
      </x:c>
      <x:c r="T29" s="30"/>
      <x:c r="U29" s="30"/>
      <x:c r="V29" s="24" t="str"/>
    </x:row>
    <x:row r="30" ht="17.25" customHeight="1">
      <x:c r="A30" s="24" t="str">
        <x:v>R-0029</x:v>
      </x:c>
      <x:c r="B30" s="24" t="str">
        <x:v>스위치플랜</x:v>
      </x:c>
      <x:c r="C30" s="24" t="str">
        <x:v>165서6056</x:v>
      </x:c>
      <x:c r="D30" s="24" t="str">
        <x:v>SW-C-165서6056-1-20231123-46</x:v>
      </x:c>
      <x:c r="E30" s="24" t="str">
        <x:v>백규열</x:v>
      </x:c>
      <x:c r="F30" s="31" t="n">
        <x:v>6</x:v>
      </x:c>
      <x:c r="G30" s="32" t="n">
        <x:v>400000</x:v>
      </x:c>
      <x:c r="H30" s="30" t="n">
        <x:v>45682</x:v>
      </x:c>
      <x:c r="I30" s="31" t="n">
        <x:v>567</x:v>
      </x:c>
      <x:c r="J30" s="24" t="str"/>
      <x:c r="K30" s="24" t="str">
        <x:v>만기 임박</x:v>
      </x:c>
      <x:c r="L30" s="30"/>
      <x:c r="M30" s="24" t="str">
        <x:v>보험 자료 없음</x:v>
      </x:c>
      <x:c r="N30" s="24" t="str"/>
      <x:c r="O30" s="24" t="str"/>
      <x:c r="P30" s="24" t="str"/>
      <x:c r="Q30" s="24" t="str">
        <x:v>검토전</x:v>
      </x:c>
      <x:c r="R30" s="24" t="str"/>
      <x:c r="S30" s="24" t="str">
        <x:v>미수 확인</x:v>
      </x:c>
      <x:c r="T30" s="30"/>
      <x:c r="U30" s="30"/>
      <x:c r="V30" s="24" t="str"/>
    </x:row>
    <x:row r="31" ht="17.25" customHeight="1">
      <x:c r="A31" s="24" t="str">
        <x:v>R-0030</x:v>
      </x:c>
      <x:c r="B31" s="24" t="str">
        <x:v>스위치플랜</x:v>
      </x:c>
      <x:c r="C31" s="24" t="str">
        <x:v>149조6163</x:v>
      </x:c>
      <x:c r="D31" s="24" t="str">
        <x:v>SW-C-149조6163-1-20260323-50</x:v>
      </x:c>
      <x:c r="E31" s="24" t="str">
        <x:v>한상관</x:v>
      </x:c>
      <x:c r="F31" s="31" t="n">
        <x:v>3</x:v>
      </x:c>
      <x:c r="G31" s="32" t="n">
        <x:v>1200000</x:v>
      </x:c>
      <x:c r="H31" s="30" t="n">
        <x:v>46198</x:v>
      </x:c>
      <x:c r="I31" s="31" t="n">
        <x:v>51</x:v>
      </x:c>
      <x:c r="J31" s="24" t="str"/>
      <x:c r="K31" s="24" t="str"/>
      <x:c r="L31" s="30"/>
      <x:c r="M31" s="24" t="str">
        <x:v>보험 자료 없음</x:v>
      </x:c>
      <x:c r="N31" s="24" t="str"/>
      <x:c r="O31" s="24" t="str"/>
      <x:c r="P31" s="24" t="str"/>
      <x:c r="Q31" s="24" t="str">
        <x:v>검토전</x:v>
      </x:c>
      <x:c r="R31" s="24" t="str"/>
      <x:c r="S31" s="24" t="str">
        <x:v>미수 확인</x:v>
      </x:c>
      <x:c r="T31" s="30"/>
      <x:c r="U31" s="30"/>
      <x:c r="V31" s="24" t="str"/>
    </x:row>
    <x:row r="32" ht="17.25" customHeight="1">
      <x:c r="A32" s="24" t="str">
        <x:v>R-0031</x:v>
      </x:c>
      <x:c r="B32" s="24" t="str">
        <x:v>스위치플랜</x:v>
      </x:c>
      <x:c r="C32" s="24" t="str">
        <x:v>193우6308</x:v>
      </x:c>
      <x:c r="D32" s="24" t="str">
        <x:v>SW-C-193우6308-1-20240507-51</x:v>
      </x:c>
      <x:c r="E32" s="24" t="str">
        <x:v>권오현</x:v>
      </x:c>
      <x:c r="F32" s="31" t="n">
        <x:v>2</x:v>
      </x:c>
      <x:c r="G32" s="32" t="n">
        <x:v>1400000</x:v>
      </x:c>
      <x:c r="H32" s="30" t="n">
        <x:v>46213</x:v>
      </x:c>
      <x:c r="I32" s="31" t="n">
        <x:v>36</x:v>
      </x:c>
      <x:c r="J32" s="24" t="str"/>
      <x:c r="K32" s="24" t="str">
        <x:v>회수 판단</x:v>
      </x:c>
      <x:c r="L32" s="30"/>
      <x:c r="M32" s="24" t="str">
        <x:v>보험 자료 없음</x:v>
      </x:c>
      <x:c r="N32" s="24" t="str"/>
      <x:c r="O32" s="24" t="str"/>
      <x:c r="P32" s="24" t="str"/>
      <x:c r="Q32" s="24" t="str">
        <x:v>검토전</x:v>
      </x:c>
      <x:c r="R32" s="24" t="str"/>
      <x:c r="S32" s="24" t="str">
        <x:v>회수 검토</x:v>
      </x:c>
      <x:c r="T32" s="30"/>
      <x:c r="U32" s="30"/>
      <x:c r="V32" s="24" t="str"/>
    </x:row>
    <x:row r="33" ht="17.25" customHeight="1">
      <x:c r="A33" s="24" t="str">
        <x:v>R-0032</x:v>
      </x:c>
      <x:c r="B33" s="24" t="str">
        <x:v>스위치플랜</x:v>
      </x:c>
      <x:c r="C33" s="24" t="str">
        <x:v>314구7889</x:v>
      </x:c>
      <x:c r="D33" s="24" t="str">
        <x:v>SW-C-314구7889-1-20250512-52</x:v>
      </x:c>
      <x:c r="E33" s="24" t="str">
        <x:v>홍미정</x:v>
      </x:c>
      <x:c r="F33" s="31" t="n">
        <x:v>1</x:v>
      </x:c>
      <x:c r="G33" s="32" t="n">
        <x:v>930000</x:v>
      </x:c>
      <x:c r="H33" s="30" t="n">
        <x:v>46244</x:v>
      </x:c>
      <x:c r="I33" s="31" t="n">
        <x:v>5</x:v>
      </x:c>
      <x:c r="J33" s="24" t="str"/>
      <x:c r="K33" s="24" t="str">
        <x:v>독촉 5일</x:v>
      </x:c>
      <x:c r="L33" s="30"/>
      <x:c r="M33" s="24" t="str">
        <x:v>보험 자료 없음</x:v>
      </x:c>
      <x:c r="N33" s="24" t="str"/>
      <x:c r="O33" s="24" t="str"/>
      <x:c r="P33" s="24" t="str"/>
      <x:c r="Q33" s="24" t="str">
        <x:v>검토전</x:v>
      </x:c>
      <x:c r="R33" s="24" t="str"/>
      <x:c r="S33" s="24" t="str">
        <x:v>미수 확인</x:v>
      </x:c>
      <x:c r="T33" s="30"/>
      <x:c r="U33" s="30"/>
      <x:c r="V33" s="24" t="str"/>
    </x:row>
    <x:row r="34" ht="17.25" customHeight="1">
      <x:c r="A34" s="24" t="str">
        <x:v>R-0033</x:v>
      </x:c>
      <x:c r="B34" s="24" t="str">
        <x:v>스위치플랜</x:v>
      </x:c>
      <x:c r="C34" s="24" t="str">
        <x:v>383마3206</x:v>
      </x:c>
      <x:c r="D34" s="24" t="str">
        <x:v>SW-C-383마3206-1-20260207-53</x:v>
      </x:c>
      <x:c r="E34" s="24" t="str">
        <x:v>이수정</x:v>
      </x:c>
      <x:c r="F34" s="31" t="n">
        <x:v>6</x:v>
      </x:c>
      <x:c r="G34" s="32" t="n">
        <x:v>600000</x:v>
      </x:c>
      <x:c r="H34" s="30" t="n">
        <x:v>45940</x:v>
      </x:c>
      <x:c r="I34" s="31" t="n">
        <x:v>309</x:v>
      </x:c>
      <x:c r="J34" s="24" t="str"/>
      <x:c r="K34" s="24" t="str">
        <x:v>독촉 5일</x:v>
      </x:c>
      <x:c r="L34" s="30"/>
      <x:c r="M34" s="24" t="str">
        <x:v>보험 자료 없음</x:v>
      </x:c>
      <x:c r="N34" s="24" t="str"/>
      <x:c r="O34" s="24" t="str"/>
      <x:c r="P34" s="24" t="str"/>
      <x:c r="Q34" s="24" t="str">
        <x:v>검토전</x:v>
      </x:c>
      <x:c r="R34" s="24" t="str"/>
      <x:c r="S34" s="24" t="str">
        <x:v>미수 확인</x:v>
      </x:c>
      <x:c r="T34" s="30"/>
      <x:c r="U34" s="30"/>
      <x:c r="V34" s="24" t="str"/>
    </x:row>
    <x:row r="35" ht="17.25" customHeight="1">
      <x:c r="A35" s="24" t="str">
        <x:v>R-0034</x:v>
      </x:c>
      <x:c r="B35" s="24" t="str">
        <x:v>스위치플랜</x:v>
      </x:c>
      <x:c r="C35" s="24" t="str">
        <x:v>193우6312</x:v>
      </x:c>
      <x:c r="D35" s="24" t="str">
        <x:v>SW-C-193우6312-1-20240422-54</x:v>
      </x:c>
      <x:c r="E35" s="24" t="str">
        <x:v>김서진</x:v>
      </x:c>
      <x:c r="F35" s="31" t="n">
        <x:v>2</x:v>
      </x:c>
      <x:c r="G35" s="32" t="n">
        <x:v>900000</x:v>
      </x:c>
      <x:c r="H35" s="30" t="n">
        <x:v>46223</x:v>
      </x:c>
      <x:c r="I35" s="31" t="n">
        <x:v>26</x:v>
      </x:c>
      <x:c r="J35" s="24" t="str"/>
      <x:c r="K35" s="24" t="str">
        <x:v>회수 판단</x:v>
      </x:c>
      <x:c r="L35" s="30"/>
      <x:c r="M35" s="24" t="str">
        <x:v>보험 자료 없음</x:v>
      </x:c>
      <x:c r="N35" s="24" t="str"/>
      <x:c r="O35" s="24" t="str"/>
      <x:c r="P35" s="24" t="str"/>
      <x:c r="Q35" s="24" t="str">
        <x:v>검토전</x:v>
      </x:c>
      <x:c r="R35" s="24" t="str"/>
      <x:c r="S35" s="24" t="str">
        <x:v>회수 검토</x:v>
      </x:c>
      <x:c r="T35" s="30"/>
      <x:c r="U35" s="30"/>
      <x:c r="V35" s="24" t="str"/>
    </x:row>
    <x:row r="36" ht="17.25" customHeight="1">
      <x:c r="A36" s="24" t="str">
        <x:v>R-0035</x:v>
      </x:c>
      <x:c r="B36" s="24" t="str">
        <x:v>스위치플랜</x:v>
      </x:c>
      <x:c r="C36" s="24" t="str">
        <x:v>193우6391</x:v>
      </x:c>
      <x:c r="D36" s="24" t="str">
        <x:v>SW-C-193우6391-1-20251125-55</x:v>
      </x:c>
      <x:c r="E36" s="24" t="str">
        <x:v>엠제이에스</x:v>
      </x:c>
      <x:c r="F36" s="31" t="n">
        <x:v>2</x:v>
      </x:c>
      <x:c r="G36" s="32" t="n">
        <x:v>750000</x:v>
      </x:c>
      <x:c r="H36" s="30" t="n">
        <x:v>46078</x:v>
      </x:c>
      <x:c r="I36" s="31" t="n">
        <x:v>171</x:v>
      </x:c>
      <x:c r="J36" s="24" t="str"/>
      <x:c r="K36" s="24" t="str"/>
      <x:c r="L36" s="30"/>
      <x:c r="M36" s="24" t="str">
        <x:v>보험 자료 없음</x:v>
      </x:c>
      <x:c r="N36" s="24" t="str"/>
      <x:c r="O36" s="24" t="str"/>
      <x:c r="P36" s="24" t="str"/>
      <x:c r="Q36" s="24" t="str">
        <x:v>검토전</x:v>
      </x:c>
      <x:c r="R36" s="24" t="str"/>
      <x:c r="S36" s="24" t="str">
        <x:v>미수 확인</x:v>
      </x:c>
      <x:c r="T36" s="30"/>
      <x:c r="U36" s="30"/>
      <x:c r="V36" s="24" t="str"/>
    </x:row>
    <x:row r="37" ht="17.25" customHeight="1">
      <x:c r="A37" s="24" t="str">
        <x:v>R-0036</x:v>
      </x:c>
      <x:c r="B37" s="24" t="str">
        <x:v>스위치플랜</x:v>
      </x:c>
      <x:c r="C37" s="24" t="str">
        <x:v>193우6343</x:v>
      </x:c>
      <x:c r="D37" s="24" t="str">
        <x:v>SW-C-193우6343-1-20250515-56</x:v>
      </x:c>
      <x:c r="E37" s="24" t="str">
        <x:v>권현지</x:v>
      </x:c>
      <x:c r="F37" s="31" t="n">
        <x:v>1</x:v>
      </x:c>
      <x:c r="G37" s="32" t="n">
        <x:v>560000</x:v>
      </x:c>
      <x:c r="H37" s="30" t="n">
        <x:v>46249</x:v>
      </x:c>
      <x:c r="I37" s="31" t="n">
        <x:v>0</x:v>
      </x:c>
      <x:c r="J37" s="24" t="str"/>
      <x:c r="K37" s="24" t="str"/>
      <x:c r="L37" s="30"/>
      <x:c r="M37" s="24" t="str">
        <x:v>보험 자료 없음</x:v>
      </x:c>
      <x:c r="N37" s="24" t="str"/>
      <x:c r="O37" s="24" t="str"/>
      <x:c r="P37" s="24" t="str"/>
      <x:c r="Q37" s="24" t="str">
        <x:v>검토전</x:v>
      </x:c>
      <x:c r="R37" s="24" t="str"/>
      <x:c r="S37" s="24" t="str">
        <x:v>미수 확인</x:v>
      </x:c>
      <x:c r="T37" s="30"/>
      <x:c r="U37" s="30"/>
      <x:c r="V37" s="24" t="str"/>
    </x:row>
    <x:row r="38" ht="17.25" customHeight="1">
      <x:c r="A38" s="24" t="str">
        <x:v>R-0037</x:v>
      </x:c>
      <x:c r="B38" s="24" t="str">
        <x:v>스위치플랜</x:v>
      </x:c>
      <x:c r="C38" s="24" t="str">
        <x:v>245고2473</x:v>
      </x:c>
      <x:c r="D38" s="24" t="str">
        <x:v>SW-C-245고2473-1-20231213-57</x:v>
      </x:c>
      <x:c r="E38" s="24" t="str">
        <x:v>최윤형</x:v>
      </x:c>
      <x:c r="F38" s="31" t="n">
        <x:v>2</x:v>
      </x:c>
      <x:c r="G38" s="32" t="n">
        <x:v>860000</x:v>
      </x:c>
      <x:c r="H38" s="30" t="n">
        <x:v>46218</x:v>
      </x:c>
      <x:c r="I38" s="31" t="n">
        <x:v>31</x:v>
      </x:c>
      <x:c r="J38" s="24" t="str"/>
      <x:c r="K38" s="24" t="str">
        <x:v>회수 판단</x:v>
      </x:c>
      <x:c r="L38" s="30"/>
      <x:c r="M38" s="24" t="str">
        <x:v>보험 자료 없음</x:v>
      </x:c>
      <x:c r="N38" s="24" t="str"/>
      <x:c r="O38" s="24" t="str"/>
      <x:c r="P38" s="24" t="str"/>
      <x:c r="Q38" s="24" t="str">
        <x:v>검토전</x:v>
      </x:c>
      <x:c r="R38" s="24" t="str"/>
      <x:c r="S38" s="24" t="str">
        <x:v>회수 검토</x:v>
      </x:c>
      <x:c r="T38" s="30"/>
      <x:c r="U38" s="30"/>
      <x:c r="V38" s="24" t="str"/>
    </x:row>
    <x:row r="39" ht="17.25" customHeight="1">
      <x:c r="A39" s="24" t="str">
        <x:v>R-0038</x:v>
      </x:c>
      <x:c r="B39" s="24" t="str">
        <x:v>스위치플랜</x:v>
      </x:c>
      <x:c r="C39" s="24" t="str">
        <x:v>193우6396</x:v>
      </x:c>
      <x:c r="D39" s="24" t="str">
        <x:v>SW-C-193우6396-1-20240913-58</x:v>
      </x:c>
      <x:c r="E39" s="24" t="str">
        <x:v>권성호</x:v>
      </x:c>
      <x:c r="F39" s="31" t="n">
        <x:v>2</x:v>
      </x:c>
      <x:c r="G39" s="32" t="n">
        <x:v>670000</x:v>
      </x:c>
      <x:c r="H39" s="30" t="n">
        <x:v>45703</x:v>
      </x:c>
      <x:c r="I39" s="31" t="n">
        <x:v>546</x:v>
      </x:c>
      <x:c r="J39" s="24" t="str"/>
      <x:c r="K39" s="24" t="str"/>
      <x:c r="L39" s="30"/>
      <x:c r="M39" s="24" t="str">
        <x:v>보험 자료 없음</x:v>
      </x:c>
      <x:c r="N39" s="24" t="str"/>
      <x:c r="O39" s="24" t="str"/>
      <x:c r="P39" s="24" t="str"/>
      <x:c r="Q39" s="24" t="str">
        <x:v>검토전</x:v>
      </x:c>
      <x:c r="R39" s="24" t="str"/>
      <x:c r="S39" s="24" t="str">
        <x:v>미수 확인</x:v>
      </x:c>
      <x:c r="T39" s="30"/>
      <x:c r="U39" s="30"/>
      <x:c r="V39" s="24" t="str"/>
    </x:row>
    <x:row r="40" ht="17.25" customHeight="1">
      <x:c r="A40" s="24" t="str">
        <x:v>R-0039</x:v>
      </x:c>
      <x:c r="B40" s="24" t="str">
        <x:v>스위치플랜</x:v>
      </x:c>
      <x:c r="C40" s="24" t="str">
        <x:v>299수4820</x:v>
      </x:c>
      <x:c r="D40" s="24" t="str">
        <x:v>SW-C-299수4820-1-26-62</x:v>
      </x:c>
      <x:c r="E40" s="24" t="str">
        <x:v>이훈4820</x:v>
      </x:c>
      <x:c r="F40" s="31" t="n">
        <x:v>7</x:v>
      </x:c>
      <x:c r="G40" s="32" t="n">
        <x:v>2520000</x:v>
      </x:c>
      <x:c r="H40" s="30"/>
      <x:c r="I40" s="31" t="n">
        <x:v>0</x:v>
      </x:c>
      <x:c r="J40" s="24" t="str"/>
      <x:c r="K40" s="24" t="str">
        <x:v>회수 판단</x:v>
      </x:c>
      <x:c r="L40" s="30"/>
      <x:c r="M40" s="24" t="str">
        <x:v>보험 자료 없음</x:v>
      </x:c>
      <x:c r="N40" s="24" t="str"/>
      <x:c r="O40" s="24" t="str"/>
      <x:c r="P40" s="24" t="str"/>
      <x:c r="Q40" s="24" t="str">
        <x:v>검토전</x:v>
      </x:c>
      <x:c r="R40" s="24" t="str"/>
      <x:c r="S40" s="24" t="str">
        <x:v>회수 검토</x:v>
      </x:c>
      <x:c r="T40" s="30"/>
      <x:c r="U40" s="30"/>
      <x:c r="V40" s="24" t="str"/>
    </x:row>
    <x:row r="41" ht="17.25" customHeight="1">
      <x:c r="A41" s="24" t="str">
        <x:v>R-0040</x:v>
      </x:c>
      <x:c r="B41" s="24" t="str">
        <x:v>스위치플랜</x:v>
      </x:c>
      <x:c r="C41" s="24" t="str">
        <x:v>94주0700</x:v>
      </x:c>
      <x:c r="D41" s="24" t="str">
        <x:v>SW-C-94주0700-1-20231219-65</x:v>
      </x:c>
      <x:c r="E41" s="24" t="str">
        <x:v>신태민</x:v>
      </x:c>
      <x:c r="F41" s="31" t="n">
        <x:v>2</x:v>
      </x:c>
      <x:c r="G41" s="32" t="n">
        <x:v>610000</x:v>
      </x:c>
      <x:c r="H41" s="30" t="n">
        <x:v>46073</x:v>
      </x:c>
      <x:c r="I41" s="31" t="n">
        <x:v>176</x:v>
      </x:c>
      <x:c r="J41" s="24" t="str"/>
      <x:c r="K41" s="24" t="str"/>
      <x:c r="L41" s="30"/>
      <x:c r="M41" s="24" t="str">
        <x:v>보험 자료 없음</x:v>
      </x:c>
      <x:c r="N41" s="24" t="str"/>
      <x:c r="O41" s="24" t="str"/>
      <x:c r="P41" s="24" t="str"/>
      <x:c r="Q41" s="24" t="str">
        <x:v>검토전</x:v>
      </x:c>
      <x:c r="R41" s="24" t="str"/>
      <x:c r="S41" s="24" t="str">
        <x:v>미수 확인</x:v>
      </x:c>
      <x:c r="T41" s="30"/>
      <x:c r="U41" s="30"/>
      <x:c r="V41" s="24" t="str"/>
    </x:row>
    <x:row r="42" ht="17.25" customHeight="1">
      <x:c r="A42" s="24" t="str">
        <x:v>R-0041</x:v>
      </x:c>
      <x:c r="B42" s="24" t="str">
        <x:v>스위치플랜</x:v>
      </x:c>
      <x:c r="C42" s="24" t="str">
        <x:v>236로9998</x:v>
      </x:c>
      <x:c r="D42" s="24" t="str">
        <x:v>SW-C-236로9998-1-20260522-66</x:v>
      </x:c>
      <x:c r="E42" s="24" t="str">
        <x:v>유승</x:v>
      </x:c>
      <x:c r="F42" s="31" t="n">
        <x:v>3</x:v>
      </x:c>
      <x:c r="G42" s="32" t="n">
        <x:v>2300000</x:v>
      </x:c>
      <x:c r="H42" s="30" t="n">
        <x:v>46198</x:v>
      </x:c>
      <x:c r="I42" s="31" t="n">
        <x:v>51</x:v>
      </x:c>
      <x:c r="J42" s="24" t="str"/>
      <x:c r="K42" s="24" t="str">
        <x:v>회수 판단</x:v>
      </x:c>
      <x:c r="L42" s="30"/>
      <x:c r="M42" s="24" t="str">
        <x:v>보험 자료 없음</x:v>
      </x:c>
      <x:c r="N42" s="24" t="str"/>
      <x:c r="O42" s="24" t="str"/>
      <x:c r="P42" s="24" t="str"/>
      <x:c r="Q42" s="24" t="str">
        <x:v>검토전</x:v>
      </x:c>
      <x:c r="R42" s="24" t="str"/>
      <x:c r="S42" s="24" t="str">
        <x:v>회수 검토</x:v>
      </x:c>
      <x:c r="T42" s="30"/>
      <x:c r="U42" s="30"/>
      <x:c r="V42" s="24" t="str"/>
    </x:row>
    <x:row r="43" ht="17.25" customHeight="1">
      <x:c r="A43" s="24" t="str">
        <x:v>R-0042</x:v>
      </x:c>
      <x:c r="B43" s="24" t="str">
        <x:v>스위치플랜</x:v>
      </x:c>
      <x:c r="C43" s="24" t="str">
        <x:v>45루6163</x:v>
      </x:c>
      <x:c r="D43" s="24" t="str">
        <x:v>SW-C-45루6163-1-20250822-67</x:v>
      </x:c>
      <x:c r="E43" s="24" t="str">
        <x:v>김민수</x:v>
      </x:c>
      <x:c r="F43" s="31" t="n">
        <x:v>8</x:v>
      </x:c>
      <x:c r="G43" s="32" t="n">
        <x:v>1250000</x:v>
      </x:c>
      <x:c r="H43" s="30" t="n">
        <x:v>45920</x:v>
      </x:c>
      <x:c r="I43" s="31" t="n">
        <x:v>329</x:v>
      </x:c>
      <x:c r="J43" s="24" t="str"/>
      <x:c r="K43" s="24" t="str"/>
      <x:c r="L43" s="30"/>
      <x:c r="M43" s="24" t="str">
        <x:v>보험 자료 없음</x:v>
      </x:c>
      <x:c r="N43" s="24" t="str"/>
      <x:c r="O43" s="24" t="str"/>
      <x:c r="P43" s="24" t="str"/>
      <x:c r="Q43" s="24" t="str">
        <x:v>검토전</x:v>
      </x:c>
      <x:c r="R43" s="24" t="str"/>
      <x:c r="S43" s="24" t="str">
        <x:v>미수 확인</x:v>
      </x:c>
      <x:c r="T43" s="30"/>
      <x:c r="U43" s="30"/>
      <x:c r="V43" s="24" t="str"/>
    </x:row>
    <x:row r="44" ht="17.25" customHeight="1">
      <x:c r="A44" s="24" t="str">
        <x:v>R-0043</x:v>
      </x:c>
      <x:c r="B44" s="24" t="str">
        <x:v>스위치플랜</x:v>
      </x:c>
      <x:c r="C44" s="24" t="str">
        <x:v>143조2022</x:v>
      </x:c>
      <x:c r="D44" s="24" t="str">
        <x:v>SW-C-143조2022-1-20260309-68</x:v>
      </x:c>
      <x:c r="E44" s="24" t="str">
        <x:v>김현민</x:v>
      </x:c>
      <x:c r="F44" s="31" t="n">
        <x:v>2</x:v>
      </x:c>
      <x:c r="G44" s="32" t="n">
        <x:v>467800</x:v>
      </x:c>
      <x:c r="H44" s="30" t="n">
        <x:v>45940</x:v>
      </x:c>
      <x:c r="I44" s="31" t="n">
        <x:v>309</x:v>
      </x:c>
      <x:c r="J44" s="24" t="str"/>
      <x:c r="K44" s="24" t="str">
        <x:v>독촉 5일</x:v>
      </x:c>
      <x:c r="L44" s="30"/>
      <x:c r="M44" s="24" t="str">
        <x:v>보험 자료 없음</x:v>
      </x:c>
      <x:c r="N44" s="24" t="str"/>
      <x:c r="O44" s="24" t="str"/>
      <x:c r="P44" s="24" t="str"/>
      <x:c r="Q44" s="24" t="str">
        <x:v>검토전</x:v>
      </x:c>
      <x:c r="R44" s="24" t="str"/>
      <x:c r="S44" s="24" t="str">
        <x:v>미수 확인</x:v>
      </x:c>
      <x:c r="T44" s="30"/>
      <x:c r="U44" s="30"/>
      <x:c r="V44" s="24" t="str"/>
    </x:row>
    <x:row r="45" ht="17.25" customHeight="1">
      <x:c r="A45" s="24" t="str">
        <x:v>R-0044</x:v>
      </x:c>
      <x:c r="B45" s="24" t="str">
        <x:v>스위치플랜</x:v>
      </x:c>
      <x:c r="C45" s="24" t="str">
        <x:v>104버2190</x:v>
      </x:c>
      <x:c r="D45" s="24" t="str">
        <x:v>SW-C-104버2190-1-20240809-71</x:v>
      </x:c>
      <x:c r="E45" s="24" t="str">
        <x:v>박지혜</x:v>
      </x:c>
      <x:c r="F45" s="31" t="n">
        <x:v>1</x:v>
      </x:c>
      <x:c r="G45" s="32" t="n">
        <x:v>1340000</x:v>
      </x:c>
      <x:c r="H45" s="30" t="n">
        <x:v>46244</x:v>
      </x:c>
      <x:c r="I45" s="31" t="n">
        <x:v>5</x:v>
      </x:c>
      <x:c r="J45" s="24" t="str"/>
      <x:c r="K45" s="24" t="str">
        <x:v>독촉 5일</x:v>
      </x:c>
      <x:c r="L45" s="30"/>
      <x:c r="M45" s="24" t="str">
        <x:v>보험 자료 없음</x:v>
      </x:c>
      <x:c r="N45" s="24" t="str"/>
      <x:c r="O45" s="24" t="str"/>
      <x:c r="P45" s="24" t="str"/>
      <x:c r="Q45" s="24" t="str">
        <x:v>검토전</x:v>
      </x:c>
      <x:c r="R45" s="24" t="str"/>
      <x:c r="S45" s="24" t="str">
        <x:v>미수 확인</x:v>
      </x:c>
      <x:c r="T45" s="30"/>
      <x:c r="U45" s="30"/>
      <x:c r="V45" s="24" t="str"/>
    </x:row>
    <x:row r="46" ht="17.25" customHeight="1">
      <x:c r="A46" s="24" t="str">
        <x:v>R-0045</x:v>
      </x:c>
      <x:c r="B46" s="24" t="str">
        <x:v>스위치플랜</x:v>
      </x:c>
      <x:c r="C46" s="24" t="str">
        <x:v>155라6323</x:v>
      </x:c>
      <x:c r="D46" s="24" t="str">
        <x:v>SW-C-155라6323-1-20250210-72</x:v>
      </x:c>
      <x:c r="E46" s="24" t="str">
        <x:v>장준</x:v>
      </x:c>
      <x:c r="F46" s="31" t="n">
        <x:v>3</x:v>
      </x:c>
      <x:c r="G46" s="32" t="n">
        <x:v>2640000</x:v>
      </x:c>
      <x:c r="H46" s="30" t="n">
        <x:v>46193</x:v>
      </x:c>
      <x:c r="I46" s="31" t="n">
        <x:v>56</x:v>
      </x:c>
      <x:c r="J46" s="24" t="str"/>
      <x:c r="K46" s="24" t="str">
        <x:v>회수 판단</x:v>
      </x:c>
      <x:c r="L46" s="30"/>
      <x:c r="M46" s="24" t="str">
        <x:v>보험 자료 없음</x:v>
      </x:c>
      <x:c r="N46" s="24" t="str"/>
      <x:c r="O46" s="24" t="str"/>
      <x:c r="P46" s="24" t="str"/>
      <x:c r="Q46" s="24" t="str">
        <x:v>검토전</x:v>
      </x:c>
      <x:c r="R46" s="24" t="str"/>
      <x:c r="S46" s="24" t="str">
        <x:v>회수 검토</x:v>
      </x:c>
      <x:c r="T46" s="30"/>
      <x:c r="U46" s="30"/>
      <x:c r="V46" s="24" t="str"/>
    </x:row>
    <x:row r="47" ht="17.25" customHeight="1">
      <x:c r="A47" s="24" t="str">
        <x:v>R-0046</x:v>
      </x:c>
      <x:c r="B47" s="24" t="str">
        <x:v>스위치플랜</x:v>
      </x:c>
      <x:c r="C47" s="24" t="str">
        <x:v>325구9443</x:v>
      </x:c>
      <x:c r="D47" s="24" t="str">
        <x:v>SW-C-325구9443-1-20250820-73</x:v>
      </x:c>
      <x:c r="E47" s="24" t="str">
        <x:v>최정훈</x:v>
      </x:c>
      <x:c r="F47" s="31" t="n">
        <x:v>7</x:v>
      </x:c>
      <x:c r="G47" s="32" t="n">
        <x:v>790000</x:v>
      </x:c>
      <x:c r="H47" s="30" t="n">
        <x:v>45736</x:v>
      </x:c>
      <x:c r="I47" s="31" t="n">
        <x:v>513</x:v>
      </x:c>
      <x:c r="J47" s="24" t="str"/>
      <x:c r="K47" s="24" t="str"/>
      <x:c r="L47" s="30"/>
      <x:c r="M47" s="24" t="str">
        <x:v>보험 자료 없음</x:v>
      </x:c>
      <x:c r="N47" s="24" t="str"/>
      <x:c r="O47" s="24" t="str"/>
      <x:c r="P47" s="24" t="str"/>
      <x:c r="Q47" s="24" t="str">
        <x:v>검토전</x:v>
      </x:c>
      <x:c r="R47" s="24" t="str"/>
      <x:c r="S47" s="24" t="str">
        <x:v>미수 확인</x:v>
      </x:c>
      <x:c r="T47" s="30"/>
      <x:c r="U47" s="30"/>
      <x:c r="V47" s="24" t="str"/>
    </x:row>
    <x:row r="48" ht="17.25" customHeight="1">
      <x:c r="A48" s="24" t="str">
        <x:v>R-0047</x:v>
      </x:c>
      <x:c r="B48" s="24" t="str">
        <x:v>스위치플랜</x:v>
      </x:c>
      <x:c r="C48" s="24" t="str">
        <x:v>268저3547</x:v>
      </x:c>
      <x:c r="D48" s="24" t="str">
        <x:v>SW-C-268저3547-1-20250709-74</x:v>
      </x:c>
      <x:c r="E48" s="24" t="str">
        <x:v>제이엠</x:v>
      </x:c>
      <x:c r="F48" s="31" t="n">
        <x:v>1</x:v>
      </x:c>
      <x:c r="G48" s="32" t="n">
        <x:v>1220000</x:v>
      </x:c>
      <x:c r="H48" s="30" t="n">
        <x:v>46244</x:v>
      </x:c>
      <x:c r="I48" s="31" t="n">
        <x:v>5</x:v>
      </x:c>
      <x:c r="J48" s="24" t="str"/>
      <x:c r="K48" s="24" t="str">
        <x:v>독촉 5일</x:v>
      </x:c>
      <x:c r="L48" s="30"/>
      <x:c r="M48" s="24" t="str">
        <x:v>보험 자료 없음</x:v>
      </x:c>
      <x:c r="N48" s="24" t="str"/>
      <x:c r="O48" s="24" t="str"/>
      <x:c r="P48" s="24" t="str"/>
      <x:c r="Q48" s="24" t="str">
        <x:v>검토전</x:v>
      </x:c>
      <x:c r="R48" s="24" t="str"/>
      <x:c r="S48" s="24" t="str">
        <x:v>미수 확인</x:v>
      </x:c>
      <x:c r="T48" s="30"/>
      <x:c r="U48" s="30"/>
      <x:c r="V48" s="24" t="str"/>
    </x:row>
    <x:row r="49" ht="17.25" customHeight="1">
      <x:c r="A49" s="24" t="str">
        <x:v>R-0048</x:v>
      </x:c>
      <x:c r="B49" s="24" t="str">
        <x:v>스위치플랜</x:v>
      </x:c>
      <x:c r="C49" s="24" t="str">
        <x:v>165다5063</x:v>
      </x:c>
      <x:c r="D49" s="24" t="str">
        <x:v>SW-C-165다5063-1-20250910-77</x:v>
      </x:c>
      <x:c r="E49" s="24" t="str">
        <x:v>정성</x:v>
      </x:c>
      <x:c r="F49" s="31" t="n">
        <x:v>6</x:v>
      </x:c>
      <x:c r="G49" s="32" t="n">
        <x:v>690000</x:v>
      </x:c>
      <x:c r="H49" s="30" t="n">
        <x:v>45986</x:v>
      </x:c>
      <x:c r="I49" s="31" t="n">
        <x:v>263</x:v>
      </x:c>
      <x:c r="J49" s="24" t="str"/>
      <x:c r="K49" s="24" t="str"/>
      <x:c r="L49" s="30"/>
      <x:c r="M49" s="24" t="str">
        <x:v>보험 자료 없음</x:v>
      </x:c>
      <x:c r="N49" s="24" t="str"/>
      <x:c r="O49" s="24" t="str"/>
      <x:c r="P49" s="24" t="str"/>
      <x:c r="Q49" s="24" t="str">
        <x:v>검토전</x:v>
      </x:c>
      <x:c r="R49" s="24" t="str"/>
      <x:c r="S49" s="24" t="str">
        <x:v>미수 확인</x:v>
      </x:c>
      <x:c r="T49" s="30"/>
      <x:c r="U49" s="30"/>
      <x:c r="V49" s="24" t="str"/>
    </x:row>
    <x:row r="50" ht="17.25" customHeight="1">
      <x:c r="A50" s="24" t="str">
        <x:v>R-0049</x:v>
      </x:c>
      <x:c r="B50" s="24" t="str">
        <x:v>스위치플랜</x:v>
      </x:c>
      <x:c r="C50" s="24" t="str">
        <x:v>145가1796</x:v>
      </x:c>
      <x:c r="D50" s="24" t="str">
        <x:v>SW-C-145가1796-1-20250626-79</x:v>
      </x:c>
      <x:c r="E50" s="24" t="str">
        <x:v>정유림</x:v>
      </x:c>
      <x:c r="F50" s="31" t="n">
        <x:v>2</x:v>
      </x:c>
      <x:c r="G50" s="32" t="n">
        <x:v>1070000</x:v>
      </x:c>
      <x:c r="H50" s="30" t="n">
        <x:v>46078</x:v>
      </x:c>
      <x:c r="I50" s="31" t="n">
        <x:v>171</x:v>
      </x:c>
      <x:c r="J50" s="24" t="str"/>
      <x:c r="K50" s="24" t="str"/>
      <x:c r="L50" s="30"/>
      <x:c r="M50" s="24" t="str">
        <x:v>보험 자료 없음</x:v>
      </x:c>
      <x:c r="N50" s="24" t="str"/>
      <x:c r="O50" s="24" t="str"/>
      <x:c r="P50" s="24" t="str"/>
      <x:c r="Q50" s="24" t="str">
        <x:v>검토전</x:v>
      </x:c>
      <x:c r="R50" s="24" t="str"/>
      <x:c r="S50" s="24" t="str">
        <x:v>미수 확인</x:v>
      </x:c>
      <x:c r="T50" s="30"/>
      <x:c r="U50" s="30"/>
      <x:c r="V50" s="24" t="str"/>
    </x:row>
    <x:row r="51" ht="17.25" customHeight="1">
      <x:c r="A51" s="24" t="str">
        <x:v>R-0050</x:v>
      </x:c>
      <x:c r="B51" s="24" t="str">
        <x:v>스위치플랜</x:v>
      </x:c>
      <x:c r="C51" s="24" t="str">
        <x:v>155라6331</x:v>
      </x:c>
      <x:c r="D51" s="24" t="str">
        <x:v>SW-C-155라6331-1-20250314-81</x:v>
      </x:c>
      <x:c r="E51" s="24" t="str">
        <x:v>김지현</x:v>
      </x:c>
      <x:c r="F51" s="31" t="n">
        <x:v>4</x:v>
      </x:c>
      <x:c r="G51" s="32" t="n">
        <x:v>10000</x:v>
      </x:c>
      <x:c r="H51" s="30" t="n">
        <x:v>46037</x:v>
      </x:c>
      <x:c r="I51" s="31" t="n">
        <x:v>212</x:v>
      </x:c>
      <x:c r="J51" s="24" t="str"/>
      <x:c r="K51" s="24" t="str"/>
      <x:c r="L51" s="30"/>
      <x:c r="M51" s="24" t="str">
        <x:v>보험 자료 없음</x:v>
      </x:c>
      <x:c r="N51" s="24" t="str"/>
      <x:c r="O51" s="24" t="str"/>
      <x:c r="P51" s="24" t="str"/>
      <x:c r="Q51" s="24" t="str">
        <x:v>검토전</x:v>
      </x:c>
      <x:c r="R51" s="24" t="str"/>
      <x:c r="S51" s="24" t="str">
        <x:v>미수 확인</x:v>
      </x:c>
      <x:c r="T51" s="30"/>
      <x:c r="U51" s="30"/>
      <x:c r="V51" s="24" t="str"/>
    </x:row>
    <x:row r="52" ht="17.25" customHeight="1">
      <x:c r="A52" s="24" t="str">
        <x:v>R-0051</x:v>
      </x:c>
      <x:c r="B52" s="24" t="str">
        <x:v>스위치플랜</x:v>
      </x:c>
      <x:c r="C52" s="24" t="str">
        <x:v>248너5286</x:v>
      </x:c>
      <x:c r="D52" s="24" t="str">
        <x:v>SW-C-248너5286-1-20240223-82</x:v>
      </x:c>
      <x:c r="E52" s="24" t="str">
        <x:v>김후집</x:v>
      </x:c>
      <x:c r="F52" s="31" t="n">
        <x:v>1</x:v>
      </x:c>
      <x:c r="G52" s="32" t="n">
        <x:v>1500000</x:v>
      </x:c>
      <x:c r="H52" s="30" t="n">
        <x:v>46259</x:v>
      </x:c>
      <x:c r="I52" s="31" t="n">
        <x:v>0</x:v>
      </x:c>
      <x:c r="J52" s="24" t="str"/>
      <x:c r="K52" s="24" t="str"/>
      <x:c r="L52" s="30"/>
      <x:c r="M52" s="24" t="str">
        <x:v>보험 자료 없음</x:v>
      </x:c>
      <x:c r="N52" s="24" t="str"/>
      <x:c r="O52" s="24" t="str"/>
      <x:c r="P52" s="24" t="str"/>
      <x:c r="Q52" s="24" t="str">
        <x:v>검토전</x:v>
      </x:c>
      <x:c r="R52" s="24" t="str"/>
      <x:c r="S52" s="24" t="str">
        <x:v>미수 확인</x:v>
      </x:c>
      <x:c r="T52" s="30"/>
      <x:c r="U52" s="30"/>
      <x:c r="V52" s="24" t="str"/>
    </x:row>
    <x:row r="53" ht="17.25" customHeight="1">
      <x:c r="A53" s="24" t="str">
        <x:v>R-0052</x:v>
      </x:c>
      <x:c r="B53" s="24" t="str">
        <x:v>스위치플랜</x:v>
      </x:c>
      <x:c r="C53" s="24" t="str">
        <x:v>827버3872</x:v>
      </x:c>
      <x:c r="D53" s="24" t="str">
        <x:v>SW-C-827버3872-1-20240528-84</x:v>
      </x:c>
      <x:c r="E53" s="24" t="str">
        <x:v>전국연합누수119</x:v>
      </x:c>
      <x:c r="F53" s="31" t="n">
        <x:v>11</x:v>
      </x:c>
      <x:c r="G53" s="32" t="n">
        <x:v>660000</x:v>
      </x:c>
      <x:c r="H53" s="30"/>
      <x:c r="I53" s="31" t="n">
        <x:v>0</x:v>
      </x:c>
      <x:c r="J53" s="24" t="str"/>
      <x:c r="K53" s="24" t="str"/>
      <x:c r="L53" s="30"/>
      <x:c r="M53" s="24" t="str">
        <x:v>보험 자료 없음</x:v>
      </x:c>
      <x:c r="N53" s="24" t="str"/>
      <x:c r="O53" s="24" t="str"/>
      <x:c r="P53" s="24" t="str"/>
      <x:c r="Q53" s="24" t="str">
        <x:v>검토전</x:v>
      </x:c>
      <x:c r="R53" s="24" t="str"/>
      <x:c r="S53" s="24" t="str">
        <x:v>미수 확인</x:v>
      </x:c>
      <x:c r="T53" s="30"/>
      <x:c r="U53" s="30"/>
      <x:c r="V53" s="24" t="str"/>
    </x:row>
    <x:row r="54" ht="17.25" customHeight="1">
      <x:c r="A54" s="24" t="str">
        <x:v>R-0053</x:v>
      </x:c>
      <x:c r="B54" s="24" t="str">
        <x:v>스위치플랜</x:v>
      </x:c>
      <x:c r="C54" s="24" t="str">
        <x:v>288수6402</x:v>
      </x:c>
      <x:c r="D54" s="24" t="str">
        <x:v>SW-C-288수6402-1-20260324-86</x:v>
      </x:c>
      <x:c r="E54" s="24" t="str">
        <x:v>김서운</x:v>
      </x:c>
      <x:c r="F54" s="31" t="n">
        <x:v>1</x:v>
      </x:c>
      <x:c r="G54" s="32" t="n">
        <x:v>730000</x:v>
      </x:c>
      <x:c r="H54" s="30" t="n">
        <x:v>46249</x:v>
      </x:c>
      <x:c r="I54" s="31" t="n">
        <x:v>0</x:v>
      </x:c>
      <x:c r="J54" s="24" t="str"/>
      <x:c r="K54" s="24" t="str"/>
      <x:c r="L54" s="30"/>
      <x:c r="M54" s="24" t="str">
        <x:v>보험 자료 없음</x:v>
      </x:c>
      <x:c r="N54" s="24" t="str"/>
      <x:c r="O54" s="24" t="str"/>
      <x:c r="P54" s="24" t="str"/>
      <x:c r="Q54" s="24" t="str">
        <x:v>검토전</x:v>
      </x:c>
      <x:c r="R54" s="24" t="str"/>
      <x:c r="S54" s="24" t="str">
        <x:v>미수 확인</x:v>
      </x:c>
      <x:c r="T54" s="30"/>
      <x:c r="U54" s="30"/>
      <x:c r="V54" s="24" t="str"/>
    </x:row>
    <x:row r="55" ht="17.25" customHeight="1">
      <x:c r="A55" s="24" t="str">
        <x:v>R-0054</x:v>
      </x:c>
      <x:c r="B55" s="24" t="str">
        <x:v>스위치플랜</x:v>
      </x:c>
      <x:c r="C55" s="24" t="str">
        <x:v>244루2757</x:v>
      </x:c>
      <x:c r="D55" s="24" t="str">
        <x:v>SW-C-244루2757-1-20260318-87</x:v>
      </x:c>
      <x:c r="E55" s="24" t="str">
        <x:v>홍이삭</x:v>
      </x:c>
      <x:c r="F55" s="31" t="n">
        <x:v>1</x:v>
      </x:c>
      <x:c r="G55" s="32" t="n">
        <x:v>380000</x:v>
      </x:c>
      <x:c r="H55" s="30" t="n">
        <x:v>46254</x:v>
      </x:c>
      <x:c r="I55" s="31" t="n">
        <x:v>0</x:v>
      </x:c>
      <x:c r="J55" s="24" t="str"/>
      <x:c r="K55" s="24" t="str"/>
      <x:c r="L55" s="30"/>
      <x:c r="M55" s="24" t="str">
        <x:v>보험 자료 없음</x:v>
      </x:c>
      <x:c r="N55" s="24" t="str"/>
      <x:c r="O55" s="24" t="str"/>
      <x:c r="P55" s="24" t="str"/>
      <x:c r="Q55" s="24" t="str">
        <x:v>검토전</x:v>
      </x:c>
      <x:c r="R55" s="24" t="str"/>
      <x:c r="S55" s="24" t="str">
        <x:v>미수 확인</x:v>
      </x:c>
      <x:c r="T55" s="30"/>
      <x:c r="U55" s="30"/>
      <x:c r="V55" s="24" t="str"/>
    </x:row>
    <x:row r="56" ht="17.25" customHeight="1">
      <x:c r="A56" s="24" t="str">
        <x:v>R-0055</x:v>
      </x:c>
      <x:c r="B56" s="24" t="str">
        <x:v>스위치플랜</x:v>
      </x:c>
      <x:c r="C56" s="24" t="str">
        <x:v>330모8787</x:v>
      </x:c>
      <x:c r="D56" s="24" t="str">
        <x:v>SW-C-330모8787-1-20250524-88</x:v>
      </x:c>
      <x:c r="E56" s="24" t="str">
        <x:v>이상원</x:v>
      </x:c>
      <x:c r="F56" s="31" t="n">
        <x:v>0</x:v>
      </x:c>
      <x:c r="G56" s="32" t="n">
        <x:v>0</x:v>
      </x:c>
      <x:c r="H56" s="30"/>
      <x:c r="I56" s="31" t="n">
        <x:v>0</x:v>
      </x:c>
      <x:c r="J56" s="24" t="str"/>
      <x:c r="K56" s="24" t="str">
        <x:v>만기 임박</x:v>
      </x:c>
      <x:c r="L56" s="30"/>
      <x:c r="M56" s="24" t="str">
        <x:v>보험 자료 없음</x:v>
      </x:c>
      <x:c r="N56" s="24" t="str"/>
      <x:c r="O56" s="24" t="str"/>
      <x:c r="P56" s="24" t="str"/>
      <x:c r="Q56" s="24" t="str">
        <x:v>검토전</x:v>
      </x:c>
      <x:c r="R56" s="24" t="str"/>
      <x:c r="S56" s="24" t="str">
        <x:v>보험 연령 입력</x:v>
      </x:c>
      <x:c r="T56" s="30"/>
      <x:c r="U56" s="30"/>
      <x:c r="V56" s="24" t="str"/>
    </x:row>
    <x:row r="57" ht="17.25" customHeight="1">
      <x:c r="A57" s="24" t="str">
        <x:v>R-0056</x:v>
      </x:c>
      <x:c r="B57" s="24" t="str">
        <x:v>스위치플랜</x:v>
      </x:c>
      <x:c r="C57" s="24" t="str">
        <x:v>186고4026</x:v>
      </x:c>
      <x:c r="D57" s="24" t="str">
        <x:v>SW-C-186고4026-1-20240530-89</x:v>
      </x:c>
      <x:c r="E57" s="24" t="str">
        <x:v>김경호</x:v>
      </x:c>
      <x:c r="F57" s="31" t="n">
        <x:v>1</x:v>
      </x:c>
      <x:c r="G57" s="32" t="n">
        <x:v>1100000</x:v>
      </x:c>
      <x:c r="H57" s="30"/>
      <x:c r="I57" s="31" t="n">
        <x:v>0</x:v>
      </x:c>
      <x:c r="J57" s="24" t="str"/>
      <x:c r="K57" s="24" t="str"/>
      <x:c r="L57" s="30"/>
      <x:c r="M57" s="24" t="str">
        <x:v>보험 자료 없음</x:v>
      </x:c>
      <x:c r="N57" s="24" t="str"/>
      <x:c r="O57" s="24" t="str"/>
      <x:c r="P57" s="24" t="str"/>
      <x:c r="Q57" s="24" t="str">
        <x:v>검토전</x:v>
      </x:c>
      <x:c r="R57" s="24" t="str"/>
      <x:c r="S57" s="24" t="str">
        <x:v>미수 확인</x:v>
      </x:c>
      <x:c r="T57" s="30"/>
      <x:c r="U57" s="30"/>
      <x:c r="V57" s="24" t="str"/>
    </x:row>
    <x:row r="58" ht="17.25" customHeight="1">
      <x:c r="A58" s="24" t="str">
        <x:v>R-0057</x:v>
      </x:c>
      <x:c r="B58" s="24" t="str">
        <x:v>스위치플랜</x:v>
      </x:c>
      <x:c r="C58" s="24" t="str">
        <x:v>151나8783</x:v>
      </x:c>
      <x:c r="D58" s="24" t="str">
        <x:v>SW-C-151나8783-1-20260410-90</x:v>
      </x:c>
      <x:c r="E58" s="24" t="str">
        <x:v>황우정</x:v>
      </x:c>
      <x:c r="F58" s="31" t="n">
        <x:v>2</x:v>
      </x:c>
      <x:c r="G58" s="32" t="n">
        <x:v>1760000</x:v>
      </x:c>
      <x:c r="H58" s="30" t="n">
        <x:v>46223</x:v>
      </x:c>
      <x:c r="I58" s="31" t="n">
        <x:v>26</x:v>
      </x:c>
      <x:c r="J58" s="24" t="str"/>
      <x:c r="K58" s="24" t="str">
        <x:v>회수 판단</x:v>
      </x:c>
      <x:c r="L58" s="30"/>
      <x:c r="M58" s="24" t="str">
        <x:v>보험 자료 없음</x:v>
      </x:c>
      <x:c r="N58" s="24" t="str"/>
      <x:c r="O58" s="24" t="str"/>
      <x:c r="P58" s="24" t="str"/>
      <x:c r="Q58" s="24" t="str">
        <x:v>검토전</x:v>
      </x:c>
      <x:c r="R58" s="24" t="str"/>
      <x:c r="S58" s="24" t="str">
        <x:v>회수 검토</x:v>
      </x:c>
      <x:c r="T58" s="30"/>
      <x:c r="U58" s="30"/>
      <x:c r="V58" s="24" t="str"/>
    </x:row>
    <x:row r="59" ht="17.25" customHeight="1">
      <x:c r="A59" s="24" t="str">
        <x:v>R-0058</x:v>
      </x:c>
      <x:c r="B59" s="24" t="str">
        <x:v>스위치플랜</x:v>
      </x:c>
      <x:c r="C59" s="24" t="str">
        <x:v>181조8459</x:v>
      </x:c>
      <x:c r="D59" s="24" t="str">
        <x:v>SW-C-181조8459-1-20260420-91</x:v>
      </x:c>
      <x:c r="E59" s="24" t="str">
        <x:v>배성호</x:v>
      </x:c>
      <x:c r="F59" s="31" t="n">
        <x:v>1</x:v>
      </x:c>
      <x:c r="G59" s="32" t="n">
        <x:v>70000</x:v>
      </x:c>
      <x:c r="H59" s="30" t="n">
        <x:v>46254</x:v>
      </x:c>
      <x:c r="I59" s="31" t="n">
        <x:v>0</x:v>
      </x:c>
      <x:c r="J59" s="24" t="str"/>
      <x:c r="K59" s="24" t="str"/>
      <x:c r="L59" s="30"/>
      <x:c r="M59" s="24" t="str">
        <x:v>보험 자료 없음</x:v>
      </x:c>
      <x:c r="N59" s="24" t="str"/>
      <x:c r="O59" s="24" t="str"/>
      <x:c r="P59" s="24" t="str"/>
      <x:c r="Q59" s="24" t="str">
        <x:v>검토전</x:v>
      </x:c>
      <x:c r="R59" s="24" t="str"/>
      <x:c r="S59" s="24" t="str">
        <x:v>미수 확인</x:v>
      </x:c>
      <x:c r="T59" s="30"/>
      <x:c r="U59" s="30"/>
      <x:c r="V59" s="24" t="str"/>
    </x:row>
    <x:row r="60" ht="17.25" customHeight="1">
      <x:c r="A60" s="24" t="str">
        <x:v>R-0059</x:v>
      </x:c>
      <x:c r="B60" s="24" t="str">
        <x:v>스위치플랜</x:v>
      </x:c>
      <x:c r="C60" s="24" t="str">
        <x:v>120라5445</x:v>
      </x:c>
      <x:c r="D60" s="24" t="str">
        <x:v>SW-C-120라5445-1-20231208-92</x:v>
      </x:c>
      <x:c r="E60" s="24" t="str">
        <x:v>백민정</x:v>
      </x:c>
      <x:c r="F60" s="31" t="n">
        <x:v>5</x:v>
      </x:c>
      <x:c r="G60" s="32" t="n">
        <x:v>540000</x:v>
      </x:c>
      <x:c r="H60" s="30" t="n">
        <x:v>45945</x:v>
      </x:c>
      <x:c r="I60" s="31" t="n">
        <x:v>304</x:v>
      </x:c>
      <x:c r="J60" s="24" t="str"/>
      <x:c r="K60" s="24" t="str"/>
      <x:c r="L60" s="30"/>
      <x:c r="M60" s="24" t="str">
        <x:v>보험 자료 없음</x:v>
      </x:c>
      <x:c r="N60" s="24" t="str"/>
      <x:c r="O60" s="24" t="str"/>
      <x:c r="P60" s="24" t="str"/>
      <x:c r="Q60" s="24" t="str">
        <x:v>검토전</x:v>
      </x:c>
      <x:c r="R60" s="24" t="str"/>
      <x:c r="S60" s="24" t="str">
        <x:v>미수 확인</x:v>
      </x:c>
      <x:c r="T60" s="30"/>
      <x:c r="U60" s="30"/>
      <x:c r="V60" s="24" t="str"/>
    </x:row>
    <x:row r="61" ht="17.25" customHeight="1">
      <x:c r="A61" s="24" t="str">
        <x:v>R-0060</x:v>
      </x:c>
      <x:c r="B61" s="24" t="str">
        <x:v>스위치플랜</x:v>
      </x:c>
      <x:c r="C61" s="24" t="str">
        <x:v>363소9788</x:v>
      </x:c>
      <x:c r="D61" s="24" t="str">
        <x:v>SW-C-363소9788-1-20250529-93</x:v>
      </x:c>
      <x:c r="E61" s="24" t="str">
        <x:v>김기남</x:v>
      </x:c>
      <x:c r="F61" s="31" t="n">
        <x:v>1</x:v>
      </x:c>
      <x:c r="G61" s="32" t="n">
        <x:v>360000</x:v>
      </x:c>
      <x:c r="H61" s="30" t="n">
        <x:v>46259</x:v>
      </x:c>
      <x:c r="I61" s="31" t="n">
        <x:v>0</x:v>
      </x:c>
      <x:c r="J61" s="24" t="str"/>
      <x:c r="K61" s="24" t="str"/>
      <x:c r="L61" s="30"/>
      <x:c r="M61" s="24" t="str">
        <x:v>보험 자료 없음</x:v>
      </x:c>
      <x:c r="N61" s="24" t="str"/>
      <x:c r="O61" s="24" t="str"/>
      <x:c r="P61" s="24" t="str"/>
      <x:c r="Q61" s="24" t="str">
        <x:v>검토전</x:v>
      </x:c>
      <x:c r="R61" s="24" t="str"/>
      <x:c r="S61" s="24" t="str">
        <x:v>미수 확인</x:v>
      </x:c>
      <x:c r="T61" s="30"/>
      <x:c r="U61" s="30"/>
      <x:c r="V61" s="24" t="str"/>
    </x:row>
    <x:row r="62" ht="17.25" customHeight="1">
      <x:c r="A62" s="24" t="str">
        <x:v>R-0061</x:v>
      </x:c>
      <x:c r="B62" s="24" t="str">
        <x:v>스위치플랜</x:v>
      </x:c>
      <x:c r="C62" s="24" t="str">
        <x:v>286주8294</x:v>
      </x:c>
      <x:c r="D62" s="24" t="str">
        <x:v>SW-C-286주8294-1-20250328-95</x:v>
      </x:c>
      <x:c r="E62" s="24" t="str">
        <x:v>성진우</x:v>
      </x:c>
      <x:c r="F62" s="31" t="n">
        <x:v>1</x:v>
      </x:c>
      <x:c r="G62" s="32" t="n">
        <x:v>1020000</x:v>
      </x:c>
      <x:c r="H62" s="30" t="n">
        <x:v>46249</x:v>
      </x:c>
      <x:c r="I62" s="31" t="n">
        <x:v>0</x:v>
      </x:c>
      <x:c r="J62" s="24" t="str"/>
      <x:c r="K62" s="24" t="str"/>
      <x:c r="L62" s="30"/>
      <x:c r="M62" s="24" t="str">
        <x:v>보험 자료 없음</x:v>
      </x:c>
      <x:c r="N62" s="24" t="str"/>
      <x:c r="O62" s="24" t="str"/>
      <x:c r="P62" s="24" t="str"/>
      <x:c r="Q62" s="24" t="str">
        <x:v>검토전</x:v>
      </x:c>
      <x:c r="R62" s="24" t="str"/>
      <x:c r="S62" s="24" t="str">
        <x:v>미수 확인</x:v>
      </x:c>
      <x:c r="T62" s="30"/>
      <x:c r="U62" s="30"/>
      <x:c r="V62" s="24" t="str"/>
    </x:row>
    <x:row r="63" ht="17.25" customHeight="1">
      <x:c r="A63" s="24" t="str">
        <x:v>R-0062</x:v>
      </x:c>
      <x:c r="B63" s="24" t="str">
        <x:v>스위치플랜</x:v>
      </x:c>
      <x:c r="C63" s="24" t="str">
        <x:v>347다5712</x:v>
      </x:c>
      <x:c r="D63" s="24" t="str">
        <x:v>SW-C-347다5712-1-20240319-96</x:v>
      </x:c>
      <x:c r="E63" s="24" t="str">
        <x:v>이은진</x:v>
      </x:c>
      <x:c r="F63" s="31" t="n">
        <x:v>1</x:v>
      </x:c>
      <x:c r="G63" s="32" t="n">
        <x:v>510000</x:v>
      </x:c>
      <x:c r="H63" s="30" t="n">
        <x:v>46254</x:v>
      </x:c>
      <x:c r="I63" s="31" t="n">
        <x:v>0</x:v>
      </x:c>
      <x:c r="J63" s="24" t="str"/>
      <x:c r="K63" s="24" t="str"/>
      <x:c r="L63" s="30"/>
      <x:c r="M63" s="24" t="str">
        <x:v>보험 자료 없음</x:v>
      </x:c>
      <x:c r="N63" s="24" t="str"/>
      <x:c r="O63" s="24" t="str"/>
      <x:c r="P63" s="24" t="str"/>
      <x:c r="Q63" s="24" t="str">
        <x:v>검토전</x:v>
      </x:c>
      <x:c r="R63" s="24" t="str"/>
      <x:c r="S63" s="24" t="str">
        <x:v>미수 확인</x:v>
      </x:c>
      <x:c r="T63" s="30"/>
      <x:c r="U63" s="30"/>
      <x:c r="V63" s="24" t="str"/>
    </x:row>
    <x:row r="64" ht="17.25" customHeight="1">
      <x:c r="A64" s="24" t="str">
        <x:v>R-0063</x:v>
      </x:c>
      <x:c r="B64" s="24" t="str">
        <x:v>스위치플랜</x:v>
      </x:c>
      <x:c r="C64" s="24" t="str">
        <x:v>126서4223</x:v>
      </x:c>
      <x:c r="D64" s="24" t="str">
        <x:v>SW-C-126서4223-1-20260616-98</x:v>
      </x:c>
      <x:c r="E64" s="24" t="str">
        <x:v>김민창</x:v>
      </x:c>
      <x:c r="F64" s="31" t="n">
        <x:v>6</x:v>
      </x:c>
      <x:c r="G64" s="32" t="n">
        <x:v>720000</x:v>
      </x:c>
      <x:c r="H64" s="30" t="n">
        <x:v>46068</x:v>
      </x:c>
      <x:c r="I64" s="31" t="n">
        <x:v>181</x:v>
      </x:c>
      <x:c r="J64" s="24" t="str"/>
      <x:c r="K64" s="24" t="str"/>
      <x:c r="L64" s="30"/>
      <x:c r="M64" s="24" t="str">
        <x:v>보험 자료 없음</x:v>
      </x:c>
      <x:c r="N64" s="24" t="str"/>
      <x:c r="O64" s="24" t="str"/>
      <x:c r="P64" s="24" t="str"/>
      <x:c r="Q64" s="24" t="str">
        <x:v>검토전</x:v>
      </x:c>
      <x:c r="R64" s="24" t="str"/>
      <x:c r="S64" s="24" t="str">
        <x:v>미수 확인</x:v>
      </x:c>
      <x:c r="T64" s="30"/>
      <x:c r="U64" s="30"/>
      <x:c r="V64" s="24" t="str"/>
    </x:row>
    <x:row r="65" ht="17.25" customHeight="1">
      <x:c r="A65" s="24" t="str">
        <x:v>R-0064</x:v>
      </x:c>
      <x:c r="B65" s="24" t="str">
        <x:v>스위치플랜</x:v>
      </x:c>
      <x:c r="C65" s="24" t="str">
        <x:v>391서7476</x:v>
      </x:c>
      <x:c r="D65" s="24" t="str">
        <x:v>SW-C-391서7476-1-20260115-99</x:v>
      </x:c>
      <x:c r="E65" s="24" t="str">
        <x:v>태재완</x:v>
      </x:c>
      <x:c r="F65" s="31" t="n">
        <x:v>3</x:v>
      </x:c>
      <x:c r="G65" s="32" t="n">
        <x:v>1760000</x:v>
      </x:c>
      <x:c r="H65" s="30" t="n">
        <x:v>46188</x:v>
      </x:c>
      <x:c r="I65" s="31" t="n">
        <x:v>61</x:v>
      </x:c>
      <x:c r="J65" s="24" t="str"/>
      <x:c r="K65" s="24" t="str">
        <x:v>회수 판단</x:v>
      </x:c>
      <x:c r="L65" s="30"/>
      <x:c r="M65" s="24" t="str">
        <x:v>보험 자료 없음</x:v>
      </x:c>
      <x:c r="N65" s="24" t="str"/>
      <x:c r="O65" s="24" t="str"/>
      <x:c r="P65" s="24" t="str"/>
      <x:c r="Q65" s="24" t="str">
        <x:v>검토전</x:v>
      </x:c>
      <x:c r="R65" s="24" t="str"/>
      <x:c r="S65" s="24" t="str">
        <x:v>회수 검토</x:v>
      </x:c>
      <x:c r="T65" s="30"/>
      <x:c r="U65" s="30"/>
      <x:c r="V65" s="24" t="str"/>
    </x:row>
    <x:row r="66" ht="17.25" customHeight="1">
      <x:c r="A66" s="24" t="str">
        <x:v>R-0065</x:v>
      </x:c>
      <x:c r="B66" s="24" t="str">
        <x:v>스위치플랜</x:v>
      </x:c>
      <x:c r="C66" s="24" t="str">
        <x:v>139우7166</x:v>
      </x:c>
      <x:c r="D66" s="24" t="str">
        <x:v>SW-C-139우7166-1-20231127-100</x:v>
      </x:c>
      <x:c r="E66" s="24" t="str">
        <x:v>박진택</x:v>
      </x:c>
      <x:c r="F66" s="31" t="n">
        <x:v>6</x:v>
      </x:c>
      <x:c r="G66" s="32" t="n">
        <x:v>1500000</x:v>
      </x:c>
      <x:c r="H66" s="30" t="n">
        <x:v>46016</x:v>
      </x:c>
      <x:c r="I66" s="31" t="n">
        <x:v>233</x:v>
      </x:c>
      <x:c r="J66" s="24" t="str"/>
      <x:c r="K66" s="24" t="str">
        <x:v>회수 판단</x:v>
      </x:c>
      <x:c r="L66" s="30"/>
      <x:c r="M66" s="24" t="str">
        <x:v>보험 자료 없음</x:v>
      </x:c>
      <x:c r="N66" s="24" t="str"/>
      <x:c r="O66" s="24" t="str"/>
      <x:c r="P66" s="24" t="str"/>
      <x:c r="Q66" s="24" t="str">
        <x:v>검토전</x:v>
      </x:c>
      <x:c r="R66" s="24" t="str"/>
      <x:c r="S66" s="24" t="str">
        <x:v>회수 검토</x:v>
      </x:c>
      <x:c r="T66" s="30"/>
      <x:c r="U66" s="30"/>
      <x:c r="V66" s="24" t="str"/>
    </x:row>
    <x:row r="67" ht="17.25" customHeight="1">
      <x:c r="A67" s="24" t="str">
        <x:v>R-0066</x:v>
      </x:c>
      <x:c r="B67" s="24" t="str">
        <x:v>스위치플랜</x:v>
      </x:c>
      <x:c r="C67" s="24" t="str">
        <x:v>41호8303</x:v>
      </x:c>
      <x:c r="D67" s="24" t="str">
        <x:v>SW-C-41호8303-1-20260226-104</x:v>
      </x:c>
      <x:c r="E67" s="24" t="str">
        <x:v>또바기</x:v>
      </x:c>
      <x:c r="F67" s="31" t="n">
        <x:v>1</x:v>
      </x:c>
      <x:c r="G67" s="32" t="n">
        <x:v>700000</x:v>
      </x:c>
      <x:c r="H67" s="30" t="n">
        <x:v>46259</x:v>
      </x:c>
      <x:c r="I67" s="31" t="n">
        <x:v>0</x:v>
      </x:c>
      <x:c r="J67" s="24" t="str"/>
      <x:c r="K67" s="24" t="str"/>
      <x:c r="L67" s="30"/>
      <x:c r="M67" s="24" t="str">
        <x:v>보험 자료 없음</x:v>
      </x:c>
      <x:c r="N67" s="24" t="str"/>
      <x:c r="O67" s="24" t="str"/>
      <x:c r="P67" s="24" t="str"/>
      <x:c r="Q67" s="24" t="str">
        <x:v>검토전</x:v>
      </x:c>
      <x:c r="R67" s="24" t="str"/>
      <x:c r="S67" s="24" t="str">
        <x:v>미수 확인</x:v>
      </x:c>
      <x:c r="T67" s="30"/>
      <x:c r="U67" s="30"/>
      <x:c r="V67" s="24" t="str"/>
    </x:row>
    <x:row r="68" ht="17.25" customHeight="1">
      <x:c r="A68" s="24" t="str">
        <x:v>R-0067</x:v>
      </x:c>
      <x:c r="B68" s="24" t="str">
        <x:v>스위치플랜</x:v>
      </x:c>
      <x:c r="C68" s="24" t="str">
        <x:v>41호8307</x:v>
      </x:c>
      <x:c r="D68" s="24" t="str">
        <x:v>SW-C-41호8307-1-20260310-107</x:v>
      </x:c>
      <x:c r="E68" s="24" t="str">
        <x:v>박진용</x:v>
      </x:c>
      <x:c r="F68" s="31" t="n">
        <x:v>1</x:v>
      </x:c>
      <x:c r="G68" s="32" t="n">
        <x:v>700000</x:v>
      </x:c>
      <x:c r="H68" s="30" t="n">
        <x:v>46244</x:v>
      </x:c>
      <x:c r="I68" s="31" t="n">
        <x:v>5</x:v>
      </x:c>
      <x:c r="J68" s="24" t="str"/>
      <x:c r="K68" s="24" t="str">
        <x:v>독촉 5일</x:v>
      </x:c>
      <x:c r="L68" s="30"/>
      <x:c r="M68" s="24" t="str">
        <x:v>보험 자료 없음</x:v>
      </x:c>
      <x:c r="N68" s="24" t="str"/>
      <x:c r="O68" s="24" t="str"/>
      <x:c r="P68" s="24" t="str"/>
      <x:c r="Q68" s="24" t="str">
        <x:v>검토전</x:v>
      </x:c>
      <x:c r="R68" s="24" t="str"/>
      <x:c r="S68" s="24" t="str">
        <x:v>미수 확인</x:v>
      </x:c>
      <x:c r="T68" s="30"/>
      <x:c r="U68" s="30"/>
      <x:c r="V68" s="24" t="str"/>
    </x:row>
    <x:row r="69" ht="17.25" customHeight="1">
      <x:c r="A69" s="24" t="str">
        <x:v>R-0068</x:v>
      </x:c>
      <x:c r="B69" s="24" t="str">
        <x:v>스위치플랜</x:v>
      </x:c>
      <x:c r="C69" s="24" t="str">
        <x:v>17하3915</x:v>
      </x:c>
      <x:c r="D69" s="24" t="str">
        <x:v>SW-C-17하3915-1-20260415-108</x:v>
      </x:c>
      <x:c r="E69" s="24" t="str">
        <x:v>천설</x:v>
      </x:c>
      <x:c r="F69" s="31" t="n">
        <x:v>1</x:v>
      </x:c>
      <x:c r="G69" s="32" t="n">
        <x:v>730000</x:v>
      </x:c>
      <x:c r="H69" s="30" t="n">
        <x:v>46249</x:v>
      </x:c>
      <x:c r="I69" s="31" t="n">
        <x:v>0</x:v>
      </x:c>
      <x:c r="J69" s="24" t="str"/>
      <x:c r="K69" s="24" t="str"/>
      <x:c r="L69" s="30"/>
      <x:c r="M69" s="24" t="str">
        <x:v>보험 자료 없음</x:v>
      </x:c>
      <x:c r="N69" s="24" t="str"/>
      <x:c r="O69" s="24" t="str"/>
      <x:c r="P69" s="24" t="str"/>
      <x:c r="Q69" s="24" t="str">
        <x:v>검토전</x:v>
      </x:c>
      <x:c r="R69" s="24" t="str"/>
      <x:c r="S69" s="24" t="str">
        <x:v>미수 확인</x:v>
      </x:c>
      <x:c r="T69" s="30"/>
      <x:c r="U69" s="30"/>
      <x:c r="V69" s="24" t="str"/>
    </x:row>
    <x:row r="70" ht="17.25" customHeight="1">
      <x:c r="A70" s="24" t="str">
        <x:v>R-0069</x:v>
      </x:c>
      <x:c r="B70" s="24" t="str">
        <x:v>스위치플랜</x:v>
      </x:c>
      <x:c r="C70" s="24" t="str">
        <x:v>17하3922</x:v>
      </x:c>
      <x:c r="D70" s="24" t="str">
        <x:v>SW-C-17하3922-1-20260227-109</x:v>
      </x:c>
      <x:c r="E70" s="24" t="str">
        <x:v>김상호</x:v>
      </x:c>
      <x:c r="F70" s="31" t="n">
        <x:v>3</x:v>
      </x:c>
      <x:c r="G70" s="32" t="n">
        <x:v>1600000</x:v>
      </x:c>
      <x:c r="H70" s="30" t="n">
        <x:v>46198</x:v>
      </x:c>
      <x:c r="I70" s="31" t="n">
        <x:v>51</x:v>
      </x:c>
      <x:c r="J70" s="24" t="str"/>
      <x:c r="K70" s="24" t="str">
        <x:v>회수 판단</x:v>
      </x:c>
      <x:c r="L70" s="30"/>
      <x:c r="M70" s="24" t="str">
        <x:v>보험 자료 없음</x:v>
      </x:c>
      <x:c r="N70" s="24" t="str"/>
      <x:c r="O70" s="24" t="str"/>
      <x:c r="P70" s="24" t="str"/>
      <x:c r="Q70" s="24" t="str">
        <x:v>검토전</x:v>
      </x:c>
      <x:c r="R70" s="24" t="str"/>
      <x:c r="S70" s="24" t="str">
        <x:v>회수 검토</x:v>
      </x:c>
      <x:c r="T70" s="30"/>
      <x:c r="U70" s="30"/>
      <x:c r="V70" s="24" t="str"/>
    </x:row>
    <x:row r="71" ht="17.25" customHeight="1">
      <x:c r="A71" s="24" t="str">
        <x:v>R-0070</x:v>
      </x:c>
      <x:c r="B71" s="24" t="str">
        <x:v>스위치플랜</x:v>
      </x:c>
      <x:c r="C71" s="24" t="str">
        <x:v>75두7416</x:v>
      </x:c>
      <x:c r="D71" s="24" t="str">
        <x:v>SW-C-75두7416-1-26-110</x:v>
      </x:c>
      <x:c r="E71" s="24" t="str">
        <x:v>이훈7416</x:v>
      </x:c>
      <x:c r="F71" s="31" t="n">
        <x:v>4</x:v>
      </x:c>
      <x:c r="G71" s="32" t="n">
        <x:v>2520000</x:v>
      </x:c>
      <x:c r="H71" s="30"/>
      <x:c r="I71" s="31" t="n">
        <x:v>0</x:v>
      </x:c>
      <x:c r="J71" s="24" t="str"/>
      <x:c r="K71" s="24" t="str">
        <x:v>회수 판단</x:v>
      </x:c>
      <x:c r="L71" s="30"/>
      <x:c r="M71" s="24" t="str">
        <x:v>보험 자료 없음</x:v>
      </x:c>
      <x:c r="N71" s="24" t="str"/>
      <x:c r="O71" s="24" t="str"/>
      <x:c r="P71" s="24" t="str"/>
      <x:c r="Q71" s="24" t="str">
        <x:v>검토전</x:v>
      </x:c>
      <x:c r="R71" s="24" t="str"/>
      <x:c r="S71" s="24" t="str">
        <x:v>회수 검토</x:v>
      </x:c>
      <x:c r="T71" s="30"/>
      <x:c r="U71" s="30"/>
      <x:c r="V71" s="24" t="str"/>
    </x:row>
    <x:row r="72" ht="17.25" customHeight="1">
      <x:c r="A72" s="24" t="str">
        <x:v>R-0071</x:v>
      </x:c>
      <x:c r="B72" s="24" t="str">
        <x:v>프라임구독</x:v>
      </x:c>
      <x:c r="C72" s="24" t="str">
        <x:v>01도2340</x:v>
      </x:c>
      <x:c r="D72" s="24" t="str">
        <x:v>PR-C-01도2340-1-20230105-3</x:v>
      </x:c>
      <x:c r="E72" s="24" t="str">
        <x:v>이광용</x:v>
      </x:c>
      <x:c r="F72" s="31" t="n">
        <x:v>11</x:v>
      </x:c>
      <x:c r="G72" s="32" t="n">
        <x:v>500000</x:v>
      </x:c>
      <x:c r="H72" s="30" t="n">
        <x:v>45950</x:v>
      </x:c>
      <x:c r="I72" s="31" t="n">
        <x:v>299</x:v>
      </x:c>
      <x:c r="J72" s="24" t="str"/>
      <x:c r="K72" s="24" t="str">
        <x:v>만기 임박</x:v>
      </x:c>
      <x:c r="L72" s="30"/>
      <x:c r="M72" s="24" t="str">
        <x:v>만기 자료 갱신 필요</x:v>
      </x:c>
      <x:c r="N72" s="24" t="str">
        <x:v>010-5634-8321</x:v>
      </x:c>
      <x:c r="O72" s="24" t="str"/>
      <x:c r="P72" s="24" t="str"/>
      <x:c r="Q72" s="24" t="str">
        <x:v>검토전</x:v>
      </x:c>
      <x:c r="R72" s="24" t="str"/>
      <x:c r="S72" s="24" t="str">
        <x:v>미수 확인</x:v>
      </x:c>
      <x:c r="T72" s="30"/>
      <x:c r="U72" s="30"/>
      <x:c r="V72" s="24" t="str"/>
    </x:row>
    <x:row r="73" ht="17.25" customHeight="1">
      <x:c r="A73" s="24" t="str">
        <x:v>R-0072</x:v>
      </x:c>
      <x:c r="B73" s="24" t="str">
        <x:v>프라임구독</x:v>
      </x:c>
      <x:c r="C73" s="24" t="str">
        <x:v>01부3634</x:v>
      </x:c>
      <x:c r="D73" s="24" t="str">
        <x:v>PR-C-01부3634-1-20230821-6</x:v>
      </x:c>
      <x:c r="E73" s="24" t="str">
        <x:v>김창준b</x:v>
      </x:c>
      <x:c r="F73" s="31" t="n">
        <x:v>19</x:v>
      </x:c>
      <x:c r="G73" s="32" t="n">
        <x:v>2896000</x:v>
      </x:c>
      <x:c r="H73" s="30" t="n">
        <x:v>45713</x:v>
      </x:c>
      <x:c r="I73" s="31" t="n">
        <x:v>536</x:v>
      </x:c>
      <x:c r="J73" s="24" t="str"/>
      <x:c r="K73" s="24" t="str">
        <x:v>회수 판단</x:v>
      </x:c>
      <x:c r="L73" s="30"/>
      <x:c r="M73" s="24" t="str">
        <x:v>만기 자료 갱신 필요</x:v>
      </x:c>
      <x:c r="N73" s="24" t="str">
        <x:v>010-3700-8587</x:v>
      </x:c>
      <x:c r="O73" s="24" t="str"/>
      <x:c r="P73" s="24" t="str"/>
      <x:c r="Q73" s="24" t="str">
        <x:v>검토전</x:v>
      </x:c>
      <x:c r="R73" s="24" t="str"/>
      <x:c r="S73" s="24" t="str">
        <x:v>회수 검토</x:v>
      </x:c>
      <x:c r="T73" s="30"/>
      <x:c r="U73" s="30"/>
      <x:c r="V73" s="24" t="str"/>
    </x:row>
    <x:row r="74" ht="17.25" customHeight="1">
      <x:c r="A74" s="24" t="str">
        <x:v>R-0073</x:v>
      </x:c>
      <x:c r="B74" s="24" t="str">
        <x:v>프라임구독</x:v>
      </x:c>
      <x:c r="C74" s="24" t="str">
        <x:v>02노0857</x:v>
      </x:c>
      <x:c r="D74" s="24" t="str">
        <x:v>PR-C-02노0857-1-20230308-7</x:v>
      </x:c>
      <x:c r="E74" s="24" t="str">
        <x:v>박이석</x:v>
      </x:c>
      <x:c r="F74" s="31" t="n">
        <x:v>1</x:v>
      </x:c>
      <x:c r="G74" s="32" t="n">
        <x:v>573000</x:v>
      </x:c>
      <x:c r="H74" s="30" t="n">
        <x:v>46244</x:v>
      </x:c>
      <x:c r="I74" s="31" t="n">
        <x:v>5</x:v>
      </x:c>
      <x:c r="J74" s="24" t="str"/>
      <x:c r="K74" s="24" t="str">
        <x:v>독촉 5일 · 만기 임박</x:v>
      </x:c>
      <x:c r="L74" s="30"/>
      <x:c r="M74" s="24" t="str">
        <x:v>만기 자료 갱신 필요</x:v>
      </x:c>
      <x:c r="N74" s="24" t="str">
        <x:v>010-6605-8175</x:v>
      </x:c>
      <x:c r="O74" s="24" t="str"/>
      <x:c r="P74" s="24" t="str"/>
      <x:c r="Q74" s="24" t="str">
        <x:v>검토전</x:v>
      </x:c>
      <x:c r="R74" s="24" t="str"/>
      <x:c r="S74" s="24" t="str">
        <x:v>미수 확인</x:v>
      </x:c>
      <x:c r="T74" s="30"/>
      <x:c r="U74" s="30"/>
      <x:c r="V74" s="24" t="str"/>
    </x:row>
    <x:row r="75" ht="17.25" customHeight="1">
      <x:c r="A75" s="24" t="str">
        <x:v>R-0074</x:v>
      </x:c>
      <x:c r="B75" s="24" t="str">
        <x:v>프라임구독</x:v>
      </x:c>
      <x:c r="C75" s="24" t="str">
        <x:v>113더8112</x:v>
      </x:c>
      <x:c r="D75" s="24" t="str">
        <x:v>PR-C-113더8112-1-20230817-27</x:v>
      </x:c>
      <x:c r="E75" s="24" t="str">
        <x:v>곽현중</x:v>
      </x:c>
      <x:c r="F75" s="31" t="n">
        <x:v>20</x:v>
      </x:c>
      <x:c r="G75" s="32" t="n">
        <x:v>12496000</x:v>
      </x:c>
      <x:c r="H75" s="30" t="n">
        <x:v>45682</x:v>
      </x:c>
      <x:c r="I75" s="31" t="n">
        <x:v>567</x:v>
      </x:c>
      <x:c r="J75" s="24" t="str"/>
      <x:c r="K75" s="24" t="str">
        <x:v>회수 판단</x:v>
      </x:c>
      <x:c r="L75" s="30"/>
      <x:c r="M75" s="24" t="str">
        <x:v>만기 자료 갱신 필요</x:v>
      </x:c>
      <x:c r="N75" s="24" t="str">
        <x:v>010-7138-3400</x:v>
      </x:c>
      <x:c r="O75" s="24" t="str"/>
      <x:c r="P75" s="24" t="str"/>
      <x:c r="Q75" s="24" t="str">
        <x:v>검토전</x:v>
      </x:c>
      <x:c r="R75" s="24" t="str"/>
      <x:c r="S75" s="24" t="str">
        <x:v>회수 검토</x:v>
      </x:c>
      <x:c r="T75" s="30"/>
      <x:c r="U75" s="30"/>
      <x:c r="V75" s="24" t="str"/>
    </x:row>
    <x:row r="76" ht="17.25" customHeight="1">
      <x:c r="A76" s="24" t="str">
        <x:v>R-0075</x:v>
      </x:c>
      <x:c r="B76" s="24" t="str">
        <x:v>프라임구독</x:v>
      </x:c>
      <x:c r="C76" s="24" t="str">
        <x:v>119두7903</x:v>
      </x:c>
      <x:c r="D76" s="24" t="str">
        <x:v>PR-C-119두7903-1-20230113-29</x:v>
      </x:c>
      <x:c r="E76" s="24" t="str">
        <x:v>이보영</x:v>
      </x:c>
      <x:c r="F76" s="31" t="n">
        <x:v>20</x:v>
      </x:c>
      <x:c r="G76" s="32" t="n">
        <x:v>2055000</x:v>
      </x:c>
      <x:c r="H76" s="30" t="n">
        <x:v>45677</x:v>
      </x:c>
      <x:c r="I76" s="31" t="n">
        <x:v>572</x:v>
      </x:c>
      <x:c r="J76" s="24" t="str"/>
      <x:c r="K76" s="24" t="str">
        <x:v>회수 판단 · 만기 임박</x:v>
      </x:c>
      <x:c r="L76" s="30"/>
      <x:c r="M76" s="24" t="str">
        <x:v>만기 자료 갱신 필요</x:v>
      </x:c>
      <x:c r="N76" s="24" t="str">
        <x:v>010-9489-8929</x:v>
      </x:c>
      <x:c r="O76" s="24" t="str"/>
      <x:c r="P76" s="24" t="str"/>
      <x:c r="Q76" s="24" t="str">
        <x:v>검토전</x:v>
      </x:c>
      <x:c r="R76" s="24" t="str"/>
      <x:c r="S76" s="24" t="str">
        <x:v>회수 검토</x:v>
      </x:c>
      <x:c r="T76" s="30"/>
      <x:c r="U76" s="30"/>
      <x:c r="V76" s="24" t="str"/>
    </x:row>
    <x:row r="77" ht="17.25" customHeight="1">
      <x:c r="A77" s="24" t="str">
        <x:v>R-0076</x:v>
      </x:c>
      <x:c r="B77" s="24" t="str">
        <x:v>프라임구독</x:v>
      </x:c>
      <x:c r="C77" s="24" t="str">
        <x:v>136저9431</x:v>
      </x:c>
      <x:c r="D77" s="24" t="str">
        <x:v>PR-C-136저9431-1-20240307-36</x:v>
      </x:c>
      <x:c r="E77" s="24" t="str">
        <x:v>김태윤</x:v>
      </x:c>
      <x:c r="F77" s="31" t="n">
        <x:v>19</x:v>
      </x:c>
      <x:c r="G77" s="32" t="n">
        <x:v>7786000</x:v>
      </x:c>
      <x:c r="H77" s="30" t="n">
        <x:v>45703</x:v>
      </x:c>
      <x:c r="I77" s="31" t="n">
        <x:v>546</x:v>
      </x:c>
      <x:c r="J77" s="24" t="str"/>
      <x:c r="K77" s="24" t="str">
        <x:v>회수 판단</x:v>
      </x:c>
      <x:c r="L77" s="30"/>
      <x:c r="M77" s="24" t="str">
        <x:v>만기 자료 갱신 필요</x:v>
      </x:c>
      <x:c r="N77" s="24" t="str">
        <x:v>010-3011-5057</x:v>
      </x:c>
      <x:c r="O77" s="24" t="str"/>
      <x:c r="P77" s="24" t="str"/>
      <x:c r="Q77" s="24" t="str">
        <x:v>검토전</x:v>
      </x:c>
      <x:c r="R77" s="24" t="str"/>
      <x:c r="S77" s="24" t="str">
        <x:v>회수 검토</x:v>
      </x:c>
      <x:c r="T77" s="30"/>
      <x:c r="U77" s="30"/>
      <x:c r="V77" s="24" t="str"/>
    </x:row>
    <x:row r="78" ht="17.25" customHeight="1">
      <x:c r="A78" s="24" t="str">
        <x:v>R-0077</x:v>
      </x:c>
      <x:c r="B78" s="24" t="str">
        <x:v>프라임구독</x:v>
      </x:c>
      <x:c r="C78" s="24" t="str">
        <x:v>14누0912</x:v>
      </x:c>
      <x:c r="D78" s="24" t="str">
        <x:v>PR-C-14누0912-1-20240223-45</x:v>
      </x:c>
      <x:c r="E78" s="24" t="str">
        <x:v>정준영3</x:v>
      </x:c>
      <x:c r="F78" s="31" t="n">
        <x:v>14</x:v>
      </x:c>
      <x:c r="G78" s="32" t="n">
        <x:v>1227000</x:v>
      </x:c>
      <x:c r="H78" s="30" t="n">
        <x:v>45741</x:v>
      </x:c>
      <x:c r="I78" s="31" t="n">
        <x:v>508</x:v>
      </x:c>
      <x:c r="J78" s="24" t="str"/>
      <x:c r="K78" s="24" t="str">
        <x:v>회수 판단</x:v>
      </x:c>
      <x:c r="L78" s="30"/>
      <x:c r="M78" s="24" t="str">
        <x:v>만기 자료 갱신 필요</x:v>
      </x:c>
      <x:c r="N78" s="24" t="str">
        <x:v>010-8472-4468</x:v>
      </x:c>
      <x:c r="O78" s="24" t="str"/>
      <x:c r="P78" s="24" t="str"/>
      <x:c r="Q78" s="24" t="str">
        <x:v>검토전</x:v>
      </x:c>
      <x:c r="R78" s="24" t="str"/>
      <x:c r="S78" s="24" t="str">
        <x:v>회수 검토</x:v>
      </x:c>
      <x:c r="T78" s="30"/>
      <x:c r="U78" s="30"/>
      <x:c r="V78" s="24" t="str"/>
    </x:row>
    <x:row r="79" ht="17.25" customHeight="1">
      <x:c r="A79" s="24" t="str">
        <x:v>R-0078</x:v>
      </x:c>
      <x:c r="B79" s="24" t="str">
        <x:v>프라임구독</x:v>
      </x:c>
      <x:c r="C79" s="24" t="str">
        <x:v>14도4653</x:v>
      </x:c>
      <x:c r="D79" s="24" t="str">
        <x:v>PR-C-14도4653-1-20240221-46</x:v>
      </x:c>
      <x:c r="E79" s="24" t="str">
        <x:v>백혜리</x:v>
      </x:c>
      <x:c r="F79" s="31" t="n">
        <x:v>1</x:v>
      </x:c>
      <x:c r="G79" s="32" t="n">
        <x:v>381000</x:v>
      </x:c>
      <x:c r="H79" s="30" t="n">
        <x:v>46239</x:v>
      </x:c>
      <x:c r="I79" s="31" t="n">
        <x:v>10</x:v>
      </x:c>
      <x:c r="J79" s="24" t="str"/>
      <x:c r="K79" s="24" t="str">
        <x:v>독촉 10일</x:v>
      </x:c>
      <x:c r="L79" s="30"/>
      <x:c r="M79" s="24" t="str">
        <x:v>만기 자료 갱신 필요</x:v>
      </x:c>
      <x:c r="N79" s="24" t="str">
        <x:v>010-5746-5932</x:v>
      </x:c>
      <x:c r="O79" s="24" t="str"/>
      <x:c r="P79" s="24" t="str"/>
      <x:c r="Q79" s="24" t="str">
        <x:v>검토전</x:v>
      </x:c>
      <x:c r="R79" s="24" t="str"/>
      <x:c r="S79" s="24" t="str">
        <x:v>미수 확인</x:v>
      </x:c>
      <x:c r="T79" s="30"/>
      <x:c r="U79" s="30"/>
      <x:c r="V79" s="24" t="str"/>
    </x:row>
    <x:row r="80" ht="17.25" customHeight="1">
      <x:c r="A80" s="24" t="str">
        <x:v>R-0079</x:v>
      </x:c>
      <x:c r="B80" s="24" t="str">
        <x:v>프라임구독</x:v>
      </x:c>
      <x:c r="C80" s="24" t="str">
        <x:v>14두9128</x:v>
      </x:c>
      <x:c r="D80" s="24" t="str">
        <x:v>PR-C-14두9128-1-20230906-47</x:v>
      </x:c>
      <x:c r="E80" s="24" t="str">
        <x:v>권소아</x:v>
      </x:c>
      <x:c r="F80" s="31" t="n">
        <x:v>19</x:v>
      </x:c>
      <x:c r="G80" s="32" t="n">
        <x:v>3644000</x:v>
      </x:c>
      <x:c r="H80" s="30" t="n">
        <x:v>45682</x:v>
      </x:c>
      <x:c r="I80" s="31" t="n">
        <x:v>567</x:v>
      </x:c>
      <x:c r="J80" s="24" t="str"/>
      <x:c r="K80" s="24" t="str">
        <x:v>회수 판단</x:v>
      </x:c>
      <x:c r="L80" s="30"/>
      <x:c r="M80" s="24" t="str">
        <x:v>만기 자료 갱신 필요</x:v>
      </x:c>
      <x:c r="N80" s="24" t="str">
        <x:v>010-6778-1373</x:v>
      </x:c>
      <x:c r="O80" s="24" t="str"/>
      <x:c r="P80" s="24" t="str"/>
      <x:c r="Q80" s="24" t="str">
        <x:v>검토전</x:v>
      </x:c>
      <x:c r="R80" s="24" t="str"/>
      <x:c r="S80" s="24" t="str">
        <x:v>회수 검토</x:v>
      </x:c>
      <x:c r="T80" s="30"/>
      <x:c r="U80" s="30"/>
      <x:c r="V80" s="24" t="str"/>
    </x:row>
    <x:row r="81" ht="17.25" customHeight="1">
      <x:c r="A81" s="24" t="str">
        <x:v>R-0080</x:v>
      </x:c>
      <x:c r="B81" s="24" t="str">
        <x:v>프라임구독</x:v>
      </x:c>
      <x:c r="C81" s="24" t="str">
        <x:v>14소0456</x:v>
      </x:c>
      <x:c r="D81" s="24" t="str">
        <x:v>PR-C-14소0456-1-20230317-48</x:v>
      </x:c>
      <x:c r="E81" s="24" t="str">
        <x:v>양두식</x:v>
      </x:c>
      <x:c r="F81" s="31" t="n">
        <x:v>25</x:v>
      </x:c>
      <x:c r="G81" s="32" t="n">
        <x:v>18244153</x:v>
      </x:c>
      <x:c r="H81" s="30" t="n">
        <x:v>45514</x:v>
      </x:c>
      <x:c r="I81" s="31" t="n">
        <x:v>735</x:v>
      </x:c>
      <x:c r="J81" s="24" t="str"/>
      <x:c r="K81" s="24" t="str">
        <x:v>회수 판단 · 만기 임박</x:v>
      </x:c>
      <x:c r="L81" s="30"/>
      <x:c r="M81" s="24" t="str">
        <x:v>만기 자료 갱신 필요</x:v>
      </x:c>
      <x:c r="N81" s="24" t="str">
        <x:v>010-2064-5006</x:v>
      </x:c>
      <x:c r="O81" s="24" t="str"/>
      <x:c r="P81" s="24" t="str"/>
      <x:c r="Q81" s="24" t="str">
        <x:v>검토전</x:v>
      </x:c>
      <x:c r="R81" s="24" t="str"/>
      <x:c r="S81" s="24" t="str">
        <x:v>회수 검토</x:v>
      </x:c>
      <x:c r="T81" s="30"/>
      <x:c r="U81" s="30"/>
      <x:c r="V81" s="24" t="str"/>
    </x:row>
    <x:row r="82" ht="17.25" customHeight="1">
      <x:c r="A82" s="24" t="str">
        <x:v>R-0081</x:v>
      </x:c>
      <x:c r="B82" s="24" t="str">
        <x:v>프라임구독</x:v>
      </x:c>
      <x:c r="C82" s="24" t="str">
        <x:v>164노9379</x:v>
      </x:c>
      <x:c r="D82" s="24" t="str">
        <x:v>PR-C-164노9379-1-20230814-56</x:v>
      </x:c>
      <x:c r="E82" s="24" t="str">
        <x:v>강민규</x:v>
      </x:c>
      <x:c r="F82" s="31" t="n">
        <x:v>1</x:v>
      </x:c>
      <x:c r="G82" s="32" t="n">
        <x:v>492000</x:v>
      </x:c>
      <x:c r="H82" s="30" t="n">
        <x:v>46259</x:v>
      </x:c>
      <x:c r="I82" s="31" t="n">
        <x:v>0</x:v>
      </x:c>
      <x:c r="J82" s="24" t="str"/>
      <x:c r="K82" s="24" t="str"/>
      <x:c r="L82" s="30"/>
      <x:c r="M82" s="24" t="str">
        <x:v>만기 자료 갱신 필요</x:v>
      </x:c>
      <x:c r="N82" s="24" t="str">
        <x:v>010-8493-9928</x:v>
      </x:c>
      <x:c r="O82" s="24" t="str"/>
      <x:c r="P82" s="24" t="str"/>
      <x:c r="Q82" s="24" t="str">
        <x:v>검토전</x:v>
      </x:c>
      <x:c r="R82" s="24" t="str"/>
      <x:c r="S82" s="24" t="str">
        <x:v>미수 확인</x:v>
      </x:c>
      <x:c r="T82" s="30"/>
      <x:c r="U82" s="30"/>
      <x:c r="V82" s="24" t="str"/>
    </x:row>
    <x:row r="83" ht="17.25" customHeight="1">
      <x:c r="A83" s="24" t="str">
        <x:v>R-0082</x:v>
      </x:c>
      <x:c r="B83" s="24" t="str">
        <x:v>프라임구독</x:v>
      </x:c>
      <x:c r="C83" s="24" t="str">
        <x:v>179다2681</x:v>
      </x:c>
      <x:c r="D83" s="24" t="str">
        <x:v>PR-C-179다2681-1-20230605-62</x:v>
      </x:c>
      <x:c r="E83" s="24" t="str">
        <x:v>이미옥</x:v>
      </x:c>
      <x:c r="F83" s="31" t="n">
        <x:v>15</x:v>
      </x:c>
      <x:c r="G83" s="32" t="n">
        <x:v>2867000</x:v>
      </x:c>
      <x:c r="H83" s="30" t="n">
        <x:v>45787</x:v>
      </x:c>
      <x:c r="I83" s="31" t="n">
        <x:v>462</x:v>
      </x:c>
      <x:c r="J83" s="24" t="str"/>
      <x:c r="K83" s="24" t="str">
        <x:v>회수 판단</x:v>
      </x:c>
      <x:c r="L83" s="30"/>
      <x:c r="M83" s="24" t="str">
        <x:v>만기 자료 갱신 필요</x:v>
      </x:c>
      <x:c r="N83" s="24" t="str">
        <x:v>010-9497-6151</x:v>
      </x:c>
      <x:c r="O83" s="24" t="str"/>
      <x:c r="P83" s="24" t="str"/>
      <x:c r="Q83" s="24" t="str">
        <x:v>검토전</x:v>
      </x:c>
      <x:c r="R83" s="24" t="str"/>
      <x:c r="S83" s="24" t="str">
        <x:v>회수 검토</x:v>
      </x:c>
      <x:c r="T83" s="30"/>
      <x:c r="U83" s="30"/>
      <x:c r="V83" s="24" t="str"/>
    </x:row>
    <x:row r="84" ht="17.25" customHeight="1">
      <x:c r="A84" s="24" t="str">
        <x:v>R-0083</x:v>
      </x:c>
      <x:c r="B84" s="24" t="str">
        <x:v>프라임구독</x:v>
      </x:c>
      <x:c r="C84" s="24" t="str">
        <x:v>19너5699</x:v>
      </x:c>
      <x:c r="D84" s="24" t="str">
        <x:v>PR-C-19너5699-1-20240423-72</x:v>
      </x:c>
      <x:c r="E84" s="24" t="str">
        <x:v>김수연</x:v>
      </x:c>
      <x:c r="F84" s="31" t="n">
        <x:v>21</x:v>
      </x:c>
      <x:c r="G84" s="32" t="n">
        <x:v>3516000</x:v>
      </x:c>
      <x:c r="H84" s="30" t="n">
        <x:v>45651</x:v>
      </x:c>
      <x:c r="I84" s="31" t="n">
        <x:v>598</x:v>
      </x:c>
      <x:c r="J84" s="24" t="str"/>
      <x:c r="K84" s="24" t="str">
        <x:v>회수 판단</x:v>
      </x:c>
      <x:c r="L84" s="30"/>
      <x:c r="M84" s="24" t="str">
        <x:v>만기 자료 갱신 필요</x:v>
      </x:c>
      <x:c r="N84" s="24" t="str">
        <x:v>010-2700-2748</x:v>
      </x:c>
      <x:c r="O84" s="24" t="str"/>
      <x:c r="P84" s="24" t="str"/>
      <x:c r="Q84" s="24" t="str">
        <x:v>검토전</x:v>
      </x:c>
      <x:c r="R84" s="24" t="str"/>
      <x:c r="S84" s="24" t="str">
        <x:v>회수 검토</x:v>
      </x:c>
      <x:c r="T84" s="30"/>
      <x:c r="U84" s="30"/>
      <x:c r="V84" s="24" t="str"/>
    </x:row>
    <x:row r="85" ht="17.25" customHeight="1">
      <x:c r="A85" s="24" t="str">
        <x:v>R-0084</x:v>
      </x:c>
      <x:c r="B85" s="24" t="str">
        <x:v>프라임구독</x:v>
      </x:c>
      <x:c r="C85" s="24" t="str">
        <x:v>21고4882</x:v>
      </x:c>
      <x:c r="D85" s="24" t="str">
        <x:v>PR-C-21고4882-1-20231117-80</x:v>
      </x:c>
      <x:c r="E85" s="24" t="str">
        <x:v>김윤정</x:v>
      </x:c>
      <x:c r="F85" s="31" t="n">
        <x:v>1</x:v>
      </x:c>
      <x:c r="G85" s="32" t="n">
        <x:v>447000</x:v>
      </x:c>
      <x:c r="H85" s="30" t="n">
        <x:v>46249</x:v>
      </x:c>
      <x:c r="I85" s="31" t="n">
        <x:v>0</x:v>
      </x:c>
      <x:c r="J85" s="24" t="str"/>
      <x:c r="K85" s="24" t="str">
        <x:v>만기 임박</x:v>
      </x:c>
      <x:c r="L85" s="30"/>
      <x:c r="M85" s="24" t="str">
        <x:v>만기 자료 갱신 필요</x:v>
      </x:c>
      <x:c r="N85" s="24" t="str">
        <x:v>010-3725-3389</x:v>
      </x:c>
      <x:c r="O85" s="24" t="str"/>
      <x:c r="P85" s="24" t="str"/>
      <x:c r="Q85" s="24" t="str">
        <x:v>검토전</x:v>
      </x:c>
      <x:c r="R85" s="24" t="str"/>
      <x:c r="S85" s="24" t="str">
        <x:v>미수 확인</x:v>
      </x:c>
      <x:c r="T85" s="30"/>
      <x:c r="U85" s="30"/>
      <x:c r="V85" s="24" t="str"/>
    </x:row>
    <x:row r="86" ht="17.25" customHeight="1">
      <x:c r="A86" s="24" t="str">
        <x:v>R-0085</x:v>
      </x:c>
      <x:c r="B86" s="24" t="str">
        <x:v>프라임구독</x:v>
      </x:c>
      <x:c r="C86" s="24" t="str">
        <x:v>236보1364</x:v>
      </x:c>
      <x:c r="D86" s="24" t="str">
        <x:v>PR-C-236보1364-1-20240313-85</x:v>
      </x:c>
      <x:c r="E86" s="24" t="str">
        <x:v>조영훈b</x:v>
      </x:c>
      <x:c r="F86" s="31" t="n">
        <x:v>17</x:v>
      </x:c>
      <x:c r="G86" s="32" t="n">
        <x:v>1077280</x:v>
      </x:c>
      <x:c r="H86" s="30" t="n">
        <x:v>45772</x:v>
      </x:c>
      <x:c r="I86" s="31" t="n">
        <x:v>477</x:v>
      </x:c>
      <x:c r="J86" s="24" t="str"/>
      <x:c r="K86" s="24" t="str">
        <x:v>회수 판단</x:v>
      </x:c>
      <x:c r="L86" s="30"/>
      <x:c r="M86" s="24" t="str">
        <x:v>만기 자료 갱신 필요</x:v>
      </x:c>
      <x:c r="N86" s="24" t="str">
        <x:v>010-6354-6421</x:v>
      </x:c>
      <x:c r="O86" s="24" t="str"/>
      <x:c r="P86" s="24" t="str"/>
      <x:c r="Q86" s="24" t="str">
        <x:v>검토전</x:v>
      </x:c>
      <x:c r="R86" s="24" t="str"/>
      <x:c r="S86" s="24" t="str">
        <x:v>회수 검토</x:v>
      </x:c>
      <x:c r="T86" s="30"/>
      <x:c r="U86" s="30"/>
      <x:c r="V86" s="24" t="str"/>
    </x:row>
    <x:row r="87" ht="17.25" customHeight="1">
      <x:c r="A87" s="24" t="str">
        <x:v>R-0086</x:v>
      </x:c>
      <x:c r="B87" s="24" t="str">
        <x:v>프라임구독</x:v>
      </x:c>
      <x:c r="C87" s="24" t="str">
        <x:v>255오1360</x:v>
      </x:c>
      <x:c r="D87" s="24" t="str">
        <x:v>PR-C-255오1360-1-20231115-92</x:v>
      </x:c>
      <x:c r="E87" s="24" t="str">
        <x:v>이문구</x:v>
      </x:c>
      <x:c r="F87" s="31" t="n">
        <x:v>20</x:v>
      </x:c>
      <x:c r="G87" s="32" t="n">
        <x:v>3390000</x:v>
      </x:c>
      <x:c r="H87" s="30" t="n">
        <x:v>45662</x:v>
      </x:c>
      <x:c r="I87" s="31" t="n">
        <x:v>587</x:v>
      </x:c>
      <x:c r="J87" s="24" t="str"/>
      <x:c r="K87" s="24" t="str">
        <x:v>회수 판단</x:v>
      </x:c>
      <x:c r="L87" s="30"/>
      <x:c r="M87" s="24" t="str">
        <x:v>만기 자료 갱신 필요</x:v>
      </x:c>
      <x:c r="N87" s="24" t="str">
        <x:v>010-5960-7870</x:v>
      </x:c>
      <x:c r="O87" s="24" t="str"/>
      <x:c r="P87" s="24" t="str"/>
      <x:c r="Q87" s="24" t="str">
        <x:v>검토전</x:v>
      </x:c>
      <x:c r="R87" s="24" t="str"/>
      <x:c r="S87" s="24" t="str">
        <x:v>회수 검토</x:v>
      </x:c>
      <x:c r="T87" s="30"/>
      <x:c r="U87" s="30"/>
      <x:c r="V87" s="24" t="str"/>
    </x:row>
    <x:row r="88" ht="17.25" customHeight="1">
      <x:c r="A88" s="24" t="str">
        <x:v>R-0087</x:v>
      </x:c>
      <x:c r="B88" s="24" t="str">
        <x:v>프라임구독</x:v>
      </x:c>
      <x:c r="C88" s="24" t="str">
        <x:v>27오1144</x:v>
      </x:c>
      <x:c r="D88" s="24" t="str">
        <x:v>PR-C-27오1144-1-20220708-104</x:v>
      </x:c>
      <x:c r="E88" s="24" t="str">
        <x:v>김현규</x:v>
      </x:c>
      <x:c r="F88" s="31" t="n">
        <x:v>13</x:v>
      </x:c>
      <x:c r="G88" s="32" t="n">
        <x:v>0</x:v>
      </x:c>
      <x:c r="H88" s="30" t="n">
        <x:v>45708</x:v>
      </x:c>
      <x:c r="I88" s="31" t="n">
        <x:v>541</x:v>
      </x:c>
      <x:c r="J88" s="24" t="str"/>
      <x:c r="K88" s="24" t="str">
        <x:v>만기 임박</x:v>
      </x:c>
      <x:c r="L88" s="30"/>
      <x:c r="M88" s="24" t="str">
        <x:v>만기 자료 갱신 필요</x:v>
      </x:c>
      <x:c r="N88" s="24" t="str">
        <x:v>010-5232-7969</x:v>
      </x:c>
      <x:c r="O88" s="24" t="str"/>
      <x:c r="P88" s="24" t="str"/>
      <x:c r="Q88" s="24" t="str">
        <x:v>검토전</x:v>
      </x:c>
      <x:c r="R88" s="24" t="str"/>
      <x:c r="S88" s="24" t="str">
        <x:v>보험 연령 입력</x:v>
      </x:c>
      <x:c r="T88" s="30"/>
      <x:c r="U88" s="30"/>
      <x:c r="V88" s="24" t="str"/>
    </x:row>
    <x:row r="89" ht="17.25" customHeight="1">
      <x:c r="A89" s="24" t="str">
        <x:v>R-0088</x:v>
      </x:c>
      <x:c r="B89" s="24" t="str">
        <x:v>프라임구독</x:v>
      </x:c>
      <x:c r="C89" s="24" t="str">
        <x:v>29마4743</x:v>
      </x:c>
      <x:c r="D89" s="24" t="str">
        <x:v>PR-C-29마4743-1-20231113-108</x:v>
      </x:c>
      <x:c r="E89" s="24" t="str">
        <x:v>변재영</x:v>
      </x:c>
      <x:c r="F89" s="31" t="n">
        <x:v>1</x:v>
      </x:c>
      <x:c r="G89" s="32" t="n">
        <x:v>1109000</x:v>
      </x:c>
      <x:c r="H89" s="30" t="n">
        <x:v>46259</x:v>
      </x:c>
      <x:c r="I89" s="31" t="n">
        <x:v>0</x:v>
      </x:c>
      <x:c r="J89" s="24" t="str"/>
      <x:c r="K89" s="24" t="str"/>
      <x:c r="L89" s="30"/>
      <x:c r="M89" s="24" t="str">
        <x:v>만기 자료 갱신 필요</x:v>
      </x:c>
      <x:c r="N89" s="24" t="str">
        <x:v>010-9331-8940</x:v>
      </x:c>
      <x:c r="O89" s="24" t="str"/>
      <x:c r="P89" s="24" t="str"/>
      <x:c r="Q89" s="24" t="str">
        <x:v>검토전</x:v>
      </x:c>
      <x:c r="R89" s="24" t="str"/>
      <x:c r="S89" s="24" t="str">
        <x:v>미수 확인</x:v>
      </x:c>
      <x:c r="T89" s="30"/>
      <x:c r="U89" s="30"/>
      <x:c r="V89" s="24" t="str"/>
    </x:row>
    <x:row r="90" ht="17.25" customHeight="1">
      <x:c r="A90" s="24" t="str">
        <x:v>R-0089</x:v>
      </x:c>
      <x:c r="B90" s="24" t="str">
        <x:v>프라임구독</x:v>
      </x:c>
      <x:c r="C90" s="24" t="str">
        <x:v>309무3799</x:v>
      </x:c>
      <x:c r="D90" s="24" t="str">
        <x:v>PR-C-309무3799-1-20240618-110</x:v>
      </x:c>
      <x:c r="E90" s="24" t="str">
        <x:v>신용엽</x:v>
      </x:c>
      <x:c r="F90" s="31" t="n">
        <x:v>1</x:v>
      </x:c>
      <x:c r="G90" s="32" t="n">
        <x:v>559000</x:v>
      </x:c>
      <x:c r="H90" s="30" t="n">
        <x:v>46259</x:v>
      </x:c>
      <x:c r="I90" s="31" t="n">
        <x:v>0</x:v>
      </x:c>
      <x:c r="J90" s="24" t="str"/>
      <x:c r="K90" s="24" t="str"/>
      <x:c r="L90" s="30"/>
      <x:c r="M90" s="24" t="str">
        <x:v>만기 자료 갱신 필요</x:v>
      </x:c>
      <x:c r="N90" s="24" t="str">
        <x:v>010-4552-6112</x:v>
      </x:c>
      <x:c r="O90" s="24" t="str"/>
      <x:c r="P90" s="24" t="str"/>
      <x:c r="Q90" s="24" t="str">
        <x:v>검토전</x:v>
      </x:c>
      <x:c r="R90" s="24" t="str"/>
      <x:c r="S90" s="24" t="str">
        <x:v>미수 확인</x:v>
      </x:c>
      <x:c r="T90" s="30"/>
      <x:c r="U90" s="30"/>
      <x:c r="V90" s="24" t="str"/>
    </x:row>
    <x:row r="91" ht="17.25" customHeight="1">
      <x:c r="A91" s="24" t="str">
        <x:v>R-0090</x:v>
      </x:c>
      <x:c r="B91" s="24" t="str">
        <x:v>프라임구독</x:v>
      </x:c>
      <x:c r="C91" s="24" t="str">
        <x:v>34구0251</x:v>
      </x:c>
      <x:c r="D91" s="24" t="str">
        <x:v>PR-C-34구0251-1-20240415-119</x:v>
      </x:c>
      <x:c r="E91" s="24" t="str">
        <x:v>김진성2</x:v>
      </x:c>
      <x:c r="F91" s="31" t="n">
        <x:v>1</x:v>
      </x:c>
      <x:c r="G91" s="32" t="n">
        <x:v>550000</x:v>
      </x:c>
      <x:c r="H91" s="30" t="n">
        <x:v>46254</x:v>
      </x:c>
      <x:c r="I91" s="31" t="n">
        <x:v>0</x:v>
      </x:c>
      <x:c r="J91" s="24" t="str"/>
      <x:c r="K91" s="24" t="str"/>
      <x:c r="L91" s="30"/>
      <x:c r="M91" s="24" t="str">
        <x:v>만기 자료 갱신 필요</x:v>
      </x:c>
      <x:c r="N91" s="24" t="str">
        <x:v>010-5838-3584</x:v>
      </x:c>
      <x:c r="O91" s="24" t="str"/>
      <x:c r="P91" s="24" t="str"/>
      <x:c r="Q91" s="24" t="str">
        <x:v>검토전</x:v>
      </x:c>
      <x:c r="R91" s="24" t="str"/>
      <x:c r="S91" s="24" t="str">
        <x:v>미수 확인</x:v>
      </x:c>
      <x:c r="T91" s="30"/>
      <x:c r="U91" s="30"/>
      <x:c r="V91" s="24" t="str"/>
    </x:row>
    <x:row r="92" ht="17.25" customHeight="1">
      <x:c r="A92" s="24" t="str">
        <x:v>R-0091</x:v>
      </x:c>
      <x:c r="B92" s="24" t="str">
        <x:v>프라임구독</x:v>
      </x:c>
      <x:c r="C92" s="24" t="str">
        <x:v>358다8942</x:v>
      </x:c>
      <x:c r="D92" s="24" t="str">
        <x:v>PR-C-358다8942-1-20230112-122</x:v>
      </x:c>
      <x:c r="E92" s="24" t="str">
        <x:v>김종범</x:v>
      </x:c>
      <x:c r="F92" s="31" t="n">
        <x:v>17</x:v>
      </x:c>
      <x:c r="G92" s="32" t="n">
        <x:v>4416000</x:v>
      </x:c>
      <x:c r="H92" s="30" t="n">
        <x:v>45726</x:v>
      </x:c>
      <x:c r="I92" s="31" t="n">
        <x:v>523</x:v>
      </x:c>
      <x:c r="J92" s="24" t="str"/>
      <x:c r="K92" s="24" t="str">
        <x:v>회수 판단 · 만기 임박</x:v>
      </x:c>
      <x:c r="L92" s="30"/>
      <x:c r="M92" s="24" t="str">
        <x:v>만기 자료 갱신 필요</x:v>
      </x:c>
      <x:c r="N92" s="24" t="str">
        <x:v>010-6620-4192</x:v>
      </x:c>
      <x:c r="O92" s="24" t="str"/>
      <x:c r="P92" s="24" t="str"/>
      <x:c r="Q92" s="24" t="str">
        <x:v>검토전</x:v>
      </x:c>
      <x:c r="R92" s="24" t="str"/>
      <x:c r="S92" s="24" t="str">
        <x:v>회수 검토</x:v>
      </x:c>
      <x:c r="T92" s="30"/>
      <x:c r="U92" s="30"/>
      <x:c r="V92" s="24" t="str"/>
    </x:row>
    <x:row r="93" ht="17.25" customHeight="1">
      <x:c r="A93" s="24" t="str">
        <x:v>R-0092</x:v>
      </x:c>
      <x:c r="B93" s="24" t="str">
        <x:v>프라임구독</x:v>
      </x:c>
      <x:c r="C93" s="24" t="str">
        <x:v>35조0980</x:v>
      </x:c>
      <x:c r="D93" s="24" t="str">
        <x:v>PR-C-35조0980-1-20230811-124</x:v>
      </x:c>
      <x:c r="E93" s="24" t="str">
        <x:v>김진성1</x:v>
      </x:c>
      <x:c r="F93" s="31" t="n">
        <x:v>1</x:v>
      </x:c>
      <x:c r="G93" s="32" t="n">
        <x:v>856000</x:v>
      </x:c>
      <x:c r="H93" s="30" t="n">
        <x:v>46254</x:v>
      </x:c>
      <x:c r="I93" s="31" t="n">
        <x:v>0</x:v>
      </x:c>
      <x:c r="J93" s="24" t="str"/>
      <x:c r="K93" s="24" t="str"/>
      <x:c r="L93" s="30"/>
      <x:c r="M93" s="24" t="str">
        <x:v>만기 자료 갱신 필요</x:v>
      </x:c>
      <x:c r="N93" s="24" t="str">
        <x:v>010-5838-3584</x:v>
      </x:c>
      <x:c r="O93" s="24" t="str"/>
      <x:c r="P93" s="24" t="str"/>
      <x:c r="Q93" s="24" t="str">
        <x:v>검토전</x:v>
      </x:c>
      <x:c r="R93" s="24" t="str"/>
      <x:c r="S93" s="24" t="str">
        <x:v>미수 확인</x:v>
      </x:c>
      <x:c r="T93" s="30"/>
      <x:c r="U93" s="30"/>
      <x:c r="V93" s="24" t="str"/>
    </x:row>
    <x:row r="94" ht="17.25" customHeight="1">
      <x:c r="A94" s="24" t="str">
        <x:v>R-0093</x:v>
      </x:c>
      <x:c r="B94" s="24" t="str">
        <x:v>프라임구독</x:v>
      </x:c>
      <x:c r="C94" s="24" t="str">
        <x:v>37부6628</x:v>
      </x:c>
      <x:c r="D94" s="24" t="str">
        <x:v>PR-C-37부6628-1-20231031-134</x:v>
      </x:c>
      <x:c r="E94" s="24" t="str">
        <x:v>배초롱</x:v>
      </x:c>
      <x:c r="F94" s="31" t="n">
        <x:v>19</x:v>
      </x:c>
      <x:c r="G94" s="32" t="n">
        <x:v>836000</x:v>
      </x:c>
      <x:c r="H94" s="30" t="n">
        <x:v>45708</x:v>
      </x:c>
      <x:c r="I94" s="31" t="n">
        <x:v>541</x:v>
      </x:c>
      <x:c r="J94" s="24" t="str"/>
      <x:c r="K94" s="24" t="str"/>
      <x:c r="L94" s="30"/>
      <x:c r="M94" s="24" t="str">
        <x:v>만기 자료 갱신 필요</x:v>
      </x:c>
      <x:c r="N94" s="24" t="str">
        <x:v>010-3931-0242</x:v>
      </x:c>
      <x:c r="O94" s="24" t="str"/>
      <x:c r="P94" s="24" t="str"/>
      <x:c r="Q94" s="24" t="str">
        <x:v>검토전</x:v>
      </x:c>
      <x:c r="R94" s="24" t="str"/>
      <x:c r="S94" s="24" t="str">
        <x:v>미수 확인</x:v>
      </x:c>
      <x:c r="T94" s="30"/>
      <x:c r="U94" s="30"/>
      <x:c r="V94" s="24" t="str"/>
    </x:row>
    <x:row r="95" ht="17.25" customHeight="1">
      <x:c r="A95" s="24" t="str">
        <x:v>R-0094</x:v>
      </x:c>
      <x:c r="B95" s="24" t="str">
        <x:v>프라임구독</x:v>
      </x:c>
      <x:c r="C95" s="24" t="str">
        <x:v>38거0839</x:v>
      </x:c>
      <x:c r="D95" s="24" t="str">
        <x:v>PR-C-38거0839-1-20240130-137</x:v>
      </x:c>
      <x:c r="E95" s="24" t="str">
        <x:v>김준모</x:v>
      </x:c>
      <x:c r="F95" s="31" t="n">
        <x:v>19</x:v>
      </x:c>
      <x:c r="G95" s="32" t="n">
        <x:v>3803000</x:v>
      </x:c>
      <x:c r="H95" s="30" t="n">
        <x:v>45693</x:v>
      </x:c>
      <x:c r="I95" s="31" t="n">
        <x:v>556</x:v>
      </x:c>
      <x:c r="J95" s="24" t="str"/>
      <x:c r="K95" s="24" t="str">
        <x:v>회수 판단</x:v>
      </x:c>
      <x:c r="L95" s="30"/>
      <x:c r="M95" s="24" t="str">
        <x:v>만기 자료 갱신 필요</x:v>
      </x:c>
      <x:c r="N95" s="24" t="str">
        <x:v>010-2279-6009</x:v>
      </x:c>
      <x:c r="O95" s="24" t="str"/>
      <x:c r="P95" s="24" t="str"/>
      <x:c r="Q95" s="24" t="str">
        <x:v>검토전</x:v>
      </x:c>
      <x:c r="R95" s="24" t="str"/>
      <x:c r="S95" s="24" t="str">
        <x:v>회수 검토</x:v>
      </x:c>
      <x:c r="T95" s="30"/>
      <x:c r="U95" s="30"/>
      <x:c r="V95" s="24" t="str"/>
    </x:row>
    <x:row r="96" ht="17.25" customHeight="1">
      <x:c r="A96" s="24" t="str">
        <x:v>R-0095</x:v>
      </x:c>
      <x:c r="B96" s="24" t="str">
        <x:v>프라임구독</x:v>
      </x:c>
      <x:c r="C96" s="24" t="str">
        <x:v>41누0758</x:v>
      </x:c>
      <x:c r="D96" s="24" t="str">
        <x:v>PR-C-41누0758-1-20221125-143</x:v>
      </x:c>
      <x:c r="E96" s="24" t="str">
        <x:v>장두식</x:v>
      </x:c>
      <x:c r="F96" s="31" t="n">
        <x:v>22</x:v>
      </x:c>
      <x:c r="G96" s="32" t="n">
        <x:v>2105000</x:v>
      </x:c>
      <x:c r="H96" s="30" t="n">
        <x:v>45555</x:v>
      </x:c>
      <x:c r="I96" s="31" t="n">
        <x:v>694</x:v>
      </x:c>
      <x:c r="J96" s="24" t="str"/>
      <x:c r="K96" s="24" t="str">
        <x:v>회수 판단 · 만기 임박</x:v>
      </x:c>
      <x:c r="L96" s="30"/>
      <x:c r="M96" s="24" t="str">
        <x:v>만기 자료 갱신 필요</x:v>
      </x:c>
      <x:c r="N96" s="24" t="str">
        <x:v>010-7665-9384</x:v>
      </x:c>
      <x:c r="O96" s="24" t="str"/>
      <x:c r="P96" s="24" t="str"/>
      <x:c r="Q96" s="24" t="str">
        <x:v>검토전</x:v>
      </x:c>
      <x:c r="R96" s="24" t="str"/>
      <x:c r="S96" s="24" t="str">
        <x:v>회수 검토</x:v>
      </x:c>
      <x:c r="T96" s="30"/>
      <x:c r="U96" s="30"/>
      <x:c r="V96" s="24" t="str"/>
    </x:row>
    <x:row r="97" ht="17.25" customHeight="1">
      <x:c r="A97" s="24" t="str">
        <x:v>R-0096</x:v>
      </x:c>
      <x:c r="B97" s="24" t="str">
        <x:v>프라임구독</x:v>
      </x:c>
      <x:c r="C97" s="24" t="str">
        <x:v>49더0163</x:v>
      </x:c>
      <x:c r="D97" s="24" t="str">
        <x:v>PR-C-49더0163-1-20230705-155</x:v>
      </x:c>
      <x:c r="E97" s="24" t="str">
        <x:v>김정웅</x:v>
      </x:c>
      <x:c r="F97" s="31" t="n">
        <x:v>19</x:v>
      </x:c>
      <x:c r="G97" s="32" t="n">
        <x:v>2510000</x:v>
      </x:c>
      <x:c r="H97" s="30" t="n">
        <x:v>45703</x:v>
      </x:c>
      <x:c r="I97" s="31" t="n">
        <x:v>546</x:v>
      </x:c>
      <x:c r="J97" s="24" t="str"/>
      <x:c r="K97" s="24" t="str">
        <x:v>회수 판단</x:v>
      </x:c>
      <x:c r="L97" s="30"/>
      <x:c r="M97" s="24" t="str">
        <x:v>만기 자료 갱신 필요</x:v>
      </x:c>
      <x:c r="N97" s="24" t="str">
        <x:v>010-5874-7101</x:v>
      </x:c>
      <x:c r="O97" s="24" t="str"/>
      <x:c r="P97" s="24" t="str"/>
      <x:c r="Q97" s="24" t="str">
        <x:v>검토전</x:v>
      </x:c>
      <x:c r="R97" s="24" t="str"/>
      <x:c r="S97" s="24" t="str">
        <x:v>회수 검토</x:v>
      </x:c>
      <x:c r="T97" s="30"/>
      <x:c r="U97" s="30"/>
      <x:c r="V97" s="24" t="str"/>
    </x:row>
    <x:row r="98" ht="17.25" customHeight="1">
      <x:c r="A98" s="24" t="str">
        <x:v>R-0097</x:v>
      </x:c>
      <x:c r="B98" s="24" t="str">
        <x:v>프라임구독</x:v>
      </x:c>
      <x:c r="C98" s="24" t="str">
        <x:v>49어2497</x:v>
      </x:c>
      <x:c r="D98" s="24" t="str">
        <x:v>PR-C-49어2497-1-20240403-159</x:v>
      </x:c>
      <x:c r="E98" s="24" t="str">
        <x:v>양원호</x:v>
      </x:c>
      <x:c r="F98" s="31" t="n">
        <x:v>8</x:v>
      </x:c>
      <x:c r="G98" s="32" t="n">
        <x:v>2755000</x:v>
      </x:c>
      <x:c r="H98" s="30" t="n">
        <x:v>46027</x:v>
      </x:c>
      <x:c r="I98" s="31" t="n">
        <x:v>222</x:v>
      </x:c>
      <x:c r="J98" s="24" t="str"/>
      <x:c r="K98" s="24" t="str">
        <x:v>회수 판단</x:v>
      </x:c>
      <x:c r="L98" s="30"/>
      <x:c r="M98" s="24" t="str">
        <x:v>만기 자료 갱신 필요</x:v>
      </x:c>
      <x:c r="N98" s="24" t="str">
        <x:v>010-2336-2370</x:v>
      </x:c>
      <x:c r="O98" s="24" t="str"/>
      <x:c r="P98" s="24" t="str"/>
      <x:c r="Q98" s="24" t="str">
        <x:v>검토전</x:v>
      </x:c>
      <x:c r="R98" s="24" t="str"/>
      <x:c r="S98" s="24" t="str">
        <x:v>회수 검토</x:v>
      </x:c>
      <x:c r="T98" s="30"/>
      <x:c r="U98" s="30"/>
      <x:c r="V98" s="24" t="str"/>
    </x:row>
    <x:row r="99" ht="17.25" customHeight="1">
      <x:c r="A99" s="24" t="str">
        <x:v>R-0098</x:v>
      </x:c>
      <x:c r="B99" s="24" t="str">
        <x:v>프라임구독</x:v>
      </x:c>
      <x:c r="C99" s="24" t="str">
        <x:v>52우0228</x:v>
      </x:c>
      <x:c r="D99" s="24" t="str">
        <x:v>PR-C-52우0228-1-20230704-164</x:v>
      </x:c>
      <x:c r="E99" s="24" t="str">
        <x:v>서기열</x:v>
      </x:c>
      <x:c r="F99" s="31" t="n">
        <x:v>20</x:v>
      </x:c>
      <x:c r="G99" s="32" t="n">
        <x:v>1395000</x:v>
      </x:c>
      <x:c r="H99" s="30" t="n">
        <x:v>45677</x:v>
      </x:c>
      <x:c r="I99" s="31" t="n">
        <x:v>572</x:v>
      </x:c>
      <x:c r="J99" s="24" t="str"/>
      <x:c r="K99" s="24" t="str">
        <x:v>회수 판단 · 만기 임박</x:v>
      </x:c>
      <x:c r="L99" s="30"/>
      <x:c r="M99" s="24" t="str">
        <x:v>만기 자료 갱신 필요</x:v>
      </x:c>
      <x:c r="N99" s="24" t="str">
        <x:v>010-7579-7110</x:v>
      </x:c>
      <x:c r="O99" s="24" t="str"/>
      <x:c r="P99" s="24" t="str"/>
      <x:c r="Q99" s="24" t="str">
        <x:v>검토전</x:v>
      </x:c>
      <x:c r="R99" s="24" t="str"/>
      <x:c r="S99" s="24" t="str">
        <x:v>회수 검토</x:v>
      </x:c>
      <x:c r="T99" s="30"/>
      <x:c r="U99" s="30"/>
      <x:c r="V99" s="24" t="str"/>
    </x:row>
    <x:row r="100" ht="17.25" customHeight="1">
      <x:c r="A100" s="24" t="str">
        <x:v>R-0099</x:v>
      </x:c>
      <x:c r="B100" s="24" t="str">
        <x:v>프라임구독</x:v>
      </x:c>
      <x:c r="C100" s="24" t="str">
        <x:v>56마2851</x:v>
      </x:c>
      <x:c r="D100" s="24" t="str">
        <x:v>PR-C-56마2851-1-20230925-170</x:v>
      </x:c>
      <x:c r="E100" s="24" t="str">
        <x:v>윤성민</x:v>
      </x:c>
      <x:c r="F100" s="31" t="n">
        <x:v>22</x:v>
      </x:c>
      <x:c r="G100" s="32" t="n">
        <x:v>10710000</x:v>
      </x:c>
      <x:c r="H100" s="30" t="n">
        <x:v>45621</x:v>
      </x:c>
      <x:c r="I100" s="31" t="n">
        <x:v>628</x:v>
      </x:c>
      <x:c r="J100" s="24" t="str"/>
      <x:c r="K100" s="24" t="str">
        <x:v>회수 판단</x:v>
      </x:c>
      <x:c r="L100" s="30"/>
      <x:c r="M100" s="24" t="str">
        <x:v>만기 자료 갱신 필요</x:v>
      </x:c>
      <x:c r="N100" s="24" t="str">
        <x:v>010-7635-7215</x:v>
      </x:c>
      <x:c r="O100" s="24" t="str"/>
      <x:c r="P100" s="24" t="str"/>
      <x:c r="Q100" s="24" t="str">
        <x:v>검토전</x:v>
      </x:c>
      <x:c r="R100" s="24" t="str"/>
      <x:c r="S100" s="24" t="str">
        <x:v>회수 검토</x:v>
      </x:c>
      <x:c r="T100" s="30"/>
      <x:c r="U100" s="30"/>
      <x:c r="V100" s="24" t="str"/>
    </x:row>
    <x:row r="101" ht="17.25" customHeight="1">
      <x:c r="A101" s="24" t="str">
        <x:v>R-0100</x:v>
      </x:c>
      <x:c r="B101" s="24" t="str">
        <x:v>프라임구독</x:v>
      </x:c>
      <x:c r="C101" s="24" t="str">
        <x:v>60조0437</x:v>
      </x:c>
      <x:c r="D101" s="24" t="str">
        <x:v>PR-C-60조0437-1-20230418-175</x:v>
      </x:c>
      <x:c r="E101" s="24" t="str">
        <x:v>우창식</x:v>
      </x:c>
      <x:c r="F101" s="31" t="n">
        <x:v>20</x:v>
      </x:c>
      <x:c r="G101" s="32" t="n">
        <x:v>3087000</x:v>
      </x:c>
      <x:c r="H101" s="30" t="n">
        <x:v>45677</x:v>
      </x:c>
      <x:c r="I101" s="31" t="n">
        <x:v>572</x:v>
      </x:c>
      <x:c r="J101" s="24" t="str"/>
      <x:c r="K101" s="24" t="str">
        <x:v>회수 판단 · 만기 임박</x:v>
      </x:c>
      <x:c r="L101" s="30"/>
      <x:c r="M101" s="24" t="str">
        <x:v>만기 자료 갱신 필요</x:v>
      </x:c>
      <x:c r="N101" s="24" t="str">
        <x:v>010-4275-7908</x:v>
      </x:c>
      <x:c r="O101" s="24" t="str"/>
      <x:c r="P101" s="24" t="str"/>
      <x:c r="Q101" s="24" t="str">
        <x:v>검토전</x:v>
      </x:c>
      <x:c r="R101" s="24" t="str"/>
      <x:c r="S101" s="24" t="str">
        <x:v>회수 검토</x:v>
      </x:c>
      <x:c r="T101" s="30"/>
      <x:c r="U101" s="30"/>
      <x:c r="V101" s="24" t="str"/>
    </x:row>
    <x:row r="102" ht="17.25" customHeight="1">
      <x:c r="A102" s="24" t="str">
        <x:v>R-0101</x:v>
      </x:c>
      <x:c r="B102" s="24" t="str">
        <x:v>프라임구독</x:v>
      </x:c>
      <x:c r="C102" s="24" t="str">
        <x:v>61너5024</x:v>
      </x:c>
      <x:c r="D102" s="24" t="str">
        <x:v>PR-C-61너5024-1-20230629-177</x:v>
      </x:c>
      <x:c r="E102" s="24" t="str">
        <x:v>안미숙</x:v>
      </x:c>
      <x:c r="F102" s="31" t="n">
        <x:v>19</x:v>
      </x:c>
      <x:c r="G102" s="32" t="n">
        <x:v>493000</x:v>
      </x:c>
      <x:c r="H102" s="30" t="n">
        <x:v>45677</x:v>
      </x:c>
      <x:c r="I102" s="31" t="n">
        <x:v>572</x:v>
      </x:c>
      <x:c r="J102" s="24" t="str"/>
      <x:c r="K102" s="24" t="str">
        <x:v>만기 임박</x:v>
      </x:c>
      <x:c r="L102" s="30"/>
      <x:c r="M102" s="24" t="str">
        <x:v>만기 자료 갱신 필요</x:v>
      </x:c>
      <x:c r="N102" s="24" t="str">
        <x:v>010-6307-8107</x:v>
      </x:c>
      <x:c r="O102" s="24" t="str"/>
      <x:c r="P102" s="24" t="str"/>
      <x:c r="Q102" s="24" t="str">
        <x:v>검토전</x:v>
      </x:c>
      <x:c r="R102" s="24" t="str"/>
      <x:c r="S102" s="24" t="str">
        <x:v>미수 확인</x:v>
      </x:c>
      <x:c r="T102" s="30"/>
      <x:c r="U102" s="30"/>
      <x:c r="V102" s="24" t="str"/>
    </x:row>
    <x:row r="103" ht="17.25" customHeight="1">
      <x:c r="A103" s="24" t="str">
        <x:v>R-0102</x:v>
      </x:c>
      <x:c r="B103" s="24" t="str">
        <x:v>프라임구독</x:v>
      </x:c>
      <x:c r="C103" s="24" t="str">
        <x:v>61루2328</x:v>
      </x:c>
      <x:c r="D103" s="24" t="str">
        <x:v>PR-C-61루2328-1-20230705-178</x:v>
      </x:c>
      <x:c r="E103" s="24" t="str">
        <x:v>권오중</x:v>
      </x:c>
      <x:c r="F103" s="31" t="n">
        <x:v>1</x:v>
      </x:c>
      <x:c r="G103" s="32" t="n">
        <x:v>448000</x:v>
      </x:c>
      <x:c r="H103" s="30" t="n">
        <x:v>46254</x:v>
      </x:c>
      <x:c r="I103" s="31" t="n">
        <x:v>0</x:v>
      </x:c>
      <x:c r="J103" s="24" t="str"/>
      <x:c r="K103" s="24" t="str"/>
      <x:c r="L103" s="30"/>
      <x:c r="M103" s="24" t="str">
        <x:v>만기 자료 갱신 필요</x:v>
      </x:c>
      <x:c r="N103" s="24" t="str">
        <x:v>010-9355-5085</x:v>
      </x:c>
      <x:c r="O103" s="24" t="str"/>
      <x:c r="P103" s="24" t="str"/>
      <x:c r="Q103" s="24" t="str">
        <x:v>검토전</x:v>
      </x:c>
      <x:c r="R103" s="24" t="str"/>
      <x:c r="S103" s="24" t="str">
        <x:v>미수 확인</x:v>
      </x:c>
      <x:c r="T103" s="30"/>
      <x:c r="U103" s="30"/>
      <x:c r="V103" s="24" t="str"/>
    </x:row>
    <x:row r="104" ht="17.25" customHeight="1">
      <x:c r="A104" s="24" t="str">
        <x:v>R-0103</x:v>
      </x:c>
      <x:c r="B104" s="24" t="str">
        <x:v>프라임구독</x:v>
      </x:c>
      <x:c r="C104" s="24" t="str">
        <x:v>64로0269</x:v>
      </x:c>
      <x:c r="D104" s="24" t="str">
        <x:v>PR-C-64로0269-1-20230623-181</x:v>
      </x:c>
      <x:c r="E104" s="24" t="str">
        <x:v>배미주</x:v>
      </x:c>
      <x:c r="F104" s="31" t="n">
        <x:v>22</x:v>
      </x:c>
      <x:c r="G104" s="32" t="n">
        <x:v>13458000</x:v>
      </x:c>
      <x:c r="H104" s="30" t="n">
        <x:v>45616</x:v>
      </x:c>
      <x:c r="I104" s="31" t="n">
        <x:v>633</x:v>
      </x:c>
      <x:c r="J104" s="24" t="str"/>
      <x:c r="K104" s="24" t="str">
        <x:v>회수 판단</x:v>
      </x:c>
      <x:c r="L104" s="30"/>
      <x:c r="M104" s="24" t="str">
        <x:v>만기 자료 갱신 필요</x:v>
      </x:c>
      <x:c r="N104" s="24" t="str">
        <x:v>010-6605-6446</x:v>
      </x:c>
      <x:c r="O104" s="24" t="str"/>
      <x:c r="P104" s="24" t="str"/>
      <x:c r="Q104" s="24" t="str">
        <x:v>검토전</x:v>
      </x:c>
      <x:c r="R104" s="24" t="str"/>
      <x:c r="S104" s="24" t="str">
        <x:v>회수 검토</x:v>
      </x:c>
      <x:c r="T104" s="30"/>
      <x:c r="U104" s="30"/>
      <x:c r="V104" s="24" t="str"/>
    </x:row>
    <x:row r="105" ht="17.25" customHeight="1">
      <x:c r="A105" s="24" t="str">
        <x:v>R-0104</x:v>
      </x:c>
      <x:c r="B105" s="24" t="str">
        <x:v>프라임구독</x:v>
      </x:c>
      <x:c r="C105" s="24" t="str">
        <x:v>66어1934</x:v>
      </x:c>
      <x:c r="D105" s="24" t="str">
        <x:v>PR-C-66어1934-1-20220526-183</x:v>
      </x:c>
      <x:c r="E105" s="24" t="str">
        <x:v>박진훈</x:v>
      </x:c>
      <x:c r="F105" s="31" t="n">
        <x:v>26</x:v>
      </x:c>
      <x:c r="G105" s="32" t="n">
        <x:v>2700000</x:v>
      </x:c>
      <x:c r="H105" s="30" t="n">
        <x:v>45498</x:v>
      </x:c>
      <x:c r="I105" s="31" t="n">
        <x:v>751</x:v>
      </x:c>
      <x:c r="J105" s="24" t="str"/>
      <x:c r="K105" s="24" t="str">
        <x:v>회수 판단 · 만기 임박</x:v>
      </x:c>
      <x:c r="L105" s="30"/>
      <x:c r="M105" s="24" t="str">
        <x:v>만기 자료 갱신 필요</x:v>
      </x:c>
      <x:c r="N105" s="24" t="str">
        <x:v>010-8500-2906</x:v>
      </x:c>
      <x:c r="O105" s="24" t="str"/>
      <x:c r="P105" s="24" t="str"/>
      <x:c r="Q105" s="24" t="str">
        <x:v>검토전</x:v>
      </x:c>
      <x:c r="R105" s="24" t="str"/>
      <x:c r="S105" s="24" t="str">
        <x:v>회수 검토</x:v>
      </x:c>
      <x:c r="T105" s="30"/>
      <x:c r="U105" s="30"/>
      <x:c r="V105" s="24" t="str"/>
    </x:row>
    <x:row r="106" ht="17.25" customHeight="1">
      <x:c r="A106" s="24" t="str">
        <x:v>R-0105</x:v>
      </x:c>
      <x:c r="B106" s="24" t="str">
        <x:v>프라임구독</x:v>
      </x:c>
      <x:c r="C106" s="24" t="str">
        <x:v>67구7368</x:v>
      </x:c>
      <x:c r="D106" s="24" t="str">
        <x:v>PR-C-67구7368-1-20230103-186</x:v>
      </x:c>
      <x:c r="E106" s="24" t="str">
        <x:v>드림하우징</x:v>
      </x:c>
      <x:c r="F106" s="31" t="n">
        <x:v>21</x:v>
      </x:c>
      <x:c r="G106" s="32" t="n">
        <x:v>8486000</x:v>
      </x:c>
      <x:c r="H106" s="30" t="n">
        <x:v>45656</x:v>
      </x:c>
      <x:c r="I106" s="31" t="n">
        <x:v>593</x:v>
      </x:c>
      <x:c r="J106" s="24" t="str"/>
      <x:c r="K106" s="24" t="str">
        <x:v>회수 판단 · 만기 임박</x:v>
      </x:c>
      <x:c r="L106" s="30"/>
      <x:c r="M106" s="24" t="str">
        <x:v>만기 자료 갱신 필요</x:v>
      </x:c>
      <x:c r="N106" s="24" t="str">
        <x:v>010-9475-2760</x:v>
      </x:c>
      <x:c r="O106" s="24" t="str"/>
      <x:c r="P106" s="24" t="str"/>
      <x:c r="Q106" s="24" t="str">
        <x:v>검토전</x:v>
      </x:c>
      <x:c r="R106" s="24" t="str"/>
      <x:c r="S106" s="24" t="str">
        <x:v>회수 검토</x:v>
      </x:c>
      <x:c r="T106" s="30"/>
      <x:c r="U106" s="30"/>
      <x:c r="V106" s="24" t="str"/>
    </x:row>
    <x:row r="107" ht="17.25" customHeight="1">
      <x:c r="A107" s="24" t="str">
        <x:v>R-0106</x:v>
      </x:c>
      <x:c r="B107" s="24" t="str">
        <x:v>프라임구독</x:v>
      </x:c>
      <x:c r="C107" s="24" t="str">
        <x:v>69버0299</x:v>
      </x:c>
      <x:c r="D107" s="24" t="str">
        <x:v>PR-C-69버0299-1-20240305-191</x:v>
      </x:c>
      <x:c r="E107" s="24" t="str">
        <x:v>이준영</x:v>
      </x:c>
      <x:c r="F107" s="31" t="n">
        <x:v>1</x:v>
      </x:c>
      <x:c r="G107" s="32" t="n">
        <x:v>550000</x:v>
      </x:c>
      <x:c r="H107" s="30" t="n">
        <x:v>46259</x:v>
      </x:c>
      <x:c r="I107" s="31" t="n">
        <x:v>0</x:v>
      </x:c>
      <x:c r="J107" s="24" t="str"/>
      <x:c r="K107" s="24" t="str"/>
      <x:c r="L107" s="30"/>
      <x:c r="M107" s="24" t="str">
        <x:v>정상</x:v>
      </x:c>
      <x:c r="N107" s="24" t="str">
        <x:v>010-5944-8700</x:v>
      </x:c>
      <x:c r="O107" s="24" t="str"/>
      <x:c r="P107" s="24" t="str"/>
      <x:c r="Q107" s="24" t="str">
        <x:v>검토전</x:v>
      </x:c>
      <x:c r="R107" s="24" t="str"/>
      <x:c r="S107" s="24" t="str">
        <x:v>미수 확인</x:v>
      </x:c>
      <x:c r="T107" s="30"/>
      <x:c r="U107" s="30"/>
      <x:c r="V107" s="24" t="str"/>
    </x:row>
    <x:row r="108" ht="17.25" customHeight="1">
      <x:c r="A108" s="24" t="str">
        <x:v>R-0107</x:v>
      </x:c>
      <x:c r="B108" s="24" t="str">
        <x:v>프라임구독</x:v>
      </x:c>
      <x:c r="C108" s="24" t="str">
        <x:v>76버5489</x:v>
      </x:c>
      <x:c r="D108" s="24" t="str">
        <x:v>PR-C-76버5489-1-20220816-194</x:v>
      </x:c>
      <x:c r="E108" s="24" t="str">
        <x:v>한샘</x:v>
      </x:c>
      <x:c r="F108" s="31" t="n">
        <x:v>21</x:v>
      </x:c>
      <x:c r="G108" s="32" t="n">
        <x:v>4850000</x:v>
      </x:c>
      <x:c r="H108" s="30" t="n">
        <x:v>45646</x:v>
      </x:c>
      <x:c r="I108" s="31" t="n">
        <x:v>603</x:v>
      </x:c>
      <x:c r="J108" s="24" t="str"/>
      <x:c r="K108" s="24" t="str">
        <x:v>회수 판단 · 만기 임박</x:v>
      </x:c>
      <x:c r="L108" s="30"/>
      <x:c r="M108" s="24" t="str">
        <x:v>만기 자료 갱신 필요</x:v>
      </x:c>
      <x:c r="N108" s="24" t="str">
        <x:v>010-9436-2503</x:v>
      </x:c>
      <x:c r="O108" s="24" t="str"/>
      <x:c r="P108" s="24" t="str"/>
      <x:c r="Q108" s="24" t="str">
        <x:v>검토전</x:v>
      </x:c>
      <x:c r="R108" s="24" t="str"/>
      <x:c r="S108" s="24" t="str">
        <x:v>회수 검토</x:v>
      </x:c>
      <x:c r="T108" s="30"/>
      <x:c r="U108" s="30"/>
      <x:c r="V108" s="24" t="str"/>
    </x:row>
    <x:row r="109" ht="17.25" customHeight="1">
      <x:c r="A109" s="24" t="str">
        <x:v>R-0108</x:v>
      </x:c>
      <x:c r="B109" s="24" t="str">
        <x:v>프라임구독</x:v>
      </x:c>
      <x:c r="C109" s="24" t="str">
        <x:v>84모5364</x:v>
      </x:c>
      <x:c r="D109" s="24" t="str">
        <x:v>PR-C-84모5364-1-20231122-200</x:v>
      </x:c>
      <x:c r="E109" s="24" t="str">
        <x:v>권용구</x:v>
      </x:c>
      <x:c r="F109" s="31" t="n">
        <x:v>23</x:v>
      </x:c>
      <x:c r="G109" s="32" t="n">
        <x:v>8992315</x:v>
      </x:c>
      <x:c r="H109" s="30" t="n">
        <x:v>45585</x:v>
      </x:c>
      <x:c r="I109" s="31" t="n">
        <x:v>664</x:v>
      </x:c>
      <x:c r="J109" s="24" t="str"/>
      <x:c r="K109" s="24" t="str">
        <x:v>회수 판단</x:v>
      </x:c>
      <x:c r="L109" s="30"/>
      <x:c r="M109" s="24" t="str">
        <x:v>보험 자료 없음</x:v>
      </x:c>
      <x:c r="N109" s="24" t="str">
        <x:v>010-7652-3064</x:v>
      </x:c>
      <x:c r="O109" s="24" t="str"/>
      <x:c r="P109" s="24" t="str"/>
      <x:c r="Q109" s="24" t="str">
        <x:v>검토전</x:v>
      </x:c>
      <x:c r="R109" s="24" t="str"/>
      <x:c r="S109" s="24" t="str">
        <x:v>회수 검토</x:v>
      </x:c>
      <x:c r="T109" s="30"/>
      <x:c r="U109" s="30"/>
      <x:c r="V109" s="24" t="str"/>
    </x:row>
    <x:row r="110" ht="17.25" customHeight="1">
      <x:c r="A110" s="24" t="str">
        <x:v>R-0109</x:v>
      </x:c>
      <x:c r="B110" s="24" t="str">
        <x:v>프라임구독</x:v>
      </x:c>
      <x:c r="C110" s="24" t="str">
        <x:v>93너4019</x:v>
      </x:c>
      <x:c r="D110" s="24" t="str">
        <x:v>PR-C-93너4019-1-20231024-209</x:v>
      </x:c>
      <x:c r="E110" s="24" t="str">
        <x:v>최유미</x:v>
      </x:c>
      <x:c r="F110" s="31" t="n">
        <x:v>20</x:v>
      </x:c>
      <x:c r="G110" s="32" t="n">
        <x:v>3325272</x:v>
      </x:c>
      <x:c r="H110" s="30" t="n">
        <x:v>45682</x:v>
      </x:c>
      <x:c r="I110" s="31" t="n">
        <x:v>567</x:v>
      </x:c>
      <x:c r="J110" s="24" t="str"/>
      <x:c r="K110" s="24" t="str">
        <x:v>회수 판단</x:v>
      </x:c>
      <x:c r="L110" s="30"/>
      <x:c r="M110" s="24" t="str">
        <x:v>보험 자료 없음</x:v>
      </x:c>
      <x:c r="N110" s="24" t="str">
        <x:v>010-4448-4113</x:v>
      </x:c>
      <x:c r="O110" s="24" t="str"/>
      <x:c r="P110" s="24" t="str"/>
      <x:c r="Q110" s="24" t="str">
        <x:v>검토전</x:v>
      </x:c>
      <x:c r="R110" s="24" t="str"/>
      <x:c r="S110" s="24" t="str">
        <x:v>회수 검토</x:v>
      </x:c>
      <x:c r="T110" s="30"/>
      <x:c r="U110" s="30"/>
      <x:c r="V110" s="24" t="str"/>
    </x:row>
    <x:row r="111" ht="17.25" customHeight="1">
      <x:c r="A111" s="24" t="str">
        <x:v>R-0110</x:v>
      </x:c>
      <x:c r="B111" s="24" t="str">
        <x:v>프라임구독</x:v>
      </x:c>
      <x:c r="C111" s="24" t="str">
        <x:v>93오0716</x:v>
      </x:c>
      <x:c r="D111" s="24" t="str">
        <x:v>PR-C-93오0716-1-20230712-211</x:v>
      </x:c>
      <x:c r="E111" s="24" t="str">
        <x:v>김성룡</x:v>
      </x:c>
      <x:c r="F111" s="31" t="n">
        <x:v>19</x:v>
      </x:c>
      <x:c r="G111" s="32" t="n">
        <x:v>4956000</x:v>
      </x:c>
      <x:c r="H111" s="30" t="n">
        <x:v>45703</x:v>
      </x:c>
      <x:c r="I111" s="31" t="n">
        <x:v>546</x:v>
      </x:c>
      <x:c r="J111" s="24" t="str"/>
      <x:c r="K111" s="24" t="str">
        <x:v>회수 판단 · 만기 임박</x:v>
      </x:c>
      <x:c r="L111" s="30"/>
      <x:c r="M111" s="24" t="str">
        <x:v>만기 자료 갱신 필요</x:v>
      </x:c>
      <x:c r="N111" s="24" t="str">
        <x:v>010-6656-5233</x:v>
      </x:c>
      <x:c r="O111" s="24" t="str"/>
      <x:c r="P111" s="24" t="str"/>
      <x:c r="Q111" s="24" t="str">
        <x:v>검토전</x:v>
      </x:c>
      <x:c r="R111" s="24" t="str"/>
      <x:c r="S111" s="24" t="str">
        <x:v>회수 검토</x:v>
      </x:c>
      <x:c r="T111" s="30"/>
      <x:c r="U111" s="30"/>
      <x:c r="V111" s="24" t="str"/>
    </x:row>
    <x:row r="112" ht="17.25" customHeight="1">
      <x:c r="A112" s="24" t="str">
        <x:v>R-0111</x:v>
      </x:c>
      <x:c r="B112" s="24" t="str">
        <x:v>프라임구독</x:v>
      </x:c>
      <x:c r="C112" s="24" t="str">
        <x:v>96머7474</x:v>
      </x:c>
      <x:c r="D112" s="24" t="str">
        <x:v>PR-C-96머7474-1-20230131-214</x:v>
      </x:c>
      <x:c r="E112" s="24" t="str">
        <x:v>김동석</x:v>
      </x:c>
      <x:c r="F112" s="31" t="n">
        <x:v>19</x:v>
      </x:c>
      <x:c r="G112" s="32" t="n">
        <x:v>758000</x:v>
      </x:c>
      <x:c r="H112" s="30" t="n">
        <x:v>45708</x:v>
      </x:c>
      <x:c r="I112" s="31" t="n">
        <x:v>541</x:v>
      </x:c>
      <x:c r="J112" s="24" t="str"/>
      <x:c r="K112" s="24" t="str">
        <x:v>만기 임박</x:v>
      </x:c>
      <x:c r="L112" s="30"/>
      <x:c r="M112" s="24" t="str">
        <x:v>만기 자료 갱신 필요</x:v>
      </x:c>
      <x:c r="N112" s="24" t="str">
        <x:v>010-5863-0873</x:v>
      </x:c>
      <x:c r="O112" s="24" t="str"/>
      <x:c r="P112" s="24" t="str"/>
      <x:c r="Q112" s="24" t="str">
        <x:v>검토전</x:v>
      </x:c>
      <x:c r="R112" s="24" t="str"/>
      <x:c r="S112" s="24" t="str">
        <x:v>미수 확인</x:v>
      </x:c>
      <x:c r="T112" s="30"/>
      <x:c r="U112" s="30"/>
      <x:c r="V112" s="24" t="str"/>
    </x:row>
  </x:sheetData>
  <x:conditionalFormatting sqref="G2:G112">
    <x:cfRule type="cellIs" dxfId="1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ddfd4dab574d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1.25" hidden="0" customWidth="1"/>
    <x:col min="3" max="3" width="11.880000114440918" hidden="0" customWidth="1"/>
    <x:col min="4" max="4" width="10.630000114440918" hidden="0" customWidth="1"/>
    <x:col min="5" max="5" width="11.880000114440918" hidden="0" customWidth="1"/>
    <x:col min="6" max="6" width="15" hidden="0" customWidth="1"/>
    <x:col min="7" max="7" width="13.75" hidden="0" customWidth="1"/>
    <x:col min="8" max="8" width="8.75" hidden="0" customWidth="1"/>
    <x:col min="9" max="9" width="8.75" hidden="0" customWidth="1"/>
    <x:col min="10" max="10" width="8.130000114440918" hidden="0" customWidth="1"/>
    <x:col min="11" max="11" width="18.75" hidden="0" customWidth="1"/>
    <x:col min="12" max="12" width="9.380000114440918" hidden="0" customWidth="1"/>
    <x:col min="13" max="13" width="11.25" hidden="0" customWidth="1"/>
    <x:col min="14" max="14" width="10.630000114440918" hidden="0" customWidth="1"/>
    <x:col min="15" max="15" width="11.25" hidden="0" customWidth="1"/>
    <x:col min="16" max="16" width="11.880000114440918" hidden="0" customWidth="1"/>
    <x:col min="17" max="17" width="11.880000114440918" hidden="0" customWidth="1"/>
    <x:col min="18" max="18" width="12.5" hidden="0" customWidth="1"/>
    <x:col min="19" max="19" width="12.5" hidden="0" customWidth="1"/>
    <x:col min="20" max="20" width="11.880000114440918" hidden="0" customWidth="1"/>
    <x:col min="21" max="21" width="11.880000114440918" hidden="0" customWidth="1"/>
    <x:col min="22" max="22" width="10" hidden="0" customWidth="1"/>
    <x:col min="23" max="23" width="15" hidden="0" customWidth="1"/>
    <x:col min="24" max="24" width="11.880000114440918" hidden="0" customWidth="1"/>
    <x:col min="25" max="25" width="8.130000114440918" hidden="0" customWidth="1"/>
    <x:col min="26" max="26" width="8.75" hidden="0" customWidth="1"/>
    <x:col min="27" max="27" width="8.75" hidden="0" customWidth="1"/>
    <x:col min="28" max="28" width="11.25" hidden="0" customWidth="1"/>
    <x:col min="29" max="29" width="11.25" hidden="0" customWidth="1"/>
    <x:col min="30" max="30" width="11.880000114440918" hidden="0" customWidth="1"/>
    <x:col min="31" max="31" width="12.5" hidden="0" customWidth="1"/>
    <x:col min="32" max="32" width="10" hidden="0" customWidth="1"/>
    <x:col min="33" max="33" width="11.25" hidden="0" customWidth="1"/>
    <x:col min="34" max="34" width="11.25" hidden="0" customWidth="1"/>
    <x:col min="35" max="35" width="12.5" hidden="0" customWidth="1"/>
    <x:col min="36" max="36" width="11.25" hidden="0" customWidth="1"/>
    <x:col min="37" max="37" width="12.5" hidden="0" customWidth="1"/>
    <x:col min="38" max="38" width="11.880000114440918" hidden="0" customWidth="1"/>
    <x:col min="39" max="39" width="22.5" hidden="0" customWidth="1"/>
    <x:col min="40" max="40" width="8.130000114440918" hidden="0" customWidth="1"/>
  </x:cols>
  <x:sheetData>
    <x:row r="1" ht="25.5" customHeight="1">
      <x:c r="A1" s="29" t="str">
        <x:v>법인</x:v>
      </x:c>
      <x:c r="B1" s="29" t="str">
        <x:v>차량번호</x:v>
      </x:c>
      <x:c r="C1" s="29" t="str">
        <x:v>보유상태</x:v>
      </x:c>
      <x:c r="D1" s="29" t="str">
        <x:v>제조사</x:v>
      </x:c>
      <x:c r="E1" s="29" t="str">
        <x:v>모델</x:v>
      </x:c>
      <x:c r="F1" s="29" t="str">
        <x:v>세부모델</x:v>
      </x:c>
      <x:c r="G1" s="29" t="str">
        <x:v>파워트레인</x:v>
      </x:c>
      <x:c r="H1" s="29" t="str">
        <x:v>연료</x:v>
      </x:c>
      <x:c r="I1" s="29" t="str">
        <x:v>배기량</x:v>
      </x:c>
      <x:c r="J1" s="29" t="str">
        <x:v>연식</x:v>
      </x:c>
      <x:c r="K1" s="29" t="str">
        <x:v>차대번호</x:v>
      </x:c>
      <x:c r="L1" s="29" t="str">
        <x:v>등록지</x:v>
      </x:c>
      <x:c r="M1" s="29" t="str">
        <x:v>최초등록일</x:v>
      </x:c>
      <x:c r="N1" s="29" t="str">
        <x:v>주행거리</x:v>
      </x:c>
      <x:c r="O1" s="29" t="str">
        <x:v>취득일</x:v>
      </x:c>
      <x:c r="P1" s="29" t="str">
        <x:v>소비자가격</x:v>
      </x:c>
      <x:c r="Q1" s="29" t="str">
        <x:v>차량가격</x:v>
      </x:c>
      <x:c r="R1" s="29" t="str">
        <x:v>실제구입가격</x:v>
      </x:c>
      <x:c r="S1" s="29" t="str">
        <x:v>구입처</x:v>
      </x:c>
      <x:c r="T1" s="29" t="str">
        <x:v>상품화비용</x:v>
      </x:c>
      <x:c r="U1" s="29" t="str">
        <x:v>취득가격</x:v>
      </x:c>
      <x:c r="V1" s="29" t="str">
        <x:v>할부유형</x:v>
      </x:c>
      <x:c r="W1" s="29" t="str">
        <x:v>할부사</x:v>
      </x:c>
      <x:c r="X1" s="29" t="str">
        <x:v>할부원금</x:v>
      </x:c>
      <x:c r="Y1" s="29" t="str">
        <x:v>금리</x:v>
      </x:c>
      <x:c r="Z1" s="29" t="str">
        <x:v>할부기간</x:v>
      </x:c>
      <x:c r="AA1" s="29" t="str">
        <x:v>결제일</x:v>
      </x:c>
      <x:c r="AB1" s="29" t="str">
        <x:v>실행일</x:v>
      </x:c>
      <x:c r="AC1" s="29" t="str">
        <x:v>만기일</x:v>
      </x:c>
      <x:c r="AD1" s="29" t="str">
        <x:v>월납입액</x:v>
      </x:c>
      <x:c r="AE1" s="29" t="str">
        <x:v>잔여원금</x:v>
      </x:c>
      <x:c r="AF1" s="29" t="str">
        <x:v>GPS</x:v>
      </x:c>
      <x:c r="AG1" s="29" t="str">
        <x:v>단말기</x:v>
      </x:c>
      <x:c r="AH1" s="29" t="str">
        <x:v>매각일</x:v>
      </x:c>
      <x:c r="AI1" s="29" t="str">
        <x:v>매각처</x:v>
      </x:c>
      <x:c r="AJ1" s="29" t="str">
        <x:v>매각방법</x:v>
      </x:c>
      <x:c r="AK1" s="29" t="str">
        <x:v>매각금액</x:v>
      </x:c>
      <x:c r="AL1" s="29" t="str">
        <x:v>손익</x:v>
      </x:c>
      <x:c r="AM1" s="29" t="str">
        <x:v>증빙비고</x:v>
      </x:c>
      <x:c r="AN1" s="29" t="str">
        <x:v>원본행</x:v>
      </x:c>
    </x:row>
    <x:row r="2" ht="17.25" customHeight="1">
      <x:c r="A2" s="24" t="str">
        <x:v>스위치플랜</x:v>
      </x:c>
      <x:c r="B2" s="24" t="str">
        <x:v>16부2718</x:v>
      </x:c>
      <x:c r="C2" s="24" t="str">
        <x:v>보유</x:v>
      </x:c>
      <x:c r="D2" s="24" t="str">
        <x:v>현대</x:v>
      </x:c>
      <x:c r="E2" s="24" t="str">
        <x:v>그랜저</x:v>
      </x:c>
      <x:c r="F2" s="24" t="str">
        <x:v>그랜저 HG</x:v>
      </x:c>
      <x:c r="G2" s="24" t="str">
        <x:v>가솔린 3.0</x:v>
      </x:c>
      <x:c r="H2" s="24" t="str">
        <x:v>가솔린</x:v>
      </x:c>
      <x:c r="I2" s="31" t="n">
        <x:v>2999</x:v>
      </x:c>
      <x:c r="J2" s="31" t="n">
        <x:v>2016</x:v>
      </x:c>
      <x:c r="K2" s="24" t="str">
        <x:v>KMHFH41EBGA531520</x:v>
      </x:c>
      <x:c r="L2" s="24" t="str">
        <x:v>김포</x:v>
      </x:c>
      <x:c r="M2" s="30" t="n">
        <x:v>42321</x:v>
      </x:c>
      <x:c r="N2" s="31"/>
      <x:c r="O2" s="30" t="n">
        <x:v>45316</x:v>
      </x:c>
      <x:c r="P2" s="32" t="n">
        <x:v>42680000</x:v>
      </x:c>
      <x:c r="Q2" s="32" t="n">
        <x:v>16500000</x:v>
      </x:c>
      <x:c r="R2" s="32"/>
      <x:c r="S2" s="24" t="str">
        <x:v>중고</x:v>
      </x:c>
      <x:c r="T2" s="32"/>
      <x:c r="U2" s="32"/>
      <x:c r="V2" s="24" t="str">
        <x:v>할부</x:v>
      </x:c>
      <x:c r="W2" s="24" t="str">
        <x:v>한국금융자산대부㈜</x:v>
      </x:c>
      <x:c r="X2" s="32" t="n">
        <x:v>17660001</x:v>
      </x:c>
      <x:c r="Y2" s="33" t="n">
        <x:v>0.17</x:v>
      </x:c>
      <x:c r="Z2" s="31" t="n">
        <x:v>48</x:v>
      </x:c>
      <x:c r="AA2" s="24" t="str">
        <x:v>10일</x:v>
      </x:c>
      <x:c r="AB2" s="30" t="n">
        <x:v>45332</x:v>
      </x:c>
      <x:c r="AC2" s="30" t="n">
        <x:v>46762</x:v>
      </x:c>
      <x:c r="AD2" s="32"/>
      <x:c r="AE2" s="32" t="n">
        <x:v>9506508</x:v>
      </x:c>
      <x:c r="AF2" s="24" t="str"/>
      <x:c r="AG2" s="24" t="str"/>
      <x:c r="AH2" s="30"/>
      <x:c r="AI2" s="24" t="str"/>
      <x:c r="AJ2" s="24" t="str"/>
      <x:c r="AK2" s="32"/>
      <x:c r="AL2" s="32"/>
      <x:c r="AM2" s="24" t="str"/>
      <x:c r="AN2" s="31" t="n">
        <x:v>3</x:v>
      </x:c>
    </x:row>
    <x:row r="3" ht="17.25" customHeight="1">
      <x:c r="A3" s="24" t="str">
        <x:v>스위치플랜</x:v>
      </x:c>
      <x:c r="B3" s="24" t="str">
        <x:v>181로2705</x:v>
      </x:c>
      <x:c r="C3" s="24" t="str">
        <x:v>보유</x:v>
      </x:c>
      <x:c r="D3" s="24" t="str">
        <x:v>마세라티</x:v>
      </x:c>
      <x:c r="E3" s="24" t="str">
        <x:v>기블리</x:v>
      </x:c>
      <x:c r="F3" s="24" t="str">
        <x:v>기블리</x:v>
      </x:c>
      <x:c r="G3" s="24" t="str">
        <x:v>가솔린 3.0</x:v>
      </x:c>
      <x:c r="H3" s="24" t="str">
        <x:v>가솔린</x:v>
      </x:c>
      <x:c r="I3" s="31" t="n">
        <x:v>2979</x:v>
      </x:c>
      <x:c r="J3" s="31" t="n">
        <x:v>2016</x:v>
      </x:c>
      <x:c r="K3" s="24" t="str">
        <x:v>ZAM57XSA8G1187455</x:v>
      </x:c>
      <x:c r="L3" s="24" t="str">
        <x:v>김포</x:v>
      </x:c>
      <x:c r="M3" s="30" t="n">
        <x:v>42580</x:v>
      </x:c>
      <x:c r="N3" s="31"/>
      <x:c r="O3" s="30" t="n">
        <x:v>45642</x:v>
      </x:c>
      <x:c r="P3" s="32"/>
      <x:c r="Q3" s="32" t="n">
        <x:v>27000000</x:v>
      </x:c>
      <x:c r="R3" s="32" t="n">
        <x:v>27000000</x:v>
      </x:c>
      <x:c r="S3" s="24" t="str">
        <x:v>중고</x:v>
      </x:c>
      <x:c r="T3" s="32"/>
      <x:c r="U3" s="32" t="n">
        <x:v>29099206</x:v>
      </x:c>
      <x:c r="V3" s="24" t="str">
        <x:v>할부</x:v>
      </x:c>
      <x:c r="W3" s="24" t="str">
        <x:v>KB캐피탈</x:v>
      </x:c>
      <x:c r="X3" s="32" t="n">
        <x:v>22300000</x:v>
      </x:c>
      <x:c r="Y3" s="33" t="n">
        <x:v>0.08</x:v>
      </x:c>
      <x:c r="Z3" s="31" t="n">
        <x:v>36</x:v>
      </x:c>
      <x:c r="AA3" s="24" t="str">
        <x:v>20일</x:v>
      </x:c>
      <x:c r="AB3" s="30" t="n">
        <x:v>45677</x:v>
      </x:c>
      <x:c r="AC3" s="30" t="n">
        <x:v>46741</x:v>
      </x:c>
      <x:c r="AD3" s="32" t="n">
        <x:v>693668</x:v>
      </x:c>
      <x:c r="AE3" s="32" t="n">
        <x:v>11154507</x:v>
      </x:c>
      <x:c r="AF3" s="24" t="str"/>
      <x:c r="AG3" s="24" t="str"/>
      <x:c r="AH3" s="30"/>
      <x:c r="AI3" s="24" t="str"/>
      <x:c r="AJ3" s="24" t="str"/>
      <x:c r="AK3" s="32"/>
      <x:c r="AL3" s="32"/>
      <x:c r="AM3" s="24" t="str"/>
      <x:c r="AN3" s="31" t="n">
        <x:v>4</x:v>
      </x:c>
    </x:row>
    <x:row r="4" ht="17.25" customHeight="1">
      <x:c r="A4" s="24" t="str">
        <x:v>스위치플랜</x:v>
      </x:c>
      <x:c r="B4" s="24" t="str">
        <x:v>03머0389</x:v>
      </x:c>
      <x:c r="C4" s="24" t="str">
        <x:v>보유</x:v>
      </x:c>
      <x:c r="D4" s="24" t="str">
        <x:v>제네시스</x:v>
      </x:c>
      <x:c r="E4" s="24" t="str">
        <x:v>EQ900</x:v>
      </x:c>
      <x:c r="F4" s="24" t="str">
        <x:v>EQ900 HI</x:v>
      </x:c>
      <x:c r="G4" s="24" t="str">
        <x:v>가솔린 3.8 AWD</x:v>
      </x:c>
      <x:c r="H4" s="24" t="str">
        <x:v>가솔린</x:v>
      </x:c>
      <x:c r="I4" s="31" t="n">
        <x:v>3778</x:v>
      </x:c>
      <x:c r="J4" s="31" t="n">
        <x:v>2016</x:v>
      </x:c>
      <x:c r="K4" s="24" t="str">
        <x:v>KMHG341DDGU021345</x:v>
      </x:c>
      <x:c r="L4" s="24" t="str">
        <x:v>김포</x:v>
      </x:c>
      <x:c r="M4" s="30" t="n">
        <x:v>42606</x:v>
      </x:c>
      <x:c r="N4" s="31"/>
      <x:c r="O4" s="30" t="n">
        <x:v>45273</x:v>
      </x:c>
      <x:c r="P4" s="32" t="n">
        <x:v>107000000</x:v>
      </x:c>
      <x:c r="Q4" s="32" t="n">
        <x:v>30185000</x:v>
      </x:c>
      <x:c r="R4" s="32" t="n">
        <x:v>30185000</x:v>
      </x:c>
      <x:c r="S4" s="24" t="str">
        <x:v>중고</x:v>
      </x:c>
      <x:c r="T4" s="32"/>
      <x:c r="U4" s="32" t="n">
        <x:v>32930000</x:v>
      </x:c>
      <x:c r="V4" s="24" t="str">
        <x:v>할부</x:v>
      </x:c>
      <x:c r="W4" s="24" t="str">
        <x:v>한국금융자산대부㈜</x:v>
      </x:c>
      <x:c r="X4" s="32" t="n">
        <x:v>31890000</x:v>
      </x:c>
      <x:c r="Y4" s="33" t="n">
        <x:v>0.17</x:v>
      </x:c>
      <x:c r="Z4" s="31" t="n">
        <x:v>48</x:v>
      </x:c>
      <x:c r="AA4" s="24" t="str">
        <x:v>10일</x:v>
      </x:c>
      <x:c r="AB4" s="30" t="n">
        <x:v>45301</x:v>
      </x:c>
      <x:c r="AC4" s="30" t="n">
        <x:v>46731</x:v>
      </x:c>
      <x:c r="AD4" s="32"/>
      <x:c r="AE4" s="32" t="n">
        <x:v>653659</x:v>
      </x:c>
      <x:c r="AF4" s="24" t="str"/>
      <x:c r="AG4" s="24" t="str"/>
      <x:c r="AH4" s="30"/>
      <x:c r="AI4" s="24" t="str"/>
      <x:c r="AJ4" s="24" t="str"/>
      <x:c r="AK4" s="32"/>
      <x:c r="AL4" s="32"/>
      <x:c r="AM4" s="24" t="str"/>
      <x:c r="AN4" s="31" t="n">
        <x:v>5</x:v>
      </x:c>
    </x:row>
    <x:row r="5" ht="17.25" customHeight="1">
      <x:c r="A5" s="24" t="str">
        <x:v>스위치플랜</x:v>
      </x:c>
      <x:c r="B5" s="24" t="str">
        <x:v>117머4942</x:v>
      </x:c>
      <x:c r="C5" s="24" t="str">
        <x:v>보유</x:v>
      </x:c>
      <x:c r="D5" s="24" t="str">
        <x:v>쉐보레</x:v>
      </x:c>
      <x:c r="E5" s="24" t="str">
        <x:v>카마로</x:v>
      </x:c>
      <x:c r="F5" s="24" t="str">
        <x:v>올 뉴 카마로</x:v>
      </x:c>
      <x:c r="G5" s="24" t="str">
        <x:v>가솔린 6.2</x:v>
      </x:c>
      <x:c r="H5" s="24" t="str">
        <x:v>가솔린</x:v>
      </x:c>
      <x:c r="I5" s="31" t="n">
        <x:v>6162</x:v>
      </x:c>
      <x:c r="J5" s="31" t="n">
        <x:v>2016</x:v>
      </x:c>
      <x:c r="K5" s="24" t="str">
        <x:v>1G1F91R78H0134278</x:v>
      </x:c>
      <x:c r="L5" s="24" t="str">
        <x:v>김포</x:v>
      </x:c>
      <x:c r="M5" s="30" t="n">
        <x:v>42738</x:v>
      </x:c>
      <x:c r="N5" s="31"/>
      <x:c r="O5" s="30" t="n">
        <x:v>45624</x:v>
      </x:c>
      <x:c r="P5" s="32"/>
      <x:c r="Q5" s="32" t="n">
        <x:v>26400000</x:v>
      </x:c>
      <x:c r="R5" s="32" t="n">
        <x:v>26400000</x:v>
      </x:c>
      <x:c r="S5" s="24" t="str">
        <x:v>중고</x:v>
      </x:c>
      <x:c r="T5" s="32"/>
      <x:c r="U5" s="32" t="n">
        <x:v>28848453</x:v>
      </x:c>
      <x:c r="V5" s="24" t="str">
        <x:v>할부</x:v>
      </x:c>
      <x:c r="W5" s="24" t="str">
        <x:v>한국금융자산대부㈜</x:v>
      </x:c>
      <x:c r="X5" s="32" t="n">
        <x:v>33670000</x:v>
      </x:c>
      <x:c r="Y5" s="33" t="n">
        <x:v>0.17</x:v>
      </x:c>
      <x:c r="Z5" s="31" t="n">
        <x:v>48</x:v>
      </x:c>
      <x:c r="AA5" s="24" t="str">
        <x:v>10일</x:v>
      </x:c>
      <x:c r="AB5" s="30" t="n">
        <x:v>45636</x:v>
      </x:c>
      <x:c r="AC5" s="30" t="n">
        <x:v>47067</x:v>
      </x:c>
      <x:c r="AD5" s="32"/>
      <x:c r="AE5" s="32" t="n">
        <x:v>15841200</x:v>
      </x:c>
      <x:c r="AF5" s="24" t="str"/>
      <x:c r="AG5" s="24" t="str"/>
      <x:c r="AH5" s="30"/>
      <x:c r="AI5" s="24" t="str"/>
      <x:c r="AJ5" s="24" t="str"/>
      <x:c r="AK5" s="32"/>
      <x:c r="AL5" s="32"/>
      <x:c r="AM5" s="24" t="str"/>
      <x:c r="AN5" s="31" t="n">
        <x:v>6</x:v>
      </x:c>
    </x:row>
    <x:row r="6" ht="17.25" customHeight="1">
      <x:c r="A6" s="24" t="str">
        <x:v>스위치플랜</x:v>
      </x:c>
      <x:c r="B6" s="24" t="str">
        <x:v>19마6497</x:v>
      </x:c>
      <x:c r="C6" s="24" t="str">
        <x:v>보유</x:v>
      </x:c>
      <x:c r="D6" s="24" t="str">
        <x:v>제네시스</x:v>
      </x:c>
      <x:c r="E6" s="24" t="str">
        <x:v>G80</x:v>
      </x:c>
      <x:c r="F6" s="24" t="str">
        <x:v>G80 DH</x:v>
      </x:c>
      <x:c r="G6" s="24" t="str">
        <x:v>가솔린 3.3T AWD</x:v>
      </x:c>
      <x:c r="H6" s="24" t="str">
        <x:v>가솔린</x:v>
      </x:c>
      <x:c r="I6" s="31" t="n">
        <x:v>3342</x:v>
      </x:c>
      <x:c r="J6" s="31" t="n">
        <x:v>2017</x:v>
      </x:c>
      <x:c r="K6" s="24" t="str">
        <x:v>KMHGN41BDHU215414</x:v>
      </x:c>
      <x:c r="L6" s="24" t="str">
        <x:v>김포</x:v>
      </x:c>
      <x:c r="M6" s="30" t="n">
        <x:v>42759</x:v>
      </x:c>
      <x:c r="N6" s="31"/>
      <x:c r="O6" s="30" t="n">
        <x:v>45562</x:v>
      </x:c>
      <x:c r="P6" s="32" t="n">
        <x:v>77000000</x:v>
      </x:c>
      <x:c r="Q6" s="32" t="n">
        <x:v>31700000</x:v>
      </x:c>
      <x:c r="R6" s="32" t="n">
        <x:v>32501040</x:v>
      </x:c>
      <x:c r="S6" s="24" t="str">
        <x:v>중고</x:v>
      </x:c>
      <x:c r="T6" s="32"/>
      <x:c r="U6" s="32" t="n">
        <x:v>35640164</x:v>
      </x:c>
      <x:c r="V6" s="24" t="str">
        <x:v>할부</x:v>
      </x:c>
      <x:c r="W6" s="24" t="str">
        <x:v>도이치파이낸셜</x:v>
      </x:c>
      <x:c r="X6" s="32" t="n">
        <x:v>34630000</x:v>
      </x:c>
      <x:c r="Y6" s="33" t="n">
        <x:v>0.17</x:v>
      </x:c>
      <x:c r="Z6" s="31" t="n">
        <x:v>48</x:v>
      </x:c>
      <x:c r="AA6" s="24" t="str">
        <x:v>10일</x:v>
      </x:c>
      <x:c r="AB6" s="30" t="n">
        <x:v>45667</x:v>
      </x:c>
      <x:c r="AC6" s="30" t="n">
        <x:v>47097</x:v>
      </x:c>
      <x:c r="AD6" s="32"/>
      <x:c r="AE6" s="32" t="n">
        <x:v>17962123</x:v>
      </x:c>
      <x:c r="AF6" s="24" t="str"/>
      <x:c r="AG6" s="24" t="str"/>
      <x:c r="AH6" s="30"/>
      <x:c r="AI6" s="24" t="str"/>
      <x:c r="AJ6" s="24" t="str"/>
      <x:c r="AK6" s="32"/>
      <x:c r="AL6" s="32"/>
      <x:c r="AM6" s="24" t="str"/>
      <x:c r="AN6" s="31" t="n">
        <x:v>7</x:v>
      </x:c>
    </x:row>
    <x:row r="7" ht="17.25" customHeight="1">
      <x:c r="A7" s="24" t="str">
        <x:v>스위치플랜</x:v>
      </x:c>
      <x:c r="B7" s="24" t="str">
        <x:v>62조4444</x:v>
      </x:c>
      <x:c r="C7" s="24" t="str">
        <x:v>보유</x:v>
      </x:c>
      <x:c r="D7" s="24" t="str">
        <x:v>포르쉐</x:v>
      </x:c>
      <x:c r="E7" s="24" t="str">
        <x:v>카이엔</x:v>
      </x:c>
      <x:c r="F7" s="24" t="str">
        <x:v>뉴 카이엔 958</x:v>
      </x:c>
      <x:c r="G7" s="24" t="str">
        <x:v>디젤 3.0</x:v>
      </x:c>
      <x:c r="H7" s="24" t="str">
        <x:v>디젤</x:v>
      </x:c>
      <x:c r="I7" s="31" t="n">
        <x:v>2967</x:v>
      </x:c>
      <x:c r="J7" s="31" t="n">
        <x:v>2016</x:v>
      </x:c>
      <x:c r="K7" s="24" t="str">
        <x:v>WP1AF2926HLA30633</x:v>
      </x:c>
      <x:c r="L7" s="24" t="str">
        <x:v>김포</x:v>
      </x:c>
      <x:c r="M7" s="30" t="n">
        <x:v>42772</x:v>
      </x:c>
      <x:c r="N7" s="31"/>
      <x:c r="O7" s="30" t="n">
        <x:v>45673</x:v>
      </x:c>
      <x:c r="P7" s="32"/>
      <x:c r="Q7" s="32" t="n">
        <x:v>40000000</x:v>
      </x:c>
      <x:c r="R7" s="32" t="n">
        <x:v>40440000</x:v>
      </x:c>
      <x:c r="S7" s="24" t="str">
        <x:v>중고</x:v>
      </x:c>
      <x:c r="T7" s="32"/>
      <x:c r="U7" s="32" t="n">
        <x:v>43757363</x:v>
      </x:c>
      <x:c r="V7" s="24" t="str">
        <x:v>할부</x:v>
      </x:c>
      <x:c r="W7" s="24" t="str">
        <x:v>KB캐피탈</x:v>
      </x:c>
      <x:c r="X7" s="32" t="n">
        <x:v>37900000</x:v>
      </x:c>
      <x:c r="Y7" s="33" t="n">
        <x:v>0.08</x:v>
      </x:c>
      <x:c r="Z7" s="31" t="n">
        <x:v>36</x:v>
      </x:c>
      <x:c r="AA7" s="24" t="str">
        <x:v>20일</x:v>
      </x:c>
      <x:c r="AB7" s="30" t="n">
        <x:v>45708</x:v>
      </x:c>
      <x:c r="AC7" s="30" t="n">
        <x:v>46772</x:v>
      </x:c>
      <x:c r="AD7" s="32" t="n">
        <x:v>1178925</x:v>
      </x:c>
      <x:c r="AE7" s="32" t="n">
        <x:v>20011513</x:v>
      </x:c>
      <x:c r="AF7" s="24" t="str"/>
      <x:c r="AG7" s="24" t="str"/>
      <x:c r="AH7" s="30"/>
      <x:c r="AI7" s="24" t="str"/>
      <x:c r="AJ7" s="24" t="str"/>
      <x:c r="AK7" s="32"/>
      <x:c r="AL7" s="32"/>
      <x:c r="AM7" s="24" t="str"/>
      <x:c r="AN7" s="31" t="n">
        <x:v>8</x:v>
      </x:c>
    </x:row>
    <x:row r="8" ht="17.25" customHeight="1">
      <x:c r="A8" s="24" t="str">
        <x:v>스위치플랜</x:v>
      </x:c>
      <x:c r="B8" s="24" t="str">
        <x:v>41구1614</x:v>
      </x:c>
      <x:c r="C8" s="24" t="str">
        <x:v>보유</x:v>
      </x:c>
      <x:c r="D8" s="24" t="str">
        <x:v>쉐보레</x:v>
      </x:c>
      <x:c r="E8" s="24" t="str">
        <x:v>스파크</x:v>
      </x:c>
      <x:c r="F8" s="24" t="str">
        <x:v>더 넥스트 스파크 M400</x:v>
      </x:c>
      <x:c r="G8" s="24" t="str">
        <x:v>가솔린 1.0</x:v>
      </x:c>
      <x:c r="H8" s="24" t="str">
        <x:v>가솔린</x:v>
      </x:c>
      <x:c r="I8" s="31" t="n">
        <x:v>999</x:v>
      </x:c>
      <x:c r="J8" s="31" t="n">
        <x:v>2017</x:v>
      </x:c>
      <x:c r="K8" s="24" t="str">
        <x:v>KLYDC487DHC234014</x:v>
      </x:c>
      <x:c r="L8" s="24" t="str">
        <x:v>김포</x:v>
      </x:c>
      <x:c r="M8" s="30" t="n">
        <x:v>42775</x:v>
      </x:c>
      <x:c r="N8" s="31"/>
      <x:c r="O8" s="30" t="n">
        <x:v>45524</x:v>
      </x:c>
      <x:c r="P8" s="32" t="n">
        <x:v>12910000</x:v>
      </x:c>
      <x:c r="Q8" s="32" t="n">
        <x:v>5600000</x:v>
      </x:c>
      <x:c r="R8" s="32" t="n">
        <x:v>6087000</x:v>
      </x:c>
      <x:c r="S8" s="24" t="str">
        <x:v>중고</x:v>
      </x:c>
      <x:c r="T8" s="32"/>
      <x:c r="U8" s="32" t="n">
        <x:v>6574000</x:v>
      </x:c>
      <x:c r="V8" s="24" t="str">
        <x:v>할부</x:v>
      </x:c>
      <x:c r="W8" s="24" t="str">
        <x:v>한국금융자산대부㈜</x:v>
      </x:c>
      <x:c r="X8" s="32" t="n">
        <x:v>6490001</x:v>
      </x:c>
      <x:c r="Y8" s="33" t="n">
        <x:v>0.17</x:v>
      </x:c>
      <x:c r="Z8" s="31" t="n">
        <x:v>48</x:v>
      </x:c>
      <x:c r="AA8" s="24" t="str">
        <x:v>10일</x:v>
      </x:c>
      <x:c r="AB8" s="30" t="n">
        <x:v>45545</x:v>
      </x:c>
      <x:c r="AC8" s="30" t="n">
        <x:v>46975</x:v>
      </x:c>
      <x:c r="AD8" s="32"/>
      <x:c r="AE8" s="32" t="n">
        <x:v>9727884</x:v>
      </x:c>
      <x:c r="AF8" s="24" t="str"/>
      <x:c r="AG8" s="24" t="str"/>
      <x:c r="AH8" s="30"/>
      <x:c r="AI8" s="24" t="str"/>
      <x:c r="AJ8" s="24" t="str"/>
      <x:c r="AK8" s="32"/>
      <x:c r="AL8" s="32"/>
      <x:c r="AM8" s="24" t="str"/>
      <x:c r="AN8" s="31" t="n">
        <x:v>9</x:v>
      </x:c>
    </x:row>
    <x:row r="9" ht="17.25" customHeight="1">
      <x:c r="A9" s="24" t="str">
        <x:v>스위치플랜</x:v>
      </x:c>
      <x:c r="B9" s="24" t="str">
        <x:v>52수7832</x:v>
      </x:c>
      <x:c r="C9" s="24" t="str">
        <x:v>보유</x:v>
      </x:c>
      <x:c r="D9" s="24" t="str">
        <x:v>벤츠</x:v>
      </x:c>
      <x:c r="E9" s="24" t="str">
        <x:v>C-클래스</x:v>
      </x:c>
      <x:c r="F9" s="24" t="str">
        <x:v>C-클래스 W205</x:v>
      </x:c>
      <x:c r="G9" s="24" t="str">
        <x:v>가솔린 2.0</x:v>
      </x:c>
      <x:c r="H9" s="24" t="str">
        <x:v>가솔린</x:v>
      </x:c>
      <x:c r="I9" s="31" t="n">
        <x:v>1991</x:v>
      </x:c>
      <x:c r="J9" s="31" t="n">
        <x:v>2017</x:v>
      </x:c>
      <x:c r="K9" s="24" t="str">
        <x:v>WDDWK4CBXHF547199</x:v>
      </x:c>
      <x:c r="L9" s="24" t="str">
        <x:v>김포</x:v>
      </x:c>
      <x:c r="M9" s="30" t="n">
        <x:v>42850</x:v>
      </x:c>
      <x:c r="N9" s="31"/>
      <x:c r="O9" s="30" t="n">
        <x:v>45365</x:v>
      </x:c>
      <x:c r="P9" s="32" t="n">
        <x:v>63100000</x:v>
      </x:c>
      <x:c r="Q9" s="32" t="n">
        <x:v>27000000</x:v>
      </x:c>
      <x:c r="R9" s="32" t="n">
        <x:v>27851290</x:v>
      </x:c>
      <x:c r="S9" s="24" t="str">
        <x:v>중고</x:v>
      </x:c>
      <x:c r="T9" s="32"/>
      <x:c r="U9" s="32" t="n">
        <x:v>30851290</x:v>
      </x:c>
      <x:c r="V9" s="24" t="str">
        <x:v>할부</x:v>
      </x:c>
      <x:c r="W9" s="24" t="str">
        <x:v>한국금융자산대부㈜</x:v>
      </x:c>
      <x:c r="X9" s="32" t="n">
        <x:v>28890000</x:v>
      </x:c>
      <x:c r="Y9" s="33" t="n">
        <x:v>0.17</x:v>
      </x:c>
      <x:c r="Z9" s="31" t="n">
        <x:v>48</x:v>
      </x:c>
      <x:c r="AA9" s="24" t="str">
        <x:v>10일</x:v>
      </x:c>
      <x:c r="AB9" s="30" t="n">
        <x:v>45392</x:v>
      </x:c>
      <x:c r="AC9" s="30" t="n">
        <x:v>46822</x:v>
      </x:c>
      <x:c r="AD9" s="32"/>
      <x:c r="AE9" s="32" t="n">
        <x:v>0</x:v>
      </x:c>
      <x:c r="AF9" s="24" t="str"/>
      <x:c r="AG9" s="24" t="str"/>
      <x:c r="AH9" s="30"/>
      <x:c r="AI9" s="24" t="str"/>
      <x:c r="AJ9" s="24" t="str"/>
      <x:c r="AK9" s="32"/>
      <x:c r="AL9" s="32"/>
      <x:c r="AM9" s="24" t="str"/>
      <x:c r="AN9" s="31" t="n">
        <x:v>10</x:v>
      </x:c>
    </x:row>
    <x:row r="10" ht="17.25" customHeight="1">
      <x:c r="A10" s="24" t="str">
        <x:v>스위치플랜</x:v>
      </x:c>
      <x:c r="B10" s="24" t="str">
        <x:v>36머9150</x:v>
      </x:c>
      <x:c r="C10" s="24" t="str">
        <x:v>보유</x:v>
      </x:c>
      <x:c r="D10" s="24" t="str">
        <x:v>벤츠</x:v>
      </x:c>
      <x:c r="E10" s="24" t="str">
        <x:v>C-클래스</x:v>
      </x:c>
      <x:c r="F10" s="24" t="str">
        <x:v>C-클래스 W205</x:v>
      </x:c>
      <x:c r="G10" s="24" t="str">
        <x:v>가솔린 2.0</x:v>
      </x:c>
      <x:c r="H10" s="24" t="str">
        <x:v>가솔린</x:v>
      </x:c>
      <x:c r="I10" s="31" t="n">
        <x:v>1991</x:v>
      </x:c>
      <x:c r="J10" s="31" t="n">
        <x:v>2017</x:v>
      </x:c>
      <x:c r="K10" s="24" t="str">
        <x:v>WDDWF4CB5HF525955</x:v>
      </x:c>
      <x:c r="L10" s="24" t="str">
        <x:v>김포</x:v>
      </x:c>
      <x:c r="M10" s="30" t="n">
        <x:v>42887</x:v>
      </x:c>
      <x:c r="N10" s="31"/>
      <x:c r="O10" s="30" t="n">
        <x:v>45625</x:v>
      </x:c>
      <x:c r="P10" s="32"/>
      <x:c r="Q10" s="32" t="n">
        <x:v>16000000</x:v>
      </x:c>
      <x:c r="R10" s="32" t="n">
        <x:v>16000000</x:v>
      </x:c>
      <x:c r="S10" s="24" t="str">
        <x:v>중고</x:v>
      </x:c>
      <x:c r="T10" s="32"/>
      <x:c r="U10" s="32" t="n">
        <x:v>17840317</x:v>
      </x:c>
      <x:c r="V10" s="24" t="str">
        <x:v>할부</x:v>
      </x:c>
      <x:c r="W10" s="24" t="str">
        <x:v>도이치파이낸셜</x:v>
      </x:c>
      <x:c r="X10" s="32" t="n">
        <x:v>22000000</x:v>
      </x:c>
      <x:c r="Y10" s="33" t="n">
        <x:v>0.17</x:v>
      </x:c>
      <x:c r="Z10" s="31" t="n">
        <x:v>48</x:v>
      </x:c>
      <x:c r="AA10" s="24" t="str">
        <x:v>10일</x:v>
      </x:c>
      <x:c r="AB10" s="30" t="n">
        <x:v>45636</x:v>
      </x:c>
      <x:c r="AC10" s="30" t="n">
        <x:v>47067</x:v>
      </x:c>
      <x:c r="AD10" s="32"/>
      <x:c r="AE10" s="32"/>
      <x:c r="AF10" s="24" t="str"/>
      <x:c r="AG10" s="24" t="str"/>
      <x:c r="AH10" s="30"/>
      <x:c r="AI10" s="24" t="str"/>
      <x:c r="AJ10" s="24" t="str"/>
      <x:c r="AK10" s="32"/>
      <x:c r="AL10" s="32"/>
      <x:c r="AM10" s="24" t="str"/>
      <x:c r="AN10" s="31" t="n">
        <x:v>11</x:v>
      </x:c>
    </x:row>
    <x:row r="11" ht="17.25" customHeight="1">
      <x:c r="A11" s="24" t="str">
        <x:v>스위치플랜</x:v>
      </x:c>
      <x:c r="B11" s="24" t="str">
        <x:v>07버3390</x:v>
      </x:c>
      <x:c r="C11" s="24" t="str">
        <x:v>보유</x:v>
      </x:c>
      <x:c r="D11" s="24" t="str">
        <x:v>현대</x:v>
      </x:c>
      <x:c r="E11" s="24" t="str">
        <x:v>아반떼</x:v>
      </x:c>
      <x:c r="F11" s="24" t="str">
        <x:v>아반떼 AD</x:v>
      </x:c>
      <x:c r="G11" s="24" t="str">
        <x:v>가솔린 1.6</x:v>
      </x:c>
      <x:c r="H11" s="24" t="str">
        <x:v>가솔린</x:v>
      </x:c>
      <x:c r="I11" s="31" t="n">
        <x:v>1591</x:v>
      </x:c>
      <x:c r="J11" s="31" t="n">
        <x:v>2018</x:v>
      </x:c>
      <x:c r="K11" s="24" t="str">
        <x:v>KMHD041DBJU468479</x:v>
      </x:c>
      <x:c r="L11" s="24" t="str">
        <x:v>김포</x:v>
      </x:c>
      <x:c r="M11" s="30" t="n">
        <x:v>42893</x:v>
      </x:c>
      <x:c r="N11" s="31"/>
      <x:c r="O11" s="30" t="n">
        <x:v>45491</x:v>
      </x:c>
      <x:c r="P11" s="32" t="n">
        <x:v>25600000</x:v>
      </x:c>
      <x:c r="Q11" s="32" t="n">
        <x:v>14300000</x:v>
      </x:c>
      <x:c r="R11" s="32" t="n">
        <x:v>14663000</x:v>
      </x:c>
      <x:c r="S11" s="24" t="str">
        <x:v>중고</x:v>
      </x:c>
      <x:c r="T11" s="32"/>
      <x:c r="U11" s="32" t="n">
        <x:v>16099830</x:v>
      </x:c>
      <x:c r="V11" s="24" t="str">
        <x:v>할부</x:v>
      </x:c>
      <x:c r="W11" s="24" t="str">
        <x:v>한국금융자산대부㈜</x:v>
      </x:c>
      <x:c r="X11" s="32" t="n">
        <x:v>15800000</x:v>
      </x:c>
      <x:c r="Y11" s="33" t="n">
        <x:v>0.17</x:v>
      </x:c>
      <x:c r="Z11" s="31" t="n">
        <x:v>48</x:v>
      </x:c>
      <x:c r="AA11" s="24" t="str">
        <x:v>10일</x:v>
      </x:c>
      <x:c r="AB11" s="30" t="n">
        <x:v>45514</x:v>
      </x:c>
      <x:c r="AC11" s="30" t="n">
        <x:v>46944</x:v>
      </x:c>
      <x:c r="AD11" s="32"/>
      <x:c r="AE11" s="32" t="n">
        <x:v>12434285</x:v>
      </x:c>
      <x:c r="AF11" s="24" t="str"/>
      <x:c r="AG11" s="24" t="str"/>
      <x:c r="AH11" s="30"/>
      <x:c r="AI11" s="24" t="str"/>
      <x:c r="AJ11" s="24" t="str"/>
      <x:c r="AK11" s="32"/>
      <x:c r="AL11" s="32"/>
      <x:c r="AM11" s="24" t="str"/>
      <x:c r="AN11" s="31" t="n">
        <x:v>12</x:v>
      </x:c>
    </x:row>
    <x:row r="12" ht="17.25" customHeight="1">
      <x:c r="A12" s="24" t="str">
        <x:v>스위치플랜</x:v>
      </x:c>
      <x:c r="B12" s="24" t="str">
        <x:v>12다2400</x:v>
      </x:c>
      <x:c r="C12" s="24" t="str">
        <x:v>보유</x:v>
      </x:c>
      <x:c r="D12" s="24" t="str">
        <x:v>현대</x:v>
      </x:c>
      <x:c r="E12" s="24" t="str">
        <x:v>그랜저</x:v>
      </x:c>
      <x:c r="F12" s="24" t="str">
        <x:v>그랜저 IG</x:v>
      </x:c>
      <x:c r="G12" s="24" t="str">
        <x:v>하이브리드 2.4</x:v>
      </x:c>
      <x:c r="H12" s="24" t="str">
        <x:v>HEV</x:v>
      </x:c>
      <x:c r="I12" s="31" t="n">
        <x:v>2359</x:v>
      </x:c>
      <x:c r="J12" s="31" t="n">
        <x:v>2017</x:v>
      </x:c>
      <x:c r="K12" s="24" t="str">
        <x:v>KMHF2413BJA004165</x:v>
      </x:c>
      <x:c r="L12" s="24" t="str">
        <x:v>김포</x:v>
      </x:c>
      <x:c r="M12" s="30" t="n">
        <x:v>42902</x:v>
      </x:c>
      <x:c r="N12" s="31"/>
      <x:c r="O12" s="30" t="n">
        <x:v>45572</x:v>
      </x:c>
      <x:c r="P12" s="32" t="n">
        <x:v>47430000</x:v>
      </x:c>
      <x:c r="Q12" s="32" t="n">
        <x:v>23500000</x:v>
      </x:c>
      <x:c r="R12" s="32" t="n">
        <x:v>23961000</x:v>
      </x:c>
      <x:c r="S12" s="24" t="str">
        <x:v>중고</x:v>
      </x:c>
      <x:c r="T12" s="32"/>
      <x:c r="U12" s="32" t="n">
        <x:v>25450450</x:v>
      </x:c>
      <x:c r="V12" s="24" t="str">
        <x:v>할부</x:v>
      </x:c>
      <x:c r="W12" s="24" t="str">
        <x:v>한국금융자산대부㈜</x:v>
      </x:c>
      <x:c r="X12" s="32" t="n">
        <x:v>25150001</x:v>
      </x:c>
      <x:c r="Y12" s="33" t="n">
        <x:v>0.17</x:v>
      </x:c>
      <x:c r="Z12" s="31" t="n">
        <x:v>48</x:v>
      </x:c>
      <x:c r="AA12" s="24" t="str">
        <x:v>10일</x:v>
      </x:c>
      <x:c r="AB12" s="30" t="n">
        <x:v>45575</x:v>
      </x:c>
      <x:c r="AC12" s="30" t="n">
        <x:v>47006</x:v>
      </x:c>
      <x:c r="AD12" s="32"/>
      <x:c r="AE12" s="32" t="n">
        <x:v>10123125</x:v>
      </x:c>
      <x:c r="AF12" s="24" t="str"/>
      <x:c r="AG12" s="24" t="str"/>
      <x:c r="AH12" s="30"/>
      <x:c r="AI12" s="24" t="str"/>
      <x:c r="AJ12" s="24" t="str"/>
      <x:c r="AK12" s="32"/>
      <x:c r="AL12" s="32"/>
      <x:c r="AM12" s="24" t="str"/>
      <x:c r="AN12" s="31" t="n">
        <x:v>13</x:v>
      </x:c>
    </x:row>
    <x:row r="13" ht="17.25" customHeight="1">
      <x:c r="A13" s="24" t="str">
        <x:v>스위치플랜</x:v>
      </x:c>
      <x:c r="B13" s="24" t="str">
        <x:v>54무1552</x:v>
      </x:c>
      <x:c r="C13" s="24" t="str">
        <x:v>보유</x:v>
      </x:c>
      <x:c r="D13" s="24" t="str">
        <x:v>쉐보레</x:v>
      </x:c>
      <x:c r="E13" s="24" t="str">
        <x:v>스파크</x:v>
      </x:c>
      <x:c r="F13" s="24" t="str">
        <x:v>더 넥스트 스파크 M400</x:v>
      </x:c>
      <x:c r="G13" s="24" t="str">
        <x:v>가솔린 1.0</x:v>
      </x:c>
      <x:c r="H13" s="24" t="str">
        <x:v>가솔린</x:v>
      </x:c>
      <x:c r="I13" s="31" t="n">
        <x:v>999</x:v>
      </x:c>
      <x:c r="J13" s="31" t="n">
        <x:v>2017</x:v>
      </x:c>
      <x:c r="K13" s="24" t="str">
        <x:v>KLYDC487DHC249858</x:v>
      </x:c>
      <x:c r="L13" s="24" t="str">
        <x:v>김포</x:v>
      </x:c>
      <x:c r="M13" s="30" t="n">
        <x:v>42916</x:v>
      </x:c>
      <x:c r="N13" s="31"/>
      <x:c r="O13" s="30" t="n">
        <x:v>45653</x:v>
      </x:c>
      <x:c r="P13" s="32"/>
      <x:c r="Q13" s="32" t="n">
        <x:v>4900000</x:v>
      </x:c>
      <x:c r="R13" s="32" t="n">
        <x:v>4900000</x:v>
      </x:c>
      <x:c r="S13" s="24" t="str">
        <x:v>중고</x:v>
      </x:c>
      <x:c r="T13" s="32"/>
      <x:c r="U13" s="32" t="n">
        <x:v>5404796</x:v>
      </x:c>
      <x:c r="V13" s="24" t="str"/>
      <x:c r="W13" s="24" t="str"/>
      <x:c r="X13" s="32"/>
      <x:c r="Y13" s="33"/>
      <x:c r="Z13" s="31"/>
      <x:c r="AA13" s="24" t="str"/>
      <x:c r="AB13" s="30"/>
      <x:c r="AC13" s="30"/>
      <x:c r="AD13" s="32"/>
      <x:c r="AE13" s="32" t="n">
        <x:v>26173708</x:v>
      </x:c>
      <x:c r="AF13" s="24" t="str"/>
      <x:c r="AG13" s="24" t="str"/>
      <x:c r="AH13" s="30"/>
      <x:c r="AI13" s="24" t="str"/>
      <x:c r="AJ13" s="24" t="str"/>
      <x:c r="AK13" s="32"/>
      <x:c r="AL13" s="32"/>
      <x:c r="AM13" s="24" t="str"/>
      <x:c r="AN13" s="31" t="n">
        <x:v>14</x:v>
      </x:c>
    </x:row>
    <x:row r="14" ht="17.25" customHeight="1">
      <x:c r="A14" s="24" t="str">
        <x:v>스위치플랜</x:v>
      </x:c>
      <x:c r="B14" s="24" t="str">
        <x:v>24부3251</x:v>
      </x:c>
      <x:c r="C14" s="24" t="str">
        <x:v>보유</x:v>
      </x:c>
      <x:c r="D14" s="24" t="str">
        <x:v>기아</x:v>
      </x:c>
      <x:c r="E14" s="24" t="str">
        <x:v>스팅어</x:v>
      </x:c>
      <x:c r="F14" s="24" t="str">
        <x:v>스팅어 CK</x:v>
      </x:c>
      <x:c r="G14" s="24" t="str">
        <x:v>가솔린 3.3T AWD</x:v>
      </x:c>
      <x:c r="H14" s="24" t="str">
        <x:v>가솔린</x:v>
      </x:c>
      <x:c r="I14" s="31" t="n">
        <x:v>3342</x:v>
      </x:c>
      <x:c r="J14" s="31" t="n">
        <x:v>2018</x:v>
      </x:c>
      <x:c r="K14" s="24" t="str">
        <x:v>KNAE751CDJS004293</x:v>
      </x:c>
      <x:c r="L14" s="24" t="str">
        <x:v>김포</x:v>
      </x:c>
      <x:c r="M14" s="30" t="n">
        <x:v>42934</x:v>
      </x:c>
      <x:c r="N14" s="31"/>
      <x:c r="O14" s="30" t="n">
        <x:v>45272</x:v>
      </x:c>
      <x:c r="P14" s="32" t="n">
        <x:v>53400000</x:v>
      </x:c>
      <x:c r="Q14" s="32" t="n">
        <x:v>23500000</x:v>
      </x:c>
      <x:c r="R14" s="32" t="n">
        <x:v>23500000</x:v>
      </x:c>
      <x:c r="S14" s="24" t="str">
        <x:v>중고</x:v>
      </x:c>
      <x:c r="T14" s="32"/>
      <x:c r="U14" s="32" t="n">
        <x:v>25754200</x:v>
      </x:c>
      <x:c r="V14" s="24" t="str">
        <x:v>할부</x:v>
      </x:c>
      <x:c r="W14" s="24" t="str">
        <x:v>한국금융자산대부㈜</x:v>
      </x:c>
      <x:c r="X14" s="32" t="n">
        <x:v>25141558</x:v>
      </x:c>
      <x:c r="Y14" s="33" t="n">
        <x:v>0.17</x:v>
      </x:c>
      <x:c r="Z14" s="31" t="n">
        <x:v>48</x:v>
      </x:c>
      <x:c r="AA14" s="24" t="str">
        <x:v>10일</x:v>
      </x:c>
      <x:c r="AB14" s="30" t="n">
        <x:v>45301</x:v>
      </x:c>
      <x:c r="AC14" s="30" t="n">
        <x:v>46731</x:v>
      </x:c>
      <x:c r="AD14" s="32"/>
      <x:c r="AE14" s="32" t="n">
        <x:v>11117472</x:v>
      </x:c>
      <x:c r="AF14" s="24" t="str"/>
      <x:c r="AG14" s="24" t="str"/>
      <x:c r="AH14" s="30"/>
      <x:c r="AI14" s="24" t="str"/>
      <x:c r="AJ14" s="24" t="str"/>
      <x:c r="AK14" s="32"/>
      <x:c r="AL14" s="32"/>
      <x:c r="AM14" s="24" t="str"/>
      <x:c r="AN14" s="31" t="n">
        <x:v>15</x:v>
      </x:c>
    </x:row>
    <x:row r="15" ht="17.25" customHeight="1">
      <x:c r="A15" s="24" t="str">
        <x:v>스위치플랜</x:v>
      </x:c>
      <x:c r="B15" s="24" t="str">
        <x:v>297거4892</x:v>
      </x:c>
      <x:c r="C15" s="24" t="str">
        <x:v>보유</x:v>
      </x:c>
      <x:c r="D15" s="24" t="str">
        <x:v>기아</x:v>
      </x:c>
      <x:c r="E15" s="24" t="str">
        <x:v>스팅어</x:v>
      </x:c>
      <x:c r="F15" s="24" t="str">
        <x:v>스팅어 CK</x:v>
      </x:c>
      <x:c r="G15" s="24" t="str">
        <x:v>가솔린 3.3T AWD</x:v>
      </x:c>
      <x:c r="H15" s="24" t="str">
        <x:v>가솔린</x:v>
      </x:c>
      <x:c r="I15" s="31" t="n">
        <x:v>3342</x:v>
      </x:c>
      <x:c r="J15" s="31" t="n">
        <x:v>2018</x:v>
      </x:c>
      <x:c r="K15" s="24" t="str">
        <x:v>KNAE751CDJS000633</x:v>
      </x:c>
      <x:c r="L15" s="24" t="str">
        <x:v>김포</x:v>
      </x:c>
      <x:c r="M15" s="30" t="n">
        <x:v>42943</x:v>
      </x:c>
      <x:c r="N15" s="31"/>
      <x:c r="O15" s="30" t="n">
        <x:v>45365</x:v>
      </x:c>
      <x:c r="P15" s="32" t="n">
        <x:v>52430000</x:v>
      </x:c>
      <x:c r="Q15" s="32" t="n">
        <x:v>21500000</x:v>
      </x:c>
      <x:c r="R15" s="32" t="n">
        <x:v>21950000</x:v>
      </x:c>
      <x:c r="S15" s="24" t="str">
        <x:v>중고</x:v>
      </x:c>
      <x:c r="T15" s="32"/>
      <x:c r="U15" s="32" t="n">
        <x:v>24130750</x:v>
      </x:c>
      <x:c r="V15" s="24" t="str">
        <x:v>할부</x:v>
      </x:c>
      <x:c r="W15" s="24" t="str">
        <x:v>한국금융자산대부㈜</x:v>
      </x:c>
      <x:c r="X15" s="32" t="n">
        <x:v>23010002</x:v>
      </x:c>
      <x:c r="Y15" s="33" t="n">
        <x:v>0.17</x:v>
      </x:c>
      <x:c r="Z15" s="31" t="n">
        <x:v>48</x:v>
      </x:c>
      <x:c r="AA15" s="24" t="str">
        <x:v>10일</x:v>
      </x:c>
      <x:c r="AB15" s="30" t="n">
        <x:v>45392</x:v>
      </x:c>
      <x:c r="AC15" s="30" t="n">
        <x:v>46822</x:v>
      </x:c>
      <x:c r="AD15" s="32"/>
      <x:c r="AE15" s="32" t="n">
        <x:v>9519000</x:v>
      </x:c>
      <x:c r="AF15" s="24" t="str"/>
      <x:c r="AG15" s="24" t="str"/>
      <x:c r="AH15" s="30"/>
      <x:c r="AI15" s="24" t="str"/>
      <x:c r="AJ15" s="24" t="str"/>
      <x:c r="AK15" s="32"/>
      <x:c r="AL15" s="32"/>
      <x:c r="AM15" s="24" t="str"/>
      <x:c r="AN15" s="31" t="n">
        <x:v>16</x:v>
      </x:c>
    </x:row>
    <x:row r="16" ht="17.25" customHeight="1">
      <x:c r="A16" s="24" t="str">
        <x:v>스위치플랜</x:v>
      </x:c>
      <x:c r="B16" s="24" t="str">
        <x:v>263모3889</x:v>
      </x:c>
      <x:c r="C16" s="24" t="str">
        <x:v>보유</x:v>
      </x:c>
      <x:c r="D16" s="24" t="str">
        <x:v>BMW</x:v>
      </x:c>
      <x:c r="E16" s="24" t="str">
        <x:v>5시리즈</x:v>
      </x:c>
      <x:c r="F16" s="24" t="str">
        <x:v>5시리즈 G30</x:v>
      </x:c>
      <x:c r="G16" s="24" t="str">
        <x:v>가솔린 2.0 xDrive</x:v>
      </x:c>
      <x:c r="H16" s="24" t="str">
        <x:v>가솔린</x:v>
      </x:c>
      <x:c r="I16" s="31" t="n">
        <x:v>1998</x:v>
      </x:c>
      <x:c r="J16" s="31" t="n">
        <x:v>2017</x:v>
      </x:c>
      <x:c r="K16" s="24" t="str">
        <x:v>WBAJD3103HWC12859</x:v>
      </x:c>
      <x:c r="L16" s="24" t="str">
        <x:v>김포</x:v>
      </x:c>
      <x:c r="M16" s="30" t="n">
        <x:v>42986</x:v>
      </x:c>
      <x:c r="N16" s="31"/>
      <x:c r="O16" s="30" t="n">
        <x:v>45769</x:v>
      </x:c>
      <x:c r="P16" s="32"/>
      <x:c r="Q16" s="32" t="n">
        <x:v>30900000</x:v>
      </x:c>
      <x:c r="R16" s="32" t="n">
        <x:v>31052300</x:v>
      </x:c>
      <x:c r="S16" s="24" t="str">
        <x:v>중고</x:v>
      </x:c>
      <x:c r="T16" s="32"/>
      <x:c r="U16" s="32" t="n">
        <x:v>33465226</x:v>
      </x:c>
      <x:c r="V16" s="24" t="str">
        <x:v>할부</x:v>
      </x:c>
      <x:c r="W16" s="24" t="str">
        <x:v>한국금융자산대부</x:v>
      </x:c>
      <x:c r="X16" s="32" t="n">
        <x:v>33560000</x:v>
      </x:c>
      <x:c r="Y16" s="33" t="n">
        <x:v>0.17</x:v>
      </x:c>
      <x:c r="Z16" s="31" t="n">
        <x:v>48</x:v>
      </x:c>
      <x:c r="AA16" s="24" t="str">
        <x:v>10일</x:v>
      </x:c>
      <x:c r="AB16" s="30" t="n">
        <x:v>45787</x:v>
      </x:c>
      <x:c r="AC16" s="30" t="n">
        <x:v>47218</x:v>
      </x:c>
      <x:c r="AD16" s="32" t="n">
        <x:v>968370</x:v>
      </x:c>
      <x:c r="AE16" s="32" t="n">
        <x:v>14160178</x:v>
      </x:c>
      <x:c r="AF16" s="24" t="str"/>
      <x:c r="AG16" s="24" t="str"/>
      <x:c r="AH16" s="30"/>
      <x:c r="AI16" s="24" t="str"/>
      <x:c r="AJ16" s="24" t="str"/>
      <x:c r="AK16" s="32"/>
      <x:c r="AL16" s="32"/>
      <x:c r="AM16" s="24" t="str"/>
      <x:c r="AN16" s="31" t="n">
        <x:v>17</x:v>
      </x:c>
    </x:row>
    <x:row r="17" ht="17.25" customHeight="1">
      <x:c r="A17" s="24" t="str">
        <x:v>스위치플랜</x:v>
      </x:c>
      <x:c r="B17" s="24" t="str">
        <x:v>01도9893</x:v>
      </x:c>
      <x:c r="C17" s="24" t="str">
        <x:v>보유</x:v>
      </x:c>
      <x:c r="D17" s="24" t="str">
        <x:v>기아</x:v>
      </x:c>
      <x:c r="E17" s="24" t="str">
        <x:v>모닝</x:v>
      </x:c>
      <x:c r="F17" s="24" t="str">
        <x:v>올 뉴 모닝 JA</x:v>
      </x:c>
      <x:c r="G17" s="24" t="str">
        <x:v>가솔린 1.0</x:v>
      </x:c>
      <x:c r="H17" s="24" t="str">
        <x:v>가솔린</x:v>
      </x:c>
      <x:c r="I17" s="31" t="n">
        <x:v>998</x:v>
      </x:c>
      <x:c r="J17" s="31" t="n">
        <x:v>2017</x:v>
      </x:c>
      <x:c r="K17" s="24" t="str">
        <x:v>KNAB5511BHT151725</x:v>
      </x:c>
      <x:c r="L17" s="24" t="str">
        <x:v>김포</x:v>
      </x:c>
      <x:c r="M17" s="30" t="n">
        <x:v>42999</x:v>
      </x:c>
      <x:c r="N17" s="31"/>
      <x:c r="O17" s="30" t="n">
        <x:v>45579</x:v>
      </x:c>
      <x:c r="P17" s="32" t="n">
        <x:v>16100000</x:v>
      </x:c>
      <x:c r="Q17" s="32" t="n">
        <x:v>8700000</x:v>
      </x:c>
      <x:c r="R17" s="32" t="n">
        <x:v>9140000</x:v>
      </x:c>
      <x:c r="S17" s="24" t="str">
        <x:v>중고</x:v>
      </x:c>
      <x:c r="T17" s="32"/>
      <x:c r="U17" s="32" t="n">
        <x:v>9607675</x:v>
      </x:c>
      <x:c r="V17" s="24" t="str">
        <x:v>할부</x:v>
      </x:c>
      <x:c r="W17" s="24" t="str">
        <x:v>한국금융자산대부㈜</x:v>
      </x:c>
      <x:c r="X17" s="32" t="n">
        <x:v>9310001</x:v>
      </x:c>
      <x:c r="Y17" s="33" t="n">
        <x:v>0.17</x:v>
      </x:c>
      <x:c r="Z17" s="31" t="n">
        <x:v>48</x:v>
      </x:c>
      <x:c r="AA17" s="24" t="str">
        <x:v>10일</x:v>
      </x:c>
      <x:c r="AB17" s="30" t="n">
        <x:v>45606</x:v>
      </x:c>
      <x:c r="AC17" s="30" t="n">
        <x:v>47036</x:v>
      </x:c>
      <x:c r="AD17" s="32"/>
      <x:c r="AE17" s="32" t="n">
        <x:v>8178810</x:v>
      </x:c>
      <x:c r="AF17" s="24" t="str"/>
      <x:c r="AG17" s="24" t="str"/>
      <x:c r="AH17" s="30"/>
      <x:c r="AI17" s="24" t="str"/>
      <x:c r="AJ17" s="24" t="str"/>
      <x:c r="AK17" s="32"/>
      <x:c r="AL17" s="32"/>
      <x:c r="AM17" s="24" t="str"/>
      <x:c r="AN17" s="31" t="n">
        <x:v>18</x:v>
      </x:c>
    </x:row>
    <x:row r="18" ht="17.25" customHeight="1">
      <x:c r="A18" s="24" t="str">
        <x:v>스위치플랜</x:v>
      </x:c>
      <x:c r="B18" s="24" t="str">
        <x:v>02마4731</x:v>
      </x:c>
      <x:c r="C18" s="24" t="str">
        <x:v>보유</x:v>
      </x:c>
      <x:c r="D18" s="24" t="str">
        <x:v>기아</x:v>
      </x:c>
      <x:c r="E18" s="24" t="str">
        <x:v>모닝</x:v>
      </x:c>
      <x:c r="F18" s="24" t="str">
        <x:v>올 뉴 모닝 JA</x:v>
      </x:c>
      <x:c r="G18" s="24" t="str">
        <x:v>가솔린 1.0</x:v>
      </x:c>
      <x:c r="H18" s="24" t="str">
        <x:v>가솔린</x:v>
      </x:c>
      <x:c r="I18" s="31" t="n">
        <x:v>998</x:v>
      </x:c>
      <x:c r="J18" s="31" t="n">
        <x:v>2017</x:v>
      </x:c>
      <x:c r="K18" s="24" t="str">
        <x:v>KNAB5511BHT161427</x:v>
      </x:c>
      <x:c r="L18" s="24" t="str">
        <x:v>김포</x:v>
      </x:c>
      <x:c r="M18" s="30" t="n">
        <x:v>43033</x:v>
      </x:c>
      <x:c r="N18" s="31"/>
      <x:c r="O18" s="30" t="n">
        <x:v>45275</x:v>
      </x:c>
      <x:c r="P18" s="32" t="n">
        <x:v>15700000</x:v>
      </x:c>
      <x:c r="Q18" s="32" t="n">
        <x:v>8140000</x:v>
      </x:c>
      <x:c r="R18" s="32" t="n">
        <x:v>8140000</x:v>
      </x:c>
      <x:c r="S18" s="24" t="str">
        <x:v>중고</x:v>
      </x:c>
      <x:c r="T18" s="32"/>
      <x:c r="U18" s="32" t="n">
        <x:v>8620240</x:v>
      </x:c>
      <x:c r="V18" s="24" t="str">
        <x:v>할부</x:v>
      </x:c>
      <x:c r="W18" s="24" t="str">
        <x:v>한국금융자산대부㈜</x:v>
      </x:c>
      <x:c r="X18" s="32" t="n">
        <x:v>9800000</x:v>
      </x:c>
      <x:c r="Y18" s="33" t="n">
        <x:v>0.17</x:v>
      </x:c>
      <x:c r="Z18" s="31" t="n">
        <x:v>48</x:v>
      </x:c>
      <x:c r="AA18" s="24" t="str">
        <x:v>10일</x:v>
      </x:c>
      <x:c r="AB18" s="30" t="n">
        <x:v>45301</x:v>
      </x:c>
      <x:c r="AC18" s="30" t="n">
        <x:v>46731</x:v>
      </x:c>
      <x:c r="AD18" s="32"/>
      <x:c r="AE18" s="32" t="n">
        <x:v>0</x:v>
      </x:c>
      <x:c r="AF18" s="24" t="str"/>
      <x:c r="AG18" s="24" t="str"/>
      <x:c r="AH18" s="30"/>
      <x:c r="AI18" s="24" t="str"/>
      <x:c r="AJ18" s="24" t="str"/>
      <x:c r="AK18" s="32"/>
      <x:c r="AL18" s="32"/>
      <x:c r="AM18" s="24" t="str"/>
      <x:c r="AN18" s="31" t="n">
        <x:v>19</x:v>
      </x:c>
    </x:row>
    <x:row r="19" ht="17.25" customHeight="1">
      <x:c r="A19" s="24" t="str">
        <x:v>스위치플랜</x:v>
      </x:c>
      <x:c r="B19" s="24" t="str">
        <x:v>306조9919</x:v>
      </x:c>
      <x:c r="C19" s="24" t="str">
        <x:v>보유</x:v>
      </x:c>
      <x:c r="D19" s="24" t="str">
        <x:v>BMW</x:v>
      </x:c>
      <x:c r="E19" s="24" t="str">
        <x:v>5시리즈</x:v>
      </x:c>
      <x:c r="F19" s="24" t="str">
        <x:v>5시리즈 G30</x:v>
      </x:c>
      <x:c r="G19" s="24" t="str">
        <x:v>디젤 2.0 xDrive</x:v>
      </x:c>
      <x:c r="H19" s="24" t="str">
        <x:v>디젤</x:v>
      </x:c>
      <x:c r="I19" s="31" t="n">
        <x:v>1995</x:v>
      </x:c>
      <x:c r="J19" s="31" t="n">
        <x:v>2017</x:v>
      </x:c>
      <x:c r="K19" s="24" t="str">
        <x:v>WBAJC5103HG859140</x:v>
      </x:c>
      <x:c r="L19" s="24" t="str">
        <x:v>김포</x:v>
      </x:c>
      <x:c r="M19" s="30" t="n">
        <x:v>43035</x:v>
      </x:c>
      <x:c r="N19" s="31"/>
      <x:c r="O19" s="30" t="n">
        <x:v>45629</x:v>
      </x:c>
      <x:c r="P19" s="32"/>
      <x:c r="Q19" s="32" t="n">
        <x:v>30400000</x:v>
      </x:c>
      <x:c r="R19" s="32" t="n">
        <x:v>31163720</x:v>
      </x:c>
      <x:c r="S19" s="24" t="str">
        <x:v>중고</x:v>
      </x:c>
      <x:c r="T19" s="32"/>
      <x:c r="U19" s="32" t="n">
        <x:v>33836135</x:v>
      </x:c>
      <x:c r="V19" s="24" t="str">
        <x:v>할부</x:v>
      </x:c>
      <x:c r="W19" s="24" t="str">
        <x:v>도이치파이낸셜</x:v>
      </x:c>
      <x:c r="X19" s="32" t="n">
        <x:v>38000000</x:v>
      </x:c>
      <x:c r="Y19" s="33" t="n">
        <x:v>0.17</x:v>
      </x:c>
      <x:c r="Z19" s="31" t="n">
        <x:v>48</x:v>
      </x:c>
      <x:c r="AA19" s="24" t="str">
        <x:v>10일</x:v>
      </x:c>
      <x:c r="AB19" s="30" t="n">
        <x:v>45636</x:v>
      </x:c>
      <x:c r="AC19" s="30" t="n">
        <x:v>47067</x:v>
      </x:c>
      <x:c r="AD19" s="32"/>
      <x:c r="AE19" s="32" t="n">
        <x:v>17923984</x:v>
      </x:c>
      <x:c r="AF19" s="24" t="str"/>
      <x:c r="AG19" s="24" t="str"/>
      <x:c r="AH19" s="30"/>
      <x:c r="AI19" s="24" t="str"/>
      <x:c r="AJ19" s="24" t="str"/>
      <x:c r="AK19" s="32"/>
      <x:c r="AL19" s="32"/>
      <x:c r="AM19" s="24" t="str"/>
      <x:c r="AN19" s="31" t="n">
        <x:v>20</x:v>
      </x:c>
    </x:row>
    <x:row r="20" ht="17.25" customHeight="1">
      <x:c r="A20" s="24" t="str">
        <x:v>스위치플랜</x:v>
      </x:c>
      <x:c r="B20" s="24" t="str">
        <x:v>109로1819</x:v>
      </x:c>
      <x:c r="C20" s="24" t="str">
        <x:v>보유</x:v>
      </x:c>
      <x:c r="D20" s="24" t="str">
        <x:v>벤츠</x:v>
      </x:c>
      <x:c r="E20" s="24" t="str">
        <x:v>S-클래스</x:v>
      </x:c>
      <x:c r="F20" s="24" t="str">
        <x:v>S-클래스 W222</x:v>
      </x:c>
      <x:c r="G20" s="24" t="str">
        <x:v>가솔린 3.0 4MATIC</x:v>
      </x:c>
      <x:c r="H20" s="24" t="str">
        <x:v>가솔린</x:v>
      </x:c>
      <x:c r="I20" s="31" t="n">
        <x:v>2996</x:v>
      </x:c>
      <x:c r="J20" s="31" t="n">
        <x:v>2017</x:v>
      </x:c>
      <x:c r="K20" s="24" t="str">
        <x:v>WDDUG6EB4JA366538</x:v>
      </x:c>
      <x:c r="L20" s="24" t="str">
        <x:v>김포</x:v>
      </x:c>
      <x:c r="M20" s="30" t="n">
        <x:v>43060</x:v>
      </x:c>
      <x:c r="N20" s="31"/>
      <x:c r="O20" s="30" t="n">
        <x:v>45636</x:v>
      </x:c>
      <x:c r="P20" s="32"/>
      <x:c r="Q20" s="32" t="n">
        <x:v>50500000</x:v>
      </x:c>
      <x:c r="R20" s="32" t="n">
        <x:v>50940000</x:v>
      </x:c>
      <x:c r="S20" s="24" t="str">
        <x:v>중고</x:v>
      </x:c>
      <x:c r="T20" s="32"/>
      <x:c r="U20" s="32" t="n">
        <x:v>55163940</x:v>
      </x:c>
      <x:c r="V20" s="24" t="str">
        <x:v>할부</x:v>
      </x:c>
      <x:c r="W20" s="24" t="str">
        <x:v>KB캐피탈</x:v>
      </x:c>
      <x:c r="X20" s="32" t="n">
        <x:v>50500000</x:v>
      </x:c>
      <x:c r="Y20" s="33" t="n">
        <x:v>0.08</x:v>
      </x:c>
      <x:c r="Z20" s="31" t="n">
        <x:v>36</x:v>
      </x:c>
      <x:c r="AA20" s="24" t="str">
        <x:v>20일</x:v>
      </x:c>
      <x:c r="AB20" s="30" t="n">
        <x:v>45646</x:v>
      </x:c>
      <x:c r="AC20" s="30" t="n">
        <x:v>46711</x:v>
      </x:c>
      <x:c r="AD20" s="32" t="n">
        <x:v>1570864</x:v>
      </x:c>
      <x:c r="AE20" s="32" t="n">
        <x:v>23847200</x:v>
      </x:c>
      <x:c r="AF20" s="24" t="str"/>
      <x:c r="AG20" s="24" t="str"/>
      <x:c r="AH20" s="30"/>
      <x:c r="AI20" s="24" t="str"/>
      <x:c r="AJ20" s="24" t="str"/>
      <x:c r="AK20" s="32"/>
      <x:c r="AL20" s="32"/>
      <x:c r="AM20" s="24" t="str"/>
      <x:c r="AN20" s="31" t="n">
        <x:v>21</x:v>
      </x:c>
    </x:row>
    <x:row r="21" ht="17.25" customHeight="1">
      <x:c r="A21" s="24" t="str">
        <x:v>스위치플랜</x:v>
      </x:c>
      <x:c r="B21" s="24" t="str">
        <x:v>17수4278</x:v>
      </x:c>
      <x:c r="C21" s="24" t="str">
        <x:v>보유</x:v>
      </x:c>
      <x:c r="D21" s="24" t="str">
        <x:v>기아</x:v>
      </x:c>
      <x:c r="E21" s="24" t="str">
        <x:v>스팅어</x:v>
      </x:c>
      <x:c r="F21" s="24" t="str">
        <x:v>스팅어 CK</x:v>
      </x:c>
      <x:c r="G21" s="24" t="str">
        <x:v>가솔린 3.3T AWD</x:v>
      </x:c>
      <x:c r="H21" s="24" t="str">
        <x:v>가솔린</x:v>
      </x:c>
      <x:c r="I21" s="31" t="n">
        <x:v>3342</x:v>
      </x:c>
      <x:c r="J21" s="31" t="n">
        <x:v>2018</x:v>
      </x:c>
      <x:c r="K21" s="24" t="str">
        <x:v>KNAE751CDJS009087</x:v>
      </x:c>
      <x:c r="L21" s="24" t="str">
        <x:v>김포</x:v>
      </x:c>
      <x:c r="M21" s="30" t="n">
        <x:v>43083</x:v>
      </x:c>
      <x:c r="N21" s="31"/>
      <x:c r="O21" s="30" t="n">
        <x:v>45264</x:v>
      </x:c>
      <x:c r="P21" s="32" t="n">
        <x:v>53400000</x:v>
      </x:c>
      <x:c r="Q21" s="32" t="n">
        <x:v>20494660</x:v>
      </x:c>
      <x:c r="R21" s="32" t="n">
        <x:v>20494660</x:v>
      </x:c>
      <x:c r="S21" s="24" t="str">
        <x:v>중고</x:v>
      </x:c>
      <x:c r="T21" s="32"/>
      <x:c r="U21" s="32" t="n">
        <x:v>23091340</x:v>
      </x:c>
      <x:c r="V21" s="24" t="str">
        <x:v>할부</x:v>
      </x:c>
      <x:c r="W21" s="24" t="str">
        <x:v>IBK저축은행</x:v>
      </x:c>
      <x:c r="X21" s="32" t="n">
        <x:v>21290002</x:v>
      </x:c>
      <x:c r="Y21" s="33" t="n">
        <x:v>0.17</x:v>
      </x:c>
      <x:c r="Z21" s="31" t="n">
        <x:v>48</x:v>
      </x:c>
      <x:c r="AA21" s="24" t="str">
        <x:v>10일</x:v>
      </x:c>
      <x:c r="AB21" s="30" t="n">
        <x:v>45270</x:v>
      </x:c>
      <x:c r="AC21" s="30" t="n">
        <x:v>46701</x:v>
      </x:c>
      <x:c r="AD21" s="32"/>
      <x:c r="AE21" s="32" t="n">
        <x:v>70554</x:v>
      </x:c>
      <x:c r="AF21" s="24" t="str"/>
      <x:c r="AG21" s="24" t="str"/>
      <x:c r="AH21" s="30"/>
      <x:c r="AI21" s="24" t="str"/>
      <x:c r="AJ21" s="24" t="str"/>
      <x:c r="AK21" s="32"/>
      <x:c r="AL21" s="32"/>
      <x:c r="AM21" s="24" t="str"/>
      <x:c r="AN21" s="31" t="n">
        <x:v>22</x:v>
      </x:c>
    </x:row>
    <x:row r="22" ht="17.25" customHeight="1">
      <x:c r="A22" s="24" t="str">
        <x:v>스위치플랜</x:v>
      </x:c>
      <x:c r="B22" s="24" t="str">
        <x:v>15두2255</x:v>
      </x:c>
      <x:c r="C22" s="24" t="str">
        <x:v>보유</x:v>
      </x:c>
      <x:c r="D22" s="24" t="str">
        <x:v>기아</x:v>
      </x:c>
      <x:c r="E22" s="24" t="str">
        <x:v>스팅어</x:v>
      </x:c>
      <x:c r="F22" s="24" t="str">
        <x:v>스팅어 CK</x:v>
      </x:c>
      <x:c r="G22" s="24" t="str">
        <x:v>가솔린 3.3T AWD</x:v>
      </x:c>
      <x:c r="H22" s="24" t="str">
        <x:v>가솔린</x:v>
      </x:c>
      <x:c r="I22" s="31" t="n">
        <x:v>3342</x:v>
      </x:c>
      <x:c r="J22" s="31" t="n">
        <x:v>2018</x:v>
      </x:c>
      <x:c r="K22" s="24" t="str">
        <x:v>KNAE751CDJS009034</x:v>
      </x:c>
      <x:c r="L22" s="24" t="str">
        <x:v>김포</x:v>
      </x:c>
      <x:c r="M22" s="30" t="n">
        <x:v>43083</x:v>
      </x:c>
      <x:c r="N22" s="31"/>
      <x:c r="O22" s="30" t="n">
        <x:v>45411</x:v>
      </x:c>
      <x:c r="P22" s="32" t="n">
        <x:v>53400000</x:v>
      </x:c>
      <x:c r="Q22" s="32" t="n">
        <x:v>25500000</x:v>
      </x:c>
      <x:c r="R22" s="32" t="n">
        <x:v>25500000</x:v>
      </x:c>
      <x:c r="S22" s="24" t="str">
        <x:v>중고</x:v>
      </x:c>
      <x:c r="T22" s="32"/>
      <x:c r="U22" s="32" t="n">
        <x:v>27377000</x:v>
      </x:c>
      <x:c r="V22" s="24" t="str">
        <x:v>할부</x:v>
      </x:c>
      <x:c r="W22" s="24" t="str">
        <x:v>한국금융자산대부㈜</x:v>
      </x:c>
      <x:c r="X22" s="32" t="n">
        <x:v>27290001</x:v>
      </x:c>
      <x:c r="Y22" s="33" t="n">
        <x:v>0.17</x:v>
      </x:c>
      <x:c r="Z22" s="31" t="n">
        <x:v>48</x:v>
      </x:c>
      <x:c r="AA22" s="24" t="str">
        <x:v>10일</x:v>
      </x:c>
      <x:c r="AB22" s="30" t="n">
        <x:v>45422</x:v>
      </x:c>
      <x:c r="AC22" s="30" t="n">
        <x:v>46853</x:v>
      </x:c>
      <x:c r="AD22" s="32"/>
      <x:c r="AE22" s="32" t="n">
        <x:v>9968785</x:v>
      </x:c>
      <x:c r="AF22" s="24" t="str"/>
      <x:c r="AG22" s="24" t="str"/>
      <x:c r="AH22" s="30"/>
      <x:c r="AI22" s="24" t="str"/>
      <x:c r="AJ22" s="24" t="str"/>
      <x:c r="AK22" s="32"/>
      <x:c r="AL22" s="32"/>
      <x:c r="AM22" s="24" t="str"/>
      <x:c r="AN22" s="31" t="n">
        <x:v>23</x:v>
      </x:c>
    </x:row>
    <x:row r="23" ht="17.25" customHeight="1">
      <x:c r="A23" s="24" t="str">
        <x:v>스위치플랜</x:v>
      </x:c>
      <x:c r="B23" s="24" t="str">
        <x:v>311마8929</x:v>
      </x:c>
      <x:c r="C23" s="24" t="str">
        <x:v>보유</x:v>
      </x:c>
      <x:c r="D23" s="24" t="str">
        <x:v>BMW</x:v>
      </x:c>
      <x:c r="E23" s="24" t="str">
        <x:v>5시리즈</x:v>
      </x:c>
      <x:c r="F23" s="24" t="str">
        <x:v>5시리즈 G30</x:v>
      </x:c>
      <x:c r="G23" s="24" t="str">
        <x:v>디젤 2.0 xDrive</x:v>
      </x:c>
      <x:c r="H23" s="24" t="str">
        <x:v>디젤</x:v>
      </x:c>
      <x:c r="I23" s="31" t="n">
        <x:v>1995</x:v>
      </x:c>
      <x:c r="J23" s="31" t="n">
        <x:v>2017</x:v>
      </x:c>
      <x:c r="K23" s="24" t="str">
        <x:v>WBAJC5107JWB85430</x:v>
      </x:c>
      <x:c r="L23" s="24" t="str">
        <x:v>김포</x:v>
      </x:c>
      <x:c r="M23" s="30" t="n">
        <x:v>43098</x:v>
      </x:c>
      <x:c r="N23" s="31"/>
      <x:c r="O23" s="30" t="n">
        <x:v>45351</x:v>
      </x:c>
      <x:c r="P23" s="32" t="n">
        <x:v>74500000</x:v>
      </x:c>
      <x:c r="Q23" s="32" t="n">
        <x:v>31900000</x:v>
      </x:c>
      <x:c r="R23" s="32" t="n">
        <x:v>32609280</x:v>
      </x:c>
      <x:c r="S23" s="24" t="str">
        <x:v>중고</x:v>
      </x:c>
      <x:c r="T23" s="32"/>
      <x:c r="U23" s="32" t="n">
        <x:v>34842280</x:v>
      </x:c>
      <x:c r="V23" s="24" t="str">
        <x:v>할부</x:v>
      </x:c>
      <x:c r="W23" s="24" t="str">
        <x:v>한국금융자산대부㈜</x:v>
      </x:c>
      <x:c r="X23" s="32" t="n">
        <x:v>34130001</x:v>
      </x:c>
      <x:c r="Y23" s="33" t="n">
        <x:v>0.17</x:v>
      </x:c>
      <x:c r="Z23" s="31" t="n">
        <x:v>48</x:v>
      </x:c>
      <x:c r="AA23" s="24" t="str">
        <x:v>10일</x:v>
      </x:c>
      <x:c r="AB23" s="30" t="n">
        <x:v>45361</x:v>
      </x:c>
      <x:c r="AC23" s="30" t="n">
        <x:v>46793</x:v>
      </x:c>
      <x:c r="AD23" s="32"/>
      <x:c r="AE23" s="32" t="n">
        <x:v>0</x:v>
      </x:c>
      <x:c r="AF23" s="24" t="str"/>
      <x:c r="AG23" s="24" t="str"/>
      <x:c r="AH23" s="30"/>
      <x:c r="AI23" s="24" t="str"/>
      <x:c r="AJ23" s="24" t="str"/>
      <x:c r="AK23" s="32"/>
      <x:c r="AL23" s="32"/>
      <x:c r="AM23" s="24" t="str"/>
      <x:c r="AN23" s="31" t="n">
        <x:v>24</x:v>
      </x:c>
    </x:row>
    <x:row r="24" ht="17.25" customHeight="1">
      <x:c r="A24" s="24" t="str">
        <x:v>스위치플랜</x:v>
      </x:c>
      <x:c r="B24" s="24" t="str">
        <x:v>10어7374</x:v>
      </x:c>
      <x:c r="C24" s="24" t="str">
        <x:v>보유</x:v>
      </x:c>
      <x:c r="D24" s="24" t="str">
        <x:v>현대</x:v>
      </x:c>
      <x:c r="E24" s="24" t="str">
        <x:v>아반떼</x:v>
      </x:c>
      <x:c r="F24" s="24" t="str">
        <x:v>아반떼 AD</x:v>
      </x:c>
      <x:c r="G24" s="24" t="str">
        <x:v>가솔린 1.6</x:v>
      </x:c>
      <x:c r="H24" s="24" t="str">
        <x:v>가솔린</x:v>
      </x:c>
      <x:c r="I24" s="31" t="n">
        <x:v>1591</x:v>
      </x:c>
      <x:c r="J24" s="31" t="n">
        <x:v>2018</x:v>
      </x:c>
      <x:c r="K24" s="24" t="str">
        <x:v>KMHDR41BGJU625529</x:v>
      </x:c>
      <x:c r="L24" s="24" t="str">
        <x:v>김포</x:v>
      </x:c>
      <x:c r="M24" s="30" t="n">
        <x:v>43118</x:v>
      </x:c>
      <x:c r="N24" s="31"/>
      <x:c r="O24" s="30" t="n">
        <x:v>45575</x:v>
      </x:c>
      <x:c r="P24" s="32" t="n">
        <x:v>27080000</x:v>
      </x:c>
      <x:c r="Q24" s="32" t="n">
        <x:v>14890000</x:v>
      </x:c>
      <x:c r="R24" s="32" t="n">
        <x:v>15330000</x:v>
      </x:c>
      <x:c r="S24" s="24" t="str">
        <x:v>중고</x:v>
      </x:c>
      <x:c r="T24" s="32"/>
      <x:c r="U24" s="32" t="n">
        <x:v>16773540</x:v>
      </x:c>
      <x:c r="V24" s="24" t="str">
        <x:v>할부</x:v>
      </x:c>
      <x:c r="W24" s="24" t="str">
        <x:v>한국금융자산대부㈜</x:v>
      </x:c>
      <x:c r="X24" s="32" t="n">
        <x:v>16440000</x:v>
      </x:c>
      <x:c r="Y24" s="33" t="n">
        <x:v>0.17</x:v>
      </x:c>
      <x:c r="Z24" s="31" t="n">
        <x:v>48</x:v>
      </x:c>
      <x:c r="AA24" s="24" t="str">
        <x:v>10일</x:v>
      </x:c>
      <x:c r="AB24" s="30" t="n">
        <x:v>45667</x:v>
      </x:c>
      <x:c r="AC24" s="30" t="n">
        <x:v>47097</x:v>
      </x:c>
      <x:c r="AD24" s="32"/>
      <x:c r="AE24" s="32" t="n">
        <x:v>16123754</x:v>
      </x:c>
      <x:c r="AF24" s="24" t="str"/>
      <x:c r="AG24" s="24" t="str"/>
      <x:c r="AH24" s="30"/>
      <x:c r="AI24" s="24" t="str"/>
      <x:c r="AJ24" s="24" t="str"/>
      <x:c r="AK24" s="32"/>
      <x:c r="AL24" s="32"/>
      <x:c r="AM24" s="24" t="str"/>
      <x:c r="AN24" s="31" t="n">
        <x:v>25</x:v>
      </x:c>
    </x:row>
    <x:row r="25" ht="17.25" customHeight="1">
      <x:c r="A25" s="24" t="str">
        <x:v>스위치플랜</x:v>
      </x:c>
      <x:c r="B25" s="24" t="str">
        <x:v>252거3143</x:v>
      </x:c>
      <x:c r="C25" s="24" t="str">
        <x:v>보유</x:v>
      </x:c>
      <x:c r="D25" s="24" t="str">
        <x:v>기아</x:v>
      </x:c>
      <x:c r="E25" s="24" t="str">
        <x:v>레이</x:v>
      </x:c>
      <x:c r="F25" s="24" t="str">
        <x:v>더 뉴 레이 TAM (2017~2022) 밴</x:v>
      </x:c>
      <x:c r="G25" s="24" t="str">
        <x:v>가솔린 1.0</x:v>
      </x:c>
      <x:c r="H25" s="24" t="str">
        <x:v>가솔린</x:v>
      </x:c>
      <x:c r="I25" s="31" t="n">
        <x:v>998</x:v>
      </x:c>
      <x:c r="J25" s="31" t="n">
        <x:v>2017</x:v>
      </x:c>
      <x:c r="K25" s="24" t="str">
        <x:v>KNACF911BJT172729</x:v>
      </x:c>
      <x:c r="L25" s="24" t="str">
        <x:v>김포</x:v>
      </x:c>
      <x:c r="M25" s="30" t="n">
        <x:v>43125</x:v>
      </x:c>
      <x:c r="N25" s="31"/>
      <x:c r="O25" s="30" t="n">
        <x:v>45555</x:v>
      </x:c>
      <x:c r="P25" s="32" t="n">
        <x:v>12650000</x:v>
      </x:c>
      <x:c r="Q25" s="32" t="n">
        <x:v>6290000</x:v>
      </x:c>
      <x:c r="R25" s="32" t="n">
        <x:v>6730000</x:v>
      </x:c>
      <x:c r="S25" s="24" t="str">
        <x:v>중고</x:v>
      </x:c>
      <x:c r="T25" s="32"/>
      <x:c r="U25" s="32" t="n">
        <x:v>7281300</x:v>
      </x:c>
      <x:c r="V25" s="24" t="str">
        <x:v>할부</x:v>
      </x:c>
      <x:c r="W25" s="24" t="str">
        <x:v>한국금융자산대부㈜</x:v>
      </x:c>
      <x:c r="X25" s="32" t="n">
        <x:v>7229998</x:v>
      </x:c>
      <x:c r="Y25" s="33" t="n">
        <x:v>0.17</x:v>
      </x:c>
      <x:c r="Z25" s="31" t="n">
        <x:v>48</x:v>
      </x:c>
      <x:c r="AA25" s="24" t="str">
        <x:v>10일</x:v>
      </x:c>
      <x:c r="AB25" s="30" t="n">
        <x:v>45545</x:v>
      </x:c>
      <x:c r="AC25" s="30" t="n">
        <x:v>46975</x:v>
      </x:c>
      <x:c r="AD25" s="32"/>
      <x:c r="AE25" s="32" t="n">
        <x:v>8734459</x:v>
      </x:c>
      <x:c r="AF25" s="24" t="str"/>
      <x:c r="AG25" s="24" t="str"/>
      <x:c r="AH25" s="30"/>
      <x:c r="AI25" s="24" t="str"/>
      <x:c r="AJ25" s="24" t="str"/>
      <x:c r="AK25" s="32"/>
      <x:c r="AL25" s="32"/>
      <x:c r="AM25" s="24" t="str"/>
      <x:c r="AN25" s="31" t="n">
        <x:v>26</x:v>
      </x:c>
    </x:row>
    <x:row r="26" ht="17.25" customHeight="1">
      <x:c r="A26" s="24" t="str">
        <x:v>스위치플랜</x:v>
      </x:c>
      <x:c r="B26" s="24" t="str">
        <x:v>57나3382</x:v>
      </x:c>
      <x:c r="C26" s="24" t="str">
        <x:v>보유</x:v>
      </x:c>
      <x:c r="D26" s="24" t="str">
        <x:v>기아</x:v>
      </x:c>
      <x:c r="E26" s="24" t="str">
        <x:v>모닝</x:v>
      </x:c>
      <x:c r="F26" s="24" t="str">
        <x:v>올 뉴 모닝 JA</x:v>
      </x:c>
      <x:c r="G26" s="24" t="str">
        <x:v>가솔린 1.0</x:v>
      </x:c>
      <x:c r="H26" s="24" t="str">
        <x:v>가솔린</x:v>
      </x:c>
      <x:c r="I26" s="31" t="n">
        <x:v>998</x:v>
      </x:c>
      <x:c r="J26" s="31" t="n">
        <x:v>2018</x:v>
      </x:c>
      <x:c r="K26" s="24" t="str">
        <x:v>KNAB5511BJT214256</x:v>
      </x:c>
      <x:c r="L26" s="24" t="str">
        <x:v>김포</x:v>
      </x:c>
      <x:c r="M26" s="30" t="n">
        <x:v>43133</x:v>
      </x:c>
      <x:c r="N26" s="31"/>
      <x:c r="O26" s="30" t="n">
        <x:v>45257</x:v>
      </x:c>
      <x:c r="P26" s="32" t="n">
        <x:v>16100000</x:v>
      </x:c>
      <x:c r="Q26" s="32" t="n">
        <x:v>9400000</x:v>
      </x:c>
      <x:c r="R26" s="32" t="n">
        <x:v>9400000</x:v>
      </x:c>
      <x:c r="S26" s="24" t="str">
        <x:v>중고</x:v>
      </x:c>
      <x:c r="T26" s="32"/>
      <x:c r="U26" s="32" t="n">
        <x:v>9416600</x:v>
      </x:c>
      <x:c r="V26" s="24" t="str">
        <x:v>할부</x:v>
      </x:c>
      <x:c r="W26" s="24" t="str">
        <x:v>IBK저축은행</x:v>
      </x:c>
      <x:c r="X26" s="32" t="n">
        <x:v>9619998</x:v>
      </x:c>
      <x:c r="Y26" s="33" t="n">
        <x:v>0.17</x:v>
      </x:c>
      <x:c r="Z26" s="31" t="n">
        <x:v>48</x:v>
      </x:c>
      <x:c r="AA26" s="24" t="str">
        <x:v>10일</x:v>
      </x:c>
      <x:c r="AB26" s="30" t="n">
        <x:v>45270</x:v>
      </x:c>
      <x:c r="AC26" s="30" t="n">
        <x:v>46701</x:v>
      </x:c>
      <x:c r="AD26" s="32"/>
      <x:c r="AE26" s="32" t="n">
        <x:v>64730</x:v>
      </x:c>
      <x:c r="AF26" s="24" t="str"/>
      <x:c r="AG26" s="24" t="str"/>
      <x:c r="AH26" s="30"/>
      <x:c r="AI26" s="24" t="str"/>
      <x:c r="AJ26" s="24" t="str"/>
      <x:c r="AK26" s="32"/>
      <x:c r="AL26" s="32"/>
      <x:c r="AM26" s="24" t="str"/>
      <x:c r="AN26" s="31" t="n">
        <x:v>27</x:v>
      </x:c>
    </x:row>
    <x:row r="27" ht="17.25" customHeight="1">
      <x:c r="A27" s="24" t="str">
        <x:v>스위치플랜</x:v>
      </x:c>
      <x:c r="B27" s="24" t="str">
        <x:v>81너0984</x:v>
      </x:c>
      <x:c r="C27" s="24" t="str">
        <x:v>보유</x:v>
      </x:c>
      <x:c r="D27" s="24" t="str">
        <x:v>현대</x:v>
      </x:c>
      <x:c r="E27" s="24" t="str">
        <x:v>스타렉스</x:v>
      </x:c>
      <x:c r="F27" s="24" t="str">
        <x:v>더 뉴 그랜드 스타렉스 TQ</x:v>
      </x:c>
      <x:c r="G27" s="24" t="str">
        <x:v>디젤 2.5 4WD</x:v>
      </x:c>
      <x:c r="H27" s="24" t="str">
        <x:v>디젤</x:v>
      </x:c>
      <x:c r="I27" s="31" t="n">
        <x:v>2497</x:v>
      </x:c>
      <x:c r="J27" s="31" t="n">
        <x:v>2018</x:v>
      </x:c>
      <x:c r="K27" s="24" t="str">
        <x:v>KMFWBX7KBJU986497</x:v>
      </x:c>
      <x:c r="L27" s="24" t="str">
        <x:v>김포</x:v>
      </x:c>
      <x:c r="M27" s="30" t="n">
        <x:v>43180</x:v>
      </x:c>
      <x:c r="N27" s="31"/>
      <x:c r="O27" s="30" t="n">
        <x:v>45310</x:v>
      </x:c>
      <x:c r="P27" s="32" t="n">
        <x:v>26070000</x:v>
      </x:c>
      <x:c r="Q27" s="32" t="n">
        <x:v>18340000</x:v>
      </x:c>
      <x:c r="R27" s="32" t="n">
        <x:v>18340000</x:v>
      </x:c>
      <x:c r="S27" s="24" t="str">
        <x:v>중고</x:v>
      </x:c>
      <x:c r="T27" s="32"/>
      <x:c r="U27" s="32" t="n">
        <x:v>19692870</x:v>
      </x:c>
      <x:c r="V27" s="24" t="str">
        <x:v>할부</x:v>
      </x:c>
      <x:c r="W27" s="24" t="str">
        <x:v>메리츠캐피탈</x:v>
      </x:c>
      <x:c r="X27" s="32" t="n">
        <x:v>18400000</x:v>
      </x:c>
      <x:c r="Y27" s="33" t="n">
        <x:v>0.11</x:v>
      </x:c>
      <x:c r="Z27" s="31" t="n">
        <x:v>60</x:v>
      </x:c>
      <x:c r="AA27" s="24" t="str">
        <x:v>20일</x:v>
      </x:c>
      <x:c r="AB27" s="30" t="n">
        <x:v>45342</x:v>
      </x:c>
      <x:c r="AC27" s="30" t="n">
        <x:v>47138</x:v>
      </x:c>
      <x:c r="AD27" s="32" t="n">
        <x:v>399143</x:v>
      </x:c>
      <x:c r="AE27" s="32" t="n">
        <x:v>2884746</x:v>
      </x:c>
      <x:c r="AF27" s="24" t="str"/>
      <x:c r="AG27" s="24" t="str"/>
      <x:c r="AH27" s="30"/>
      <x:c r="AI27" s="24" t="str"/>
      <x:c r="AJ27" s="24" t="str"/>
      <x:c r="AK27" s="32"/>
      <x:c r="AL27" s="32"/>
      <x:c r="AM27" s="24" t="str"/>
      <x:c r="AN27" s="31" t="n">
        <x:v>28</x:v>
      </x:c>
    </x:row>
    <x:row r="28" ht="17.25" customHeight="1">
      <x:c r="A28" s="24" t="str">
        <x:v>스위치플랜</x:v>
      </x:c>
      <x:c r="B28" s="24" t="str">
        <x:v>133가8292</x:v>
      </x:c>
      <x:c r="C28" s="24" t="str">
        <x:v>보유</x:v>
      </x:c>
      <x:c r="D28" s="24" t="str">
        <x:v>기아</x:v>
      </x:c>
      <x:c r="E28" s="24" t="str">
        <x:v>모하비</x:v>
      </x:c>
      <x:c r="F28" s="24" t="str">
        <x:v>더 뉴 모하비 HM</x:v>
      </x:c>
      <x:c r="G28" s="24" t="str">
        <x:v>디젤 3.0 4WD</x:v>
      </x:c>
      <x:c r="H28" s="24" t="str">
        <x:v>디젤</x:v>
      </x:c>
      <x:c r="I28" s="31" t="n">
        <x:v>2959</x:v>
      </x:c>
      <x:c r="J28" s="31" t="n">
        <x:v>2018</x:v>
      </x:c>
      <x:c r="K28" s="24" t="str">
        <x:v>KNAKN814DJA185688</x:v>
      </x:c>
      <x:c r="L28" s="24" t="str">
        <x:v>김포</x:v>
      </x:c>
      <x:c r="M28" s="30" t="n">
        <x:v>43228</x:v>
      </x:c>
      <x:c r="N28" s="31"/>
      <x:c r="O28" s="30" t="n">
        <x:v>45412</x:v>
      </x:c>
      <x:c r="P28" s="32" t="n">
        <x:v>49126760</x:v>
      </x:c>
      <x:c r="Q28" s="32" t="n">
        <x:v>22800000</x:v>
      </x:c>
      <x:c r="R28" s="32" t="n">
        <x:v>23240000</x:v>
      </x:c>
      <x:c r="S28" s="24" t="str">
        <x:v>중고</x:v>
      </x:c>
      <x:c r="T28" s="32"/>
      <x:c r="U28" s="32" t="n">
        <x:v>25245910</x:v>
      </x:c>
      <x:c r="V28" s="24" t="str">
        <x:v>할부</x:v>
      </x:c>
      <x:c r="W28" s="24" t="str">
        <x:v>한국금융자산대부㈜</x:v>
      </x:c>
      <x:c r="X28" s="32" t="n">
        <x:v>24399999</x:v>
      </x:c>
      <x:c r="Y28" s="33" t="n">
        <x:v>0.17</x:v>
      </x:c>
      <x:c r="Z28" s="31" t="n">
        <x:v>48</x:v>
      </x:c>
      <x:c r="AA28" s="24" t="str">
        <x:v>10일</x:v>
      </x:c>
      <x:c r="AB28" s="30" t="n">
        <x:v>45422</x:v>
      </x:c>
      <x:c r="AC28" s="30" t="n">
        <x:v>46853</x:v>
      </x:c>
      <x:c r="AD28" s="32"/>
      <x:c r="AE28" s="32" t="n">
        <x:v>0</x:v>
      </x:c>
      <x:c r="AF28" s="24" t="str"/>
      <x:c r="AG28" s="24" t="str"/>
      <x:c r="AH28" s="30"/>
      <x:c r="AI28" s="24" t="str"/>
      <x:c r="AJ28" s="24" t="str"/>
      <x:c r="AK28" s="32"/>
      <x:c r="AL28" s="32"/>
      <x:c r="AM28" s="24" t="str"/>
      <x:c r="AN28" s="31" t="n">
        <x:v>29</x:v>
      </x:c>
    </x:row>
    <x:row r="29" ht="17.25" customHeight="1">
      <x:c r="A29" s="24" t="str">
        <x:v>스위치플랜</x:v>
      </x:c>
      <x:c r="B29" s="24" t="str">
        <x:v>51라1828</x:v>
      </x:c>
      <x:c r="C29" s="24" t="str">
        <x:v>보유</x:v>
      </x:c>
      <x:c r="D29" s="24" t="str">
        <x:v>기아</x:v>
      </x:c>
      <x:c r="E29" s="24" t="str">
        <x:v>K5</x:v>
      </x:c>
      <x:c r="F29" s="24" t="str">
        <x:v>K5 DL3</x:v>
      </x:c>
      <x:c r="G29" s="24" t="str">
        <x:v>가솔린 2.0</x:v>
      </x:c>
      <x:c r="H29" s="24" t="str">
        <x:v>가솔린</x:v>
      </x:c>
      <x:c r="I29" s="31" t="n">
        <x:v>1999</x:v>
      </x:c>
      <x:c r="J29" s="31" t="n">
        <x:v>2018</x:v>
      </x:c>
      <x:c r="K29" s="24" t="str">
        <x:v>KNAGW411BKA274473</x:v>
      </x:c>
      <x:c r="L29" s="24" t="str">
        <x:v>김포</x:v>
      </x:c>
      <x:c r="M29" s="30" t="n">
        <x:v>43262</x:v>
      </x:c>
      <x:c r="N29" s="31"/>
      <x:c r="O29" s="30" t="n">
        <x:v>45271</x:v>
      </x:c>
      <x:c r="P29" s="32" t="n">
        <x:v>32000000</x:v>
      </x:c>
      <x:c r="Q29" s="32" t="n">
        <x:v>17220000</x:v>
      </x:c>
      <x:c r="R29" s="32" t="n">
        <x:v>17220000</x:v>
      </x:c>
      <x:c r="S29" s="24" t="str">
        <x:v>중고</x:v>
      </x:c>
      <x:c r="T29" s="32"/>
      <x:c r="U29" s="32" t="n">
        <x:v>18819540</x:v>
      </x:c>
      <x:c r="V29" s="24" t="str">
        <x:v>할부</x:v>
      </x:c>
      <x:c r="W29" s="24" t="str">
        <x:v>한국금융자산대부㈜</x:v>
      </x:c>
      <x:c r="X29" s="32" t="n">
        <x:v>17980000</x:v>
      </x:c>
      <x:c r="Y29" s="33" t="n">
        <x:v>0.17</x:v>
      </x:c>
      <x:c r="Z29" s="31" t="n">
        <x:v>48</x:v>
      </x:c>
      <x:c r="AA29" s="24" t="str">
        <x:v>10일</x:v>
      </x:c>
      <x:c r="AB29" s="30" t="n">
        <x:v>45301</x:v>
      </x:c>
      <x:c r="AC29" s="30" t="n">
        <x:v>46731</x:v>
      </x:c>
      <x:c r="AD29" s="32"/>
      <x:c r="AE29" s="32" t="n">
        <x:v>5804261</x:v>
      </x:c>
      <x:c r="AF29" s="24" t="str"/>
      <x:c r="AG29" s="24" t="str"/>
      <x:c r="AH29" s="30"/>
      <x:c r="AI29" s="24" t="str"/>
      <x:c r="AJ29" s="24" t="str"/>
      <x:c r="AK29" s="32"/>
      <x:c r="AL29" s="32"/>
      <x:c r="AM29" s="24" t="str"/>
      <x:c r="AN29" s="31" t="n">
        <x:v>30</x:v>
      </x:c>
    </x:row>
    <x:row r="30" ht="17.25" customHeight="1">
      <x:c r="A30" s="24" t="str">
        <x:v>스위치플랜</x:v>
      </x:c>
      <x:c r="B30" s="24" t="str">
        <x:v>265가2481</x:v>
      </x:c>
      <x:c r="C30" s="24" t="str">
        <x:v>보유</x:v>
      </x:c>
      <x:c r="D30" s="24" t="str">
        <x:v>제네시스</x:v>
      </x:c>
      <x:c r="E30" s="24" t="str">
        <x:v>G80</x:v>
      </x:c>
      <x:c r="F30" s="24" t="str">
        <x:v>G80 DH</x:v>
      </x:c>
      <x:c r="G30" s="24" t="str">
        <x:v>가솔린 3.8 AWD</x:v>
      </x:c>
      <x:c r="H30" s="24" t="str">
        <x:v>가솔린</x:v>
      </x:c>
      <x:c r="I30" s="31" t="n">
        <x:v>3778</x:v>
      </x:c>
      <x:c r="J30" s="31" t="n">
        <x:v>2018</x:v>
      </x:c>
      <x:c r="K30" s="24" t="str">
        <x:v>KMHGR41EDJU293522</x:v>
      </x:c>
      <x:c r="L30" s="24" t="str">
        <x:v>김포</x:v>
      </x:c>
      <x:c r="M30" s="30" t="n">
        <x:v>43277</x:v>
      </x:c>
      <x:c r="N30" s="31"/>
      <x:c r="O30" s="30" t="n">
        <x:v>45485</x:v>
      </x:c>
      <x:c r="P30" s="32" t="n">
        <x:v>75600000</x:v>
      </x:c>
      <x:c r="Q30" s="32" t="n">
        <x:v>28000000</x:v>
      </x:c>
      <x:c r="R30" s="32" t="n">
        <x:v>28385000</x:v>
      </x:c>
      <x:c r="S30" s="24" t="str">
        <x:v>중고</x:v>
      </x:c>
      <x:c r="T30" s="32"/>
      <x:c r="U30" s="32" t="n">
        <x:v>30716144</x:v>
      </x:c>
      <x:c r="V30" s="24" t="str">
        <x:v>할부</x:v>
      </x:c>
      <x:c r="W30" s="24" t="str">
        <x:v>한국금융자산대부㈜</x:v>
      </x:c>
      <x:c r="X30" s="32" t="n">
        <x:v>30460003</x:v>
      </x:c>
      <x:c r="Y30" s="33" t="n">
        <x:v>0.17</x:v>
      </x:c>
      <x:c r="Z30" s="31" t="n">
        <x:v>48</x:v>
      </x:c>
      <x:c r="AA30" s="24" t="str">
        <x:v>10일</x:v>
      </x:c>
      <x:c r="AB30" s="30" t="n">
        <x:v>45514</x:v>
      </x:c>
      <x:c r="AC30" s="30" t="n">
        <x:v>46944</x:v>
      </x:c>
      <x:c r="AD30" s="32"/>
      <x:c r="AE30" s="32" t="n">
        <x:v>4961863</x:v>
      </x:c>
      <x:c r="AF30" s="24" t="str"/>
      <x:c r="AG30" s="24" t="str"/>
      <x:c r="AH30" s="30"/>
      <x:c r="AI30" s="24" t="str"/>
      <x:c r="AJ30" s="24" t="str"/>
      <x:c r="AK30" s="32"/>
      <x:c r="AL30" s="32"/>
      <x:c r="AM30" s="24" t="str"/>
      <x:c r="AN30" s="31" t="n">
        <x:v>31</x:v>
      </x:c>
    </x:row>
    <x:row r="31" ht="17.25" customHeight="1">
      <x:c r="A31" s="24" t="str">
        <x:v>스위치플랜</x:v>
      </x:c>
      <x:c r="B31" s="24" t="str">
        <x:v>30어1926</x:v>
      </x:c>
      <x:c r="C31" s="24" t="str">
        <x:v>보유</x:v>
      </x:c>
      <x:c r="D31" s="24" t="str">
        <x:v>제네시스</x:v>
      </x:c>
      <x:c r="E31" s="24" t="str">
        <x:v>G80</x:v>
      </x:c>
      <x:c r="F31" s="24" t="str">
        <x:v>G80 DH</x:v>
      </x:c>
      <x:c r="G31" s="24" t="str">
        <x:v>디젤 2.2 AWD</x:v>
      </x:c>
      <x:c r="H31" s="24" t="str">
        <x:v>디젤</x:v>
      </x:c>
      <x:c r="I31" s="31" t="n">
        <x:v>2199</x:v>
      </x:c>
      <x:c r="J31" s="31" t="n">
        <x:v>2018</x:v>
      </x:c>
      <x:c r="K31" s="24" t="str">
        <x:v>KMHGM412DJU278514</x:v>
      </x:c>
      <x:c r="L31" s="24" t="str">
        <x:v>김포</x:v>
      </x:c>
      <x:c r="M31" s="30" t="n">
        <x:v>43301</x:v>
      </x:c>
      <x:c r="N31" s="31"/>
      <x:c r="O31" s="30" t="n">
        <x:v>45317</x:v>
      </x:c>
      <x:c r="P31" s="32" t="n">
        <x:v>61550000</x:v>
      </x:c>
      <x:c r="Q31" s="32" t="n">
        <x:v>31300000</x:v>
      </x:c>
      <x:c r="R31" s="32" t="n">
        <x:v>31300000</x:v>
      </x:c>
      <x:c r="S31" s="24" t="str">
        <x:v>중고</x:v>
      </x:c>
      <x:c r="T31" s="32"/>
      <x:c r="U31" s="32" t="n">
        <x:v>34061400</x:v>
      </x:c>
      <x:c r="V31" s="24" t="str">
        <x:v>할부</x:v>
      </x:c>
      <x:c r="W31" s="24" t="str">
        <x:v>KB캐피탈</x:v>
      </x:c>
      <x:c r="X31" s="32" t="n">
        <x:v>27500000</x:v>
      </x:c>
      <x:c r="Y31" s="33" t="n">
        <x:v>0.08</x:v>
      </x:c>
      <x:c r="Z31" s="31" t="n">
        <x:v>36</x:v>
      </x:c>
      <x:c r="AA31" s="24" t="str">
        <x:v>20일</x:v>
      </x:c>
      <x:c r="AB31" s="30" t="n">
        <x:v>45342</x:v>
      </x:c>
      <x:c r="AC31" s="30" t="n">
        <x:v>46407</x:v>
      </x:c>
      <x:c r="AD31" s="32" t="n">
        <x:v>855420</x:v>
      </x:c>
      <x:c r="AE31" s="32" t="n">
        <x:v>5022113</x:v>
      </x:c>
      <x:c r="AF31" s="24" t="str"/>
      <x:c r="AG31" s="24" t="str"/>
      <x:c r="AH31" s="30"/>
      <x:c r="AI31" s="24" t="str"/>
      <x:c r="AJ31" s="24" t="str"/>
      <x:c r="AK31" s="32"/>
      <x:c r="AL31" s="32"/>
      <x:c r="AM31" s="24" t="str"/>
      <x:c r="AN31" s="31" t="n">
        <x:v>32</x:v>
      </x:c>
    </x:row>
    <x:row r="32" ht="17.25" customHeight="1">
      <x:c r="A32" s="24" t="str">
        <x:v>스위치플랜</x:v>
      </x:c>
      <x:c r="B32" s="24" t="str">
        <x:v>172수8945</x:v>
      </x:c>
      <x:c r="C32" s="24" t="str">
        <x:v>보유</x:v>
      </x:c>
      <x:c r="D32" s="24" t="str">
        <x:v>제네시스</x:v>
      </x:c>
      <x:c r="E32" s="24" t="str">
        <x:v>G80</x:v>
      </x:c>
      <x:c r="F32" s="24" t="str">
        <x:v>G80 DH</x:v>
      </x:c>
      <x:c r="G32" s="24" t="str">
        <x:v>가솔린 3.3T AWD</x:v>
      </x:c>
      <x:c r="H32" s="24" t="str">
        <x:v>가솔린</x:v>
      </x:c>
      <x:c r="I32" s="31" t="n">
        <x:v>3342</x:v>
      </x:c>
      <x:c r="J32" s="31" t="n">
        <x:v>2019</x:v>
      </x:c>
      <x:c r="K32" s="24" t="str">
        <x:v>KMHGR41BDKU302872</x:v>
      </x:c>
      <x:c r="L32" s="24" t="str">
        <x:v>김포</x:v>
      </x:c>
      <x:c r="M32" s="30" t="n">
        <x:v>43360</x:v>
      </x:c>
      <x:c r="N32" s="31"/>
      <x:c r="O32" s="30" t="n">
        <x:v>45254</x:v>
      </x:c>
      <x:c r="P32" s="32" t="n">
        <x:v>73230000</x:v>
      </x:c>
      <x:c r="Q32" s="32" t="n">
        <x:v>32230000</x:v>
      </x:c>
      <x:c r="R32" s="32" t="n">
        <x:v>32230000</x:v>
      </x:c>
      <x:c r="S32" s="24" t="str">
        <x:v>중고</x:v>
      </x:c>
      <x:c r="T32" s="32"/>
      <x:c r="U32" s="32" t="n">
        <x:v>35166530</x:v>
      </x:c>
      <x:c r="V32" s="24" t="str">
        <x:v>할부</x:v>
      </x:c>
      <x:c r="W32" s="24" t="str">
        <x:v>IBK저축은행</x:v>
      </x:c>
      <x:c r="X32" s="32" t="n">
        <x:v>34019996</x:v>
      </x:c>
      <x:c r="Y32" s="33" t="n">
        <x:v>0.17</x:v>
      </x:c>
      <x:c r="Z32" s="31" t="n">
        <x:v>48</x:v>
      </x:c>
      <x:c r="AA32" s="24" t="str">
        <x:v>10일</x:v>
      </x:c>
      <x:c r="AB32" s="30" t="n">
        <x:v>45270</x:v>
      </x:c>
      <x:c r="AC32" s="30" t="n">
        <x:v>46701</x:v>
      </x:c>
      <x:c r="AD32" s="32"/>
      <x:c r="AE32" s="32" t="n">
        <x:v>568840</x:v>
      </x:c>
      <x:c r="AF32" s="24" t="str"/>
      <x:c r="AG32" s="24" t="str"/>
      <x:c r="AH32" s="30"/>
      <x:c r="AI32" s="24" t="str"/>
      <x:c r="AJ32" s="24" t="str"/>
      <x:c r="AK32" s="32"/>
      <x:c r="AL32" s="32"/>
      <x:c r="AM32" s="24" t="str"/>
      <x:c r="AN32" s="31" t="n">
        <x:v>33</x:v>
      </x:c>
    </x:row>
    <x:row r="33" ht="17.25" customHeight="1">
      <x:c r="A33" s="24" t="str">
        <x:v>스위치플랜</x:v>
      </x:c>
      <x:c r="B33" s="24" t="str">
        <x:v>81소0566</x:v>
      </x:c>
      <x:c r="C33" s="24" t="str">
        <x:v>보유</x:v>
      </x:c>
      <x:c r="D33" s="24" t="str">
        <x:v>현대</x:v>
      </x:c>
      <x:c r="E33" s="24" t="str">
        <x:v>포터</x:v>
      </x:c>
      <x:c r="F33" s="24" t="str">
        <x:v>포터 II</x:v>
      </x:c>
      <x:c r="G33" s="24" t="str">
        <x:v>디젤 2.5</x:v>
      </x:c>
      <x:c r="H33" s="24" t="str">
        <x:v>디젤</x:v>
      </x:c>
      <x:c r="I33" s="31" t="n">
        <x:v>2497</x:v>
      </x:c>
      <x:c r="J33" s="31" t="n">
        <x:v>2019</x:v>
      </x:c>
      <x:c r="K33" s="24" t="str">
        <x:v>KMFZCZ7KBKU622489</x:v>
      </x:c>
      <x:c r="L33" s="24" t="str">
        <x:v>김포</x:v>
      </x:c>
      <x:c r="M33" s="30" t="n">
        <x:v>43417</x:v>
      </x:c>
      <x:c r="N33" s="31"/>
      <x:c r="O33" s="30" t="n">
        <x:v>45279</x:v>
      </x:c>
      <x:c r="P33" s="32" t="n">
        <x:v>18820000</x:v>
      </x:c>
      <x:c r="Q33" s="32" t="n">
        <x:v>13100000</x:v>
      </x:c>
      <x:c r="R33" s="32" t="n">
        <x:v>13100000</x:v>
      </x:c>
      <x:c r="S33" s="24" t="str">
        <x:v>중고</x:v>
      </x:c>
      <x:c r="T33" s="32"/>
      <x:c r="U33" s="32" t="n">
        <x:v>14277280</x:v>
      </x:c>
      <x:c r="V33" s="24" t="str">
        <x:v>할부</x:v>
      </x:c>
      <x:c r="W33" s="24" t="str">
        <x:v>한국금융자산대부㈜</x:v>
      </x:c>
      <x:c r="X33" s="32" t="n">
        <x:v>14020002</x:v>
      </x:c>
      <x:c r="Y33" s="33" t="n">
        <x:v>0.17</x:v>
      </x:c>
      <x:c r="Z33" s="31" t="n">
        <x:v>48</x:v>
      </x:c>
      <x:c r="AA33" s="24" t="str">
        <x:v>10일</x:v>
      </x:c>
      <x:c r="AB33" s="30" t="n">
        <x:v>45301</x:v>
      </x:c>
      <x:c r="AC33" s="30" t="n">
        <x:v>46731</x:v>
      </x:c>
      <x:c r="AD33" s="32"/>
      <x:c r="AE33" s="32" t="n">
        <x:v>1505556</x:v>
      </x:c>
      <x:c r="AF33" s="24" t="str"/>
      <x:c r="AG33" s="24" t="str"/>
      <x:c r="AH33" s="30"/>
      <x:c r="AI33" s="24" t="str"/>
      <x:c r="AJ33" s="24" t="str"/>
      <x:c r="AK33" s="32"/>
      <x:c r="AL33" s="32"/>
      <x:c r="AM33" s="24" t="str"/>
      <x:c r="AN33" s="31" t="n">
        <x:v>34</x:v>
      </x:c>
    </x:row>
    <x:row r="34" ht="17.25" customHeight="1">
      <x:c r="A34" s="24" t="str">
        <x:v>스위치플랜</x:v>
      </x:c>
      <x:c r="B34" s="24" t="str">
        <x:v>89너4007</x:v>
      </x:c>
      <x:c r="C34" s="24" t="str">
        <x:v>보유</x:v>
      </x:c>
      <x:c r="D34" s="24" t="str">
        <x:v>현대</x:v>
      </x:c>
      <x:c r="E34" s="24" t="str">
        <x:v>스타렉스</x:v>
      </x:c>
      <x:c r="F34" s="24" t="str">
        <x:v>더 뉴 그랜드 스타렉스 TQ</x:v>
      </x:c>
      <x:c r="G34" s="24" t="str">
        <x:v>디젤 2.5 4WD</x:v>
      </x:c>
      <x:c r="H34" s="24" t="str">
        <x:v>디젤</x:v>
      </x:c>
      <x:c r="I34" s="31" t="n">
        <x:v>2497</x:v>
      </x:c>
      <x:c r="J34" s="31" t="n">
        <x:v>2019</x:v>
      </x:c>
      <x:c r="K34" s="24" t="str">
        <x:v>KMFWBX7KBKU043841</x:v>
      </x:c>
      <x:c r="L34" s="24" t="str">
        <x:v>김포</x:v>
      </x:c>
      <x:c r="M34" s="30" t="n">
        <x:v>43420</x:v>
      </x:c>
      <x:c r="N34" s="31"/>
      <x:c r="O34" s="30" t="n">
        <x:v>45567</x:v>
      </x:c>
      <x:c r="P34" s="32" t="n">
        <x:v>26320000</x:v>
      </x:c>
      <x:c r="Q34" s="32" t="n">
        <x:v>18500000</x:v>
      </x:c>
      <x:c r="R34" s="32" t="n">
        <x:v>18500000</x:v>
      </x:c>
      <x:c r="S34" s="24" t="str">
        <x:v>중고</x:v>
      </x:c>
      <x:c r="T34" s="32"/>
      <x:c r="U34" s="32" t="n">
        <x:v>19874170</x:v>
      </x:c>
      <x:c r="V34" s="24" t="str">
        <x:v>할부</x:v>
      </x:c>
      <x:c r="W34" s="24" t="str">
        <x:v>한국금융자산대부㈜</x:v>
      </x:c>
      <x:c r="X34" s="32" t="n">
        <x:v>19800001</x:v>
      </x:c>
      <x:c r="Y34" s="33" t="n">
        <x:v>0.17</x:v>
      </x:c>
      <x:c r="Z34" s="31" t="n">
        <x:v>48</x:v>
      </x:c>
      <x:c r="AA34" s="24" t="str">
        <x:v>10일</x:v>
      </x:c>
      <x:c r="AB34" s="30" t="n">
        <x:v>45575</x:v>
      </x:c>
      <x:c r="AC34" s="30" t="n">
        <x:v>47006</x:v>
      </x:c>
      <x:c r="AD34" s="32"/>
      <x:c r="AE34" s="32" t="n">
        <x:v>0</x:v>
      </x:c>
      <x:c r="AF34" s="24" t="str"/>
      <x:c r="AG34" s="24" t="str"/>
      <x:c r="AH34" s="30"/>
      <x:c r="AI34" s="24" t="str"/>
      <x:c r="AJ34" s="24" t="str"/>
      <x:c r="AK34" s="32"/>
      <x:c r="AL34" s="32"/>
      <x:c r="AM34" s="24" t="str"/>
      <x:c r="AN34" s="31" t="n">
        <x:v>35</x:v>
      </x:c>
    </x:row>
    <x:row r="35" ht="17.25" customHeight="1">
      <x:c r="A35" s="24" t="str">
        <x:v>스위치플랜</x:v>
      </x:c>
      <x:c r="B35" s="24" t="str">
        <x:v>314소2486</x:v>
      </x:c>
      <x:c r="C35" s="24" t="str">
        <x:v>보유</x:v>
      </x:c>
      <x:c r="D35" s="24" t="str">
        <x:v>현대</x:v>
      </x:c>
      <x:c r="E35" s="24" t="str">
        <x:v>그랜저</x:v>
      </x:c>
      <x:c r="F35" s="24" t="str">
        <x:v>더 뉴 그랜저 IG</x:v>
      </x:c>
      <x:c r="G35" s="24" t="str">
        <x:v>LPG 3.0</x:v>
      </x:c>
      <x:c r="H35" s="24" t="str">
        <x:v>LPG</x:v>
      </x:c>
      <x:c r="I35" s="31" t="n">
        <x:v>2999</x:v>
      </x:c>
      <x:c r="J35" s="31" t="n">
        <x:v>2019</x:v>
      </x:c>
      <x:c r="K35" s="24" t="str">
        <x:v>KMHF641NBKA221977</x:v>
      </x:c>
      <x:c r="L35" s="24" t="str">
        <x:v>김포</x:v>
      </x:c>
      <x:c r="M35" s="30" t="n">
        <x:v>43423</x:v>
      </x:c>
      <x:c r="N35" s="31"/>
      <x:c r="O35" s="30" t="n">
        <x:v>45261</x:v>
      </x:c>
      <x:c r="P35" s="32" t="n">
        <x:v>30650000</x:v>
      </x:c>
      <x:c r="Q35" s="32" t="n">
        <x:v>41500000</x:v>
      </x:c>
      <x:c r="R35" s="32" t="n">
        <x:v>17050000</x:v>
      </x:c>
      <x:c r="S35" s="24" t="str">
        <x:v>중고</x:v>
      </x:c>
      <x:c r="T35" s="32"/>
      <x:c r="U35" s="32" t="n">
        <x:v>18780859</x:v>
      </x:c>
      <x:c r="V35" s="24" t="str">
        <x:v>할부</x:v>
      </x:c>
      <x:c r="W35" s="24" t="str">
        <x:v>IBK저축은행</x:v>
      </x:c>
      <x:c r="X35" s="32" t="n">
        <x:v>18800000</x:v>
      </x:c>
      <x:c r="Y35" s="33" t="n">
        <x:v>0.17</x:v>
      </x:c>
      <x:c r="Z35" s="31" t="n">
        <x:v>36</x:v>
      </x:c>
      <x:c r="AA35" s="24" t="str">
        <x:v>10일</x:v>
      </x:c>
      <x:c r="AB35" s="30" t="n">
        <x:v>45270</x:v>
      </x:c>
      <x:c r="AC35" s="30" t="n">
        <x:v>46336</x:v>
      </x:c>
      <x:c r="AD35" s="32"/>
      <x:c r="AE35" s="32" t="n">
        <x:v>63499</x:v>
      </x:c>
      <x:c r="AF35" s="24" t="str"/>
      <x:c r="AG35" s="24" t="str"/>
      <x:c r="AH35" s="30"/>
      <x:c r="AI35" s="24" t="str"/>
      <x:c r="AJ35" s="24" t="str"/>
      <x:c r="AK35" s="32"/>
      <x:c r="AL35" s="32"/>
      <x:c r="AM35" s="24" t="str"/>
      <x:c r="AN35" s="31" t="n">
        <x:v>36</x:v>
      </x:c>
    </x:row>
    <x:row r="36" ht="17.25" customHeight="1">
      <x:c r="A36" s="24" t="str">
        <x:v>스위치플랜</x:v>
      </x:c>
      <x:c r="B36" s="24" t="str">
        <x:v>52모6211</x:v>
      </x:c>
      <x:c r="C36" s="24" t="str">
        <x:v>보유</x:v>
      </x:c>
      <x:c r="D36" s="24" t="str">
        <x:v>기아</x:v>
      </x:c>
      <x:c r="E36" s="24" t="str">
        <x:v>스팅어</x:v>
      </x:c>
      <x:c r="F36" s="24" t="str">
        <x:v>스팅어 CK</x:v>
      </x:c>
      <x:c r="G36" s="24" t="str">
        <x:v>가솔린 3.3T AWD</x:v>
      </x:c>
      <x:c r="H36" s="24" t="str">
        <x:v>가솔린</x:v>
      </x:c>
      <x:c r="I36" s="31" t="n">
        <x:v>3342</x:v>
      </x:c>
      <x:c r="J36" s="31" t="n">
        <x:v>2019</x:v>
      </x:c>
      <x:c r="K36" s="24" t="str">
        <x:v>KNAE751CDKS050857</x:v>
      </x:c>
      <x:c r="L36" s="24" t="str">
        <x:v>김포</x:v>
      </x:c>
      <x:c r="M36" s="30" t="n">
        <x:v>43453</x:v>
      </x:c>
      <x:c r="N36" s="31"/>
      <x:c r="O36" s="30" t="n">
        <x:v>45385</x:v>
      </x:c>
      <x:c r="P36" s="32" t="n">
        <x:v>52620000</x:v>
      </x:c>
      <x:c r="Q36" s="32" t="n">
        <x:v>23000000</x:v>
      </x:c>
      <x:c r="R36" s="32" t="n">
        <x:v>23440000</x:v>
      </x:c>
      <x:c r="S36" s="24" t="str">
        <x:v>중고</x:v>
      </x:c>
      <x:c r="T36" s="32"/>
      <x:c r="U36" s="32" t="n">
        <x:v>25569700</x:v>
      </x:c>
      <x:c r="V36" s="24" t="str">
        <x:v>할부</x:v>
      </x:c>
      <x:c r="W36" s="24" t="str">
        <x:v>한국금융자산대부㈜</x:v>
      </x:c>
      <x:c r="X36" s="32" t="n">
        <x:v>24610000</x:v>
      </x:c>
      <x:c r="Y36" s="33" t="n">
        <x:v>0.17</x:v>
      </x:c>
      <x:c r="Z36" s="31" t="n">
        <x:v>48</x:v>
      </x:c>
      <x:c r="AA36" s="24" t="str">
        <x:v>10일</x:v>
      </x:c>
      <x:c r="AB36" s="30" t="n">
        <x:v>45422</x:v>
      </x:c>
      <x:c r="AC36" s="30" t="n">
        <x:v>46853</x:v>
      </x:c>
      <x:c r="AD36" s="32"/>
      <x:c r="AE36" s="32" t="n">
        <x:v>14010862</x:v>
      </x:c>
      <x:c r="AF36" s="24" t="str"/>
      <x:c r="AG36" s="24" t="str"/>
      <x:c r="AH36" s="30"/>
      <x:c r="AI36" s="24" t="str"/>
      <x:c r="AJ36" s="24" t="str"/>
      <x:c r="AK36" s="32"/>
      <x:c r="AL36" s="32"/>
      <x:c r="AM36" s="24" t="str"/>
      <x:c r="AN36" s="31" t="n">
        <x:v>37</x:v>
      </x:c>
    </x:row>
    <x:row r="37" ht="17.25" customHeight="1">
      <x:c r="A37" s="24" t="str">
        <x:v>스위치플랜</x:v>
      </x:c>
      <x:c r="B37" s="24" t="str">
        <x:v>376두7844</x:v>
      </x:c>
      <x:c r="C37" s="24" t="str">
        <x:v>보유</x:v>
      </x:c>
      <x:c r="D37" s="24" t="str">
        <x:v>벤츠</x:v>
      </x:c>
      <x:c r="E37" s="24" t="str">
        <x:v>E-클래스</x:v>
      </x:c>
      <x:c r="F37" s="24" t="str">
        <x:v>E-클래스 W213</x:v>
      </x:c>
      <x:c r="G37" s="24" t="str">
        <x:v>디젤 1.9</x:v>
      </x:c>
      <x:c r="H37" s="24" t="str">
        <x:v>디젤</x:v>
      </x:c>
      <x:c r="I37" s="31" t="n">
        <x:v>1950</x:v>
      </x:c>
      <x:c r="J37" s="31" t="n">
        <x:v>2018</x:v>
      </x:c>
      <x:c r="K37" s="24" t="str">
        <x:v>WDD1J1EB6KF076264</x:v>
      </x:c>
      <x:c r="L37" s="24" t="str">
        <x:v>김포</x:v>
      </x:c>
      <x:c r="M37" s="30" t="n">
        <x:v>43495</x:v>
      </x:c>
      <x:c r="N37" s="31"/>
      <x:c r="O37" s="30" t="n">
        <x:v>45846</x:v>
      </x:c>
      <x:c r="P37" s="32"/>
      <x:c r="Q37" s="32" t="n">
        <x:v>30800000</x:v>
      </x:c>
      <x:c r="R37" s="32" t="n">
        <x:v>31732000</x:v>
      </x:c>
      <x:c r="S37" s="24" t="str">
        <x:v>중고</x:v>
      </x:c>
      <x:c r="T37" s="32"/>
      <x:c r="U37" s="32" t="n">
        <x:v>34661610</x:v>
      </x:c>
      <x:c r="V37" s="24" t="str">
        <x:v>할부</x:v>
      </x:c>
      <x:c r="W37" s="24" t="str">
        <x:v>KB캐피탈</x:v>
      </x:c>
      <x:c r="X37" s="32" t="n">
        <x:v>28800000</x:v>
      </x:c>
      <x:c r="Y37" s="33" t="n">
        <x:v>0.08</x:v>
      </x:c>
      <x:c r="Z37" s="31" t="n">
        <x:v>36</x:v>
      </x:c>
      <x:c r="AA37" s="24" t="str">
        <x:v>20일</x:v>
      </x:c>
      <x:c r="AB37" s="30" t="n">
        <x:v>45848</x:v>
      </x:c>
      <x:c r="AC37" s="30" t="n">
        <x:v>46924</x:v>
      </x:c>
      <x:c r="AD37" s="32" t="n">
        <x:v>895859</x:v>
      </x:c>
      <x:c r="AE37" s="32" t="n">
        <x:v>19136722</x:v>
      </x:c>
      <x:c r="AF37" s="24" t="str"/>
      <x:c r="AG37" s="24" t="str"/>
      <x:c r="AH37" s="30"/>
      <x:c r="AI37" s="24" t="str"/>
      <x:c r="AJ37" s="24" t="str"/>
      <x:c r="AK37" s="32"/>
      <x:c r="AL37" s="32"/>
      <x:c r="AM37" s="24" t="str"/>
      <x:c r="AN37" s="31" t="n">
        <x:v>38</x:v>
      </x:c>
    </x:row>
    <x:row r="38" ht="17.25" customHeight="1">
      <x:c r="A38" s="24" t="str">
        <x:v>스위치플랜</x:v>
      </x:c>
      <x:c r="B38" s="24" t="str">
        <x:v>66소6317</x:v>
      </x:c>
      <x:c r="C38" s="24" t="str">
        <x:v>보유</x:v>
      </x:c>
      <x:c r="D38" s="24" t="str">
        <x:v>기아</x:v>
      </x:c>
      <x:c r="E38" s="24" t="str">
        <x:v>카니발</x:v>
      </x:c>
      <x:c r="F38" s="24" t="str">
        <x:v>더 뉴 카니발 YP</x:v>
      </x:c>
      <x:c r="G38" s="24" t="str">
        <x:v>디젤 2.2</x:v>
      </x:c>
      <x:c r="H38" s="24" t="str">
        <x:v>디젤</x:v>
      </x:c>
      <x:c r="I38" s="31" t="n">
        <x:v>2199</x:v>
      </x:c>
      <x:c r="J38" s="31" t="n">
        <x:v>2019</x:v>
      </x:c>
      <x:c r="K38" s="24" t="str">
        <x:v>KNAME81ABKS500895</x:v>
      </x:c>
      <x:c r="L38" s="24" t="str">
        <x:v>김포</x:v>
      </x:c>
      <x:c r="M38" s="30" t="n">
        <x:v>43496</x:v>
      </x:c>
      <x:c r="N38" s="31"/>
      <x:c r="O38" s="30" t="n">
        <x:v>45450</x:v>
      </x:c>
      <x:c r="P38" s="32" t="n">
        <x:v>57540000</x:v>
      </x:c>
      <x:c r="Q38" s="32" t="n">
        <x:v>34600000</x:v>
      </x:c>
      <x:c r="R38" s="32" t="n">
        <x:v>35094340</x:v>
      </x:c>
      <x:c r="S38" s="24" t="str">
        <x:v>중고</x:v>
      </x:c>
      <x:c r="T38" s="32"/>
      <x:c r="U38" s="32" t="n">
        <x:v>37915278</x:v>
      </x:c>
      <x:c r="V38" s="24" t="str">
        <x:v>할부</x:v>
      </x:c>
      <x:c r="W38" s="24" t="str">
        <x:v>한국금융자산대부㈜</x:v>
      </x:c>
      <x:c r="X38" s="32" t="n">
        <x:v>37520001</x:v>
      </x:c>
      <x:c r="Y38" s="33" t="n">
        <x:v>0.17</x:v>
      </x:c>
      <x:c r="Z38" s="31" t="n">
        <x:v>48</x:v>
      </x:c>
      <x:c r="AA38" s="24" t="str">
        <x:v>10일</x:v>
      </x:c>
      <x:c r="AB38" s="30" t="n">
        <x:v>45453</x:v>
      </x:c>
      <x:c r="AC38" s="30" t="n">
        <x:v>46883</x:v>
      </x:c>
      <x:c r="AD38" s="32"/>
      <x:c r="AE38" s="32" t="n">
        <x:v>10051187</x:v>
      </x:c>
      <x:c r="AF38" s="24" t="str"/>
      <x:c r="AG38" s="24" t="str"/>
      <x:c r="AH38" s="30"/>
      <x:c r="AI38" s="24" t="str"/>
      <x:c r="AJ38" s="24" t="str"/>
      <x:c r="AK38" s="32"/>
      <x:c r="AL38" s="32"/>
      <x:c r="AM38" s="24" t="str"/>
      <x:c r="AN38" s="31" t="n">
        <x:v>39</x:v>
      </x:c>
    </x:row>
    <x:row r="39" ht="17.25" customHeight="1">
      <x:c r="A39" s="24" t="str">
        <x:v>스위치플랜</x:v>
      </x:c>
      <x:c r="B39" s="24" t="str">
        <x:v>162고5602</x:v>
      </x:c>
      <x:c r="C39" s="24" t="str">
        <x:v>보유</x:v>
      </x:c>
      <x:c r="D39" s="24" t="str">
        <x:v>기아</x:v>
      </x:c>
      <x:c r="E39" s="24" t="str">
        <x:v>레이</x:v>
      </x:c>
      <x:c r="F39" s="24" t="str">
        <x:v>더 뉴 레이 TAM (2017~2022) 밴</x:v>
      </x:c>
      <x:c r="G39" s="24" t="str">
        <x:v>가솔린 1.0</x:v>
      </x:c>
      <x:c r="H39" s="24" t="str">
        <x:v>가솔린</x:v>
      </x:c>
      <x:c r="I39" s="31" t="n">
        <x:v>998</x:v>
      </x:c>
      <x:c r="J39" s="31" t="n">
        <x:v>2019</x:v>
      </x:c>
      <x:c r="K39" s="24" t="str">
        <x:v>KNACF911BKT202353</x:v>
      </x:c>
      <x:c r="L39" s="24" t="str">
        <x:v>김포</x:v>
      </x:c>
      <x:c r="M39" s="30" t="n">
        <x:v>43523</x:v>
      </x:c>
      <x:c r="N39" s="31"/>
      <x:c r="O39" s="30" t="n">
        <x:v>45589</x:v>
      </x:c>
      <x:c r="P39" s="32" t="n">
        <x:v>12650000</x:v>
      </x:c>
      <x:c r="Q39" s="32" t="n">
        <x:v>6700000</x:v>
      </x:c>
      <x:c r="R39" s="32" t="n">
        <x:v>7140000</x:v>
      </x:c>
      <x:c r="S39" s="24" t="str">
        <x:v>중고</x:v>
      </x:c>
      <x:c r="T39" s="32"/>
      <x:c r="U39" s="32" t="n">
        <x:v>7675120</x:v>
      </x:c>
      <x:c r="V39" s="24" t="str"/>
      <x:c r="W39" s="24" t="str"/>
      <x:c r="X39" s="32"/>
      <x:c r="Y39" s="33"/>
      <x:c r="Z39" s="31"/>
      <x:c r="AA39" s="24" t="str"/>
      <x:c r="AB39" s="30"/>
      <x:c r="AC39" s="30"/>
      <x:c r="AD39" s="32"/>
      <x:c r="AE39" s="32" t="n">
        <x:v>11473425</x:v>
      </x:c>
      <x:c r="AF39" s="24" t="str"/>
      <x:c r="AG39" s="24" t="str"/>
      <x:c r="AH39" s="30"/>
      <x:c r="AI39" s="24" t="str"/>
      <x:c r="AJ39" s="24" t="str"/>
      <x:c r="AK39" s="32"/>
      <x:c r="AL39" s="32"/>
      <x:c r="AM39" s="24" t="str"/>
      <x:c r="AN39" s="31" t="n">
        <x:v>40</x:v>
      </x:c>
    </x:row>
    <x:row r="40" ht="17.25" customHeight="1">
      <x:c r="A40" s="24" t="str">
        <x:v>스위치플랜</x:v>
      </x:c>
      <x:c r="B40" s="24" t="str">
        <x:v>15나3640</x:v>
      </x:c>
      <x:c r="C40" s="24" t="str">
        <x:v>보유</x:v>
      </x:c>
      <x:c r="D40" s="24" t="str">
        <x:v>제네시스</x:v>
      </x:c>
      <x:c r="E40" s="24" t="str">
        <x:v>G70</x:v>
      </x:c>
      <x:c r="F40" s="24" t="str">
        <x:v>G70 IK</x:v>
      </x:c>
      <x:c r="G40" s="24" t="str">
        <x:v>가솔린 3.3 AWD</x:v>
      </x:c>
      <x:c r="H40" s="24" t="str">
        <x:v>가솔린</x:v>
      </x:c>
      <x:c r="I40" s="31" t="n">
        <x:v>3342</x:v>
      </x:c>
      <x:c r="J40" s="31" t="n">
        <x:v>2019</x:v>
      </x:c>
      <x:c r="K40" s="24" t="str">
        <x:v>KMTG541EDKU033656</x:v>
      </x:c>
      <x:c r="L40" s="24" t="str">
        <x:v>김포</x:v>
      </x:c>
      <x:c r="M40" s="30" t="n">
        <x:v>43536</x:v>
      </x:c>
      <x:c r="N40" s="31"/>
      <x:c r="O40" s="30" t="n">
        <x:v>45253</x:v>
      </x:c>
      <x:c r="P40" s="32" t="n">
        <x:v>57090000</x:v>
      </x:c>
      <x:c r="Q40" s="32" t="n">
        <x:v>31524400</x:v>
      </x:c>
      <x:c r="R40" s="32" t="n">
        <x:v>31524400</x:v>
      </x:c>
      <x:c r="S40" s="24" t="str">
        <x:v>중고</x:v>
      </x:c>
      <x:c r="T40" s="32"/>
      <x:c r="U40" s="32" t="n">
        <x:v>34528800</x:v>
      </x:c>
      <x:c r="V40" s="24" t="str">
        <x:v>할부</x:v>
      </x:c>
      <x:c r="W40" s="24" t="str">
        <x:v>IBK저축은행</x:v>
      </x:c>
      <x:c r="X40" s="32" t="n">
        <x:v>33169997</x:v>
      </x:c>
      <x:c r="Y40" s="33" t="n">
        <x:v>0.17</x:v>
      </x:c>
      <x:c r="Z40" s="31" t="n">
        <x:v>48</x:v>
      </x:c>
      <x:c r="AA40" s="24" t="str">
        <x:v>10일</x:v>
      </x:c>
      <x:c r="AB40" s="30" t="n">
        <x:v>45270</x:v>
      </x:c>
      <x:c r="AC40" s="30" t="n">
        <x:v>46701</x:v>
      </x:c>
      <x:c r="AD40" s="32"/>
      <x:c r="AE40" s="32" t="n">
        <x:v>0</x:v>
      </x:c>
      <x:c r="AF40" s="24" t="str"/>
      <x:c r="AG40" s="24" t="str"/>
      <x:c r="AH40" s="30"/>
      <x:c r="AI40" s="24" t="str"/>
      <x:c r="AJ40" s="24" t="str"/>
      <x:c r="AK40" s="32"/>
      <x:c r="AL40" s="32"/>
      <x:c r="AM40" s="24" t="str"/>
      <x:c r="AN40" s="31" t="n">
        <x:v>41</x:v>
      </x:c>
    </x:row>
    <x:row r="41" ht="17.25" customHeight="1">
      <x:c r="A41" s="24" t="str">
        <x:v>스위치플랜</x:v>
      </x:c>
      <x:c r="B41" s="24" t="str">
        <x:v>97러0815</x:v>
      </x:c>
      <x:c r="C41" s="24" t="str">
        <x:v>보유</x:v>
      </x:c>
      <x:c r="D41" s="24" t="str">
        <x:v>기아</x:v>
      </x:c>
      <x:c r="E41" s="24" t="str">
        <x:v>봉고3</x:v>
      </x:c>
      <x:c r="F41" s="24" t="str">
        <x:v>봉고III</x:v>
      </x:c>
      <x:c r="G41" s="24" t="str">
        <x:v>디젤 2.5</x:v>
      </x:c>
      <x:c r="H41" s="24" t="str">
        <x:v>디젤</x:v>
      </x:c>
      <x:c r="I41" s="31" t="n">
        <x:v>2497</x:v>
      </x:c>
      <x:c r="J41" s="31" t="n">
        <x:v>2019</x:v>
      </x:c>
      <x:c r="K41" s="24" t="str">
        <x:v>KNFSXZ76BKK358966</x:v>
      </x:c>
      <x:c r="L41" s="24" t="str">
        <x:v>김포</x:v>
      </x:c>
      <x:c r="M41" s="30" t="n">
        <x:v>43563</x:v>
      </x:c>
      <x:c r="N41" s="31"/>
      <x:c r="O41" s="30" t="n">
        <x:v>45287</x:v>
      </x:c>
      <x:c r="P41" s="32" t="n">
        <x:v>21520000</x:v>
      </x:c>
      <x:c r="Q41" s="32" t="n">
        <x:v>16531420</x:v>
      </x:c>
      <x:c r="R41" s="32" t="n">
        <x:v>16531420</x:v>
      </x:c>
      <x:c r="S41" s="24" t="str">
        <x:v>중고</x:v>
      </x:c>
      <x:c r="T41" s="32"/>
      <x:c r="U41" s="32" t="n">
        <x:v>18032840</x:v>
      </x:c>
      <x:c r="V41" s="24" t="str">
        <x:v>할부</x:v>
      </x:c>
      <x:c r="W41" s="24" t="str">
        <x:v>한국금융자산대부㈜</x:v>
      </x:c>
      <x:c r="X41" s="32" t="n">
        <x:v>17110001</x:v>
      </x:c>
      <x:c r="Y41" s="33" t="n">
        <x:v>0.17</x:v>
      </x:c>
      <x:c r="Z41" s="31" t="n">
        <x:v>48</x:v>
      </x:c>
      <x:c r="AA41" s="24" t="str">
        <x:v>10일</x:v>
      </x:c>
      <x:c r="AB41" s="30" t="n">
        <x:v>45301</x:v>
      </x:c>
      <x:c r="AC41" s="30" t="n">
        <x:v>46731</x:v>
      </x:c>
      <x:c r="AD41" s="32"/>
      <x:c r="AE41" s="32" t="n">
        <x:v>5844063</x:v>
      </x:c>
      <x:c r="AF41" s="24" t="str"/>
      <x:c r="AG41" s="24" t="str"/>
      <x:c r="AH41" s="30"/>
      <x:c r="AI41" s="24" t="str"/>
      <x:c r="AJ41" s="24" t="str"/>
      <x:c r="AK41" s="32"/>
      <x:c r="AL41" s="32"/>
      <x:c r="AM41" s="24" t="str"/>
      <x:c r="AN41" s="31" t="n">
        <x:v>42</x:v>
      </x:c>
    </x:row>
    <x:row r="42" ht="17.25" customHeight="1">
      <x:c r="A42" s="24" t="str">
        <x:v>스위치플랜</x:v>
      </x:c>
      <x:c r="B42" s="24" t="str">
        <x:v>68서5320</x:v>
      </x:c>
      <x:c r="C42" s="24" t="str">
        <x:v>보유</x:v>
      </x:c>
      <x:c r="D42" s="24" t="str">
        <x:v>기아</x:v>
      </x:c>
      <x:c r="E42" s="24" t="str">
        <x:v>K3</x:v>
      </x:c>
      <x:c r="F42" s="24" t="str">
        <x:v>올 뉴 K3 BD</x:v>
      </x:c>
      <x:c r="G42" s="24" t="str">
        <x:v>가솔린 1.6</x:v>
      </x:c>
      <x:c r="H42" s="24" t="str">
        <x:v>가솔린</x:v>
      </x:c>
      <x:c r="I42" s="31" t="n">
        <x:v>1591</x:v>
      </x:c>
      <x:c r="J42" s="31" t="n">
        <x:v>2019</x:v>
      </x:c>
      <x:c r="K42" s="24" t="str">
        <x:v>KNAF4517GKA046146</x:v>
      </x:c>
      <x:c r="L42" s="24" t="str">
        <x:v>김포</x:v>
      </x:c>
      <x:c r="M42" s="30" t="n">
        <x:v>43598</x:v>
      </x:c>
      <x:c r="N42" s="31"/>
      <x:c r="O42" s="30" t="n">
        <x:v>45422</x:v>
      </x:c>
      <x:c r="P42" s="32" t="n">
        <x:v>28910000</x:v>
      </x:c>
      <x:c r="Q42" s="32" t="n">
        <x:v>13700000</x:v>
      </x:c>
      <x:c r="R42" s="32" t="n">
        <x:v>13700000</x:v>
      </x:c>
      <x:c r="S42" s="24" t="str">
        <x:v>중고</x:v>
      </x:c>
      <x:c r="T42" s="32"/>
      <x:c r="U42" s="32" t="n">
        <x:v>15068610</x:v>
      </x:c>
      <x:c r="V42" s="24" t="str">
        <x:v>할부</x:v>
      </x:c>
      <x:c r="W42" s="24" t="str">
        <x:v>한국금융자산대부㈜</x:v>
      </x:c>
      <x:c r="X42" s="32" t="n">
        <x:v>14659999</x:v>
      </x:c>
      <x:c r="Y42" s="33" t="n">
        <x:v>0.17</x:v>
      </x:c>
      <x:c r="Z42" s="31" t="n">
        <x:v>48</x:v>
      </x:c>
      <x:c r="AA42" s="24" t="str">
        <x:v>10일</x:v>
      </x:c>
      <x:c r="AB42" s="30" t="n">
        <x:v>45453</x:v>
      </x:c>
      <x:c r="AC42" s="30" t="n">
        <x:v>46883</x:v>
      </x:c>
      <x:c r="AD42" s="32"/>
      <x:c r="AE42" s="32" t="n">
        <x:v>12286721</x:v>
      </x:c>
      <x:c r="AF42" s="24" t="str"/>
      <x:c r="AG42" s="24" t="str"/>
      <x:c r="AH42" s="30"/>
      <x:c r="AI42" s="24" t="str"/>
      <x:c r="AJ42" s="24" t="str"/>
      <x:c r="AK42" s="32"/>
      <x:c r="AL42" s="32"/>
      <x:c r="AM42" s="24" t="str"/>
      <x:c r="AN42" s="31" t="n">
        <x:v>43</x:v>
      </x:c>
    </x:row>
    <x:row r="43" ht="17.25" customHeight="1">
      <x:c r="A43" s="24" t="str">
        <x:v>스위치플랜</x:v>
      </x:c>
      <x:c r="B43" s="24" t="str">
        <x:v>28구4152</x:v>
      </x:c>
      <x:c r="C43" s="24" t="str">
        <x:v>보유</x:v>
      </x:c>
      <x:c r="D43" s="24" t="str">
        <x:v>기아</x:v>
      </x:c>
      <x:c r="E43" s="24" t="str">
        <x:v>카니발</x:v>
      </x:c>
      <x:c r="F43" s="24" t="str">
        <x:v>더 뉴 카니발 YP</x:v>
      </x:c>
      <x:c r="G43" s="24" t="str">
        <x:v>디젤 2.2</x:v>
      </x:c>
      <x:c r="H43" s="24" t="str">
        <x:v>디젤</x:v>
      </x:c>
      <x:c r="I43" s="31" t="n">
        <x:v>2199</x:v>
      </x:c>
      <x:c r="J43" s="31" t="n">
        <x:v>2019</x:v>
      </x:c>
      <x:c r="K43" s="24" t="str">
        <x:v>KNAME81ABKS575230</x:v>
      </x:c>
      <x:c r="L43" s="24" t="str">
        <x:v>김포</x:v>
      </x:c>
      <x:c r="M43" s="30" t="n">
        <x:v>43605</x:v>
      </x:c>
      <x:c r="N43" s="31"/>
      <x:c r="O43" s="30" t="n">
        <x:v>45275</x:v>
      </x:c>
      <x:c r="P43" s="32" t="n">
        <x:v>57640000</x:v>
      </x:c>
      <x:c r="Q43" s="32" t="n">
        <x:v>31500000</x:v>
      </x:c>
      <x:c r="R43" s="32" t="n">
        <x:v>31500000</x:v>
      </x:c>
      <x:c r="S43" s="24" t="str">
        <x:v>중고</x:v>
      </x:c>
      <x:c r="T43" s="32"/>
      <x:c r="U43" s="32" t="n">
        <x:v>34440000</x:v>
      </x:c>
      <x:c r="V43" s="24" t="str">
        <x:v>할부</x:v>
      </x:c>
      <x:c r="W43" s="24" t="str">
        <x:v>한국금융자산대부㈜</x:v>
      </x:c>
      <x:c r="X43" s="32" t="n">
        <x:v>33700000</x:v>
      </x:c>
      <x:c r="Y43" s="33" t="n">
        <x:v>0.17</x:v>
      </x:c>
      <x:c r="Z43" s="31" t="n">
        <x:v>48</x:v>
      </x:c>
      <x:c r="AA43" s="24" t="str">
        <x:v>10일</x:v>
      </x:c>
      <x:c r="AB43" s="30" t="n">
        <x:v>45301</x:v>
      </x:c>
      <x:c r="AC43" s="30" t="n">
        <x:v>46731</x:v>
      </x:c>
      <x:c r="AD43" s="32"/>
      <x:c r="AE43" s="32" t="n">
        <x:v>0</x:v>
      </x:c>
      <x:c r="AF43" s="24" t="str"/>
      <x:c r="AG43" s="24" t="str"/>
      <x:c r="AH43" s="30"/>
      <x:c r="AI43" s="24" t="str"/>
      <x:c r="AJ43" s="24" t="str"/>
      <x:c r="AK43" s="32"/>
      <x:c r="AL43" s="32"/>
      <x:c r="AM43" s="24" t="str"/>
      <x:c r="AN43" s="31" t="n">
        <x:v>44</x:v>
      </x:c>
    </x:row>
    <x:row r="44" ht="17.25" customHeight="1">
      <x:c r="A44" s="24" t="str">
        <x:v>스위치플랜</x:v>
      </x:c>
      <x:c r="B44" s="24" t="str">
        <x:v>365주3303</x:v>
      </x:c>
      <x:c r="C44" s="24" t="str">
        <x:v>보유</x:v>
      </x:c>
      <x:c r="D44" s="24" t="str">
        <x:v>BMW</x:v>
      </x:c>
      <x:c r="E44" s="24" t="str">
        <x:v>5시리즈</x:v>
      </x:c>
      <x:c r="F44" s="24" t="str">
        <x:v>5시리즈 G30</x:v>
      </x:c>
      <x:c r="G44" s="24" t="str">
        <x:v>디젤 2.0 xDrive</x:v>
      </x:c>
      <x:c r="H44" s="24" t="str">
        <x:v>디젤</x:v>
      </x:c>
      <x:c r="I44" s="31" t="n">
        <x:v>1995</x:v>
      </x:c>
      <x:c r="J44" s="31" t="n">
        <x:v>2019</x:v>
      </x:c>
      <x:c r="K44" s="24" t="str">
        <x:v>WBAJF3105KBS69943</x:v>
      </x:c>
      <x:c r="L44" s="24" t="str">
        <x:v>김포</x:v>
      </x:c>
      <x:c r="M44" s="30" t="n">
        <x:v>43613</x:v>
      </x:c>
      <x:c r="N44" s="31"/>
      <x:c r="O44" s="30" t="n">
        <x:v>45259</x:v>
      </x:c>
      <x:c r="P44" s="32"/>
      <x:c r="Q44" s="32" t="n">
        <x:v>25500000</x:v>
      </x:c>
      <x:c r="R44" s="32" t="n">
        <x:v>25500000</x:v>
      </x:c>
      <x:c r="S44" s="24" t="str">
        <x:v>중고</x:v>
      </x:c>
      <x:c r="T44" s="32"/>
      <x:c r="U44" s="32" t="n">
        <x:v>27922584</x:v>
      </x:c>
      <x:c r="V44" s="24" t="str">
        <x:v>할부</x:v>
      </x:c>
      <x:c r="W44" s="24" t="str">
        <x:v>IBK저축은행</x:v>
      </x:c>
      <x:c r="X44" s="32" t="n">
        <x:v>27999997</x:v>
      </x:c>
      <x:c r="Y44" s="33" t="n">
        <x:v>0.17</x:v>
      </x:c>
      <x:c r="Z44" s="31" t="n">
        <x:v>48</x:v>
      </x:c>
      <x:c r="AA44" s="24" t="str">
        <x:v>10일</x:v>
      </x:c>
      <x:c r="AB44" s="30" t="n">
        <x:v>45270</x:v>
      </x:c>
      <x:c r="AC44" s="30" t="n">
        <x:v>46701</x:v>
      </x:c>
      <x:c r="AD44" s="32"/>
      <x:c r="AE44" s="32" t="n">
        <x:v>851363</x:v>
      </x:c>
      <x:c r="AF44" s="24" t="str"/>
      <x:c r="AG44" s="24" t="str"/>
      <x:c r="AH44" s="30"/>
      <x:c r="AI44" s="24" t="str"/>
      <x:c r="AJ44" s="24" t="str"/>
      <x:c r="AK44" s="32"/>
      <x:c r="AL44" s="32"/>
      <x:c r="AM44" s="24" t="str"/>
      <x:c r="AN44" s="31" t="n">
        <x:v>45</x:v>
      </x:c>
    </x:row>
    <x:row r="45" ht="17.25" customHeight="1">
      <x:c r="A45" s="24" t="str">
        <x:v>스위치플랜</x:v>
      </x:c>
      <x:c r="B45" s="24" t="str">
        <x:v>165서6056</x:v>
      </x:c>
      <x:c r="C45" s="24" t="str">
        <x:v>보유</x:v>
      </x:c>
      <x:c r="D45" s="24" t="str">
        <x:v>쉐보레</x:v>
      </x:c>
      <x:c r="E45" s="24" t="str">
        <x:v>스파크</x:v>
      </x:c>
      <x:c r="F45" s="24" t="str">
        <x:v>더 뉴 스파크 M400</x:v>
      </x:c>
      <x:c r="G45" s="24" t="str">
        <x:v>가솔린 1.0</x:v>
      </x:c>
      <x:c r="H45" s="24" t="str">
        <x:v>가솔린</x:v>
      </x:c>
      <x:c r="I45" s="31" t="n">
        <x:v>999</x:v>
      </x:c>
      <x:c r="J45" s="31" t="n">
        <x:v>2019</x:v>
      </x:c>
      <x:c r="K45" s="24" t="str">
        <x:v>KLYDC487DKC824911</x:v>
      </x:c>
      <x:c r="L45" s="24" t="str">
        <x:v>김포</x:v>
      </x:c>
      <x:c r="M45" s="30" t="n">
        <x:v>43669</x:v>
      </x:c>
      <x:c r="N45" s="31"/>
      <x:c r="O45" s="30" t="n">
        <x:v>45278</x:v>
      </x:c>
      <x:c r="P45" s="32"/>
      <x:c r="Q45" s="32" t="n">
        <x:v>8000000</x:v>
      </x:c>
      <x:c r="R45" s="32" t="n">
        <x:v>8000000</x:v>
      </x:c>
      <x:c r="S45" s="24" t="str">
        <x:v>중고</x:v>
      </x:c>
      <x:c r="T45" s="32"/>
      <x:c r="U45" s="32" t="n">
        <x:v>8970500</x:v>
      </x:c>
      <x:c r="V45" s="24" t="str">
        <x:v>할부</x:v>
      </x:c>
      <x:c r="W45" s="24" t="str">
        <x:v>IBK저축은행</x:v>
      </x:c>
      <x:c r="X45" s="32" t="n">
        <x:v>8500002</x:v>
      </x:c>
      <x:c r="Y45" s="33" t="n">
        <x:v>0.17</x:v>
      </x:c>
      <x:c r="Z45" s="31" t="n">
        <x:v>24</x:v>
      </x:c>
      <x:c r="AA45" s="24" t="str">
        <x:v>10일</x:v>
      </x:c>
      <x:c r="AB45" s="30" t="n">
        <x:v>45270</x:v>
      </x:c>
      <x:c r="AC45" s="30" t="n">
        <x:v>45971</x:v>
      </x:c>
      <x:c r="AD45" s="32"/>
      <x:c r="AE45" s="32" t="n">
        <x:v>16830151</x:v>
      </x:c>
      <x:c r="AF45" s="24" t="str"/>
      <x:c r="AG45" s="24" t="str"/>
      <x:c r="AH45" s="30"/>
      <x:c r="AI45" s="24" t="str"/>
      <x:c r="AJ45" s="24" t="str"/>
      <x:c r="AK45" s="32"/>
      <x:c r="AL45" s="32"/>
      <x:c r="AM45" s="24" t="str"/>
      <x:c r="AN45" s="31" t="n">
        <x:v>46</x:v>
      </x:c>
    </x:row>
    <x:row r="46" ht="17.25" customHeight="1">
      <x:c r="A46" s="24" t="str">
        <x:v>스위치플랜</x:v>
      </x:c>
      <x:c r="B46" s="24" t="str">
        <x:v>32어3092</x:v>
      </x:c>
      <x:c r="C46" s="24" t="str">
        <x:v>보유</x:v>
      </x:c>
      <x:c r="D46" s="24" t="str">
        <x:v>현대</x:v>
      </x:c>
      <x:c r="E46" s="24" t="str">
        <x:v>아이오닉</x:v>
      </x:c>
      <x:c r="F46" s="24" t="str">
        <x:v>아이오닉 일렉트릭</x:v>
      </x:c>
      <x:c r="G46" s="24" t="str">
        <x:v>전기 28kWh</x:v>
      </x:c>
      <x:c r="H46" s="24" t="str">
        <x:v>전기</x:v>
      </x:c>
      <x:c r="I46" s="31" t="n">
        <x:v>78</x:v>
      </x:c>
      <x:c r="J46" s="31" t="n">
        <x:v>2019</x:v>
      </x:c>
      <x:c r="K46" s="24" t="str">
        <x:v>KMHC051HFKU049683</x:v>
      </x:c>
      <x:c r="L46" s="24" t="str">
        <x:v>김포</x:v>
      </x:c>
      <x:c r="M46" s="30" t="n">
        <x:v>43685</x:v>
      </x:c>
      <x:c r="N46" s="31"/>
      <x:c r="O46" s="30" t="n">
        <x:v>45372</x:v>
      </x:c>
      <x:c r="P46" s="32" t="n">
        <x:v>48517825</x:v>
      </x:c>
      <x:c r="Q46" s="32" t="n">
        <x:v>17800000</x:v>
      </x:c>
      <x:c r="R46" s="32" t="n">
        <x:v>18283670</x:v>
      </x:c>
      <x:c r="S46" s="24" t="str">
        <x:v>중고</x:v>
      </x:c>
      <x:c r="T46" s="32"/>
      <x:c r="U46" s="32" t="n">
        <x:v>18767340</x:v>
      </x:c>
      <x:c r="V46" s="24" t="str">
        <x:v>할부</x:v>
      </x:c>
      <x:c r="W46" s="24" t="str">
        <x:v>한국금융자산대부㈜</x:v>
      </x:c>
      <x:c r="X46" s="32" t="n">
        <x:v>19050004</x:v>
      </x:c>
      <x:c r="Y46" s="33" t="n">
        <x:v>0.17</x:v>
      </x:c>
      <x:c r="Z46" s="31" t="n">
        <x:v>48</x:v>
      </x:c>
      <x:c r="AA46" s="24" t="str">
        <x:v>10일</x:v>
      </x:c>
      <x:c r="AB46" s="30" t="n">
        <x:v>45392</x:v>
      </x:c>
      <x:c r="AC46" s="30" t="n">
        <x:v>46822</x:v>
      </x:c>
      <x:c r="AD46" s="32"/>
      <x:c r="AE46" s="32" t="n">
        <x:v>3483792</x:v>
      </x:c>
      <x:c r="AF46" s="24" t="str"/>
      <x:c r="AG46" s="24" t="str"/>
      <x:c r="AH46" s="30"/>
      <x:c r="AI46" s="24" t="str"/>
      <x:c r="AJ46" s="24" t="str"/>
      <x:c r="AK46" s="32"/>
      <x:c r="AL46" s="32"/>
      <x:c r="AM46" s="24" t="str"/>
      <x:c r="AN46" s="31" t="n">
        <x:v>47</x:v>
      </x:c>
    </x:row>
    <x:row r="47" ht="17.25" customHeight="1">
      <x:c r="A47" s="24" t="str">
        <x:v>스위치플랜</x:v>
      </x:c>
      <x:c r="B47" s="24" t="str">
        <x:v>193우6384</x:v>
      </x:c>
      <x:c r="C47" s="24" t="str">
        <x:v>보유</x:v>
      </x:c>
      <x:c r="D47" s="24" t="str">
        <x:v>기아</x:v>
      </x:c>
      <x:c r="E47" s="24" t="str">
        <x:v>카니발</x:v>
      </x:c>
      <x:c r="F47" s="24" t="str">
        <x:v>더 뉴 카니발 YP</x:v>
      </x:c>
      <x:c r="G47" s="24" t="str">
        <x:v>디젤 2.2</x:v>
      </x:c>
      <x:c r="H47" s="24" t="str">
        <x:v>디젤</x:v>
      </x:c>
      <x:c r="I47" s="31" t="n">
        <x:v>2199</x:v>
      </x:c>
      <x:c r="J47" s="31" t="n">
        <x:v>2019</x:v>
      </x:c>
      <x:c r="K47" s="24" t="str">
        <x:v>KNAMB81ABKS603570</x:v>
      </x:c>
      <x:c r="L47" s="24" t="str">
        <x:v>김포</x:v>
      </x:c>
      <x:c r="M47" s="30" t="n">
        <x:v>43693</x:v>
      </x:c>
      <x:c r="N47" s="31"/>
      <x:c r="O47" s="30" t="n">
        <x:v>45483</x:v>
      </x:c>
      <x:c r="P47" s="32" t="n">
        <x:v>32700000</x:v>
      </x:c>
      <x:c r="Q47" s="32" t="n">
        <x:v>17920000</x:v>
      </x:c>
      <x:c r="R47" s="32" t="n">
        <x:v>20169730</x:v>
      </x:c>
      <x:c r="S47" s="24" t="str">
        <x:v>중고</x:v>
      </x:c>
      <x:c r="T47" s="32"/>
      <x:c r="U47" s="32" t="n">
        <x:v>21433211</x:v>
      </x:c>
      <x:c r="V47" s="24" t="str">
        <x:v>할부</x:v>
      </x:c>
      <x:c r="W47" s="24" t="str">
        <x:v>한국금융자산대부㈜</x:v>
      </x:c>
      <x:c r="X47" s="32" t="n">
        <x:v>19169998</x:v>
      </x:c>
      <x:c r="Y47" s="33" t="n">
        <x:v>0.17</x:v>
      </x:c>
      <x:c r="Z47" s="31" t="n">
        <x:v>48</x:v>
      </x:c>
      <x:c r="AA47" s="24" t="str">
        <x:v>10일</x:v>
      </x:c>
      <x:c r="AB47" s="30" t="n">
        <x:v>45422</x:v>
      </x:c>
      <x:c r="AC47" s="30" t="n">
        <x:v>46853</x:v>
      </x:c>
      <x:c r="AD47" s="32"/>
      <x:c r="AE47" s="32" t="n">
        <x:v>8253343</x:v>
      </x:c>
      <x:c r="AF47" s="24" t="str"/>
      <x:c r="AG47" s="24" t="str"/>
      <x:c r="AH47" s="30"/>
      <x:c r="AI47" s="24" t="str"/>
      <x:c r="AJ47" s="24" t="str"/>
      <x:c r="AK47" s="32"/>
      <x:c r="AL47" s="32"/>
      <x:c r="AM47" s="24" t="str"/>
      <x:c r="AN47" s="31" t="n">
        <x:v>48</x:v>
      </x:c>
    </x:row>
    <x:row r="48" ht="17.25" customHeight="1">
      <x:c r="A48" s="24" t="str">
        <x:v>스위치플랜</x:v>
      </x:c>
      <x:c r="B48" s="24" t="str">
        <x:v>293서9081</x:v>
      </x:c>
      <x:c r="C48" s="24" t="str">
        <x:v>보유</x:v>
      </x:c>
      <x:c r="D48" s="24" t="str">
        <x:v>벤츠</x:v>
      </x:c>
      <x:c r="E48" s="24" t="str">
        <x:v>E-클래스</x:v>
      </x:c>
      <x:c r="F48" s="24" t="str">
        <x:v>E-클래스 W213</x:v>
      </x:c>
      <x:c r="G48" s="24" t="str">
        <x:v>가솔린 2.0 4MATIC</x:v>
      </x:c>
      <x:c r="H48" s="24" t="str">
        <x:v>가솔린</x:v>
      </x:c>
      <x:c r="I48" s="31" t="n">
        <x:v>1991</x:v>
      </x:c>
      <x:c r="J48" s="31" t="n">
        <x:v>2019</x:v>
      </x:c>
      <x:c r="K48" s="24" t="str">
        <x:v>WDDZF8GB6KA621905</x:v>
      </x:c>
      <x:c r="L48" s="24" t="str">
        <x:v>김포</x:v>
      </x:c>
      <x:c r="M48" s="30" t="n">
        <x:v>43740</x:v>
      </x:c>
      <x:c r="N48" s="31"/>
      <x:c r="O48" s="30" t="n">
        <x:v>45327</x:v>
      </x:c>
      <x:c r="P48" s="32"/>
      <x:c r="Q48" s="32" t="n">
        <x:v>37800000</x:v>
      </x:c>
      <x:c r="R48" s="32" t="n">
        <x:v>38591340</x:v>
      </x:c>
      <x:c r="S48" s="24" t="str">
        <x:v>중고</x:v>
      </x:c>
      <x:c r="T48" s="32"/>
      <x:c r="U48" s="32" t="n">
        <x:v>42212680</x:v>
      </x:c>
      <x:c r="V48" s="24" t="str">
        <x:v>할부</x:v>
      </x:c>
      <x:c r="W48" s="24" t="str">
        <x:v>KB캐피탈</x:v>
      </x:c>
      <x:c r="X48" s="32" t="n">
        <x:v>37800000</x:v>
      </x:c>
      <x:c r="Y48" s="33" t="n">
        <x:v>0.08</x:v>
      </x:c>
      <x:c r="Z48" s="31" t="n">
        <x:v>36</x:v>
      </x:c>
      <x:c r="AA48" s="24" t="str">
        <x:v>20일</x:v>
      </x:c>
      <x:c r="AB48" s="30" t="n">
        <x:v>45342</x:v>
      </x:c>
      <x:c r="AC48" s="30" t="n">
        <x:v>46407</x:v>
      </x:c>
      <x:c r="AD48" s="32" t="n">
        <x:v>1175815</x:v>
      </x:c>
      <x:c r="AE48" s="32" t="n">
        <x:v>6903087</x:v>
      </x:c>
      <x:c r="AF48" s="24" t="str"/>
      <x:c r="AG48" s="24" t="str"/>
      <x:c r="AH48" s="30"/>
      <x:c r="AI48" s="24" t="str"/>
      <x:c r="AJ48" s="24" t="str"/>
      <x:c r="AK48" s="32"/>
      <x:c r="AL48" s="32"/>
      <x:c r="AM48" s="24" t="str"/>
      <x:c r="AN48" s="31" t="n">
        <x:v>49</x:v>
      </x:c>
    </x:row>
    <x:row r="49" ht="17.25" customHeight="1">
      <x:c r="A49" s="24" t="str">
        <x:v>스위치플랜</x:v>
      </x:c>
      <x:c r="B49" s="24" t="str">
        <x:v>149조6163</x:v>
      </x:c>
      <x:c r="C49" s="24" t="str">
        <x:v>보유</x:v>
      </x:c>
      <x:c r="D49" s="24" t="str">
        <x:v>BMW</x:v>
      </x:c>
      <x:c r="E49" s="24" t="str">
        <x:v>3시리즈</x:v>
      </x:c>
      <x:c r="F49" s="24" t="str">
        <x:v>3시리즈 G20</x:v>
      </x:c>
      <x:c r="G49" s="24" t="str">
        <x:v>가솔린 2.0 xDrive</x:v>
      </x:c>
      <x:c r="H49" s="24" t="str">
        <x:v>가솔린</x:v>
      </x:c>
      <x:c r="I49" s="31" t="n">
        <x:v>1998</x:v>
      </x:c>
      <x:c r="J49" s="31" t="n">
        <x:v>2019</x:v>
      </x:c>
      <x:c r="K49" s="24" t="str">
        <x:v>WBA5R3102KFH19214</x:v>
      </x:c>
      <x:c r="L49" s="24" t="str">
        <x:v>김포</x:v>
      </x:c>
      <x:c r="M49" s="30" t="n">
        <x:v>43763</x:v>
      </x:c>
      <x:c r="N49" s="31"/>
      <x:c r="O49" s="30" t="n">
        <x:v>45329</x:v>
      </x:c>
      <x:c r="P49" s="32"/>
      <x:c r="Q49" s="32" t="n">
        <x:v>33300000</x:v>
      </x:c>
      <x:c r="R49" s="32" t="n">
        <x:v>33930300</x:v>
      </x:c>
      <x:c r="S49" s="24" t="str">
        <x:v>중고</x:v>
      </x:c>
      <x:c r="T49" s="32"/>
      <x:c r="U49" s="32" t="n">
        <x:v>37050300</x:v>
      </x:c>
      <x:c r="V49" s="24" t="str">
        <x:v>할부</x:v>
      </x:c>
      <x:c r="W49" s="24" t="str">
        <x:v>KB캐피탈</x:v>
      </x:c>
      <x:c r="X49" s="32" t="n">
        <x:v>33300000</x:v>
      </x:c>
      <x:c r="Y49" s="33" t="n">
        <x:v>0.08</x:v>
      </x:c>
      <x:c r="Z49" s="31" t="n">
        <x:v>36</x:v>
      </x:c>
      <x:c r="AA49" s="24" t="str">
        <x:v>20일</x:v>
      </x:c>
      <x:c r="AB49" s="30" t="n">
        <x:v>45342</x:v>
      </x:c>
      <x:c r="AC49" s="30" t="n">
        <x:v>46407</x:v>
      </x:c>
      <x:c r="AD49" s="32" t="n">
        <x:v>1035837</x:v>
      </x:c>
      <x:c r="AE49" s="32" t="n">
        <x:v>6081288</x:v>
      </x:c>
      <x:c r="AF49" s="24" t="str"/>
      <x:c r="AG49" s="24" t="str"/>
      <x:c r="AH49" s="30"/>
      <x:c r="AI49" s="24" t="str"/>
      <x:c r="AJ49" s="24" t="str"/>
      <x:c r="AK49" s="32"/>
      <x:c r="AL49" s="32"/>
      <x:c r="AM49" s="24" t="str"/>
      <x:c r="AN49" s="31" t="n">
        <x:v>50</x:v>
      </x:c>
    </x:row>
    <x:row r="50" ht="17.25" customHeight="1">
      <x:c r="A50" s="24" t="str">
        <x:v>스위치플랜</x:v>
      </x:c>
      <x:c r="B50" s="24" t="str">
        <x:v>193우6308</x:v>
      </x:c>
      <x:c r="C50" s="24" t="str">
        <x:v>보유</x:v>
      </x:c>
      <x:c r="D50" s="24" t="str">
        <x:v>기아</x:v>
      </x:c>
      <x:c r="E50" s="24" t="str">
        <x:v>카니발</x:v>
      </x:c>
      <x:c r="F50" s="24" t="str">
        <x:v>더 뉴 카니발 YP</x:v>
      </x:c>
      <x:c r="G50" s="24" t="str">
        <x:v>디젤 2.2</x:v>
      </x:c>
      <x:c r="H50" s="24" t="str">
        <x:v>디젤</x:v>
      </x:c>
      <x:c r="I50" s="31" t="n">
        <x:v>2199</x:v>
      </x:c>
      <x:c r="J50" s="31" t="n">
        <x:v>2019</x:v>
      </x:c>
      <x:c r="K50" s="24" t="str">
        <x:v>KNAME81ABLS627929</x:v>
      </x:c>
      <x:c r="L50" s="24" t="str">
        <x:v>김포</x:v>
      </x:c>
      <x:c r="M50" s="30" t="n">
        <x:v>43783</x:v>
      </x:c>
      <x:c r="N50" s="31"/>
      <x:c r="O50" s="30" t="n">
        <x:v>45483</x:v>
      </x:c>
      <x:c r="P50" s="32" t="n">
        <x:v>40780000</x:v>
      </x:c>
      <x:c r="Q50" s="32" t="n">
        <x:v>19950000</x:v>
      </x:c>
      <x:c r="R50" s="32" t="n">
        <x:v>19950000</x:v>
      </x:c>
      <x:c r="S50" s="24" t="str">
        <x:v>중고</x:v>
      </x:c>
      <x:c r="T50" s="32"/>
      <x:c r="U50" s="32" t="n">
        <x:v>21342661</x:v>
      </x:c>
      <x:c r="V50" s="24" t="str">
        <x:v>할부</x:v>
      </x:c>
      <x:c r="W50" s="24" t="str">
        <x:v>한국금융자산대부㈜</x:v>
      </x:c>
      <x:c r="X50" s="32" t="n">
        <x:v>21350001</x:v>
      </x:c>
      <x:c r="Y50" s="33" t="n">
        <x:v>0.17</x:v>
      </x:c>
      <x:c r="Z50" s="31" t="n">
        <x:v>48</x:v>
      </x:c>
      <x:c r="AA50" s="24" t="str">
        <x:v>10일</x:v>
      </x:c>
      <x:c r="AB50" s="30" t="n">
        <x:v>45422</x:v>
      </x:c>
      <x:c r="AC50" s="30" t="n">
        <x:v>46853</x:v>
      </x:c>
      <x:c r="AD50" s="32"/>
      <x:c r="AE50" s="32" t="n">
        <x:v>10850170</x:v>
      </x:c>
      <x:c r="AF50" s="24" t="str"/>
      <x:c r="AG50" s="24" t="str"/>
      <x:c r="AH50" s="30"/>
      <x:c r="AI50" s="24" t="str"/>
      <x:c r="AJ50" s="24" t="str"/>
      <x:c r="AK50" s="32"/>
      <x:c r="AL50" s="32"/>
      <x:c r="AM50" s="24" t="str"/>
      <x:c r="AN50" s="31" t="n">
        <x:v>51</x:v>
      </x:c>
    </x:row>
    <x:row r="51" ht="17.25" customHeight="1">
      <x:c r="A51" s="24" t="str">
        <x:v>스위치플랜</x:v>
      </x:c>
      <x:c r="B51" s="24" t="str">
        <x:v>314구7889</x:v>
      </x:c>
      <x:c r="C51" s="24" t="str">
        <x:v>보유</x:v>
      </x:c>
      <x:c r="D51" s="24" t="str">
        <x:v>제네시스</x:v>
      </x:c>
      <x:c r="E51" s="24" t="str">
        <x:v>G70</x:v>
      </x:c>
      <x:c r="F51" s="24" t="str">
        <x:v>더 뉴 G70 IK</x:v>
      </x:c>
      <x:c r="G51" s="24" t="str">
        <x:v>가솔린 3.3 4WD</x:v>
      </x:c>
      <x:c r="H51" s="24" t="str">
        <x:v>가솔린</x:v>
      </x:c>
      <x:c r="I51" s="31" t="n">
        <x:v>3342</x:v>
      </x:c>
      <x:c r="J51" s="31" t="n">
        <x:v>2020</x:v>
      </x:c>
      <x:c r="K51" s="24" t="str">
        <x:v>KMTG541EDLU059769</x:v>
      </x:c>
      <x:c r="L51" s="24" t="str">
        <x:v>김포</x:v>
      </x:c>
      <x:c r="M51" s="30" t="n">
        <x:v>43784</x:v>
      </x:c>
      <x:c r="N51" s="31"/>
      <x:c r="O51" s="30" t="n">
        <x:v>45286</x:v>
      </x:c>
      <x:c r="P51" s="32" t="n">
        <x:v>56990000</x:v>
      </x:c>
      <x:c r="Q51" s="32" t="n">
        <x:v>29600000</x:v>
      </x:c>
      <x:c r="R51" s="32" t="n">
        <x:v>29600000</x:v>
      </x:c>
      <x:c r="S51" s="24" t="str">
        <x:v>중고</x:v>
      </x:c>
      <x:c r="T51" s="32"/>
      <x:c r="U51" s="32" t="n">
        <x:v>32261580</x:v>
      </x:c>
      <x:c r="V51" s="24" t="str">
        <x:v>할부</x:v>
      </x:c>
      <x:c r="W51" s="24" t="str">
        <x:v>KB캐피탈</x:v>
      </x:c>
      <x:c r="X51" s="32" t="n">
        <x:v>27100000</x:v>
      </x:c>
      <x:c r="Y51" s="33" t="n">
        <x:v>0.08</x:v>
      </x:c>
      <x:c r="Z51" s="31" t="n">
        <x:v>36</x:v>
      </x:c>
      <x:c r="AA51" s="24" t="str">
        <x:v>20일</x:v>
      </x:c>
      <x:c r="AB51" s="30" t="n">
        <x:v>45311</x:v>
      </x:c>
      <x:c r="AC51" s="30" t="n">
        <x:v>46376</x:v>
      </x:c>
      <x:c r="AD51" s="32" t="n">
        <x:v>842978</x:v>
      </x:c>
      <x:c r="AE51" s="32" t="n">
        <x:v>4137002</x:v>
      </x:c>
      <x:c r="AF51" s="24" t="str"/>
      <x:c r="AG51" s="24" t="str"/>
      <x:c r="AH51" s="30"/>
      <x:c r="AI51" s="24" t="str"/>
      <x:c r="AJ51" s="24" t="str"/>
      <x:c r="AK51" s="32"/>
      <x:c r="AL51" s="32"/>
      <x:c r="AM51" s="24" t="str"/>
      <x:c r="AN51" s="31" t="n">
        <x:v>52</x:v>
      </x:c>
    </x:row>
    <x:row r="52" ht="17.25" customHeight="1">
      <x:c r="A52" s="24" t="str">
        <x:v>스위치플랜</x:v>
      </x:c>
      <x:c r="B52" s="24" t="str">
        <x:v>383마3206</x:v>
      </x:c>
      <x:c r="C52" s="24" t="str">
        <x:v>보유</x:v>
      </x:c>
      <x:c r="D52" s="24" t="str">
        <x:v>기아</x:v>
      </x:c>
      <x:c r="E52" s="24" t="str">
        <x:v>스포티지</x:v>
      </x:c>
      <x:c r="F52" s="24" t="str">
        <x:v>스포티지 더 볼드 QL</x:v>
      </x:c>
      <x:c r="G52" s="24" t="str">
        <x:v>디젤 2.0</x:v>
      </x:c>
      <x:c r="H52" s="24" t="str">
        <x:v>디젤</x:v>
      </x:c>
      <x:c r="I52" s="31" t="n">
        <x:v>1995</x:v>
      </x:c>
      <x:c r="J52" s="31" t="n">
        <x:v>2019</x:v>
      </x:c>
      <x:c r="K52" s="24" t="str">
        <x:v>KNAPR813BKK744831</x:v>
      </x:c>
      <x:c r="L52" s="24" t="str">
        <x:v>김포</x:v>
      </x:c>
      <x:c r="M52" s="30" t="n">
        <x:v>43804</x:v>
      </x:c>
      <x:c r="N52" s="31"/>
      <x:c r="O52" s="30" t="n">
        <x:v>45330</x:v>
      </x:c>
      <x:c r="P52" s="32" t="n">
        <x:v>33800000</x:v>
      </x:c>
      <x:c r="Q52" s="32" t="n">
        <x:v>17900000</x:v>
      </x:c>
      <x:c r="R52" s="32" t="n">
        <x:v>18285000</x:v>
      </x:c>
      <x:c r="S52" s="24" t="str">
        <x:v>중고</x:v>
      </x:c>
      <x:c r="T52" s="32"/>
      <x:c r="U52" s="32" t="n">
        <x:v>19970000</x:v>
      </x:c>
      <x:c r="V52" s="24" t="str">
        <x:v>할부</x:v>
      </x:c>
      <x:c r="W52" s="24" t="str">
        <x:v>KB캐피탈</x:v>
      </x:c>
      <x:c r="X52" s="32" t="n">
        <x:v>16000000</x:v>
      </x:c>
      <x:c r="Y52" s="33" t="n">
        <x:v>0.08</x:v>
      </x:c>
      <x:c r="Z52" s="31" t="n">
        <x:v>36</x:v>
      </x:c>
      <x:c r="AA52" s="24" t="str">
        <x:v>20일</x:v>
      </x:c>
      <x:c r="AB52" s="30" t="n">
        <x:v>45371</x:v>
      </x:c>
      <x:c r="AC52" s="30" t="n">
        <x:v>46438</x:v>
      </x:c>
      <x:c r="AD52" s="32" t="n">
        <x:v>497699</x:v>
      </x:c>
      <x:c r="AE52" s="32" t="n">
        <x:v>3398406</x:v>
      </x:c>
      <x:c r="AF52" s="24" t="str"/>
      <x:c r="AG52" s="24" t="str"/>
      <x:c r="AH52" s="30"/>
      <x:c r="AI52" s="24" t="str"/>
      <x:c r="AJ52" s="24" t="str"/>
      <x:c r="AK52" s="32"/>
      <x:c r="AL52" s="32"/>
      <x:c r="AM52" s="24" t="str"/>
      <x:c r="AN52" s="31" t="n">
        <x:v>53</x:v>
      </x:c>
    </x:row>
    <x:row r="53" ht="17.25" customHeight="1">
      <x:c r="A53" s="24" t="str">
        <x:v>스위치플랜</x:v>
      </x:c>
      <x:c r="B53" s="24" t="str">
        <x:v>193우6312</x:v>
      </x:c>
      <x:c r="C53" s="24" t="str">
        <x:v>보유</x:v>
      </x:c>
      <x:c r="D53" s="24" t="str">
        <x:v>현대</x:v>
      </x:c>
      <x:c r="E53" s="24" t="str">
        <x:v>아반떼</x:v>
      </x:c>
      <x:c r="F53" s="24" t="str">
        <x:v>더 뉴 아반떼 AD</x:v>
      </x:c>
      <x:c r="G53" s="24" t="str">
        <x:v>가솔린 1.6</x:v>
      </x:c>
      <x:c r="H53" s="24" t="str">
        <x:v>가솔린</x:v>
      </x:c>
      <x:c r="I53" s="31" t="n">
        <x:v>1598</x:v>
      </x:c>
      <x:c r="J53" s="31" t="n">
        <x:v>2020</x:v>
      </x:c>
      <x:c r="K53" s="24" t="str">
        <x:v>KMHD741EELU037934</x:v>
      </x:c>
      <x:c r="L53" s="24" t="str">
        <x:v>김포</x:v>
      </x:c>
      <x:c r="M53" s="30" t="n">
        <x:v>43804</x:v>
      </x:c>
      <x:c r="N53" s="31"/>
      <x:c r="O53" s="30" t="n">
        <x:v>45394</x:v>
      </x:c>
      <x:c r="P53" s="32" t="n">
        <x:v>18030000</x:v>
      </x:c>
      <x:c r="Q53" s="32" t="n">
        <x:v>10180000</x:v>
      </x:c>
      <x:c r="R53" s="32" t="n">
        <x:v>10180000</x:v>
      </x:c>
      <x:c r="S53" s="24" t="str">
        <x:v>중고</x:v>
      </x:c>
      <x:c r="T53" s="32"/>
      <x:c r="U53" s="32" t="n">
        <x:v>10930480</x:v>
      </x:c>
      <x:c r="V53" s="24" t="str">
        <x:v>할부</x:v>
      </x:c>
      <x:c r="W53" s="24" t="str">
        <x:v>한국금융자산대부㈜</x:v>
      </x:c>
      <x:c r="X53" s="32" t="n">
        <x:v>10890000</x:v>
      </x:c>
      <x:c r="Y53" s="33" t="n">
        <x:v>0.17</x:v>
      </x:c>
      <x:c r="Z53" s="31" t="n">
        <x:v>48</x:v>
      </x:c>
      <x:c r="AA53" s="24" t="str">
        <x:v>10일</x:v>
      </x:c>
      <x:c r="AB53" s="30" t="n">
        <x:v>45422</x:v>
      </x:c>
      <x:c r="AC53" s="30" t="n">
        <x:v>46853</x:v>
      </x:c>
      <x:c r="AD53" s="32"/>
      <x:c r="AE53" s="32" t="n">
        <x:v>5447744</x:v>
      </x:c>
      <x:c r="AF53" s="24" t="str"/>
      <x:c r="AG53" s="24" t="str"/>
      <x:c r="AH53" s="30"/>
      <x:c r="AI53" s="24" t="str"/>
      <x:c r="AJ53" s="24" t="str"/>
      <x:c r="AK53" s="32"/>
      <x:c r="AL53" s="32"/>
      <x:c r="AM53" s="24" t="str"/>
      <x:c r="AN53" s="31" t="n">
        <x:v>54</x:v>
      </x:c>
    </x:row>
    <x:row r="54" ht="17.25" customHeight="1">
      <x:c r="A54" s="24" t="str">
        <x:v>스위치플랜</x:v>
      </x:c>
      <x:c r="B54" s="24" t="str">
        <x:v>193우6391</x:v>
      </x:c>
      <x:c r="C54" s="24" t="str">
        <x:v>보유</x:v>
      </x:c>
      <x:c r="D54" s="24" t="str">
        <x:v>기아</x:v>
      </x:c>
      <x:c r="E54" s="24" t="str">
        <x:v>카니발</x:v>
      </x:c>
      <x:c r="F54" s="24" t="str">
        <x:v>더 뉴 카니발 YP</x:v>
      </x:c>
      <x:c r="G54" s="24" t="str">
        <x:v>디젤 2.2</x:v>
      </x:c>
      <x:c r="H54" s="24" t="str">
        <x:v>디젤</x:v>
      </x:c>
      <x:c r="I54" s="31" t="n">
        <x:v>2199</x:v>
      </x:c>
      <x:c r="J54" s="31" t="n">
        <x:v>2020</x:v>
      </x:c>
      <x:c r="K54" s="24" t="str">
        <x:v>KNAME81ABLS638672</x:v>
      </x:c>
      <x:c r="L54" s="24" t="str">
        <x:v>김포</x:v>
      </x:c>
      <x:c r="M54" s="30" t="n">
        <x:v>43822</x:v>
      </x:c>
      <x:c r="N54" s="31"/>
      <x:c r="O54" s="30" t="n">
        <x:v>45386</x:v>
      </x:c>
      <x:c r="P54" s="32" t="n">
        <x:v>44150000</x:v>
      </x:c>
      <x:c r="Q54" s="32" t="n">
        <x:v>21680000</x:v>
      </x:c>
      <x:c r="R54" s="32" t="n">
        <x:v>21680000</x:v>
      </x:c>
      <x:c r="S54" s="24" t="str">
        <x:v>중고</x:v>
      </x:c>
      <x:c r="T54" s="32"/>
      <x:c r="U54" s="32" t="n">
        <x:v>23545810</x:v>
      </x:c>
      <x:c r="V54" s="24" t="str">
        <x:v>할부</x:v>
      </x:c>
      <x:c r="W54" s="24" t="str">
        <x:v>한국금융자산대부㈜</x:v>
      </x:c>
      <x:c r="X54" s="32" t="n">
        <x:v>23200001</x:v>
      </x:c>
      <x:c r="Y54" s="33" t="n">
        <x:v>0.17</x:v>
      </x:c>
      <x:c r="Z54" s="31" t="n">
        <x:v>48</x:v>
      </x:c>
      <x:c r="AA54" s="24" t="str">
        <x:v>10일</x:v>
      </x:c>
      <x:c r="AB54" s="30" t="n">
        <x:v>45392</x:v>
      </x:c>
      <x:c r="AC54" s="30" t="n">
        <x:v>46822</x:v>
      </x:c>
      <x:c r="AD54" s="32"/>
      <x:c r="AE54" s="32" t="n">
        <x:v>2940108</x:v>
      </x:c>
      <x:c r="AF54" s="24" t="str"/>
      <x:c r="AG54" s="24" t="str"/>
      <x:c r="AH54" s="30"/>
      <x:c r="AI54" s="24" t="str"/>
      <x:c r="AJ54" s="24" t="str"/>
      <x:c r="AK54" s="32"/>
      <x:c r="AL54" s="32"/>
      <x:c r="AM54" s="24" t="str"/>
      <x:c r="AN54" s="31" t="n">
        <x:v>55</x:v>
      </x:c>
    </x:row>
    <x:row r="55" ht="17.25" customHeight="1">
      <x:c r="A55" s="24" t="str">
        <x:v>스위치플랜</x:v>
      </x:c>
      <x:c r="B55" s="24" t="str">
        <x:v>193우6343</x:v>
      </x:c>
      <x:c r="C55" s="24" t="str">
        <x:v>보유</x:v>
      </x:c>
      <x:c r="D55" s="24" t="str">
        <x:v>기아</x:v>
      </x:c>
      <x:c r="E55" s="24" t="str">
        <x:v>K3</x:v>
      </x:c>
      <x:c r="F55" s="24" t="str">
        <x:v>올 뉴 K3 BD</x:v>
      </x:c>
      <x:c r="G55" s="24" t="str">
        <x:v>가솔린 1.6</x:v>
      </x:c>
      <x:c r="H55" s="24" t="str">
        <x:v>가솔린</x:v>
      </x:c>
      <x:c r="I55" s="31" t="n">
        <x:v>1591</x:v>
      </x:c>
      <x:c r="J55" s="31" t="n">
        <x:v>2020</x:v>
      </x:c>
      <x:c r="K55" s="24" t="str">
        <x:v>KNAF4517GLA064300</x:v>
      </x:c>
      <x:c r="L55" s="24" t="str">
        <x:v>김포</x:v>
      </x:c>
      <x:c r="M55" s="30" t="n">
        <x:v>43822</x:v>
      </x:c>
      <x:c r="N55" s="31"/>
      <x:c r="O55" s="30" t="n">
        <x:v>45378</x:v>
      </x:c>
      <x:c r="P55" s="32" t="n">
        <x:v>26523194</x:v>
      </x:c>
      <x:c r="Q55" s="32" t="n">
        <x:v>14150000</x:v>
      </x:c>
      <x:c r="R55" s="32" t="n">
        <x:v>14150000</x:v>
      </x:c>
      <x:c r="S55" s="24" t="str">
        <x:v>중고</x:v>
      </x:c>
      <x:c r="T55" s="32"/>
      <x:c r="U55" s="32" t="n">
        <x:v>15581350</x:v>
      </x:c>
      <x:c r="V55" s="24" t="str">
        <x:v>할부</x:v>
      </x:c>
      <x:c r="W55" s="24" t="str">
        <x:v>한국금융자산대부㈜</x:v>
      </x:c>
      <x:c r="X55" s="32" t="n">
        <x:v>15140000</x:v>
      </x:c>
      <x:c r="Y55" s="33" t="n">
        <x:v>0.17</x:v>
      </x:c>
      <x:c r="Z55" s="31" t="n">
        <x:v>48</x:v>
      </x:c>
      <x:c r="AA55" s="24" t="str">
        <x:v>10일</x:v>
      </x:c>
      <x:c r="AB55" s="30" t="n">
        <x:v>45392</x:v>
      </x:c>
      <x:c r="AC55" s="30" t="n">
        <x:v>46822</x:v>
      </x:c>
      <x:c r="AD55" s="32"/>
      <x:c r="AE55" s="32" t="n">
        <x:v>5468389</x:v>
      </x:c>
      <x:c r="AF55" s="24" t="str"/>
      <x:c r="AG55" s="24" t="str"/>
      <x:c r="AH55" s="30"/>
      <x:c r="AI55" s="24" t="str"/>
      <x:c r="AJ55" s="24" t="str"/>
      <x:c r="AK55" s="32"/>
      <x:c r="AL55" s="32"/>
      <x:c r="AM55" s="24" t="str"/>
      <x:c r="AN55" s="31" t="n">
        <x:v>56</x:v>
      </x:c>
    </x:row>
    <x:row r="56" ht="17.25" customHeight="1">
      <x:c r="A56" s="24" t="str">
        <x:v>스위치플랜</x:v>
      </x:c>
      <x:c r="B56" s="24" t="str">
        <x:v>245고2473</x:v>
      </x:c>
      <x:c r="C56" s="24" t="str">
        <x:v>보유</x:v>
      </x:c>
      <x:c r="D56" s="24" t="str">
        <x:v>기아</x:v>
      </x:c>
      <x:c r="E56" s="24" t="str">
        <x:v>K3</x:v>
      </x:c>
      <x:c r="F56" s="24" t="str">
        <x:v>올 뉴 K3 BD</x:v>
      </x:c>
      <x:c r="G56" s="24" t="str">
        <x:v>가솔린 1.6</x:v>
      </x:c>
      <x:c r="H56" s="24" t="str">
        <x:v>가솔린</x:v>
      </x:c>
      <x:c r="I56" s="31" t="n">
        <x:v>1598</x:v>
      </x:c>
      <x:c r="J56" s="31" t="n">
        <x:v>2020</x:v>
      </x:c>
      <x:c r="K56" s="24" t="str">
        <x:v>KNAF241BELA887632</x:v>
      </x:c>
      <x:c r="L56" s="24" t="str">
        <x:v>김포</x:v>
      </x:c>
      <x:c r="M56" s="30" t="n">
        <x:v>43825</x:v>
      </x:c>
      <x:c r="N56" s="31"/>
      <x:c r="O56" s="30" t="n">
        <x:v>45274</x:v>
      </x:c>
      <x:c r="P56" s="32" t="n">
        <x:v>20334769</x:v>
      </x:c>
      <x:c r="Q56" s="32" t="n">
        <x:v>15000000</x:v>
      </x:c>
      <x:c r="R56" s="32" t="n">
        <x:v>15000000</x:v>
      </x:c>
      <x:c r="S56" s="24" t="str">
        <x:v>중고</x:v>
      </x:c>
      <x:c r="T56" s="32"/>
      <x:c r="U56" s="32" t="n">
        <x:v>16125900</x:v>
      </x:c>
      <x:c r="V56" s="24" t="str">
        <x:v>할부</x:v>
      </x:c>
      <x:c r="W56" s="24" t="str">
        <x:v>한국금융자산대부㈜</x:v>
      </x:c>
      <x:c r="X56" s="32" t="n">
        <x:v>16049998</x:v>
      </x:c>
      <x:c r="Y56" s="33" t="n">
        <x:v>0.17</x:v>
      </x:c>
      <x:c r="Z56" s="31" t="n">
        <x:v>48</x:v>
      </x:c>
      <x:c r="AA56" s="24" t="str">
        <x:v>10일</x:v>
      </x:c>
      <x:c r="AB56" s="30" t="n">
        <x:v>45301</x:v>
      </x:c>
      <x:c r="AC56" s="30" t="n">
        <x:v>46731</x:v>
      </x:c>
      <x:c r="AD56" s="32"/>
      <x:c r="AE56" s="32" t="n">
        <x:v>473551</x:v>
      </x:c>
      <x:c r="AF56" s="24" t="str"/>
      <x:c r="AG56" s="24" t="str"/>
      <x:c r="AH56" s="30"/>
      <x:c r="AI56" s="24" t="str"/>
      <x:c r="AJ56" s="24" t="str"/>
      <x:c r="AK56" s="32"/>
      <x:c r="AL56" s="32"/>
      <x:c r="AM56" s="24" t="str"/>
      <x:c r="AN56" s="31" t="n">
        <x:v>57</x:v>
      </x:c>
    </x:row>
    <x:row r="57" ht="17.25" customHeight="1">
      <x:c r="A57" s="24" t="str">
        <x:v>스위치플랜</x:v>
      </x:c>
      <x:c r="B57" s="24" t="str">
        <x:v>193우6396</x:v>
      </x:c>
      <x:c r="C57" s="24" t="str">
        <x:v>보유</x:v>
      </x:c>
      <x:c r="D57" s="24" t="str">
        <x:v>기아</x:v>
      </x:c>
      <x:c r="E57" s="24" t="str">
        <x:v>카니발</x:v>
      </x:c>
      <x:c r="F57" s="24" t="str">
        <x:v>더 뉴 카니발 YP</x:v>
      </x:c>
      <x:c r="G57" s="24" t="str">
        <x:v>디젤 2.2</x:v>
      </x:c>
      <x:c r="H57" s="24" t="str">
        <x:v>디젤</x:v>
      </x:c>
      <x:c r="I57" s="31" t="n">
        <x:v>2199</x:v>
      </x:c>
      <x:c r="J57" s="31" t="n">
        <x:v>2019</x:v>
      </x:c>
      <x:c r="K57" s="24" t="str">
        <x:v>KNAMC81ABLS634177</x:v>
      </x:c>
      <x:c r="L57" s="24" t="str">
        <x:v>김포</x:v>
      </x:c>
      <x:c r="M57" s="30" t="n">
        <x:v>43825</x:v>
      </x:c>
      <x:c r="N57" s="31"/>
      <x:c r="O57" s="30" t="n">
        <x:v>45471</x:v>
      </x:c>
      <x:c r="P57" s="32" t="n">
        <x:v>38130000</x:v>
      </x:c>
      <x:c r="Q57" s="32" t="n">
        <x:v>19670000</x:v>
      </x:c>
      <x:c r="R57" s="32" t="n">
        <x:v>19670000</x:v>
      </x:c>
      <x:c r="S57" s="24" t="str">
        <x:v>중고</x:v>
      </x:c>
      <x:c r="T57" s="32"/>
      <x:c r="U57" s="32" t="n">
        <x:v>21111681</x:v>
      </x:c>
      <x:c r="V57" s="24" t="str">
        <x:v>할부</x:v>
      </x:c>
      <x:c r="W57" s="24" t="str">
        <x:v>한국금융자산대부㈜</x:v>
      </x:c>
      <x:c r="X57" s="32" t="n">
        <x:v>21550000</x:v>
      </x:c>
      <x:c r="Y57" s="33" t="n">
        <x:v>0.17</x:v>
      </x:c>
      <x:c r="Z57" s="31" t="n">
        <x:v>48</x:v>
      </x:c>
      <x:c r="AA57" s="24" t="str">
        <x:v>10일</x:v>
      </x:c>
      <x:c r="AB57" s="30" t="n">
        <x:v>45483</x:v>
      </x:c>
      <x:c r="AC57" s="30" t="n">
        <x:v>46914</x:v>
      </x:c>
      <x:c r="AD57" s="32"/>
      <x:c r="AE57" s="32" t="n">
        <x:v>15113288</x:v>
      </x:c>
      <x:c r="AF57" s="24" t="str"/>
      <x:c r="AG57" s="24" t="str"/>
      <x:c r="AH57" s="30"/>
      <x:c r="AI57" s="24" t="str"/>
      <x:c r="AJ57" s="24" t="str"/>
      <x:c r="AK57" s="32"/>
      <x:c r="AL57" s="32"/>
      <x:c r="AM57" s="24" t="str"/>
      <x:c r="AN57" s="31" t="n">
        <x:v>58</x:v>
      </x:c>
    </x:row>
    <x:row r="58" ht="17.25" customHeight="1">
      <x:c r="A58" s="24" t="str">
        <x:v>스위치플랜</x:v>
      </x:c>
      <x:c r="B58" s="24" t="str">
        <x:v>204나2940</x:v>
      </x:c>
      <x:c r="C58" s="24" t="str">
        <x:v>보유</x:v>
      </x:c>
      <x:c r="D58" s="24" t="str">
        <x:v>기아</x:v>
      </x:c>
      <x:c r="E58" s="24" t="str">
        <x:v>카니발</x:v>
      </x:c>
      <x:c r="F58" s="24" t="str">
        <x:v>더 뉴 카니발 YP</x:v>
      </x:c>
      <x:c r="G58" s="24" t="str">
        <x:v>디젤 2.2</x:v>
      </x:c>
      <x:c r="H58" s="24" t="str">
        <x:v>디젤</x:v>
      </x:c>
      <x:c r="I58" s="31" t="n">
        <x:v>2199</x:v>
      </x:c>
      <x:c r="J58" s="31" t="n">
        <x:v>2019</x:v>
      </x:c>
      <x:c r="K58" s="24" t="str">
        <x:v>KNAMC81ABLS639394</x:v>
      </x:c>
      <x:c r="L58" s="24" t="str">
        <x:v>김포</x:v>
      </x:c>
      <x:c r="M58" s="30" t="n">
        <x:v>43826</x:v>
      </x:c>
      <x:c r="N58" s="31"/>
      <x:c r="O58" s="30" t="n">
        <x:v>45468</x:v>
      </x:c>
      <x:c r="P58" s="32" t="n">
        <x:v>38050000</x:v>
      </x:c>
      <x:c r="Q58" s="32" t="n">
        <x:v>22060000</x:v>
      </x:c>
      <x:c r="R58" s="32" t="n">
        <x:v>22060000</x:v>
      </x:c>
      <x:c r="S58" s="24" t="str">
        <x:v>중고</x:v>
      </x:c>
      <x:c r="T58" s="32"/>
      <x:c r="U58" s="32" t="n">
        <x:v>23628750</x:v>
      </x:c>
      <x:c r="V58" s="24" t="str">
        <x:v>할부</x:v>
      </x:c>
      <x:c r="W58" s="24" t="str">
        <x:v>한국금융자산대부㈜</x:v>
      </x:c>
      <x:c r="X58" s="32" t="n">
        <x:v>24100002</x:v>
      </x:c>
      <x:c r="Y58" s="33" t="n">
        <x:v>0.17</x:v>
      </x:c>
      <x:c r="Z58" s="31" t="n">
        <x:v>48</x:v>
      </x:c>
      <x:c r="AA58" s="24" t="str">
        <x:v>10일</x:v>
      </x:c>
      <x:c r="AB58" s="30" t="n">
        <x:v>45483</x:v>
      </x:c>
      <x:c r="AC58" s="30" t="n">
        <x:v>46914</x:v>
      </x:c>
      <x:c r="AD58" s="32"/>
      <x:c r="AE58" s="32" t="n">
        <x:v>19842926</x:v>
      </x:c>
      <x:c r="AF58" s="24" t="str"/>
      <x:c r="AG58" s="24" t="str"/>
      <x:c r="AH58" s="30"/>
      <x:c r="AI58" s="24" t="str"/>
      <x:c r="AJ58" s="24" t="str"/>
      <x:c r="AK58" s="32"/>
      <x:c r="AL58" s="32"/>
      <x:c r="AM58" s="24" t="str"/>
      <x:c r="AN58" s="31" t="n">
        <x:v>59</x:v>
      </x:c>
    </x:row>
    <x:row r="59" ht="17.25" customHeight="1">
      <x:c r="A59" s="24" t="str">
        <x:v>스위치플랜</x:v>
      </x:c>
      <x:c r="B59" s="24" t="str">
        <x:v>204거7383</x:v>
      </x:c>
      <x:c r="C59" s="24" t="str">
        <x:v>보유</x:v>
      </x:c>
      <x:c r="D59" s="24" t="str">
        <x:v>현대</x:v>
      </x:c>
      <x:c r="E59" s="24" t="str">
        <x:v>그랜저</x:v>
      </x:c>
      <x:c r="F59" s="24" t="str">
        <x:v>더 뉴 그랜저 IG</x:v>
      </x:c>
      <x:c r="G59" s="24" t="str">
        <x:v>하이브리드 2.4</x:v>
      </x:c>
      <x:c r="H59" s="24" t="str">
        <x:v>HEV</x:v>
      </x:c>
      <x:c r="I59" s="31" t="n">
        <x:v>2359</x:v>
      </x:c>
      <x:c r="J59" s="31" t="n">
        <x:v>2020</x:v>
      </x:c>
      <x:c r="K59" s="24" t="str">
        <x:v>KMHF3413BLA073087</x:v>
      </x:c>
      <x:c r="L59" s="24" t="str">
        <x:v>김포</x:v>
      </x:c>
      <x:c r="M59" s="30" t="n">
        <x:v>43829</x:v>
      </x:c>
      <x:c r="N59" s="31"/>
      <x:c r="O59" s="30" t="n">
        <x:v>45377</x:v>
      </x:c>
      <x:c r="P59" s="32" t="n">
        <x:v>49070000</x:v>
      </x:c>
      <x:c r="Q59" s="32" t="n">
        <x:v>33000000</x:v>
      </x:c>
      <x:c r="R59" s="32" t="n">
        <x:v>33528330</x:v>
      </x:c>
      <x:c r="S59" s="24" t="str">
        <x:v>중고</x:v>
      </x:c>
      <x:c r="T59" s="32"/>
      <x:c r="U59" s="32" t="n">
        <x:v>35956730</x:v>
      </x:c>
      <x:c r="V59" s="24" t="str">
        <x:v>할부</x:v>
      </x:c>
      <x:c r="W59" s="24" t="str">
        <x:v>한국금융자산대부㈜</x:v>
      </x:c>
      <x:c r="X59" s="32" t="n">
        <x:v>35309999</x:v>
      </x:c>
      <x:c r="Y59" s="33" t="n">
        <x:v>0.17</x:v>
      </x:c>
      <x:c r="Z59" s="31" t="n">
        <x:v>48</x:v>
      </x:c>
      <x:c r="AA59" s="24" t="str">
        <x:v>10일</x:v>
      </x:c>
      <x:c r="AB59" s="30" t="n">
        <x:v>45392</x:v>
      </x:c>
      <x:c r="AC59" s="30" t="n">
        <x:v>46822</x:v>
      </x:c>
      <x:c r="AD59" s="32"/>
      <x:c r="AE59" s="32" t="n">
        <x:v>24471984</x:v>
      </x:c>
      <x:c r="AF59" s="24" t="str"/>
      <x:c r="AG59" s="24" t="str"/>
      <x:c r="AH59" s="30"/>
      <x:c r="AI59" s="24" t="str"/>
      <x:c r="AJ59" s="24" t="str"/>
      <x:c r="AK59" s="32"/>
      <x:c r="AL59" s="32"/>
      <x:c r="AM59" s="24" t="str"/>
      <x:c r="AN59" s="31" t="n">
        <x:v>60</x:v>
      </x:c>
    </x:row>
    <x:row r="60" ht="17.25" customHeight="1">
      <x:c r="A60" s="24" t="str">
        <x:v>스위치플랜</x:v>
      </x:c>
      <x:c r="B60" s="24" t="str">
        <x:v>15가4481</x:v>
      </x:c>
      <x:c r="C60" s="24" t="str">
        <x:v>보유</x:v>
      </x:c>
      <x:c r="D60" s="24" t="str">
        <x:v>테슬라</x:v>
      </x:c>
      <x:c r="E60" s="24" t="str">
        <x:v>모델 3</x:v>
      </x:c>
      <x:c r="F60" s="24" t="str">
        <x:v>모델 3</x:v>
      </x:c>
      <x:c r="G60" s="24" t="str">
        <x:v>전기 AWD</x:v>
      </x:c>
      <x:c r="H60" s="24" t="str">
        <x:v>전기</x:v>
      </x:c>
      <x:c r="I60" s="31" t="n">
        <x:v>225</x:v>
      </x:c>
      <x:c r="J60" s="31" t="n">
        <x:v>2020</x:v>
      </x:c>
      <x:c r="K60" s="24" t="str">
        <x:v>5YJ3E1EB0LF695181</x:v>
      </x:c>
      <x:c r="L60" s="24" t="str">
        <x:v>김포</x:v>
      </x:c>
      <x:c r="M60" s="30" t="n">
        <x:v>43885</x:v>
      </x:c>
      <x:c r="N60" s="31"/>
      <x:c r="O60" s="30" t="n">
        <x:v>45810</x:v>
      </x:c>
      <x:c r="P60" s="32"/>
      <x:c r="Q60" s="32" t="n">
        <x:v>63690000</x:v>
      </x:c>
      <x:c r="R60" s="32" t="n">
        <x:v>35000000</x:v>
      </x:c>
      <x:c r="S60" s="24" t="str">
        <x:v>중고</x:v>
      </x:c>
      <x:c r="T60" s="32"/>
      <x:c r="U60" s="32" t="n">
        <x:v>37992500</x:v>
      </x:c>
      <x:c r="V60" s="24" t="str">
        <x:v>할부</x:v>
      </x:c>
      <x:c r="W60" s="24" t="str">
        <x:v>KB캐피탈</x:v>
      </x:c>
      <x:c r="X60" s="32" t="n">
        <x:v>37750000</x:v>
      </x:c>
      <x:c r="Y60" s="33" t="n">
        <x:v>0.17</x:v>
      </x:c>
      <x:c r="Z60" s="31" t="n">
        <x:v>48</x:v>
      </x:c>
      <x:c r="AA60" s="24" t="str">
        <x:v>10일</x:v>
      </x:c>
      <x:c r="AB60" s="30" t="n">
        <x:v>45848</x:v>
      </x:c>
      <x:c r="AC60" s="30" t="n">
        <x:v>47279</x:v>
      </x:c>
      <x:c r="AD60" s="32" t="n">
        <x:v>1089270</x:v>
      </x:c>
      <x:c r="AE60" s="32" t="n">
        <x:v>20899369</x:v>
      </x:c>
      <x:c r="AF60" s="24" t="str"/>
      <x:c r="AG60" s="24" t="str"/>
      <x:c r="AH60" s="30"/>
      <x:c r="AI60" s="24" t="str"/>
      <x:c r="AJ60" s="24" t="str"/>
      <x:c r="AK60" s="32"/>
      <x:c r="AL60" s="32"/>
      <x:c r="AM60" s="24" t="str"/>
      <x:c r="AN60" s="31" t="n">
        <x:v>61</x:v>
      </x:c>
    </x:row>
    <x:row r="61" ht="17.25" customHeight="1">
      <x:c r="A61" s="24" t="str">
        <x:v>스위치플랜</x:v>
      </x:c>
      <x:c r="B61" s="24" t="str">
        <x:v>299수4820</x:v>
      </x:c>
      <x:c r="C61" s="24" t="str">
        <x:v>보유</x:v>
      </x:c>
      <x:c r="D61" s="24" t="str">
        <x:v>현대</x:v>
      </x:c>
      <x:c r="E61" s="24" t="str">
        <x:v>스타렉스</x:v>
      </x:c>
      <x:c r="F61" s="24" t="str">
        <x:v>더 뉴 그랜드 스타렉스 TQ</x:v>
      </x:c>
      <x:c r="G61" s="24" t="str">
        <x:v>디젤 2.5 4WD</x:v>
      </x:c>
      <x:c r="H61" s="24" t="str">
        <x:v>디젤</x:v>
      </x:c>
      <x:c r="I61" s="31" t="n">
        <x:v>2497</x:v>
      </x:c>
      <x:c r="J61" s="31" t="n">
        <x:v>2020</x:v>
      </x:c>
      <x:c r="K61" s="24" t="str">
        <x:v>KMHWG81KBLU136551</x:v>
      </x:c>
      <x:c r="L61" s="24" t="str">
        <x:v>김포</x:v>
      </x:c>
      <x:c r="M61" s="30" t="n">
        <x:v>43913</x:v>
      </x:c>
      <x:c r="N61" s="31"/>
      <x:c r="O61" s="30" t="n">
        <x:v>45391</x:v>
      </x:c>
      <x:c r="P61" s="32" t="n">
        <x:v>28000000</x:v>
      </x:c>
      <x:c r="Q61" s="32" t="n">
        <x:v>16100000</x:v>
      </x:c>
      <x:c r="R61" s="32" t="n">
        <x:v>16540000</x:v>
      </x:c>
      <x:c r="S61" s="24" t="str">
        <x:v>중고</x:v>
      </x:c>
      <x:c r="T61" s="32"/>
      <x:c r="U61" s="32" t="n">
        <x:v>18159039</x:v>
      </x:c>
      <x:c r="V61" s="24" t="str">
        <x:v>할부</x:v>
      </x:c>
      <x:c r="W61" s="24" t="str">
        <x:v>한국금융자산대부㈜</x:v>
      </x:c>
      <x:c r="X61" s="32" t="n">
        <x:v>17120001</x:v>
      </x:c>
      <x:c r="Y61" s="33" t="n">
        <x:v>0.17</x:v>
      </x:c>
      <x:c r="Z61" s="31" t="n">
        <x:v>48</x:v>
      </x:c>
      <x:c r="AA61" s="24" t="str">
        <x:v>10일</x:v>
      </x:c>
      <x:c r="AB61" s="30" t="n">
        <x:v>45422</x:v>
      </x:c>
      <x:c r="AC61" s="30" t="n">
        <x:v>46853</x:v>
      </x:c>
      <x:c r="AD61" s="32"/>
      <x:c r="AE61" s="32" t="n">
        <x:v>6104494</x:v>
      </x:c>
      <x:c r="AF61" s="24" t="str"/>
      <x:c r="AG61" s="24" t="str"/>
      <x:c r="AH61" s="30"/>
      <x:c r="AI61" s="24" t="str"/>
      <x:c r="AJ61" s="24" t="str"/>
      <x:c r="AK61" s="32"/>
      <x:c r="AL61" s="32"/>
      <x:c r="AM61" s="24" t="str"/>
      <x:c r="AN61" s="31" t="n">
        <x:v>62</x:v>
      </x:c>
    </x:row>
    <x:row r="62" ht="17.25" customHeight="1">
      <x:c r="A62" s="24" t="str">
        <x:v>스위치플랜</x:v>
      </x:c>
      <x:c r="B62" s="24" t="str">
        <x:v>154모5759</x:v>
      </x:c>
      <x:c r="C62" s="24" t="str">
        <x:v>보유</x:v>
      </x:c>
      <x:c r="D62" s="24" t="str">
        <x:v>현대</x:v>
      </x:c>
      <x:c r="E62" s="24" t="str">
        <x:v>그랜저</x:v>
      </x:c>
      <x:c r="F62" s="24" t="str">
        <x:v>더 뉴 그랜저 IG</x:v>
      </x:c>
      <x:c r="G62" s="24" t="str">
        <x:v>가솔린 2.5</x:v>
      </x:c>
      <x:c r="H62" s="24" t="str">
        <x:v>가솔린</x:v>
      </x:c>
      <x:c r="I62" s="31" t="n">
        <x:v>2497</x:v>
      </x:c>
      <x:c r="J62" s="31" t="n">
        <x:v>2020</x:v>
      </x:c>
      <x:c r="K62" s="24" t="str">
        <x:v>KMHF241DBLA334318</x:v>
      </x:c>
      <x:c r="L62" s="24" t="str">
        <x:v>김포</x:v>
      </x:c>
      <x:c r="M62" s="30" t="n">
        <x:v>43920</x:v>
      </x:c>
      <x:c r="N62" s="31"/>
      <x:c r="O62" s="30" t="n">
        <x:v>45253</x:v>
      </x:c>
      <x:c r="P62" s="32" t="n">
        <x:v>40700000</x:v>
      </x:c>
      <x:c r="Q62" s="32" t="n">
        <x:v>26300000</x:v>
      </x:c>
      <x:c r="R62" s="32" t="n">
        <x:v>26300000</x:v>
      </x:c>
      <x:c r="S62" s="24" t="str">
        <x:v>중고</x:v>
      </x:c>
      <x:c r="T62" s="32"/>
      <x:c r="U62" s="32" t="n">
        <x:v>28955760</x:v>
      </x:c>
      <x:c r="V62" s="24" t="str">
        <x:v>할부</x:v>
      </x:c>
      <x:c r="W62" s="24" t="str">
        <x:v>IBK저축은행</x:v>
      </x:c>
      <x:c r="X62" s="32" t="n">
        <x:v>28139998</x:v>
      </x:c>
      <x:c r="Y62" s="33" t="n">
        <x:v>0.17</x:v>
      </x:c>
      <x:c r="Z62" s="31" t="n">
        <x:v>36</x:v>
      </x:c>
      <x:c r="AA62" s="24" t="str">
        <x:v>10일</x:v>
      </x:c>
      <x:c r="AB62" s="30" t="n">
        <x:v>45270</x:v>
      </x:c>
      <x:c r="AC62" s="30" t="n">
        <x:v>46336</x:v>
      </x:c>
      <x:c r="AD62" s="32"/>
      <x:c r="AE62" s="32" t="n">
        <x:v>0</x:v>
      </x:c>
      <x:c r="AF62" s="24" t="str"/>
      <x:c r="AG62" s="24" t="str"/>
      <x:c r="AH62" s="30"/>
      <x:c r="AI62" s="24" t="str"/>
      <x:c r="AJ62" s="24" t="str"/>
      <x:c r="AK62" s="32"/>
      <x:c r="AL62" s="32"/>
      <x:c r="AM62" s="24" t="str"/>
      <x:c r="AN62" s="31" t="n">
        <x:v>63</x:v>
      </x:c>
    </x:row>
    <x:row r="63" ht="17.25" customHeight="1">
      <x:c r="A63" s="24" t="str">
        <x:v>스위치플랜</x:v>
      </x:c>
      <x:c r="B63" s="24" t="str">
        <x:v>135수5711</x:v>
      </x:c>
      <x:c r="C63" s="24" t="str">
        <x:v>보유</x:v>
      </x:c>
      <x:c r="D63" s="24" t="str">
        <x:v>현대</x:v>
      </x:c>
      <x:c r="E63" s="24" t="str">
        <x:v>그랜저</x:v>
      </x:c>
      <x:c r="F63" s="24" t="str">
        <x:v>더 뉴 그랜저 IG</x:v>
      </x:c>
      <x:c r="G63" s="24" t="str">
        <x:v>가솔린 2.5</x:v>
      </x:c>
      <x:c r="H63" s="24" t="str">
        <x:v>가솔린</x:v>
      </x:c>
      <x:c r="I63" s="31" t="n">
        <x:v>2497</x:v>
      </x:c>
      <x:c r="J63" s="31" t="n">
        <x:v>2020</x:v>
      </x:c>
      <x:c r="K63" s="24" t="str">
        <x:v>KMHF341DBLA339492</x:v>
      </x:c>
      <x:c r="L63" s="24" t="str">
        <x:v>김포</x:v>
      </x:c>
      <x:c r="M63" s="30" t="n">
        <x:v>43942</x:v>
      </x:c>
      <x:c r="N63" s="31"/>
      <x:c r="O63" s="30" t="n">
        <x:v>45293</x:v>
      </x:c>
      <x:c r="P63" s="32" t="n">
        <x:v>44650000</x:v>
      </x:c>
      <x:c r="Q63" s="32" t="n">
        <x:v>31240000</x:v>
      </x:c>
      <x:c r="R63" s="32" t="n">
        <x:v>31240000</x:v>
      </x:c>
      <x:c r="S63" s="24" t="str">
        <x:v>중고</x:v>
      </x:c>
      <x:c r="T63" s="32"/>
      <x:c r="U63" s="32" t="n">
        <x:v>34287000</x:v>
      </x:c>
      <x:c r="V63" s="24" t="str">
        <x:v>할부</x:v>
      </x:c>
      <x:c r="W63" s="24" t="str">
        <x:v>KB캐피탈</x:v>
      </x:c>
      <x:c r="X63" s="32" t="n">
        <x:v>23900000</x:v>
      </x:c>
      <x:c r="Y63" s="33" t="n">
        <x:v>0.08</x:v>
      </x:c>
      <x:c r="Z63" s="31" t="n">
        <x:v>36</x:v>
      </x:c>
      <x:c r="AA63" s="24" t="str">
        <x:v>20일</x:v>
      </x:c>
      <x:c r="AB63" s="30" t="n">
        <x:v>45311</x:v>
      </x:c>
      <x:c r="AC63" s="30" t="n">
        <x:v>46376</x:v>
      </x:c>
      <x:c r="AD63" s="32" t="n">
        <x:v>743438</x:v>
      </x:c>
      <x:c r="AE63" s="32" t="n">
        <x:v>3648507</x:v>
      </x:c>
      <x:c r="AF63" s="24" t="str"/>
      <x:c r="AG63" s="24" t="str"/>
      <x:c r="AH63" s="30"/>
      <x:c r="AI63" s="24" t="str"/>
      <x:c r="AJ63" s="24" t="str"/>
      <x:c r="AK63" s="32"/>
      <x:c r="AL63" s="32"/>
      <x:c r="AM63" s="24" t="str"/>
      <x:c r="AN63" s="31" t="n">
        <x:v>64</x:v>
      </x:c>
    </x:row>
    <x:row r="64" ht="17.25" customHeight="1">
      <x:c r="A64" s="24" t="str">
        <x:v>스위치플랜</x:v>
      </x:c>
      <x:c r="B64" s="24" t="str">
        <x:v>94주0700</x:v>
      </x:c>
      <x:c r="C64" s="24" t="str">
        <x:v>보유</x:v>
      </x:c>
      <x:c r="D64" s="24" t="str">
        <x:v>기아</x:v>
      </x:c>
      <x:c r="E64" s="24" t="str">
        <x:v>봉고3</x:v>
      </x:c>
      <x:c r="F64" s="24" t="str">
        <x:v>봉고III</x:v>
      </x:c>
      <x:c r="G64" s="24" t="str">
        <x:v>디젤 2.5</x:v>
      </x:c>
      <x:c r="H64" s="24" t="str">
        <x:v>디젤</x:v>
      </x:c>
      <x:c r="I64" s="31" t="n">
        <x:v>2497</x:v>
      </x:c>
      <x:c r="J64" s="31" t="n">
        <x:v>2020</x:v>
      </x:c>
      <x:c r="K64" s="24" t="str">
        <x:v>KNCSJZ76BLK456043</x:v>
      </x:c>
      <x:c r="L64" s="24" t="str">
        <x:v>김포</x:v>
      </x:c>
      <x:c r="M64" s="30" t="n">
        <x:v>43964</x:v>
      </x:c>
      <x:c r="N64" s="31"/>
      <x:c r="O64" s="30" t="n">
        <x:v>45278</x:v>
      </x:c>
      <x:c r="P64" s="32" t="n">
        <x:v>21880000</x:v>
      </x:c>
      <x:c r="Q64" s="32" t="n">
        <x:v>15340000</x:v>
      </x:c>
      <x:c r="R64" s="32" t="n">
        <x:v>15340000</x:v>
      </x:c>
      <x:c r="S64" s="24" t="str">
        <x:v>중고</x:v>
      </x:c>
      <x:c r="T64" s="32"/>
      <x:c r="U64" s="32" t="n">
        <x:v>16988820</x:v>
      </x:c>
      <x:c r="V64" s="24" t="str">
        <x:v>할부</x:v>
      </x:c>
      <x:c r="W64" s="24" t="str">
        <x:v>한국금융자산대부㈜</x:v>
      </x:c>
      <x:c r="X64" s="32" t="n">
        <x:v>15940000</x:v>
      </x:c>
      <x:c r="Y64" s="33" t="n">
        <x:v>0.17</x:v>
      </x:c>
      <x:c r="Z64" s="31" t="n">
        <x:v>48</x:v>
      </x:c>
      <x:c r="AA64" s="24" t="str">
        <x:v>10일</x:v>
      </x:c>
      <x:c r="AB64" s="30" t="n">
        <x:v>45301</x:v>
      </x:c>
      <x:c r="AC64" s="30" t="n">
        <x:v>46731</x:v>
      </x:c>
      <x:c r="AD64" s="32"/>
      <x:c r="AE64" s="32" t="n">
        <x:v>11611662</x:v>
      </x:c>
      <x:c r="AF64" s="24" t="str"/>
      <x:c r="AG64" s="24" t="str"/>
      <x:c r="AH64" s="30"/>
      <x:c r="AI64" s="24" t="str"/>
      <x:c r="AJ64" s="24" t="str"/>
      <x:c r="AK64" s="32"/>
      <x:c r="AL64" s="32"/>
      <x:c r="AM64" s="24" t="str"/>
      <x:c r="AN64" s="31" t="n">
        <x:v>65</x:v>
      </x:c>
    </x:row>
    <x:row r="65" ht="17.25" customHeight="1">
      <x:c r="A65" s="24" t="str">
        <x:v>스위치플랜</x:v>
      </x:c>
      <x:c r="B65" s="24" t="str">
        <x:v>236로9998</x:v>
      </x:c>
      <x:c r="C65" s="24" t="str">
        <x:v>보유</x:v>
      </x:c>
      <x:c r="D65" s="24" t="str">
        <x:v>제네시스</x:v>
      </x:c>
      <x:c r="E65" s="24" t="str">
        <x:v>G80</x:v>
      </x:c>
      <x:c r="F65" s="24" t="str">
        <x:v>G80 RG3</x:v>
      </x:c>
      <x:c r="G65" s="24" t="str">
        <x:v>가솔린 2.5T AWD</x:v>
      </x:c>
      <x:c r="H65" s="24" t="str">
        <x:v>가솔린</x:v>
      </x:c>
      <x:c r="I65" s="31" t="n">
        <x:v>2497</x:v>
      </x:c>
      <x:c r="J65" s="31" t="n">
        <x:v>2021</x:v>
      </x:c>
      <x:c r="K65" s="24" t="str">
        <x:v>KMTGB41CDMU000891</x:v>
      </x:c>
      <x:c r="L65" s="24" t="str">
        <x:v>김포</x:v>
      </x:c>
      <x:c r="M65" s="30" t="n">
        <x:v>43985</x:v>
      </x:c>
      <x:c r="N65" s="31"/>
      <x:c r="O65" s="30" t="n">
        <x:v>45372</x:v>
      </x:c>
      <x:c r="P65" s="32" t="n">
        <x:v>78900000</x:v>
      </x:c>
      <x:c r="Q65" s="32" t="n">
        <x:v>54000000</x:v>
      </x:c>
      <x:c r="R65" s="32" t="n">
        <x:v>54330000</x:v>
      </x:c>
      <x:c r="S65" s="24" t="str">
        <x:v>중고</x:v>
      </x:c>
      <x:c r="T65" s="32"/>
      <x:c r="U65" s="32" t="n">
        <x:v>59388200</x:v>
      </x:c>
      <x:c r="V65" s="24" t="str">
        <x:v>할부</x:v>
      </x:c>
      <x:c r="W65" s="24" t="str">
        <x:v>한국금융자산대부㈜</x:v>
      </x:c>
      <x:c r="X65" s="32" t="n">
        <x:v>57779998</x:v>
      </x:c>
      <x:c r="Y65" s="33" t="n">
        <x:v>0.17</x:v>
      </x:c>
      <x:c r="Z65" s="31" t="n">
        <x:v>48</x:v>
      </x:c>
      <x:c r="AA65" s="24" t="str">
        <x:v>10일</x:v>
      </x:c>
      <x:c r="AB65" s="30" t="n">
        <x:v>45392</x:v>
      </x:c>
      <x:c r="AC65" s="30" t="n">
        <x:v>46822</x:v>
      </x:c>
      <x:c r="AD65" s="32"/>
      <x:c r="AE65" s="32" t="n">
        <x:v>1960076</x:v>
      </x:c>
      <x:c r="AF65" s="24" t="str"/>
      <x:c r="AG65" s="24" t="str"/>
      <x:c r="AH65" s="30"/>
      <x:c r="AI65" s="24" t="str"/>
      <x:c r="AJ65" s="24" t="str"/>
      <x:c r="AK65" s="32"/>
      <x:c r="AL65" s="32"/>
      <x:c r="AM65" s="24" t="str"/>
      <x:c r="AN65" s="31" t="n">
        <x:v>66</x:v>
      </x:c>
    </x:row>
    <x:row r="66" ht="17.25" customHeight="1">
      <x:c r="A66" s="24" t="str">
        <x:v>스위치플랜</x:v>
      </x:c>
      <x:c r="B66" s="24" t="str">
        <x:v>45루6163</x:v>
      </x:c>
      <x:c r="C66" s="24" t="str">
        <x:v>보유</x:v>
      </x:c>
      <x:c r="D66" s="24" t="str">
        <x:v>테슬라</x:v>
      </x:c>
      <x:c r="E66" s="24" t="str">
        <x:v>모델 3</x:v>
      </x:c>
      <x:c r="F66" s="24" t="str">
        <x:v>모델 3</x:v>
      </x:c>
      <x:c r="G66" s="24" t="str">
        <x:v>전기 AWD</x:v>
      </x:c>
      <x:c r="H66" s="24" t="str">
        <x:v>전기</x:v>
      </x:c>
      <x:c r="I66" s="31" t="n">
        <x:v>225</x:v>
      </x:c>
      <x:c r="J66" s="31" t="n">
        <x:v>2020</x:v>
      </x:c>
      <x:c r="K66" s="24" t="str">
        <x:v>5YJ3E1EC1LF725782</x:v>
      </x:c>
      <x:c r="L66" s="24" t="str">
        <x:v>김포</x:v>
      </x:c>
      <x:c r="M66" s="30" t="n">
        <x:v>43998</x:v>
      </x:c>
      <x:c r="N66" s="31"/>
      <x:c r="O66" s="30" t="n">
        <x:v>45672</x:v>
      </x:c>
      <x:c r="P66" s="32"/>
      <x:c r="Q66" s="32" t="n">
        <x:v>36100000</x:v>
      </x:c>
      <x:c r="R66" s="32" t="n">
        <x:v>36692020</x:v>
      </x:c>
      <x:c r="S66" s="24" t="str">
        <x:v>중고</x:v>
      </x:c>
      <x:c r="T66" s="32"/>
      <x:c r="U66" s="32" t="n">
        <x:v>38190310</x:v>
      </x:c>
      <x:c r="V66" s="24" t="str">
        <x:v>할부</x:v>
      </x:c>
      <x:c r="W66" s="24" t="str">
        <x:v>KB캐피탈</x:v>
      </x:c>
      <x:c r="X66" s="32" t="n">
        <x:v>30800000</x:v>
      </x:c>
      <x:c r="Y66" s="33" t="n">
        <x:v>0.08</x:v>
      </x:c>
      <x:c r="Z66" s="31" t="n">
        <x:v>36</x:v>
      </x:c>
      <x:c r="AA66" s="24" t="str">
        <x:v>20일</x:v>
      </x:c>
      <x:c r="AB66" s="30" t="n">
        <x:v>45708</x:v>
      </x:c>
      <x:c r="AC66" s="30" t="n">
        <x:v>46772</x:v>
      </x:c>
      <x:c r="AD66" s="32" t="n">
        <x:v>958071</x:v>
      </x:c>
      <x:c r="AE66" s="32" t="n">
        <x:v>16262650</x:v>
      </x:c>
      <x:c r="AF66" s="24" t="str"/>
      <x:c r="AG66" s="24" t="str"/>
      <x:c r="AH66" s="30"/>
      <x:c r="AI66" s="24" t="str"/>
      <x:c r="AJ66" s="24" t="str"/>
      <x:c r="AK66" s="32"/>
      <x:c r="AL66" s="32"/>
      <x:c r="AM66" s="24" t="str"/>
      <x:c r="AN66" s="31" t="n">
        <x:v>67</x:v>
      </x:c>
    </x:row>
    <x:row r="67" ht="17.25" customHeight="1">
      <x:c r="A67" s="24" t="str">
        <x:v>스위치플랜</x:v>
      </x:c>
      <x:c r="B67" s="24" t="str">
        <x:v>143조2022</x:v>
      </x:c>
      <x:c r="C67" s="24" t="str">
        <x:v>보유</x:v>
      </x:c>
      <x:c r="D67" s="24" t="str">
        <x:v>현대</x:v>
      </x:c>
      <x:c r="E67" s="24" t="str">
        <x:v>벨로스터</x:v>
      </x:c>
      <x:c r="F67" s="24" t="str">
        <x:v>벨로스터 JS</x:v>
      </x:c>
      <x:c r="G67" s="24" t="str">
        <x:v>가솔린 1.6T</x:v>
      </x:c>
      <x:c r="H67" s="24" t="str">
        <x:v>가솔린</x:v>
      </x:c>
      <x:c r="I67" s="31" t="n">
        <x:v>1591</x:v>
      </x:c>
      <x:c r="J67" s="31" t="n">
        <x:v>2019</x:v>
      </x:c>
      <x:c r="K67" s="24" t="str">
        <x:v>KMHTK61BGLU030047</x:v>
      </x:c>
      <x:c r="L67" s="24" t="str">
        <x:v>김포</x:v>
      </x:c>
      <x:c r="M67" s="30" t="n">
        <x:v>44007</x:v>
      </x:c>
      <x:c r="N67" s="31"/>
      <x:c r="O67" s="30" t="n">
        <x:v>45863</x:v>
      </x:c>
      <x:c r="P67" s="32"/>
      <x:c r="Q67" s="32" t="n">
        <x:v>28850000</x:v>
      </x:c>
      <x:c r="R67" s="32" t="n">
        <x:v>13813040</x:v>
      </x:c>
      <x:c r="S67" s="24" t="str">
        <x:v>중고</x:v>
      </x:c>
      <x:c r="T67" s="32"/>
      <x:c r="U67" s="32" t="n">
        <x:v>15176440</x:v>
      </x:c>
      <x:c r="V67" s="24" t="str">
        <x:v>할부</x:v>
      </x:c>
      <x:c r="W67" s="24" t="str">
        <x:v>한국금융자산대부</x:v>
      </x:c>
      <x:c r="X67" s="32" t="n">
        <x:v>15260000</x:v>
      </x:c>
      <x:c r="Y67" s="33" t="n">
        <x:v>0.17</x:v>
      </x:c>
      <x:c r="Z67" s="31" t="n">
        <x:v>48</x:v>
      </x:c>
      <x:c r="AA67" s="24" t="str">
        <x:v>10일</x:v>
      </x:c>
      <x:c r="AB67" s="30" t="n">
        <x:v>45879</x:v>
      </x:c>
      <x:c r="AC67" s="30" t="n">
        <x:v>47309</x:v>
      </x:c>
      <x:c r="AD67" s="32" t="n">
        <x:v>440320</x:v>
      </x:c>
      <x:c r="AE67" s="32" t="n">
        <x:v>14160611</x:v>
      </x:c>
      <x:c r="AF67" s="24" t="str"/>
      <x:c r="AG67" s="24" t="str"/>
      <x:c r="AH67" s="30"/>
      <x:c r="AI67" s="24" t="str"/>
      <x:c r="AJ67" s="24" t="str"/>
      <x:c r="AK67" s="32"/>
      <x:c r="AL67" s="32"/>
      <x:c r="AM67" s="24" t="str"/>
      <x:c r="AN67" s="31" t="n">
        <x:v>68</x:v>
      </x:c>
    </x:row>
    <x:row r="68" ht="17.25" customHeight="1">
      <x:c r="A68" s="24" t="str">
        <x:v>스위치플랜</x:v>
      </x:c>
      <x:c r="B68" s="24" t="str">
        <x:v>174모9645</x:v>
      </x:c>
      <x:c r="C68" s="24" t="str">
        <x:v>밀수출</x:v>
      </x:c>
      <x:c r="D68" s="24" t="str">
        <x:v>현대</x:v>
      </x:c>
      <x:c r="E68" s="24" t="str">
        <x:v>그랜저</x:v>
      </x:c>
      <x:c r="F68" s="24" t="str">
        <x:v>더 뉴 그랜저 IG</x:v>
      </x:c>
      <x:c r="G68" s="24" t="str">
        <x:v>하이브리드 2.4</x:v>
      </x:c>
      <x:c r="H68" s="24" t="str">
        <x:v>HEV</x:v>
      </x:c>
      <x:c r="I68" s="31" t="n">
        <x:v>2359</x:v>
      </x:c>
      <x:c r="J68" s="31" t="n">
        <x:v>2020</x:v>
      </x:c>
      <x:c r="K68" s="24" t="str">
        <x:v>KMHF3413BLA088775</x:v>
      </x:c>
      <x:c r="L68" s="24" t="str">
        <x:v>김포</x:v>
      </x:c>
      <x:c r="M68" s="30" t="n">
        <x:v>44025</x:v>
      </x:c>
      <x:c r="N68" s="31"/>
      <x:c r="O68" s="30" t="n">
        <x:v>45356</x:v>
      </x:c>
      <x:c r="P68" s="32" t="n">
        <x:v>49880000</x:v>
      </x:c>
      <x:c r="Q68" s="32" t="n">
        <x:v>24700000</x:v>
      </x:c>
      <x:c r="R68" s="32" t="n">
        <x:v>24700000</x:v>
      </x:c>
      <x:c r="S68" s="24" t="str">
        <x:v>중고</x:v>
      </x:c>
      <x:c r="T68" s="32"/>
      <x:c r="U68" s="32" t="n">
        <x:v>25871810</x:v>
      </x:c>
      <x:c r="V68" s="24" t="str">
        <x:v>할부</x:v>
      </x:c>
      <x:c r="W68" s="24" t="str">
        <x:v>한국금융자산대부㈜</x:v>
      </x:c>
      <x:c r="X68" s="32" t="n">
        <x:v>26331000</x:v>
      </x:c>
      <x:c r="Y68" s="33" t="n">
        <x:v>0.17</x:v>
      </x:c>
      <x:c r="Z68" s="31" t="n">
        <x:v>48</x:v>
      </x:c>
      <x:c r="AA68" s="24" t="str">
        <x:v>10일</x:v>
      </x:c>
      <x:c r="AB68" s="30" t="n">
        <x:v>45361</x:v>
      </x:c>
      <x:c r="AC68" s="30" t="n">
        <x:v>46793</x:v>
      </x:c>
      <x:c r="AD68" s="32"/>
      <x:c r="AE68" s="32" t="n">
        <x:v>2534534</x:v>
      </x:c>
      <x:c r="AF68" s="24" t="str"/>
      <x:c r="AG68" s="24" t="str"/>
      <x:c r="AH68" s="30"/>
      <x:c r="AI68" s="24" t="str"/>
      <x:c r="AJ68" s="24" t="str"/>
      <x:c r="AK68" s="32"/>
      <x:c r="AL68" s="32"/>
      <x:c r="AM68" s="24" t="str"/>
      <x:c r="AN68" s="31" t="n">
        <x:v>69</x:v>
      </x:c>
    </x:row>
    <x:row r="69" ht="17.25" customHeight="1">
      <x:c r="A69" s="24" t="str">
        <x:v>스위치플랜</x:v>
      </x:c>
      <x:c r="B69" s="24" t="str">
        <x:v>377마3268</x:v>
      </x:c>
      <x:c r="C69" s="24" t="str">
        <x:v>보유</x:v>
      </x:c>
      <x:c r="D69" s="24" t="str">
        <x:v>현대</x:v>
      </x:c>
      <x:c r="E69" s="24" t="str">
        <x:v>그랜저</x:v>
      </x:c>
      <x:c r="F69" s="24" t="str">
        <x:v>더 뉴 그랜저 IG</x:v>
      </x:c>
      <x:c r="G69" s="24" t="str">
        <x:v>하이브리드 2.4</x:v>
      </x:c>
      <x:c r="H69" s="24" t="str">
        <x:v>HEV</x:v>
      </x:c>
      <x:c r="I69" s="31" t="n">
        <x:v>2359</x:v>
      </x:c>
      <x:c r="J69" s="31" t="n">
        <x:v>2020</x:v>
      </x:c>
      <x:c r="K69" s="24" t="str">
        <x:v>KMHF3413BLA090161</x:v>
      </x:c>
      <x:c r="L69" s="24" t="str">
        <x:v>김포</x:v>
      </x:c>
      <x:c r="M69" s="30" t="n">
        <x:v>44054</x:v>
      </x:c>
      <x:c r="N69" s="31"/>
      <x:c r="O69" s="30" t="n">
        <x:v>45467</x:v>
      </x:c>
      <x:c r="P69" s="32" t="n">
        <x:v>49070000</x:v>
      </x:c>
      <x:c r="Q69" s="32" t="n">
        <x:v>33200000</x:v>
      </x:c>
      <x:c r="R69" s="32" t="n">
        <x:v>33200000</x:v>
      </x:c>
      <x:c r="S69" s="24" t="str">
        <x:v>중고</x:v>
      </x:c>
      <x:c r="T69" s="32"/>
      <x:c r="U69" s="32" t="n">
        <x:v>35410720</x:v>
      </x:c>
      <x:c r="V69" s="24" t="str">
        <x:v>할부</x:v>
      </x:c>
      <x:c r="W69" s="24" t="str">
        <x:v>한국금융자산대부㈜</x:v>
      </x:c>
      <x:c r="X69" s="32" t="n">
        <x:v>35990002</x:v>
      </x:c>
      <x:c r="Y69" s="33" t="n">
        <x:v>0.17</x:v>
      </x:c>
      <x:c r="Z69" s="31" t="n">
        <x:v>48</x:v>
      </x:c>
      <x:c r="AA69" s="24" t="str">
        <x:v>10일</x:v>
      </x:c>
      <x:c r="AB69" s="30" t="n">
        <x:v>45483</x:v>
      </x:c>
      <x:c r="AC69" s="30" t="n">
        <x:v>46914</x:v>
      </x:c>
      <x:c r="AD69" s="32"/>
      <x:c r="AE69" s="32" t="n">
        <x:v>10895878</x:v>
      </x:c>
      <x:c r="AF69" s="24" t="str"/>
      <x:c r="AG69" s="24" t="str"/>
      <x:c r="AH69" s="30"/>
      <x:c r="AI69" s="24" t="str"/>
      <x:c r="AJ69" s="24" t="str"/>
      <x:c r="AK69" s="32"/>
      <x:c r="AL69" s="32"/>
      <x:c r="AM69" s="24" t="str"/>
      <x:c r="AN69" s="31" t="n">
        <x:v>70</x:v>
      </x:c>
    </x:row>
    <x:row r="70" ht="17.25" customHeight="1">
      <x:c r="A70" s="24" t="str">
        <x:v>스위치플랜</x:v>
      </x:c>
      <x:c r="B70" s="24" t="str">
        <x:v>104버2190</x:v>
      </x:c>
      <x:c r="C70" s="24" t="str">
        <x:v>보유</x:v>
      </x:c>
      <x:c r="D70" s="24" t="str">
        <x:v>기아</x:v>
      </x:c>
      <x:c r="E70" s="24" t="str">
        <x:v>K9</x:v>
      </x:c>
      <x:c r="F70" s="24" t="str">
        <x:v>K9 RJ</x:v>
      </x:c>
      <x:c r="G70" s="24" t="str">
        <x:v>가솔린 3.8 AWD</x:v>
      </x:c>
      <x:c r="H70" s="24" t="str">
        <x:v>가솔린</x:v>
      </x:c>
      <x:c r="I70" s="31" t="n">
        <x:v>3778</x:v>
      </x:c>
      <x:c r="J70" s="31" t="n">
        <x:v>2021</x:v>
      </x:c>
      <x:c r="K70" s="24" t="str">
        <x:v>KNAS3418DMS030472</x:v>
      </x:c>
      <x:c r="L70" s="24" t="str">
        <x:v>김포</x:v>
      </x:c>
      <x:c r="M70" s="30" t="n">
        <x:v>44061</x:v>
      </x:c>
      <x:c r="N70" s="31"/>
      <x:c r="O70" s="30" t="n">
        <x:v>45516</x:v>
      </x:c>
      <x:c r="P70" s="32" t="n">
        <x:v>69392635</x:v>
      </x:c>
      <x:c r="Q70" s="32" t="n">
        <x:v>42900000</x:v>
      </x:c>
      <x:c r="R70" s="32" t="n">
        <x:v>43285000</x:v>
      </x:c>
      <x:c r="S70" s="24" t="str">
        <x:v>중고</x:v>
      </x:c>
      <x:c r="T70" s="32"/>
      <x:c r="U70" s="32" t="n">
        <x:v>46495173</x:v>
      </x:c>
      <x:c r="V70" s="24" t="str">
        <x:v>할부</x:v>
      </x:c>
      <x:c r="W70" s="24" t="str">
        <x:v>한국금융자산대부㈜</x:v>
      </x:c>
      <x:c r="X70" s="32" t="n">
        <x:v>46400001</x:v>
      </x:c>
      <x:c r="Y70" s="33" t="n">
        <x:v>0.17</x:v>
      </x:c>
      <x:c r="Z70" s="31" t="n">
        <x:v>48</x:v>
      </x:c>
      <x:c r="AA70" s="24" t="str">
        <x:v>10일</x:v>
      </x:c>
      <x:c r="AB70" s="30" t="n">
        <x:v>45545</x:v>
      </x:c>
      <x:c r="AC70" s="30" t="n">
        <x:v>46975</x:v>
      </x:c>
      <x:c r="AD70" s="32"/>
      <x:c r="AE70" s="32" t="n">
        <x:v>5850615</x:v>
      </x:c>
      <x:c r="AF70" s="24" t="str"/>
      <x:c r="AG70" s="24" t="str"/>
      <x:c r="AH70" s="30"/>
      <x:c r="AI70" s="24" t="str"/>
      <x:c r="AJ70" s="24" t="str"/>
      <x:c r="AK70" s="32"/>
      <x:c r="AL70" s="32"/>
      <x:c r="AM70" s="24" t="str"/>
      <x:c r="AN70" s="31" t="n">
        <x:v>71</x:v>
      </x:c>
    </x:row>
    <x:row r="71" ht="17.25" customHeight="1">
      <x:c r="A71" s="24" t="str">
        <x:v>스위치플랜</x:v>
      </x:c>
      <x:c r="B71" s="24" t="str">
        <x:v>155라6323</x:v>
      </x:c>
      <x:c r="C71" s="24" t="str">
        <x:v>보유</x:v>
      </x:c>
      <x:c r="D71" s="24" t="str">
        <x:v>벤츠</x:v>
      </x:c>
      <x:c r="E71" s="24" t="str">
        <x:v>CLS-클래스</x:v>
      </x:c>
      <x:c r="F71" s="24" t="str">
        <x:v>CLS-클래스 C257</x:v>
      </x:c>
      <x:c r="G71" s="24" t="str">
        <x:v>디젤 1.9</x:v>
      </x:c>
      <x:c r="H71" s="24" t="str">
        <x:v>디젤</x:v>
      </x:c>
      <x:c r="I71" s="31" t="n">
        <x:v>1950</x:v>
      </x:c>
      <x:c r="J71" s="31" t="n">
        <x:v>2020</x:v>
      </x:c>
      <x:c r="K71" s="24" t="str">
        <x:v>W1K2J1JB0LA078746</x:v>
      </x:c>
      <x:c r="L71" s="24" t="str">
        <x:v>김포</x:v>
      </x:c>
      <x:c r="M71" s="30" t="n">
        <x:v>44071</x:v>
      </x:c>
      <x:c r="N71" s="31"/>
      <x:c r="O71" s="30" t="n">
        <x:v>45700</x:v>
      </x:c>
      <x:c r="P71" s="32"/>
      <x:c r="Q71" s="32" t="n">
        <x:v>35000000</x:v>
      </x:c>
      <x:c r="R71" s="32" t="n">
        <x:v>35000000</x:v>
      </x:c>
      <x:c r="S71" s="24" t="str">
        <x:v>중고</x:v>
      </x:c>
      <x:c r="T71" s="32"/>
      <x:c r="U71" s="32" t="n">
        <x:v>37987470</x:v>
      </x:c>
      <x:c r="V71" s="24" t="str">
        <x:v>할부</x:v>
      </x:c>
      <x:c r="W71" s="24" t="str">
        <x:v>한국금융자산대부㈜</x:v>
      </x:c>
      <x:c r="X71" s="32" t="n">
        <x:v>37950002</x:v>
      </x:c>
      <x:c r="Y71" s="33" t="n">
        <x:v>0.17</x:v>
      </x:c>
      <x:c r="Z71" s="31" t="n">
        <x:v>48</x:v>
      </x:c>
      <x:c r="AA71" s="24" t="str">
        <x:v>10일</x:v>
      </x:c>
      <x:c r="AB71" s="30" t="n">
        <x:v>45726</x:v>
      </x:c>
      <x:c r="AC71" s="30" t="n">
        <x:v>47159</x:v>
      </x:c>
      <x:c r="AD71" s="32"/>
      <x:c r="AE71" s="32" t="n">
        <x:v>15868900</x:v>
      </x:c>
      <x:c r="AF71" s="24" t="str"/>
      <x:c r="AG71" s="24" t="str"/>
      <x:c r="AH71" s="30"/>
      <x:c r="AI71" s="24" t="str"/>
      <x:c r="AJ71" s="24" t="str"/>
      <x:c r="AK71" s="32"/>
      <x:c r="AL71" s="32"/>
      <x:c r="AM71" s="24" t="str"/>
      <x:c r="AN71" s="31" t="n">
        <x:v>72</x:v>
      </x:c>
    </x:row>
    <x:row r="72" ht="17.25" customHeight="1">
      <x:c r="A72" s="24" t="str">
        <x:v>스위치플랜</x:v>
      </x:c>
      <x:c r="B72" s="24" t="str">
        <x:v>325구9443</x:v>
      </x:c>
      <x:c r="C72" s="24" t="str">
        <x:v>보유</x:v>
      </x:c>
      <x:c r="D72" s="24" t="str">
        <x:v>기아</x:v>
      </x:c>
      <x:c r="E72" s="24" t="str">
        <x:v>쏘렌토</x:v>
      </x:c>
      <x:c r="F72" s="24" t="str">
        <x:v>쏘렌토 MQ4</x:v>
      </x:c>
      <x:c r="G72" s="24" t="str">
        <x:v>디젤 2.2</x:v>
      </x:c>
      <x:c r="H72" s="24" t="str">
        <x:v>디젤</x:v>
      </x:c>
      <x:c r="I72" s="31" t="n">
        <x:v>2151</x:v>
      </x:c>
      <x:c r="J72" s="31" t="n">
        <x:v>2021</x:v>
      </x:c>
      <x:c r="K72" s="24" t="str">
        <x:v>KNARL81BGMA054159</x:v>
      </x:c>
      <x:c r="L72" s="24" t="str">
        <x:v>김포</x:v>
      </x:c>
      <x:c r="M72" s="30" t="n">
        <x:v>44120</x:v>
      </x:c>
      <x:c r="N72" s="31"/>
      <x:c r="O72" s="30" t="n">
        <x:v>45323</x:v>
      </x:c>
      <x:c r="P72" s="32" t="n">
        <x:v>37030000</x:v>
      </x:c>
      <x:c r="Q72" s="32" t="n">
        <x:v>25500000</x:v>
      </x:c>
      <x:c r="R72" s="32" t="n">
        <x:v>25997800</x:v>
      </x:c>
      <x:c r="S72" s="24" t="str">
        <x:v>중고</x:v>
      </x:c>
      <x:c r="T72" s="32"/>
      <x:c r="U72" s="32" t="n">
        <x:v>28264750</x:v>
      </x:c>
      <x:c r="V72" s="24" t="str">
        <x:v>할부</x:v>
      </x:c>
      <x:c r="W72" s="24" t="str">
        <x:v>KB캐피탈</x:v>
      </x:c>
      <x:c r="X72" s="32" t="n">
        <x:v>25500000</x:v>
      </x:c>
      <x:c r="Y72" s="33" t="n">
        <x:v>0.08</x:v>
      </x:c>
      <x:c r="Z72" s="31" t="n">
        <x:v>36</x:v>
      </x:c>
      <x:c r="AA72" s="24" t="str">
        <x:v>20일</x:v>
      </x:c>
      <x:c r="AB72" s="30" t="n">
        <x:v>45342</x:v>
      </x:c>
      <x:c r="AC72" s="30" t="n">
        <x:v>46407</x:v>
      </x:c>
      <x:c r="AD72" s="32" t="n">
        <x:v>793208</x:v>
      </x:c>
      <x:c r="AE72" s="32" t="n">
        <x:v>4656858</x:v>
      </x:c>
      <x:c r="AF72" s="24" t="str"/>
      <x:c r="AG72" s="24" t="str"/>
      <x:c r="AH72" s="30"/>
      <x:c r="AI72" s="24" t="str"/>
      <x:c r="AJ72" s="24" t="str"/>
      <x:c r="AK72" s="32"/>
      <x:c r="AL72" s="32"/>
      <x:c r="AM72" s="24" t="str"/>
      <x:c r="AN72" s="31" t="n">
        <x:v>73</x:v>
      </x:c>
    </x:row>
    <x:row r="73" ht="17.25" customHeight="1">
      <x:c r="A73" s="24" t="str">
        <x:v>스위치플랜</x:v>
      </x:c>
      <x:c r="B73" s="24" t="str">
        <x:v>268저3547</x:v>
      </x:c>
      <x:c r="C73" s="24" t="str">
        <x:v>보유</x:v>
      </x:c>
      <x:c r="D73" s="24" t="str">
        <x:v>제네시스</x:v>
      </x:c>
      <x:c r="E73" s="24" t="str">
        <x:v>G80</x:v>
      </x:c>
      <x:c r="F73" s="24" t="str">
        <x:v>G80 RG3</x:v>
      </x:c>
      <x:c r="G73" s="24" t="str">
        <x:v>가솔린 2.5T AWD</x:v>
      </x:c>
      <x:c r="H73" s="24" t="str">
        <x:v>가솔린</x:v>
      </x:c>
      <x:c r="I73" s="31" t="n">
        <x:v>2497</x:v>
      </x:c>
      <x:c r="J73" s="31" t="n">
        <x:v>2020</x:v>
      </x:c>
      <x:c r="K73" s="24" t="str">
        <x:v>KMTGB41CDMU041544</x:v>
      </x:c>
      <x:c r="L73" s="24" t="str">
        <x:v>김포</x:v>
      </x:c>
      <x:c r="M73" s="30" t="n">
        <x:v>44130</x:v>
      </x:c>
      <x:c r="N73" s="31"/>
      <x:c r="O73" s="30" t="n">
        <x:v>45631</x:v>
      </x:c>
      <x:c r="P73" s="32" t="n">
        <x:v>66370000</x:v>
      </x:c>
      <x:c r="Q73" s="32" t="n">
        <x:v>41000000</x:v>
      </x:c>
      <x:c r="R73" s="32" t="n">
        <x:v>41000000</x:v>
      </x:c>
      <x:c r="S73" s="24" t="str">
        <x:v>중고</x:v>
      </x:c>
      <x:c r="T73" s="32"/>
      <x:c r="U73" s="32" t="n">
        <x:v>44159090</x:v>
      </x:c>
      <x:c r="V73" s="24" t="str">
        <x:v>할부</x:v>
      </x:c>
      <x:c r="W73" s="24" t="str">
        <x:v>도이치파이낸셜</x:v>
      </x:c>
      <x:c r="X73" s="32" t="n">
        <x:v>44790000</x:v>
      </x:c>
      <x:c r="Y73" s="33" t="n">
        <x:v>0.17</x:v>
      </x:c>
      <x:c r="Z73" s="31" t="n">
        <x:v>48</x:v>
      </x:c>
      <x:c r="AA73" s="24" t="str">
        <x:v>10일</x:v>
      </x:c>
      <x:c r="AB73" s="30" t="n">
        <x:v>45667</x:v>
      </x:c>
      <x:c r="AC73" s="30" t="n">
        <x:v>47097</x:v>
      </x:c>
      <x:c r="AD73" s="32"/>
      <x:c r="AE73" s="32" t="n">
        <x:v>12702303</x:v>
      </x:c>
      <x:c r="AF73" s="24" t="str"/>
      <x:c r="AG73" s="24" t="str"/>
      <x:c r="AH73" s="30"/>
      <x:c r="AI73" s="24" t="str"/>
      <x:c r="AJ73" s="24" t="str"/>
      <x:c r="AK73" s="32"/>
      <x:c r="AL73" s="32"/>
      <x:c r="AM73" s="24" t="str"/>
      <x:c r="AN73" s="31" t="n">
        <x:v>74</x:v>
      </x:c>
    </x:row>
    <x:row r="74" ht="17.25" customHeight="1">
      <x:c r="A74" s="24" t="str">
        <x:v>스위치플랜</x:v>
      </x:c>
      <x:c r="B74" s="24" t="str">
        <x:v>336소9711</x:v>
      </x:c>
      <x:c r="C74" s="24" t="str">
        <x:v>보유</x:v>
      </x:c>
      <x:c r="D74" s="24" t="str">
        <x:v>현대</x:v>
      </x:c>
      <x:c r="E74" s="24" t="str">
        <x:v>투싼</x:v>
      </x:c>
      <x:c r="F74" s="24" t="str">
        <x:v>투싼 NX4</x:v>
      </x:c>
      <x:c r="G74" s="24" t="str">
        <x:v>하이브리드 1.6</x:v>
      </x:c>
      <x:c r="H74" s="24" t="str">
        <x:v>HEV</x:v>
      </x:c>
      <x:c r="I74" s="31" t="n">
        <x:v>1598</x:v>
      </x:c>
      <x:c r="J74" s="31" t="n">
        <x:v>2021</x:v>
      </x:c>
      <x:c r="K74" s="24" t="str">
        <x:v>KMHJE811BMU000533</x:v>
      </x:c>
      <x:c r="L74" s="24" t="str">
        <x:v>김포</x:v>
      </x:c>
      <x:c r="M74" s="30" t="n">
        <x:v>44137</x:v>
      </x:c>
      <x:c r="N74" s="31"/>
      <x:c r="O74" s="30" t="n">
        <x:v>45261</x:v>
      </x:c>
      <x:c r="P74" s="32" t="n">
        <x:v>40410000</x:v>
      </x:c>
      <x:c r="Q74" s="32" t="n">
        <x:v>32940000</x:v>
      </x:c>
      <x:c r="R74" s="32" t="n">
        <x:v>32940000</x:v>
      </x:c>
      <x:c r="S74" s="24" t="str">
        <x:v>중고</x:v>
      </x:c>
      <x:c r="T74" s="32"/>
      <x:c r="U74" s="32" t="n">
        <x:v>35549000</x:v>
      </x:c>
      <x:c r="V74" s="24" t="str">
        <x:v>할부</x:v>
      </x:c>
      <x:c r="W74" s="24" t="str">
        <x:v>IBK저축은행</x:v>
      </x:c>
      <x:c r="X74" s="32" t="n">
        <x:v>34780001</x:v>
      </x:c>
      <x:c r="Y74" s="33" t="n">
        <x:v>0.17</x:v>
      </x:c>
      <x:c r="Z74" s="31" t="n">
        <x:v>48</x:v>
      </x:c>
      <x:c r="AA74" s="24" t="str">
        <x:v>10일</x:v>
      </x:c>
      <x:c r="AB74" s="30" t="n">
        <x:v>45270</x:v>
      </x:c>
      <x:c r="AC74" s="30" t="n">
        <x:v>46701</x:v>
      </x:c>
      <x:c r="AD74" s="32"/>
      <x:c r="AE74" s="32" t="n">
        <x:v>619820</x:v>
      </x:c>
      <x:c r="AF74" s="24" t="str"/>
      <x:c r="AG74" s="24" t="str"/>
      <x:c r="AH74" s="30"/>
      <x:c r="AI74" s="24" t="str"/>
      <x:c r="AJ74" s="24" t="str"/>
      <x:c r="AK74" s="32"/>
      <x:c r="AL74" s="32"/>
      <x:c r="AM74" s="24" t="str"/>
      <x:c r="AN74" s="31" t="n">
        <x:v>75</x:v>
      </x:c>
    </x:row>
    <x:row r="75" ht="17.25" customHeight="1">
      <x:c r="A75" s="24" t="str">
        <x:v>스위치플랜</x:v>
      </x:c>
      <x:c r="B75" s="24" t="str">
        <x:v>182거8282</x:v>
      </x:c>
      <x:c r="C75" s="24" t="str">
        <x:v>보유</x:v>
      </x:c>
      <x:c r="D75" s="24" t="str">
        <x:v>쉐보레</x:v>
      </x:c>
      <x:c r="E75" s="24" t="str">
        <x:v>스파크</x:v>
      </x:c>
      <x:c r="F75" s="24" t="str">
        <x:v>더 뉴 스파크 M400</x:v>
      </x:c>
      <x:c r="G75" s="24" t="str">
        <x:v>가솔린 1.0</x:v>
      </x:c>
      <x:c r="H75" s="24" t="str">
        <x:v>가솔린</x:v>
      </x:c>
      <x:c r="I75" s="31" t="n">
        <x:v>999</x:v>
      </x:c>
      <x:c r="J75" s="31" t="n">
        <x:v>2020</x:v>
      </x:c>
      <x:c r="K75" s="24" t="str">
        <x:v>KLYDC487DMC200740</x:v>
      </x:c>
      <x:c r="L75" s="24" t="str">
        <x:v>김포</x:v>
      </x:c>
      <x:c r="M75" s="30" t="n">
        <x:v>44151</x:v>
      </x:c>
      <x:c r="N75" s="31"/>
      <x:c r="O75" s="30" t="n">
        <x:v>45608</x:v>
      </x:c>
      <x:c r="P75" s="32"/>
      <x:c r="Q75" s="32" t="n">
        <x:v>9000000</x:v>
      </x:c>
      <x:c r="R75" s="32" t="n">
        <x:v>9440000</x:v>
      </x:c>
      <x:c r="S75" s="24" t="str">
        <x:v>중고</x:v>
      </x:c>
      <x:c r="T75" s="32"/>
      <x:c r="U75" s="32" t="n">
        <x:v>9908000</x:v>
      </x:c>
      <x:c r="V75" s="24" t="str">
        <x:v>할부</x:v>
      </x:c>
      <x:c r="W75" s="24" t="str">
        <x:v>도이치파이낸셜</x:v>
      </x:c>
      <x:c r="X75" s="32" t="n">
        <x:v>10130000</x:v>
      </x:c>
      <x:c r="Y75" s="33" t="n">
        <x:v>0.17</x:v>
      </x:c>
      <x:c r="Z75" s="31" t="n">
        <x:v>48</x:v>
      </x:c>
      <x:c r="AA75" s="24" t="str">
        <x:v>10일</x:v>
      </x:c>
      <x:c r="AB75" s="30" t="n">
        <x:v>45667</x:v>
      </x:c>
      <x:c r="AC75" s="30" t="n">
        <x:v>47097</x:v>
      </x:c>
      <x:c r="AD75" s="32"/>
      <x:c r="AE75" s="32" t="n">
        <x:v>16228630</x:v>
      </x:c>
      <x:c r="AF75" s="24" t="str"/>
      <x:c r="AG75" s="24" t="str"/>
      <x:c r="AH75" s="30"/>
      <x:c r="AI75" s="24" t="str"/>
      <x:c r="AJ75" s="24" t="str"/>
      <x:c r="AK75" s="32"/>
      <x:c r="AL75" s="32"/>
      <x:c r="AM75" s="24" t="str"/>
      <x:c r="AN75" s="31" t="n">
        <x:v>76</x:v>
      </x:c>
    </x:row>
    <x:row r="76" ht="17.25" customHeight="1">
      <x:c r="A76" s="24" t="str">
        <x:v>스위치플랜</x:v>
      </x:c>
      <x:c r="B76" s="24" t="str">
        <x:v>165다5063</x:v>
      </x:c>
      <x:c r="C76" s="24" t="str">
        <x:v>보유</x:v>
      </x:c>
      <x:c r="D76" s="24" t="str">
        <x:v>기아</x:v>
      </x:c>
      <x:c r="E76" s="24" t="str">
        <x:v>K5</x:v>
      </x:c>
      <x:c r="F76" s="24" t="str">
        <x:v>K5 DL3</x:v>
      </x:c>
      <x:c r="G76" s="24" t="str">
        <x:v>LPG 2.0</x:v>
      </x:c>
      <x:c r="H76" s="24" t="str">
        <x:v>LPG</x:v>
      </x:c>
      <x:c r="I76" s="31" t="n">
        <x:v>1999</x:v>
      </x:c>
      <x:c r="J76" s="31" t="n">
        <x:v>2021</x:v>
      </x:c>
      <x:c r="K76" s="24" t="str">
        <x:v>KNAG741BBMA093712</x:v>
      </x:c>
      <x:c r="L76" s="24" t="str">
        <x:v>김포</x:v>
      </x:c>
      <x:c r="M76" s="30" t="n">
        <x:v>44153</x:v>
      </x:c>
      <x:c r="N76" s="31"/>
      <x:c r="O76" s="30" t="n">
        <x:v>45432</x:v>
      </x:c>
      <x:c r="P76" s="32" t="n">
        <x:v>28250000</x:v>
      </x:c>
      <x:c r="Q76" s="32" t="n">
        <x:v>19800000</x:v>
      </x:c>
      <x:c r="R76" s="32" t="n">
        <x:v>19800000</x:v>
      </x:c>
      <x:c r="S76" s="24" t="str">
        <x:v>중고</x:v>
      </x:c>
      <x:c r="T76" s="32"/>
      <x:c r="U76" s="32" t="n">
        <x:v>21715820</x:v>
      </x:c>
      <x:c r="V76" s="24" t="str">
        <x:v>할부</x:v>
      </x:c>
      <x:c r="W76" s="24" t="str">
        <x:v>한국금융자산대부㈜</x:v>
      </x:c>
      <x:c r="X76" s="32" t="n">
        <x:v>21189998</x:v>
      </x:c>
      <x:c r="Y76" s="33" t="n">
        <x:v>0.17</x:v>
      </x:c>
      <x:c r="Z76" s="31" t="n">
        <x:v>48</x:v>
      </x:c>
      <x:c r="AA76" s="24" t="str">
        <x:v>10일</x:v>
      </x:c>
      <x:c r="AB76" s="30" t="n">
        <x:v>45453</x:v>
      </x:c>
      <x:c r="AC76" s="30" t="n">
        <x:v>46883</x:v>
      </x:c>
      <x:c r="AD76" s="32"/>
      <x:c r="AE76" s="32" t="n">
        <x:v>8019346</x:v>
      </x:c>
      <x:c r="AF76" s="24" t="str"/>
      <x:c r="AG76" s="24" t="str"/>
      <x:c r="AH76" s="30"/>
      <x:c r="AI76" s="24" t="str"/>
      <x:c r="AJ76" s="24" t="str"/>
      <x:c r="AK76" s="32"/>
      <x:c r="AL76" s="32"/>
      <x:c r="AM76" s="24" t="str"/>
      <x:c r="AN76" s="31" t="n">
        <x:v>77</x:v>
      </x:c>
    </x:row>
    <x:row r="77" ht="17.25" customHeight="1">
      <x:c r="A77" s="24" t="str">
        <x:v>스위치플랜</x:v>
      </x:c>
      <x:c r="B77" s="24" t="str">
        <x:v>145가1781</x:v>
      </x:c>
      <x:c r="C77" s="24" t="str">
        <x:v>보유</x:v>
      </x:c>
      <x:c r="D77" s="24" t="str">
        <x:v>벤츠</x:v>
      </x:c>
      <x:c r="E77" s="24" t="str">
        <x:v>E-클래스</x:v>
      </x:c>
      <x:c r="F77" s="24" t="str">
        <x:v>E-클래스 W213</x:v>
      </x:c>
      <x:c r="G77" s="24" t="str">
        <x:v>가솔린 2.0</x:v>
      </x:c>
      <x:c r="H77" s="24" t="str">
        <x:v>가솔린</x:v>
      </x:c>
      <x:c r="I77" s="31" t="n">
        <x:v>1991</x:v>
      </x:c>
      <x:c r="J77" s="31" t="n">
        <x:v>2020</x:v>
      </x:c>
      <x:c r="K77" s="24" t="str">
        <x:v>W1KZF4FB8MA884751</x:v>
      </x:c>
      <x:c r="L77" s="24" t="str">
        <x:v>김포</x:v>
      </x:c>
      <x:c r="M77" s="30" t="n">
        <x:v>44155</x:v>
      </x:c>
      <x:c r="N77" s="31"/>
      <x:c r="O77" s="30" t="n">
        <x:v>45715</x:v>
      </x:c>
      <x:c r="P77" s="32"/>
      <x:c r="Q77" s="32" t="n">
        <x:v>36000000</x:v>
      </x:c>
      <x:c r="R77" s="32" t="n">
        <x:v>36000000</x:v>
      </x:c>
      <x:c r="S77" s="24" t="str">
        <x:v>중고</x:v>
      </x:c>
      <x:c r="T77" s="32"/>
      <x:c r="U77" s="32" t="n">
        <x:v>39154000</x:v>
      </x:c>
      <x:c r="V77" s="24" t="str">
        <x:v>할부</x:v>
      </x:c>
      <x:c r="W77" s="24" t="str">
        <x:v>KB캐피탈</x:v>
      </x:c>
      <x:c r="X77" s="32" t="n">
        <x:v>36000000</x:v>
      </x:c>
      <x:c r="Y77" s="33" t="n">
        <x:v>0.08</x:v>
      </x:c>
      <x:c r="Z77" s="31" t="n">
        <x:v>36</x:v>
      </x:c>
      <x:c r="AA77" s="24" t="str">
        <x:v>20일</x:v>
      </x:c>
      <x:c r="AB77" s="30" t="n">
        <x:v>45736</x:v>
      </x:c>
      <x:c r="AC77" s="30" t="n">
        <x:v>46803</x:v>
      </x:c>
      <x:c r="AD77" s="32" t="n">
        <x:v>1119823</x:v>
      </x:c>
      <x:c r="AE77" s="32" t="n">
        <x:v>20003103</x:v>
      </x:c>
      <x:c r="AF77" s="24" t="str"/>
      <x:c r="AG77" s="24" t="str"/>
      <x:c r="AH77" s="30"/>
      <x:c r="AI77" s="24" t="str"/>
      <x:c r="AJ77" s="24" t="str"/>
      <x:c r="AK77" s="32"/>
      <x:c r="AL77" s="32"/>
      <x:c r="AM77" s="24" t="str"/>
      <x:c r="AN77" s="31" t="n">
        <x:v>78</x:v>
      </x:c>
    </x:row>
    <x:row r="78" ht="17.25" customHeight="1">
      <x:c r="A78" s="24" t="str">
        <x:v>스위치플랜</x:v>
      </x:c>
      <x:c r="B78" s="24" t="str">
        <x:v>145가1796</x:v>
      </x:c>
      <x:c r="C78" s="24" t="str">
        <x:v>보유</x:v>
      </x:c>
      <x:c r="D78" s="24" t="str">
        <x:v>벤츠</x:v>
      </x:c>
      <x:c r="E78" s="24" t="str">
        <x:v>E-클래스</x:v>
      </x:c>
      <x:c r="F78" s="24" t="str">
        <x:v>E-클래스 W213</x:v>
      </x:c>
      <x:c r="G78" s="24" t="str">
        <x:v>가솔린 2.0</x:v>
      </x:c>
      <x:c r="H78" s="24" t="str">
        <x:v>가솔린</x:v>
      </x:c>
      <x:c r="I78" s="31" t="n">
        <x:v>1991</x:v>
      </x:c>
      <x:c r="J78" s="31" t="n">
        <x:v>2020</x:v>
      </x:c>
      <x:c r="K78" s="24" t="str">
        <x:v>W1KZF4FBXMA882645</x:v>
      </x:c>
      <x:c r="L78" s="24" t="str">
        <x:v>김포</x:v>
      </x:c>
      <x:c r="M78" s="30" t="n">
        <x:v>44155</x:v>
      </x:c>
      <x:c r="N78" s="31"/>
      <x:c r="O78" s="30" t="n">
        <x:v>45741</x:v>
      </x:c>
      <x:c r="P78" s="32"/>
      <x:c r="Q78" s="32" t="n">
        <x:v>36000000</x:v>
      </x:c>
      <x:c r="R78" s="32" t="n">
        <x:v>36000000</x:v>
      </x:c>
      <x:c r="S78" s="24" t="str">
        <x:v>중고</x:v>
      </x:c>
      <x:c r="T78" s="32"/>
      <x:c r="U78" s="32" t="n">
        <x:v>39107100</x:v>
      </x:c>
      <x:c r="V78" s="24" t="str">
        <x:v>할부</x:v>
      </x:c>
      <x:c r="W78" s="24" t="str">
        <x:v>KB캐피탈</x:v>
      </x:c>
      <x:c r="X78" s="32" t="n">
        <x:v>39380000</x:v>
      </x:c>
      <x:c r="Y78" s="33" t="n">
        <x:v>0.17</x:v>
      </x:c>
      <x:c r="Z78" s="31" t="n">
        <x:v>48</x:v>
      </x:c>
      <x:c r="AA78" s="24" t="str">
        <x:v>10일</x:v>
      </x:c>
      <x:c r="AB78" s="30" t="n">
        <x:v>45757</x:v>
      </x:c>
      <x:c r="AC78" s="30" t="n">
        <x:v>47187</x:v>
      </x:c>
      <x:c r="AD78" s="32" t="n">
        <x:v>1136310</x:v>
      </x:c>
      <x:c r="AE78" s="32"/>
      <x:c r="AF78" s="24" t="str"/>
      <x:c r="AG78" s="24" t="str"/>
      <x:c r="AH78" s="30"/>
      <x:c r="AI78" s="24" t="str"/>
      <x:c r="AJ78" s="24" t="str"/>
      <x:c r="AK78" s="32"/>
      <x:c r="AL78" s="32"/>
      <x:c r="AM78" s="24" t="str"/>
      <x:c r="AN78" s="31" t="n">
        <x:v>79</x:v>
      </x:c>
    </x:row>
    <x:row r="79" ht="17.25" customHeight="1">
      <x:c r="A79" s="24" t="str">
        <x:v>스위치플랜</x:v>
      </x:c>
      <x:c r="B79" s="24" t="str">
        <x:v>155라6311</x:v>
      </x:c>
      <x:c r="C79" s="24" t="str">
        <x:v>보유</x:v>
      </x:c>
      <x:c r="D79" s="24" t="str">
        <x:v>벤츠</x:v>
      </x:c>
      <x:c r="E79" s="24" t="str">
        <x:v>E-클래스</x:v>
      </x:c>
      <x:c r="F79" s="24" t="str">
        <x:v>E-클래스 W213</x:v>
      </x:c>
      <x:c r="G79" s="24" t="str">
        <x:v>가솔린 2.0</x:v>
      </x:c>
      <x:c r="H79" s="24" t="str">
        <x:v>가솔린</x:v>
      </x:c>
      <x:c r="I79" s="31" t="n">
        <x:v>1991</x:v>
      </x:c>
      <x:c r="J79" s="31" t="n">
        <x:v>2020</x:v>
      </x:c>
      <x:c r="K79" s="24" t="str">
        <x:v>W1KZF4FB7MA888399</x:v>
      </x:c>
      <x:c r="L79" s="24" t="str">
        <x:v>김포</x:v>
      </x:c>
      <x:c r="M79" s="30" t="n">
        <x:v>44180</x:v>
      </x:c>
      <x:c r="N79" s="31"/>
      <x:c r="O79" s="30" t="n">
        <x:v>45741</x:v>
      </x:c>
      <x:c r="P79" s="32"/>
      <x:c r="Q79" s="32" t="n">
        <x:v>36000000</x:v>
      </x:c>
      <x:c r="R79" s="32" t="n">
        <x:v>37587630</x:v>
      </x:c>
      <x:c r="S79" s="24" t="str">
        <x:v>중고</x:v>
      </x:c>
      <x:c r="T79" s="32"/>
      <x:c r="U79" s="32" t="n">
        <x:v>40694730</x:v>
      </x:c>
      <x:c r="V79" s="24" t="str">
        <x:v>할부</x:v>
      </x:c>
      <x:c r="W79" s="24" t="str">
        <x:v>한국금융자산대부</x:v>
      </x:c>
      <x:c r="X79" s="32" t="n">
        <x:v>39380000</x:v>
      </x:c>
      <x:c r="Y79" s="33" t="n">
        <x:v>0.17</x:v>
      </x:c>
      <x:c r="Z79" s="31" t="n">
        <x:v>48</x:v>
      </x:c>
      <x:c r="AA79" s="24" t="str">
        <x:v>10일</x:v>
      </x:c>
      <x:c r="AB79" s="30" t="n">
        <x:v>45757</x:v>
      </x:c>
      <x:c r="AC79" s="30" t="n">
        <x:v>47187</x:v>
      </x:c>
      <x:c r="AD79" s="32" t="n">
        <x:v>1136310</x:v>
      </x:c>
      <x:c r="AE79" s="32" t="n">
        <x:v>3518820</x:v>
      </x:c>
      <x:c r="AF79" s="24" t="str"/>
      <x:c r="AG79" s="24" t="str"/>
      <x:c r="AH79" s="30"/>
      <x:c r="AI79" s="24" t="str"/>
      <x:c r="AJ79" s="24" t="str"/>
      <x:c r="AK79" s="32"/>
      <x:c r="AL79" s="32"/>
      <x:c r="AM79" s="24" t="str"/>
      <x:c r="AN79" s="31" t="n">
        <x:v>80</x:v>
      </x:c>
    </x:row>
    <x:row r="80" ht="17.25" customHeight="1">
      <x:c r="A80" s="24" t="str">
        <x:v>스위치플랜</x:v>
      </x:c>
      <x:c r="B80" s="24" t="str">
        <x:v>155라6331</x:v>
      </x:c>
      <x:c r="C80" s="24" t="str">
        <x:v>보유</x:v>
      </x:c>
      <x:c r="D80" s="24" t="str">
        <x:v>벤츠</x:v>
      </x:c>
      <x:c r="E80" s="24" t="str">
        <x:v>E-클래스</x:v>
      </x:c>
      <x:c r="F80" s="24" t="str">
        <x:v>E-클래스 W213</x:v>
      </x:c>
      <x:c r="G80" s="24" t="str">
        <x:v>가솔린 2.0</x:v>
      </x:c>
      <x:c r="H80" s="24" t="str">
        <x:v>가솔린</x:v>
      </x:c>
      <x:c r="I80" s="31" t="n">
        <x:v>1991</x:v>
      </x:c>
      <x:c r="J80" s="31" t="n">
        <x:v>2020</x:v>
      </x:c>
      <x:c r="K80" s="24" t="str">
        <x:v>W1KZF4FB1MA886647</x:v>
      </x:c>
      <x:c r="L80" s="24" t="str">
        <x:v>김포</x:v>
      </x:c>
      <x:c r="M80" s="30" t="n">
        <x:v>44180</x:v>
      </x:c>
      <x:c r="N80" s="31"/>
      <x:c r="O80" s="30" t="n">
        <x:v>45741</x:v>
      </x:c>
      <x:c r="P80" s="32"/>
      <x:c r="Q80" s="32" t="n">
        <x:v>36000000</x:v>
      </x:c>
      <x:c r="R80" s="32" t="n">
        <x:v>36000000</x:v>
      </x:c>
      <x:c r="S80" s="24" t="str">
        <x:v>중고</x:v>
      </x:c>
      <x:c r="T80" s="32"/>
      <x:c r="U80" s="32" t="n">
        <x:v>39107100</x:v>
      </x:c>
      <x:c r="V80" s="24" t="str">
        <x:v>할부</x:v>
      </x:c>
      <x:c r="W80" s="24" t="str">
        <x:v>한국금융자산대부</x:v>
      </x:c>
      <x:c r="X80" s="32" t="n">
        <x:v>39380004</x:v>
      </x:c>
      <x:c r="Y80" s="33" t="n">
        <x:v>0.17</x:v>
      </x:c>
      <x:c r="Z80" s="31" t="n">
        <x:v>48</x:v>
      </x:c>
      <x:c r="AA80" s="24" t="str">
        <x:v>10일</x:v>
      </x:c>
      <x:c r="AB80" s="30" t="n">
        <x:v>45757</x:v>
      </x:c>
      <x:c r="AC80" s="30" t="n">
        <x:v>47187</x:v>
      </x:c>
      <x:c r="AD80" s="32"/>
      <x:c r="AE80" s="32" t="n">
        <x:v>3919781</x:v>
      </x:c>
      <x:c r="AF80" s="24" t="str"/>
      <x:c r="AG80" s="24" t="str"/>
      <x:c r="AH80" s="30"/>
      <x:c r="AI80" s="24" t="str"/>
      <x:c r="AJ80" s="24" t="str"/>
      <x:c r="AK80" s="32"/>
      <x:c r="AL80" s="32"/>
      <x:c r="AM80" s="24" t="str"/>
      <x:c r="AN80" s="31" t="n">
        <x:v>81</x:v>
      </x:c>
    </x:row>
    <x:row r="81" ht="17.25" customHeight="1">
      <x:c r="A81" s="24" t="str">
        <x:v>스위치플랜</x:v>
      </x:c>
      <x:c r="B81" s="24" t="str">
        <x:v>248너5286</x:v>
      </x:c>
      <x:c r="C81" s="24" t="str">
        <x:v>보유</x:v>
      </x:c>
      <x:c r="D81" s="24" t="str">
        <x:v>제네시스</x:v>
      </x:c>
      <x:c r="E81" s="24" t="str">
        <x:v>GV70</x:v>
      </x:c>
      <x:c r="F81" s="24" t="str">
        <x:v>GV70 JK1</x:v>
      </x:c>
      <x:c r="G81" s="24" t="str">
        <x:v>가솔린 3.5 AWD</x:v>
      </x:c>
      <x:c r="H81" s="24" t="str">
        <x:v>가솔린</x:v>
      </x:c>
      <x:c r="I81" s="31" t="n">
        <x:v>3470</x:v>
      </x:c>
      <x:c r="J81" s="31" t="n">
        <x:v>2021</x:v>
      </x:c>
      <x:c r="K81" s="24" t="str">
        <x:v>KMTMF81CDMU008761</x:v>
      </x:c>
      <x:c r="L81" s="24" t="str">
        <x:v>김포</x:v>
      </x:c>
      <x:c r="M81" s="30" t="n">
        <x:v>44259</x:v>
      </x:c>
      <x:c r="N81" s="31"/>
      <x:c r="O81" s="30" t="n">
        <x:v>45343</x:v>
      </x:c>
      <x:c r="P81" s="32" t="n">
        <x:v>71100000</x:v>
      </x:c>
      <x:c r="Q81" s="32" t="n">
        <x:v>48900000</x:v>
      </x:c>
      <x:c r="R81" s="32" t="n">
        <x:v>48840000</x:v>
      </x:c>
      <x:c r="S81" s="24" t="str">
        <x:v>중고</x:v>
      </x:c>
      <x:c r="T81" s="32"/>
      <x:c r="U81" s="32" t="n">
        <x:v>53290810</x:v>
      </x:c>
      <x:c r="V81" s="24" t="str">
        <x:v>할부</x:v>
      </x:c>
      <x:c r="W81" s="24" t="str">
        <x:v>KB캐피탈</x:v>
      </x:c>
      <x:c r="X81" s="32" t="n">
        <x:v>39000000</x:v>
      </x:c>
      <x:c r="Y81" s="33" t="n">
        <x:v>0.17</x:v>
      </x:c>
      <x:c r="Z81" s="31" t="n">
        <x:v>36</x:v>
      </x:c>
      <x:c r="AA81" s="24" t="str">
        <x:v>10일</x:v>
      </x:c>
      <x:c r="AB81" s="30" t="n">
        <x:v>45361</x:v>
      </x:c>
      <x:c r="AC81" s="30" t="n">
        <x:v>46793</x:v>
      </x:c>
      <x:c r="AD81" s="32" t="n">
        <x:v>1213142</x:v>
      </x:c>
      <x:c r="AE81" s="32" t="n">
        <x:v>8283618</x:v>
      </x:c>
      <x:c r="AF81" s="24" t="str"/>
      <x:c r="AG81" s="24" t="str"/>
      <x:c r="AH81" s="30"/>
      <x:c r="AI81" s="24" t="str"/>
      <x:c r="AJ81" s="24" t="str"/>
      <x:c r="AK81" s="32"/>
      <x:c r="AL81" s="32"/>
      <x:c r="AM81" s="24" t="str"/>
      <x:c r="AN81" s="31" t="n">
        <x:v>82</x:v>
      </x:c>
    </x:row>
    <x:row r="82" ht="17.25" customHeight="1">
      <x:c r="A82" s="24" t="str">
        <x:v>스위치플랜</x:v>
      </x:c>
      <x:c r="B82" s="24" t="str">
        <x:v>350수9623</x:v>
      </x:c>
      <x:c r="C82" s="24" t="str">
        <x:v>보유</x:v>
      </x:c>
      <x:c r="D82" s="24" t="str">
        <x:v>제네시스</x:v>
      </x:c>
      <x:c r="E82" s="24" t="str">
        <x:v>GV80</x:v>
      </x:c>
      <x:c r="F82" s="24" t="str">
        <x:v>GV80 JX1</x:v>
      </x:c>
      <x:c r="G82" s="24" t="str">
        <x:v>가솔린 2.5 AWD</x:v>
      </x:c>
      <x:c r="H82" s="24" t="str">
        <x:v>가솔린</x:v>
      </x:c>
      <x:c r="I82" s="31" t="n">
        <x:v>2497</x:v>
      </x:c>
      <x:c r="J82" s="31" t="n">
        <x:v>2021</x:v>
      </x:c>
      <x:c r="K82" s="24" t="str">
        <x:v>KMTHA81BDMU058280</x:v>
      </x:c>
      <x:c r="L82" s="24" t="str">
        <x:v>김포</x:v>
      </x:c>
      <x:c r="M82" s="30" t="n">
        <x:v>44301</x:v>
      </x:c>
      <x:c r="N82" s="31"/>
      <x:c r="O82" s="30" t="n">
        <x:v>45278</x:v>
      </x:c>
      <x:c r="P82" s="32" t="n">
        <x:v>83780000</x:v>
      </x:c>
      <x:c r="Q82" s="32" t="n">
        <x:v>61940000</x:v>
      </x:c>
      <x:c r="R82" s="32" t="n">
        <x:v>61940000</x:v>
      </x:c>
      <x:c r="S82" s="24" t="str">
        <x:v>중고</x:v>
      </x:c>
      <x:c r="T82" s="32"/>
      <x:c r="U82" s="32" t="n">
        <x:v>66699816</x:v>
      </x:c>
      <x:c r="V82" s="24" t="str">
        <x:v>할부</x:v>
      </x:c>
      <x:c r="W82" s="24" t="str">
        <x:v>한국금융자산대부㈜</x:v>
      </x:c>
      <x:c r="X82" s="32" t="n">
        <x:v>65810000</x:v>
      </x:c>
      <x:c r="Y82" s="33" t="n">
        <x:v>0.17</x:v>
      </x:c>
      <x:c r="Z82" s="31" t="n">
        <x:v>48</x:v>
      </x:c>
      <x:c r="AA82" s="24" t="str">
        <x:v>10일</x:v>
      </x:c>
      <x:c r="AB82" s="30" t="n">
        <x:v>45301</x:v>
      </x:c>
      <x:c r="AC82" s="30" t="n">
        <x:v>46731</x:v>
      </x:c>
      <x:c r="AD82" s="32"/>
      <x:c r="AE82" s="32" t="n">
        <x:v>6506998</x:v>
      </x:c>
      <x:c r="AF82" s="24" t="str"/>
      <x:c r="AG82" s="24" t="str"/>
      <x:c r="AH82" s="30"/>
      <x:c r="AI82" s="24" t="str"/>
      <x:c r="AJ82" s="24" t="str"/>
      <x:c r="AK82" s="32"/>
      <x:c r="AL82" s="32"/>
      <x:c r="AM82" s="24" t="str"/>
      <x:c r="AN82" s="31" t="n">
        <x:v>83</x:v>
      </x:c>
    </x:row>
    <x:row r="83" ht="17.25" customHeight="1">
      <x:c r="A83" s="24" t="str">
        <x:v>스위치플랜</x:v>
      </x:c>
      <x:c r="B83" s="24" t="str">
        <x:v>827버3872</x:v>
      </x:c>
      <x:c r="C83" s="24" t="str">
        <x:v>보유</x:v>
      </x:c>
      <x:c r="D83" s="24" t="str">
        <x:v>현대</x:v>
      </x:c>
      <x:c r="E83" s="24" t="str">
        <x:v>포터</x:v>
      </x:c>
      <x:c r="F83" s="24" t="str">
        <x:v>포터 II</x:v>
      </x:c>
      <x:c r="G83" s="24" t="str">
        <x:v>디젤 2.5</x:v>
      </x:c>
      <x:c r="H83" s="24" t="str">
        <x:v>디젤</x:v>
      </x:c>
      <x:c r="I83" s="31" t="n">
        <x:v>2497</x:v>
      </x:c>
      <x:c r="J83" s="31" t="n">
        <x:v>2021</x:v>
      </x:c>
      <x:c r="K83" s="24" t="str">
        <x:v>KMFZSZ7KBNU885001</x:v>
      </x:c>
      <x:c r="L83" s="24" t="str">
        <x:v>김포</x:v>
      </x:c>
      <x:c r="M83" s="30" t="n">
        <x:v>44354</x:v>
      </x:c>
      <x:c r="N83" s="31"/>
      <x:c r="O83" s="30" t="n">
        <x:v>45454</x:v>
      </x:c>
      <x:c r="P83" s="32" t="n">
        <x:v>24890000</x:v>
      </x:c>
      <x:c r="Q83" s="32" t="n">
        <x:v>16000000</x:v>
      </x:c>
      <x:c r="R83" s="32" t="n">
        <x:v>16528660</x:v>
      </x:c>
      <x:c r="S83" s="24" t="str">
        <x:v>중고</x:v>
      </x:c>
      <x:c r="T83" s="32"/>
      <x:c r="U83" s="32" t="n">
        <x:v>17802123</x:v>
      </x:c>
      <x:c r="V83" s="24" t="str">
        <x:v>할부</x:v>
      </x:c>
      <x:c r="W83" s="24" t="str">
        <x:v>한국금융자산대부㈜</x:v>
      </x:c>
      <x:c r="X83" s="32" t="n">
        <x:v>17120002</x:v>
      </x:c>
      <x:c r="Y83" s="33" t="n">
        <x:v>0.17</x:v>
      </x:c>
      <x:c r="Z83" s="31" t="n">
        <x:v>48</x:v>
      </x:c>
      <x:c r="AA83" s="24" t="str">
        <x:v>10일</x:v>
      </x:c>
      <x:c r="AB83" s="30" t="n">
        <x:v>45453</x:v>
      </x:c>
      <x:c r="AC83" s="30" t="n">
        <x:v>46883</x:v>
      </x:c>
      <x:c r="AD83" s="32"/>
      <x:c r="AE83" s="32" t="n">
        <x:v>17892483</x:v>
      </x:c>
      <x:c r="AF83" s="24" t="str"/>
      <x:c r="AG83" s="24" t="str"/>
      <x:c r="AH83" s="30"/>
      <x:c r="AI83" s="24" t="str"/>
      <x:c r="AJ83" s="24" t="str"/>
      <x:c r="AK83" s="32"/>
      <x:c r="AL83" s="32"/>
      <x:c r="AM83" s="24" t="str"/>
      <x:c r="AN83" s="31" t="n">
        <x:v>84</x:v>
      </x:c>
    </x:row>
    <x:row r="84" ht="17.25" customHeight="1">
      <x:c r="A84" s="24" t="str">
        <x:v>스위치플랜</x:v>
      </x:c>
      <x:c r="B84" s="24" t="str">
        <x:v>201다3498</x:v>
      </x:c>
      <x:c r="C84" s="24" t="str">
        <x:v>보유</x:v>
      </x:c>
      <x:c r="D84" s="24" t="str">
        <x:v>기아</x:v>
      </x:c>
      <x:c r="E84" s="24" t="str">
        <x:v>카니발</x:v>
      </x:c>
      <x:c r="F84" s="24" t="str">
        <x:v>카니발 KA4</x:v>
      </x:c>
      <x:c r="G84" s="24" t="str">
        <x:v>디젤 2.2</x:v>
      </x:c>
      <x:c r="H84" s="24" t="str">
        <x:v>디젤</x:v>
      </x:c>
      <x:c r="I84" s="31" t="n">
        <x:v>2151</x:v>
      </x:c>
      <x:c r="J84" s="31" t="n">
        <x:v>2022</x:v>
      </x:c>
      <x:c r="K84" s="24" t="str">
        <x:v>KNANC81BBNS150589</x:v>
      </x:c>
      <x:c r="L84" s="24" t="str">
        <x:v>김포</x:v>
      </x:c>
      <x:c r="M84" s="30" t="n">
        <x:v>44489</x:v>
      </x:c>
      <x:c r="N84" s="31"/>
      <x:c r="O84" s="30" t="n">
        <x:v>45301</x:v>
      </x:c>
      <x:c r="P84" s="32" t="n">
        <x:v>45460000</x:v>
      </x:c>
      <x:c r="Q84" s="32" t="n">
        <x:v>37981000</x:v>
      </x:c>
      <x:c r="R84" s="32" t="n">
        <x:v>37981000</x:v>
      </x:c>
      <x:c r="S84" s="24" t="str">
        <x:v>중고</x:v>
      </x:c>
      <x:c r="T84" s="32"/>
      <x:c r="U84" s="32" t="n">
        <x:v>41462000</x:v>
      </x:c>
      <x:c r="V84" s="24" t="str">
        <x:v>할부</x:v>
      </x:c>
      <x:c r="W84" s="24" t="str">
        <x:v>KB캐피탈</x:v>
      </x:c>
      <x:c r="X84" s="32" t="n">
        <x:v>31300000</x:v>
      </x:c>
      <x:c r="Y84" s="33" t="n">
        <x:v>0.08</x:v>
      </x:c>
      <x:c r="Z84" s="31" t="n">
        <x:v>36</x:v>
      </x:c>
      <x:c r="AA84" s="24" t="str">
        <x:v>20일</x:v>
      </x:c>
      <x:c r="AB84" s="30" t="n">
        <x:v>45342</x:v>
      </x:c>
      <x:c r="AC84" s="30" t="n">
        <x:v>46407</x:v>
      </x:c>
      <x:c r="AD84" s="32" t="n">
        <x:v>973624</x:v>
      </x:c>
      <x:c r="AE84" s="32" t="n">
        <x:v>5716065</x:v>
      </x:c>
      <x:c r="AF84" s="24" t="str"/>
      <x:c r="AG84" s="24" t="str"/>
      <x:c r="AH84" s="30"/>
      <x:c r="AI84" s="24" t="str"/>
      <x:c r="AJ84" s="24" t="str"/>
      <x:c r="AK84" s="32"/>
      <x:c r="AL84" s="32"/>
      <x:c r="AM84" s="24" t="str"/>
      <x:c r="AN84" s="31" t="n">
        <x:v>85</x:v>
      </x:c>
    </x:row>
    <x:row r="85" ht="17.25" customHeight="1">
      <x:c r="A85" s="24" t="str">
        <x:v>스위치플랜</x:v>
      </x:c>
      <x:c r="B85" s="24" t="str">
        <x:v>288수6402</x:v>
      </x:c>
      <x:c r="C85" s="24" t="str">
        <x:v>보유</x:v>
      </x:c>
      <x:c r="D85" s="24" t="str">
        <x:v>현대</x:v>
      </x:c>
      <x:c r="E85" s="24" t="str">
        <x:v>아반떼</x:v>
      </x:c>
      <x:c r="F85" s="24" t="str">
        <x:v>아반떼 CN7</x:v>
      </x:c>
      <x:c r="G85" s="24" t="str">
        <x:v>가솔린 2.0T</x:v>
      </x:c>
      <x:c r="H85" s="24" t="str">
        <x:v>가솔린</x:v>
      </x:c>
      <x:c r="I85" s="31" t="n">
        <x:v>1998</x:v>
      </x:c>
      <x:c r="J85" s="31" t="n">
        <x:v>2022</x:v>
      </x:c>
      <x:c r="K85" s="24" t="str">
        <x:v>KMHLW41KGNU000960</x:v>
      </x:c>
      <x:c r="L85" s="24" t="str">
        <x:v>김포</x:v>
      </x:c>
      <x:c r="M85" s="30" t="n">
        <x:v>44559</x:v>
      </x:c>
      <x:c r="N85" s="31"/>
      <x:c r="O85" s="30" t="n">
        <x:v>45518</x:v>
      </x:c>
      <x:c r="P85" s="32" t="n">
        <x:v>37370000</x:v>
      </x:c>
      <x:c r="Q85" s="32" t="n">
        <x:v>23500000</x:v>
      </x:c>
      <x:c r="R85" s="32" t="n">
        <x:v>23500000</x:v>
      </x:c>
      <x:c r="S85" s="24" t="str">
        <x:v>중고</x:v>
      </x:c>
      <x:c r="T85" s="32"/>
      <x:c r="U85" s="32" t="n">
        <x:v>25514200</x:v>
      </x:c>
      <x:c r="V85" s="24" t="str">
        <x:v>할부</x:v>
      </x:c>
      <x:c r="W85" s="24" t="str">
        <x:v>한국금융자산대부㈜</x:v>
      </x:c>
      <x:c r="X85" s="32" t="n">
        <x:v>25649996</x:v>
      </x:c>
      <x:c r="Y85" s="33" t="n">
        <x:v>0.17</x:v>
      </x:c>
      <x:c r="Z85" s="31" t="n">
        <x:v>48</x:v>
      </x:c>
      <x:c r="AA85" s="24" t="str">
        <x:v>10일</x:v>
      </x:c>
      <x:c r="AB85" s="30" t="n">
        <x:v>45545</x:v>
      </x:c>
      <x:c r="AC85" s="30" t="n">
        <x:v>46975</x:v>
      </x:c>
      <x:c r="AD85" s="32"/>
      <x:c r="AE85" s="32" t="n">
        <x:v>12057848</x:v>
      </x:c>
      <x:c r="AF85" s="24" t="str"/>
      <x:c r="AG85" s="24" t="str"/>
      <x:c r="AH85" s="30"/>
      <x:c r="AI85" s="24" t="str"/>
      <x:c r="AJ85" s="24" t="str"/>
      <x:c r="AK85" s="32"/>
      <x:c r="AL85" s="32"/>
      <x:c r="AM85" s="24" t="str"/>
      <x:c r="AN85" s="31" t="n">
        <x:v>86</x:v>
      </x:c>
    </x:row>
    <x:row r="86" ht="17.25" customHeight="1">
      <x:c r="A86" s="24" t="str">
        <x:v>스위치플랜</x:v>
      </x:c>
      <x:c r="B86" s="24" t="str">
        <x:v>244루2757</x:v>
      </x:c>
      <x:c r="C86" s="24" t="str">
        <x:v>보유</x:v>
      </x:c>
      <x:c r="D86" s="24" t="str">
        <x:v>현대</x:v>
      </x:c>
      <x:c r="E86" s="24" t="str">
        <x:v>캐스퍼</x:v>
      </x:c>
      <x:c r="F86" s="24" t="str">
        <x:v>캐스퍼 AX1</x:v>
      </x:c>
      <x:c r="G86" s="24" t="str">
        <x:v>가솔린 1.0</x:v>
      </x:c>
      <x:c r="H86" s="24" t="str">
        <x:v>가솔린</x:v>
      </x:c>
      <x:c r="I86" s="31" t="n">
        <x:v>998</x:v>
      </x:c>
      <x:c r="J86" s="31" t="n">
        <x:v>2022</x:v>
      </x:c>
      <x:c r="K86" s="24" t="str">
        <x:v>KMHB3518BNW014278</x:v>
      </x:c>
      <x:c r="L86" s="24" t="str">
        <x:v>김포</x:v>
      </x:c>
      <x:c r="M86" s="30" t="n">
        <x:v>44582</x:v>
      </x:c>
      <x:c r="N86" s="31"/>
      <x:c r="O86" s="30" t="n">
        <x:v>45359</x:v>
      </x:c>
      <x:c r="P86" s="32" t="n">
        <x:v>18030000</x:v>
      </x:c>
      <x:c r="Q86" s="32" t="n">
        <x:v>12400000</x:v>
      </x:c>
      <x:c r="R86" s="32"/>
      <x:c r="S86" s="24" t="str">
        <x:v>중고</x:v>
      </x:c>
      <x:c r="T86" s="32"/>
      <x:c r="U86" s="32"/>
      <x:c r="V86" s="24" t="str">
        <x:v>할부</x:v>
      </x:c>
      <x:c r="W86" s="24" t="str">
        <x:v>한국금융자산대부㈜</x:v>
      </x:c>
      <x:c r="X86" s="32" t="n">
        <x:v>13270002</x:v>
      </x:c>
      <x:c r="Y86" s="33" t="n">
        <x:v>0.17</x:v>
      </x:c>
      <x:c r="Z86" s="31" t="n">
        <x:v>48</x:v>
      </x:c>
      <x:c r="AA86" s="24" t="str">
        <x:v>10일</x:v>
      </x:c>
      <x:c r="AB86" s="30" t="n">
        <x:v>45361</x:v>
      </x:c>
      <x:c r="AC86" s="30" t="n">
        <x:v>46793</x:v>
      </x:c>
      <x:c r="AD86" s="32"/>
      <x:c r="AE86" s="32" t="n">
        <x:v>6842763</x:v>
      </x:c>
      <x:c r="AF86" s="24" t="str"/>
      <x:c r="AG86" s="24" t="str"/>
      <x:c r="AH86" s="30"/>
      <x:c r="AI86" s="24" t="str"/>
      <x:c r="AJ86" s="24" t="str"/>
      <x:c r="AK86" s="32"/>
      <x:c r="AL86" s="32"/>
      <x:c r="AM86" s="24" t="str"/>
      <x:c r="AN86" s="31" t="n">
        <x:v>87</x:v>
      </x:c>
    </x:row>
    <x:row r="87" ht="17.25" customHeight="1">
      <x:c r="A87" s="24" t="str">
        <x:v>스위치플랜</x:v>
      </x:c>
      <x:c r="B87" s="24" t="str">
        <x:v>330모8787</x:v>
      </x:c>
      <x:c r="C87" s="24" t="str">
        <x:v>보유</x:v>
      </x:c>
      <x:c r="D87" s="24" t="str">
        <x:v>현대</x:v>
      </x:c>
      <x:c r="E87" s="24" t="str">
        <x:v>아반떼</x:v>
      </x:c>
      <x:c r="F87" s="24" t="str">
        <x:v>아반떼 CN7</x:v>
      </x:c>
      <x:c r="G87" s="24" t="str">
        <x:v>가솔린 2.0T</x:v>
      </x:c>
      <x:c r="H87" s="24" t="str">
        <x:v>가솔린</x:v>
      </x:c>
      <x:c r="I87" s="31" t="n">
        <x:v>1998</x:v>
      </x:c>
      <x:c r="J87" s="31" t="n">
        <x:v>2022</x:v>
      </x:c>
      <x:c r="K87" s="24" t="str">
        <x:v>KMHLW41KGNU003164</x:v>
      </x:c>
      <x:c r="L87" s="24" t="str">
        <x:v>김포</x:v>
      </x:c>
      <x:c r="M87" s="30" t="n">
        <x:v>44585</x:v>
      </x:c>
      <x:c r="N87" s="31"/>
      <x:c r="O87" s="30" t="n">
        <x:v>45264</x:v>
      </x:c>
      <x:c r="P87" s="32" t="n">
        <x:v>37960000</x:v>
      </x:c>
      <x:c r="Q87" s="32" t="n">
        <x:v>27400000</x:v>
      </x:c>
      <x:c r="R87" s="32" t="n">
        <x:v>27400000</x:v>
      </x:c>
      <x:c r="S87" s="24" t="str">
        <x:v>중고</x:v>
      </x:c>
      <x:c r="T87" s="32"/>
      <x:c r="U87" s="32" t="n">
        <x:v>30184056</x:v>
      </x:c>
      <x:c r="V87" s="24" t="str">
        <x:v>할부</x:v>
      </x:c>
      <x:c r="W87" s="24" t="str">
        <x:v>IBK저축은행</x:v>
      </x:c>
      <x:c r="X87" s="32" t="n">
        <x:v>29320000</x:v>
      </x:c>
      <x:c r="Y87" s="33" t="n">
        <x:v>0.17</x:v>
      </x:c>
      <x:c r="Z87" s="31" t="n">
        <x:v>48</x:v>
      </x:c>
      <x:c r="AA87" s="24" t="str">
        <x:v>10일</x:v>
      </x:c>
      <x:c r="AB87" s="30" t="n">
        <x:v>45270</x:v>
      </x:c>
      <x:c r="AC87" s="30" t="n">
        <x:v>46701</x:v>
      </x:c>
      <x:c r="AD87" s="32"/>
      <x:c r="AE87" s="32" t="n">
        <x:v>776559</x:v>
      </x:c>
      <x:c r="AF87" s="24" t="str"/>
      <x:c r="AG87" s="24" t="str"/>
      <x:c r="AH87" s="30"/>
      <x:c r="AI87" s="24" t="str"/>
      <x:c r="AJ87" s="24" t="str"/>
      <x:c r="AK87" s="32"/>
      <x:c r="AL87" s="32"/>
      <x:c r="AM87" s="24" t="str"/>
      <x:c r="AN87" s="31" t="n">
        <x:v>88</x:v>
      </x:c>
    </x:row>
    <x:row r="88" ht="17.25" customHeight="1">
      <x:c r="A88" s="24" t="str">
        <x:v>스위치플랜</x:v>
      </x:c>
      <x:c r="B88" s="24" t="str">
        <x:v>186고4026</x:v>
      </x:c>
      <x:c r="C88" s="24" t="str">
        <x:v>보유</x:v>
      </x:c>
      <x:c r="D88" s="24" t="str">
        <x:v>미니</x:v>
      </x:c>
      <x:c r="E88" s="24" t="str">
        <x:v>컨트리맨</x:v>
      </x:c>
      <x:c r="F88" s="24" t="str">
        <x:v>쿠퍼 컨트리맨 R60/F60</x:v>
      </x:c>
      <x:c r="G88" s="24" t="str">
        <x:v>가솔린 1.5</x:v>
      </x:c>
      <x:c r="H88" s="24" t="str">
        <x:v>가솔린</x:v>
      </x:c>
      <x:c r="I88" s="31" t="n">
        <x:v>1499</x:v>
      </x:c>
      <x:c r="J88" s="31" t="n">
        <x:v>2022</x:v>
      </x:c>
      <x:c r="K88" s="24" t="str">
        <x:v>WMW31BR00N3N97307</x:v>
      </x:c>
      <x:c r="L88" s="24" t="str">
        <x:v>김포</x:v>
      </x:c>
      <x:c r="M88" s="30" t="n">
        <x:v>44589</x:v>
      </x:c>
      <x:c r="N88" s="31"/>
      <x:c r="O88" s="30" t="n">
        <x:v>45454</x:v>
      </x:c>
      <x:c r="P88" s="32"/>
      <x:c r="Q88" s="32" t="n">
        <x:v>30990000</x:v>
      </x:c>
      <x:c r="R88" s="32" t="n">
        <x:v>31430000</x:v>
      </x:c>
      <x:c r="S88" s="24" t="str">
        <x:v>중고</x:v>
      </x:c>
      <x:c r="T88" s="32"/>
      <x:c r="U88" s="32" t="n">
        <x:v>33938600</x:v>
      </x:c>
      <x:c r="V88" s="24" t="str">
        <x:v>할부</x:v>
      </x:c>
      <x:c r="W88" s="24" t="str">
        <x:v>한국금융자산대부㈜</x:v>
      </x:c>
      <x:c r="X88" s="32" t="n">
        <x:v>33160001</x:v>
      </x:c>
      <x:c r="Y88" s="33" t="n">
        <x:v>0.17</x:v>
      </x:c>
      <x:c r="Z88" s="31" t="n">
        <x:v>48</x:v>
      </x:c>
      <x:c r="AA88" s="24" t="str">
        <x:v>10일</x:v>
      </x:c>
      <x:c r="AB88" s="30" t="n">
        <x:v>45453</x:v>
      </x:c>
      <x:c r="AC88" s="30" t="n">
        <x:v>46883</x:v>
      </x:c>
      <x:c r="AD88" s="32"/>
      <x:c r="AE88" s="32" t="n">
        <x:v>10584131</x:v>
      </x:c>
      <x:c r="AF88" s="24" t="str"/>
      <x:c r="AG88" s="24" t="str"/>
      <x:c r="AH88" s="30"/>
      <x:c r="AI88" s="24" t="str"/>
      <x:c r="AJ88" s="24" t="str"/>
      <x:c r="AK88" s="32"/>
      <x:c r="AL88" s="32"/>
      <x:c r="AM88" s="24" t="str"/>
      <x:c r="AN88" s="31" t="n">
        <x:v>89</x:v>
      </x:c>
    </x:row>
    <x:row r="89" ht="17.25" customHeight="1">
      <x:c r="A89" s="24" t="str">
        <x:v>스위치플랜</x:v>
      </x:c>
      <x:c r="B89" s="24" t="str">
        <x:v>151나8783</x:v>
      </x:c>
      <x:c r="C89" s="24" t="str">
        <x:v>보유</x:v>
      </x:c>
      <x:c r="D89" s="24" t="str">
        <x:v>현대</x:v>
      </x:c>
      <x:c r="E89" s="24" t="str">
        <x:v>아반떼</x:v>
      </x:c>
      <x:c r="F89" s="24" t="str">
        <x:v>아반떼 CN7</x:v>
      </x:c>
      <x:c r="G89" s="24" t="str">
        <x:v>가솔린 2.0T</x:v>
      </x:c>
      <x:c r="H89" s="24" t="str">
        <x:v>가솔린</x:v>
      </x:c>
      <x:c r="I89" s="31" t="n">
        <x:v>1998</x:v>
      </x:c>
      <x:c r="J89" s="31" t="n">
        <x:v>2022</x:v>
      </x:c>
      <x:c r="K89" s="24" t="str">
        <x:v>KMHLW41KGNU006918</x:v>
      </x:c>
      <x:c r="L89" s="24" t="str">
        <x:v>김포</x:v>
      </x:c>
      <x:c r="M89" s="30" t="n">
        <x:v>44715</x:v>
      </x:c>
      <x:c r="N89" s="31"/>
      <x:c r="O89" s="30" t="n">
        <x:v>45824</x:v>
      </x:c>
      <x:c r="P89" s="32"/>
      <x:c r="Q89" s="32" t="n">
        <x:v>43990000</x:v>
      </x:c>
      <x:c r="R89" s="32" t="n">
        <x:v>28799630</x:v>
      </x:c>
      <x:c r="S89" s="24" t="str">
        <x:v>중고</x:v>
      </x:c>
      <x:c r="T89" s="32"/>
      <x:c r="U89" s="32" t="n">
        <x:v>31185811</x:v>
      </x:c>
      <x:c r="V89" s="24" t="str">
        <x:v>할부</x:v>
      </x:c>
      <x:c r="W89" s="24" t="str">
        <x:v>한국금융자산대부</x:v>
      </x:c>
      <x:c r="X89" s="32" t="n">
        <x:v>30180000</x:v>
      </x:c>
      <x:c r="Y89" s="33" t="n">
        <x:v>0.17</x:v>
      </x:c>
      <x:c r="Z89" s="31" t="n">
        <x:v>48</x:v>
      </x:c>
      <x:c r="AA89" s="24" t="str">
        <x:v>10일</x:v>
      </x:c>
      <x:c r="AB89" s="30" t="n">
        <x:v>45848</x:v>
      </x:c>
      <x:c r="AC89" s="30" t="n">
        <x:v>47279</x:v>
      </x:c>
      <x:c r="AD89" s="32" t="n">
        <x:v>870840</x:v>
      </x:c>
      <x:c r="AE89" s="32" t="n">
        <x:v>0</x:v>
      </x:c>
      <x:c r="AF89" s="24" t="str"/>
      <x:c r="AG89" s="24" t="str"/>
      <x:c r="AH89" s="30"/>
      <x:c r="AI89" s="24" t="str"/>
      <x:c r="AJ89" s="24" t="str"/>
      <x:c r="AK89" s="32"/>
      <x:c r="AL89" s="32"/>
      <x:c r="AM89" s="24" t="str"/>
      <x:c r="AN89" s="31" t="n">
        <x:v>90</x:v>
      </x:c>
    </x:row>
    <x:row r="90" ht="17.25" customHeight="1">
      <x:c r="A90" s="24" t="str">
        <x:v>스위치플랜</x:v>
      </x:c>
      <x:c r="B90" s="24" t="str">
        <x:v>181조8459</x:v>
      </x:c>
      <x:c r="C90" s="24" t="str">
        <x:v>보유</x:v>
      </x:c>
      <x:c r="D90" s="24" t="str">
        <x:v>기아</x:v>
      </x:c>
      <x:c r="E90" s="24" t="str">
        <x:v>레이</x:v>
      </x:c>
      <x:c r="F90" s="24" t="str">
        <x:v>더 뉴 레이 TAM</x:v>
      </x:c>
      <x:c r="G90" s="24" t="str">
        <x:v>가솔린 1.0</x:v>
      </x:c>
      <x:c r="H90" s="24" t="str">
        <x:v>가솔린</x:v>
      </x:c>
      <x:c r="I90" s="31" t="n">
        <x:v>998</x:v>
      </x:c>
      <x:c r="J90" s="31" t="n">
        <x:v>2023</x:v>
      </x:c>
      <x:c r="K90" s="24" t="str">
        <x:v>KNACH811BPT321102</x:v>
      </x:c>
      <x:c r="L90" s="24" t="str">
        <x:v>김포</x:v>
      </x:c>
      <x:c r="M90" s="30" t="n">
        <x:v>44819</x:v>
      </x:c>
      <x:c r="N90" s="31"/>
      <x:c r="O90" s="30" t="n">
        <x:v>45296</x:v>
      </x:c>
      <x:c r="P90" s="32" t="n">
        <x:v>19200000</x:v>
      </x:c>
      <x:c r="Q90" s="32" t="n">
        <x:v>16200000</x:v>
      </x:c>
      <x:c r="R90" s="32" t="n">
        <x:v>16200000</x:v>
      </x:c>
      <x:c r="S90" s="24" t="str">
        <x:v>중고</x:v>
      </x:c>
      <x:c r="T90" s="32"/>
      <x:c r="U90" s="32" t="n">
        <x:v>16646380</x:v>
      </x:c>
      <x:c r="V90" s="24" t="str">
        <x:v>할부</x:v>
      </x:c>
      <x:c r="W90" s="24" t="str">
        <x:v>메리츠캐피탈</x:v>
      </x:c>
      <x:c r="X90" s="32" t="n">
        <x:v>19000000</x:v>
      </x:c>
      <x:c r="Y90" s="33" t="n">
        <x:v>0.11</x:v>
      </x:c>
      <x:c r="Z90" s="31" t="n">
        <x:v>60</x:v>
      </x:c>
      <x:c r="AA90" s="24" t="str">
        <x:v>20일</x:v>
      </x:c>
      <x:c r="AB90" s="30" t="n">
        <x:v>45311</x:v>
      </x:c>
      <x:c r="AC90" s="30" t="n">
        <x:v>47107</x:v>
      </x:c>
      <x:c r="AD90" s="32" t="n">
        <x:v>412159</x:v>
      </x:c>
      <x:c r="AE90" s="32" t="n">
        <x:v>23961835</x:v>
      </x:c>
      <x:c r="AF90" s="24" t="str"/>
      <x:c r="AG90" s="24" t="str"/>
      <x:c r="AH90" s="30"/>
      <x:c r="AI90" s="24" t="str"/>
      <x:c r="AJ90" s="24" t="str"/>
      <x:c r="AK90" s="32"/>
      <x:c r="AL90" s="32"/>
      <x:c r="AM90" s="24" t="str"/>
      <x:c r="AN90" s="31" t="n">
        <x:v>91</x:v>
      </x:c>
    </x:row>
    <x:row r="91" ht="17.25" customHeight="1">
      <x:c r="A91" s="24" t="str">
        <x:v>스위치플랜</x:v>
      </x:c>
      <x:c r="B91" s="24" t="str">
        <x:v>120라5445</x:v>
      </x:c>
      <x:c r="C91" s="24" t="str">
        <x:v>보유</x:v>
      </x:c>
      <x:c r="D91" s="24" t="str">
        <x:v>기아</x:v>
      </x:c>
      <x:c r="E91" s="24" t="str">
        <x:v>레이</x:v>
      </x:c>
      <x:c r="F91" s="24" t="str">
        <x:v>더 뉴 레이 TAM</x:v>
      </x:c>
      <x:c r="G91" s="24" t="str">
        <x:v>가솔린 1.0</x:v>
      </x:c>
      <x:c r="H91" s="24" t="str">
        <x:v>가솔린</x:v>
      </x:c>
      <x:c r="I91" s="31" t="n">
        <x:v>998</x:v>
      </x:c>
      <x:c r="J91" s="31" t="n">
        <x:v>2023</x:v>
      </x:c>
      <x:c r="K91" s="24" t="str">
        <x:v>KNACH811BPT321571</x:v>
      </x:c>
      <x:c r="L91" s="24" t="str">
        <x:v>김포</x:v>
      </x:c>
      <x:c r="M91" s="30" t="n">
        <x:v>44824</x:v>
      </x:c>
      <x:c r="N91" s="31"/>
      <x:c r="O91" s="30" t="n">
        <x:v>45271</x:v>
      </x:c>
      <x:c r="P91" s="32" t="n">
        <x:v>19200000</x:v>
      </x:c>
      <x:c r="Q91" s="32" t="n">
        <x:v>17036900</x:v>
      </x:c>
      <x:c r="R91" s="32" t="n">
        <x:v>17036900</x:v>
      </x:c>
      <x:c r="S91" s="24" t="str">
        <x:v>중고</x:v>
      </x:c>
      <x:c r="T91" s="32"/>
      <x:c r="U91" s="32" t="n">
        <x:v>17445400</x:v>
      </x:c>
      <x:c r="V91" s="24" t="str">
        <x:v>할부</x:v>
      </x:c>
      <x:c r="W91" s="24" t="str">
        <x:v>한국금융자산대부㈜</x:v>
      </x:c>
      <x:c r="X91" s="32" t="n">
        <x:v>17870000</x:v>
      </x:c>
      <x:c r="Y91" s="33" t="n">
        <x:v>0.17</x:v>
      </x:c>
      <x:c r="Z91" s="31" t="n">
        <x:v>48</x:v>
      </x:c>
      <x:c r="AA91" s="24" t="str">
        <x:v>10일</x:v>
      </x:c>
      <x:c r="AB91" s="30" t="n">
        <x:v>45301</x:v>
      </x:c>
      <x:c r="AC91" s="30" t="n">
        <x:v>46731</x:v>
      </x:c>
      <x:c r="AD91" s="32"/>
      <x:c r="AE91" s="32" t="n">
        <x:v>667466</x:v>
      </x:c>
      <x:c r="AF91" s="24" t="str"/>
      <x:c r="AG91" s="24" t="str"/>
      <x:c r="AH91" s="30"/>
      <x:c r="AI91" s="24" t="str"/>
      <x:c r="AJ91" s="24" t="str"/>
      <x:c r="AK91" s="32"/>
      <x:c r="AL91" s="32"/>
      <x:c r="AM91" s="24" t="str"/>
      <x:c r="AN91" s="31" t="n">
        <x:v>92</x:v>
      </x:c>
    </x:row>
    <x:row r="92" ht="17.25" customHeight="1">
      <x:c r="A92" s="24" t="str">
        <x:v>스위치플랜</x:v>
      </x:c>
      <x:c r="B92" s="24" t="str">
        <x:v>363소9788</x:v>
      </x:c>
      <x:c r="C92" s="24" t="str">
        <x:v>보유</x:v>
      </x:c>
      <x:c r="D92" s="24" t="str">
        <x:v>기아</x:v>
      </x:c>
      <x:c r="E92" s="24" t="str">
        <x:v>레이</x:v>
      </x:c>
      <x:c r="F92" s="24" t="str">
        <x:v>더 뉴 레이 TAM</x:v>
      </x:c>
      <x:c r="G92" s="24" t="str">
        <x:v>가솔린 1.0</x:v>
      </x:c>
      <x:c r="H92" s="24" t="str">
        <x:v>가솔린</x:v>
      </x:c>
      <x:c r="I92" s="31" t="n">
        <x:v>998</x:v>
      </x:c>
      <x:c r="J92" s="31" t="n">
        <x:v>2023</x:v>
      </x:c>
      <x:c r="K92" s="24" t="str">
        <x:v>KNACH811BPT328726</x:v>
      </x:c>
      <x:c r="L92" s="24" t="str">
        <x:v>김포</x:v>
      </x:c>
      <x:c r="M92" s="30" t="n">
        <x:v>44876</x:v>
      </x:c>
      <x:c r="N92" s="31"/>
      <x:c r="O92" s="30" t="n">
        <x:v>45358</x:v>
      </x:c>
      <x:c r="P92" s="32" t="n">
        <x:v>19200000</x:v>
      </x:c>
      <x:c r="Q92" s="32" t="n">
        <x:v>13900000</x:v>
      </x:c>
      <x:c r="R92" s="32" t="n">
        <x:v>14533000</x:v>
      </x:c>
      <x:c r="S92" s="24" t="str">
        <x:v>중고</x:v>
      </x:c>
      <x:c r="T92" s="32"/>
      <x:c r="U92" s="32" t="n">
        <x:v>15206000</x:v>
      </x:c>
      <x:c r="V92" s="24" t="str">
        <x:v>할부</x:v>
      </x:c>
      <x:c r="W92" s="24" t="str">
        <x:v>한국금융자산대부㈜</x:v>
      </x:c>
      <x:c r="X92" s="32" t="n">
        <x:v>14870004</x:v>
      </x:c>
      <x:c r="Y92" s="33" t="n">
        <x:v>0.17</x:v>
      </x:c>
      <x:c r="Z92" s="31" t="n">
        <x:v>48</x:v>
      </x:c>
      <x:c r="AA92" s="24" t="str">
        <x:v>10일</x:v>
      </x:c>
      <x:c r="AB92" s="30" t="n">
        <x:v>45361</x:v>
      </x:c>
      <x:c r="AC92" s="30" t="n">
        <x:v>46793</x:v>
      </x:c>
      <x:c r="AD92" s="32"/>
      <x:c r="AE92" s="32" t="n">
        <x:v>4975516</x:v>
      </x:c>
      <x:c r="AF92" s="24" t="str"/>
      <x:c r="AG92" s="24" t="str"/>
      <x:c r="AH92" s="30"/>
      <x:c r="AI92" s="24" t="str"/>
      <x:c r="AJ92" s="24" t="str"/>
      <x:c r="AK92" s="32"/>
      <x:c r="AL92" s="32"/>
      <x:c r="AM92" s="24" t="str"/>
      <x:c r="AN92" s="31" t="n">
        <x:v>93</x:v>
      </x:c>
    </x:row>
    <x:row r="93" ht="17.25" customHeight="1">
      <x:c r="A93" s="24" t="str">
        <x:v>스위치플랜</x:v>
      </x:c>
      <x:c r="B93" s="24" t="str">
        <x:v>162버2918</x:v>
      </x:c>
      <x:c r="C93" s="24" t="str">
        <x:v>보유</x:v>
      </x:c>
      <x:c r="D93" s="24" t="str">
        <x:v>기아</x:v>
      </x:c>
      <x:c r="E93" s="24" t="str">
        <x:v>셀토스</x:v>
      </x:c>
      <x:c r="F93" s="24" t="str">
        <x:v>더 뉴 셀토스 SP2</x:v>
      </x:c>
      <x:c r="G93" s="24" t="str">
        <x:v>가솔린 2.0</x:v>
      </x:c>
      <x:c r="H93" s="24" t="str">
        <x:v>가솔린</x:v>
      </x:c>
      <x:c r="I93" s="31" t="n">
        <x:v>1999</x:v>
      </x:c>
      <x:c r="J93" s="31" t="n">
        <x:v>2022</x:v>
      </x:c>
      <x:c r="K93" s="24" t="str">
        <x:v>KNAEV81AEPK437598</x:v>
      </x:c>
      <x:c r="L93" s="24" t="str">
        <x:v>김포</x:v>
      </x:c>
      <x:c r="M93" s="30" t="n">
        <x:v>44911</x:v>
      </x:c>
      <x:c r="N93" s="31"/>
      <x:c r="O93" s="30" t="n">
        <x:v>45481</x:v>
      </x:c>
      <x:c r="P93" s="32" t="n">
        <x:v>32330000</x:v>
      </x:c>
      <x:c r="Q93" s="32" t="n">
        <x:v>29700000</x:v>
      </x:c>
      <x:c r="R93" s="32" t="n">
        <x:v>29700000</x:v>
      </x:c>
      <x:c r="S93" s="24" t="str">
        <x:v>중고</x:v>
      </x:c>
      <x:c r="T93" s="32"/>
      <x:c r="U93" s="32" t="n">
        <x:v>32105460</x:v>
      </x:c>
      <x:c r="V93" s="24" t="str">
        <x:v>할부</x:v>
      </x:c>
      <x:c r="W93" s="24" t="str">
        <x:v>한국금융자산대부㈜</x:v>
      </x:c>
      <x:c r="X93" s="32" t="n">
        <x:v>32280000</x:v>
      </x:c>
      <x:c r="Y93" s="33" t="n">
        <x:v>0.17</x:v>
      </x:c>
      <x:c r="Z93" s="31" t="n">
        <x:v>48</x:v>
      </x:c>
      <x:c r="AA93" s="24" t="str">
        <x:v>10일</x:v>
      </x:c>
      <x:c r="AB93" s="30" t="n">
        <x:v>45483</x:v>
      </x:c>
      <x:c r="AC93" s="30" t="n">
        <x:v>46914</x:v>
      </x:c>
      <x:c r="AD93" s="32"/>
      <x:c r="AE93" s="32" t="n">
        <x:v>7800687</x:v>
      </x:c>
      <x:c r="AF93" s="24" t="str"/>
      <x:c r="AG93" s="24" t="str"/>
      <x:c r="AH93" s="30"/>
      <x:c r="AI93" s="24" t="str"/>
      <x:c r="AJ93" s="24" t="str"/>
      <x:c r="AK93" s="32"/>
      <x:c r="AL93" s="32"/>
      <x:c r="AM93" s="24" t="str"/>
      <x:c r="AN93" s="31" t="n">
        <x:v>94</x:v>
      </x:c>
    </x:row>
    <x:row r="94" ht="17.25" customHeight="1">
      <x:c r="A94" s="24" t="str">
        <x:v>스위치플랜</x:v>
      </x:c>
      <x:c r="B94" s="24" t="str">
        <x:v>286주8294</x:v>
      </x:c>
      <x:c r="C94" s="24" t="str">
        <x:v>보유</x:v>
      </x:c>
      <x:c r="D94" s="24" t="str">
        <x:v>현대</x:v>
      </x:c>
      <x:c r="E94" s="24" t="str">
        <x:v>아반떼</x:v>
      </x:c>
      <x:c r="F94" s="24" t="str">
        <x:v>아반떼 CN7</x:v>
      </x:c>
      <x:c r="G94" s="24" t="str">
        <x:v>가솔린 2.0T</x:v>
      </x:c>
      <x:c r="H94" s="24" t="str">
        <x:v>가솔린</x:v>
      </x:c>
      <x:c r="I94" s="31" t="n">
        <x:v>1998</x:v>
      </x:c>
      <x:c r="J94" s="31" t="n">
        <x:v>2023</x:v>
      </x:c>
      <x:c r="K94" s="24" t="str">
        <x:v>KMHLW41KGPU013103</x:v>
      </x:c>
      <x:c r="L94" s="24" t="str">
        <x:v>김포</x:v>
      </x:c>
      <x:c r="M94" s="30" t="n">
        <x:v>44928</x:v>
      </x:c>
      <x:c r="N94" s="31"/>
      <x:c r="O94" s="30" t="n">
        <x:v>45457</x:v>
      </x:c>
      <x:c r="P94" s="32" t="n">
        <x:v>40810000</x:v>
      </x:c>
      <x:c r="Q94" s="32" t="n">
        <x:v>29900000</x:v>
      </x:c>
      <x:c r="R94" s="32" t="n">
        <x:v>30354000</x:v>
      </x:c>
      <x:c r="S94" s="24" t="str">
        <x:v>중고</x:v>
      </x:c>
      <x:c r="T94" s="32"/>
      <x:c r="U94" s="32" t="n">
        <x:v>32782734</x:v>
      </x:c>
      <x:c r="V94" s="24" t="str">
        <x:v>할부</x:v>
      </x:c>
      <x:c r="W94" s="24" t="str">
        <x:v>한국금융자산대부㈜</x:v>
      </x:c>
      <x:c r="X94" s="32" t="n">
        <x:v>32490000</x:v>
      </x:c>
      <x:c r="Y94" s="33" t="n">
        <x:v>0.17</x:v>
      </x:c>
      <x:c r="Z94" s="31" t="n">
        <x:v>48</x:v>
      </x:c>
      <x:c r="AA94" s="24" t="str">
        <x:v>10일</x:v>
      </x:c>
      <x:c r="AB94" s="30" t="n">
        <x:v>45483</x:v>
      </x:c>
      <x:c r="AC94" s="30" t="n">
        <x:v>46914</x:v>
      </x:c>
      <x:c r="AD94" s="32"/>
      <x:c r="AE94" s="32" t="n">
        <x:v>6628498</x:v>
      </x:c>
      <x:c r="AF94" s="24" t="str"/>
      <x:c r="AG94" s="24" t="str"/>
      <x:c r="AH94" s="30"/>
      <x:c r="AI94" s="24" t="str"/>
      <x:c r="AJ94" s="24" t="str"/>
      <x:c r="AK94" s="32"/>
      <x:c r="AL94" s="32"/>
      <x:c r="AM94" s="24" t="str"/>
      <x:c r="AN94" s="31" t="n">
        <x:v>95</x:v>
      </x:c>
    </x:row>
    <x:row r="95" ht="17.25" customHeight="1">
      <x:c r="A95" s="24" t="str">
        <x:v>스위치플랜</x:v>
      </x:c>
      <x:c r="B95" s="24" t="str">
        <x:v>347다5712</x:v>
      </x:c>
      <x:c r="C95" s="24" t="str">
        <x:v>보유</x:v>
      </x:c>
      <x:c r="D95" s="24" t="str">
        <x:v>기아</x:v>
      </x:c>
      <x:c r="E95" s="24" t="str">
        <x:v>레이</x:v>
      </x:c>
      <x:c r="F95" s="24" t="str">
        <x:v>더 뉴 레이 TAM</x:v>
      </x:c>
      <x:c r="G95" s="24" t="str">
        <x:v>가솔린 1.0</x:v>
      </x:c>
      <x:c r="H95" s="24" t="str">
        <x:v>가솔린</x:v>
      </x:c>
      <x:c r="I95" s="31" t="n">
        <x:v>998</x:v>
      </x:c>
      <x:c r="J95" s="31" t="n">
        <x:v>2023</x:v>
      </x:c>
      <x:c r="K95" s="24" t="str">
        <x:v>KNACH811BPT349236</x:v>
      </x:c>
      <x:c r="L95" s="24" t="str">
        <x:v>김포</x:v>
      </x:c>
      <x:c r="M95" s="30" t="n">
        <x:v>45035</x:v>
      </x:c>
      <x:c r="N95" s="31"/>
      <x:c r="O95" s="30" t="n">
        <x:v>45369</x:v>
      </x:c>
      <x:c r="P95" s="32" t="n">
        <x:v>19200000</x:v>
      </x:c>
      <x:c r="Q95" s="32" t="n">
        <x:v>17300000</x:v>
      </x:c>
      <x:c r="R95" s="32" t="n">
        <x:v>17736000</x:v>
      </x:c>
      <x:c r="S95" s="24" t="str">
        <x:v>중고</x:v>
      </x:c>
      <x:c r="T95" s="32"/>
      <x:c r="U95" s="32" t="n">
        <x:v>18185200</x:v>
      </x:c>
      <x:c r="V95" s="24" t="str">
        <x:v>할부</x:v>
      </x:c>
      <x:c r="W95" s="24" t="str">
        <x:v>한국금융자산대부㈜</x:v>
      </x:c>
      <x:c r="X95" s="32" t="n">
        <x:v>18510001</x:v>
      </x:c>
      <x:c r="Y95" s="33" t="n">
        <x:v>0.17</x:v>
      </x:c>
      <x:c r="Z95" s="31" t="n">
        <x:v>48</x:v>
      </x:c>
      <x:c r="AA95" s="24" t="str">
        <x:v>10일</x:v>
      </x:c>
      <x:c r="AB95" s="30" t="n">
        <x:v>45392</x:v>
      </x:c>
      <x:c r="AC95" s="30" t="n">
        <x:v>46822</x:v>
      </x:c>
      <x:c r="AD95" s="32"/>
      <x:c r="AE95" s="32" t="n">
        <x:v>0</x:v>
      </x:c>
      <x:c r="AF95" s="24" t="str"/>
      <x:c r="AG95" s="24" t="str"/>
      <x:c r="AH95" s="30"/>
      <x:c r="AI95" s="24" t="str"/>
      <x:c r="AJ95" s="24" t="str"/>
      <x:c r="AK95" s="32"/>
      <x:c r="AL95" s="32"/>
      <x:c r="AM95" s="24" t="str"/>
      <x:c r="AN95" s="31" t="n">
        <x:v>96</x:v>
      </x:c>
    </x:row>
    <x:row r="96" ht="17.25" customHeight="1">
      <x:c r="A96" s="24" t="str">
        <x:v>스위치플랜</x:v>
      </x:c>
      <x:c r="B96" s="24" t="str">
        <x:v>257구2888</x:v>
      </x:c>
      <x:c r="C96" s="24" t="str">
        <x:v>보유</x:v>
      </x:c>
      <x:c r="D96" s="24" t="str">
        <x:v>현대</x:v>
      </x:c>
      <x:c r="E96" s="24" t="str">
        <x:v>캐스퍼</x:v>
      </x:c>
      <x:c r="F96" s="24" t="str">
        <x:v>캐스퍼 AX1</x:v>
      </x:c>
      <x:c r="G96" s="24" t="str">
        <x:v>가솔린 1.0</x:v>
      </x:c>
      <x:c r="H96" s="24" t="str">
        <x:v>가솔린</x:v>
      </x:c>
      <x:c r="I96" s="31" t="n">
        <x:v>998</x:v>
      </x:c>
      <x:c r="J96" s="31" t="n">
        <x:v>2023</x:v>
      </x:c>
      <x:c r="K96" s="24" t="str">
        <x:v>KMHB5516BPW069666</x:v>
      </x:c>
      <x:c r="L96" s="24" t="str">
        <x:v>김포</x:v>
      </x:c>
      <x:c r="M96" s="30" t="n">
        <x:v>45054</x:v>
      </x:c>
      <x:c r="N96" s="31"/>
      <x:c r="O96" s="30" t="n">
        <x:v>45701</x:v>
      </x:c>
      <x:c r="P96" s="32" t="n">
        <x:v>20570000</x:v>
      </x:c>
      <x:c r="Q96" s="32" t="n">
        <x:v>16500000</x:v>
      </x:c>
      <x:c r="R96" s="32" t="n">
        <x:v>16500000</x:v>
      </x:c>
      <x:c r="S96" s="24" t="str">
        <x:v>중고</x:v>
      </x:c>
      <x:c r="T96" s="32"/>
      <x:c r="U96" s="32" t="n">
        <x:v>16956550</x:v>
      </x:c>
      <x:c r="V96" s="24" t="str">
        <x:v>할부</x:v>
      </x:c>
      <x:c r="W96" s="24" t="str">
        <x:v>도이치파이낸셜</x:v>
      </x:c>
      <x:c r="X96" s="32" t="n">
        <x:v>18150000</x:v>
      </x:c>
      <x:c r="Y96" s="33" t="n">
        <x:v>0.17</x:v>
      </x:c>
      <x:c r="Z96" s="31" t="n">
        <x:v>48</x:v>
      </x:c>
      <x:c r="AA96" s="24" t="str">
        <x:v>10일</x:v>
      </x:c>
      <x:c r="AB96" s="30" t="n">
        <x:v>45726</x:v>
      </x:c>
      <x:c r="AC96" s="30" t="n">
        <x:v>47159</x:v>
      </x:c>
      <x:c r="AD96" s="32"/>
      <x:c r="AE96" s="32" t="n">
        <x:v>25155649</x:v>
      </x:c>
      <x:c r="AF96" s="24" t="str"/>
      <x:c r="AG96" s="24" t="str"/>
      <x:c r="AH96" s="30"/>
      <x:c r="AI96" s="24" t="str"/>
      <x:c r="AJ96" s="24" t="str"/>
      <x:c r="AK96" s="32"/>
      <x:c r="AL96" s="32"/>
      <x:c r="AM96" s="24" t="str"/>
      <x:c r="AN96" s="31" t="n">
        <x:v>97</x:v>
      </x:c>
    </x:row>
    <x:row r="97" ht="17.25" customHeight="1">
      <x:c r="A97" s="24" t="str">
        <x:v>스위치플랜</x:v>
      </x:c>
      <x:c r="B97" s="24" t="str">
        <x:v>126서4223</x:v>
      </x:c>
      <x:c r="C97" s="24" t="str">
        <x:v>보유</x:v>
      </x:c>
      <x:c r="D97" s="24" t="str">
        <x:v>KG모빌리티</x:v>
      </x:c>
      <x:c r="E97" s="24" t="str">
        <x:v>토레스</x:v>
      </x:c>
      <x:c r="F97" s="24" t="str">
        <x:v>토레스 J100</x:v>
      </x:c>
      <x:c r="G97" s="24" t="str">
        <x:v>가솔린 1.5</x:v>
      </x:c>
      <x:c r="H97" s="24" t="str">
        <x:v>가솔린</x:v>
      </x:c>
      <x:c r="I97" s="31" t="n">
        <x:v>1497</x:v>
      </x:c>
      <x:c r="J97" s="31" t="n">
        <x:v>2023</x:v>
      </x:c>
      <x:c r="K97" s="24" t="str">
        <x:v>KPBPH3AT1PP044191</x:v>
      </x:c>
      <x:c r="L97" s="24" t="str">
        <x:v>김포</x:v>
      </x:c>
      <x:c r="M97" s="30" t="n">
        <x:v>45062</x:v>
      </x:c>
      <x:c r="N97" s="31"/>
      <x:c r="O97" s="30" t="n">
        <x:v>45821</x:v>
      </x:c>
      <x:c r="P97" s="32"/>
      <x:c r="Q97" s="32" t="n">
        <x:v>34100000</x:v>
      </x:c>
      <x:c r="R97" s="32" t="n">
        <x:v>26040000</x:v>
      </x:c>
      <x:c r="S97" s="24" t="str">
        <x:v>중고</x:v>
      </x:c>
      <x:c r="T97" s="32"/>
      <x:c r="U97" s="32" t="n">
        <x:v>28117560</x:v>
      </x:c>
      <x:c r="V97" s="24" t="str">
        <x:v>할부</x:v>
      </x:c>
      <x:c r="W97" s="24" t="str">
        <x:v>KB캐피탈</x:v>
      </x:c>
      <x:c r="X97" s="32" t="n">
        <x:v>27890000</x:v>
      </x:c>
      <x:c r="Y97" s="33" t="n">
        <x:v>0.17</x:v>
      </x:c>
      <x:c r="Z97" s="31" t="n">
        <x:v>48</x:v>
      </x:c>
      <x:c r="AA97" s="24" t="str">
        <x:v>10일</x:v>
      </x:c>
      <x:c r="AB97" s="30" t="n">
        <x:v>45848</x:v>
      </x:c>
      <x:c r="AC97" s="30" t="n">
        <x:v>47279</x:v>
      </x:c>
      <x:c r="AD97" s="32" t="n">
        <x:v>804760</x:v>
      </x:c>
      <x:c r="AE97" s="32" t="n">
        <x:v>14680516</x:v>
      </x:c>
      <x:c r="AF97" s="24" t="str"/>
      <x:c r="AG97" s="24" t="str"/>
      <x:c r="AH97" s="30"/>
      <x:c r="AI97" s="24" t="str"/>
      <x:c r="AJ97" s="24" t="str"/>
      <x:c r="AK97" s="32"/>
      <x:c r="AL97" s="32"/>
      <x:c r="AM97" s="24" t="str"/>
      <x:c r="AN97" s="31" t="n">
        <x:v>98</x:v>
      </x:c>
    </x:row>
    <x:row r="98" ht="17.25" customHeight="1">
      <x:c r="A98" s="24" t="str">
        <x:v>스위치플랜</x:v>
      </x:c>
      <x:c r="B98" s="24" t="str">
        <x:v>391서7476</x:v>
      </x:c>
      <x:c r="C98" s="24" t="str">
        <x:v>보유</x:v>
      </x:c>
      <x:c r="D98" s="24" t="str">
        <x:v>현대</x:v>
      </x:c>
      <x:c r="E98" s="24" t="str">
        <x:v>아반떼</x:v>
      </x:c>
      <x:c r="F98" s="24" t="str">
        <x:v>더 뉴 아반떼 CN7</x:v>
      </x:c>
      <x:c r="G98" s="24" t="str">
        <x:v>가솔린 2.0</x:v>
      </x:c>
      <x:c r="H98" s="24" t="str">
        <x:v>가솔린</x:v>
      </x:c>
      <x:c r="I98" s="31" t="n">
        <x:v>1998</x:v>
      </x:c>
      <x:c r="J98" s="31" t="n">
        <x:v>2024</x:v>
      </x:c>
      <x:c r="K98" s="24" t="str">
        <x:v>KMHLW41KGRU017155</x:v>
      </x:c>
      <x:c r="L98" s="24" t="str">
        <x:v>김포</x:v>
      </x:c>
      <x:c r="M98" s="30" t="n">
        <x:v>45173</x:v>
      </x:c>
      <x:c r="N98" s="31"/>
      <x:c r="O98" s="30" t="n">
        <x:v>45373</x:v>
      </x:c>
      <x:c r="P98" s="32" t="n">
        <x:v>40100000</x:v>
      </x:c>
      <x:c r="Q98" s="32" t="n">
        <x:v>38600000</x:v>
      </x:c>
      <x:c r="R98" s="32" t="n">
        <x:v>38600000</x:v>
      </x:c>
      <x:c r="S98" s="24" t="str">
        <x:v>중고</x:v>
      </x:c>
      <x:c r="T98" s="32"/>
      <x:c r="U98" s="32" t="n">
        <x:v>41720139</x:v>
      </x:c>
      <x:c r="V98" s="24" t="str">
        <x:v>할부</x:v>
      </x:c>
      <x:c r="W98" s="24" t="str">
        <x:v>한국금융자산대부㈜</x:v>
      </x:c>
      <x:c r="X98" s="32" t="n">
        <x:v>41300000</x:v>
      </x:c>
      <x:c r="Y98" s="33" t="n">
        <x:v>0.17</x:v>
      </x:c>
      <x:c r="Z98" s="31" t="n">
        <x:v>48</x:v>
      </x:c>
      <x:c r="AA98" s="24" t="str">
        <x:v>10일</x:v>
      </x:c>
      <x:c r="AB98" s="30" t="n">
        <x:v>45392</x:v>
      </x:c>
      <x:c r="AC98" s="30" t="n">
        <x:v>46822</x:v>
      </x:c>
      <x:c r="AD98" s="32"/>
      <x:c r="AE98" s="32" t="n">
        <x:v>2350192</x:v>
      </x:c>
      <x:c r="AF98" s="24" t="str"/>
      <x:c r="AG98" s="24" t="str"/>
      <x:c r="AH98" s="30"/>
      <x:c r="AI98" s="24" t="str"/>
      <x:c r="AJ98" s="24" t="str"/>
      <x:c r="AK98" s="32"/>
      <x:c r="AL98" s="32"/>
      <x:c r="AM98" s="24" t="str"/>
      <x:c r="AN98" s="31" t="n">
        <x:v>99</x:v>
      </x:c>
    </x:row>
    <x:row r="99" ht="17.25" customHeight="1">
      <x:c r="A99" s="24" t="str">
        <x:v>스위치플랜</x:v>
      </x:c>
      <x:c r="B99" s="24" t="str">
        <x:v>139우7166</x:v>
      </x:c>
      <x:c r="C99" s="24" t="str">
        <x:v>보유</x:v>
      </x:c>
      <x:c r="D99" s="24" t="str">
        <x:v>기아</x:v>
      </x:c>
      <x:c r="E99" s="24" t="str">
        <x:v>카니발</x:v>
      </x:c>
      <x:c r="F99" s="24" t="str">
        <x:v>더 뉴 카니발 KA4</x:v>
      </x:c>
      <x:c r="G99" s="24" t="str">
        <x:v>디젤 2.2</x:v>
      </x:c>
      <x:c r="H99" s="24" t="str">
        <x:v>디젤</x:v>
      </x:c>
      <x:c r="I99" s="31" t="n">
        <x:v>2199</x:v>
      </x:c>
      <x:c r="J99" s="31" t="n">
        <x:v>2019</x:v>
      </x:c>
      <x:c r="K99" s="24" t="str">
        <x:v>KNAME81ABKS608522</x:v>
      </x:c>
      <x:c r="L99" s="24" t="str">
        <x:v>김포</x:v>
      </x:c>
      <x:c r="M99" s="30" t="n">
        <x:v>45278</x:v>
      </x:c>
      <x:c r="N99" s="31"/>
      <x:c r="O99" s="30" t="n">
        <x:v>45278</x:v>
      </x:c>
      <x:c r="P99" s="32" t="n">
        <x:v>41350000</x:v>
      </x:c>
      <x:c r="Q99" s="32" t="n">
        <x:v>22500000</x:v>
      </x:c>
      <x:c r="R99" s="32" t="n">
        <x:v>22500000</x:v>
      </x:c>
      <x:c r="S99" s="24" t="str">
        <x:v>중고</x:v>
      </x:c>
      <x:c r="T99" s="32"/>
      <x:c r="U99" s="32" t="n">
        <x:v>24487917</x:v>
      </x:c>
      <x:c r="V99" s="24" t="str">
        <x:v>할부</x:v>
      </x:c>
      <x:c r="W99" s="24" t="str">
        <x:v>IBK저축은행</x:v>
      </x:c>
      <x:c r="X99" s="32" t="n">
        <x:v>24500001</x:v>
      </x:c>
      <x:c r="Y99" s="33" t="n">
        <x:v>0.17</x:v>
      </x:c>
      <x:c r="Z99" s="31" t="n">
        <x:v>36</x:v>
      </x:c>
      <x:c r="AA99" s="24" t="str">
        <x:v>10일</x:v>
      </x:c>
      <x:c r="AB99" s="30" t="n">
        <x:v>45270</x:v>
      </x:c>
      <x:c r="AC99" s="30" t="n">
        <x:v>46336</x:v>
      </x:c>
      <x:c r="AD99" s="32"/>
      <x:c r="AE99" s="32" t="n">
        <x:v>75242</x:v>
      </x:c>
      <x:c r="AF99" s="24" t="str"/>
      <x:c r="AG99" s="24" t="str"/>
      <x:c r="AH99" s="30"/>
      <x:c r="AI99" s="24" t="str"/>
      <x:c r="AJ99" s="24" t="str"/>
      <x:c r="AK99" s="32"/>
      <x:c r="AL99" s="32"/>
      <x:c r="AM99" s="24" t="str"/>
      <x:c r="AN99" s="31" t="n">
        <x:v>100</x:v>
      </x:c>
    </x:row>
    <x:row r="100" ht="17.25" customHeight="1">
      <x:c r="A100" s="24" t="str">
        <x:v>스위치플랜</x:v>
      </x:c>
      <x:c r="B100" s="24" t="str">
        <x:v>41호8300</x:v>
      </x:c>
      <x:c r="C100" s="24" t="str">
        <x:v>보유</x:v>
      </x:c>
      <x:c r="D100" s="24" t="str">
        <x:v>지프</x:v>
      </x:c>
      <x:c r="E100" s="24" t="str">
        <x:v>어벤저</x:v>
      </x:c>
      <x:c r="F100" s="24" t="str">
        <x:v>어벤저</x:v>
      </x:c>
      <x:c r="G100" s="24" t="str">
        <x:v>전기 54kWh</x:v>
      </x:c>
      <x:c r="H100" s="24" t="str">
        <x:v>전기</x:v>
      </x:c>
      <x:c r="I100" s="31" t="n">
        <x:v>145</x:v>
      </x:c>
      <x:c r="J100" s="31" t="n">
        <x:v>2024</x:v>
      </x:c>
      <x:c r="K100" s="24" t="str">
        <x:v>ZACNJAC52RJK91169</x:v>
      </x:c>
      <x:c r="L100" s="24" t="str">
        <x:v>김포</x:v>
      </x:c>
      <x:c r="M100" s="30" t="n">
        <x:v>45833</x:v>
      </x:c>
      <x:c r="N100" s="31"/>
      <x:c r="O100" s="30" t="n">
        <x:v>46037</x:v>
      </x:c>
      <x:c r="P100" s="32" t="n">
        <x:v>33000000</x:v>
      </x:c>
      <x:c r="Q100" s="32" t="n">
        <x:v>37746500</x:v>
      </x:c>
      <x:c r="R100" s="32"/>
      <x:c r="S100" s="24" t="str">
        <x:v>중고</x:v>
      </x:c>
      <x:c r="T100" s="32"/>
      <x:c r="U100" s="32"/>
      <x:c r="V100" s="24" t="str">
        <x:v>할부</x:v>
      </x:c>
      <x:c r="W100" s="24" t="str">
        <x:v>오릭스캐피탈</x:v>
      </x:c>
      <x:c r="X100" s="32" t="n">
        <x:v>33000000</x:v>
      </x:c>
      <x:c r="Y100" s="33" t="n">
        <x:v>0.064</x:v>
      </x:c>
      <x:c r="Z100" s="31" t="n">
        <x:v>48</x:v>
      </x:c>
      <x:c r="AA100" s="24" t="str">
        <x:v>15일</x:v>
      </x:c>
      <x:c r="AB100" s="30" t="n">
        <x:v>46068</x:v>
      </x:c>
      <x:c r="AC100" s="30" t="n">
        <x:v>47487</x:v>
      </x:c>
      <x:c r="AD100" s="32"/>
      <x:c r="AE100" s="32" t="n">
        <x:v>29701475</x:v>
      </x:c>
      <x:c r="AF100" s="24" t="str"/>
      <x:c r="AG100" s="24" t="str"/>
      <x:c r="AH100" s="30"/>
      <x:c r="AI100" s="24" t="str"/>
      <x:c r="AJ100" s="24" t="str"/>
      <x:c r="AK100" s="32"/>
      <x:c r="AL100" s="32"/>
      <x:c r="AM100" s="24" t="str"/>
      <x:c r="AN100" s="31" t="n">
        <x:v>101</x:v>
      </x:c>
    </x:row>
    <x:row r="101" ht="17.25" customHeight="1">
      <x:c r="A101" s="24" t="str">
        <x:v>스위치플랜</x:v>
      </x:c>
      <x:c r="B101" s="24" t="str">
        <x:v>41호8301</x:v>
      </x:c>
      <x:c r="C101" s="24" t="str">
        <x:v>보유</x:v>
      </x:c>
      <x:c r="D101" s="24" t="str">
        <x:v>지프</x:v>
      </x:c>
      <x:c r="E101" s="24" t="str">
        <x:v>어벤저</x:v>
      </x:c>
      <x:c r="F101" s="24" t="str">
        <x:v>어벤저</x:v>
      </x:c>
      <x:c r="G101" s="24" t="str">
        <x:v>전기 54kWh</x:v>
      </x:c>
      <x:c r="H101" s="24" t="str">
        <x:v>전기</x:v>
      </x:c>
      <x:c r="I101" s="31" t="n">
        <x:v>145</x:v>
      </x:c>
      <x:c r="J101" s="31" t="n">
        <x:v>2024</x:v>
      </x:c>
      <x:c r="K101" s="24" t="str">
        <x:v>ZACNJAC52RJK90622</x:v>
      </x:c>
      <x:c r="L101" s="24" t="str">
        <x:v>김포</x:v>
      </x:c>
      <x:c r="M101" s="30" t="n">
        <x:v>46037</x:v>
      </x:c>
      <x:c r="N101" s="31"/>
      <x:c r="O101" s="30" t="n">
        <x:v>46037</x:v>
      </x:c>
      <x:c r="P101" s="32" t="n">
        <x:v>33000000</x:v>
      </x:c>
      <x:c r="Q101" s="32" t="n">
        <x:v>37746500</x:v>
      </x:c>
      <x:c r="R101" s="32"/>
      <x:c r="S101" s="24" t="str">
        <x:v>중고</x:v>
      </x:c>
      <x:c r="T101" s="32"/>
      <x:c r="U101" s="32"/>
      <x:c r="V101" s="24" t="str">
        <x:v>할부</x:v>
      </x:c>
      <x:c r="W101" s="24" t="str">
        <x:v>오릭스캐피탈</x:v>
      </x:c>
      <x:c r="X101" s="32" t="n">
        <x:v>33000000</x:v>
      </x:c>
      <x:c r="Y101" s="33" t="n">
        <x:v>0.064</x:v>
      </x:c>
      <x:c r="Z101" s="31" t="n">
        <x:v>48</x:v>
      </x:c>
      <x:c r="AA101" s="24" t="str">
        <x:v>15일</x:v>
      </x:c>
      <x:c r="AB101" s="30" t="n">
        <x:v>46068</x:v>
      </x:c>
      <x:c r="AC101" s="30" t="n">
        <x:v>47487</x:v>
      </x:c>
      <x:c r="AD101" s="32"/>
      <x:c r="AE101" s="32" t="n">
        <x:v>6717484</x:v>
      </x:c>
      <x:c r="AF101" s="24" t="str"/>
      <x:c r="AG101" s="24" t="str"/>
      <x:c r="AH101" s="30"/>
      <x:c r="AI101" s="24" t="str"/>
      <x:c r="AJ101" s="24" t="str"/>
      <x:c r="AK101" s="32"/>
      <x:c r="AL101" s="32"/>
      <x:c r="AM101" s="24" t="str"/>
      <x:c r="AN101" s="31" t="n">
        <x:v>102</x:v>
      </x:c>
    </x:row>
    <x:row r="102" ht="17.25" customHeight="1">
      <x:c r="A102" s="24" t="str">
        <x:v>스위치플랜</x:v>
      </x:c>
      <x:c r="B102" s="24" t="str">
        <x:v>41호8302</x:v>
      </x:c>
      <x:c r="C102" s="24" t="str">
        <x:v>보유</x:v>
      </x:c>
      <x:c r="D102" s="24" t="str">
        <x:v>지프</x:v>
      </x:c>
      <x:c r="E102" s="24" t="str">
        <x:v>어벤저</x:v>
      </x:c>
      <x:c r="F102" s="24" t="str">
        <x:v>어벤저</x:v>
      </x:c>
      <x:c r="G102" s="24" t="str">
        <x:v>전기 54kWh</x:v>
      </x:c>
      <x:c r="H102" s="24" t="str">
        <x:v>전기</x:v>
      </x:c>
      <x:c r="I102" s="31" t="n">
        <x:v>145</x:v>
      </x:c>
      <x:c r="J102" s="31" t="n">
        <x:v>2024</x:v>
      </x:c>
      <x:c r="K102" s="24" t="str">
        <x:v>ZACNJAC53RJL00591</x:v>
      </x:c>
      <x:c r="L102" s="24" t="str">
        <x:v>김포</x:v>
      </x:c>
      <x:c r="M102" s="30" t="n">
        <x:v>45833</x:v>
      </x:c>
      <x:c r="N102" s="31"/>
      <x:c r="O102" s="30" t="n">
        <x:v>46037</x:v>
      </x:c>
      <x:c r="P102" s="32" t="n">
        <x:v>33000000</x:v>
      </x:c>
      <x:c r="Q102" s="32" t="n">
        <x:v>37746500</x:v>
      </x:c>
      <x:c r="R102" s="32"/>
      <x:c r="S102" s="24" t="str">
        <x:v>중고</x:v>
      </x:c>
      <x:c r="T102" s="32"/>
      <x:c r="U102" s="32"/>
      <x:c r="V102" s="24" t="str">
        <x:v>할부</x:v>
      </x:c>
      <x:c r="W102" s="24" t="str">
        <x:v>오릭스캐피탈</x:v>
      </x:c>
      <x:c r="X102" s="32" t="n">
        <x:v>33000000</x:v>
      </x:c>
      <x:c r="Y102" s="33" t="n">
        <x:v>0.064</x:v>
      </x:c>
      <x:c r="Z102" s="31" t="n">
        <x:v>48</x:v>
      </x:c>
      <x:c r="AA102" s="24" t="str">
        <x:v>15일</x:v>
      </x:c>
      <x:c r="AB102" s="30" t="n">
        <x:v>46068</x:v>
      </x:c>
      <x:c r="AC102" s="30" t="n">
        <x:v>47487</x:v>
      </x:c>
      <x:c r="AD102" s="32"/>
      <x:c r="AE102" s="32" t="n">
        <x:v>22963966</x:v>
      </x:c>
      <x:c r="AF102" s="24" t="str"/>
      <x:c r="AG102" s="24" t="str"/>
      <x:c r="AH102" s="30"/>
      <x:c r="AI102" s="24" t="str"/>
      <x:c r="AJ102" s="24" t="str"/>
      <x:c r="AK102" s="32"/>
      <x:c r="AL102" s="32"/>
      <x:c r="AM102" s="24" t="str"/>
      <x:c r="AN102" s="31" t="n">
        <x:v>103</x:v>
      </x:c>
    </x:row>
    <x:row r="103" ht="17.25" customHeight="1">
      <x:c r="A103" s="24" t="str">
        <x:v>스위치플랜</x:v>
      </x:c>
      <x:c r="B103" s="24" t="str">
        <x:v>41호8303</x:v>
      </x:c>
      <x:c r="C103" s="24" t="str">
        <x:v>보유</x:v>
      </x:c>
      <x:c r="D103" s="24" t="str">
        <x:v>지프</x:v>
      </x:c>
      <x:c r="E103" s="24" t="str">
        <x:v>어벤저</x:v>
      </x:c>
      <x:c r="F103" s="24" t="str">
        <x:v>어벤저</x:v>
      </x:c>
      <x:c r="G103" s="24" t="str">
        <x:v>전기 54kWh</x:v>
      </x:c>
      <x:c r="H103" s="24" t="str">
        <x:v>전기</x:v>
      </x:c>
      <x:c r="I103" s="31" t="n">
        <x:v>145</x:v>
      </x:c>
      <x:c r="J103" s="31" t="n">
        <x:v>2024</x:v>
      </x:c>
      <x:c r="K103" s="24" t="str">
        <x:v>ZACNJAC54RJL00597</x:v>
      </x:c>
      <x:c r="L103" s="24" t="str">
        <x:v>김포</x:v>
      </x:c>
      <x:c r="M103" s="30" t="n">
        <x:v>45833</x:v>
      </x:c>
      <x:c r="N103" s="31"/>
      <x:c r="O103" s="30" t="n">
        <x:v>46037</x:v>
      </x:c>
      <x:c r="P103" s="32" t="n">
        <x:v>33000000</x:v>
      </x:c>
      <x:c r="Q103" s="32" t="n">
        <x:v>37746500</x:v>
      </x:c>
      <x:c r="R103" s="32"/>
      <x:c r="S103" s="24" t="str">
        <x:v>중고</x:v>
      </x:c>
      <x:c r="T103" s="32"/>
      <x:c r="U103" s="32"/>
      <x:c r="V103" s="24" t="str">
        <x:v>할부</x:v>
      </x:c>
      <x:c r="W103" s="24" t="str">
        <x:v>오릭스캐피탈</x:v>
      </x:c>
      <x:c r="X103" s="32" t="n">
        <x:v>33000000</x:v>
      </x:c>
      <x:c r="Y103" s="33" t="n">
        <x:v>0.064</x:v>
      </x:c>
      <x:c r="Z103" s="31" t="n">
        <x:v>48</x:v>
      </x:c>
      <x:c r="AA103" s="24" t="str">
        <x:v>15일</x:v>
      </x:c>
      <x:c r="AB103" s="30" t="n">
        <x:v>46068</x:v>
      </x:c>
      <x:c r="AC103" s="30" t="n">
        <x:v>47487</x:v>
      </x:c>
      <x:c r="AD103" s="32"/>
      <x:c r="AE103" s="32"/>
      <x:c r="AF103" s="24" t="str"/>
      <x:c r="AG103" s="24" t="str"/>
      <x:c r="AH103" s="30"/>
      <x:c r="AI103" s="24" t="str"/>
      <x:c r="AJ103" s="24" t="str"/>
      <x:c r="AK103" s="32"/>
      <x:c r="AL103" s="32"/>
      <x:c r="AM103" s="24" t="str"/>
      <x:c r="AN103" s="31" t="n">
        <x:v>104</x:v>
      </x:c>
    </x:row>
    <x:row r="104" ht="17.25" customHeight="1">
      <x:c r="A104" s="24" t="str">
        <x:v>스위치플랜</x:v>
      </x:c>
      <x:c r="B104" s="24" t="str">
        <x:v>41호8304</x:v>
      </x:c>
      <x:c r="C104" s="24" t="str">
        <x:v>보유</x:v>
      </x:c>
      <x:c r="D104" s="24" t="str">
        <x:v>지프</x:v>
      </x:c>
      <x:c r="E104" s="24" t="str">
        <x:v>어벤저</x:v>
      </x:c>
      <x:c r="F104" s="24" t="str">
        <x:v>어벤저</x:v>
      </x:c>
      <x:c r="G104" s="24" t="str">
        <x:v>전기 54kWh</x:v>
      </x:c>
      <x:c r="H104" s="24" t="str">
        <x:v>전기</x:v>
      </x:c>
      <x:c r="I104" s="31" t="n">
        <x:v>145</x:v>
      </x:c>
      <x:c r="J104" s="31" t="n">
        <x:v>2024</x:v>
      </x:c>
      <x:c r="K104" s="24" t="str">
        <x:v>ZACNJAC53RJK94338</x:v>
      </x:c>
      <x:c r="L104" s="24" t="str">
        <x:v>김포</x:v>
      </x:c>
      <x:c r="M104" s="30" t="n">
        <x:v>45833</x:v>
      </x:c>
      <x:c r="N104" s="31"/>
      <x:c r="O104" s="30" t="n">
        <x:v>46037</x:v>
      </x:c>
      <x:c r="P104" s="32" t="n">
        <x:v>33000000</x:v>
      </x:c>
      <x:c r="Q104" s="32" t="n">
        <x:v>37746500</x:v>
      </x:c>
      <x:c r="R104" s="32"/>
      <x:c r="S104" s="24" t="str">
        <x:v>중고</x:v>
      </x:c>
      <x:c r="T104" s="32"/>
      <x:c r="U104" s="32"/>
      <x:c r="V104" s="24" t="str">
        <x:v>할부</x:v>
      </x:c>
      <x:c r="W104" s="24" t="str">
        <x:v>오릭스캐피탈</x:v>
      </x:c>
      <x:c r="X104" s="32" t="n">
        <x:v>33000000</x:v>
      </x:c>
      <x:c r="Y104" s="33" t="n">
        <x:v>0.064</x:v>
      </x:c>
      <x:c r="Z104" s="31" t="n">
        <x:v>48</x:v>
      </x:c>
      <x:c r="AA104" s="24" t="str">
        <x:v>15일</x:v>
      </x:c>
      <x:c r="AB104" s="30" t="n">
        <x:v>46068</x:v>
      </x:c>
      <x:c r="AC104" s="30" t="n">
        <x:v>47487</x:v>
      </x:c>
      <x:c r="AD104" s="32"/>
      <x:c r="AE104" s="32" t="n">
        <x:v>19555027</x:v>
      </x:c>
      <x:c r="AF104" s="24" t="str"/>
      <x:c r="AG104" s="24" t="str"/>
      <x:c r="AH104" s="30"/>
      <x:c r="AI104" s="24" t="str"/>
      <x:c r="AJ104" s="24" t="str"/>
      <x:c r="AK104" s="32"/>
      <x:c r="AL104" s="32"/>
      <x:c r="AM104" s="24" t="str"/>
      <x:c r="AN104" s="31" t="n">
        <x:v>105</x:v>
      </x:c>
    </x:row>
    <x:row r="105" ht="17.25" customHeight="1">
      <x:c r="A105" s="24" t="str">
        <x:v>스위치플랜</x:v>
      </x:c>
      <x:c r="B105" s="24" t="str">
        <x:v>41호8306</x:v>
      </x:c>
      <x:c r="C105" s="24" t="str">
        <x:v>보유</x:v>
      </x:c>
      <x:c r="D105" s="24" t="str">
        <x:v>지프</x:v>
      </x:c>
      <x:c r="E105" s="24" t="str">
        <x:v>어벤저</x:v>
      </x:c>
      <x:c r="F105" s="24" t="str">
        <x:v>어벤저</x:v>
      </x:c>
      <x:c r="G105" s="24" t="str">
        <x:v>전기 54kWh</x:v>
      </x:c>
      <x:c r="H105" s="24" t="str">
        <x:v>전기</x:v>
      </x:c>
      <x:c r="I105" s="31" t="n">
        <x:v>145</x:v>
      </x:c>
      <x:c r="J105" s="31" t="n">
        <x:v>2024</x:v>
      </x:c>
      <x:c r="K105" s="24" t="str">
        <x:v>ZACNJAC56RJK94365</x:v>
      </x:c>
      <x:c r="L105" s="24" t="str">
        <x:v>김포</x:v>
      </x:c>
      <x:c r="M105" s="30" t="n">
        <x:v>45833</x:v>
      </x:c>
      <x:c r="N105" s="31"/>
      <x:c r="O105" s="30" t="n">
        <x:v>46037</x:v>
      </x:c>
      <x:c r="P105" s="32" t="n">
        <x:v>33000000</x:v>
      </x:c>
      <x:c r="Q105" s="32" t="n">
        <x:v>37746500</x:v>
      </x:c>
      <x:c r="R105" s="32"/>
      <x:c r="S105" s="24" t="str">
        <x:v>중고</x:v>
      </x:c>
      <x:c r="T105" s="32"/>
      <x:c r="U105" s="32"/>
      <x:c r="V105" s="24" t="str">
        <x:v>할부</x:v>
      </x:c>
      <x:c r="W105" s="24" t="str">
        <x:v>오릭스캐피탈</x:v>
      </x:c>
      <x:c r="X105" s="32" t="n">
        <x:v>33000000</x:v>
      </x:c>
      <x:c r="Y105" s="33" t="n">
        <x:v>0.064</x:v>
      </x:c>
      <x:c r="Z105" s="31" t="n">
        <x:v>48</x:v>
      </x:c>
      <x:c r="AA105" s="24" t="str">
        <x:v>15일</x:v>
      </x:c>
      <x:c r="AB105" s="30" t="n">
        <x:v>46068</x:v>
      </x:c>
      <x:c r="AC105" s="30" t="n">
        <x:v>47487</x:v>
      </x:c>
      <x:c r="AD105" s="32"/>
      <x:c r="AE105" s="32" t="n">
        <x:v>9270924</x:v>
      </x:c>
      <x:c r="AF105" s="24" t="str"/>
      <x:c r="AG105" s="24" t="str"/>
      <x:c r="AH105" s="30"/>
      <x:c r="AI105" s="24" t="str"/>
      <x:c r="AJ105" s="24" t="str"/>
      <x:c r="AK105" s="32"/>
      <x:c r="AL105" s="32"/>
      <x:c r="AM105" s="24" t="str"/>
      <x:c r="AN105" s="31" t="n">
        <x:v>106</x:v>
      </x:c>
    </x:row>
    <x:row r="106" ht="17.25" customHeight="1">
      <x:c r="A106" s="24" t="str">
        <x:v>스위치플랜</x:v>
      </x:c>
      <x:c r="B106" s="24" t="str">
        <x:v>41호8307</x:v>
      </x:c>
      <x:c r="C106" s="24" t="str">
        <x:v>보유</x:v>
      </x:c>
      <x:c r="D106" s="24" t="str">
        <x:v>지프</x:v>
      </x:c>
      <x:c r="E106" s="24" t="str">
        <x:v>어벤저</x:v>
      </x:c>
      <x:c r="F106" s="24" t="str">
        <x:v>어벤저</x:v>
      </x:c>
      <x:c r="G106" s="24" t="str">
        <x:v>전기 54kWh</x:v>
      </x:c>
      <x:c r="H106" s="24" t="str">
        <x:v>전기</x:v>
      </x:c>
      <x:c r="I106" s="31" t="n">
        <x:v>145</x:v>
      </x:c>
      <x:c r="J106" s="31" t="n">
        <x:v>2024</x:v>
      </x:c>
      <x:c r="K106" s="24" t="str">
        <x:v>ZACNJAC58RJK94318</x:v>
      </x:c>
      <x:c r="L106" s="24" t="str">
        <x:v>김포</x:v>
      </x:c>
      <x:c r="M106" s="30" t="n">
        <x:v>45833</x:v>
      </x:c>
      <x:c r="N106" s="31"/>
      <x:c r="O106" s="30" t="n">
        <x:v>46037</x:v>
      </x:c>
      <x:c r="P106" s="32" t="n">
        <x:v>33000000</x:v>
      </x:c>
      <x:c r="Q106" s="32" t="n">
        <x:v>37746500</x:v>
      </x:c>
      <x:c r="R106" s="32"/>
      <x:c r="S106" s="24" t="str">
        <x:v>중고</x:v>
      </x:c>
      <x:c r="T106" s="32"/>
      <x:c r="U106" s="32"/>
      <x:c r="V106" s="24" t="str">
        <x:v>할부</x:v>
      </x:c>
      <x:c r="W106" s="24" t="str">
        <x:v>오릭스캐피탈</x:v>
      </x:c>
      <x:c r="X106" s="32" t="n">
        <x:v>33000000</x:v>
      </x:c>
      <x:c r="Y106" s="33" t="n">
        <x:v>0.064</x:v>
      </x:c>
      <x:c r="Z106" s="31" t="n">
        <x:v>48</x:v>
      </x:c>
      <x:c r="AA106" s="24" t="str">
        <x:v>15일</x:v>
      </x:c>
      <x:c r="AB106" s="30" t="n">
        <x:v>46068</x:v>
      </x:c>
      <x:c r="AC106" s="30" t="n">
        <x:v>47487</x:v>
      </x:c>
      <x:c r="AD106" s="32"/>
      <x:c r="AE106" s="32"/>
      <x:c r="AF106" s="24" t="str"/>
      <x:c r="AG106" s="24" t="str"/>
      <x:c r="AH106" s="30"/>
      <x:c r="AI106" s="24" t="str"/>
      <x:c r="AJ106" s="24" t="str"/>
      <x:c r="AK106" s="32"/>
      <x:c r="AL106" s="32"/>
      <x:c r="AM106" s="24" t="str"/>
      <x:c r="AN106" s="31" t="n">
        <x:v>107</x:v>
      </x:c>
    </x:row>
    <x:row r="107" ht="17.25" customHeight="1">
      <x:c r="A107" s="24" t="str">
        <x:v>스위치플랜</x:v>
      </x:c>
      <x:c r="B107" s="24" t="str">
        <x:v>17하3915</x:v>
      </x:c>
      <x:c r="C107" s="24" t="str">
        <x:v>보유</x:v>
      </x:c>
      <x:c r="D107" s="24" t="str">
        <x:v>지프</x:v>
      </x:c>
      <x:c r="E107" s="24" t="str">
        <x:v>어벤저</x:v>
      </x:c>
      <x:c r="F107" s="24" t="str">
        <x:v>어벤저</x:v>
      </x:c>
      <x:c r="G107" s="24" t="str">
        <x:v>전기 54kWh</x:v>
      </x:c>
      <x:c r="H107" s="24" t="str">
        <x:v>전기</x:v>
      </x:c>
      <x:c r="I107" s="31" t="n">
        <x:v>145</x:v>
      </x:c>
      <x:c r="J107" s="31" t="n">
        <x:v>2024</x:v>
      </x:c>
      <x:c r="K107" s="24" t="str">
        <x:v>ZACNJAC51RJL00573</x:v>
      </x:c>
      <x:c r="L107" s="24" t="str">
        <x:v>김포</x:v>
      </x:c>
      <x:c r="M107" s="30" t="n">
        <x:v>45833</x:v>
      </x:c>
      <x:c r="N107" s="31"/>
      <x:c r="O107" s="30" t="n">
        <x:v>46037</x:v>
      </x:c>
      <x:c r="P107" s="32" t="n">
        <x:v>37746500</x:v>
      </x:c>
      <x:c r="Q107" s="32" t="n">
        <x:v>37746500</x:v>
      </x:c>
      <x:c r="R107" s="32" t="n">
        <x:v>37746500</x:v>
      </x:c>
      <x:c r="S107" s="24" t="str">
        <x:v>중고</x:v>
      </x:c>
      <x:c r="T107" s="32"/>
      <x:c r="U107" s="32" t="n">
        <x:v>37770500</x:v>
      </x:c>
      <x:c r="V107" s="24" t="str">
        <x:v>할부</x:v>
      </x:c>
      <x:c r="W107" s="24" t="str">
        <x:v>오릭스캐피탈</x:v>
      </x:c>
      <x:c r="X107" s="32" t="n">
        <x:v>37746500</x:v>
      </x:c>
      <x:c r="Y107" s="33" t="n">
        <x:v>0.064</x:v>
      </x:c>
      <x:c r="Z107" s="31" t="n">
        <x:v>48</x:v>
      </x:c>
      <x:c r="AA107" s="24" t="str">
        <x:v>15일</x:v>
      </x:c>
      <x:c r="AB107" s="30" t="n">
        <x:v>46068</x:v>
      </x:c>
      <x:c r="AC107" s="30" t="n">
        <x:v>47487</x:v>
      </x:c>
      <x:c r="AD107" s="32"/>
      <x:c r="AE107" s="32" t="n">
        <x:v>10257540</x:v>
      </x:c>
      <x:c r="AF107" s="24" t="str"/>
      <x:c r="AG107" s="24" t="str"/>
      <x:c r="AH107" s="30"/>
      <x:c r="AI107" s="24" t="str"/>
      <x:c r="AJ107" s="24" t="str"/>
      <x:c r="AK107" s="32"/>
      <x:c r="AL107" s="32"/>
      <x:c r="AM107" s="24" t="str"/>
      <x:c r="AN107" s="31" t="n">
        <x:v>108</x:v>
      </x:c>
    </x:row>
    <x:row r="108" ht="17.25" customHeight="1">
      <x:c r="A108" s="24" t="str">
        <x:v>스위치플랜</x:v>
      </x:c>
      <x:c r="B108" s="24" t="str">
        <x:v>17하3922</x:v>
      </x:c>
      <x:c r="C108" s="24" t="str">
        <x:v>보유</x:v>
      </x:c>
      <x:c r="D108" s="24" t="str">
        <x:v>지프</x:v>
      </x:c>
      <x:c r="E108" s="24" t="str">
        <x:v>어벤저</x:v>
      </x:c>
      <x:c r="F108" s="24" t="str">
        <x:v>어벤저</x:v>
      </x:c>
      <x:c r="G108" s="24" t="str">
        <x:v>전기 54kWh</x:v>
      </x:c>
      <x:c r="H108" s="24" t="str">
        <x:v>전기</x:v>
      </x:c>
      <x:c r="I108" s="31" t="n">
        <x:v>145</x:v>
      </x:c>
      <x:c r="J108" s="31" t="n">
        <x:v>2024</x:v>
      </x:c>
      <x:c r="K108" s="24" t="str">
        <x:v>ZACNJAC52RJK94329</x:v>
      </x:c>
      <x:c r="L108" s="24" t="str">
        <x:v>김포</x:v>
      </x:c>
      <x:c r="M108" s="30" t="n">
        <x:v>45833</x:v>
      </x:c>
      <x:c r="N108" s="31"/>
      <x:c r="O108" s="30" t="n">
        <x:v>46037</x:v>
      </x:c>
      <x:c r="P108" s="32" t="n">
        <x:v>37746500</x:v>
      </x:c>
      <x:c r="Q108" s="32" t="n">
        <x:v>37746500</x:v>
      </x:c>
      <x:c r="R108" s="32" t="n">
        <x:v>37746500</x:v>
      </x:c>
      <x:c r="S108" s="24" t="str">
        <x:v>중고</x:v>
      </x:c>
      <x:c r="T108" s="32"/>
      <x:c r="U108" s="32" t="n">
        <x:v>37770500</x:v>
      </x:c>
      <x:c r="V108" s="24" t="str">
        <x:v>할부</x:v>
      </x:c>
      <x:c r="W108" s="24" t="str">
        <x:v>오릭스캐피탈</x:v>
      </x:c>
      <x:c r="X108" s="32" t="n">
        <x:v>37746500</x:v>
      </x:c>
      <x:c r="Y108" s="33" t="n">
        <x:v>0.064</x:v>
      </x:c>
      <x:c r="Z108" s="31" t="n">
        <x:v>48</x:v>
      </x:c>
      <x:c r="AA108" s="24" t="str">
        <x:v>15일</x:v>
      </x:c>
      <x:c r="AB108" s="30" t="n">
        <x:v>46068</x:v>
      </x:c>
      <x:c r="AC108" s="30" t="n">
        <x:v>47487</x:v>
      </x:c>
      <x:c r="AD108" s="32"/>
      <x:c r="AE108" s="32"/>
      <x:c r="AF108" s="24" t="str"/>
      <x:c r="AG108" s="24" t="str"/>
      <x:c r="AH108" s="30"/>
      <x:c r="AI108" s="24" t="str"/>
      <x:c r="AJ108" s="24" t="str"/>
      <x:c r="AK108" s="32"/>
      <x:c r="AL108" s="32"/>
      <x:c r="AM108" s="24" t="str"/>
      <x:c r="AN108" s="31" t="n">
        <x:v>109</x:v>
      </x:c>
    </x:row>
    <x:row r="109" ht="17.25" customHeight="1">
      <x:c r="A109" s="24" t="str">
        <x:v>스위치플랜</x:v>
      </x:c>
      <x:c r="B109" s="24" t="str">
        <x:v>75두7416</x:v>
      </x:c>
      <x:c r="C109" s="24" t="str">
        <x:v>보유</x:v>
      </x:c>
      <x:c r="D109" s="24" t="str">
        <x:v>현대</x:v>
      </x:c>
      <x:c r="E109" s="24" t="str">
        <x:v>스타렉스</x:v>
      </x:c>
      <x:c r="F109" s="24" t="str">
        <x:v>더 뉴 그랜드 스타렉스 TQ</x:v>
      </x:c>
      <x:c r="G109" s="24" t="str">
        <x:v>디젤 2.5 4WD</x:v>
      </x:c>
      <x:c r="H109" s="24" t="str">
        <x:v>디젤</x:v>
      </x:c>
      <x:c r="I109" s="31" t="n">
        <x:v>2497</x:v>
      </x:c>
      <x:c r="J109" s="31" t="n">
        <x:v>2019</x:v>
      </x:c>
      <x:c r="K109" s="24" t="str">
        <x:v>KMJWA37KBKU080269</x:v>
      </x:c>
      <x:c r="L109" s="24" t="str">
        <x:v>김포</x:v>
      </x:c>
      <x:c r="M109" s="30" t="n">
        <x:v>43588</x:v>
      </x:c>
      <x:c r="N109" s="31"/>
      <x:c r="O109" s="30" t="n">
        <x:v>46045</x:v>
      </x:c>
      <x:c r="P109" s="32" t="n">
        <x:v>28820000</x:v>
      </x:c>
      <x:c r="Q109" s="32" t="n">
        <x:v>5341825</x:v>
      </x:c>
      <x:c r="R109" s="32" t="n">
        <x:v>6610918</x:v>
      </x:c>
      <x:c r="S109" s="24" t="str">
        <x:v>중고</x:v>
      </x:c>
      <x:c r="T109" s="32"/>
      <x:c r="U109" s="32" t="n">
        <x:v>6961054</x:v>
      </x:c>
      <x:c r="V109" s="24" t="str"/>
      <x:c r="W109" s="24" t="str"/>
      <x:c r="X109" s="32"/>
      <x:c r="Y109" s="33"/>
      <x:c r="Z109" s="31"/>
      <x:c r="AA109" s="24" t="str"/>
      <x:c r="AB109" s="30"/>
      <x:c r="AC109" s="30"/>
      <x:c r="AD109" s="32"/>
      <x:c r="AE109" s="32"/>
      <x:c r="AF109" s="24" t="str"/>
      <x:c r="AG109" s="24" t="str"/>
      <x:c r="AH109" s="30"/>
      <x:c r="AI109" s="24" t="str"/>
      <x:c r="AJ109" s="24" t="str"/>
      <x:c r="AK109" s="32"/>
      <x:c r="AL109" s="32"/>
      <x:c r="AM109" s="24" t="str"/>
      <x:c r="AN109" s="31" t="n">
        <x:v>110</x:v>
      </x:c>
    </x:row>
    <x:row r="110" ht="17.25" customHeight="1">
      <x:c r="A110" s="24" t="str">
        <x:v>스위치플랜</x:v>
      </x:c>
      <x:c r="B110" s="24" t="str">
        <x:v>161허1751</x:v>
      </x:c>
      <x:c r="C110" s="24" t="str">
        <x:v>보유</x:v>
      </x:c>
      <x:c r="D110" s="24" t="str">
        <x:v>현대</x:v>
      </x:c>
      <x:c r="E110" s="24" t="str">
        <x:v>그랜저</x:v>
      </x:c>
      <x:c r="F110" s="24" t="str">
        <x:v>그랜저 GN7</x:v>
      </x:c>
      <x:c r="G110" s="24" t="str">
        <x:v>하이브리드 1.6</x:v>
      </x:c>
      <x:c r="H110" s="24" t="str">
        <x:v>HEV</x:v>
      </x:c>
      <x:c r="I110" s="31" t="n">
        <x:v>1598</x:v>
      </x:c>
      <x:c r="J110" s="31" t="n">
        <x:v>2025</x:v>
      </x:c>
      <x:c r="K110" s="24" t="str">
        <x:v>KMHN3411BSA119220</x:v>
      </x:c>
      <x:c r="L110" s="24" t="str">
        <x:v>김포</x:v>
      </x:c>
      <x:c r="M110" s="30" t="n">
        <x:v>45908</x:v>
      </x:c>
      <x:c r="N110" s="31"/>
      <x:c r="O110" s="30" t="n">
        <x:v>46112</x:v>
      </x:c>
      <x:c r="P110" s="32" t="n">
        <x:v>54320000</x:v>
      </x:c>
      <x:c r="Q110" s="32" t="n">
        <x:v>49571253</x:v>
      </x:c>
      <x:c r="R110" s="32" t="n">
        <x:v>28718000</x:v>
      </x:c>
      <x:c r="S110" s="24" t="str">
        <x:v>신차</x:v>
      </x:c>
      <x:c r="T110" s="32"/>
      <x:c r="U110" s="32" t="n">
        <x:v>28718000</x:v>
      </x:c>
      <x:c r="V110" s="24" t="str"/>
      <x:c r="W110" s="24" t="str"/>
      <x:c r="X110" s="32"/>
      <x:c r="Y110" s="33"/>
      <x:c r="Z110" s="31"/>
      <x:c r="AA110" s="24" t="str"/>
      <x:c r="AB110" s="30"/>
      <x:c r="AC110" s="30"/>
      <x:c r="AD110" s="32"/>
      <x:c r="AE110" s="32"/>
      <x:c r="AF110" s="24" t="str"/>
      <x:c r="AG110" s="24" t="str"/>
      <x:c r="AH110" s="30"/>
      <x:c r="AI110" s="24" t="str"/>
      <x:c r="AJ110" s="24" t="str"/>
      <x:c r="AK110" s="32"/>
      <x:c r="AL110" s="32"/>
      <x:c r="AM110" s="24" t="str"/>
      <x:c r="AN110" s="31" t="n">
        <x:v>111</x:v>
      </x:c>
    </x:row>
    <x:row r="111" ht="17.25" customHeight="1">
      <x:c r="A111" s="24" t="str">
        <x:v>스위치플랜</x:v>
      </x:c>
      <x:c r="B111" s="24" t="str">
        <x:v>21더9111</x:v>
      </x:c>
      <x:c r="C111" s="24" t="str">
        <x:v>매각</x:v>
      </x:c>
      <x:c r="D111" s="24" t="str">
        <x:v>벤츠</x:v>
      </x:c>
      <x:c r="E111" s="24" t="str">
        <x:v>C-클래스</x:v>
      </x:c>
      <x:c r="F111" s="24" t="str">
        <x:v>C-클래스 W205</x:v>
      </x:c>
      <x:c r="G111" s="24" t="str">
        <x:v>가솔린 2.0</x:v>
      </x:c>
      <x:c r="H111" s="24" t="str">
        <x:v>가솔린</x:v>
      </x:c>
      <x:c r="I111" s="31" t="n">
        <x:v>1991</x:v>
      </x:c>
      <x:c r="J111" s="31" t="n">
        <x:v>2017</x:v>
      </x:c>
      <x:c r="K111" s="24" t="str">
        <x:v>WDDWK4CB9JF631598</x:v>
      </x:c>
      <x:c r="L111" s="24" t="str">
        <x:v>김포</x:v>
      </x:c>
      <x:c r="M111" s="30" t="n">
        <x:v>43032</x:v>
      </x:c>
      <x:c r="N111" s="31"/>
      <x:c r="O111" s="30" t="n">
        <x:v>45581</x:v>
      </x:c>
      <x:c r="P111" s="32" t="n">
        <x:v>63100000</x:v>
      </x:c>
      <x:c r="Q111" s="32" t="n">
        <x:v>33000000</x:v>
      </x:c>
      <x:c r="R111" s="32" t="n">
        <x:v>33750860</x:v>
      </x:c>
      <x:c r="S111" s="24" t="str">
        <x:v>중고</x:v>
      </x:c>
      <x:c r="T111" s="32"/>
      <x:c r="U111" s="32" t="n">
        <x:v>37141720</x:v>
      </x:c>
      <x:c r="V111" s="24" t="str">
        <x:v>할부</x:v>
      </x:c>
      <x:c r="W111" s="24" t="str">
        <x:v>한국금융자산대부㈜</x:v>
      </x:c>
      <x:c r="X111" s="32" t="n">
        <x:v>35810001</x:v>
      </x:c>
      <x:c r="Y111" s="33" t="n">
        <x:v>0.17</x:v>
      </x:c>
      <x:c r="Z111" s="31" t="n">
        <x:v>48</x:v>
      </x:c>
      <x:c r="AA111" s="24" t="str">
        <x:v>10일</x:v>
      </x:c>
      <x:c r="AB111" s="30" t="n">
        <x:v>45606</x:v>
      </x:c>
      <x:c r="AC111" s="30" t="n">
        <x:v>47036</x:v>
      </x:c>
      <x:c r="AD111" s="32"/>
      <x:c r="AE111" s="32" t="n">
        <x:v>28695950</x:v>
      </x:c>
      <x:c r="AF111" s="24" t="str"/>
      <x:c r="AG111" s="24" t="str"/>
      <x:c r="AH111" s="30" t="n">
        <x:v>46051</x:v>
      </x:c>
      <x:c r="AI111" s="24" t="str">
        <x:v>명문자동차</x:v>
      </x:c>
      <x:c r="AJ111" s="24" t="str">
        <x:v>딜러</x:v>
      </x:c>
      <x:c r="AK111" s="32" t="n">
        <x:v>20070000</x:v>
      </x:c>
      <x:c r="AL111" s="32"/>
      <x:c r="AM111" s="24" t="str">
        <x:v>홈택스 매출세금계산서 · 차량매각[21더9111]</x:v>
      </x:c>
      <x:c r="AN111" s="31" t="n">
        <x:v>112</x:v>
      </x:c>
    </x:row>
    <x:row r="112" ht="17.25" customHeight="1">
      <x:c r="A112" s="24" t="str">
        <x:v>스위치플랜</x:v>
      </x:c>
      <x:c r="B112" s="24" t="str">
        <x:v>31러6568</x:v>
      </x:c>
      <x:c r="C112" s="24" t="str">
        <x:v>매각</x:v>
      </x:c>
      <x:c r="D112" s="24" t="str">
        <x:v>BMW</x:v>
      </x:c>
      <x:c r="E112" s="24" t="str">
        <x:v>5시리즈</x:v>
      </x:c>
      <x:c r="F112" s="24" t="str">
        <x:v>5시리즈 G30</x:v>
      </x:c>
      <x:c r="G112" s="24" t="str">
        <x:v>디젤 2.0 xDrive</x:v>
      </x:c>
      <x:c r="H112" s="24" t="str">
        <x:v>디젤</x:v>
      </x:c>
      <x:c r="I112" s="31" t="n">
        <x:v>1995</x:v>
      </x:c>
      <x:c r="J112" s="31" t="n">
        <x:v>2018</x:v>
      </x:c>
      <x:c r="K112" s="24" t="str">
        <x:v>WBAJC5107JG860216</x:v>
      </x:c>
      <x:c r="L112" s="24" t="str">
        <x:v>김포</x:v>
      </x:c>
      <x:c r="M112" s="30" t="n">
        <x:v>43056</x:v>
      </x:c>
      <x:c r="N112" s="31"/>
      <x:c r="O112" s="30" t="n">
        <x:v>45421</x:v>
      </x:c>
      <x:c r="P112" s="32" t="n">
        <x:v>74500000</x:v>
      </x:c>
      <x:c r="Q112" s="32" t="n">
        <x:v>31000000</x:v>
      </x:c>
      <x:c r="R112" s="32" t="n">
        <x:v>31764940</x:v>
      </x:c>
      <x:c r="S112" s="24" t="str">
        <x:v>중고</x:v>
      </x:c>
      <x:c r="T112" s="32"/>
      <x:c r="U112" s="32" t="n">
        <x:v>34699880</x:v>
      </x:c>
      <x:c r="V112" s="24" t="str">
        <x:v>할부</x:v>
      </x:c>
      <x:c r="W112" s="24" t="str">
        <x:v>한국금융자산대부㈜</x:v>
      </x:c>
      <x:c r="X112" s="32" t="n">
        <x:v>33170002</x:v>
      </x:c>
      <x:c r="Y112" s="33" t="n">
        <x:v>0.17</x:v>
      </x:c>
      <x:c r="Z112" s="31" t="n">
        <x:v>48</x:v>
      </x:c>
      <x:c r="AA112" s="24" t="str">
        <x:v>10일</x:v>
      </x:c>
      <x:c r="AB112" s="30" t="n">
        <x:v>45422</x:v>
      </x:c>
      <x:c r="AC112" s="30" t="n">
        <x:v>46853</x:v>
      </x:c>
      <x:c r="AD112" s="32"/>
      <x:c r="AE112" s="32" t="n">
        <x:v>23368778</x:v>
      </x:c>
      <x:c r="AF112" s="24" t="str"/>
      <x:c r="AG112" s="24" t="str"/>
      <x:c r="AH112" s="30" t="n">
        <x:v>46052</x:v>
      </x:c>
      <x:c r="AI112" s="24" t="str">
        <x:v>(주)마히나트레이딩</x:v>
      </x:c>
      <x:c r="AJ112" s="24" t="str">
        <x:v>딜러</x:v>
      </x:c>
      <x:c r="AK112" s="32" t="n">
        <x:v>19000000</x:v>
      </x:c>
      <x:c r="AL112" s="32"/>
      <x:c r="AM112" s="24" t="str">
        <x:v>홈택스 매출세금계산서 · 차량매각 [31러6568]</x:v>
      </x:c>
      <x:c r="AN112" s="31" t="n">
        <x:v>113</x:v>
      </x:c>
    </x:row>
    <x:row r="113" ht="17.25" customHeight="1">
      <x:c r="A113" s="24" t="str">
        <x:v>스위치플랜</x:v>
      </x:c>
      <x:c r="B113" s="24" t="str">
        <x:v>349수3116</x:v>
      </x:c>
      <x:c r="C113" s="24" t="str">
        <x:v>매각</x:v>
      </x:c>
      <x:c r="D113" s="24" t="str">
        <x:v>제네시스</x:v>
      </x:c>
      <x:c r="E113" s="24" t="str">
        <x:v>G70</x:v>
      </x:c>
      <x:c r="F113" s="24" t="str">
        <x:v>G70 IK</x:v>
      </x:c>
      <x:c r="G113" s="24" t="str">
        <x:v>가솔린 2.0 AWD</x:v>
      </x:c>
      <x:c r="H113" s="24" t="str">
        <x:v>가솔린</x:v>
      </x:c>
      <x:c r="I113" s="31" t="n">
        <x:v>1998</x:v>
      </x:c>
      <x:c r="J113" s="31" t="n">
        <x:v>2019</x:v>
      </x:c>
      <x:c r="K113" s="24" t="str">
        <x:v>KMTG341ADLU061802</x:v>
      </x:c>
      <x:c r="L113" s="24" t="str">
        <x:v>김포</x:v>
      </x:c>
      <x:c r="M113" s="30" t="n">
        <x:v>43815</x:v>
      </x:c>
      <x:c r="N113" s="31"/>
      <x:c r="O113" s="30" t="n">
        <x:v>45681</x:v>
      </x:c>
      <x:c r="P113" s="32" t="n">
        <x:v>55420000</x:v>
      </x:c>
      <x:c r="Q113" s="32" t="n">
        <x:v>4281000</x:v>
      </x:c>
      <x:c r="R113" s="32"/>
      <x:c r="S113" s="24" t="str">
        <x:v>중고</x:v>
      </x:c>
      <x:c r="T113" s="32"/>
      <x:c r="U113" s="32"/>
      <x:c r="V113" s="24" t="str"/>
      <x:c r="W113" s="24" t="str"/>
      <x:c r="X113" s="32"/>
      <x:c r="Y113" s="33"/>
      <x:c r="Z113" s="31"/>
      <x:c r="AA113" s="24" t="str"/>
      <x:c r="AB113" s="30"/>
      <x:c r="AC113" s="30"/>
      <x:c r="AD113" s="32"/>
      <x:c r="AE113" s="32" t="n">
        <x:v>32823020</x:v>
      </x:c>
      <x:c r="AF113" s="24" t="str"/>
      <x:c r="AG113" s="24" t="str"/>
      <x:c r="AH113" s="30" t="n">
        <x:v>46051</x:v>
      </x:c>
      <x:c r="AI113" s="24" t="str">
        <x:v>명문자동차</x:v>
      </x:c>
      <x:c r="AJ113" s="24" t="str">
        <x:v>딜러</x:v>
      </x:c>
      <x:c r="AK113" s="32" t="n">
        <x:v>19670000</x:v>
      </x:c>
      <x:c r="AL113" s="32"/>
      <x:c r="AM113" s="24" t="str">
        <x:v>홈택스 매출세금계산서 · 차량매각[349수3116]</x:v>
      </x:c>
      <x:c r="AN113" s="31" t="n">
        <x:v>114</x:v>
      </x:c>
    </x:row>
    <x:row r="114" ht="17.25" customHeight="1">
      <x:c r="A114" s="24" t="str">
        <x:v>스위치플랜</x:v>
      </x:c>
      <x:c r="B114" s="24" t="str">
        <x:v>34더3234</x:v>
      </x:c>
      <x:c r="C114" s="24" t="str">
        <x:v>매각</x:v>
      </x:c>
      <x:c r="D114" s="24" t="str">
        <x:v>BMW</x:v>
      </x:c>
      <x:c r="E114" s="24" t="str">
        <x:v>5시리즈</x:v>
      </x:c>
      <x:c r="F114" s="24" t="str">
        <x:v>5시리즈 G30</x:v>
      </x:c>
      <x:c r="G114" s="24" t="str">
        <x:v>디젤 2.0 xDrive</x:v>
      </x:c>
      <x:c r="H114" s="24" t="str">
        <x:v>디젤</x:v>
      </x:c>
      <x:c r="I114" s="31" t="n">
        <x:v>1995</x:v>
      </x:c>
      <x:c r="J114" s="31" t="n">
        <x:v>2018</x:v>
      </x:c>
      <x:c r="K114" s="24" t="str">
        <x:v>WBAJC5102JWB85061</x:v>
      </x:c>
      <x:c r="L114" s="24" t="str">
        <x:v>김포</x:v>
      </x:c>
      <x:c r="M114" s="30" t="n">
        <x:v>43098</x:v>
      </x:c>
      <x:c r="N114" s="31"/>
      <x:c r="O114" s="30" t="n">
        <x:v>45450</x:v>
      </x:c>
      <x:c r="P114" s="32" t="n">
        <x:v>70500000</x:v>
      </x:c>
      <x:c r="Q114" s="32" t="n">
        <x:v>27000000</x:v>
      </x:c>
      <x:c r="R114" s="32" t="n">
        <x:v>27440000</x:v>
      </x:c>
      <x:c r="S114" s="24" t="str">
        <x:v>중고</x:v>
      </x:c>
      <x:c r="T114" s="32"/>
      <x:c r="U114" s="32" t="n">
        <x:v>29984125</x:v>
      </x:c>
      <x:c r="V114" s="24" t="str">
        <x:v>할부</x:v>
      </x:c>
      <x:c r="W114" s="24" t="str">
        <x:v>한국금융자산대부㈜</x:v>
      </x:c>
      <x:c r="X114" s="32" t="n">
        <x:v>29390000</x:v>
      </x:c>
      <x:c r="Y114" s="33" t="n">
        <x:v>0.17</x:v>
      </x:c>
      <x:c r="Z114" s="31" t="n">
        <x:v>48</x:v>
      </x:c>
      <x:c r="AA114" s="24" t="str">
        <x:v>10일</x:v>
      </x:c>
      <x:c r="AB114" s="30" t="n">
        <x:v>45483</x:v>
      </x:c>
      <x:c r="AC114" s="30" t="n">
        <x:v>46914</x:v>
      </x:c>
      <x:c r="AD114" s="32"/>
      <x:c r="AE114" s="32" t="n">
        <x:v>28695950</x:v>
      </x:c>
      <x:c r="AF114" s="24" t="str"/>
      <x:c r="AG114" s="24" t="str"/>
      <x:c r="AH114" s="30" t="n">
        <x:v>46059</x:v>
      </x:c>
      <x:c r="AI114" s="24" t="str">
        <x:v>준모터스</x:v>
      </x:c>
      <x:c r="AJ114" s="24" t="str">
        <x:v>딜러</x:v>
      </x:c>
      <x:c r="AK114" s="32" t="n">
        <x:v>17540000</x:v>
      </x:c>
      <x:c r="AL114" s="32"/>
      <x:c r="AM114" s="24" t="str">
        <x:v>홈택스 매출세금계산서 · 차량매각[34더3234]</x:v>
      </x:c>
      <x:c r="AN114" s="31" t="n">
        <x:v>115</x:v>
      </x:c>
    </x:row>
    <x:row r="115" ht="17.25" customHeight="1">
      <x:c r="A115" s="24" t="str">
        <x:v>스위치플랜</x:v>
      </x:c>
      <x:c r="B115" s="24" t="str">
        <x:v>374보1113</x:v>
      </x:c>
      <x:c r="C115" s="24" t="str">
        <x:v>매각</x:v>
      </x:c>
      <x:c r="D115" s="24" t="str">
        <x:v>BMW</x:v>
      </x:c>
      <x:c r="E115" s="24" t="str">
        <x:v>5시리즈</x:v>
      </x:c>
      <x:c r="F115" s="24" t="str">
        <x:v>5시리즈 G30</x:v>
      </x:c>
      <x:c r="G115" s="24" t="str">
        <x:v>가솔린 2.0 xDrive</x:v>
      </x:c>
      <x:c r="H115" s="24" t="str">
        <x:v>가솔린</x:v>
      </x:c>
      <x:c r="I115" s="31" t="n">
        <x:v>1998</x:v>
      </x:c>
      <x:c r="J115" s="31" t="n">
        <x:v>2018</x:v>
      </x:c>
      <x:c r="K115" s="24" t="str">
        <x:v>WBAJK7105JBP72910</x:v>
      </x:c>
      <x:c r="L115" s="24" t="str">
        <x:v>김포</x:v>
      </x:c>
      <x:c r="M115" s="30" t="n">
        <x:v>43563</x:v>
      </x:c>
      <x:c r="N115" s="31"/>
      <x:c r="O115" s="30" t="n">
        <x:v>45274</x:v>
      </x:c>
      <x:c r="P115" s="32"/>
      <x:c r="Q115" s="32" t="n">
        <x:v>26502970</x:v>
      </x:c>
      <x:c r="R115" s="32" t="n">
        <x:v>26502970</x:v>
      </x:c>
      <x:c r="S115" s="24" t="str">
        <x:v>중고</x:v>
      </x:c>
      <x:c r="T115" s="32"/>
      <x:c r="U115" s="32" t="n">
        <x:v>29432304</x:v>
      </x:c>
      <x:c r="V115" s="24" t="str">
        <x:v>할부</x:v>
      </x:c>
      <x:c r="W115" s="24" t="str">
        <x:v>한국금융자산대부㈜</x:v>
      </x:c>
      <x:c r="X115" s="32" t="n">
        <x:v>27180000</x:v>
      </x:c>
      <x:c r="Y115" s="33" t="n">
        <x:v>0.17</x:v>
      </x:c>
      <x:c r="Z115" s="31" t="n">
        <x:v>48</x:v>
      </x:c>
      <x:c r="AA115" s="24" t="str">
        <x:v>10일</x:v>
      </x:c>
      <x:c r="AB115" s="30" t="n">
        <x:v>45301</x:v>
      </x:c>
      <x:c r="AC115" s="30" t="n">
        <x:v>46731</x:v>
      </x:c>
      <x:c r="AD115" s="32"/>
      <x:c r="AE115" s="32" t="n">
        <x:v>12727582</x:v>
      </x:c>
      <x:c r="AF115" s="24" t="str"/>
      <x:c r="AG115" s="24" t="str"/>
      <x:c r="AH115" s="30" t="n">
        <x:v>46059</x:v>
      </x:c>
      <x:c r="AI115" s="24" t="str">
        <x:v>주식회사 지에스옥션</x:v>
      </x:c>
      <x:c r="AJ115" s="24" t="str"/>
      <x:c r="AK115" s="32" t="n">
        <x:v>14600000</x:v>
      </x:c>
      <x:c r="AL115" s="32"/>
      <x:c r="AM115" s="24" t="str">
        <x:v>홈택스 매출세금계산서 · 차량매각[374보1113]</x:v>
      </x:c>
      <x:c r="AN115" s="31" t="n">
        <x:v>116</x:v>
      </x:c>
    </x:row>
    <x:row r="116" ht="17.25" customHeight="1">
      <x:c r="A116" s="24" t="str">
        <x:v>스위치플랜</x:v>
      </x:c>
      <x:c r="B116" s="24" t="str">
        <x:v>59가1616</x:v>
      </x:c>
      <x:c r="C116" s="24" t="str">
        <x:v>매각</x:v>
      </x:c>
      <x:c r="D116" s="24" t="str">
        <x:v>벤츠</x:v>
      </x:c>
      <x:c r="E116" s="24" t="str">
        <x:v>E-클래스</x:v>
      </x:c>
      <x:c r="F116" s="24" t="str">
        <x:v>E-클래스 W213</x:v>
      </x:c>
      <x:c r="G116" s="24" t="str">
        <x:v>가솔린 2.0 4MATIC</x:v>
      </x:c>
      <x:c r="H116" s="24" t="str">
        <x:v>가솔린</x:v>
      </x:c>
      <x:c r="I116" s="31" t="n">
        <x:v>1991</x:v>
      </x:c>
      <x:c r="J116" s="31" t="n">
        <x:v>2018</x:v>
      </x:c>
      <x:c r="K116" s="24" t="str">
        <x:v>WDDZF4KB0JA376341</x:v>
      </x:c>
      <x:c r="L116" s="24" t="str">
        <x:v>김포</x:v>
      </x:c>
      <x:c r="M116" s="30" t="n">
        <x:v>43138</x:v>
      </x:c>
      <x:c r="N116" s="31"/>
      <x:c r="O116" s="30" t="n">
        <x:v>45454</x:v>
      </x:c>
      <x:c r="P116" s="32"/>
      <x:c r="Q116" s="32" t="n">
        <x:v>50200000</x:v>
      </x:c>
      <x:c r="R116" s="32" t="n">
        <x:v>26940000</x:v>
      </x:c>
      <x:c r="S116" s="24" t="str">
        <x:v>중고</x:v>
      </x:c>
      <x:c r="T116" s="32"/>
      <x:c r="U116" s="32" t="n">
        <x:v>30940401</x:v>
      </x:c>
      <x:c r="V116" s="24" t="str">
        <x:v>할부</x:v>
      </x:c>
      <x:c r="W116" s="24" t="str">
        <x:v>도이치파이낸셜</x:v>
      </x:c>
      <x:c r="X116" s="32" t="n">
        <x:v>29889293</x:v>
      </x:c>
      <x:c r="Y116" s="33" t="n">
        <x:v>0.17</x:v>
      </x:c>
      <x:c r="Z116" s="31" t="n">
        <x:v>48</x:v>
      </x:c>
      <x:c r="AA116" s="24" t="str">
        <x:v>10일</x:v>
      </x:c>
      <x:c r="AB116" s="30" t="n">
        <x:v>45636</x:v>
      </x:c>
      <x:c r="AC116" s="30" t="n">
        <x:v>47067</x:v>
      </x:c>
      <x:c r="AD116" s="32"/>
      <x:c r="AE116" s="32" t="n">
        <x:v>28695950</x:v>
      </x:c>
      <x:c r="AF116" s="24" t="str"/>
      <x:c r="AG116" s="24" t="str"/>
      <x:c r="AH116" s="30" t="n">
        <x:v>46052</x:v>
      </x:c>
      <x:c r="AI116" s="24" t="str">
        <x:v>주식회사 해태자동차</x:v>
      </x:c>
      <x:c r="AJ116" s="24" t="str">
        <x:v>딜러</x:v>
      </x:c>
      <x:c r="AK116" s="32" t="n">
        <x:v>18850000</x:v>
      </x:c>
      <x:c r="AL116" s="32"/>
      <x:c r="AM116" s="24" t="str">
        <x:v>홈택스 매출세금계산서 · 차량매각[59가1616]</x:v>
      </x:c>
      <x:c r="AN116" s="31" t="n">
        <x:v>117</x:v>
      </x:c>
    </x:row>
    <x:row r="117" ht="17.25" customHeight="1">
      <x:c r="A117" s="24" t="str">
        <x:v>스위치플랜</x:v>
      </x:c>
      <x:c r="B117" s="24" t="str">
        <x:v>134오2250</x:v>
      </x:c>
      <x:c r="C117" s="24" t="str">
        <x:v>매각</x:v>
      </x:c>
      <x:c r="D117" s="24" t="str">
        <x:v>벤츠</x:v>
      </x:c>
      <x:c r="E117" s="24" t="str">
        <x:v>E-클래스</x:v>
      </x:c>
      <x:c r="F117" s="24" t="str">
        <x:v>E-클래스 W213</x:v>
      </x:c>
      <x:c r="G117" s="24" t="str">
        <x:v>가솔린 2.0</x:v>
      </x:c>
      <x:c r="H117" s="24" t="str">
        <x:v>가솔린</x:v>
      </x:c>
      <x:c r="I117" s="31" t="n">
        <x:v>1991</x:v>
      </x:c>
      <x:c r="J117" s="31" t="n">
        <x:v>2017</x:v>
      </x:c>
      <x:c r="K117" s="24" t="str">
        <x:v>WDDZF4JB3HA033003</x:v>
      </x:c>
      <x:c r="L117" s="24" t="str">
        <x:v>김포</x:v>
      </x:c>
      <x:c r="M117" s="30" t="n">
        <x:v>42551</x:v>
      </x:c>
      <x:c r="N117" s="31"/>
      <x:c r="O117" s="30" t="n">
        <x:v>45267</x:v>
      </x:c>
      <x:c r="P117" s="32"/>
      <x:c r="Q117" s="32" t="n">
        <x:v>28440000</x:v>
      </x:c>
      <x:c r="R117" s="32" t="n">
        <x:v>28440000</x:v>
      </x:c>
      <x:c r="S117" s="24" t="str">
        <x:v>중고</x:v>
      </x:c>
      <x:c r="T117" s="32"/>
      <x:c r="U117" s="32" t="n">
        <x:v>31882300</x:v>
      </x:c>
      <x:c r="V117" s="24" t="str">
        <x:v>할부</x:v>
      </x:c>
      <x:c r="W117" s="24" t="str">
        <x:v>IBK저축은행</x:v>
      </x:c>
      <x:c r="X117" s="32" t="n">
        <x:v>29959999</x:v>
      </x:c>
      <x:c r="Y117" s="33" t="n">
        <x:v>0.17</x:v>
      </x:c>
      <x:c r="Z117" s="31" t="n">
        <x:v>48</x:v>
      </x:c>
      <x:c r="AA117" s="24" t="str">
        <x:v>10일</x:v>
      </x:c>
      <x:c r="AB117" s="30" t="n">
        <x:v>45270</x:v>
      </x:c>
      <x:c r="AC117" s="30" t="n">
        <x:v>46701</x:v>
      </x:c>
      <x:c r="AD117" s="32"/>
      <x:c r="AE117" s="32"/>
      <x:c r="AF117" s="24" t="str"/>
      <x:c r="AG117" s="24" t="str"/>
      <x:c r="AH117" s="30" t="n">
        <x:v>46052</x:v>
      </x:c>
      <x:c r="AI117" s="24" t="str">
        <x:v>다정자동차매매상사</x:v>
      </x:c>
      <x:c r="AJ117" s="24" t="str">
        <x:v>딜러</x:v>
      </x:c>
      <x:c r="AK117" s="32" t="n">
        <x:v>15880000</x:v>
      </x:c>
      <x:c r="AL117" s="32"/>
      <x:c r="AM117" s="24" t="str">
        <x:v>홈택스 매출세금계산서 · 차량매각[134오2250]</x:v>
      </x:c>
      <x:c r="AN117" s="31" t="n">
        <x:v>118</x:v>
      </x:c>
    </x:row>
    <x:row r="118" ht="17.25" customHeight="1">
      <x:c r="A118" s="24" t="str">
        <x:v>스위치플랜</x:v>
      </x:c>
      <x:c r="B118" s="24" t="str">
        <x:v>34저3600</x:v>
      </x:c>
      <x:c r="C118" s="24" t="str">
        <x:v>매각</x:v>
      </x:c>
      <x:c r="D118" s="24" t="str">
        <x:v>BMW</x:v>
      </x:c>
      <x:c r="E118" s="24" t="str">
        <x:v>3시리즈</x:v>
      </x:c>
      <x:c r="F118" s="24" t="str">
        <x:v>3시리즈 F30</x:v>
      </x:c>
      <x:c r="G118" s="24" t="str">
        <x:v>디젤 2.0 xDrive</x:v>
      </x:c>
      <x:c r="H118" s="24" t="str">
        <x:v>디젤</x:v>
      </x:c>
      <x:c r="I118" s="31" t="n">
        <x:v>1995</x:v>
      </x:c>
      <x:c r="J118" s="31" t="n">
        <x:v>2018</x:v>
      </x:c>
      <x:c r="K118" s="24" t="str">
        <x:v>WBA8C5104JK736450</x:v>
      </x:c>
      <x:c r="L118" s="24" t="str">
        <x:v>김포</x:v>
      </x:c>
      <x:c r="M118" s="30" t="n">
        <x:v>43532</x:v>
      </x:c>
      <x:c r="N118" s="31"/>
      <x:c r="O118" s="30" t="n">
        <x:v>45483</x:v>
      </x:c>
      <x:c r="P118" s="32"/>
      <x:c r="Q118" s="32" t="n">
        <x:v>20700000</x:v>
      </x:c>
      <x:c r="R118" s="32" t="n">
        <x:v>20200000</x:v>
      </x:c>
      <x:c r="S118" s="24" t="str">
        <x:v>중고</x:v>
      </x:c>
      <x:c r="T118" s="32"/>
      <x:c r="U118" s="32" t="n">
        <x:v>22416616</x:v>
      </x:c>
      <x:c r="V118" s="24" t="str">
        <x:v>할부</x:v>
      </x:c>
      <x:c r="W118" s="24" t="str">
        <x:v>한국금융자산대부㈜</x:v>
      </x:c>
      <x:c r="X118" s="32" t="n">
        <x:v>25003748</x:v>
      </x:c>
      <x:c r="Y118" s="33" t="n">
        <x:v>0.17</x:v>
      </x:c>
      <x:c r="Z118" s="31" t="n">
        <x:v>48</x:v>
      </x:c>
      <x:c r="AA118" s="24" t="str">
        <x:v>10일</x:v>
      </x:c>
      <x:c r="AB118" s="30" t="n">
        <x:v>45453</x:v>
      </x:c>
      <x:c r="AC118" s="30" t="n">
        <x:v>46883</x:v>
      </x:c>
      <x:c r="AD118" s="32"/>
      <x:c r="AE118" s="32" t="n">
        <x:v>12085213</x:v>
      </x:c>
      <x:c r="AF118" s="24" t="str"/>
      <x:c r="AG118" s="24" t="str"/>
      <x:c r="AH118" s="30" t="n">
        <x:v>46078</x:v>
      </x:c>
      <x:c r="AI118" s="24" t="str">
        <x:v>트리오베투라 코리아</x:v>
      </x:c>
      <x:c r="AJ118" s="24" t="str"/>
      <x:c r="AK118" s="32" t="n">
        <x:v>17500000</x:v>
      </x:c>
      <x:c r="AL118" s="32"/>
      <x:c r="AM118" s="24" t="str">
        <x:v>홈택스 매출세금계산서 · [차량매각] 34저3600</x:v>
      </x:c>
      <x:c r="AN118" s="31" t="n">
        <x:v>119</x:v>
      </x:c>
    </x:row>
    <x:row r="119" ht="17.25" customHeight="1">
      <x:c r="A119" s="24" t="str">
        <x:v>스위치플랜</x:v>
      </x:c>
      <x:c r="B119" s="24" t="str">
        <x:v>334다4851</x:v>
      </x:c>
      <x:c r="C119" s="24" t="str">
        <x:v>매각</x:v>
      </x:c>
      <x:c r="D119" s="24" t="str">
        <x:v>벤츠</x:v>
      </x:c>
      <x:c r="E119" s="24" t="str">
        <x:v>E-클래스</x:v>
      </x:c>
      <x:c r="F119" s="24" t="str">
        <x:v>E-클래스 W213</x:v>
      </x:c>
      <x:c r="G119" s="24" t="str">
        <x:v>디젤 1.9 4MATIC</x:v>
      </x:c>
      <x:c r="H119" s="24" t="str">
        <x:v>디젤</x:v>
      </x:c>
      <x:c r="I119" s="31" t="n">
        <x:v>1950</x:v>
      </x:c>
      <x:c r="J119" s="31" t="n">
        <x:v>2017</x:v>
      </x:c>
      <x:c r="K119" s="24" t="str">
        <x:v>WDDZF0FB7HA282499</x:v>
      </x:c>
      <x:c r="L119" s="24" t="str">
        <x:v>김포</x:v>
      </x:c>
      <x:c r="M119" s="30" t="n">
        <x:v>42940</x:v>
      </x:c>
      <x:c r="N119" s="31"/>
      <x:c r="O119" s="30" t="n">
        <x:v>45336</x:v>
      </x:c>
      <x:c r="P119" s="32" t="n">
        <x:v>71500000</x:v>
      </x:c>
      <x:c r="Q119" s="32" t="n">
        <x:v>24000000</x:v>
      </x:c>
      <x:c r="R119" s="32"/>
      <x:c r="S119" s="24" t="str">
        <x:v>중고</x:v>
      </x:c>
      <x:c r="T119" s="32"/>
      <x:c r="U119" s="32"/>
      <x:c r="V119" s="24" t="str">
        <x:v>할부</x:v>
      </x:c>
      <x:c r="W119" s="24" t="str">
        <x:v>KB캐피탈</x:v>
      </x:c>
      <x:c r="X119" s="32" t="n">
        <x:v>24000000</x:v>
      </x:c>
      <x:c r="Y119" s="33" t="n">
        <x:v>0.08</x:v>
      </x:c>
      <x:c r="Z119" s="31" t="n">
        <x:v>36</x:v>
      </x:c>
      <x:c r="AA119" s="24" t="str">
        <x:v>20일</x:v>
      </x:c>
      <x:c r="AB119" s="30" t="n">
        <x:v>45371</x:v>
      </x:c>
      <x:c r="AC119" s="30" t="n">
        <x:v>46438</x:v>
      </x:c>
      <x:c r="AD119" s="32" t="n">
        <x:v>746549</x:v>
      </x:c>
      <x:c r="AE119" s="32" t="n">
        <x:v>0</x:v>
      </x:c>
      <x:c r="AF119" s="24" t="str"/>
      <x:c r="AG119" s="24" t="str"/>
      <x:c r="AH119" s="30" t="n">
        <x:v>46104</x:v>
      </x:c>
      <x:c r="AI119" s="24" t="str">
        <x:v>주식회사 오토플랜</x:v>
      </x:c>
      <x:c r="AJ119" s="24" t="str">
        <x:v>딜러</x:v>
      </x:c>
      <x:c r="AK119" s="32" t="n">
        <x:v>17000000</x:v>
      </x:c>
      <x:c r="AL119" s="32"/>
      <x:c r="AM119" s="24" t="str">
        <x:v>홈택스 매출세금계산서 · [차량매각]334다4851</x:v>
      </x:c>
      <x:c r="AN119" s="31" t="n">
        <x:v>120</x:v>
      </x:c>
    </x:row>
    <x:row r="120" ht="17.25" customHeight="1">
      <x:c r="A120" s="24" t="str">
        <x:v>스위치플랜</x:v>
      </x:c>
      <x:c r="B120" s="24" t="str">
        <x:v>02무0357</x:v>
      </x:c>
      <x:c r="C120" s="24" t="str">
        <x:v>매각</x:v>
      </x:c>
      <x:c r="D120" s="24" t="str">
        <x:v>현대</x:v>
      </x:c>
      <x:c r="E120" s="24" t="str">
        <x:v>아슬란</x:v>
      </x:c>
      <x:c r="F120" s="24" t="str">
        <x:v>아슬란</x:v>
      </x:c>
      <x:c r="G120" s="24" t="str">
        <x:v>가솔린 3.0</x:v>
      </x:c>
      <x:c r="H120" s="24" t="str">
        <x:v>가솔린</x:v>
      </x:c>
      <x:c r="I120" s="31" t="n">
        <x:v>2999</x:v>
      </x:c>
      <x:c r="J120" s="31" t="n">
        <x:v>2016</x:v>
      </x:c>
      <x:c r="K120" s="24" t="str">
        <x:v>KMHFM411BGA009704</x:v>
      </x:c>
      <x:c r="L120" s="24" t="str">
        <x:v>김포</x:v>
      </x:c>
      <x:c r="M120" s="30" t="n">
        <x:v>42272</x:v>
      </x:c>
      <x:c r="N120" s="31"/>
      <x:c r="O120" s="30" t="n">
        <x:v>45309</x:v>
      </x:c>
      <x:c r="P120" s="32" t="n">
        <x:v>40010000</x:v>
      </x:c>
      <x:c r="Q120" s="32" t="n">
        <x:v>12000000</x:v>
      </x:c>
      <x:c r="R120" s="32" t="n">
        <x:v>12000000</x:v>
      </x:c>
      <x:c r="S120" s="24" t="str">
        <x:v>중고</x:v>
      </x:c>
      <x:c r="T120" s="32"/>
      <x:c r="U120" s="32" t="n">
        <x:v>12982964</x:v>
      </x:c>
      <x:c r="V120" s="24" t="str">
        <x:v>할부</x:v>
      </x:c>
      <x:c r="W120" s="24" t="str">
        <x:v>한국금융자산대부㈜</x:v>
      </x:c>
      <x:c r="X120" s="32" t="n">
        <x:v>12840000</x:v>
      </x:c>
      <x:c r="Y120" s="33" t="n">
        <x:v>0.17</x:v>
      </x:c>
      <x:c r="Z120" s="31" t="n">
        <x:v>48</x:v>
      </x:c>
      <x:c r="AA120" s="24" t="str">
        <x:v>10일</x:v>
      </x:c>
      <x:c r="AB120" s="30" t="n">
        <x:v>45332</x:v>
      </x:c>
      <x:c r="AC120" s="30" t="n">
        <x:v>46762</x:v>
      </x:c>
      <x:c r="AD120" s="32"/>
      <x:c r="AE120" s="32" t="n">
        <x:v>1473062</x:v>
      </x:c>
      <x:c r="AF120" s="24" t="str"/>
      <x:c r="AG120" s="24" t="str"/>
      <x:c r="AH120" s="30" t="n">
        <x:v>46127</x:v>
      </x:c>
      <x:c r="AI120" s="24" t="str">
        <x:v>주식회사 지디플러스</x:v>
      </x:c>
      <x:c r="AJ120" s="24" t="str"/>
      <x:c r="AK120" s="32" t="n">
        <x:v>4880000</x:v>
      </x:c>
      <x:c r="AL120" s="32"/>
      <x:c r="AM120" s="24" t="str">
        <x:v>홈택스 매출세금계산서 · [차량매각] 02무0357</x:v>
      </x:c>
      <x:c r="AN120" s="31" t="n">
        <x:v>121</x:v>
      </x:c>
    </x:row>
    <x:row r="121" ht="17.25" customHeight="1">
      <x:c r="A121" s="24" t="str">
        <x:v>스위치플랜</x:v>
      </x:c>
      <x:c r="B121" s="24" t="str">
        <x:v>20더8094</x:v>
      </x:c>
      <x:c r="C121" s="24" t="str">
        <x:v>매각</x:v>
      </x:c>
      <x:c r="D121" s="24" t="str">
        <x:v>쉐보레</x:v>
      </x:c>
      <x:c r="E121" s="24" t="str">
        <x:v>카마로</x:v>
      </x:c>
      <x:c r="F121" s="24" t="str">
        <x:v>더 뉴 카마로</x:v>
      </x:c>
      <x:c r="G121" s="24" t="str">
        <x:v>가솔린 6.2</x:v>
      </x:c>
      <x:c r="H121" s="24" t="str">
        <x:v>가솔린</x:v>
      </x:c>
      <x:c r="I121" s="31" t="n">
        <x:v>6162</x:v>
      </x:c>
      <x:c r="J121" s="31" t="n">
        <x:v>2018</x:v>
      </x:c>
      <x:c r="K121" s="24" t="str">
        <x:v>1G1F91R77J0147397</x:v>
      </x:c>
      <x:c r="L121" s="24" t="str">
        <x:v>김포</x:v>
      </x:c>
      <x:c r="M121" s="30" t="n">
        <x:v>43426</x:v>
      </x:c>
      <x:c r="N121" s="31"/>
      <x:c r="O121" s="30" t="n">
        <x:v>45336</x:v>
      </x:c>
      <x:c r="P121" s="32"/>
      <x:c r="Q121" s="32" t="n">
        <x:v>27000000</x:v>
      </x:c>
      <x:c r="R121" s="32" t="n">
        <x:v>27777040</x:v>
      </x:c>
      <x:c r="S121" s="24" t="str">
        <x:v>중고</x:v>
      </x:c>
      <x:c r="T121" s="32"/>
      <x:c r="U121" s="32" t="n">
        <x:v>30579080</x:v>
      </x:c>
      <x:c r="V121" s="24" t="str">
        <x:v>할부</x:v>
      </x:c>
      <x:c r="W121" s="24" t="str">
        <x:v>KB캐피탈</x:v>
      </x:c>
      <x:c r="X121" s="32" t="n">
        <x:v>26800000</x:v>
      </x:c>
      <x:c r="Y121" s="33" t="n">
        <x:v>0.08</x:v>
      </x:c>
      <x:c r="Z121" s="31" t="n">
        <x:v>36</x:v>
      </x:c>
      <x:c r="AA121" s="24" t="str">
        <x:v>20일</x:v>
      </x:c>
      <x:c r="AB121" s="30" t="n">
        <x:v>45371</x:v>
      </x:c>
      <x:c r="AC121" s="30" t="n">
        <x:v>46438</x:v>
      </x:c>
      <x:c r="AD121" s="32" t="n">
        <x:v>833646</x:v>
      </x:c>
      <x:c r="AE121" s="32" t="n">
        <x:v>0</x:v>
      </x:c>
      <x:c r="AF121" s="24" t="str"/>
      <x:c r="AG121" s="24" t="str"/>
      <x:c r="AH121" s="30" t="n">
        <x:v>46155</x:v>
      </x:c>
      <x:c r="AI121" s="24" t="str">
        <x:v>주식회사 싼카</x:v>
      </x:c>
      <x:c r="AJ121" s="24" t="str">
        <x:v>딜러</x:v>
      </x:c>
      <x:c r="AK121" s="32" t="n">
        <x:v>36310000</x:v>
      </x:c>
      <x:c r="AL121" s="32"/>
      <x:c r="AM121" s="24" t="str">
        <x:v>홈택스 매출세금계산서 · [차량매각] 20더8094</x:v>
      </x:c>
      <x:c r="AN121" s="31" t="n">
        <x:v>122</x:v>
      </x:c>
    </x:row>
    <x:row r="122" ht="17.25" customHeight="1">
      <x:c r="A122" s="24" t="str">
        <x:v>스위치플랜</x:v>
      </x:c>
      <x:c r="B122" s="24" t="str">
        <x:v>103주3484</x:v>
      </x:c>
      <x:c r="C122" s="24" t="str">
        <x:v>매각</x:v>
      </x:c>
      <x:c r="D122" s="24" t="str">
        <x:v>포드</x:v>
      </x:c>
      <x:c r="E122" s="24" t="str">
        <x:v>머스탱</x:v>
      </x:c>
      <x:c r="F122" s="24" t="str">
        <x:v>머스탱</x:v>
      </x:c>
      <x:c r="G122" s="24" t="str">
        <x:v>가솔린 5.0</x:v>
      </x:c>
      <x:c r="H122" s="24" t="str">
        <x:v>가솔린</x:v>
      </x:c>
      <x:c r="I122" s="31" t="n">
        <x:v>4951</x:v>
      </x:c>
      <x:c r="J122" s="31" t="n">
        <x:v>2015</x:v>
      </x:c>
      <x:c r="K122" s="24" t="str">
        <x:v>1FA6P8CF6G5240046</x:v>
      </x:c>
      <x:c r="L122" s="24" t="str">
        <x:v>김포</x:v>
      </x:c>
      <x:c r="M122" s="30" t="n">
        <x:v>42373</x:v>
      </x:c>
      <x:c r="N122" s="31"/>
      <x:c r="O122" s="30" t="n">
        <x:v>45757</x:v>
      </x:c>
      <x:c r="P122" s="32"/>
      <x:c r="Q122" s="32" t="n">
        <x:v>24900000</x:v>
      </x:c>
      <x:c r="R122" s="32" t="n">
        <x:v>25663180</x:v>
      </x:c>
      <x:c r="S122" s="24" t="str">
        <x:v>중고</x:v>
      </x:c>
      <x:c r="T122" s="32"/>
      <x:c r="U122" s="32" t="n">
        <x:v>28054206</x:v>
      </x:c>
      <x:c r="V122" s="24" t="str">
        <x:v>할부</x:v>
      </x:c>
      <x:c r="W122" s="24" t="str">
        <x:v>한국금융자산대부</x:v>
      </x:c>
      <x:c r="X122" s="32" t="n">
        <x:v>27139999</x:v>
      </x:c>
      <x:c r="Y122" s="33" t="n">
        <x:v>0.17</x:v>
      </x:c>
      <x:c r="Z122" s="31" t="n">
        <x:v>48</x:v>
      </x:c>
      <x:c r="AA122" s="24" t="str">
        <x:v>10일</x:v>
      </x:c>
      <x:c r="AB122" s="30" t="n">
        <x:v>45787</x:v>
      </x:c>
      <x:c r="AC122" s="30" t="n">
        <x:v>47218</x:v>
      </x:c>
      <x:c r="AD122" s="32"/>
      <x:c r="AE122" s="32" t="n">
        <x:v>24942201</x:v>
      </x:c>
      <x:c r="AF122" s="24" t="str"/>
      <x:c r="AG122" s="24" t="str"/>
      <x:c r="AH122" s="30" t="n">
        <x:v>46182</x:v>
      </x:c>
      <x:c r="AI122" s="24" t="str">
        <x:v>남수원모터스</x:v>
      </x:c>
      <x:c r="AJ122" s="24" t="str">
        <x:v>딜러</x:v>
      </x:c>
      <x:c r="AK122" s="32" t="n">
        <x:v>17510000</x:v>
      </x:c>
      <x:c r="AL122" s="32"/>
      <x:c r="AM122" s="24" t="str">
        <x:v>홈택스 매출세금계산서 · [차량매각] 103주3484</x:v>
      </x:c>
      <x:c r="AN122" s="31" t="n">
        <x:v>123</x:v>
      </x:c>
    </x:row>
    <x:row r="123" ht="17.25" customHeight="1">
      <x:c r="A123" s="24" t="str">
        <x:v>스위치플랜</x:v>
      </x:c>
      <x:c r="B123" s="24" t="str">
        <x:v>197너8600</x:v>
      </x:c>
      <x:c r="C123" s="24" t="str">
        <x:v>매각</x:v>
      </x:c>
      <x:c r="D123" s="24" t="str">
        <x:v>기아</x:v>
      </x:c>
      <x:c r="E123" s="24" t="str">
        <x:v>카니발</x:v>
      </x:c>
      <x:c r="F123" s="24" t="str">
        <x:v>더 뉴 카니발 YP</x:v>
      </x:c>
      <x:c r="G123" s="24" t="str">
        <x:v>디젤 2.2</x:v>
      </x:c>
      <x:c r="H123" s="24" t="str">
        <x:v>디젤</x:v>
      </x:c>
      <x:c r="I123" s="31" t="n">
        <x:v>2199</x:v>
      </x:c>
      <x:c r="J123" s="31" t="n">
        <x:v>2020</x:v>
      </x:c>
      <x:c r="K123" s="24" t="str">
        <x:v>KNAME81ABLS616424</x:v>
      </x:c>
      <x:c r="L123" s="24" t="str">
        <x:v>김포</x:v>
      </x:c>
      <x:c r="M123" s="30" t="n">
        <x:v>43756</x:v>
      </x:c>
      <x:c r="N123" s="31"/>
      <x:c r="O123" s="30" t="n">
        <x:v>45294</x:v>
      </x:c>
      <x:c r="P123" s="32" t="n">
        <x:v>42950000</x:v>
      </x:c>
      <x:c r="Q123" s="32" t="n">
        <x:v>23100000</x:v>
      </x:c>
      <x:c r="R123" s="32" t="n">
        <x:v>23100000</x:v>
      </x:c>
      <x:c r="S123" s="24" t="str">
        <x:v>중고</x:v>
      </x:c>
      <x:c r="T123" s="32"/>
      <x:c r="U123" s="32" t="n">
        <x:v>25528000</x:v>
      </x:c>
      <x:c r="V123" s="24" t="str">
        <x:v>할부</x:v>
      </x:c>
      <x:c r="W123" s="24" t="str">
        <x:v>KB캐피탈</x:v>
      </x:c>
      <x:c r="X123" s="32" t="n">
        <x:v>21200000</x:v>
      </x:c>
      <x:c r="Y123" s="33" t="n">
        <x:v>0.08</x:v>
      </x:c>
      <x:c r="Z123" s="31" t="n">
        <x:v>36</x:v>
      </x:c>
      <x:c r="AA123" s="24" t="str">
        <x:v>20일</x:v>
      </x:c>
      <x:c r="AB123" s="30" t="n">
        <x:v>45311</x:v>
      </x:c>
      <x:c r="AC123" s="30" t="n">
        <x:v>46376</x:v>
      </x:c>
      <x:c r="AD123" s="32" t="n">
        <x:v>659451</x:v>
      </x:c>
      <x:c r="AE123" s="32" t="n">
        <x:v>0</x:v>
      </x:c>
      <x:c r="AF123" s="24" t="str"/>
      <x:c r="AG123" s="24" t="str"/>
      <x:c r="AH123" s="30" t="n">
        <x:v>46182</x:v>
      </x:c>
      <x:c r="AI123" s="24" t="str">
        <x:v>주식회사 하나옥션</x:v>
      </x:c>
      <x:c r="AJ123" s="24" t="str"/>
      <x:c r="AK123" s="32" t="n">
        <x:v>10990000</x:v>
      </x:c>
      <x:c r="AL123" s="32"/>
      <x:c r="AM123" s="24" t="str">
        <x:v>홈택스 매출세금계산서 · [차량매각] 197너8600</x:v>
      </x:c>
      <x:c r="AN123" s="31" t="n">
        <x:v>124</x:v>
      </x:c>
    </x:row>
    <x:row r="124" ht="17.25" customHeight="1">
      <x:c r="A124" s="24" t="str">
        <x:v>스위치플랜</x:v>
      </x:c>
      <x:c r="B124" s="24" t="str">
        <x:v>166마2517</x:v>
      </x:c>
      <x:c r="C124" s="24" t="str">
        <x:v>매각</x:v>
      </x:c>
      <x:c r="D124" s="24" t="str">
        <x:v>마세라티</x:v>
      </x:c>
      <x:c r="E124" s="24" t="str">
        <x:v>기블리</x:v>
      </x:c>
      <x:c r="F124" s="24" t="str">
        <x:v>기블리</x:v>
      </x:c>
      <x:c r="G124" s="24" t="str">
        <x:v>디젤 3.0</x:v>
      </x:c>
      <x:c r="H124" s="24" t="str">
        <x:v>디젤</x:v>
      </x:c>
      <x:c r="I124" s="31" t="n">
        <x:v>2987</x:v>
      </x:c>
      <x:c r="J124" s="31" t="n">
        <x:v>2015</x:v>
      </x:c>
      <x:c r="K124" s="24" t="str">
        <x:v>ZAM57TSA6G1169190</x:v>
      </x:c>
      <x:c r="L124" s="24" t="str">
        <x:v>김포</x:v>
      </x:c>
      <x:c r="M124" s="30" t="n">
        <x:v>42304</x:v>
      </x:c>
      <x:c r="N124" s="31"/>
      <x:c r="O124" s="30" t="n">
        <x:v>45803</x:v>
      </x:c>
      <x:c r="P124" s="32"/>
      <x:c r="Q124" s="32" t="n">
        <x:v>96900000</x:v>
      </x:c>
      <x:c r="R124" s="32" t="n">
        <x:v>19000000</x:v>
      </x:c>
      <x:c r="S124" s="24" t="str">
        <x:v>중고</x:v>
      </x:c>
      <x:c r="T124" s="32"/>
      <x:c r="U124" s="32" t="n">
        <x:v>21089073</x:v>
      </x:c>
      <x:c r="V124" s="24" t="str">
        <x:v>할부</x:v>
      </x:c>
      <x:c r="W124" s="24" t="str">
        <x:v>한국금융자산대부</x:v>
      </x:c>
      <x:c r="X124" s="32" t="n">
        <x:v>20830000</x:v>
      </x:c>
      <x:c r="Y124" s="33" t="n">
        <x:v>0.17</x:v>
      </x:c>
      <x:c r="Z124" s="31" t="n">
        <x:v>48</x:v>
      </x:c>
      <x:c r="AA124" s="24" t="str">
        <x:v>10일</x:v>
      </x:c>
      <x:c r="AB124" s="30" t="n">
        <x:v>45818</x:v>
      </x:c>
      <x:c r="AC124" s="30" t="n">
        <x:v>47248</x:v>
      </x:c>
      <x:c r="AD124" s="32" t="n">
        <x:v>601050</x:v>
      </x:c>
      <x:c r="AE124" s="32" t="n">
        <x:v>12589480</x:v>
      </x:c>
      <x:c r="AF124" s="24" t="str"/>
      <x:c r="AG124" s="24" t="str"/>
      <x:c r="AH124" s="30" t="n">
        <x:v>46188</x:v>
      </x:c>
      <x:c r="AI124" s="24" t="str">
        <x:v>세진모터스</x:v>
      </x:c>
      <x:c r="AJ124" s="24" t="str">
        <x:v>딜러</x:v>
      </x:c>
      <x:c r="AK124" s="32" t="n">
        <x:v>6010000</x:v>
      </x:c>
      <x:c r="AL124" s="32"/>
      <x:c r="AM124" s="24" t="str">
        <x:v>홈택스 매출세금계산서 · [차량매각] 166마2517</x:v>
      </x:c>
      <x:c r="AN124" s="31" t="n">
        <x:v>125</x:v>
      </x:c>
    </x:row>
    <x:row r="125" ht="17.25" customHeight="1">
      <x:c r="A125" s="24" t="str">
        <x:v>스위치플랜</x:v>
      </x:c>
      <x:c r="B125" s="24" t="str">
        <x:v>28누9894</x:v>
      </x:c>
      <x:c r="C125" s="24" t="str">
        <x:v>매각</x:v>
      </x:c>
      <x:c r="D125" s="24" t="str">
        <x:v>벤츠</x:v>
      </x:c>
      <x:c r="E125" s="24" t="str">
        <x:v>GLC-클래스</x:v>
      </x:c>
      <x:c r="F125" s="24" t="str">
        <x:v>GLC-클래스 X253</x:v>
      </x:c>
      <x:c r="G125" s="24" t="str">
        <x:v>가솔린 2.0 4MATIC</x:v>
      </x:c>
      <x:c r="H125" s="24" t="str">
        <x:v>가솔린</x:v>
      </x:c>
      <x:c r="I125" s="31" t="n">
        <x:v>1991</x:v>
      </x:c>
      <x:c r="J125" s="31" t="n">
        <x:v>2018</x:v>
      </x:c>
      <x:c r="K125" s="24" t="str">
        <x:v>WDC0J4KB2KF513523</x:v>
      </x:c>
      <x:c r="L125" s="24" t="str">
        <x:v>김포</x:v>
      </x:c>
      <x:c r="M125" s="30" t="n">
        <x:v>43543</x:v>
      </x:c>
      <x:c r="N125" s="31"/>
      <x:c r="O125" s="30" t="n">
        <x:v>45700</x:v>
      </x:c>
      <x:c r="P125" s="32"/>
      <x:c r="Q125" s="32" t="n">
        <x:v>38000000</x:v>
      </x:c>
      <x:c r="R125" s="32" t="n">
        <x:v>38000000</x:v>
      </x:c>
      <x:c r="S125" s="24" t="str">
        <x:v>중고</x:v>
      </x:c>
      <x:c r="T125" s="32"/>
      <x:c r="U125" s="32" t="n">
        <x:v>40989080</x:v>
      </x:c>
      <x:c r="V125" s="24" t="str">
        <x:v>할부</x:v>
      </x:c>
      <x:c r="W125" s="24" t="str">
        <x:v>도이치파이낸셜</x:v>
      </x:c>
      <x:c r="X125" s="32" t="n">
        <x:v>59310000</x:v>
      </x:c>
      <x:c r="Y125" s="33" t="n">
        <x:v>0.17</x:v>
      </x:c>
      <x:c r="Z125" s="31" t="n">
        <x:v>48</x:v>
      </x:c>
      <x:c r="AA125" s="24" t="str">
        <x:v>10일</x:v>
      </x:c>
      <x:c r="AB125" s="30" t="n">
        <x:v>45726</x:v>
      </x:c>
      <x:c r="AC125" s="30" t="n">
        <x:v>47159</x:v>
      </x:c>
      <x:c r="AD125" s="32" t="n">
        <x:v>1711390</x:v>
      </x:c>
      <x:c r="AE125" s="32" t="n">
        <x:v>8231655</x:v>
      </x:c>
      <x:c r="AF125" s="24" t="str"/>
      <x:c r="AG125" s="24" t="str"/>
      <x:c r="AH125" s="30" t="n">
        <x:v>46189</x:v>
      </x:c>
      <x:c r="AI125" s="24" t="str">
        <x:v>탑라인모터스</x:v>
      </x:c>
      <x:c r="AJ125" s="24" t="str">
        <x:v>딜러</x:v>
      </x:c>
      <x:c r="AK125" s="32" t="n">
        <x:v>18590000</x:v>
      </x:c>
      <x:c r="AL125" s="32"/>
      <x:c r="AM125" s="24" t="str">
        <x:v>홈택스 매출세금계산서 · [차량매각] 28누9894</x:v>
      </x:c>
      <x:c r="AN125" s="31" t="n">
        <x:v>126</x:v>
      </x:c>
    </x:row>
    <x:row r="126" ht="17.25" customHeight="1">
      <x:c r="A126" s="24" t="str">
        <x:v>스위치플랜</x:v>
      </x:c>
      <x:c r="B126" s="24" t="str">
        <x:v>174모9625</x:v>
      </x:c>
      <x:c r="C126" s="24" t="str">
        <x:v>매각</x:v>
      </x:c>
      <x:c r="D126" s="24" t="str">
        <x:v>기아</x:v>
      </x:c>
      <x:c r="E126" s="24" t="str">
        <x:v>쏘렌토</x:v>
      </x:c>
      <x:c r="F126" s="24" t="str">
        <x:v>쏘렌토 MQ4</x:v>
      </x:c>
      <x:c r="G126" s="24" t="str">
        <x:v>디젤 2.2</x:v>
      </x:c>
      <x:c r="H126" s="24" t="str">
        <x:v>디젤</x:v>
      </x:c>
      <x:c r="I126" s="31" t="n">
        <x:v>2151</x:v>
      </x:c>
      <x:c r="J126" s="31" t="n">
        <x:v>2021</x:v>
      </x:c>
      <x:c r="K126" s="24" t="str">
        <x:v>KNARL81BGMA056380</x:v>
      </x:c>
      <x:c r="L126" s="24" t="str">
        <x:v>김포</x:v>
      </x:c>
      <x:c r="M126" s="30" t="n">
        <x:v>44117</x:v>
      </x:c>
      <x:c r="N126" s="31"/>
      <x:c r="O126" s="30" t="n">
        <x:v>45378</x:v>
      </x:c>
      <x:c r="P126" s="32" t="n">
        <x:v>34452415</x:v>
      </x:c>
      <x:c r="Q126" s="32" t="n">
        <x:v>22830000</x:v>
      </x:c>
      <x:c r="R126" s="32" t="n">
        <x:v>22830000</x:v>
      </x:c>
      <x:c r="S126" s="24" t="str">
        <x:v>중고</x:v>
      </x:c>
      <x:c r="T126" s="32"/>
      <x:c r="U126" s="32" t="n">
        <x:v>24949980</x:v>
      </x:c>
      <x:c r="V126" s="24" t="str">
        <x:v>할부</x:v>
      </x:c>
      <x:c r="W126" s="24" t="str">
        <x:v>한국금융자산대부㈜</x:v>
      </x:c>
      <x:c r="X126" s="32" t="n">
        <x:v>24429996</x:v>
      </x:c>
      <x:c r="Y126" s="33" t="n">
        <x:v>0.17</x:v>
      </x:c>
      <x:c r="Z126" s="31" t="n">
        <x:v>48</x:v>
      </x:c>
      <x:c r="AA126" s="24" t="str">
        <x:v>10일</x:v>
      </x:c>
      <x:c r="AB126" s="30" t="n">
        <x:v>45392</x:v>
      </x:c>
      <x:c r="AC126" s="30" t="n">
        <x:v>46822</x:v>
      </x:c>
      <x:c r="AD126" s="32"/>
      <x:c r="AE126" s="32" t="n">
        <x:v>3283134</x:v>
      </x:c>
      <x:c r="AF126" s="24" t="str"/>
      <x:c r="AG126" s="24" t="str"/>
      <x:c r="AH126" s="30" t="n">
        <x:v>46209</x:v>
      </x:c>
      <x:c r="AI126" s="24" t="str">
        <x:v>주식회사 지디플러스</x:v>
      </x:c>
      <x:c r="AJ126" s="24" t="str"/>
      <x:c r="AK126" s="32" t="n">
        <x:v>16280000</x:v>
      </x:c>
      <x:c r="AL126" s="32"/>
      <x:c r="AM126" s="24" t="str">
        <x:v>홈택스 매출세금계산서 · [차량매각] 174모9625</x:v>
      </x:c>
      <x:c r="AN126" s="31" t="n">
        <x:v>127</x:v>
      </x:c>
    </x:row>
    <x:row r="127" ht="17.25" customHeight="1">
      <x:c r="A127" s="24" t="str">
        <x:v>스위치플랜</x:v>
      </x:c>
      <x:c r="B127" s="24" t="str">
        <x:v>125도3102</x:v>
      </x:c>
      <x:c r="C127" s="24" t="str">
        <x:v>매각</x:v>
      </x:c>
      <x:c r="D127" s="24" t="str">
        <x:v>현대</x:v>
      </x:c>
      <x:c r="E127" s="24" t="str">
        <x:v>벨로스터</x:v>
      </x:c>
      <x:c r="F127" s="24" t="str">
        <x:v>벨로스터 JS</x:v>
      </x:c>
      <x:c r="G127" s="24" t="str">
        <x:v>가솔린 2.0</x:v>
      </x:c>
      <x:c r="H127" s="24" t="str">
        <x:v>가솔린</x:v>
      </x:c>
      <x:c r="I127" s="31" t="n">
        <x:v>1998</x:v>
      </x:c>
      <x:c r="J127" s="31" t="n">
        <x:v>2021</x:v>
      </x:c>
      <x:c r="K127" s="24" t="str">
        <x:v>KMHT361HGMU010992</x:v>
      </x:c>
      <x:c r="L127" s="24" t="str">
        <x:v>김포</x:v>
      </x:c>
      <x:c r="M127" s="30" t="n">
        <x:v>44281</x:v>
      </x:c>
      <x:c r="N127" s="31"/>
      <x:c r="O127" s="30" t="n">
        <x:v>45463</x:v>
      </x:c>
      <x:c r="P127" s="32" t="n">
        <x:v>38330000</x:v>
      </x:c>
      <x:c r="Q127" s="32" t="n">
        <x:v>21000000</x:v>
      </x:c>
      <x:c r="R127" s="32" t="n">
        <x:v>21506330</x:v>
      </x:c>
      <x:c r="S127" s="24" t="str">
        <x:v>중고</x:v>
      </x:c>
      <x:c r="T127" s="32"/>
      <x:c r="U127" s="32" t="n">
        <x:v>23404840</x:v>
      </x:c>
      <x:c r="V127" s="24" t="str">
        <x:v>할부</x:v>
      </x:c>
      <x:c r="W127" s="24" t="str">
        <x:v>한국금융자산대부㈜</x:v>
      </x:c>
      <x:c r="X127" s="32" t="n">
        <x:v>22970001</x:v>
      </x:c>
      <x:c r="Y127" s="33" t="n">
        <x:v>0.17</x:v>
      </x:c>
      <x:c r="Z127" s="31" t="n">
        <x:v>48</x:v>
      </x:c>
      <x:c r="AA127" s="24" t="str">
        <x:v>10일</x:v>
      </x:c>
      <x:c r="AB127" s="30" t="n">
        <x:v>45483</x:v>
      </x:c>
      <x:c r="AC127" s="30" t="n">
        <x:v>46914</x:v>
      </x:c>
      <x:c r="AD127" s="32"/>
      <x:c r="AE127" s="32" t="n">
        <x:v>15297376</x:v>
      </x:c>
      <x:c r="AF127" s="24" t="str"/>
      <x:c r="AG127" s="24" t="str"/>
      <x:c r="AH127" s="30" t="n">
        <x:v>46209</x:v>
      </x:c>
      <x:c r="AI127" s="24" t="str">
        <x:v>(주)해승모터스</x:v>
      </x:c>
      <x:c r="AJ127" s="24" t="str">
        <x:v>딜러</x:v>
      </x:c>
      <x:c r="AK127" s="32" t="n">
        <x:v>13120000</x:v>
      </x:c>
      <x:c r="AL127" s="32"/>
      <x:c r="AM127" s="24" t="str">
        <x:v>홈택스 매출세금계산서 · [차량매각] 125도3102</x:v>
      </x:c>
      <x:c r="AN127" s="31" t="n">
        <x:v>128</x:v>
      </x:c>
    </x:row>
    <x:row r="128" ht="17.25" customHeight="1">
      <x:c r="A128" s="24" t="str">
        <x:v>스위치플랜</x:v>
      </x:c>
      <x:c r="B128" s="24" t="str">
        <x:v>48가9900</x:v>
      </x:c>
      <x:c r="C128" s="24" t="str">
        <x:v>매각</x:v>
      </x:c>
      <x:c r="D128" s="24" t="str">
        <x:v>쉐보레</x:v>
      </x:c>
      <x:c r="E128" s="24" t="str">
        <x:v>카마로</x:v>
      </x:c>
      <x:c r="F128" s="24" t="str">
        <x:v>올 뉴 카마로</x:v>
      </x:c>
      <x:c r="G128" s="24" t="str">
        <x:v>가솔린 6.2</x:v>
      </x:c>
      <x:c r="H128" s="24" t="str">
        <x:v>가솔린</x:v>
      </x:c>
      <x:c r="I128" s="31" t="n">
        <x:v>6162</x:v>
      </x:c>
      <x:c r="J128" s="31" t="n">
        <x:v>2016</x:v>
      </x:c>
      <x:c r="K128" s="24" t="str">
        <x:v>1G1F91R77H0134529</x:v>
      </x:c>
      <x:c r="L128" s="24" t="str">
        <x:v>김포</x:v>
      </x:c>
      <x:c r="M128" s="30" t="n">
        <x:v>42737</x:v>
      </x:c>
      <x:c r="N128" s="31"/>
      <x:c r="O128" s="30" t="n">
        <x:v>45770</x:v>
      </x:c>
      <x:c r="P128" s="32"/>
      <x:c r="Q128" s="32" t="n">
        <x:v>20500000</x:v>
      </x:c>
      <x:c r="R128" s="32" t="n">
        <x:v>26502933</x:v>
      </x:c>
      <x:c r="S128" s="24" t="str">
        <x:v>중고</x:v>
      </x:c>
      <x:c r="T128" s="32"/>
      <x:c r="U128" s="32" t="n">
        <x:v>27794743</x:v>
      </x:c>
      <x:c r="V128" s="24" t="str">
        <x:v>할부</x:v>
      </x:c>
      <x:c r="W128" s="24" t="str">
        <x:v>한국금융자산대부㈜</x:v>
      </x:c>
      <x:c r="X128" s="32" t="n">
        <x:v>22429999</x:v>
      </x:c>
      <x:c r="Y128" s="33" t="n">
        <x:v>0.17</x:v>
      </x:c>
      <x:c r="Z128" s="31" t="n">
        <x:v>48</x:v>
      </x:c>
      <x:c r="AA128" s="24" t="str">
        <x:v>10일</x:v>
      </x:c>
      <x:c r="AB128" s="30" t="n">
        <x:v>45787</x:v>
      </x:c>
      <x:c r="AC128" s="30" t="n">
        <x:v>47218</x:v>
      </x:c>
      <x:c r="AD128" s="32"/>
      <x:c r="AE128" s="32" t="n">
        <x:v>11148168</x:v>
      </x:c>
      <x:c r="AF128" s="24" t="str"/>
      <x:c r="AG128" s="24" t="str"/>
      <x:c r="AH128" s="30" t="n">
        <x:v>46210</x:v>
      </x:c>
      <x:c r="AI128" s="24" t="str">
        <x:v>울트라모터스</x:v>
      </x:c>
      <x:c r="AJ128" s="24" t="str">
        <x:v>딜러</x:v>
      </x:c>
      <x:c r="AK128" s="32" t="n">
        <x:v>12890000</x:v>
      </x:c>
      <x:c r="AL128" s="32"/>
      <x:c r="AM128" s="24" t="str">
        <x:v>홈택스 매출세금계산서 · [차량매각] 48가9900</x:v>
      </x:c>
      <x:c r="AN128" s="31" t="n">
        <x:v>129</x:v>
      </x:c>
    </x:row>
    <x:row r="129" ht="17.25" customHeight="1">
      <x:c r="A129" s="24" t="str">
        <x:v>스위치플랜</x:v>
      </x:c>
      <x:c r="B129" s="24" t="str">
        <x:v>15마0724</x:v>
      </x:c>
      <x:c r="C129" s="24" t="str">
        <x:v>매각</x:v>
      </x:c>
      <x:c r="D129" s="24" t="str">
        <x:v>현대</x:v>
      </x:c>
      <x:c r="E129" s="24" t="str">
        <x:v>그랜저</x:v>
      </x:c>
      <x:c r="F129" s="24" t="str">
        <x:v>그랜저 HG</x:v>
      </x:c>
      <x:c r="G129" s="24" t="str">
        <x:v>가솔린 3.0</x:v>
      </x:c>
      <x:c r="H129" s="24" t="str">
        <x:v>가솔린</x:v>
      </x:c>
      <x:c r="I129" s="31" t="n">
        <x:v>2999</x:v>
      </x:c>
      <x:c r="J129" s="31" t="n">
        <x:v>2017</x:v>
      </x:c>
      <x:c r="K129" s="24" t="str">
        <x:v>KMHFG41EBHA573509</x:v>
      </x:c>
      <x:c r="L129" s="24" t="str">
        <x:v>김포</x:v>
      </x:c>
      <x:c r="M129" s="30" t="n">
        <x:v>42545</x:v>
      </x:c>
      <x:c r="N129" s="31"/>
      <x:c r="O129" s="30" t="n">
        <x:v>45380</x:v>
      </x:c>
      <x:c r="P129" s="32" t="n">
        <x:v>40020000</x:v>
      </x:c>
      <x:c r="Q129" s="32" t="n">
        <x:v>14300000</x:v>
      </x:c>
      <x:c r="R129" s="32" t="n">
        <x:v>14824400</x:v>
      </x:c>
      <x:c r="S129" s="24" t="str">
        <x:v>중고</x:v>
      </x:c>
      <x:c r="T129" s="32"/>
      <x:c r="U129" s="32" t="n">
        <x:v>16573624</x:v>
      </x:c>
      <x:c r="V129" s="24" t="str">
        <x:v>할부</x:v>
      </x:c>
      <x:c r="W129" s="24" t="str">
        <x:v>한국금융자산대부㈜</x:v>
      </x:c>
      <x:c r="X129" s="32" t="n">
        <x:v>15300001</x:v>
      </x:c>
      <x:c r="Y129" s="33" t="n">
        <x:v>0.17</x:v>
      </x:c>
      <x:c r="Z129" s="31" t="n">
        <x:v>48</x:v>
      </x:c>
      <x:c r="AA129" s="24" t="str">
        <x:v>10일</x:v>
      </x:c>
      <x:c r="AB129" s="30" t="n">
        <x:v>45392</x:v>
      </x:c>
      <x:c r="AC129" s="30" t="n">
        <x:v>46822</x:v>
      </x:c>
      <x:c r="AD129" s="32"/>
      <x:c r="AE129" s="32" t="n">
        <x:v>3069052</x:v>
      </x:c>
      <x:c r="AF129" s="24" t="str"/>
      <x:c r="AG129" s="24" t="str"/>
      <x:c r="AH129" s="30" t="n">
        <x:v>46212</x:v>
      </x:c>
      <x:c r="AI129" s="24" t="str">
        <x:v>(주) 고려자동차</x:v>
      </x:c>
      <x:c r="AJ129" s="24" t="str">
        <x:v>딜러</x:v>
      </x:c>
      <x:c r="AK129" s="32" t="n">
        <x:v>7270000</x:v>
      </x:c>
      <x:c r="AL129" s="32"/>
      <x:c r="AM129" s="24" t="str">
        <x:v>홈택스 매출세금계산서 · [차량매각] 15마0724</x:v>
      </x:c>
      <x:c r="AN129" s="31" t="n">
        <x:v>130</x:v>
      </x:c>
    </x:row>
    <x:row r="130" ht="17.25" customHeight="1">
      <x:c r="A130" s="24" t="str">
        <x:v>스위치플랜</x:v>
      </x:c>
      <x:c r="B130" s="24" t="str">
        <x:v>19무0235</x:v>
      </x:c>
      <x:c r="C130" s="24" t="str">
        <x:v>매각</x:v>
      </x:c>
      <x:c r="D130" s="24" t="str">
        <x:v>BMW</x:v>
      </x:c>
      <x:c r="E130" s="24" t="str">
        <x:v>4시리즈</x:v>
      </x:c>
      <x:c r="F130" s="24" t="str">
        <x:v>4시리즈 F32/F33/F36</x:v>
      </x:c>
      <x:c r="G130" s="24" t="str">
        <x:v>디젤 2.0 xDrive</x:v>
      </x:c>
      <x:c r="H130" s="24" t="str">
        <x:v>디젤</x:v>
      </x:c>
      <x:c r="I130" s="31" t="n">
        <x:v>1995</x:v>
      </x:c>
      <x:c r="J130" s="31" t="n">
        <x:v>2016</x:v>
      </x:c>
      <x:c r="K130" s="24" t="str">
        <x:v>WBA4P9101GK681488</x:v>
      </x:c>
      <x:c r="L130" s="24" t="str">
        <x:v>김포</x:v>
      </x:c>
      <x:c r="M130" s="30" t="n">
        <x:v>42657</x:v>
      </x:c>
      <x:c r="N130" s="31"/>
      <x:c r="O130" s="30" t="n">
        <x:v>45450</x:v>
      </x:c>
      <x:c r="P130" s="32" t="n">
        <x:v>61100000</x:v>
      </x:c>
      <x:c r="Q130" s="32" t="n">
        <x:v>17000000</x:v>
      </x:c>
      <x:c r="R130" s="32" t="n">
        <x:v>17440000</x:v>
      </x:c>
      <x:c r="S130" s="24" t="str">
        <x:v>중고</x:v>
      </x:c>
      <x:c r="T130" s="32"/>
      <x:c r="U130" s="32" t="n">
        <x:v>19377466</x:v>
      </x:c>
      <x:c r="V130" s="24" t="str">
        <x:v>할부</x:v>
      </x:c>
      <x:c r="W130" s="24" t="str">
        <x:v>한국금융자산대부㈜</x:v>
      </x:c>
      <x:c r="X130" s="32" t="n">
        <x:v>18190001</x:v>
      </x:c>
      <x:c r="Y130" s="33" t="n">
        <x:v>0.17</x:v>
      </x:c>
      <x:c r="Z130" s="31" t="n">
        <x:v>48</x:v>
      </x:c>
      <x:c r="AA130" s="24" t="str">
        <x:v>10일</x:v>
      </x:c>
      <x:c r="AB130" s="30" t="n">
        <x:v>45453</x:v>
      </x:c>
      <x:c r="AC130" s="30" t="n">
        <x:v>46883</x:v>
      </x:c>
      <x:c r="AD130" s="32"/>
      <x:c r="AE130" s="32" t="n">
        <x:v>25032143</x:v>
      </x:c>
      <x:c r="AF130" s="24" t="str"/>
      <x:c r="AG130" s="24" t="str"/>
      <x:c r="AH130" s="30" t="n">
        <x:v>46212</x:v>
      </x:c>
      <x:c r="AI130" s="24" t="str">
        <x:v>준모터스</x:v>
      </x:c>
      <x:c r="AJ130" s="24" t="str">
        <x:v>딜러</x:v>
      </x:c>
      <x:c r="AK130" s="32" t="n">
        <x:v>8140000</x:v>
      </x:c>
      <x:c r="AL130" s="32"/>
      <x:c r="AM130" s="24" t="str">
        <x:v>홈택스 매출세금계산서 · [차량매각] 19무0235</x:v>
      </x:c>
      <x:c r="AN130" s="31" t="n">
        <x:v>131</x:v>
      </x:c>
    </x:row>
    <x:row r="131" ht="17.25" customHeight="1">
      <x:c r="A131" s="24" t="str">
        <x:v>스위치플랜</x:v>
      </x:c>
      <x:c r="B131" s="24" t="str">
        <x:v>175부9961</x:v>
      </x:c>
      <x:c r="C131" s="24" t="str">
        <x:v>매각</x:v>
      </x:c>
      <x:c r="D131" s="24" t="str">
        <x:v>기아</x:v>
      </x:c>
      <x:c r="E131" s="24" t="str">
        <x:v>K3</x:v>
      </x:c>
      <x:c r="F131" s="24" t="str">
        <x:v>더 뉴 K3 BD</x:v>
      </x:c>
      <x:c r="G131" s="24" t="str">
        <x:v>가솔린 1.6</x:v>
      </x:c>
      <x:c r="H131" s="24" t="str">
        <x:v>가솔린</x:v>
      </x:c>
      <x:c r="I131" s="31" t="n">
        <x:v>1591</x:v>
      </x:c>
      <x:c r="J131" s="31" t="n">
        <x:v>2022</x:v>
      </x:c>
      <x:c r="K131" s="24" t="str">
        <x:v>KNAF4517GNA122708</x:v>
      </x:c>
      <x:c r="L131" s="24" t="str">
        <x:v>김포</x:v>
      </x:c>
      <x:c r="M131" s="30" t="n">
        <x:v>44376</x:v>
      </x:c>
      <x:c r="N131" s="31"/>
      <x:c r="O131" s="30" t="n">
        <x:v>45461</x:v>
      </x:c>
      <x:c r="P131" s="32" t="n">
        <x:v>29450000</x:v>
      </x:c>
      <x:c r="Q131" s="32" t="n">
        <x:v>23300000</x:v>
      </x:c>
      <x:c r="R131" s="32" t="n">
        <x:v>23300000</x:v>
      </x:c>
      <x:c r="S131" s="24" t="str">
        <x:v>중고</x:v>
      </x:c>
      <x:c r="T131" s="32"/>
      <x:c r="U131" s="32" t="n">
        <x:v>25478160</x:v>
      </x:c>
      <x:c r="V131" s="24" t="str">
        <x:v>할부</x:v>
      </x:c>
      <x:c r="W131" s="24" t="str">
        <x:v>한국금융자산대부㈜</x:v>
      </x:c>
      <x:c r="X131" s="32" t="n">
        <x:v>25430002</x:v>
      </x:c>
      <x:c r="Y131" s="33" t="n">
        <x:v>0.17</x:v>
      </x:c>
      <x:c r="Z131" s="31" t="n">
        <x:v>48</x:v>
      </x:c>
      <x:c r="AA131" s="24" t="str">
        <x:v>10일</x:v>
      </x:c>
      <x:c r="AB131" s="30" t="n">
        <x:v>45483</x:v>
      </x:c>
      <x:c r="AC131" s="30" t="n">
        <x:v>46914</x:v>
      </x:c>
      <x:c r="AD131" s="32"/>
      <x:c r="AE131" s="32" t="n">
        <x:v>6559294</x:v>
      </x:c>
      <x:c r="AF131" s="24" t="str"/>
      <x:c r="AG131" s="24" t="str"/>
      <x:c r="AH131" s="30" t="n">
        <x:v>46212</x:v>
      </x:c>
      <x:c r="AI131" s="24" t="str">
        <x:v>명문자동차</x:v>
      </x:c>
      <x:c r="AJ131" s="24" t="str">
        <x:v>딜러</x:v>
      </x:c>
      <x:c r="AK131" s="32" t="n">
        <x:v>12470000</x:v>
      </x:c>
      <x:c r="AL131" s="32"/>
      <x:c r="AM131" s="24" t="str">
        <x:v>홈택스 매출세금계산서 · [차량매각] 175부9961</x:v>
      </x:c>
      <x:c r="AN131" s="31" t="n">
        <x:v>132</x:v>
      </x:c>
    </x:row>
    <x:row r="132" ht="17.25" customHeight="1">
      <x:c r="A132" s="24" t="str">
        <x:v>스위치플랜</x:v>
      </x:c>
      <x:c r="B132" s="24" t="str">
        <x:v>369두9464</x:v>
      </x:c>
      <x:c r="C132" s="24" t="str">
        <x:v>매각</x:v>
      </x:c>
      <x:c r="D132" s="24" t="str">
        <x:v>BMW</x:v>
      </x:c>
      <x:c r="E132" s="24" t="str">
        <x:v>6시리즈</x:v>
      </x:c>
      <x:c r="F132" s="24" t="str">
        <x:v>6시리즈 F12</x:v>
      </x:c>
      <x:c r="G132" s="24" t="str">
        <x:v>디젤 3.0 xDrive</x:v>
      </x:c>
      <x:c r="H132" s="24" t="str">
        <x:v>디젤</x:v>
      </x:c>
      <x:c r="I132" s="31" t="n">
        <x:v>2993</x:v>
      </x:c>
      <x:c r="J132" s="31" t="n">
        <x:v>2016</x:v>
      </x:c>
      <x:c r="K132" s="24" t="str">
        <x:v>WBA6E4101GG377890</x:v>
      </x:c>
      <x:c r="L132" s="24" t="str">
        <x:v>김포</x:v>
      </x:c>
      <x:c r="M132" s="30" t="n">
        <x:v>42437</x:v>
      </x:c>
      <x:c r="N132" s="31"/>
      <x:c r="O132" s="30" t="n">
        <x:v>45303</x:v>
      </x:c>
      <x:c r="P132" s="32"/>
      <x:c r="Q132" s="32" t="n">
        <x:v>29940000</x:v>
      </x:c>
      <x:c r="R132" s="32" t="n">
        <x:v>31440000</x:v>
      </x:c>
      <x:c r="S132" s="24" t="str">
        <x:v>중고</x:v>
      </x:c>
      <x:c r="T132" s="32"/>
      <x:c r="U132" s="32" t="n">
        <x:v>34208470</x:v>
      </x:c>
      <x:c r="V132" s="24" t="str">
        <x:v>할부</x:v>
      </x:c>
      <x:c r="W132" s="24" t="str">
        <x:v>메리츠캐피탈</x:v>
      </x:c>
      <x:c r="X132" s="32" t="n">
        <x:v>30000000</x:v>
      </x:c>
      <x:c r="Y132" s="33" t="n">
        <x:v>0.11</x:v>
      </x:c>
      <x:c r="Z132" s="31" t="n">
        <x:v>60</x:v>
      </x:c>
      <x:c r="AA132" s="24" t="str">
        <x:v>20일</x:v>
      </x:c>
      <x:c r="AB132" s="30" t="n">
        <x:v>45342</x:v>
      </x:c>
      <x:c r="AC132" s="30" t="n">
        <x:v>47138</x:v>
      </x:c>
      <x:c r="AD132" s="32"/>
      <x:c r="AE132" s="32" t="n">
        <x:v>6230277</x:v>
      </x:c>
      <x:c r="AF132" s="24" t="str"/>
      <x:c r="AG132" s="24" t="str"/>
      <x:c r="AH132" s="30" t="n">
        <x:v>46216</x:v>
      </x:c>
      <x:c r="AI132" s="24" t="str">
        <x:v>준모터스</x:v>
      </x:c>
      <x:c r="AJ132" s="24" t="str">
        <x:v>딜러</x:v>
      </x:c>
      <x:c r="AK132" s="32" t="n">
        <x:v>12240000</x:v>
      </x:c>
      <x:c r="AL132" s="32"/>
      <x:c r="AM132" s="24" t="str">
        <x:v>홈택스 매출세금계산서 · 차량매각[369두9464]</x:v>
      </x:c>
      <x:c r="AN132" s="31" t="n">
        <x:v>133</x:v>
      </x:c>
    </x:row>
    <x:row r="133" ht="17.25" customHeight="1">
      <x:c r="A133" s="24" t="str">
        <x:v>스위치플랜</x:v>
      </x:c>
      <x:c r="B133" s="24" t="str">
        <x:v>20다0220</x:v>
      </x:c>
      <x:c r="C133" s="24" t="str">
        <x:v>매각</x:v>
      </x:c>
      <x:c r="D133" s="24" t="str">
        <x:v>마세라티</x:v>
      </x:c>
      <x:c r="E133" s="24" t="str">
        <x:v>콰트로포르테</x:v>
      </x:c>
      <x:c r="F133" s="24" t="str">
        <x:v>콰트로포르테</x:v>
      </x:c>
      <x:c r="G133" s="24" t="str">
        <x:v>디젤 3.0</x:v>
      </x:c>
      <x:c r="H133" s="24" t="str">
        <x:v>디젤</x:v>
      </x:c>
      <x:c r="I133" s="31" t="n">
        <x:v>2987</x:v>
      </x:c>
      <x:c r="J133" s="31" t="n">
        <x:v>2017</x:v>
      </x:c>
      <x:c r="K133" s="24" t="str">
        <x:v>ZAM56TPGXH1212866</x:v>
      </x:c>
      <x:c r="L133" s="24" t="str">
        <x:v>김포</x:v>
      </x:c>
      <x:c r="M133" s="30" t="n">
        <x:v>42703</x:v>
      </x:c>
      <x:c r="N133" s="31"/>
      <x:c r="O133" s="30" t="n">
        <x:v>45469</x:v>
      </x:c>
      <x:c r="P133" s="32" t="n">
        <x:v>160000000</x:v>
      </x:c>
      <x:c r="Q133" s="32" t="n">
        <x:v>36500000</x:v>
      </x:c>
      <x:c r="R133" s="32" t="n">
        <x:v>39540000</x:v>
      </x:c>
      <x:c r="S133" s="24" t="str">
        <x:v>중고</x:v>
      </x:c>
      <x:c r="T133" s="32"/>
      <x:c r="U133" s="32" t="n">
        <x:v>42752292</x:v>
      </x:c>
      <x:c r="V133" s="24" t="str">
        <x:v>할부</x:v>
      </x:c>
      <x:c r="W133" s="24" t="str">
        <x:v>KB캐피탈</x:v>
      </x:c>
      <x:c r="X133" s="32" t="n">
        <x:v>36500000</x:v>
      </x:c>
      <x:c r="Y133" s="33" t="n">
        <x:v>0.08</x:v>
      </x:c>
      <x:c r="Z133" s="31" t="n">
        <x:v>36</x:v>
      </x:c>
      <x:c r="AA133" s="24" t="str">
        <x:v>20일</x:v>
      </x:c>
      <x:c r="AB133" s="30" t="n">
        <x:v>45493</x:v>
      </x:c>
      <x:c r="AC133" s="30" t="n">
        <x:v>46558</x:v>
      </x:c>
      <x:c r="AD133" s="32" t="n">
        <x:v>1135376</x:v>
      </x:c>
      <x:c r="AE133" s="32" t="n">
        <x:v>0</x:v>
      </x:c>
      <x:c r="AF133" s="24" t="str"/>
      <x:c r="AG133" s="24" t="str"/>
      <x:c r="AH133" s="30" t="n">
        <x:v>46216</x:v>
      </x:c>
      <x:c r="AI133" s="24" t="str">
        <x:v>세진모터스</x:v>
      </x:c>
      <x:c r="AJ133" s="24" t="str">
        <x:v>딜러</x:v>
      </x:c>
      <x:c r="AK133" s="32" t="n">
        <x:v>9610000</x:v>
      </x:c>
      <x:c r="AL133" s="32"/>
      <x:c r="AM133" s="24" t="str">
        <x:v>홈택스 매출세금계산서 · 차량매각[20다0220]</x:v>
      </x:c>
      <x:c r="AN133" s="31" t="n">
        <x:v>134</x:v>
      </x:c>
    </x:row>
    <x:row r="134" ht="17.25" customHeight="1">
      <x:c r="A134" s="24" t="str">
        <x:v>스위치플랜</x:v>
      </x:c>
      <x:c r="B134" s="24" t="str">
        <x:v>46누4225</x:v>
      </x:c>
      <x:c r="C134" s="24" t="str">
        <x:v>매각</x:v>
      </x:c>
      <x:c r="D134" s="24" t="str">
        <x:v>쉐보레</x:v>
      </x:c>
      <x:c r="E134" s="24" t="str">
        <x:v>카마로</x:v>
      </x:c>
      <x:c r="F134" s="24" t="str">
        <x:v>올 뉴 카마로</x:v>
      </x:c>
      <x:c r="G134" s="24" t="str">
        <x:v>가솔린 6.2</x:v>
      </x:c>
      <x:c r="H134" s="24" t="str">
        <x:v>가솔린</x:v>
      </x:c>
      <x:c r="I134" s="31" t="n">
        <x:v>6162</x:v>
      </x:c>
      <x:c r="J134" s="31" t="n">
        <x:v>2016</x:v>
      </x:c>
      <x:c r="K134" s="24" t="str">
        <x:v>1G1F91R77H0133154</x:v>
      </x:c>
      <x:c r="L134" s="24" t="str">
        <x:v>김포</x:v>
      </x:c>
      <x:c r="M134" s="30" t="n">
        <x:v>43095</x:v>
      </x:c>
      <x:c r="N134" s="31"/>
      <x:c r="O134" s="30" t="n">
        <x:v>45853</x:v>
      </x:c>
      <x:c r="P134" s="32"/>
      <x:c r="Q134" s="32" t="n">
        <x:v>50980000</x:v>
      </x:c>
      <x:c r="R134" s="32" t="n">
        <x:v>26300000</x:v>
      </x:c>
      <x:c r="S134" s="24" t="str">
        <x:v>중고</x:v>
      </x:c>
      <x:c r="T134" s="32"/>
      <x:c r="U134" s="32" t="n">
        <x:v>28461930</x:v>
      </x:c>
      <x:c r="V134" s="24" t="str">
        <x:v>할부</x:v>
      </x:c>
      <x:c r="W134" s="24" t="str">
        <x:v>한국금융자산대부</x:v>
      </x:c>
      <x:c r="X134" s="32" t="n">
        <x:v>29170000</x:v>
      </x:c>
      <x:c r="Y134" s="33" t="n">
        <x:v>0.17</x:v>
      </x:c>
      <x:c r="Z134" s="31" t="n">
        <x:v>48</x:v>
      </x:c>
      <x:c r="AA134" s="24" t="str">
        <x:v>10일</x:v>
      </x:c>
      <x:c r="AB134" s="30" t="n">
        <x:v>45879</x:v>
      </x:c>
      <x:c r="AC134" s="30" t="n">
        <x:v>47309</x:v>
      </x:c>
      <x:c r="AD134" s="32" t="n">
        <x:v>841700</x:v>
      </x:c>
      <x:c r="AE134" s="32" t="n">
        <x:v>24459222</x:v>
      </x:c>
      <x:c r="AF134" s="24" t="str"/>
      <x:c r="AG134" s="24" t="str"/>
      <x:c r="AH134" s="30" t="n">
        <x:v>46217</x:v>
      </x:c>
      <x:c r="AI134" s="24" t="str">
        <x:v>스마일자동차 레바토</x:v>
      </x:c>
      <x:c r="AJ134" s="24" t="str">
        <x:v>딜러</x:v>
      </x:c>
      <x:c r="AK134" s="32" t="n">
        <x:v>19460000</x:v>
      </x:c>
      <x:c r="AL134" s="32"/>
      <x:c r="AM134" s="24" t="str">
        <x:v>홈택스 매출세금계산서 · [차량매각] 46누4225</x:v>
      </x:c>
      <x:c r="AN134" s="31" t="n">
        <x:v>135</x:v>
      </x:c>
    </x:row>
    <x:row r="135" ht="17.25" customHeight="1">
      <x:c r="A135" s="24" t="str">
        <x:v>스위치플랜</x:v>
      </x:c>
      <x:c r="B135" s="24" t="str">
        <x:v>158수3389</x:v>
      </x:c>
      <x:c r="C135" s="24" t="str">
        <x:v>매각</x:v>
      </x:c>
      <x:c r="D135" s="24" t="str">
        <x:v>기아</x:v>
      </x:c>
      <x:c r="E135" s="24" t="str">
        <x:v>스팅어</x:v>
      </x:c>
      <x:c r="F135" s="24" t="str">
        <x:v>스팅어 CK</x:v>
      </x:c>
      <x:c r="G135" s="24" t="str">
        <x:v>가솔린 3.3T AWD</x:v>
      </x:c>
      <x:c r="H135" s="24" t="str">
        <x:v>가솔린</x:v>
      </x:c>
      <x:c r="I135" s="31" t="n">
        <x:v>3342</x:v>
      </x:c>
      <x:c r="J135" s="31" t="n">
        <x:v>2018</x:v>
      </x:c>
      <x:c r="K135" s="24" t="str">
        <x:v>KNAE751CDJS025773</x:v>
      </x:c>
      <x:c r="L135" s="24" t="str">
        <x:v>김포</x:v>
      </x:c>
      <x:c r="M135" s="30" t="n">
        <x:v>43195</x:v>
      </x:c>
      <x:c r="N135" s="31"/>
      <x:c r="O135" s="30" t="n">
        <x:v>45572</x:v>
      </x:c>
      <x:c r="P135" s="32" t="n">
        <x:v>53400000</x:v>
      </x:c>
      <x:c r="Q135" s="32" t="n">
        <x:v>20900000</x:v>
      </x:c>
      <x:c r="R135" s="32" t="n">
        <x:v>20900000</x:v>
      </x:c>
      <x:c r="S135" s="24" t="str">
        <x:v>중고</x:v>
      </x:c>
      <x:c r="T135" s="32"/>
      <x:c r="U135" s="32" t="n">
        <x:v>22811000</x:v>
      </x:c>
      <x:c r="V135" s="24" t="str">
        <x:v>할부</x:v>
      </x:c>
      <x:c r="W135" s="24" t="str">
        <x:v>한국금융자산대부㈜</x:v>
      </x:c>
      <x:c r="X135" s="32" t="n">
        <x:v>22360003</x:v>
      </x:c>
      <x:c r="Y135" s="33" t="n">
        <x:v>0.17</x:v>
      </x:c>
      <x:c r="Z135" s="31" t="n">
        <x:v>48</x:v>
      </x:c>
      <x:c r="AA135" s="24" t="str">
        <x:v>10일</x:v>
      </x:c>
      <x:c r="AB135" s="30" t="n">
        <x:v>45575</x:v>
      </x:c>
      <x:c r="AC135" s="30" t="n">
        <x:v>47006</x:v>
      </x:c>
      <x:c r="AD135" s="32"/>
      <x:c r="AE135" s="32" t="n">
        <x:v>8689792</x:v>
      </x:c>
      <x:c r="AF135" s="24" t="str"/>
      <x:c r="AG135" s="24" t="str"/>
      <x:c r="AH135" s="30" t="n">
        <x:v>46216</x:v>
      </x:c>
      <x:c r="AI135" s="24" t="str">
        <x:v>주식회사 지에스옥션</x:v>
      </x:c>
      <x:c r="AJ135" s="24" t="str"/>
      <x:c r="AK135" s="32" t="n">
        <x:v>10200000</x:v>
      </x:c>
      <x:c r="AL135" s="32"/>
      <x:c r="AM135" s="24" t="str">
        <x:v>홈택스 매출세금계산서 · 차량매각[158수3389]</x:v>
      </x:c>
      <x:c r="AN135" s="31" t="n">
        <x:v>136</x:v>
      </x:c>
    </x:row>
    <x:row r="136" ht="17.25" customHeight="1">
      <x:c r="A136" s="24" t="str">
        <x:v>스위치플랜</x:v>
      </x:c>
      <x:c r="B136" s="24" t="str">
        <x:v>249구6262</x:v>
      </x:c>
      <x:c r="C136" s="24" t="str">
        <x:v>매각</x:v>
      </x:c>
      <x:c r="D136" s="24" t="str">
        <x:v>기아</x:v>
      </x:c>
      <x:c r="E136" s="24" t="str">
        <x:v>스팅어</x:v>
      </x:c>
      <x:c r="F136" s="24" t="str">
        <x:v>스팅어 마이스터 CK</x:v>
      </x:c>
      <x:c r="G136" s="24" t="str">
        <x:v>가솔린 3.3 AWD</x:v>
      </x:c>
      <x:c r="H136" s="24" t="str">
        <x:v>가솔린</x:v>
      </x:c>
      <x:c r="I136" s="31" t="n">
        <x:v>3342</x:v>
      </x:c>
      <x:c r="J136" s="31" t="n">
        <x:v>2021</x:v>
      </x:c>
      <x:c r="K136" s="24" t="str">
        <x:v>KNAE551CDMS099933</x:v>
      </x:c>
      <x:c r="L136" s="24" t="str">
        <x:v>김포</x:v>
      </x:c>
      <x:c r="M136" s="30" t="n">
        <x:v>44278</x:v>
      </x:c>
      <x:c r="N136" s="31"/>
      <x:c r="O136" s="30" t="n">
        <x:v>45569</x:v>
      </x:c>
      <x:c r="P136" s="32" t="n">
        <x:v>56760000</x:v>
      </x:c>
      <x:c r="Q136" s="32" t="n">
        <x:v>41400000</x:v>
      </x:c>
      <x:c r="R136" s="32" t="n">
        <x:v>41910200</x:v>
      </x:c>
      <x:c r="S136" s="24" t="str">
        <x:v>중고</x:v>
      </x:c>
      <x:c r="T136" s="32"/>
      <x:c r="U136" s="32" t="n">
        <x:v>45157920</x:v>
      </x:c>
      <x:c r="V136" s="24" t="str">
        <x:v>할부</x:v>
      </x:c>
      <x:c r="W136" s="24" t="str">
        <x:v>한국금융자산대부㈜</x:v>
      </x:c>
      <x:c r="X136" s="32" t="n">
        <x:v>44300001</x:v>
      </x:c>
      <x:c r="Y136" s="33" t="n">
        <x:v>0.17</x:v>
      </x:c>
      <x:c r="Z136" s="31" t="n">
        <x:v>48</x:v>
      </x:c>
      <x:c r="AA136" s="24" t="str">
        <x:v>10일</x:v>
      </x:c>
      <x:c r="AB136" s="30" t="n">
        <x:v>45575</x:v>
      </x:c>
      <x:c r="AC136" s="30" t="n">
        <x:v>47006</x:v>
      </x:c>
      <x:c r="AD136" s="32"/>
      <x:c r="AE136" s="32" t="n">
        <x:v>7003507</x:v>
      </x:c>
      <x:c r="AF136" s="24" t="str"/>
      <x:c r="AG136" s="24" t="str"/>
      <x:c r="AH136" s="30" t="n">
        <x:v>46216</x:v>
      </x:c>
      <x:c r="AI136" s="24" t="str">
        <x:v>카컴퍼니</x:v>
      </x:c>
      <x:c r="AJ136" s="24" t="str">
        <x:v>딜러</x:v>
      </x:c>
      <x:c r="AK136" s="32" t="n">
        <x:v>18090000</x:v>
      </x:c>
      <x:c r="AL136" s="32"/>
      <x:c r="AM136" s="24" t="str">
        <x:v>홈택스 매출세금계산서 · 차량매각[249구6262]</x:v>
      </x:c>
      <x:c r="AN136" s="31" t="n">
        <x:v>137</x:v>
      </x:c>
    </x:row>
    <x:row r="137" ht="17.25" customHeight="1">
      <x:c r="A137" s="24" t="str">
        <x:v>스위치플랜</x:v>
      </x:c>
      <x:c r="B137" s="24" t="str">
        <x:v>26구0535</x:v>
      </x:c>
      <x:c r="C137" s="24" t="str">
        <x:v>매각</x:v>
      </x:c>
      <x:c r="D137" s="24" t="str">
        <x:v>기아</x:v>
      </x:c>
      <x:c r="E137" s="24" t="str">
        <x:v>K7</x:v>
      </x:c>
      <x:c r="F137" s="24" t="str">
        <x:v>올 뉴 K7 YG</x:v>
      </x:c>
      <x:c r="G137" s="24" t="str">
        <x:v>가솔린 2.4</x:v>
      </x:c>
      <x:c r="H137" s="24" t="str">
        <x:v>가솔린</x:v>
      </x:c>
      <x:c r="I137" s="31" t="n">
        <x:v>2359</x:v>
      </x:c>
      <x:c r="J137" s="31" t="n">
        <x:v>2016</x:v>
      </x:c>
      <x:c r="K137" s="24" t="str">
        <x:v>KNALB415BGA001700</x:v>
      </x:c>
      <x:c r="L137" s="24" t="str">
        <x:v>김포</x:v>
      </x:c>
      <x:c r="M137" s="30" t="n">
        <x:v>42466</x:v>
      </x:c>
      <x:c r="N137" s="31"/>
      <x:c r="O137" s="30" t="n">
        <x:v>45411</x:v>
      </x:c>
      <x:c r="P137" s="32" t="n">
        <x:v>38180000</x:v>
      </x:c>
      <x:c r="Q137" s="32" t="n">
        <x:v>12000000</x:v>
      </x:c>
      <x:c r="R137" s="32" t="n">
        <x:v>12620180</x:v>
      </x:c>
      <x:c r="S137" s="24" t="str">
        <x:v>중고</x:v>
      </x:c>
      <x:c r="T137" s="32"/>
      <x:c r="U137" s="32" t="n">
        <x:v>14140360</x:v>
      </x:c>
      <x:c r="V137" s="24" t="str">
        <x:v>할부</x:v>
      </x:c>
      <x:c r="W137" s="24" t="str">
        <x:v>한국금융자산대부㈜</x:v>
      </x:c>
      <x:c r="X137" s="32" t="n">
        <x:v>12840000</x:v>
      </x:c>
      <x:c r="Y137" s="33" t="n">
        <x:v>0.17</x:v>
      </x:c>
      <x:c r="Z137" s="31" t="n">
        <x:v>48</x:v>
      </x:c>
      <x:c r="AA137" s="24" t="str">
        <x:v>10일</x:v>
      </x:c>
      <x:c r="AB137" s="30" t="n">
        <x:v>45422</x:v>
      </x:c>
      <x:c r="AC137" s="30" t="n">
        <x:v>46853</x:v>
      </x:c>
      <x:c r="AD137" s="32"/>
      <x:c r="AE137" s="32" t="n">
        <x:v>12516081</x:v>
      </x:c>
      <x:c r="AF137" s="24" t="str"/>
      <x:c r="AG137" s="24" t="str"/>
      <x:c r="AH137" s="30"/>
      <x:c r="AI137" s="24" t="str"/>
      <x:c r="AJ137" s="24" t="str"/>
      <x:c r="AK137" s="32"/>
      <x:c r="AL137" s="32"/>
      <x:c r="AM137" s="24" t="str"/>
      <x:c r="AN137" s="31" t="n">
        <x:v>138</x:v>
      </x:c>
    </x:row>
    <x:row r="138" ht="17.25" customHeight="1">
      <x:c r="A138" s="24" t="str">
        <x:v>스위치플랜</x:v>
      </x:c>
      <x:c r="B138" s="24" t="str">
        <x:v>379우2017</x:v>
      </x:c>
      <x:c r="C138" s="24" t="str">
        <x:v>매각</x:v>
      </x:c>
      <x:c r="D138" s="24" t="str">
        <x:v>벤츠</x:v>
      </x:c>
      <x:c r="E138" s="24" t="str">
        <x:v>E-클래스</x:v>
      </x:c>
      <x:c r="F138" s="24" t="str">
        <x:v>E-클래스 W213</x:v>
      </x:c>
      <x:c r="G138" s="24" t="str">
        <x:v>가솔린 2.0 4MATIC</x:v>
      </x:c>
      <x:c r="H138" s="24" t="str">
        <x:v>가솔린</x:v>
      </x:c>
      <x:c r="I138" s="31" t="n">
        <x:v>1991</x:v>
      </x:c>
      <x:c r="J138" s="31" t="n">
        <x:v>2019</x:v>
      </x:c>
      <x:c r="K138" s="24" t="str">
        <x:v>WDDZF4JB5KA657621</x:v>
      </x:c>
      <x:c r="L138" s="24" t="str">
        <x:v>김포</x:v>
      </x:c>
      <x:c r="M138" s="30" t="n">
        <x:v>43735</x:v>
      </x:c>
      <x:c r="N138" s="31"/>
      <x:c r="O138" s="30" t="n">
        <x:v>45799</x:v>
      </x:c>
      <x:c r="P138" s="32"/>
      <x:c r="Q138" s="32" t="n">
        <x:v>77000000</x:v>
      </x:c>
      <x:c r="R138" s="32" t="n">
        <x:v>35028000</x:v>
      </x:c>
      <x:c r="S138" s="24" t="str">
        <x:v>중고</x:v>
      </x:c>
      <x:c r="T138" s="32"/>
      <x:c r="U138" s="32" t="n">
        <x:v>37875599</x:v>
      </x:c>
      <x:c r="V138" s="24" t="str">
        <x:v>할부</x:v>
      </x:c>
      <x:c r="W138" s="24" t="str">
        <x:v>한국금융자산대부</x:v>
      </x:c>
      <x:c r="X138" s="32" t="n">
        <x:v>37840000</x:v>
      </x:c>
      <x:c r="Y138" s="33" t="n">
        <x:v>0.17</x:v>
      </x:c>
      <x:c r="Z138" s="31" t="n">
        <x:v>48</x:v>
      </x:c>
      <x:c r="AA138" s="24" t="str">
        <x:v>10일</x:v>
      </x:c>
      <x:c r="AB138" s="30" t="n">
        <x:v>45818</x:v>
      </x:c>
      <x:c r="AC138" s="30" t="n">
        <x:v>47248</x:v>
      </x:c>
      <x:c r="AD138" s="32" t="n">
        <x:v>1091870</x:v>
      </x:c>
      <x:c r="AE138" s="32" t="n">
        <x:v>5433439</x:v>
      </x:c>
      <x:c r="AF138" s="24" t="str"/>
      <x:c r="AG138" s="24" t="str"/>
      <x:c r="AH138" s="30"/>
      <x:c r="AI138" s="24" t="str"/>
      <x:c r="AJ138" s="24" t="str"/>
      <x:c r="AK138" s="32"/>
      <x:c r="AL138" s="32"/>
      <x:c r="AM138" s="24" t="str"/>
      <x:c r="AN138" s="31" t="n">
        <x:v>139</x:v>
      </x:c>
    </x:row>
    <x:row r="139" ht="17.25" customHeight="1">
      <x:c r="A139" s="24" t="str">
        <x:v>스위치플랜</x:v>
      </x:c>
      <x:c r="B139" s="24" t="str">
        <x:v>163조9326</x:v>
      </x:c>
      <x:c r="C139" s="24" t="str">
        <x:v>매각</x:v>
      </x:c>
      <x:c r="D139" s="24" t="str">
        <x:v>현대</x:v>
      </x:c>
      <x:c r="E139" s="24" t="str">
        <x:v>벨로스터</x:v>
      </x:c>
      <x:c r="F139" s="24" t="str">
        <x:v>벨로스터 JS</x:v>
      </x:c>
      <x:c r="G139" s="24" t="str">
        <x:v>가솔린 2.0</x:v>
      </x:c>
      <x:c r="H139" s="24" t="str">
        <x:v>가솔린</x:v>
      </x:c>
      <x:c r="I139" s="31" t="n">
        <x:v>1998</x:v>
      </x:c>
      <x:c r="J139" s="31" t="n">
        <x:v>2020</x:v>
      </x:c>
      <x:c r="K139" s="24" t="str">
        <x:v>KMHT361HGMU009304</x:v>
      </x:c>
      <x:c r="L139" s="24" t="str">
        <x:v>김포</x:v>
      </x:c>
      <x:c r="M139" s="30" t="n">
        <x:v>44138</x:v>
      </x:c>
      <x:c r="N139" s="31"/>
      <x:c r="O139" s="30" t="n">
        <x:v>45477</x:v>
      </x:c>
      <x:c r="P139" s="32" t="n">
        <x:v>35780000</x:v>
      </x:c>
      <x:c r="Q139" s="32" t="n">
        <x:v>19590000</x:v>
      </x:c>
      <x:c r="R139" s="32" t="n">
        <x:v>20030000</x:v>
      </x:c>
      <x:c r="S139" s="24" t="str">
        <x:v>중고</x:v>
      </x:c>
      <x:c r="T139" s="32"/>
      <x:c r="U139" s="32" t="n">
        <x:v>21982700</x:v>
      </x:c>
      <x:c r="V139" s="24" t="str">
        <x:v>할부</x:v>
      </x:c>
      <x:c r="W139" s="24" t="str">
        <x:v>한국금융자산대부㈜</x:v>
      </x:c>
      <x:c r="X139" s="32" t="n">
        <x:v>21459997</x:v>
      </x:c>
      <x:c r="Y139" s="33" t="n">
        <x:v>0.17</x:v>
      </x:c>
      <x:c r="Z139" s="31" t="n">
        <x:v>48</x:v>
      </x:c>
      <x:c r="AA139" s="24" t="str">
        <x:v>10일</x:v>
      </x:c>
      <x:c r="AB139" s="30" t="n">
        <x:v>45483</x:v>
      </x:c>
      <x:c r="AC139" s="30" t="n">
        <x:v>46914</x:v>
      </x:c>
      <x:c r="AD139" s="32"/>
      <x:c r="AE139" s="32" t="n">
        <x:v>0</x:v>
      </x:c>
      <x:c r="AF139" s="24" t="str"/>
      <x:c r="AG139" s="24" t="str"/>
      <x:c r="AH139" s="30"/>
      <x:c r="AI139" s="24" t="str"/>
      <x:c r="AJ139" s="24" t="str"/>
      <x:c r="AK139" s="32"/>
      <x:c r="AL139" s="32"/>
      <x:c r="AM139" s="24" t="str"/>
      <x:c r="AN139" s="31" t="n">
        <x:v>140</x:v>
      </x:c>
    </x:row>
    <x:row r="140" ht="17.25" customHeight="1">
      <x:c r="A140" s="24" t="str">
        <x:v>스위치플랜</x:v>
      </x:c>
      <x:c r="B140" s="24" t="str">
        <x:v>252나8761</x:v>
      </x:c>
      <x:c r="C140" s="24" t="str">
        <x:v>보유</x:v>
      </x:c>
      <x:c r="D140" s="24" t="str">
        <x:v>기아</x:v>
      </x:c>
      <x:c r="E140" s="24" t="str">
        <x:v>카니발</x:v>
      </x:c>
      <x:c r="F140" s="24" t="str">
        <x:v>더 뉴 카니발 YP</x:v>
      </x:c>
      <x:c r="G140" s="24" t="str">
        <x:v>디젤 2.2</x:v>
      </x:c>
      <x:c r="H140" s="24" t="str">
        <x:v>디젤</x:v>
      </x:c>
      <x:c r="I140" s="31" t="n">
        <x:v>2199</x:v>
      </x:c>
      <x:c r="J140" s="31" t="n">
        <x:v>2020</x:v>
      </x:c>
      <x:c r="K140" s="24" t="str">
        <x:v>KNAME81ABLS627650</x:v>
      </x:c>
      <x:c r="L140" s="24" t="str">
        <x:v>김포</x:v>
      </x:c>
      <x:c r="M140" s="30" t="n">
        <x:v>43782</x:v>
      </x:c>
      <x:c r="N140" s="31"/>
      <x:c r="O140" s="30" t="n">
        <x:v>45301</x:v>
      </x:c>
      <x:c r="P140" s="32" t="n">
        <x:v>42950000</x:v>
      </x:c>
      <x:c r="Q140" s="32" t="n">
        <x:v>23000000</x:v>
      </x:c>
      <x:c r="R140" s="32" t="n">
        <x:v>23000000</x:v>
      </x:c>
      <x:c r="S140" s="24" t="str">
        <x:v>중고</x:v>
      </x:c>
      <x:c r="T140" s="32"/>
      <x:c r="U140" s="32" t="n">
        <x:v>24601636</x:v>
      </x:c>
      <x:c r="V140" s="24" t="str">
        <x:v>할부</x:v>
      </x:c>
      <x:c r="W140" s="24" t="str">
        <x:v>KB캐피탈</x:v>
      </x:c>
      <x:c r="X140" s="32" t="n">
        <x:v>20500000</x:v>
      </x:c>
      <x:c r="Y140" s="33" t="n">
        <x:v>0.08</x:v>
      </x:c>
      <x:c r="Z140" s="31" t="n">
        <x:v>36</x:v>
      </x:c>
      <x:c r="AA140" s="24" t="str">
        <x:v>20일</x:v>
      </x:c>
      <x:c r="AB140" s="30" t="n">
        <x:v>45342</x:v>
      </x:c>
      <x:c r="AC140" s="30" t="n">
        <x:v>46407</x:v>
      </x:c>
      <x:c r="AD140" s="32" t="n">
        <x:v>637677</x:v>
      </x:c>
      <x:c r="AE140" s="32" t="n">
        <x:v>3743747</x:v>
      </x:c>
      <x:c r="AF140" s="24" t="str"/>
      <x:c r="AG140" s="24" t="str"/>
      <x:c r="AH140" s="30"/>
      <x:c r="AI140" s="24" t="str"/>
      <x:c r="AJ140" s="24" t="str"/>
      <x:c r="AK140" s="32"/>
      <x:c r="AL140" s="32"/>
      <x:c r="AM140" s="24" t="str"/>
      <x:c r="AN140" s="31" t="n">
        <x:v>141</x:v>
      </x:c>
    </x:row>
    <x:row r="141" ht="17.25" customHeight="1">
      <x:c r="A141" s="24" t="str">
        <x:v>스위치플랜</x:v>
      </x:c>
      <x:c r="B141" s="24" t="str">
        <x:v>300서2532</x:v>
      </x:c>
      <x:c r="C141" s="24" t="str">
        <x:v>매각</x:v>
      </x:c>
      <x:c r="D141" s="24" t="str">
        <x:v>BMW</x:v>
      </x:c>
      <x:c r="E141" s="24" t="str">
        <x:v>5시리즈</x:v>
      </x:c>
      <x:c r="F141" s="24" t="str">
        <x:v>5시리즈 G30</x:v>
      </x:c>
      <x:c r="G141" s="24" t="str">
        <x:v>디젤 2.0 xDrive</x:v>
      </x:c>
      <x:c r="H141" s="24" t="str">
        <x:v>경유</x:v>
      </x:c>
      <x:c r="I141" s="31" t="n">
        <x:v>1995</x:v>
      </x:c>
      <x:c r="J141" s="31" t="n">
        <x:v>2017</x:v>
      </x:c>
      <x:c r="K141" s="24" t="str">
        <x:v>WBAJC5107HWB83770</x:v>
      </x:c>
      <x:c r="L141" s="24" t="str">
        <x:v>김포</x:v>
      </x:c>
      <x:c r="M141" s="30" t="n">
        <x:v>43032</x:v>
      </x:c>
      <x:c r="N141" s="31"/>
      <x:c r="O141" s="30" t="n">
        <x:v>45495</x:v>
      </x:c>
      <x:c r="P141" s="32"/>
      <x:c r="Q141" s="32"/>
      <x:c r="R141" s="32" t="n">
        <x:v>27140000</x:v>
      </x:c>
      <x:c r="S141" s="24" t="str"/>
      <x:c r="T141" s="32"/>
      <x:c r="U141" s="32" t="n">
        <x:v>27140000</x:v>
      </x:c>
      <x:c r="V141" s="24" t="str"/>
      <x:c r="W141" s="24" t="str"/>
      <x:c r="X141" s="32"/>
      <x:c r="Y141" s="33"/>
      <x:c r="Z141" s="31"/>
      <x:c r="AA141" s="24" t="str"/>
      <x:c r="AB141" s="30"/>
      <x:c r="AC141" s="30"/>
      <x:c r="AD141" s="32"/>
      <x:c r="AE141" s="32"/>
      <x:c r="AF141" s="24" t="str"/>
      <x:c r="AG141" s="24" t="str"/>
      <x:c r="AH141" s="30" t="n">
        <x:v>45693</x:v>
      </x:c>
      <x:c r="AI141" s="24" t="str">
        <x:v>모딜주식회사</x:v>
      </x:c>
      <x:c r="AJ141" s="24" t="str">
        <x:v>폐차</x:v>
      </x:c>
      <x:c r="AK141" s="32" t="n">
        <x:v>4840000</x:v>
      </x:c>
      <x:c r="AL141" s="32"/>
      <x:c r="AM141" s="24" t="str">
        <x:v>홈택스 매출세금계산서 · 300서2532 폐차[매각]</x:v>
      </x:c>
      <x:c r="AN141" s="31" t="n">
        <x:v>142</x:v>
      </x:c>
    </x:row>
    <x:row r="142" ht="17.25" customHeight="1">
      <x:c r="A142" s="24" t="str">
        <x:v>스위치플랜</x:v>
      </x:c>
      <x:c r="B142" s="24" t="str">
        <x:v>02고5259</x:v>
      </x:c>
      <x:c r="C142" s="24" t="str">
        <x:v>매각</x:v>
      </x:c>
      <x:c r="D142" s="24" t="str">
        <x:v>BMW</x:v>
      </x:c>
      <x:c r="E142" s="24" t="str">
        <x:v>5시리즈</x:v>
      </x:c>
      <x:c r="F142" s="24" t="str">
        <x:v>5시리즈 G30</x:v>
      </x:c>
      <x:c r="G142" s="24" t="str">
        <x:v>디젤 2.0 xDrive</x:v>
      </x:c>
      <x:c r="H142" s="24" t="str">
        <x:v>경유</x:v>
      </x:c>
      <x:c r="I142" s="31" t="n">
        <x:v>1995</x:v>
      </x:c>
      <x:c r="J142" s="31" t="n">
        <x:v>2017</x:v>
      </x:c>
      <x:c r="K142" s="24" t="str">
        <x:v>WBAJC5109HG858266</x:v>
      </x:c>
      <x:c r="L142" s="24" t="str">
        <x:v>김포</x:v>
      </x:c>
      <x:c r="M142" s="30" t="n">
        <x:v>42978</x:v>
      </x:c>
      <x:c r="N142" s="31"/>
      <x:c r="O142" s="30" t="n">
        <x:v>45425</x:v>
      </x:c>
      <x:c r="P142" s="32"/>
      <x:c r="Q142" s="32"/>
      <x:c r="R142" s="32" t="n">
        <x:v>27440000</x:v>
      </x:c>
      <x:c r="S142" s="24" t="str"/>
      <x:c r="T142" s="32"/>
      <x:c r="U142" s="32" t="n">
        <x:v>28273668</x:v>
      </x:c>
      <x:c r="V142" s="24" t="str"/>
      <x:c r="W142" s="24" t="str"/>
      <x:c r="X142" s="32"/>
      <x:c r="Y142" s="33"/>
      <x:c r="Z142" s="31"/>
      <x:c r="AA142" s="24" t="str"/>
      <x:c r="AB142" s="30"/>
      <x:c r="AC142" s="30"/>
      <x:c r="AD142" s="32"/>
      <x:c r="AE142" s="32"/>
      <x:c r="AF142" s="24" t="str">
        <x:v>27000000</x:v>
      </x:c>
      <x:c r="AG142" s="24" t="str"/>
      <x:c r="AH142" s="30"/>
      <x:c r="AI142" s="24" t="str"/>
      <x:c r="AJ142" s="24" t="str"/>
      <x:c r="AK142" s="32"/>
      <x:c r="AL142" s="32"/>
      <x:c r="AM142" s="24" t="str"/>
      <x:c r="AN142" s="31" t="n">
        <x:v>143</x:v>
      </x:c>
    </x:row>
    <x:row r="143" ht="17.25" customHeight="1">
      <x:c r="A143" s="24" t="str">
        <x:v>스위치플랜</x:v>
      </x:c>
      <x:c r="B143" s="24" t="str">
        <x:v>336무2957</x:v>
      </x:c>
      <x:c r="C143" s="24" t="str">
        <x:v>매각</x:v>
      </x:c>
      <x:c r="D143" s="24" t="str">
        <x:v>기아</x:v>
      </x:c>
      <x:c r="E143" s="24" t="str">
        <x:v>K3</x:v>
      </x:c>
      <x:c r="F143" s="24" t="str">
        <x:v>올 뉴 K3 BD</x:v>
      </x:c>
      <x:c r="G143" s="24" t="str">
        <x:v>가솔린 1.6</x:v>
      </x:c>
      <x:c r="H143" s="24" t="str">
        <x:v>휘발유</x:v>
      </x:c>
      <x:c r="I143" s="31" t="n">
        <x:v>1598</x:v>
      </x:c>
      <x:c r="J143" s="31" t="n">
        <x:v>2020</x:v>
      </x:c>
      <x:c r="K143" s="24" t="str">
        <x:v>KNAF241BELA870156</x:v>
      </x:c>
      <x:c r="L143" s="24" t="str">
        <x:v>김포</x:v>
      </x:c>
      <x:c r="M143" s="30" t="n">
        <x:v>43699</x:v>
      </x:c>
      <x:c r="N143" s="31"/>
      <x:c r="O143" s="30" t="n">
        <x:v>45278</x:v>
      </x:c>
      <x:c r="P143" s="32" t="n">
        <x:v>18967002</x:v>
      </x:c>
      <x:c r="Q143" s="32" t="n">
        <x:v>10500000</x:v>
      </x:c>
      <x:c r="R143" s="32" t="n">
        <x:v>10500000</x:v>
      </x:c>
      <x:c r="S143" s="24" t="str"/>
      <x:c r="T143" s="32"/>
      <x:c r="U143" s="32" t="n">
        <x:v>11151000</x:v>
      </x:c>
      <x:c r="V143" s="24" t="str"/>
      <x:c r="W143" s="24" t="str"/>
      <x:c r="X143" s="32"/>
      <x:c r="Y143" s="33"/>
      <x:c r="Z143" s="31"/>
      <x:c r="AA143" s="24" t="str"/>
      <x:c r="AB143" s="30"/>
      <x:c r="AC143" s="30"/>
      <x:c r="AD143" s="32"/>
      <x:c r="AE143" s="32"/>
      <x:c r="AF143" s="24" t="str"/>
      <x:c r="AG143" s="24" t="str"/>
      <x:c r="AH143" s="30" t="n">
        <x:v>45807</x:v>
      </x:c>
      <x:c r="AI143" s="24" t="str">
        <x:v>주식회사 우리카</x:v>
      </x:c>
      <x:c r="AJ143" s="24" t="str">
        <x:v>딜러</x:v>
      </x:c>
      <x:c r="AK143" s="32" t="n">
        <x:v>1645000</x:v>
      </x:c>
      <x:c r="AL143" s="32"/>
      <x:c r="AM143" s="24" t="str">
        <x:v>홈택스 매출세금계산서 · [차량매각] 336무2957</x:v>
      </x:c>
      <x:c r="AN143" s="31" t="n">
        <x:v>144</x:v>
      </x:c>
    </x:row>
    <x:row r="144" ht="17.25" customHeight="1">
      <x:c r="A144" s="24" t="str">
        <x:v>스위치플랜</x:v>
      </x:c>
      <x:c r="B144" s="24" t="str">
        <x:v>58너1732</x:v>
      </x:c>
      <x:c r="C144" s="24" t="str">
        <x:v>매각</x:v>
      </x:c>
      <x:c r="D144" s="24" t="str">
        <x:v>기아</x:v>
      </x:c>
      <x:c r="E144" s="24" t="str">
        <x:v>K3</x:v>
      </x:c>
      <x:c r="F144" s="24" t="str">
        <x:v>더 뉴 K3 YD</x:v>
      </x:c>
      <x:c r="G144" s="24" t="str">
        <x:v>가솔린 1.6</x:v>
      </x:c>
      <x:c r="H144" s="24" t="str">
        <x:v>휘발유</x:v>
      </x:c>
      <x:c r="I144" s="31" t="n">
        <x:v>1591</x:v>
      </x:c>
      <x:c r="J144" s="31" t="n">
        <x:v>2015</x:v>
      </x:c>
      <x:c r="K144" s="24" t="str">
        <x:v>KNAFJ412BFA398036</x:v>
      </x:c>
      <x:c r="L144" s="24" t="str">
        <x:v>김포</x:v>
      </x:c>
      <x:c r="M144" s="30" t="n">
        <x:v>42041</x:v>
      </x:c>
      <x:c r="N144" s="31"/>
      <x:c r="O144" s="30" t="n">
        <x:v>45524</x:v>
      </x:c>
      <x:c r="P144" s="32" t="n">
        <x:v>15900000</x:v>
      </x:c>
      <x:c r="Q144" s="32" t="n">
        <x:v>3800000</x:v>
      </x:c>
      <x:c r="R144" s="32" t="n">
        <x:v>3800000</x:v>
      </x:c>
      <x:c r="S144" s="24" t="str"/>
      <x:c r="T144" s="32"/>
      <x:c r="U144" s="32" t="n">
        <x:v>3800000</x:v>
      </x:c>
      <x:c r="V144" s="24" t="str"/>
      <x:c r="W144" s="24" t="str"/>
      <x:c r="X144" s="32"/>
      <x:c r="Y144" s="33"/>
      <x:c r="Z144" s="31"/>
      <x:c r="AA144" s="24" t="str"/>
      <x:c r="AB144" s="30"/>
      <x:c r="AC144" s="30"/>
      <x:c r="AD144" s="32"/>
      <x:c r="AE144" s="32" t="n">
        <x:v>28695950</x:v>
      </x:c>
      <x:c r="AF144" s="24" t="str"/>
      <x:c r="AG144" s="24" t="str"/>
      <x:c r="AH144" s="30" t="n">
        <x:v>45821</x:v>
      </x:c>
      <x:c r="AI144" s="24" t="str">
        <x:v>주식회사 빌린카</x:v>
      </x:c>
      <x:c r="AJ144" s="24" t="str">
        <x:v>딜러</x:v>
      </x:c>
      <x:c r="AK144" s="32" t="n">
        <x:v>2155000</x:v>
      </x:c>
      <x:c r="AL144" s="32"/>
      <x:c r="AM144" s="24" t="str">
        <x:v>홈택스 매출세금계산서 · 차량매각[58너1732]</x:v>
      </x:c>
      <x:c r="AN144" s="31" t="n">
        <x:v>145</x:v>
      </x:c>
    </x:row>
    <x:row r="145" ht="17.25" customHeight="1">
      <x:c r="A145" s="24" t="str">
        <x:v>스위치플랜</x:v>
      </x:c>
      <x:c r="B145" s="24" t="str">
        <x:v>114라7069</x:v>
      </x:c>
      <x:c r="C145" s="24" t="str">
        <x:v>매각</x:v>
      </x:c>
      <x:c r="D145" s="24" t="str">
        <x:v>미니</x:v>
      </x:c>
      <x:c r="E145" s="24" t="str">
        <x:v>컨트리맨</x:v>
      </x:c>
      <x:c r="F145" s="24" t="str">
        <x:v>쿠퍼 컨트리맨 R60/F60</x:v>
      </x:c>
      <x:c r="G145" s="24" t="str">
        <x:v>가솔린 1.5</x:v>
      </x:c>
      <x:c r="H145" s="24" t="str">
        <x:v>휘발유</x:v>
      </x:c>
      <x:c r="I145" s="31" t="n">
        <x:v>1499</x:v>
      </x:c>
      <x:c r="J145" s="31" t="n">
        <x:v>2019</x:v>
      </x:c>
      <x:c r="K145" s="24" t="str">
        <x:v>WMWYU9107K3C02975</x:v>
      </x:c>
      <x:c r="L145" s="24" t="str">
        <x:v>김포</x:v>
      </x:c>
      <x:c r="M145" s="30" t="n">
        <x:v>43398</x:v>
      </x:c>
      <x:c r="N145" s="31"/>
      <x:c r="O145" s="30" t="n">
        <x:v>45261</x:v>
      </x:c>
      <x:c r="P145" s="32"/>
      <x:c r="Q145" s="32" t="n">
        <x:v>22300000</x:v>
      </x:c>
      <x:c r="R145" s="32" t="n">
        <x:v>22300000</x:v>
      </x:c>
      <x:c r="S145" s="24" t="str"/>
      <x:c r="T145" s="32"/>
      <x:c r="U145" s="32" t="n">
        <x:v>24250000</x:v>
      </x:c>
      <x:c r="V145" s="24" t="str">
        <x:v>할부</x:v>
      </x:c>
      <x:c r="W145" s="24" t="str">
        <x:v>IBK저축은행</x:v>
      </x:c>
      <x:c r="X145" s="32" t="n">
        <x:v>35464468</x:v>
      </x:c>
      <x:c r="Y145" s="33" t="n">
        <x:v>0.17</x:v>
      </x:c>
      <x:c r="Z145" s="31" t="n">
        <x:v>36</x:v>
      </x:c>
      <x:c r="AA145" s="24" t="str">
        <x:v>10일</x:v>
      </x:c>
      <x:c r="AB145" s="30" t="n">
        <x:v>45270</x:v>
      </x:c>
      <x:c r="AC145" s="30" t="n">
        <x:v>46336</x:v>
      </x:c>
      <x:c r="AD145" s="32"/>
      <x:c r="AE145" s="32"/>
      <x:c r="AF145" s="24" t="str"/>
      <x:c r="AG145" s="24" t="str"/>
      <x:c r="AH145" s="30" t="n">
        <x:v>45821</x:v>
      </x:c>
      <x:c r="AI145" s="24" t="str">
        <x:v>주식회사 빌린카</x:v>
      </x:c>
      <x:c r="AJ145" s="24" t="str">
        <x:v>딜러</x:v>
      </x:c>
      <x:c r="AK145" s="32" t="n">
        <x:v>3358000</x:v>
      </x:c>
      <x:c r="AL145" s="32"/>
      <x:c r="AM145" s="24" t="str">
        <x:v>홈택스 매출세금계산서 · 차량매각[114라7069]</x:v>
      </x:c>
      <x:c r="AN145" s="31" t="n">
        <x:v>146</x:v>
      </x:c>
    </x:row>
    <x:row r="146" ht="17.25" customHeight="1">
      <x:c r="A146" s="24" t="str">
        <x:v>스위치플랜</x:v>
      </x:c>
      <x:c r="B146" s="24" t="str">
        <x:v>21수0400</x:v>
      </x:c>
      <x:c r="C146" s="24" t="str">
        <x:v>매각</x:v>
      </x:c>
      <x:c r="D146" s="24" t="str">
        <x:v>기아</x:v>
      </x:c>
      <x:c r="E146" s="24" t="str">
        <x:v>K7</x:v>
      </x:c>
      <x:c r="F146" s="24" t="str">
        <x:v>올 뉴 K7 YG</x:v>
      </x:c>
      <x:c r="G146" s="24" t="str">
        <x:v>가솔린 2.4</x:v>
      </x:c>
      <x:c r="H146" s="24" t="str">
        <x:v>휘발유</x:v>
      </x:c>
      <x:c r="I146" s="31" t="n">
        <x:v>2359</x:v>
      </x:c>
      <x:c r="J146" s="31" t="n">
        <x:v>2016</x:v>
      </x:c>
      <x:c r="K146" s="24" t="str">
        <x:v>KNALB415BGA047999</x:v>
      </x:c>
      <x:c r="L146" s="24" t="str">
        <x:v>김포</x:v>
      </x:c>
      <x:c r="M146" s="30" t="n">
        <x:v>42677</x:v>
      </x:c>
      <x:c r="N146" s="31"/>
      <x:c r="O146" s="30" t="n">
        <x:v>45264</x:v>
      </x:c>
      <x:c r="P146" s="32" t="n">
        <x:v>34000000</x:v>
      </x:c>
      <x:c r="Q146" s="32" t="n">
        <x:v>14800000</x:v>
      </x:c>
      <x:c r="R146" s="32" t="n">
        <x:v>14800000</x:v>
      </x:c>
      <x:c r="S146" s="24" t="str"/>
      <x:c r="T146" s="32"/>
      <x:c r="U146" s="32" t="n">
        <x:v>16928000</x:v>
      </x:c>
      <x:c r="V146" s="24" t="str">
        <x:v>할부</x:v>
      </x:c>
      <x:c r="W146" s="24" t="str">
        <x:v>IBK저축은행</x:v>
      </x:c>
      <x:c r="X146" s="32" t="n">
        <x:v>22779759</x:v>
      </x:c>
      <x:c r="Y146" s="33" t="n">
        <x:v>0.17</x:v>
      </x:c>
      <x:c r="Z146" s="31" t="n">
        <x:v>48</x:v>
      </x:c>
      <x:c r="AA146" s="24" t="str">
        <x:v>10일</x:v>
      </x:c>
      <x:c r="AB146" s="30" t="n">
        <x:v>45270</x:v>
      </x:c>
      <x:c r="AC146" s="30" t="n">
        <x:v>46701</x:v>
      </x:c>
      <x:c r="AD146" s="32"/>
      <x:c r="AE146" s="32" t="n">
        <x:v>13677268</x:v>
      </x:c>
      <x:c r="AF146" s="24" t="str"/>
      <x:c r="AG146" s="24" t="str"/>
      <x:c r="AH146" s="30" t="n">
        <x:v>46097</x:v>
      </x:c>
      <x:c r="AI146" s="24" t="str"/>
      <x:c r="AJ146" s="24" t="str"/>
      <x:c r="AK146" s="32" t="n">
        <x:v>9600000</x:v>
      </x:c>
      <x:c r="AL146" s="32"/>
      <x:c r="AM146" s="24" t="str">
        <x:v>홈택스 매출세금계산서 · [차량매각] 21수0400</x:v>
      </x:c>
      <x:c r="AN146" s="31" t="n">
        <x:v>147</x:v>
      </x:c>
    </x:row>
    <x:row r="147" ht="17.25" customHeight="1">
      <x:c r="A147" s="24" t="str">
        <x:v>스위치플랜</x:v>
      </x:c>
      <x:c r="B147" s="24" t="str">
        <x:v>31나5759</x:v>
      </x:c>
      <x:c r="C147" s="24" t="str">
        <x:v>매각</x:v>
      </x:c>
      <x:c r="D147" s="24" t="str">
        <x:v>기아</x:v>
      </x:c>
      <x:c r="E147" s="24" t="str">
        <x:v>스토닉</x:v>
      </x:c>
      <x:c r="F147" s="24" t="str">
        <x:v>스토닉</x:v>
      </x:c>
      <x:c r="G147" s="24" t="str">
        <x:v>디젤 1.6</x:v>
      </x:c>
      <x:c r="H147" s="24" t="str">
        <x:v>경유</x:v>
      </x:c>
      <x:c r="I147" s="31" t="n">
        <x:v>1582</x:v>
      </x:c>
      <x:c r="J147" s="31" t="n">
        <x:v>2018</x:v>
      </x:c>
      <x:c r="K147" s="24" t="str">
        <x:v>KNADE815GJS062348</x:v>
      </x:c>
      <x:c r="L147" s="24" t="str">
        <x:v>김포</x:v>
      </x:c>
      <x:c r="M147" s="30" t="n">
        <x:v>42954</x:v>
      </x:c>
      <x:c r="N147" s="31"/>
      <x:c r="O147" s="30" t="n">
        <x:v>45310</x:v>
      </x:c>
      <x:c r="P147" s="32" t="n">
        <x:v>23950000</x:v>
      </x:c>
      <x:c r="Q147" s="32" t="n">
        <x:v>9700000</x:v>
      </x:c>
      <x:c r="R147" s="32" t="n">
        <x:v>10140000</x:v>
      </x:c>
      <x:c r="S147" s="24" t="str"/>
      <x:c r="T147" s="32"/>
      <x:c r="U147" s="32" t="n">
        <x:v>11447890</x:v>
      </x:c>
      <x:c r="V147" s="24" t="str">
        <x:v>할부</x:v>
      </x:c>
      <x:c r="W147" s="24" t="str">
        <x:v>KB캐피탈</x:v>
      </x:c>
      <x:c r="X147" s="32" t="n">
        <x:v>9700000</x:v>
      </x:c>
      <x:c r="Y147" s="33" t="n">
        <x:v>0.08</x:v>
      </x:c>
      <x:c r="Z147" s="31" t="n">
        <x:v>36</x:v>
      </x:c>
      <x:c r="AA147" s="24" t="str">
        <x:v>20일</x:v>
      </x:c>
      <x:c r="AB147" s="30" t="n">
        <x:v>45342</x:v>
      </x:c>
      <x:c r="AC147" s="30" t="n">
        <x:v>46407</x:v>
      </x:c>
      <x:c r="AD147" s="32" t="n">
        <x:v>301730</x:v>
      </x:c>
      <x:c r="AE147" s="32" t="n">
        <x:v>0</x:v>
      </x:c>
      <x:c r="AF147" s="24" t="str"/>
      <x:c r="AG147" s="24" t="str"/>
      <x:c r="AH147" s="30" t="n">
        <x:v>46097</x:v>
      </x:c>
      <x:c r="AI147" s="24" t="str"/>
      <x:c r="AJ147" s="24" t="str"/>
      <x:c r="AK147" s="32" t="n">
        <x:v>7800000</x:v>
      </x:c>
      <x:c r="AL147" s="32"/>
      <x:c r="AM147" s="24" t="str">
        <x:v>홈택스 매출세금계산서 · [차량매각] 31나5759</x:v>
      </x:c>
      <x:c r="AN147" s="31" t="n">
        <x:v>148</x:v>
      </x:c>
    </x:row>
    <x:row r="148" ht="17.25" customHeight="1">
      <x:c r="A148" s="24" t="str">
        <x:v>스위치플랜</x:v>
      </x:c>
      <x:c r="B148" s="24" t="str">
        <x:v>42더5054</x:v>
      </x:c>
      <x:c r="C148" s="24" t="str">
        <x:v>매각</x:v>
      </x:c>
      <x:c r="D148" s="24" t="str">
        <x:v>포드</x:v>
      </x:c>
      <x:c r="E148" s="24" t="str">
        <x:v>머스탱</x:v>
      </x:c>
      <x:c r="F148" s="24" t="str">
        <x:v>머스탱</x:v>
      </x:c>
      <x:c r="G148" s="24" t="str">
        <x:v>가솔린 2.3</x:v>
      </x:c>
      <x:c r="H148" s="24" t="str">
        <x:v>휘발유</x:v>
      </x:c>
      <x:c r="I148" s="31" t="n">
        <x:v>2261</x:v>
      </x:c>
      <x:c r="J148" s="31" t="n">
        <x:v>2019</x:v>
      </x:c>
      <x:c r="K148" s="24" t="str">
        <x:v>1FATP8UH4K5128891</x:v>
      </x:c>
      <x:c r="L148" s="24" t="str">
        <x:v>김포</x:v>
      </x:c>
      <x:c r="M148" s="30" t="n">
        <x:v>43497</x:v>
      </x:c>
      <x:c r="N148" s="31"/>
      <x:c r="O148" s="30" t="n">
        <x:v>45378</x:v>
      </x:c>
      <x:c r="P148" s="32"/>
      <x:c r="Q148" s="32" t="n">
        <x:v>23500000</x:v>
      </x:c>
      <x:c r="R148" s="32" t="n">
        <x:v>24256900</x:v>
      </x:c>
      <x:c r="S148" s="24" t="str"/>
      <x:c r="T148" s="32"/>
      <x:c r="U148" s="32" t="n">
        <x:v>26776300</x:v>
      </x:c>
      <x:c r="V148" s="24" t="str">
        <x:v>할부</x:v>
      </x:c>
      <x:c r="W148" s="24" t="str">
        <x:v>한국금융자산대부㈜</x:v>
      </x:c>
      <x:c r="X148" s="32" t="n">
        <x:v>25149999</x:v>
      </x:c>
      <x:c r="Y148" s="33" t="n">
        <x:v>0.17</x:v>
      </x:c>
      <x:c r="Z148" s="31" t="n">
        <x:v>48</x:v>
      </x:c>
      <x:c r="AA148" s="24" t="str">
        <x:v>10일</x:v>
      </x:c>
      <x:c r="AB148" s="30" t="n">
        <x:v>45392</x:v>
      </x:c>
      <x:c r="AC148" s="30" t="n">
        <x:v>46822</x:v>
      </x:c>
      <x:c r="AD148" s="32"/>
      <x:c r="AE148" s="32" t="n">
        <x:v>28555175</x:v>
      </x:c>
      <x:c r="AF148" s="24" t="str"/>
      <x:c r="AG148" s="24" t="str"/>
      <x:c r="AH148" s="30" t="n">
        <x:v>45833</x:v>
      </x:c>
      <x:c r="AI148" s="24" t="str">
        <x:v>오토플러스(주)</x:v>
      </x:c>
      <x:c r="AJ148" s="24" t="str">
        <x:v>딜러</x:v>
      </x:c>
      <x:c r="AK148" s="32" t="n">
        <x:v>16500000</x:v>
      </x:c>
      <x:c r="AL148" s="32"/>
      <x:c r="AM148" s="24" t="str">
        <x:v>홈택스 매출세금계산서 · 차량매각[42더5054]머스탱</x:v>
      </x:c>
      <x:c r="AN148" s="31" t="n">
        <x:v>149</x:v>
      </x:c>
    </x:row>
    <x:row r="149" ht="17.25" customHeight="1">
      <x:c r="A149" s="24" t="str">
        <x:v>스위치플랜</x:v>
      </x:c>
      <x:c r="B149" s="24" t="str">
        <x:v>27두4385</x:v>
      </x:c>
      <x:c r="C149" s="24" t="str">
        <x:v>매각</x:v>
      </x:c>
      <x:c r="D149" s="24" t="str">
        <x:v>기아</x:v>
      </x:c>
      <x:c r="E149" s="24" t="str">
        <x:v>스팅어</x:v>
      </x:c>
      <x:c r="F149" s="24" t="str">
        <x:v>스팅어 CK</x:v>
      </x:c>
      <x:c r="G149" s="24" t="str">
        <x:v>가솔린 3.3T AWD</x:v>
      </x:c>
      <x:c r="H149" s="24" t="str">
        <x:v>휘발유</x:v>
      </x:c>
      <x:c r="I149" s="31" t="n">
        <x:v>3342</x:v>
      </x:c>
      <x:c r="J149" s="31" t="n">
        <x:v>2018</x:v>
      </x:c>
      <x:c r="K149" s="24" t="str">
        <x:v>KNAE751CDJS008374</x:v>
      </x:c>
      <x:c r="L149" s="24" t="str">
        <x:v>김포</x:v>
      </x:c>
      <x:c r="M149" s="30" t="n">
        <x:v>43083</x:v>
      </x:c>
      <x:c r="N149" s="31"/>
      <x:c r="O149" s="30" t="n">
        <x:v>45316</x:v>
      </x:c>
      <x:c r="P149" s="32" t="n">
        <x:v>53400000</x:v>
      </x:c>
      <x:c r="Q149" s="32" t="n">
        <x:v>23340000</x:v>
      </x:c>
      <x:c r="R149" s="32" t="n">
        <x:v>23340000</x:v>
      </x:c>
      <x:c r="S149" s="24" t="str"/>
      <x:c r="T149" s="32"/>
      <x:c r="U149" s="32" t="n">
        <x:v>25343000</x:v>
      </x:c>
      <x:c r="V149" s="24" t="str">
        <x:v>할부</x:v>
      </x:c>
      <x:c r="W149" s="24" t="str">
        <x:v>KB캐피탈</x:v>
      </x:c>
      <x:c r="X149" s="32" t="n">
        <x:v>22900000</x:v>
      </x:c>
      <x:c r="Y149" s="33" t="n">
        <x:v>0.08</x:v>
      </x:c>
      <x:c r="Z149" s="31" t="n">
        <x:v>36</x:v>
      </x:c>
      <x:c r="AA149" s="24" t="str">
        <x:v>20일</x:v>
      </x:c>
      <x:c r="AB149" s="30" t="n">
        <x:v>45342</x:v>
      </x:c>
      <x:c r="AC149" s="30" t="n">
        <x:v>46407</x:v>
      </x:c>
      <x:c r="AD149" s="32" t="n">
        <x:v>712332</x:v>
      </x:c>
      <x:c r="AE149" s="32" t="n">
        <x:v>0</x:v>
      </x:c>
      <x:c r="AF149" s="24" t="str"/>
      <x:c r="AG149" s="24" t="str"/>
      <x:c r="AH149" s="30" t="n">
        <x:v>45833</x:v>
      </x:c>
      <x:c r="AI149" s="24" t="str">
        <x:v>오토플러스(주)</x:v>
      </x:c>
      <x:c r="AJ149" s="24" t="str">
        <x:v>딜러</x:v>
      </x:c>
      <x:c r="AK149" s="32" t="n">
        <x:v>14100000</x:v>
      </x:c>
      <x:c r="AL149" s="32"/>
      <x:c r="AM149" s="24" t="str">
        <x:v>홈택스 매출세금계산서 · 차량매각[27두4385]스팅어</x:v>
      </x:c>
      <x:c r="AN149" s="31" t="n">
        <x:v>150</x:v>
      </x:c>
    </x:row>
    <x:row r="150" ht="17.25" customHeight="1">
      <x:c r="A150" s="24" t="str">
        <x:v>스위치플랜</x:v>
      </x:c>
      <x:c r="B150" s="24" t="str">
        <x:v>02머1479</x:v>
      </x:c>
      <x:c r="C150" s="24" t="str">
        <x:v>매각</x:v>
      </x:c>
      <x:c r="D150" s="24" t="str">
        <x:v>기아</x:v>
      </x:c>
      <x:c r="E150" s="24" t="str">
        <x:v>모닝</x:v>
      </x:c>
      <x:c r="F150" s="24" t="str">
        <x:v>올 뉴 모닝 JA</x:v>
      </x:c>
      <x:c r="G150" s="24" t="str">
        <x:v>가솔린 1.0</x:v>
      </x:c>
      <x:c r="H150" s="24" t="str">
        <x:v>디젤</x:v>
      </x:c>
      <x:c r="I150" s="31" t="n">
        <x:v>998</x:v>
      </x:c>
      <x:c r="J150" s="31" t="n">
        <x:v>2017</x:v>
      </x:c>
      <x:c r="K150" s="24" t="str">
        <x:v>KNAB5516BHT132833</x:v>
      </x:c>
      <x:c r="L150" s="24" t="str">
        <x:v>김포</x:v>
      </x:c>
      <x:c r="M150" s="30" t="n">
        <x:v>42958</x:v>
      </x:c>
      <x:c r="N150" s="31"/>
      <x:c r="O150" s="30" t="n">
        <x:v>45448</x:v>
      </x:c>
      <x:c r="P150" s="32" t="n">
        <x:v>17140000</x:v>
      </x:c>
      <x:c r="Q150" s="32" t="n">
        <x:v>8500000</x:v>
      </x:c>
      <x:c r="R150" s="32" t="n">
        <x:v>8500000</x:v>
      </x:c>
      <x:c r="S150" s="24" t="str"/>
      <x:c r="T150" s="32"/>
      <x:c r="U150" s="32" t="n">
        <x:v>8887256</x:v>
      </x:c>
      <x:c r="V150" s="24" t="str"/>
      <x:c r="W150" s="24" t="str"/>
      <x:c r="X150" s="32"/>
      <x:c r="Y150" s="33"/>
      <x:c r="Z150" s="31"/>
      <x:c r="AA150" s="24" t="str"/>
      <x:c r="AB150" s="30"/>
      <x:c r="AC150" s="30"/>
      <x:c r="AD150" s="32"/>
      <x:c r="AE150" s="32" t="n">
        <x:v>28695950</x:v>
      </x:c>
      <x:c r="AF150" s="24" t="str"/>
      <x:c r="AG150" s="24" t="str"/>
      <x:c r="AH150" s="30" t="n">
        <x:v>45917</x:v>
      </x:c>
      <x:c r="AI150" s="24" t="str">
        <x:v>주식회사 우리카</x:v>
      </x:c>
      <x:c r="AJ150" s="24" t="str">
        <x:v>딜러</x:v>
      </x:c>
      <x:c r="AK150" s="32" t="n">
        <x:v>6500000</x:v>
      </x:c>
      <x:c r="AL150" s="32"/>
      <x:c r="AM150" s="24" t="str">
        <x:v>홈택스 매출세금계산서 · 차량매각 [02머1479]</x:v>
      </x:c>
      <x:c r="AN150" s="31" t="n">
        <x:v>151</x:v>
      </x:c>
    </x:row>
    <x:row r="151" ht="17.25" customHeight="1">
      <x:c r="A151" s="24" t="str">
        <x:v>스위치플랜</x:v>
      </x:c>
      <x:c r="B151" s="24" t="str">
        <x:v>03우7717</x:v>
      </x:c>
      <x:c r="C151" s="24" t="str">
        <x:v>매각</x:v>
      </x:c>
      <x:c r="D151" s="24" t="str">
        <x:v>벤츠</x:v>
      </x:c>
      <x:c r="E151" s="24" t="str">
        <x:v>S-클래스</x:v>
      </x:c>
      <x:c r="F151" s="24" t="str">
        <x:v>S-클래스 W222</x:v>
      </x:c>
      <x:c r="G151" s="24" t="str">
        <x:v>디젤 2.9 4MATIC</x:v>
      </x:c>
      <x:c r="H151" s="24" t="str">
        <x:v>디젤</x:v>
      </x:c>
      <x:c r="I151" s="31" t="n">
        <x:v>2925</x:v>
      </x:c>
      <x:c r="J151" s="31" t="n">
        <x:v>2018</x:v>
      </x:c>
      <x:c r="K151" s="24" t="str">
        <x:v>WDDUF2BB9JA351890</x:v>
      </x:c>
      <x:c r="L151" s="24" t="str">
        <x:v>김포</x:v>
      </x:c>
      <x:c r="M151" s="30" t="n">
        <x:v>43019</x:v>
      </x:c>
      <x:c r="N151" s="31"/>
      <x:c r="O151" s="30" t="n">
        <x:v>45268</x:v>
      </x:c>
      <x:c r="P151" s="32" t="n">
        <x:v>145500000</x:v>
      </x:c>
      <x:c r="Q151" s="32" t="n">
        <x:v>65622700</x:v>
      </x:c>
      <x:c r="R151" s="32" t="n">
        <x:v>65622700</x:v>
      </x:c>
      <x:c r="S151" s="24" t="str"/>
      <x:c r="T151" s="32"/>
      <x:c r="U151" s="32" t="n">
        <x:v>71263656</x:v>
      </x:c>
      <x:c r="V151" s="24" t="str">
        <x:v>할부</x:v>
      </x:c>
      <x:c r="W151" s="24" t="str">
        <x:v>한국금융자산대부㈜</x:v>
      </x:c>
      <x:c r="X151" s="32" t="n">
        <x:v>69550001</x:v>
      </x:c>
      <x:c r="Y151" s="33" t="n">
        <x:v>0.17</x:v>
      </x:c>
      <x:c r="Z151" s="31" t="n">
        <x:v>48</x:v>
      </x:c>
      <x:c r="AA151" s="24" t="str">
        <x:v>10일</x:v>
      </x:c>
      <x:c r="AB151" s="30" t="n">
        <x:v>45301</x:v>
      </x:c>
      <x:c r="AC151" s="30" t="n">
        <x:v>46731</x:v>
      </x:c>
      <x:c r="AD151" s="32"/>
      <x:c r="AE151" s="32" t="n">
        <x:v>28862630</x:v>
      </x:c>
      <x:c r="AF151" s="24" t="str"/>
      <x:c r="AG151" s="24" t="str"/>
      <x:c r="AH151" s="30" t="n">
        <x:v>45917</x:v>
      </x:c>
      <x:c r="AI151" s="24" t="str">
        <x:v>주식회사 우리카</x:v>
      </x:c>
      <x:c r="AJ151" s="24" t="str">
        <x:v>딜러</x:v>
      </x:c>
      <x:c r="AK151" s="32" t="n">
        <x:v>40500000</x:v>
      </x:c>
      <x:c r="AL151" s="32"/>
      <x:c r="AM151" s="24" t="str">
        <x:v>홈택스 매출세금계산서 · 차량매각 [03우7717]</x:v>
      </x:c>
      <x:c r="AN151" s="31" t="n">
        <x:v>152</x:v>
      </x:c>
    </x:row>
    <x:row r="152" ht="17.25" customHeight="1">
      <x:c r="A152" s="24" t="str">
        <x:v>스위치플랜</x:v>
      </x:c>
      <x:c r="B152" s="24" t="str">
        <x:v>167고4054</x:v>
      </x:c>
      <x:c r="C152" s="24" t="str">
        <x:v>매각</x:v>
      </x:c>
      <x:c r="D152" s="24" t="str">
        <x:v>제네시스</x:v>
      </x:c>
      <x:c r="E152" s="24" t="str">
        <x:v>EQ900</x:v>
      </x:c>
      <x:c r="F152" s="24" t="str">
        <x:v>EQ900 HI</x:v>
      </x:c>
      <x:c r="G152" s="24" t="str">
        <x:v>가솔린 3.8 AWD</x:v>
      </x:c>
      <x:c r="H152" s="24" t="str">
        <x:v>가솔린</x:v>
      </x:c>
      <x:c r="I152" s="31" t="n">
        <x:v>3778</x:v>
      </x:c>
      <x:c r="J152" s="31" t="n">
        <x:v>2018</x:v>
      </x:c>
      <x:c r="K152" s="24" t="str">
        <x:v>KMHG341DDJU051952</x:v>
      </x:c>
      <x:c r="L152" s="24" t="str">
        <x:v>김포</x:v>
      </x:c>
      <x:c r="M152" s="30" t="n">
        <x:v>43276</x:v>
      </x:c>
      <x:c r="N152" s="31"/>
      <x:c r="O152" s="30" t="n">
        <x:v>45365</x:v>
      </x:c>
      <x:c r="P152" s="32" t="n">
        <x:v>109800000</x:v>
      </x:c>
      <x:c r="Q152" s="32" t="n">
        <x:v>26500000</x:v>
      </x:c>
      <x:c r="R152" s="32" t="n">
        <x:v>26940000</x:v>
      </x:c>
      <x:c r="S152" s="24" t="str"/>
      <x:c r="T152" s="32"/>
      <x:c r="U152" s="32" t="n">
        <x:v>29653540</x:v>
      </x:c>
      <x:c r="V152" s="24" t="str">
        <x:v>할부</x:v>
      </x:c>
      <x:c r="W152" s="24" t="str">
        <x:v>한국금융자산대부㈜</x:v>
      </x:c>
      <x:c r="X152" s="32" t="n">
        <x:v>28359998</x:v>
      </x:c>
      <x:c r="Y152" s="33" t="n">
        <x:v>0.17</x:v>
      </x:c>
      <x:c r="Z152" s="31" t="n">
        <x:v>48</x:v>
      </x:c>
      <x:c r="AA152" s="24" t="str">
        <x:v>10일</x:v>
      </x:c>
      <x:c r="AB152" s="30" t="n">
        <x:v>45392</x:v>
      </x:c>
      <x:c r="AC152" s="30" t="n">
        <x:v>46822</x:v>
      </x:c>
      <x:c r="AD152" s="32"/>
      <x:c r="AE152" s="32" t="n">
        <x:v>28623204</x:v>
      </x:c>
      <x:c r="AF152" s="24" t="str"/>
      <x:c r="AG152" s="24" t="str"/>
      <x:c r="AH152" s="30" t="n">
        <x:v>46097</x:v>
      </x:c>
      <x:c r="AI152" s="24" t="str"/>
      <x:c r="AJ152" s="24" t="str"/>
      <x:c r="AK152" s="32" t="n">
        <x:v>20000000</x:v>
      </x:c>
      <x:c r="AL152" s="32"/>
      <x:c r="AM152" s="24" t="str">
        <x:v>홈택스 매출세금계산서 · [차량매각] 167고4054</x:v>
      </x:c>
      <x:c r="AN152" s="31" t="n">
        <x:v>153</x:v>
      </x:c>
    </x:row>
    <x:row r="153" ht="17.25" customHeight="1">
      <x:c r="A153" s="24" t="str">
        <x:v>스위치플랜</x:v>
      </x:c>
      <x:c r="B153" s="24" t="str">
        <x:v>384도7953</x:v>
      </x:c>
      <x:c r="C153" s="24" t="str">
        <x:v>매각</x:v>
      </x:c>
      <x:c r="D153" s="24" t="str">
        <x:v>제네시스</x:v>
      </x:c>
      <x:c r="E153" s="24" t="str">
        <x:v>G80</x:v>
      </x:c>
      <x:c r="F153" s="24" t="str">
        <x:v>G80 RG3</x:v>
      </x:c>
      <x:c r="G153" s="24" t="str">
        <x:v>가솔린 2.5T AWD</x:v>
      </x:c>
      <x:c r="H153" s="24" t="str">
        <x:v>가솔린</x:v>
      </x:c>
      <x:c r="I153" s="31" t="n">
        <x:v>2497</x:v>
      </x:c>
      <x:c r="J153" s="31" t="n">
        <x:v>2021</x:v>
      </x:c>
      <x:c r="K153" s="24" t="str">
        <x:v>KMTGB41CDMU010686</x:v>
      </x:c>
      <x:c r="L153" s="24" t="str">
        <x:v>김포</x:v>
      </x:c>
      <x:c r="M153" s="30" t="n">
        <x:v>43966</x:v>
      </x:c>
      <x:c r="N153" s="31"/>
      <x:c r="O153" s="30" t="n">
        <x:v>45477</x:v>
      </x:c>
      <x:c r="P153" s="32" t="n">
        <x:v>68700000</x:v>
      </x:c>
      <x:c r="Q153" s="32" t="n">
        <x:v>48500000</x:v>
      </x:c>
      <x:c r="R153" s="32" t="n">
        <x:v>48500000</x:v>
      </x:c>
      <x:c r="S153" s="24" t="str"/>
      <x:c r="T153" s="32"/>
      <x:c r="U153" s="32" t="n">
        <x:v>52147671</x:v>
      </x:c>
      <x:c r="V153" s="24" t="str">
        <x:v>할부</x:v>
      </x:c>
      <x:c r="W153" s="24" t="str">
        <x:v>한국금융자산대부㈜</x:v>
      </x:c>
      <x:c r="X153" s="32" t="n">
        <x:v>52399997</x:v>
      </x:c>
      <x:c r="Y153" s="33" t="n">
        <x:v>0.17</x:v>
      </x:c>
      <x:c r="Z153" s="31" t="n">
        <x:v>48</x:v>
      </x:c>
      <x:c r="AA153" s="24" t="str">
        <x:v>10일</x:v>
      </x:c>
      <x:c r="AB153" s="30" t="n">
        <x:v>45483</x:v>
      </x:c>
      <x:c r="AC153" s="30" t="n">
        <x:v>46914</x:v>
      </x:c>
      <x:c r="AD153" s="32"/>
      <x:c r="AE153" s="32" t="n">
        <x:v>28695950</x:v>
      </x:c>
      <x:c r="AF153" s="24" t="str"/>
      <x:c r="AG153" s="24" t="str"/>
      <x:c r="AH153" s="30" t="n">
        <x:v>45917</x:v>
      </x:c>
      <x:c r="AI153" s="24" t="str">
        <x:v>주식회사 우리카</x:v>
      </x:c>
      <x:c r="AJ153" s="24" t="str">
        <x:v>딜러</x:v>
      </x:c>
      <x:c r="AK153" s="32" t="n">
        <x:v>30500000</x:v>
      </x:c>
      <x:c r="AL153" s="32"/>
      <x:c r="AM153" s="24" t="str">
        <x:v>홈택스 매출세금계산서 · 차량매각 [384도7953]</x:v>
      </x:c>
      <x:c r="AN153" s="31" t="n">
        <x:v>154</x:v>
      </x:c>
    </x:row>
    <x:row r="154" ht="17.25" customHeight="1">
      <x:c r="A154" s="24" t="str">
        <x:v>스위치플랜</x:v>
      </x:c>
      <x:c r="B154" s="24" t="str">
        <x:v>365마1616</x:v>
      </x:c>
      <x:c r="C154" s="24" t="str">
        <x:v>매각</x:v>
      </x:c>
      <x:c r="D154" s="24" t="str">
        <x:v>BMW</x:v>
      </x:c>
      <x:c r="E154" s="24" t="str">
        <x:v>Z4</x:v>
      </x:c>
      <x:c r="F154" s="24" t="str">
        <x:v>Z4 G29</x:v>
      </x:c>
      <x:c r="G154" s="24" t="str">
        <x:v>가솔린 2.0</x:v>
      </x:c>
      <x:c r="H154" s="24" t="str">
        <x:v>가솔린</x:v>
      </x:c>
      <x:c r="I154" s="31" t="n">
        <x:v>1998</x:v>
      </x:c>
      <x:c r="J154" s="31" t="n">
        <x:v>2020</x:v>
      </x:c>
      <x:c r="K154" s="24" t="str">
        <x:v>WBAHF7100MWW88767</x:v>
      </x:c>
      <x:c r="L154" s="24" t="str">
        <x:v>김포</x:v>
      </x:c>
      <x:c r="M154" s="30" t="n">
        <x:v>44126</x:v>
      </x:c>
      <x:c r="N154" s="31"/>
      <x:c r="O154" s="30" t="n">
        <x:v>45349</x:v>
      </x:c>
      <x:c r="P154" s="32"/>
      <x:c r="Q154" s="32" t="n">
        <x:v>50200000</x:v>
      </x:c>
      <x:c r="R154" s="32" t="n">
        <x:v>50640000</x:v>
      </x:c>
      <x:c r="S154" s="24" t="str"/>
      <x:c r="T154" s="32"/>
      <x:c r="U154" s="32" t="n">
        <x:v>54667200</x:v>
      </x:c>
      <x:c r="V154" s="24" t="str">
        <x:v>할부</x:v>
      </x:c>
      <x:c r="W154" s="24" t="str">
        <x:v>도이치파이낸셜</x:v>
      </x:c>
      <x:c r="X154" s="32" t="n">
        <x:v>53710000</x:v>
      </x:c>
      <x:c r="Y154" s="33" t="n">
        <x:v>0.17</x:v>
      </x:c>
      <x:c r="Z154" s="31" t="n">
        <x:v>48</x:v>
      </x:c>
      <x:c r="AA154" s="24" t="str">
        <x:v>10일</x:v>
      </x:c>
      <x:c r="AB154" s="30" t="n">
        <x:v>45361</x:v>
      </x:c>
      <x:c r="AC154" s="30" t="n">
        <x:v>46793</x:v>
      </x:c>
      <x:c r="AD154" s="32"/>
      <x:c r="AE154" s="32" t="n">
        <x:v>15756340</x:v>
      </x:c>
      <x:c r="AF154" s="24" t="str"/>
      <x:c r="AG154" s="24" t="str"/>
      <x:c r="AH154" s="30" t="n">
        <x:v>45966</x:v>
      </x:c>
      <x:c r="AI154" s="24" t="str"/>
      <x:c r="AJ154" s="24" t="str"/>
      <x:c r="AK154" s="32" t="n">
        <x:v>30000000</x:v>
      </x:c>
      <x:c r="AL154" s="32"/>
      <x:c r="AM154" s="24" t="str">
        <x:v>홈택스 매출세금계산서 · [차량매각] 365마1616</x:v>
      </x:c>
      <x:c r="AN154" s="31" t="n">
        <x:v>155</x:v>
      </x:c>
    </x:row>
    <x:row r="155" ht="17.25" customHeight="1">
      <x:c r="A155" s="24" t="str">
        <x:v>스위치플랜</x:v>
      </x:c>
      <x:c r="B155" s="24" t="str">
        <x:v>229고3898</x:v>
      </x:c>
      <x:c r="C155" s="24" t="str">
        <x:v>매각</x:v>
      </x:c>
      <x:c r="D155" s="24" t="str">
        <x:v>기아</x:v>
      </x:c>
      <x:c r="E155" s="24" t="str">
        <x:v>레이</x:v>
      </x:c>
      <x:c r="F155" s="24" t="str">
        <x:v>더 뉴 레이 TAM (2017~2022)</x:v>
      </x:c>
      <x:c r="G155" s="24" t="str">
        <x:v>가솔린 1.0</x:v>
      </x:c>
      <x:c r="H155" s="24" t="str">
        <x:v>가솔린</x:v>
      </x:c>
      <x:c r="I155" s="31" t="n">
        <x:v>998</x:v>
      </x:c>
      <x:c r="J155" s="31" t="n">
        <x:v>2019</x:v>
      </x:c>
      <x:c r="K155" s="24" t="str">
        <x:v>KNACK811BKT209374</x:v>
      </x:c>
      <x:c r="L155" s="24" t="str">
        <x:v>김포</x:v>
      </x:c>
      <x:c r="M155" s="30" t="n">
        <x:v>43581</x:v>
      </x:c>
      <x:c r="N155" s="31"/>
      <x:c r="O155" s="30" t="n">
        <x:v>45335</x:v>
      </x:c>
      <x:c r="P155" s="32" t="n">
        <x:v>17790000</x:v>
      </x:c>
      <x:c r="Q155" s="32" t="n">
        <x:v>10600000</x:v>
      </x:c>
      <x:c r="R155" s="32" t="n">
        <x:v>10600000</x:v>
      </x:c>
      <x:c r="S155" s="24" t="str"/>
      <x:c r="T155" s="32"/>
      <x:c r="U155" s="32" t="n">
        <x:v>11073880</x:v>
      </x:c>
      <x:c r="V155" s="24" t="str">
        <x:v>할부</x:v>
      </x:c>
      <x:c r="W155" s="24" t="str">
        <x:v>KB캐피탈</x:v>
      </x:c>
      <x:c r="X155" s="32" t="n">
        <x:v>9800000</x:v>
      </x:c>
      <x:c r="Y155" s="33" t="n">
        <x:v>0.08</x:v>
      </x:c>
      <x:c r="Z155" s="31" t="n">
        <x:v>36</x:v>
      </x:c>
      <x:c r="AA155" s="24" t="str">
        <x:v>20일</x:v>
      </x:c>
      <x:c r="AB155" s="30" t="n">
        <x:v>45371</x:v>
      </x:c>
      <x:c r="AC155" s="30" t="n">
        <x:v>46438</x:v>
      </x:c>
      <x:c r="AD155" s="32" t="n">
        <x:v>304840</x:v>
      </x:c>
      <x:c r="AE155" s="32" t="n">
        <x:v>0</x:v>
      </x:c>
      <x:c r="AF155" s="24" t="str"/>
      <x:c r="AG155" s="24" t="str"/>
      <x:c r="AH155" s="30"/>
      <x:c r="AI155" s="24" t="str"/>
      <x:c r="AJ155" s="24" t="str"/>
      <x:c r="AK155" s="32"/>
      <x:c r="AL155" s="32"/>
      <x:c r="AM155" s="24" t="str"/>
      <x:c r="AN155" s="31" t="n">
        <x:v>156</x:v>
      </x:c>
    </x:row>
    <x:row r="156" ht="17.25" customHeight="1">
      <x:c r="A156" s="24" t="str">
        <x:v>스위치플랜</x:v>
      </x:c>
      <x:c r="B156" s="24" t="str">
        <x:v>134어2323</x:v>
      </x:c>
      <x:c r="C156" s="24" t="str">
        <x:v>매각</x:v>
      </x:c>
      <x:c r="D156" s="24" t="str">
        <x:v>제네시스</x:v>
      </x:c>
      <x:c r="E156" s="24" t="str">
        <x:v>G80</x:v>
      </x:c>
      <x:c r="F156" s="24" t="str">
        <x:v>G80 RG3</x:v>
      </x:c>
      <x:c r="G156" s="24" t="str">
        <x:v>가솔린 2.5T AWD</x:v>
      </x:c>
      <x:c r="H156" s="24" t="str">
        <x:v>가솔린</x:v>
      </x:c>
      <x:c r="I156" s="31" t="n">
        <x:v>2497</x:v>
      </x:c>
      <x:c r="J156" s="31" t="n">
        <x:v>2021</x:v>
      </x:c>
      <x:c r="K156" s="24" t="str">
        <x:v>KMTGB41CDMU012024</x:v>
      </x:c>
      <x:c r="L156" s="24" t="str">
        <x:v>김포</x:v>
      </x:c>
      <x:c r="M156" s="30" t="n">
        <x:v>43985</x:v>
      </x:c>
      <x:c r="N156" s="31"/>
      <x:c r="O156" s="30" t="n">
        <x:v>45400</x:v>
      </x:c>
      <x:c r="P156" s="32" t="n">
        <x:v>75050000</x:v>
      </x:c>
      <x:c r="Q156" s="32" t="n">
        <x:v>40700000</x:v>
      </x:c>
      <x:c r="R156" s="32" t="n">
        <x:v>41140000</x:v>
      </x:c>
      <x:c r="S156" s="24" t="str">
        <x:v>중고</x:v>
      </x:c>
      <x:c r="T156" s="32"/>
      <x:c r="U156" s="32" t="n">
        <x:v>44762000</x:v>
      </x:c>
      <x:c r="V156" s="24" t="str">
        <x:v>할부</x:v>
      </x:c>
      <x:c r="W156" s="24" t="str">
        <x:v>한국금융자산대부㈜</x:v>
      </x:c>
      <x:c r="X156" s="32" t="n">
        <x:v>43550001</x:v>
      </x:c>
      <x:c r="Y156" s="33" t="n">
        <x:v>0.17</x:v>
      </x:c>
      <x:c r="Z156" s="31" t="n">
        <x:v>48</x:v>
      </x:c>
      <x:c r="AA156" s="24" t="str">
        <x:v>10일</x:v>
      </x:c>
      <x:c r="AB156" s="30" t="n">
        <x:v>45422</x:v>
      </x:c>
      <x:c r="AC156" s="30" t="n">
        <x:v>46853</x:v>
      </x:c>
      <x:c r="AD156" s="32"/>
      <x:c r="AE156" s="32" t="n">
        <x:v>18360467</x:v>
      </x:c>
      <x:c r="AF156" s="24" t="str"/>
      <x:c r="AG156" s="24" t="str"/>
      <x:c r="AH156" s="30" t="n">
        <x:v>45979</x:v>
      </x:c>
      <x:c r="AI156" s="24" t="str">
        <x:v>주식회사 손오공</x:v>
      </x:c>
      <x:c r="AJ156" s="24" t="str"/>
      <x:c r="AK156" s="32" t="n">
        <x:v>25000000</x:v>
      </x:c>
      <x:c r="AL156" s="32"/>
      <x:c r="AM156" s="24" t="str">
        <x:v>홈택스 매출세금계산서 · [차량매각]134어2323</x:v>
      </x:c>
      <x:c r="AN156" s="31" t="n">
        <x:v>157</x:v>
      </x:c>
    </x:row>
    <x:row r="157" ht="17.25" customHeight="1">
      <x:c r="A157" s="24" t="str">
        <x:v>스위치플랜</x:v>
      </x:c>
      <x:c r="B157" s="24" t="str">
        <x:v>365고4731</x:v>
      </x:c>
      <x:c r="C157" s="24" t="str">
        <x:v>매각</x:v>
      </x:c>
      <x:c r="D157" s="24" t="str">
        <x:v>기아</x:v>
      </x:c>
      <x:c r="E157" s="24" t="str">
        <x:v>레이</x:v>
      </x:c>
      <x:c r="F157" s="24" t="str">
        <x:v>더 뉴 레이 TAM (2017~2022)</x:v>
      </x:c>
      <x:c r="G157" s="24" t="str">
        <x:v>가솔린 1.0</x:v>
      </x:c>
      <x:c r="H157" s="24" t="str">
        <x:v>가솔린</x:v>
      </x:c>
      <x:c r="I157" s="31" t="n">
        <x:v>998</x:v>
      </x:c>
      <x:c r="J157" s="31" t="n">
        <x:v>2021</x:v>
      </x:c>
      <x:c r="K157" s="24" t="str">
        <x:v>KNACF911BNT289738</x:v>
      </x:c>
      <x:c r="L157" s="24" t="str">
        <x:v>김포</x:v>
      </x:c>
      <x:c r="M157" s="30" t="n">
        <x:v>44557</x:v>
      </x:c>
      <x:c r="N157" s="31"/>
      <x:c r="O157" s="30" t="n">
        <x:v>45853</x:v>
      </x:c>
      <x:c r="P157" s="32"/>
      <x:c r="Q157" s="32" t="n">
        <x:v>13150000</x:v>
      </x:c>
      <x:c r="R157" s="32" t="n">
        <x:v>9140000</x:v>
      </x:c>
      <x:c r="S157" s="24" t="str">
        <x:v>중고</x:v>
      </x:c>
      <x:c r="T157" s="32"/>
      <x:c r="U157" s="32" t="n">
        <x:v>9630180</x:v>
      </x:c>
      <x:c r="V157" s="24" t="str"/>
      <x:c r="W157" s="24" t="str"/>
      <x:c r="X157" s="32"/>
      <x:c r="Y157" s="33"/>
      <x:c r="Z157" s="31"/>
      <x:c r="AA157" s="24" t="str"/>
      <x:c r="AB157" s="30"/>
      <x:c r="AC157" s="30"/>
      <x:c r="AD157" s="32"/>
      <x:c r="AE157" s="32"/>
      <x:c r="AF157" s="24" t="str"/>
      <x:c r="AG157" s="24" t="str"/>
      <x:c r="AH157" s="30" t="n">
        <x:v>45995</x:v>
      </x:c>
      <x:c r="AI157" s="24" t="str"/>
      <x:c r="AJ157" s="24" t="str"/>
      <x:c r="AK157" s="32" t="n">
        <x:v>550000</x:v>
      </x:c>
      <x:c r="AL157" s="32"/>
      <x:c r="AM157" s="24" t="str">
        <x:v>홈택스 매출세금계산서 · 차량매각[365고4731]</x:v>
      </x:c>
      <x:c r="AN157" s="31" t="n">
        <x:v>158</x:v>
      </x:c>
    </x:row>
    <x:row r="158" ht="17.25" customHeight="1">
      <x:c r="A158" s="24" t="str">
        <x:v>스위치플랜</x:v>
      </x:c>
      <x:c r="B158" s="24" t="str">
        <x:v>26부0281</x:v>
      </x:c>
      <x:c r="C158" s="24" t="str">
        <x:v>매각</x:v>
      </x:c>
      <x:c r="D158" s="24" t="str">
        <x:v>포르쉐</x:v>
      </x:c>
      <x:c r="E158" s="24" t="str">
        <x:v>마칸</x:v>
      </x:c>
      <x:c r="F158" s="24" t="str">
        <x:v>마칸</x:v>
      </x:c>
      <x:c r="G158" s="24" t="str">
        <x:v>가솔린 3.0</x:v>
      </x:c>
      <x:c r="H158" s="24" t="str">
        <x:v>가솔린</x:v>
      </x:c>
      <x:c r="I158" s="31" t="n">
        <x:v>2997</x:v>
      </x:c>
      <x:c r="J158" s="31" t="n">
        <x:v>2017</x:v>
      </x:c>
      <x:c r="K158" s="24" t="str">
        <x:v>WP1AG295XHLB81076</x:v>
      </x:c>
      <x:c r="L158" s="24" t="str">
        <x:v>김포</x:v>
      </x:c>
      <x:c r="M158" s="30" t="n">
        <x:v>42612</x:v>
      </x:c>
      <x:c r="N158" s="31"/>
      <x:c r="O158" s="30" t="n">
        <x:v>45271</x:v>
      </x:c>
      <x:c r="P158" s="32" t="n">
        <x:v>99400000</x:v>
      </x:c>
      <x:c r="Q158" s="32" t="n">
        <x:v>55440000</x:v>
      </x:c>
      <x:c r="R158" s="32" t="n">
        <x:v>55440000</x:v>
      </x:c>
      <x:c r="S158" s="24" t="str">
        <x:v>중고</x:v>
      </x:c>
      <x:c r="T158" s="32"/>
      <x:c r="U158" s="32" t="n">
        <x:v>60006710</x:v>
      </x:c>
      <x:c r="V158" s="24" t="str">
        <x:v>할부</x:v>
      </x:c>
      <x:c r="W158" s="24" t="str">
        <x:v>한국금융자산대부㈜</x:v>
      </x:c>
      <x:c r="X158" s="32" t="n">
        <x:v>73106396</x:v>
      </x:c>
      <x:c r="Y158" s="33" t="n">
        <x:v>0.17</x:v>
      </x:c>
      <x:c r="Z158" s="31" t="n">
        <x:v>48</x:v>
      </x:c>
      <x:c r="AA158" s="24" t="str">
        <x:v>10일</x:v>
      </x:c>
      <x:c r="AB158" s="30" t="n">
        <x:v>45301</x:v>
      </x:c>
      <x:c r="AC158" s="30" t="n">
        <x:v>46731</x:v>
      </x:c>
      <x:c r="AD158" s="32"/>
      <x:c r="AE158" s="32" t="n">
        <x:v>25165757</x:v>
      </x:c>
      <x:c r="AF158" s="24" t="str"/>
      <x:c r="AG158" s="24" t="str"/>
      <x:c r="AH158" s="30" t="n">
        <x:v>46008</x:v>
      </x:c>
      <x:c r="AI158" s="24" t="str">
        <x:v>주식회사 손오공</x:v>
      </x:c>
      <x:c r="AJ158" s="24" t="str"/>
      <x:c r="AK158" s="32" t="n">
        <x:v>36500000</x:v>
      </x:c>
      <x:c r="AL158" s="32"/>
      <x:c r="AM158" s="24" t="str">
        <x:v>홈택스 매출세금계산서 · 차량매각[26부0281]</x:v>
      </x:c>
      <x:c r="AN158" s="31" t="n">
        <x:v>159</x:v>
      </x:c>
    </x:row>
    <x:row r="159" ht="17.25" customHeight="1">
      <x:c r="A159" s="24" t="str">
        <x:v>스위치플랜</x:v>
      </x:c>
      <x:c r="B159" s="24" t="str">
        <x:v>08루7297</x:v>
      </x:c>
      <x:c r="C159" s="24" t="str">
        <x:v>매각</x:v>
      </x:c>
      <x:c r="D159" s="24" t="str">
        <x:v>BMW</x:v>
      </x:c>
      <x:c r="E159" s="24" t="str">
        <x:v>5시리즈</x:v>
      </x:c>
      <x:c r="F159" s="24" t="str">
        <x:v>5시리즈 G30</x:v>
      </x:c>
      <x:c r="G159" s="24" t="str">
        <x:v>디젤 2.0 xDrive</x:v>
      </x:c>
      <x:c r="H159" s="24" t="str">
        <x:v>디젤</x:v>
      </x:c>
      <x:c r="I159" s="31" t="n">
        <x:v>1995</x:v>
      </x:c>
      <x:c r="J159" s="31" t="n">
        <x:v>2018</x:v>
      </x:c>
      <x:c r="K159" s="24" t="str">
        <x:v>WBAJC3103JWB80553</x:v>
      </x:c>
      <x:c r="L159" s="24" t="str">
        <x:v>김포</x:v>
      </x:c>
      <x:c r="M159" s="30" t="n">
        <x:v>43217</x:v>
      </x:c>
      <x:c r="N159" s="31"/>
      <x:c r="O159" s="30" t="n">
        <x:v>45289</x:v>
      </x:c>
      <x:c r="P159" s="32" t="n">
        <x:v>63300000</x:v>
      </x:c>
      <x:c r="Q159" s="32" t="n">
        <x:v>26000000</x:v>
      </x:c>
      <x:c r="R159" s="32"/>
      <x:c r="S159" s="24" t="str">
        <x:v>중고</x:v>
      </x:c>
      <x:c r="T159" s="32"/>
      <x:c r="U159" s="32"/>
      <x:c r="V159" s="24" t="str">
        <x:v>할부</x:v>
      </x:c>
      <x:c r="W159" s="24" t="str">
        <x:v>KB캐피탈</x:v>
      </x:c>
      <x:c r="X159" s="32" t="n">
        <x:v>26000000</x:v>
      </x:c>
      <x:c r="Y159" s="33" t="n">
        <x:v>0.08</x:v>
      </x:c>
      <x:c r="Z159" s="31" t="n">
        <x:v>36</x:v>
      </x:c>
      <x:c r="AA159" s="24" t="str">
        <x:v>20일</x:v>
      </x:c>
      <x:c r="AB159" s="30" t="n">
        <x:v>45311</x:v>
      </x:c>
      <x:c r="AC159" s="30" t="n">
        <x:v>46376</x:v>
      </x:c>
      <x:c r="AD159" s="32" t="n">
        <x:v>808761</x:v>
      </x:c>
      <x:c r="AE159" s="32" t="n">
        <x:v>0</x:v>
      </x:c>
      <x:c r="AF159" s="24" t="str"/>
      <x:c r="AG159" s="24" t="str"/>
      <x:c r="AH159" s="30" t="n">
        <x:v>46008</x:v>
      </x:c>
      <x:c r="AI159" s="24" t="str">
        <x:v>주식회사 손오공</x:v>
      </x:c>
      <x:c r="AJ159" s="24" t="str"/>
      <x:c r="AK159" s="32" t="n">
        <x:v>17600000</x:v>
      </x:c>
      <x:c r="AL159" s="32"/>
      <x:c r="AM159" s="24" t="str">
        <x:v>홈택스 매출세금계산서 · 차량매각[08루7297]</x:v>
      </x:c>
      <x:c r="AN159" s="31" t="n">
        <x:v>160</x:v>
      </x:c>
    </x:row>
    <x:row r="160" ht="17.25" customHeight="1">
      <x:c r="A160" s="24" t="str">
        <x:v>스위치플랜</x:v>
      </x:c>
      <x:c r="B160" s="24" t="str">
        <x:v>85로2308</x:v>
      </x:c>
      <x:c r="C160" s="24" t="str">
        <x:v>매각</x:v>
      </x:c>
      <x:c r="D160" s="24" t="str">
        <x:v>현대</x:v>
      </x:c>
      <x:c r="E160" s="24" t="str">
        <x:v>포터</x:v>
      </x:c>
      <x:c r="F160" s="24" t="str">
        <x:v>포터 II</x:v>
      </x:c>
      <x:c r="G160" s="24" t="str">
        <x:v>디젤 2.5</x:v>
      </x:c>
      <x:c r="H160" s="24" t="str">
        <x:v>디젤</x:v>
      </x:c>
      <x:c r="I160" s="31" t="n">
        <x:v>2497</x:v>
      </x:c>
      <x:c r="J160" s="31" t="n">
        <x:v>2019</x:v>
      </x:c>
      <x:c r="K160" s="24" t="str">
        <x:v>KMFZBZ7KCKU622255</x:v>
      </x:c>
      <x:c r="L160" s="24" t="str">
        <x:v>김포</x:v>
      </x:c>
      <x:c r="M160" s="30" t="n">
        <x:v>43412</x:v>
      </x:c>
      <x:c r="N160" s="31"/>
      <x:c r="O160" s="30" t="n">
        <x:v>45308</x:v>
      </x:c>
      <x:c r="P160" s="32" t="n">
        <x:v>18840000</x:v>
      </x:c>
      <x:c r="Q160" s="32" t="n">
        <x:v>15222280</x:v>
      </x:c>
      <x:c r="R160" s="32" t="n">
        <x:v>15222280</x:v>
      </x:c>
      <x:c r="S160" s="24" t="str">
        <x:v>중고</x:v>
      </x:c>
      <x:c r="T160" s="32"/>
      <x:c r="U160" s="32" t="n">
        <x:v>16524560</x:v>
      </x:c>
      <x:c r="V160" s="24" t="str">
        <x:v>할부</x:v>
      </x:c>
      <x:c r="W160" s="24" t="str">
        <x:v>KB캐피탈</x:v>
      </x:c>
      <x:c r="X160" s="32" t="n">
        <x:v>11500000</x:v>
      </x:c>
      <x:c r="Y160" s="33" t="n">
        <x:v>0.08</x:v>
      </x:c>
      <x:c r="Z160" s="31" t="n">
        <x:v>36</x:v>
      </x:c>
      <x:c r="AA160" s="24" t="str">
        <x:v>20일</x:v>
      </x:c>
      <x:c r="AB160" s="30" t="n">
        <x:v>45342</x:v>
      </x:c>
      <x:c r="AC160" s="30" t="n">
        <x:v>46407</x:v>
      </x:c>
      <x:c r="AD160" s="32" t="n">
        <x:v>357721</x:v>
      </x:c>
      <x:c r="AE160" s="32" t="n">
        <x:v>0</x:v>
      </x:c>
      <x:c r="AF160" s="24" t="str"/>
      <x:c r="AG160" s="24" t="str"/>
      <x:c r="AH160" s="30" t="n">
        <x:v>46008</x:v>
      </x:c>
      <x:c r="AI160" s="24" t="str">
        <x:v>주식회사 손오공</x:v>
      </x:c>
      <x:c r="AJ160" s="24" t="str"/>
      <x:c r="AK160" s="32" t="n">
        <x:v>7680000</x:v>
      </x:c>
      <x:c r="AL160" s="32"/>
      <x:c r="AM160" s="24" t="str">
        <x:v>홈택스 매출세금계산서 · 차량매각[85로2308]</x:v>
      </x:c>
      <x:c r="AN160" s="31" t="n">
        <x:v>161</x:v>
      </x:c>
    </x:row>
    <x:row r="161" ht="17.25" customHeight="1">
      <x:c r="A161" s="24" t="str">
        <x:v>스위치플랜</x:v>
      </x:c>
      <x:c r="B161" s="24" t="str">
        <x:v>806머7753</x:v>
      </x:c>
      <x:c r="C161" s="24" t="str">
        <x:v>매각</x:v>
      </x:c>
      <x:c r="D161" s="24" t="str">
        <x:v>KG모빌리티</x:v>
      </x:c>
      <x:c r="E161" s="24" t="str">
        <x:v>렉스턴</x:v>
      </x:c>
      <x:c r="F161" s="24" t="str">
        <x:v>더 뉴 렉스턴 스포츠 칸 Q251/Q261</x:v>
      </x:c>
      <x:c r="G161" s="24" t="str">
        <x:v>디젤 2.2</x:v>
      </x:c>
      <x:c r="H161" s="24" t="str">
        <x:v>디젤</x:v>
      </x:c>
      <x:c r="I161" s="31" t="n">
        <x:v>2157</x:v>
      </x:c>
      <x:c r="J161" s="31" t="n">
        <x:v>2022</x:v>
      </x:c>
      <x:c r="K161" s="24" t="str">
        <x:v>KPADM4AE1NP185711</x:v>
      </x:c>
      <x:c r="L161" s="24" t="str">
        <x:v>김포</x:v>
      </x:c>
      <x:c r="M161" s="30" t="n">
        <x:v>44782</x:v>
      </x:c>
      <x:c r="N161" s="31"/>
      <x:c r="O161" s="30" t="n">
        <x:v>45398</x:v>
      </x:c>
      <x:c r="P161" s="32"/>
      <x:c r="Q161" s="32" t="n">
        <x:v>35700000</x:v>
      </x:c>
      <x:c r="R161" s="32" t="n">
        <x:v>36180700</x:v>
      </x:c>
      <x:c r="S161" s="24" t="str">
        <x:v>중고</x:v>
      </x:c>
      <x:c r="T161" s="32"/>
      <x:c r="U161" s="32" t="n">
        <x:v>38803400</x:v>
      </x:c>
      <x:c r="V161" s="24" t="str">
        <x:v>할부</x:v>
      </x:c>
      <x:c r="W161" s="24" t="str">
        <x:v>한국금융자산대부㈜</x:v>
      </x:c>
      <x:c r="X161" s="32" t="n">
        <x:v>41814589</x:v>
      </x:c>
      <x:c r="Y161" s="33" t="n">
        <x:v>0.17</x:v>
      </x:c>
      <x:c r="Z161" s="31" t="n">
        <x:v>48</x:v>
      </x:c>
      <x:c r="AA161" s="24" t="str">
        <x:v>10일</x:v>
      </x:c>
      <x:c r="AB161" s="30" t="n">
        <x:v>45422</x:v>
      </x:c>
      <x:c r="AC161" s="30" t="n">
        <x:v>46853</x:v>
      </x:c>
      <x:c r="AD161" s="32"/>
      <x:c r="AE161" s="32" t="n">
        <x:v>21595635</x:v>
      </x:c>
      <x:c r="AF161" s="24" t="str"/>
      <x:c r="AG161" s="24" t="str"/>
      <x:c r="AH161" s="30" t="n">
        <x:v>46008</x:v>
      </x:c>
      <x:c r="AI161" s="24" t="str">
        <x:v>주식회사 손오공</x:v>
      </x:c>
      <x:c r="AJ161" s="24" t="str"/>
      <x:c r="AK161" s="32" t="n">
        <x:v>22500000</x:v>
      </x:c>
      <x:c r="AL161" s="32"/>
      <x:c r="AM161" s="24" t="str">
        <x:v>홈택스 매출세금계산서 · 차량매각[806머7753]</x:v>
      </x:c>
      <x:c r="AN161" s="31" t="n">
        <x:v>162</x:v>
      </x:c>
    </x:row>
    <x:row r="162" ht="17.25" customHeight="1">
      <x:c r="A162" s="24" t="str">
        <x:v>스위치플랜</x:v>
      </x:c>
      <x:c r="B162" s="24" t="str">
        <x:v>397주6617</x:v>
      </x:c>
      <x:c r="C162" s="24" t="str">
        <x:v>매각</x:v>
      </x:c>
      <x:c r="D162" s="24" t="str">
        <x:v>마세라티</x:v>
      </x:c>
      <x:c r="E162" s="24" t="str">
        <x:v>기블리</x:v>
      </x:c>
      <x:c r="F162" s="24" t="str">
        <x:v>기블리</x:v>
      </x:c>
      <x:c r="G162" s="24" t="str">
        <x:v>디젤 3.0</x:v>
      </x:c>
      <x:c r="H162" s="24" t="str">
        <x:v>디젤</x:v>
      </x:c>
      <x:c r="I162" s="31" t="n">
        <x:v>2987</x:v>
      </x:c>
      <x:c r="J162" s="31" t="n">
        <x:v>2016</x:v>
      </x:c>
      <x:c r="K162" s="24" t="str">
        <x:v>ZAM57TSA8G1187514</x:v>
      </x:c>
      <x:c r="L162" s="24" t="str">
        <x:v>김포</x:v>
      </x:c>
      <x:c r="M162" s="30" t="n">
        <x:v>42654</x:v>
      </x:c>
      <x:c r="N162" s="31"/>
      <x:c r="O162" s="30" t="n">
        <x:v>45450</x:v>
      </x:c>
      <x:c r="P162" s="32" t="n">
        <x:v>110200000</x:v>
      </x:c>
      <x:c r="Q162" s="32" t="n">
        <x:v>22000000</x:v>
      </x:c>
      <x:c r="R162" s="32" t="n">
        <x:v>22440000</x:v>
      </x:c>
      <x:c r="S162" s="24" t="str">
        <x:v>중고</x:v>
      </x:c>
      <x:c r="T162" s="32"/>
      <x:c r="U162" s="32" t="n">
        <x:v>25091498</x:v>
      </x:c>
      <x:c r="V162" s="24" t="str">
        <x:v>할부</x:v>
      </x:c>
      <x:c r="W162" s="24" t="str">
        <x:v>한국금융자산대부㈜</x:v>
      </x:c>
      <x:c r="X162" s="32" t="n">
        <x:v>24130997</x:v>
      </x:c>
      <x:c r="Y162" s="33" t="n">
        <x:v>0.17</x:v>
      </x:c>
      <x:c r="Z162" s="31" t="n">
        <x:v>48</x:v>
      </x:c>
      <x:c r="AA162" s="24" t="str">
        <x:v>10일</x:v>
      </x:c>
      <x:c r="AB162" s="30" t="n">
        <x:v>45483</x:v>
      </x:c>
      <x:c r="AC162" s="30" t="n">
        <x:v>46914</x:v>
      </x:c>
      <x:c r="AD162" s="32"/>
      <x:c r="AE162" s="32" t="n">
        <x:v>23101101</x:v>
      </x:c>
      <x:c r="AF162" s="24" t="str"/>
      <x:c r="AG162" s="24" t="str"/>
      <x:c r="AH162" s="30" t="n">
        <x:v>45953</x:v>
      </x:c>
      <x:c r="AI162" s="24" t="str">
        <x:v>주식회사 케이카익스포트</x:v>
      </x:c>
      <x:c r="AJ162" s="24" t="str">
        <x:v>딜러</x:v>
      </x:c>
      <x:c r="AK162" s="32" t="n">
        <x:v>14700000</x:v>
      </x:c>
      <x:c r="AL162" s="32"/>
      <x:c r="AM162" s="24" t="str">
        <x:v>홈택스 매출세금계산서 · [차량매각] 397주6617</x:v>
      </x:c>
      <x:c r="AN162" s="31" t="n">
        <x:v>163</x:v>
      </x:c>
    </x:row>
    <x:row r="163" ht="17.25" customHeight="1">
      <x:c r="A163" s="24" t="str">
        <x:v>프라임구독</x:v>
      </x:c>
      <x:c r="B163" s="24" t="str">
        <x:v>01도2340</x:v>
      </x:c>
      <x:c r="C163" s="24" t="str">
        <x:v>보유</x:v>
      </x:c>
      <x:c r="D163" s="24" t="str">
        <x:v>KGM</x:v>
      </x:c>
      <x:c r="E163" s="24" t="str">
        <x:v>티볼리</x:v>
      </x:c>
      <x:c r="F163" s="24" t="str"/>
      <x:c r="G163" s="24" t="str">
        <x:v>디젤 1.6 2WD</x:v>
      </x:c>
      <x:c r="H163" s="24" t="str">
        <x:v>디젤</x:v>
      </x:c>
      <x:c r="I163" s="31" t="n">
        <x:v>1597</x:v>
      </x:c>
      <x:c r="J163" s="31" t="n">
        <x:v>2017</x:v>
      </x:c>
      <x:c r="K163" s="24" t="str">
        <x:v>KPBXH3AP1HP185039</x:v>
      </x:c>
      <x:c r="L163" s="24" t="str"/>
      <x:c r="M163" s="30" t="n">
        <x:v>42912</x:v>
      </x:c>
      <x:c r="N163" s="31"/>
      <x:c r="O163" s="30"/>
      <x:c r="P163" s="32"/>
      <x:c r="Q163" s="32"/>
      <x:c r="R163" s="32"/>
      <x:c r="S163" s="24" t="str"/>
      <x:c r="T163" s="32"/>
      <x:c r="U163" s="32"/>
      <x:c r="V163" s="24" t="str"/>
      <x:c r="W163" s="24" t="str"/>
      <x:c r="X163" s="32"/>
      <x:c r="Y163" s="33"/>
      <x:c r="Z163" s="31"/>
      <x:c r="AA163" s="24" t="str"/>
      <x:c r="AB163" s="30"/>
      <x:c r="AC163" s="30"/>
      <x:c r="AD163" s="32"/>
      <x:c r="AE163" s="32"/>
      <x:c r="AF163" s="24" t="str"/>
      <x:c r="AG163" s="24" t="str"/>
      <x:c r="AH163" s="30"/>
      <x:c r="AI163" s="24" t="str"/>
      <x:c r="AJ163" s="24" t="str"/>
      <x:c r="AK163" s="32"/>
      <x:c r="AL163" s="32"/>
      <x:c r="AM163" s="24" t="str"/>
      <x:c r="AN163" s="31" t="n">
        <x:v>3</x:v>
      </x:c>
    </x:row>
    <x:row r="164" ht="17.25" customHeight="1">
      <x:c r="A164" s="24" t="str">
        <x:v>프라임구독</x:v>
      </x:c>
      <x:c r="B164" s="24" t="str">
        <x:v>01두1601</x:v>
      </x:c>
      <x:c r="C164" s="24" t="str">
        <x:v>보유</x:v>
      </x:c>
      <x:c r="D164" s="24" t="str">
        <x:v>기아</x:v>
      </x:c>
      <x:c r="E164" s="24" t="str">
        <x:v>K5</x:v>
      </x:c>
      <x:c r="F164" s="24" t="str"/>
      <x:c r="G164" s="24" t="str">
        <x:v>가솔린 2.0</x:v>
      </x:c>
      <x:c r="H164" s="24" t="str">
        <x:v>가솔린</x:v>
      </x:c>
      <x:c r="I164" s="31" t="n">
        <x:v>1998</x:v>
      </x:c>
      <x:c r="J164" s="31" t="n">
        <x:v>2017</x:v>
      </x:c>
      <x:c r="K164" s="24" t="str">
        <x:v>KNAGW412BHA160788</x:v>
      </x:c>
      <x:c r="L164" s="24" t="str"/>
      <x:c r="M164" s="30" t="n">
        <x:v>42786</x:v>
      </x:c>
      <x:c r="N164" s="31"/>
      <x:c r="O164" s="30"/>
      <x:c r="P164" s="32"/>
      <x:c r="Q164" s="32"/>
      <x:c r="R164" s="32"/>
      <x:c r="S164" s="24" t="str"/>
      <x:c r="T164" s="32"/>
      <x:c r="U164" s="32"/>
      <x:c r="V164" s="24" t="str"/>
      <x:c r="W164" s="24" t="str"/>
      <x:c r="X164" s="32"/>
      <x:c r="Y164" s="33"/>
      <x:c r="Z164" s="31"/>
      <x:c r="AA164" s="24" t="str"/>
      <x:c r="AB164" s="30"/>
      <x:c r="AC164" s="30"/>
      <x:c r="AD164" s="32"/>
      <x:c r="AE164" s="32"/>
      <x:c r="AF164" s="24" t="str"/>
      <x:c r="AG164" s="24" t="str"/>
      <x:c r="AH164" s="30"/>
      <x:c r="AI164" s="24" t="str"/>
      <x:c r="AJ164" s="24" t="str"/>
      <x:c r="AK164" s="32"/>
      <x:c r="AL164" s="32"/>
      <x:c r="AM164" s="24" t="str"/>
      <x:c r="AN164" s="31" t="n">
        <x:v>4</x:v>
      </x:c>
    </x:row>
    <x:row r="165" ht="17.25" customHeight="1">
      <x:c r="A165" s="24" t="str">
        <x:v>프라임구독</x:v>
      </x:c>
      <x:c r="B165" s="24" t="str">
        <x:v>01무1615</x:v>
      </x:c>
      <x:c r="C165" s="24" t="str">
        <x:v>보유</x:v>
      </x:c>
      <x:c r="D165" s="24" t="str">
        <x:v>기아</x:v>
      </x:c>
      <x:c r="E165" s="24" t="str">
        <x:v>스포티지</x:v>
      </x:c>
      <x:c r="F165" s="24" t="str"/>
      <x:c r="G165" s="24" t="str">
        <x:v>디젤 2.0 2WD</x:v>
      </x:c>
      <x:c r="H165" s="24" t="str">
        <x:v>디젤</x:v>
      </x:c>
      <x:c r="I165" s="31" t="n">
        <x:v>1995</x:v>
      </x:c>
      <x:c r="J165" s="31" t="n">
        <x:v>2018</x:v>
      </x:c>
      <x:c r="K165" s="24" t="str">
        <x:v>KNAPN813BJK387328</x:v>
      </x:c>
      <x:c r="L165" s="24" t="str"/>
      <x:c r="M165" s="30" t="n">
        <x:v>43026</x:v>
      </x:c>
      <x:c r="N165" s="31"/>
      <x:c r="O165" s="30"/>
      <x:c r="P165" s="32"/>
      <x:c r="Q165" s="32"/>
      <x:c r="R165" s="32"/>
      <x:c r="S165" s="24" t="str"/>
      <x:c r="T165" s="32"/>
      <x:c r="U165" s="32"/>
      <x:c r="V165" s="24" t="str"/>
      <x:c r="W165" s="24" t="str"/>
      <x:c r="X165" s="32"/>
      <x:c r="Y165" s="33"/>
      <x:c r="Z165" s="31"/>
      <x:c r="AA165" s="24" t="str"/>
      <x:c r="AB165" s="30"/>
      <x:c r="AC165" s="30"/>
      <x:c r="AD165" s="32"/>
      <x:c r="AE165" s="32"/>
      <x:c r="AF165" s="24" t="str"/>
      <x:c r="AG165" s="24" t="str"/>
      <x:c r="AH165" s="30"/>
      <x:c r="AI165" s="24" t="str"/>
      <x:c r="AJ165" s="24" t="str"/>
      <x:c r="AK165" s="32"/>
      <x:c r="AL165" s="32"/>
      <x:c r="AM165" s="24" t="str"/>
      <x:c r="AN165" s="31" t="n">
        <x:v>5</x:v>
      </x:c>
    </x:row>
    <x:row r="166" ht="17.25" customHeight="1">
      <x:c r="A166" s="24" t="str">
        <x:v>프라임구독</x:v>
      </x:c>
      <x:c r="B166" s="24" t="str">
        <x:v>01부3634</x:v>
      </x:c>
      <x:c r="C166" s="24" t="str">
        <x:v>보유</x:v>
      </x:c>
      <x:c r="D166" s="24" t="str">
        <x:v>현대</x:v>
      </x:c>
      <x:c r="E166" s="24" t="str">
        <x:v>그랜저</x:v>
      </x:c>
      <x:c r="F166" s="24" t="str"/>
      <x:c r="G166" s="24" t="str">
        <x:v>디젤 2.2</x:v>
      </x:c>
      <x:c r="H166" s="24" t="str">
        <x:v>디젤</x:v>
      </x:c>
      <x:c r="I166" s="31" t="n">
        <x:v>2199</x:v>
      </x:c>
      <x:c r="J166" s="31" t="n">
        <x:v>2015</x:v>
      </x:c>
      <x:c r="K166" s="24" t="str">
        <x:v>KMHFF41RBFA431007</x:v>
      </x:c>
      <x:c r="L166" s="24" t="str"/>
      <x:c r="M166" s="30" t="n">
        <x:v>41925</x:v>
      </x:c>
      <x:c r="N166" s="31"/>
      <x:c r="O166" s="30"/>
      <x:c r="P166" s="32"/>
      <x:c r="Q166" s="32"/>
      <x:c r="R166" s="32"/>
      <x:c r="S166" s="24" t="str"/>
      <x:c r="T166" s="32"/>
      <x:c r="U166" s="32"/>
      <x:c r="V166" s="24" t="str"/>
      <x:c r="W166" s="24" t="str"/>
      <x:c r="X166" s="32"/>
      <x:c r="Y166" s="33"/>
      <x:c r="Z166" s="31"/>
      <x:c r="AA166" s="24" t="str"/>
      <x:c r="AB166" s="30"/>
      <x:c r="AC166" s="30"/>
      <x:c r="AD166" s="32"/>
      <x:c r="AE166" s="32"/>
      <x:c r="AF166" s="24" t="str"/>
      <x:c r="AG166" s="24" t="str"/>
      <x:c r="AH166" s="30"/>
      <x:c r="AI166" s="24" t="str"/>
      <x:c r="AJ166" s="24" t="str"/>
      <x:c r="AK166" s="32"/>
      <x:c r="AL166" s="32"/>
      <x:c r="AM166" s="24" t="str"/>
      <x:c r="AN166" s="31" t="n">
        <x:v>6</x:v>
      </x:c>
    </x:row>
    <x:row r="167" ht="17.25" customHeight="1">
      <x:c r="A167" s="24" t="str">
        <x:v>프라임구독</x:v>
      </x:c>
      <x:c r="B167" s="24" t="str">
        <x:v>02노0857</x:v>
      </x:c>
      <x:c r="C167" s="24" t="str">
        <x:v>보유</x:v>
      </x:c>
      <x:c r="D167" s="24" t="str">
        <x:v>르노</x:v>
      </x:c>
      <x:c r="E167" s="24" t="str">
        <x:v>SM7</x:v>
      </x:c>
      <x:c r="F167" s="24" t="str"/>
      <x:c r="G167" s="24" t="str">
        <x:v>가솔린 2.5</x:v>
      </x:c>
      <x:c r="H167" s="24" t="str">
        <x:v>가솔린</x:v>
      </x:c>
      <x:c r="I167" s="31" t="n">
        <x:v>2495</x:v>
      </x:c>
      <x:c r="J167" s="31" t="n">
        <x:v>2016</x:v>
      </x:c>
      <x:c r="K167" s="24" t="str">
        <x:v>KNMG4D2EMGP022909</x:v>
      </x:c>
      <x:c r="L167" s="24" t="str"/>
      <x:c r="M167" s="30" t="n">
        <x:v>42377</x:v>
      </x:c>
      <x:c r="N167" s="31"/>
      <x:c r="O167" s="30"/>
      <x:c r="P167" s="32"/>
      <x:c r="Q167" s="32"/>
      <x:c r="R167" s="32"/>
      <x:c r="S167" s="24" t="str"/>
      <x:c r="T167" s="32"/>
      <x:c r="U167" s="32"/>
      <x:c r="V167" s="24" t="str"/>
      <x:c r="W167" s="24" t="str"/>
      <x:c r="X167" s="32"/>
      <x:c r="Y167" s="33"/>
      <x:c r="Z167" s="31"/>
      <x:c r="AA167" s="24" t="str"/>
      <x:c r="AB167" s="30"/>
      <x:c r="AC167" s="30"/>
      <x:c r="AD167" s="32"/>
      <x:c r="AE167" s="32"/>
      <x:c r="AF167" s="24" t="str"/>
      <x:c r="AG167" s="24" t="str"/>
      <x:c r="AH167" s="30"/>
      <x:c r="AI167" s="24" t="str"/>
      <x:c r="AJ167" s="24" t="str"/>
      <x:c r="AK167" s="32"/>
      <x:c r="AL167" s="32"/>
      <x:c r="AM167" s="24" t="str"/>
      <x:c r="AN167" s="31" t="n">
        <x:v>7</x:v>
      </x:c>
    </x:row>
    <x:row r="168" ht="17.25" customHeight="1">
      <x:c r="A168" s="24" t="str">
        <x:v>프라임구독</x:v>
      </x:c>
      <x:c r="B168" s="24" t="str">
        <x:v>02어5437</x:v>
      </x:c>
      <x:c r="C168" s="24" t="str">
        <x:v>보유</x:v>
      </x:c>
      <x:c r="D168" s="24" t="str">
        <x:v>기아</x:v>
      </x:c>
      <x:c r="E168" s="24" t="str">
        <x:v>K7</x:v>
      </x:c>
      <x:c r="F168" s="24" t="str"/>
      <x:c r="G168" s="24" t="str">
        <x:v>가솔린 2.4</x:v>
      </x:c>
      <x:c r="H168" s="24" t="str">
        <x:v>가솔린</x:v>
      </x:c>
      <x:c r="I168" s="31" t="n">
        <x:v>2359</x:v>
      </x:c>
      <x:c r="J168" s="31" t="n">
        <x:v>2013</x:v>
      </x:c>
      <x:c r="K168" s="24" t="str">
        <x:v>KNALL415BDA109459</x:v>
      </x:c>
      <x:c r="L168" s="24" t="str"/>
      <x:c r="M168" s="30" t="n">
        <x:v>41263</x:v>
      </x:c>
      <x:c r="N168" s="31"/>
      <x:c r="O168" s="30"/>
      <x:c r="P168" s="32"/>
      <x:c r="Q168" s="32"/>
      <x:c r="R168" s="32"/>
      <x:c r="S168" s="24" t="str"/>
      <x:c r="T168" s="32"/>
      <x:c r="U168" s="32"/>
      <x:c r="V168" s="24" t="str"/>
      <x:c r="W168" s="24" t="str"/>
      <x:c r="X168" s="32"/>
      <x:c r="Y168" s="33"/>
      <x:c r="Z168" s="31"/>
      <x:c r="AA168" s="24" t="str"/>
      <x:c r="AB168" s="30"/>
      <x:c r="AC168" s="30"/>
      <x:c r="AD168" s="32"/>
      <x:c r="AE168" s="32"/>
      <x:c r="AF168" s="24" t="str"/>
      <x:c r="AG168" s="24" t="str"/>
      <x:c r="AH168" s="30"/>
      <x:c r="AI168" s="24" t="str"/>
      <x:c r="AJ168" s="24" t="str"/>
      <x:c r="AK168" s="32"/>
      <x:c r="AL168" s="32"/>
      <x:c r="AM168" s="24" t="str"/>
      <x:c r="AN168" s="31" t="n">
        <x:v>8</x:v>
      </x:c>
    </x:row>
    <x:row r="169" ht="17.25" customHeight="1">
      <x:c r="A169" s="24" t="str">
        <x:v>프라임구독</x:v>
      </x:c>
      <x:c r="B169" s="24" t="str">
        <x:v>03거6049</x:v>
      </x:c>
      <x:c r="C169" s="24" t="str">
        <x:v>보유</x:v>
      </x:c>
      <x:c r="D169" s="24" t="str">
        <x:v>기아</x:v>
      </x:c>
      <x:c r="E169" s="24" t="str">
        <x:v>K5</x:v>
      </x:c>
      <x:c r="F169" s="24" t="str"/>
      <x:c r="G169" s="24" t="str">
        <x:v>LPG 2.0</x:v>
      </x:c>
      <x:c r="H169" s="24" t="str">
        <x:v>LPG</x:v>
      </x:c>
      <x:c r="I169" s="31" t="n">
        <x:v>1999</x:v>
      </x:c>
      <x:c r="J169" s="31" t="n">
        <x:v>2016</x:v>
      </x:c>
      <x:c r="K169" s="24" t="str">
        <x:v>KNAGS416BGA082164</x:v>
      </x:c>
      <x:c r="L169" s="24" t="str"/>
      <x:c r="M169" s="30" t="n">
        <x:v>42474</x:v>
      </x:c>
      <x:c r="N169" s="31"/>
      <x:c r="O169" s="30"/>
      <x:c r="P169" s="32"/>
      <x:c r="Q169" s="32"/>
      <x:c r="R169" s="32"/>
      <x:c r="S169" s="24" t="str"/>
      <x:c r="T169" s="32"/>
      <x:c r="U169" s="32"/>
      <x:c r="V169" s="24" t="str"/>
      <x:c r="W169" s="24" t="str"/>
      <x:c r="X169" s="32"/>
      <x:c r="Y169" s="33"/>
      <x:c r="Z169" s="31"/>
      <x:c r="AA169" s="24" t="str"/>
      <x:c r="AB169" s="30"/>
      <x:c r="AC169" s="30"/>
      <x:c r="AD169" s="32"/>
      <x:c r="AE169" s="32"/>
      <x:c r="AF169" s="24" t="str"/>
      <x:c r="AG169" s="24" t="str"/>
      <x:c r="AH169" s="30"/>
      <x:c r="AI169" s="24" t="str"/>
      <x:c r="AJ169" s="24" t="str"/>
      <x:c r="AK169" s="32"/>
      <x:c r="AL169" s="32"/>
      <x:c r="AM169" s="24" t="str"/>
      <x:c r="AN169" s="31" t="n">
        <x:v>9</x:v>
      </x:c>
    </x:row>
    <x:row r="170" ht="17.25" customHeight="1">
      <x:c r="A170" s="24" t="str">
        <x:v>프라임구독</x:v>
      </x:c>
      <x:c r="B170" s="24" t="str">
        <x:v>03고7687</x:v>
      </x:c>
      <x:c r="C170" s="24" t="str">
        <x:v>보유</x:v>
      </x:c>
      <x:c r="D170" s="24" t="str">
        <x:v>제네시스</x:v>
      </x:c>
      <x:c r="E170" s="24" t="str">
        <x:v>G70</x:v>
      </x:c>
      <x:c r="F170" s="24" t="str"/>
      <x:c r="G170" s="24" t="str">
        <x:v>가솔린 3.3 2WD</x:v>
      </x:c>
      <x:c r="H170" s="24" t="str">
        <x:v>가솔린</x:v>
      </x:c>
      <x:c r="I170" s="31" t="n">
        <x:v>3342</x:v>
      </x:c>
      <x:c r="J170" s="31" t="n">
        <x:v>2019</x:v>
      </x:c>
      <x:c r="K170" s="24" t="str">
        <x:v>KMTG541EDKU038048</x:v>
      </x:c>
      <x:c r="L170" s="24" t="str"/>
      <x:c r="M170" s="30" t="n">
        <x:v>43497</x:v>
      </x:c>
      <x:c r="N170" s="31"/>
      <x:c r="O170" s="30"/>
      <x:c r="P170" s="32"/>
      <x:c r="Q170" s="32"/>
      <x:c r="R170" s="32"/>
      <x:c r="S170" s="24" t="str"/>
      <x:c r="T170" s="32"/>
      <x:c r="U170" s="32"/>
      <x:c r="V170" s="24" t="str"/>
      <x:c r="W170" s="24" t="str"/>
      <x:c r="X170" s="32"/>
      <x:c r="Y170" s="33"/>
      <x:c r="Z170" s="31"/>
      <x:c r="AA170" s="24" t="str"/>
      <x:c r="AB170" s="30"/>
      <x:c r="AC170" s="30"/>
      <x:c r="AD170" s="32"/>
      <x:c r="AE170" s="32"/>
      <x:c r="AF170" s="24" t="str"/>
      <x:c r="AG170" s="24" t="str"/>
      <x:c r="AH170" s="30"/>
      <x:c r="AI170" s="24" t="str"/>
      <x:c r="AJ170" s="24" t="str"/>
      <x:c r="AK170" s="32"/>
      <x:c r="AL170" s="32"/>
      <x:c r="AM170" s="24" t="str"/>
      <x:c r="AN170" s="31" t="n">
        <x:v>10</x:v>
      </x:c>
    </x:row>
    <x:row r="171" ht="17.25" customHeight="1">
      <x:c r="A171" s="24" t="str">
        <x:v>프라임구독</x:v>
      </x:c>
      <x:c r="B171" s="24" t="str">
        <x:v>03러8697</x:v>
      </x:c>
      <x:c r="C171" s="24" t="str">
        <x:v>보유</x:v>
      </x:c>
      <x:c r="D171" s="24" t="str">
        <x:v>르노</x:v>
      </x:c>
      <x:c r="E171" s="24" t="str">
        <x:v>SM6</x:v>
      </x:c>
      <x:c r="F171" s="24" t="str"/>
      <x:c r="G171" s="24" t="str">
        <x:v>가솔린 2.0</x:v>
      </x:c>
      <x:c r="H171" s="24" t="str">
        <x:v>가솔린</x:v>
      </x:c>
      <x:c r="I171" s="31" t="n">
        <x:v>1997</x:v>
      </x:c>
      <x:c r="J171" s="31" t="n">
        <x:v>2017</x:v>
      </x:c>
      <x:c r="K171" s="24" t="str">
        <x:v>KNMA4C2BMHP058587</x:v>
      </x:c>
      <x:c r="L171" s="24" t="str"/>
      <x:c r="M171" s="30" t="n">
        <x:v>43220</x:v>
      </x:c>
      <x:c r="N171" s="31"/>
      <x:c r="O171" s="30"/>
      <x:c r="P171" s="32"/>
      <x:c r="Q171" s="32"/>
      <x:c r="R171" s="32"/>
      <x:c r="S171" s="24" t="str"/>
      <x:c r="T171" s="32"/>
      <x:c r="U171" s="32"/>
      <x:c r="V171" s="24" t="str"/>
      <x:c r="W171" s="24" t="str"/>
      <x:c r="X171" s="32"/>
      <x:c r="Y171" s="33"/>
      <x:c r="Z171" s="31"/>
      <x:c r="AA171" s="24" t="str"/>
      <x:c r="AB171" s="30"/>
      <x:c r="AC171" s="30"/>
      <x:c r="AD171" s="32"/>
      <x:c r="AE171" s="32"/>
      <x:c r="AF171" s="24" t="str"/>
      <x:c r="AG171" s="24" t="str"/>
      <x:c r="AH171" s="30"/>
      <x:c r="AI171" s="24" t="str"/>
      <x:c r="AJ171" s="24" t="str"/>
      <x:c r="AK171" s="32"/>
      <x:c r="AL171" s="32"/>
      <x:c r="AM171" s="24" t="str"/>
      <x:c r="AN171" s="31" t="n">
        <x:v>11</x:v>
      </x:c>
    </x:row>
    <x:row r="172" ht="17.25" customHeight="1">
      <x:c r="A172" s="24" t="str">
        <x:v>프라임구독</x:v>
      </x:c>
      <x:c r="B172" s="24" t="str">
        <x:v>04모0665</x:v>
      </x:c>
      <x:c r="C172" s="24" t="str">
        <x:v>보유</x:v>
      </x:c>
      <x:c r="D172" s="24" t="str">
        <x:v>기아</x:v>
      </x:c>
      <x:c r="E172" s="24" t="str">
        <x:v>K7</x:v>
      </x:c>
      <x:c r="F172" s="24" t="str"/>
      <x:c r="G172" s="24" t="str">
        <x:v>가솔린 2.4</x:v>
      </x:c>
      <x:c r="H172" s="24" t="str">
        <x:v>가솔린</x:v>
      </x:c>
      <x:c r="I172" s="31" t="n">
        <x:v>2359</x:v>
      </x:c>
      <x:c r="J172" s="31" t="n">
        <x:v>2012</x:v>
      </x:c>
      <x:c r="K172" s="24" t="str">
        <x:v>KNALM415BCA078150</x:v>
      </x:c>
      <x:c r="L172" s="24" t="str"/>
      <x:c r="M172" s="30" t="n">
        <x:v>40890</x:v>
      </x:c>
      <x:c r="N172" s="31"/>
      <x:c r="O172" s="30"/>
      <x:c r="P172" s="32"/>
      <x:c r="Q172" s="32"/>
      <x:c r="R172" s="32"/>
      <x:c r="S172" s="24" t="str"/>
      <x:c r="T172" s="32"/>
      <x:c r="U172" s="32"/>
      <x:c r="V172" s="24" t="str"/>
      <x:c r="W172" s="24" t="str"/>
      <x:c r="X172" s="32"/>
      <x:c r="Y172" s="33"/>
      <x:c r="Z172" s="31"/>
      <x:c r="AA172" s="24" t="str"/>
      <x:c r="AB172" s="30"/>
      <x:c r="AC172" s="30"/>
      <x:c r="AD172" s="32"/>
      <x:c r="AE172" s="32"/>
      <x:c r="AF172" s="24" t="str"/>
      <x:c r="AG172" s="24" t="str"/>
      <x:c r="AH172" s="30"/>
      <x:c r="AI172" s="24" t="str"/>
      <x:c r="AJ172" s="24" t="str"/>
      <x:c r="AK172" s="32"/>
      <x:c r="AL172" s="32"/>
      <x:c r="AM172" s="24" t="str"/>
      <x:c r="AN172" s="31" t="n">
        <x:v>12</x:v>
      </x:c>
    </x:row>
    <x:row r="173" ht="17.25" customHeight="1">
      <x:c r="A173" s="24" t="str">
        <x:v>프라임구독</x:v>
      </x:c>
      <x:c r="B173" s="24" t="str">
        <x:v>06오8368</x:v>
      </x:c>
      <x:c r="C173" s="24" t="str">
        <x:v>보유</x:v>
      </x:c>
      <x:c r="D173" s="24" t="str">
        <x:v>기아</x:v>
      </x:c>
      <x:c r="E173" s="24" t="str">
        <x:v>모하비</x:v>
      </x:c>
      <x:c r="F173" s="24" t="str"/>
      <x:c r="G173" s="24" t="str">
        <x:v>디젤 3.0 2WD</x:v>
      </x:c>
      <x:c r="H173" s="24" t="str">
        <x:v>디젤</x:v>
      </x:c>
      <x:c r="I173" s="31" t="n">
        <x:v>2959</x:v>
      </x:c>
      <x:c r="J173" s="31" t="n">
        <x:v>2017</x:v>
      </x:c>
      <x:c r="K173" s="24" t="str">
        <x:v>KNAKM814DHA166340</x:v>
      </x:c>
      <x:c r="L173" s="24" t="str"/>
      <x:c r="M173" s="30" t="n">
        <x:v>42781</x:v>
      </x:c>
      <x:c r="N173" s="31"/>
      <x:c r="O173" s="30"/>
      <x:c r="P173" s="32"/>
      <x:c r="Q173" s="32"/>
      <x:c r="R173" s="32"/>
      <x:c r="S173" s="24" t="str"/>
      <x:c r="T173" s="32"/>
      <x:c r="U173" s="32"/>
      <x:c r="V173" s="24" t="str"/>
      <x:c r="W173" s="24" t="str"/>
      <x:c r="X173" s="32"/>
      <x:c r="Y173" s="33"/>
      <x:c r="Z173" s="31"/>
      <x:c r="AA173" s="24" t="str"/>
      <x:c r="AB173" s="30"/>
      <x:c r="AC173" s="30"/>
      <x:c r="AD173" s="32"/>
      <x:c r="AE173" s="32"/>
      <x:c r="AF173" s="24" t="str"/>
      <x:c r="AG173" s="24" t="str"/>
      <x:c r="AH173" s="30"/>
      <x:c r="AI173" s="24" t="str"/>
      <x:c r="AJ173" s="24" t="str"/>
      <x:c r="AK173" s="32"/>
      <x:c r="AL173" s="32"/>
      <x:c r="AM173" s="24" t="str"/>
      <x:c r="AN173" s="31" t="n">
        <x:v>13</x:v>
      </x:c>
    </x:row>
    <x:row r="174" ht="17.25" customHeight="1">
      <x:c r="A174" s="24" t="str">
        <x:v>프라임구독</x:v>
      </x:c>
      <x:c r="B174" s="24" t="str">
        <x:v>07로0775</x:v>
      </x:c>
      <x:c r="C174" s="24" t="str">
        <x:v>보유</x:v>
      </x:c>
      <x:c r="D174" s="24" t="str">
        <x:v>제네시스</x:v>
      </x:c>
      <x:c r="E174" s="24" t="str">
        <x:v>EQ900</x:v>
      </x:c>
      <x:c r="F174" s="24" t="str"/>
      <x:c r="G174" s="24" t="str">
        <x:v>가솔린 3.8</x:v>
      </x:c>
      <x:c r="H174" s="24" t="str">
        <x:v>가솔린</x:v>
      </x:c>
      <x:c r="I174" s="31" t="n">
        <x:v>3778</x:v>
      </x:c>
      <x:c r="J174" s="31" t="n">
        <x:v>2016</x:v>
      </x:c>
      <x:c r="K174" s="24" t="str">
        <x:v>KMHG141DBGU011173</x:v>
      </x:c>
      <x:c r="L174" s="24" t="str"/>
      <x:c r="M174" s="30" t="n">
        <x:v>42475</x:v>
      </x:c>
      <x:c r="N174" s="31"/>
      <x:c r="O174" s="30"/>
      <x:c r="P174" s="32"/>
      <x:c r="Q174" s="32"/>
      <x:c r="R174" s="32"/>
      <x:c r="S174" s="24" t="str"/>
      <x:c r="T174" s="32"/>
      <x:c r="U174" s="32"/>
      <x:c r="V174" s="24" t="str"/>
      <x:c r="W174" s="24" t="str"/>
      <x:c r="X174" s="32"/>
      <x:c r="Y174" s="33"/>
      <x:c r="Z174" s="31"/>
      <x:c r="AA174" s="24" t="str"/>
      <x:c r="AB174" s="30"/>
      <x:c r="AC174" s="30"/>
      <x:c r="AD174" s="32"/>
      <x:c r="AE174" s="32"/>
      <x:c r="AF174" s="24" t="str"/>
      <x:c r="AG174" s="24" t="str"/>
      <x:c r="AH174" s="30"/>
      <x:c r="AI174" s="24" t="str"/>
      <x:c r="AJ174" s="24" t="str"/>
      <x:c r="AK174" s="32"/>
      <x:c r="AL174" s="32"/>
      <x:c r="AM174" s="24" t="str"/>
      <x:c r="AN174" s="31" t="n">
        <x:v>14</x:v>
      </x:c>
    </x:row>
    <x:row r="175" ht="17.25" customHeight="1">
      <x:c r="A175" s="24" t="str">
        <x:v>프라임구독</x:v>
      </x:c>
      <x:c r="B175" s="24" t="str">
        <x:v>08모1646</x:v>
      </x:c>
      <x:c r="C175" s="24" t="str">
        <x:v>보유</x:v>
      </x:c>
      <x:c r="D175" s="24" t="str">
        <x:v>기아</x:v>
      </x:c>
      <x:c r="E175" s="24" t="str">
        <x:v>K5</x:v>
      </x:c>
      <x:c r="F175" s="24" t="str"/>
      <x:c r="G175" s="24" t="str">
        <x:v>가솔린 2.0</x:v>
      </x:c>
      <x:c r="H175" s="24" t="str">
        <x:v>가솔린</x:v>
      </x:c>
      <x:c r="I175" s="31" t="n">
        <x:v>1999</x:v>
      </x:c>
      <x:c r="J175" s="31" t="n">
        <x:v>2016</x:v>
      </x:c>
      <x:c r="K175" s="24" t="str">
        <x:v>KNAGS411BGA008634</x:v>
      </x:c>
      <x:c r="L175" s="24" t="str"/>
      <x:c r="M175" s="30" t="n">
        <x:v>42223</x:v>
      </x:c>
      <x:c r="N175" s="31"/>
      <x:c r="O175" s="30"/>
      <x:c r="P175" s="32"/>
      <x:c r="Q175" s="32"/>
      <x:c r="R175" s="32"/>
      <x:c r="S175" s="24" t="str"/>
      <x:c r="T175" s="32"/>
      <x:c r="U175" s="32"/>
      <x:c r="V175" s="24" t="str"/>
      <x:c r="W175" s="24" t="str"/>
      <x:c r="X175" s="32"/>
      <x:c r="Y175" s="33"/>
      <x:c r="Z175" s="31"/>
      <x:c r="AA175" s="24" t="str"/>
      <x:c r="AB175" s="30"/>
      <x:c r="AC175" s="30"/>
      <x:c r="AD175" s="32"/>
      <x:c r="AE175" s="32"/>
      <x:c r="AF175" s="24" t="str"/>
      <x:c r="AG175" s="24" t="str"/>
      <x:c r="AH175" s="30"/>
      <x:c r="AI175" s="24" t="str"/>
      <x:c r="AJ175" s="24" t="str"/>
      <x:c r="AK175" s="32"/>
      <x:c r="AL175" s="32"/>
      <x:c r="AM175" s="24" t="str"/>
      <x:c r="AN175" s="31" t="n">
        <x:v>15</x:v>
      </x:c>
    </x:row>
    <x:row r="176" ht="17.25" customHeight="1">
      <x:c r="A176" s="24" t="str">
        <x:v>프라임구독</x:v>
      </x:c>
      <x:c r="B176" s="24" t="str">
        <x:v>09누4209</x:v>
      </x:c>
      <x:c r="C176" s="24" t="str">
        <x:v>보유</x:v>
      </x:c>
      <x:c r="D176" s="24" t="str">
        <x:v>기아</x:v>
      </x:c>
      <x:c r="E176" s="24" t="str">
        <x:v>K5</x:v>
      </x:c>
      <x:c r="F176" s="24" t="str"/>
      <x:c r="G176" s="24" t="str">
        <x:v>가솔린 2.0</x:v>
      </x:c>
      <x:c r="H176" s="24" t="str">
        <x:v>가솔린</x:v>
      </x:c>
      <x:c r="I176" s="31" t="n">
        <x:v>1999</x:v>
      </x:c>
      <x:c r="J176" s="31" t="n">
        <x:v>2018</x:v>
      </x:c>
      <x:c r="K176" s="24" t="str">
        <x:v>KNAGT411BJA192362</x:v>
      </x:c>
      <x:c r="L176" s="24" t="str"/>
      <x:c r="M176" s="30" t="n">
        <x:v>42957</x:v>
      </x:c>
      <x:c r="N176" s="31"/>
      <x:c r="O176" s="30"/>
      <x:c r="P176" s="32"/>
      <x:c r="Q176" s="32"/>
      <x:c r="R176" s="32"/>
      <x:c r="S176" s="24" t="str"/>
      <x:c r="T176" s="32"/>
      <x:c r="U176" s="32"/>
      <x:c r="V176" s="24" t="str"/>
      <x:c r="W176" s="24" t="str"/>
      <x:c r="X176" s="32"/>
      <x:c r="Y176" s="33"/>
      <x:c r="Z176" s="31"/>
      <x:c r="AA176" s="24" t="str"/>
      <x:c r="AB176" s="30"/>
      <x:c r="AC176" s="30"/>
      <x:c r="AD176" s="32"/>
      <x:c r="AE176" s="32"/>
      <x:c r="AF176" s="24" t="str"/>
      <x:c r="AG176" s="24" t="str"/>
      <x:c r="AH176" s="30"/>
      <x:c r="AI176" s="24" t="str"/>
      <x:c r="AJ176" s="24" t="str"/>
      <x:c r="AK176" s="32"/>
      <x:c r="AL176" s="32"/>
      <x:c r="AM176" s="24" t="str"/>
      <x:c r="AN176" s="31" t="n">
        <x:v>16</x:v>
      </x:c>
    </x:row>
    <x:row r="177" ht="17.25" customHeight="1">
      <x:c r="A177" s="24" t="str">
        <x:v>프라임구독</x:v>
      </x:c>
      <x:c r="B177" s="24" t="str">
        <x:v>103너3604</x:v>
      </x:c>
      <x:c r="C177" s="24" t="str">
        <x:v>보유</x:v>
      </x:c>
      <x:c r="D177" s="24" t="str">
        <x:v>기아</x:v>
      </x:c>
      <x:c r="E177" s="24" t="str">
        <x:v>레이</x:v>
      </x:c>
      <x:c r="F177" s="24" t="str"/>
      <x:c r="G177" s="24" t="str">
        <x:v>가솔린 1.0</x:v>
      </x:c>
      <x:c r="H177" s="24" t="str">
        <x:v>가솔린</x:v>
      </x:c>
      <x:c r="I177" s="31" t="n">
        <x:v>998</x:v>
      </x:c>
      <x:c r="J177" s="31" t="n">
        <x:v>2019</x:v>
      </x:c>
      <x:c r="K177" s="24" t="str">
        <x:v>KNACJ811BKT223331</x:v>
      </x:c>
      <x:c r="L177" s="24" t="str"/>
      <x:c r="M177" s="30" t="n">
        <x:v>43776</x:v>
      </x:c>
      <x:c r="N177" s="31"/>
      <x:c r="O177" s="30"/>
      <x:c r="P177" s="32"/>
      <x:c r="Q177" s="32"/>
      <x:c r="R177" s="32"/>
      <x:c r="S177" s="24" t="str"/>
      <x:c r="T177" s="32"/>
      <x:c r="U177" s="32"/>
      <x:c r="V177" s="24" t="str"/>
      <x:c r="W177" s="24" t="str"/>
      <x:c r="X177" s="32"/>
      <x:c r="Y177" s="33"/>
      <x:c r="Z177" s="31"/>
      <x:c r="AA177" s="24" t="str"/>
      <x:c r="AB177" s="30"/>
      <x:c r="AC177" s="30"/>
      <x:c r="AD177" s="32"/>
      <x:c r="AE177" s="32"/>
      <x:c r="AF177" s="24" t="str"/>
      <x:c r="AG177" s="24" t="str"/>
      <x:c r="AH177" s="30"/>
      <x:c r="AI177" s="24" t="str"/>
      <x:c r="AJ177" s="24" t="str"/>
      <x:c r="AK177" s="32"/>
      <x:c r="AL177" s="32"/>
      <x:c r="AM177" s="24" t="str"/>
      <x:c r="AN177" s="31" t="n">
        <x:v>17</x:v>
      </x:c>
    </x:row>
    <x:row r="178" ht="17.25" customHeight="1">
      <x:c r="A178" s="24" t="str">
        <x:v>프라임구독</x:v>
      </x:c>
      <x:c r="B178" s="24" t="str">
        <x:v>107고5687</x:v>
      </x:c>
      <x:c r="C178" s="24" t="str">
        <x:v>보유</x:v>
      </x:c>
      <x:c r="D178" s="24" t="str">
        <x:v>현대</x:v>
      </x:c>
      <x:c r="E178" s="24" t="str">
        <x:v>쏘나타</x:v>
      </x:c>
      <x:c r="F178" s="24" t="str"/>
      <x:c r="G178" s="24" t="str">
        <x:v>LPG 2.0</x:v>
      </x:c>
      <x:c r="H178" s="24" t="str">
        <x:v>LPG</x:v>
      </x:c>
      <x:c r="I178" s="31" t="n">
        <x:v>1999</x:v>
      </x:c>
      <x:c r="J178" s="31" t="n">
        <x:v>2016</x:v>
      </x:c>
      <x:c r="K178" s="24" t="str">
        <x:v>KMHEC41LBGA680578</x:v>
      </x:c>
      <x:c r="L178" s="24" t="str"/>
      <x:c r="M178" s="30" t="n">
        <x:v>42250</x:v>
      </x:c>
      <x:c r="N178" s="31"/>
      <x:c r="O178" s="30"/>
      <x:c r="P178" s="32"/>
      <x:c r="Q178" s="32"/>
      <x:c r="R178" s="32"/>
      <x:c r="S178" s="24" t="str"/>
      <x:c r="T178" s="32"/>
      <x:c r="U178" s="32"/>
      <x:c r="V178" s="24" t="str"/>
      <x:c r="W178" s="24" t="str"/>
      <x:c r="X178" s="32"/>
      <x:c r="Y178" s="33"/>
      <x:c r="Z178" s="31"/>
      <x:c r="AA178" s="24" t="str"/>
      <x:c r="AB178" s="30"/>
      <x:c r="AC178" s="30"/>
      <x:c r="AD178" s="32"/>
      <x:c r="AE178" s="32"/>
      <x:c r="AF178" s="24" t="str"/>
      <x:c r="AG178" s="24" t="str"/>
      <x:c r="AH178" s="30"/>
      <x:c r="AI178" s="24" t="str"/>
      <x:c r="AJ178" s="24" t="str"/>
      <x:c r="AK178" s="32"/>
      <x:c r="AL178" s="32"/>
      <x:c r="AM178" s="24" t="str"/>
      <x:c r="AN178" s="31" t="n">
        <x:v>18</x:v>
      </x:c>
    </x:row>
    <x:row r="179" ht="17.25" customHeight="1">
      <x:c r="A179" s="24" t="str">
        <x:v>프라임구독</x:v>
      </x:c>
      <x:c r="B179" s="24" t="str">
        <x:v>107보9912</x:v>
      </x:c>
      <x:c r="C179" s="24" t="str">
        <x:v>보유</x:v>
      </x:c>
      <x:c r="D179" s="24" t="str">
        <x:v>현대</x:v>
      </x:c>
      <x:c r="E179" s="24" t="str">
        <x:v>그랜저</x:v>
      </x:c>
      <x:c r="F179" s="24" t="str"/>
      <x:c r="G179" s="24" t="str">
        <x:v>디젤 2.2</x:v>
      </x:c>
      <x:c r="H179" s="24" t="str">
        <x:v>디젤</x:v>
      </x:c>
      <x:c r="I179" s="31" t="n">
        <x:v>2199</x:v>
      </x:c>
      <x:c r="J179" s="31" t="n">
        <x:v>2015</x:v>
      </x:c>
      <x:c r="K179" s="24" t="str">
        <x:v>KMHFF41RBFA452575</x:v>
      </x:c>
      <x:c r="L179" s="24" t="str"/>
      <x:c r="M179" s="30" t="n">
        <x:v>42009</x:v>
      </x:c>
      <x:c r="N179" s="31"/>
      <x:c r="O179" s="30"/>
      <x:c r="P179" s="32"/>
      <x:c r="Q179" s="32"/>
      <x:c r="R179" s="32"/>
      <x:c r="S179" s="24" t="str"/>
      <x:c r="T179" s="32"/>
      <x:c r="U179" s="32"/>
      <x:c r="V179" s="24" t="str"/>
      <x:c r="W179" s="24" t="str"/>
      <x:c r="X179" s="32"/>
      <x:c r="Y179" s="33"/>
      <x:c r="Z179" s="31"/>
      <x:c r="AA179" s="24" t="str"/>
      <x:c r="AB179" s="30"/>
      <x:c r="AC179" s="30"/>
      <x:c r="AD179" s="32"/>
      <x:c r="AE179" s="32"/>
      <x:c r="AF179" s="24" t="str"/>
      <x:c r="AG179" s="24" t="str"/>
      <x:c r="AH179" s="30"/>
      <x:c r="AI179" s="24" t="str"/>
      <x:c r="AJ179" s="24" t="str"/>
      <x:c r="AK179" s="32"/>
      <x:c r="AL179" s="32"/>
      <x:c r="AM179" s="24" t="str"/>
      <x:c r="AN179" s="31" t="n">
        <x:v>19</x:v>
      </x:c>
    </x:row>
    <x:row r="180" ht="17.25" customHeight="1">
      <x:c r="A180" s="24" t="str">
        <x:v>프라임구독</x:v>
      </x:c>
      <x:c r="B180" s="24" t="str">
        <x:v>10고0707</x:v>
      </x:c>
      <x:c r="C180" s="24" t="str">
        <x:v>보유</x:v>
      </x:c>
      <x:c r="D180" s="24" t="str">
        <x:v>기아</x:v>
      </x:c>
      <x:c r="E180" s="24" t="str">
        <x:v>K5</x:v>
      </x:c>
      <x:c r="F180" s="24" t="str"/>
      <x:c r="G180" s="24" t="str">
        <x:v>LPG 2.0</x:v>
      </x:c>
      <x:c r="H180" s="24" t="str">
        <x:v>LPG</x:v>
      </x:c>
      <x:c r="I180" s="31" t="n">
        <x:v>1999</x:v>
      </x:c>
      <x:c r="J180" s="31" t="n">
        <x:v>2016</x:v>
      </x:c>
      <x:c r="K180" s="24" t="str">
        <x:v>KNAGU416BGA059716</x:v>
      </x:c>
      <x:c r="L180" s="24" t="str"/>
      <x:c r="M180" s="30" t="n">
        <x:v>42387</x:v>
      </x:c>
      <x:c r="N180" s="31"/>
      <x:c r="O180" s="30"/>
      <x:c r="P180" s="32"/>
      <x:c r="Q180" s="32"/>
      <x:c r="R180" s="32"/>
      <x:c r="S180" s="24" t="str"/>
      <x:c r="T180" s="32"/>
      <x:c r="U180" s="32"/>
      <x:c r="V180" s="24" t="str"/>
      <x:c r="W180" s="24" t="str"/>
      <x:c r="X180" s="32"/>
      <x:c r="Y180" s="33"/>
      <x:c r="Z180" s="31"/>
      <x:c r="AA180" s="24" t="str"/>
      <x:c r="AB180" s="30"/>
      <x:c r="AC180" s="30"/>
      <x:c r="AD180" s="32"/>
      <x:c r="AE180" s="32"/>
      <x:c r="AF180" s="24" t="str"/>
      <x:c r="AG180" s="24" t="str"/>
      <x:c r="AH180" s="30"/>
      <x:c r="AI180" s="24" t="str"/>
      <x:c r="AJ180" s="24" t="str"/>
      <x:c r="AK180" s="32"/>
      <x:c r="AL180" s="32"/>
      <x:c r="AM180" s="24" t="str"/>
      <x:c r="AN180" s="31" t="n">
        <x:v>20</x:v>
      </x:c>
    </x:row>
    <x:row r="181" ht="17.25" customHeight="1">
      <x:c r="A181" s="24" t="str">
        <x:v>프라임구독</x:v>
      </x:c>
      <x:c r="B181" s="24" t="str">
        <x:v>10루8404</x:v>
      </x:c>
      <x:c r="C181" s="24" t="str">
        <x:v>보유</x:v>
      </x:c>
      <x:c r="D181" s="24" t="str">
        <x:v>기아</x:v>
      </x:c>
      <x:c r="E181" s="24" t="str">
        <x:v>K5</x:v>
      </x:c>
      <x:c r="F181" s="24" t="str"/>
      <x:c r="G181" s="24" t="str">
        <x:v>LPG 2.0</x:v>
      </x:c>
      <x:c r="H181" s="24" t="str">
        <x:v>LPG</x:v>
      </x:c>
      <x:c r="I181" s="31" t="n">
        <x:v>1999</x:v>
      </x:c>
      <x:c r="J181" s="31" t="n">
        <x:v>2015</x:v>
      </x:c>
      <x:c r="K181" s="24" t="str">
        <x:v>KNAGN418BFA549646</x:v>
      </x:c>
      <x:c r="L181" s="24" t="str"/>
      <x:c r="M181" s="30" t="n">
        <x:v>41851</x:v>
      </x:c>
      <x:c r="N181" s="31"/>
      <x:c r="O181" s="30"/>
      <x:c r="P181" s="32"/>
      <x:c r="Q181" s="32"/>
      <x:c r="R181" s="32"/>
      <x:c r="S181" s="24" t="str"/>
      <x:c r="T181" s="32"/>
      <x:c r="U181" s="32"/>
      <x:c r="V181" s="24" t="str"/>
      <x:c r="W181" s="24" t="str"/>
      <x:c r="X181" s="32"/>
      <x:c r="Y181" s="33"/>
      <x:c r="Z181" s="31"/>
      <x:c r="AA181" s="24" t="str"/>
      <x:c r="AB181" s="30"/>
      <x:c r="AC181" s="30"/>
      <x:c r="AD181" s="32"/>
      <x:c r="AE181" s="32"/>
      <x:c r="AF181" s="24" t="str"/>
      <x:c r="AG181" s="24" t="str"/>
      <x:c r="AH181" s="30"/>
      <x:c r="AI181" s="24" t="str"/>
      <x:c r="AJ181" s="24" t="str"/>
      <x:c r="AK181" s="32"/>
      <x:c r="AL181" s="32"/>
      <x:c r="AM181" s="24" t="str"/>
      <x:c r="AN181" s="31" t="n">
        <x:v>21</x:v>
      </x:c>
    </x:row>
    <x:row r="182" ht="17.25" customHeight="1">
      <x:c r="A182" s="24" t="str">
        <x:v>프라임구독</x:v>
      </x:c>
      <x:c r="B182" s="24" t="str">
        <x:v>10버7680</x:v>
      </x:c>
      <x:c r="C182" s="24" t="str">
        <x:v>보유</x:v>
      </x:c>
      <x:c r="D182" s="24" t="str">
        <x:v>제네시스</x:v>
      </x:c>
      <x:c r="E182" s="24" t="str">
        <x:v>G70</x:v>
      </x:c>
      <x:c r="F182" s="24" t="str"/>
      <x:c r="G182" s="24" t="str">
        <x:v>가솔린 2.0 2WD</x:v>
      </x:c>
      <x:c r="H182" s="24" t="str">
        <x:v>가솔린</x:v>
      </x:c>
      <x:c r="I182" s="31" t="n">
        <x:v>1998</x:v>
      </x:c>
      <x:c r="J182" s="31" t="n">
        <x:v>2018</x:v>
      </x:c>
      <x:c r="K182" s="24" t="str">
        <x:v>KMTG341ADJU025247</x:v>
      </x:c>
      <x:c r="L182" s="24" t="str"/>
      <x:c r="M182" s="30" t="n">
        <x:v>43381</x:v>
      </x:c>
      <x:c r="N182" s="31"/>
      <x:c r="O182" s="30"/>
      <x:c r="P182" s="32"/>
      <x:c r="Q182" s="32"/>
      <x:c r="R182" s="32"/>
      <x:c r="S182" s="24" t="str"/>
      <x:c r="T182" s="32"/>
      <x:c r="U182" s="32"/>
      <x:c r="V182" s="24" t="str"/>
      <x:c r="W182" s="24" t="str"/>
      <x:c r="X182" s="32"/>
      <x:c r="Y182" s="33"/>
      <x:c r="Z182" s="31"/>
      <x:c r="AA182" s="24" t="str"/>
      <x:c r="AB182" s="30"/>
      <x:c r="AC182" s="30"/>
      <x:c r="AD182" s="32"/>
      <x:c r="AE182" s="32"/>
      <x:c r="AF182" s="24" t="str"/>
      <x:c r="AG182" s="24" t="str"/>
      <x:c r="AH182" s="30"/>
      <x:c r="AI182" s="24" t="str"/>
      <x:c r="AJ182" s="24" t="str"/>
      <x:c r="AK182" s="32"/>
      <x:c r="AL182" s="32"/>
      <x:c r="AM182" s="24" t="str"/>
      <x:c r="AN182" s="31" t="n">
        <x:v>22</x:v>
      </x:c>
    </x:row>
    <x:row r="183" ht="17.25" customHeight="1">
      <x:c r="A183" s="24" t="str">
        <x:v>프라임구독</x:v>
      </x:c>
      <x:c r="B183" s="24" t="str">
        <x:v>110오3731</x:v>
      </x:c>
      <x:c r="C183" s="24" t="str">
        <x:v>보유</x:v>
      </x:c>
      <x:c r="D183" s="24" t="str">
        <x:v>기아</x:v>
      </x:c>
      <x:c r="E183" s="24" t="str">
        <x:v>K5</x:v>
      </x:c>
      <x:c r="F183" s="24" t="str"/>
      <x:c r="G183" s="24" t="str">
        <x:v>LPG 2.0</x:v>
      </x:c>
      <x:c r="H183" s="24" t="str">
        <x:v>LPG</x:v>
      </x:c>
      <x:c r="I183" s="31" t="n">
        <x:v>1999</x:v>
      </x:c>
      <x:c r="J183" s="31" t="n">
        <x:v>2015</x:v>
      </x:c>
      <x:c r="K183" s="24" t="str">
        <x:v>KNAGN418BFA602194</x:v>
      </x:c>
      <x:c r="L183" s="24" t="str"/>
      <x:c r="M183" s="30" t="n">
        <x:v>42110</x:v>
      </x:c>
      <x:c r="N183" s="31"/>
      <x:c r="O183" s="30"/>
      <x:c r="P183" s="32"/>
      <x:c r="Q183" s="32"/>
      <x:c r="R183" s="32"/>
      <x:c r="S183" s="24" t="str"/>
      <x:c r="T183" s="32"/>
      <x:c r="U183" s="32"/>
      <x:c r="V183" s="24" t="str"/>
      <x:c r="W183" s="24" t="str"/>
      <x:c r="X183" s="32"/>
      <x:c r="Y183" s="33"/>
      <x:c r="Z183" s="31"/>
      <x:c r="AA183" s="24" t="str"/>
      <x:c r="AB183" s="30"/>
      <x:c r="AC183" s="30"/>
      <x:c r="AD183" s="32"/>
      <x:c r="AE183" s="32"/>
      <x:c r="AF183" s="24" t="str"/>
      <x:c r="AG183" s="24" t="str"/>
      <x:c r="AH183" s="30"/>
      <x:c r="AI183" s="24" t="str"/>
      <x:c r="AJ183" s="24" t="str"/>
      <x:c r="AK183" s="32"/>
      <x:c r="AL183" s="32"/>
      <x:c r="AM183" s="24" t="str"/>
      <x:c r="AN183" s="31" t="n">
        <x:v>23</x:v>
      </x:c>
    </x:row>
    <x:row r="184" ht="17.25" customHeight="1">
      <x:c r="A184" s="24" t="str">
        <x:v>프라임구독</x:v>
      </x:c>
      <x:c r="B184" s="24" t="str">
        <x:v>110오3787</x:v>
      </x:c>
      <x:c r="C184" s="24" t="str">
        <x:v>보유</x:v>
      </x:c>
      <x:c r="D184" s="24" t="str">
        <x:v>기아</x:v>
      </x:c>
      <x:c r="E184" s="24" t="str">
        <x:v>K5</x:v>
      </x:c>
      <x:c r="F184" s="24" t="str"/>
      <x:c r="G184" s="24" t="str">
        <x:v>LPG 2.0</x:v>
      </x:c>
      <x:c r="H184" s="24" t="str">
        <x:v>LPG</x:v>
      </x:c>
      <x:c r="I184" s="31" t="n">
        <x:v>1999</x:v>
      </x:c>
      <x:c r="J184" s="31" t="n">
        <x:v>2015</x:v>
      </x:c>
      <x:c r="K184" s="24" t="str">
        <x:v>KNAGN418BFA593964</x:v>
      </x:c>
      <x:c r="L184" s="24" t="str"/>
      <x:c r="M184" s="30" t="n">
        <x:v>42082</x:v>
      </x:c>
      <x:c r="N184" s="31"/>
      <x:c r="O184" s="30"/>
      <x:c r="P184" s="32"/>
      <x:c r="Q184" s="32"/>
      <x:c r="R184" s="32"/>
      <x:c r="S184" s="24" t="str"/>
      <x:c r="T184" s="32"/>
      <x:c r="U184" s="32"/>
      <x:c r="V184" s="24" t="str"/>
      <x:c r="W184" s="24" t="str"/>
      <x:c r="X184" s="32"/>
      <x:c r="Y184" s="33"/>
      <x:c r="Z184" s="31"/>
      <x:c r="AA184" s="24" t="str"/>
      <x:c r="AB184" s="30"/>
      <x:c r="AC184" s="30"/>
      <x:c r="AD184" s="32"/>
      <x:c r="AE184" s="32"/>
      <x:c r="AF184" s="24" t="str"/>
      <x:c r="AG184" s="24" t="str"/>
      <x:c r="AH184" s="30"/>
      <x:c r="AI184" s="24" t="str"/>
      <x:c r="AJ184" s="24" t="str"/>
      <x:c r="AK184" s="32"/>
      <x:c r="AL184" s="32"/>
      <x:c r="AM184" s="24" t="str"/>
      <x:c r="AN184" s="31" t="n">
        <x:v>24</x:v>
      </x:c>
    </x:row>
    <x:row r="185" ht="17.25" customHeight="1">
      <x:c r="A185" s="24" t="str">
        <x:v>프라임구독</x:v>
      </x:c>
      <x:c r="B185" s="24" t="str">
        <x:v>111로8548</x:v>
      </x:c>
      <x:c r="C185" s="24" t="str">
        <x:v>보유</x:v>
      </x:c>
      <x:c r="D185" s="24" t="str">
        <x:v>기아</x:v>
      </x:c>
      <x:c r="E185" s="24" t="str">
        <x:v>셀토스</x:v>
      </x:c>
      <x:c r="F185" s="24" t="str"/>
      <x:c r="G185" s="24" t="str">
        <x:v>가솔린 1.6 2WD</x:v>
      </x:c>
      <x:c r="H185" s="24" t="str">
        <x:v>가솔린</x:v>
      </x:c>
      <x:c r="I185" s="31" t="n">
        <x:v>1591</x:v>
      </x:c>
      <x:c r="J185" s="31" t="n">
        <x:v>2022</x:v>
      </x:c>
      <x:c r="K185" s="24" t="str">
        <x:v>KNAEP812GNK225033</x:v>
      </x:c>
      <x:c r="L185" s="24" t="str"/>
      <x:c r="M185" s="30" t="n">
        <x:v>44295</x:v>
      </x:c>
      <x:c r="N185" s="31"/>
      <x:c r="O185" s="30"/>
      <x:c r="P185" s="32"/>
      <x:c r="Q185" s="32"/>
      <x:c r="R185" s="32"/>
      <x:c r="S185" s="24" t="str"/>
      <x:c r="T185" s="32"/>
      <x:c r="U185" s="32"/>
      <x:c r="V185" s="24" t="str"/>
      <x:c r="W185" s="24" t="str"/>
      <x:c r="X185" s="32"/>
      <x:c r="Y185" s="33"/>
      <x:c r="Z185" s="31"/>
      <x:c r="AA185" s="24" t="str"/>
      <x:c r="AB185" s="30"/>
      <x:c r="AC185" s="30"/>
      <x:c r="AD185" s="32"/>
      <x:c r="AE185" s="32"/>
      <x:c r="AF185" s="24" t="str"/>
      <x:c r="AG185" s="24" t="str"/>
      <x:c r="AH185" s="30"/>
      <x:c r="AI185" s="24" t="str"/>
      <x:c r="AJ185" s="24" t="str"/>
      <x:c r="AK185" s="32"/>
      <x:c r="AL185" s="32"/>
      <x:c r="AM185" s="24" t="str"/>
      <x:c r="AN185" s="31" t="n">
        <x:v>25</x:v>
      </x:c>
    </x:row>
    <x:row r="186" ht="17.25" customHeight="1">
      <x:c r="A186" s="24" t="str">
        <x:v>프라임구독</x:v>
      </x:c>
      <x:c r="B186" s="24" t="str">
        <x:v>112가8342</x:v>
      </x:c>
      <x:c r="C186" s="24" t="str">
        <x:v>보유</x:v>
      </x:c>
      <x:c r="D186" s="24" t="str">
        <x:v>기아</x:v>
      </x:c>
      <x:c r="E186" s="24" t="str">
        <x:v>카니발</x:v>
      </x:c>
      <x:c r="F186" s="24" t="str"/>
      <x:c r="G186" s="24" t="str">
        <x:v>디젤 2.2</x:v>
      </x:c>
      <x:c r="H186" s="24" t="str">
        <x:v>디젤</x:v>
      </x:c>
      <x:c r="I186" s="31" t="n">
        <x:v>2199</x:v>
      </x:c>
      <x:c r="J186" s="31" t="n">
        <x:v>2017</x:v>
      </x:c>
      <x:c r="K186" s="24" t="str">
        <x:v>KNAMB81ABHS270128</x:v>
      </x:c>
      <x:c r="L186" s="24" t="str"/>
      <x:c r="M186" s="30" t="n">
        <x:v>42604</x:v>
      </x:c>
      <x:c r="N186" s="31"/>
      <x:c r="O186" s="30"/>
      <x:c r="P186" s="32"/>
      <x:c r="Q186" s="32"/>
      <x:c r="R186" s="32"/>
      <x:c r="S186" s="24" t="str"/>
      <x:c r="T186" s="32"/>
      <x:c r="U186" s="32"/>
      <x:c r="V186" s="24" t="str"/>
      <x:c r="W186" s="24" t="str"/>
      <x:c r="X186" s="32"/>
      <x:c r="Y186" s="33"/>
      <x:c r="Z186" s="31"/>
      <x:c r="AA186" s="24" t="str"/>
      <x:c r="AB186" s="30"/>
      <x:c r="AC186" s="30"/>
      <x:c r="AD186" s="32"/>
      <x:c r="AE186" s="32"/>
      <x:c r="AF186" s="24" t="str"/>
      <x:c r="AG186" s="24" t="str"/>
      <x:c r="AH186" s="30"/>
      <x:c r="AI186" s="24" t="str"/>
      <x:c r="AJ186" s="24" t="str"/>
      <x:c r="AK186" s="32"/>
      <x:c r="AL186" s="32"/>
      <x:c r="AM186" s="24" t="str"/>
      <x:c r="AN186" s="31" t="n">
        <x:v>26</x:v>
      </x:c>
    </x:row>
    <x:row r="187" ht="17.25" customHeight="1">
      <x:c r="A187" s="24" t="str">
        <x:v>프라임구독</x:v>
      </x:c>
      <x:c r="B187" s="24" t="str">
        <x:v>112수8932</x:v>
      </x:c>
      <x:c r="C187" s="24" t="str">
        <x:v>보유</x:v>
      </x:c>
      <x:c r="D187" s="24" t="str">
        <x:v>기아</x:v>
      </x:c>
      <x:c r="E187" s="24" t="str">
        <x:v>K5</x:v>
      </x:c>
      <x:c r="F187" s="24" t="str"/>
      <x:c r="G187" s="24" t="str">
        <x:v>LPG 2.0</x:v>
      </x:c>
      <x:c r="H187" s="24" t="str">
        <x:v>LPG</x:v>
      </x:c>
      <x:c r="I187" s="31" t="n">
        <x:v>1999</x:v>
      </x:c>
      <x:c r="J187" s="31" t="n">
        <x:v>2015</x:v>
      </x:c>
      <x:c r="K187" s="24" t="str">
        <x:v>KNAGN418BFA642084</x:v>
      </x:c>
      <x:c r="L187" s="24" t="str"/>
      <x:c r="M187" s="30" t="n">
        <x:v>42180</x:v>
      </x:c>
      <x:c r="N187" s="31"/>
      <x:c r="O187" s="30"/>
      <x:c r="P187" s="32"/>
      <x:c r="Q187" s="32"/>
      <x:c r="R187" s="32"/>
      <x:c r="S187" s="24" t="str"/>
      <x:c r="T187" s="32"/>
      <x:c r="U187" s="32"/>
      <x:c r="V187" s="24" t="str"/>
      <x:c r="W187" s="24" t="str"/>
      <x:c r="X187" s="32"/>
      <x:c r="Y187" s="33"/>
      <x:c r="Z187" s="31"/>
      <x:c r="AA187" s="24" t="str"/>
      <x:c r="AB187" s="30"/>
      <x:c r="AC187" s="30"/>
      <x:c r="AD187" s="32"/>
      <x:c r="AE187" s="32"/>
      <x:c r="AF187" s="24" t="str"/>
      <x:c r="AG187" s="24" t="str"/>
      <x:c r="AH187" s="30"/>
      <x:c r="AI187" s="24" t="str"/>
      <x:c r="AJ187" s="24" t="str"/>
      <x:c r="AK187" s="32"/>
      <x:c r="AL187" s="32"/>
      <x:c r="AM187" s="24" t="str"/>
      <x:c r="AN187" s="31" t="n">
        <x:v>27</x:v>
      </x:c>
    </x:row>
    <x:row r="188" ht="17.25" customHeight="1">
      <x:c r="A188" s="24" t="str">
        <x:v>프라임구독</x:v>
      </x:c>
      <x:c r="B188" s="24" t="str">
        <x:v>113더8112</x:v>
      </x:c>
      <x:c r="C188" s="24" t="str">
        <x:v>보유</x:v>
      </x:c>
      <x:c r="D188" s="24" t="str">
        <x:v>현대</x:v>
      </x:c>
      <x:c r="E188" s="24" t="str">
        <x:v>그랜저</x:v>
      </x:c>
      <x:c r="F188" s="24" t="str"/>
      <x:c r="G188" s="24" t="str">
        <x:v>LPG 3.0</x:v>
      </x:c>
      <x:c r="H188" s="24" t="str">
        <x:v>LPG</x:v>
      </x:c>
      <x:c r="I188" s="31" t="n">
        <x:v>2999</x:v>
      </x:c>
      <x:c r="J188" s="31" t="n">
        <x:v>2018</x:v>
      </x:c>
      <x:c r="K188" s="24" t="str">
        <x:v>KMHF641NBJA121288</x:v>
      </x:c>
      <x:c r="L188" s="24" t="str"/>
      <x:c r="M188" s="30" t="n">
        <x:v>43090</x:v>
      </x:c>
      <x:c r="N188" s="31"/>
      <x:c r="O188" s="30"/>
      <x:c r="P188" s="32"/>
      <x:c r="Q188" s="32"/>
      <x:c r="R188" s="32"/>
      <x:c r="S188" s="24" t="str"/>
      <x:c r="T188" s="32"/>
      <x:c r="U188" s="32"/>
      <x:c r="V188" s="24" t="str"/>
      <x:c r="W188" s="24" t="str"/>
      <x:c r="X188" s="32"/>
      <x:c r="Y188" s="33"/>
      <x:c r="Z188" s="31"/>
      <x:c r="AA188" s="24" t="str"/>
      <x:c r="AB188" s="30"/>
      <x:c r="AC188" s="30"/>
      <x:c r="AD188" s="32"/>
      <x:c r="AE188" s="32"/>
      <x:c r="AF188" s="24" t="str"/>
      <x:c r="AG188" s="24" t="str"/>
      <x:c r="AH188" s="30"/>
      <x:c r="AI188" s="24" t="str"/>
      <x:c r="AJ188" s="24" t="str"/>
      <x:c r="AK188" s="32"/>
      <x:c r="AL188" s="32"/>
      <x:c r="AM188" s="24" t="str"/>
      <x:c r="AN188" s="31" t="n">
        <x:v>28</x:v>
      </x:c>
    </x:row>
    <x:row r="189" ht="17.25" customHeight="1">
      <x:c r="A189" s="24" t="str">
        <x:v>프라임구독</x:v>
      </x:c>
      <x:c r="B189" s="24" t="str">
        <x:v>114루8423</x:v>
      </x:c>
      <x:c r="C189" s="24" t="str">
        <x:v>보유</x:v>
      </x:c>
      <x:c r="D189" s="24" t="str">
        <x:v>기아</x:v>
      </x:c>
      <x:c r="E189" s="24" t="str">
        <x:v>K5</x:v>
      </x:c>
      <x:c r="F189" s="24" t="str"/>
      <x:c r="G189" s="24" t="str">
        <x:v>LPG 2.0</x:v>
      </x:c>
      <x:c r="H189" s="24" t="str">
        <x:v>LPG</x:v>
      </x:c>
      <x:c r="I189" s="31" t="n">
        <x:v>1999</x:v>
      </x:c>
      <x:c r="J189" s="31" t="n">
        <x:v>2020</x:v>
      </x:c>
      <x:c r="K189" s="24" t="str">
        <x:v>KNAGS416BLA379910</x:v>
      </x:c>
      <x:c r="L189" s="24" t="str"/>
      <x:c r="M189" s="30" t="n">
        <x:v>43693</x:v>
      </x:c>
      <x:c r="N189" s="31"/>
      <x:c r="O189" s="30"/>
      <x:c r="P189" s="32"/>
      <x:c r="Q189" s="32"/>
      <x:c r="R189" s="32"/>
      <x:c r="S189" s="24" t="str"/>
      <x:c r="T189" s="32"/>
      <x:c r="U189" s="32"/>
      <x:c r="V189" s="24" t="str"/>
      <x:c r="W189" s="24" t="str"/>
      <x:c r="X189" s="32"/>
      <x:c r="Y189" s="33"/>
      <x:c r="Z189" s="31"/>
      <x:c r="AA189" s="24" t="str"/>
      <x:c r="AB189" s="30"/>
      <x:c r="AC189" s="30"/>
      <x:c r="AD189" s="32"/>
      <x:c r="AE189" s="32"/>
      <x:c r="AF189" s="24" t="str"/>
      <x:c r="AG189" s="24" t="str"/>
      <x:c r="AH189" s="30"/>
      <x:c r="AI189" s="24" t="str"/>
      <x:c r="AJ189" s="24" t="str"/>
      <x:c r="AK189" s="32"/>
      <x:c r="AL189" s="32"/>
      <x:c r="AM189" s="24" t="str"/>
      <x:c r="AN189" s="31" t="n">
        <x:v>29</x:v>
      </x:c>
    </x:row>
    <x:row r="190" ht="17.25" customHeight="1">
      <x:c r="A190" s="24" t="str">
        <x:v>프라임구독</x:v>
      </x:c>
      <x:c r="B190" s="24" t="str">
        <x:v>119두7903</x:v>
      </x:c>
      <x:c r="C190" s="24" t="str">
        <x:v>보유</x:v>
      </x:c>
      <x:c r="D190" s="24" t="str">
        <x:v>현대</x:v>
      </x:c>
      <x:c r="E190" s="24" t="str">
        <x:v>쏘나타</x:v>
      </x:c>
      <x:c r="F190" s="24" t="str"/>
      <x:c r="G190" s="24" t="str">
        <x:v>LPG 2.0</x:v>
      </x:c>
      <x:c r="H190" s="24" t="str">
        <x:v>LPG</x:v>
      </x:c>
      <x:c r="I190" s="31" t="n">
        <x:v>1999</x:v>
      </x:c>
      <x:c r="J190" s="31" t="n">
        <x:v>2019</x:v>
      </x:c>
      <x:c r="K190" s="24" t="str">
        <x:v>KMHE341DBKA516865</x:v>
      </x:c>
      <x:c r="L190" s="24" t="str"/>
      <x:c r="M190" s="30" t="n">
        <x:v>43347</x:v>
      </x:c>
      <x:c r="N190" s="31"/>
      <x:c r="O190" s="30"/>
      <x:c r="P190" s="32"/>
      <x:c r="Q190" s="32"/>
      <x:c r="R190" s="32"/>
      <x:c r="S190" s="24" t="str"/>
      <x:c r="T190" s="32"/>
      <x:c r="U190" s="32"/>
      <x:c r="V190" s="24" t="str"/>
      <x:c r="W190" s="24" t="str"/>
      <x:c r="X190" s="32"/>
      <x:c r="Y190" s="33"/>
      <x:c r="Z190" s="31"/>
      <x:c r="AA190" s="24" t="str"/>
      <x:c r="AB190" s="30"/>
      <x:c r="AC190" s="30"/>
      <x:c r="AD190" s="32"/>
      <x:c r="AE190" s="32"/>
      <x:c r="AF190" s="24" t="str"/>
      <x:c r="AG190" s="24" t="str"/>
      <x:c r="AH190" s="30"/>
      <x:c r="AI190" s="24" t="str"/>
      <x:c r="AJ190" s="24" t="str"/>
      <x:c r="AK190" s="32"/>
      <x:c r="AL190" s="32"/>
      <x:c r="AM190" s="24" t="str"/>
      <x:c r="AN190" s="31" t="n">
        <x:v>30</x:v>
      </x:c>
    </x:row>
    <x:row r="191" ht="17.25" customHeight="1">
      <x:c r="A191" s="24" t="str">
        <x:v>프라임구독</x:v>
      </x:c>
      <x:c r="B191" s="24" t="str">
        <x:v>119라1440</x:v>
      </x:c>
      <x:c r="C191" s="24" t="str">
        <x:v>보유</x:v>
      </x:c>
      <x:c r="D191" s="24" t="str">
        <x:v>기아</x:v>
      </x:c>
      <x:c r="E191" s="24" t="str">
        <x:v>셀토스</x:v>
      </x:c>
      <x:c r="F191" s="24" t="str"/>
      <x:c r="G191" s="24" t="str">
        <x:v>가솔린 1.6 2WD</x:v>
      </x:c>
      <x:c r="H191" s="24" t="str">
        <x:v>가솔린</x:v>
      </x:c>
      <x:c r="I191" s="31" t="n">
        <x:v>1591</x:v>
      </x:c>
      <x:c r="J191" s="31" t="n">
        <x:v>2020</x:v>
      </x:c>
      <x:c r="K191" s="24" t="str">
        <x:v>KNAEP812GLK084213</x:v>
      </x:c>
      <x:c r="L191" s="24" t="str"/>
      <x:c r="M191" s="30" t="n">
        <x:v>43971</x:v>
      </x:c>
      <x:c r="N191" s="31"/>
      <x:c r="O191" s="30"/>
      <x:c r="P191" s="32"/>
      <x:c r="Q191" s="32"/>
      <x:c r="R191" s="32"/>
      <x:c r="S191" s="24" t="str"/>
      <x:c r="T191" s="32"/>
      <x:c r="U191" s="32"/>
      <x:c r="V191" s="24" t="str"/>
      <x:c r="W191" s="24" t="str"/>
      <x:c r="X191" s="32"/>
      <x:c r="Y191" s="33"/>
      <x:c r="Z191" s="31"/>
      <x:c r="AA191" s="24" t="str"/>
      <x:c r="AB191" s="30"/>
      <x:c r="AC191" s="30"/>
      <x:c r="AD191" s="32"/>
      <x:c r="AE191" s="32"/>
      <x:c r="AF191" s="24" t="str"/>
      <x:c r="AG191" s="24" t="str"/>
      <x:c r="AH191" s="30"/>
      <x:c r="AI191" s="24" t="str"/>
      <x:c r="AJ191" s="24" t="str"/>
      <x:c r="AK191" s="32"/>
      <x:c r="AL191" s="32"/>
      <x:c r="AM191" s="24" t="str"/>
      <x:c r="AN191" s="31" t="n">
        <x:v>31</x:v>
      </x:c>
    </x:row>
    <x:row r="192" ht="17.25" customHeight="1">
      <x:c r="A192" s="24" t="str">
        <x:v>프라임구독</x:v>
      </x:c>
      <x:c r="B192" s="24" t="str">
        <x:v>11구5844</x:v>
      </x:c>
      <x:c r="C192" s="24" t="str">
        <x:v>보유</x:v>
      </x:c>
      <x:c r="D192" s="24" t="str">
        <x:v>KGM</x:v>
      </x:c>
      <x:c r="E192" s="24" t="str">
        <x:v>렉스턴</x:v>
      </x:c>
      <x:c r="F192" s="24" t="str"/>
      <x:c r="G192" s="24" t="str">
        <x:v>디젤 2.0 2WD</x:v>
      </x:c>
      <x:c r="H192" s="24" t="str">
        <x:v>디젤</x:v>
      </x:c>
      <x:c r="I192" s="31" t="n">
        <x:v>1998</x:v>
      </x:c>
      <x:c r="J192" s="31" t="n">
        <x:v>2013</x:v>
      </x:c>
      <x:c r="K192" s="24" t="str">
        <x:v>KPBFH3AN1DP314137</x:v>
      </x:c>
      <x:c r="L192" s="24" t="str"/>
      <x:c r="M192" s="30" t="n">
        <x:v>41205</x:v>
      </x:c>
      <x:c r="N192" s="31"/>
      <x:c r="O192" s="30"/>
      <x:c r="P192" s="32"/>
      <x:c r="Q192" s="32"/>
      <x:c r="R192" s="32"/>
      <x:c r="S192" s="24" t="str"/>
      <x:c r="T192" s="32"/>
      <x:c r="U192" s="32"/>
      <x:c r="V192" s="24" t="str"/>
      <x:c r="W192" s="24" t="str"/>
      <x:c r="X192" s="32"/>
      <x:c r="Y192" s="33"/>
      <x:c r="Z192" s="31"/>
      <x:c r="AA192" s="24" t="str"/>
      <x:c r="AB192" s="30"/>
      <x:c r="AC192" s="30"/>
      <x:c r="AD192" s="32"/>
      <x:c r="AE192" s="32"/>
      <x:c r="AF192" s="24" t="str"/>
      <x:c r="AG192" s="24" t="str"/>
      <x:c r="AH192" s="30"/>
      <x:c r="AI192" s="24" t="str"/>
      <x:c r="AJ192" s="24" t="str"/>
      <x:c r="AK192" s="32"/>
      <x:c r="AL192" s="32"/>
      <x:c r="AM192" s="24" t="str"/>
      <x:c r="AN192" s="31" t="n">
        <x:v>32</x:v>
      </x:c>
    </x:row>
    <x:row r="193" ht="17.25" customHeight="1">
      <x:c r="A193" s="24" t="str">
        <x:v>프라임구독</x:v>
      </x:c>
      <x:c r="B193" s="24" t="str">
        <x:v>11머0509</x:v>
      </x:c>
      <x:c r="C193" s="24" t="str">
        <x:v>보유</x:v>
      </x:c>
      <x:c r="D193" s="24" t="str">
        <x:v>현대</x:v>
      </x:c>
      <x:c r="E193" s="24" t="str">
        <x:v>그랜저</x:v>
      </x:c>
      <x:c r="F193" s="24" t="str"/>
      <x:c r="G193" s="24" t="str">
        <x:v>가솔린 2.4 2WD</x:v>
      </x:c>
      <x:c r="H193" s="24" t="str">
        <x:v>가솔린</x:v>
      </x:c>
      <x:c r="I193" s="31" t="n">
        <x:v>2359</x:v>
      </x:c>
      <x:c r="J193" s="31" t="n">
        <x:v>2017</x:v>
      </x:c>
      <x:c r="K193" s="24" t="str">
        <x:v>KMHFF41CBHA574603</x:v>
      </x:c>
      <x:c r="L193" s="24" t="str"/>
      <x:c r="M193" s="30" t="n">
        <x:v>42591</x:v>
      </x:c>
      <x:c r="N193" s="31"/>
      <x:c r="O193" s="30"/>
      <x:c r="P193" s="32"/>
      <x:c r="Q193" s="32"/>
      <x:c r="R193" s="32"/>
      <x:c r="S193" s="24" t="str"/>
      <x:c r="T193" s="32"/>
      <x:c r="U193" s="32"/>
      <x:c r="V193" s="24" t="str"/>
      <x:c r="W193" s="24" t="str"/>
      <x:c r="X193" s="32"/>
      <x:c r="Y193" s="33"/>
      <x:c r="Z193" s="31"/>
      <x:c r="AA193" s="24" t="str"/>
      <x:c r="AB193" s="30"/>
      <x:c r="AC193" s="30"/>
      <x:c r="AD193" s="32"/>
      <x:c r="AE193" s="32"/>
      <x:c r="AF193" s="24" t="str"/>
      <x:c r="AG193" s="24" t="str"/>
      <x:c r="AH193" s="30"/>
      <x:c r="AI193" s="24" t="str"/>
      <x:c r="AJ193" s="24" t="str"/>
      <x:c r="AK193" s="32"/>
      <x:c r="AL193" s="32"/>
      <x:c r="AM193" s="24" t="str"/>
      <x:c r="AN193" s="31" t="n">
        <x:v>33</x:v>
      </x:c>
    </x:row>
    <x:row r="194" ht="17.25" customHeight="1">
      <x:c r="A194" s="24" t="str">
        <x:v>프라임구독</x:v>
      </x:c>
      <x:c r="B194" s="24" t="str">
        <x:v>11서5986</x:v>
      </x:c>
      <x:c r="C194" s="24" t="str">
        <x:v>보유</x:v>
      </x:c>
      <x:c r="D194" s="24" t="str">
        <x:v>현대</x:v>
      </x:c>
      <x:c r="E194" s="24" t="str">
        <x:v>그랜저</x:v>
      </x:c>
      <x:c r="F194" s="24" t="str"/>
      <x:c r="G194" s="24" t="str">
        <x:v>디젤 2.2</x:v>
      </x:c>
      <x:c r="H194" s="24" t="str">
        <x:v>디젤</x:v>
      </x:c>
      <x:c r="I194" s="31" t="n">
        <x:v>2199</x:v>
      </x:c>
      <x:c r="J194" s="31" t="n">
        <x:v>2016</x:v>
      </x:c>
      <x:c r="K194" s="24" t="str">
        <x:v>KMHFF41RBGA498092</x:v>
      </x:c>
      <x:c r="L194" s="24" t="str"/>
      <x:c r="M194" s="30" t="n">
        <x:v>42173</x:v>
      </x:c>
      <x:c r="N194" s="31"/>
      <x:c r="O194" s="30"/>
      <x:c r="P194" s="32"/>
      <x:c r="Q194" s="32"/>
      <x:c r="R194" s="32"/>
      <x:c r="S194" s="24" t="str"/>
      <x:c r="T194" s="32"/>
      <x:c r="U194" s="32"/>
      <x:c r="V194" s="24" t="str"/>
      <x:c r="W194" s="24" t="str"/>
      <x:c r="X194" s="32"/>
      <x:c r="Y194" s="33"/>
      <x:c r="Z194" s="31"/>
      <x:c r="AA194" s="24" t="str"/>
      <x:c r="AB194" s="30"/>
      <x:c r="AC194" s="30"/>
      <x:c r="AD194" s="32"/>
      <x:c r="AE194" s="32"/>
      <x:c r="AF194" s="24" t="str"/>
      <x:c r="AG194" s="24" t="str"/>
      <x:c r="AH194" s="30"/>
      <x:c r="AI194" s="24" t="str"/>
      <x:c r="AJ194" s="24" t="str"/>
      <x:c r="AK194" s="32"/>
      <x:c r="AL194" s="32"/>
      <x:c r="AM194" s="24" t="str"/>
      <x:c r="AN194" s="31" t="n">
        <x:v>34</x:v>
      </x:c>
    </x:row>
    <x:row r="195" ht="17.25" customHeight="1">
      <x:c r="A195" s="24" t="str">
        <x:v>프라임구독</x:v>
      </x:c>
      <x:c r="B195" s="24" t="str">
        <x:v>129수4096</x:v>
      </x:c>
      <x:c r="C195" s="24" t="str">
        <x:v>보유</x:v>
      </x:c>
      <x:c r="D195" s="24" t="str">
        <x:v>르노</x:v>
      </x:c>
      <x:c r="E195" s="24" t="str">
        <x:v>SM6</x:v>
      </x:c>
      <x:c r="F195" s="24" t="str"/>
      <x:c r="G195" s="24" t="str">
        <x:v>가솔린 2.0</x:v>
      </x:c>
      <x:c r="H195" s="24" t="str">
        <x:v>가솔린</x:v>
      </x:c>
      <x:c r="I195" s="31" t="n">
        <x:v>1997</x:v>
      </x:c>
      <x:c r="J195" s="31" t="n">
        <x:v>2016</x:v>
      </x:c>
      <x:c r="K195" s="24" t="str">
        <x:v>KNMA4C2BMGP025714</x:v>
      </x:c>
      <x:c r="L195" s="24" t="str"/>
      <x:c r="M195" s="30" t="n">
        <x:v>42608</x:v>
      </x:c>
      <x:c r="N195" s="31"/>
      <x:c r="O195" s="30"/>
      <x:c r="P195" s="32"/>
      <x:c r="Q195" s="32"/>
      <x:c r="R195" s="32"/>
      <x:c r="S195" s="24" t="str"/>
      <x:c r="T195" s="32"/>
      <x:c r="U195" s="32"/>
      <x:c r="V195" s="24" t="str"/>
      <x:c r="W195" s="24" t="str"/>
      <x:c r="X195" s="32"/>
      <x:c r="Y195" s="33"/>
      <x:c r="Z195" s="31"/>
      <x:c r="AA195" s="24" t="str"/>
      <x:c r="AB195" s="30"/>
      <x:c r="AC195" s="30"/>
      <x:c r="AD195" s="32"/>
      <x:c r="AE195" s="32"/>
      <x:c r="AF195" s="24" t="str"/>
      <x:c r="AG195" s="24" t="str"/>
      <x:c r="AH195" s="30"/>
      <x:c r="AI195" s="24" t="str"/>
      <x:c r="AJ195" s="24" t="str"/>
      <x:c r="AK195" s="32"/>
      <x:c r="AL195" s="32"/>
      <x:c r="AM195" s="24" t="str"/>
      <x:c r="AN195" s="31" t="n">
        <x:v>35</x:v>
      </x:c>
    </x:row>
    <x:row r="196" ht="17.25" customHeight="1">
      <x:c r="A196" s="24" t="str">
        <x:v>프라임구독</x:v>
      </x:c>
      <x:c r="B196" s="24" t="str">
        <x:v>12구3819</x:v>
      </x:c>
      <x:c r="C196" s="24" t="str">
        <x:v>O</x:v>
      </x:c>
      <x:c r="D196" s="24" t="str">
        <x:v>기아</x:v>
      </x:c>
      <x:c r="E196" s="24" t="str">
        <x:v>K7</x:v>
      </x:c>
      <x:c r="F196" s="24" t="str"/>
      <x:c r="G196" s="24" t="str">
        <x:v>가솔린 2.4</x:v>
      </x:c>
      <x:c r="H196" s="24" t="str">
        <x:v>가솔린</x:v>
      </x:c>
      <x:c r="I196" s="31" t="n">
        <x:v>2359</x:v>
      </x:c>
      <x:c r="J196" s="31" t="n">
        <x:v>2013</x:v>
      </x:c>
      <x:c r="K196" s="24" t="str">
        <x:v>KNALM415DBA142640</x:v>
      </x:c>
      <x:c r="L196" s="24" t="str"/>
      <x:c r="M196" s="30" t="n">
        <x:v>41533</x:v>
      </x:c>
      <x:c r="N196" s="31"/>
      <x:c r="O196" s="30"/>
      <x:c r="P196" s="32"/>
      <x:c r="Q196" s="32"/>
      <x:c r="R196" s="32"/>
      <x:c r="S196" s="24" t="str"/>
      <x:c r="T196" s="32"/>
      <x:c r="U196" s="32"/>
      <x:c r="V196" s="24" t="str"/>
      <x:c r="W196" s="24" t="str"/>
      <x:c r="X196" s="32"/>
      <x:c r="Y196" s="33"/>
      <x:c r="Z196" s="31"/>
      <x:c r="AA196" s="24" t="str"/>
      <x:c r="AB196" s="30"/>
      <x:c r="AC196" s="30"/>
      <x:c r="AD196" s="32"/>
      <x:c r="AE196" s="32"/>
      <x:c r="AF196" s="24" t="str"/>
      <x:c r="AG196" s="24" t="str"/>
      <x:c r="AH196" s="30" t="n">
        <x:v>45569</x:v>
      </x:c>
      <x:c r="AI196" s="24" t="str"/>
      <x:c r="AJ196" s="24" t="str">
        <x:v>O</x:v>
      </x:c>
      <x:c r="AK196" s="32"/>
      <x:c r="AL196" s="32"/>
      <x:c r="AM196" s="24" t="str"/>
      <x:c r="AN196" s="31" t="n">
        <x:v>36</x:v>
      </x:c>
    </x:row>
    <x:row r="197" ht="17.25" customHeight="1">
      <x:c r="A197" s="24" t="str">
        <x:v>프라임구독</x:v>
      </x:c>
      <x:c r="B197" s="24" t="str">
        <x:v>136저9431</x:v>
      </x:c>
      <x:c r="C197" s="24" t="str">
        <x:v>보유</x:v>
      </x:c>
      <x:c r="D197" s="24" t="str">
        <x:v>기아</x:v>
      </x:c>
      <x:c r="E197" s="24" t="str">
        <x:v>K7</x:v>
      </x:c>
      <x:c r="F197" s="24" t="str"/>
      <x:c r="G197" s="24" t="str">
        <x:v>가솔린 3.3</x:v>
      </x:c>
      <x:c r="H197" s="24" t="str">
        <x:v>가솔린</x:v>
      </x:c>
      <x:c r="I197" s="31" t="n">
        <x:v>3342</x:v>
      </x:c>
      <x:c r="J197" s="31" t="n">
        <x:v>2017</x:v>
      </x:c>
      <x:c r="K197" s="24" t="str">
        <x:v>KNALC411BHA076332</x:v>
      </x:c>
      <x:c r="L197" s="24" t="str"/>
      <x:c r="M197" s="30" t="n">
        <x:v>42846</x:v>
      </x:c>
      <x:c r="N197" s="31"/>
      <x:c r="O197" s="30"/>
      <x:c r="P197" s="32"/>
      <x:c r="Q197" s="32"/>
      <x:c r="R197" s="32"/>
      <x:c r="S197" s="24" t="str"/>
      <x:c r="T197" s="32"/>
      <x:c r="U197" s="32"/>
      <x:c r="V197" s="24" t="str"/>
      <x:c r="W197" s="24" t="str"/>
      <x:c r="X197" s="32"/>
      <x:c r="Y197" s="33"/>
      <x:c r="Z197" s="31"/>
      <x:c r="AA197" s="24" t="str"/>
      <x:c r="AB197" s="30"/>
      <x:c r="AC197" s="30"/>
      <x:c r="AD197" s="32"/>
      <x:c r="AE197" s="32"/>
      <x:c r="AF197" s="24" t="str"/>
      <x:c r="AG197" s="24" t="str"/>
      <x:c r="AH197" s="30"/>
      <x:c r="AI197" s="24" t="str"/>
      <x:c r="AJ197" s="24" t="str"/>
      <x:c r="AK197" s="32"/>
      <x:c r="AL197" s="32"/>
      <x:c r="AM197" s="24" t="str"/>
      <x:c r="AN197" s="31" t="n">
        <x:v>37</x:v>
      </x:c>
    </x:row>
    <x:row r="198" ht="17.25" customHeight="1">
      <x:c r="A198" s="24" t="str">
        <x:v>프라임구독</x:v>
      </x:c>
      <x:c r="B198" s="24" t="str">
        <x:v>13누7578</x:v>
      </x:c>
      <x:c r="C198" s="24" t="str">
        <x:v>O</x:v>
      </x:c>
      <x:c r="D198" s="24" t="str">
        <x:v>현대</x:v>
      </x:c>
      <x:c r="E198" s="24" t="str">
        <x:v>쏘나타</x:v>
      </x:c>
      <x:c r="F198" s="24" t="str"/>
      <x:c r="G198" s="24" t="str">
        <x:v>가솔린 2.0</x:v>
      </x:c>
      <x:c r="H198" s="24" t="str">
        <x:v>가솔린</x:v>
      </x:c>
      <x:c r="I198" s="31" t="n">
        <x:v>1999</x:v>
      </x:c>
      <x:c r="J198" s="31" t="n">
        <x:v>2015</x:v>
      </x:c>
      <x:c r="K198" s="24" t="str">
        <x:v>KMHE341CBFA005573</x:v>
      </x:c>
      <x:c r="L198" s="24" t="str"/>
      <x:c r="M198" s="30" t="n">
        <x:v>41739</x:v>
      </x:c>
      <x:c r="N198" s="31"/>
      <x:c r="O198" s="30"/>
      <x:c r="P198" s="32"/>
      <x:c r="Q198" s="32"/>
      <x:c r="R198" s="32"/>
      <x:c r="S198" s="24" t="str"/>
      <x:c r="T198" s="32"/>
      <x:c r="U198" s="32"/>
      <x:c r="V198" s="24" t="str"/>
      <x:c r="W198" s="24" t="str"/>
      <x:c r="X198" s="32"/>
      <x:c r="Y198" s="33"/>
      <x:c r="Z198" s="31"/>
      <x:c r="AA198" s="24" t="str"/>
      <x:c r="AB198" s="30"/>
      <x:c r="AC198" s="30"/>
      <x:c r="AD198" s="32"/>
      <x:c r="AE198" s="32"/>
      <x:c r="AF198" s="24" t="str"/>
      <x:c r="AG198" s="24" t="str"/>
      <x:c r="AH198" s="30" t="n">
        <x:v>45547</x:v>
      </x:c>
      <x:c r="AI198" s="24" t="str"/>
      <x:c r="AJ198" s="24" t="str">
        <x:v>O</x:v>
      </x:c>
      <x:c r="AK198" s="32"/>
      <x:c r="AL198" s="32"/>
      <x:c r="AM198" s="24" t="str"/>
      <x:c r="AN198" s="31" t="n">
        <x:v>38</x:v>
      </x:c>
    </x:row>
    <x:row r="199" ht="17.25" customHeight="1">
      <x:c r="A199" s="24" t="str">
        <x:v>프라임구독</x:v>
      </x:c>
      <x:c r="B199" s="24" t="str">
        <x:v>13보6078</x:v>
      </x:c>
      <x:c r="C199" s="24" t="str">
        <x:v>보유</x:v>
      </x:c>
      <x:c r="D199" s="24" t="str">
        <x:v>벤츠</x:v>
      </x:c>
      <x:c r="E199" s="24" t="str">
        <x:v>S500L</x:v>
      </x:c>
      <x:c r="F199" s="24" t="str"/>
      <x:c r="G199" s="24" t="str">
        <x:v>가솔린 4.7</x:v>
      </x:c>
      <x:c r="H199" s="24" t="str">
        <x:v>가솔린</x:v>
      </x:c>
      <x:c r="I199" s="31" t="n">
        <x:v>4663</x:v>
      </x:c>
      <x:c r="J199" s="31" t="n">
        <x:v>2015</x:v>
      </x:c>
      <x:c r="K199" s="24" t="str">
        <x:v>WDDUG8FB1FA102520</x:v>
      </x:c>
      <x:c r="L199" s="24" t="str"/>
      <x:c r="M199" s="30" t="n">
        <x:v>41887</x:v>
      </x:c>
      <x:c r="N199" s="31"/>
      <x:c r="O199" s="30"/>
      <x:c r="P199" s="32"/>
      <x:c r="Q199" s="32"/>
      <x:c r="R199" s="32"/>
      <x:c r="S199" s="24" t="str"/>
      <x:c r="T199" s="32"/>
      <x:c r="U199" s="32"/>
      <x:c r="V199" s="24" t="str"/>
      <x:c r="W199" s="24" t="str"/>
      <x:c r="X199" s="32"/>
      <x:c r="Y199" s="33"/>
      <x:c r="Z199" s="31"/>
      <x:c r="AA199" s="24" t="str"/>
      <x:c r="AB199" s="30"/>
      <x:c r="AC199" s="30"/>
      <x:c r="AD199" s="32"/>
      <x:c r="AE199" s="32"/>
      <x:c r="AF199" s="24" t="str"/>
      <x:c r="AG199" s="24" t="str"/>
      <x:c r="AH199" s="30"/>
      <x:c r="AI199" s="24" t="str"/>
      <x:c r="AJ199" s="24" t="str"/>
      <x:c r="AK199" s="32"/>
      <x:c r="AL199" s="32"/>
      <x:c r="AM199" s="24" t="str"/>
      <x:c r="AN199" s="31" t="n">
        <x:v>39</x:v>
      </x:c>
    </x:row>
    <x:row r="200" ht="17.25" customHeight="1">
      <x:c r="A200" s="24" t="str">
        <x:v>프라임구독</x:v>
      </x:c>
      <x:c r="B200" s="24" t="str">
        <x:v>13서8926</x:v>
      </x:c>
      <x:c r="C200" s="24" t="str">
        <x:v>보유</x:v>
      </x:c>
      <x:c r="D200" s="24" t="str">
        <x:v>기아</x:v>
      </x:c>
      <x:c r="E200" s="24" t="str">
        <x:v>카니발</x:v>
      </x:c>
      <x:c r="F200" s="24" t="str"/>
      <x:c r="G200" s="24" t="str">
        <x:v>디젤 2.2</x:v>
      </x:c>
      <x:c r="H200" s="24" t="str">
        <x:v>디젤</x:v>
      </x:c>
      <x:c r="I200" s="31" t="n">
        <x:v>2199</x:v>
      </x:c>
      <x:c r="J200" s="31" t="n">
        <x:v>2015</x:v>
      </x:c>
      <x:c r="K200" s="24" t="str">
        <x:v>KNAMB81ABFS002754</x:v>
      </x:c>
      <x:c r="L200" s="24" t="str"/>
      <x:c r="M200" s="30" t="n">
        <x:v>41817</x:v>
      </x:c>
      <x:c r="N200" s="31"/>
      <x:c r="O200" s="30"/>
      <x:c r="P200" s="32"/>
      <x:c r="Q200" s="32"/>
      <x:c r="R200" s="32"/>
      <x:c r="S200" s="24" t="str"/>
      <x:c r="T200" s="32"/>
      <x:c r="U200" s="32"/>
      <x:c r="V200" s="24" t="str"/>
      <x:c r="W200" s="24" t="str"/>
      <x:c r="X200" s="32"/>
      <x:c r="Y200" s="33"/>
      <x:c r="Z200" s="31"/>
      <x:c r="AA200" s="24" t="str"/>
      <x:c r="AB200" s="30"/>
      <x:c r="AC200" s="30"/>
      <x:c r="AD200" s="32"/>
      <x:c r="AE200" s="32"/>
      <x:c r="AF200" s="24" t="str"/>
      <x:c r="AG200" s="24" t="str"/>
      <x:c r="AH200" s="30"/>
      <x:c r="AI200" s="24" t="str"/>
      <x:c r="AJ200" s="24" t="str"/>
      <x:c r="AK200" s="32"/>
      <x:c r="AL200" s="32"/>
      <x:c r="AM200" s="24" t="str"/>
      <x:c r="AN200" s="31" t="n">
        <x:v>40</x:v>
      </x:c>
    </x:row>
    <x:row r="201" ht="17.25" customHeight="1">
      <x:c r="A201" s="24" t="str">
        <x:v>프라임구독</x:v>
      </x:c>
      <x:c r="B201" s="24" t="str">
        <x:v>141라3003</x:v>
      </x:c>
      <x:c r="C201" s="24" t="str">
        <x:v>보유</x:v>
      </x:c>
      <x:c r="D201" s="24" t="str">
        <x:v>제네시스</x:v>
      </x:c>
      <x:c r="E201" s="24" t="str">
        <x:v>G80</x:v>
      </x:c>
      <x:c r="F201" s="24" t="str"/>
      <x:c r="G201" s="24" t="str">
        <x:v>가솔린 2.5T 2WD</x:v>
      </x:c>
      <x:c r="H201" s="24" t="str">
        <x:v>가솔린</x:v>
      </x:c>
      <x:c r="I201" s="31" t="n">
        <x:v>2497</x:v>
      </x:c>
      <x:c r="J201" s="31" t="n">
        <x:v>2021</x:v>
      </x:c>
      <x:c r="K201" s="24" t="str">
        <x:v>KMTGB41CDMU003290</x:v>
      </x:c>
      <x:c r="L201" s="24" t="str"/>
      <x:c r="M201" s="30" t="n">
        <x:v>43976</x:v>
      </x:c>
      <x:c r="N201" s="31"/>
      <x:c r="O201" s="30"/>
      <x:c r="P201" s="32"/>
      <x:c r="Q201" s="32"/>
      <x:c r="R201" s="32"/>
      <x:c r="S201" s="24" t="str"/>
      <x:c r="T201" s="32"/>
      <x:c r="U201" s="32"/>
      <x:c r="V201" s="24" t="str"/>
      <x:c r="W201" s="24" t="str"/>
      <x:c r="X201" s="32"/>
      <x:c r="Y201" s="33"/>
      <x:c r="Z201" s="31"/>
      <x:c r="AA201" s="24" t="str"/>
      <x:c r="AB201" s="30"/>
      <x:c r="AC201" s="30"/>
      <x:c r="AD201" s="32"/>
      <x:c r="AE201" s="32"/>
      <x:c r="AF201" s="24" t="str"/>
      <x:c r="AG201" s="24" t="str"/>
      <x:c r="AH201" s="30"/>
      <x:c r="AI201" s="24" t="str"/>
      <x:c r="AJ201" s="24" t="str"/>
      <x:c r="AK201" s="32"/>
      <x:c r="AL201" s="32"/>
      <x:c r="AM201" s="24" t="str"/>
      <x:c r="AN201" s="31" t="n">
        <x:v>41</x:v>
      </x:c>
    </x:row>
    <x:row r="202" ht="17.25" customHeight="1">
      <x:c r="A202" s="24" t="str">
        <x:v>프라임구독</x:v>
      </x:c>
      <x:c r="B202" s="24" t="str">
        <x:v>141로3689</x:v>
      </x:c>
      <x:c r="C202" s="24" t="str">
        <x:v>보유</x:v>
      </x:c>
      <x:c r="D202" s="24" t="str">
        <x:v>KGM</x:v>
      </x:c>
      <x:c r="E202" s="24" t="str">
        <x:v>코란도</x:v>
      </x:c>
      <x:c r="F202" s="24" t="str"/>
      <x:c r="G202" s="24" t="str">
        <x:v>디젤 1.6 2WD</x:v>
      </x:c>
      <x:c r="H202" s="24" t="str">
        <x:v>디젤</x:v>
      </x:c>
      <x:c r="I202" s="31" t="n">
        <x:v>1597</x:v>
      </x:c>
      <x:c r="J202" s="31" t="n">
        <x:v>2020</x:v>
      </x:c>
      <x:c r="K202" s="24" t="str">
        <x:v>KPBAA3AP1LP021673</x:v>
      </x:c>
      <x:c r="L202" s="24" t="str"/>
      <x:c r="M202" s="30" t="n">
        <x:v>43832</x:v>
      </x:c>
      <x:c r="N202" s="31"/>
      <x:c r="O202" s="30"/>
      <x:c r="P202" s="32"/>
      <x:c r="Q202" s="32"/>
      <x:c r="R202" s="32"/>
      <x:c r="S202" s="24" t="str"/>
      <x:c r="T202" s="32"/>
      <x:c r="U202" s="32"/>
      <x:c r="V202" s="24" t="str"/>
      <x:c r="W202" s="24" t="str"/>
      <x:c r="X202" s="32"/>
      <x:c r="Y202" s="33"/>
      <x:c r="Z202" s="31"/>
      <x:c r="AA202" s="24" t="str"/>
      <x:c r="AB202" s="30"/>
      <x:c r="AC202" s="30"/>
      <x:c r="AD202" s="32"/>
      <x:c r="AE202" s="32"/>
      <x:c r="AF202" s="24" t="str"/>
      <x:c r="AG202" s="24" t="str"/>
      <x:c r="AH202" s="30"/>
      <x:c r="AI202" s="24" t="str"/>
      <x:c r="AJ202" s="24" t="str"/>
      <x:c r="AK202" s="32"/>
      <x:c r="AL202" s="32"/>
      <x:c r="AM202" s="24" t="str"/>
      <x:c r="AN202" s="31" t="n">
        <x:v>42</x:v>
      </x:c>
    </x:row>
    <x:row r="203" ht="17.25" customHeight="1">
      <x:c r="A203" s="24" t="str">
        <x:v>프라임구독</x:v>
      </x:c>
      <x:c r="B203" s="24" t="str">
        <x:v>145부9300</x:v>
      </x:c>
      <x:c r="C203" s="24" t="str">
        <x:v>보유</x:v>
      </x:c>
      <x:c r="D203" s="24" t="str">
        <x:v>기아</x:v>
      </x:c>
      <x:c r="E203" s="24" t="str">
        <x:v>K7</x:v>
      </x:c>
      <x:c r="F203" s="24" t="str"/>
      <x:c r="G203" s="24" t="str">
        <x:v>가솔린 2.4</x:v>
      </x:c>
      <x:c r="H203" s="24" t="str">
        <x:v>가솔린</x:v>
      </x:c>
      <x:c r="I203" s="31" t="n">
        <x:v>2359</x:v>
      </x:c>
      <x:c r="J203" s="31" t="n">
        <x:v>2017</x:v>
      </x:c>
      <x:c r="K203" s="24" t="str">
        <x:v>KNALB415BHA097549</x:v>
      </x:c>
      <x:c r="L203" s="24" t="str"/>
      <x:c r="M203" s="30" t="n">
        <x:v>42968</x:v>
      </x:c>
      <x:c r="N203" s="31"/>
      <x:c r="O203" s="30"/>
      <x:c r="P203" s="32"/>
      <x:c r="Q203" s="32"/>
      <x:c r="R203" s="32"/>
      <x:c r="S203" s="24" t="str"/>
      <x:c r="T203" s="32"/>
      <x:c r="U203" s="32"/>
      <x:c r="V203" s="24" t="str"/>
      <x:c r="W203" s="24" t="str"/>
      <x:c r="X203" s="32"/>
      <x:c r="Y203" s="33"/>
      <x:c r="Z203" s="31"/>
      <x:c r="AA203" s="24" t="str"/>
      <x:c r="AB203" s="30"/>
      <x:c r="AC203" s="30"/>
      <x:c r="AD203" s="32"/>
      <x:c r="AE203" s="32"/>
      <x:c r="AF203" s="24" t="str"/>
      <x:c r="AG203" s="24" t="str"/>
      <x:c r="AH203" s="30"/>
      <x:c r="AI203" s="24" t="str"/>
      <x:c r="AJ203" s="24" t="str"/>
      <x:c r="AK203" s="32"/>
      <x:c r="AL203" s="32"/>
      <x:c r="AM203" s="24" t="str"/>
      <x:c r="AN203" s="31" t="n">
        <x:v>43</x:v>
      </x:c>
    </x:row>
    <x:row r="204" ht="17.25" customHeight="1">
      <x:c r="A204" s="24" t="str">
        <x:v>프라임구독</x:v>
      </x:c>
      <x:c r="B204" s="24" t="str">
        <x:v>149마1752</x:v>
      </x:c>
      <x:c r="C204" s="24" t="str">
        <x:v>O</x:v>
      </x:c>
      <x:c r="D204" s="24" t="str"/>
      <x:c r="E204" s="24" t="str"/>
      <x:c r="F204" s="24" t="str"/>
      <x:c r="G204" s="24" t="str">
        <x:v>가솔린 3.0</x:v>
      </x:c>
      <x:c r="H204" s="24" t="str"/>
      <x:c r="I204" s="31"/>
      <x:c r="J204" s="31"/>
      <x:c r="K204" s="24" t="str"/>
      <x:c r="L204" s="24" t="str"/>
      <x:c r="M204" s="30"/>
      <x:c r="N204" s="31"/>
      <x:c r="O204" s="30"/>
      <x:c r="P204" s="32"/>
      <x:c r="Q204" s="32"/>
      <x:c r="R204" s="32"/>
      <x:c r="S204" s="24" t="str"/>
      <x:c r="T204" s="32"/>
      <x:c r="U204" s="32"/>
      <x:c r="V204" s="24" t="str"/>
      <x:c r="W204" s="24" t="str"/>
      <x:c r="X204" s="32"/>
      <x:c r="Y204" s="33"/>
      <x:c r="Z204" s="31"/>
      <x:c r="AA204" s="24" t="str"/>
      <x:c r="AB204" s="30"/>
      <x:c r="AC204" s="30"/>
      <x:c r="AD204" s="32"/>
      <x:c r="AE204" s="32"/>
      <x:c r="AF204" s="24" t="str"/>
      <x:c r="AG204" s="24" t="str"/>
      <x:c r="AH204" s="30" t="n">
        <x:v>45526</x:v>
      </x:c>
      <x:c r="AI204" s="24" t="str"/>
      <x:c r="AJ204" s="24" t="str">
        <x:v>O</x:v>
      </x:c>
      <x:c r="AK204" s="32"/>
      <x:c r="AL204" s="32"/>
      <x:c r="AM204" s="24" t="str"/>
      <x:c r="AN204" s="31" t="n">
        <x:v>44</x:v>
      </x:c>
    </x:row>
    <x:row r="205" ht="17.25" customHeight="1">
      <x:c r="A205" s="24" t="str">
        <x:v>프라임구독</x:v>
      </x:c>
      <x:c r="B205" s="24" t="str">
        <x:v>149머3346</x:v>
      </x:c>
      <x:c r="C205" s="24" t="str">
        <x:v>O</x:v>
      </x:c>
      <x:c r="D205" s="24" t="str">
        <x:v>쉐보레</x:v>
      </x:c>
      <x:c r="E205" s="24" t="str">
        <x:v>스파크</x:v>
      </x:c>
      <x:c r="F205" s="24" t="str"/>
      <x:c r="G205" s="24" t="str">
        <x:v>가솔린 1.0</x:v>
      </x:c>
      <x:c r="H205" s="24" t="str">
        <x:v>가솔린</x:v>
      </x:c>
      <x:c r="I205" s="31" t="n">
        <x:v>999</x:v>
      </x:c>
      <x:c r="J205" s="31" t="n">
        <x:v>2020</x:v>
      </x:c>
      <x:c r="K205" s="24" t="str">
        <x:v>KLYDC487DLC448387</x:v>
      </x:c>
      <x:c r="L205" s="24" t="str"/>
      <x:c r="M205" s="30" t="n">
        <x:v>43826</x:v>
      </x:c>
      <x:c r="N205" s="31"/>
      <x:c r="O205" s="30"/>
      <x:c r="P205" s="32"/>
      <x:c r="Q205" s="32"/>
      <x:c r="R205" s="32"/>
      <x:c r="S205" s="24" t="str"/>
      <x:c r="T205" s="32"/>
      <x:c r="U205" s="32"/>
      <x:c r="V205" s="24" t="str"/>
      <x:c r="W205" s="24" t="str"/>
      <x:c r="X205" s="32"/>
      <x:c r="Y205" s="33"/>
      <x:c r="Z205" s="31"/>
      <x:c r="AA205" s="24" t="str"/>
      <x:c r="AB205" s="30"/>
      <x:c r="AC205" s="30"/>
      <x:c r="AD205" s="32"/>
      <x:c r="AE205" s="32"/>
      <x:c r="AF205" s="24" t="str"/>
      <x:c r="AG205" s="24" t="str"/>
      <x:c r="AH205" s="30" t="n">
        <x:v>45530</x:v>
      </x:c>
      <x:c r="AI205" s="24" t="str"/>
      <x:c r="AJ205" s="24" t="str">
        <x:v>O</x:v>
      </x:c>
      <x:c r="AK205" s="32"/>
      <x:c r="AL205" s="32"/>
      <x:c r="AM205" s="24" t="str"/>
      <x:c r="AN205" s="31" t="n">
        <x:v>45</x:v>
      </x:c>
    </x:row>
    <x:row r="206" ht="17.25" customHeight="1">
      <x:c r="A206" s="24" t="str">
        <x:v>프라임구독</x:v>
      </x:c>
      <x:c r="B206" s="24" t="str">
        <x:v>14누0912</x:v>
      </x:c>
      <x:c r="C206" s="24" t="str">
        <x:v>보유</x:v>
      </x:c>
      <x:c r="D206" s="24" t="str">
        <x:v>기아</x:v>
      </x:c>
      <x:c r="E206" s="24" t="str">
        <x:v>K7</x:v>
      </x:c>
      <x:c r="F206" s="24" t="str"/>
      <x:c r="G206" s="24" t="str">
        <x:v>디젤 2.2</x:v>
      </x:c>
      <x:c r="H206" s="24" t="str">
        <x:v>디젤</x:v>
      </x:c>
      <x:c r="I206" s="31" t="n">
        <x:v>2199</x:v>
      </x:c>
      <x:c r="J206" s="31" t="n">
        <x:v>2016</x:v>
      </x:c>
      <x:c r="K206" s="24" t="str">
        <x:v>KNALB41ABGA022357</x:v>
      </x:c>
      <x:c r="L206" s="24" t="str"/>
      <x:c r="M206" s="30" t="n">
        <x:v>42528</x:v>
      </x:c>
      <x:c r="N206" s="31"/>
      <x:c r="O206" s="30"/>
      <x:c r="P206" s="32"/>
      <x:c r="Q206" s="32"/>
      <x:c r="R206" s="32"/>
      <x:c r="S206" s="24" t="str"/>
      <x:c r="T206" s="32"/>
      <x:c r="U206" s="32"/>
      <x:c r="V206" s="24" t="str"/>
      <x:c r="W206" s="24" t="str"/>
      <x:c r="X206" s="32"/>
      <x:c r="Y206" s="33"/>
      <x:c r="Z206" s="31"/>
      <x:c r="AA206" s="24" t="str"/>
      <x:c r="AB206" s="30"/>
      <x:c r="AC206" s="30"/>
      <x:c r="AD206" s="32"/>
      <x:c r="AE206" s="32"/>
      <x:c r="AF206" s="24" t="str"/>
      <x:c r="AG206" s="24" t="str"/>
      <x:c r="AH206" s="30"/>
      <x:c r="AI206" s="24" t="str"/>
      <x:c r="AJ206" s="24" t="str"/>
      <x:c r="AK206" s="32"/>
      <x:c r="AL206" s="32"/>
      <x:c r="AM206" s="24" t="str"/>
      <x:c r="AN206" s="31" t="n">
        <x:v>46</x:v>
      </x:c>
    </x:row>
    <x:row r="207" ht="17.25" customHeight="1">
      <x:c r="A207" s="24" t="str">
        <x:v>프라임구독</x:v>
      </x:c>
      <x:c r="B207" s="24" t="str">
        <x:v>14도4653</x:v>
      </x:c>
      <x:c r="C207" s="24" t="str">
        <x:v>보유</x:v>
      </x:c>
      <x:c r="D207" s="24" t="str">
        <x:v>기아</x:v>
      </x:c>
      <x:c r="E207" s="24" t="str">
        <x:v>모닝</x:v>
      </x:c>
      <x:c r="F207" s="24" t="str"/>
      <x:c r="G207" s="24" t="str">
        <x:v>가솔린 1.0</x:v>
      </x:c>
      <x:c r="H207" s="24" t="str">
        <x:v>가솔린</x:v>
      </x:c>
      <x:c r="I207" s="31" t="n">
        <x:v>998</x:v>
      </x:c>
      <x:c r="J207" s="31" t="n">
        <x:v>2018</x:v>
      </x:c>
      <x:c r="K207" s="24" t="str">
        <x:v>KNAB5511BJT278235</x:v>
      </x:c>
      <x:c r="L207" s="24" t="str"/>
      <x:c r="M207" s="30" t="n">
        <x:v>41868</x:v>
      </x:c>
      <x:c r="N207" s="31"/>
      <x:c r="O207" s="30"/>
      <x:c r="P207" s="32"/>
      <x:c r="Q207" s="32"/>
      <x:c r="R207" s="32"/>
      <x:c r="S207" s="24" t="str"/>
      <x:c r="T207" s="32"/>
      <x:c r="U207" s="32"/>
      <x:c r="V207" s="24" t="str"/>
      <x:c r="W207" s="24" t="str"/>
      <x:c r="X207" s="32"/>
      <x:c r="Y207" s="33"/>
      <x:c r="Z207" s="31"/>
      <x:c r="AA207" s="24" t="str"/>
      <x:c r="AB207" s="30"/>
      <x:c r="AC207" s="30"/>
      <x:c r="AD207" s="32"/>
      <x:c r="AE207" s="32"/>
      <x:c r="AF207" s="24" t="str"/>
      <x:c r="AG207" s="24" t="str"/>
      <x:c r="AH207" s="30"/>
      <x:c r="AI207" s="24" t="str"/>
      <x:c r="AJ207" s="24" t="str"/>
      <x:c r="AK207" s="32"/>
      <x:c r="AL207" s="32"/>
      <x:c r="AM207" s="24" t="str"/>
      <x:c r="AN207" s="31" t="n">
        <x:v>47</x:v>
      </x:c>
    </x:row>
    <x:row r="208" ht="17.25" customHeight="1">
      <x:c r="A208" s="24" t="str">
        <x:v>프라임구독</x:v>
      </x:c>
      <x:c r="B208" s="24" t="str">
        <x:v>14두9128</x:v>
      </x:c>
      <x:c r="C208" s="24" t="str">
        <x:v>보유</x:v>
      </x:c>
      <x:c r="D208" s="24" t="str">
        <x:v>BMW</x:v>
      </x:c>
      <x:c r="E208" s="24" t="str">
        <x:v>미니쿠퍼D</x:v>
      </x:c>
      <x:c r="F208" s="24" t="str"/>
      <x:c r="G208" s="24" t="str">
        <x:v>디젤 2.0</x:v>
      </x:c>
      <x:c r="H208" s="24" t="str">
        <x:v>디젤</x:v>
      </x:c>
      <x:c r="I208" s="31" t="n">
        <x:v>1995</x:v>
      </x:c>
      <x:c r="J208" s="31" t="n">
        <x:v>2018</x:v>
      </x:c>
      <x:c r="K208" s="24" t="str">
        <x:v>WMWYU1102J3E83695</x:v>
      </x:c>
      <x:c r="L208" s="24" t="str"/>
      <x:c r="M208" s="30" t="n">
        <x:v>43159</x:v>
      </x:c>
      <x:c r="N208" s="31"/>
      <x:c r="O208" s="30"/>
      <x:c r="P208" s="32"/>
      <x:c r="Q208" s="32"/>
      <x:c r="R208" s="32"/>
      <x:c r="S208" s="24" t="str"/>
      <x:c r="T208" s="32"/>
      <x:c r="U208" s="32"/>
      <x:c r="V208" s="24" t="str"/>
      <x:c r="W208" s="24" t="str"/>
      <x:c r="X208" s="32"/>
      <x:c r="Y208" s="33"/>
      <x:c r="Z208" s="31"/>
      <x:c r="AA208" s="24" t="str"/>
      <x:c r="AB208" s="30"/>
      <x:c r="AC208" s="30"/>
      <x:c r="AD208" s="32"/>
      <x:c r="AE208" s="32"/>
      <x:c r="AF208" s="24" t="str"/>
      <x:c r="AG208" s="24" t="str"/>
      <x:c r="AH208" s="30"/>
      <x:c r="AI208" s="24" t="str"/>
      <x:c r="AJ208" s="24" t="str"/>
      <x:c r="AK208" s="32"/>
      <x:c r="AL208" s="32"/>
      <x:c r="AM208" s="24" t="str"/>
      <x:c r="AN208" s="31" t="n">
        <x:v>48</x:v>
      </x:c>
    </x:row>
    <x:row r="209" ht="17.25" customHeight="1">
      <x:c r="A209" s="24" t="str">
        <x:v>프라임구독</x:v>
      </x:c>
      <x:c r="B209" s="24" t="str">
        <x:v>14소0456</x:v>
      </x:c>
      <x:c r="C209" s="24" t="str">
        <x:v>보유</x:v>
      </x:c>
      <x:c r="D209" s="24" t="str">
        <x:v>기아</x:v>
      </x:c>
      <x:c r="E209" s="24" t="str">
        <x:v>K5</x:v>
      </x:c>
      <x:c r="F209" s="24" t="str"/>
      <x:c r="G209" s="24" t="str">
        <x:v>가솔린 2.0</x:v>
      </x:c>
      <x:c r="H209" s="24" t="str">
        <x:v>가솔린</x:v>
      </x:c>
      <x:c r="I209" s="31" t="n">
        <x:v>1999</x:v>
      </x:c>
      <x:c r="J209" s="31" t="n">
        <x:v>2016</x:v>
      </x:c>
      <x:c r="K209" s="24" t="str">
        <x:v>KNAGX411BGA108469</x:v>
      </x:c>
      <x:c r="L209" s="24" t="str"/>
      <x:c r="M209" s="30" t="n">
        <x:v>42611</x:v>
      </x:c>
      <x:c r="N209" s="31"/>
      <x:c r="O209" s="30"/>
      <x:c r="P209" s="32"/>
      <x:c r="Q209" s="32"/>
      <x:c r="R209" s="32"/>
      <x:c r="S209" s="24" t="str"/>
      <x:c r="T209" s="32"/>
      <x:c r="U209" s="32"/>
      <x:c r="V209" s="24" t="str"/>
      <x:c r="W209" s="24" t="str"/>
      <x:c r="X209" s="32"/>
      <x:c r="Y209" s="33"/>
      <x:c r="Z209" s="31"/>
      <x:c r="AA209" s="24" t="str"/>
      <x:c r="AB209" s="30"/>
      <x:c r="AC209" s="30"/>
      <x:c r="AD209" s="32"/>
      <x:c r="AE209" s="32"/>
      <x:c r="AF209" s="24" t="str"/>
      <x:c r="AG209" s="24" t="str"/>
      <x:c r="AH209" s="30"/>
      <x:c r="AI209" s="24" t="str"/>
      <x:c r="AJ209" s="24" t="str"/>
      <x:c r="AK209" s="32"/>
      <x:c r="AL209" s="32"/>
      <x:c r="AM209" s="24" t="str"/>
      <x:c r="AN209" s="31" t="n">
        <x:v>49</x:v>
      </x:c>
    </x:row>
    <x:row r="210" ht="17.25" customHeight="1">
      <x:c r="A210" s="24" t="str">
        <x:v>프라임구독</x:v>
      </x:c>
      <x:c r="B210" s="24" t="str">
        <x:v>14어6490</x:v>
      </x:c>
      <x:c r="C210" s="24" t="str">
        <x:v>O</x:v>
      </x:c>
      <x:c r="D210" s="24" t="str">
        <x:v>기아</x:v>
      </x:c>
      <x:c r="E210" s="24" t="str">
        <x:v>스포티지</x:v>
      </x:c>
      <x:c r="F210" s="24" t="str"/>
      <x:c r="G210" s="24" t="str">
        <x:v>디젤 2.0 2WD</x:v>
      </x:c>
      <x:c r="H210" s="24" t="str">
        <x:v>디젤</x:v>
      </x:c>
      <x:c r="I210" s="31" t="n">
        <x:v>1995</x:v>
      </x:c>
      <x:c r="J210" s="31" t="n">
        <x:v>2015</x:v>
      </x:c>
      <x:c r="K210" s="24" t="str">
        <x:v>KNAPC813BFK720078</x:v>
      </x:c>
      <x:c r="L210" s="24" t="str"/>
      <x:c r="M210" s="30" t="n">
        <x:v>41926</x:v>
      </x:c>
      <x:c r="N210" s="31"/>
      <x:c r="O210" s="30"/>
      <x:c r="P210" s="32"/>
      <x:c r="Q210" s="32"/>
      <x:c r="R210" s="32"/>
      <x:c r="S210" s="24" t="str"/>
      <x:c r="T210" s="32"/>
      <x:c r="U210" s="32"/>
      <x:c r="V210" s="24" t="str"/>
      <x:c r="W210" s="24" t="str"/>
      <x:c r="X210" s="32"/>
      <x:c r="Y210" s="33"/>
      <x:c r="Z210" s="31"/>
      <x:c r="AA210" s="24" t="str"/>
      <x:c r="AB210" s="30"/>
      <x:c r="AC210" s="30"/>
      <x:c r="AD210" s="32"/>
      <x:c r="AE210" s="32"/>
      <x:c r="AF210" s="24" t="str"/>
      <x:c r="AG210" s="24" t="str"/>
      <x:c r="AH210" s="30" t="n">
        <x:v>45531</x:v>
      </x:c>
      <x:c r="AI210" s="24" t="str"/>
      <x:c r="AJ210" s="24" t="str">
        <x:v>O</x:v>
      </x:c>
      <x:c r="AK210" s="32"/>
      <x:c r="AL210" s="32"/>
      <x:c r="AM210" s="24" t="str"/>
      <x:c r="AN210" s="31" t="n">
        <x:v>50</x:v>
      </x:c>
    </x:row>
    <x:row r="211" ht="17.25" customHeight="1">
      <x:c r="A211" s="24" t="str">
        <x:v>프라임구독</x:v>
      </x:c>
      <x:c r="B211" s="24" t="str">
        <x:v>152거6619</x:v>
      </x:c>
      <x:c r="C211" s="24" t="str">
        <x:v>보유</x:v>
      </x:c>
      <x:c r="D211" s="24" t="str">
        <x:v>쉐보레</x:v>
      </x:c>
      <x:c r="E211" s="24" t="str">
        <x:v>스파크</x:v>
      </x:c>
      <x:c r="F211" s="24" t="str"/>
      <x:c r="G211" s="24" t="str">
        <x:v>가솔린 1.0</x:v>
      </x:c>
      <x:c r="H211" s="24" t="str">
        <x:v>가솔린</x:v>
      </x:c>
      <x:c r="I211" s="31" t="n">
        <x:v>999</x:v>
      </x:c>
      <x:c r="J211" s="31" t="n">
        <x:v>2020</x:v>
      </x:c>
      <x:c r="K211" s="24" t="str">
        <x:v>KLYDC487DLC002624</x:v>
      </x:c>
      <x:c r="L211" s="24" t="str"/>
      <x:c r="M211" s="30" t="n">
        <x:v>43769</x:v>
      </x:c>
      <x:c r="N211" s="31"/>
      <x:c r="O211" s="30"/>
      <x:c r="P211" s="32"/>
      <x:c r="Q211" s="32"/>
      <x:c r="R211" s="32"/>
      <x:c r="S211" s="24" t="str"/>
      <x:c r="T211" s="32"/>
      <x:c r="U211" s="32"/>
      <x:c r="V211" s="24" t="str"/>
      <x:c r="W211" s="24" t="str"/>
      <x:c r="X211" s="32"/>
      <x:c r="Y211" s="33"/>
      <x:c r="Z211" s="31"/>
      <x:c r="AA211" s="24" t="str"/>
      <x:c r="AB211" s="30"/>
      <x:c r="AC211" s="30"/>
      <x:c r="AD211" s="32"/>
      <x:c r="AE211" s="32"/>
      <x:c r="AF211" s="24" t="str"/>
      <x:c r="AG211" s="24" t="str"/>
      <x:c r="AH211" s="30"/>
      <x:c r="AI211" s="24" t="str"/>
      <x:c r="AJ211" s="24" t="str"/>
      <x:c r="AK211" s="32"/>
      <x:c r="AL211" s="32"/>
      <x:c r="AM211" s="24" t="str"/>
      <x:c r="AN211" s="31" t="n">
        <x:v>51</x:v>
      </x:c>
    </x:row>
    <x:row r="212" ht="17.25" customHeight="1">
      <x:c r="A212" s="24" t="str">
        <x:v>프라임구독</x:v>
      </x:c>
      <x:c r="B212" s="24" t="str">
        <x:v>157구9550</x:v>
      </x:c>
      <x:c r="C212" s="24" t="str">
        <x:v>보유</x:v>
      </x:c>
      <x:c r="D212" s="24" t="str">
        <x:v>제네시스</x:v>
      </x:c>
      <x:c r="E212" s="24" t="str">
        <x:v>G80</x:v>
      </x:c>
      <x:c r="F212" s="24" t="str"/>
      <x:c r="G212" s="24" t="str">
        <x:v>가솔린 3.8</x:v>
      </x:c>
      <x:c r="H212" s="24" t="str">
        <x:v>가솔린</x:v>
      </x:c>
      <x:c r="I212" s="31" t="n">
        <x:v>3778</x:v>
      </x:c>
      <x:c r="J212" s="31" t="n">
        <x:v>2018</x:v>
      </x:c>
      <x:c r="K212" s="24" t="str">
        <x:v>KMHGN41EBJU277686</x:v>
      </x:c>
      <x:c r="L212" s="24" t="str"/>
      <x:c r="M212" s="30" t="n">
        <x:v>43192</x:v>
      </x:c>
      <x:c r="N212" s="31"/>
      <x:c r="O212" s="30"/>
      <x:c r="P212" s="32"/>
      <x:c r="Q212" s="32"/>
      <x:c r="R212" s="32"/>
      <x:c r="S212" s="24" t="str"/>
      <x:c r="T212" s="32"/>
      <x:c r="U212" s="32"/>
      <x:c r="V212" s="24" t="str"/>
      <x:c r="W212" s="24" t="str"/>
      <x:c r="X212" s="32"/>
      <x:c r="Y212" s="33"/>
      <x:c r="Z212" s="31"/>
      <x:c r="AA212" s="24" t="str"/>
      <x:c r="AB212" s="30"/>
      <x:c r="AC212" s="30"/>
      <x:c r="AD212" s="32"/>
      <x:c r="AE212" s="32"/>
      <x:c r="AF212" s="24" t="str"/>
      <x:c r="AG212" s="24" t="str"/>
      <x:c r="AH212" s="30"/>
      <x:c r="AI212" s="24" t="str"/>
      <x:c r="AJ212" s="24" t="str"/>
      <x:c r="AK212" s="32"/>
      <x:c r="AL212" s="32"/>
      <x:c r="AM212" s="24" t="str"/>
      <x:c r="AN212" s="31" t="n">
        <x:v>52</x:v>
      </x:c>
    </x:row>
    <x:row r="213" ht="17.25" customHeight="1">
      <x:c r="A213" s="24" t="str">
        <x:v>프라임구독</x:v>
      </x:c>
      <x:c r="B213" s="24" t="str">
        <x:v>15도5239</x:v>
      </x:c>
      <x:c r="C213" s="24" t="str">
        <x:v>보유</x:v>
      </x:c>
      <x:c r="D213" s="24" t="str">
        <x:v>폭스바겐</x:v>
      </x:c>
      <x:c r="E213" s="24" t="str">
        <x:v>JETTA</x:v>
      </x:c>
      <x:c r="F213" s="24" t="str"/>
      <x:c r="G213" s="24" t="str">
        <x:v>디젤 2.0</x:v>
      </x:c>
      <x:c r="H213" s="24" t="str">
        <x:v>디젤</x:v>
      </x:c>
      <x:c r="I213" s="31" t="n">
        <x:v>1968</x:v>
      </x:c>
      <x:c r="J213" s="31" t="n">
        <x:v>2015</x:v>
      </x:c>
      <x:c r="K213" s="24" t="str">
        <x:v>WVWZZZ16ZFM013200</x:v>
      </x:c>
      <x:c r="L213" s="24" t="str"/>
      <x:c r="M213" s="30" t="n">
        <x:v>42090</x:v>
      </x:c>
      <x:c r="N213" s="31"/>
      <x:c r="O213" s="30"/>
      <x:c r="P213" s="32"/>
      <x:c r="Q213" s="32"/>
      <x:c r="R213" s="32"/>
      <x:c r="S213" s="24" t="str"/>
      <x:c r="T213" s="32"/>
      <x:c r="U213" s="32"/>
      <x:c r="V213" s="24" t="str"/>
      <x:c r="W213" s="24" t="str"/>
      <x:c r="X213" s="32"/>
      <x:c r="Y213" s="33"/>
      <x:c r="Z213" s="31"/>
      <x:c r="AA213" s="24" t="str"/>
      <x:c r="AB213" s="30"/>
      <x:c r="AC213" s="30"/>
      <x:c r="AD213" s="32"/>
      <x:c r="AE213" s="32"/>
      <x:c r="AF213" s="24" t="str"/>
      <x:c r="AG213" s="24" t="str"/>
      <x:c r="AH213" s="30"/>
      <x:c r="AI213" s="24" t="str"/>
      <x:c r="AJ213" s="24" t="str"/>
      <x:c r="AK213" s="32"/>
      <x:c r="AL213" s="32"/>
      <x:c r="AM213" s="24" t="str"/>
      <x:c r="AN213" s="31" t="n">
        <x:v>53</x:v>
      </x:c>
    </x:row>
    <x:row r="214" ht="17.25" customHeight="1">
      <x:c r="A214" s="24" t="str">
        <x:v>프라임구독</x:v>
      </x:c>
      <x:c r="B214" s="24" t="str">
        <x:v>15마0652</x:v>
      </x:c>
      <x:c r="C214" s="24" t="str">
        <x:v>보유</x:v>
      </x:c>
      <x:c r="D214" s="24" t="str">
        <x:v>쉐보레</x:v>
      </x:c>
      <x:c r="E214" s="24" t="str">
        <x:v>말리부</x:v>
      </x:c>
      <x:c r="F214" s="24" t="str"/>
      <x:c r="G214" s="24" t="str">
        <x:v>가솔린 2.0T</x:v>
      </x:c>
      <x:c r="H214" s="24" t="str">
        <x:v>가솔린</x:v>
      </x:c>
      <x:c r="I214" s="31" t="n">
        <x:v>1998</x:v>
      </x:c>
      <x:c r="J214" s="31" t="n">
        <x:v>2016</x:v>
      </x:c>
      <x:c r="K214" s="24" t="str">
        <x:v>KLAGA692DGB512280</x:v>
      </x:c>
      <x:c r="L214" s="24" t="str"/>
      <x:c r="M214" s="30" t="n">
        <x:v>42536</x:v>
      </x:c>
      <x:c r="N214" s="31"/>
      <x:c r="O214" s="30"/>
      <x:c r="P214" s="32"/>
      <x:c r="Q214" s="32"/>
      <x:c r="R214" s="32"/>
      <x:c r="S214" s="24" t="str"/>
      <x:c r="T214" s="32"/>
      <x:c r="U214" s="32"/>
      <x:c r="V214" s="24" t="str"/>
      <x:c r="W214" s="24" t="str"/>
      <x:c r="X214" s="32"/>
      <x:c r="Y214" s="33"/>
      <x:c r="Z214" s="31"/>
      <x:c r="AA214" s="24" t="str"/>
      <x:c r="AB214" s="30"/>
      <x:c r="AC214" s="30"/>
      <x:c r="AD214" s="32"/>
      <x:c r="AE214" s="32"/>
      <x:c r="AF214" s="24" t="str"/>
      <x:c r="AG214" s="24" t="str"/>
      <x:c r="AH214" s="30"/>
      <x:c r="AI214" s="24" t="str"/>
      <x:c r="AJ214" s="24" t="str"/>
      <x:c r="AK214" s="32"/>
      <x:c r="AL214" s="32"/>
      <x:c r="AM214" s="24" t="str"/>
      <x:c r="AN214" s="31" t="n">
        <x:v>54</x:v>
      </x:c>
    </x:row>
    <x:row r="215" ht="17.25" customHeight="1">
      <x:c r="A215" s="24" t="str">
        <x:v>프라임구독</x:v>
      </x:c>
      <x:c r="B215" s="24" t="str">
        <x:v>15머9092</x:v>
      </x:c>
      <x:c r="C215" s="24" t="str">
        <x:v>보유</x:v>
      </x:c>
      <x:c r="D215" s="24" t="str">
        <x:v>기아</x:v>
      </x:c>
      <x:c r="E215" s="24" t="str">
        <x:v>레이</x:v>
      </x:c>
      <x:c r="F215" s="24" t="str"/>
      <x:c r="G215" s="24" t="str">
        <x:v>가솔린 1.0</x:v>
      </x:c>
      <x:c r="H215" s="24" t="str">
        <x:v>가솔린</x:v>
      </x:c>
      <x:c r="I215" s="31" t="n">
        <x:v>998</x:v>
      </x:c>
      <x:c r="J215" s="31" t="n">
        <x:v>2014</x:v>
      </x:c>
      <x:c r="K215" s="24" t="str">
        <x:v>KNACJ811BET076612</x:v>
      </x:c>
      <x:c r="L215" s="24" t="str"/>
      <x:c r="M215" s="30" t="n">
        <x:v>41676</x:v>
      </x:c>
      <x:c r="N215" s="31"/>
      <x:c r="O215" s="30"/>
      <x:c r="P215" s="32"/>
      <x:c r="Q215" s="32"/>
      <x:c r="R215" s="32"/>
      <x:c r="S215" s="24" t="str"/>
      <x:c r="T215" s="32"/>
      <x:c r="U215" s="32"/>
      <x:c r="V215" s="24" t="str"/>
      <x:c r="W215" s="24" t="str"/>
      <x:c r="X215" s="32"/>
      <x:c r="Y215" s="33"/>
      <x:c r="Z215" s="31"/>
      <x:c r="AA215" s="24" t="str"/>
      <x:c r="AB215" s="30"/>
      <x:c r="AC215" s="30"/>
      <x:c r="AD215" s="32"/>
      <x:c r="AE215" s="32"/>
      <x:c r="AF215" s="24" t="str"/>
      <x:c r="AG215" s="24" t="str"/>
      <x:c r="AH215" s="30"/>
      <x:c r="AI215" s="24" t="str"/>
      <x:c r="AJ215" s="24" t="str"/>
      <x:c r="AK215" s="32"/>
      <x:c r="AL215" s="32"/>
      <x:c r="AM215" s="24" t="str"/>
      <x:c r="AN215" s="31" t="n">
        <x:v>55</x:v>
      </x:c>
    </x:row>
    <x:row r="216" ht="17.25" customHeight="1">
      <x:c r="A216" s="24" t="str">
        <x:v>프라임구독</x:v>
      </x:c>
      <x:c r="B216" s="24" t="str">
        <x:v>163부8390</x:v>
      </x:c>
      <x:c r="C216" s="24" t="str">
        <x:v>보유</x:v>
      </x:c>
      <x:c r="D216" s="24" t="str">
        <x:v>현대</x:v>
      </x:c>
      <x:c r="E216" s="24" t="str">
        <x:v>엑센트</x:v>
      </x:c>
      <x:c r="F216" s="24" t="str"/>
      <x:c r="G216" s="24" t="str">
        <x:v>가솔린 1.4</x:v>
      </x:c>
      <x:c r="H216" s="24" t="str">
        <x:v>가솔린</x:v>
      </x:c>
      <x:c r="I216" s="31" t="n">
        <x:v>1368</x:v>
      </x:c>
      <x:c r="J216" s="31" t="n">
        <x:v>2017</x:v>
      </x:c>
      <x:c r="K216" s="24" t="str">
        <x:v>KMHCT41BEHU134501</x:v>
      </x:c>
      <x:c r="L216" s="24" t="str"/>
      <x:c r="M216" s="30" t="n">
        <x:v>42488</x:v>
      </x:c>
      <x:c r="N216" s="31"/>
      <x:c r="O216" s="30"/>
      <x:c r="P216" s="32"/>
      <x:c r="Q216" s="32"/>
      <x:c r="R216" s="32"/>
      <x:c r="S216" s="24" t="str"/>
      <x:c r="T216" s="32"/>
      <x:c r="U216" s="32"/>
      <x:c r="V216" s="24" t="str"/>
      <x:c r="W216" s="24" t="str"/>
      <x:c r="X216" s="32"/>
      <x:c r="Y216" s="33"/>
      <x:c r="Z216" s="31"/>
      <x:c r="AA216" s="24" t="str"/>
      <x:c r="AB216" s="30"/>
      <x:c r="AC216" s="30"/>
      <x:c r="AD216" s="32"/>
      <x:c r="AE216" s="32"/>
      <x:c r="AF216" s="24" t="str"/>
      <x:c r="AG216" s="24" t="str"/>
      <x:c r="AH216" s="30"/>
      <x:c r="AI216" s="24" t="str"/>
      <x:c r="AJ216" s="24" t="str"/>
      <x:c r="AK216" s="32"/>
      <x:c r="AL216" s="32"/>
      <x:c r="AM216" s="24" t="str"/>
      <x:c r="AN216" s="31" t="n">
        <x:v>56</x:v>
      </x:c>
    </x:row>
    <x:row r="217" ht="17.25" customHeight="1">
      <x:c r="A217" s="24" t="str">
        <x:v>프라임구독</x:v>
      </x:c>
      <x:c r="B217" s="24" t="str">
        <x:v>164노9379</x:v>
      </x:c>
      <x:c r="C217" s="24" t="str">
        <x:v>보유</x:v>
      </x:c>
      <x:c r="D217" s="24" t="str">
        <x:v>르노</x:v>
      </x:c>
      <x:c r="E217" s="24" t="str">
        <x:v>SM6</x:v>
      </x:c>
      <x:c r="F217" s="24" t="str"/>
      <x:c r="G217" s="24" t="str">
        <x:v>LPG 2.0</x:v>
      </x:c>
      <x:c r="H217" s="24" t="str">
        <x:v>LPG</x:v>
      </x:c>
      <x:c r="I217" s="31" t="n">
        <x:v>1998</x:v>
      </x:c>
      <x:c r="J217" s="31" t="n">
        <x:v>2019</x:v>
      </x:c>
      <x:c r="K217" s="24" t="str">
        <x:v>KNMA4C2CMKP025436</x:v>
      </x:c>
      <x:c r="L217" s="24" t="str"/>
      <x:c r="M217" s="30" t="n">
        <x:v>43305</x:v>
      </x:c>
      <x:c r="N217" s="31"/>
      <x:c r="O217" s="30"/>
      <x:c r="P217" s="32"/>
      <x:c r="Q217" s="32"/>
      <x:c r="R217" s="32"/>
      <x:c r="S217" s="24" t="str"/>
      <x:c r="T217" s="32"/>
      <x:c r="U217" s="32"/>
      <x:c r="V217" s="24" t="str"/>
      <x:c r="W217" s="24" t="str"/>
      <x:c r="X217" s="32"/>
      <x:c r="Y217" s="33"/>
      <x:c r="Z217" s="31"/>
      <x:c r="AA217" s="24" t="str"/>
      <x:c r="AB217" s="30"/>
      <x:c r="AC217" s="30"/>
      <x:c r="AD217" s="32"/>
      <x:c r="AE217" s="32"/>
      <x:c r="AF217" s="24" t="str"/>
      <x:c r="AG217" s="24" t="str"/>
      <x:c r="AH217" s="30"/>
      <x:c r="AI217" s="24" t="str"/>
      <x:c r="AJ217" s="24" t="str"/>
      <x:c r="AK217" s="32"/>
      <x:c r="AL217" s="32"/>
      <x:c r="AM217" s="24" t="str"/>
      <x:c r="AN217" s="31" t="n">
        <x:v>57</x:v>
      </x:c>
    </x:row>
    <x:row r="218" ht="17.25" customHeight="1">
      <x:c r="A218" s="24" t="str">
        <x:v>프라임구독</x:v>
      </x:c>
      <x:c r="B218" s="24" t="str">
        <x:v>169버5426</x:v>
      </x:c>
      <x:c r="C218" s="24" t="str">
        <x:v>보유</x:v>
      </x:c>
      <x:c r="D218" s="24" t="str">
        <x:v>KGM</x:v>
      </x:c>
      <x:c r="E218" s="24" t="str">
        <x:v>토레스</x:v>
      </x:c>
      <x:c r="F218" s="24" t="str"/>
      <x:c r="G218" s="24" t="str">
        <x:v>가솔린 1.5 2WD</x:v>
      </x:c>
      <x:c r="H218" s="24" t="str">
        <x:v>가솔린</x:v>
      </x:c>
      <x:c r="I218" s="31" t="n">
        <x:v>1497</x:v>
      </x:c>
      <x:c r="J218" s="31" t="n">
        <x:v>2023</x:v>
      </x:c>
      <x:c r="K218" s="24" t="str">
        <x:v>KPBPH3AT1PP001715</x:v>
      </x:c>
      <x:c r="L218" s="24" t="str"/>
      <x:c r="M218" s="30" t="n">
        <x:v>44767</x:v>
      </x:c>
      <x:c r="N218" s="31"/>
      <x:c r="O218" s="30"/>
      <x:c r="P218" s="32"/>
      <x:c r="Q218" s="32"/>
      <x:c r="R218" s="32"/>
      <x:c r="S218" s="24" t="str"/>
      <x:c r="T218" s="32"/>
      <x:c r="U218" s="32"/>
      <x:c r="V218" s="24" t="str"/>
      <x:c r="W218" s="24" t="str"/>
      <x:c r="X218" s="32"/>
      <x:c r="Y218" s="33"/>
      <x:c r="Z218" s="31"/>
      <x:c r="AA218" s="24" t="str"/>
      <x:c r="AB218" s="30"/>
      <x:c r="AC218" s="30"/>
      <x:c r="AD218" s="32"/>
      <x:c r="AE218" s="32"/>
      <x:c r="AF218" s="24" t="str"/>
      <x:c r="AG218" s="24" t="str"/>
      <x:c r="AH218" s="30"/>
      <x:c r="AI218" s="24" t="str"/>
      <x:c r="AJ218" s="24" t="str"/>
      <x:c r="AK218" s="32"/>
      <x:c r="AL218" s="32"/>
      <x:c r="AM218" s="24" t="str"/>
      <x:c r="AN218" s="31" t="n">
        <x:v>58</x:v>
      </x:c>
    </x:row>
    <x:row r="219" ht="17.25" customHeight="1">
      <x:c r="A219" s="24" t="str">
        <x:v>프라임구독</x:v>
      </x:c>
      <x:c r="B219" s="24" t="str">
        <x:v>16다6556</x:v>
      </x:c>
      <x:c r="C219" s="24" t="str">
        <x:v>보유</x:v>
      </x:c>
      <x:c r="D219" s="24" t="str">
        <x:v>기아</x:v>
      </x:c>
      <x:c r="E219" s="24" t="str">
        <x:v>K5</x:v>
      </x:c>
      <x:c r="F219" s="24" t="str"/>
      <x:c r="G219" s="24" t="str">
        <x:v>가솔린 2.0</x:v>
      </x:c>
      <x:c r="H219" s="24" t="str">
        <x:v>가솔린</x:v>
      </x:c>
      <x:c r="I219" s="31" t="n">
        <x:v>1999</x:v>
      </x:c>
      <x:c r="J219" s="31" t="n">
        <x:v>2018</x:v>
      </x:c>
      <x:c r="K219" s="24" t="str">
        <x:v>KNAGS411BJA195860</x:v>
      </x:c>
      <x:c r="L219" s="24" t="str"/>
      <x:c r="M219" s="30" t="n">
        <x:v>42915</x:v>
      </x:c>
      <x:c r="N219" s="31"/>
      <x:c r="O219" s="30"/>
      <x:c r="P219" s="32"/>
      <x:c r="Q219" s="32"/>
      <x:c r="R219" s="32"/>
      <x:c r="S219" s="24" t="str"/>
      <x:c r="T219" s="32"/>
      <x:c r="U219" s="32"/>
      <x:c r="V219" s="24" t="str"/>
      <x:c r="W219" s="24" t="str"/>
      <x:c r="X219" s="32"/>
      <x:c r="Y219" s="33"/>
      <x:c r="Z219" s="31"/>
      <x:c r="AA219" s="24" t="str"/>
      <x:c r="AB219" s="30"/>
      <x:c r="AC219" s="30"/>
      <x:c r="AD219" s="32"/>
      <x:c r="AE219" s="32"/>
      <x:c r="AF219" s="24" t="str"/>
      <x:c r="AG219" s="24" t="str"/>
      <x:c r="AH219" s="30"/>
      <x:c r="AI219" s="24" t="str"/>
      <x:c r="AJ219" s="24" t="str"/>
      <x:c r="AK219" s="32"/>
      <x:c r="AL219" s="32"/>
      <x:c r="AM219" s="24" t="str"/>
      <x:c r="AN219" s="31" t="n">
        <x:v>59</x:v>
      </x:c>
    </x:row>
    <x:row r="220" ht="17.25" customHeight="1">
      <x:c r="A220" s="24" t="str">
        <x:v>프라임구독</x:v>
      </x:c>
      <x:c r="B220" s="24" t="str">
        <x:v>16소0356</x:v>
      </x:c>
      <x:c r="C220" s="24" t="str">
        <x:v>보유</x:v>
      </x:c>
      <x:c r="D220" s="24" t="str">
        <x:v>르노</x:v>
      </x:c>
      <x:c r="E220" s="24" t="str">
        <x:v>SM6</x:v>
      </x:c>
      <x:c r="F220" s="24" t="str"/>
      <x:c r="G220" s="24" t="str">
        <x:v>가솔린 2.0</x:v>
      </x:c>
      <x:c r="H220" s="24" t="str">
        <x:v>가솔린</x:v>
      </x:c>
      <x:c r="I220" s="31" t="n">
        <x:v>1997</x:v>
      </x:c>
      <x:c r="J220" s="31" t="n">
        <x:v>2016</x:v>
      </x:c>
      <x:c r="K220" s="24" t="str">
        <x:v>KNMA4C2BMGP023233</x:v>
      </x:c>
      <x:c r="L220" s="24" t="str"/>
      <x:c r="M220" s="30" t="n">
        <x:v>42611</x:v>
      </x:c>
      <x:c r="N220" s="31"/>
      <x:c r="O220" s="30"/>
      <x:c r="P220" s="32"/>
      <x:c r="Q220" s="32"/>
      <x:c r="R220" s="32"/>
      <x:c r="S220" s="24" t="str"/>
      <x:c r="T220" s="32"/>
      <x:c r="U220" s="32"/>
      <x:c r="V220" s="24" t="str"/>
      <x:c r="W220" s="24" t="str"/>
      <x:c r="X220" s="32"/>
      <x:c r="Y220" s="33"/>
      <x:c r="Z220" s="31"/>
      <x:c r="AA220" s="24" t="str"/>
      <x:c r="AB220" s="30"/>
      <x:c r="AC220" s="30"/>
      <x:c r="AD220" s="32"/>
      <x:c r="AE220" s="32"/>
      <x:c r="AF220" s="24" t="str"/>
      <x:c r="AG220" s="24" t="str"/>
      <x:c r="AH220" s="30"/>
      <x:c r="AI220" s="24" t="str"/>
      <x:c r="AJ220" s="24" t="str"/>
      <x:c r="AK220" s="32"/>
      <x:c r="AL220" s="32"/>
      <x:c r="AM220" s="24" t="str"/>
      <x:c r="AN220" s="31" t="n">
        <x:v>60</x:v>
      </x:c>
    </x:row>
    <x:row r="221" ht="17.25" customHeight="1">
      <x:c r="A221" s="24" t="str">
        <x:v>프라임구독</x:v>
      </x:c>
      <x:c r="B221" s="24" t="str">
        <x:v>16어0497</x:v>
      </x:c>
      <x:c r="C221" s="24" t="str">
        <x:v>보유</x:v>
      </x:c>
      <x:c r="D221" s="24" t="str">
        <x:v>쉐보레</x:v>
      </x:c>
      <x:c r="E221" s="24" t="str">
        <x:v>말리부</x:v>
      </x:c>
      <x:c r="F221" s="24" t="str"/>
      <x:c r="G221" s="24" t="str">
        <x:v>가솔린 1.5T</x:v>
      </x:c>
      <x:c r="H221" s="24" t="str">
        <x:v>가솔린</x:v>
      </x:c>
      <x:c r="I221" s="31" t="n">
        <x:v>1490</x:v>
      </x:c>
      <x:c r="J221" s="31" t="n">
        <x:v>2017</x:v>
      </x:c>
      <x:c r="K221" s="24" t="str">
        <x:v>KLAZA69SDHB704794</x:v>
      </x:c>
      <x:c r="L221" s="24" t="str"/>
      <x:c r="M221" s="30" t="n">
        <x:v>42536</x:v>
      </x:c>
      <x:c r="N221" s="31"/>
      <x:c r="O221" s="30"/>
      <x:c r="P221" s="32"/>
      <x:c r="Q221" s="32"/>
      <x:c r="R221" s="32"/>
      <x:c r="S221" s="24" t="str"/>
      <x:c r="T221" s="32"/>
      <x:c r="U221" s="32"/>
      <x:c r="V221" s="24" t="str"/>
      <x:c r="W221" s="24" t="str"/>
      <x:c r="X221" s="32"/>
      <x:c r="Y221" s="33"/>
      <x:c r="Z221" s="31"/>
      <x:c r="AA221" s="24" t="str"/>
      <x:c r="AB221" s="30"/>
      <x:c r="AC221" s="30"/>
      <x:c r="AD221" s="32"/>
      <x:c r="AE221" s="32"/>
      <x:c r="AF221" s="24" t="str"/>
      <x:c r="AG221" s="24" t="str"/>
      <x:c r="AH221" s="30"/>
      <x:c r="AI221" s="24" t="str"/>
      <x:c r="AJ221" s="24" t="str"/>
      <x:c r="AK221" s="32"/>
      <x:c r="AL221" s="32"/>
      <x:c r="AM221" s="24" t="str"/>
      <x:c r="AN221" s="31" t="n">
        <x:v>61</x:v>
      </x:c>
    </x:row>
    <x:row r="222" ht="17.25" customHeight="1">
      <x:c r="A222" s="24" t="str">
        <x:v>프라임구독</x:v>
      </x:c>
      <x:c r="B222" s="24" t="str">
        <x:v>179다2644</x:v>
      </x:c>
      <x:c r="C222" s="24" t="str">
        <x:v>O</x:v>
      </x:c>
      <x:c r="D222" s="24" t="str"/>
      <x:c r="E222" s="24" t="str"/>
      <x:c r="F222" s="24" t="str"/>
      <x:c r="G222" s="24" t="str">
        <x:v>가솔린 3.0</x:v>
      </x:c>
      <x:c r="H222" s="24" t="str"/>
      <x:c r="I222" s="31"/>
      <x:c r="J222" s="31"/>
      <x:c r="K222" s="24" t="str"/>
      <x:c r="L222" s="24" t="str"/>
      <x:c r="M222" s="30"/>
      <x:c r="N222" s="31"/>
      <x:c r="O222" s="30"/>
      <x:c r="P222" s="32"/>
      <x:c r="Q222" s="32"/>
      <x:c r="R222" s="32"/>
      <x:c r="S222" s="24" t="str"/>
      <x:c r="T222" s="32"/>
      <x:c r="U222" s="32"/>
      <x:c r="V222" s="24" t="str"/>
      <x:c r="W222" s="24" t="str"/>
      <x:c r="X222" s="32"/>
      <x:c r="Y222" s="33"/>
      <x:c r="Z222" s="31"/>
      <x:c r="AA222" s="24" t="str"/>
      <x:c r="AB222" s="30"/>
      <x:c r="AC222" s="30"/>
      <x:c r="AD222" s="32"/>
      <x:c r="AE222" s="32"/>
      <x:c r="AF222" s="24" t="str"/>
      <x:c r="AG222" s="24" t="str"/>
      <x:c r="AH222" s="30" t="n">
        <x:v>45524</x:v>
      </x:c>
      <x:c r="AI222" s="24" t="str"/>
      <x:c r="AJ222" s="24" t="str">
        <x:v>O</x:v>
      </x:c>
      <x:c r="AK222" s="32"/>
      <x:c r="AL222" s="32"/>
      <x:c r="AM222" s="24" t="str"/>
      <x:c r="AN222" s="31" t="n">
        <x:v>62</x:v>
      </x:c>
    </x:row>
    <x:row r="223" ht="17.25" customHeight="1">
      <x:c r="A223" s="24" t="str">
        <x:v>프라임구독</x:v>
      </x:c>
      <x:c r="B223" s="24" t="str">
        <x:v>179다2681</x:v>
      </x:c>
      <x:c r="C223" s="24" t="str">
        <x:v>보유</x:v>
      </x:c>
      <x:c r="D223" s="24" t="str">
        <x:v>기아</x:v>
      </x:c>
      <x:c r="E223" s="24" t="str">
        <x:v>카니발</x:v>
      </x:c>
      <x:c r="F223" s="24" t="str"/>
      <x:c r="G223" s="24" t="str">
        <x:v>디젤 2.2</x:v>
      </x:c>
      <x:c r="H223" s="24" t="str">
        <x:v>디젤</x:v>
      </x:c>
      <x:c r="I223" s="31" t="n">
        <x:v>2199</x:v>
      </x:c>
      <x:c r="J223" s="31" t="n">
        <x:v>2018</x:v>
      </x:c>
      <x:c r="K223" s="24" t="str">
        <x:v>KNAMB81ABJS383290</x:v>
      </x:c>
      <x:c r="L223" s="24" t="str"/>
      <x:c r="M223" s="30" t="n">
        <x:v>42969</x:v>
      </x:c>
      <x:c r="N223" s="31"/>
      <x:c r="O223" s="30"/>
      <x:c r="P223" s="32"/>
      <x:c r="Q223" s="32"/>
      <x:c r="R223" s="32"/>
      <x:c r="S223" s="24" t="str"/>
      <x:c r="T223" s="32"/>
      <x:c r="U223" s="32"/>
      <x:c r="V223" s="24" t="str"/>
      <x:c r="W223" s="24" t="str"/>
      <x:c r="X223" s="32"/>
      <x:c r="Y223" s="33"/>
      <x:c r="Z223" s="31"/>
      <x:c r="AA223" s="24" t="str"/>
      <x:c r="AB223" s="30"/>
      <x:c r="AC223" s="30"/>
      <x:c r="AD223" s="32"/>
      <x:c r="AE223" s="32"/>
      <x:c r="AF223" s="24" t="str"/>
      <x:c r="AG223" s="24" t="str"/>
      <x:c r="AH223" s="30"/>
      <x:c r="AI223" s="24" t="str"/>
      <x:c r="AJ223" s="24" t="str"/>
      <x:c r="AK223" s="32"/>
      <x:c r="AL223" s="32"/>
      <x:c r="AM223" s="24" t="str"/>
      <x:c r="AN223" s="31" t="n">
        <x:v>63</x:v>
      </x:c>
    </x:row>
    <x:row r="224" ht="17.25" customHeight="1">
      <x:c r="A224" s="24" t="str">
        <x:v>프라임구독</x:v>
      </x:c>
      <x:c r="B224" s="24" t="str">
        <x:v>17구6905</x:v>
      </x:c>
      <x:c r="C224" s="24" t="str">
        <x:v>O</x:v>
      </x:c>
      <x:c r="D224" s="24" t="str"/>
      <x:c r="E224" s="24" t="str"/>
      <x:c r="F224" s="24" t="str"/>
      <x:c r="G224" s="24" t="str">
        <x:v>가솔린 3.0</x:v>
      </x:c>
      <x:c r="H224" s="24" t="str"/>
      <x:c r="I224" s="31"/>
      <x:c r="J224" s="31"/>
      <x:c r="K224" s="24" t="str"/>
      <x:c r="L224" s="24" t="str"/>
      <x:c r="M224" s="30"/>
      <x:c r="N224" s="31"/>
      <x:c r="O224" s="30"/>
      <x:c r="P224" s="32"/>
      <x:c r="Q224" s="32"/>
      <x:c r="R224" s="32"/>
      <x:c r="S224" s="24" t="str"/>
      <x:c r="T224" s="32"/>
      <x:c r="U224" s="32"/>
      <x:c r="V224" s="24" t="str"/>
      <x:c r="W224" s="24" t="str"/>
      <x:c r="X224" s="32"/>
      <x:c r="Y224" s="33"/>
      <x:c r="Z224" s="31"/>
      <x:c r="AA224" s="24" t="str"/>
      <x:c r="AB224" s="30"/>
      <x:c r="AC224" s="30"/>
      <x:c r="AD224" s="32"/>
      <x:c r="AE224" s="32"/>
      <x:c r="AF224" s="24" t="str"/>
      <x:c r="AG224" s="24" t="str"/>
      <x:c r="AH224" s="30" t="n">
        <x:v>45527</x:v>
      </x:c>
      <x:c r="AI224" s="24" t="str"/>
      <x:c r="AJ224" s="24" t="str">
        <x:v>O</x:v>
      </x:c>
      <x:c r="AK224" s="32"/>
      <x:c r="AL224" s="32"/>
      <x:c r="AM224" s="24" t="str"/>
      <x:c r="AN224" s="31" t="n">
        <x:v>64</x:v>
      </x:c>
    </x:row>
    <x:row r="225" ht="17.25" customHeight="1">
      <x:c r="A225" s="24" t="str">
        <x:v>프라임구독</x:v>
      </x:c>
      <x:c r="B225" s="24" t="str">
        <x:v>181수7351</x:v>
      </x:c>
      <x:c r="C225" s="24" t="str">
        <x:v>O</x:v>
      </x:c>
      <x:c r="D225" s="24" t="str">
        <x:v>쉐보레</x:v>
      </x:c>
      <x:c r="E225" s="24" t="str">
        <x:v>말리부</x:v>
      </x:c>
      <x:c r="F225" s="24" t="str"/>
      <x:c r="G225" s="24" t="str">
        <x:v>가솔린 1.5T</x:v>
      </x:c>
      <x:c r="H225" s="24" t="str">
        <x:v>가솔린</x:v>
      </x:c>
      <x:c r="I225" s="31" t="n">
        <x:v>1490</x:v>
      </x:c>
      <x:c r="J225" s="31" t="n">
        <x:v>2017</x:v>
      </x:c>
      <x:c r="K225" s="24" t="str">
        <x:v>KLAZA69SDHB738968</x:v>
      </x:c>
      <x:c r="L225" s="24" t="str"/>
      <x:c r="M225" s="30" t="n">
        <x:v>42720</x:v>
      </x:c>
      <x:c r="N225" s="31"/>
      <x:c r="O225" s="30"/>
      <x:c r="P225" s="32"/>
      <x:c r="Q225" s="32"/>
      <x:c r="R225" s="32"/>
      <x:c r="S225" s="24" t="str"/>
      <x:c r="T225" s="32"/>
      <x:c r="U225" s="32"/>
      <x:c r="V225" s="24" t="str"/>
      <x:c r="W225" s="24" t="str"/>
      <x:c r="X225" s="32"/>
      <x:c r="Y225" s="33"/>
      <x:c r="Z225" s="31"/>
      <x:c r="AA225" s="24" t="str"/>
      <x:c r="AB225" s="30"/>
      <x:c r="AC225" s="30"/>
      <x:c r="AD225" s="32"/>
      <x:c r="AE225" s="32"/>
      <x:c r="AF225" s="24" t="str"/>
      <x:c r="AG225" s="24" t="str"/>
      <x:c r="AH225" s="30" t="n">
        <x:v>45532</x:v>
      </x:c>
      <x:c r="AI225" s="24" t="str"/>
      <x:c r="AJ225" s="24" t="str">
        <x:v>O</x:v>
      </x:c>
      <x:c r="AK225" s="32"/>
      <x:c r="AL225" s="32"/>
      <x:c r="AM225" s="24" t="str"/>
      <x:c r="AN225" s="31" t="n">
        <x:v>65</x:v>
      </x:c>
    </x:row>
    <x:row r="226" ht="17.25" customHeight="1">
      <x:c r="A226" s="24" t="str">
        <x:v>프라임구독</x:v>
      </x:c>
      <x:c r="B226" s="24" t="str">
        <x:v>184주9892</x:v>
      </x:c>
      <x:c r="C226" s="24" t="str">
        <x:v>보유</x:v>
      </x:c>
      <x:c r="D226" s="24" t="str">
        <x:v>벤츠</x:v>
      </x:c>
      <x:c r="E226" s="24" t="str">
        <x:v>GLS350d</x:v>
      </x:c>
      <x:c r="F226" s="24" t="str"/>
      <x:c r="G226" s="24" t="str">
        <x:v>디젤 3.0 4MATIC</x:v>
      </x:c>
      <x:c r="H226" s="24" t="str">
        <x:v>디젤</x:v>
      </x:c>
      <x:c r="I226" s="31" t="n">
        <x:v>2987</x:v>
      </x:c>
      <x:c r="J226" s="31" t="n">
        <x:v>2018</x:v>
      </x:c>
      <x:c r="K226" s="24" t="str">
        <x:v>WDCDF2EE2JB072737</x:v>
      </x:c>
      <x:c r="L226" s="24" t="str"/>
      <x:c r="M226" s="30" t="n">
        <x:v>43192</x:v>
      </x:c>
      <x:c r="N226" s="31"/>
      <x:c r="O226" s="30"/>
      <x:c r="P226" s="32"/>
      <x:c r="Q226" s="32"/>
      <x:c r="R226" s="32"/>
      <x:c r="S226" s="24" t="str"/>
      <x:c r="T226" s="32"/>
      <x:c r="U226" s="32"/>
      <x:c r="V226" s="24" t="str"/>
      <x:c r="W226" s="24" t="str"/>
      <x:c r="X226" s="32"/>
      <x:c r="Y226" s="33"/>
      <x:c r="Z226" s="31"/>
      <x:c r="AA226" s="24" t="str"/>
      <x:c r="AB226" s="30"/>
      <x:c r="AC226" s="30"/>
      <x:c r="AD226" s="32"/>
      <x:c r="AE226" s="32"/>
      <x:c r="AF226" s="24" t="str"/>
      <x:c r="AG226" s="24" t="str"/>
      <x:c r="AH226" s="30"/>
      <x:c r="AI226" s="24" t="str"/>
      <x:c r="AJ226" s="24" t="str"/>
      <x:c r="AK226" s="32"/>
      <x:c r="AL226" s="32"/>
      <x:c r="AM226" s="24" t="str"/>
      <x:c r="AN226" s="31" t="n">
        <x:v>66</x:v>
      </x:c>
    </x:row>
    <x:row r="227" ht="17.25" customHeight="1">
      <x:c r="A227" s="24" t="str">
        <x:v>프라임구독</x:v>
      </x:c>
      <x:c r="B227" s="24" t="str">
        <x:v>18서7100</x:v>
      </x:c>
      <x:c r="C227" s="24" t="str">
        <x:v>폐차</x:v>
      </x:c>
      <x:c r="D227" s="24" t="str">
        <x:v>아우디</x:v>
      </x:c>
      <x:c r="E227" s="24" t="str">
        <x:v>A6</x:v>
      </x:c>
      <x:c r="F227" s="24" t="str"/>
      <x:c r="G227" s="24" t="str">
        <x:v>가솔린 3.0 콰트로</x:v>
      </x:c>
      <x:c r="H227" s="24" t="str">
        <x:v>가솔린</x:v>
      </x:c>
      <x:c r="I227" s="31" t="n">
        <x:v>2995</x:v>
      </x:c>
      <x:c r="J227" s="31" t="n">
        <x:v>2013</x:v>
      </x:c>
      <x:c r="K227" s="24" t="str">
        <x:v>WAUZZZ4G8DN054208</x:v>
      </x:c>
      <x:c r="L227" s="24" t="str"/>
      <x:c r="M227" s="30" t="n">
        <x:v>41409</x:v>
      </x:c>
      <x:c r="N227" s="31"/>
      <x:c r="O227" s="30"/>
      <x:c r="P227" s="32"/>
      <x:c r="Q227" s="32"/>
      <x:c r="R227" s="32"/>
      <x:c r="S227" s="24" t="str"/>
      <x:c r="T227" s="32"/>
      <x:c r="U227" s="32"/>
      <x:c r="V227" s="24" t="str"/>
      <x:c r="W227" s="24" t="str"/>
      <x:c r="X227" s="32"/>
      <x:c r="Y227" s="33"/>
      <x:c r="Z227" s="31"/>
      <x:c r="AA227" s="24" t="str"/>
      <x:c r="AB227" s="30"/>
      <x:c r="AC227" s="30"/>
      <x:c r="AD227" s="32"/>
      <x:c r="AE227" s="32"/>
      <x:c r="AF227" s="24" t="str"/>
      <x:c r="AG227" s="24" t="str"/>
      <x:c r="AH227" s="30" t="n">
        <x:v>45523</x:v>
      </x:c>
      <x:c r="AI227" s="24" t="str"/>
      <x:c r="AJ227" s="24" t="str">
        <x:v>폐차</x:v>
      </x:c>
      <x:c r="AK227" s="32"/>
      <x:c r="AL227" s="32"/>
      <x:c r="AM227" s="24" t="str"/>
      <x:c r="AN227" s="31" t="n">
        <x:v>67</x:v>
      </x:c>
    </x:row>
    <x:row r="228" ht="17.25" customHeight="1">
      <x:c r="A228" s="24" t="str">
        <x:v>프라임구독</x:v>
      </x:c>
      <x:c r="B228" s="24" t="str">
        <x:v>18오6133</x:v>
      </x:c>
      <x:c r="C228" s="24" t="str">
        <x:v>O</x:v>
      </x:c>
      <x:c r="D228" s="24" t="str"/>
      <x:c r="E228" s="24" t="str"/>
      <x:c r="F228" s="24" t="str"/>
      <x:c r="G228" s="24" t="str">
        <x:v>가솔린 3.0</x:v>
      </x:c>
      <x:c r="H228" s="24" t="str"/>
      <x:c r="I228" s="31"/>
      <x:c r="J228" s="31"/>
      <x:c r="K228" s="24" t="str"/>
      <x:c r="L228" s="24" t="str"/>
      <x:c r="M228" s="30"/>
      <x:c r="N228" s="31"/>
      <x:c r="O228" s="30"/>
      <x:c r="P228" s="32"/>
      <x:c r="Q228" s="32"/>
      <x:c r="R228" s="32"/>
      <x:c r="S228" s="24" t="str"/>
      <x:c r="T228" s="32"/>
      <x:c r="U228" s="32"/>
      <x:c r="V228" s="24" t="str"/>
      <x:c r="W228" s="24" t="str"/>
      <x:c r="X228" s="32"/>
      <x:c r="Y228" s="33"/>
      <x:c r="Z228" s="31"/>
      <x:c r="AA228" s="24" t="str"/>
      <x:c r="AB228" s="30"/>
      <x:c r="AC228" s="30"/>
      <x:c r="AD228" s="32"/>
      <x:c r="AE228" s="32"/>
      <x:c r="AF228" s="24" t="str"/>
      <x:c r="AG228" s="24" t="str"/>
      <x:c r="AH228" s="30" t="n">
        <x:v>45531</x:v>
      </x:c>
      <x:c r="AI228" s="24" t="str"/>
      <x:c r="AJ228" s="24" t="str">
        <x:v>O</x:v>
      </x:c>
      <x:c r="AK228" s="32"/>
      <x:c r="AL228" s="32"/>
      <x:c r="AM228" s="24" t="str"/>
      <x:c r="AN228" s="31" t="n">
        <x:v>68</x:v>
      </x:c>
    </x:row>
    <x:row r="229" ht="17.25" customHeight="1">
      <x:c r="A229" s="24" t="str">
        <x:v>프라임구독</x:v>
      </x:c>
      <x:c r="B229" s="24" t="str">
        <x:v>190모5683</x:v>
      </x:c>
      <x:c r="C229" s="24" t="str">
        <x:v>O</x:v>
      </x:c>
      <x:c r="D229" s="24" t="str"/>
      <x:c r="E229" s="24" t="str"/>
      <x:c r="F229" s="24" t="str"/>
      <x:c r="G229" s="24" t="str">
        <x:v>가솔린 3.0</x:v>
      </x:c>
      <x:c r="H229" s="24" t="str"/>
      <x:c r="I229" s="31"/>
      <x:c r="J229" s="31"/>
      <x:c r="K229" s="24" t="str"/>
      <x:c r="L229" s="24" t="str"/>
      <x:c r="M229" s="30"/>
      <x:c r="N229" s="31"/>
      <x:c r="O229" s="30"/>
      <x:c r="P229" s="32"/>
      <x:c r="Q229" s="32"/>
      <x:c r="R229" s="32"/>
      <x:c r="S229" s="24" t="str"/>
      <x:c r="T229" s="32"/>
      <x:c r="U229" s="32"/>
      <x:c r="V229" s="24" t="str"/>
      <x:c r="W229" s="24" t="str"/>
      <x:c r="X229" s="32"/>
      <x:c r="Y229" s="33"/>
      <x:c r="Z229" s="31"/>
      <x:c r="AA229" s="24" t="str"/>
      <x:c r="AB229" s="30"/>
      <x:c r="AC229" s="30"/>
      <x:c r="AD229" s="32"/>
      <x:c r="AE229" s="32"/>
      <x:c r="AF229" s="24" t="str"/>
      <x:c r="AG229" s="24" t="str"/>
      <x:c r="AH229" s="30" t="n">
        <x:v>45524</x:v>
      </x:c>
      <x:c r="AI229" s="24" t="str"/>
      <x:c r="AJ229" s="24" t="str">
        <x:v>O</x:v>
      </x:c>
      <x:c r="AK229" s="32"/>
      <x:c r="AL229" s="32"/>
      <x:c r="AM229" s="24" t="str"/>
      <x:c r="AN229" s="31" t="n">
        <x:v>69</x:v>
      </x:c>
    </x:row>
    <x:row r="230" ht="17.25" customHeight="1">
      <x:c r="A230" s="24" t="str">
        <x:v>프라임구독</x:v>
      </x:c>
      <x:c r="B230" s="24" t="str">
        <x:v>193저7763</x:v>
      </x:c>
      <x:c r="C230" s="24" t="str">
        <x:v>보유</x:v>
      </x:c>
      <x:c r="D230" s="24" t="str">
        <x:v>기아</x:v>
      </x:c>
      <x:c r="E230" s="24" t="str">
        <x:v>스포티지</x:v>
      </x:c>
      <x:c r="F230" s="24" t="str"/>
      <x:c r="G230" s="24" t="str">
        <x:v>디젤 2.0 2WD</x:v>
      </x:c>
      <x:c r="H230" s="24" t="str">
        <x:v>디젤</x:v>
      </x:c>
      <x:c r="I230" s="31" t="n">
        <x:v>1995</x:v>
      </x:c>
      <x:c r="J230" s="31" t="n">
        <x:v>2017</x:v>
      </x:c>
      <x:c r="K230" s="24" t="str">
        <x:v>KNAPR813BHK189338</x:v>
      </x:c>
      <x:c r="L230" s="24" t="str"/>
      <x:c r="M230" s="30" t="n">
        <x:v>42654</x:v>
      </x:c>
      <x:c r="N230" s="31"/>
      <x:c r="O230" s="30"/>
      <x:c r="P230" s="32"/>
      <x:c r="Q230" s="32"/>
      <x:c r="R230" s="32"/>
      <x:c r="S230" s="24" t="str"/>
      <x:c r="T230" s="32"/>
      <x:c r="U230" s="32"/>
      <x:c r="V230" s="24" t="str"/>
      <x:c r="W230" s="24" t="str"/>
      <x:c r="X230" s="32"/>
      <x:c r="Y230" s="33"/>
      <x:c r="Z230" s="31"/>
      <x:c r="AA230" s="24" t="str"/>
      <x:c r="AB230" s="30"/>
      <x:c r="AC230" s="30"/>
      <x:c r="AD230" s="32"/>
      <x:c r="AE230" s="32"/>
      <x:c r="AF230" s="24" t="str"/>
      <x:c r="AG230" s="24" t="str"/>
      <x:c r="AH230" s="30"/>
      <x:c r="AI230" s="24" t="str"/>
      <x:c r="AJ230" s="24" t="str"/>
      <x:c r="AK230" s="32"/>
      <x:c r="AL230" s="32"/>
      <x:c r="AM230" s="24" t="str"/>
      <x:c r="AN230" s="31" t="n">
        <x:v>70</x:v>
      </x:c>
    </x:row>
    <x:row r="231" ht="17.25" customHeight="1">
      <x:c r="A231" s="24" t="str">
        <x:v>프라임구독</x:v>
      </x:c>
      <x:c r="B231" s="24" t="str">
        <x:v>198조2892</x:v>
      </x:c>
      <x:c r="C231" s="24" t="str">
        <x:v>보유</x:v>
      </x:c>
      <x:c r="D231" s="24" t="str">
        <x:v>기아</x:v>
      </x:c>
      <x:c r="E231" s="24" t="str">
        <x:v>K7</x:v>
      </x:c>
      <x:c r="F231" s="24" t="str"/>
      <x:c r="G231" s="24" t="str">
        <x:v>LPG 3.0</x:v>
      </x:c>
      <x:c r="H231" s="24" t="str">
        <x:v>LPG</x:v>
      </x:c>
      <x:c r="I231" s="31" t="n">
        <x:v>2999</x:v>
      </x:c>
      <x:c r="J231" s="31" t="n">
        <x:v>2018</x:v>
      </x:c>
      <x:c r="K231" s="24" t="str">
        <x:v>KNALC418BJA142804</x:v>
      </x:c>
      <x:c r="L231" s="24" t="str"/>
      <x:c r="M231" s="30" t="n">
        <x:v>43370</x:v>
      </x:c>
      <x:c r="N231" s="31"/>
      <x:c r="O231" s="30"/>
      <x:c r="P231" s="32"/>
      <x:c r="Q231" s="32"/>
      <x:c r="R231" s="32"/>
      <x:c r="S231" s="24" t="str"/>
      <x:c r="T231" s="32"/>
      <x:c r="U231" s="32"/>
      <x:c r="V231" s="24" t="str"/>
      <x:c r="W231" s="24" t="str"/>
      <x:c r="X231" s="32"/>
      <x:c r="Y231" s="33"/>
      <x:c r="Z231" s="31"/>
      <x:c r="AA231" s="24" t="str"/>
      <x:c r="AB231" s="30"/>
      <x:c r="AC231" s="30"/>
      <x:c r="AD231" s="32"/>
      <x:c r="AE231" s="32"/>
      <x:c r="AF231" s="24" t="str"/>
      <x:c r="AG231" s="24" t="str"/>
      <x:c r="AH231" s="30"/>
      <x:c r="AI231" s="24" t="str"/>
      <x:c r="AJ231" s="24" t="str"/>
      <x:c r="AK231" s="32"/>
      <x:c r="AL231" s="32"/>
      <x:c r="AM231" s="24" t="str"/>
      <x:c r="AN231" s="31" t="n">
        <x:v>71</x:v>
      </x:c>
    </x:row>
    <x:row r="232" ht="17.25" customHeight="1">
      <x:c r="A232" s="24" t="str">
        <x:v>프라임구독</x:v>
      </x:c>
      <x:c r="B232" s="24" t="str">
        <x:v>19너5699</x:v>
      </x:c>
      <x:c r="C232" s="24" t="str">
        <x:v>보유</x:v>
      </x:c>
      <x:c r="D232" s="24" t="str">
        <x:v>기아</x:v>
      </x:c>
      <x:c r="E232" s="24" t="str">
        <x:v>레이</x:v>
      </x:c>
      <x:c r="F232" s="24" t="str"/>
      <x:c r="G232" s="24" t="str">
        <x:v>가솔린 1.0</x:v>
      </x:c>
      <x:c r="H232" s="24" t="str">
        <x:v>가솔린</x:v>
      </x:c>
      <x:c r="I232" s="31" t="n">
        <x:v>998</x:v>
      </x:c>
      <x:c r="J232" s="31" t="n">
        <x:v>2017</x:v>
      </x:c>
      <x:c r="K232" s="24" t="str">
        <x:v>KNACK813EHT159662</x:v>
      </x:c>
      <x:c r="L232" s="24" t="str"/>
      <x:c r="M232" s="30" t="n">
        <x:v>42878</x:v>
      </x:c>
      <x:c r="N232" s="31"/>
      <x:c r="O232" s="30"/>
      <x:c r="P232" s="32"/>
      <x:c r="Q232" s="32"/>
      <x:c r="R232" s="32"/>
      <x:c r="S232" s="24" t="str"/>
      <x:c r="T232" s="32"/>
      <x:c r="U232" s="32"/>
      <x:c r="V232" s="24" t="str"/>
      <x:c r="W232" s="24" t="str"/>
      <x:c r="X232" s="32"/>
      <x:c r="Y232" s="33"/>
      <x:c r="Z232" s="31"/>
      <x:c r="AA232" s="24" t="str"/>
      <x:c r="AB232" s="30"/>
      <x:c r="AC232" s="30"/>
      <x:c r="AD232" s="32"/>
      <x:c r="AE232" s="32"/>
      <x:c r="AF232" s="24" t="str"/>
      <x:c r="AG232" s="24" t="str"/>
      <x:c r="AH232" s="30"/>
      <x:c r="AI232" s="24" t="str"/>
      <x:c r="AJ232" s="24" t="str"/>
      <x:c r="AK232" s="32"/>
      <x:c r="AL232" s="32"/>
      <x:c r="AM232" s="24" t="str"/>
      <x:c r="AN232" s="31" t="n">
        <x:v>72</x:v>
      </x:c>
    </x:row>
    <x:row r="233" ht="17.25" customHeight="1">
      <x:c r="A233" s="24" t="str">
        <x:v>프라임구독</x:v>
      </x:c>
      <x:c r="B233" s="24" t="str">
        <x:v>19모8971</x:v>
      </x:c>
      <x:c r="C233" s="24" t="str">
        <x:v>O</x:v>
      </x:c>
      <x:c r="D233" s="24" t="str">
        <x:v>쉐보레</x:v>
      </x:c>
      <x:c r="E233" s="24" t="str">
        <x:v>말리부</x:v>
      </x:c>
      <x:c r="F233" s="24" t="str"/>
      <x:c r="G233" s="24" t="str">
        <x:v>가솔린 2.0T</x:v>
      </x:c>
      <x:c r="H233" s="24" t="str">
        <x:v>가솔린</x:v>
      </x:c>
      <x:c r="I233" s="31" t="n">
        <x:v>1998</x:v>
      </x:c>
      <x:c r="J233" s="31" t="n">
        <x:v>2013</x:v>
      </x:c>
      <x:c r="K233" s="24" t="str">
        <x:v>KLAGA692DDB077409</x:v>
      </x:c>
      <x:c r="L233" s="24" t="str"/>
      <x:c r="M233" s="30" t="n">
        <x:v>41561</x:v>
      </x:c>
      <x:c r="N233" s="31"/>
      <x:c r="O233" s="30"/>
      <x:c r="P233" s="32"/>
      <x:c r="Q233" s="32"/>
      <x:c r="R233" s="32"/>
      <x:c r="S233" s="24" t="str"/>
      <x:c r="T233" s="32"/>
      <x:c r="U233" s="32"/>
      <x:c r="V233" s="24" t="str"/>
      <x:c r="W233" s="24" t="str"/>
      <x:c r="X233" s="32"/>
      <x:c r="Y233" s="33"/>
      <x:c r="Z233" s="31"/>
      <x:c r="AA233" s="24" t="str"/>
      <x:c r="AB233" s="30"/>
      <x:c r="AC233" s="30"/>
      <x:c r="AD233" s="32"/>
      <x:c r="AE233" s="32"/>
      <x:c r="AF233" s="24" t="str"/>
      <x:c r="AG233" s="24" t="str"/>
      <x:c r="AH233" s="30" t="n">
        <x:v>45532</x:v>
      </x:c>
      <x:c r="AI233" s="24" t="str"/>
      <x:c r="AJ233" s="24" t="str">
        <x:v>O</x:v>
      </x:c>
      <x:c r="AK233" s="32"/>
      <x:c r="AL233" s="32"/>
      <x:c r="AM233" s="24" t="str"/>
      <x:c r="AN233" s="31" t="n">
        <x:v>73</x:v>
      </x:c>
    </x:row>
    <x:row r="234" ht="17.25" customHeight="1">
      <x:c r="A234" s="24" t="str">
        <x:v>프라임구독</x:v>
      </x:c>
      <x:c r="B234" s="24" t="str">
        <x:v>19보9990</x:v>
      </x:c>
      <x:c r="C234" s="24" t="str">
        <x:v>보유</x:v>
      </x:c>
      <x:c r="D234" s="24" t="str">
        <x:v>기아</x:v>
      </x:c>
      <x:c r="E234" s="24" t="str">
        <x:v>쏘렌토</x:v>
      </x:c>
      <x:c r="F234" s="24" t="str"/>
      <x:c r="G234" s="24" t="str">
        <x:v>디젤 2.0 2WD</x:v>
      </x:c>
      <x:c r="H234" s="24" t="str">
        <x:v>디젤</x:v>
      </x:c>
      <x:c r="I234" s="31" t="n">
        <x:v>1995</x:v>
      </x:c>
      <x:c r="J234" s="31" t="n">
        <x:v>2015</x:v>
      </x:c>
      <x:c r="K234" s="24" t="str">
        <x:v>KNAPH81ADFA006593</x:v>
      </x:c>
      <x:c r="L234" s="24" t="str"/>
      <x:c r="M234" s="30" t="n">
        <x:v>41906</x:v>
      </x:c>
      <x:c r="N234" s="31"/>
      <x:c r="O234" s="30"/>
      <x:c r="P234" s="32"/>
      <x:c r="Q234" s="32"/>
      <x:c r="R234" s="32"/>
      <x:c r="S234" s="24" t="str"/>
      <x:c r="T234" s="32"/>
      <x:c r="U234" s="32"/>
      <x:c r="V234" s="24" t="str"/>
      <x:c r="W234" s="24" t="str"/>
      <x:c r="X234" s="32"/>
      <x:c r="Y234" s="33"/>
      <x:c r="Z234" s="31"/>
      <x:c r="AA234" s="24" t="str"/>
      <x:c r="AB234" s="30"/>
      <x:c r="AC234" s="30"/>
      <x:c r="AD234" s="32"/>
      <x:c r="AE234" s="32"/>
      <x:c r="AF234" s="24" t="str"/>
      <x:c r="AG234" s="24" t="str"/>
      <x:c r="AH234" s="30"/>
      <x:c r="AI234" s="24" t="str"/>
      <x:c r="AJ234" s="24" t="str"/>
      <x:c r="AK234" s="32"/>
      <x:c r="AL234" s="32"/>
      <x:c r="AM234" s="24" t="str"/>
      <x:c r="AN234" s="31" t="n">
        <x:v>74</x:v>
      </x:c>
    </x:row>
    <x:row r="235" ht="17.25" customHeight="1">
      <x:c r="A235" s="24" t="str">
        <x:v>프라임구독</x:v>
      </x:c>
      <x:c r="B235" s="24" t="str">
        <x:v>200나9556</x:v>
      </x:c>
      <x:c r="C235" s="24" t="str">
        <x:v>보유</x:v>
      </x:c>
      <x:c r="D235" s="24" t="str">
        <x:v>기아</x:v>
      </x:c>
      <x:c r="E235" s="24" t="str">
        <x:v>카니발</x:v>
      </x:c>
      <x:c r="F235" s="24" t="str"/>
      <x:c r="G235" s="24" t="str">
        <x:v>디젤 2.2</x:v>
      </x:c>
      <x:c r="H235" s="24" t="str">
        <x:v>디젤</x:v>
      </x:c>
      <x:c r="I235" s="31" t="n">
        <x:v>2199</x:v>
      </x:c>
      <x:c r="J235" s="31" t="n">
        <x:v>2019</x:v>
      </x:c>
      <x:c r="K235" s="24" t="str">
        <x:v>KNAMB81ABKS514768</x:v>
      </x:c>
      <x:c r="L235" s="24" t="str"/>
      <x:c r="M235" s="30" t="n">
        <x:v>43404</x:v>
      </x:c>
      <x:c r="N235" s="31"/>
      <x:c r="O235" s="30"/>
      <x:c r="P235" s="32"/>
      <x:c r="Q235" s="32"/>
      <x:c r="R235" s="32"/>
      <x:c r="S235" s="24" t="str"/>
      <x:c r="T235" s="32"/>
      <x:c r="U235" s="32"/>
      <x:c r="V235" s="24" t="str"/>
      <x:c r="W235" s="24" t="str"/>
      <x:c r="X235" s="32"/>
      <x:c r="Y235" s="33"/>
      <x:c r="Z235" s="31"/>
      <x:c r="AA235" s="24" t="str"/>
      <x:c r="AB235" s="30"/>
      <x:c r="AC235" s="30"/>
      <x:c r="AD235" s="32"/>
      <x:c r="AE235" s="32"/>
      <x:c r="AF235" s="24" t="str"/>
      <x:c r="AG235" s="24" t="str"/>
      <x:c r="AH235" s="30"/>
      <x:c r="AI235" s="24" t="str"/>
      <x:c r="AJ235" s="24" t="str"/>
      <x:c r="AK235" s="32"/>
      <x:c r="AL235" s="32"/>
      <x:c r="AM235" s="24" t="str"/>
      <x:c r="AN235" s="31" t="n">
        <x:v>75</x:v>
      </x:c>
    </x:row>
    <x:row r="236" ht="17.25" customHeight="1">
      <x:c r="A236" s="24" t="str">
        <x:v>프라임구독</x:v>
      </x:c>
      <x:c r="B236" s="24" t="str">
        <x:v>20가6992</x:v>
      </x:c>
      <x:c r="C236" s="24" t="str">
        <x:v>보유</x:v>
      </x:c>
      <x:c r="D236" s="24" t="str">
        <x:v>기아</x:v>
      </x:c>
      <x:c r="E236" s="24" t="str">
        <x:v>스포티지</x:v>
      </x:c>
      <x:c r="F236" s="24" t="str"/>
      <x:c r="G236" s="24" t="str">
        <x:v>디젤 2.0 2WD</x:v>
      </x:c>
      <x:c r="H236" s="24" t="str">
        <x:v>디젤</x:v>
      </x:c>
      <x:c r="I236" s="31" t="n">
        <x:v>1995</x:v>
      </x:c>
      <x:c r="J236" s="31" t="n">
        <x:v>2014</x:v>
      </x:c>
      <x:c r="K236" s="24" t="str">
        <x:v>KNAPE813BEK680516</x:v>
      </x:c>
      <x:c r="L236" s="24" t="str"/>
      <x:c r="M236" s="30" t="n">
        <x:v>41817</x:v>
      </x:c>
      <x:c r="N236" s="31"/>
      <x:c r="O236" s="30"/>
      <x:c r="P236" s="32"/>
      <x:c r="Q236" s="32"/>
      <x:c r="R236" s="32"/>
      <x:c r="S236" s="24" t="str"/>
      <x:c r="T236" s="32"/>
      <x:c r="U236" s="32"/>
      <x:c r="V236" s="24" t="str"/>
      <x:c r="W236" s="24" t="str"/>
      <x:c r="X236" s="32"/>
      <x:c r="Y236" s="33"/>
      <x:c r="Z236" s="31"/>
      <x:c r="AA236" s="24" t="str"/>
      <x:c r="AB236" s="30"/>
      <x:c r="AC236" s="30"/>
      <x:c r="AD236" s="32"/>
      <x:c r="AE236" s="32"/>
      <x:c r="AF236" s="24" t="str"/>
      <x:c r="AG236" s="24" t="str"/>
      <x:c r="AH236" s="30"/>
      <x:c r="AI236" s="24" t="str"/>
      <x:c r="AJ236" s="24" t="str"/>
      <x:c r="AK236" s="32"/>
      <x:c r="AL236" s="32"/>
      <x:c r="AM236" s="24" t="str"/>
      <x:c r="AN236" s="31" t="n">
        <x:v>76</x:v>
      </x:c>
    </x:row>
    <x:row r="237" ht="17.25" customHeight="1">
      <x:c r="A237" s="24" t="str">
        <x:v>프라임구독</x:v>
      </x:c>
      <x:c r="B237" s="24" t="str">
        <x:v>20누1882</x:v>
      </x:c>
      <x:c r="C237" s="24" t="str">
        <x:v>보유</x:v>
      </x:c>
      <x:c r="D237" s="24" t="str">
        <x:v>기아</x:v>
      </x:c>
      <x:c r="E237" s="24" t="str">
        <x:v>카니발</x:v>
      </x:c>
      <x:c r="F237" s="24" t="str"/>
      <x:c r="G237" s="24" t="str">
        <x:v>디젤 2.2</x:v>
      </x:c>
      <x:c r="H237" s="24" t="str">
        <x:v>디젤</x:v>
      </x:c>
      <x:c r="I237" s="31" t="n">
        <x:v>2199</x:v>
      </x:c>
      <x:c r="J237" s="31" t="n">
        <x:v>2015</x:v>
      </x:c>
      <x:c r="K237" s="24" t="str">
        <x:v>KNAMC81ABFS037121</x:v>
      </x:c>
      <x:c r="L237" s="24" t="str"/>
      <x:c r="M237" s="30" t="n">
        <x:v>41948</x:v>
      </x:c>
      <x:c r="N237" s="31"/>
      <x:c r="O237" s="30"/>
      <x:c r="P237" s="32"/>
      <x:c r="Q237" s="32"/>
      <x:c r="R237" s="32"/>
      <x:c r="S237" s="24" t="str"/>
      <x:c r="T237" s="32"/>
      <x:c r="U237" s="32"/>
      <x:c r="V237" s="24" t="str"/>
      <x:c r="W237" s="24" t="str"/>
      <x:c r="X237" s="32"/>
      <x:c r="Y237" s="33"/>
      <x:c r="Z237" s="31"/>
      <x:c r="AA237" s="24" t="str"/>
      <x:c r="AB237" s="30"/>
      <x:c r="AC237" s="30"/>
      <x:c r="AD237" s="32"/>
      <x:c r="AE237" s="32"/>
      <x:c r="AF237" s="24" t="str"/>
      <x:c r="AG237" s="24" t="str"/>
      <x:c r="AH237" s="30"/>
      <x:c r="AI237" s="24" t="str"/>
      <x:c r="AJ237" s="24" t="str"/>
      <x:c r="AK237" s="32"/>
      <x:c r="AL237" s="32"/>
      <x:c r="AM237" s="24" t="str"/>
      <x:c r="AN237" s="31" t="n">
        <x:v>77</x:v>
      </x:c>
    </x:row>
    <x:row r="238" ht="17.25" customHeight="1">
      <x:c r="A238" s="24" t="str">
        <x:v>프라임구독</x:v>
      </x:c>
      <x:c r="B238" s="24" t="str">
        <x:v>20부2787</x:v>
      </x:c>
      <x:c r="C238" s="24" t="str">
        <x:v>보유</x:v>
      </x:c>
      <x:c r="D238" s="24" t="str">
        <x:v>기아</x:v>
      </x:c>
      <x:c r="E238" s="24" t="str">
        <x:v>모하비</x:v>
      </x:c>
      <x:c r="F238" s="24" t="str"/>
      <x:c r="G238" s="24" t="str">
        <x:v>디젤 3.0 2WD</x:v>
      </x:c>
      <x:c r="H238" s="24" t="str">
        <x:v>디젤</x:v>
      </x:c>
      <x:c r="I238" s="31" t="n">
        <x:v>2959</x:v>
      </x:c>
      <x:c r="J238" s="31" t="n">
        <x:v>2017</x:v>
      </x:c>
      <x:c r="K238" s="24" t="str">
        <x:v>KNAKN814DHA164758</x:v>
      </x:c>
      <x:c r="L238" s="24" t="str"/>
      <x:c r="M238" s="30" t="n">
        <x:v>42807</x:v>
      </x:c>
      <x:c r="N238" s="31"/>
      <x:c r="O238" s="30"/>
      <x:c r="P238" s="32"/>
      <x:c r="Q238" s="32"/>
      <x:c r="R238" s="32"/>
      <x:c r="S238" s="24" t="str"/>
      <x:c r="T238" s="32"/>
      <x:c r="U238" s="32"/>
      <x:c r="V238" s="24" t="str"/>
      <x:c r="W238" s="24" t="str"/>
      <x:c r="X238" s="32"/>
      <x:c r="Y238" s="33"/>
      <x:c r="Z238" s="31"/>
      <x:c r="AA238" s="24" t="str"/>
      <x:c r="AB238" s="30"/>
      <x:c r="AC238" s="30"/>
      <x:c r="AD238" s="32"/>
      <x:c r="AE238" s="32"/>
      <x:c r="AF238" s="24" t="str"/>
      <x:c r="AG238" s="24" t="str"/>
      <x:c r="AH238" s="30"/>
      <x:c r="AI238" s="24" t="str"/>
      <x:c r="AJ238" s="24" t="str"/>
      <x:c r="AK238" s="32"/>
      <x:c r="AL238" s="32"/>
      <x:c r="AM238" s="24" t="str"/>
      <x:c r="AN238" s="31" t="n">
        <x:v>78</x:v>
      </x:c>
    </x:row>
    <x:row r="239" ht="17.25" customHeight="1">
      <x:c r="A239" s="24" t="str">
        <x:v>프라임구독</x:v>
      </x:c>
      <x:c r="B239" s="24" t="str">
        <x:v>20서8159</x:v>
      </x:c>
      <x:c r="C239" s="24" t="str">
        <x:v>보유</x:v>
      </x:c>
      <x:c r="D239" s="24" t="str">
        <x:v>기아</x:v>
      </x:c>
      <x:c r="E239" s="24" t="str">
        <x:v>K5</x:v>
      </x:c>
      <x:c r="F239" s="24" t="str"/>
      <x:c r="G239" s="24" t="str">
        <x:v>가솔린 2.0</x:v>
      </x:c>
      <x:c r="H239" s="24" t="str">
        <x:v>가솔린</x:v>
      </x:c>
      <x:c r="I239" s="31" t="n">
        <x:v>1998</x:v>
      </x:c>
      <x:c r="J239" s="31" t="n">
        <x:v>2012</x:v>
      </x:c>
      <x:c r="K239" s="24" t="str">
        <x:v>KNAGN416DBA233280</x:v>
      </x:c>
      <x:c r="L239" s="24" t="str"/>
      <x:c r="M239" s="30" t="n">
        <x:v>41005</x:v>
      </x:c>
      <x:c r="N239" s="31"/>
      <x:c r="O239" s="30"/>
      <x:c r="P239" s="32"/>
      <x:c r="Q239" s="32"/>
      <x:c r="R239" s="32"/>
      <x:c r="S239" s="24" t="str"/>
      <x:c r="T239" s="32"/>
      <x:c r="U239" s="32"/>
      <x:c r="V239" s="24" t="str"/>
      <x:c r="W239" s="24" t="str"/>
      <x:c r="X239" s="32"/>
      <x:c r="Y239" s="33"/>
      <x:c r="Z239" s="31"/>
      <x:c r="AA239" s="24" t="str"/>
      <x:c r="AB239" s="30"/>
      <x:c r="AC239" s="30"/>
      <x:c r="AD239" s="32"/>
      <x:c r="AE239" s="32"/>
      <x:c r="AF239" s="24" t="str"/>
      <x:c r="AG239" s="24" t="str"/>
      <x:c r="AH239" s="30"/>
      <x:c r="AI239" s="24" t="str"/>
      <x:c r="AJ239" s="24" t="str"/>
      <x:c r="AK239" s="32"/>
      <x:c r="AL239" s="32"/>
      <x:c r="AM239" s="24" t="str"/>
      <x:c r="AN239" s="31" t="n">
        <x:v>79</x:v>
      </x:c>
    </x:row>
    <x:row r="240" ht="17.25" customHeight="1">
      <x:c r="A240" s="24" t="str">
        <x:v>프라임구독</x:v>
      </x:c>
      <x:c r="B240" s="24" t="str">
        <x:v>21고4882</x:v>
      </x:c>
      <x:c r="C240" s="24" t="str">
        <x:v>보유</x:v>
      </x:c>
      <x:c r="D240" s="24" t="str">
        <x:v>KGM</x:v>
      </x:c>
      <x:c r="E240" s="24" t="str">
        <x:v>티볼리</x:v>
      </x:c>
      <x:c r="F240" s="24" t="str"/>
      <x:c r="G240" s="24" t="str">
        <x:v>디젤 1.6 2WD</x:v>
      </x:c>
      <x:c r="H240" s="24" t="str">
        <x:v>디젤</x:v>
      </x:c>
      <x:c r="I240" s="31" t="n">
        <x:v>1597</x:v>
      </x:c>
      <x:c r="J240" s="31" t="n">
        <x:v>2018</x:v>
      </x:c>
      <x:c r="K240" s="24" t="str">
        <x:v>KPBXM3AP1JP256459</x:v>
      </x:c>
      <x:c r="L240" s="24" t="str"/>
      <x:c r="M240" s="30" t="n">
        <x:v>43311</x:v>
      </x:c>
      <x:c r="N240" s="31"/>
      <x:c r="O240" s="30"/>
      <x:c r="P240" s="32"/>
      <x:c r="Q240" s="32"/>
      <x:c r="R240" s="32"/>
      <x:c r="S240" s="24" t="str"/>
      <x:c r="T240" s="32"/>
      <x:c r="U240" s="32"/>
      <x:c r="V240" s="24" t="str"/>
      <x:c r="W240" s="24" t="str"/>
      <x:c r="X240" s="32"/>
      <x:c r="Y240" s="33"/>
      <x:c r="Z240" s="31"/>
      <x:c r="AA240" s="24" t="str"/>
      <x:c r="AB240" s="30"/>
      <x:c r="AC240" s="30"/>
      <x:c r="AD240" s="32"/>
      <x:c r="AE240" s="32"/>
      <x:c r="AF240" s="24" t="str"/>
      <x:c r="AG240" s="24" t="str"/>
      <x:c r="AH240" s="30"/>
      <x:c r="AI240" s="24" t="str"/>
      <x:c r="AJ240" s="24" t="str"/>
      <x:c r="AK240" s="32"/>
      <x:c r="AL240" s="32"/>
      <x:c r="AM240" s="24" t="str"/>
      <x:c r="AN240" s="31" t="n">
        <x:v>80</x:v>
      </x:c>
    </x:row>
    <x:row r="241" ht="17.25" customHeight="1">
      <x:c r="A241" s="24" t="str">
        <x:v>프라임구독</x:v>
      </x:c>
      <x:c r="B241" s="24" t="str">
        <x:v>227서8291</x:v>
      </x:c>
      <x:c r="C241" s="24" t="str">
        <x:v>보유</x:v>
      </x:c>
      <x:c r="D241" s="24" t="str"/>
      <x:c r="E241" s="24" t="str">
        <x:v>모닝</x:v>
      </x:c>
      <x:c r="F241" s="24" t="str"/>
      <x:c r="G241" s="24" t="str">
        <x:v>가솔린 1.0</x:v>
      </x:c>
      <x:c r="H241" s="24" t="str"/>
      <x:c r="I241" s="31"/>
      <x:c r="J241" s="31" t="n">
        <x:v>2015</x:v>
      </x:c>
      <x:c r="K241" s="24" t="str">
        <x:v>KNABD511BGT188538</x:v>
      </x:c>
      <x:c r="L241" s="24" t="str"/>
      <x:c r="M241" s="30"/>
      <x:c r="N241" s="31"/>
      <x:c r="O241" s="30"/>
      <x:c r="P241" s="32"/>
      <x:c r="Q241" s="32"/>
      <x:c r="R241" s="32"/>
      <x:c r="S241" s="24" t="str"/>
      <x:c r="T241" s="32"/>
      <x:c r="U241" s="32"/>
      <x:c r="V241" s="24" t="str"/>
      <x:c r="W241" s="24" t="str"/>
      <x:c r="X241" s="32"/>
      <x:c r="Y241" s="33"/>
      <x:c r="Z241" s="31"/>
      <x:c r="AA241" s="24" t="str"/>
      <x:c r="AB241" s="30"/>
      <x:c r="AC241" s="30"/>
      <x:c r="AD241" s="32"/>
      <x:c r="AE241" s="32"/>
      <x:c r="AF241" s="24" t="str"/>
      <x:c r="AG241" s="24" t="str"/>
      <x:c r="AH241" s="30"/>
      <x:c r="AI241" s="24" t="str"/>
      <x:c r="AJ241" s="24" t="str"/>
      <x:c r="AK241" s="32"/>
      <x:c r="AL241" s="32"/>
      <x:c r="AM241" s="24" t="str"/>
      <x:c r="AN241" s="31" t="n">
        <x:v>81</x:v>
      </x:c>
    </x:row>
    <x:row r="242" ht="17.25" customHeight="1">
      <x:c r="A242" s="24" t="str">
        <x:v>프라임구독</x:v>
      </x:c>
      <x:c r="B242" s="24" t="str">
        <x:v>22거1063</x:v>
      </x:c>
      <x:c r="C242" s="24" t="str">
        <x:v>보유</x:v>
      </x:c>
      <x:c r="D242" s="24" t="str">
        <x:v>현대</x:v>
      </x:c>
      <x:c r="E242" s="24" t="str">
        <x:v>투싼</x:v>
      </x:c>
      <x:c r="F242" s="24" t="str"/>
      <x:c r="G242" s="24" t="str">
        <x:v>디젤 2.0 2WD</x:v>
      </x:c>
      <x:c r="H242" s="24" t="str">
        <x:v>디젤</x:v>
      </x:c>
      <x:c r="I242" s="31" t="n">
        <x:v>1995</x:v>
      </x:c>
      <x:c r="J242" s="31" t="n">
        <x:v>2017</x:v>
      </x:c>
      <x:c r="K242" s="24" t="str">
        <x:v>KMHJ381ABHU413873</x:v>
      </x:c>
      <x:c r="L242" s="24" t="str"/>
      <x:c r="M242" s="30" t="n">
        <x:v>42773</x:v>
      </x:c>
      <x:c r="N242" s="31"/>
      <x:c r="O242" s="30"/>
      <x:c r="P242" s="32"/>
      <x:c r="Q242" s="32"/>
      <x:c r="R242" s="32"/>
      <x:c r="S242" s="24" t="str"/>
      <x:c r="T242" s="32"/>
      <x:c r="U242" s="32"/>
      <x:c r="V242" s="24" t="str"/>
      <x:c r="W242" s="24" t="str"/>
      <x:c r="X242" s="32"/>
      <x:c r="Y242" s="33"/>
      <x:c r="Z242" s="31"/>
      <x:c r="AA242" s="24" t="str"/>
      <x:c r="AB242" s="30"/>
      <x:c r="AC242" s="30"/>
      <x:c r="AD242" s="32"/>
      <x:c r="AE242" s="32"/>
      <x:c r="AF242" s="24" t="str"/>
      <x:c r="AG242" s="24" t="str"/>
      <x:c r="AH242" s="30"/>
      <x:c r="AI242" s="24" t="str"/>
      <x:c r="AJ242" s="24" t="str"/>
      <x:c r="AK242" s="32"/>
      <x:c r="AL242" s="32"/>
      <x:c r="AM242" s="24" t="str"/>
      <x:c r="AN242" s="31" t="n">
        <x:v>82</x:v>
      </x:c>
    </x:row>
    <x:row r="243" ht="17.25" customHeight="1">
      <x:c r="A243" s="24" t="str">
        <x:v>프라임구독</x:v>
      </x:c>
      <x:c r="B243" s="24" t="str">
        <x:v>231더7227</x:v>
      </x:c>
      <x:c r="C243" s="24" t="str">
        <x:v>보유</x:v>
      </x:c>
      <x:c r="D243" s="24" t="str"/>
      <x:c r="E243" s="24" t="str"/>
      <x:c r="F243" s="24" t="str"/>
      <x:c r="G243" s="24" t="str">
        <x:v>가솔린 3.0</x:v>
      </x:c>
      <x:c r="H243" s="24" t="str"/>
      <x:c r="I243" s="31"/>
      <x:c r="J243" s="31"/>
      <x:c r="K243" s="24" t="str"/>
      <x:c r="L243" s="24" t="str"/>
      <x:c r="M243" s="30"/>
      <x:c r="N243" s="31"/>
      <x:c r="O243" s="30"/>
      <x:c r="P243" s="32"/>
      <x:c r="Q243" s="32"/>
      <x:c r="R243" s="32"/>
      <x:c r="S243" s="24" t="str"/>
      <x:c r="T243" s="32"/>
      <x:c r="U243" s="32"/>
      <x:c r="V243" s="24" t="str"/>
      <x:c r="W243" s="24" t="str"/>
      <x:c r="X243" s="32"/>
      <x:c r="Y243" s="33"/>
      <x:c r="Z243" s="31"/>
      <x:c r="AA243" s="24" t="str"/>
      <x:c r="AB243" s="30"/>
      <x:c r="AC243" s="30"/>
      <x:c r="AD243" s="32"/>
      <x:c r="AE243" s="32"/>
      <x:c r="AF243" s="24" t="str"/>
      <x:c r="AG243" s="24" t="str"/>
      <x:c r="AH243" s="30"/>
      <x:c r="AI243" s="24" t="str"/>
      <x:c r="AJ243" s="24" t="str"/>
      <x:c r="AK243" s="32"/>
      <x:c r="AL243" s="32"/>
      <x:c r="AM243" s="24" t="str"/>
      <x:c r="AN243" s="31" t="n">
        <x:v>83</x:v>
      </x:c>
    </x:row>
    <x:row r="244" ht="17.25" customHeight="1">
      <x:c r="A244" s="24" t="str">
        <x:v>프라임구독</x:v>
      </x:c>
      <x:c r="B244" s="24" t="str">
        <x:v>236가3220</x:v>
      </x:c>
      <x:c r="C244" s="24" t="str">
        <x:v>보유</x:v>
      </x:c>
      <x:c r="D244" s="24" t="str"/>
      <x:c r="E244" s="24" t="str"/>
      <x:c r="F244" s="24" t="str"/>
      <x:c r="G244" s="24" t="str">
        <x:v>가솔린 3.0</x:v>
      </x:c>
      <x:c r="H244" s="24" t="str"/>
      <x:c r="I244" s="31"/>
      <x:c r="J244" s="31"/>
      <x:c r="K244" s="24" t="str"/>
      <x:c r="L244" s="24" t="str"/>
      <x:c r="M244" s="30"/>
      <x:c r="N244" s="31"/>
      <x:c r="O244" s="30"/>
      <x:c r="P244" s="32"/>
      <x:c r="Q244" s="32"/>
      <x:c r="R244" s="32"/>
      <x:c r="S244" s="24" t="str"/>
      <x:c r="T244" s="32"/>
      <x:c r="U244" s="32"/>
      <x:c r="V244" s="24" t="str"/>
      <x:c r="W244" s="24" t="str"/>
      <x:c r="X244" s="32"/>
      <x:c r="Y244" s="33"/>
      <x:c r="Z244" s="31"/>
      <x:c r="AA244" s="24" t="str"/>
      <x:c r="AB244" s="30"/>
      <x:c r="AC244" s="30"/>
      <x:c r="AD244" s="32"/>
      <x:c r="AE244" s="32"/>
      <x:c r="AF244" s="24" t="str"/>
      <x:c r="AG244" s="24" t="str"/>
      <x:c r="AH244" s="30"/>
      <x:c r="AI244" s="24" t="str"/>
      <x:c r="AJ244" s="24" t="str"/>
      <x:c r="AK244" s="32"/>
      <x:c r="AL244" s="32"/>
      <x:c r="AM244" s="24" t="str"/>
      <x:c r="AN244" s="31" t="n">
        <x:v>84</x:v>
      </x:c>
    </x:row>
    <x:row r="245" ht="17.25" customHeight="1">
      <x:c r="A245" s="24" t="str">
        <x:v>프라임구독</x:v>
      </x:c>
      <x:c r="B245" s="24" t="str">
        <x:v>236보1364</x:v>
      </x:c>
      <x:c r="C245" s="24" t="str">
        <x:v>보유</x:v>
      </x:c>
      <x:c r="D245" s="24" t="str"/>
      <x:c r="E245" s="24" t="str"/>
      <x:c r="F245" s="24" t="str"/>
      <x:c r="G245" s="24" t="str">
        <x:v>가솔린 3.0</x:v>
      </x:c>
      <x:c r="H245" s="24" t="str"/>
      <x:c r="I245" s="31"/>
      <x:c r="J245" s="31"/>
      <x:c r="K245" s="24" t="str"/>
      <x:c r="L245" s="24" t="str"/>
      <x:c r="M245" s="30"/>
      <x:c r="N245" s="31"/>
      <x:c r="O245" s="30"/>
      <x:c r="P245" s="32"/>
      <x:c r="Q245" s="32"/>
      <x:c r="R245" s="32"/>
      <x:c r="S245" s="24" t="str"/>
      <x:c r="T245" s="32"/>
      <x:c r="U245" s="32"/>
      <x:c r="V245" s="24" t="str"/>
      <x:c r="W245" s="24" t="str"/>
      <x:c r="X245" s="32"/>
      <x:c r="Y245" s="33"/>
      <x:c r="Z245" s="31"/>
      <x:c r="AA245" s="24" t="str"/>
      <x:c r="AB245" s="30"/>
      <x:c r="AC245" s="30"/>
      <x:c r="AD245" s="32"/>
      <x:c r="AE245" s="32"/>
      <x:c r="AF245" s="24" t="str"/>
      <x:c r="AG245" s="24" t="str"/>
      <x:c r="AH245" s="30"/>
      <x:c r="AI245" s="24" t="str"/>
      <x:c r="AJ245" s="24" t="str"/>
      <x:c r="AK245" s="32"/>
      <x:c r="AL245" s="32"/>
      <x:c r="AM245" s="24" t="str"/>
      <x:c r="AN245" s="31" t="n">
        <x:v>85</x:v>
      </x:c>
    </x:row>
    <x:row r="246" ht="17.25" customHeight="1">
      <x:c r="A246" s="24" t="str">
        <x:v>프라임구독</x:v>
      </x:c>
      <x:c r="B246" s="24" t="str">
        <x:v>239버3661</x:v>
      </x:c>
      <x:c r="C246" s="24" t="str">
        <x:v>보유</x:v>
      </x:c>
      <x:c r="D246" s="24" t="str"/>
      <x:c r="E246" s="24" t="str"/>
      <x:c r="F246" s="24" t="str"/>
      <x:c r="G246" s="24" t="str">
        <x:v>가솔린 3.0</x:v>
      </x:c>
      <x:c r="H246" s="24" t="str"/>
      <x:c r="I246" s="31"/>
      <x:c r="J246" s="31"/>
      <x:c r="K246" s="24" t="str"/>
      <x:c r="L246" s="24" t="str"/>
      <x:c r="M246" s="30"/>
      <x:c r="N246" s="31"/>
      <x:c r="O246" s="30"/>
      <x:c r="P246" s="32"/>
      <x:c r="Q246" s="32"/>
      <x:c r="R246" s="32"/>
      <x:c r="S246" s="24" t="str"/>
      <x:c r="T246" s="32"/>
      <x:c r="U246" s="32"/>
      <x:c r="V246" s="24" t="str"/>
      <x:c r="W246" s="24" t="str"/>
      <x:c r="X246" s="32"/>
      <x:c r="Y246" s="33"/>
      <x:c r="Z246" s="31"/>
      <x:c r="AA246" s="24" t="str"/>
      <x:c r="AB246" s="30"/>
      <x:c r="AC246" s="30"/>
      <x:c r="AD246" s="32"/>
      <x:c r="AE246" s="32"/>
      <x:c r="AF246" s="24" t="str"/>
      <x:c r="AG246" s="24" t="str"/>
      <x:c r="AH246" s="30"/>
      <x:c r="AI246" s="24" t="str"/>
      <x:c r="AJ246" s="24" t="str"/>
      <x:c r="AK246" s="32"/>
      <x:c r="AL246" s="32"/>
      <x:c r="AM246" s="24" t="str"/>
      <x:c r="AN246" s="31" t="n">
        <x:v>86</x:v>
      </x:c>
    </x:row>
    <x:row r="247" ht="17.25" customHeight="1">
      <x:c r="A247" s="24" t="str">
        <x:v>프라임구독</x:v>
      </x:c>
      <x:c r="B247" s="24" t="str">
        <x:v>23더7974</x:v>
      </x:c>
      <x:c r="C247" s="24" t="str">
        <x:v>보유</x:v>
      </x:c>
      <x:c r="D247" s="24" t="str">
        <x:v>기아</x:v>
      </x:c>
      <x:c r="E247" s="24" t="str">
        <x:v>K5</x:v>
      </x:c>
      <x:c r="F247" s="24" t="str"/>
      <x:c r="G247" s="24" t="str">
        <x:v>가솔린 2.0</x:v>
      </x:c>
      <x:c r="H247" s="24" t="str">
        <x:v>가솔린</x:v>
      </x:c>
      <x:c r="I247" s="31" t="n">
        <x:v>1998</x:v>
      </x:c>
      <x:c r="J247" s="31" t="n">
        <x:v>2012</x:v>
      </x:c>
      <x:c r="K247" s="24" t="str">
        <x:v>KNAGN411BCA239432</x:v>
      </x:c>
      <x:c r="L247" s="24" t="str"/>
      <x:c r="M247" s="30" t="n">
        <x:v>40952</x:v>
      </x:c>
      <x:c r="N247" s="31"/>
      <x:c r="O247" s="30"/>
      <x:c r="P247" s="32"/>
      <x:c r="Q247" s="32"/>
      <x:c r="R247" s="32"/>
      <x:c r="S247" s="24" t="str"/>
      <x:c r="T247" s="32"/>
      <x:c r="U247" s="32"/>
      <x:c r="V247" s="24" t="str"/>
      <x:c r="W247" s="24" t="str"/>
      <x:c r="X247" s="32"/>
      <x:c r="Y247" s="33"/>
      <x:c r="Z247" s="31"/>
      <x:c r="AA247" s="24" t="str"/>
      <x:c r="AB247" s="30"/>
      <x:c r="AC247" s="30"/>
      <x:c r="AD247" s="32"/>
      <x:c r="AE247" s="32"/>
      <x:c r="AF247" s="24" t="str"/>
      <x:c r="AG247" s="24" t="str"/>
      <x:c r="AH247" s="30"/>
      <x:c r="AI247" s="24" t="str"/>
      <x:c r="AJ247" s="24" t="str"/>
      <x:c r="AK247" s="32"/>
      <x:c r="AL247" s="32"/>
      <x:c r="AM247" s="24" t="str"/>
      <x:c r="AN247" s="31" t="n">
        <x:v>87</x:v>
      </x:c>
    </x:row>
    <x:row r="248" ht="17.25" customHeight="1">
      <x:c r="A248" s="24" t="str">
        <x:v>프라임구독</x:v>
      </x:c>
      <x:c r="B248" s="24" t="str">
        <x:v>240보1114</x:v>
      </x:c>
      <x:c r="C248" s="24" t="str">
        <x:v>보유</x:v>
      </x:c>
      <x:c r="D248" s="24" t="str"/>
      <x:c r="E248" s="24" t="str"/>
      <x:c r="F248" s="24" t="str"/>
      <x:c r="G248" s="24" t="str">
        <x:v>가솔린 3.0</x:v>
      </x:c>
      <x:c r="H248" s="24" t="str"/>
      <x:c r="I248" s="31"/>
      <x:c r="J248" s="31"/>
      <x:c r="K248" s="24" t="str"/>
      <x:c r="L248" s="24" t="str"/>
      <x:c r="M248" s="30"/>
      <x:c r="N248" s="31"/>
      <x:c r="O248" s="30"/>
      <x:c r="P248" s="32"/>
      <x:c r="Q248" s="32"/>
      <x:c r="R248" s="32"/>
      <x:c r="S248" s="24" t="str"/>
      <x:c r="T248" s="32"/>
      <x:c r="U248" s="32"/>
      <x:c r="V248" s="24" t="str"/>
      <x:c r="W248" s="24" t="str"/>
      <x:c r="X248" s="32"/>
      <x:c r="Y248" s="33"/>
      <x:c r="Z248" s="31"/>
      <x:c r="AA248" s="24" t="str"/>
      <x:c r="AB248" s="30"/>
      <x:c r="AC248" s="30"/>
      <x:c r="AD248" s="32"/>
      <x:c r="AE248" s="32"/>
      <x:c r="AF248" s="24" t="str"/>
      <x:c r="AG248" s="24" t="str"/>
      <x:c r="AH248" s="30"/>
      <x:c r="AI248" s="24" t="str"/>
      <x:c r="AJ248" s="24" t="str"/>
      <x:c r="AK248" s="32"/>
      <x:c r="AL248" s="32"/>
      <x:c r="AM248" s="24" t="str"/>
      <x:c r="AN248" s="31" t="n">
        <x:v>88</x:v>
      </x:c>
    </x:row>
    <x:row r="249" ht="17.25" customHeight="1">
      <x:c r="A249" s="24" t="str">
        <x:v>프라임구독</x:v>
      </x:c>
      <x:c r="B249" s="24" t="str">
        <x:v>24고7227</x:v>
      </x:c>
      <x:c r="C249" s="24" t="str">
        <x:v>보유</x:v>
      </x:c>
      <x:c r="D249" s="24" t="str">
        <x:v>현대</x:v>
      </x:c>
      <x:c r="E249" s="24" t="str">
        <x:v>에쿠스</x:v>
      </x:c>
      <x:c r="F249" s="24" t="str"/>
      <x:c r="G249" s="24" t="str">
        <x:v>가솔린 3.8</x:v>
      </x:c>
      <x:c r="H249" s="24" t="str">
        <x:v>가솔린</x:v>
      </x:c>
      <x:c r="I249" s="31" t="n">
        <x:v>3778</x:v>
      </x:c>
      <x:c r="J249" s="31" t="n">
        <x:v>2012</x:v>
      </x:c>
      <x:c r="K249" s="24" t="str">
        <x:v>KMHGG41DBCU064398</x:v>
      </x:c>
      <x:c r="L249" s="24" t="str"/>
      <x:c r="M249" s="30" t="n">
        <x:v>41201</x:v>
      </x:c>
      <x:c r="N249" s="31"/>
      <x:c r="O249" s="30"/>
      <x:c r="P249" s="32"/>
      <x:c r="Q249" s="32"/>
      <x:c r="R249" s="32"/>
      <x:c r="S249" s="24" t="str"/>
      <x:c r="T249" s="32"/>
      <x:c r="U249" s="32"/>
      <x:c r="V249" s="24" t="str"/>
      <x:c r="W249" s="24" t="str"/>
      <x:c r="X249" s="32"/>
      <x:c r="Y249" s="33"/>
      <x:c r="Z249" s="31"/>
      <x:c r="AA249" s="24" t="str"/>
      <x:c r="AB249" s="30"/>
      <x:c r="AC249" s="30"/>
      <x:c r="AD249" s="32"/>
      <x:c r="AE249" s="32"/>
      <x:c r="AF249" s="24" t="str"/>
      <x:c r="AG249" s="24" t="str"/>
      <x:c r="AH249" s="30"/>
      <x:c r="AI249" s="24" t="str"/>
      <x:c r="AJ249" s="24" t="str"/>
      <x:c r="AK249" s="32"/>
      <x:c r="AL249" s="32"/>
      <x:c r="AM249" s="24" t="str"/>
      <x:c r="AN249" s="31" t="n">
        <x:v>89</x:v>
      </x:c>
    </x:row>
    <x:row r="250" ht="17.25" customHeight="1">
      <x:c r="A250" s="24" t="str">
        <x:v>프라임구독</x:v>
      </x:c>
      <x:c r="B250" s="24" t="str">
        <x:v>250서5013</x:v>
      </x:c>
      <x:c r="C250" s="24" t="str">
        <x:v>보유</x:v>
      </x:c>
      <x:c r="D250" s="24" t="str"/>
      <x:c r="E250" s="24" t="str"/>
      <x:c r="F250" s="24" t="str"/>
      <x:c r="G250" s="24" t="str">
        <x:v>가솔린 3.0</x:v>
      </x:c>
      <x:c r="H250" s="24" t="str"/>
      <x:c r="I250" s="31"/>
      <x:c r="J250" s="31"/>
      <x:c r="K250" s="24" t="str"/>
      <x:c r="L250" s="24" t="str"/>
      <x:c r="M250" s="30"/>
      <x:c r="N250" s="31"/>
      <x:c r="O250" s="30"/>
      <x:c r="P250" s="32"/>
      <x:c r="Q250" s="32"/>
      <x:c r="R250" s="32"/>
      <x:c r="S250" s="24" t="str"/>
      <x:c r="T250" s="32"/>
      <x:c r="U250" s="32"/>
      <x:c r="V250" s="24" t="str"/>
      <x:c r="W250" s="24" t="str"/>
      <x:c r="X250" s="32"/>
      <x:c r="Y250" s="33"/>
      <x:c r="Z250" s="31"/>
      <x:c r="AA250" s="24" t="str"/>
      <x:c r="AB250" s="30"/>
      <x:c r="AC250" s="30"/>
      <x:c r="AD250" s="32"/>
      <x:c r="AE250" s="32"/>
      <x:c r="AF250" s="24" t="str"/>
      <x:c r="AG250" s="24" t="str"/>
      <x:c r="AH250" s="30"/>
      <x:c r="AI250" s="24" t="str"/>
      <x:c r="AJ250" s="24" t="str"/>
      <x:c r="AK250" s="32"/>
      <x:c r="AL250" s="32"/>
      <x:c r="AM250" s="24" t="str"/>
      <x:c r="AN250" s="31" t="n">
        <x:v>90</x:v>
      </x:c>
    </x:row>
    <x:row r="251" ht="17.25" customHeight="1">
      <x:c r="A251" s="24" t="str">
        <x:v>프라임구독</x:v>
      </x:c>
      <x:c r="B251" s="24" t="str">
        <x:v>255로9949</x:v>
      </x:c>
      <x:c r="C251" s="24" t="str">
        <x:v>보유</x:v>
      </x:c>
      <x:c r="D251" s="24" t="str"/>
      <x:c r="E251" s="24" t="str"/>
      <x:c r="F251" s="24" t="str"/>
      <x:c r="G251" s="24" t="str">
        <x:v>가솔린 3.0</x:v>
      </x:c>
      <x:c r="H251" s="24" t="str"/>
      <x:c r="I251" s="31"/>
      <x:c r="J251" s="31"/>
      <x:c r="K251" s="24" t="str"/>
      <x:c r="L251" s="24" t="str"/>
      <x:c r="M251" s="30"/>
      <x:c r="N251" s="31"/>
      <x:c r="O251" s="30"/>
      <x:c r="P251" s="32"/>
      <x:c r="Q251" s="32"/>
      <x:c r="R251" s="32"/>
      <x:c r="S251" s="24" t="str"/>
      <x:c r="T251" s="32"/>
      <x:c r="U251" s="32"/>
      <x:c r="V251" s="24" t="str"/>
      <x:c r="W251" s="24" t="str"/>
      <x:c r="X251" s="32"/>
      <x:c r="Y251" s="33"/>
      <x:c r="Z251" s="31"/>
      <x:c r="AA251" s="24" t="str"/>
      <x:c r="AB251" s="30"/>
      <x:c r="AC251" s="30"/>
      <x:c r="AD251" s="32"/>
      <x:c r="AE251" s="32"/>
      <x:c r="AF251" s="24" t="str"/>
      <x:c r="AG251" s="24" t="str"/>
      <x:c r="AH251" s="30"/>
      <x:c r="AI251" s="24" t="str"/>
      <x:c r="AJ251" s="24" t="str"/>
      <x:c r="AK251" s="32"/>
      <x:c r="AL251" s="32"/>
      <x:c r="AM251" s="24" t="str"/>
      <x:c r="AN251" s="31" t="n">
        <x:v>91</x:v>
      </x:c>
    </x:row>
    <x:row r="252" ht="17.25" customHeight="1">
      <x:c r="A252" s="24" t="str">
        <x:v>프라임구독</x:v>
      </x:c>
      <x:c r="B252" s="24" t="str">
        <x:v>255오1360</x:v>
      </x:c>
      <x:c r="C252" s="24" t="str">
        <x:v>보유</x:v>
      </x:c>
      <x:c r="D252" s="24" t="str"/>
      <x:c r="E252" s="24" t="str"/>
      <x:c r="F252" s="24" t="str"/>
      <x:c r="G252" s="24" t="str">
        <x:v>가솔린 3.0</x:v>
      </x:c>
      <x:c r="H252" s="24" t="str"/>
      <x:c r="I252" s="31"/>
      <x:c r="J252" s="31"/>
      <x:c r="K252" s="24" t="str"/>
      <x:c r="L252" s="24" t="str"/>
      <x:c r="M252" s="30"/>
      <x:c r="N252" s="31"/>
      <x:c r="O252" s="30"/>
      <x:c r="P252" s="32"/>
      <x:c r="Q252" s="32"/>
      <x:c r="R252" s="32"/>
      <x:c r="S252" s="24" t="str"/>
      <x:c r="T252" s="32"/>
      <x:c r="U252" s="32"/>
      <x:c r="V252" s="24" t="str"/>
      <x:c r="W252" s="24" t="str"/>
      <x:c r="X252" s="32"/>
      <x:c r="Y252" s="33"/>
      <x:c r="Z252" s="31"/>
      <x:c r="AA252" s="24" t="str"/>
      <x:c r="AB252" s="30"/>
      <x:c r="AC252" s="30"/>
      <x:c r="AD252" s="32"/>
      <x:c r="AE252" s="32"/>
      <x:c r="AF252" s="24" t="str"/>
      <x:c r="AG252" s="24" t="str"/>
      <x:c r="AH252" s="30"/>
      <x:c r="AI252" s="24" t="str"/>
      <x:c r="AJ252" s="24" t="str"/>
      <x:c r="AK252" s="32"/>
      <x:c r="AL252" s="32"/>
      <x:c r="AM252" s="24" t="str"/>
      <x:c r="AN252" s="31" t="n">
        <x:v>92</x:v>
      </x:c>
    </x:row>
    <x:row r="253" ht="17.25" customHeight="1">
      <x:c r="A253" s="24" t="str">
        <x:v>프라임구독</x:v>
      </x:c>
      <x:c r="B253" s="24" t="str">
        <x:v>255우2089</x:v>
      </x:c>
      <x:c r="C253" s="24" t="str">
        <x:v>보유</x:v>
      </x:c>
      <x:c r="D253" s="24" t="str"/>
      <x:c r="E253" s="24" t="str"/>
      <x:c r="F253" s="24" t="str"/>
      <x:c r="G253" s="24" t="str">
        <x:v>가솔린 3.0</x:v>
      </x:c>
      <x:c r="H253" s="24" t="str"/>
      <x:c r="I253" s="31"/>
      <x:c r="J253" s="31"/>
      <x:c r="K253" s="24" t="str"/>
      <x:c r="L253" s="24" t="str"/>
      <x:c r="M253" s="30"/>
      <x:c r="N253" s="31"/>
      <x:c r="O253" s="30"/>
      <x:c r="P253" s="32"/>
      <x:c r="Q253" s="32"/>
      <x:c r="R253" s="32"/>
      <x:c r="S253" s="24" t="str"/>
      <x:c r="T253" s="32"/>
      <x:c r="U253" s="32"/>
      <x:c r="V253" s="24" t="str"/>
      <x:c r="W253" s="24" t="str"/>
      <x:c r="X253" s="32"/>
      <x:c r="Y253" s="33"/>
      <x:c r="Z253" s="31"/>
      <x:c r="AA253" s="24" t="str"/>
      <x:c r="AB253" s="30"/>
      <x:c r="AC253" s="30"/>
      <x:c r="AD253" s="32"/>
      <x:c r="AE253" s="32"/>
      <x:c r="AF253" s="24" t="str"/>
      <x:c r="AG253" s="24" t="str"/>
      <x:c r="AH253" s="30"/>
      <x:c r="AI253" s="24" t="str"/>
      <x:c r="AJ253" s="24" t="str"/>
      <x:c r="AK253" s="32"/>
      <x:c r="AL253" s="32"/>
      <x:c r="AM253" s="24" t="str"/>
      <x:c r="AN253" s="31" t="n">
        <x:v>93</x:v>
      </x:c>
    </x:row>
    <x:row r="254" ht="17.25" customHeight="1">
      <x:c r="A254" s="24" t="str">
        <x:v>프라임구독</x:v>
      </x:c>
      <x:c r="B254" s="24" t="str">
        <x:v>25머4399</x:v>
      </x:c>
      <x:c r="C254" s="24" t="str">
        <x:v>보유</x:v>
      </x:c>
      <x:c r="D254" s="24" t="str">
        <x:v>폭스바겐</x:v>
      </x:c>
      <x:c r="E254" s="24" t="str">
        <x:v>GOLF</x:v>
      </x:c>
      <x:c r="F254" s="24" t="str"/>
      <x:c r="G254" s="24" t="str">
        <x:v>디젤 2.0</x:v>
      </x:c>
      <x:c r="H254" s="24" t="str">
        <x:v>디젤</x:v>
      </x:c>
      <x:c r="I254" s="31" t="n">
        <x:v>1968</x:v>
      </x:c>
      <x:c r="J254" s="31" t="n">
        <x:v>2013</x:v>
      </x:c>
      <x:c r="K254" s="24" t="str">
        <x:v>WVWZZZ1KZDW050327</x:v>
      </x:c>
      <x:c r="L254" s="24" t="str"/>
      <x:c r="M254" s="30" t="n">
        <x:v>41270</x:v>
      </x:c>
      <x:c r="N254" s="31"/>
      <x:c r="O254" s="30"/>
      <x:c r="P254" s="32"/>
      <x:c r="Q254" s="32"/>
      <x:c r="R254" s="32"/>
      <x:c r="S254" s="24" t="str"/>
      <x:c r="T254" s="32"/>
      <x:c r="U254" s="32"/>
      <x:c r="V254" s="24" t="str"/>
      <x:c r="W254" s="24" t="str"/>
      <x:c r="X254" s="32"/>
      <x:c r="Y254" s="33"/>
      <x:c r="Z254" s="31"/>
      <x:c r="AA254" s="24" t="str"/>
      <x:c r="AB254" s="30"/>
      <x:c r="AC254" s="30"/>
      <x:c r="AD254" s="32"/>
      <x:c r="AE254" s="32"/>
      <x:c r="AF254" s="24" t="str"/>
      <x:c r="AG254" s="24" t="str"/>
      <x:c r="AH254" s="30"/>
      <x:c r="AI254" s="24" t="str"/>
      <x:c r="AJ254" s="24" t="str"/>
      <x:c r="AK254" s="32"/>
      <x:c r="AL254" s="32"/>
      <x:c r="AM254" s="24" t="str"/>
      <x:c r="AN254" s="31" t="n">
        <x:v>94</x:v>
      </x:c>
    </x:row>
    <x:row r="255" ht="17.25" customHeight="1">
      <x:c r="A255" s="24" t="str">
        <x:v>프라임구독</x:v>
      </x:c>
      <x:c r="B255" s="24" t="str">
        <x:v>25부0580</x:v>
      </x:c>
      <x:c r="C255" s="24" t="str">
        <x:v>보유</x:v>
      </x:c>
      <x:c r="D255" s="24" t="str">
        <x:v>현대</x:v>
      </x:c>
      <x:c r="E255" s="24" t="str">
        <x:v>싼타페</x:v>
      </x:c>
      <x:c r="F255" s="24" t="str"/>
      <x:c r="G255" s="24" t="str">
        <x:v>디젤 2.0 2WD</x:v>
      </x:c>
      <x:c r="H255" s="24" t="str">
        <x:v>디젤</x:v>
      </x:c>
      <x:c r="I255" s="31" t="n">
        <x:v>1995</x:v>
      </x:c>
      <x:c r="J255" s="31" t="n">
        <x:v>2016</x:v>
      </x:c>
      <x:c r="K255" s="24" t="str">
        <x:v>KMHSW81UBGU599592</x:v>
      </x:c>
      <x:c r="L255" s="24" t="str"/>
      <x:c r="M255" s="30" t="n">
        <x:v>42334</x:v>
      </x:c>
      <x:c r="N255" s="31"/>
      <x:c r="O255" s="30"/>
      <x:c r="P255" s="32"/>
      <x:c r="Q255" s="32"/>
      <x:c r="R255" s="32"/>
      <x:c r="S255" s="24" t="str"/>
      <x:c r="T255" s="32"/>
      <x:c r="U255" s="32"/>
      <x:c r="V255" s="24" t="str"/>
      <x:c r="W255" s="24" t="str"/>
      <x:c r="X255" s="32"/>
      <x:c r="Y255" s="33"/>
      <x:c r="Z255" s="31"/>
      <x:c r="AA255" s="24" t="str"/>
      <x:c r="AB255" s="30"/>
      <x:c r="AC255" s="30"/>
      <x:c r="AD255" s="32"/>
      <x:c r="AE255" s="32"/>
      <x:c r="AF255" s="24" t="str"/>
      <x:c r="AG255" s="24" t="str"/>
      <x:c r="AH255" s="30"/>
      <x:c r="AI255" s="24" t="str"/>
      <x:c r="AJ255" s="24" t="str"/>
      <x:c r="AK255" s="32"/>
      <x:c r="AL255" s="32"/>
      <x:c r="AM255" s="24" t="str"/>
      <x:c r="AN255" s="31" t="n">
        <x:v>95</x:v>
      </x:c>
    </x:row>
    <x:row r="256" ht="17.25" customHeight="1">
      <x:c r="A256" s="24" t="str">
        <x:v>프라임구독</x:v>
      </x:c>
      <x:c r="B256" s="24" t="str">
        <x:v>25오7995</x:v>
      </x:c>
      <x:c r="C256" s="24" t="str">
        <x:v>보유</x:v>
      </x:c>
      <x:c r="D256" s="24" t="str">
        <x:v>현대</x:v>
      </x:c>
      <x:c r="E256" s="24" t="str">
        <x:v>투싼</x:v>
      </x:c>
      <x:c r="F256" s="24" t="str"/>
      <x:c r="G256" s="24" t="str">
        <x:v>디젤 2.0 2WD</x:v>
      </x:c>
      <x:c r="H256" s="24" t="str">
        <x:v>디젤</x:v>
      </x:c>
      <x:c r="I256" s="31" t="n">
        <x:v>1995</x:v>
      </x:c>
      <x:c r="J256" s="31" t="n">
        <x:v>2014</x:v>
      </x:c>
      <x:c r="K256" s="24" t="str">
        <x:v>KMHJT81VBEU779944</x:v>
      </x:c>
      <x:c r="L256" s="24" t="str"/>
      <x:c r="M256" s="30" t="n">
        <x:v>41477</x:v>
      </x:c>
      <x:c r="N256" s="31"/>
      <x:c r="O256" s="30"/>
      <x:c r="P256" s="32"/>
      <x:c r="Q256" s="32"/>
      <x:c r="R256" s="32"/>
      <x:c r="S256" s="24" t="str"/>
      <x:c r="T256" s="32"/>
      <x:c r="U256" s="32"/>
      <x:c r="V256" s="24" t="str"/>
      <x:c r="W256" s="24" t="str"/>
      <x:c r="X256" s="32"/>
      <x:c r="Y256" s="33"/>
      <x:c r="Z256" s="31"/>
      <x:c r="AA256" s="24" t="str"/>
      <x:c r="AB256" s="30"/>
      <x:c r="AC256" s="30"/>
      <x:c r="AD256" s="32"/>
      <x:c r="AE256" s="32"/>
      <x:c r="AF256" s="24" t="str"/>
      <x:c r="AG256" s="24" t="str"/>
      <x:c r="AH256" s="30"/>
      <x:c r="AI256" s="24" t="str"/>
      <x:c r="AJ256" s="24" t="str"/>
      <x:c r="AK256" s="32"/>
      <x:c r="AL256" s="32"/>
      <x:c r="AM256" s="24" t="str"/>
      <x:c r="AN256" s="31" t="n">
        <x:v>96</x:v>
      </x:c>
    </x:row>
    <x:row r="257" ht="17.25" customHeight="1">
      <x:c r="A257" s="24" t="str">
        <x:v>프라임구독</x:v>
      </x:c>
      <x:c r="B257" s="24" t="str">
        <x:v>263오7836</x:v>
      </x:c>
      <x:c r="C257" s="24" t="str">
        <x:v>보유</x:v>
      </x:c>
      <x:c r="D257" s="24" t="str">
        <x:v>르노</x:v>
      </x:c>
      <x:c r="E257" s="24" t="str">
        <x:v>SM6</x:v>
      </x:c>
      <x:c r="F257" s="24" t="str"/>
      <x:c r="G257" s="24" t="str">
        <x:v>LPG 2.0</x:v>
      </x:c>
      <x:c r="H257" s="24" t="str">
        <x:v>LPG</x:v>
      </x:c>
      <x:c r="I257" s="31" t="n">
        <x:v>1998</x:v>
      </x:c>
      <x:c r="J257" s="31" t="n">
        <x:v>2016</x:v>
      </x:c>
      <x:c r="K257" s="24" t="str">
        <x:v>KNMA4C2CMGP010109</x:v>
      </x:c>
      <x:c r="L257" s="24" t="str"/>
      <x:c r="M257" s="30" t="n">
        <x:v>42723</x:v>
      </x:c>
      <x:c r="N257" s="31"/>
      <x:c r="O257" s="30"/>
      <x:c r="P257" s="32"/>
      <x:c r="Q257" s="32"/>
      <x:c r="R257" s="32"/>
      <x:c r="S257" s="24" t="str"/>
      <x:c r="T257" s="32"/>
      <x:c r="U257" s="32"/>
      <x:c r="V257" s="24" t="str"/>
      <x:c r="W257" s="24" t="str"/>
      <x:c r="X257" s="32"/>
      <x:c r="Y257" s="33"/>
      <x:c r="Z257" s="31"/>
      <x:c r="AA257" s="24" t="str"/>
      <x:c r="AB257" s="30"/>
      <x:c r="AC257" s="30"/>
      <x:c r="AD257" s="32"/>
      <x:c r="AE257" s="32"/>
      <x:c r="AF257" s="24" t="str"/>
      <x:c r="AG257" s="24" t="str"/>
      <x:c r="AH257" s="30"/>
      <x:c r="AI257" s="24" t="str"/>
      <x:c r="AJ257" s="24" t="str"/>
      <x:c r="AK257" s="32"/>
      <x:c r="AL257" s="32"/>
      <x:c r="AM257" s="24" t="str"/>
      <x:c r="AN257" s="31" t="n">
        <x:v>97</x:v>
      </x:c>
    </x:row>
    <x:row r="258" ht="17.25" customHeight="1">
      <x:c r="A258" s="24" t="str">
        <x:v>프라임구독</x:v>
      </x:c>
      <x:c r="B258" s="24" t="str">
        <x:v>266버3645</x:v>
      </x:c>
      <x:c r="C258" s="24" t="str">
        <x:v>보유</x:v>
      </x:c>
      <x:c r="D258" s="24" t="str">
        <x:v>현대</x:v>
      </x:c>
      <x:c r="E258" s="24" t="str">
        <x:v>쏘나타</x:v>
      </x:c>
      <x:c r="F258" s="24" t="str"/>
      <x:c r="G258" s="24" t="str">
        <x:v>가솔린 2.0</x:v>
      </x:c>
      <x:c r="H258" s="24" t="str">
        <x:v>가솔린</x:v>
      </x:c>
      <x:c r="I258" s="31" t="n">
        <x:v>1999</x:v>
      </x:c>
      <x:c r="J258" s="31" t="n">
        <x:v>2018</x:v>
      </x:c>
      <x:c r="K258" s="24" t="str">
        <x:v>KMHE341CBJA375058</x:v>
      </x:c>
      <x:c r="L258" s="24" t="str"/>
      <x:c r="M258" s="30" t="n">
        <x:v>42880</x:v>
      </x:c>
      <x:c r="N258" s="31"/>
      <x:c r="O258" s="30"/>
      <x:c r="P258" s="32"/>
      <x:c r="Q258" s="32"/>
      <x:c r="R258" s="32"/>
      <x:c r="S258" s="24" t="str"/>
      <x:c r="T258" s="32"/>
      <x:c r="U258" s="32"/>
      <x:c r="V258" s="24" t="str"/>
      <x:c r="W258" s="24" t="str"/>
      <x:c r="X258" s="32"/>
      <x:c r="Y258" s="33"/>
      <x:c r="Z258" s="31"/>
      <x:c r="AA258" s="24" t="str"/>
      <x:c r="AB258" s="30"/>
      <x:c r="AC258" s="30"/>
      <x:c r="AD258" s="32"/>
      <x:c r="AE258" s="32"/>
      <x:c r="AF258" s="24" t="str"/>
      <x:c r="AG258" s="24" t="str"/>
      <x:c r="AH258" s="30"/>
      <x:c r="AI258" s="24" t="str"/>
      <x:c r="AJ258" s="24" t="str"/>
      <x:c r="AK258" s="32"/>
      <x:c r="AL258" s="32"/>
      <x:c r="AM258" s="24" t="str"/>
      <x:c r="AN258" s="31" t="n">
        <x:v>98</x:v>
      </x:c>
    </x:row>
    <x:row r="259" ht="17.25" customHeight="1">
      <x:c r="A259" s="24" t="str">
        <x:v>프라임구독</x:v>
      </x:c>
      <x:c r="B259" s="24" t="str">
        <x:v>26너0333</x:v>
      </x:c>
      <x:c r="C259" s="24" t="str">
        <x:v>보유</x:v>
      </x:c>
      <x:c r="D259" s="24" t="str">
        <x:v>KGM</x:v>
      </x:c>
      <x:c r="E259" s="24" t="str">
        <x:v>티볼리</x:v>
      </x:c>
      <x:c r="F259" s="24" t="str"/>
      <x:c r="G259" s="24" t="str">
        <x:v>가솔린 1.6 2WD</x:v>
      </x:c>
      <x:c r="H259" s="24" t="str">
        <x:v>가솔린</x:v>
      </x:c>
      <x:c r="I259" s="31" t="n">
        <x:v>1597</x:v>
      </x:c>
      <x:c r="J259" s="31" t="n">
        <x:v>2016</x:v>
      </x:c>
      <x:c r="K259" s="24" t="str">
        <x:v>KPBXH3AR1GP055523</x:v>
      </x:c>
      <x:c r="L259" s="24" t="str"/>
      <x:c r="M259" s="30" t="n">
        <x:v>42334</x:v>
      </x:c>
      <x:c r="N259" s="31"/>
      <x:c r="O259" s="30"/>
      <x:c r="P259" s="32"/>
      <x:c r="Q259" s="32"/>
      <x:c r="R259" s="32"/>
      <x:c r="S259" s="24" t="str"/>
      <x:c r="T259" s="32"/>
      <x:c r="U259" s="32"/>
      <x:c r="V259" s="24" t="str"/>
      <x:c r="W259" s="24" t="str"/>
      <x:c r="X259" s="32"/>
      <x:c r="Y259" s="33"/>
      <x:c r="Z259" s="31"/>
      <x:c r="AA259" s="24" t="str"/>
      <x:c r="AB259" s="30"/>
      <x:c r="AC259" s="30"/>
      <x:c r="AD259" s="32"/>
      <x:c r="AE259" s="32"/>
      <x:c r="AF259" s="24" t="str"/>
      <x:c r="AG259" s="24" t="str"/>
      <x:c r="AH259" s="30"/>
      <x:c r="AI259" s="24" t="str"/>
      <x:c r="AJ259" s="24" t="str"/>
      <x:c r="AK259" s="32"/>
      <x:c r="AL259" s="32"/>
      <x:c r="AM259" s="24" t="str"/>
      <x:c r="AN259" s="31" t="n">
        <x:v>99</x:v>
      </x:c>
    </x:row>
    <x:row r="260" ht="17.25" customHeight="1">
      <x:c r="A260" s="24" t="str">
        <x:v>프라임구독</x:v>
      </x:c>
      <x:c r="B260" s="24" t="str">
        <x:v>26수4134</x:v>
      </x:c>
      <x:c r="C260" s="24" t="str">
        <x:v>보유</x:v>
      </x:c>
      <x:c r="D260" s="24" t="str">
        <x:v>기아</x:v>
      </x:c>
      <x:c r="E260" s="24" t="str">
        <x:v>오피러스</x:v>
      </x:c>
      <x:c r="F260" s="24" t="str"/>
      <x:c r="G260" s="24" t="str">
        <x:v>가솔린 3.3</x:v>
      </x:c>
      <x:c r="H260" s="24" t="str">
        <x:v>가솔린</x:v>
      </x:c>
      <x:c r="I260" s="31" t="n">
        <x:v>3342</x:v>
      </x:c>
      <x:c r="J260" s="31" t="n">
        <x:v>2011</x:v>
      </x:c>
      <x:c r="K260" s="24" t="str">
        <x:v>KNALG417BBS207170</x:v>
      </x:c>
      <x:c r="L260" s="24" t="str"/>
      <x:c r="M260" s="30" t="n">
        <x:v>40611</x:v>
      </x:c>
      <x:c r="N260" s="31"/>
      <x:c r="O260" s="30"/>
      <x:c r="P260" s="32"/>
      <x:c r="Q260" s="32"/>
      <x:c r="R260" s="32"/>
      <x:c r="S260" s="24" t="str"/>
      <x:c r="T260" s="32"/>
      <x:c r="U260" s="32"/>
      <x:c r="V260" s="24" t="str"/>
      <x:c r="W260" s="24" t="str"/>
      <x:c r="X260" s="32"/>
      <x:c r="Y260" s="33"/>
      <x:c r="Z260" s="31"/>
      <x:c r="AA260" s="24" t="str"/>
      <x:c r="AB260" s="30"/>
      <x:c r="AC260" s="30"/>
      <x:c r="AD260" s="32"/>
      <x:c r="AE260" s="32"/>
      <x:c r="AF260" s="24" t="str"/>
      <x:c r="AG260" s="24" t="str"/>
      <x:c r="AH260" s="30"/>
      <x:c r="AI260" s="24" t="str"/>
      <x:c r="AJ260" s="24" t="str"/>
      <x:c r="AK260" s="32"/>
      <x:c r="AL260" s="32"/>
      <x:c r="AM260" s="24" t="str"/>
      <x:c r="AN260" s="31" t="n">
        <x:v>100</x:v>
      </x:c>
    </x:row>
    <x:row r="261" ht="17.25" customHeight="1">
      <x:c r="A261" s="24" t="str">
        <x:v>프라임구독</x:v>
      </x:c>
      <x:c r="B261" s="24" t="str">
        <x:v>272오2150</x:v>
      </x:c>
      <x:c r="C261" s="24" t="str">
        <x:v>보유</x:v>
      </x:c>
      <x:c r="D261" s="24" t="str">
        <x:v>현대</x:v>
      </x:c>
      <x:c r="E261" s="24" t="str">
        <x:v>그랜저</x:v>
      </x:c>
      <x:c r="F261" s="24" t="str"/>
      <x:c r="G261" s="24" t="str">
        <x:v>가솔린 3.0</x:v>
      </x:c>
      <x:c r="H261" s="24" t="str">
        <x:v>가솔린</x:v>
      </x:c>
      <x:c r="I261" s="31" t="n">
        <x:v>2999</x:v>
      </x:c>
      <x:c r="J261" s="31" t="n">
        <x:v>2018</x:v>
      </x:c>
      <x:c r="K261" s="24" t="str">
        <x:v>KMHF241EBJA068244</x:v>
      </x:c>
      <x:c r="L261" s="24" t="str"/>
      <x:c r="M261" s="30" t="n">
        <x:v>42867</x:v>
      </x:c>
      <x:c r="N261" s="31"/>
      <x:c r="O261" s="30"/>
      <x:c r="P261" s="32"/>
      <x:c r="Q261" s="32"/>
      <x:c r="R261" s="32"/>
      <x:c r="S261" s="24" t="str"/>
      <x:c r="T261" s="32"/>
      <x:c r="U261" s="32"/>
      <x:c r="V261" s="24" t="str"/>
      <x:c r="W261" s="24" t="str"/>
      <x:c r="X261" s="32"/>
      <x:c r="Y261" s="33"/>
      <x:c r="Z261" s="31"/>
      <x:c r="AA261" s="24" t="str"/>
      <x:c r="AB261" s="30"/>
      <x:c r="AC261" s="30"/>
      <x:c r="AD261" s="32"/>
      <x:c r="AE261" s="32"/>
      <x:c r="AF261" s="24" t="str"/>
      <x:c r="AG261" s="24" t="str"/>
      <x:c r="AH261" s="30"/>
      <x:c r="AI261" s="24" t="str"/>
      <x:c r="AJ261" s="24" t="str"/>
      <x:c r="AK261" s="32"/>
      <x:c r="AL261" s="32"/>
      <x:c r="AM261" s="24" t="str"/>
      <x:c r="AN261" s="31" t="n">
        <x:v>101</x:v>
      </x:c>
    </x:row>
    <x:row r="262" ht="17.25" customHeight="1">
      <x:c r="A262" s="24" t="str">
        <x:v>프라임구독</x:v>
      </x:c>
      <x:c r="B262" s="24" t="str">
        <x:v>27로0765</x:v>
      </x:c>
      <x:c r="C262" s="24" t="str">
        <x:v>보유</x:v>
      </x:c>
      <x:c r="D262" s="24" t="str">
        <x:v>기아</x:v>
      </x:c>
      <x:c r="E262" s="24" t="str">
        <x:v>K5</x:v>
      </x:c>
      <x:c r="F262" s="24" t="str"/>
      <x:c r="G262" s="24" t="str">
        <x:v>가솔린 2.0</x:v>
      </x:c>
      <x:c r="H262" s="24" t="str">
        <x:v>가솔린</x:v>
      </x:c>
      <x:c r="I262" s="31" t="n">
        <x:v>1999</x:v>
      </x:c>
      <x:c r="J262" s="31" t="n">
        <x:v>2014</x:v>
      </x:c>
      <x:c r="K262" s="24" t="str">
        <x:v>KNAGN418BEA431946</x:v>
      </x:c>
      <x:c r="L262" s="24" t="str"/>
      <x:c r="M262" s="30" t="n">
        <x:v>41466</x:v>
      </x:c>
      <x:c r="N262" s="31"/>
      <x:c r="O262" s="30"/>
      <x:c r="P262" s="32"/>
      <x:c r="Q262" s="32"/>
      <x:c r="R262" s="32"/>
      <x:c r="S262" s="24" t="str"/>
      <x:c r="T262" s="32"/>
      <x:c r="U262" s="32"/>
      <x:c r="V262" s="24" t="str"/>
      <x:c r="W262" s="24" t="str"/>
      <x:c r="X262" s="32"/>
      <x:c r="Y262" s="33"/>
      <x:c r="Z262" s="31"/>
      <x:c r="AA262" s="24" t="str"/>
      <x:c r="AB262" s="30"/>
      <x:c r="AC262" s="30"/>
      <x:c r="AD262" s="32"/>
      <x:c r="AE262" s="32"/>
      <x:c r="AF262" s="24" t="str"/>
      <x:c r="AG262" s="24" t="str"/>
      <x:c r="AH262" s="30"/>
      <x:c r="AI262" s="24" t="str"/>
      <x:c r="AJ262" s="24" t="str"/>
      <x:c r="AK262" s="32"/>
      <x:c r="AL262" s="32"/>
      <x:c r="AM262" s="24" t="str"/>
      <x:c r="AN262" s="31" t="n">
        <x:v>102</x:v>
      </x:c>
    </x:row>
    <x:row r="263" ht="17.25" customHeight="1">
      <x:c r="A263" s="24" t="str">
        <x:v>프라임구독</x:v>
      </x:c>
      <x:c r="B263" s="24" t="str">
        <x:v>27무0874</x:v>
      </x:c>
      <x:c r="C263" s="24" t="str">
        <x:v>보유</x:v>
      </x:c>
      <x:c r="D263" s="24" t="str">
        <x:v>현대</x:v>
      </x:c>
      <x:c r="E263" s="24" t="str">
        <x:v>쏘나타</x:v>
      </x:c>
      <x:c r="F263" s="24" t="str"/>
      <x:c r="G263" s="24" t="str">
        <x:v>가솔린 2.0</x:v>
      </x:c>
      <x:c r="H263" s="24" t="str">
        <x:v>가솔린</x:v>
      </x:c>
      <x:c r="I263" s="31" t="n">
        <x:v>1999</x:v>
      </x:c>
      <x:c r="J263" s="31" t="n">
        <x:v>2013</x:v>
      </x:c>
      <x:c r="K263" s="24" t="str">
        <x:v>KMHEB41ABDA500893</x:v>
      </x:c>
      <x:c r="L263" s="24" t="str"/>
      <x:c r="M263" s="30" t="n">
        <x:v>41199</x:v>
      </x:c>
      <x:c r="N263" s="31"/>
      <x:c r="O263" s="30"/>
      <x:c r="P263" s="32"/>
      <x:c r="Q263" s="32"/>
      <x:c r="R263" s="32"/>
      <x:c r="S263" s="24" t="str"/>
      <x:c r="T263" s="32"/>
      <x:c r="U263" s="32"/>
      <x:c r="V263" s="24" t="str"/>
      <x:c r="W263" s="24" t="str"/>
      <x:c r="X263" s="32"/>
      <x:c r="Y263" s="33"/>
      <x:c r="Z263" s="31"/>
      <x:c r="AA263" s="24" t="str"/>
      <x:c r="AB263" s="30"/>
      <x:c r="AC263" s="30"/>
      <x:c r="AD263" s="32"/>
      <x:c r="AE263" s="32"/>
      <x:c r="AF263" s="24" t="str"/>
      <x:c r="AG263" s="24" t="str"/>
      <x:c r="AH263" s="30"/>
      <x:c r="AI263" s="24" t="str"/>
      <x:c r="AJ263" s="24" t="str"/>
      <x:c r="AK263" s="32"/>
      <x:c r="AL263" s="32"/>
      <x:c r="AM263" s="24" t="str"/>
      <x:c r="AN263" s="31" t="n">
        <x:v>103</x:v>
      </x:c>
    </x:row>
    <x:row r="264" ht="17.25" customHeight="1">
      <x:c r="A264" s="24" t="str">
        <x:v>프라임구독</x:v>
      </x:c>
      <x:c r="B264" s="24" t="str">
        <x:v>27오1144</x:v>
      </x:c>
      <x:c r="C264" s="24" t="str">
        <x:v>보유</x:v>
      </x:c>
      <x:c r="D264" s="24" t="str">
        <x:v>기아</x:v>
      </x:c>
      <x:c r="E264" s="24" t="str">
        <x:v>모하비</x:v>
      </x:c>
      <x:c r="F264" s="24" t="str"/>
      <x:c r="G264" s="24" t="str">
        <x:v>디젤 3.0 2WD</x:v>
      </x:c>
      <x:c r="H264" s="24" t="str">
        <x:v>디젤</x:v>
      </x:c>
      <x:c r="I264" s="31" t="n">
        <x:v>2959</x:v>
      </x:c>
      <x:c r="J264" s="31" t="n">
        <x:v>2012</x:v>
      </x:c>
      <x:c r="K264" s="24" t="str">
        <x:v>KNAKR814CDA094660</x:v>
      </x:c>
      <x:c r="L264" s="24" t="str"/>
      <x:c r="M264" s="30" t="n">
        <x:v>41093</x:v>
      </x:c>
      <x:c r="N264" s="31"/>
      <x:c r="O264" s="30"/>
      <x:c r="P264" s="32"/>
      <x:c r="Q264" s="32"/>
      <x:c r="R264" s="32"/>
      <x:c r="S264" s="24" t="str"/>
      <x:c r="T264" s="32"/>
      <x:c r="U264" s="32"/>
      <x:c r="V264" s="24" t="str"/>
      <x:c r="W264" s="24" t="str"/>
      <x:c r="X264" s="32"/>
      <x:c r="Y264" s="33"/>
      <x:c r="Z264" s="31"/>
      <x:c r="AA264" s="24" t="str"/>
      <x:c r="AB264" s="30"/>
      <x:c r="AC264" s="30"/>
      <x:c r="AD264" s="32"/>
      <x:c r="AE264" s="32"/>
      <x:c r="AF264" s="24" t="str"/>
      <x:c r="AG264" s="24" t="str"/>
      <x:c r="AH264" s="30"/>
      <x:c r="AI264" s="24" t="str"/>
      <x:c r="AJ264" s="24" t="str"/>
      <x:c r="AK264" s="32"/>
      <x:c r="AL264" s="32"/>
      <x:c r="AM264" s="24" t="str"/>
      <x:c r="AN264" s="31" t="n">
        <x:v>104</x:v>
      </x:c>
    </x:row>
    <x:row r="265" ht="17.25" customHeight="1">
      <x:c r="A265" s="24" t="str">
        <x:v>프라임구독</x:v>
      </x:c>
      <x:c r="B265" s="24" t="str">
        <x:v>28마6730</x:v>
      </x:c>
      <x:c r="C265" s="24" t="str">
        <x:v>오토플러스 O</x:v>
      </x:c>
      <x:c r="D265" s="24" t="str">
        <x:v>벤츠</x:v>
      </x:c>
      <x:c r="E265" s="24" t="str">
        <x:v>S500 L</x:v>
      </x:c>
      <x:c r="F265" s="24" t="str"/>
      <x:c r="G265" s="24" t="str">
        <x:v>가솔린 4.7</x:v>
      </x:c>
      <x:c r="H265" s="24" t="str">
        <x:v>가솔린</x:v>
      </x:c>
      <x:c r="I265" s="31" t="n">
        <x:v>4663</x:v>
      </x:c>
      <x:c r="J265" s="31" t="n">
        <x:v>2014</x:v>
      </x:c>
      <x:c r="K265" s="24" t="str">
        <x:v>WDDUG8CB2EA014028</x:v>
      </x:c>
      <x:c r="L265" s="24" t="str"/>
      <x:c r="M265" s="30" t="n">
        <x:v>41645</x:v>
      </x:c>
      <x:c r="N265" s="31"/>
      <x:c r="O265" s="30"/>
      <x:c r="P265" s="32"/>
      <x:c r="Q265" s="32"/>
      <x:c r="R265" s="32"/>
      <x:c r="S265" s="24" t="str"/>
      <x:c r="T265" s="32"/>
      <x:c r="U265" s="32"/>
      <x:c r="V265" s="24" t="str"/>
      <x:c r="W265" s="24" t="str"/>
      <x:c r="X265" s="32"/>
      <x:c r="Y265" s="33"/>
      <x:c r="Z265" s="31"/>
      <x:c r="AA265" s="24" t="str"/>
      <x:c r="AB265" s="30"/>
      <x:c r="AC265" s="30"/>
      <x:c r="AD265" s="32"/>
      <x:c r="AE265" s="32"/>
      <x:c r="AF265" s="24" t="str"/>
      <x:c r="AG265" s="24" t="str"/>
      <x:c r="AH265" s="30" t="n">
        <x:v>45526</x:v>
      </x:c>
      <x:c r="AI265" s="24" t="str"/>
      <x:c r="AJ265" s="24" t="str">
        <x:v>오토플러스 O</x:v>
      </x:c>
      <x:c r="AK265" s="32"/>
      <x:c r="AL265" s="32"/>
      <x:c r="AM265" s="24" t="str"/>
      <x:c r="AN265" s="31" t="n">
        <x:v>105</x:v>
      </x:c>
    </x:row>
    <x:row r="266" ht="17.25" customHeight="1">
      <x:c r="A266" s="24" t="str">
        <x:v>프라임구독</x:v>
      </x:c>
      <x:c r="B266" s="24" t="str">
        <x:v>28머4792</x:v>
      </x:c>
      <x:c r="C266" s="24" t="str">
        <x:v>보유</x:v>
      </x:c>
      <x:c r="D266" s="24" t="str"/>
      <x:c r="E266" s="24" t="str"/>
      <x:c r="F266" s="24" t="str"/>
      <x:c r="G266" s="24" t="str">
        <x:v>가솔린 3.0</x:v>
      </x:c>
      <x:c r="H266" s="24" t="str"/>
      <x:c r="I266" s="31"/>
      <x:c r="J266" s="31"/>
      <x:c r="K266" s="24" t="str"/>
      <x:c r="L266" s="24" t="str"/>
      <x:c r="M266" s="30"/>
      <x:c r="N266" s="31"/>
      <x:c r="O266" s="30"/>
      <x:c r="P266" s="32"/>
      <x:c r="Q266" s="32"/>
      <x:c r="R266" s="32"/>
      <x:c r="S266" s="24" t="str"/>
      <x:c r="T266" s="32"/>
      <x:c r="U266" s="32"/>
      <x:c r="V266" s="24" t="str"/>
      <x:c r="W266" s="24" t="str"/>
      <x:c r="X266" s="32"/>
      <x:c r="Y266" s="33"/>
      <x:c r="Z266" s="31"/>
      <x:c r="AA266" s="24" t="str"/>
      <x:c r="AB266" s="30"/>
      <x:c r="AC266" s="30"/>
      <x:c r="AD266" s="32"/>
      <x:c r="AE266" s="32"/>
      <x:c r="AF266" s="24" t="str"/>
      <x:c r="AG266" s="24" t="str"/>
      <x:c r="AH266" s="30"/>
      <x:c r="AI266" s="24" t="str"/>
      <x:c r="AJ266" s="24" t="str"/>
      <x:c r="AK266" s="32"/>
      <x:c r="AL266" s="32"/>
      <x:c r="AM266" s="24" t="str"/>
      <x:c r="AN266" s="31" t="n">
        <x:v>106</x:v>
      </x:c>
    </x:row>
    <x:row r="267" ht="17.25" customHeight="1">
      <x:c r="A267" s="24" t="str">
        <x:v>프라임구독</x:v>
      </x:c>
      <x:c r="B267" s="24" t="str">
        <x:v>290주5804</x:v>
      </x:c>
      <x:c r="C267" s="24" t="str">
        <x:v>보유</x:v>
      </x:c>
      <x:c r="D267" s="24" t="str"/>
      <x:c r="E267" s="24" t="str"/>
      <x:c r="F267" s="24" t="str"/>
      <x:c r="G267" s="24" t="str">
        <x:v>가솔린 3.0</x:v>
      </x:c>
      <x:c r="H267" s="24" t="str"/>
      <x:c r="I267" s="31"/>
      <x:c r="J267" s="31"/>
      <x:c r="K267" s="24" t="str"/>
      <x:c r="L267" s="24" t="str"/>
      <x:c r="M267" s="30"/>
      <x:c r="N267" s="31"/>
      <x:c r="O267" s="30"/>
      <x:c r="P267" s="32"/>
      <x:c r="Q267" s="32"/>
      <x:c r="R267" s="32"/>
      <x:c r="S267" s="24" t="str"/>
      <x:c r="T267" s="32"/>
      <x:c r="U267" s="32"/>
      <x:c r="V267" s="24" t="str"/>
      <x:c r="W267" s="24" t="str"/>
      <x:c r="X267" s="32"/>
      <x:c r="Y267" s="33"/>
      <x:c r="Z267" s="31"/>
      <x:c r="AA267" s="24" t="str"/>
      <x:c r="AB267" s="30"/>
      <x:c r="AC267" s="30"/>
      <x:c r="AD267" s="32"/>
      <x:c r="AE267" s="32"/>
      <x:c r="AF267" s="24" t="str"/>
      <x:c r="AG267" s="24" t="str"/>
      <x:c r="AH267" s="30"/>
      <x:c r="AI267" s="24" t="str"/>
      <x:c r="AJ267" s="24" t="str"/>
      <x:c r="AK267" s="32"/>
      <x:c r="AL267" s="32"/>
      <x:c r="AM267" s="24" t="str"/>
      <x:c r="AN267" s="31" t="n">
        <x:v>107</x:v>
      </x:c>
    </x:row>
    <x:row r="268" ht="17.25" customHeight="1">
      <x:c r="A268" s="24" t="str">
        <x:v>프라임구독</x:v>
      </x:c>
      <x:c r="B268" s="24" t="str">
        <x:v>29마4743</x:v>
      </x:c>
      <x:c r="C268" s="24" t="str">
        <x:v>보유</x:v>
      </x:c>
      <x:c r="D268" s="24" t="str"/>
      <x:c r="E268" s="24" t="str"/>
      <x:c r="F268" s="24" t="str"/>
      <x:c r="G268" s="24" t="str">
        <x:v>가솔린 3.0</x:v>
      </x:c>
      <x:c r="H268" s="24" t="str"/>
      <x:c r="I268" s="31"/>
      <x:c r="J268" s="31"/>
      <x:c r="K268" s="24" t="str"/>
      <x:c r="L268" s="24" t="str"/>
      <x:c r="M268" s="30"/>
      <x:c r="N268" s="31"/>
      <x:c r="O268" s="30"/>
      <x:c r="P268" s="32"/>
      <x:c r="Q268" s="32"/>
      <x:c r="R268" s="32"/>
      <x:c r="S268" s="24" t="str"/>
      <x:c r="T268" s="32"/>
      <x:c r="U268" s="32"/>
      <x:c r="V268" s="24" t="str"/>
      <x:c r="W268" s="24" t="str"/>
      <x:c r="X268" s="32"/>
      <x:c r="Y268" s="33"/>
      <x:c r="Z268" s="31"/>
      <x:c r="AA268" s="24" t="str"/>
      <x:c r="AB268" s="30"/>
      <x:c r="AC268" s="30"/>
      <x:c r="AD268" s="32"/>
      <x:c r="AE268" s="32"/>
      <x:c r="AF268" s="24" t="str"/>
      <x:c r="AG268" s="24" t="str"/>
      <x:c r="AH268" s="30"/>
      <x:c r="AI268" s="24" t="str"/>
      <x:c r="AJ268" s="24" t="str"/>
      <x:c r="AK268" s="32"/>
      <x:c r="AL268" s="32"/>
      <x:c r="AM268" s="24" t="str"/>
      <x:c r="AN268" s="31" t="n">
        <x:v>108</x:v>
      </x:c>
    </x:row>
    <x:row r="269" ht="17.25" customHeight="1">
      <x:c r="A269" s="24" t="str">
        <x:v>프라임구독</x:v>
      </x:c>
      <x:c r="B269" s="24" t="str">
        <x:v>302보9212</x:v>
      </x:c>
      <x:c r="C269" s="24" t="str">
        <x:v>보유</x:v>
      </x:c>
      <x:c r="D269" s="24" t="str"/>
      <x:c r="E269" s="24" t="str"/>
      <x:c r="F269" s="24" t="str"/>
      <x:c r="G269" s="24" t="str">
        <x:v>가솔린 3.0</x:v>
      </x:c>
      <x:c r="H269" s="24" t="str"/>
      <x:c r="I269" s="31"/>
      <x:c r="J269" s="31"/>
      <x:c r="K269" s="24" t="str"/>
      <x:c r="L269" s="24" t="str"/>
      <x:c r="M269" s="30"/>
      <x:c r="N269" s="31"/>
      <x:c r="O269" s="30"/>
      <x:c r="P269" s="32"/>
      <x:c r="Q269" s="32"/>
      <x:c r="R269" s="32"/>
      <x:c r="S269" s="24" t="str"/>
      <x:c r="T269" s="32"/>
      <x:c r="U269" s="32"/>
      <x:c r="V269" s="24" t="str"/>
      <x:c r="W269" s="24" t="str"/>
      <x:c r="X269" s="32"/>
      <x:c r="Y269" s="33"/>
      <x:c r="Z269" s="31"/>
      <x:c r="AA269" s="24" t="str"/>
      <x:c r="AB269" s="30"/>
      <x:c r="AC269" s="30"/>
      <x:c r="AD269" s="32"/>
      <x:c r="AE269" s="32"/>
      <x:c r="AF269" s="24" t="str"/>
      <x:c r="AG269" s="24" t="str"/>
      <x:c r="AH269" s="30"/>
      <x:c r="AI269" s="24" t="str"/>
      <x:c r="AJ269" s="24" t="str"/>
      <x:c r="AK269" s="32"/>
      <x:c r="AL269" s="32"/>
      <x:c r="AM269" s="24" t="str"/>
      <x:c r="AN269" s="31" t="n">
        <x:v>109</x:v>
      </x:c>
    </x:row>
    <x:row r="270" ht="17.25" customHeight="1">
      <x:c r="A270" s="24" t="str">
        <x:v>프라임구독</x:v>
      </x:c>
      <x:c r="B270" s="24" t="str">
        <x:v>309무3799</x:v>
      </x:c>
      <x:c r="C270" s="24" t="str">
        <x:v>보유</x:v>
      </x:c>
      <x:c r="D270" s="24" t="str"/>
      <x:c r="E270" s="24" t="str"/>
      <x:c r="F270" s="24" t="str"/>
      <x:c r="G270" s="24" t="str">
        <x:v>가솔린 3.0</x:v>
      </x:c>
      <x:c r="H270" s="24" t="str"/>
      <x:c r="I270" s="31"/>
      <x:c r="J270" s="31"/>
      <x:c r="K270" s="24" t="str"/>
      <x:c r="L270" s="24" t="str"/>
      <x:c r="M270" s="30"/>
      <x:c r="N270" s="31"/>
      <x:c r="O270" s="30"/>
      <x:c r="P270" s="32"/>
      <x:c r="Q270" s="32"/>
      <x:c r="R270" s="32"/>
      <x:c r="S270" s="24" t="str"/>
      <x:c r="T270" s="32"/>
      <x:c r="U270" s="32"/>
      <x:c r="V270" s="24" t="str"/>
      <x:c r="W270" s="24" t="str"/>
      <x:c r="X270" s="32"/>
      <x:c r="Y270" s="33"/>
      <x:c r="Z270" s="31"/>
      <x:c r="AA270" s="24" t="str"/>
      <x:c r="AB270" s="30"/>
      <x:c r="AC270" s="30"/>
      <x:c r="AD270" s="32"/>
      <x:c r="AE270" s="32"/>
      <x:c r="AF270" s="24" t="str"/>
      <x:c r="AG270" s="24" t="str"/>
      <x:c r="AH270" s="30"/>
      <x:c r="AI270" s="24" t="str"/>
      <x:c r="AJ270" s="24" t="str"/>
      <x:c r="AK270" s="32"/>
      <x:c r="AL270" s="32"/>
      <x:c r="AM270" s="24" t="str"/>
      <x:c r="AN270" s="31" t="n">
        <x:v>110</x:v>
      </x:c>
    </x:row>
    <x:row r="271" ht="17.25" customHeight="1">
      <x:c r="A271" s="24" t="str">
        <x:v>프라임구독</x:v>
      </x:c>
      <x:c r="B271" s="24" t="str">
        <x:v>30고0596</x:v>
      </x:c>
      <x:c r="C271" s="24" t="str">
        <x:v>보유</x:v>
      </x:c>
      <x:c r="D271" s="24" t="str"/>
      <x:c r="E271" s="24" t="str"/>
      <x:c r="F271" s="24" t="str"/>
      <x:c r="G271" s="24" t="str">
        <x:v>가솔린 3.0</x:v>
      </x:c>
      <x:c r="H271" s="24" t="str"/>
      <x:c r="I271" s="31"/>
      <x:c r="J271" s="31"/>
      <x:c r="K271" s="24" t="str"/>
      <x:c r="L271" s="24" t="str"/>
      <x:c r="M271" s="30"/>
      <x:c r="N271" s="31"/>
      <x:c r="O271" s="30"/>
      <x:c r="P271" s="32"/>
      <x:c r="Q271" s="32"/>
      <x:c r="R271" s="32"/>
      <x:c r="S271" s="24" t="str"/>
      <x:c r="T271" s="32"/>
      <x:c r="U271" s="32"/>
      <x:c r="V271" s="24" t="str"/>
      <x:c r="W271" s="24" t="str"/>
      <x:c r="X271" s="32"/>
      <x:c r="Y271" s="33"/>
      <x:c r="Z271" s="31"/>
      <x:c r="AA271" s="24" t="str"/>
      <x:c r="AB271" s="30"/>
      <x:c r="AC271" s="30"/>
      <x:c r="AD271" s="32"/>
      <x:c r="AE271" s="32"/>
      <x:c r="AF271" s="24" t="str"/>
      <x:c r="AG271" s="24" t="str"/>
      <x:c r="AH271" s="30"/>
      <x:c r="AI271" s="24" t="str"/>
      <x:c r="AJ271" s="24" t="str"/>
      <x:c r="AK271" s="32"/>
      <x:c r="AL271" s="32"/>
      <x:c r="AM271" s="24" t="str"/>
      <x:c r="AN271" s="31" t="n">
        <x:v>111</x:v>
      </x:c>
    </x:row>
    <x:row r="272" ht="17.25" customHeight="1">
      <x:c r="A272" s="24" t="str">
        <x:v>프라임구독</x:v>
      </x:c>
      <x:c r="B272" s="24" t="str">
        <x:v>31저0628</x:v>
      </x:c>
      <x:c r="C272" s="24" t="str">
        <x:v>O</x:v>
      </x:c>
      <x:c r="D272" s="24" t="str"/>
      <x:c r="E272" s="24" t="str"/>
      <x:c r="F272" s="24" t="str"/>
      <x:c r="G272" s="24" t="str">
        <x:v>가솔린 3.0</x:v>
      </x:c>
      <x:c r="H272" s="24" t="str"/>
      <x:c r="I272" s="31"/>
      <x:c r="J272" s="31"/>
      <x:c r="K272" s="24" t="str"/>
      <x:c r="L272" s="24" t="str"/>
      <x:c r="M272" s="30"/>
      <x:c r="N272" s="31"/>
      <x:c r="O272" s="30"/>
      <x:c r="P272" s="32"/>
      <x:c r="Q272" s="32"/>
      <x:c r="R272" s="32"/>
      <x:c r="S272" s="24" t="str"/>
      <x:c r="T272" s="32"/>
      <x:c r="U272" s="32"/>
      <x:c r="V272" s="24" t="str"/>
      <x:c r="W272" s="24" t="str"/>
      <x:c r="X272" s="32"/>
      <x:c r="Y272" s="33"/>
      <x:c r="Z272" s="31"/>
      <x:c r="AA272" s="24" t="str"/>
      <x:c r="AB272" s="30"/>
      <x:c r="AC272" s="30"/>
      <x:c r="AD272" s="32"/>
      <x:c r="AE272" s="32"/>
      <x:c r="AF272" s="24" t="str"/>
      <x:c r="AG272" s="24" t="str"/>
      <x:c r="AH272" s="30" t="n">
        <x:v>45623</x:v>
      </x:c>
      <x:c r="AI272" s="24" t="str"/>
      <x:c r="AJ272" s="24" t="str">
        <x:v>O</x:v>
      </x:c>
      <x:c r="AK272" s="32"/>
      <x:c r="AL272" s="32"/>
      <x:c r="AM272" s="24" t="str"/>
      <x:c r="AN272" s="31" t="n">
        <x:v>112</x:v>
      </x:c>
    </x:row>
    <x:row r="273" ht="17.25" customHeight="1">
      <x:c r="A273" s="24" t="str">
        <x:v>프라임구독</x:v>
      </x:c>
      <x:c r="B273" s="24" t="str">
        <x:v>322주8288</x:v>
      </x:c>
      <x:c r="C273" s="24" t="str">
        <x:v>보유</x:v>
      </x:c>
      <x:c r="D273" s="24" t="str"/>
      <x:c r="E273" s="24" t="str"/>
      <x:c r="F273" s="24" t="str"/>
      <x:c r="G273" s="24" t="str">
        <x:v>가솔린 3.0</x:v>
      </x:c>
      <x:c r="H273" s="24" t="str"/>
      <x:c r="I273" s="31"/>
      <x:c r="J273" s="31"/>
      <x:c r="K273" s="24" t="str"/>
      <x:c r="L273" s="24" t="str"/>
      <x:c r="M273" s="30"/>
      <x:c r="N273" s="31"/>
      <x:c r="O273" s="30"/>
      <x:c r="P273" s="32"/>
      <x:c r="Q273" s="32"/>
      <x:c r="R273" s="32"/>
      <x:c r="S273" s="24" t="str"/>
      <x:c r="T273" s="32"/>
      <x:c r="U273" s="32"/>
      <x:c r="V273" s="24" t="str"/>
      <x:c r="W273" s="24" t="str"/>
      <x:c r="X273" s="32"/>
      <x:c r="Y273" s="33"/>
      <x:c r="Z273" s="31"/>
      <x:c r="AA273" s="24" t="str"/>
      <x:c r="AB273" s="30"/>
      <x:c r="AC273" s="30"/>
      <x:c r="AD273" s="32"/>
      <x:c r="AE273" s="32"/>
      <x:c r="AF273" s="24" t="str"/>
      <x:c r="AG273" s="24" t="str"/>
      <x:c r="AH273" s="30"/>
      <x:c r="AI273" s="24" t="str"/>
      <x:c r="AJ273" s="24" t="str"/>
      <x:c r="AK273" s="32"/>
      <x:c r="AL273" s="32"/>
      <x:c r="AM273" s="24" t="str"/>
      <x:c r="AN273" s="31" t="n">
        <x:v>113</x:v>
      </x:c>
    </x:row>
    <x:row r="274" ht="17.25" customHeight="1">
      <x:c r="A274" s="24" t="str">
        <x:v>프라임구독</x:v>
      </x:c>
      <x:c r="B274" s="24" t="str">
        <x:v>32오3869</x:v>
      </x:c>
      <x:c r="C274" s="24" t="str">
        <x:v>보유</x:v>
      </x:c>
      <x:c r="D274" s="24" t="str"/>
      <x:c r="E274" s="24" t="str"/>
      <x:c r="F274" s="24" t="str"/>
      <x:c r="G274" s="24" t="str">
        <x:v>가솔린 3.0</x:v>
      </x:c>
      <x:c r="H274" s="24" t="str"/>
      <x:c r="I274" s="31"/>
      <x:c r="J274" s="31"/>
      <x:c r="K274" s="24" t="str"/>
      <x:c r="L274" s="24" t="str"/>
      <x:c r="M274" s="30"/>
      <x:c r="N274" s="31"/>
      <x:c r="O274" s="30"/>
      <x:c r="P274" s="32"/>
      <x:c r="Q274" s="32"/>
      <x:c r="R274" s="32"/>
      <x:c r="S274" s="24" t="str"/>
      <x:c r="T274" s="32"/>
      <x:c r="U274" s="32"/>
      <x:c r="V274" s="24" t="str"/>
      <x:c r="W274" s="24" t="str"/>
      <x:c r="X274" s="32"/>
      <x:c r="Y274" s="33"/>
      <x:c r="Z274" s="31"/>
      <x:c r="AA274" s="24" t="str"/>
      <x:c r="AB274" s="30"/>
      <x:c r="AC274" s="30"/>
      <x:c r="AD274" s="32"/>
      <x:c r="AE274" s="32"/>
      <x:c r="AF274" s="24" t="str"/>
      <x:c r="AG274" s="24" t="str"/>
      <x:c r="AH274" s="30"/>
      <x:c r="AI274" s="24" t="str"/>
      <x:c r="AJ274" s="24" t="str"/>
      <x:c r="AK274" s="32"/>
      <x:c r="AL274" s="32"/>
      <x:c r="AM274" s="24" t="str"/>
      <x:c r="AN274" s="31" t="n">
        <x:v>114</x:v>
      </x:c>
    </x:row>
    <x:row r="275" ht="17.25" customHeight="1">
      <x:c r="A275" s="24" t="str">
        <x:v>프라임구독</x:v>
      </x:c>
      <x:c r="B275" s="24" t="str">
        <x:v>338우2810</x:v>
      </x:c>
      <x:c r="C275" s="24" t="str">
        <x:v>보유</x:v>
      </x:c>
      <x:c r="D275" s="24" t="str"/>
      <x:c r="E275" s="24" t="str"/>
      <x:c r="F275" s="24" t="str"/>
      <x:c r="G275" s="24" t="str">
        <x:v>가솔린 3.0</x:v>
      </x:c>
      <x:c r="H275" s="24" t="str"/>
      <x:c r="I275" s="31"/>
      <x:c r="J275" s="31"/>
      <x:c r="K275" s="24" t="str"/>
      <x:c r="L275" s="24" t="str"/>
      <x:c r="M275" s="30"/>
      <x:c r="N275" s="31"/>
      <x:c r="O275" s="30"/>
      <x:c r="P275" s="32"/>
      <x:c r="Q275" s="32"/>
      <x:c r="R275" s="32"/>
      <x:c r="S275" s="24" t="str"/>
      <x:c r="T275" s="32"/>
      <x:c r="U275" s="32"/>
      <x:c r="V275" s="24" t="str"/>
      <x:c r="W275" s="24" t="str"/>
      <x:c r="X275" s="32"/>
      <x:c r="Y275" s="33"/>
      <x:c r="Z275" s="31"/>
      <x:c r="AA275" s="24" t="str"/>
      <x:c r="AB275" s="30"/>
      <x:c r="AC275" s="30"/>
      <x:c r="AD275" s="32"/>
      <x:c r="AE275" s="32"/>
      <x:c r="AF275" s="24" t="str"/>
      <x:c r="AG275" s="24" t="str"/>
      <x:c r="AH275" s="30"/>
      <x:c r="AI275" s="24" t="str"/>
      <x:c r="AJ275" s="24" t="str"/>
      <x:c r="AK275" s="32"/>
      <x:c r="AL275" s="32"/>
      <x:c r="AM275" s="24" t="str"/>
      <x:c r="AN275" s="31" t="n">
        <x:v>115</x:v>
      </x:c>
    </x:row>
    <x:row r="276" ht="17.25" customHeight="1">
      <x:c r="A276" s="24" t="str">
        <x:v>프라임구독</x:v>
      </x:c>
      <x:c r="B276" s="24" t="str">
        <x:v>33모8923</x:v>
      </x:c>
      <x:c r="C276" s="24" t="str">
        <x:v>경매 O</x:v>
      </x:c>
      <x:c r="D276" s="24" t="str"/>
      <x:c r="E276" s="24" t="str"/>
      <x:c r="F276" s="24" t="str"/>
      <x:c r="G276" s="24" t="str">
        <x:v>가솔린 3.0</x:v>
      </x:c>
      <x:c r="H276" s="24" t="str"/>
      <x:c r="I276" s="31"/>
      <x:c r="J276" s="31"/>
      <x:c r="K276" s="24" t="str"/>
      <x:c r="L276" s="24" t="str"/>
      <x:c r="M276" s="30"/>
      <x:c r="N276" s="31"/>
      <x:c r="O276" s="30"/>
      <x:c r="P276" s="32"/>
      <x:c r="Q276" s="32"/>
      <x:c r="R276" s="32"/>
      <x:c r="S276" s="24" t="str"/>
      <x:c r="T276" s="32"/>
      <x:c r="U276" s="32"/>
      <x:c r="V276" s="24" t="str"/>
      <x:c r="W276" s="24" t="str"/>
      <x:c r="X276" s="32"/>
      <x:c r="Y276" s="33"/>
      <x:c r="Z276" s="31"/>
      <x:c r="AA276" s="24" t="str"/>
      <x:c r="AB276" s="30"/>
      <x:c r="AC276" s="30"/>
      <x:c r="AD276" s="32"/>
      <x:c r="AE276" s="32"/>
      <x:c r="AF276" s="24" t="str"/>
      <x:c r="AG276" s="24" t="str"/>
      <x:c r="AH276" s="30" t="n">
        <x:v>45519</x:v>
      </x:c>
      <x:c r="AI276" s="24" t="str"/>
      <x:c r="AJ276" s="24" t="str">
        <x:v>경매 O</x:v>
      </x:c>
      <x:c r="AK276" s="32"/>
      <x:c r="AL276" s="32"/>
      <x:c r="AM276" s="24" t="str"/>
      <x:c r="AN276" s="31" t="n">
        <x:v>116</x:v>
      </x:c>
    </x:row>
    <x:row r="277" ht="17.25" customHeight="1">
      <x:c r="A277" s="24" t="str">
        <x:v>프라임구독</x:v>
      </x:c>
      <x:c r="B277" s="24" t="str">
        <x:v>340고3084</x:v>
      </x:c>
      <x:c r="C277" s="24" t="str">
        <x:v>보유</x:v>
      </x:c>
      <x:c r="D277" s="24" t="str"/>
      <x:c r="E277" s="24" t="str"/>
      <x:c r="F277" s="24" t="str"/>
      <x:c r="G277" s="24" t="str">
        <x:v>가솔린 3.0</x:v>
      </x:c>
      <x:c r="H277" s="24" t="str"/>
      <x:c r="I277" s="31"/>
      <x:c r="J277" s="31"/>
      <x:c r="K277" s="24" t="str"/>
      <x:c r="L277" s="24" t="str"/>
      <x:c r="M277" s="30"/>
      <x:c r="N277" s="31"/>
      <x:c r="O277" s="30"/>
      <x:c r="P277" s="32"/>
      <x:c r="Q277" s="32"/>
      <x:c r="R277" s="32"/>
      <x:c r="S277" s="24" t="str"/>
      <x:c r="T277" s="32"/>
      <x:c r="U277" s="32"/>
      <x:c r="V277" s="24" t="str"/>
      <x:c r="W277" s="24" t="str"/>
      <x:c r="X277" s="32"/>
      <x:c r="Y277" s="33"/>
      <x:c r="Z277" s="31"/>
      <x:c r="AA277" s="24" t="str"/>
      <x:c r="AB277" s="30"/>
      <x:c r="AC277" s="30"/>
      <x:c r="AD277" s="32"/>
      <x:c r="AE277" s="32"/>
      <x:c r="AF277" s="24" t="str"/>
      <x:c r="AG277" s="24" t="str"/>
      <x:c r="AH277" s="30"/>
      <x:c r="AI277" s="24" t="str"/>
      <x:c r="AJ277" s="24" t="str"/>
      <x:c r="AK277" s="32"/>
      <x:c r="AL277" s="32"/>
      <x:c r="AM277" s="24" t="str"/>
      <x:c r="AN277" s="31" t="n">
        <x:v>117</x:v>
      </x:c>
    </x:row>
    <x:row r="278" ht="17.25" customHeight="1">
      <x:c r="A278" s="24" t="str">
        <x:v>프라임구독</x:v>
      </x:c>
      <x:c r="B278" s="24" t="str">
        <x:v>343거1533</x:v>
      </x:c>
      <x:c r="C278" s="24" t="str">
        <x:v>보유</x:v>
      </x:c>
      <x:c r="D278" s="24" t="str"/>
      <x:c r="E278" s="24" t="str"/>
      <x:c r="F278" s="24" t="str"/>
      <x:c r="G278" s="24" t="str">
        <x:v>가솔린 3.0</x:v>
      </x:c>
      <x:c r="H278" s="24" t="str"/>
      <x:c r="I278" s="31"/>
      <x:c r="J278" s="31"/>
      <x:c r="K278" s="24" t="str"/>
      <x:c r="L278" s="24" t="str"/>
      <x:c r="M278" s="30"/>
      <x:c r="N278" s="31"/>
      <x:c r="O278" s="30"/>
      <x:c r="P278" s="32"/>
      <x:c r="Q278" s="32"/>
      <x:c r="R278" s="32"/>
      <x:c r="S278" s="24" t="str"/>
      <x:c r="T278" s="32"/>
      <x:c r="U278" s="32"/>
      <x:c r="V278" s="24" t="str"/>
      <x:c r="W278" s="24" t="str"/>
      <x:c r="X278" s="32"/>
      <x:c r="Y278" s="33"/>
      <x:c r="Z278" s="31"/>
      <x:c r="AA278" s="24" t="str"/>
      <x:c r="AB278" s="30"/>
      <x:c r="AC278" s="30"/>
      <x:c r="AD278" s="32"/>
      <x:c r="AE278" s="32"/>
      <x:c r="AF278" s="24" t="str"/>
      <x:c r="AG278" s="24" t="str"/>
      <x:c r="AH278" s="30"/>
      <x:c r="AI278" s="24" t="str"/>
      <x:c r="AJ278" s="24" t="str"/>
      <x:c r="AK278" s="32"/>
      <x:c r="AL278" s="32"/>
      <x:c r="AM278" s="24" t="str"/>
      <x:c r="AN278" s="31" t="n">
        <x:v>118</x:v>
      </x:c>
    </x:row>
    <x:row r="279" ht="17.25" customHeight="1">
      <x:c r="A279" s="24" t="str">
        <x:v>프라임구독</x:v>
      </x:c>
      <x:c r="B279" s="24" t="str">
        <x:v>34구0251</x:v>
      </x:c>
      <x:c r="C279" s="24" t="str">
        <x:v>보유</x:v>
      </x:c>
      <x:c r="D279" s="24" t="str"/>
      <x:c r="E279" s="24" t="str"/>
      <x:c r="F279" s="24" t="str"/>
      <x:c r="G279" s="24" t="str">
        <x:v>가솔린 3.0</x:v>
      </x:c>
      <x:c r="H279" s="24" t="str"/>
      <x:c r="I279" s="31"/>
      <x:c r="J279" s="31"/>
      <x:c r="K279" s="24" t="str">
        <x:v>KNME5C2MXHP002754</x:v>
      </x:c>
      <x:c r="L279" s="24" t="str"/>
      <x:c r="M279" s="30"/>
      <x:c r="N279" s="31"/>
      <x:c r="O279" s="30"/>
      <x:c r="P279" s="32"/>
      <x:c r="Q279" s="32"/>
      <x:c r="R279" s="32"/>
      <x:c r="S279" s="24" t="str"/>
      <x:c r="T279" s="32"/>
      <x:c r="U279" s="32"/>
      <x:c r="V279" s="24" t="str"/>
      <x:c r="W279" s="24" t="str"/>
      <x:c r="X279" s="32"/>
      <x:c r="Y279" s="33"/>
      <x:c r="Z279" s="31"/>
      <x:c r="AA279" s="24" t="str"/>
      <x:c r="AB279" s="30"/>
      <x:c r="AC279" s="30"/>
      <x:c r="AD279" s="32"/>
      <x:c r="AE279" s="32"/>
      <x:c r="AF279" s="24" t="str"/>
      <x:c r="AG279" s="24" t="str"/>
      <x:c r="AH279" s="30"/>
      <x:c r="AI279" s="24" t="str"/>
      <x:c r="AJ279" s="24" t="str"/>
      <x:c r="AK279" s="32"/>
      <x:c r="AL279" s="32"/>
      <x:c r="AM279" s="24" t="str"/>
      <x:c r="AN279" s="31" t="n">
        <x:v>119</x:v>
      </x:c>
    </x:row>
    <x:row r="280" ht="17.25" customHeight="1">
      <x:c r="A280" s="24" t="str">
        <x:v>프라임구독</x:v>
      </x:c>
      <x:c r="B280" s="24" t="str">
        <x:v>34우4050</x:v>
      </x:c>
      <x:c r="C280" s="24" t="str">
        <x:v>보유</x:v>
      </x:c>
      <x:c r="D280" s="24" t="str"/>
      <x:c r="E280" s="24" t="str"/>
      <x:c r="F280" s="24" t="str"/>
      <x:c r="G280" s="24" t="str">
        <x:v>가솔린 3.0</x:v>
      </x:c>
      <x:c r="H280" s="24" t="str"/>
      <x:c r="I280" s="31"/>
      <x:c r="J280" s="31"/>
      <x:c r="K280" s="24" t="str"/>
      <x:c r="L280" s="24" t="str"/>
      <x:c r="M280" s="30"/>
      <x:c r="N280" s="31"/>
      <x:c r="O280" s="30"/>
      <x:c r="P280" s="32"/>
      <x:c r="Q280" s="32"/>
      <x:c r="R280" s="32"/>
      <x:c r="S280" s="24" t="str"/>
      <x:c r="T280" s="32"/>
      <x:c r="U280" s="32"/>
      <x:c r="V280" s="24" t="str"/>
      <x:c r="W280" s="24" t="str"/>
      <x:c r="X280" s="32"/>
      <x:c r="Y280" s="33"/>
      <x:c r="Z280" s="31"/>
      <x:c r="AA280" s="24" t="str"/>
      <x:c r="AB280" s="30"/>
      <x:c r="AC280" s="30"/>
      <x:c r="AD280" s="32"/>
      <x:c r="AE280" s="32"/>
      <x:c r="AF280" s="24" t="str"/>
      <x:c r="AG280" s="24" t="str"/>
      <x:c r="AH280" s="30"/>
      <x:c r="AI280" s="24" t="str"/>
      <x:c r="AJ280" s="24" t="str"/>
      <x:c r="AK280" s="32"/>
      <x:c r="AL280" s="32"/>
      <x:c r="AM280" s="24" t="str"/>
      <x:c r="AN280" s="31" t="n">
        <x:v>120</x:v>
      </x:c>
    </x:row>
    <x:row r="281" ht="17.25" customHeight="1">
      <x:c r="A281" s="24" t="str">
        <x:v>프라임구독</x:v>
      </x:c>
      <x:c r="B281" s="24" t="str">
        <x:v>355루1724</x:v>
      </x:c>
      <x:c r="C281" s="24" t="str">
        <x:v>보유</x:v>
      </x:c>
      <x:c r="D281" s="24" t="str"/>
      <x:c r="E281" s="24" t="str"/>
      <x:c r="F281" s="24" t="str"/>
      <x:c r="G281" s="24" t="str">
        <x:v>가솔린 3.0</x:v>
      </x:c>
      <x:c r="H281" s="24" t="str"/>
      <x:c r="I281" s="31"/>
      <x:c r="J281" s="31"/>
      <x:c r="K281" s="24" t="str"/>
      <x:c r="L281" s="24" t="str"/>
      <x:c r="M281" s="30"/>
      <x:c r="N281" s="31"/>
      <x:c r="O281" s="30"/>
      <x:c r="P281" s="32"/>
      <x:c r="Q281" s="32"/>
      <x:c r="R281" s="32"/>
      <x:c r="S281" s="24" t="str"/>
      <x:c r="T281" s="32"/>
      <x:c r="U281" s="32"/>
      <x:c r="V281" s="24" t="str"/>
      <x:c r="W281" s="24" t="str"/>
      <x:c r="X281" s="32"/>
      <x:c r="Y281" s="33"/>
      <x:c r="Z281" s="31"/>
      <x:c r="AA281" s="24" t="str"/>
      <x:c r="AB281" s="30"/>
      <x:c r="AC281" s="30"/>
      <x:c r="AD281" s="32"/>
      <x:c r="AE281" s="32"/>
      <x:c r="AF281" s="24" t="str"/>
      <x:c r="AG281" s="24" t="str"/>
      <x:c r="AH281" s="30"/>
      <x:c r="AI281" s="24" t="str"/>
      <x:c r="AJ281" s="24" t="str"/>
      <x:c r="AK281" s="32"/>
      <x:c r="AL281" s="32"/>
      <x:c r="AM281" s="24" t="str"/>
      <x:c r="AN281" s="31" t="n">
        <x:v>121</x:v>
      </x:c>
    </x:row>
    <x:row r="282" ht="17.25" customHeight="1">
      <x:c r="A282" s="24" t="str">
        <x:v>프라임구독</x:v>
      </x:c>
      <x:c r="B282" s="24" t="str">
        <x:v>358다8942</x:v>
      </x:c>
      <x:c r="C282" s="24" t="str">
        <x:v>보유</x:v>
      </x:c>
      <x:c r="D282" s="24" t="str"/>
      <x:c r="E282" s="24" t="str"/>
      <x:c r="F282" s="24" t="str"/>
      <x:c r="G282" s="24" t="str">
        <x:v>가솔린 3.0</x:v>
      </x:c>
      <x:c r="H282" s="24" t="str"/>
      <x:c r="I282" s="31"/>
      <x:c r="J282" s="31"/>
      <x:c r="K282" s="24" t="str"/>
      <x:c r="L282" s="24" t="str"/>
      <x:c r="M282" s="30"/>
      <x:c r="N282" s="31"/>
      <x:c r="O282" s="30"/>
      <x:c r="P282" s="32"/>
      <x:c r="Q282" s="32"/>
      <x:c r="R282" s="32"/>
      <x:c r="S282" s="24" t="str"/>
      <x:c r="T282" s="32"/>
      <x:c r="U282" s="32"/>
      <x:c r="V282" s="24" t="str"/>
      <x:c r="W282" s="24" t="str"/>
      <x:c r="X282" s="32"/>
      <x:c r="Y282" s="33"/>
      <x:c r="Z282" s="31"/>
      <x:c r="AA282" s="24" t="str"/>
      <x:c r="AB282" s="30"/>
      <x:c r="AC282" s="30"/>
      <x:c r="AD282" s="32"/>
      <x:c r="AE282" s="32"/>
      <x:c r="AF282" s="24" t="str"/>
      <x:c r="AG282" s="24" t="str"/>
      <x:c r="AH282" s="30"/>
      <x:c r="AI282" s="24" t="str"/>
      <x:c r="AJ282" s="24" t="str"/>
      <x:c r="AK282" s="32"/>
      <x:c r="AL282" s="32"/>
      <x:c r="AM282" s="24" t="str"/>
      <x:c r="AN282" s="31" t="n">
        <x:v>122</x:v>
      </x:c>
    </x:row>
    <x:row r="283" ht="17.25" customHeight="1">
      <x:c r="A283" s="24" t="str">
        <x:v>프라임구독</x:v>
      </x:c>
      <x:c r="B283" s="24" t="str">
        <x:v>35라3486</x:v>
      </x:c>
      <x:c r="C283" s="24" t="str">
        <x:v>보유</x:v>
      </x:c>
      <x:c r="D283" s="24" t="str"/>
      <x:c r="E283" s="24" t="str"/>
      <x:c r="F283" s="24" t="str"/>
      <x:c r="G283" s="24" t="str">
        <x:v>가솔린 3.0</x:v>
      </x:c>
      <x:c r="H283" s="24" t="str"/>
      <x:c r="I283" s="31"/>
      <x:c r="J283" s="31"/>
      <x:c r="K283" s="24" t="str"/>
      <x:c r="L283" s="24" t="str"/>
      <x:c r="M283" s="30"/>
      <x:c r="N283" s="31"/>
      <x:c r="O283" s="30"/>
      <x:c r="P283" s="32"/>
      <x:c r="Q283" s="32"/>
      <x:c r="R283" s="32"/>
      <x:c r="S283" s="24" t="str"/>
      <x:c r="T283" s="32"/>
      <x:c r="U283" s="32"/>
      <x:c r="V283" s="24" t="str"/>
      <x:c r="W283" s="24" t="str"/>
      <x:c r="X283" s="32"/>
      <x:c r="Y283" s="33"/>
      <x:c r="Z283" s="31"/>
      <x:c r="AA283" s="24" t="str"/>
      <x:c r="AB283" s="30"/>
      <x:c r="AC283" s="30"/>
      <x:c r="AD283" s="32"/>
      <x:c r="AE283" s="32"/>
      <x:c r="AF283" s="24" t="str"/>
      <x:c r="AG283" s="24" t="str"/>
      <x:c r="AH283" s="30"/>
      <x:c r="AI283" s="24" t="str"/>
      <x:c r="AJ283" s="24" t="str"/>
      <x:c r="AK283" s="32"/>
      <x:c r="AL283" s="32"/>
      <x:c r="AM283" s="24" t="str"/>
      <x:c r="AN283" s="31" t="n">
        <x:v>123</x:v>
      </x:c>
    </x:row>
    <x:row r="284" ht="17.25" customHeight="1">
      <x:c r="A284" s="24" t="str">
        <x:v>프라임구독</x:v>
      </x:c>
      <x:c r="B284" s="24" t="str">
        <x:v>35조0980</x:v>
      </x:c>
      <x:c r="C284" s="24" t="str">
        <x:v>보유</x:v>
      </x:c>
      <x:c r="D284" s="24" t="str"/>
      <x:c r="E284" s="24" t="str"/>
      <x:c r="F284" s="24" t="str"/>
      <x:c r="G284" s="24" t="str">
        <x:v>가솔린 3.0</x:v>
      </x:c>
      <x:c r="H284" s="24" t="str"/>
      <x:c r="I284" s="31"/>
      <x:c r="J284" s="31"/>
      <x:c r="K284" s="24" t="str"/>
      <x:c r="L284" s="24" t="str"/>
      <x:c r="M284" s="30"/>
      <x:c r="N284" s="31"/>
      <x:c r="O284" s="30"/>
      <x:c r="P284" s="32"/>
      <x:c r="Q284" s="32"/>
      <x:c r="R284" s="32"/>
      <x:c r="S284" s="24" t="str"/>
      <x:c r="T284" s="32"/>
      <x:c r="U284" s="32"/>
      <x:c r="V284" s="24" t="str"/>
      <x:c r="W284" s="24" t="str"/>
      <x:c r="X284" s="32"/>
      <x:c r="Y284" s="33"/>
      <x:c r="Z284" s="31"/>
      <x:c r="AA284" s="24" t="str"/>
      <x:c r="AB284" s="30"/>
      <x:c r="AC284" s="30"/>
      <x:c r="AD284" s="32"/>
      <x:c r="AE284" s="32"/>
      <x:c r="AF284" s="24" t="str"/>
      <x:c r="AG284" s="24" t="str"/>
      <x:c r="AH284" s="30"/>
      <x:c r="AI284" s="24" t="str"/>
      <x:c r="AJ284" s="24" t="str"/>
      <x:c r="AK284" s="32"/>
      <x:c r="AL284" s="32"/>
      <x:c r="AM284" s="24" t="str"/>
      <x:c r="AN284" s="31" t="n">
        <x:v>124</x:v>
      </x:c>
    </x:row>
    <x:row r="285" ht="17.25" customHeight="1">
      <x:c r="A285" s="24" t="str">
        <x:v>프라임구독</x:v>
      </x:c>
      <x:c r="B285" s="24" t="str">
        <x:v>366버2054</x:v>
      </x:c>
      <x:c r="C285" s="24" t="str">
        <x:v>보유</x:v>
      </x:c>
      <x:c r="D285" s="24" t="str"/>
      <x:c r="E285" s="24" t="str"/>
      <x:c r="F285" s="24" t="str"/>
      <x:c r="G285" s="24" t="str">
        <x:v>가솔린 3.0</x:v>
      </x:c>
      <x:c r="H285" s="24" t="str"/>
      <x:c r="I285" s="31"/>
      <x:c r="J285" s="31"/>
      <x:c r="K285" s="24" t="str"/>
      <x:c r="L285" s="24" t="str"/>
      <x:c r="M285" s="30"/>
      <x:c r="N285" s="31"/>
      <x:c r="O285" s="30"/>
      <x:c r="P285" s="32"/>
      <x:c r="Q285" s="32"/>
      <x:c r="R285" s="32"/>
      <x:c r="S285" s="24" t="str"/>
      <x:c r="T285" s="32"/>
      <x:c r="U285" s="32"/>
      <x:c r="V285" s="24" t="str"/>
      <x:c r="W285" s="24" t="str"/>
      <x:c r="X285" s="32"/>
      <x:c r="Y285" s="33"/>
      <x:c r="Z285" s="31"/>
      <x:c r="AA285" s="24" t="str"/>
      <x:c r="AB285" s="30"/>
      <x:c r="AC285" s="30"/>
      <x:c r="AD285" s="32"/>
      <x:c r="AE285" s="32"/>
      <x:c r="AF285" s="24" t="str"/>
      <x:c r="AG285" s="24" t="str"/>
      <x:c r="AH285" s="30"/>
      <x:c r="AI285" s="24" t="str"/>
      <x:c r="AJ285" s="24" t="str"/>
      <x:c r="AK285" s="32"/>
      <x:c r="AL285" s="32"/>
      <x:c r="AM285" s="24" t="str"/>
      <x:c r="AN285" s="31" t="n">
        <x:v>125</x:v>
      </x:c>
    </x:row>
    <x:row r="286" ht="17.25" customHeight="1">
      <x:c r="A286" s="24" t="str">
        <x:v>프라임구독</x:v>
      </x:c>
      <x:c r="B286" s="24" t="str">
        <x:v>36너9100</x:v>
      </x:c>
      <x:c r="C286" s="24" t="str">
        <x:v>보유</x:v>
      </x:c>
      <x:c r="D286" s="24" t="str"/>
      <x:c r="E286" s="24" t="str"/>
      <x:c r="F286" s="24" t="str"/>
      <x:c r="G286" s="24" t="str">
        <x:v>가솔린 3.0</x:v>
      </x:c>
      <x:c r="H286" s="24" t="str"/>
      <x:c r="I286" s="31"/>
      <x:c r="J286" s="31"/>
      <x:c r="K286" s="24" t="str"/>
      <x:c r="L286" s="24" t="str"/>
      <x:c r="M286" s="30"/>
      <x:c r="N286" s="31"/>
      <x:c r="O286" s="30"/>
      <x:c r="P286" s="32"/>
      <x:c r="Q286" s="32"/>
      <x:c r="R286" s="32"/>
      <x:c r="S286" s="24" t="str"/>
      <x:c r="T286" s="32"/>
      <x:c r="U286" s="32"/>
      <x:c r="V286" s="24" t="str"/>
      <x:c r="W286" s="24" t="str"/>
      <x:c r="X286" s="32"/>
      <x:c r="Y286" s="33"/>
      <x:c r="Z286" s="31"/>
      <x:c r="AA286" s="24" t="str"/>
      <x:c r="AB286" s="30"/>
      <x:c r="AC286" s="30"/>
      <x:c r="AD286" s="32"/>
      <x:c r="AE286" s="32"/>
      <x:c r="AF286" s="24" t="str"/>
      <x:c r="AG286" s="24" t="str"/>
      <x:c r="AH286" s="30"/>
      <x:c r="AI286" s="24" t="str"/>
      <x:c r="AJ286" s="24" t="str"/>
      <x:c r="AK286" s="32"/>
      <x:c r="AL286" s="32"/>
      <x:c r="AM286" s="24" t="str"/>
      <x:c r="AN286" s="31" t="n">
        <x:v>126</x:v>
      </x:c>
    </x:row>
    <x:row r="287" ht="17.25" customHeight="1">
      <x:c r="A287" s="24" t="str">
        <x:v>프라임구독</x:v>
      </x:c>
      <x:c r="B287" s="24" t="str">
        <x:v>36조8835</x:v>
      </x:c>
      <x:c r="C287" s="24" t="str">
        <x:v>보유</x:v>
      </x:c>
      <x:c r="D287" s="24" t="str"/>
      <x:c r="E287" s="24" t="str"/>
      <x:c r="F287" s="24" t="str"/>
      <x:c r="G287" s="24" t="str">
        <x:v>가솔린 3.0</x:v>
      </x:c>
      <x:c r="H287" s="24" t="str"/>
      <x:c r="I287" s="31"/>
      <x:c r="J287" s="31"/>
      <x:c r="K287" s="24" t="str"/>
      <x:c r="L287" s="24" t="str"/>
      <x:c r="M287" s="30"/>
      <x:c r="N287" s="31"/>
      <x:c r="O287" s="30"/>
      <x:c r="P287" s="32"/>
      <x:c r="Q287" s="32"/>
      <x:c r="R287" s="32"/>
      <x:c r="S287" s="24" t="str"/>
      <x:c r="T287" s="32"/>
      <x:c r="U287" s="32"/>
      <x:c r="V287" s="24" t="str"/>
      <x:c r="W287" s="24" t="str"/>
      <x:c r="X287" s="32"/>
      <x:c r="Y287" s="33"/>
      <x:c r="Z287" s="31"/>
      <x:c r="AA287" s="24" t="str"/>
      <x:c r="AB287" s="30"/>
      <x:c r="AC287" s="30"/>
      <x:c r="AD287" s="32"/>
      <x:c r="AE287" s="32"/>
      <x:c r="AF287" s="24" t="str"/>
      <x:c r="AG287" s="24" t="str"/>
      <x:c r="AH287" s="30"/>
      <x:c r="AI287" s="24" t="str"/>
      <x:c r="AJ287" s="24" t="str"/>
      <x:c r="AK287" s="32"/>
      <x:c r="AL287" s="32"/>
      <x:c r="AM287" s="24" t="str"/>
      <x:c r="AN287" s="31" t="n">
        <x:v>127</x:v>
      </x:c>
    </x:row>
    <x:row r="288" ht="17.25" customHeight="1">
      <x:c r="A288" s="24" t="str">
        <x:v>프라임구독</x:v>
      </x:c>
      <x:c r="B288" s="24" t="str">
        <x:v>372너6080</x:v>
      </x:c>
      <x:c r="C288" s="24" t="str">
        <x:v>보유</x:v>
      </x:c>
      <x:c r="D288" s="24" t="str"/>
      <x:c r="E288" s="24" t="str"/>
      <x:c r="F288" s="24" t="str"/>
      <x:c r="G288" s="24" t="str">
        <x:v>가솔린 3.0</x:v>
      </x:c>
      <x:c r="H288" s="24" t="str"/>
      <x:c r="I288" s="31"/>
      <x:c r="J288" s="31"/>
      <x:c r="K288" s="24" t="str"/>
      <x:c r="L288" s="24" t="str"/>
      <x:c r="M288" s="30"/>
      <x:c r="N288" s="31"/>
      <x:c r="O288" s="30"/>
      <x:c r="P288" s="32"/>
      <x:c r="Q288" s="32"/>
      <x:c r="R288" s="32"/>
      <x:c r="S288" s="24" t="str"/>
      <x:c r="T288" s="32"/>
      <x:c r="U288" s="32"/>
      <x:c r="V288" s="24" t="str"/>
      <x:c r="W288" s="24" t="str"/>
      <x:c r="X288" s="32"/>
      <x:c r="Y288" s="33"/>
      <x:c r="Z288" s="31"/>
      <x:c r="AA288" s="24" t="str"/>
      <x:c r="AB288" s="30"/>
      <x:c r="AC288" s="30"/>
      <x:c r="AD288" s="32"/>
      <x:c r="AE288" s="32"/>
      <x:c r="AF288" s="24" t="str"/>
      <x:c r="AG288" s="24" t="str"/>
      <x:c r="AH288" s="30"/>
      <x:c r="AI288" s="24" t="str"/>
      <x:c r="AJ288" s="24" t="str"/>
      <x:c r="AK288" s="32"/>
      <x:c r="AL288" s="32"/>
      <x:c r="AM288" s="24" t="str"/>
      <x:c r="AN288" s="31" t="n">
        <x:v>128</x:v>
      </x:c>
    </x:row>
    <x:row r="289" ht="17.25" customHeight="1">
      <x:c r="A289" s="24" t="str">
        <x:v>프라임구독</x:v>
      </x:c>
      <x:c r="B289" s="24" t="str">
        <x:v>375노8331</x:v>
      </x:c>
      <x:c r="C289" s="24" t="str">
        <x:v>보유</x:v>
      </x:c>
      <x:c r="D289" s="24" t="str"/>
      <x:c r="E289" s="24" t="str"/>
      <x:c r="F289" s="24" t="str"/>
      <x:c r="G289" s="24" t="str">
        <x:v>가솔린 3.0</x:v>
      </x:c>
      <x:c r="H289" s="24" t="str"/>
      <x:c r="I289" s="31"/>
      <x:c r="J289" s="31"/>
      <x:c r="K289" s="24" t="str"/>
      <x:c r="L289" s="24" t="str"/>
      <x:c r="M289" s="30"/>
      <x:c r="N289" s="31"/>
      <x:c r="O289" s="30"/>
      <x:c r="P289" s="32"/>
      <x:c r="Q289" s="32"/>
      <x:c r="R289" s="32"/>
      <x:c r="S289" s="24" t="str"/>
      <x:c r="T289" s="32"/>
      <x:c r="U289" s="32"/>
      <x:c r="V289" s="24" t="str"/>
      <x:c r="W289" s="24" t="str"/>
      <x:c r="X289" s="32"/>
      <x:c r="Y289" s="33"/>
      <x:c r="Z289" s="31"/>
      <x:c r="AA289" s="24" t="str"/>
      <x:c r="AB289" s="30"/>
      <x:c r="AC289" s="30"/>
      <x:c r="AD289" s="32"/>
      <x:c r="AE289" s="32"/>
      <x:c r="AF289" s="24" t="str"/>
      <x:c r="AG289" s="24" t="str"/>
      <x:c r="AH289" s="30"/>
      <x:c r="AI289" s="24" t="str"/>
      <x:c r="AJ289" s="24" t="str"/>
      <x:c r="AK289" s="32"/>
      <x:c r="AL289" s="32"/>
      <x:c r="AM289" s="24" t="str"/>
      <x:c r="AN289" s="31" t="n">
        <x:v>129</x:v>
      </x:c>
    </x:row>
    <x:row r="290" ht="17.25" customHeight="1">
      <x:c r="A290" s="24" t="str">
        <x:v>프라임구독</x:v>
      </x:c>
      <x:c r="B290" s="24" t="str">
        <x:v>375어9516</x:v>
      </x:c>
      <x:c r="C290" s="24" t="str">
        <x:v>보유</x:v>
      </x:c>
      <x:c r="D290" s="24" t="str"/>
      <x:c r="E290" s="24" t="str"/>
      <x:c r="F290" s="24" t="str"/>
      <x:c r="G290" s="24" t="str">
        <x:v>가솔린 3.0</x:v>
      </x:c>
      <x:c r="H290" s="24" t="str"/>
      <x:c r="I290" s="31"/>
      <x:c r="J290" s="31"/>
      <x:c r="K290" s="24" t="str"/>
      <x:c r="L290" s="24" t="str"/>
      <x:c r="M290" s="30"/>
      <x:c r="N290" s="31"/>
      <x:c r="O290" s="30"/>
      <x:c r="P290" s="32"/>
      <x:c r="Q290" s="32"/>
      <x:c r="R290" s="32"/>
      <x:c r="S290" s="24" t="str"/>
      <x:c r="T290" s="32"/>
      <x:c r="U290" s="32"/>
      <x:c r="V290" s="24" t="str"/>
      <x:c r="W290" s="24" t="str"/>
      <x:c r="X290" s="32"/>
      <x:c r="Y290" s="33"/>
      <x:c r="Z290" s="31"/>
      <x:c r="AA290" s="24" t="str"/>
      <x:c r="AB290" s="30"/>
      <x:c r="AC290" s="30"/>
      <x:c r="AD290" s="32"/>
      <x:c r="AE290" s="32"/>
      <x:c r="AF290" s="24" t="str"/>
      <x:c r="AG290" s="24" t="str"/>
      <x:c r="AH290" s="30"/>
      <x:c r="AI290" s="24" t="str"/>
      <x:c r="AJ290" s="24" t="str"/>
      <x:c r="AK290" s="32"/>
      <x:c r="AL290" s="32"/>
      <x:c r="AM290" s="24" t="str"/>
      <x:c r="AN290" s="31" t="n">
        <x:v>130</x:v>
      </x:c>
    </x:row>
    <x:row r="291" ht="17.25" customHeight="1">
      <x:c r="A291" s="24" t="str">
        <x:v>프라임구독</x:v>
      </x:c>
      <x:c r="B291" s="24" t="str">
        <x:v>37가6818</x:v>
      </x:c>
      <x:c r="C291" s="24" t="str">
        <x:v>보유</x:v>
      </x:c>
      <x:c r="D291" s="24" t="str"/>
      <x:c r="E291" s="24" t="str"/>
      <x:c r="F291" s="24" t="str"/>
      <x:c r="G291" s="24" t="str">
        <x:v>가솔린 3.0</x:v>
      </x:c>
      <x:c r="H291" s="24" t="str"/>
      <x:c r="I291" s="31"/>
      <x:c r="J291" s="31"/>
      <x:c r="K291" s="24" t="str"/>
      <x:c r="L291" s="24" t="str"/>
      <x:c r="M291" s="30"/>
      <x:c r="N291" s="31"/>
      <x:c r="O291" s="30"/>
      <x:c r="P291" s="32"/>
      <x:c r="Q291" s="32"/>
      <x:c r="R291" s="32"/>
      <x:c r="S291" s="24" t="str"/>
      <x:c r="T291" s="32"/>
      <x:c r="U291" s="32"/>
      <x:c r="V291" s="24" t="str"/>
      <x:c r="W291" s="24" t="str"/>
      <x:c r="X291" s="32"/>
      <x:c r="Y291" s="33"/>
      <x:c r="Z291" s="31"/>
      <x:c r="AA291" s="24" t="str"/>
      <x:c r="AB291" s="30"/>
      <x:c r="AC291" s="30"/>
      <x:c r="AD291" s="32"/>
      <x:c r="AE291" s="32"/>
      <x:c r="AF291" s="24" t="str"/>
      <x:c r="AG291" s="24" t="str"/>
      <x:c r="AH291" s="30"/>
      <x:c r="AI291" s="24" t="str"/>
      <x:c r="AJ291" s="24" t="str"/>
      <x:c r="AK291" s="32"/>
      <x:c r="AL291" s="32"/>
      <x:c r="AM291" s="24" t="str"/>
      <x:c r="AN291" s="31" t="n">
        <x:v>131</x:v>
      </x:c>
    </x:row>
    <x:row r="292" ht="17.25" customHeight="1">
      <x:c r="A292" s="24" t="str">
        <x:v>프라임구독</x:v>
      </x:c>
      <x:c r="B292" s="24" t="str">
        <x:v>37루0709</x:v>
      </x:c>
      <x:c r="C292" s="24" t="str">
        <x:v>보유</x:v>
      </x:c>
      <x:c r="D292" s="24" t="str"/>
      <x:c r="E292" s="24" t="str"/>
      <x:c r="F292" s="24" t="str"/>
      <x:c r="G292" s="24" t="str">
        <x:v>가솔린 3.0</x:v>
      </x:c>
      <x:c r="H292" s="24" t="str"/>
      <x:c r="I292" s="31"/>
      <x:c r="J292" s="31"/>
      <x:c r="K292" s="24" t="str"/>
      <x:c r="L292" s="24" t="str"/>
      <x:c r="M292" s="30"/>
      <x:c r="N292" s="31"/>
      <x:c r="O292" s="30"/>
      <x:c r="P292" s="32"/>
      <x:c r="Q292" s="32"/>
      <x:c r="R292" s="32"/>
      <x:c r="S292" s="24" t="str"/>
      <x:c r="T292" s="32"/>
      <x:c r="U292" s="32"/>
      <x:c r="V292" s="24" t="str"/>
      <x:c r="W292" s="24" t="str"/>
      <x:c r="X292" s="32"/>
      <x:c r="Y292" s="33"/>
      <x:c r="Z292" s="31"/>
      <x:c r="AA292" s="24" t="str"/>
      <x:c r="AB292" s="30"/>
      <x:c r="AC292" s="30"/>
      <x:c r="AD292" s="32"/>
      <x:c r="AE292" s="32"/>
      <x:c r="AF292" s="24" t="str"/>
      <x:c r="AG292" s="24" t="str"/>
      <x:c r="AH292" s="30"/>
      <x:c r="AI292" s="24" t="str"/>
      <x:c r="AJ292" s="24" t="str"/>
      <x:c r="AK292" s="32"/>
      <x:c r="AL292" s="32"/>
      <x:c r="AM292" s="24" t="str"/>
      <x:c r="AN292" s="31" t="n">
        <x:v>132</x:v>
      </x:c>
    </x:row>
    <x:row r="293" ht="17.25" customHeight="1">
      <x:c r="A293" s="24" t="str">
        <x:v>프라임구독</x:v>
      </x:c>
      <x:c r="B293" s="24" t="str">
        <x:v>37무0235</x:v>
      </x:c>
      <x:c r="C293" s="24" t="str">
        <x:v>O</x:v>
      </x:c>
      <x:c r="D293" s="24" t="str"/>
      <x:c r="E293" s="24" t="str"/>
      <x:c r="F293" s="24" t="str"/>
      <x:c r="G293" s="24" t="str">
        <x:v>가솔린 3.0</x:v>
      </x:c>
      <x:c r="H293" s="24" t="str"/>
      <x:c r="I293" s="31"/>
      <x:c r="J293" s="31"/>
      <x:c r="K293" s="24" t="str"/>
      <x:c r="L293" s="24" t="str"/>
      <x:c r="M293" s="30"/>
      <x:c r="N293" s="31"/>
      <x:c r="O293" s="30"/>
      <x:c r="P293" s="32"/>
      <x:c r="Q293" s="32"/>
      <x:c r="R293" s="32"/>
      <x:c r="S293" s="24" t="str"/>
      <x:c r="T293" s="32"/>
      <x:c r="U293" s="32"/>
      <x:c r="V293" s="24" t="str"/>
      <x:c r="W293" s="24" t="str"/>
      <x:c r="X293" s="32"/>
      <x:c r="Y293" s="33"/>
      <x:c r="Z293" s="31"/>
      <x:c r="AA293" s="24" t="str"/>
      <x:c r="AB293" s="30"/>
      <x:c r="AC293" s="30"/>
      <x:c r="AD293" s="32"/>
      <x:c r="AE293" s="32"/>
      <x:c r="AF293" s="24" t="str"/>
      <x:c r="AG293" s="24" t="str"/>
      <x:c r="AH293" s="30" t="n">
        <x:v>45531</x:v>
      </x:c>
      <x:c r="AI293" s="24" t="str"/>
      <x:c r="AJ293" s="24" t="str">
        <x:v>O</x:v>
      </x:c>
      <x:c r="AK293" s="32"/>
      <x:c r="AL293" s="32"/>
      <x:c r="AM293" s="24" t="str"/>
      <x:c r="AN293" s="31" t="n">
        <x:v>133</x:v>
      </x:c>
    </x:row>
    <x:row r="294" ht="17.25" customHeight="1">
      <x:c r="A294" s="24" t="str">
        <x:v>프라임구독</x:v>
      </x:c>
      <x:c r="B294" s="24" t="str">
        <x:v>37부6628</x:v>
      </x:c>
      <x:c r="C294" s="24" t="str">
        <x:v>보유</x:v>
      </x:c>
      <x:c r="D294" s="24" t="str"/>
      <x:c r="E294" s="24" t="str"/>
      <x:c r="F294" s="24" t="str"/>
      <x:c r="G294" s="24" t="str">
        <x:v>가솔린 3.0</x:v>
      </x:c>
      <x:c r="H294" s="24" t="str"/>
      <x:c r="I294" s="31"/>
      <x:c r="J294" s="31"/>
      <x:c r="K294" s="24" t="str"/>
      <x:c r="L294" s="24" t="str"/>
      <x:c r="M294" s="30"/>
      <x:c r="N294" s="31"/>
      <x:c r="O294" s="30"/>
      <x:c r="P294" s="32"/>
      <x:c r="Q294" s="32"/>
      <x:c r="R294" s="32"/>
      <x:c r="S294" s="24" t="str"/>
      <x:c r="T294" s="32"/>
      <x:c r="U294" s="32"/>
      <x:c r="V294" s="24" t="str"/>
      <x:c r="W294" s="24" t="str"/>
      <x:c r="X294" s="32"/>
      <x:c r="Y294" s="33"/>
      <x:c r="Z294" s="31"/>
      <x:c r="AA294" s="24" t="str"/>
      <x:c r="AB294" s="30"/>
      <x:c r="AC294" s="30"/>
      <x:c r="AD294" s="32"/>
      <x:c r="AE294" s="32"/>
      <x:c r="AF294" s="24" t="str"/>
      <x:c r="AG294" s="24" t="str"/>
      <x:c r="AH294" s="30"/>
      <x:c r="AI294" s="24" t="str"/>
      <x:c r="AJ294" s="24" t="str"/>
      <x:c r="AK294" s="32"/>
      <x:c r="AL294" s="32"/>
      <x:c r="AM294" s="24" t="str"/>
      <x:c r="AN294" s="31" t="n">
        <x:v>134</x:v>
      </x:c>
    </x:row>
    <x:row r="295" ht="17.25" customHeight="1">
      <x:c r="A295" s="24" t="str">
        <x:v>프라임구독</x:v>
      </x:c>
      <x:c r="B295" s="24" t="str">
        <x:v>383고5530</x:v>
      </x:c>
      <x:c r="C295" s="24" t="str">
        <x:v>보유</x:v>
      </x:c>
      <x:c r="D295" s="24" t="str"/>
      <x:c r="E295" s="24" t="str"/>
      <x:c r="F295" s="24" t="str"/>
      <x:c r="G295" s="24" t="str">
        <x:v>가솔린 3.0</x:v>
      </x:c>
      <x:c r="H295" s="24" t="str"/>
      <x:c r="I295" s="31"/>
      <x:c r="J295" s="31"/>
      <x:c r="K295" s="24" t="str"/>
      <x:c r="L295" s="24" t="str"/>
      <x:c r="M295" s="30"/>
      <x:c r="N295" s="31"/>
      <x:c r="O295" s="30"/>
      <x:c r="P295" s="32"/>
      <x:c r="Q295" s="32"/>
      <x:c r="R295" s="32"/>
      <x:c r="S295" s="24" t="str"/>
      <x:c r="T295" s="32"/>
      <x:c r="U295" s="32"/>
      <x:c r="V295" s="24" t="str"/>
      <x:c r="W295" s="24" t="str"/>
      <x:c r="X295" s="32"/>
      <x:c r="Y295" s="33"/>
      <x:c r="Z295" s="31"/>
      <x:c r="AA295" s="24" t="str"/>
      <x:c r="AB295" s="30"/>
      <x:c r="AC295" s="30"/>
      <x:c r="AD295" s="32"/>
      <x:c r="AE295" s="32"/>
      <x:c r="AF295" s="24" t="str"/>
      <x:c r="AG295" s="24" t="str"/>
      <x:c r="AH295" s="30"/>
      <x:c r="AI295" s="24" t="str"/>
      <x:c r="AJ295" s="24" t="str"/>
      <x:c r="AK295" s="32"/>
      <x:c r="AL295" s="32"/>
      <x:c r="AM295" s="24" t="str"/>
      <x:c r="AN295" s="31" t="n">
        <x:v>135</x:v>
      </x:c>
    </x:row>
    <x:row r="296" ht="17.25" customHeight="1">
      <x:c r="A296" s="24" t="str">
        <x:v>프라임구독</x:v>
      </x:c>
      <x:c r="B296" s="24" t="str">
        <x:v>385두9468</x:v>
      </x:c>
      <x:c r="C296" s="24" t="str">
        <x:v>보유</x:v>
      </x:c>
      <x:c r="D296" s="24" t="str"/>
      <x:c r="E296" s="24" t="str"/>
      <x:c r="F296" s="24" t="str"/>
      <x:c r="G296" s="24" t="str">
        <x:v>가솔린 3.0</x:v>
      </x:c>
      <x:c r="H296" s="24" t="str"/>
      <x:c r="I296" s="31"/>
      <x:c r="J296" s="31"/>
      <x:c r="K296" s="24" t="str"/>
      <x:c r="L296" s="24" t="str"/>
      <x:c r="M296" s="30"/>
      <x:c r="N296" s="31"/>
      <x:c r="O296" s="30"/>
      <x:c r="P296" s="32"/>
      <x:c r="Q296" s="32"/>
      <x:c r="R296" s="32"/>
      <x:c r="S296" s="24" t="str"/>
      <x:c r="T296" s="32"/>
      <x:c r="U296" s="32"/>
      <x:c r="V296" s="24" t="str"/>
      <x:c r="W296" s="24" t="str"/>
      <x:c r="X296" s="32"/>
      <x:c r="Y296" s="33"/>
      <x:c r="Z296" s="31"/>
      <x:c r="AA296" s="24" t="str"/>
      <x:c r="AB296" s="30"/>
      <x:c r="AC296" s="30"/>
      <x:c r="AD296" s="32"/>
      <x:c r="AE296" s="32"/>
      <x:c r="AF296" s="24" t="str"/>
      <x:c r="AG296" s="24" t="str"/>
      <x:c r="AH296" s="30"/>
      <x:c r="AI296" s="24" t="str"/>
      <x:c r="AJ296" s="24" t="str"/>
      <x:c r="AK296" s="32"/>
      <x:c r="AL296" s="32"/>
      <x:c r="AM296" s="24" t="str"/>
      <x:c r="AN296" s="31" t="n">
        <x:v>136</x:v>
      </x:c>
    </x:row>
    <x:row r="297" ht="17.25" customHeight="1">
      <x:c r="A297" s="24" t="str">
        <x:v>프라임구독</x:v>
      </x:c>
      <x:c r="B297" s="24" t="str">
        <x:v>38거0839</x:v>
      </x:c>
      <x:c r="C297" s="24" t="str">
        <x:v>보유</x:v>
      </x:c>
      <x:c r="D297" s="24" t="str"/>
      <x:c r="E297" s="24" t="str"/>
      <x:c r="F297" s="24" t="str"/>
      <x:c r="G297" s="24" t="str">
        <x:v>가솔린 3.0</x:v>
      </x:c>
      <x:c r="H297" s="24" t="str"/>
      <x:c r="I297" s="31"/>
      <x:c r="J297" s="31"/>
      <x:c r="K297" s="24" t="str"/>
      <x:c r="L297" s="24" t="str"/>
      <x:c r="M297" s="30"/>
      <x:c r="N297" s="31"/>
      <x:c r="O297" s="30"/>
      <x:c r="P297" s="32"/>
      <x:c r="Q297" s="32"/>
      <x:c r="R297" s="32"/>
      <x:c r="S297" s="24" t="str"/>
      <x:c r="T297" s="32"/>
      <x:c r="U297" s="32"/>
      <x:c r="V297" s="24" t="str"/>
      <x:c r="W297" s="24" t="str"/>
      <x:c r="X297" s="32"/>
      <x:c r="Y297" s="33"/>
      <x:c r="Z297" s="31"/>
      <x:c r="AA297" s="24" t="str"/>
      <x:c r="AB297" s="30"/>
      <x:c r="AC297" s="30"/>
      <x:c r="AD297" s="32"/>
      <x:c r="AE297" s="32"/>
      <x:c r="AF297" s="24" t="str"/>
      <x:c r="AG297" s="24" t="str"/>
      <x:c r="AH297" s="30"/>
      <x:c r="AI297" s="24" t="str"/>
      <x:c r="AJ297" s="24" t="str"/>
      <x:c r="AK297" s="32"/>
      <x:c r="AL297" s="32"/>
      <x:c r="AM297" s="24" t="str"/>
      <x:c r="AN297" s="31" t="n">
        <x:v>137</x:v>
      </x:c>
    </x:row>
    <x:row r="298" ht="17.25" customHeight="1">
      <x:c r="A298" s="24" t="str">
        <x:v>프라임구독</x:v>
      </x:c>
      <x:c r="B298" s="24" t="str">
        <x:v>38나0980</x:v>
      </x:c>
      <x:c r="C298" s="24" t="str">
        <x:v>보유</x:v>
      </x:c>
      <x:c r="D298" s="24" t="str"/>
      <x:c r="E298" s="24" t="str"/>
      <x:c r="F298" s="24" t="str"/>
      <x:c r="G298" s="24" t="str">
        <x:v>가솔린 3.0</x:v>
      </x:c>
      <x:c r="H298" s="24" t="str"/>
      <x:c r="I298" s="31"/>
      <x:c r="J298" s="31"/>
      <x:c r="K298" s="24" t="str"/>
      <x:c r="L298" s="24" t="str"/>
      <x:c r="M298" s="30"/>
      <x:c r="N298" s="31"/>
      <x:c r="O298" s="30"/>
      <x:c r="P298" s="32"/>
      <x:c r="Q298" s="32"/>
      <x:c r="R298" s="32"/>
      <x:c r="S298" s="24" t="str"/>
      <x:c r="T298" s="32"/>
      <x:c r="U298" s="32"/>
      <x:c r="V298" s="24" t="str"/>
      <x:c r="W298" s="24" t="str"/>
      <x:c r="X298" s="32"/>
      <x:c r="Y298" s="33"/>
      <x:c r="Z298" s="31"/>
      <x:c r="AA298" s="24" t="str"/>
      <x:c r="AB298" s="30"/>
      <x:c r="AC298" s="30"/>
      <x:c r="AD298" s="32"/>
      <x:c r="AE298" s="32"/>
      <x:c r="AF298" s="24" t="str"/>
      <x:c r="AG298" s="24" t="str"/>
      <x:c r="AH298" s="30"/>
      <x:c r="AI298" s="24" t="str"/>
      <x:c r="AJ298" s="24" t="str"/>
      <x:c r="AK298" s="32"/>
      <x:c r="AL298" s="32"/>
      <x:c r="AM298" s="24" t="str"/>
      <x:c r="AN298" s="31" t="n">
        <x:v>138</x:v>
      </x:c>
    </x:row>
    <x:row r="299" ht="17.25" customHeight="1">
      <x:c r="A299" s="24" t="str">
        <x:v>프라임구독</x:v>
      </x:c>
      <x:c r="B299" s="24" t="str">
        <x:v>38모0931</x:v>
      </x:c>
      <x:c r="C299" s="24" t="str">
        <x:v>보유</x:v>
      </x:c>
      <x:c r="D299" s="24" t="str"/>
      <x:c r="E299" s="24" t="str"/>
      <x:c r="F299" s="24" t="str"/>
      <x:c r="G299" s="24" t="str">
        <x:v>가솔린 3.0</x:v>
      </x:c>
      <x:c r="H299" s="24" t="str"/>
      <x:c r="I299" s="31"/>
      <x:c r="J299" s="31"/>
      <x:c r="K299" s="24" t="str"/>
      <x:c r="L299" s="24" t="str"/>
      <x:c r="M299" s="30"/>
      <x:c r="N299" s="31"/>
      <x:c r="O299" s="30"/>
      <x:c r="P299" s="32"/>
      <x:c r="Q299" s="32"/>
      <x:c r="R299" s="32"/>
      <x:c r="S299" s="24" t="str"/>
      <x:c r="T299" s="32"/>
      <x:c r="U299" s="32"/>
      <x:c r="V299" s="24" t="str"/>
      <x:c r="W299" s="24" t="str"/>
      <x:c r="X299" s="32"/>
      <x:c r="Y299" s="33"/>
      <x:c r="Z299" s="31"/>
      <x:c r="AA299" s="24" t="str"/>
      <x:c r="AB299" s="30"/>
      <x:c r="AC299" s="30"/>
      <x:c r="AD299" s="32"/>
      <x:c r="AE299" s="32"/>
      <x:c r="AF299" s="24" t="str"/>
      <x:c r="AG299" s="24" t="str"/>
      <x:c r="AH299" s="30"/>
      <x:c r="AI299" s="24" t="str"/>
      <x:c r="AJ299" s="24" t="str"/>
      <x:c r="AK299" s="32"/>
      <x:c r="AL299" s="32"/>
      <x:c r="AM299" s="24" t="str"/>
      <x:c r="AN299" s="31" t="n">
        <x:v>139</x:v>
      </x:c>
    </x:row>
    <x:row r="300" ht="17.25" customHeight="1">
      <x:c r="A300" s="24" t="str">
        <x:v>프라임구독</x:v>
      </x:c>
      <x:c r="B300" s="24" t="str">
        <x:v>38모0931</x:v>
      </x:c>
      <x:c r="C300" s="24" t="str">
        <x:v>보유</x:v>
      </x:c>
      <x:c r="D300" s="24" t="str"/>
      <x:c r="E300" s="24" t="str"/>
      <x:c r="F300" s="24" t="str"/>
      <x:c r="G300" s="24" t="str">
        <x:v>가솔린 3.0</x:v>
      </x:c>
      <x:c r="H300" s="24" t="str"/>
      <x:c r="I300" s="31"/>
      <x:c r="J300" s="31"/>
      <x:c r="K300" s="24" t="str"/>
      <x:c r="L300" s="24" t="str"/>
      <x:c r="M300" s="30"/>
      <x:c r="N300" s="31"/>
      <x:c r="O300" s="30"/>
      <x:c r="P300" s="32"/>
      <x:c r="Q300" s="32"/>
      <x:c r="R300" s="32"/>
      <x:c r="S300" s="24" t="str"/>
      <x:c r="T300" s="32"/>
      <x:c r="U300" s="32"/>
      <x:c r="V300" s="24" t="str"/>
      <x:c r="W300" s="24" t="str"/>
      <x:c r="X300" s="32"/>
      <x:c r="Y300" s="33"/>
      <x:c r="Z300" s="31"/>
      <x:c r="AA300" s="24" t="str"/>
      <x:c r="AB300" s="30"/>
      <x:c r="AC300" s="30"/>
      <x:c r="AD300" s="32"/>
      <x:c r="AE300" s="32"/>
      <x:c r="AF300" s="24" t="str"/>
      <x:c r="AG300" s="24" t="str"/>
      <x:c r="AH300" s="30"/>
      <x:c r="AI300" s="24" t="str"/>
      <x:c r="AJ300" s="24" t="str"/>
      <x:c r="AK300" s="32"/>
      <x:c r="AL300" s="32"/>
      <x:c r="AM300" s="24" t="str"/>
      <x:c r="AN300" s="31" t="n">
        <x:v>140</x:v>
      </x:c>
    </x:row>
    <x:row r="301" ht="17.25" customHeight="1">
      <x:c r="A301" s="24" t="str">
        <x:v>프라임구독</x:v>
      </x:c>
      <x:c r="B301" s="24" t="str">
        <x:v>392주8214</x:v>
      </x:c>
      <x:c r="C301" s="24" t="str">
        <x:v>보유</x:v>
      </x:c>
      <x:c r="D301" s="24" t="str"/>
      <x:c r="E301" s="24" t="str"/>
      <x:c r="F301" s="24" t="str"/>
      <x:c r="G301" s="24" t="str">
        <x:v>가솔린 3.0</x:v>
      </x:c>
      <x:c r="H301" s="24" t="str"/>
      <x:c r="I301" s="31"/>
      <x:c r="J301" s="31"/>
      <x:c r="K301" s="24" t="str"/>
      <x:c r="L301" s="24" t="str"/>
      <x:c r="M301" s="30"/>
      <x:c r="N301" s="31"/>
      <x:c r="O301" s="30"/>
      <x:c r="P301" s="32"/>
      <x:c r="Q301" s="32"/>
      <x:c r="R301" s="32"/>
      <x:c r="S301" s="24" t="str"/>
      <x:c r="T301" s="32"/>
      <x:c r="U301" s="32"/>
      <x:c r="V301" s="24" t="str"/>
      <x:c r="W301" s="24" t="str"/>
      <x:c r="X301" s="32"/>
      <x:c r="Y301" s="33"/>
      <x:c r="Z301" s="31"/>
      <x:c r="AA301" s="24" t="str"/>
      <x:c r="AB301" s="30"/>
      <x:c r="AC301" s="30"/>
      <x:c r="AD301" s="32"/>
      <x:c r="AE301" s="32"/>
      <x:c r="AF301" s="24" t="str"/>
      <x:c r="AG301" s="24" t="str"/>
      <x:c r="AH301" s="30"/>
      <x:c r="AI301" s="24" t="str"/>
      <x:c r="AJ301" s="24" t="str"/>
      <x:c r="AK301" s="32"/>
      <x:c r="AL301" s="32"/>
      <x:c r="AM301" s="24" t="str"/>
      <x:c r="AN301" s="31" t="n">
        <x:v>141</x:v>
      </x:c>
    </x:row>
    <x:row r="302" ht="17.25" customHeight="1">
      <x:c r="A302" s="24" t="str">
        <x:v>프라임구독</x:v>
      </x:c>
      <x:c r="B302" s="24" t="str">
        <x:v>40가4998</x:v>
      </x:c>
      <x:c r="C302" s="24" t="str">
        <x:v>보유</x:v>
      </x:c>
      <x:c r="D302" s="24" t="str"/>
      <x:c r="E302" s="24" t="str"/>
      <x:c r="F302" s="24" t="str"/>
      <x:c r="G302" s="24" t="str">
        <x:v>가솔린 3.0</x:v>
      </x:c>
      <x:c r="H302" s="24" t="str"/>
      <x:c r="I302" s="31"/>
      <x:c r="J302" s="31"/>
      <x:c r="K302" s="24" t="str"/>
      <x:c r="L302" s="24" t="str"/>
      <x:c r="M302" s="30"/>
      <x:c r="N302" s="31"/>
      <x:c r="O302" s="30"/>
      <x:c r="P302" s="32"/>
      <x:c r="Q302" s="32"/>
      <x:c r="R302" s="32"/>
      <x:c r="S302" s="24" t="str"/>
      <x:c r="T302" s="32"/>
      <x:c r="U302" s="32"/>
      <x:c r="V302" s="24" t="str"/>
      <x:c r="W302" s="24" t="str"/>
      <x:c r="X302" s="32"/>
      <x:c r="Y302" s="33"/>
      <x:c r="Z302" s="31"/>
      <x:c r="AA302" s="24" t="str"/>
      <x:c r="AB302" s="30"/>
      <x:c r="AC302" s="30"/>
      <x:c r="AD302" s="32"/>
      <x:c r="AE302" s="32"/>
      <x:c r="AF302" s="24" t="str"/>
      <x:c r="AG302" s="24" t="str"/>
      <x:c r="AH302" s="30"/>
      <x:c r="AI302" s="24" t="str"/>
      <x:c r="AJ302" s="24" t="str"/>
      <x:c r="AK302" s="32"/>
      <x:c r="AL302" s="32"/>
      <x:c r="AM302" s="24" t="str"/>
      <x:c r="AN302" s="31" t="n">
        <x:v>142</x:v>
      </x:c>
    </x:row>
    <x:row r="303" ht="17.25" customHeight="1">
      <x:c r="A303" s="24" t="str">
        <x:v>프라임구독</x:v>
      </x:c>
      <x:c r="B303" s="24" t="str">
        <x:v>41누0758</x:v>
      </x:c>
      <x:c r="C303" s="24" t="str">
        <x:v>보유</x:v>
      </x:c>
      <x:c r="D303" s="24" t="str"/>
      <x:c r="E303" s="24" t="str"/>
      <x:c r="F303" s="24" t="str"/>
      <x:c r="G303" s="24" t="str">
        <x:v>가솔린 3.0</x:v>
      </x:c>
      <x:c r="H303" s="24" t="str"/>
      <x:c r="I303" s="31"/>
      <x:c r="J303" s="31"/>
      <x:c r="K303" s="24" t="str"/>
      <x:c r="L303" s="24" t="str"/>
      <x:c r="M303" s="30"/>
      <x:c r="N303" s="31"/>
      <x:c r="O303" s="30"/>
      <x:c r="P303" s="32"/>
      <x:c r="Q303" s="32"/>
      <x:c r="R303" s="32"/>
      <x:c r="S303" s="24" t="str"/>
      <x:c r="T303" s="32"/>
      <x:c r="U303" s="32"/>
      <x:c r="V303" s="24" t="str"/>
      <x:c r="W303" s="24" t="str"/>
      <x:c r="X303" s="32"/>
      <x:c r="Y303" s="33"/>
      <x:c r="Z303" s="31"/>
      <x:c r="AA303" s="24" t="str"/>
      <x:c r="AB303" s="30"/>
      <x:c r="AC303" s="30"/>
      <x:c r="AD303" s="32"/>
      <x:c r="AE303" s="32"/>
      <x:c r="AF303" s="24" t="str"/>
      <x:c r="AG303" s="24" t="str"/>
      <x:c r="AH303" s="30"/>
      <x:c r="AI303" s="24" t="str"/>
      <x:c r="AJ303" s="24" t="str"/>
      <x:c r="AK303" s="32"/>
      <x:c r="AL303" s="32"/>
      <x:c r="AM303" s="24" t="str"/>
      <x:c r="AN303" s="31" t="n">
        <x:v>143</x:v>
      </x:c>
    </x:row>
    <x:row r="304" ht="17.25" customHeight="1">
      <x:c r="A304" s="24" t="str">
        <x:v>프라임구독</x:v>
      </x:c>
      <x:c r="B304" s="24" t="str">
        <x:v>45구5908</x:v>
      </x:c>
      <x:c r="C304" s="24" t="str">
        <x:v>O</x:v>
      </x:c>
      <x:c r="D304" s="24" t="str"/>
      <x:c r="E304" s="24" t="str"/>
      <x:c r="F304" s="24" t="str"/>
      <x:c r="G304" s="24" t="str">
        <x:v>가솔린 3.0</x:v>
      </x:c>
      <x:c r="H304" s="24" t="str"/>
      <x:c r="I304" s="31"/>
      <x:c r="J304" s="31"/>
      <x:c r="K304" s="24" t="str"/>
      <x:c r="L304" s="24" t="str"/>
      <x:c r="M304" s="30"/>
      <x:c r="N304" s="31"/>
      <x:c r="O304" s="30"/>
      <x:c r="P304" s="32"/>
      <x:c r="Q304" s="32"/>
      <x:c r="R304" s="32"/>
      <x:c r="S304" s="24" t="str"/>
      <x:c r="T304" s="32"/>
      <x:c r="U304" s="32"/>
      <x:c r="V304" s="24" t="str"/>
      <x:c r="W304" s="24" t="str"/>
      <x:c r="X304" s="32"/>
      <x:c r="Y304" s="33"/>
      <x:c r="Z304" s="31"/>
      <x:c r="AA304" s="24" t="str"/>
      <x:c r="AB304" s="30"/>
      <x:c r="AC304" s="30"/>
      <x:c r="AD304" s="32"/>
      <x:c r="AE304" s="32"/>
      <x:c r="AF304" s="24" t="str"/>
      <x:c r="AG304" s="24" t="str"/>
      <x:c r="AH304" s="30" t="n">
        <x:v>45530</x:v>
      </x:c>
      <x:c r="AI304" s="24" t="str"/>
      <x:c r="AJ304" s="24" t="str">
        <x:v>O</x:v>
      </x:c>
      <x:c r="AK304" s="32"/>
      <x:c r="AL304" s="32"/>
      <x:c r="AM304" s="24" t="str"/>
      <x:c r="AN304" s="31" t="n">
        <x:v>144</x:v>
      </x:c>
    </x:row>
    <x:row r="305" ht="17.25" customHeight="1">
      <x:c r="A305" s="24" t="str">
        <x:v>프라임구독</x:v>
      </x:c>
      <x:c r="B305" s="24" t="str">
        <x:v>45도3628</x:v>
      </x:c>
      <x:c r="C305" s="24" t="str">
        <x:v>O</x:v>
      </x:c>
      <x:c r="D305" s="24" t="str"/>
      <x:c r="E305" s="24" t="str"/>
      <x:c r="F305" s="24" t="str"/>
      <x:c r="G305" s="24" t="str">
        <x:v>가솔린 3.0</x:v>
      </x:c>
      <x:c r="H305" s="24" t="str"/>
      <x:c r="I305" s="31"/>
      <x:c r="J305" s="31"/>
      <x:c r="K305" s="24" t="str"/>
      <x:c r="L305" s="24" t="str"/>
      <x:c r="M305" s="30"/>
      <x:c r="N305" s="31"/>
      <x:c r="O305" s="30"/>
      <x:c r="P305" s="32"/>
      <x:c r="Q305" s="32"/>
      <x:c r="R305" s="32"/>
      <x:c r="S305" s="24" t="str"/>
      <x:c r="T305" s="32"/>
      <x:c r="U305" s="32"/>
      <x:c r="V305" s="24" t="str"/>
      <x:c r="W305" s="24" t="str"/>
      <x:c r="X305" s="32"/>
      <x:c r="Y305" s="33"/>
      <x:c r="Z305" s="31"/>
      <x:c r="AA305" s="24" t="str"/>
      <x:c r="AB305" s="30"/>
      <x:c r="AC305" s="30"/>
      <x:c r="AD305" s="32"/>
      <x:c r="AE305" s="32"/>
      <x:c r="AF305" s="24" t="str"/>
      <x:c r="AG305" s="24" t="str"/>
      <x:c r="AH305" s="30" t="n">
        <x:v>45575</x:v>
      </x:c>
      <x:c r="AI305" s="24" t="str"/>
      <x:c r="AJ305" s="24" t="str">
        <x:v>O</x:v>
      </x:c>
      <x:c r="AK305" s="32"/>
      <x:c r="AL305" s="32"/>
      <x:c r="AM305" s="24" t="str"/>
      <x:c r="AN305" s="31" t="n">
        <x:v>145</x:v>
      </x:c>
    </x:row>
    <x:row r="306" ht="17.25" customHeight="1">
      <x:c r="A306" s="24" t="str">
        <x:v>프라임구독</x:v>
      </x:c>
      <x:c r="B306" s="24" t="str">
        <x:v>46누5796</x:v>
      </x:c>
      <x:c r="C306" s="24" t="str">
        <x:v>보유</x:v>
      </x:c>
      <x:c r="D306" s="24" t="str"/>
      <x:c r="E306" s="24" t="str"/>
      <x:c r="F306" s="24" t="str"/>
      <x:c r="G306" s="24" t="str">
        <x:v>가솔린 3.0</x:v>
      </x:c>
      <x:c r="H306" s="24" t="str"/>
      <x:c r="I306" s="31"/>
      <x:c r="J306" s="31"/>
      <x:c r="K306" s="24" t="str"/>
      <x:c r="L306" s="24" t="str"/>
      <x:c r="M306" s="30"/>
      <x:c r="N306" s="31"/>
      <x:c r="O306" s="30"/>
      <x:c r="P306" s="32"/>
      <x:c r="Q306" s="32"/>
      <x:c r="R306" s="32"/>
      <x:c r="S306" s="24" t="str"/>
      <x:c r="T306" s="32"/>
      <x:c r="U306" s="32"/>
      <x:c r="V306" s="24" t="str"/>
      <x:c r="W306" s="24" t="str"/>
      <x:c r="X306" s="32"/>
      <x:c r="Y306" s="33"/>
      <x:c r="Z306" s="31"/>
      <x:c r="AA306" s="24" t="str"/>
      <x:c r="AB306" s="30"/>
      <x:c r="AC306" s="30"/>
      <x:c r="AD306" s="32"/>
      <x:c r="AE306" s="32"/>
      <x:c r="AF306" s="24" t="str"/>
      <x:c r="AG306" s="24" t="str"/>
      <x:c r="AH306" s="30"/>
      <x:c r="AI306" s="24" t="str"/>
      <x:c r="AJ306" s="24" t="str"/>
      <x:c r="AK306" s="32"/>
      <x:c r="AL306" s="32"/>
      <x:c r="AM306" s="24" t="str"/>
      <x:c r="AN306" s="31" t="n">
        <x:v>146</x:v>
      </x:c>
    </x:row>
    <x:row r="307" ht="17.25" customHeight="1">
      <x:c r="A307" s="24" t="str">
        <x:v>프라임구독</x:v>
      </x:c>
      <x:c r="B307" s="24" t="str">
        <x:v>46루1950</x:v>
      </x:c>
      <x:c r="C307" s="24" t="str">
        <x:v>O</x:v>
      </x:c>
      <x:c r="D307" s="24" t="str"/>
      <x:c r="E307" s="24" t="str"/>
      <x:c r="F307" s="24" t="str"/>
      <x:c r="G307" s="24" t="str">
        <x:v>가솔린 3.0</x:v>
      </x:c>
      <x:c r="H307" s="24" t="str"/>
      <x:c r="I307" s="31"/>
      <x:c r="J307" s="31"/>
      <x:c r="K307" s="24" t="str"/>
      <x:c r="L307" s="24" t="str"/>
      <x:c r="M307" s="30"/>
      <x:c r="N307" s="31"/>
      <x:c r="O307" s="30"/>
      <x:c r="P307" s="32"/>
      <x:c r="Q307" s="32"/>
      <x:c r="R307" s="32"/>
      <x:c r="S307" s="24" t="str"/>
      <x:c r="T307" s="32"/>
      <x:c r="U307" s="32"/>
      <x:c r="V307" s="24" t="str"/>
      <x:c r="W307" s="24" t="str"/>
      <x:c r="X307" s="32"/>
      <x:c r="Y307" s="33"/>
      <x:c r="Z307" s="31"/>
      <x:c r="AA307" s="24" t="str"/>
      <x:c r="AB307" s="30"/>
      <x:c r="AC307" s="30"/>
      <x:c r="AD307" s="32"/>
      <x:c r="AE307" s="32"/>
      <x:c r="AF307" s="24" t="str"/>
      <x:c r="AG307" s="24" t="str"/>
      <x:c r="AH307" s="30" t="n">
        <x:v>45610</x:v>
      </x:c>
      <x:c r="AI307" s="24" t="str"/>
      <x:c r="AJ307" s="24" t="str">
        <x:v>O</x:v>
      </x:c>
      <x:c r="AK307" s="32"/>
      <x:c r="AL307" s="32"/>
      <x:c r="AM307" s="24" t="str"/>
      <x:c r="AN307" s="31" t="n">
        <x:v>147</x:v>
      </x:c>
    </x:row>
    <x:row r="308" ht="17.25" customHeight="1">
      <x:c r="A308" s="24" t="str">
        <x:v>프라임구독</x:v>
      </x:c>
      <x:c r="B308" s="24" t="str">
        <x:v>46어0360</x:v>
      </x:c>
      <x:c r="C308" s="24" t="str">
        <x:v>보유</x:v>
      </x:c>
      <x:c r="D308" s="24" t="str"/>
      <x:c r="E308" s="24" t="str"/>
      <x:c r="F308" s="24" t="str"/>
      <x:c r="G308" s="24" t="str">
        <x:v>가솔린 3.0</x:v>
      </x:c>
      <x:c r="H308" s="24" t="str"/>
      <x:c r="I308" s="31"/>
      <x:c r="J308" s="31"/>
      <x:c r="K308" s="24" t="str"/>
      <x:c r="L308" s="24" t="str"/>
      <x:c r="M308" s="30"/>
      <x:c r="N308" s="31"/>
      <x:c r="O308" s="30"/>
      <x:c r="P308" s="32"/>
      <x:c r="Q308" s="32"/>
      <x:c r="R308" s="32"/>
      <x:c r="S308" s="24" t="str"/>
      <x:c r="T308" s="32"/>
      <x:c r="U308" s="32"/>
      <x:c r="V308" s="24" t="str"/>
      <x:c r="W308" s="24" t="str"/>
      <x:c r="X308" s="32"/>
      <x:c r="Y308" s="33"/>
      <x:c r="Z308" s="31"/>
      <x:c r="AA308" s="24" t="str"/>
      <x:c r="AB308" s="30"/>
      <x:c r="AC308" s="30"/>
      <x:c r="AD308" s="32"/>
      <x:c r="AE308" s="32"/>
      <x:c r="AF308" s="24" t="str"/>
      <x:c r="AG308" s="24" t="str"/>
      <x:c r="AH308" s="30"/>
      <x:c r="AI308" s="24" t="str"/>
      <x:c r="AJ308" s="24" t="str"/>
      <x:c r="AK308" s="32"/>
      <x:c r="AL308" s="32"/>
      <x:c r="AM308" s="24" t="str"/>
      <x:c r="AN308" s="31" t="n">
        <x:v>148</x:v>
      </x:c>
    </x:row>
    <x:row r="309" ht="17.25" customHeight="1">
      <x:c r="A309" s="24" t="str">
        <x:v>프라임구독</x:v>
      </x:c>
      <x:c r="B309" s="24" t="str">
        <x:v>46어0360</x:v>
      </x:c>
      <x:c r="C309" s="24" t="str">
        <x:v>보유</x:v>
      </x:c>
      <x:c r="D309" s="24" t="str"/>
      <x:c r="E309" s="24" t="str"/>
      <x:c r="F309" s="24" t="str"/>
      <x:c r="G309" s="24" t="str">
        <x:v>가솔린 3.0</x:v>
      </x:c>
      <x:c r="H309" s="24" t="str"/>
      <x:c r="I309" s="31"/>
      <x:c r="J309" s="31"/>
      <x:c r="K309" s="24" t="str"/>
      <x:c r="L309" s="24" t="str"/>
      <x:c r="M309" s="30"/>
      <x:c r="N309" s="31"/>
      <x:c r="O309" s="30"/>
      <x:c r="P309" s="32"/>
      <x:c r="Q309" s="32"/>
      <x:c r="R309" s="32"/>
      <x:c r="S309" s="24" t="str"/>
      <x:c r="T309" s="32"/>
      <x:c r="U309" s="32"/>
      <x:c r="V309" s="24" t="str"/>
      <x:c r="W309" s="24" t="str"/>
      <x:c r="X309" s="32"/>
      <x:c r="Y309" s="33"/>
      <x:c r="Z309" s="31"/>
      <x:c r="AA309" s="24" t="str"/>
      <x:c r="AB309" s="30"/>
      <x:c r="AC309" s="30"/>
      <x:c r="AD309" s="32"/>
      <x:c r="AE309" s="32"/>
      <x:c r="AF309" s="24" t="str"/>
      <x:c r="AG309" s="24" t="str"/>
      <x:c r="AH309" s="30"/>
      <x:c r="AI309" s="24" t="str"/>
      <x:c r="AJ309" s="24" t="str"/>
      <x:c r="AK309" s="32"/>
      <x:c r="AL309" s="32"/>
      <x:c r="AM309" s="24" t="str"/>
      <x:c r="AN309" s="31" t="n">
        <x:v>149</x:v>
      </x:c>
    </x:row>
    <x:row r="310" ht="17.25" customHeight="1">
      <x:c r="A310" s="24" t="str">
        <x:v>프라임구독</x:v>
      </x:c>
      <x:c r="B310" s="24" t="str">
        <x:v>47너7301</x:v>
      </x:c>
      <x:c r="C310" s="24" t="str">
        <x:v>보유</x:v>
      </x:c>
      <x:c r="D310" s="24" t="str"/>
      <x:c r="E310" s="24" t="str"/>
      <x:c r="F310" s="24" t="str"/>
      <x:c r="G310" s="24" t="str">
        <x:v>가솔린 3.0</x:v>
      </x:c>
      <x:c r="H310" s="24" t="str"/>
      <x:c r="I310" s="31"/>
      <x:c r="J310" s="31"/>
      <x:c r="K310" s="24" t="str"/>
      <x:c r="L310" s="24" t="str"/>
      <x:c r="M310" s="30"/>
      <x:c r="N310" s="31"/>
      <x:c r="O310" s="30"/>
      <x:c r="P310" s="32"/>
      <x:c r="Q310" s="32"/>
      <x:c r="R310" s="32"/>
      <x:c r="S310" s="24" t="str"/>
      <x:c r="T310" s="32"/>
      <x:c r="U310" s="32"/>
      <x:c r="V310" s="24" t="str"/>
      <x:c r="W310" s="24" t="str"/>
      <x:c r="X310" s="32"/>
      <x:c r="Y310" s="33"/>
      <x:c r="Z310" s="31"/>
      <x:c r="AA310" s="24" t="str"/>
      <x:c r="AB310" s="30"/>
      <x:c r="AC310" s="30"/>
      <x:c r="AD310" s="32"/>
      <x:c r="AE310" s="32"/>
      <x:c r="AF310" s="24" t="str"/>
      <x:c r="AG310" s="24" t="str"/>
      <x:c r="AH310" s="30"/>
      <x:c r="AI310" s="24" t="str"/>
      <x:c r="AJ310" s="24" t="str"/>
      <x:c r="AK310" s="32"/>
      <x:c r="AL310" s="32"/>
      <x:c r="AM310" s="24" t="str"/>
      <x:c r="AN310" s="31" t="n">
        <x:v>150</x:v>
      </x:c>
    </x:row>
    <x:row r="311" ht="17.25" customHeight="1">
      <x:c r="A311" s="24" t="str">
        <x:v>프라임구독</x:v>
      </x:c>
      <x:c r="B311" s="24" t="str">
        <x:v>47마0220</x:v>
      </x:c>
      <x:c r="C311" s="24" t="str">
        <x:v>보유</x:v>
      </x:c>
      <x:c r="D311" s="24" t="str"/>
      <x:c r="E311" s="24" t="str"/>
      <x:c r="F311" s="24" t="str"/>
      <x:c r="G311" s="24" t="str">
        <x:v>가솔린 3.0</x:v>
      </x:c>
      <x:c r="H311" s="24" t="str"/>
      <x:c r="I311" s="31"/>
      <x:c r="J311" s="31"/>
      <x:c r="K311" s="24" t="str"/>
      <x:c r="L311" s="24" t="str"/>
      <x:c r="M311" s="30"/>
      <x:c r="N311" s="31"/>
      <x:c r="O311" s="30"/>
      <x:c r="P311" s="32"/>
      <x:c r="Q311" s="32"/>
      <x:c r="R311" s="32"/>
      <x:c r="S311" s="24" t="str"/>
      <x:c r="T311" s="32"/>
      <x:c r="U311" s="32"/>
      <x:c r="V311" s="24" t="str"/>
      <x:c r="W311" s="24" t="str"/>
      <x:c r="X311" s="32"/>
      <x:c r="Y311" s="33"/>
      <x:c r="Z311" s="31"/>
      <x:c r="AA311" s="24" t="str"/>
      <x:c r="AB311" s="30"/>
      <x:c r="AC311" s="30"/>
      <x:c r="AD311" s="32"/>
      <x:c r="AE311" s="32"/>
      <x:c r="AF311" s="24" t="str"/>
      <x:c r="AG311" s="24" t="str"/>
      <x:c r="AH311" s="30"/>
      <x:c r="AI311" s="24" t="str"/>
      <x:c r="AJ311" s="24" t="str"/>
      <x:c r="AK311" s="32"/>
      <x:c r="AL311" s="32"/>
      <x:c r="AM311" s="24" t="str"/>
      <x:c r="AN311" s="31" t="n">
        <x:v>151</x:v>
      </x:c>
    </x:row>
    <x:row r="312" ht="17.25" customHeight="1">
      <x:c r="A312" s="24" t="str">
        <x:v>프라임구독</x:v>
      </x:c>
      <x:c r="B312" s="24" t="str">
        <x:v>47어0249</x:v>
      </x:c>
      <x:c r="C312" s="24" t="str">
        <x:v>보유</x:v>
      </x:c>
      <x:c r="D312" s="24" t="str"/>
      <x:c r="E312" s="24" t="str"/>
      <x:c r="F312" s="24" t="str"/>
      <x:c r="G312" s="24" t="str">
        <x:v>가솔린 3.0</x:v>
      </x:c>
      <x:c r="H312" s="24" t="str"/>
      <x:c r="I312" s="31"/>
      <x:c r="J312" s="31"/>
      <x:c r="K312" s="24" t="str"/>
      <x:c r="L312" s="24" t="str"/>
      <x:c r="M312" s="30"/>
      <x:c r="N312" s="31"/>
      <x:c r="O312" s="30"/>
      <x:c r="P312" s="32"/>
      <x:c r="Q312" s="32"/>
      <x:c r="R312" s="32"/>
      <x:c r="S312" s="24" t="str"/>
      <x:c r="T312" s="32"/>
      <x:c r="U312" s="32"/>
      <x:c r="V312" s="24" t="str"/>
      <x:c r="W312" s="24" t="str"/>
      <x:c r="X312" s="32"/>
      <x:c r="Y312" s="33"/>
      <x:c r="Z312" s="31"/>
      <x:c r="AA312" s="24" t="str"/>
      <x:c r="AB312" s="30"/>
      <x:c r="AC312" s="30"/>
      <x:c r="AD312" s="32"/>
      <x:c r="AE312" s="32"/>
      <x:c r="AF312" s="24" t="str"/>
      <x:c r="AG312" s="24" t="str"/>
      <x:c r="AH312" s="30"/>
      <x:c r="AI312" s="24" t="str"/>
      <x:c r="AJ312" s="24" t="str"/>
      <x:c r="AK312" s="32"/>
      <x:c r="AL312" s="32"/>
      <x:c r="AM312" s="24" t="str"/>
      <x:c r="AN312" s="31" t="n">
        <x:v>152</x:v>
      </x:c>
    </x:row>
    <x:row r="313" ht="17.25" customHeight="1">
      <x:c r="A313" s="24" t="str">
        <x:v>프라임구독</x:v>
      </x:c>
      <x:c r="B313" s="24" t="str">
        <x:v>48라0691</x:v>
      </x:c>
      <x:c r="C313" s="24" t="str">
        <x:v>보유</x:v>
      </x:c>
      <x:c r="D313" s="24" t="str"/>
      <x:c r="E313" s="24" t="str"/>
      <x:c r="F313" s="24" t="str"/>
      <x:c r="G313" s="24" t="str">
        <x:v>가솔린 3.0</x:v>
      </x:c>
      <x:c r="H313" s="24" t="str"/>
      <x:c r="I313" s="31"/>
      <x:c r="J313" s="31"/>
      <x:c r="K313" s="24" t="str"/>
      <x:c r="L313" s="24" t="str"/>
      <x:c r="M313" s="30"/>
      <x:c r="N313" s="31"/>
      <x:c r="O313" s="30"/>
      <x:c r="P313" s="32"/>
      <x:c r="Q313" s="32"/>
      <x:c r="R313" s="32"/>
      <x:c r="S313" s="24" t="str"/>
      <x:c r="T313" s="32"/>
      <x:c r="U313" s="32"/>
      <x:c r="V313" s="24" t="str"/>
      <x:c r="W313" s="24" t="str"/>
      <x:c r="X313" s="32"/>
      <x:c r="Y313" s="33"/>
      <x:c r="Z313" s="31"/>
      <x:c r="AA313" s="24" t="str"/>
      <x:c r="AB313" s="30"/>
      <x:c r="AC313" s="30"/>
      <x:c r="AD313" s="32"/>
      <x:c r="AE313" s="32"/>
      <x:c r="AF313" s="24" t="str"/>
      <x:c r="AG313" s="24" t="str"/>
      <x:c r="AH313" s="30"/>
      <x:c r="AI313" s="24" t="str"/>
      <x:c r="AJ313" s="24" t="str"/>
      <x:c r="AK313" s="32"/>
      <x:c r="AL313" s="32"/>
      <x:c r="AM313" s="24" t="str"/>
      <x:c r="AN313" s="31" t="n">
        <x:v>153</x:v>
      </x:c>
    </x:row>
    <x:row r="314" ht="17.25" customHeight="1">
      <x:c r="A314" s="24" t="str">
        <x:v>프라임구독</x:v>
      </x:c>
      <x:c r="B314" s="24" t="str">
        <x:v>48저0234</x:v>
      </x:c>
      <x:c r="C314" s="24" t="str">
        <x:v>보유</x:v>
      </x:c>
      <x:c r="D314" s="24" t="str"/>
      <x:c r="E314" s="24" t="str"/>
      <x:c r="F314" s="24" t="str"/>
      <x:c r="G314" s="24" t="str">
        <x:v>가솔린 3.0</x:v>
      </x:c>
      <x:c r="H314" s="24" t="str"/>
      <x:c r="I314" s="31"/>
      <x:c r="J314" s="31"/>
      <x:c r="K314" s="24" t="str"/>
      <x:c r="L314" s="24" t="str"/>
      <x:c r="M314" s="30"/>
      <x:c r="N314" s="31"/>
      <x:c r="O314" s="30"/>
      <x:c r="P314" s="32"/>
      <x:c r="Q314" s="32"/>
      <x:c r="R314" s="32"/>
      <x:c r="S314" s="24" t="str"/>
      <x:c r="T314" s="32"/>
      <x:c r="U314" s="32"/>
      <x:c r="V314" s="24" t="str"/>
      <x:c r="W314" s="24" t="str"/>
      <x:c r="X314" s="32"/>
      <x:c r="Y314" s="33"/>
      <x:c r="Z314" s="31"/>
      <x:c r="AA314" s="24" t="str"/>
      <x:c r="AB314" s="30"/>
      <x:c r="AC314" s="30"/>
      <x:c r="AD314" s="32"/>
      <x:c r="AE314" s="32"/>
      <x:c r="AF314" s="24" t="str"/>
      <x:c r="AG314" s="24" t="str"/>
      <x:c r="AH314" s="30"/>
      <x:c r="AI314" s="24" t="str"/>
      <x:c r="AJ314" s="24" t="str"/>
      <x:c r="AK314" s="32"/>
      <x:c r="AL314" s="32"/>
      <x:c r="AM314" s="24" t="str"/>
      <x:c r="AN314" s="31" t="n">
        <x:v>154</x:v>
      </x:c>
    </x:row>
    <x:row r="315" ht="17.25" customHeight="1">
      <x:c r="A315" s="24" t="str">
        <x:v>프라임구독</x:v>
      </x:c>
      <x:c r="B315" s="24" t="str">
        <x:v>49노4773</x:v>
      </x:c>
      <x:c r="C315" s="24" t="str">
        <x:v>보유</x:v>
      </x:c>
      <x:c r="D315" s="24" t="str"/>
      <x:c r="E315" s="24" t="str"/>
      <x:c r="F315" s="24" t="str"/>
      <x:c r="G315" s="24" t="str">
        <x:v>가솔린 3.0</x:v>
      </x:c>
      <x:c r="H315" s="24" t="str"/>
      <x:c r="I315" s="31"/>
      <x:c r="J315" s="31"/>
      <x:c r="K315" s="24" t="str"/>
      <x:c r="L315" s="24" t="str"/>
      <x:c r="M315" s="30"/>
      <x:c r="N315" s="31"/>
      <x:c r="O315" s="30"/>
      <x:c r="P315" s="32"/>
      <x:c r="Q315" s="32"/>
      <x:c r="R315" s="32"/>
      <x:c r="S315" s="24" t="str"/>
      <x:c r="T315" s="32"/>
      <x:c r="U315" s="32"/>
      <x:c r="V315" s="24" t="str"/>
      <x:c r="W315" s="24" t="str"/>
      <x:c r="X315" s="32"/>
      <x:c r="Y315" s="33"/>
      <x:c r="Z315" s="31"/>
      <x:c r="AA315" s="24" t="str"/>
      <x:c r="AB315" s="30"/>
      <x:c r="AC315" s="30"/>
      <x:c r="AD315" s="32"/>
      <x:c r="AE315" s="32"/>
      <x:c r="AF315" s="24" t="str"/>
      <x:c r="AG315" s="24" t="str"/>
      <x:c r="AH315" s="30"/>
      <x:c r="AI315" s="24" t="str"/>
      <x:c r="AJ315" s="24" t="str"/>
      <x:c r="AK315" s="32"/>
      <x:c r="AL315" s="32"/>
      <x:c r="AM315" s="24" t="str"/>
      <x:c r="AN315" s="31" t="n">
        <x:v>155</x:v>
      </x:c>
    </x:row>
    <x:row r="316" ht="17.25" customHeight="1">
      <x:c r="A316" s="24" t="str">
        <x:v>프라임구독</x:v>
      </x:c>
      <x:c r="B316" s="24" t="str">
        <x:v>49누4194</x:v>
      </x:c>
      <x:c r="C316" s="24" t="str">
        <x:v>보유</x:v>
      </x:c>
      <x:c r="D316" s="24" t="str"/>
      <x:c r="E316" s="24" t="str"/>
      <x:c r="F316" s="24" t="str"/>
      <x:c r="G316" s="24" t="str">
        <x:v>가솔린 3.0</x:v>
      </x:c>
      <x:c r="H316" s="24" t="str"/>
      <x:c r="I316" s="31"/>
      <x:c r="J316" s="31"/>
      <x:c r="K316" s="24" t="str"/>
      <x:c r="L316" s="24" t="str"/>
      <x:c r="M316" s="30"/>
      <x:c r="N316" s="31"/>
      <x:c r="O316" s="30"/>
      <x:c r="P316" s="32"/>
      <x:c r="Q316" s="32"/>
      <x:c r="R316" s="32"/>
      <x:c r="S316" s="24" t="str"/>
      <x:c r="T316" s="32"/>
      <x:c r="U316" s="32"/>
      <x:c r="V316" s="24" t="str"/>
      <x:c r="W316" s="24" t="str"/>
      <x:c r="X316" s="32"/>
      <x:c r="Y316" s="33"/>
      <x:c r="Z316" s="31"/>
      <x:c r="AA316" s="24" t="str"/>
      <x:c r="AB316" s="30"/>
      <x:c r="AC316" s="30"/>
      <x:c r="AD316" s="32"/>
      <x:c r="AE316" s="32"/>
      <x:c r="AF316" s="24" t="str"/>
      <x:c r="AG316" s="24" t="str"/>
      <x:c r="AH316" s="30"/>
      <x:c r="AI316" s="24" t="str"/>
      <x:c r="AJ316" s="24" t="str"/>
      <x:c r="AK316" s="32"/>
      <x:c r="AL316" s="32"/>
      <x:c r="AM316" s="24" t="str"/>
      <x:c r="AN316" s="31" t="n">
        <x:v>156</x:v>
      </x:c>
    </x:row>
    <x:row r="317" ht="17.25" customHeight="1">
      <x:c r="A317" s="24" t="str">
        <x:v>프라임구독</x:v>
      </x:c>
      <x:c r="B317" s="24" t="str">
        <x:v>49더0163</x:v>
      </x:c>
      <x:c r="C317" s="24" t="str">
        <x:v>보유</x:v>
      </x:c>
      <x:c r="D317" s="24" t="str"/>
      <x:c r="E317" s="24" t="str"/>
      <x:c r="F317" s="24" t="str"/>
      <x:c r="G317" s="24" t="str">
        <x:v>가솔린 3.0</x:v>
      </x:c>
      <x:c r="H317" s="24" t="str"/>
      <x:c r="I317" s="31"/>
      <x:c r="J317" s="31"/>
      <x:c r="K317" s="24" t="str"/>
      <x:c r="L317" s="24" t="str"/>
      <x:c r="M317" s="30"/>
      <x:c r="N317" s="31"/>
      <x:c r="O317" s="30"/>
      <x:c r="P317" s="32"/>
      <x:c r="Q317" s="32"/>
      <x:c r="R317" s="32"/>
      <x:c r="S317" s="24" t="str"/>
      <x:c r="T317" s="32"/>
      <x:c r="U317" s="32"/>
      <x:c r="V317" s="24" t="str"/>
      <x:c r="W317" s="24" t="str"/>
      <x:c r="X317" s="32"/>
      <x:c r="Y317" s="33"/>
      <x:c r="Z317" s="31"/>
      <x:c r="AA317" s="24" t="str"/>
      <x:c r="AB317" s="30"/>
      <x:c r="AC317" s="30"/>
      <x:c r="AD317" s="32"/>
      <x:c r="AE317" s="32"/>
      <x:c r="AF317" s="24" t="str"/>
      <x:c r="AG317" s="24" t="str"/>
      <x:c r="AH317" s="30"/>
      <x:c r="AI317" s="24" t="str"/>
      <x:c r="AJ317" s="24" t="str"/>
      <x:c r="AK317" s="32"/>
      <x:c r="AL317" s="32"/>
      <x:c r="AM317" s="24" t="str"/>
      <x:c r="AN317" s="31" t="n">
        <x:v>157</x:v>
      </x:c>
    </x:row>
    <x:row r="318" ht="17.25" customHeight="1">
      <x:c r="A318" s="24" t="str">
        <x:v>프라임구독</x:v>
      </x:c>
      <x:c r="B318" s="24" t="str">
        <x:v>49두5388</x:v>
      </x:c>
      <x:c r="C318" s="24" t="str">
        <x:v>보유</x:v>
      </x:c>
      <x:c r="D318" s="24" t="str"/>
      <x:c r="E318" s="24" t="str"/>
      <x:c r="F318" s="24" t="str"/>
      <x:c r="G318" s="24" t="str">
        <x:v>가솔린 3.0</x:v>
      </x:c>
      <x:c r="H318" s="24" t="str"/>
      <x:c r="I318" s="31"/>
      <x:c r="J318" s="31"/>
      <x:c r="K318" s="24" t="str"/>
      <x:c r="L318" s="24" t="str"/>
      <x:c r="M318" s="30"/>
      <x:c r="N318" s="31"/>
      <x:c r="O318" s="30"/>
      <x:c r="P318" s="32"/>
      <x:c r="Q318" s="32"/>
      <x:c r="R318" s="32"/>
      <x:c r="S318" s="24" t="str"/>
      <x:c r="T318" s="32"/>
      <x:c r="U318" s="32"/>
      <x:c r="V318" s="24" t="str"/>
      <x:c r="W318" s="24" t="str"/>
      <x:c r="X318" s="32"/>
      <x:c r="Y318" s="33"/>
      <x:c r="Z318" s="31"/>
      <x:c r="AA318" s="24" t="str"/>
      <x:c r="AB318" s="30"/>
      <x:c r="AC318" s="30"/>
      <x:c r="AD318" s="32"/>
      <x:c r="AE318" s="32"/>
      <x:c r="AF318" s="24" t="str"/>
      <x:c r="AG318" s="24" t="str"/>
      <x:c r="AH318" s="30"/>
      <x:c r="AI318" s="24" t="str"/>
      <x:c r="AJ318" s="24" t="str"/>
      <x:c r="AK318" s="32"/>
      <x:c r="AL318" s="32"/>
      <x:c r="AM318" s="24" t="str"/>
      <x:c r="AN318" s="31" t="n">
        <x:v>158</x:v>
      </x:c>
    </x:row>
    <x:row r="319" ht="17.25" customHeight="1">
      <x:c r="A319" s="24" t="str">
        <x:v>프라임구독</x:v>
      </x:c>
      <x:c r="B319" s="24" t="str">
        <x:v>49부7248</x:v>
      </x:c>
      <x:c r="C319" s="24" t="str">
        <x:v>보유</x:v>
      </x:c>
      <x:c r="D319" s="24" t="str"/>
      <x:c r="E319" s="24" t="str"/>
      <x:c r="F319" s="24" t="str"/>
      <x:c r="G319" s="24" t="str">
        <x:v>가솔린 3.0</x:v>
      </x:c>
      <x:c r="H319" s="24" t="str"/>
      <x:c r="I319" s="31"/>
      <x:c r="J319" s="31"/>
      <x:c r="K319" s="24" t="str"/>
      <x:c r="L319" s="24" t="str"/>
      <x:c r="M319" s="30"/>
      <x:c r="N319" s="31"/>
      <x:c r="O319" s="30"/>
      <x:c r="P319" s="32"/>
      <x:c r="Q319" s="32"/>
      <x:c r="R319" s="32"/>
      <x:c r="S319" s="24" t="str"/>
      <x:c r="T319" s="32"/>
      <x:c r="U319" s="32"/>
      <x:c r="V319" s="24" t="str"/>
      <x:c r="W319" s="24" t="str"/>
      <x:c r="X319" s="32"/>
      <x:c r="Y319" s="33"/>
      <x:c r="Z319" s="31"/>
      <x:c r="AA319" s="24" t="str"/>
      <x:c r="AB319" s="30"/>
      <x:c r="AC319" s="30"/>
      <x:c r="AD319" s="32"/>
      <x:c r="AE319" s="32"/>
      <x:c r="AF319" s="24" t="str"/>
      <x:c r="AG319" s="24" t="str"/>
      <x:c r="AH319" s="30"/>
      <x:c r="AI319" s="24" t="str"/>
      <x:c r="AJ319" s="24" t="str"/>
      <x:c r="AK319" s="32"/>
      <x:c r="AL319" s="32"/>
      <x:c r="AM319" s="24" t="str"/>
      <x:c r="AN319" s="31" t="n">
        <x:v>159</x:v>
      </x:c>
    </x:row>
    <x:row r="320" ht="17.25" customHeight="1">
      <x:c r="A320" s="24" t="str">
        <x:v>프라임구독</x:v>
      </x:c>
      <x:c r="B320" s="24" t="str">
        <x:v>49수2445</x:v>
      </x:c>
      <x:c r="C320" s="24" t="str">
        <x:v>보유</x:v>
      </x:c>
      <x:c r="D320" s="24" t="str"/>
      <x:c r="E320" s="24" t="str"/>
      <x:c r="F320" s="24" t="str"/>
      <x:c r="G320" s="24" t="str">
        <x:v>가솔린 3.0</x:v>
      </x:c>
      <x:c r="H320" s="24" t="str"/>
      <x:c r="I320" s="31"/>
      <x:c r="J320" s="31"/>
      <x:c r="K320" s="24" t="str"/>
      <x:c r="L320" s="24" t="str"/>
      <x:c r="M320" s="30"/>
      <x:c r="N320" s="31"/>
      <x:c r="O320" s="30"/>
      <x:c r="P320" s="32"/>
      <x:c r="Q320" s="32"/>
      <x:c r="R320" s="32"/>
      <x:c r="S320" s="24" t="str"/>
      <x:c r="T320" s="32"/>
      <x:c r="U320" s="32"/>
      <x:c r="V320" s="24" t="str"/>
      <x:c r="W320" s="24" t="str"/>
      <x:c r="X320" s="32"/>
      <x:c r="Y320" s="33"/>
      <x:c r="Z320" s="31"/>
      <x:c r="AA320" s="24" t="str"/>
      <x:c r="AB320" s="30"/>
      <x:c r="AC320" s="30"/>
      <x:c r="AD320" s="32"/>
      <x:c r="AE320" s="32"/>
      <x:c r="AF320" s="24" t="str"/>
      <x:c r="AG320" s="24" t="str"/>
      <x:c r="AH320" s="30"/>
      <x:c r="AI320" s="24" t="str"/>
      <x:c r="AJ320" s="24" t="str"/>
      <x:c r="AK320" s="32"/>
      <x:c r="AL320" s="32"/>
      <x:c r="AM320" s="24" t="str"/>
      <x:c r="AN320" s="31" t="n">
        <x:v>160</x:v>
      </x:c>
    </x:row>
    <x:row r="321" ht="17.25" customHeight="1">
      <x:c r="A321" s="24" t="str">
        <x:v>프라임구독</x:v>
      </x:c>
      <x:c r="B321" s="24" t="str">
        <x:v>49어2497</x:v>
      </x:c>
      <x:c r="C321" s="24" t="str">
        <x:v>보유</x:v>
      </x:c>
      <x:c r="D321" s="24" t="str"/>
      <x:c r="E321" s="24" t="str"/>
      <x:c r="F321" s="24" t="str"/>
      <x:c r="G321" s="24" t="str">
        <x:v>가솔린 3.0</x:v>
      </x:c>
      <x:c r="H321" s="24" t="str"/>
      <x:c r="I321" s="31"/>
      <x:c r="J321" s="31"/>
      <x:c r="K321" s="24" t="str"/>
      <x:c r="L321" s="24" t="str"/>
      <x:c r="M321" s="30"/>
      <x:c r="N321" s="31"/>
      <x:c r="O321" s="30"/>
      <x:c r="P321" s="32"/>
      <x:c r="Q321" s="32"/>
      <x:c r="R321" s="32"/>
      <x:c r="S321" s="24" t="str"/>
      <x:c r="T321" s="32"/>
      <x:c r="U321" s="32"/>
      <x:c r="V321" s="24" t="str"/>
      <x:c r="W321" s="24" t="str"/>
      <x:c r="X321" s="32"/>
      <x:c r="Y321" s="33"/>
      <x:c r="Z321" s="31"/>
      <x:c r="AA321" s="24" t="str"/>
      <x:c r="AB321" s="30"/>
      <x:c r="AC321" s="30"/>
      <x:c r="AD321" s="32"/>
      <x:c r="AE321" s="32"/>
      <x:c r="AF321" s="24" t="str"/>
      <x:c r="AG321" s="24" t="str"/>
      <x:c r="AH321" s="30"/>
      <x:c r="AI321" s="24" t="str"/>
      <x:c r="AJ321" s="24" t="str"/>
      <x:c r="AK321" s="32"/>
      <x:c r="AL321" s="32"/>
      <x:c r="AM321" s="24" t="str"/>
      <x:c r="AN321" s="31" t="n">
        <x:v>161</x:v>
      </x:c>
    </x:row>
    <x:row r="322" ht="17.25" customHeight="1">
      <x:c r="A322" s="24" t="str">
        <x:v>프라임구독</x:v>
      </x:c>
      <x:c r="B322" s="24" t="str">
        <x:v>50다0352</x:v>
      </x:c>
      <x:c r="C322" s="24" t="str">
        <x:v>O</x:v>
      </x:c>
      <x:c r="D322" s="24" t="str"/>
      <x:c r="E322" s="24" t="str"/>
      <x:c r="F322" s="24" t="str"/>
      <x:c r="G322" s="24" t="str">
        <x:v>가솔린 3.0</x:v>
      </x:c>
      <x:c r="H322" s="24" t="str"/>
      <x:c r="I322" s="31"/>
      <x:c r="J322" s="31"/>
      <x:c r="K322" s="24" t="str"/>
      <x:c r="L322" s="24" t="str"/>
      <x:c r="M322" s="30"/>
      <x:c r="N322" s="31"/>
      <x:c r="O322" s="30"/>
      <x:c r="P322" s="32"/>
      <x:c r="Q322" s="32"/>
      <x:c r="R322" s="32"/>
      <x:c r="S322" s="24" t="str"/>
      <x:c r="T322" s="32"/>
      <x:c r="U322" s="32"/>
      <x:c r="V322" s="24" t="str"/>
      <x:c r="W322" s="24" t="str"/>
      <x:c r="X322" s="32"/>
      <x:c r="Y322" s="33"/>
      <x:c r="Z322" s="31"/>
      <x:c r="AA322" s="24" t="str"/>
      <x:c r="AB322" s="30"/>
      <x:c r="AC322" s="30"/>
      <x:c r="AD322" s="32"/>
      <x:c r="AE322" s="32"/>
      <x:c r="AF322" s="24" t="str"/>
      <x:c r="AG322" s="24" t="str"/>
      <x:c r="AH322" s="30" t="n">
        <x:v>45575</x:v>
      </x:c>
      <x:c r="AI322" s="24" t="str"/>
      <x:c r="AJ322" s="24" t="str">
        <x:v>O</x:v>
      </x:c>
      <x:c r="AK322" s="32"/>
      <x:c r="AL322" s="32"/>
      <x:c r="AM322" s="24" t="str"/>
      <x:c r="AN322" s="31" t="n">
        <x:v>162</x:v>
      </x:c>
    </x:row>
    <x:row r="323" ht="17.25" customHeight="1">
      <x:c r="A323" s="24" t="str">
        <x:v>프라임구독</x:v>
      </x:c>
      <x:c r="B323" s="24" t="str">
        <x:v>50마3675</x:v>
      </x:c>
      <x:c r="C323" s="24" t="str">
        <x:v>보유</x:v>
      </x:c>
      <x:c r="D323" s="24" t="str"/>
      <x:c r="E323" s="24" t="str"/>
      <x:c r="F323" s="24" t="str"/>
      <x:c r="G323" s="24" t="str">
        <x:v>가솔린 3.0</x:v>
      </x:c>
      <x:c r="H323" s="24" t="str"/>
      <x:c r="I323" s="31"/>
      <x:c r="J323" s="31"/>
      <x:c r="K323" s="24" t="str"/>
      <x:c r="L323" s="24" t="str"/>
      <x:c r="M323" s="30"/>
      <x:c r="N323" s="31"/>
      <x:c r="O323" s="30"/>
      <x:c r="P323" s="32"/>
      <x:c r="Q323" s="32"/>
      <x:c r="R323" s="32"/>
      <x:c r="S323" s="24" t="str"/>
      <x:c r="T323" s="32"/>
      <x:c r="U323" s="32"/>
      <x:c r="V323" s="24" t="str"/>
      <x:c r="W323" s="24" t="str"/>
      <x:c r="X323" s="32"/>
      <x:c r="Y323" s="33"/>
      <x:c r="Z323" s="31"/>
      <x:c r="AA323" s="24" t="str"/>
      <x:c r="AB323" s="30"/>
      <x:c r="AC323" s="30"/>
      <x:c r="AD323" s="32"/>
      <x:c r="AE323" s="32"/>
      <x:c r="AF323" s="24" t="str"/>
      <x:c r="AG323" s="24" t="str"/>
      <x:c r="AH323" s="30"/>
      <x:c r="AI323" s="24" t="str"/>
      <x:c r="AJ323" s="24" t="str"/>
      <x:c r="AK323" s="32"/>
      <x:c r="AL323" s="32"/>
      <x:c r="AM323" s="24" t="str"/>
      <x:c r="AN323" s="31" t="n">
        <x:v>163</x:v>
      </x:c>
    </x:row>
    <x:row r="324" ht="17.25" customHeight="1">
      <x:c r="A324" s="24" t="str">
        <x:v>프라임구독</x:v>
      </x:c>
      <x:c r="B324" s="24" t="str">
        <x:v>51누9585</x:v>
      </x:c>
      <x:c r="C324" s="24" t="str">
        <x:v>보유</x:v>
      </x:c>
      <x:c r="D324" s="24" t="str"/>
      <x:c r="E324" s="24" t="str"/>
      <x:c r="F324" s="24" t="str"/>
      <x:c r="G324" s="24" t="str">
        <x:v>가솔린 3.0</x:v>
      </x:c>
      <x:c r="H324" s="24" t="str"/>
      <x:c r="I324" s="31"/>
      <x:c r="J324" s="31"/>
      <x:c r="K324" s="24" t="str"/>
      <x:c r="L324" s="24" t="str"/>
      <x:c r="M324" s="30"/>
      <x:c r="N324" s="31"/>
      <x:c r="O324" s="30"/>
      <x:c r="P324" s="32"/>
      <x:c r="Q324" s="32"/>
      <x:c r="R324" s="32"/>
      <x:c r="S324" s="24" t="str"/>
      <x:c r="T324" s="32"/>
      <x:c r="U324" s="32"/>
      <x:c r="V324" s="24" t="str"/>
      <x:c r="W324" s="24" t="str"/>
      <x:c r="X324" s="32"/>
      <x:c r="Y324" s="33"/>
      <x:c r="Z324" s="31"/>
      <x:c r="AA324" s="24" t="str"/>
      <x:c r="AB324" s="30"/>
      <x:c r="AC324" s="30"/>
      <x:c r="AD324" s="32"/>
      <x:c r="AE324" s="32"/>
      <x:c r="AF324" s="24" t="str"/>
      <x:c r="AG324" s="24" t="str"/>
      <x:c r="AH324" s="30"/>
      <x:c r="AI324" s="24" t="str"/>
      <x:c r="AJ324" s="24" t="str"/>
      <x:c r="AK324" s="32"/>
      <x:c r="AL324" s="32"/>
      <x:c r="AM324" s="24" t="str"/>
      <x:c r="AN324" s="31" t="n">
        <x:v>164</x:v>
      </x:c>
    </x:row>
    <x:row r="325" ht="17.25" customHeight="1">
      <x:c r="A325" s="24" t="str">
        <x:v>프라임구독</x:v>
      </x:c>
      <x:c r="B325" s="24" t="str">
        <x:v>51주4315</x:v>
      </x:c>
      <x:c r="C325" s="24" t="str">
        <x:v>보유</x:v>
      </x:c>
      <x:c r="D325" s="24" t="str"/>
      <x:c r="E325" s="24" t="str"/>
      <x:c r="F325" s="24" t="str"/>
      <x:c r="G325" s="24" t="str">
        <x:v>가솔린 3.0</x:v>
      </x:c>
      <x:c r="H325" s="24" t="str"/>
      <x:c r="I325" s="31"/>
      <x:c r="J325" s="31"/>
      <x:c r="K325" s="24" t="str"/>
      <x:c r="L325" s="24" t="str"/>
      <x:c r="M325" s="30"/>
      <x:c r="N325" s="31"/>
      <x:c r="O325" s="30"/>
      <x:c r="P325" s="32"/>
      <x:c r="Q325" s="32"/>
      <x:c r="R325" s="32"/>
      <x:c r="S325" s="24" t="str"/>
      <x:c r="T325" s="32"/>
      <x:c r="U325" s="32"/>
      <x:c r="V325" s="24" t="str"/>
      <x:c r="W325" s="24" t="str"/>
      <x:c r="X325" s="32"/>
      <x:c r="Y325" s="33"/>
      <x:c r="Z325" s="31"/>
      <x:c r="AA325" s="24" t="str"/>
      <x:c r="AB325" s="30"/>
      <x:c r="AC325" s="30"/>
      <x:c r="AD325" s="32"/>
      <x:c r="AE325" s="32"/>
      <x:c r="AF325" s="24" t="str"/>
      <x:c r="AG325" s="24" t="str"/>
      <x:c r="AH325" s="30"/>
      <x:c r="AI325" s="24" t="str"/>
      <x:c r="AJ325" s="24" t="str"/>
      <x:c r="AK325" s="32"/>
      <x:c r="AL325" s="32"/>
      <x:c r="AM325" s="24" t="str"/>
      <x:c r="AN325" s="31" t="n">
        <x:v>165</x:v>
      </x:c>
    </x:row>
    <x:row r="326" ht="17.25" customHeight="1">
      <x:c r="A326" s="24" t="str">
        <x:v>프라임구독</x:v>
      </x:c>
      <x:c r="B326" s="24" t="str">
        <x:v>52우0228</x:v>
      </x:c>
      <x:c r="C326" s="24" t="str">
        <x:v>보유</x:v>
      </x:c>
      <x:c r="D326" s="24" t="str"/>
      <x:c r="E326" s="24" t="str"/>
      <x:c r="F326" s="24" t="str"/>
      <x:c r="G326" s="24" t="str">
        <x:v>가솔린 3.0</x:v>
      </x:c>
      <x:c r="H326" s="24" t="str"/>
      <x:c r="I326" s="31"/>
      <x:c r="J326" s="31"/>
      <x:c r="K326" s="24" t="str"/>
      <x:c r="L326" s="24" t="str"/>
      <x:c r="M326" s="30"/>
      <x:c r="N326" s="31"/>
      <x:c r="O326" s="30"/>
      <x:c r="P326" s="32"/>
      <x:c r="Q326" s="32"/>
      <x:c r="R326" s="32"/>
      <x:c r="S326" s="24" t="str"/>
      <x:c r="T326" s="32"/>
      <x:c r="U326" s="32"/>
      <x:c r="V326" s="24" t="str"/>
      <x:c r="W326" s="24" t="str"/>
      <x:c r="X326" s="32"/>
      <x:c r="Y326" s="33"/>
      <x:c r="Z326" s="31"/>
      <x:c r="AA326" s="24" t="str"/>
      <x:c r="AB326" s="30"/>
      <x:c r="AC326" s="30"/>
      <x:c r="AD326" s="32"/>
      <x:c r="AE326" s="32"/>
      <x:c r="AF326" s="24" t="str"/>
      <x:c r="AG326" s="24" t="str"/>
      <x:c r="AH326" s="30"/>
      <x:c r="AI326" s="24" t="str"/>
      <x:c r="AJ326" s="24" t="str"/>
      <x:c r="AK326" s="32"/>
      <x:c r="AL326" s="32"/>
      <x:c r="AM326" s="24" t="str"/>
      <x:c r="AN326" s="31" t="n">
        <x:v>166</x:v>
      </x:c>
    </x:row>
    <x:row r="327" ht="17.25" customHeight="1">
      <x:c r="A327" s="24" t="str">
        <x:v>프라임구독</x:v>
      </x:c>
      <x:c r="B327" s="24" t="str">
        <x:v>53더9725</x:v>
      </x:c>
      <x:c r="C327" s="24" t="str">
        <x:v>O</x:v>
      </x:c>
      <x:c r="D327" s="24" t="str"/>
      <x:c r="E327" s="24" t="str"/>
      <x:c r="F327" s="24" t="str"/>
      <x:c r="G327" s="24" t="str">
        <x:v>가솔린 3.0</x:v>
      </x:c>
      <x:c r="H327" s="24" t="str"/>
      <x:c r="I327" s="31"/>
      <x:c r="J327" s="31"/>
      <x:c r="K327" s="24" t="str"/>
      <x:c r="L327" s="24" t="str"/>
      <x:c r="M327" s="30"/>
      <x:c r="N327" s="31"/>
      <x:c r="O327" s="30"/>
      <x:c r="P327" s="32"/>
      <x:c r="Q327" s="32"/>
      <x:c r="R327" s="32"/>
      <x:c r="S327" s="24" t="str"/>
      <x:c r="T327" s="32"/>
      <x:c r="U327" s="32"/>
      <x:c r="V327" s="24" t="str"/>
      <x:c r="W327" s="24" t="str"/>
      <x:c r="X327" s="32"/>
      <x:c r="Y327" s="33"/>
      <x:c r="Z327" s="31"/>
      <x:c r="AA327" s="24" t="str"/>
      <x:c r="AB327" s="30"/>
      <x:c r="AC327" s="30"/>
      <x:c r="AD327" s="32"/>
      <x:c r="AE327" s="32"/>
      <x:c r="AF327" s="24" t="str"/>
      <x:c r="AG327" s="24" t="str"/>
      <x:c r="AH327" s="30" t="n">
        <x:v>45572</x:v>
      </x:c>
      <x:c r="AI327" s="24" t="str"/>
      <x:c r="AJ327" s="24" t="str">
        <x:v>O</x:v>
      </x:c>
      <x:c r="AK327" s="32"/>
      <x:c r="AL327" s="32"/>
      <x:c r="AM327" s="24" t="str"/>
      <x:c r="AN327" s="31" t="n">
        <x:v>167</x:v>
      </x:c>
    </x:row>
    <x:row r="328" ht="17.25" customHeight="1">
      <x:c r="A328" s="24" t="str">
        <x:v>프라임구독</x:v>
      </x:c>
      <x:c r="B328" s="24" t="str">
        <x:v>53보5644</x:v>
      </x:c>
      <x:c r="C328" s="24" t="str">
        <x:v>O</x:v>
      </x:c>
      <x:c r="D328" s="24" t="str"/>
      <x:c r="E328" s="24" t="str"/>
      <x:c r="F328" s="24" t="str"/>
      <x:c r="G328" s="24" t="str">
        <x:v>가솔린 3.0</x:v>
      </x:c>
      <x:c r="H328" s="24" t="str"/>
      <x:c r="I328" s="31"/>
      <x:c r="J328" s="31"/>
      <x:c r="K328" s="24" t="str"/>
      <x:c r="L328" s="24" t="str"/>
      <x:c r="M328" s="30"/>
      <x:c r="N328" s="31"/>
      <x:c r="O328" s="30"/>
      <x:c r="P328" s="32"/>
      <x:c r="Q328" s="32"/>
      <x:c r="R328" s="32"/>
      <x:c r="S328" s="24" t="str"/>
      <x:c r="T328" s="32"/>
      <x:c r="U328" s="32"/>
      <x:c r="V328" s="24" t="str"/>
      <x:c r="W328" s="24" t="str"/>
      <x:c r="X328" s="32"/>
      <x:c r="Y328" s="33"/>
      <x:c r="Z328" s="31"/>
      <x:c r="AA328" s="24" t="str"/>
      <x:c r="AB328" s="30"/>
      <x:c r="AC328" s="30"/>
      <x:c r="AD328" s="32"/>
      <x:c r="AE328" s="32"/>
      <x:c r="AF328" s="24" t="str"/>
      <x:c r="AG328" s="24" t="str"/>
      <x:c r="AH328" s="30" t="n">
        <x:v>45603</x:v>
      </x:c>
      <x:c r="AI328" s="24" t="str"/>
      <x:c r="AJ328" s="24" t="str">
        <x:v>O</x:v>
      </x:c>
      <x:c r="AK328" s="32"/>
      <x:c r="AL328" s="32"/>
      <x:c r="AM328" s="24" t="str"/>
      <x:c r="AN328" s="31" t="n">
        <x:v>168</x:v>
      </x:c>
    </x:row>
    <x:row r="329" ht="17.25" customHeight="1">
      <x:c r="A329" s="24" t="str">
        <x:v>프라임구독</x:v>
      </x:c>
      <x:c r="B329" s="24" t="str">
        <x:v>54라8654</x:v>
      </x:c>
      <x:c r="C329" s="24" t="str">
        <x:v>보유</x:v>
      </x:c>
      <x:c r="D329" s="24" t="str"/>
      <x:c r="E329" s="24" t="str"/>
      <x:c r="F329" s="24" t="str"/>
      <x:c r="G329" s="24" t="str">
        <x:v>가솔린 3.0</x:v>
      </x:c>
      <x:c r="H329" s="24" t="str"/>
      <x:c r="I329" s="31"/>
      <x:c r="J329" s="31"/>
      <x:c r="K329" s="24" t="str"/>
      <x:c r="L329" s="24" t="str"/>
      <x:c r="M329" s="30"/>
      <x:c r="N329" s="31"/>
      <x:c r="O329" s="30"/>
      <x:c r="P329" s="32"/>
      <x:c r="Q329" s="32"/>
      <x:c r="R329" s="32"/>
      <x:c r="S329" s="24" t="str"/>
      <x:c r="T329" s="32"/>
      <x:c r="U329" s="32"/>
      <x:c r="V329" s="24" t="str"/>
      <x:c r="W329" s="24" t="str"/>
      <x:c r="X329" s="32"/>
      <x:c r="Y329" s="33"/>
      <x:c r="Z329" s="31"/>
      <x:c r="AA329" s="24" t="str"/>
      <x:c r="AB329" s="30"/>
      <x:c r="AC329" s="30"/>
      <x:c r="AD329" s="32"/>
      <x:c r="AE329" s="32"/>
      <x:c r="AF329" s="24" t="str"/>
      <x:c r="AG329" s="24" t="str"/>
      <x:c r="AH329" s="30"/>
      <x:c r="AI329" s="24" t="str"/>
      <x:c r="AJ329" s="24" t="str"/>
      <x:c r="AK329" s="32"/>
      <x:c r="AL329" s="32"/>
      <x:c r="AM329" s="24" t="str"/>
      <x:c r="AN329" s="31" t="n">
        <x:v>169</x:v>
      </x:c>
    </x:row>
    <x:row r="330" ht="17.25" customHeight="1">
      <x:c r="A330" s="24" t="str">
        <x:v>프라임구독</x:v>
      </x:c>
      <x:c r="B330" s="24" t="str">
        <x:v>55두2701</x:v>
      </x:c>
      <x:c r="C330" s="24" t="str">
        <x:v>보유</x:v>
      </x:c>
      <x:c r="D330" s="24" t="str"/>
      <x:c r="E330" s="24" t="str"/>
      <x:c r="F330" s="24" t="str"/>
      <x:c r="G330" s="24" t="str">
        <x:v>가솔린 3.0</x:v>
      </x:c>
      <x:c r="H330" s="24" t="str"/>
      <x:c r="I330" s="31"/>
      <x:c r="J330" s="31"/>
      <x:c r="K330" s="24" t="str"/>
      <x:c r="L330" s="24" t="str"/>
      <x:c r="M330" s="30"/>
      <x:c r="N330" s="31"/>
      <x:c r="O330" s="30"/>
      <x:c r="P330" s="32"/>
      <x:c r="Q330" s="32"/>
      <x:c r="R330" s="32"/>
      <x:c r="S330" s="24" t="str"/>
      <x:c r="T330" s="32"/>
      <x:c r="U330" s="32"/>
      <x:c r="V330" s="24" t="str"/>
      <x:c r="W330" s="24" t="str"/>
      <x:c r="X330" s="32"/>
      <x:c r="Y330" s="33"/>
      <x:c r="Z330" s="31"/>
      <x:c r="AA330" s="24" t="str"/>
      <x:c r="AB330" s="30"/>
      <x:c r="AC330" s="30"/>
      <x:c r="AD330" s="32"/>
      <x:c r="AE330" s="32"/>
      <x:c r="AF330" s="24" t="str"/>
      <x:c r="AG330" s="24" t="str"/>
      <x:c r="AH330" s="30"/>
      <x:c r="AI330" s="24" t="str"/>
      <x:c r="AJ330" s="24" t="str"/>
      <x:c r="AK330" s="32"/>
      <x:c r="AL330" s="32"/>
      <x:c r="AM330" s="24" t="str"/>
      <x:c r="AN330" s="31" t="n">
        <x:v>170</x:v>
      </x:c>
    </x:row>
    <x:row r="331" ht="17.25" customHeight="1">
      <x:c r="A331" s="24" t="str">
        <x:v>프라임구독</x:v>
      </x:c>
      <x:c r="B331" s="24" t="str">
        <x:v>55소3876</x:v>
      </x:c>
      <x:c r="C331" s="24" t="str">
        <x:v>O</x:v>
      </x:c>
      <x:c r="D331" s="24" t="str"/>
      <x:c r="E331" s="24" t="str"/>
      <x:c r="F331" s="24" t="str"/>
      <x:c r="G331" s="24" t="str">
        <x:v>가솔린 3.0</x:v>
      </x:c>
      <x:c r="H331" s="24" t="str"/>
      <x:c r="I331" s="31"/>
      <x:c r="J331" s="31"/>
      <x:c r="K331" s="24" t="str"/>
      <x:c r="L331" s="24" t="str"/>
      <x:c r="M331" s="30"/>
      <x:c r="N331" s="31"/>
      <x:c r="O331" s="30"/>
      <x:c r="P331" s="32"/>
      <x:c r="Q331" s="32"/>
      <x:c r="R331" s="32"/>
      <x:c r="S331" s="24" t="str"/>
      <x:c r="T331" s="32"/>
      <x:c r="U331" s="32"/>
      <x:c r="V331" s="24" t="str"/>
      <x:c r="W331" s="24" t="str"/>
      <x:c r="X331" s="32"/>
      <x:c r="Y331" s="33"/>
      <x:c r="Z331" s="31"/>
      <x:c r="AA331" s="24" t="str"/>
      <x:c r="AB331" s="30"/>
      <x:c r="AC331" s="30"/>
      <x:c r="AD331" s="32"/>
      <x:c r="AE331" s="32"/>
      <x:c r="AF331" s="24" t="str"/>
      <x:c r="AG331" s="24" t="str"/>
      <x:c r="AH331" s="30" t="n">
        <x:v>45523</x:v>
      </x:c>
      <x:c r="AI331" s="24" t="str"/>
      <x:c r="AJ331" s="24" t="str">
        <x:v>O</x:v>
      </x:c>
      <x:c r="AK331" s="32"/>
      <x:c r="AL331" s="32"/>
      <x:c r="AM331" s="24" t="str"/>
      <x:c r="AN331" s="31" t="n">
        <x:v>171</x:v>
      </x:c>
    </x:row>
    <x:row r="332" ht="17.25" customHeight="1">
      <x:c r="A332" s="24" t="str">
        <x:v>프라임구독</x:v>
      </x:c>
      <x:c r="B332" s="24" t="str">
        <x:v>56마2851</x:v>
      </x:c>
      <x:c r="C332" s="24" t="str">
        <x:v>보유</x:v>
      </x:c>
      <x:c r="D332" s="24" t="str"/>
      <x:c r="E332" s="24" t="str"/>
      <x:c r="F332" s="24" t="str"/>
      <x:c r="G332" s="24" t="str">
        <x:v>가솔린 3.0</x:v>
      </x:c>
      <x:c r="H332" s="24" t="str"/>
      <x:c r="I332" s="31"/>
      <x:c r="J332" s="31"/>
      <x:c r="K332" s="24" t="str"/>
      <x:c r="L332" s="24" t="str"/>
      <x:c r="M332" s="30"/>
      <x:c r="N332" s="31"/>
      <x:c r="O332" s="30"/>
      <x:c r="P332" s="32"/>
      <x:c r="Q332" s="32"/>
      <x:c r="R332" s="32"/>
      <x:c r="S332" s="24" t="str"/>
      <x:c r="T332" s="32"/>
      <x:c r="U332" s="32"/>
      <x:c r="V332" s="24" t="str"/>
      <x:c r="W332" s="24" t="str"/>
      <x:c r="X332" s="32"/>
      <x:c r="Y332" s="33"/>
      <x:c r="Z332" s="31"/>
      <x:c r="AA332" s="24" t="str"/>
      <x:c r="AB332" s="30"/>
      <x:c r="AC332" s="30"/>
      <x:c r="AD332" s="32"/>
      <x:c r="AE332" s="32"/>
      <x:c r="AF332" s="24" t="str"/>
      <x:c r="AG332" s="24" t="str"/>
      <x:c r="AH332" s="30"/>
      <x:c r="AI332" s="24" t="str"/>
      <x:c r="AJ332" s="24" t="str"/>
      <x:c r="AK332" s="32"/>
      <x:c r="AL332" s="32"/>
      <x:c r="AM332" s="24" t="str"/>
      <x:c r="AN332" s="31" t="n">
        <x:v>172</x:v>
      </x:c>
    </x:row>
    <x:row r="333" ht="17.25" customHeight="1">
      <x:c r="A333" s="24" t="str">
        <x:v>프라임구독</x:v>
      </x:c>
      <x:c r="B333" s="24" t="str">
        <x:v>56보8997</x:v>
      </x:c>
      <x:c r="C333" s="24" t="str">
        <x:v>보유</x:v>
      </x:c>
      <x:c r="D333" s="24" t="str"/>
      <x:c r="E333" s="24" t="str"/>
      <x:c r="F333" s="24" t="str"/>
      <x:c r="G333" s="24" t="str">
        <x:v>가솔린 3.0</x:v>
      </x:c>
      <x:c r="H333" s="24" t="str"/>
      <x:c r="I333" s="31"/>
      <x:c r="J333" s="31"/>
      <x:c r="K333" s="24" t="str"/>
      <x:c r="L333" s="24" t="str"/>
      <x:c r="M333" s="30"/>
      <x:c r="N333" s="31"/>
      <x:c r="O333" s="30"/>
      <x:c r="P333" s="32"/>
      <x:c r="Q333" s="32"/>
      <x:c r="R333" s="32"/>
      <x:c r="S333" s="24" t="str"/>
      <x:c r="T333" s="32"/>
      <x:c r="U333" s="32"/>
      <x:c r="V333" s="24" t="str"/>
      <x:c r="W333" s="24" t="str"/>
      <x:c r="X333" s="32"/>
      <x:c r="Y333" s="33"/>
      <x:c r="Z333" s="31"/>
      <x:c r="AA333" s="24" t="str"/>
      <x:c r="AB333" s="30"/>
      <x:c r="AC333" s="30"/>
      <x:c r="AD333" s="32"/>
      <x:c r="AE333" s="32"/>
      <x:c r="AF333" s="24" t="str"/>
      <x:c r="AG333" s="24" t="str"/>
      <x:c r="AH333" s="30"/>
      <x:c r="AI333" s="24" t="str"/>
      <x:c r="AJ333" s="24" t="str"/>
      <x:c r="AK333" s="32"/>
      <x:c r="AL333" s="32"/>
      <x:c r="AM333" s="24" t="str"/>
      <x:c r="AN333" s="31" t="n">
        <x:v>173</x:v>
      </x:c>
    </x:row>
    <x:row r="334" ht="17.25" customHeight="1">
      <x:c r="A334" s="24" t="str">
        <x:v>프라임구독</x:v>
      </x:c>
      <x:c r="B334" s="24" t="str">
        <x:v>57두7690</x:v>
      </x:c>
      <x:c r="C334" s="24" t="str">
        <x:v>보유</x:v>
      </x:c>
      <x:c r="D334" s="24" t="str"/>
      <x:c r="E334" s="24" t="str"/>
      <x:c r="F334" s="24" t="str"/>
      <x:c r="G334" s="24" t="str">
        <x:v>가솔린 3.0</x:v>
      </x:c>
      <x:c r="H334" s="24" t="str"/>
      <x:c r="I334" s="31"/>
      <x:c r="J334" s="31"/>
      <x:c r="K334" s="24" t="str"/>
      <x:c r="L334" s="24" t="str"/>
      <x:c r="M334" s="30"/>
      <x:c r="N334" s="31"/>
      <x:c r="O334" s="30"/>
      <x:c r="P334" s="32"/>
      <x:c r="Q334" s="32"/>
      <x:c r="R334" s="32"/>
      <x:c r="S334" s="24" t="str"/>
      <x:c r="T334" s="32"/>
      <x:c r="U334" s="32"/>
      <x:c r="V334" s="24" t="str"/>
      <x:c r="W334" s="24" t="str"/>
      <x:c r="X334" s="32"/>
      <x:c r="Y334" s="33"/>
      <x:c r="Z334" s="31"/>
      <x:c r="AA334" s="24" t="str"/>
      <x:c r="AB334" s="30"/>
      <x:c r="AC334" s="30"/>
      <x:c r="AD334" s="32"/>
      <x:c r="AE334" s="32"/>
      <x:c r="AF334" s="24" t="str"/>
      <x:c r="AG334" s="24" t="str"/>
      <x:c r="AH334" s="30"/>
      <x:c r="AI334" s="24" t="str"/>
      <x:c r="AJ334" s="24" t="str"/>
      <x:c r="AK334" s="32"/>
      <x:c r="AL334" s="32"/>
      <x:c r="AM334" s="24" t="str"/>
      <x:c r="AN334" s="31" t="n">
        <x:v>174</x:v>
      </x:c>
    </x:row>
    <x:row r="335" ht="17.25" customHeight="1">
      <x:c r="A335" s="24" t="str">
        <x:v>프라임구독</x:v>
      </x:c>
      <x:c r="B335" s="24" t="str">
        <x:v>59보0161</x:v>
      </x:c>
      <x:c r="C335" s="24" t="str">
        <x:v>보유</x:v>
      </x:c>
      <x:c r="D335" s="24" t="str"/>
      <x:c r="E335" s="24" t="str"/>
      <x:c r="F335" s="24" t="str"/>
      <x:c r="G335" s="24" t="str">
        <x:v>가솔린 3.0</x:v>
      </x:c>
      <x:c r="H335" s="24" t="str"/>
      <x:c r="I335" s="31"/>
      <x:c r="J335" s="31"/>
      <x:c r="K335" s="24" t="str"/>
      <x:c r="L335" s="24" t="str"/>
      <x:c r="M335" s="30"/>
      <x:c r="N335" s="31"/>
      <x:c r="O335" s="30"/>
      <x:c r="P335" s="32"/>
      <x:c r="Q335" s="32"/>
      <x:c r="R335" s="32"/>
      <x:c r="S335" s="24" t="str"/>
      <x:c r="T335" s="32"/>
      <x:c r="U335" s="32"/>
      <x:c r="V335" s="24" t="str"/>
      <x:c r="W335" s="24" t="str"/>
      <x:c r="X335" s="32"/>
      <x:c r="Y335" s="33"/>
      <x:c r="Z335" s="31"/>
      <x:c r="AA335" s="24" t="str"/>
      <x:c r="AB335" s="30"/>
      <x:c r="AC335" s="30"/>
      <x:c r="AD335" s="32"/>
      <x:c r="AE335" s="32"/>
      <x:c r="AF335" s="24" t="str"/>
      <x:c r="AG335" s="24" t="str"/>
      <x:c r="AH335" s="30"/>
      <x:c r="AI335" s="24" t="str"/>
      <x:c r="AJ335" s="24" t="str"/>
      <x:c r="AK335" s="32"/>
      <x:c r="AL335" s="32"/>
      <x:c r="AM335" s="24" t="str"/>
      <x:c r="AN335" s="31" t="n">
        <x:v>175</x:v>
      </x:c>
    </x:row>
    <x:row r="336" ht="17.25" customHeight="1">
      <x:c r="A336" s="24" t="str">
        <x:v>프라임구독</x:v>
      </x:c>
      <x:c r="B336" s="24" t="str">
        <x:v>59보0907</x:v>
      </x:c>
      <x:c r="C336" s="24" t="str">
        <x:v>보유</x:v>
      </x:c>
      <x:c r="D336" s="24" t="str"/>
      <x:c r="E336" s="24" t="str"/>
      <x:c r="F336" s="24" t="str"/>
      <x:c r="G336" s="24" t="str">
        <x:v>가솔린 3.0</x:v>
      </x:c>
      <x:c r="H336" s="24" t="str"/>
      <x:c r="I336" s="31"/>
      <x:c r="J336" s="31"/>
      <x:c r="K336" s="24" t="str"/>
      <x:c r="L336" s="24" t="str"/>
      <x:c r="M336" s="30"/>
      <x:c r="N336" s="31"/>
      <x:c r="O336" s="30"/>
      <x:c r="P336" s="32"/>
      <x:c r="Q336" s="32"/>
      <x:c r="R336" s="32"/>
      <x:c r="S336" s="24" t="str"/>
      <x:c r="T336" s="32"/>
      <x:c r="U336" s="32"/>
      <x:c r="V336" s="24" t="str"/>
      <x:c r="W336" s="24" t="str"/>
      <x:c r="X336" s="32"/>
      <x:c r="Y336" s="33"/>
      <x:c r="Z336" s="31"/>
      <x:c r="AA336" s="24" t="str"/>
      <x:c r="AB336" s="30"/>
      <x:c r="AC336" s="30"/>
      <x:c r="AD336" s="32"/>
      <x:c r="AE336" s="32"/>
      <x:c r="AF336" s="24" t="str"/>
      <x:c r="AG336" s="24" t="str"/>
      <x:c r="AH336" s="30"/>
      <x:c r="AI336" s="24" t="str"/>
      <x:c r="AJ336" s="24" t="str"/>
      <x:c r="AK336" s="32"/>
      <x:c r="AL336" s="32"/>
      <x:c r="AM336" s="24" t="str"/>
      <x:c r="AN336" s="31" t="n">
        <x:v>176</x:v>
      </x:c>
    </x:row>
    <x:row r="337" ht="17.25" customHeight="1">
      <x:c r="A337" s="24" t="str">
        <x:v>프라임구독</x:v>
      </x:c>
      <x:c r="B337" s="24" t="str">
        <x:v>60조0437</x:v>
      </x:c>
      <x:c r="C337" s="24" t="str">
        <x:v>보유</x:v>
      </x:c>
      <x:c r="D337" s="24" t="str"/>
      <x:c r="E337" s="24" t="str"/>
      <x:c r="F337" s="24" t="str"/>
      <x:c r="G337" s="24" t="str">
        <x:v>가솔린 3.0</x:v>
      </x:c>
      <x:c r="H337" s="24" t="str"/>
      <x:c r="I337" s="31"/>
      <x:c r="J337" s="31"/>
      <x:c r="K337" s="24" t="str"/>
      <x:c r="L337" s="24" t="str"/>
      <x:c r="M337" s="30"/>
      <x:c r="N337" s="31"/>
      <x:c r="O337" s="30"/>
      <x:c r="P337" s="32"/>
      <x:c r="Q337" s="32"/>
      <x:c r="R337" s="32"/>
      <x:c r="S337" s="24" t="str"/>
      <x:c r="T337" s="32"/>
      <x:c r="U337" s="32"/>
      <x:c r="V337" s="24" t="str"/>
      <x:c r="W337" s="24" t="str"/>
      <x:c r="X337" s="32"/>
      <x:c r="Y337" s="33"/>
      <x:c r="Z337" s="31"/>
      <x:c r="AA337" s="24" t="str"/>
      <x:c r="AB337" s="30"/>
      <x:c r="AC337" s="30"/>
      <x:c r="AD337" s="32"/>
      <x:c r="AE337" s="32"/>
      <x:c r="AF337" s="24" t="str"/>
      <x:c r="AG337" s="24" t="str"/>
      <x:c r="AH337" s="30"/>
      <x:c r="AI337" s="24" t="str"/>
      <x:c r="AJ337" s="24" t="str"/>
      <x:c r="AK337" s="32"/>
      <x:c r="AL337" s="32"/>
      <x:c r="AM337" s="24" t="str"/>
      <x:c r="AN337" s="31" t="n">
        <x:v>177</x:v>
      </x:c>
    </x:row>
    <x:row r="338" ht="17.25" customHeight="1">
      <x:c r="A338" s="24" t="str">
        <x:v>프라임구독</x:v>
      </x:c>
      <x:c r="B338" s="24" t="str">
        <x:v>61너2749</x:v>
      </x:c>
      <x:c r="C338" s="24" t="str">
        <x:v>경매 O</x:v>
      </x:c>
      <x:c r="D338" s="24" t="str"/>
      <x:c r="E338" s="24" t="str"/>
      <x:c r="F338" s="24" t="str"/>
      <x:c r="G338" s="24" t="str">
        <x:v>가솔린 3.0</x:v>
      </x:c>
      <x:c r="H338" s="24" t="str"/>
      <x:c r="I338" s="31"/>
      <x:c r="J338" s="31"/>
      <x:c r="K338" s="24" t="str"/>
      <x:c r="L338" s="24" t="str"/>
      <x:c r="M338" s="30"/>
      <x:c r="N338" s="31"/>
      <x:c r="O338" s="30"/>
      <x:c r="P338" s="32"/>
      <x:c r="Q338" s="32"/>
      <x:c r="R338" s="32"/>
      <x:c r="S338" s="24" t="str"/>
      <x:c r="T338" s="32"/>
      <x:c r="U338" s="32"/>
      <x:c r="V338" s="24" t="str"/>
      <x:c r="W338" s="24" t="str"/>
      <x:c r="X338" s="32"/>
      <x:c r="Y338" s="33"/>
      <x:c r="Z338" s="31"/>
      <x:c r="AA338" s="24" t="str"/>
      <x:c r="AB338" s="30"/>
      <x:c r="AC338" s="30"/>
      <x:c r="AD338" s="32"/>
      <x:c r="AE338" s="32"/>
      <x:c r="AF338" s="24" t="str"/>
      <x:c r="AG338" s="24" t="str"/>
      <x:c r="AH338" s="30" t="n">
        <x:v>45531</x:v>
      </x:c>
      <x:c r="AI338" s="24" t="str"/>
      <x:c r="AJ338" s="24" t="str">
        <x:v>경매 O</x:v>
      </x:c>
      <x:c r="AK338" s="32"/>
      <x:c r="AL338" s="32"/>
      <x:c r="AM338" s="24" t="str"/>
      <x:c r="AN338" s="31" t="n">
        <x:v>178</x:v>
      </x:c>
    </x:row>
    <x:row r="339" ht="17.25" customHeight="1">
      <x:c r="A339" s="24" t="str">
        <x:v>프라임구독</x:v>
      </x:c>
      <x:c r="B339" s="24" t="str">
        <x:v>61너5024</x:v>
      </x:c>
      <x:c r="C339" s="24" t="str">
        <x:v>보유</x:v>
      </x:c>
      <x:c r="D339" s="24" t="str"/>
      <x:c r="E339" s="24" t="str"/>
      <x:c r="F339" s="24" t="str"/>
      <x:c r="G339" s="24" t="str">
        <x:v>가솔린 3.0</x:v>
      </x:c>
      <x:c r="H339" s="24" t="str"/>
      <x:c r="I339" s="31"/>
      <x:c r="J339" s="31"/>
      <x:c r="K339" s="24" t="str"/>
      <x:c r="L339" s="24" t="str"/>
      <x:c r="M339" s="30"/>
      <x:c r="N339" s="31"/>
      <x:c r="O339" s="30"/>
      <x:c r="P339" s="32"/>
      <x:c r="Q339" s="32"/>
      <x:c r="R339" s="32"/>
      <x:c r="S339" s="24" t="str"/>
      <x:c r="T339" s="32"/>
      <x:c r="U339" s="32"/>
      <x:c r="V339" s="24" t="str"/>
      <x:c r="W339" s="24" t="str"/>
      <x:c r="X339" s="32"/>
      <x:c r="Y339" s="33"/>
      <x:c r="Z339" s="31"/>
      <x:c r="AA339" s="24" t="str"/>
      <x:c r="AB339" s="30"/>
      <x:c r="AC339" s="30"/>
      <x:c r="AD339" s="32"/>
      <x:c r="AE339" s="32"/>
      <x:c r="AF339" s="24" t="str"/>
      <x:c r="AG339" s="24" t="str"/>
      <x:c r="AH339" s="30"/>
      <x:c r="AI339" s="24" t="str"/>
      <x:c r="AJ339" s="24" t="str"/>
      <x:c r="AK339" s="32"/>
      <x:c r="AL339" s="32"/>
      <x:c r="AM339" s="24" t="str"/>
      <x:c r="AN339" s="31" t="n">
        <x:v>179</x:v>
      </x:c>
    </x:row>
    <x:row r="340" ht="17.25" customHeight="1">
      <x:c r="A340" s="24" t="str">
        <x:v>프라임구독</x:v>
      </x:c>
      <x:c r="B340" s="24" t="str">
        <x:v>61루2328</x:v>
      </x:c>
      <x:c r="C340" s="24" t="str">
        <x:v>보유</x:v>
      </x:c>
      <x:c r="D340" s="24" t="str"/>
      <x:c r="E340" s="24" t="str"/>
      <x:c r="F340" s="24" t="str"/>
      <x:c r="G340" s="24" t="str">
        <x:v>가솔린 3.0</x:v>
      </x:c>
      <x:c r="H340" s="24" t="str"/>
      <x:c r="I340" s="31"/>
      <x:c r="J340" s="31"/>
      <x:c r="K340" s="24" t="str"/>
      <x:c r="L340" s="24" t="str"/>
      <x:c r="M340" s="30"/>
      <x:c r="N340" s="31"/>
      <x:c r="O340" s="30"/>
      <x:c r="P340" s="32"/>
      <x:c r="Q340" s="32"/>
      <x:c r="R340" s="32"/>
      <x:c r="S340" s="24" t="str"/>
      <x:c r="T340" s="32"/>
      <x:c r="U340" s="32"/>
      <x:c r="V340" s="24" t="str"/>
      <x:c r="W340" s="24" t="str"/>
      <x:c r="X340" s="32"/>
      <x:c r="Y340" s="33"/>
      <x:c r="Z340" s="31"/>
      <x:c r="AA340" s="24" t="str"/>
      <x:c r="AB340" s="30"/>
      <x:c r="AC340" s="30"/>
      <x:c r="AD340" s="32"/>
      <x:c r="AE340" s="32"/>
      <x:c r="AF340" s="24" t="str"/>
      <x:c r="AG340" s="24" t="str"/>
      <x:c r="AH340" s="30"/>
      <x:c r="AI340" s="24" t="str"/>
      <x:c r="AJ340" s="24" t="str"/>
      <x:c r="AK340" s="32"/>
      <x:c r="AL340" s="32"/>
      <x:c r="AM340" s="24" t="str"/>
      <x:c r="AN340" s="31" t="n">
        <x:v>180</x:v>
      </x:c>
    </x:row>
    <x:row r="341" ht="17.25" customHeight="1">
      <x:c r="A341" s="24" t="str">
        <x:v>프라임구독</x:v>
      </x:c>
      <x:c r="B341" s="24" t="str">
        <x:v>61루2328</x:v>
      </x:c>
      <x:c r="C341" s="24" t="str">
        <x:v>보유</x:v>
      </x:c>
      <x:c r="D341" s="24" t="str"/>
      <x:c r="E341" s="24" t="str"/>
      <x:c r="F341" s="24" t="str"/>
      <x:c r="G341" s="24" t="str">
        <x:v>가솔린 3.0</x:v>
      </x:c>
      <x:c r="H341" s="24" t="str"/>
      <x:c r="I341" s="31"/>
      <x:c r="J341" s="31"/>
      <x:c r="K341" s="24" t="str"/>
      <x:c r="L341" s="24" t="str"/>
      <x:c r="M341" s="30"/>
      <x:c r="N341" s="31"/>
      <x:c r="O341" s="30"/>
      <x:c r="P341" s="32"/>
      <x:c r="Q341" s="32"/>
      <x:c r="R341" s="32"/>
      <x:c r="S341" s="24" t="str"/>
      <x:c r="T341" s="32"/>
      <x:c r="U341" s="32"/>
      <x:c r="V341" s="24" t="str"/>
      <x:c r="W341" s="24" t="str"/>
      <x:c r="X341" s="32"/>
      <x:c r="Y341" s="33"/>
      <x:c r="Z341" s="31"/>
      <x:c r="AA341" s="24" t="str"/>
      <x:c r="AB341" s="30"/>
      <x:c r="AC341" s="30"/>
      <x:c r="AD341" s="32"/>
      <x:c r="AE341" s="32"/>
      <x:c r="AF341" s="24" t="str"/>
      <x:c r="AG341" s="24" t="str"/>
      <x:c r="AH341" s="30"/>
      <x:c r="AI341" s="24" t="str"/>
      <x:c r="AJ341" s="24" t="str"/>
      <x:c r="AK341" s="32"/>
      <x:c r="AL341" s="32"/>
      <x:c r="AM341" s="24" t="str"/>
      <x:c r="AN341" s="31" t="n">
        <x:v>181</x:v>
      </x:c>
    </x:row>
    <x:row r="342" ht="17.25" customHeight="1">
      <x:c r="A342" s="24" t="str">
        <x:v>프라임구독</x:v>
      </x:c>
      <x:c r="B342" s="24" t="str">
        <x:v>61마9264</x:v>
      </x:c>
      <x:c r="C342" s="24" t="str">
        <x:v>보유</x:v>
      </x:c>
      <x:c r="D342" s="24" t="str"/>
      <x:c r="E342" s="24" t="str"/>
      <x:c r="F342" s="24" t="str"/>
      <x:c r="G342" s="24" t="str">
        <x:v>가솔린 3.0</x:v>
      </x:c>
      <x:c r="H342" s="24" t="str"/>
      <x:c r="I342" s="31"/>
      <x:c r="J342" s="31"/>
      <x:c r="K342" s="24" t="str"/>
      <x:c r="L342" s="24" t="str"/>
      <x:c r="M342" s="30"/>
      <x:c r="N342" s="31"/>
      <x:c r="O342" s="30"/>
      <x:c r="P342" s="32"/>
      <x:c r="Q342" s="32"/>
      <x:c r="R342" s="32"/>
      <x:c r="S342" s="24" t="str"/>
      <x:c r="T342" s="32"/>
      <x:c r="U342" s="32"/>
      <x:c r="V342" s="24" t="str"/>
      <x:c r="W342" s="24" t="str"/>
      <x:c r="X342" s="32"/>
      <x:c r="Y342" s="33"/>
      <x:c r="Z342" s="31"/>
      <x:c r="AA342" s="24" t="str"/>
      <x:c r="AB342" s="30"/>
      <x:c r="AC342" s="30"/>
      <x:c r="AD342" s="32"/>
      <x:c r="AE342" s="32"/>
      <x:c r="AF342" s="24" t="str"/>
      <x:c r="AG342" s="24" t="str"/>
      <x:c r="AH342" s="30"/>
      <x:c r="AI342" s="24" t="str"/>
      <x:c r="AJ342" s="24" t="str"/>
      <x:c r="AK342" s="32"/>
      <x:c r="AL342" s="32"/>
      <x:c r="AM342" s="24" t="str"/>
      <x:c r="AN342" s="31" t="n">
        <x:v>182</x:v>
      </x:c>
    </x:row>
    <x:row r="343" ht="17.25" customHeight="1">
      <x:c r="A343" s="24" t="str">
        <x:v>프라임구독</x:v>
      </x:c>
      <x:c r="B343" s="24" t="str">
        <x:v>64고6351</x:v>
      </x:c>
      <x:c r="C343" s="24" t="str">
        <x:v>O</x:v>
      </x:c>
      <x:c r="D343" s="24" t="str"/>
      <x:c r="E343" s="24" t="str"/>
      <x:c r="F343" s="24" t="str"/>
      <x:c r="G343" s="24" t="str">
        <x:v>가솔린 3.0</x:v>
      </x:c>
      <x:c r="H343" s="24" t="str"/>
      <x:c r="I343" s="31"/>
      <x:c r="J343" s="31"/>
      <x:c r="K343" s="24" t="str"/>
      <x:c r="L343" s="24" t="str"/>
      <x:c r="M343" s="30"/>
      <x:c r="N343" s="31"/>
      <x:c r="O343" s="30"/>
      <x:c r="P343" s="32"/>
      <x:c r="Q343" s="32"/>
      <x:c r="R343" s="32"/>
      <x:c r="S343" s="24" t="str"/>
      <x:c r="T343" s="32"/>
      <x:c r="U343" s="32"/>
      <x:c r="V343" s="24" t="str"/>
      <x:c r="W343" s="24" t="str"/>
      <x:c r="X343" s="32"/>
      <x:c r="Y343" s="33"/>
      <x:c r="Z343" s="31"/>
      <x:c r="AA343" s="24" t="str"/>
      <x:c r="AB343" s="30"/>
      <x:c r="AC343" s="30"/>
      <x:c r="AD343" s="32"/>
      <x:c r="AE343" s="32"/>
      <x:c r="AF343" s="24" t="str"/>
      <x:c r="AG343" s="24" t="str"/>
      <x:c r="AH343" s="30" t="n">
        <x:v>45523</x:v>
      </x:c>
      <x:c r="AI343" s="24" t="str"/>
      <x:c r="AJ343" s="24" t="str">
        <x:v>O</x:v>
      </x:c>
      <x:c r="AK343" s="32"/>
      <x:c r="AL343" s="32"/>
      <x:c r="AM343" s="24" t="str"/>
      <x:c r="AN343" s="31" t="n">
        <x:v>183</x:v>
      </x:c>
    </x:row>
    <x:row r="344" ht="17.25" customHeight="1">
      <x:c r="A344" s="24" t="str">
        <x:v>프라임구독</x:v>
      </x:c>
      <x:c r="B344" s="24" t="str">
        <x:v>64너1414</x:v>
      </x:c>
      <x:c r="C344" s="24" t="str">
        <x:v>보유</x:v>
      </x:c>
      <x:c r="D344" s="24" t="str"/>
      <x:c r="E344" s="24" t="str"/>
      <x:c r="F344" s="24" t="str"/>
      <x:c r="G344" s="24" t="str">
        <x:v>가솔린 3.0</x:v>
      </x:c>
      <x:c r="H344" s="24" t="str"/>
      <x:c r="I344" s="31"/>
      <x:c r="J344" s="31"/>
      <x:c r="K344" s="24" t="str"/>
      <x:c r="L344" s="24" t="str"/>
      <x:c r="M344" s="30"/>
      <x:c r="N344" s="31"/>
      <x:c r="O344" s="30"/>
      <x:c r="P344" s="32"/>
      <x:c r="Q344" s="32"/>
      <x:c r="R344" s="32"/>
      <x:c r="S344" s="24" t="str"/>
      <x:c r="T344" s="32"/>
      <x:c r="U344" s="32"/>
      <x:c r="V344" s="24" t="str"/>
      <x:c r="W344" s="24" t="str"/>
      <x:c r="X344" s="32"/>
      <x:c r="Y344" s="33"/>
      <x:c r="Z344" s="31"/>
      <x:c r="AA344" s="24" t="str"/>
      <x:c r="AB344" s="30"/>
      <x:c r="AC344" s="30"/>
      <x:c r="AD344" s="32"/>
      <x:c r="AE344" s="32"/>
      <x:c r="AF344" s="24" t="str"/>
      <x:c r="AG344" s="24" t="str"/>
      <x:c r="AH344" s="30"/>
      <x:c r="AI344" s="24" t="str"/>
      <x:c r="AJ344" s="24" t="str"/>
      <x:c r="AK344" s="32"/>
      <x:c r="AL344" s="32"/>
      <x:c r="AM344" s="24" t="str"/>
      <x:c r="AN344" s="31" t="n">
        <x:v>184</x:v>
      </x:c>
    </x:row>
    <x:row r="345" ht="17.25" customHeight="1">
      <x:c r="A345" s="24" t="str">
        <x:v>프라임구독</x:v>
      </x:c>
      <x:c r="B345" s="24" t="str">
        <x:v>64로0269</x:v>
      </x:c>
      <x:c r="C345" s="24" t="str">
        <x:v>보유</x:v>
      </x:c>
      <x:c r="D345" s="24" t="str"/>
      <x:c r="E345" s="24" t="str"/>
      <x:c r="F345" s="24" t="str"/>
      <x:c r="G345" s="24" t="str">
        <x:v>가솔린 3.0</x:v>
      </x:c>
      <x:c r="H345" s="24" t="str"/>
      <x:c r="I345" s="31"/>
      <x:c r="J345" s="31"/>
      <x:c r="K345" s="24" t="str"/>
      <x:c r="L345" s="24" t="str"/>
      <x:c r="M345" s="30"/>
      <x:c r="N345" s="31"/>
      <x:c r="O345" s="30"/>
      <x:c r="P345" s="32"/>
      <x:c r="Q345" s="32"/>
      <x:c r="R345" s="32"/>
      <x:c r="S345" s="24" t="str"/>
      <x:c r="T345" s="32"/>
      <x:c r="U345" s="32"/>
      <x:c r="V345" s="24" t="str"/>
      <x:c r="W345" s="24" t="str"/>
      <x:c r="X345" s="32"/>
      <x:c r="Y345" s="33"/>
      <x:c r="Z345" s="31"/>
      <x:c r="AA345" s="24" t="str"/>
      <x:c r="AB345" s="30"/>
      <x:c r="AC345" s="30"/>
      <x:c r="AD345" s="32"/>
      <x:c r="AE345" s="32"/>
      <x:c r="AF345" s="24" t="str"/>
      <x:c r="AG345" s="24" t="str"/>
      <x:c r="AH345" s="30"/>
      <x:c r="AI345" s="24" t="str"/>
      <x:c r="AJ345" s="24" t="str"/>
      <x:c r="AK345" s="32"/>
      <x:c r="AL345" s="32"/>
      <x:c r="AM345" s="24" t="str"/>
      <x:c r="AN345" s="31" t="n">
        <x:v>185</x:v>
      </x:c>
    </x:row>
    <x:row r="346" ht="17.25" customHeight="1">
      <x:c r="A346" s="24" t="str">
        <x:v>프라임구독</x:v>
      </x:c>
      <x:c r="B346" s="24" t="str">
        <x:v>65서0911</x:v>
      </x:c>
      <x:c r="C346" s="24" t="str">
        <x:v>보유</x:v>
      </x:c>
      <x:c r="D346" s="24" t="str"/>
      <x:c r="E346" s="24" t="str"/>
      <x:c r="F346" s="24" t="str"/>
      <x:c r="G346" s="24" t="str">
        <x:v>가솔린 3.0</x:v>
      </x:c>
      <x:c r="H346" s="24" t="str"/>
      <x:c r="I346" s="31"/>
      <x:c r="J346" s="31"/>
      <x:c r="K346" s="24" t="str"/>
      <x:c r="L346" s="24" t="str"/>
      <x:c r="M346" s="30"/>
      <x:c r="N346" s="31"/>
      <x:c r="O346" s="30"/>
      <x:c r="P346" s="32"/>
      <x:c r="Q346" s="32"/>
      <x:c r="R346" s="32"/>
      <x:c r="S346" s="24" t="str"/>
      <x:c r="T346" s="32"/>
      <x:c r="U346" s="32"/>
      <x:c r="V346" s="24" t="str"/>
      <x:c r="W346" s="24" t="str"/>
      <x:c r="X346" s="32"/>
      <x:c r="Y346" s="33"/>
      <x:c r="Z346" s="31"/>
      <x:c r="AA346" s="24" t="str"/>
      <x:c r="AB346" s="30"/>
      <x:c r="AC346" s="30"/>
      <x:c r="AD346" s="32"/>
      <x:c r="AE346" s="32"/>
      <x:c r="AF346" s="24" t="str"/>
      <x:c r="AG346" s="24" t="str"/>
      <x:c r="AH346" s="30"/>
      <x:c r="AI346" s="24" t="str"/>
      <x:c r="AJ346" s="24" t="str"/>
      <x:c r="AK346" s="32"/>
      <x:c r="AL346" s="32"/>
      <x:c r="AM346" s="24" t="str"/>
      <x:c r="AN346" s="31" t="n">
        <x:v>186</x:v>
      </x:c>
    </x:row>
    <x:row r="347" ht="17.25" customHeight="1">
      <x:c r="A347" s="24" t="str">
        <x:v>프라임구독</x:v>
      </x:c>
      <x:c r="B347" s="24" t="str">
        <x:v>66어1934</x:v>
      </x:c>
      <x:c r="C347" s="24" t="str">
        <x:v>보유</x:v>
      </x:c>
      <x:c r="D347" s="24" t="str"/>
      <x:c r="E347" s="24" t="str"/>
      <x:c r="F347" s="24" t="str"/>
      <x:c r="G347" s="24" t="str">
        <x:v>가솔린 3.0</x:v>
      </x:c>
      <x:c r="H347" s="24" t="str"/>
      <x:c r="I347" s="31"/>
      <x:c r="J347" s="31"/>
      <x:c r="K347" s="24" t="str"/>
      <x:c r="L347" s="24" t="str"/>
      <x:c r="M347" s="30"/>
      <x:c r="N347" s="31"/>
      <x:c r="O347" s="30"/>
      <x:c r="P347" s="32"/>
      <x:c r="Q347" s="32"/>
      <x:c r="R347" s="32"/>
      <x:c r="S347" s="24" t="str"/>
      <x:c r="T347" s="32"/>
      <x:c r="U347" s="32"/>
      <x:c r="V347" s="24" t="str"/>
      <x:c r="W347" s="24" t="str"/>
      <x:c r="X347" s="32"/>
      <x:c r="Y347" s="33"/>
      <x:c r="Z347" s="31"/>
      <x:c r="AA347" s="24" t="str"/>
      <x:c r="AB347" s="30"/>
      <x:c r="AC347" s="30"/>
      <x:c r="AD347" s="32"/>
      <x:c r="AE347" s="32"/>
      <x:c r="AF347" s="24" t="str"/>
      <x:c r="AG347" s="24" t="str"/>
      <x:c r="AH347" s="30"/>
      <x:c r="AI347" s="24" t="str"/>
      <x:c r="AJ347" s="24" t="str"/>
      <x:c r="AK347" s="32"/>
      <x:c r="AL347" s="32"/>
      <x:c r="AM347" s="24" t="str"/>
      <x:c r="AN347" s="31" t="n">
        <x:v>187</x:v>
      </x:c>
    </x:row>
    <x:row r="348" ht="17.25" customHeight="1">
      <x:c r="A348" s="24" t="str">
        <x:v>프라임구독</x:v>
      </x:c>
      <x:c r="B348" s="24" t="str">
        <x:v>66오8575</x:v>
      </x:c>
      <x:c r="C348" s="24" t="str">
        <x:v>보유</x:v>
      </x:c>
      <x:c r="D348" s="24" t="str"/>
      <x:c r="E348" s="24" t="str"/>
      <x:c r="F348" s="24" t="str"/>
      <x:c r="G348" s="24" t="str">
        <x:v>가솔린 3.0</x:v>
      </x:c>
      <x:c r="H348" s="24" t="str"/>
      <x:c r="I348" s="31"/>
      <x:c r="J348" s="31"/>
      <x:c r="K348" s="24" t="str"/>
      <x:c r="L348" s="24" t="str"/>
      <x:c r="M348" s="30"/>
      <x:c r="N348" s="31"/>
      <x:c r="O348" s="30"/>
      <x:c r="P348" s="32"/>
      <x:c r="Q348" s="32"/>
      <x:c r="R348" s="32"/>
      <x:c r="S348" s="24" t="str"/>
      <x:c r="T348" s="32"/>
      <x:c r="U348" s="32"/>
      <x:c r="V348" s="24" t="str"/>
      <x:c r="W348" s="24" t="str"/>
      <x:c r="X348" s="32"/>
      <x:c r="Y348" s="33"/>
      <x:c r="Z348" s="31"/>
      <x:c r="AA348" s="24" t="str"/>
      <x:c r="AB348" s="30"/>
      <x:c r="AC348" s="30"/>
      <x:c r="AD348" s="32"/>
      <x:c r="AE348" s="32"/>
      <x:c r="AF348" s="24" t="str"/>
      <x:c r="AG348" s="24" t="str"/>
      <x:c r="AH348" s="30"/>
      <x:c r="AI348" s="24" t="str"/>
      <x:c r="AJ348" s="24" t="str"/>
      <x:c r="AK348" s="32"/>
      <x:c r="AL348" s="32"/>
      <x:c r="AM348" s="24" t="str"/>
      <x:c r="AN348" s="31" t="n">
        <x:v>188</x:v>
      </x:c>
    </x:row>
    <x:row r="349" ht="17.25" customHeight="1">
      <x:c r="A349" s="24" t="str">
        <x:v>프라임구독</x:v>
      </x:c>
      <x:c r="B349" s="24" t="str">
        <x:v>67거4224</x:v>
      </x:c>
      <x:c r="C349" s="24" t="str">
        <x:v>보유</x:v>
      </x:c>
      <x:c r="D349" s="24" t="str"/>
      <x:c r="E349" s="24" t="str"/>
      <x:c r="F349" s="24" t="str"/>
      <x:c r="G349" s="24" t="str">
        <x:v>가솔린 3.0</x:v>
      </x:c>
      <x:c r="H349" s="24" t="str"/>
      <x:c r="I349" s="31"/>
      <x:c r="J349" s="31"/>
      <x:c r="K349" s="24" t="str"/>
      <x:c r="L349" s="24" t="str"/>
      <x:c r="M349" s="30"/>
      <x:c r="N349" s="31"/>
      <x:c r="O349" s="30"/>
      <x:c r="P349" s="32"/>
      <x:c r="Q349" s="32"/>
      <x:c r="R349" s="32"/>
      <x:c r="S349" s="24" t="str"/>
      <x:c r="T349" s="32"/>
      <x:c r="U349" s="32"/>
      <x:c r="V349" s="24" t="str"/>
      <x:c r="W349" s="24" t="str"/>
      <x:c r="X349" s="32"/>
      <x:c r="Y349" s="33"/>
      <x:c r="Z349" s="31"/>
      <x:c r="AA349" s="24" t="str"/>
      <x:c r="AB349" s="30"/>
      <x:c r="AC349" s="30"/>
      <x:c r="AD349" s="32"/>
      <x:c r="AE349" s="32"/>
      <x:c r="AF349" s="24" t="str"/>
      <x:c r="AG349" s="24" t="str"/>
      <x:c r="AH349" s="30"/>
      <x:c r="AI349" s="24" t="str"/>
      <x:c r="AJ349" s="24" t="str"/>
      <x:c r="AK349" s="32"/>
      <x:c r="AL349" s="32"/>
      <x:c r="AM349" s="24" t="str"/>
      <x:c r="AN349" s="31" t="n">
        <x:v>189</x:v>
      </x:c>
    </x:row>
    <x:row r="350" ht="17.25" customHeight="1">
      <x:c r="A350" s="24" t="str">
        <x:v>프라임구독</x:v>
      </x:c>
      <x:c r="B350" s="24" t="str">
        <x:v>67구7368</x:v>
      </x:c>
      <x:c r="C350" s="24" t="str">
        <x:v>보유</x:v>
      </x:c>
      <x:c r="D350" s="24" t="str"/>
      <x:c r="E350" s="24" t="str"/>
      <x:c r="F350" s="24" t="str"/>
      <x:c r="G350" s="24" t="str">
        <x:v>가솔린 3.0</x:v>
      </x:c>
      <x:c r="H350" s="24" t="str"/>
      <x:c r="I350" s="31"/>
      <x:c r="J350" s="31"/>
      <x:c r="K350" s="24" t="str"/>
      <x:c r="L350" s="24" t="str"/>
      <x:c r="M350" s="30"/>
      <x:c r="N350" s="31"/>
      <x:c r="O350" s="30"/>
      <x:c r="P350" s="32"/>
      <x:c r="Q350" s="32"/>
      <x:c r="R350" s="32"/>
      <x:c r="S350" s="24" t="str"/>
      <x:c r="T350" s="32"/>
      <x:c r="U350" s="32"/>
      <x:c r="V350" s="24" t="str"/>
      <x:c r="W350" s="24" t="str"/>
      <x:c r="X350" s="32"/>
      <x:c r="Y350" s="33"/>
      <x:c r="Z350" s="31"/>
      <x:c r="AA350" s="24" t="str"/>
      <x:c r="AB350" s="30"/>
      <x:c r="AC350" s="30"/>
      <x:c r="AD350" s="32"/>
      <x:c r="AE350" s="32"/>
      <x:c r="AF350" s="24" t="str"/>
      <x:c r="AG350" s="24" t="str"/>
      <x:c r="AH350" s="30"/>
      <x:c r="AI350" s="24" t="str"/>
      <x:c r="AJ350" s="24" t="str"/>
      <x:c r="AK350" s="32"/>
      <x:c r="AL350" s="32"/>
      <x:c r="AM350" s="24" t="str"/>
      <x:c r="AN350" s="31" t="n">
        <x:v>190</x:v>
      </x:c>
    </x:row>
    <x:row r="351" ht="17.25" customHeight="1">
      <x:c r="A351" s="24" t="str">
        <x:v>프라임구독</x:v>
      </x:c>
      <x:c r="B351" s="24" t="str">
        <x:v>67어3004</x:v>
      </x:c>
      <x:c r="C351" s="24" t="str">
        <x:v>보유</x:v>
      </x:c>
      <x:c r="D351" s="24" t="str"/>
      <x:c r="E351" s="24" t="str"/>
      <x:c r="F351" s="24" t="str"/>
      <x:c r="G351" s="24" t="str">
        <x:v>가솔린 3.0</x:v>
      </x:c>
      <x:c r="H351" s="24" t="str"/>
      <x:c r="I351" s="31"/>
      <x:c r="J351" s="31"/>
      <x:c r="K351" s="24" t="str"/>
      <x:c r="L351" s="24" t="str"/>
      <x:c r="M351" s="30"/>
      <x:c r="N351" s="31"/>
      <x:c r="O351" s="30"/>
      <x:c r="P351" s="32"/>
      <x:c r="Q351" s="32"/>
      <x:c r="R351" s="32"/>
      <x:c r="S351" s="24" t="str"/>
      <x:c r="T351" s="32"/>
      <x:c r="U351" s="32"/>
      <x:c r="V351" s="24" t="str"/>
      <x:c r="W351" s="24" t="str"/>
      <x:c r="X351" s="32"/>
      <x:c r="Y351" s="33"/>
      <x:c r="Z351" s="31"/>
      <x:c r="AA351" s="24" t="str"/>
      <x:c r="AB351" s="30"/>
      <x:c r="AC351" s="30"/>
      <x:c r="AD351" s="32"/>
      <x:c r="AE351" s="32"/>
      <x:c r="AF351" s="24" t="str"/>
      <x:c r="AG351" s="24" t="str"/>
      <x:c r="AH351" s="30"/>
      <x:c r="AI351" s="24" t="str"/>
      <x:c r="AJ351" s="24" t="str"/>
      <x:c r="AK351" s="32"/>
      <x:c r="AL351" s="32"/>
      <x:c r="AM351" s="24" t="str"/>
      <x:c r="AN351" s="31" t="n">
        <x:v>191</x:v>
      </x:c>
    </x:row>
    <x:row r="352" ht="17.25" customHeight="1">
      <x:c r="A352" s="24" t="str">
        <x:v>프라임구독</x:v>
      </x:c>
      <x:c r="B352" s="24" t="str">
        <x:v>68수7744</x:v>
      </x:c>
      <x:c r="C352" s="24" t="str">
        <x:v>보유</x:v>
      </x:c>
      <x:c r="D352" s="24" t="str"/>
      <x:c r="E352" s="24" t="str"/>
      <x:c r="F352" s="24" t="str"/>
      <x:c r="G352" s="24" t="str">
        <x:v>가솔린 3.0</x:v>
      </x:c>
      <x:c r="H352" s="24" t="str"/>
      <x:c r="I352" s="31"/>
      <x:c r="J352" s="31"/>
      <x:c r="K352" s="24" t="str"/>
      <x:c r="L352" s="24" t="str"/>
      <x:c r="M352" s="30"/>
      <x:c r="N352" s="31"/>
      <x:c r="O352" s="30"/>
      <x:c r="P352" s="32"/>
      <x:c r="Q352" s="32"/>
      <x:c r="R352" s="32"/>
      <x:c r="S352" s="24" t="str"/>
      <x:c r="T352" s="32"/>
      <x:c r="U352" s="32"/>
      <x:c r="V352" s="24" t="str"/>
      <x:c r="W352" s="24" t="str"/>
      <x:c r="X352" s="32"/>
      <x:c r="Y352" s="33"/>
      <x:c r="Z352" s="31"/>
      <x:c r="AA352" s="24" t="str"/>
      <x:c r="AB352" s="30"/>
      <x:c r="AC352" s="30"/>
      <x:c r="AD352" s="32"/>
      <x:c r="AE352" s="32"/>
      <x:c r="AF352" s="24" t="str"/>
      <x:c r="AG352" s="24" t="str"/>
      <x:c r="AH352" s="30"/>
      <x:c r="AI352" s="24" t="str"/>
      <x:c r="AJ352" s="24" t="str"/>
      <x:c r="AK352" s="32"/>
      <x:c r="AL352" s="32"/>
      <x:c r="AM352" s="24" t="str"/>
      <x:c r="AN352" s="31" t="n">
        <x:v>192</x:v>
      </x:c>
    </x:row>
    <x:row r="353" ht="17.25" customHeight="1">
      <x:c r="A353" s="24" t="str">
        <x:v>프라임구독</x:v>
      </x:c>
      <x:c r="B353" s="24" t="str">
        <x:v>69나9074</x:v>
      </x:c>
      <x:c r="C353" s="24" t="str">
        <x:v>보유</x:v>
      </x:c>
      <x:c r="D353" s="24" t="str"/>
      <x:c r="E353" s="24" t="str"/>
      <x:c r="F353" s="24" t="str"/>
      <x:c r="G353" s="24" t="str">
        <x:v>가솔린 3.0</x:v>
      </x:c>
      <x:c r="H353" s="24" t="str"/>
      <x:c r="I353" s="31"/>
      <x:c r="J353" s="31"/>
      <x:c r="K353" s="24" t="str"/>
      <x:c r="L353" s="24" t="str"/>
      <x:c r="M353" s="30"/>
      <x:c r="N353" s="31"/>
      <x:c r="O353" s="30"/>
      <x:c r="P353" s="32"/>
      <x:c r="Q353" s="32"/>
      <x:c r="R353" s="32"/>
      <x:c r="S353" s="24" t="str"/>
      <x:c r="T353" s="32"/>
      <x:c r="U353" s="32"/>
      <x:c r="V353" s="24" t="str"/>
      <x:c r="W353" s="24" t="str"/>
      <x:c r="X353" s="32"/>
      <x:c r="Y353" s="33"/>
      <x:c r="Z353" s="31"/>
      <x:c r="AA353" s="24" t="str"/>
      <x:c r="AB353" s="30"/>
      <x:c r="AC353" s="30"/>
      <x:c r="AD353" s="32"/>
      <x:c r="AE353" s="32"/>
      <x:c r="AF353" s="24" t="str"/>
      <x:c r="AG353" s="24" t="str"/>
      <x:c r="AH353" s="30"/>
      <x:c r="AI353" s="24" t="str"/>
      <x:c r="AJ353" s="24" t="str"/>
      <x:c r="AK353" s="32"/>
      <x:c r="AL353" s="32"/>
      <x:c r="AM353" s="24" t="str"/>
      <x:c r="AN353" s="31" t="n">
        <x:v>193</x:v>
      </x:c>
    </x:row>
    <x:row r="354" ht="17.25" customHeight="1">
      <x:c r="A354" s="24" t="str">
        <x:v>프라임구독</x:v>
      </x:c>
      <x:c r="B354" s="24" t="str">
        <x:v>69모6244</x:v>
      </x:c>
      <x:c r="C354" s="24" t="str">
        <x:v>보유</x:v>
      </x:c>
      <x:c r="D354" s="24" t="str"/>
      <x:c r="E354" s="24" t="str"/>
      <x:c r="F354" s="24" t="str"/>
      <x:c r="G354" s="24" t="str">
        <x:v>가솔린 3.0</x:v>
      </x:c>
      <x:c r="H354" s="24" t="str"/>
      <x:c r="I354" s="31"/>
      <x:c r="J354" s="31"/>
      <x:c r="K354" s="24" t="str"/>
      <x:c r="L354" s="24" t="str"/>
      <x:c r="M354" s="30"/>
      <x:c r="N354" s="31"/>
      <x:c r="O354" s="30"/>
      <x:c r="P354" s="32"/>
      <x:c r="Q354" s="32"/>
      <x:c r="R354" s="32"/>
      <x:c r="S354" s="24" t="str"/>
      <x:c r="T354" s="32"/>
      <x:c r="U354" s="32"/>
      <x:c r="V354" s="24" t="str"/>
      <x:c r="W354" s="24" t="str"/>
      <x:c r="X354" s="32"/>
      <x:c r="Y354" s="33"/>
      <x:c r="Z354" s="31"/>
      <x:c r="AA354" s="24" t="str"/>
      <x:c r="AB354" s="30"/>
      <x:c r="AC354" s="30"/>
      <x:c r="AD354" s="32"/>
      <x:c r="AE354" s="32"/>
      <x:c r="AF354" s="24" t="str"/>
      <x:c r="AG354" s="24" t="str"/>
      <x:c r="AH354" s="30"/>
      <x:c r="AI354" s="24" t="str"/>
      <x:c r="AJ354" s="24" t="str"/>
      <x:c r="AK354" s="32"/>
      <x:c r="AL354" s="32"/>
      <x:c r="AM354" s="24" t="str"/>
      <x:c r="AN354" s="31" t="n">
        <x:v>194</x:v>
      </x:c>
    </x:row>
    <x:row r="355" ht="17.25" customHeight="1">
      <x:c r="A355" s="24" t="str">
        <x:v>프라임구독</x:v>
      </x:c>
      <x:c r="B355" s="24" t="str">
        <x:v>69버0299</x:v>
      </x:c>
      <x:c r="C355" s="24" t="str">
        <x:v>보유</x:v>
      </x:c>
      <x:c r="D355" s="24" t="str"/>
      <x:c r="E355" s="24" t="str"/>
      <x:c r="F355" s="24" t="str"/>
      <x:c r="G355" s="24" t="str">
        <x:v>가솔린 3.0</x:v>
      </x:c>
      <x:c r="H355" s="24" t="str"/>
      <x:c r="I355" s="31"/>
      <x:c r="J355" s="31"/>
      <x:c r="K355" s="24" t="str"/>
      <x:c r="L355" s="24" t="str"/>
      <x:c r="M355" s="30"/>
      <x:c r="N355" s="31"/>
      <x:c r="O355" s="30"/>
      <x:c r="P355" s="32"/>
      <x:c r="Q355" s="32"/>
      <x:c r="R355" s="32"/>
      <x:c r="S355" s="24" t="str"/>
      <x:c r="T355" s="32"/>
      <x:c r="U355" s="32"/>
      <x:c r="V355" s="24" t="str"/>
      <x:c r="W355" s="24" t="str"/>
      <x:c r="X355" s="32"/>
      <x:c r="Y355" s="33"/>
      <x:c r="Z355" s="31"/>
      <x:c r="AA355" s="24" t="str"/>
      <x:c r="AB355" s="30"/>
      <x:c r="AC355" s="30"/>
      <x:c r="AD355" s="32"/>
      <x:c r="AE355" s="32"/>
      <x:c r="AF355" s="24" t="str"/>
      <x:c r="AG355" s="24" t="str"/>
      <x:c r="AH355" s="30"/>
      <x:c r="AI355" s="24" t="str"/>
      <x:c r="AJ355" s="24" t="str"/>
      <x:c r="AK355" s="32"/>
      <x:c r="AL355" s="32"/>
      <x:c r="AM355" s="24" t="str"/>
      <x:c r="AN355" s="31" t="n">
        <x:v>195</x:v>
      </x:c>
    </x:row>
    <x:row r="356" ht="17.25" customHeight="1">
      <x:c r="A356" s="24" t="str">
        <x:v>프라임구독</x:v>
      </x:c>
      <x:c r="B356" s="24" t="str">
        <x:v>69오7954</x:v>
      </x:c>
      <x:c r="C356" s="24" t="str">
        <x:v>보유</x:v>
      </x:c>
      <x:c r="D356" s="24" t="str"/>
      <x:c r="E356" s="24" t="str"/>
      <x:c r="F356" s="24" t="str"/>
      <x:c r="G356" s="24" t="str">
        <x:v>가솔린 3.0</x:v>
      </x:c>
      <x:c r="H356" s="24" t="str"/>
      <x:c r="I356" s="31"/>
      <x:c r="J356" s="31"/>
      <x:c r="K356" s="24" t="str"/>
      <x:c r="L356" s="24" t="str"/>
      <x:c r="M356" s="30"/>
      <x:c r="N356" s="31"/>
      <x:c r="O356" s="30"/>
      <x:c r="P356" s="32"/>
      <x:c r="Q356" s="32"/>
      <x:c r="R356" s="32"/>
      <x:c r="S356" s="24" t="str"/>
      <x:c r="T356" s="32"/>
      <x:c r="U356" s="32"/>
      <x:c r="V356" s="24" t="str"/>
      <x:c r="W356" s="24" t="str"/>
      <x:c r="X356" s="32"/>
      <x:c r="Y356" s="33"/>
      <x:c r="Z356" s="31"/>
      <x:c r="AA356" s="24" t="str"/>
      <x:c r="AB356" s="30"/>
      <x:c r="AC356" s="30"/>
      <x:c r="AD356" s="32"/>
      <x:c r="AE356" s="32"/>
      <x:c r="AF356" s="24" t="str"/>
      <x:c r="AG356" s="24" t="str"/>
      <x:c r="AH356" s="30"/>
      <x:c r="AI356" s="24" t="str"/>
      <x:c r="AJ356" s="24" t="str"/>
      <x:c r="AK356" s="32"/>
      <x:c r="AL356" s="32"/>
      <x:c r="AM356" s="24" t="str"/>
      <x:c r="AN356" s="31" t="n">
        <x:v>196</x:v>
      </x:c>
    </x:row>
    <x:row r="357" ht="17.25" customHeight="1">
      <x:c r="A357" s="24" t="str">
        <x:v>프라임구독</x:v>
      </x:c>
      <x:c r="B357" s="24" t="str">
        <x:v>72러4490</x:v>
      </x:c>
      <x:c r="C357" s="24" t="str">
        <x:v>보유</x:v>
      </x:c>
      <x:c r="D357" s="24" t="str"/>
      <x:c r="E357" s="24" t="str"/>
      <x:c r="F357" s="24" t="str"/>
      <x:c r="G357" s="24" t="str">
        <x:v>가솔린 3.0</x:v>
      </x:c>
      <x:c r="H357" s="24" t="str"/>
      <x:c r="I357" s="31"/>
      <x:c r="J357" s="31"/>
      <x:c r="K357" s="24" t="str"/>
      <x:c r="L357" s="24" t="str"/>
      <x:c r="M357" s="30"/>
      <x:c r="N357" s="31"/>
      <x:c r="O357" s="30"/>
      <x:c r="P357" s="32"/>
      <x:c r="Q357" s="32"/>
      <x:c r="R357" s="32"/>
      <x:c r="S357" s="24" t="str"/>
      <x:c r="T357" s="32"/>
      <x:c r="U357" s="32"/>
      <x:c r="V357" s="24" t="str"/>
      <x:c r="W357" s="24" t="str"/>
      <x:c r="X357" s="32"/>
      <x:c r="Y357" s="33"/>
      <x:c r="Z357" s="31"/>
      <x:c r="AA357" s="24" t="str"/>
      <x:c r="AB357" s="30"/>
      <x:c r="AC357" s="30"/>
      <x:c r="AD357" s="32"/>
      <x:c r="AE357" s="32"/>
      <x:c r="AF357" s="24" t="str"/>
      <x:c r="AG357" s="24" t="str"/>
      <x:c r="AH357" s="30"/>
      <x:c r="AI357" s="24" t="str"/>
      <x:c r="AJ357" s="24" t="str"/>
      <x:c r="AK357" s="32"/>
      <x:c r="AL357" s="32"/>
      <x:c r="AM357" s="24" t="str"/>
      <x:c r="AN357" s="31" t="n">
        <x:v>197</x:v>
      </x:c>
    </x:row>
    <x:row r="358" ht="17.25" customHeight="1">
      <x:c r="A358" s="24" t="str">
        <x:v>프라임구독</x:v>
      </x:c>
      <x:c r="B358" s="24" t="str">
        <x:v>76버5489</x:v>
      </x:c>
      <x:c r="C358" s="24" t="str">
        <x:v>보유</x:v>
      </x:c>
      <x:c r="D358" s="24" t="str"/>
      <x:c r="E358" s="24" t="str"/>
      <x:c r="F358" s="24" t="str"/>
      <x:c r="G358" s="24" t="str">
        <x:v>가솔린 3.0</x:v>
      </x:c>
      <x:c r="H358" s="24" t="str"/>
      <x:c r="I358" s="31"/>
      <x:c r="J358" s="31"/>
      <x:c r="K358" s="24" t="str"/>
      <x:c r="L358" s="24" t="str"/>
      <x:c r="M358" s="30"/>
      <x:c r="N358" s="31"/>
      <x:c r="O358" s="30"/>
      <x:c r="P358" s="32"/>
      <x:c r="Q358" s="32"/>
      <x:c r="R358" s="32"/>
      <x:c r="S358" s="24" t="str"/>
      <x:c r="T358" s="32"/>
      <x:c r="U358" s="32"/>
      <x:c r="V358" s="24" t="str"/>
      <x:c r="W358" s="24" t="str"/>
      <x:c r="X358" s="32"/>
      <x:c r="Y358" s="33"/>
      <x:c r="Z358" s="31"/>
      <x:c r="AA358" s="24" t="str"/>
      <x:c r="AB358" s="30"/>
      <x:c r="AC358" s="30"/>
      <x:c r="AD358" s="32"/>
      <x:c r="AE358" s="32"/>
      <x:c r="AF358" s="24" t="str"/>
      <x:c r="AG358" s="24" t="str"/>
      <x:c r="AH358" s="30"/>
      <x:c r="AI358" s="24" t="str"/>
      <x:c r="AJ358" s="24" t="str"/>
      <x:c r="AK358" s="32"/>
      <x:c r="AL358" s="32"/>
      <x:c r="AM358" s="24" t="str"/>
      <x:c r="AN358" s="31" t="n">
        <x:v>198</x:v>
      </x:c>
    </x:row>
    <x:row r="359" ht="17.25" customHeight="1">
      <x:c r="A359" s="24" t="str">
        <x:v>프라임구독</x:v>
      </x:c>
      <x:c r="B359" s="24" t="str">
        <x:v>78고8923</x:v>
      </x:c>
      <x:c r="C359" s="24" t="str">
        <x:v>보유</x:v>
      </x:c>
      <x:c r="D359" s="24" t="str"/>
      <x:c r="E359" s="24" t="str"/>
      <x:c r="F359" s="24" t="str"/>
      <x:c r="G359" s="24" t="str">
        <x:v>가솔린 3.0</x:v>
      </x:c>
      <x:c r="H359" s="24" t="str"/>
      <x:c r="I359" s="31"/>
      <x:c r="J359" s="31"/>
      <x:c r="K359" s="24" t="str"/>
      <x:c r="L359" s="24" t="str"/>
      <x:c r="M359" s="30"/>
      <x:c r="N359" s="31"/>
      <x:c r="O359" s="30"/>
      <x:c r="P359" s="32"/>
      <x:c r="Q359" s="32"/>
      <x:c r="R359" s="32"/>
      <x:c r="S359" s="24" t="str"/>
      <x:c r="T359" s="32"/>
      <x:c r="U359" s="32"/>
      <x:c r="V359" s="24" t="str"/>
      <x:c r="W359" s="24" t="str"/>
      <x:c r="X359" s="32"/>
      <x:c r="Y359" s="33"/>
      <x:c r="Z359" s="31"/>
      <x:c r="AA359" s="24" t="str"/>
      <x:c r="AB359" s="30"/>
      <x:c r="AC359" s="30"/>
      <x:c r="AD359" s="32"/>
      <x:c r="AE359" s="32"/>
      <x:c r="AF359" s="24" t="str"/>
      <x:c r="AG359" s="24" t="str"/>
      <x:c r="AH359" s="30"/>
      <x:c r="AI359" s="24" t="str"/>
      <x:c r="AJ359" s="24" t="str"/>
      <x:c r="AK359" s="32"/>
      <x:c r="AL359" s="32"/>
      <x:c r="AM359" s="24" t="str"/>
      <x:c r="AN359" s="31" t="n">
        <x:v>199</x:v>
      </x:c>
    </x:row>
    <x:row r="360" ht="17.25" customHeight="1">
      <x:c r="A360" s="24" t="str">
        <x:v>프라임구독</x:v>
      </x:c>
      <x:c r="B360" s="24" t="str">
        <x:v>79도2997</x:v>
      </x:c>
      <x:c r="C360" s="24" t="str">
        <x:v>보유</x:v>
      </x:c>
      <x:c r="D360" s="24" t="str"/>
      <x:c r="E360" s="24" t="str"/>
      <x:c r="F360" s="24" t="str"/>
      <x:c r="G360" s="24" t="str">
        <x:v>가솔린 3.0</x:v>
      </x:c>
      <x:c r="H360" s="24" t="str"/>
      <x:c r="I360" s="31"/>
      <x:c r="J360" s="31"/>
      <x:c r="K360" s="24" t="str"/>
      <x:c r="L360" s="24" t="str"/>
      <x:c r="M360" s="30"/>
      <x:c r="N360" s="31"/>
      <x:c r="O360" s="30"/>
      <x:c r="P360" s="32"/>
      <x:c r="Q360" s="32"/>
      <x:c r="R360" s="32"/>
      <x:c r="S360" s="24" t="str"/>
      <x:c r="T360" s="32"/>
      <x:c r="U360" s="32"/>
      <x:c r="V360" s="24" t="str"/>
      <x:c r="W360" s="24" t="str"/>
      <x:c r="X360" s="32"/>
      <x:c r="Y360" s="33"/>
      <x:c r="Z360" s="31"/>
      <x:c r="AA360" s="24" t="str"/>
      <x:c r="AB360" s="30"/>
      <x:c r="AC360" s="30"/>
      <x:c r="AD360" s="32"/>
      <x:c r="AE360" s="32"/>
      <x:c r="AF360" s="24" t="str"/>
      <x:c r="AG360" s="24" t="str"/>
      <x:c r="AH360" s="30"/>
      <x:c r="AI360" s="24" t="str"/>
      <x:c r="AJ360" s="24" t="str"/>
      <x:c r="AK360" s="32"/>
      <x:c r="AL360" s="32"/>
      <x:c r="AM360" s="24" t="str"/>
      <x:c r="AN360" s="31" t="n">
        <x:v>200</x:v>
      </x:c>
    </x:row>
    <x:row r="361" ht="17.25" customHeight="1">
      <x:c r="A361" s="24" t="str">
        <x:v>프라임구독</x:v>
      </x:c>
      <x:c r="B361" s="24" t="str">
        <x:v>824도7383</x:v>
      </x:c>
      <x:c r="C361" s="24" t="str">
        <x:v>보유</x:v>
      </x:c>
      <x:c r="D361" s="24" t="str"/>
      <x:c r="E361" s="24" t="str"/>
      <x:c r="F361" s="24" t="str"/>
      <x:c r="G361" s="24" t="str">
        <x:v>가솔린 3.0</x:v>
      </x:c>
      <x:c r="H361" s="24" t="str"/>
      <x:c r="I361" s="31"/>
      <x:c r="J361" s="31"/>
      <x:c r="K361" s="24" t="str"/>
      <x:c r="L361" s="24" t="str"/>
      <x:c r="M361" s="30"/>
      <x:c r="N361" s="31"/>
      <x:c r="O361" s="30"/>
      <x:c r="P361" s="32"/>
      <x:c r="Q361" s="32"/>
      <x:c r="R361" s="32"/>
      <x:c r="S361" s="24" t="str"/>
      <x:c r="T361" s="32"/>
      <x:c r="U361" s="32"/>
      <x:c r="V361" s="24" t="str"/>
      <x:c r="W361" s="24" t="str"/>
      <x:c r="X361" s="32"/>
      <x:c r="Y361" s="33"/>
      <x:c r="Z361" s="31"/>
      <x:c r="AA361" s="24" t="str"/>
      <x:c r="AB361" s="30"/>
      <x:c r="AC361" s="30"/>
      <x:c r="AD361" s="32"/>
      <x:c r="AE361" s="32"/>
      <x:c r="AF361" s="24" t="str"/>
      <x:c r="AG361" s="24" t="str"/>
      <x:c r="AH361" s="30"/>
      <x:c r="AI361" s="24" t="str"/>
      <x:c r="AJ361" s="24" t="str"/>
      <x:c r="AK361" s="32"/>
      <x:c r="AL361" s="32"/>
      <x:c r="AM361" s="24" t="str"/>
      <x:c r="AN361" s="31" t="n">
        <x:v>201</x:v>
      </x:c>
    </x:row>
    <x:row r="362" ht="17.25" customHeight="1">
      <x:c r="A362" s="24" t="str">
        <x:v>프라임구독</x:v>
      </x:c>
      <x:c r="B362" s="24" t="str">
        <x:v>82고7047</x:v>
      </x:c>
      <x:c r="C362" s="24" t="str">
        <x:v>O</x:v>
      </x:c>
      <x:c r="D362" s="24" t="str"/>
      <x:c r="E362" s="24" t="str"/>
      <x:c r="F362" s="24" t="str"/>
      <x:c r="G362" s="24" t="str">
        <x:v>가솔린 3.0</x:v>
      </x:c>
      <x:c r="H362" s="24" t="str"/>
      <x:c r="I362" s="31"/>
      <x:c r="J362" s="31"/>
      <x:c r="K362" s="24" t="str"/>
      <x:c r="L362" s="24" t="str"/>
      <x:c r="M362" s="30"/>
      <x:c r="N362" s="31"/>
      <x:c r="O362" s="30"/>
      <x:c r="P362" s="32"/>
      <x:c r="Q362" s="32"/>
      <x:c r="R362" s="32"/>
      <x:c r="S362" s="24" t="str"/>
      <x:c r="T362" s="32"/>
      <x:c r="U362" s="32"/>
      <x:c r="V362" s="24" t="str"/>
      <x:c r="W362" s="24" t="str"/>
      <x:c r="X362" s="32"/>
      <x:c r="Y362" s="33"/>
      <x:c r="Z362" s="31"/>
      <x:c r="AA362" s="24" t="str"/>
      <x:c r="AB362" s="30"/>
      <x:c r="AC362" s="30"/>
      <x:c r="AD362" s="32"/>
      <x:c r="AE362" s="32"/>
      <x:c r="AF362" s="24" t="str"/>
      <x:c r="AG362" s="24" t="str"/>
      <x:c r="AH362" s="30" t="n">
        <x:v>45525</x:v>
      </x:c>
      <x:c r="AI362" s="24" t="str"/>
      <x:c r="AJ362" s="24" t="str">
        <x:v>O</x:v>
      </x:c>
      <x:c r="AK362" s="32"/>
      <x:c r="AL362" s="32"/>
      <x:c r="AM362" s="24" t="str"/>
      <x:c r="AN362" s="31" t="n">
        <x:v>202</x:v>
      </x:c>
    </x:row>
    <x:row r="363" ht="17.25" customHeight="1">
      <x:c r="A363" s="24" t="str">
        <x:v>프라임구독</x:v>
      </x:c>
      <x:c r="B363" s="24" t="str">
        <x:v>84고8297</x:v>
      </x:c>
      <x:c r="C363" s="24" t="str">
        <x:v>보유</x:v>
      </x:c>
      <x:c r="D363" s="24" t="str"/>
      <x:c r="E363" s="24" t="str"/>
      <x:c r="F363" s="24" t="str"/>
      <x:c r="G363" s="24" t="str">
        <x:v>가솔린 3.0</x:v>
      </x:c>
      <x:c r="H363" s="24" t="str"/>
      <x:c r="I363" s="31"/>
      <x:c r="J363" s="31"/>
      <x:c r="K363" s="24" t="str"/>
      <x:c r="L363" s="24" t="str"/>
      <x:c r="M363" s="30"/>
      <x:c r="N363" s="31"/>
      <x:c r="O363" s="30"/>
      <x:c r="P363" s="32"/>
      <x:c r="Q363" s="32"/>
      <x:c r="R363" s="32"/>
      <x:c r="S363" s="24" t="str"/>
      <x:c r="T363" s="32"/>
      <x:c r="U363" s="32"/>
      <x:c r="V363" s="24" t="str"/>
      <x:c r="W363" s="24" t="str"/>
      <x:c r="X363" s="32"/>
      <x:c r="Y363" s="33"/>
      <x:c r="Z363" s="31"/>
      <x:c r="AA363" s="24" t="str"/>
      <x:c r="AB363" s="30"/>
      <x:c r="AC363" s="30"/>
      <x:c r="AD363" s="32"/>
      <x:c r="AE363" s="32"/>
      <x:c r="AF363" s="24" t="str"/>
      <x:c r="AG363" s="24" t="str"/>
      <x:c r="AH363" s="30"/>
      <x:c r="AI363" s="24" t="str"/>
      <x:c r="AJ363" s="24" t="str"/>
      <x:c r="AK363" s="32"/>
      <x:c r="AL363" s="32"/>
      <x:c r="AM363" s="24" t="str"/>
      <x:c r="AN363" s="31" t="n">
        <x:v>203</x:v>
      </x:c>
    </x:row>
    <x:row r="364" ht="17.25" customHeight="1">
      <x:c r="A364" s="24" t="str">
        <x:v>프라임구독</x:v>
      </x:c>
      <x:c r="B364" s="24" t="str">
        <x:v>84모5364</x:v>
      </x:c>
      <x:c r="C364" s="24" t="str">
        <x:v>보유</x:v>
      </x:c>
      <x:c r="D364" s="24" t="str"/>
      <x:c r="E364" s="24" t="str"/>
      <x:c r="F364" s="24" t="str"/>
      <x:c r="G364" s="24" t="str">
        <x:v>가솔린 3.0</x:v>
      </x:c>
      <x:c r="H364" s="24" t="str"/>
      <x:c r="I364" s="31"/>
      <x:c r="J364" s="31"/>
      <x:c r="K364" s="24" t="str"/>
      <x:c r="L364" s="24" t="str"/>
      <x:c r="M364" s="30"/>
      <x:c r="N364" s="31"/>
      <x:c r="O364" s="30"/>
      <x:c r="P364" s="32"/>
      <x:c r="Q364" s="32"/>
      <x:c r="R364" s="32"/>
      <x:c r="S364" s="24" t="str"/>
      <x:c r="T364" s="32"/>
      <x:c r="U364" s="32"/>
      <x:c r="V364" s="24" t="str"/>
      <x:c r="W364" s="24" t="str"/>
      <x:c r="X364" s="32"/>
      <x:c r="Y364" s="33"/>
      <x:c r="Z364" s="31"/>
      <x:c r="AA364" s="24" t="str"/>
      <x:c r="AB364" s="30"/>
      <x:c r="AC364" s="30"/>
      <x:c r="AD364" s="32"/>
      <x:c r="AE364" s="32"/>
      <x:c r="AF364" s="24" t="str"/>
      <x:c r="AG364" s="24" t="str"/>
      <x:c r="AH364" s="30"/>
      <x:c r="AI364" s="24" t="str"/>
      <x:c r="AJ364" s="24" t="str"/>
      <x:c r="AK364" s="32"/>
      <x:c r="AL364" s="32"/>
      <x:c r="AM364" s="24" t="str"/>
      <x:c r="AN364" s="31" t="n">
        <x:v>204</x:v>
      </x:c>
    </x:row>
    <x:row r="365" ht="17.25" customHeight="1">
      <x:c r="A365" s="24" t="str">
        <x:v>프라임구독</x:v>
      </x:c>
      <x:c r="B365" s="24" t="str">
        <x:v>84모5456</x:v>
      </x:c>
      <x:c r="C365" s="24" t="str">
        <x:v>보유</x:v>
      </x:c>
      <x:c r="D365" s="24" t="str"/>
      <x:c r="E365" s="24" t="str"/>
      <x:c r="F365" s="24" t="str"/>
      <x:c r="G365" s="24" t="str">
        <x:v>가솔린 3.0</x:v>
      </x:c>
      <x:c r="H365" s="24" t="str"/>
      <x:c r="I365" s="31"/>
      <x:c r="J365" s="31"/>
      <x:c r="K365" s="24" t="str"/>
      <x:c r="L365" s="24" t="str"/>
      <x:c r="M365" s="30"/>
      <x:c r="N365" s="31"/>
      <x:c r="O365" s="30"/>
      <x:c r="P365" s="32"/>
      <x:c r="Q365" s="32"/>
      <x:c r="R365" s="32"/>
      <x:c r="S365" s="24" t="str"/>
      <x:c r="T365" s="32"/>
      <x:c r="U365" s="32"/>
      <x:c r="V365" s="24" t="str"/>
      <x:c r="W365" s="24" t="str"/>
      <x:c r="X365" s="32"/>
      <x:c r="Y365" s="33"/>
      <x:c r="Z365" s="31"/>
      <x:c r="AA365" s="24" t="str"/>
      <x:c r="AB365" s="30"/>
      <x:c r="AC365" s="30"/>
      <x:c r="AD365" s="32"/>
      <x:c r="AE365" s="32"/>
      <x:c r="AF365" s="24" t="str"/>
      <x:c r="AG365" s="24" t="str"/>
      <x:c r="AH365" s="30"/>
      <x:c r="AI365" s="24" t="str"/>
      <x:c r="AJ365" s="24" t="str"/>
      <x:c r="AK365" s="32"/>
      <x:c r="AL365" s="32"/>
      <x:c r="AM365" s="24" t="str"/>
      <x:c r="AN365" s="31" t="n">
        <x:v>205</x:v>
      </x:c>
    </x:row>
    <x:row r="366" ht="17.25" customHeight="1">
      <x:c r="A366" s="24" t="str">
        <x:v>프라임구독</x:v>
      </x:c>
      <x:c r="B366" s="24" t="str">
        <x:v>84우6793</x:v>
      </x:c>
      <x:c r="C366" s="24" t="str">
        <x:v>O</x:v>
      </x:c>
      <x:c r="D366" s="24" t="str"/>
      <x:c r="E366" s="24" t="str"/>
      <x:c r="F366" s="24" t="str"/>
      <x:c r="G366" s="24" t="str">
        <x:v>가솔린 3.0</x:v>
      </x:c>
      <x:c r="H366" s="24" t="str"/>
      <x:c r="I366" s="31"/>
      <x:c r="J366" s="31"/>
      <x:c r="K366" s="24" t="str"/>
      <x:c r="L366" s="24" t="str"/>
      <x:c r="M366" s="30"/>
      <x:c r="N366" s="31"/>
      <x:c r="O366" s="30"/>
      <x:c r="P366" s="32"/>
      <x:c r="Q366" s="32"/>
      <x:c r="R366" s="32"/>
      <x:c r="S366" s="24" t="str"/>
      <x:c r="T366" s="32"/>
      <x:c r="U366" s="32"/>
      <x:c r="V366" s="24" t="str"/>
      <x:c r="W366" s="24" t="str"/>
      <x:c r="X366" s="32"/>
      <x:c r="Y366" s="33"/>
      <x:c r="Z366" s="31"/>
      <x:c r="AA366" s="24" t="str"/>
      <x:c r="AB366" s="30"/>
      <x:c r="AC366" s="30"/>
      <x:c r="AD366" s="32"/>
      <x:c r="AE366" s="32"/>
      <x:c r="AF366" s="24" t="str"/>
      <x:c r="AG366" s="24" t="str"/>
      <x:c r="AH366" s="30" t="n">
        <x:v>45533</x:v>
      </x:c>
      <x:c r="AI366" s="24" t="str"/>
      <x:c r="AJ366" s="24" t="str">
        <x:v>O</x:v>
      </x:c>
      <x:c r="AK366" s="32"/>
      <x:c r="AL366" s="32"/>
      <x:c r="AM366" s="24" t="str"/>
      <x:c r="AN366" s="31" t="n">
        <x:v>206</x:v>
      </x:c>
    </x:row>
    <x:row r="367" ht="17.25" customHeight="1">
      <x:c r="A367" s="24" t="str">
        <x:v>프라임구독</x:v>
      </x:c>
      <x:c r="B367" s="24" t="str">
        <x:v>86어0692</x:v>
      </x:c>
      <x:c r="C367" s="24" t="str">
        <x:v>보유</x:v>
      </x:c>
      <x:c r="D367" s="24" t="str"/>
      <x:c r="E367" s="24" t="str"/>
      <x:c r="F367" s="24" t="str"/>
      <x:c r="G367" s="24" t="str">
        <x:v>가솔린 3.0</x:v>
      </x:c>
      <x:c r="H367" s="24" t="str"/>
      <x:c r="I367" s="31"/>
      <x:c r="J367" s="31"/>
      <x:c r="K367" s="24" t="str"/>
      <x:c r="L367" s="24" t="str"/>
      <x:c r="M367" s="30"/>
      <x:c r="N367" s="31"/>
      <x:c r="O367" s="30"/>
      <x:c r="P367" s="32"/>
      <x:c r="Q367" s="32"/>
      <x:c r="R367" s="32"/>
      <x:c r="S367" s="24" t="str"/>
      <x:c r="T367" s="32"/>
      <x:c r="U367" s="32"/>
      <x:c r="V367" s="24" t="str"/>
      <x:c r="W367" s="24" t="str"/>
      <x:c r="X367" s="32"/>
      <x:c r="Y367" s="33"/>
      <x:c r="Z367" s="31"/>
      <x:c r="AA367" s="24" t="str"/>
      <x:c r="AB367" s="30"/>
      <x:c r="AC367" s="30"/>
      <x:c r="AD367" s="32"/>
      <x:c r="AE367" s="32"/>
      <x:c r="AF367" s="24" t="str"/>
      <x:c r="AG367" s="24" t="str"/>
      <x:c r="AH367" s="30"/>
      <x:c r="AI367" s="24" t="str"/>
      <x:c r="AJ367" s="24" t="str"/>
      <x:c r="AK367" s="32"/>
      <x:c r="AL367" s="32"/>
      <x:c r="AM367" s="24" t="str"/>
      <x:c r="AN367" s="31" t="n">
        <x:v>207</x:v>
      </x:c>
    </x:row>
    <x:row r="368" ht="17.25" customHeight="1">
      <x:c r="A368" s="24" t="str">
        <x:v>프라임구독</x:v>
      </x:c>
      <x:c r="B368" s="24" t="str">
        <x:v>88더7125</x:v>
      </x:c>
      <x:c r="C368" s="24" t="str">
        <x:v>O</x:v>
      </x:c>
      <x:c r="D368" s="24" t="str"/>
      <x:c r="E368" s="24" t="str"/>
      <x:c r="F368" s="24" t="str"/>
      <x:c r="G368" s="24" t="str">
        <x:v>가솔린 3.0</x:v>
      </x:c>
      <x:c r="H368" s="24" t="str"/>
      <x:c r="I368" s="31"/>
      <x:c r="J368" s="31"/>
      <x:c r="K368" s="24" t="str"/>
      <x:c r="L368" s="24" t="str"/>
      <x:c r="M368" s="30"/>
      <x:c r="N368" s="31"/>
      <x:c r="O368" s="30"/>
      <x:c r="P368" s="32"/>
      <x:c r="Q368" s="32"/>
      <x:c r="R368" s="32"/>
      <x:c r="S368" s="24" t="str"/>
      <x:c r="T368" s="32"/>
      <x:c r="U368" s="32"/>
      <x:c r="V368" s="24" t="str"/>
      <x:c r="W368" s="24" t="str"/>
      <x:c r="X368" s="32"/>
      <x:c r="Y368" s="33"/>
      <x:c r="Z368" s="31"/>
      <x:c r="AA368" s="24" t="str"/>
      <x:c r="AB368" s="30"/>
      <x:c r="AC368" s="30"/>
      <x:c r="AD368" s="32"/>
      <x:c r="AE368" s="32"/>
      <x:c r="AF368" s="24" t="str"/>
      <x:c r="AG368" s="24" t="str"/>
      <x:c r="AH368" s="30" t="n">
        <x:v>45526</x:v>
      </x:c>
      <x:c r="AI368" s="24" t="str"/>
      <x:c r="AJ368" s="24" t="str">
        <x:v>O</x:v>
      </x:c>
      <x:c r="AK368" s="32"/>
      <x:c r="AL368" s="32"/>
      <x:c r="AM368" s="24" t="str"/>
      <x:c r="AN368" s="31" t="n">
        <x:v>208</x:v>
      </x:c>
    </x:row>
    <x:row r="369" ht="17.25" customHeight="1">
      <x:c r="A369" s="24" t="str">
        <x:v>프라임구독</x:v>
      </x:c>
      <x:c r="B369" s="24" t="str">
        <x:v>88오9333</x:v>
      </x:c>
      <x:c r="C369" s="24" t="str">
        <x:v>보유</x:v>
      </x:c>
      <x:c r="D369" s="24" t="str"/>
      <x:c r="E369" s="24" t="str"/>
      <x:c r="F369" s="24" t="str"/>
      <x:c r="G369" s="24" t="str">
        <x:v>가솔린 3.0</x:v>
      </x:c>
      <x:c r="H369" s="24" t="str"/>
      <x:c r="I369" s="31"/>
      <x:c r="J369" s="31"/>
      <x:c r="K369" s="24" t="str"/>
      <x:c r="L369" s="24" t="str"/>
      <x:c r="M369" s="30"/>
      <x:c r="N369" s="31"/>
      <x:c r="O369" s="30"/>
      <x:c r="P369" s="32"/>
      <x:c r="Q369" s="32"/>
      <x:c r="R369" s="32"/>
      <x:c r="S369" s="24" t="str"/>
      <x:c r="T369" s="32"/>
      <x:c r="U369" s="32"/>
      <x:c r="V369" s="24" t="str"/>
      <x:c r="W369" s="24" t="str"/>
      <x:c r="X369" s="32"/>
      <x:c r="Y369" s="33"/>
      <x:c r="Z369" s="31"/>
      <x:c r="AA369" s="24" t="str"/>
      <x:c r="AB369" s="30"/>
      <x:c r="AC369" s="30"/>
      <x:c r="AD369" s="32"/>
      <x:c r="AE369" s="32"/>
      <x:c r="AF369" s="24" t="str"/>
      <x:c r="AG369" s="24" t="str"/>
      <x:c r="AH369" s="30"/>
      <x:c r="AI369" s="24" t="str"/>
      <x:c r="AJ369" s="24" t="str"/>
      <x:c r="AK369" s="32"/>
      <x:c r="AL369" s="32"/>
      <x:c r="AM369" s="24" t="str"/>
      <x:c r="AN369" s="31" t="n">
        <x:v>209</x:v>
      </x:c>
    </x:row>
    <x:row r="370" ht="17.25" customHeight="1">
      <x:c r="A370" s="24" t="str">
        <x:v>프라임구독</x:v>
      </x:c>
      <x:c r="B370" s="24" t="str">
        <x:v>89누6882</x:v>
      </x:c>
      <x:c r="C370" s="24" t="str">
        <x:v>보유</x:v>
      </x:c>
      <x:c r="D370" s="24" t="str"/>
      <x:c r="E370" s="24" t="str"/>
      <x:c r="F370" s="24" t="str"/>
      <x:c r="G370" s="24" t="str">
        <x:v>가솔린 3.0</x:v>
      </x:c>
      <x:c r="H370" s="24" t="str"/>
      <x:c r="I370" s="31"/>
      <x:c r="J370" s="31"/>
      <x:c r="K370" s="24" t="str"/>
      <x:c r="L370" s="24" t="str"/>
      <x:c r="M370" s="30"/>
      <x:c r="N370" s="31"/>
      <x:c r="O370" s="30"/>
      <x:c r="P370" s="32"/>
      <x:c r="Q370" s="32"/>
      <x:c r="R370" s="32"/>
      <x:c r="S370" s="24" t="str"/>
      <x:c r="T370" s="32"/>
      <x:c r="U370" s="32"/>
      <x:c r="V370" s="24" t="str"/>
      <x:c r="W370" s="24" t="str"/>
      <x:c r="X370" s="32"/>
      <x:c r="Y370" s="33"/>
      <x:c r="Z370" s="31"/>
      <x:c r="AA370" s="24" t="str"/>
      <x:c r="AB370" s="30"/>
      <x:c r="AC370" s="30"/>
      <x:c r="AD370" s="32"/>
      <x:c r="AE370" s="32"/>
      <x:c r="AF370" s="24" t="str"/>
      <x:c r="AG370" s="24" t="str"/>
      <x:c r="AH370" s="30"/>
      <x:c r="AI370" s="24" t="str"/>
      <x:c r="AJ370" s="24" t="str"/>
      <x:c r="AK370" s="32"/>
      <x:c r="AL370" s="32"/>
      <x:c r="AM370" s="24" t="str"/>
      <x:c r="AN370" s="31" t="n">
        <x:v>210</x:v>
      </x:c>
    </x:row>
    <x:row r="371" ht="17.25" customHeight="1">
      <x:c r="A371" s="24" t="str">
        <x:v>프라임구독</x:v>
      </x:c>
      <x:c r="B371" s="24" t="str">
        <x:v>89더0565</x:v>
      </x:c>
      <x:c r="C371" s="24" t="str">
        <x:v>보유</x:v>
      </x:c>
      <x:c r="D371" s="24" t="str"/>
      <x:c r="E371" s="24" t="str"/>
      <x:c r="F371" s="24" t="str"/>
      <x:c r="G371" s="24" t="str">
        <x:v>가솔린 3.0</x:v>
      </x:c>
      <x:c r="H371" s="24" t="str"/>
      <x:c r="I371" s="31"/>
      <x:c r="J371" s="31"/>
      <x:c r="K371" s="24" t="str"/>
      <x:c r="L371" s="24" t="str"/>
      <x:c r="M371" s="30"/>
      <x:c r="N371" s="31"/>
      <x:c r="O371" s="30"/>
      <x:c r="P371" s="32"/>
      <x:c r="Q371" s="32"/>
      <x:c r="R371" s="32"/>
      <x:c r="S371" s="24" t="str"/>
      <x:c r="T371" s="32"/>
      <x:c r="U371" s="32"/>
      <x:c r="V371" s="24" t="str"/>
      <x:c r="W371" s="24" t="str"/>
      <x:c r="X371" s="32"/>
      <x:c r="Y371" s="33"/>
      <x:c r="Z371" s="31"/>
      <x:c r="AA371" s="24" t="str"/>
      <x:c r="AB371" s="30"/>
      <x:c r="AC371" s="30"/>
      <x:c r="AD371" s="32"/>
      <x:c r="AE371" s="32"/>
      <x:c r="AF371" s="24" t="str"/>
      <x:c r="AG371" s="24" t="str"/>
      <x:c r="AH371" s="30"/>
      <x:c r="AI371" s="24" t="str"/>
      <x:c r="AJ371" s="24" t="str"/>
      <x:c r="AK371" s="32"/>
      <x:c r="AL371" s="32"/>
      <x:c r="AM371" s="24" t="str"/>
      <x:c r="AN371" s="31" t="n">
        <x:v>211</x:v>
      </x:c>
    </x:row>
    <x:row r="372" ht="17.25" customHeight="1">
      <x:c r="A372" s="24" t="str">
        <x:v>프라임구독</x:v>
      </x:c>
      <x:c r="B372" s="24" t="str">
        <x:v>91구1898</x:v>
      </x:c>
      <x:c r="C372" s="24" t="str">
        <x:v>보유</x:v>
      </x:c>
      <x:c r="D372" s="24" t="str"/>
      <x:c r="E372" s="24" t="str"/>
      <x:c r="F372" s="24" t="str"/>
      <x:c r="G372" s="24" t="str">
        <x:v>가솔린 3.0</x:v>
      </x:c>
      <x:c r="H372" s="24" t="str"/>
      <x:c r="I372" s="31"/>
      <x:c r="J372" s="31"/>
      <x:c r="K372" s="24" t="str"/>
      <x:c r="L372" s="24" t="str"/>
      <x:c r="M372" s="30"/>
      <x:c r="N372" s="31"/>
      <x:c r="O372" s="30"/>
      <x:c r="P372" s="32"/>
      <x:c r="Q372" s="32"/>
      <x:c r="R372" s="32"/>
      <x:c r="S372" s="24" t="str"/>
      <x:c r="T372" s="32"/>
      <x:c r="U372" s="32"/>
      <x:c r="V372" s="24" t="str"/>
      <x:c r="W372" s="24" t="str"/>
      <x:c r="X372" s="32"/>
      <x:c r="Y372" s="33"/>
      <x:c r="Z372" s="31"/>
      <x:c r="AA372" s="24" t="str"/>
      <x:c r="AB372" s="30"/>
      <x:c r="AC372" s="30"/>
      <x:c r="AD372" s="32"/>
      <x:c r="AE372" s="32"/>
      <x:c r="AF372" s="24" t="str"/>
      <x:c r="AG372" s="24" t="str"/>
      <x:c r="AH372" s="30"/>
      <x:c r="AI372" s="24" t="str"/>
      <x:c r="AJ372" s="24" t="str"/>
      <x:c r="AK372" s="32"/>
      <x:c r="AL372" s="32"/>
      <x:c r="AM372" s="24" t="str"/>
      <x:c r="AN372" s="31" t="n">
        <x:v>212</x:v>
      </x:c>
    </x:row>
    <x:row r="373" ht="17.25" customHeight="1">
      <x:c r="A373" s="24" t="str">
        <x:v>프라임구독</x:v>
      </x:c>
      <x:c r="B373" s="24" t="str">
        <x:v>93너4019</x:v>
      </x:c>
      <x:c r="C373" s="24" t="str">
        <x:v>보유</x:v>
      </x:c>
      <x:c r="D373" s="24" t="str"/>
      <x:c r="E373" s="24" t="str"/>
      <x:c r="F373" s="24" t="str"/>
      <x:c r="G373" s="24" t="str">
        <x:v>가솔린 3.0</x:v>
      </x:c>
      <x:c r="H373" s="24" t="str"/>
      <x:c r="I373" s="31"/>
      <x:c r="J373" s="31"/>
      <x:c r="K373" s="24" t="str"/>
      <x:c r="L373" s="24" t="str"/>
      <x:c r="M373" s="30"/>
      <x:c r="N373" s="31"/>
      <x:c r="O373" s="30"/>
      <x:c r="P373" s="32"/>
      <x:c r="Q373" s="32"/>
      <x:c r="R373" s="32"/>
      <x:c r="S373" s="24" t="str"/>
      <x:c r="T373" s="32"/>
      <x:c r="U373" s="32"/>
      <x:c r="V373" s="24" t="str"/>
      <x:c r="W373" s="24" t="str"/>
      <x:c r="X373" s="32"/>
      <x:c r="Y373" s="33"/>
      <x:c r="Z373" s="31"/>
      <x:c r="AA373" s="24" t="str"/>
      <x:c r="AB373" s="30"/>
      <x:c r="AC373" s="30"/>
      <x:c r="AD373" s="32"/>
      <x:c r="AE373" s="32"/>
      <x:c r="AF373" s="24" t="str"/>
      <x:c r="AG373" s="24" t="str"/>
      <x:c r="AH373" s="30"/>
      <x:c r="AI373" s="24" t="str"/>
      <x:c r="AJ373" s="24" t="str"/>
      <x:c r="AK373" s="32"/>
      <x:c r="AL373" s="32"/>
      <x:c r="AM373" s="24" t="str"/>
      <x:c r="AN373" s="31" t="n">
        <x:v>213</x:v>
      </x:c>
    </x:row>
    <x:row r="374" ht="17.25" customHeight="1">
      <x:c r="A374" s="24" t="str">
        <x:v>프라임구독</x:v>
      </x:c>
      <x:c r="B374" s="24" t="str">
        <x:v>93오0716</x:v>
      </x:c>
      <x:c r="C374" s="24" t="str">
        <x:v>보유</x:v>
      </x:c>
      <x:c r="D374" s="24" t="str"/>
      <x:c r="E374" s="24" t="str"/>
      <x:c r="F374" s="24" t="str"/>
      <x:c r="G374" s="24" t="str">
        <x:v>가솔린 3.0</x:v>
      </x:c>
      <x:c r="H374" s="24" t="str"/>
      <x:c r="I374" s="31"/>
      <x:c r="J374" s="31"/>
      <x:c r="K374" s="24" t="str"/>
      <x:c r="L374" s="24" t="str"/>
      <x:c r="M374" s="30"/>
      <x:c r="N374" s="31"/>
      <x:c r="O374" s="30"/>
      <x:c r="P374" s="32"/>
      <x:c r="Q374" s="32"/>
      <x:c r="R374" s="32"/>
      <x:c r="S374" s="24" t="str"/>
      <x:c r="T374" s="32"/>
      <x:c r="U374" s="32"/>
      <x:c r="V374" s="24" t="str"/>
      <x:c r="W374" s="24" t="str"/>
      <x:c r="X374" s="32"/>
      <x:c r="Y374" s="33"/>
      <x:c r="Z374" s="31"/>
      <x:c r="AA374" s="24" t="str"/>
      <x:c r="AB374" s="30"/>
      <x:c r="AC374" s="30"/>
      <x:c r="AD374" s="32"/>
      <x:c r="AE374" s="32"/>
      <x:c r="AF374" s="24" t="str"/>
      <x:c r="AG374" s="24" t="str"/>
      <x:c r="AH374" s="30"/>
      <x:c r="AI374" s="24" t="str"/>
      <x:c r="AJ374" s="24" t="str"/>
      <x:c r="AK374" s="32"/>
      <x:c r="AL374" s="32"/>
      <x:c r="AM374" s="24" t="str"/>
      <x:c r="AN374" s="31" t="n">
        <x:v>214</x:v>
      </x:c>
    </x:row>
    <x:row r="375" ht="17.25" customHeight="1">
      <x:c r="A375" s="24" t="str">
        <x:v>프라임구독</x:v>
      </x:c>
      <x:c r="B375" s="24" t="str">
        <x:v>95서4167</x:v>
      </x:c>
      <x:c r="C375" s="24" t="str">
        <x:v>보유</x:v>
      </x:c>
      <x:c r="D375" s="24" t="str"/>
      <x:c r="E375" s="24" t="str"/>
      <x:c r="F375" s="24" t="str"/>
      <x:c r="G375" s="24" t="str">
        <x:v>가솔린 3.0</x:v>
      </x:c>
      <x:c r="H375" s="24" t="str"/>
      <x:c r="I375" s="31"/>
      <x:c r="J375" s="31"/>
      <x:c r="K375" s="24" t="str"/>
      <x:c r="L375" s="24" t="str"/>
      <x:c r="M375" s="30"/>
      <x:c r="N375" s="31"/>
      <x:c r="O375" s="30"/>
      <x:c r="P375" s="32"/>
      <x:c r="Q375" s="32"/>
      <x:c r="R375" s="32"/>
      <x:c r="S375" s="24" t="str"/>
      <x:c r="T375" s="32"/>
      <x:c r="U375" s="32"/>
      <x:c r="V375" s="24" t="str"/>
      <x:c r="W375" s="24" t="str"/>
      <x:c r="X375" s="32"/>
      <x:c r="Y375" s="33"/>
      <x:c r="Z375" s="31"/>
      <x:c r="AA375" s="24" t="str"/>
      <x:c r="AB375" s="30"/>
      <x:c r="AC375" s="30"/>
      <x:c r="AD375" s="32"/>
      <x:c r="AE375" s="32"/>
      <x:c r="AF375" s="24" t="str"/>
      <x:c r="AG375" s="24" t="str"/>
      <x:c r="AH375" s="30"/>
      <x:c r="AI375" s="24" t="str"/>
      <x:c r="AJ375" s="24" t="str"/>
      <x:c r="AK375" s="32"/>
      <x:c r="AL375" s="32"/>
      <x:c r="AM375" s="24" t="str"/>
      <x:c r="AN375" s="31" t="n">
        <x:v>215</x:v>
      </x:c>
    </x:row>
    <x:row r="376" ht="17.25" customHeight="1">
      <x:c r="A376" s="24" t="str">
        <x:v>프라임구독</x:v>
      </x:c>
      <x:c r="B376" s="24" t="str">
        <x:v>96머7474</x:v>
      </x:c>
      <x:c r="C376" s="24" t="str">
        <x:v>보유</x:v>
      </x:c>
      <x:c r="D376" s="24" t="str"/>
      <x:c r="E376" s="24" t="str"/>
      <x:c r="F376" s="24" t="str"/>
      <x:c r="G376" s="24" t="str">
        <x:v>가솔린 3.0</x:v>
      </x:c>
      <x:c r="H376" s="24" t="str"/>
      <x:c r="I376" s="31"/>
      <x:c r="J376" s="31"/>
      <x:c r="K376" s="24" t="str"/>
      <x:c r="L376" s="24" t="str"/>
      <x:c r="M376" s="30"/>
      <x:c r="N376" s="31"/>
      <x:c r="O376" s="30"/>
      <x:c r="P376" s="32"/>
      <x:c r="Q376" s="32"/>
      <x:c r="R376" s="32"/>
      <x:c r="S376" s="24" t="str"/>
      <x:c r="T376" s="32"/>
      <x:c r="U376" s="32"/>
      <x:c r="V376" s="24" t="str"/>
      <x:c r="W376" s="24" t="str"/>
      <x:c r="X376" s="32"/>
      <x:c r="Y376" s="33"/>
      <x:c r="Z376" s="31"/>
      <x:c r="AA376" s="24" t="str"/>
      <x:c r="AB376" s="30"/>
      <x:c r="AC376" s="30"/>
      <x:c r="AD376" s="32"/>
      <x:c r="AE376" s="32"/>
      <x:c r="AF376" s="24" t="str"/>
      <x:c r="AG376" s="24" t="str"/>
      <x:c r="AH376" s="30"/>
      <x:c r="AI376" s="24" t="str"/>
      <x:c r="AJ376" s="24" t="str"/>
      <x:c r="AK376" s="32"/>
      <x:c r="AL376" s="32"/>
      <x:c r="AM376" s="24" t="str"/>
      <x:c r="AN376" s="31" t="n">
        <x:v>216</x:v>
      </x:c>
    </x:row>
    <x:row r="377" ht="17.25" customHeight="1">
      <x:c r="A377" s="24" t="str">
        <x:v>프라임구독</x:v>
      </x:c>
      <x:c r="B377" s="24" t="str">
        <x:v>96서1502</x:v>
      </x:c>
      <x:c r="C377" s="24" t="str">
        <x:v>보유</x:v>
      </x:c>
      <x:c r="D377" s="24" t="str"/>
      <x:c r="E377" s="24" t="str"/>
      <x:c r="F377" s="24" t="str"/>
      <x:c r="G377" s="24" t="str">
        <x:v>가솔린 3.0</x:v>
      </x:c>
      <x:c r="H377" s="24" t="str"/>
      <x:c r="I377" s="31"/>
      <x:c r="J377" s="31"/>
      <x:c r="K377" s="24" t="str"/>
      <x:c r="L377" s="24" t="str"/>
      <x:c r="M377" s="30"/>
      <x:c r="N377" s="31"/>
      <x:c r="O377" s="30"/>
      <x:c r="P377" s="32"/>
      <x:c r="Q377" s="32"/>
      <x:c r="R377" s="32"/>
      <x:c r="S377" s="24" t="str"/>
      <x:c r="T377" s="32"/>
      <x:c r="U377" s="32"/>
      <x:c r="V377" s="24" t="str"/>
      <x:c r="W377" s="24" t="str"/>
      <x:c r="X377" s="32"/>
      <x:c r="Y377" s="33"/>
      <x:c r="Z377" s="31"/>
      <x:c r="AA377" s="24" t="str"/>
      <x:c r="AB377" s="30"/>
      <x:c r="AC377" s="30"/>
      <x:c r="AD377" s="32"/>
      <x:c r="AE377" s="32"/>
      <x:c r="AF377" s="24" t="str"/>
      <x:c r="AG377" s="24" t="str"/>
      <x:c r="AH377" s="30"/>
      <x:c r="AI377" s="24" t="str"/>
      <x:c r="AJ377" s="24" t="str"/>
      <x:c r="AK377" s="32"/>
      <x:c r="AL377" s="32"/>
      <x:c r="AM377" s="24" t="str"/>
      <x:c r="AN377" s="31" t="n">
        <x:v>217</x:v>
      </x:c>
    </x:row>
  </x:sheetData>
  <x:pageMargins left="0.7" right="0.7" top="0.75" bottom="0.75" header="0.3" footer="0.3"/>
  <x:tableParts count="1">
    <x:tablePart xmlns:r="http://schemas.openxmlformats.org/officeDocument/2006/relationships" r:id="Rc43003f5a97340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130000114440918" hidden="0" customWidth="1"/>
    <x:col min="3" max="3" width="11.25" hidden="0" customWidth="1"/>
    <x:col min="4" max="4" width="9.380000114440918" hidden="0" customWidth="1"/>
    <x:col min="5" max="5" width="16.25" hidden="0" customWidth="1"/>
    <x:col min="6" max="6" width="27.5" hidden="0" customWidth="1"/>
    <x:col min="7" max="7" width="10" hidden="0" customWidth="1"/>
    <x:col min="8" max="8" width="11.25" hidden="0" customWidth="1"/>
    <x:col min="9" max="9" width="9.380000114440918" hidden="0" customWidth="1"/>
    <x:col min="10" max="10" width="11.25" hidden="0" customWidth="1"/>
    <x:col min="11" max="11" width="22.5" hidden="0" customWidth="1"/>
    <x:col min="12" max="12" width="10" hidden="0" customWidth="1"/>
  </x:cols>
  <x:sheetData>
    <x:row r="1" ht="25.5" customHeight="1">
      <x:c r="A1" s="29" t="str">
        <x:v>업무ID</x:v>
      </x:c>
      <x:c r="B1" s="29" t="str">
        <x:v>법인</x:v>
      </x:c>
      <x:c r="C1" s="29" t="str">
        <x:v>차량번호</x:v>
      </x:c>
      <x:c r="D1" s="29" t="str">
        <x:v>우선순위</x:v>
      </x:c>
      <x:c r="E1" s="29" t="str">
        <x:v>업무유형</x:v>
      </x:c>
      <x:c r="F1" s="29" t="str">
        <x:v>내용</x:v>
      </x:c>
      <x:c r="G1" s="29" t="str">
        <x:v>담당자</x:v>
      </x:c>
      <x:c r="H1" s="29" t="str">
        <x:v>기한</x:v>
      </x:c>
      <x:c r="I1" s="29" t="str">
        <x:v>상태</x:v>
      </x:c>
      <x:c r="J1" s="29" t="str">
        <x:v>완료일</x:v>
      </x:c>
      <x:c r="K1" s="29" t="str">
        <x:v>관련ID</x:v>
      </x:c>
      <x:c r="L1" s="29" t="str">
        <x:v>원본</x:v>
      </x:c>
    </x:row>
    <x:row r="2" ht="17.25" customHeight="1">
      <x:c r="A2" s="24" t="str">
        <x:v>W-0001</x:v>
      </x:c>
      <x:c r="B2" s="24" t="str">
        <x:v>스위치플랜</x:v>
      </x:c>
      <x:c r="C2" s="24" t="str">
        <x:v>16부2718</x:v>
      </x:c>
      <x:c r="D2" s="24" t="str">
        <x:v>높음</x:v>
      </x:c>
      <x:c r="E2" s="24" t="str">
        <x:v>보험 연령 입력</x:v>
      </x:c>
      <x:c r="F2" s="24" t="str">
        <x:v>16부2718 보험 연령 입력</x:v>
      </x:c>
      <x:c r="G2" s="24" t="str"/>
      <x:c r="H2" s="30"/>
      <x:c r="I2" s="24" t="str">
        <x:v>대기</x:v>
      </x:c>
      <x:c r="J2" s="30"/>
      <x:c r="K2" s="24" t="str">
        <x:v>SW-C-16부2718-1-20260211-3</x:v>
      </x:c>
      <x:c r="L2" s="24" t="str">
        <x:v>자동점검</x:v>
      </x:c>
    </x:row>
    <x:row r="3" ht="17.25" customHeight="1">
      <x:c r="A3" s="24" t="str">
        <x:v>W-0002</x:v>
      </x:c>
      <x:c r="B3" s="24" t="str">
        <x:v>스위치플랜</x:v>
      </x:c>
      <x:c r="C3" s="24" t="str">
        <x:v>16부2718</x:v>
      </x:c>
      <x:c r="D3" s="24" t="str">
        <x:v>높음</x:v>
      </x:c>
      <x:c r="E3" s="24" t="str">
        <x:v>보험 갱신 확인</x:v>
      </x:c>
      <x:c r="F3" s="24" t="str">
        <x:v>16부2718 보험 갱신 확인</x:v>
      </x:c>
      <x:c r="G3" s="24" t="str"/>
      <x:c r="H3" s="30"/>
      <x:c r="I3" s="24" t="str">
        <x:v>대기</x:v>
      </x:c>
      <x:c r="J3" s="30"/>
      <x:c r="K3" s="24" t="str">
        <x:v>SW-C-16부2718-1-20260211-3</x:v>
      </x:c>
      <x:c r="L3" s="24" t="str">
        <x:v>자동점검</x:v>
      </x:c>
    </x:row>
    <x:row r="4" ht="17.25" customHeight="1">
      <x:c r="A4" s="24" t="str">
        <x:v>W-0003</x:v>
      </x:c>
      <x:c r="B4" s="24" t="str">
        <x:v>스위치플랜</x:v>
      </x:c>
      <x:c r="C4" s="24" t="str">
        <x:v>181로2705</x:v>
      </x:c>
      <x:c r="D4" s="24" t="str">
        <x:v>긴급</x:v>
      </x:c>
      <x:c r="E4" s="24" t="str">
        <x:v>미수 확인</x:v>
      </x:c>
      <x:c r="F4" s="24" t="str">
        <x:v>181로2705 미수 확인</x:v>
      </x:c>
      <x:c r="G4" s="24" t="str"/>
      <x:c r="H4" s="30"/>
      <x:c r="I4" s="24" t="str">
        <x:v>대기</x:v>
      </x:c>
      <x:c r="J4" s="30"/>
      <x:c r="K4" s="24" t="str">
        <x:v>SW-C-181로2705-1-20241209-4</x:v>
      </x:c>
      <x:c r="L4" s="24" t="str">
        <x:v>자동점검</x:v>
      </x:c>
    </x:row>
    <x:row r="5" ht="17.25" customHeight="1">
      <x:c r="A5" s="24" t="str">
        <x:v>W-0004</x:v>
      </x:c>
      <x:c r="B5" s="24" t="str">
        <x:v>스위치플랜</x:v>
      </x:c>
      <x:c r="C5" s="24" t="str">
        <x:v>181로2705</x:v>
      </x:c>
      <x:c r="D5" s="24" t="str">
        <x:v>높음</x:v>
      </x:c>
      <x:c r="E5" s="24" t="str">
        <x:v>보험 연령 입력</x:v>
      </x:c>
      <x:c r="F5" s="24" t="str">
        <x:v>181로2705 보험 연령 입력</x:v>
      </x:c>
      <x:c r="G5" s="24" t="str"/>
      <x:c r="H5" s="30"/>
      <x:c r="I5" s="24" t="str">
        <x:v>대기</x:v>
      </x:c>
      <x:c r="J5" s="30"/>
      <x:c r="K5" s="24" t="str">
        <x:v>SW-C-181로2705-1-20241209-4</x:v>
      </x:c>
      <x:c r="L5" s="24" t="str">
        <x:v>자동점검</x:v>
      </x:c>
    </x:row>
    <x:row r="6" ht="17.25" customHeight="1">
      <x:c r="A6" s="24" t="str">
        <x:v>W-0005</x:v>
      </x:c>
      <x:c r="B6" s="24" t="str">
        <x:v>스위치플랜</x:v>
      </x:c>
      <x:c r="C6" s="24" t="str">
        <x:v>181로2705</x:v>
      </x:c>
      <x:c r="D6" s="24" t="str">
        <x:v>높음</x:v>
      </x:c>
      <x:c r="E6" s="24" t="str">
        <x:v>보험 갱신 확인</x:v>
      </x:c>
      <x:c r="F6" s="24" t="str">
        <x:v>181로2705 보험 갱신 확인</x:v>
      </x:c>
      <x:c r="G6" s="24" t="str"/>
      <x:c r="H6" s="30"/>
      <x:c r="I6" s="24" t="str">
        <x:v>대기</x:v>
      </x:c>
      <x:c r="J6" s="30"/>
      <x:c r="K6" s="24" t="str">
        <x:v>SW-C-181로2705-1-20241209-4</x:v>
      </x:c>
      <x:c r="L6" s="24" t="str">
        <x:v>자동점검</x:v>
      </x:c>
    </x:row>
    <x:row r="7" ht="17.25" customHeight="1">
      <x:c r="A7" s="24" t="str">
        <x:v>W-0006</x:v>
      </x:c>
      <x:c r="B7" s="24" t="str">
        <x:v>스위치플랜</x:v>
      </x:c>
      <x:c r="C7" s="24" t="str">
        <x:v>03머0389</x:v>
      </x:c>
      <x:c r="D7" s="24" t="str">
        <x:v>긴급</x:v>
      </x:c>
      <x:c r="E7" s="24" t="str">
        <x:v>회수 검토</x:v>
      </x:c>
      <x:c r="F7" s="24" t="str">
        <x:v>03머0389 회수 검토</x:v>
      </x:c>
      <x:c r="G7" s="24" t="str"/>
      <x:c r="H7" s="30"/>
      <x:c r="I7" s="24" t="str">
        <x:v>대기</x:v>
      </x:c>
      <x:c r="J7" s="30"/>
      <x:c r="K7" s="24" t="str">
        <x:v>SW-C-03머0389-1-20240104-5</x:v>
      </x:c>
      <x:c r="L7" s="24" t="str">
        <x:v>자동점검</x:v>
      </x:c>
    </x:row>
    <x:row r="8" ht="17.25" customHeight="1">
      <x:c r="A8" s="24" t="str">
        <x:v>W-0007</x:v>
      </x:c>
      <x:c r="B8" s="24" t="str">
        <x:v>스위치플랜</x:v>
      </x:c>
      <x:c r="C8" s="24" t="str">
        <x:v>03머0389</x:v>
      </x:c>
      <x:c r="D8" s="24" t="str">
        <x:v>높음</x:v>
      </x:c>
      <x:c r="E8" s="24" t="str">
        <x:v>보험 연령 입력</x:v>
      </x:c>
      <x:c r="F8" s="24" t="str">
        <x:v>03머0389 보험 연령 입력</x:v>
      </x:c>
      <x:c r="G8" s="24" t="str"/>
      <x:c r="H8" s="30"/>
      <x:c r="I8" s="24" t="str">
        <x:v>대기</x:v>
      </x:c>
      <x:c r="J8" s="30"/>
      <x:c r="K8" s="24" t="str">
        <x:v>SW-C-03머0389-1-20240104-5</x:v>
      </x:c>
      <x:c r="L8" s="24" t="str">
        <x:v>자동점검</x:v>
      </x:c>
    </x:row>
    <x:row r="9" ht="17.25" customHeight="1">
      <x:c r="A9" s="24" t="str">
        <x:v>W-0008</x:v>
      </x:c>
      <x:c r="B9" s="24" t="str">
        <x:v>스위치플랜</x:v>
      </x:c>
      <x:c r="C9" s="24" t="str">
        <x:v>03머0389</x:v>
      </x:c>
      <x:c r="D9" s="24" t="str">
        <x:v>높음</x:v>
      </x:c>
      <x:c r="E9" s="24" t="str">
        <x:v>보험 갱신 확인</x:v>
      </x:c>
      <x:c r="F9" s="24" t="str">
        <x:v>03머0389 보험 갱신 확인</x:v>
      </x:c>
      <x:c r="G9" s="24" t="str"/>
      <x:c r="H9" s="30"/>
      <x:c r="I9" s="24" t="str">
        <x:v>대기</x:v>
      </x:c>
      <x:c r="J9" s="30"/>
      <x:c r="K9" s="24" t="str">
        <x:v>SW-C-03머0389-1-20240104-5</x:v>
      </x:c>
      <x:c r="L9" s="24" t="str">
        <x:v>자동점검</x:v>
      </x:c>
    </x:row>
    <x:row r="10" ht="17.25" customHeight="1">
      <x:c r="A10" s="24" t="str">
        <x:v>W-0009</x:v>
      </x:c>
      <x:c r="B10" s="24" t="str">
        <x:v>스위치플랜</x:v>
      </x:c>
      <x:c r="C10" s="24" t="str">
        <x:v>117머4942</x:v>
      </x:c>
      <x:c r="D10" s="24" t="str">
        <x:v>긴급</x:v>
      </x:c>
      <x:c r="E10" s="24" t="str">
        <x:v>미수 확인</x:v>
      </x:c>
      <x:c r="F10" s="24" t="str">
        <x:v>117머4942 미수 확인</x:v>
      </x:c>
      <x:c r="G10" s="24" t="str"/>
      <x:c r="H10" s="30"/>
      <x:c r="I10" s="24" t="str">
        <x:v>대기</x:v>
      </x:c>
      <x:c r="J10" s="30"/>
      <x:c r="K10" s="24" t="str">
        <x:v>SW-C-117머4942-1-20250623-6</x:v>
      </x:c>
      <x:c r="L10" s="24" t="str">
        <x:v>자동점검</x:v>
      </x:c>
    </x:row>
    <x:row r="11" ht="17.25" customHeight="1">
      <x:c r="A11" s="24" t="str">
        <x:v>W-0010</x:v>
      </x:c>
      <x:c r="B11" s="24" t="str">
        <x:v>스위치플랜</x:v>
      </x:c>
      <x:c r="C11" s="24" t="str">
        <x:v>117머4942</x:v>
      </x:c>
      <x:c r="D11" s="24" t="str">
        <x:v>높음</x:v>
      </x:c>
      <x:c r="E11" s="24" t="str">
        <x:v>보험 연령 입력</x:v>
      </x:c>
      <x:c r="F11" s="24" t="str">
        <x:v>117머4942 보험 연령 입력</x:v>
      </x:c>
      <x:c r="G11" s="24" t="str"/>
      <x:c r="H11" s="30"/>
      <x:c r="I11" s="24" t="str">
        <x:v>대기</x:v>
      </x:c>
      <x:c r="J11" s="30"/>
      <x:c r="K11" s="24" t="str">
        <x:v>SW-C-117머4942-1-20250623-6</x:v>
      </x:c>
      <x:c r="L11" s="24" t="str">
        <x:v>자동점검</x:v>
      </x:c>
    </x:row>
    <x:row r="12" ht="17.25" customHeight="1">
      <x:c r="A12" s="24" t="str">
        <x:v>W-0011</x:v>
      </x:c>
      <x:c r="B12" s="24" t="str">
        <x:v>스위치플랜</x:v>
      </x:c>
      <x:c r="C12" s="24" t="str">
        <x:v>117머4942</x:v>
      </x:c>
      <x:c r="D12" s="24" t="str">
        <x:v>높음</x:v>
      </x:c>
      <x:c r="E12" s="24" t="str">
        <x:v>보험 갱신 확인</x:v>
      </x:c>
      <x:c r="F12" s="24" t="str">
        <x:v>117머4942 보험 갱신 확인</x:v>
      </x:c>
      <x:c r="G12" s="24" t="str"/>
      <x:c r="H12" s="30"/>
      <x:c r="I12" s="24" t="str">
        <x:v>대기</x:v>
      </x:c>
      <x:c r="J12" s="30"/>
      <x:c r="K12" s="24" t="str">
        <x:v>SW-C-117머4942-1-20250623-6</x:v>
      </x:c>
      <x:c r="L12" s="24" t="str">
        <x:v>자동점검</x:v>
      </x:c>
    </x:row>
    <x:row r="13" ht="17.25" customHeight="1">
      <x:c r="A13" s="24" t="str">
        <x:v>W-0012</x:v>
      </x:c>
      <x:c r="B13" s="24" t="str">
        <x:v>스위치플랜</x:v>
      </x:c>
      <x:c r="C13" s="24" t="str">
        <x:v>19마6497</x:v>
      </x:c>
      <x:c r="D13" s="24" t="str">
        <x:v>높음</x:v>
      </x:c>
      <x:c r="E13" s="24" t="str">
        <x:v>보험 연령 입력</x:v>
      </x:c>
      <x:c r="F13" s="24" t="str">
        <x:v>19마6497 보험 연령 입력</x:v>
      </x:c>
      <x:c r="G13" s="24" t="str"/>
      <x:c r="H13" s="30"/>
      <x:c r="I13" s="24" t="str">
        <x:v>대기</x:v>
      </x:c>
      <x:c r="J13" s="30"/>
      <x:c r="K13" s="24" t="str">
        <x:v>SW-C-19마6497-1-20241211-7</x:v>
      </x:c>
      <x:c r="L13" s="24" t="str">
        <x:v>자동점검</x:v>
      </x:c>
    </x:row>
    <x:row r="14" ht="17.25" customHeight="1">
      <x:c r="A14" s="24" t="str">
        <x:v>W-0013</x:v>
      </x:c>
      <x:c r="B14" s="24" t="str">
        <x:v>스위치플랜</x:v>
      </x:c>
      <x:c r="C14" s="24" t="str">
        <x:v>19마6497</x:v>
      </x:c>
      <x:c r="D14" s="24" t="str">
        <x:v>높음</x:v>
      </x:c>
      <x:c r="E14" s="24" t="str">
        <x:v>보험 갱신 확인</x:v>
      </x:c>
      <x:c r="F14" s="24" t="str">
        <x:v>19마6497 보험 갱신 확인</x:v>
      </x:c>
      <x:c r="G14" s="24" t="str"/>
      <x:c r="H14" s="30"/>
      <x:c r="I14" s="24" t="str">
        <x:v>대기</x:v>
      </x:c>
      <x:c r="J14" s="30"/>
      <x:c r="K14" s="24" t="str">
        <x:v>SW-C-19마6497-1-20241211-7</x:v>
      </x:c>
      <x:c r="L14" s="24" t="str">
        <x:v>자동점검</x:v>
      </x:c>
    </x:row>
    <x:row r="15" ht="17.25" customHeight="1">
      <x:c r="A15" s="24" t="str">
        <x:v>W-0014</x:v>
      </x:c>
      <x:c r="B15" s="24" t="str">
        <x:v>스위치플랜</x:v>
      </x:c>
      <x:c r="C15" s="24" t="str">
        <x:v>62조4444</x:v>
      </x:c>
      <x:c r="D15" s="24" t="str">
        <x:v>긴급</x:v>
      </x:c>
      <x:c r="E15" s="24" t="str">
        <x:v>회수 검토</x:v>
      </x:c>
      <x:c r="F15" s="24" t="str">
        <x:v>62조4444 회수 검토</x:v>
      </x:c>
      <x:c r="G15" s="24" t="str"/>
      <x:c r="H15" s="30"/>
      <x:c r="I15" s="24" t="str">
        <x:v>대기</x:v>
      </x:c>
      <x:c r="J15" s="30"/>
      <x:c r="K15" s="24" t="str">
        <x:v>SW-C-62조4444-1-2510-8</x:v>
      </x:c>
      <x:c r="L15" s="24" t="str">
        <x:v>자동점검</x:v>
      </x:c>
    </x:row>
    <x:row r="16" ht="17.25" customHeight="1">
      <x:c r="A16" s="24" t="str">
        <x:v>W-0015</x:v>
      </x:c>
      <x:c r="B16" s="24" t="str">
        <x:v>스위치플랜</x:v>
      </x:c>
      <x:c r="C16" s="24" t="str">
        <x:v>62조4444</x:v>
      </x:c>
      <x:c r="D16" s="24" t="str">
        <x:v>높음</x:v>
      </x:c>
      <x:c r="E16" s="24" t="str">
        <x:v>보험 연령 입력</x:v>
      </x:c>
      <x:c r="F16" s="24" t="str">
        <x:v>62조4444 보험 연령 입력</x:v>
      </x:c>
      <x:c r="G16" s="24" t="str"/>
      <x:c r="H16" s="30"/>
      <x:c r="I16" s="24" t="str">
        <x:v>대기</x:v>
      </x:c>
      <x:c r="J16" s="30"/>
      <x:c r="K16" s="24" t="str">
        <x:v>SW-C-62조4444-1-2510-8</x:v>
      </x:c>
      <x:c r="L16" s="24" t="str">
        <x:v>자동점검</x:v>
      </x:c>
    </x:row>
    <x:row r="17" ht="17.25" customHeight="1">
      <x:c r="A17" s="24" t="str">
        <x:v>W-0016</x:v>
      </x:c>
      <x:c r="B17" s="24" t="str">
        <x:v>스위치플랜</x:v>
      </x:c>
      <x:c r="C17" s="24" t="str">
        <x:v>62조4444</x:v>
      </x:c>
      <x:c r="D17" s="24" t="str">
        <x:v>높음</x:v>
      </x:c>
      <x:c r="E17" s="24" t="str">
        <x:v>보험 갱신 확인</x:v>
      </x:c>
      <x:c r="F17" s="24" t="str">
        <x:v>62조4444 보험 갱신 확인</x:v>
      </x:c>
      <x:c r="G17" s="24" t="str"/>
      <x:c r="H17" s="30"/>
      <x:c r="I17" s="24" t="str">
        <x:v>대기</x:v>
      </x:c>
      <x:c r="J17" s="30"/>
      <x:c r="K17" s="24" t="str">
        <x:v>SW-C-62조4444-1-2510-8</x:v>
      </x:c>
      <x:c r="L17" s="24" t="str">
        <x:v>자동점검</x:v>
      </x:c>
    </x:row>
    <x:row r="18" ht="17.25" customHeight="1">
      <x:c r="A18" s="24" t="str">
        <x:v>W-0017</x:v>
      </x:c>
      <x:c r="B18" s="24" t="str">
        <x:v>스위치플랜</x:v>
      </x:c>
      <x:c r="C18" s="24" t="str">
        <x:v>41구1614</x:v>
      </x:c>
      <x:c r="D18" s="24" t="str">
        <x:v>긴급</x:v>
      </x:c>
      <x:c r="E18" s="24" t="str">
        <x:v>미수 확인</x:v>
      </x:c>
      <x:c r="F18" s="24" t="str">
        <x:v>41구1614 미수 확인</x:v>
      </x:c>
      <x:c r="G18" s="24" t="str"/>
      <x:c r="H18" s="30"/>
      <x:c r="I18" s="24" t="str">
        <x:v>대기</x:v>
      </x:c>
      <x:c r="J18" s="30"/>
      <x:c r="K18" s="24" t="str">
        <x:v>SW-C-41구1614-1-20250422-9</x:v>
      </x:c>
      <x:c r="L18" s="24" t="str">
        <x:v>자동점검</x:v>
      </x:c>
    </x:row>
    <x:row r="19" ht="17.25" customHeight="1">
      <x:c r="A19" s="24" t="str">
        <x:v>W-0018</x:v>
      </x:c>
      <x:c r="B19" s="24" t="str">
        <x:v>스위치플랜</x:v>
      </x:c>
      <x:c r="C19" s="24" t="str">
        <x:v>41구1614</x:v>
      </x:c>
      <x:c r="D19" s="24" t="str">
        <x:v>높음</x:v>
      </x:c>
      <x:c r="E19" s="24" t="str">
        <x:v>보험 연령 입력</x:v>
      </x:c>
      <x:c r="F19" s="24" t="str">
        <x:v>41구1614 보험 연령 입력</x:v>
      </x:c>
      <x:c r="G19" s="24" t="str"/>
      <x:c r="H19" s="30"/>
      <x:c r="I19" s="24" t="str">
        <x:v>대기</x:v>
      </x:c>
      <x:c r="J19" s="30"/>
      <x:c r="K19" s="24" t="str">
        <x:v>SW-C-41구1614-1-20250422-9</x:v>
      </x:c>
      <x:c r="L19" s="24" t="str">
        <x:v>자동점검</x:v>
      </x:c>
    </x:row>
    <x:row r="20" ht="17.25" customHeight="1">
      <x:c r="A20" s="24" t="str">
        <x:v>W-0019</x:v>
      </x:c>
      <x:c r="B20" s="24" t="str">
        <x:v>스위치플랜</x:v>
      </x:c>
      <x:c r="C20" s="24" t="str">
        <x:v>41구1614</x:v>
      </x:c>
      <x:c r="D20" s="24" t="str">
        <x:v>높음</x:v>
      </x:c>
      <x:c r="E20" s="24" t="str">
        <x:v>보험 갱신 확인</x:v>
      </x:c>
      <x:c r="F20" s="24" t="str">
        <x:v>41구1614 보험 갱신 확인</x:v>
      </x:c>
      <x:c r="G20" s="24" t="str"/>
      <x:c r="H20" s="30"/>
      <x:c r="I20" s="24" t="str">
        <x:v>대기</x:v>
      </x:c>
      <x:c r="J20" s="30"/>
      <x:c r="K20" s="24" t="str">
        <x:v>SW-C-41구1614-1-20250422-9</x:v>
      </x:c>
      <x:c r="L20" s="24" t="str">
        <x:v>자동점검</x:v>
      </x:c>
    </x:row>
    <x:row r="21" ht="17.25" customHeight="1">
      <x:c r="A21" s="24" t="str">
        <x:v>W-0020</x:v>
      </x:c>
      <x:c r="B21" s="24" t="str">
        <x:v>스위치플랜</x:v>
      </x:c>
      <x:c r="C21" s="24" t="str">
        <x:v>52수7832</x:v>
      </x:c>
      <x:c r="D21" s="24" t="str">
        <x:v>긴급</x:v>
      </x:c>
      <x:c r="E21" s="24" t="str">
        <x:v>회수 검토</x:v>
      </x:c>
      <x:c r="F21" s="24" t="str">
        <x:v>52수7832 회수 검토</x:v>
      </x:c>
      <x:c r="G21" s="24" t="str"/>
      <x:c r="H21" s="30"/>
      <x:c r="I21" s="24" t="str">
        <x:v>대기</x:v>
      </x:c>
      <x:c r="J21" s="30"/>
      <x:c r="K21" s="24" t="str">
        <x:v>SW-C-52수7832-1-20260526-10</x:v>
      </x:c>
      <x:c r="L21" s="24" t="str">
        <x:v>자동점검</x:v>
      </x:c>
    </x:row>
    <x:row r="22" ht="17.25" customHeight="1">
      <x:c r="A22" s="24" t="str">
        <x:v>W-0021</x:v>
      </x:c>
      <x:c r="B22" s="24" t="str">
        <x:v>스위치플랜</x:v>
      </x:c>
      <x:c r="C22" s="24" t="str">
        <x:v>52수7832</x:v>
      </x:c>
      <x:c r="D22" s="24" t="str">
        <x:v>높음</x:v>
      </x:c>
      <x:c r="E22" s="24" t="str">
        <x:v>보험 연령 입력</x:v>
      </x:c>
      <x:c r="F22" s="24" t="str">
        <x:v>52수7832 보험 연령 입력</x:v>
      </x:c>
      <x:c r="G22" s="24" t="str"/>
      <x:c r="H22" s="30"/>
      <x:c r="I22" s="24" t="str">
        <x:v>대기</x:v>
      </x:c>
      <x:c r="J22" s="30"/>
      <x:c r="K22" s="24" t="str">
        <x:v>SW-C-52수7832-1-20260526-10</x:v>
      </x:c>
      <x:c r="L22" s="24" t="str">
        <x:v>자동점검</x:v>
      </x:c>
    </x:row>
    <x:row r="23" ht="17.25" customHeight="1">
      <x:c r="A23" s="24" t="str">
        <x:v>W-0022</x:v>
      </x:c>
      <x:c r="B23" s="24" t="str">
        <x:v>스위치플랜</x:v>
      </x:c>
      <x:c r="C23" s="24" t="str">
        <x:v>52수7832</x:v>
      </x:c>
      <x:c r="D23" s="24" t="str">
        <x:v>높음</x:v>
      </x:c>
      <x:c r="E23" s="24" t="str">
        <x:v>보험 갱신 확인</x:v>
      </x:c>
      <x:c r="F23" s="24" t="str">
        <x:v>52수7832 보험 갱신 확인</x:v>
      </x:c>
      <x:c r="G23" s="24" t="str"/>
      <x:c r="H23" s="30"/>
      <x:c r="I23" s="24" t="str">
        <x:v>대기</x:v>
      </x:c>
      <x:c r="J23" s="30"/>
      <x:c r="K23" s="24" t="str">
        <x:v>SW-C-52수7832-1-20260526-10</x:v>
      </x:c>
      <x:c r="L23" s="24" t="str">
        <x:v>자동점검</x:v>
      </x:c>
    </x:row>
    <x:row r="24" ht="17.25" customHeight="1">
      <x:c r="A24" s="24" t="str">
        <x:v>W-0023</x:v>
      </x:c>
      <x:c r="B24" s="24" t="str">
        <x:v>스위치플랜</x:v>
      </x:c>
      <x:c r="C24" s="24" t="str">
        <x:v>07버3390</x:v>
      </x:c>
      <x:c r="D24" s="24" t="str">
        <x:v>긴급</x:v>
      </x:c>
      <x:c r="E24" s="24" t="str">
        <x:v>미수 확인</x:v>
      </x:c>
      <x:c r="F24" s="24" t="str">
        <x:v>07버3390 미수 확인</x:v>
      </x:c>
      <x:c r="G24" s="24" t="str"/>
      <x:c r="H24" s="30"/>
      <x:c r="I24" s="24" t="str">
        <x:v>대기</x:v>
      </x:c>
      <x:c r="J24" s="30"/>
      <x:c r="K24" s="24" t="str">
        <x:v>SW-C-07버3390-1-20250729-12</x:v>
      </x:c>
      <x:c r="L24" s="24" t="str">
        <x:v>자동점검</x:v>
      </x:c>
    </x:row>
    <x:row r="25" ht="17.25" customHeight="1">
      <x:c r="A25" s="24" t="str">
        <x:v>W-0024</x:v>
      </x:c>
      <x:c r="B25" s="24" t="str">
        <x:v>스위치플랜</x:v>
      </x:c>
      <x:c r="C25" s="24" t="str">
        <x:v>07버3390</x:v>
      </x:c>
      <x:c r="D25" s="24" t="str">
        <x:v>높음</x:v>
      </x:c>
      <x:c r="E25" s="24" t="str">
        <x:v>보험 연령 입력</x:v>
      </x:c>
      <x:c r="F25" s="24" t="str">
        <x:v>07버3390 보험 연령 입력</x:v>
      </x:c>
      <x:c r="G25" s="24" t="str"/>
      <x:c r="H25" s="30"/>
      <x:c r="I25" s="24" t="str">
        <x:v>대기</x:v>
      </x:c>
      <x:c r="J25" s="30"/>
      <x:c r="K25" s="24" t="str">
        <x:v>SW-C-07버3390-1-20250729-12</x:v>
      </x:c>
      <x:c r="L25" s="24" t="str">
        <x:v>자동점검</x:v>
      </x:c>
    </x:row>
    <x:row r="26" ht="17.25" customHeight="1">
      <x:c r="A26" s="24" t="str">
        <x:v>W-0025</x:v>
      </x:c>
      <x:c r="B26" s="24" t="str">
        <x:v>스위치플랜</x:v>
      </x:c>
      <x:c r="C26" s="24" t="str">
        <x:v>07버3390</x:v>
      </x:c>
      <x:c r="D26" s="24" t="str">
        <x:v>높음</x:v>
      </x:c>
      <x:c r="E26" s="24" t="str">
        <x:v>보험 갱신 확인</x:v>
      </x:c>
      <x:c r="F26" s="24" t="str">
        <x:v>07버3390 보험 갱신 확인</x:v>
      </x:c>
      <x:c r="G26" s="24" t="str"/>
      <x:c r="H26" s="30"/>
      <x:c r="I26" s="24" t="str">
        <x:v>대기</x:v>
      </x:c>
      <x:c r="J26" s="30"/>
      <x:c r="K26" s="24" t="str">
        <x:v>SW-C-07버3390-1-20250729-12</x:v>
      </x:c>
      <x:c r="L26" s="24" t="str">
        <x:v>자동점검</x:v>
      </x:c>
    </x:row>
    <x:row r="27" ht="17.25" customHeight="1">
      <x:c r="A27" s="24" t="str">
        <x:v>W-0026</x:v>
      </x:c>
      <x:c r="B27" s="24" t="str">
        <x:v>스위치플랜</x:v>
      </x:c>
      <x:c r="C27" s="24" t="str">
        <x:v>12다2400</x:v>
      </x:c>
      <x:c r="D27" s="24" t="str">
        <x:v>긴급</x:v>
      </x:c>
      <x:c r="E27" s="24" t="str">
        <x:v>회수 검토</x:v>
      </x:c>
      <x:c r="F27" s="24" t="str">
        <x:v>12다2400 회수 검토</x:v>
      </x:c>
      <x:c r="G27" s="24" t="str"/>
      <x:c r="H27" s="30"/>
      <x:c r="I27" s="24" t="str">
        <x:v>대기</x:v>
      </x:c>
      <x:c r="J27" s="30"/>
      <x:c r="K27" s="24" t="str">
        <x:v>SW-C-12다2400-1-20240921-13</x:v>
      </x:c>
      <x:c r="L27" s="24" t="str">
        <x:v>자동점검</x:v>
      </x:c>
    </x:row>
    <x:row r="28" ht="17.25" customHeight="1">
      <x:c r="A28" s="24" t="str">
        <x:v>W-0027</x:v>
      </x:c>
      <x:c r="B28" s="24" t="str">
        <x:v>스위치플랜</x:v>
      </x:c>
      <x:c r="C28" s="24" t="str">
        <x:v>12다2400</x:v>
      </x:c>
      <x:c r="D28" s="24" t="str">
        <x:v>높음</x:v>
      </x:c>
      <x:c r="E28" s="24" t="str">
        <x:v>보험 연령 입력</x:v>
      </x:c>
      <x:c r="F28" s="24" t="str">
        <x:v>12다2400 보험 연령 입력</x:v>
      </x:c>
      <x:c r="G28" s="24" t="str"/>
      <x:c r="H28" s="30"/>
      <x:c r="I28" s="24" t="str">
        <x:v>대기</x:v>
      </x:c>
      <x:c r="J28" s="30"/>
      <x:c r="K28" s="24" t="str">
        <x:v>SW-C-12다2400-1-20240921-13</x:v>
      </x:c>
      <x:c r="L28" s="24" t="str">
        <x:v>자동점검</x:v>
      </x:c>
    </x:row>
    <x:row r="29" ht="17.25" customHeight="1">
      <x:c r="A29" s="24" t="str">
        <x:v>W-0028</x:v>
      </x:c>
      <x:c r="B29" s="24" t="str">
        <x:v>스위치플랜</x:v>
      </x:c>
      <x:c r="C29" s="24" t="str">
        <x:v>12다2400</x:v>
      </x:c>
      <x:c r="D29" s="24" t="str">
        <x:v>높음</x:v>
      </x:c>
      <x:c r="E29" s="24" t="str">
        <x:v>보험 갱신 확인</x:v>
      </x:c>
      <x:c r="F29" s="24" t="str">
        <x:v>12다2400 보험 갱신 확인</x:v>
      </x:c>
      <x:c r="G29" s="24" t="str"/>
      <x:c r="H29" s="30"/>
      <x:c r="I29" s="24" t="str">
        <x:v>대기</x:v>
      </x:c>
      <x:c r="J29" s="30"/>
      <x:c r="K29" s="24" t="str">
        <x:v>SW-C-12다2400-1-20240921-13</x:v>
      </x:c>
      <x:c r="L29" s="24" t="str">
        <x:v>자동점검</x:v>
      </x:c>
    </x:row>
    <x:row r="30" ht="17.25" customHeight="1">
      <x:c r="A30" s="24" t="str">
        <x:v>W-0029</x:v>
      </x:c>
      <x:c r="B30" s="24" t="str">
        <x:v>스위치플랜</x:v>
      </x:c>
      <x:c r="C30" s="24" t="str">
        <x:v>54무1552</x:v>
      </x:c>
      <x:c r="D30" s="24" t="str">
        <x:v>높음</x:v>
      </x:c>
      <x:c r="E30" s="24" t="str">
        <x:v>보험 연령 입력</x:v>
      </x:c>
      <x:c r="F30" s="24" t="str">
        <x:v>54무1552 보험 연령 입력</x:v>
      </x:c>
      <x:c r="G30" s="24" t="str"/>
      <x:c r="H30" s="30"/>
      <x:c r="I30" s="24" t="str">
        <x:v>대기</x:v>
      </x:c>
      <x:c r="J30" s="30"/>
      <x:c r="K30" s="24" t="str">
        <x:v>SW-C-54무1552-1-20250102-14</x:v>
      </x:c>
      <x:c r="L30" s="24" t="str">
        <x:v>자동점검</x:v>
      </x:c>
    </x:row>
    <x:row r="31" ht="17.25" customHeight="1">
      <x:c r="A31" s="24" t="str">
        <x:v>W-0030</x:v>
      </x:c>
      <x:c r="B31" s="24" t="str">
        <x:v>스위치플랜</x:v>
      </x:c>
      <x:c r="C31" s="24" t="str">
        <x:v>54무1552</x:v>
      </x:c>
      <x:c r="D31" s="24" t="str">
        <x:v>높음</x:v>
      </x:c>
      <x:c r="E31" s="24" t="str">
        <x:v>보험 갱신 확인</x:v>
      </x:c>
      <x:c r="F31" s="24" t="str">
        <x:v>54무1552 보험 갱신 확인</x:v>
      </x:c>
      <x:c r="G31" s="24" t="str"/>
      <x:c r="H31" s="30"/>
      <x:c r="I31" s="24" t="str">
        <x:v>대기</x:v>
      </x:c>
      <x:c r="J31" s="30"/>
      <x:c r="K31" s="24" t="str">
        <x:v>SW-C-54무1552-1-20250102-14</x:v>
      </x:c>
      <x:c r="L31" s="24" t="str">
        <x:v>자동점검</x:v>
      </x:c>
    </x:row>
    <x:row r="32" ht="17.25" customHeight="1">
      <x:c r="A32" s="24" t="str">
        <x:v>W-0031</x:v>
      </x:c>
      <x:c r="B32" s="24" t="str">
        <x:v>스위치플랜</x:v>
      </x:c>
      <x:c r="C32" s="24" t="str">
        <x:v>24부3251</x:v>
      </x:c>
      <x:c r="D32" s="24" t="str">
        <x:v>높음</x:v>
      </x:c>
      <x:c r="E32" s="24" t="str">
        <x:v>보험 연령 입력</x:v>
      </x:c>
      <x:c r="F32" s="24" t="str">
        <x:v>24부3251 보험 연령 입력</x:v>
      </x:c>
      <x:c r="G32" s="24" t="str"/>
      <x:c r="H32" s="30"/>
      <x:c r="I32" s="24" t="str">
        <x:v>대기</x:v>
      </x:c>
      <x:c r="J32" s="30"/>
      <x:c r="K32" s="24" t="str">
        <x:v>SW-C-24부3251-1-20250808-15</x:v>
      </x:c>
      <x:c r="L32" s="24" t="str">
        <x:v>자동점검</x:v>
      </x:c>
    </x:row>
    <x:row r="33" ht="17.25" customHeight="1">
      <x:c r="A33" s="24" t="str">
        <x:v>W-0032</x:v>
      </x:c>
      <x:c r="B33" s="24" t="str">
        <x:v>스위치플랜</x:v>
      </x:c>
      <x:c r="C33" s="24" t="str">
        <x:v>24부3251</x:v>
      </x:c>
      <x:c r="D33" s="24" t="str">
        <x:v>높음</x:v>
      </x:c>
      <x:c r="E33" s="24" t="str">
        <x:v>보험 갱신 확인</x:v>
      </x:c>
      <x:c r="F33" s="24" t="str">
        <x:v>24부3251 보험 갱신 확인</x:v>
      </x:c>
      <x:c r="G33" s="24" t="str"/>
      <x:c r="H33" s="30"/>
      <x:c r="I33" s="24" t="str">
        <x:v>대기</x:v>
      </x:c>
      <x:c r="J33" s="30"/>
      <x:c r="K33" s="24" t="str">
        <x:v>SW-C-24부3251-1-20250808-15</x:v>
      </x:c>
      <x:c r="L33" s="24" t="str">
        <x:v>자동점검</x:v>
      </x:c>
    </x:row>
    <x:row r="34" ht="17.25" customHeight="1">
      <x:c r="A34" s="24" t="str">
        <x:v>W-0033</x:v>
      </x:c>
      <x:c r="B34" s="24" t="str">
        <x:v>스위치플랜</x:v>
      </x:c>
      <x:c r="C34" s="24" t="str">
        <x:v>297거4892</x:v>
      </x:c>
      <x:c r="D34" s="24" t="str">
        <x:v>긴급</x:v>
      </x:c>
      <x:c r="E34" s="24" t="str">
        <x:v>회수 검토</x:v>
      </x:c>
      <x:c r="F34" s="24" t="str">
        <x:v>297거4892 회수 검토</x:v>
      </x:c>
      <x:c r="G34" s="24" t="str"/>
      <x:c r="H34" s="30"/>
      <x:c r="I34" s="24" t="str">
        <x:v>대기</x:v>
      </x:c>
      <x:c r="J34" s="30"/>
      <x:c r="K34" s="24" t="str">
        <x:v>SW-C-297거4892-1-20251017-16</x:v>
      </x:c>
      <x:c r="L34" s="24" t="str">
        <x:v>자동점검</x:v>
      </x:c>
    </x:row>
    <x:row r="35" ht="17.25" customHeight="1">
      <x:c r="A35" s="24" t="str">
        <x:v>W-0034</x:v>
      </x:c>
      <x:c r="B35" s="24" t="str">
        <x:v>스위치플랜</x:v>
      </x:c>
      <x:c r="C35" s="24" t="str">
        <x:v>297거4892</x:v>
      </x:c>
      <x:c r="D35" s="24" t="str">
        <x:v>높음</x:v>
      </x:c>
      <x:c r="E35" s="24" t="str">
        <x:v>보험 연령 입력</x:v>
      </x:c>
      <x:c r="F35" s="24" t="str">
        <x:v>297거4892 보험 연령 입력</x:v>
      </x:c>
      <x:c r="G35" s="24" t="str"/>
      <x:c r="H35" s="30"/>
      <x:c r="I35" s="24" t="str">
        <x:v>대기</x:v>
      </x:c>
      <x:c r="J35" s="30"/>
      <x:c r="K35" s="24" t="str">
        <x:v>SW-C-297거4892-1-20251017-16</x:v>
      </x:c>
      <x:c r="L35" s="24" t="str">
        <x:v>자동점검</x:v>
      </x:c>
    </x:row>
    <x:row r="36" ht="17.25" customHeight="1">
      <x:c r="A36" s="24" t="str">
        <x:v>W-0035</x:v>
      </x:c>
      <x:c r="B36" s="24" t="str">
        <x:v>스위치플랜</x:v>
      </x:c>
      <x:c r="C36" s="24" t="str">
        <x:v>297거4892</x:v>
      </x:c>
      <x:c r="D36" s="24" t="str">
        <x:v>높음</x:v>
      </x:c>
      <x:c r="E36" s="24" t="str">
        <x:v>보험 갱신 확인</x:v>
      </x:c>
      <x:c r="F36" s="24" t="str">
        <x:v>297거4892 보험 갱신 확인</x:v>
      </x:c>
      <x:c r="G36" s="24" t="str"/>
      <x:c r="H36" s="30"/>
      <x:c r="I36" s="24" t="str">
        <x:v>대기</x:v>
      </x:c>
      <x:c r="J36" s="30"/>
      <x:c r="K36" s="24" t="str">
        <x:v>SW-C-297거4892-1-20251017-16</x:v>
      </x:c>
      <x:c r="L36" s="24" t="str">
        <x:v>자동점검</x:v>
      </x:c>
    </x:row>
    <x:row r="37" ht="17.25" customHeight="1">
      <x:c r="A37" s="24" t="str">
        <x:v>W-0036</x:v>
      </x:c>
      <x:c r="B37" s="24" t="str">
        <x:v>스위치플랜</x:v>
      </x:c>
      <x:c r="C37" s="24" t="str">
        <x:v>263모3889</x:v>
      </x:c>
      <x:c r="D37" s="24" t="str">
        <x:v>긴급</x:v>
      </x:c>
      <x:c r="E37" s="24" t="str">
        <x:v>회수 검토</x:v>
      </x:c>
      <x:c r="F37" s="24" t="str">
        <x:v>263모3889 회수 검토</x:v>
      </x:c>
      <x:c r="G37" s="24" t="str"/>
      <x:c r="H37" s="30"/>
      <x:c r="I37" s="24" t="str">
        <x:v>대기</x:v>
      </x:c>
      <x:c r="J37" s="30"/>
      <x:c r="K37" s="24" t="str">
        <x:v>SW-C-263모3889-1-20250422-17</x:v>
      </x:c>
      <x:c r="L37" s="24" t="str">
        <x:v>자동점검</x:v>
      </x:c>
    </x:row>
    <x:row r="38" ht="17.25" customHeight="1">
      <x:c r="A38" s="24" t="str">
        <x:v>W-0037</x:v>
      </x:c>
      <x:c r="B38" s="24" t="str">
        <x:v>스위치플랜</x:v>
      </x:c>
      <x:c r="C38" s="24" t="str">
        <x:v>263모3889</x:v>
      </x:c>
      <x:c r="D38" s="24" t="str">
        <x:v>높음</x:v>
      </x:c>
      <x:c r="E38" s="24" t="str">
        <x:v>보험 연령 입력</x:v>
      </x:c>
      <x:c r="F38" s="24" t="str">
        <x:v>263모3889 보험 연령 입력</x:v>
      </x:c>
      <x:c r="G38" s="24" t="str"/>
      <x:c r="H38" s="30"/>
      <x:c r="I38" s="24" t="str">
        <x:v>대기</x:v>
      </x:c>
      <x:c r="J38" s="30"/>
      <x:c r="K38" s="24" t="str">
        <x:v>SW-C-263모3889-1-20250422-17</x:v>
      </x:c>
      <x:c r="L38" s="24" t="str">
        <x:v>자동점검</x:v>
      </x:c>
    </x:row>
    <x:row r="39" ht="17.25" customHeight="1">
      <x:c r="A39" s="24" t="str">
        <x:v>W-0038</x:v>
      </x:c>
      <x:c r="B39" s="24" t="str">
        <x:v>스위치플랜</x:v>
      </x:c>
      <x:c r="C39" s="24" t="str">
        <x:v>263모3889</x:v>
      </x:c>
      <x:c r="D39" s="24" t="str">
        <x:v>높음</x:v>
      </x:c>
      <x:c r="E39" s="24" t="str">
        <x:v>보험 갱신 확인</x:v>
      </x:c>
      <x:c r="F39" s="24" t="str">
        <x:v>263모3889 보험 갱신 확인</x:v>
      </x:c>
      <x:c r="G39" s="24" t="str"/>
      <x:c r="H39" s="30"/>
      <x:c r="I39" s="24" t="str">
        <x:v>대기</x:v>
      </x:c>
      <x:c r="J39" s="30"/>
      <x:c r="K39" s="24" t="str">
        <x:v>SW-C-263모3889-1-20250422-17</x:v>
      </x:c>
      <x:c r="L39" s="24" t="str">
        <x:v>자동점검</x:v>
      </x:c>
    </x:row>
    <x:row r="40" ht="17.25" customHeight="1">
      <x:c r="A40" s="24" t="str">
        <x:v>W-0039</x:v>
      </x:c>
      <x:c r="B40" s="24" t="str">
        <x:v>스위치플랜</x:v>
      </x:c>
      <x:c r="C40" s="24" t="str">
        <x:v>01도9893</x:v>
      </x:c>
      <x:c r="D40" s="24" t="str">
        <x:v>긴급</x:v>
      </x:c>
      <x:c r="E40" s="24" t="str">
        <x:v>미수 확인</x:v>
      </x:c>
      <x:c r="F40" s="24" t="str">
        <x:v>01도9893 미수 확인</x:v>
      </x:c>
      <x:c r="G40" s="24" t="str"/>
      <x:c r="H40" s="30"/>
      <x:c r="I40" s="24" t="str">
        <x:v>대기</x:v>
      </x:c>
      <x:c r="J40" s="30"/>
      <x:c r="K40" s="24" t="str">
        <x:v>SW-C-01도9893-1-20241014-18</x:v>
      </x:c>
      <x:c r="L40" s="24" t="str">
        <x:v>자동점검</x:v>
      </x:c>
    </x:row>
    <x:row r="41" ht="17.25" customHeight="1">
      <x:c r="A41" s="24" t="str">
        <x:v>W-0040</x:v>
      </x:c>
      <x:c r="B41" s="24" t="str">
        <x:v>스위치플랜</x:v>
      </x:c>
      <x:c r="C41" s="24" t="str">
        <x:v>01도9893</x:v>
      </x:c>
      <x:c r="D41" s="24" t="str">
        <x:v>높음</x:v>
      </x:c>
      <x:c r="E41" s="24" t="str">
        <x:v>보험 연령 입력</x:v>
      </x:c>
      <x:c r="F41" s="24" t="str">
        <x:v>01도9893 보험 연령 입력</x:v>
      </x:c>
      <x:c r="G41" s="24" t="str"/>
      <x:c r="H41" s="30"/>
      <x:c r="I41" s="24" t="str">
        <x:v>대기</x:v>
      </x:c>
      <x:c r="J41" s="30"/>
      <x:c r="K41" s="24" t="str">
        <x:v>SW-C-01도9893-1-20241014-18</x:v>
      </x:c>
      <x:c r="L41" s="24" t="str">
        <x:v>자동점검</x:v>
      </x:c>
    </x:row>
    <x:row r="42" ht="17.25" customHeight="1">
      <x:c r="A42" s="24" t="str">
        <x:v>W-0041</x:v>
      </x:c>
      <x:c r="B42" s="24" t="str">
        <x:v>스위치플랜</x:v>
      </x:c>
      <x:c r="C42" s="24" t="str">
        <x:v>01도9893</x:v>
      </x:c>
      <x:c r="D42" s="24" t="str">
        <x:v>높음</x:v>
      </x:c>
      <x:c r="E42" s="24" t="str">
        <x:v>보험 갱신 확인</x:v>
      </x:c>
      <x:c r="F42" s="24" t="str">
        <x:v>01도9893 보험 갱신 확인</x:v>
      </x:c>
      <x:c r="G42" s="24" t="str"/>
      <x:c r="H42" s="30"/>
      <x:c r="I42" s="24" t="str">
        <x:v>대기</x:v>
      </x:c>
      <x:c r="J42" s="30"/>
      <x:c r="K42" s="24" t="str">
        <x:v>SW-C-01도9893-1-20241014-18</x:v>
      </x:c>
      <x:c r="L42" s="24" t="str">
        <x:v>자동점검</x:v>
      </x:c>
    </x:row>
    <x:row r="43" ht="17.25" customHeight="1">
      <x:c r="A43" s="24" t="str">
        <x:v>W-0042</x:v>
      </x:c>
      <x:c r="B43" s="24" t="str">
        <x:v>스위치플랜</x:v>
      </x:c>
      <x:c r="C43" s="24" t="str">
        <x:v>02마4731</x:v>
      </x:c>
      <x:c r="D43" s="24" t="str">
        <x:v>높음</x:v>
      </x:c>
      <x:c r="E43" s="24" t="str">
        <x:v>보험 연령 입력</x:v>
      </x:c>
      <x:c r="F43" s="24" t="str">
        <x:v>02마4731 보험 연령 입력</x:v>
      </x:c>
      <x:c r="G43" s="24" t="str"/>
      <x:c r="H43" s="30"/>
      <x:c r="I43" s="24" t="str">
        <x:v>대기</x:v>
      </x:c>
      <x:c r="J43" s="30"/>
      <x:c r="K43" s="24" t="str">
        <x:v>SW-C-02마4731-1-20250317-19</x:v>
      </x:c>
      <x:c r="L43" s="24" t="str">
        <x:v>자동점검</x:v>
      </x:c>
    </x:row>
    <x:row r="44" ht="17.25" customHeight="1">
      <x:c r="A44" s="24" t="str">
        <x:v>W-0043</x:v>
      </x:c>
      <x:c r="B44" s="24" t="str">
        <x:v>스위치플랜</x:v>
      </x:c>
      <x:c r="C44" s="24" t="str">
        <x:v>02마4731</x:v>
      </x:c>
      <x:c r="D44" s="24" t="str">
        <x:v>높음</x:v>
      </x:c>
      <x:c r="E44" s="24" t="str">
        <x:v>보험 갱신 확인</x:v>
      </x:c>
      <x:c r="F44" s="24" t="str">
        <x:v>02마4731 보험 갱신 확인</x:v>
      </x:c>
      <x:c r="G44" s="24" t="str"/>
      <x:c r="H44" s="30"/>
      <x:c r="I44" s="24" t="str">
        <x:v>대기</x:v>
      </x:c>
      <x:c r="J44" s="30"/>
      <x:c r="K44" s="24" t="str">
        <x:v>SW-C-02마4731-1-20250317-19</x:v>
      </x:c>
      <x:c r="L44" s="24" t="str">
        <x:v>자동점검</x:v>
      </x:c>
    </x:row>
    <x:row r="45" ht="17.25" customHeight="1">
      <x:c r="A45" s="24" t="str">
        <x:v>W-0044</x:v>
      </x:c>
      <x:c r="B45" s="24" t="str">
        <x:v>스위치플랜</x:v>
      </x:c>
      <x:c r="C45" s="24" t="str">
        <x:v>306조9919</x:v>
      </x:c>
      <x:c r="D45" s="24" t="str">
        <x:v>긴급</x:v>
      </x:c>
      <x:c r="E45" s="24" t="str">
        <x:v>미수 확인</x:v>
      </x:c>
      <x:c r="F45" s="24" t="str">
        <x:v>306조9919 미수 확인</x:v>
      </x:c>
      <x:c r="G45" s="24" t="str"/>
      <x:c r="H45" s="30"/>
      <x:c r="I45" s="24" t="str">
        <x:v>대기</x:v>
      </x:c>
      <x:c r="J45" s="30"/>
      <x:c r="K45" s="24" t="str">
        <x:v>SW-C-306조9919-1-20260204-20</x:v>
      </x:c>
      <x:c r="L45" s="24" t="str">
        <x:v>자동점검</x:v>
      </x:c>
    </x:row>
    <x:row r="46" ht="17.25" customHeight="1">
      <x:c r="A46" s="24" t="str">
        <x:v>W-0045</x:v>
      </x:c>
      <x:c r="B46" s="24" t="str">
        <x:v>스위치플랜</x:v>
      </x:c>
      <x:c r="C46" s="24" t="str">
        <x:v>306조9919</x:v>
      </x:c>
      <x:c r="D46" s="24" t="str">
        <x:v>높음</x:v>
      </x:c>
      <x:c r="E46" s="24" t="str">
        <x:v>보험 연령 입력</x:v>
      </x:c>
      <x:c r="F46" s="24" t="str">
        <x:v>306조9919 보험 연령 입력</x:v>
      </x:c>
      <x:c r="G46" s="24" t="str"/>
      <x:c r="H46" s="30"/>
      <x:c r="I46" s="24" t="str">
        <x:v>대기</x:v>
      </x:c>
      <x:c r="J46" s="30"/>
      <x:c r="K46" s="24" t="str">
        <x:v>SW-C-306조9919-1-20260204-20</x:v>
      </x:c>
      <x:c r="L46" s="24" t="str">
        <x:v>자동점검</x:v>
      </x:c>
    </x:row>
    <x:row r="47" ht="17.25" customHeight="1">
      <x:c r="A47" s="24" t="str">
        <x:v>W-0046</x:v>
      </x:c>
      <x:c r="B47" s="24" t="str">
        <x:v>스위치플랜</x:v>
      </x:c>
      <x:c r="C47" s="24" t="str">
        <x:v>306조9919</x:v>
      </x:c>
      <x:c r="D47" s="24" t="str">
        <x:v>높음</x:v>
      </x:c>
      <x:c r="E47" s="24" t="str">
        <x:v>보험 갱신 확인</x:v>
      </x:c>
      <x:c r="F47" s="24" t="str">
        <x:v>306조9919 보험 갱신 확인</x:v>
      </x:c>
      <x:c r="G47" s="24" t="str"/>
      <x:c r="H47" s="30"/>
      <x:c r="I47" s="24" t="str">
        <x:v>대기</x:v>
      </x:c>
      <x:c r="J47" s="30"/>
      <x:c r="K47" s="24" t="str">
        <x:v>SW-C-306조9919-1-20260204-20</x:v>
      </x:c>
      <x:c r="L47" s="24" t="str">
        <x:v>자동점검</x:v>
      </x:c>
    </x:row>
    <x:row r="48" ht="17.25" customHeight="1">
      <x:c r="A48" s="24" t="str">
        <x:v>W-0047</x:v>
      </x:c>
      <x:c r="B48" s="24" t="str">
        <x:v>스위치플랜</x:v>
      </x:c>
      <x:c r="C48" s="24" t="str">
        <x:v>109로1819</x:v>
      </x:c>
      <x:c r="D48" s="24" t="str">
        <x:v>긴급</x:v>
      </x:c>
      <x:c r="E48" s="24" t="str">
        <x:v>미수 확인</x:v>
      </x:c>
      <x:c r="F48" s="24" t="str">
        <x:v>109로1819 미수 확인</x:v>
      </x:c>
      <x:c r="G48" s="24" t="str"/>
      <x:c r="H48" s="30"/>
      <x:c r="I48" s="24" t="str">
        <x:v>대기</x:v>
      </x:c>
      <x:c r="J48" s="30"/>
      <x:c r="K48" s="24" t="str">
        <x:v>SW-C-109로1819-1-20250716-21</x:v>
      </x:c>
      <x:c r="L48" s="24" t="str">
        <x:v>자동점검</x:v>
      </x:c>
    </x:row>
    <x:row r="49" ht="17.25" customHeight="1">
      <x:c r="A49" s="24" t="str">
        <x:v>W-0048</x:v>
      </x:c>
      <x:c r="B49" s="24" t="str">
        <x:v>스위치플랜</x:v>
      </x:c>
      <x:c r="C49" s="24" t="str">
        <x:v>109로1819</x:v>
      </x:c>
      <x:c r="D49" s="24" t="str">
        <x:v>높음</x:v>
      </x:c>
      <x:c r="E49" s="24" t="str">
        <x:v>보험 연령 입력</x:v>
      </x:c>
      <x:c r="F49" s="24" t="str">
        <x:v>109로1819 보험 연령 입력</x:v>
      </x:c>
      <x:c r="G49" s="24" t="str"/>
      <x:c r="H49" s="30"/>
      <x:c r="I49" s="24" t="str">
        <x:v>대기</x:v>
      </x:c>
      <x:c r="J49" s="30"/>
      <x:c r="K49" s="24" t="str">
        <x:v>SW-C-109로1819-1-20250716-21</x:v>
      </x:c>
      <x:c r="L49" s="24" t="str">
        <x:v>자동점검</x:v>
      </x:c>
    </x:row>
    <x:row r="50" ht="17.25" customHeight="1">
      <x:c r="A50" s="24" t="str">
        <x:v>W-0049</x:v>
      </x:c>
      <x:c r="B50" s="24" t="str">
        <x:v>스위치플랜</x:v>
      </x:c>
      <x:c r="C50" s="24" t="str">
        <x:v>109로1819</x:v>
      </x:c>
      <x:c r="D50" s="24" t="str">
        <x:v>높음</x:v>
      </x:c>
      <x:c r="E50" s="24" t="str">
        <x:v>보험 갱신 확인</x:v>
      </x:c>
      <x:c r="F50" s="24" t="str">
        <x:v>109로1819 보험 갱신 확인</x:v>
      </x:c>
      <x:c r="G50" s="24" t="str"/>
      <x:c r="H50" s="30"/>
      <x:c r="I50" s="24" t="str">
        <x:v>대기</x:v>
      </x:c>
      <x:c r="J50" s="30"/>
      <x:c r="K50" s="24" t="str">
        <x:v>SW-C-109로1819-1-20250716-21</x:v>
      </x:c>
      <x:c r="L50" s="24" t="str">
        <x:v>자동점검</x:v>
      </x:c>
    </x:row>
    <x:row r="51" ht="17.25" customHeight="1">
      <x:c r="A51" s="24" t="str">
        <x:v>W-0050</x:v>
      </x:c>
      <x:c r="B51" s="24" t="str">
        <x:v>스위치플랜</x:v>
      </x:c>
      <x:c r="C51" s="24" t="str">
        <x:v>17수4278</x:v>
      </x:c>
      <x:c r="D51" s="24" t="str">
        <x:v>긴급</x:v>
      </x:c>
      <x:c r="E51" s="24" t="str">
        <x:v>미수 확인</x:v>
      </x:c>
      <x:c r="F51" s="24" t="str">
        <x:v>17수4278 미수 확인</x:v>
      </x:c>
      <x:c r="G51" s="24" t="str"/>
      <x:c r="H51" s="30"/>
      <x:c r="I51" s="24" t="str">
        <x:v>대기</x:v>
      </x:c>
      <x:c r="J51" s="30"/>
      <x:c r="K51" s="24" t="str">
        <x:v>SW-C-17수4278-1-20260303-22</x:v>
      </x:c>
      <x:c r="L51" s="24" t="str">
        <x:v>자동점검</x:v>
      </x:c>
    </x:row>
    <x:row r="52" ht="17.25" customHeight="1">
      <x:c r="A52" s="24" t="str">
        <x:v>W-0051</x:v>
      </x:c>
      <x:c r="B52" s="24" t="str">
        <x:v>스위치플랜</x:v>
      </x:c>
      <x:c r="C52" s="24" t="str">
        <x:v>17수4278</x:v>
      </x:c>
      <x:c r="D52" s="24" t="str">
        <x:v>높음</x:v>
      </x:c>
      <x:c r="E52" s="24" t="str">
        <x:v>보험 연령 입력</x:v>
      </x:c>
      <x:c r="F52" s="24" t="str">
        <x:v>17수4278 보험 연령 입력</x:v>
      </x:c>
      <x:c r="G52" s="24" t="str"/>
      <x:c r="H52" s="30"/>
      <x:c r="I52" s="24" t="str">
        <x:v>대기</x:v>
      </x:c>
      <x:c r="J52" s="30"/>
      <x:c r="K52" s="24" t="str">
        <x:v>SW-C-17수4278-1-20260303-22</x:v>
      </x:c>
      <x:c r="L52" s="24" t="str">
        <x:v>자동점검</x:v>
      </x:c>
    </x:row>
    <x:row r="53" ht="17.25" customHeight="1">
      <x:c r="A53" s="24" t="str">
        <x:v>W-0052</x:v>
      </x:c>
      <x:c r="B53" s="24" t="str">
        <x:v>스위치플랜</x:v>
      </x:c>
      <x:c r="C53" s="24" t="str">
        <x:v>17수4278</x:v>
      </x:c>
      <x:c r="D53" s="24" t="str">
        <x:v>높음</x:v>
      </x:c>
      <x:c r="E53" s="24" t="str">
        <x:v>보험 갱신 확인</x:v>
      </x:c>
      <x:c r="F53" s="24" t="str">
        <x:v>17수4278 보험 갱신 확인</x:v>
      </x:c>
      <x:c r="G53" s="24" t="str"/>
      <x:c r="H53" s="30"/>
      <x:c r="I53" s="24" t="str">
        <x:v>대기</x:v>
      </x:c>
      <x:c r="J53" s="30"/>
      <x:c r="K53" s="24" t="str">
        <x:v>SW-C-17수4278-1-20260303-22</x:v>
      </x:c>
      <x:c r="L53" s="24" t="str">
        <x:v>자동점검</x:v>
      </x:c>
    </x:row>
    <x:row r="54" ht="17.25" customHeight="1">
      <x:c r="A54" s="24" t="str">
        <x:v>W-0053</x:v>
      </x:c>
      <x:c r="B54" s="24" t="str">
        <x:v>스위치플랜</x:v>
      </x:c>
      <x:c r="C54" s="24" t="str">
        <x:v>15두2255</x:v>
      </x:c>
      <x:c r="D54" s="24" t="str">
        <x:v>긴급</x:v>
      </x:c>
      <x:c r="E54" s="24" t="str">
        <x:v>미수 확인</x:v>
      </x:c>
      <x:c r="F54" s="24" t="str">
        <x:v>15두2255 미수 확인</x:v>
      </x:c>
      <x:c r="G54" s="24" t="str"/>
      <x:c r="H54" s="30"/>
      <x:c r="I54" s="24" t="str">
        <x:v>대기</x:v>
      </x:c>
      <x:c r="J54" s="30"/>
      <x:c r="K54" s="24" t="str">
        <x:v>SW-C-15두2255-1-20260325-23</x:v>
      </x:c>
      <x:c r="L54" s="24" t="str">
        <x:v>자동점검</x:v>
      </x:c>
    </x:row>
    <x:row r="55" ht="17.25" customHeight="1">
      <x:c r="A55" s="24" t="str">
        <x:v>W-0054</x:v>
      </x:c>
      <x:c r="B55" s="24" t="str">
        <x:v>스위치플랜</x:v>
      </x:c>
      <x:c r="C55" s="24" t="str">
        <x:v>15두2255</x:v>
      </x:c>
      <x:c r="D55" s="24" t="str">
        <x:v>높음</x:v>
      </x:c>
      <x:c r="E55" s="24" t="str">
        <x:v>보험 연령 입력</x:v>
      </x:c>
      <x:c r="F55" s="24" t="str">
        <x:v>15두2255 보험 연령 입력</x:v>
      </x:c>
      <x:c r="G55" s="24" t="str"/>
      <x:c r="H55" s="30"/>
      <x:c r="I55" s="24" t="str">
        <x:v>대기</x:v>
      </x:c>
      <x:c r="J55" s="30"/>
      <x:c r="K55" s="24" t="str">
        <x:v>SW-C-15두2255-1-20260325-23</x:v>
      </x:c>
      <x:c r="L55" s="24" t="str">
        <x:v>자동점검</x:v>
      </x:c>
    </x:row>
    <x:row r="56" ht="17.25" customHeight="1">
      <x:c r="A56" s="24" t="str">
        <x:v>W-0055</x:v>
      </x:c>
      <x:c r="B56" s="24" t="str">
        <x:v>스위치플랜</x:v>
      </x:c>
      <x:c r="C56" s="24" t="str">
        <x:v>15두2255</x:v>
      </x:c>
      <x:c r="D56" s="24" t="str">
        <x:v>높음</x:v>
      </x:c>
      <x:c r="E56" s="24" t="str">
        <x:v>보험 갱신 확인</x:v>
      </x:c>
      <x:c r="F56" s="24" t="str">
        <x:v>15두2255 보험 갱신 확인</x:v>
      </x:c>
      <x:c r="G56" s="24" t="str"/>
      <x:c r="H56" s="30"/>
      <x:c r="I56" s="24" t="str">
        <x:v>대기</x:v>
      </x:c>
      <x:c r="J56" s="30"/>
      <x:c r="K56" s="24" t="str">
        <x:v>SW-C-15두2255-1-20260325-23</x:v>
      </x:c>
      <x:c r="L56" s="24" t="str">
        <x:v>자동점검</x:v>
      </x:c>
    </x:row>
    <x:row r="57" ht="17.25" customHeight="1">
      <x:c r="A57" s="24" t="str">
        <x:v>W-0056</x:v>
      </x:c>
      <x:c r="B57" s="24" t="str">
        <x:v>스위치플랜</x:v>
      </x:c>
      <x:c r="C57" s="24" t="str">
        <x:v>311마8929</x:v>
      </x:c>
      <x:c r="D57" s="24" t="str">
        <x:v>높음</x:v>
      </x:c>
      <x:c r="E57" s="24" t="str">
        <x:v>보험 연령 입력</x:v>
      </x:c>
      <x:c r="F57" s="24" t="str">
        <x:v>311마8929 보험 연령 입력</x:v>
      </x:c>
      <x:c r="G57" s="24" t="str"/>
      <x:c r="H57" s="30"/>
      <x:c r="I57" s="24" t="str">
        <x:v>대기</x:v>
      </x:c>
      <x:c r="J57" s="30"/>
      <x:c r="K57" s="24" t="str">
        <x:v>SW-C-311마8929-1-20260504-24</x:v>
      </x:c>
      <x:c r="L57" s="24" t="str">
        <x:v>자동점검</x:v>
      </x:c>
    </x:row>
    <x:row r="58" ht="17.25" customHeight="1">
      <x:c r="A58" s="24" t="str">
        <x:v>W-0057</x:v>
      </x:c>
      <x:c r="B58" s="24" t="str">
        <x:v>스위치플랜</x:v>
      </x:c>
      <x:c r="C58" s="24" t="str">
        <x:v>311마8929</x:v>
      </x:c>
      <x:c r="D58" s="24" t="str">
        <x:v>높음</x:v>
      </x:c>
      <x:c r="E58" s="24" t="str">
        <x:v>보험 갱신 확인</x:v>
      </x:c>
      <x:c r="F58" s="24" t="str">
        <x:v>311마8929 보험 갱신 확인</x:v>
      </x:c>
      <x:c r="G58" s="24" t="str"/>
      <x:c r="H58" s="30"/>
      <x:c r="I58" s="24" t="str">
        <x:v>대기</x:v>
      </x:c>
      <x:c r="J58" s="30"/>
      <x:c r="K58" s="24" t="str">
        <x:v>SW-C-311마8929-1-20260504-24</x:v>
      </x:c>
      <x:c r="L58" s="24" t="str">
        <x:v>자동점검</x:v>
      </x:c>
    </x:row>
    <x:row r="59" ht="17.25" customHeight="1">
      <x:c r="A59" s="24" t="str">
        <x:v>W-0058</x:v>
      </x:c>
      <x:c r="B59" s="24" t="str">
        <x:v>스위치플랜</x:v>
      </x:c>
      <x:c r="C59" s="24" t="str">
        <x:v>10어7374</x:v>
      </x:c>
      <x:c r="D59" s="24" t="str">
        <x:v>높음</x:v>
      </x:c>
      <x:c r="E59" s="24" t="str">
        <x:v>보험 연령 입력</x:v>
      </x:c>
      <x:c r="F59" s="24" t="str">
        <x:v>10어7374 보험 연령 입력</x:v>
      </x:c>
      <x:c r="G59" s="24" t="str"/>
      <x:c r="H59" s="30"/>
      <x:c r="I59" s="24" t="str">
        <x:v>대기</x:v>
      </x:c>
      <x:c r="J59" s="30"/>
      <x:c r="K59" s="24" t="str">
        <x:v>SW-C-10어7374-1-20241230-25</x:v>
      </x:c>
      <x:c r="L59" s="24" t="str">
        <x:v>자동점검</x:v>
      </x:c>
    </x:row>
    <x:row r="60" ht="17.25" customHeight="1">
      <x:c r="A60" s="24" t="str">
        <x:v>W-0059</x:v>
      </x:c>
      <x:c r="B60" s="24" t="str">
        <x:v>스위치플랜</x:v>
      </x:c>
      <x:c r="C60" s="24" t="str">
        <x:v>10어7374</x:v>
      </x:c>
      <x:c r="D60" s="24" t="str">
        <x:v>높음</x:v>
      </x:c>
      <x:c r="E60" s="24" t="str">
        <x:v>보험 갱신 확인</x:v>
      </x:c>
      <x:c r="F60" s="24" t="str">
        <x:v>10어7374 보험 갱신 확인</x:v>
      </x:c>
      <x:c r="G60" s="24" t="str"/>
      <x:c r="H60" s="30"/>
      <x:c r="I60" s="24" t="str">
        <x:v>대기</x:v>
      </x:c>
      <x:c r="J60" s="30"/>
      <x:c r="K60" s="24" t="str">
        <x:v>SW-C-10어7374-1-20241230-25</x:v>
      </x:c>
      <x:c r="L60" s="24" t="str">
        <x:v>자동점검</x:v>
      </x:c>
    </x:row>
    <x:row r="61" ht="17.25" customHeight="1">
      <x:c r="A61" s="24" t="str">
        <x:v>W-0060</x:v>
      </x:c>
      <x:c r="B61" s="24" t="str">
        <x:v>스위치플랜</x:v>
      </x:c>
      <x:c r="C61" s="24" t="str">
        <x:v>252거3143</x:v>
      </x:c>
      <x:c r="D61" s="24" t="str">
        <x:v>긴급</x:v>
      </x:c>
      <x:c r="E61" s="24" t="str">
        <x:v>미수 확인</x:v>
      </x:c>
      <x:c r="F61" s="24" t="str">
        <x:v>252거3143 미수 확인</x:v>
      </x:c>
      <x:c r="G61" s="24" t="str"/>
      <x:c r="H61" s="30"/>
      <x:c r="I61" s="24" t="str">
        <x:v>대기</x:v>
      </x:c>
      <x:c r="J61" s="30"/>
      <x:c r="K61" s="24" t="str">
        <x:v>SW-C-252거3143-1-20240820-26</x:v>
      </x:c>
      <x:c r="L61" s="24" t="str">
        <x:v>자동점검</x:v>
      </x:c>
    </x:row>
    <x:row r="62" ht="17.25" customHeight="1">
      <x:c r="A62" s="24" t="str">
        <x:v>W-0061</x:v>
      </x:c>
      <x:c r="B62" s="24" t="str">
        <x:v>스위치플랜</x:v>
      </x:c>
      <x:c r="C62" s="24" t="str">
        <x:v>252거3143</x:v>
      </x:c>
      <x:c r="D62" s="24" t="str">
        <x:v>높음</x:v>
      </x:c>
      <x:c r="E62" s="24" t="str">
        <x:v>보험 연령 입력</x:v>
      </x:c>
      <x:c r="F62" s="24" t="str">
        <x:v>252거3143 보험 연령 입력</x:v>
      </x:c>
      <x:c r="G62" s="24" t="str"/>
      <x:c r="H62" s="30"/>
      <x:c r="I62" s="24" t="str">
        <x:v>대기</x:v>
      </x:c>
      <x:c r="J62" s="30"/>
      <x:c r="K62" s="24" t="str">
        <x:v>SW-C-252거3143-1-20240820-26</x:v>
      </x:c>
      <x:c r="L62" s="24" t="str">
        <x:v>자동점검</x:v>
      </x:c>
    </x:row>
    <x:row r="63" ht="17.25" customHeight="1">
      <x:c r="A63" s="24" t="str">
        <x:v>W-0062</x:v>
      </x:c>
      <x:c r="B63" s="24" t="str">
        <x:v>스위치플랜</x:v>
      </x:c>
      <x:c r="C63" s="24" t="str">
        <x:v>252거3143</x:v>
      </x:c>
      <x:c r="D63" s="24" t="str">
        <x:v>높음</x:v>
      </x:c>
      <x:c r="E63" s="24" t="str">
        <x:v>보험 갱신 확인</x:v>
      </x:c>
      <x:c r="F63" s="24" t="str">
        <x:v>252거3143 보험 갱신 확인</x:v>
      </x:c>
      <x:c r="G63" s="24" t="str"/>
      <x:c r="H63" s="30"/>
      <x:c r="I63" s="24" t="str">
        <x:v>대기</x:v>
      </x:c>
      <x:c r="J63" s="30"/>
      <x:c r="K63" s="24" t="str">
        <x:v>SW-C-252거3143-1-20240820-26</x:v>
      </x:c>
      <x:c r="L63" s="24" t="str">
        <x:v>자동점검</x:v>
      </x:c>
    </x:row>
    <x:row r="64" ht="17.25" customHeight="1">
      <x:c r="A64" s="24" t="str">
        <x:v>W-0063</x:v>
      </x:c>
      <x:c r="B64" s="24" t="str">
        <x:v>스위치플랜</x:v>
      </x:c>
      <x:c r="C64" s="24" t="str">
        <x:v>57나3382</x:v>
      </x:c>
      <x:c r="D64" s="24" t="str">
        <x:v>긴급</x:v>
      </x:c>
      <x:c r="E64" s="24" t="str">
        <x:v>미수 확인</x:v>
      </x:c>
      <x:c r="F64" s="24" t="str">
        <x:v>57나3382 미수 확인</x:v>
      </x:c>
      <x:c r="G64" s="24" t="str"/>
      <x:c r="H64" s="30"/>
      <x:c r="I64" s="24" t="str">
        <x:v>대기</x:v>
      </x:c>
      <x:c r="J64" s="30"/>
      <x:c r="K64" s="24" t="str">
        <x:v>SW-C-57나3382-1-20260520-27</x:v>
      </x:c>
      <x:c r="L64" s="24" t="str">
        <x:v>자동점검</x:v>
      </x:c>
    </x:row>
    <x:row r="65" ht="17.25" customHeight="1">
      <x:c r="A65" s="24" t="str">
        <x:v>W-0064</x:v>
      </x:c>
      <x:c r="B65" s="24" t="str">
        <x:v>스위치플랜</x:v>
      </x:c>
      <x:c r="C65" s="24" t="str">
        <x:v>57나3382</x:v>
      </x:c>
      <x:c r="D65" s="24" t="str">
        <x:v>높음</x:v>
      </x:c>
      <x:c r="E65" s="24" t="str">
        <x:v>보험 연령 입력</x:v>
      </x:c>
      <x:c r="F65" s="24" t="str">
        <x:v>57나3382 보험 연령 입력</x:v>
      </x:c>
      <x:c r="G65" s="24" t="str"/>
      <x:c r="H65" s="30"/>
      <x:c r="I65" s="24" t="str">
        <x:v>대기</x:v>
      </x:c>
      <x:c r="J65" s="30"/>
      <x:c r="K65" s="24" t="str">
        <x:v>SW-C-57나3382-1-20260520-27</x:v>
      </x:c>
      <x:c r="L65" s="24" t="str">
        <x:v>자동점검</x:v>
      </x:c>
    </x:row>
    <x:row r="66" ht="17.25" customHeight="1">
      <x:c r="A66" s="24" t="str">
        <x:v>W-0065</x:v>
      </x:c>
      <x:c r="B66" s="24" t="str">
        <x:v>스위치플랜</x:v>
      </x:c>
      <x:c r="C66" s="24" t="str">
        <x:v>57나3382</x:v>
      </x:c>
      <x:c r="D66" s="24" t="str">
        <x:v>높음</x:v>
      </x:c>
      <x:c r="E66" s="24" t="str">
        <x:v>보험 갱신 확인</x:v>
      </x:c>
      <x:c r="F66" s="24" t="str">
        <x:v>57나3382 보험 갱신 확인</x:v>
      </x:c>
      <x:c r="G66" s="24" t="str"/>
      <x:c r="H66" s="30"/>
      <x:c r="I66" s="24" t="str">
        <x:v>대기</x:v>
      </x:c>
      <x:c r="J66" s="30"/>
      <x:c r="K66" s="24" t="str">
        <x:v>SW-C-57나3382-1-20260520-27</x:v>
      </x:c>
      <x:c r="L66" s="24" t="str">
        <x:v>자동점검</x:v>
      </x:c>
    </x:row>
    <x:row r="67" ht="17.25" customHeight="1">
      <x:c r="A67" s="24" t="str">
        <x:v>W-0066</x:v>
      </x:c>
      <x:c r="B67" s="24" t="str">
        <x:v>스위치플랜</x:v>
      </x:c>
      <x:c r="C67" s="24" t="str">
        <x:v>81너0984</x:v>
      </x:c>
      <x:c r="D67" s="24" t="str">
        <x:v>긴급</x:v>
      </x:c>
      <x:c r="E67" s="24" t="str">
        <x:v>미수 확인</x:v>
      </x:c>
      <x:c r="F67" s="24" t="str">
        <x:v>81너0984 미수 확인</x:v>
      </x:c>
      <x:c r="G67" s="24" t="str"/>
      <x:c r="H67" s="30"/>
      <x:c r="I67" s="24" t="str">
        <x:v>대기</x:v>
      </x:c>
      <x:c r="J67" s="30"/>
      <x:c r="K67" s="24" t="str">
        <x:v>SW-C-81너0984-1-20240118-28</x:v>
      </x:c>
      <x:c r="L67" s="24" t="str">
        <x:v>자동점검</x:v>
      </x:c>
    </x:row>
    <x:row r="68" ht="17.25" customHeight="1">
      <x:c r="A68" s="24" t="str">
        <x:v>W-0067</x:v>
      </x:c>
      <x:c r="B68" s="24" t="str">
        <x:v>스위치플랜</x:v>
      </x:c>
      <x:c r="C68" s="24" t="str">
        <x:v>81너0984</x:v>
      </x:c>
      <x:c r="D68" s="24" t="str">
        <x:v>높음</x:v>
      </x:c>
      <x:c r="E68" s="24" t="str">
        <x:v>보험 연령 입력</x:v>
      </x:c>
      <x:c r="F68" s="24" t="str">
        <x:v>81너0984 보험 연령 입력</x:v>
      </x:c>
      <x:c r="G68" s="24" t="str"/>
      <x:c r="H68" s="30"/>
      <x:c r="I68" s="24" t="str">
        <x:v>대기</x:v>
      </x:c>
      <x:c r="J68" s="30"/>
      <x:c r="K68" s="24" t="str">
        <x:v>SW-C-81너0984-1-20240118-28</x:v>
      </x:c>
      <x:c r="L68" s="24" t="str">
        <x:v>자동점검</x:v>
      </x:c>
    </x:row>
    <x:row r="69" ht="17.25" customHeight="1">
      <x:c r="A69" s="24" t="str">
        <x:v>W-0068</x:v>
      </x:c>
      <x:c r="B69" s="24" t="str">
        <x:v>스위치플랜</x:v>
      </x:c>
      <x:c r="C69" s="24" t="str">
        <x:v>81너0984</x:v>
      </x:c>
      <x:c r="D69" s="24" t="str">
        <x:v>높음</x:v>
      </x:c>
      <x:c r="E69" s="24" t="str">
        <x:v>보험 갱신 확인</x:v>
      </x:c>
      <x:c r="F69" s="24" t="str">
        <x:v>81너0984 보험 갱신 확인</x:v>
      </x:c>
      <x:c r="G69" s="24" t="str"/>
      <x:c r="H69" s="30"/>
      <x:c r="I69" s="24" t="str">
        <x:v>대기</x:v>
      </x:c>
      <x:c r="J69" s="30"/>
      <x:c r="K69" s="24" t="str">
        <x:v>SW-C-81너0984-1-20240118-28</x:v>
      </x:c>
      <x:c r="L69" s="24" t="str">
        <x:v>자동점검</x:v>
      </x:c>
    </x:row>
    <x:row r="70" ht="17.25" customHeight="1">
      <x:c r="A70" s="24" t="str">
        <x:v>W-0069</x:v>
      </x:c>
      <x:c r="B70" s="24" t="str">
        <x:v>스위치플랜</x:v>
      </x:c>
      <x:c r="C70" s="24" t="str">
        <x:v>133가8292</x:v>
      </x:c>
      <x:c r="D70" s="24" t="str">
        <x:v>높음</x:v>
      </x:c>
      <x:c r="E70" s="24" t="str">
        <x:v>보험 연령 입력</x:v>
      </x:c>
      <x:c r="F70" s="24" t="str">
        <x:v>133가8292 보험 연령 입력</x:v>
      </x:c>
      <x:c r="G70" s="24" t="str"/>
      <x:c r="H70" s="30"/>
      <x:c r="I70" s="24" t="str">
        <x:v>대기</x:v>
      </x:c>
      <x:c r="J70" s="30"/>
      <x:c r="K70" s="24" t="str">
        <x:v>SW-C-133가8292-1-20240504-29</x:v>
      </x:c>
      <x:c r="L70" s="24" t="str">
        <x:v>자동점검</x:v>
      </x:c>
    </x:row>
    <x:row r="71" ht="17.25" customHeight="1">
      <x:c r="A71" s="24" t="str">
        <x:v>W-0070</x:v>
      </x:c>
      <x:c r="B71" s="24" t="str">
        <x:v>스위치플랜</x:v>
      </x:c>
      <x:c r="C71" s="24" t="str">
        <x:v>133가8292</x:v>
      </x:c>
      <x:c r="D71" s="24" t="str">
        <x:v>높음</x:v>
      </x:c>
      <x:c r="E71" s="24" t="str">
        <x:v>보험 갱신 확인</x:v>
      </x:c>
      <x:c r="F71" s="24" t="str">
        <x:v>133가8292 보험 갱신 확인</x:v>
      </x:c>
      <x:c r="G71" s="24" t="str"/>
      <x:c r="H71" s="30"/>
      <x:c r="I71" s="24" t="str">
        <x:v>대기</x:v>
      </x:c>
      <x:c r="J71" s="30"/>
      <x:c r="K71" s="24" t="str">
        <x:v>SW-C-133가8292-1-20240504-29</x:v>
      </x:c>
      <x:c r="L71" s="24" t="str">
        <x:v>자동점검</x:v>
      </x:c>
    </x:row>
    <x:row r="72" ht="17.25" customHeight="1">
      <x:c r="A72" s="24" t="str">
        <x:v>W-0071</x:v>
      </x:c>
      <x:c r="B72" s="24" t="str">
        <x:v>스위치플랜</x:v>
      </x:c>
      <x:c r="C72" s="24" t="str">
        <x:v>51라1828</x:v>
      </x:c>
      <x:c r="D72" s="24" t="str">
        <x:v>높음</x:v>
      </x:c>
      <x:c r="E72" s="24" t="str">
        <x:v>보험 연령 입력</x:v>
      </x:c>
      <x:c r="F72" s="24" t="str">
        <x:v>51라1828 보험 연령 입력</x:v>
      </x:c>
      <x:c r="G72" s="24" t="str"/>
      <x:c r="H72" s="30"/>
      <x:c r="I72" s="24" t="str">
        <x:v>대기</x:v>
      </x:c>
      <x:c r="J72" s="30"/>
      <x:c r="K72" s="24" t="str">
        <x:v>SW-C-51라1828-1-20240405-30</x:v>
      </x:c>
      <x:c r="L72" s="24" t="str">
        <x:v>자동점검</x:v>
      </x:c>
    </x:row>
    <x:row r="73" ht="17.25" customHeight="1">
      <x:c r="A73" s="24" t="str">
        <x:v>W-0072</x:v>
      </x:c>
      <x:c r="B73" s="24" t="str">
        <x:v>스위치플랜</x:v>
      </x:c>
      <x:c r="C73" s="24" t="str">
        <x:v>51라1828</x:v>
      </x:c>
      <x:c r="D73" s="24" t="str">
        <x:v>높음</x:v>
      </x:c>
      <x:c r="E73" s="24" t="str">
        <x:v>보험 갱신 확인</x:v>
      </x:c>
      <x:c r="F73" s="24" t="str">
        <x:v>51라1828 보험 갱신 확인</x:v>
      </x:c>
      <x:c r="G73" s="24" t="str"/>
      <x:c r="H73" s="30"/>
      <x:c r="I73" s="24" t="str">
        <x:v>대기</x:v>
      </x:c>
      <x:c r="J73" s="30"/>
      <x:c r="K73" s="24" t="str">
        <x:v>SW-C-51라1828-1-20240405-30</x:v>
      </x:c>
      <x:c r="L73" s="24" t="str">
        <x:v>자동점검</x:v>
      </x:c>
    </x:row>
    <x:row r="74" ht="17.25" customHeight="1">
      <x:c r="A74" s="24" t="str">
        <x:v>W-0073</x:v>
      </x:c>
      <x:c r="B74" s="24" t="str">
        <x:v>스위치플랜</x:v>
      </x:c>
      <x:c r="C74" s="24" t="str">
        <x:v>265가2481</x:v>
      </x:c>
      <x:c r="D74" s="24" t="str">
        <x:v>긴급</x:v>
      </x:c>
      <x:c r="E74" s="24" t="str">
        <x:v>미수 확인</x:v>
      </x:c>
      <x:c r="F74" s="24" t="str">
        <x:v>265가2481 미수 확인</x:v>
      </x:c>
      <x:c r="G74" s="24" t="str"/>
      <x:c r="H74" s="30"/>
      <x:c r="I74" s="24" t="str">
        <x:v>대기</x:v>
      </x:c>
      <x:c r="J74" s="30"/>
      <x:c r="K74" s="24" t="str">
        <x:v>SW-C-265가2481-1-20240718-31</x:v>
      </x:c>
      <x:c r="L74" s="24" t="str">
        <x:v>자동점검</x:v>
      </x:c>
    </x:row>
    <x:row r="75" ht="17.25" customHeight="1">
      <x:c r="A75" s="24" t="str">
        <x:v>W-0074</x:v>
      </x:c>
      <x:c r="B75" s="24" t="str">
        <x:v>스위치플랜</x:v>
      </x:c>
      <x:c r="C75" s="24" t="str">
        <x:v>265가2481</x:v>
      </x:c>
      <x:c r="D75" s="24" t="str">
        <x:v>높음</x:v>
      </x:c>
      <x:c r="E75" s="24" t="str">
        <x:v>보험 연령 입력</x:v>
      </x:c>
      <x:c r="F75" s="24" t="str">
        <x:v>265가2481 보험 연령 입력</x:v>
      </x:c>
      <x:c r="G75" s="24" t="str"/>
      <x:c r="H75" s="30"/>
      <x:c r="I75" s="24" t="str">
        <x:v>대기</x:v>
      </x:c>
      <x:c r="J75" s="30"/>
      <x:c r="K75" s="24" t="str">
        <x:v>SW-C-265가2481-1-20240718-31</x:v>
      </x:c>
      <x:c r="L75" s="24" t="str">
        <x:v>자동점검</x:v>
      </x:c>
    </x:row>
    <x:row r="76" ht="17.25" customHeight="1">
      <x:c r="A76" s="24" t="str">
        <x:v>W-0075</x:v>
      </x:c>
      <x:c r="B76" s="24" t="str">
        <x:v>스위치플랜</x:v>
      </x:c>
      <x:c r="C76" s="24" t="str">
        <x:v>265가2481</x:v>
      </x:c>
      <x:c r="D76" s="24" t="str">
        <x:v>높음</x:v>
      </x:c>
      <x:c r="E76" s="24" t="str">
        <x:v>보험 갱신 확인</x:v>
      </x:c>
      <x:c r="F76" s="24" t="str">
        <x:v>265가2481 보험 갱신 확인</x:v>
      </x:c>
      <x:c r="G76" s="24" t="str"/>
      <x:c r="H76" s="30"/>
      <x:c r="I76" s="24" t="str">
        <x:v>대기</x:v>
      </x:c>
      <x:c r="J76" s="30"/>
      <x:c r="K76" s="24" t="str">
        <x:v>SW-C-265가2481-1-20240718-31</x:v>
      </x:c>
      <x:c r="L76" s="24" t="str">
        <x:v>자동점검</x:v>
      </x:c>
    </x:row>
    <x:row r="77" ht="17.25" customHeight="1">
      <x:c r="A77" s="24" t="str">
        <x:v>W-0076</x:v>
      </x:c>
      <x:c r="B77" s="24" t="str">
        <x:v>스위치플랜</x:v>
      </x:c>
      <x:c r="C77" s="24" t="str">
        <x:v>30어1926</x:v>
      </x:c>
      <x:c r="D77" s="24" t="str">
        <x:v>긴급</x:v>
      </x:c>
      <x:c r="E77" s="24" t="str">
        <x:v>미수 확인</x:v>
      </x:c>
      <x:c r="F77" s="24" t="str">
        <x:v>30어1926 미수 확인</x:v>
      </x:c>
      <x:c r="G77" s="24" t="str"/>
      <x:c r="H77" s="30"/>
      <x:c r="I77" s="24" t="str">
        <x:v>대기</x:v>
      </x:c>
      <x:c r="J77" s="30"/>
      <x:c r="K77" s="24" t="str">
        <x:v>SW-C-30어1926-1-20250804-32</x:v>
      </x:c>
      <x:c r="L77" s="24" t="str">
        <x:v>자동점검</x:v>
      </x:c>
    </x:row>
    <x:row r="78" ht="17.25" customHeight="1">
      <x:c r="A78" s="24" t="str">
        <x:v>W-0077</x:v>
      </x:c>
      <x:c r="B78" s="24" t="str">
        <x:v>스위치플랜</x:v>
      </x:c>
      <x:c r="C78" s="24" t="str">
        <x:v>30어1926</x:v>
      </x:c>
      <x:c r="D78" s="24" t="str">
        <x:v>높음</x:v>
      </x:c>
      <x:c r="E78" s="24" t="str">
        <x:v>보험 연령 입력</x:v>
      </x:c>
      <x:c r="F78" s="24" t="str">
        <x:v>30어1926 보험 연령 입력</x:v>
      </x:c>
      <x:c r="G78" s="24" t="str"/>
      <x:c r="H78" s="30"/>
      <x:c r="I78" s="24" t="str">
        <x:v>대기</x:v>
      </x:c>
      <x:c r="J78" s="30"/>
      <x:c r="K78" s="24" t="str">
        <x:v>SW-C-30어1926-1-20250804-32</x:v>
      </x:c>
      <x:c r="L78" s="24" t="str">
        <x:v>자동점검</x:v>
      </x:c>
    </x:row>
    <x:row r="79" ht="17.25" customHeight="1">
      <x:c r="A79" s="24" t="str">
        <x:v>W-0078</x:v>
      </x:c>
      <x:c r="B79" s="24" t="str">
        <x:v>스위치플랜</x:v>
      </x:c>
      <x:c r="C79" s="24" t="str">
        <x:v>30어1926</x:v>
      </x:c>
      <x:c r="D79" s="24" t="str">
        <x:v>높음</x:v>
      </x:c>
      <x:c r="E79" s="24" t="str">
        <x:v>보험 갱신 확인</x:v>
      </x:c>
      <x:c r="F79" s="24" t="str">
        <x:v>30어1926 보험 갱신 확인</x:v>
      </x:c>
      <x:c r="G79" s="24" t="str"/>
      <x:c r="H79" s="30"/>
      <x:c r="I79" s="24" t="str">
        <x:v>대기</x:v>
      </x:c>
      <x:c r="J79" s="30"/>
      <x:c r="K79" s="24" t="str">
        <x:v>SW-C-30어1926-1-20250804-32</x:v>
      </x:c>
      <x:c r="L79" s="24" t="str">
        <x:v>자동점검</x:v>
      </x:c>
    </x:row>
    <x:row r="80" ht="17.25" customHeight="1">
      <x:c r="A80" s="24" t="str">
        <x:v>W-0079</x:v>
      </x:c>
      <x:c r="B80" s="24" t="str">
        <x:v>스위치플랜</x:v>
      </x:c>
      <x:c r="C80" s="24" t="str">
        <x:v>172수8945</x:v>
      </x:c>
      <x:c r="D80" s="24" t="str">
        <x:v>긴급</x:v>
      </x:c>
      <x:c r="E80" s="24" t="str">
        <x:v>미수 확인</x:v>
      </x:c>
      <x:c r="F80" s="24" t="str">
        <x:v>172수8945 미수 확인</x:v>
      </x:c>
      <x:c r="G80" s="24" t="str"/>
      <x:c r="H80" s="30"/>
      <x:c r="I80" s="24" t="str">
        <x:v>대기</x:v>
      </x:c>
      <x:c r="J80" s="30"/>
      <x:c r="K80" s="24" t="str">
        <x:v>SW-C-172수8945-1-20260528-33</x:v>
      </x:c>
      <x:c r="L80" s="24" t="str">
        <x:v>자동점검</x:v>
      </x:c>
    </x:row>
    <x:row r="81" ht="17.25" customHeight="1">
      <x:c r="A81" s="24" t="str">
        <x:v>W-0080</x:v>
      </x:c>
      <x:c r="B81" s="24" t="str">
        <x:v>스위치플랜</x:v>
      </x:c>
      <x:c r="C81" s="24" t="str">
        <x:v>172수8945</x:v>
      </x:c>
      <x:c r="D81" s="24" t="str">
        <x:v>높음</x:v>
      </x:c>
      <x:c r="E81" s="24" t="str">
        <x:v>보험 연령 입력</x:v>
      </x:c>
      <x:c r="F81" s="24" t="str">
        <x:v>172수8945 보험 연령 입력</x:v>
      </x:c>
      <x:c r="G81" s="24" t="str"/>
      <x:c r="H81" s="30"/>
      <x:c r="I81" s="24" t="str">
        <x:v>대기</x:v>
      </x:c>
      <x:c r="J81" s="30"/>
      <x:c r="K81" s="24" t="str">
        <x:v>SW-C-172수8945-1-20260528-33</x:v>
      </x:c>
      <x:c r="L81" s="24" t="str">
        <x:v>자동점검</x:v>
      </x:c>
    </x:row>
    <x:row r="82" ht="17.25" customHeight="1">
      <x:c r="A82" s="24" t="str">
        <x:v>W-0081</x:v>
      </x:c>
      <x:c r="B82" s="24" t="str">
        <x:v>스위치플랜</x:v>
      </x:c>
      <x:c r="C82" s="24" t="str">
        <x:v>172수8945</x:v>
      </x:c>
      <x:c r="D82" s="24" t="str">
        <x:v>높음</x:v>
      </x:c>
      <x:c r="E82" s="24" t="str">
        <x:v>보험 갱신 확인</x:v>
      </x:c>
      <x:c r="F82" s="24" t="str">
        <x:v>172수8945 보험 갱신 확인</x:v>
      </x:c>
      <x:c r="G82" s="24" t="str"/>
      <x:c r="H82" s="30"/>
      <x:c r="I82" s="24" t="str">
        <x:v>대기</x:v>
      </x:c>
      <x:c r="J82" s="30"/>
      <x:c r="K82" s="24" t="str">
        <x:v>SW-C-172수8945-1-20260528-33</x:v>
      </x:c>
      <x:c r="L82" s="24" t="str">
        <x:v>자동점검</x:v>
      </x:c>
    </x:row>
    <x:row r="83" ht="17.25" customHeight="1">
      <x:c r="A83" s="24" t="str">
        <x:v>W-0082</x:v>
      </x:c>
      <x:c r="B83" s="24" t="str">
        <x:v>스위치플랜</x:v>
      </x:c>
      <x:c r="C83" s="24" t="str">
        <x:v>81소0566</x:v>
      </x:c>
      <x:c r="D83" s="24" t="str">
        <x:v>긴급</x:v>
      </x:c>
      <x:c r="E83" s="24" t="str">
        <x:v>회수 검토</x:v>
      </x:c>
      <x:c r="F83" s="24" t="str">
        <x:v>81소0566 회수 검토</x:v>
      </x:c>
      <x:c r="G83" s="24" t="str"/>
      <x:c r="H83" s="30"/>
      <x:c r="I83" s="24" t="str">
        <x:v>대기</x:v>
      </x:c>
      <x:c r="J83" s="30"/>
      <x:c r="K83" s="24" t="str">
        <x:v>SW-C-81소0566-1-20240130-34</x:v>
      </x:c>
      <x:c r="L83" s="24" t="str">
        <x:v>자동점검</x:v>
      </x:c>
    </x:row>
    <x:row r="84" ht="17.25" customHeight="1">
      <x:c r="A84" s="24" t="str">
        <x:v>W-0083</x:v>
      </x:c>
      <x:c r="B84" s="24" t="str">
        <x:v>스위치플랜</x:v>
      </x:c>
      <x:c r="C84" s="24" t="str">
        <x:v>81소0566</x:v>
      </x:c>
      <x:c r="D84" s="24" t="str">
        <x:v>높음</x:v>
      </x:c>
      <x:c r="E84" s="24" t="str">
        <x:v>보험 연령 입력</x:v>
      </x:c>
      <x:c r="F84" s="24" t="str">
        <x:v>81소0566 보험 연령 입력</x:v>
      </x:c>
      <x:c r="G84" s="24" t="str"/>
      <x:c r="H84" s="30"/>
      <x:c r="I84" s="24" t="str">
        <x:v>대기</x:v>
      </x:c>
      <x:c r="J84" s="30"/>
      <x:c r="K84" s="24" t="str">
        <x:v>SW-C-81소0566-1-20240130-34</x:v>
      </x:c>
      <x:c r="L84" s="24" t="str">
        <x:v>자동점검</x:v>
      </x:c>
    </x:row>
    <x:row r="85" ht="17.25" customHeight="1">
      <x:c r="A85" s="24" t="str">
        <x:v>W-0084</x:v>
      </x:c>
      <x:c r="B85" s="24" t="str">
        <x:v>스위치플랜</x:v>
      </x:c>
      <x:c r="C85" s="24" t="str">
        <x:v>81소0566</x:v>
      </x:c>
      <x:c r="D85" s="24" t="str">
        <x:v>높음</x:v>
      </x:c>
      <x:c r="E85" s="24" t="str">
        <x:v>보험 갱신 확인</x:v>
      </x:c>
      <x:c r="F85" s="24" t="str">
        <x:v>81소0566 보험 갱신 확인</x:v>
      </x:c>
      <x:c r="G85" s="24" t="str"/>
      <x:c r="H85" s="30"/>
      <x:c r="I85" s="24" t="str">
        <x:v>대기</x:v>
      </x:c>
      <x:c r="J85" s="30"/>
      <x:c r="K85" s="24" t="str">
        <x:v>SW-C-81소0566-1-20240130-34</x:v>
      </x:c>
      <x:c r="L85" s="24" t="str">
        <x:v>자동점검</x:v>
      </x:c>
    </x:row>
    <x:row r="86" ht="17.25" customHeight="1">
      <x:c r="A86" s="24" t="str">
        <x:v>W-0085</x:v>
      </x:c>
      <x:c r="B86" s="24" t="str">
        <x:v>스위치플랜</x:v>
      </x:c>
      <x:c r="C86" s="24" t="str">
        <x:v>89너4007</x:v>
      </x:c>
      <x:c r="D86" s="24" t="str">
        <x:v>높음</x:v>
      </x:c>
      <x:c r="E86" s="24" t="str">
        <x:v>계약서 연결</x:v>
      </x:c>
      <x:c r="F86" s="24" t="str">
        <x:v>89너4007 계약서 연결</x:v>
      </x:c>
      <x:c r="G86" s="24" t="str"/>
      <x:c r="H86" s="30"/>
      <x:c r="I86" s="24" t="str">
        <x:v>대기</x:v>
      </x:c>
      <x:c r="J86" s="30"/>
      <x:c r="K86" s="24" t="str">
        <x:v>SW-C-89너4007-1-NA-35</x:v>
      </x:c>
      <x:c r="L86" s="24" t="str">
        <x:v>자동점검</x:v>
      </x:c>
    </x:row>
    <x:row r="87" ht="17.25" customHeight="1">
      <x:c r="A87" s="24" t="str">
        <x:v>W-0086</x:v>
      </x:c>
      <x:c r="B87" s="24" t="str">
        <x:v>스위치플랜</x:v>
      </x:c>
      <x:c r="C87" s="24" t="str">
        <x:v>89너4007</x:v>
      </x:c>
      <x:c r="D87" s="24" t="str">
        <x:v>높음</x:v>
      </x:c>
      <x:c r="E87" s="24" t="str">
        <x:v>보험 연령 입력</x:v>
      </x:c>
      <x:c r="F87" s="24" t="str">
        <x:v>89너4007 보험 연령 입력</x:v>
      </x:c>
      <x:c r="G87" s="24" t="str"/>
      <x:c r="H87" s="30"/>
      <x:c r="I87" s="24" t="str">
        <x:v>대기</x:v>
      </x:c>
      <x:c r="J87" s="30"/>
      <x:c r="K87" s="24" t="str">
        <x:v>SW-C-89너4007-1-NA-35</x:v>
      </x:c>
      <x:c r="L87" s="24" t="str">
        <x:v>자동점검</x:v>
      </x:c>
    </x:row>
    <x:row r="88" ht="17.25" customHeight="1">
      <x:c r="A88" s="24" t="str">
        <x:v>W-0087</x:v>
      </x:c>
      <x:c r="B88" s="24" t="str">
        <x:v>스위치플랜</x:v>
      </x:c>
      <x:c r="C88" s="24" t="str">
        <x:v>89너4007</x:v>
      </x:c>
      <x:c r="D88" s="24" t="str">
        <x:v>높음</x:v>
      </x:c>
      <x:c r="E88" s="24" t="str">
        <x:v>보험 갱신 확인</x:v>
      </x:c>
      <x:c r="F88" s="24" t="str">
        <x:v>89너4007 보험 갱신 확인</x:v>
      </x:c>
      <x:c r="G88" s="24" t="str"/>
      <x:c r="H88" s="30"/>
      <x:c r="I88" s="24" t="str">
        <x:v>대기</x:v>
      </x:c>
      <x:c r="J88" s="30"/>
      <x:c r="K88" s="24" t="str">
        <x:v>SW-C-89너4007-1-NA-35</x:v>
      </x:c>
      <x:c r="L88" s="24" t="str">
        <x:v>자동점검</x:v>
      </x:c>
    </x:row>
    <x:row r="89" ht="17.25" customHeight="1">
      <x:c r="A89" s="24" t="str">
        <x:v>W-0088</x:v>
      </x:c>
      <x:c r="B89" s="24" t="str">
        <x:v>스위치플랜</x:v>
      </x:c>
      <x:c r="C89" s="24" t="str">
        <x:v>314소2486</x:v>
      </x:c>
      <x:c r="D89" s="24" t="str">
        <x:v>긴급</x:v>
      </x:c>
      <x:c r="E89" s="24" t="str">
        <x:v>미수 확인</x:v>
      </x:c>
      <x:c r="F89" s="24" t="str">
        <x:v>314소2486 미수 확인</x:v>
      </x:c>
      <x:c r="G89" s="24" t="str"/>
      <x:c r="H89" s="30"/>
      <x:c r="I89" s="24" t="str">
        <x:v>대기</x:v>
      </x:c>
      <x:c r="J89" s="30"/>
      <x:c r="K89" s="24" t="str">
        <x:v>SW-C-314소2486-1-20231121-36</x:v>
      </x:c>
      <x:c r="L89" s="24" t="str">
        <x:v>자동점검</x:v>
      </x:c>
    </x:row>
    <x:row r="90" ht="17.25" customHeight="1">
      <x:c r="A90" s="24" t="str">
        <x:v>W-0089</x:v>
      </x:c>
      <x:c r="B90" s="24" t="str">
        <x:v>스위치플랜</x:v>
      </x:c>
      <x:c r="C90" s="24" t="str">
        <x:v>314소2486</x:v>
      </x:c>
      <x:c r="D90" s="24" t="str">
        <x:v>높음</x:v>
      </x:c>
      <x:c r="E90" s="24" t="str">
        <x:v>보험 연령 입력</x:v>
      </x:c>
      <x:c r="F90" s="24" t="str">
        <x:v>314소2486 보험 연령 입력</x:v>
      </x:c>
      <x:c r="G90" s="24" t="str"/>
      <x:c r="H90" s="30"/>
      <x:c r="I90" s="24" t="str">
        <x:v>대기</x:v>
      </x:c>
      <x:c r="J90" s="30"/>
      <x:c r="K90" s="24" t="str">
        <x:v>SW-C-314소2486-1-20231121-36</x:v>
      </x:c>
      <x:c r="L90" s="24" t="str">
        <x:v>자동점검</x:v>
      </x:c>
    </x:row>
    <x:row r="91" ht="17.25" customHeight="1">
      <x:c r="A91" s="24" t="str">
        <x:v>W-0090</x:v>
      </x:c>
      <x:c r="B91" s="24" t="str">
        <x:v>스위치플랜</x:v>
      </x:c>
      <x:c r="C91" s="24" t="str">
        <x:v>314소2486</x:v>
      </x:c>
      <x:c r="D91" s="24" t="str">
        <x:v>높음</x:v>
      </x:c>
      <x:c r="E91" s="24" t="str">
        <x:v>보험 갱신 확인</x:v>
      </x:c>
      <x:c r="F91" s="24" t="str">
        <x:v>314소2486 보험 갱신 확인</x:v>
      </x:c>
      <x:c r="G91" s="24" t="str"/>
      <x:c r="H91" s="30"/>
      <x:c r="I91" s="24" t="str">
        <x:v>대기</x:v>
      </x:c>
      <x:c r="J91" s="30"/>
      <x:c r="K91" s="24" t="str">
        <x:v>SW-C-314소2486-1-20231121-36</x:v>
      </x:c>
      <x:c r="L91" s="24" t="str">
        <x:v>자동점검</x:v>
      </x:c>
    </x:row>
    <x:row r="92" ht="17.25" customHeight="1">
      <x:c r="A92" s="24" t="str">
        <x:v>W-0091</x:v>
      </x:c>
      <x:c r="B92" s="24" t="str">
        <x:v>스위치플랜</x:v>
      </x:c>
      <x:c r="C92" s="24" t="str">
        <x:v>52모6211</x:v>
      </x:c>
      <x:c r="D92" s="24" t="str">
        <x:v>높음</x:v>
      </x:c>
      <x:c r="E92" s="24" t="str">
        <x:v>보험 연령 입력</x:v>
      </x:c>
      <x:c r="F92" s="24" t="str">
        <x:v>52모6211 보험 연령 입력</x:v>
      </x:c>
      <x:c r="G92" s="24" t="str"/>
      <x:c r="H92" s="30"/>
      <x:c r="I92" s="24" t="str">
        <x:v>대기</x:v>
      </x:c>
      <x:c r="J92" s="30"/>
      <x:c r="K92" s="24" t="str">
        <x:v>SW-C-52모6211-1-20240925-37</x:v>
      </x:c>
      <x:c r="L92" s="24" t="str">
        <x:v>자동점검</x:v>
      </x:c>
    </x:row>
    <x:row r="93" ht="17.25" customHeight="1">
      <x:c r="A93" s="24" t="str">
        <x:v>W-0092</x:v>
      </x:c>
      <x:c r="B93" s="24" t="str">
        <x:v>스위치플랜</x:v>
      </x:c>
      <x:c r="C93" s="24" t="str">
        <x:v>52모6211</x:v>
      </x:c>
      <x:c r="D93" s="24" t="str">
        <x:v>높음</x:v>
      </x:c>
      <x:c r="E93" s="24" t="str">
        <x:v>보험 갱신 확인</x:v>
      </x:c>
      <x:c r="F93" s="24" t="str">
        <x:v>52모6211 보험 갱신 확인</x:v>
      </x:c>
      <x:c r="G93" s="24" t="str"/>
      <x:c r="H93" s="30"/>
      <x:c r="I93" s="24" t="str">
        <x:v>대기</x:v>
      </x:c>
      <x:c r="J93" s="30"/>
      <x:c r="K93" s="24" t="str">
        <x:v>SW-C-52모6211-1-20240925-37</x:v>
      </x:c>
      <x:c r="L93" s="24" t="str">
        <x:v>자동점검</x:v>
      </x:c>
    </x:row>
    <x:row r="94" ht="17.25" customHeight="1">
      <x:c r="A94" s="24" t="str">
        <x:v>W-0093</x:v>
      </x:c>
      <x:c r="B94" s="24" t="str">
        <x:v>스위치플랜</x:v>
      </x:c>
      <x:c r="C94" s="24" t="str">
        <x:v>376두7844</x:v>
      </x:c>
      <x:c r="D94" s="24" t="str">
        <x:v>긴급</x:v>
      </x:c>
      <x:c r="E94" s="24" t="str">
        <x:v>미수 확인</x:v>
      </x:c>
      <x:c r="F94" s="24" t="str">
        <x:v>376두7844 미수 확인</x:v>
      </x:c>
      <x:c r="G94" s="24" t="str"/>
      <x:c r="H94" s="30"/>
      <x:c r="I94" s="24" t="str">
        <x:v>대기</x:v>
      </x:c>
      <x:c r="J94" s="30"/>
      <x:c r="K94" s="24" t="str">
        <x:v>SW-C-376두7844-1-20250616-38</x:v>
      </x:c>
      <x:c r="L94" s="24" t="str">
        <x:v>자동점검</x:v>
      </x:c>
    </x:row>
    <x:row r="95" ht="17.25" customHeight="1">
      <x:c r="A95" s="24" t="str">
        <x:v>W-0094</x:v>
      </x:c>
      <x:c r="B95" s="24" t="str">
        <x:v>스위치플랜</x:v>
      </x:c>
      <x:c r="C95" s="24" t="str">
        <x:v>376두7844</x:v>
      </x:c>
      <x:c r="D95" s="24" t="str">
        <x:v>높음</x:v>
      </x:c>
      <x:c r="E95" s="24" t="str">
        <x:v>보험 연령 입력</x:v>
      </x:c>
      <x:c r="F95" s="24" t="str">
        <x:v>376두7844 보험 연령 입력</x:v>
      </x:c>
      <x:c r="G95" s="24" t="str"/>
      <x:c r="H95" s="30"/>
      <x:c r="I95" s="24" t="str">
        <x:v>대기</x:v>
      </x:c>
      <x:c r="J95" s="30"/>
      <x:c r="K95" s="24" t="str">
        <x:v>SW-C-376두7844-1-20250616-38</x:v>
      </x:c>
      <x:c r="L95" s="24" t="str">
        <x:v>자동점검</x:v>
      </x:c>
    </x:row>
    <x:row r="96" ht="17.25" customHeight="1">
      <x:c r="A96" s="24" t="str">
        <x:v>W-0095</x:v>
      </x:c>
      <x:c r="B96" s="24" t="str">
        <x:v>스위치플랜</x:v>
      </x:c>
      <x:c r="C96" s="24" t="str">
        <x:v>376두7844</x:v>
      </x:c>
      <x:c r="D96" s="24" t="str">
        <x:v>높음</x:v>
      </x:c>
      <x:c r="E96" s="24" t="str">
        <x:v>보험 갱신 확인</x:v>
      </x:c>
      <x:c r="F96" s="24" t="str">
        <x:v>376두7844 보험 갱신 확인</x:v>
      </x:c>
      <x:c r="G96" s="24" t="str"/>
      <x:c r="H96" s="30"/>
      <x:c r="I96" s="24" t="str">
        <x:v>대기</x:v>
      </x:c>
      <x:c r="J96" s="30"/>
      <x:c r="K96" s="24" t="str">
        <x:v>SW-C-376두7844-1-20250616-38</x:v>
      </x:c>
      <x:c r="L96" s="24" t="str">
        <x:v>자동점검</x:v>
      </x:c>
    </x:row>
    <x:row r="97" ht="17.25" customHeight="1">
      <x:c r="A97" s="24" t="str">
        <x:v>W-0096</x:v>
      </x:c>
      <x:c r="B97" s="24" t="str">
        <x:v>스위치플랜</x:v>
      </x:c>
      <x:c r="C97" s="24" t="str">
        <x:v>162고5602</x:v>
      </x:c>
      <x:c r="D97" s="24" t="str">
        <x:v>긴급</x:v>
      </x:c>
      <x:c r="E97" s="24" t="str">
        <x:v>미수 확인</x:v>
      </x:c>
      <x:c r="F97" s="24" t="str">
        <x:v>162고5602 미수 확인</x:v>
      </x:c>
      <x:c r="G97" s="24" t="str"/>
      <x:c r="H97" s="30"/>
      <x:c r="I97" s="24" t="str">
        <x:v>대기</x:v>
      </x:c>
      <x:c r="J97" s="30"/>
      <x:c r="K97" s="24" t="str">
        <x:v>SW-C-162고5602-1-20241216-40</x:v>
      </x:c>
      <x:c r="L97" s="24" t="str">
        <x:v>자동점검</x:v>
      </x:c>
    </x:row>
    <x:row r="98" ht="17.25" customHeight="1">
      <x:c r="A98" s="24" t="str">
        <x:v>W-0097</x:v>
      </x:c>
      <x:c r="B98" s="24" t="str">
        <x:v>스위치플랜</x:v>
      </x:c>
      <x:c r="C98" s="24" t="str">
        <x:v>162고5602</x:v>
      </x:c>
      <x:c r="D98" s="24" t="str">
        <x:v>높음</x:v>
      </x:c>
      <x:c r="E98" s="24" t="str">
        <x:v>보험 연령 입력</x:v>
      </x:c>
      <x:c r="F98" s="24" t="str">
        <x:v>162고5602 보험 연령 입력</x:v>
      </x:c>
      <x:c r="G98" s="24" t="str"/>
      <x:c r="H98" s="30"/>
      <x:c r="I98" s="24" t="str">
        <x:v>대기</x:v>
      </x:c>
      <x:c r="J98" s="30"/>
      <x:c r="K98" s="24" t="str">
        <x:v>SW-C-162고5602-1-20241216-40</x:v>
      </x:c>
      <x:c r="L98" s="24" t="str">
        <x:v>자동점검</x:v>
      </x:c>
    </x:row>
    <x:row r="99" ht="17.25" customHeight="1">
      <x:c r="A99" s="24" t="str">
        <x:v>W-0098</x:v>
      </x:c>
      <x:c r="B99" s="24" t="str">
        <x:v>스위치플랜</x:v>
      </x:c>
      <x:c r="C99" s="24" t="str">
        <x:v>162고5602</x:v>
      </x:c>
      <x:c r="D99" s="24" t="str">
        <x:v>높음</x:v>
      </x:c>
      <x:c r="E99" s="24" t="str">
        <x:v>보험 갱신 확인</x:v>
      </x:c>
      <x:c r="F99" s="24" t="str">
        <x:v>162고5602 보험 갱신 확인</x:v>
      </x:c>
      <x:c r="G99" s="24" t="str"/>
      <x:c r="H99" s="30"/>
      <x:c r="I99" s="24" t="str">
        <x:v>대기</x:v>
      </x:c>
      <x:c r="J99" s="30"/>
      <x:c r="K99" s="24" t="str">
        <x:v>SW-C-162고5602-1-20241216-40</x:v>
      </x:c>
      <x:c r="L99" s="24" t="str">
        <x:v>자동점검</x:v>
      </x:c>
    </x:row>
    <x:row r="100" ht="17.25" customHeight="1">
      <x:c r="A100" s="24" t="str">
        <x:v>W-0099</x:v>
      </x:c>
      <x:c r="B100" s="24" t="str">
        <x:v>스위치플랜</x:v>
      </x:c>
      <x:c r="C100" s="24" t="str">
        <x:v>15나3640</x:v>
      </x:c>
      <x:c r="D100" s="24" t="str">
        <x:v>긴급</x:v>
      </x:c>
      <x:c r="E100" s="24" t="str">
        <x:v>미수 확인</x:v>
      </x:c>
      <x:c r="F100" s="24" t="str">
        <x:v>15나3640 미수 확인</x:v>
      </x:c>
      <x:c r="G100" s="24" t="str"/>
      <x:c r="H100" s="30"/>
      <x:c r="I100" s="24" t="str">
        <x:v>대기</x:v>
      </x:c>
      <x:c r="J100" s="30"/>
      <x:c r="K100" s="24" t="str">
        <x:v>SW-C-15나3640-1-20250822-41</x:v>
      </x:c>
      <x:c r="L100" s="24" t="str">
        <x:v>자동점검</x:v>
      </x:c>
    </x:row>
    <x:row r="101" ht="17.25" customHeight="1">
      <x:c r="A101" s="24" t="str">
        <x:v>W-0100</x:v>
      </x:c>
      <x:c r="B101" s="24" t="str">
        <x:v>스위치플랜</x:v>
      </x:c>
      <x:c r="C101" s="24" t="str">
        <x:v>15나3640</x:v>
      </x:c>
      <x:c r="D101" s="24" t="str">
        <x:v>높음</x:v>
      </x:c>
      <x:c r="E101" s="24" t="str">
        <x:v>보험 연령 입력</x:v>
      </x:c>
      <x:c r="F101" s="24" t="str">
        <x:v>15나3640 보험 연령 입력</x:v>
      </x:c>
      <x:c r="G101" s="24" t="str"/>
      <x:c r="H101" s="30"/>
      <x:c r="I101" s="24" t="str">
        <x:v>대기</x:v>
      </x:c>
      <x:c r="J101" s="30"/>
      <x:c r="K101" s="24" t="str">
        <x:v>SW-C-15나3640-1-20250822-41</x:v>
      </x:c>
      <x:c r="L101" s="24" t="str">
        <x:v>자동점검</x:v>
      </x:c>
    </x:row>
    <x:row r="102" ht="17.25" customHeight="1">
      <x:c r="A102" s="24" t="str">
        <x:v>W-0101</x:v>
      </x:c>
      <x:c r="B102" s="24" t="str">
        <x:v>스위치플랜</x:v>
      </x:c>
      <x:c r="C102" s="24" t="str">
        <x:v>15나3640</x:v>
      </x:c>
      <x:c r="D102" s="24" t="str">
        <x:v>높음</x:v>
      </x:c>
      <x:c r="E102" s="24" t="str">
        <x:v>보험 갱신 확인</x:v>
      </x:c>
      <x:c r="F102" s="24" t="str">
        <x:v>15나3640 보험 갱신 확인</x:v>
      </x:c>
      <x:c r="G102" s="24" t="str"/>
      <x:c r="H102" s="30"/>
      <x:c r="I102" s="24" t="str">
        <x:v>대기</x:v>
      </x:c>
      <x:c r="J102" s="30"/>
      <x:c r="K102" s="24" t="str">
        <x:v>SW-C-15나3640-1-20250822-41</x:v>
      </x:c>
      <x:c r="L102" s="24" t="str">
        <x:v>자동점검</x:v>
      </x:c>
    </x:row>
    <x:row r="103" ht="17.25" customHeight="1">
      <x:c r="A103" s="24" t="str">
        <x:v>W-0102</x:v>
      </x:c>
      <x:c r="B103" s="24" t="str">
        <x:v>스위치플랜</x:v>
      </x:c>
      <x:c r="C103" s="24" t="str">
        <x:v>97러0815</x:v>
      </x:c>
      <x:c r="D103" s="24" t="str">
        <x:v>높음</x:v>
      </x:c>
      <x:c r="E103" s="24" t="str">
        <x:v>보험 연령 입력</x:v>
      </x:c>
      <x:c r="F103" s="24" t="str">
        <x:v>97러0815 보험 연령 입력</x:v>
      </x:c>
      <x:c r="G103" s="24" t="str"/>
      <x:c r="H103" s="30"/>
      <x:c r="I103" s="24" t="str">
        <x:v>대기</x:v>
      </x:c>
      <x:c r="J103" s="30"/>
      <x:c r="K103" s="24" t="str">
        <x:v>SW-C-97러0815-1-20260115-42</x:v>
      </x:c>
      <x:c r="L103" s="24" t="str">
        <x:v>자동점검</x:v>
      </x:c>
    </x:row>
    <x:row r="104" ht="17.25" customHeight="1">
      <x:c r="A104" s="24" t="str">
        <x:v>W-0103</x:v>
      </x:c>
      <x:c r="B104" s="24" t="str">
        <x:v>스위치플랜</x:v>
      </x:c>
      <x:c r="C104" s="24" t="str">
        <x:v>97러0815</x:v>
      </x:c>
      <x:c r="D104" s="24" t="str">
        <x:v>높음</x:v>
      </x:c>
      <x:c r="E104" s="24" t="str">
        <x:v>보험 갱신 확인</x:v>
      </x:c>
      <x:c r="F104" s="24" t="str">
        <x:v>97러0815 보험 갱신 확인</x:v>
      </x:c>
      <x:c r="G104" s="24" t="str"/>
      <x:c r="H104" s="30"/>
      <x:c r="I104" s="24" t="str">
        <x:v>대기</x:v>
      </x:c>
      <x:c r="J104" s="30"/>
      <x:c r="K104" s="24" t="str">
        <x:v>SW-C-97러0815-1-20260115-42</x:v>
      </x:c>
      <x:c r="L104" s="24" t="str">
        <x:v>자동점검</x:v>
      </x:c>
    </x:row>
    <x:row r="105" ht="17.25" customHeight="1">
      <x:c r="A105" s="24" t="str">
        <x:v>W-0104</x:v>
      </x:c>
      <x:c r="B105" s="24" t="str">
        <x:v>스위치플랜</x:v>
      </x:c>
      <x:c r="C105" s="24" t="str">
        <x:v>68서5320</x:v>
      </x:c>
      <x:c r="D105" s="24" t="str">
        <x:v>높음</x:v>
      </x:c>
      <x:c r="E105" s="24" t="str">
        <x:v>보험 연령 입력</x:v>
      </x:c>
      <x:c r="F105" s="24" t="str">
        <x:v>68서5320 보험 연령 입력</x:v>
      </x:c>
      <x:c r="G105" s="24" t="str"/>
      <x:c r="H105" s="30"/>
      <x:c r="I105" s="24" t="str">
        <x:v>대기</x:v>
      </x:c>
      <x:c r="J105" s="30"/>
      <x:c r="K105" s="24" t="str">
        <x:v>SW-C-68서5320-1-20260424-43</x:v>
      </x:c>
      <x:c r="L105" s="24" t="str">
        <x:v>자동점검</x:v>
      </x:c>
    </x:row>
    <x:row r="106" ht="17.25" customHeight="1">
      <x:c r="A106" s="24" t="str">
        <x:v>W-0105</x:v>
      </x:c>
      <x:c r="B106" s="24" t="str">
        <x:v>스위치플랜</x:v>
      </x:c>
      <x:c r="C106" s="24" t="str">
        <x:v>68서5320</x:v>
      </x:c>
      <x:c r="D106" s="24" t="str">
        <x:v>높음</x:v>
      </x:c>
      <x:c r="E106" s="24" t="str">
        <x:v>보험 갱신 확인</x:v>
      </x:c>
      <x:c r="F106" s="24" t="str">
        <x:v>68서5320 보험 갱신 확인</x:v>
      </x:c>
      <x:c r="G106" s="24" t="str"/>
      <x:c r="H106" s="30"/>
      <x:c r="I106" s="24" t="str">
        <x:v>대기</x:v>
      </x:c>
      <x:c r="J106" s="30"/>
      <x:c r="K106" s="24" t="str">
        <x:v>SW-C-68서5320-1-20260424-43</x:v>
      </x:c>
      <x:c r="L106" s="24" t="str">
        <x:v>자동점검</x:v>
      </x:c>
    </x:row>
    <x:row r="107" ht="17.25" customHeight="1">
      <x:c r="A107" s="24" t="str">
        <x:v>W-0106</x:v>
      </x:c>
      <x:c r="B107" s="24" t="str">
        <x:v>스위치플랜</x:v>
      </x:c>
      <x:c r="C107" s="24" t="str">
        <x:v>28구4152</x:v>
      </x:c>
      <x:c r="D107" s="24" t="str">
        <x:v>높음</x:v>
      </x:c>
      <x:c r="E107" s="24" t="str">
        <x:v>보험 연령 입력</x:v>
      </x:c>
      <x:c r="F107" s="24" t="str">
        <x:v>28구4152 보험 연령 입력</x:v>
      </x:c>
      <x:c r="G107" s="24" t="str"/>
      <x:c r="H107" s="30"/>
      <x:c r="I107" s="24" t="str">
        <x:v>대기</x:v>
      </x:c>
      <x:c r="J107" s="30"/>
      <x:c r="K107" s="24" t="str">
        <x:v>SW-C-28구4152-1-20240201-44</x:v>
      </x:c>
      <x:c r="L107" s="24" t="str">
        <x:v>자동점검</x:v>
      </x:c>
    </x:row>
    <x:row r="108" ht="17.25" customHeight="1">
      <x:c r="A108" s="24" t="str">
        <x:v>W-0107</x:v>
      </x:c>
      <x:c r="B108" s="24" t="str">
        <x:v>스위치플랜</x:v>
      </x:c>
      <x:c r="C108" s="24" t="str">
        <x:v>28구4152</x:v>
      </x:c>
      <x:c r="D108" s="24" t="str">
        <x:v>높음</x:v>
      </x:c>
      <x:c r="E108" s="24" t="str">
        <x:v>보험 갱신 확인</x:v>
      </x:c>
      <x:c r="F108" s="24" t="str">
        <x:v>28구4152 보험 갱신 확인</x:v>
      </x:c>
      <x:c r="G108" s="24" t="str"/>
      <x:c r="H108" s="30"/>
      <x:c r="I108" s="24" t="str">
        <x:v>대기</x:v>
      </x:c>
      <x:c r="J108" s="30"/>
      <x:c r="K108" s="24" t="str">
        <x:v>SW-C-28구4152-1-20240201-44</x:v>
      </x:c>
      <x:c r="L108" s="24" t="str">
        <x:v>자동점검</x:v>
      </x:c>
    </x:row>
    <x:row r="109" ht="17.25" customHeight="1">
      <x:c r="A109" s="24" t="str">
        <x:v>W-0108</x:v>
      </x:c>
      <x:c r="B109" s="24" t="str">
        <x:v>스위치플랜</x:v>
      </x:c>
      <x:c r="C109" s="24" t="str">
        <x:v>365주3303</x:v>
      </x:c>
      <x:c r="D109" s="24" t="str">
        <x:v>긴급</x:v>
      </x:c>
      <x:c r="E109" s="24" t="str">
        <x:v>미수 확인</x:v>
      </x:c>
      <x:c r="F109" s="24" t="str">
        <x:v>365주3303 미수 확인</x:v>
      </x:c>
      <x:c r="G109" s="24" t="str"/>
      <x:c r="H109" s="30"/>
      <x:c r="I109" s="24" t="str">
        <x:v>대기</x:v>
      </x:c>
      <x:c r="J109" s="30"/>
      <x:c r="K109" s="24" t="str">
        <x:v>SW-C-365주3303-1-20231121-45</x:v>
      </x:c>
      <x:c r="L109" s="24" t="str">
        <x:v>자동점검</x:v>
      </x:c>
    </x:row>
    <x:row r="110" ht="17.25" customHeight="1">
      <x:c r="A110" s="24" t="str">
        <x:v>W-0109</x:v>
      </x:c>
      <x:c r="B110" s="24" t="str">
        <x:v>스위치플랜</x:v>
      </x:c>
      <x:c r="C110" s="24" t="str">
        <x:v>365주3303</x:v>
      </x:c>
      <x:c r="D110" s="24" t="str">
        <x:v>높음</x:v>
      </x:c>
      <x:c r="E110" s="24" t="str">
        <x:v>보험 연령 입력</x:v>
      </x:c>
      <x:c r="F110" s="24" t="str">
        <x:v>365주3303 보험 연령 입력</x:v>
      </x:c>
      <x:c r="G110" s="24" t="str"/>
      <x:c r="H110" s="30"/>
      <x:c r="I110" s="24" t="str">
        <x:v>대기</x:v>
      </x:c>
      <x:c r="J110" s="30"/>
      <x:c r="K110" s="24" t="str">
        <x:v>SW-C-365주3303-1-20231121-45</x:v>
      </x:c>
      <x:c r="L110" s="24" t="str">
        <x:v>자동점검</x:v>
      </x:c>
    </x:row>
    <x:row r="111" ht="17.25" customHeight="1">
      <x:c r="A111" s="24" t="str">
        <x:v>W-0110</x:v>
      </x:c>
      <x:c r="B111" s="24" t="str">
        <x:v>스위치플랜</x:v>
      </x:c>
      <x:c r="C111" s="24" t="str">
        <x:v>365주3303</x:v>
      </x:c>
      <x:c r="D111" s="24" t="str">
        <x:v>높음</x:v>
      </x:c>
      <x:c r="E111" s="24" t="str">
        <x:v>보험 갱신 확인</x:v>
      </x:c>
      <x:c r="F111" s="24" t="str">
        <x:v>365주3303 보험 갱신 확인</x:v>
      </x:c>
      <x:c r="G111" s="24" t="str"/>
      <x:c r="H111" s="30"/>
      <x:c r="I111" s="24" t="str">
        <x:v>대기</x:v>
      </x:c>
      <x:c r="J111" s="30"/>
      <x:c r="K111" s="24" t="str">
        <x:v>SW-C-365주3303-1-20231121-45</x:v>
      </x:c>
      <x:c r="L111" s="24" t="str">
        <x:v>자동점검</x:v>
      </x:c>
    </x:row>
    <x:row r="112" ht="17.25" customHeight="1">
      <x:c r="A112" s="24" t="str">
        <x:v>W-0111</x:v>
      </x:c>
      <x:c r="B112" s="24" t="str">
        <x:v>스위치플랜</x:v>
      </x:c>
      <x:c r="C112" s="24" t="str">
        <x:v>165서6056</x:v>
      </x:c>
      <x:c r="D112" s="24" t="str">
        <x:v>긴급</x:v>
      </x:c>
      <x:c r="E112" s="24" t="str">
        <x:v>미수 확인</x:v>
      </x:c>
      <x:c r="F112" s="24" t="str">
        <x:v>165서6056 미수 확인</x:v>
      </x:c>
      <x:c r="G112" s="24" t="str"/>
      <x:c r="H112" s="30"/>
      <x:c r="I112" s="24" t="str">
        <x:v>대기</x:v>
      </x:c>
      <x:c r="J112" s="30"/>
      <x:c r="K112" s="24" t="str">
        <x:v>SW-C-165서6056-1-20231123-46</x:v>
      </x:c>
      <x:c r="L112" s="24" t="str">
        <x:v>자동점검</x:v>
      </x:c>
    </x:row>
    <x:row r="113" ht="17.25" customHeight="1">
      <x:c r="A113" s="24" t="str">
        <x:v>W-0112</x:v>
      </x:c>
      <x:c r="B113" s="24" t="str">
        <x:v>스위치플랜</x:v>
      </x:c>
      <x:c r="C113" s="24" t="str">
        <x:v>165서6056</x:v>
      </x:c>
      <x:c r="D113" s="24" t="str">
        <x:v>높음</x:v>
      </x:c>
      <x:c r="E113" s="24" t="str">
        <x:v>보험 연령 입력</x:v>
      </x:c>
      <x:c r="F113" s="24" t="str">
        <x:v>165서6056 보험 연령 입력</x:v>
      </x:c>
      <x:c r="G113" s="24" t="str"/>
      <x:c r="H113" s="30"/>
      <x:c r="I113" s="24" t="str">
        <x:v>대기</x:v>
      </x:c>
      <x:c r="J113" s="30"/>
      <x:c r="K113" s="24" t="str">
        <x:v>SW-C-165서6056-1-20231123-46</x:v>
      </x:c>
      <x:c r="L113" s="24" t="str">
        <x:v>자동점검</x:v>
      </x:c>
    </x:row>
    <x:row r="114" ht="17.25" customHeight="1">
      <x:c r="A114" s="24" t="str">
        <x:v>W-0113</x:v>
      </x:c>
      <x:c r="B114" s="24" t="str">
        <x:v>스위치플랜</x:v>
      </x:c>
      <x:c r="C114" s="24" t="str">
        <x:v>165서6056</x:v>
      </x:c>
      <x:c r="D114" s="24" t="str">
        <x:v>높음</x:v>
      </x:c>
      <x:c r="E114" s="24" t="str">
        <x:v>보험 갱신 확인</x:v>
      </x:c>
      <x:c r="F114" s="24" t="str">
        <x:v>165서6056 보험 갱신 확인</x:v>
      </x:c>
      <x:c r="G114" s="24" t="str"/>
      <x:c r="H114" s="30"/>
      <x:c r="I114" s="24" t="str">
        <x:v>대기</x:v>
      </x:c>
      <x:c r="J114" s="30"/>
      <x:c r="K114" s="24" t="str">
        <x:v>SW-C-165서6056-1-20231123-46</x:v>
      </x:c>
      <x:c r="L114" s="24" t="str">
        <x:v>자동점검</x:v>
      </x:c>
    </x:row>
    <x:row r="115" ht="17.25" customHeight="1">
      <x:c r="A115" s="24" t="str">
        <x:v>W-0114</x:v>
      </x:c>
      <x:c r="B115" s="24" t="str">
        <x:v>스위치플랜</x:v>
      </x:c>
      <x:c r="C115" s="24" t="str">
        <x:v>32어3092</x:v>
      </x:c>
      <x:c r="D115" s="24" t="str">
        <x:v>높음</x:v>
      </x:c>
      <x:c r="E115" s="24" t="str">
        <x:v>보험 연령 입력</x:v>
      </x:c>
      <x:c r="F115" s="24" t="str">
        <x:v>32어3092 보험 연령 입력</x:v>
      </x:c>
      <x:c r="G115" s="24" t="str"/>
      <x:c r="H115" s="30"/>
      <x:c r="I115" s="24" t="str">
        <x:v>대기</x:v>
      </x:c>
      <x:c r="J115" s="30"/>
      <x:c r="K115" s="24" t="str">
        <x:v>SW-C-32어3092-1-NA-47</x:v>
      </x:c>
      <x:c r="L115" s="24" t="str">
        <x:v>자동점검</x:v>
      </x:c>
    </x:row>
    <x:row r="116" ht="17.25" customHeight="1">
      <x:c r="A116" s="24" t="str">
        <x:v>W-0115</x:v>
      </x:c>
      <x:c r="B116" s="24" t="str">
        <x:v>스위치플랜</x:v>
      </x:c>
      <x:c r="C116" s="24" t="str">
        <x:v>32어3092</x:v>
      </x:c>
      <x:c r="D116" s="24" t="str">
        <x:v>높음</x:v>
      </x:c>
      <x:c r="E116" s="24" t="str">
        <x:v>보험 갱신 확인</x:v>
      </x:c>
      <x:c r="F116" s="24" t="str">
        <x:v>32어3092 보험 갱신 확인</x:v>
      </x:c>
      <x:c r="G116" s="24" t="str"/>
      <x:c r="H116" s="30"/>
      <x:c r="I116" s="24" t="str">
        <x:v>대기</x:v>
      </x:c>
      <x:c r="J116" s="30"/>
      <x:c r="K116" s="24" t="str">
        <x:v>SW-C-32어3092-1-NA-47</x:v>
      </x:c>
      <x:c r="L116" s="24" t="str">
        <x:v>자동점검</x:v>
      </x:c>
    </x:row>
    <x:row r="117" ht="17.25" customHeight="1">
      <x:c r="A117" s="24" t="str">
        <x:v>W-0116</x:v>
      </x:c>
      <x:c r="B117" s="24" t="str">
        <x:v>스위치플랜</x:v>
      </x:c>
      <x:c r="C117" s="24" t="str">
        <x:v>193우6384</x:v>
      </x:c>
      <x:c r="D117" s="24" t="str">
        <x:v>높음</x:v>
      </x:c>
      <x:c r="E117" s="24" t="str">
        <x:v>보험 연령 입력</x:v>
      </x:c>
      <x:c r="F117" s="24" t="str">
        <x:v>193우6384 보험 연령 입력</x:v>
      </x:c>
      <x:c r="G117" s="24" t="str"/>
      <x:c r="H117" s="30"/>
      <x:c r="I117" s="24" t="str">
        <x:v>대기</x:v>
      </x:c>
      <x:c r="J117" s="30"/>
      <x:c r="K117" s="24" t="str">
        <x:v>SW-C-193우6384-1-20250226-48</x:v>
      </x:c>
      <x:c r="L117" s="24" t="str">
        <x:v>자동점검</x:v>
      </x:c>
    </x:row>
    <x:row r="118" ht="17.25" customHeight="1">
      <x:c r="A118" s="24" t="str">
        <x:v>W-0117</x:v>
      </x:c>
      <x:c r="B118" s="24" t="str">
        <x:v>스위치플랜</x:v>
      </x:c>
      <x:c r="C118" s="24" t="str">
        <x:v>193우6384</x:v>
      </x:c>
      <x:c r="D118" s="24" t="str">
        <x:v>높음</x:v>
      </x:c>
      <x:c r="E118" s="24" t="str">
        <x:v>보험 갱신 확인</x:v>
      </x:c>
      <x:c r="F118" s="24" t="str">
        <x:v>193우6384 보험 갱신 확인</x:v>
      </x:c>
      <x:c r="G118" s="24" t="str"/>
      <x:c r="H118" s="30"/>
      <x:c r="I118" s="24" t="str">
        <x:v>대기</x:v>
      </x:c>
      <x:c r="J118" s="30"/>
      <x:c r="K118" s="24" t="str">
        <x:v>SW-C-193우6384-1-20250226-48</x:v>
      </x:c>
      <x:c r="L118" s="24" t="str">
        <x:v>자동점검</x:v>
      </x:c>
    </x:row>
    <x:row r="119" ht="17.25" customHeight="1">
      <x:c r="A119" s="24" t="str">
        <x:v>W-0118</x:v>
      </x:c>
      <x:c r="B119" s="24" t="str">
        <x:v>스위치플랜</x:v>
      </x:c>
      <x:c r="C119" s="24" t="str">
        <x:v>293서9081</x:v>
      </x:c>
      <x:c r="D119" s="24" t="str">
        <x:v>높음</x:v>
      </x:c>
      <x:c r="E119" s="24" t="str">
        <x:v>보험 연령 입력</x:v>
      </x:c>
      <x:c r="F119" s="24" t="str">
        <x:v>293서9081 보험 연령 입력</x:v>
      </x:c>
      <x:c r="G119" s="24" t="str"/>
      <x:c r="H119" s="30"/>
      <x:c r="I119" s="24" t="str">
        <x:v>대기</x:v>
      </x:c>
      <x:c r="J119" s="30"/>
      <x:c r="K119" s="24" t="str">
        <x:v>SW-C-293서9081-1-20240206-49</x:v>
      </x:c>
      <x:c r="L119" s="24" t="str">
        <x:v>자동점검</x:v>
      </x:c>
    </x:row>
    <x:row r="120" ht="17.25" customHeight="1">
      <x:c r="A120" s="24" t="str">
        <x:v>W-0119</x:v>
      </x:c>
      <x:c r="B120" s="24" t="str">
        <x:v>스위치플랜</x:v>
      </x:c>
      <x:c r="C120" s="24" t="str">
        <x:v>293서9081</x:v>
      </x:c>
      <x:c r="D120" s="24" t="str">
        <x:v>높음</x:v>
      </x:c>
      <x:c r="E120" s="24" t="str">
        <x:v>보험 갱신 확인</x:v>
      </x:c>
      <x:c r="F120" s="24" t="str">
        <x:v>293서9081 보험 갱신 확인</x:v>
      </x:c>
      <x:c r="G120" s="24" t="str"/>
      <x:c r="H120" s="30"/>
      <x:c r="I120" s="24" t="str">
        <x:v>대기</x:v>
      </x:c>
      <x:c r="J120" s="30"/>
      <x:c r="K120" s="24" t="str">
        <x:v>SW-C-293서9081-1-20240206-49</x:v>
      </x:c>
      <x:c r="L120" s="24" t="str">
        <x:v>자동점검</x:v>
      </x:c>
    </x:row>
    <x:row r="121" ht="17.25" customHeight="1">
      <x:c r="A121" s="24" t="str">
        <x:v>W-0120</x:v>
      </x:c>
      <x:c r="B121" s="24" t="str">
        <x:v>스위치플랜</x:v>
      </x:c>
      <x:c r="C121" s="24" t="str">
        <x:v>149조6163</x:v>
      </x:c>
      <x:c r="D121" s="24" t="str">
        <x:v>긴급</x:v>
      </x:c>
      <x:c r="E121" s="24" t="str">
        <x:v>미수 확인</x:v>
      </x:c>
      <x:c r="F121" s="24" t="str">
        <x:v>149조6163 미수 확인</x:v>
      </x:c>
      <x:c r="G121" s="24" t="str"/>
      <x:c r="H121" s="30"/>
      <x:c r="I121" s="24" t="str">
        <x:v>대기</x:v>
      </x:c>
      <x:c r="J121" s="30"/>
      <x:c r="K121" s="24" t="str">
        <x:v>SW-C-149조6163-1-20260323-50</x:v>
      </x:c>
      <x:c r="L121" s="24" t="str">
        <x:v>자동점검</x:v>
      </x:c>
    </x:row>
    <x:row r="122" ht="17.25" customHeight="1">
      <x:c r="A122" s="24" t="str">
        <x:v>W-0121</x:v>
      </x:c>
      <x:c r="B122" s="24" t="str">
        <x:v>스위치플랜</x:v>
      </x:c>
      <x:c r="C122" s="24" t="str">
        <x:v>149조6163</x:v>
      </x:c>
      <x:c r="D122" s="24" t="str">
        <x:v>높음</x:v>
      </x:c>
      <x:c r="E122" s="24" t="str">
        <x:v>보험 연령 입력</x:v>
      </x:c>
      <x:c r="F122" s="24" t="str">
        <x:v>149조6163 보험 연령 입력</x:v>
      </x:c>
      <x:c r="G122" s="24" t="str"/>
      <x:c r="H122" s="30"/>
      <x:c r="I122" s="24" t="str">
        <x:v>대기</x:v>
      </x:c>
      <x:c r="J122" s="30"/>
      <x:c r="K122" s="24" t="str">
        <x:v>SW-C-149조6163-1-20260323-50</x:v>
      </x:c>
      <x:c r="L122" s="24" t="str">
        <x:v>자동점검</x:v>
      </x:c>
    </x:row>
    <x:row r="123" ht="17.25" customHeight="1">
      <x:c r="A123" s="24" t="str">
        <x:v>W-0122</x:v>
      </x:c>
      <x:c r="B123" s="24" t="str">
        <x:v>스위치플랜</x:v>
      </x:c>
      <x:c r="C123" s="24" t="str">
        <x:v>149조6163</x:v>
      </x:c>
      <x:c r="D123" s="24" t="str">
        <x:v>높음</x:v>
      </x:c>
      <x:c r="E123" s="24" t="str">
        <x:v>보험 갱신 확인</x:v>
      </x:c>
      <x:c r="F123" s="24" t="str">
        <x:v>149조6163 보험 갱신 확인</x:v>
      </x:c>
      <x:c r="G123" s="24" t="str"/>
      <x:c r="H123" s="30"/>
      <x:c r="I123" s="24" t="str">
        <x:v>대기</x:v>
      </x:c>
      <x:c r="J123" s="30"/>
      <x:c r="K123" s="24" t="str">
        <x:v>SW-C-149조6163-1-20260323-50</x:v>
      </x:c>
      <x:c r="L123" s="24" t="str">
        <x:v>자동점검</x:v>
      </x:c>
    </x:row>
    <x:row r="124" ht="17.25" customHeight="1">
      <x:c r="A124" s="24" t="str">
        <x:v>W-0123</x:v>
      </x:c>
      <x:c r="B124" s="24" t="str">
        <x:v>스위치플랜</x:v>
      </x:c>
      <x:c r="C124" s="24" t="str">
        <x:v>193우6308</x:v>
      </x:c>
      <x:c r="D124" s="24" t="str">
        <x:v>긴급</x:v>
      </x:c>
      <x:c r="E124" s="24" t="str">
        <x:v>회수 검토</x:v>
      </x:c>
      <x:c r="F124" s="24" t="str">
        <x:v>193우6308 회수 검토</x:v>
      </x:c>
      <x:c r="G124" s="24" t="str"/>
      <x:c r="H124" s="30"/>
      <x:c r="I124" s="24" t="str">
        <x:v>대기</x:v>
      </x:c>
      <x:c r="J124" s="30"/>
      <x:c r="K124" s="24" t="str">
        <x:v>SW-C-193우6308-1-20240507-51</x:v>
      </x:c>
      <x:c r="L124" s="24" t="str">
        <x:v>자동점검</x:v>
      </x:c>
    </x:row>
    <x:row r="125" ht="17.25" customHeight="1">
      <x:c r="A125" s="24" t="str">
        <x:v>W-0124</x:v>
      </x:c>
      <x:c r="B125" s="24" t="str">
        <x:v>스위치플랜</x:v>
      </x:c>
      <x:c r="C125" s="24" t="str">
        <x:v>193우6308</x:v>
      </x:c>
      <x:c r="D125" s="24" t="str">
        <x:v>높음</x:v>
      </x:c>
      <x:c r="E125" s="24" t="str">
        <x:v>보험 연령 입력</x:v>
      </x:c>
      <x:c r="F125" s="24" t="str">
        <x:v>193우6308 보험 연령 입력</x:v>
      </x:c>
      <x:c r="G125" s="24" t="str"/>
      <x:c r="H125" s="30"/>
      <x:c r="I125" s="24" t="str">
        <x:v>대기</x:v>
      </x:c>
      <x:c r="J125" s="30"/>
      <x:c r="K125" s="24" t="str">
        <x:v>SW-C-193우6308-1-20240507-51</x:v>
      </x:c>
      <x:c r="L125" s="24" t="str">
        <x:v>자동점검</x:v>
      </x:c>
    </x:row>
    <x:row r="126" ht="17.25" customHeight="1">
      <x:c r="A126" s="24" t="str">
        <x:v>W-0125</x:v>
      </x:c>
      <x:c r="B126" s="24" t="str">
        <x:v>스위치플랜</x:v>
      </x:c>
      <x:c r="C126" s="24" t="str">
        <x:v>193우6308</x:v>
      </x:c>
      <x:c r="D126" s="24" t="str">
        <x:v>높음</x:v>
      </x:c>
      <x:c r="E126" s="24" t="str">
        <x:v>보험 갱신 확인</x:v>
      </x:c>
      <x:c r="F126" s="24" t="str">
        <x:v>193우6308 보험 갱신 확인</x:v>
      </x:c>
      <x:c r="G126" s="24" t="str"/>
      <x:c r="H126" s="30"/>
      <x:c r="I126" s="24" t="str">
        <x:v>대기</x:v>
      </x:c>
      <x:c r="J126" s="30"/>
      <x:c r="K126" s="24" t="str">
        <x:v>SW-C-193우6308-1-20240507-51</x:v>
      </x:c>
      <x:c r="L126" s="24" t="str">
        <x:v>자동점검</x:v>
      </x:c>
    </x:row>
    <x:row r="127" ht="17.25" customHeight="1">
      <x:c r="A127" s="24" t="str">
        <x:v>W-0126</x:v>
      </x:c>
      <x:c r="B127" s="24" t="str">
        <x:v>스위치플랜</x:v>
      </x:c>
      <x:c r="C127" s="24" t="str">
        <x:v>314구7889</x:v>
      </x:c>
      <x:c r="D127" s="24" t="str">
        <x:v>긴급</x:v>
      </x:c>
      <x:c r="E127" s="24" t="str">
        <x:v>미수 확인</x:v>
      </x:c>
      <x:c r="F127" s="24" t="str">
        <x:v>314구7889 미수 확인</x:v>
      </x:c>
      <x:c r="G127" s="24" t="str"/>
      <x:c r="H127" s="30"/>
      <x:c r="I127" s="24" t="str">
        <x:v>대기</x:v>
      </x:c>
      <x:c r="J127" s="30"/>
      <x:c r="K127" s="24" t="str">
        <x:v>SW-C-314구7889-1-20250512-52</x:v>
      </x:c>
      <x:c r="L127" s="24" t="str">
        <x:v>자동점검</x:v>
      </x:c>
    </x:row>
    <x:row r="128" ht="17.25" customHeight="1">
      <x:c r="A128" s="24" t="str">
        <x:v>W-0127</x:v>
      </x:c>
      <x:c r="B128" s="24" t="str">
        <x:v>스위치플랜</x:v>
      </x:c>
      <x:c r="C128" s="24" t="str">
        <x:v>314구7889</x:v>
      </x:c>
      <x:c r="D128" s="24" t="str">
        <x:v>높음</x:v>
      </x:c>
      <x:c r="E128" s="24" t="str">
        <x:v>보험 연령 입력</x:v>
      </x:c>
      <x:c r="F128" s="24" t="str">
        <x:v>314구7889 보험 연령 입력</x:v>
      </x:c>
      <x:c r="G128" s="24" t="str"/>
      <x:c r="H128" s="30"/>
      <x:c r="I128" s="24" t="str">
        <x:v>대기</x:v>
      </x:c>
      <x:c r="J128" s="30"/>
      <x:c r="K128" s="24" t="str">
        <x:v>SW-C-314구7889-1-20250512-52</x:v>
      </x:c>
      <x:c r="L128" s="24" t="str">
        <x:v>자동점검</x:v>
      </x:c>
    </x:row>
    <x:row r="129" ht="17.25" customHeight="1">
      <x:c r="A129" s="24" t="str">
        <x:v>W-0128</x:v>
      </x:c>
      <x:c r="B129" s="24" t="str">
        <x:v>스위치플랜</x:v>
      </x:c>
      <x:c r="C129" s="24" t="str">
        <x:v>314구7889</x:v>
      </x:c>
      <x:c r="D129" s="24" t="str">
        <x:v>높음</x:v>
      </x:c>
      <x:c r="E129" s="24" t="str">
        <x:v>보험 갱신 확인</x:v>
      </x:c>
      <x:c r="F129" s="24" t="str">
        <x:v>314구7889 보험 갱신 확인</x:v>
      </x:c>
      <x:c r="G129" s="24" t="str"/>
      <x:c r="H129" s="30"/>
      <x:c r="I129" s="24" t="str">
        <x:v>대기</x:v>
      </x:c>
      <x:c r="J129" s="30"/>
      <x:c r="K129" s="24" t="str">
        <x:v>SW-C-314구7889-1-20250512-52</x:v>
      </x:c>
      <x:c r="L129" s="24" t="str">
        <x:v>자동점검</x:v>
      </x:c>
    </x:row>
    <x:row r="130" ht="17.25" customHeight="1">
      <x:c r="A130" s="24" t="str">
        <x:v>W-0129</x:v>
      </x:c>
      <x:c r="B130" s="24" t="str">
        <x:v>스위치플랜</x:v>
      </x:c>
      <x:c r="C130" s="24" t="str">
        <x:v>383마3206</x:v>
      </x:c>
      <x:c r="D130" s="24" t="str">
        <x:v>긴급</x:v>
      </x:c>
      <x:c r="E130" s="24" t="str">
        <x:v>미수 확인</x:v>
      </x:c>
      <x:c r="F130" s="24" t="str">
        <x:v>383마3206 미수 확인</x:v>
      </x:c>
      <x:c r="G130" s="24" t="str"/>
      <x:c r="H130" s="30"/>
      <x:c r="I130" s="24" t="str">
        <x:v>대기</x:v>
      </x:c>
      <x:c r="J130" s="30"/>
      <x:c r="K130" s="24" t="str">
        <x:v>SW-C-383마3206-1-20260207-53</x:v>
      </x:c>
      <x:c r="L130" s="24" t="str">
        <x:v>자동점검</x:v>
      </x:c>
    </x:row>
    <x:row r="131" ht="17.25" customHeight="1">
      <x:c r="A131" s="24" t="str">
        <x:v>W-0130</x:v>
      </x:c>
      <x:c r="B131" s="24" t="str">
        <x:v>스위치플랜</x:v>
      </x:c>
      <x:c r="C131" s="24" t="str">
        <x:v>383마3206</x:v>
      </x:c>
      <x:c r="D131" s="24" t="str">
        <x:v>높음</x:v>
      </x:c>
      <x:c r="E131" s="24" t="str">
        <x:v>보험 연령 입력</x:v>
      </x:c>
      <x:c r="F131" s="24" t="str">
        <x:v>383마3206 보험 연령 입력</x:v>
      </x:c>
      <x:c r="G131" s="24" t="str"/>
      <x:c r="H131" s="30"/>
      <x:c r="I131" s="24" t="str">
        <x:v>대기</x:v>
      </x:c>
      <x:c r="J131" s="30"/>
      <x:c r="K131" s="24" t="str">
        <x:v>SW-C-383마3206-1-20260207-53</x:v>
      </x:c>
      <x:c r="L131" s="24" t="str">
        <x:v>자동점검</x:v>
      </x:c>
    </x:row>
    <x:row r="132" ht="17.25" customHeight="1">
      <x:c r="A132" s="24" t="str">
        <x:v>W-0131</x:v>
      </x:c>
      <x:c r="B132" s="24" t="str">
        <x:v>스위치플랜</x:v>
      </x:c>
      <x:c r="C132" s="24" t="str">
        <x:v>383마3206</x:v>
      </x:c>
      <x:c r="D132" s="24" t="str">
        <x:v>높음</x:v>
      </x:c>
      <x:c r="E132" s="24" t="str">
        <x:v>보험 갱신 확인</x:v>
      </x:c>
      <x:c r="F132" s="24" t="str">
        <x:v>383마3206 보험 갱신 확인</x:v>
      </x:c>
      <x:c r="G132" s="24" t="str"/>
      <x:c r="H132" s="30"/>
      <x:c r="I132" s="24" t="str">
        <x:v>대기</x:v>
      </x:c>
      <x:c r="J132" s="30"/>
      <x:c r="K132" s="24" t="str">
        <x:v>SW-C-383마3206-1-20260207-53</x:v>
      </x:c>
      <x:c r="L132" s="24" t="str">
        <x:v>자동점검</x:v>
      </x:c>
    </x:row>
    <x:row r="133" ht="17.25" customHeight="1">
      <x:c r="A133" s="24" t="str">
        <x:v>W-0132</x:v>
      </x:c>
      <x:c r="B133" s="24" t="str">
        <x:v>스위치플랜</x:v>
      </x:c>
      <x:c r="C133" s="24" t="str">
        <x:v>193우6312</x:v>
      </x:c>
      <x:c r="D133" s="24" t="str">
        <x:v>긴급</x:v>
      </x:c>
      <x:c r="E133" s="24" t="str">
        <x:v>회수 검토</x:v>
      </x:c>
      <x:c r="F133" s="24" t="str">
        <x:v>193우6312 회수 검토</x:v>
      </x:c>
      <x:c r="G133" s="24" t="str"/>
      <x:c r="H133" s="30"/>
      <x:c r="I133" s="24" t="str">
        <x:v>대기</x:v>
      </x:c>
      <x:c r="J133" s="30"/>
      <x:c r="K133" s="24" t="str">
        <x:v>SW-C-193우6312-1-20240422-54</x:v>
      </x:c>
      <x:c r="L133" s="24" t="str">
        <x:v>자동점검</x:v>
      </x:c>
    </x:row>
    <x:row r="134" ht="17.25" customHeight="1">
      <x:c r="A134" s="24" t="str">
        <x:v>W-0133</x:v>
      </x:c>
      <x:c r="B134" s="24" t="str">
        <x:v>스위치플랜</x:v>
      </x:c>
      <x:c r="C134" s="24" t="str">
        <x:v>193우6312</x:v>
      </x:c>
      <x:c r="D134" s="24" t="str">
        <x:v>높음</x:v>
      </x:c>
      <x:c r="E134" s="24" t="str">
        <x:v>보험 연령 입력</x:v>
      </x:c>
      <x:c r="F134" s="24" t="str">
        <x:v>193우6312 보험 연령 입력</x:v>
      </x:c>
      <x:c r="G134" s="24" t="str"/>
      <x:c r="H134" s="30"/>
      <x:c r="I134" s="24" t="str">
        <x:v>대기</x:v>
      </x:c>
      <x:c r="J134" s="30"/>
      <x:c r="K134" s="24" t="str">
        <x:v>SW-C-193우6312-1-20240422-54</x:v>
      </x:c>
      <x:c r="L134" s="24" t="str">
        <x:v>자동점검</x:v>
      </x:c>
    </x:row>
    <x:row r="135" ht="17.25" customHeight="1">
      <x:c r="A135" s="24" t="str">
        <x:v>W-0134</x:v>
      </x:c>
      <x:c r="B135" s="24" t="str">
        <x:v>스위치플랜</x:v>
      </x:c>
      <x:c r="C135" s="24" t="str">
        <x:v>193우6312</x:v>
      </x:c>
      <x:c r="D135" s="24" t="str">
        <x:v>높음</x:v>
      </x:c>
      <x:c r="E135" s="24" t="str">
        <x:v>보험 갱신 확인</x:v>
      </x:c>
      <x:c r="F135" s="24" t="str">
        <x:v>193우6312 보험 갱신 확인</x:v>
      </x:c>
      <x:c r="G135" s="24" t="str"/>
      <x:c r="H135" s="30"/>
      <x:c r="I135" s="24" t="str">
        <x:v>대기</x:v>
      </x:c>
      <x:c r="J135" s="30"/>
      <x:c r="K135" s="24" t="str">
        <x:v>SW-C-193우6312-1-20240422-54</x:v>
      </x:c>
      <x:c r="L135" s="24" t="str">
        <x:v>자동점검</x:v>
      </x:c>
    </x:row>
    <x:row r="136" ht="17.25" customHeight="1">
      <x:c r="A136" s="24" t="str">
        <x:v>W-0135</x:v>
      </x:c>
      <x:c r="B136" s="24" t="str">
        <x:v>스위치플랜</x:v>
      </x:c>
      <x:c r="C136" s="24" t="str">
        <x:v>193우6391</x:v>
      </x:c>
      <x:c r="D136" s="24" t="str">
        <x:v>긴급</x:v>
      </x:c>
      <x:c r="E136" s="24" t="str">
        <x:v>미수 확인</x:v>
      </x:c>
      <x:c r="F136" s="24" t="str">
        <x:v>193우6391 미수 확인</x:v>
      </x:c>
      <x:c r="G136" s="24" t="str"/>
      <x:c r="H136" s="30"/>
      <x:c r="I136" s="24" t="str">
        <x:v>대기</x:v>
      </x:c>
      <x:c r="J136" s="30"/>
      <x:c r="K136" s="24" t="str">
        <x:v>SW-C-193우6391-1-20251125-55</x:v>
      </x:c>
      <x:c r="L136" s="24" t="str">
        <x:v>자동점검</x:v>
      </x:c>
    </x:row>
    <x:row r="137" ht="17.25" customHeight="1">
      <x:c r="A137" s="24" t="str">
        <x:v>W-0136</x:v>
      </x:c>
      <x:c r="B137" s="24" t="str">
        <x:v>스위치플랜</x:v>
      </x:c>
      <x:c r="C137" s="24" t="str">
        <x:v>193우6391</x:v>
      </x:c>
      <x:c r="D137" s="24" t="str">
        <x:v>높음</x:v>
      </x:c>
      <x:c r="E137" s="24" t="str">
        <x:v>보험 연령 입력</x:v>
      </x:c>
      <x:c r="F137" s="24" t="str">
        <x:v>193우6391 보험 연령 입력</x:v>
      </x:c>
      <x:c r="G137" s="24" t="str"/>
      <x:c r="H137" s="30"/>
      <x:c r="I137" s="24" t="str">
        <x:v>대기</x:v>
      </x:c>
      <x:c r="J137" s="30"/>
      <x:c r="K137" s="24" t="str">
        <x:v>SW-C-193우6391-1-20251125-55</x:v>
      </x:c>
      <x:c r="L137" s="24" t="str">
        <x:v>자동점검</x:v>
      </x:c>
    </x:row>
    <x:row r="138" ht="17.25" customHeight="1">
      <x:c r="A138" s="24" t="str">
        <x:v>W-0137</x:v>
      </x:c>
      <x:c r="B138" s="24" t="str">
        <x:v>스위치플랜</x:v>
      </x:c>
      <x:c r="C138" s="24" t="str">
        <x:v>193우6391</x:v>
      </x:c>
      <x:c r="D138" s="24" t="str">
        <x:v>높음</x:v>
      </x:c>
      <x:c r="E138" s="24" t="str">
        <x:v>보험 갱신 확인</x:v>
      </x:c>
      <x:c r="F138" s="24" t="str">
        <x:v>193우6391 보험 갱신 확인</x:v>
      </x:c>
      <x:c r="G138" s="24" t="str"/>
      <x:c r="H138" s="30"/>
      <x:c r="I138" s="24" t="str">
        <x:v>대기</x:v>
      </x:c>
      <x:c r="J138" s="30"/>
      <x:c r="K138" s="24" t="str">
        <x:v>SW-C-193우6391-1-20251125-55</x:v>
      </x:c>
      <x:c r="L138" s="24" t="str">
        <x:v>자동점검</x:v>
      </x:c>
    </x:row>
    <x:row r="139" ht="17.25" customHeight="1">
      <x:c r="A139" s="24" t="str">
        <x:v>W-0138</x:v>
      </x:c>
      <x:c r="B139" s="24" t="str">
        <x:v>스위치플랜</x:v>
      </x:c>
      <x:c r="C139" s="24" t="str">
        <x:v>193우6343</x:v>
      </x:c>
      <x:c r="D139" s="24" t="str">
        <x:v>긴급</x:v>
      </x:c>
      <x:c r="E139" s="24" t="str">
        <x:v>미수 확인</x:v>
      </x:c>
      <x:c r="F139" s="24" t="str">
        <x:v>193우6343 미수 확인</x:v>
      </x:c>
      <x:c r="G139" s="24" t="str"/>
      <x:c r="H139" s="30"/>
      <x:c r="I139" s="24" t="str">
        <x:v>대기</x:v>
      </x:c>
      <x:c r="J139" s="30"/>
      <x:c r="K139" s="24" t="str">
        <x:v>SW-C-193우6343-1-20250515-56</x:v>
      </x:c>
      <x:c r="L139" s="24" t="str">
        <x:v>자동점검</x:v>
      </x:c>
    </x:row>
    <x:row r="140" ht="17.25" customHeight="1">
      <x:c r="A140" s="24" t="str">
        <x:v>W-0139</x:v>
      </x:c>
      <x:c r="B140" s="24" t="str">
        <x:v>스위치플랜</x:v>
      </x:c>
      <x:c r="C140" s="24" t="str">
        <x:v>193우6343</x:v>
      </x:c>
      <x:c r="D140" s="24" t="str">
        <x:v>높음</x:v>
      </x:c>
      <x:c r="E140" s="24" t="str">
        <x:v>보험 연령 입력</x:v>
      </x:c>
      <x:c r="F140" s="24" t="str">
        <x:v>193우6343 보험 연령 입력</x:v>
      </x:c>
      <x:c r="G140" s="24" t="str"/>
      <x:c r="H140" s="30"/>
      <x:c r="I140" s="24" t="str">
        <x:v>대기</x:v>
      </x:c>
      <x:c r="J140" s="30"/>
      <x:c r="K140" s="24" t="str">
        <x:v>SW-C-193우6343-1-20250515-56</x:v>
      </x:c>
      <x:c r="L140" s="24" t="str">
        <x:v>자동점검</x:v>
      </x:c>
    </x:row>
    <x:row r="141" ht="17.25" customHeight="1">
      <x:c r="A141" s="24" t="str">
        <x:v>W-0140</x:v>
      </x:c>
      <x:c r="B141" s="24" t="str">
        <x:v>스위치플랜</x:v>
      </x:c>
      <x:c r="C141" s="24" t="str">
        <x:v>193우6343</x:v>
      </x:c>
      <x:c r="D141" s="24" t="str">
        <x:v>높음</x:v>
      </x:c>
      <x:c r="E141" s="24" t="str">
        <x:v>보험 갱신 확인</x:v>
      </x:c>
      <x:c r="F141" s="24" t="str">
        <x:v>193우6343 보험 갱신 확인</x:v>
      </x:c>
      <x:c r="G141" s="24" t="str"/>
      <x:c r="H141" s="30"/>
      <x:c r="I141" s="24" t="str">
        <x:v>대기</x:v>
      </x:c>
      <x:c r="J141" s="30"/>
      <x:c r="K141" s="24" t="str">
        <x:v>SW-C-193우6343-1-20250515-56</x:v>
      </x:c>
      <x:c r="L141" s="24" t="str">
        <x:v>자동점검</x:v>
      </x:c>
    </x:row>
    <x:row r="142" ht="17.25" customHeight="1">
      <x:c r="A142" s="24" t="str">
        <x:v>W-0141</x:v>
      </x:c>
      <x:c r="B142" s="24" t="str">
        <x:v>스위치플랜</x:v>
      </x:c>
      <x:c r="C142" s="24" t="str">
        <x:v>245고2473</x:v>
      </x:c>
      <x:c r="D142" s="24" t="str">
        <x:v>긴급</x:v>
      </x:c>
      <x:c r="E142" s="24" t="str">
        <x:v>회수 검토</x:v>
      </x:c>
      <x:c r="F142" s="24" t="str">
        <x:v>245고2473 회수 검토</x:v>
      </x:c>
      <x:c r="G142" s="24" t="str"/>
      <x:c r="H142" s="30"/>
      <x:c r="I142" s="24" t="str">
        <x:v>대기</x:v>
      </x:c>
      <x:c r="J142" s="30"/>
      <x:c r="K142" s="24" t="str">
        <x:v>SW-C-245고2473-1-20231213-57</x:v>
      </x:c>
      <x:c r="L142" s="24" t="str">
        <x:v>자동점검</x:v>
      </x:c>
    </x:row>
    <x:row r="143" ht="17.25" customHeight="1">
      <x:c r="A143" s="24" t="str">
        <x:v>W-0142</x:v>
      </x:c>
      <x:c r="B143" s="24" t="str">
        <x:v>스위치플랜</x:v>
      </x:c>
      <x:c r="C143" s="24" t="str">
        <x:v>245고2473</x:v>
      </x:c>
      <x:c r="D143" s="24" t="str">
        <x:v>높음</x:v>
      </x:c>
      <x:c r="E143" s="24" t="str">
        <x:v>보험 연령 입력</x:v>
      </x:c>
      <x:c r="F143" s="24" t="str">
        <x:v>245고2473 보험 연령 입력</x:v>
      </x:c>
      <x:c r="G143" s="24" t="str"/>
      <x:c r="H143" s="30"/>
      <x:c r="I143" s="24" t="str">
        <x:v>대기</x:v>
      </x:c>
      <x:c r="J143" s="30"/>
      <x:c r="K143" s="24" t="str">
        <x:v>SW-C-245고2473-1-20231213-57</x:v>
      </x:c>
      <x:c r="L143" s="24" t="str">
        <x:v>자동점검</x:v>
      </x:c>
    </x:row>
    <x:row r="144" ht="17.25" customHeight="1">
      <x:c r="A144" s="24" t="str">
        <x:v>W-0143</x:v>
      </x:c>
      <x:c r="B144" s="24" t="str">
        <x:v>스위치플랜</x:v>
      </x:c>
      <x:c r="C144" s="24" t="str">
        <x:v>245고2473</x:v>
      </x:c>
      <x:c r="D144" s="24" t="str">
        <x:v>높음</x:v>
      </x:c>
      <x:c r="E144" s="24" t="str">
        <x:v>보험 갱신 확인</x:v>
      </x:c>
      <x:c r="F144" s="24" t="str">
        <x:v>245고2473 보험 갱신 확인</x:v>
      </x:c>
      <x:c r="G144" s="24" t="str"/>
      <x:c r="H144" s="30"/>
      <x:c r="I144" s="24" t="str">
        <x:v>대기</x:v>
      </x:c>
      <x:c r="J144" s="30"/>
      <x:c r="K144" s="24" t="str">
        <x:v>SW-C-245고2473-1-20231213-57</x:v>
      </x:c>
      <x:c r="L144" s="24" t="str">
        <x:v>자동점검</x:v>
      </x:c>
    </x:row>
    <x:row r="145" ht="17.25" customHeight="1">
      <x:c r="A145" s="24" t="str">
        <x:v>W-0144</x:v>
      </x:c>
      <x:c r="B145" s="24" t="str">
        <x:v>스위치플랜</x:v>
      </x:c>
      <x:c r="C145" s="24" t="str">
        <x:v>193우6396</x:v>
      </x:c>
      <x:c r="D145" s="24" t="str">
        <x:v>긴급</x:v>
      </x:c>
      <x:c r="E145" s="24" t="str">
        <x:v>미수 확인</x:v>
      </x:c>
      <x:c r="F145" s="24" t="str">
        <x:v>193우6396 미수 확인</x:v>
      </x:c>
      <x:c r="G145" s="24" t="str"/>
      <x:c r="H145" s="30"/>
      <x:c r="I145" s="24" t="str">
        <x:v>대기</x:v>
      </x:c>
      <x:c r="J145" s="30"/>
      <x:c r="K145" s="24" t="str">
        <x:v>SW-C-193우6396-1-20240913-58</x:v>
      </x:c>
      <x:c r="L145" s="24" t="str">
        <x:v>자동점검</x:v>
      </x:c>
    </x:row>
    <x:row r="146" ht="17.25" customHeight="1">
      <x:c r="A146" s="24" t="str">
        <x:v>W-0145</x:v>
      </x:c>
      <x:c r="B146" s="24" t="str">
        <x:v>스위치플랜</x:v>
      </x:c>
      <x:c r="C146" s="24" t="str">
        <x:v>193우6396</x:v>
      </x:c>
      <x:c r="D146" s="24" t="str">
        <x:v>높음</x:v>
      </x:c>
      <x:c r="E146" s="24" t="str">
        <x:v>보험 연령 입력</x:v>
      </x:c>
      <x:c r="F146" s="24" t="str">
        <x:v>193우6396 보험 연령 입력</x:v>
      </x:c>
      <x:c r="G146" s="24" t="str"/>
      <x:c r="H146" s="30"/>
      <x:c r="I146" s="24" t="str">
        <x:v>대기</x:v>
      </x:c>
      <x:c r="J146" s="30"/>
      <x:c r="K146" s="24" t="str">
        <x:v>SW-C-193우6396-1-20240913-58</x:v>
      </x:c>
      <x:c r="L146" s="24" t="str">
        <x:v>자동점검</x:v>
      </x:c>
    </x:row>
    <x:row r="147" ht="17.25" customHeight="1">
      <x:c r="A147" s="24" t="str">
        <x:v>W-0146</x:v>
      </x:c>
      <x:c r="B147" s="24" t="str">
        <x:v>스위치플랜</x:v>
      </x:c>
      <x:c r="C147" s="24" t="str">
        <x:v>193우6396</x:v>
      </x:c>
      <x:c r="D147" s="24" t="str">
        <x:v>높음</x:v>
      </x:c>
      <x:c r="E147" s="24" t="str">
        <x:v>보험 갱신 확인</x:v>
      </x:c>
      <x:c r="F147" s="24" t="str">
        <x:v>193우6396 보험 갱신 확인</x:v>
      </x:c>
      <x:c r="G147" s="24" t="str"/>
      <x:c r="H147" s="30"/>
      <x:c r="I147" s="24" t="str">
        <x:v>대기</x:v>
      </x:c>
      <x:c r="J147" s="30"/>
      <x:c r="K147" s="24" t="str">
        <x:v>SW-C-193우6396-1-20240913-58</x:v>
      </x:c>
      <x:c r="L147" s="24" t="str">
        <x:v>자동점검</x:v>
      </x:c>
    </x:row>
    <x:row r="148" ht="17.25" customHeight="1">
      <x:c r="A148" s="24" t="str">
        <x:v>W-0147</x:v>
      </x:c>
      <x:c r="B148" s="24" t="str">
        <x:v>스위치플랜</x:v>
      </x:c>
      <x:c r="C148" s="24" t="str">
        <x:v>204거7383</x:v>
      </x:c>
      <x:c r="D148" s="24" t="str">
        <x:v>높음</x:v>
      </x:c>
      <x:c r="E148" s="24" t="str">
        <x:v>보험 연령 입력</x:v>
      </x:c>
      <x:c r="F148" s="24" t="str">
        <x:v>204거7383 보험 연령 입력</x:v>
      </x:c>
      <x:c r="G148" s="24" t="str"/>
      <x:c r="H148" s="30"/>
      <x:c r="I148" s="24" t="str">
        <x:v>대기</x:v>
      </x:c>
      <x:c r="J148" s="30"/>
      <x:c r="K148" s="24" t="str">
        <x:v>SW-C-204거7383-1-NA-60</x:v>
      </x:c>
      <x:c r="L148" s="24" t="str">
        <x:v>자동점검</x:v>
      </x:c>
    </x:row>
    <x:row r="149" ht="17.25" customHeight="1">
      <x:c r="A149" s="24" t="str">
        <x:v>W-0148</x:v>
      </x:c>
      <x:c r="B149" s="24" t="str">
        <x:v>스위치플랜</x:v>
      </x:c>
      <x:c r="C149" s="24" t="str">
        <x:v>204거7383</x:v>
      </x:c>
      <x:c r="D149" s="24" t="str">
        <x:v>높음</x:v>
      </x:c>
      <x:c r="E149" s="24" t="str">
        <x:v>보험 갱신 확인</x:v>
      </x:c>
      <x:c r="F149" s="24" t="str">
        <x:v>204거7383 보험 갱신 확인</x:v>
      </x:c>
      <x:c r="G149" s="24" t="str"/>
      <x:c r="H149" s="30"/>
      <x:c r="I149" s="24" t="str">
        <x:v>대기</x:v>
      </x:c>
      <x:c r="J149" s="30"/>
      <x:c r="K149" s="24" t="str">
        <x:v>SW-C-204거7383-1-NA-60</x:v>
      </x:c>
      <x:c r="L149" s="24" t="str">
        <x:v>자동점검</x:v>
      </x:c>
    </x:row>
    <x:row r="150" ht="17.25" customHeight="1">
      <x:c r="A150" s="24" t="str">
        <x:v>W-0149</x:v>
      </x:c>
      <x:c r="B150" s="24" t="str">
        <x:v>스위치플랜</x:v>
      </x:c>
      <x:c r="C150" s="24" t="str">
        <x:v>15가4481</x:v>
      </x:c>
      <x:c r="D150" s="24" t="str">
        <x:v>높음</x:v>
      </x:c>
      <x:c r="E150" s="24" t="str">
        <x:v>보험 연령 입력</x:v>
      </x:c>
      <x:c r="F150" s="24" t="str">
        <x:v>15가4481 보험 연령 입력</x:v>
      </x:c>
      <x:c r="G150" s="24" t="str"/>
      <x:c r="H150" s="30"/>
      <x:c r="I150" s="24" t="str">
        <x:v>대기</x:v>
      </x:c>
      <x:c r="J150" s="30"/>
      <x:c r="K150" s="24" t="str">
        <x:v>SW-C-15가4481-1-20260706-61</x:v>
      </x:c>
      <x:c r="L150" s="24" t="str">
        <x:v>자동점검</x:v>
      </x:c>
    </x:row>
    <x:row r="151" ht="17.25" customHeight="1">
      <x:c r="A151" s="24" t="str">
        <x:v>W-0150</x:v>
      </x:c>
      <x:c r="B151" s="24" t="str">
        <x:v>스위치플랜</x:v>
      </x:c>
      <x:c r="C151" s="24" t="str">
        <x:v>15가4481</x:v>
      </x:c>
      <x:c r="D151" s="24" t="str">
        <x:v>높음</x:v>
      </x:c>
      <x:c r="E151" s="24" t="str">
        <x:v>보험 갱신 확인</x:v>
      </x:c>
      <x:c r="F151" s="24" t="str">
        <x:v>15가4481 보험 갱신 확인</x:v>
      </x:c>
      <x:c r="G151" s="24" t="str"/>
      <x:c r="H151" s="30"/>
      <x:c r="I151" s="24" t="str">
        <x:v>대기</x:v>
      </x:c>
      <x:c r="J151" s="30"/>
      <x:c r="K151" s="24" t="str">
        <x:v>SW-C-15가4481-1-20260706-61</x:v>
      </x:c>
      <x:c r="L151" s="24" t="str">
        <x:v>자동점검</x:v>
      </x:c>
    </x:row>
    <x:row r="152" ht="17.25" customHeight="1">
      <x:c r="A152" s="24" t="str">
        <x:v>W-0151</x:v>
      </x:c>
      <x:c r="B152" s="24" t="str">
        <x:v>스위치플랜</x:v>
      </x:c>
      <x:c r="C152" s="24" t="str">
        <x:v>299수4820</x:v>
      </x:c>
      <x:c r="D152" s="24" t="str">
        <x:v>긴급</x:v>
      </x:c>
      <x:c r="E152" s="24" t="str">
        <x:v>회수 검토</x:v>
      </x:c>
      <x:c r="F152" s="24" t="str">
        <x:v>299수4820 회수 검토</x:v>
      </x:c>
      <x:c r="G152" s="24" t="str"/>
      <x:c r="H152" s="30"/>
      <x:c r="I152" s="24" t="str">
        <x:v>대기</x:v>
      </x:c>
      <x:c r="J152" s="30"/>
      <x:c r="K152" s="24" t="str">
        <x:v>SW-C-299수4820-1-26-62</x:v>
      </x:c>
      <x:c r="L152" s="24" t="str">
        <x:v>자동점검</x:v>
      </x:c>
    </x:row>
    <x:row r="153" ht="17.25" customHeight="1">
      <x:c r="A153" s="24" t="str">
        <x:v>W-0152</x:v>
      </x:c>
      <x:c r="B153" s="24" t="str">
        <x:v>스위치플랜</x:v>
      </x:c>
      <x:c r="C153" s="24" t="str">
        <x:v>299수4820</x:v>
      </x:c>
      <x:c r="D153" s="24" t="str">
        <x:v>높음</x:v>
      </x:c>
      <x:c r="E153" s="24" t="str">
        <x:v>보험 연령 입력</x:v>
      </x:c>
      <x:c r="F153" s="24" t="str">
        <x:v>299수4820 보험 연령 입력</x:v>
      </x:c>
      <x:c r="G153" s="24" t="str"/>
      <x:c r="H153" s="30"/>
      <x:c r="I153" s="24" t="str">
        <x:v>대기</x:v>
      </x:c>
      <x:c r="J153" s="30"/>
      <x:c r="K153" s="24" t="str">
        <x:v>SW-C-299수4820-1-26-62</x:v>
      </x:c>
      <x:c r="L153" s="24" t="str">
        <x:v>자동점검</x:v>
      </x:c>
    </x:row>
    <x:row r="154" ht="17.25" customHeight="1">
      <x:c r="A154" s="24" t="str">
        <x:v>W-0153</x:v>
      </x:c>
      <x:c r="B154" s="24" t="str">
        <x:v>스위치플랜</x:v>
      </x:c>
      <x:c r="C154" s="24" t="str">
        <x:v>299수4820</x:v>
      </x:c>
      <x:c r="D154" s="24" t="str">
        <x:v>높음</x:v>
      </x:c>
      <x:c r="E154" s="24" t="str">
        <x:v>보험 갱신 확인</x:v>
      </x:c>
      <x:c r="F154" s="24" t="str">
        <x:v>299수4820 보험 갱신 확인</x:v>
      </x:c>
      <x:c r="G154" s="24" t="str"/>
      <x:c r="H154" s="30"/>
      <x:c r="I154" s="24" t="str">
        <x:v>대기</x:v>
      </x:c>
      <x:c r="J154" s="30"/>
      <x:c r="K154" s="24" t="str">
        <x:v>SW-C-299수4820-1-26-62</x:v>
      </x:c>
      <x:c r="L154" s="24" t="str">
        <x:v>자동점검</x:v>
      </x:c>
    </x:row>
    <x:row r="155" ht="17.25" customHeight="1">
      <x:c r="A155" s="24" t="str">
        <x:v>W-0154</x:v>
      </x:c>
      <x:c r="B155" s="24" t="str">
        <x:v>스위치플랜</x:v>
      </x:c>
      <x:c r="C155" s="24" t="str">
        <x:v>154모5759</x:v>
      </x:c>
      <x:c r="D155" s="24" t="str">
        <x:v>높음</x:v>
      </x:c>
      <x:c r="E155" s="24" t="str">
        <x:v>보험 연령 입력</x:v>
      </x:c>
      <x:c r="F155" s="24" t="str">
        <x:v>154모5759 보험 연령 입력</x:v>
      </x:c>
      <x:c r="G155" s="24" t="str"/>
      <x:c r="H155" s="30"/>
      <x:c r="I155" s="24" t="str">
        <x:v>대기</x:v>
      </x:c>
      <x:c r="J155" s="30"/>
      <x:c r="K155" s="24" t="str">
        <x:v>SW-C-154모5759-1-20250829-63</x:v>
      </x:c>
      <x:c r="L155" s="24" t="str">
        <x:v>자동점검</x:v>
      </x:c>
    </x:row>
    <x:row r="156" ht="17.25" customHeight="1">
      <x:c r="A156" s="24" t="str">
        <x:v>W-0155</x:v>
      </x:c>
      <x:c r="B156" s="24" t="str">
        <x:v>스위치플랜</x:v>
      </x:c>
      <x:c r="C156" s="24" t="str">
        <x:v>154모5759</x:v>
      </x:c>
      <x:c r="D156" s="24" t="str">
        <x:v>높음</x:v>
      </x:c>
      <x:c r="E156" s="24" t="str">
        <x:v>보험 갱신 확인</x:v>
      </x:c>
      <x:c r="F156" s="24" t="str">
        <x:v>154모5759 보험 갱신 확인</x:v>
      </x:c>
      <x:c r="G156" s="24" t="str"/>
      <x:c r="H156" s="30"/>
      <x:c r="I156" s="24" t="str">
        <x:v>대기</x:v>
      </x:c>
      <x:c r="J156" s="30"/>
      <x:c r="K156" s="24" t="str">
        <x:v>SW-C-154모5759-1-20250829-63</x:v>
      </x:c>
      <x:c r="L156" s="24" t="str">
        <x:v>자동점검</x:v>
      </x:c>
    </x:row>
    <x:row r="157" ht="17.25" customHeight="1">
      <x:c r="A157" s="24" t="str">
        <x:v>W-0156</x:v>
      </x:c>
      <x:c r="B157" s="24" t="str">
        <x:v>스위치플랜</x:v>
      </x:c>
      <x:c r="C157" s="24" t="str">
        <x:v>94주0700</x:v>
      </x:c>
      <x:c r="D157" s="24" t="str">
        <x:v>긴급</x:v>
      </x:c>
      <x:c r="E157" s="24" t="str">
        <x:v>미수 확인</x:v>
      </x:c>
      <x:c r="F157" s="24" t="str">
        <x:v>94주0700 미수 확인</x:v>
      </x:c>
      <x:c r="G157" s="24" t="str"/>
      <x:c r="H157" s="30"/>
      <x:c r="I157" s="24" t="str">
        <x:v>대기</x:v>
      </x:c>
      <x:c r="J157" s="30"/>
      <x:c r="K157" s="24" t="str">
        <x:v>SW-C-94주0700-1-20231219-65</x:v>
      </x:c>
      <x:c r="L157" s="24" t="str">
        <x:v>자동점검</x:v>
      </x:c>
    </x:row>
    <x:row r="158" ht="17.25" customHeight="1">
      <x:c r="A158" s="24" t="str">
        <x:v>W-0157</x:v>
      </x:c>
      <x:c r="B158" s="24" t="str">
        <x:v>스위치플랜</x:v>
      </x:c>
      <x:c r="C158" s="24" t="str">
        <x:v>94주0700</x:v>
      </x:c>
      <x:c r="D158" s="24" t="str">
        <x:v>높음</x:v>
      </x:c>
      <x:c r="E158" s="24" t="str">
        <x:v>보험 연령 입력</x:v>
      </x:c>
      <x:c r="F158" s="24" t="str">
        <x:v>94주0700 보험 연령 입력</x:v>
      </x:c>
      <x:c r="G158" s="24" t="str"/>
      <x:c r="H158" s="30"/>
      <x:c r="I158" s="24" t="str">
        <x:v>대기</x:v>
      </x:c>
      <x:c r="J158" s="30"/>
      <x:c r="K158" s="24" t="str">
        <x:v>SW-C-94주0700-1-20231219-65</x:v>
      </x:c>
      <x:c r="L158" s="24" t="str">
        <x:v>자동점검</x:v>
      </x:c>
    </x:row>
    <x:row r="159" ht="17.25" customHeight="1">
      <x:c r="A159" s="24" t="str">
        <x:v>W-0158</x:v>
      </x:c>
      <x:c r="B159" s="24" t="str">
        <x:v>스위치플랜</x:v>
      </x:c>
      <x:c r="C159" s="24" t="str">
        <x:v>94주0700</x:v>
      </x:c>
      <x:c r="D159" s="24" t="str">
        <x:v>높음</x:v>
      </x:c>
      <x:c r="E159" s="24" t="str">
        <x:v>보험 갱신 확인</x:v>
      </x:c>
      <x:c r="F159" s="24" t="str">
        <x:v>94주0700 보험 갱신 확인</x:v>
      </x:c>
      <x:c r="G159" s="24" t="str"/>
      <x:c r="H159" s="30"/>
      <x:c r="I159" s="24" t="str">
        <x:v>대기</x:v>
      </x:c>
      <x:c r="J159" s="30"/>
      <x:c r="K159" s="24" t="str">
        <x:v>SW-C-94주0700-1-20231219-65</x:v>
      </x:c>
      <x:c r="L159" s="24" t="str">
        <x:v>자동점검</x:v>
      </x:c>
    </x:row>
    <x:row r="160" ht="17.25" customHeight="1">
      <x:c r="A160" s="24" t="str">
        <x:v>W-0159</x:v>
      </x:c>
      <x:c r="B160" s="24" t="str">
        <x:v>스위치플랜</x:v>
      </x:c>
      <x:c r="C160" s="24" t="str">
        <x:v>236로9998</x:v>
      </x:c>
      <x:c r="D160" s="24" t="str">
        <x:v>긴급</x:v>
      </x:c>
      <x:c r="E160" s="24" t="str">
        <x:v>회수 검토</x:v>
      </x:c>
      <x:c r="F160" s="24" t="str">
        <x:v>236로9998 회수 검토</x:v>
      </x:c>
      <x:c r="G160" s="24" t="str"/>
      <x:c r="H160" s="30"/>
      <x:c r="I160" s="24" t="str">
        <x:v>대기</x:v>
      </x:c>
      <x:c r="J160" s="30"/>
      <x:c r="K160" s="24" t="str">
        <x:v>SW-C-236로9998-1-20260522-66</x:v>
      </x:c>
      <x:c r="L160" s="24" t="str">
        <x:v>자동점검</x:v>
      </x:c>
    </x:row>
    <x:row r="161" ht="17.25" customHeight="1">
      <x:c r="A161" s="24" t="str">
        <x:v>W-0160</x:v>
      </x:c>
      <x:c r="B161" s="24" t="str">
        <x:v>스위치플랜</x:v>
      </x:c>
      <x:c r="C161" s="24" t="str">
        <x:v>236로9998</x:v>
      </x:c>
      <x:c r="D161" s="24" t="str">
        <x:v>높음</x:v>
      </x:c>
      <x:c r="E161" s="24" t="str">
        <x:v>보험 연령 입력</x:v>
      </x:c>
      <x:c r="F161" s="24" t="str">
        <x:v>236로9998 보험 연령 입력</x:v>
      </x:c>
      <x:c r="G161" s="24" t="str"/>
      <x:c r="H161" s="30"/>
      <x:c r="I161" s="24" t="str">
        <x:v>대기</x:v>
      </x:c>
      <x:c r="J161" s="30"/>
      <x:c r="K161" s="24" t="str">
        <x:v>SW-C-236로9998-1-20260522-66</x:v>
      </x:c>
      <x:c r="L161" s="24" t="str">
        <x:v>자동점검</x:v>
      </x:c>
    </x:row>
    <x:row r="162" ht="17.25" customHeight="1">
      <x:c r="A162" s="24" t="str">
        <x:v>W-0161</x:v>
      </x:c>
      <x:c r="B162" s="24" t="str">
        <x:v>스위치플랜</x:v>
      </x:c>
      <x:c r="C162" s="24" t="str">
        <x:v>236로9998</x:v>
      </x:c>
      <x:c r="D162" s="24" t="str">
        <x:v>높음</x:v>
      </x:c>
      <x:c r="E162" s="24" t="str">
        <x:v>보험 갱신 확인</x:v>
      </x:c>
      <x:c r="F162" s="24" t="str">
        <x:v>236로9998 보험 갱신 확인</x:v>
      </x:c>
      <x:c r="G162" s="24" t="str"/>
      <x:c r="H162" s="30"/>
      <x:c r="I162" s="24" t="str">
        <x:v>대기</x:v>
      </x:c>
      <x:c r="J162" s="30"/>
      <x:c r="K162" s="24" t="str">
        <x:v>SW-C-236로9998-1-20260522-66</x:v>
      </x:c>
      <x:c r="L162" s="24" t="str">
        <x:v>자동점검</x:v>
      </x:c>
    </x:row>
    <x:row r="163" ht="17.25" customHeight="1">
      <x:c r="A163" s="24" t="str">
        <x:v>W-0162</x:v>
      </x:c>
      <x:c r="B163" s="24" t="str">
        <x:v>스위치플랜</x:v>
      </x:c>
      <x:c r="C163" s="24" t="str">
        <x:v>45루6163</x:v>
      </x:c>
      <x:c r="D163" s="24" t="str">
        <x:v>긴급</x:v>
      </x:c>
      <x:c r="E163" s="24" t="str">
        <x:v>미수 확인</x:v>
      </x:c>
      <x:c r="F163" s="24" t="str">
        <x:v>45루6163 미수 확인</x:v>
      </x:c>
      <x:c r="G163" s="24" t="str"/>
      <x:c r="H163" s="30"/>
      <x:c r="I163" s="24" t="str">
        <x:v>대기</x:v>
      </x:c>
      <x:c r="J163" s="30"/>
      <x:c r="K163" s="24" t="str">
        <x:v>SW-C-45루6163-1-20250822-67</x:v>
      </x:c>
      <x:c r="L163" s="24" t="str">
        <x:v>자동점검</x:v>
      </x:c>
    </x:row>
    <x:row r="164" ht="17.25" customHeight="1">
      <x:c r="A164" s="24" t="str">
        <x:v>W-0163</x:v>
      </x:c>
      <x:c r="B164" s="24" t="str">
        <x:v>스위치플랜</x:v>
      </x:c>
      <x:c r="C164" s="24" t="str">
        <x:v>45루6163</x:v>
      </x:c>
      <x:c r="D164" s="24" t="str">
        <x:v>높음</x:v>
      </x:c>
      <x:c r="E164" s="24" t="str">
        <x:v>보험 연령 입력</x:v>
      </x:c>
      <x:c r="F164" s="24" t="str">
        <x:v>45루6163 보험 연령 입력</x:v>
      </x:c>
      <x:c r="G164" s="24" t="str"/>
      <x:c r="H164" s="30"/>
      <x:c r="I164" s="24" t="str">
        <x:v>대기</x:v>
      </x:c>
      <x:c r="J164" s="30"/>
      <x:c r="K164" s="24" t="str">
        <x:v>SW-C-45루6163-1-20250822-67</x:v>
      </x:c>
      <x:c r="L164" s="24" t="str">
        <x:v>자동점검</x:v>
      </x:c>
    </x:row>
    <x:row r="165" ht="17.25" customHeight="1">
      <x:c r="A165" s="24" t="str">
        <x:v>W-0164</x:v>
      </x:c>
      <x:c r="B165" s="24" t="str">
        <x:v>스위치플랜</x:v>
      </x:c>
      <x:c r="C165" s="24" t="str">
        <x:v>45루6163</x:v>
      </x:c>
      <x:c r="D165" s="24" t="str">
        <x:v>높음</x:v>
      </x:c>
      <x:c r="E165" s="24" t="str">
        <x:v>보험 갱신 확인</x:v>
      </x:c>
      <x:c r="F165" s="24" t="str">
        <x:v>45루6163 보험 갱신 확인</x:v>
      </x:c>
      <x:c r="G165" s="24" t="str"/>
      <x:c r="H165" s="30"/>
      <x:c r="I165" s="24" t="str">
        <x:v>대기</x:v>
      </x:c>
      <x:c r="J165" s="30"/>
      <x:c r="K165" s="24" t="str">
        <x:v>SW-C-45루6163-1-20250822-67</x:v>
      </x:c>
      <x:c r="L165" s="24" t="str">
        <x:v>자동점검</x:v>
      </x:c>
    </x:row>
    <x:row r="166" ht="17.25" customHeight="1">
      <x:c r="A166" s="24" t="str">
        <x:v>W-0165</x:v>
      </x:c>
      <x:c r="B166" s="24" t="str">
        <x:v>스위치플랜</x:v>
      </x:c>
      <x:c r="C166" s="24" t="str">
        <x:v>143조2022</x:v>
      </x:c>
      <x:c r="D166" s="24" t="str">
        <x:v>긴급</x:v>
      </x:c>
      <x:c r="E166" s="24" t="str">
        <x:v>미수 확인</x:v>
      </x:c>
      <x:c r="F166" s="24" t="str">
        <x:v>143조2022 미수 확인</x:v>
      </x:c>
      <x:c r="G166" s="24" t="str"/>
      <x:c r="H166" s="30"/>
      <x:c r="I166" s="24" t="str">
        <x:v>대기</x:v>
      </x:c>
      <x:c r="J166" s="30"/>
      <x:c r="K166" s="24" t="str">
        <x:v>SW-C-143조2022-1-20260309-68</x:v>
      </x:c>
      <x:c r="L166" s="24" t="str">
        <x:v>자동점검</x:v>
      </x:c>
    </x:row>
    <x:row r="167" ht="17.25" customHeight="1">
      <x:c r="A167" s="24" t="str">
        <x:v>W-0166</x:v>
      </x:c>
      <x:c r="B167" s="24" t="str">
        <x:v>스위치플랜</x:v>
      </x:c>
      <x:c r="C167" s="24" t="str">
        <x:v>143조2022</x:v>
      </x:c>
      <x:c r="D167" s="24" t="str">
        <x:v>높음</x:v>
      </x:c>
      <x:c r="E167" s="24" t="str">
        <x:v>보험 연령 입력</x:v>
      </x:c>
      <x:c r="F167" s="24" t="str">
        <x:v>143조2022 보험 연령 입력</x:v>
      </x:c>
      <x:c r="G167" s="24" t="str"/>
      <x:c r="H167" s="30"/>
      <x:c r="I167" s="24" t="str">
        <x:v>대기</x:v>
      </x:c>
      <x:c r="J167" s="30"/>
      <x:c r="K167" s="24" t="str">
        <x:v>SW-C-143조2022-1-20260309-68</x:v>
      </x:c>
      <x:c r="L167" s="24" t="str">
        <x:v>자동점검</x:v>
      </x:c>
    </x:row>
    <x:row r="168" ht="17.25" customHeight="1">
      <x:c r="A168" s="24" t="str">
        <x:v>W-0167</x:v>
      </x:c>
      <x:c r="B168" s="24" t="str">
        <x:v>스위치플랜</x:v>
      </x:c>
      <x:c r="C168" s="24" t="str">
        <x:v>143조2022</x:v>
      </x:c>
      <x:c r="D168" s="24" t="str">
        <x:v>높음</x:v>
      </x:c>
      <x:c r="E168" s="24" t="str">
        <x:v>보험 갱신 확인</x:v>
      </x:c>
      <x:c r="F168" s="24" t="str">
        <x:v>143조2022 보험 갱신 확인</x:v>
      </x:c>
      <x:c r="G168" s="24" t="str"/>
      <x:c r="H168" s="30"/>
      <x:c r="I168" s="24" t="str">
        <x:v>대기</x:v>
      </x:c>
      <x:c r="J168" s="30"/>
      <x:c r="K168" s="24" t="str">
        <x:v>SW-C-143조2022-1-20260309-68</x:v>
      </x:c>
      <x:c r="L168" s="24" t="str">
        <x:v>자동점검</x:v>
      </x:c>
    </x:row>
    <x:row r="169" ht="17.25" customHeight="1">
      <x:c r="A169" s="24" t="str">
        <x:v>W-0168</x:v>
      </x:c>
      <x:c r="B169" s="24" t="str">
        <x:v>스위치플랜</x:v>
      </x:c>
      <x:c r="C169" s="24" t="str">
        <x:v>104버2190</x:v>
      </x:c>
      <x:c r="D169" s="24" t="str">
        <x:v>긴급</x:v>
      </x:c>
      <x:c r="E169" s="24" t="str">
        <x:v>미수 확인</x:v>
      </x:c>
      <x:c r="F169" s="24" t="str">
        <x:v>104버2190 미수 확인</x:v>
      </x:c>
      <x:c r="G169" s="24" t="str"/>
      <x:c r="H169" s="30"/>
      <x:c r="I169" s="24" t="str">
        <x:v>대기</x:v>
      </x:c>
      <x:c r="J169" s="30"/>
      <x:c r="K169" s="24" t="str">
        <x:v>SW-C-104버2190-1-20240809-71</x:v>
      </x:c>
      <x:c r="L169" s="24" t="str">
        <x:v>자동점검</x:v>
      </x:c>
    </x:row>
    <x:row r="170" ht="17.25" customHeight="1">
      <x:c r="A170" s="24" t="str">
        <x:v>W-0169</x:v>
      </x:c>
      <x:c r="B170" s="24" t="str">
        <x:v>스위치플랜</x:v>
      </x:c>
      <x:c r="C170" s="24" t="str">
        <x:v>104버2190</x:v>
      </x:c>
      <x:c r="D170" s="24" t="str">
        <x:v>높음</x:v>
      </x:c>
      <x:c r="E170" s="24" t="str">
        <x:v>보험 연령 입력</x:v>
      </x:c>
      <x:c r="F170" s="24" t="str">
        <x:v>104버2190 보험 연령 입력</x:v>
      </x:c>
      <x:c r="G170" s="24" t="str"/>
      <x:c r="H170" s="30"/>
      <x:c r="I170" s="24" t="str">
        <x:v>대기</x:v>
      </x:c>
      <x:c r="J170" s="30"/>
      <x:c r="K170" s="24" t="str">
        <x:v>SW-C-104버2190-1-20240809-71</x:v>
      </x:c>
      <x:c r="L170" s="24" t="str">
        <x:v>자동점검</x:v>
      </x:c>
    </x:row>
    <x:row r="171" ht="17.25" customHeight="1">
      <x:c r="A171" s="24" t="str">
        <x:v>W-0170</x:v>
      </x:c>
      <x:c r="B171" s="24" t="str">
        <x:v>스위치플랜</x:v>
      </x:c>
      <x:c r="C171" s="24" t="str">
        <x:v>104버2190</x:v>
      </x:c>
      <x:c r="D171" s="24" t="str">
        <x:v>높음</x:v>
      </x:c>
      <x:c r="E171" s="24" t="str">
        <x:v>보험 갱신 확인</x:v>
      </x:c>
      <x:c r="F171" s="24" t="str">
        <x:v>104버2190 보험 갱신 확인</x:v>
      </x:c>
      <x:c r="G171" s="24" t="str"/>
      <x:c r="H171" s="30"/>
      <x:c r="I171" s="24" t="str">
        <x:v>대기</x:v>
      </x:c>
      <x:c r="J171" s="30"/>
      <x:c r="K171" s="24" t="str">
        <x:v>SW-C-104버2190-1-20240809-71</x:v>
      </x:c>
      <x:c r="L171" s="24" t="str">
        <x:v>자동점검</x:v>
      </x:c>
    </x:row>
    <x:row r="172" ht="17.25" customHeight="1">
      <x:c r="A172" s="24" t="str">
        <x:v>W-0171</x:v>
      </x:c>
      <x:c r="B172" s="24" t="str">
        <x:v>스위치플랜</x:v>
      </x:c>
      <x:c r="C172" s="24" t="str">
        <x:v>155라6323</x:v>
      </x:c>
      <x:c r="D172" s="24" t="str">
        <x:v>긴급</x:v>
      </x:c>
      <x:c r="E172" s="24" t="str">
        <x:v>회수 검토</x:v>
      </x:c>
      <x:c r="F172" s="24" t="str">
        <x:v>155라6323 회수 검토</x:v>
      </x:c>
      <x:c r="G172" s="24" t="str"/>
      <x:c r="H172" s="30"/>
      <x:c r="I172" s="24" t="str">
        <x:v>대기</x:v>
      </x:c>
      <x:c r="J172" s="30"/>
      <x:c r="K172" s="24" t="str">
        <x:v>SW-C-155라6323-1-20250210-72</x:v>
      </x:c>
      <x:c r="L172" s="24" t="str">
        <x:v>자동점검</x:v>
      </x:c>
    </x:row>
    <x:row r="173" ht="17.25" customHeight="1">
      <x:c r="A173" s="24" t="str">
        <x:v>W-0172</x:v>
      </x:c>
      <x:c r="B173" s="24" t="str">
        <x:v>스위치플랜</x:v>
      </x:c>
      <x:c r="C173" s="24" t="str">
        <x:v>155라6323</x:v>
      </x:c>
      <x:c r="D173" s="24" t="str">
        <x:v>높음</x:v>
      </x:c>
      <x:c r="E173" s="24" t="str">
        <x:v>보험 연령 입력</x:v>
      </x:c>
      <x:c r="F173" s="24" t="str">
        <x:v>155라6323 보험 연령 입력</x:v>
      </x:c>
      <x:c r="G173" s="24" t="str"/>
      <x:c r="H173" s="30"/>
      <x:c r="I173" s="24" t="str">
        <x:v>대기</x:v>
      </x:c>
      <x:c r="J173" s="30"/>
      <x:c r="K173" s="24" t="str">
        <x:v>SW-C-155라6323-1-20250210-72</x:v>
      </x:c>
      <x:c r="L173" s="24" t="str">
        <x:v>자동점검</x:v>
      </x:c>
    </x:row>
    <x:row r="174" ht="17.25" customHeight="1">
      <x:c r="A174" s="24" t="str">
        <x:v>W-0173</x:v>
      </x:c>
      <x:c r="B174" s="24" t="str">
        <x:v>스위치플랜</x:v>
      </x:c>
      <x:c r="C174" s="24" t="str">
        <x:v>155라6323</x:v>
      </x:c>
      <x:c r="D174" s="24" t="str">
        <x:v>높음</x:v>
      </x:c>
      <x:c r="E174" s="24" t="str">
        <x:v>보험 갱신 확인</x:v>
      </x:c>
      <x:c r="F174" s="24" t="str">
        <x:v>155라6323 보험 갱신 확인</x:v>
      </x:c>
      <x:c r="G174" s="24" t="str"/>
      <x:c r="H174" s="30"/>
      <x:c r="I174" s="24" t="str">
        <x:v>대기</x:v>
      </x:c>
      <x:c r="J174" s="30"/>
      <x:c r="K174" s="24" t="str">
        <x:v>SW-C-155라6323-1-20250210-72</x:v>
      </x:c>
      <x:c r="L174" s="24" t="str">
        <x:v>자동점검</x:v>
      </x:c>
    </x:row>
    <x:row r="175" ht="17.25" customHeight="1">
      <x:c r="A175" s="24" t="str">
        <x:v>W-0174</x:v>
      </x:c>
      <x:c r="B175" s="24" t="str">
        <x:v>스위치플랜</x:v>
      </x:c>
      <x:c r="C175" s="24" t="str">
        <x:v>325구9443</x:v>
      </x:c>
      <x:c r="D175" s="24" t="str">
        <x:v>긴급</x:v>
      </x:c>
      <x:c r="E175" s="24" t="str">
        <x:v>미수 확인</x:v>
      </x:c>
      <x:c r="F175" s="24" t="str">
        <x:v>325구9443 미수 확인</x:v>
      </x:c>
      <x:c r="G175" s="24" t="str"/>
      <x:c r="H175" s="30"/>
      <x:c r="I175" s="24" t="str">
        <x:v>대기</x:v>
      </x:c>
      <x:c r="J175" s="30"/>
      <x:c r="K175" s="24" t="str">
        <x:v>SW-C-325구9443-1-20250820-73</x:v>
      </x:c>
      <x:c r="L175" s="24" t="str">
        <x:v>자동점검</x:v>
      </x:c>
    </x:row>
    <x:row r="176" ht="17.25" customHeight="1">
      <x:c r="A176" s="24" t="str">
        <x:v>W-0175</x:v>
      </x:c>
      <x:c r="B176" s="24" t="str">
        <x:v>스위치플랜</x:v>
      </x:c>
      <x:c r="C176" s="24" t="str">
        <x:v>325구9443</x:v>
      </x:c>
      <x:c r="D176" s="24" t="str">
        <x:v>높음</x:v>
      </x:c>
      <x:c r="E176" s="24" t="str">
        <x:v>보험 연령 입력</x:v>
      </x:c>
      <x:c r="F176" s="24" t="str">
        <x:v>325구9443 보험 연령 입력</x:v>
      </x:c>
      <x:c r="G176" s="24" t="str"/>
      <x:c r="H176" s="30"/>
      <x:c r="I176" s="24" t="str">
        <x:v>대기</x:v>
      </x:c>
      <x:c r="J176" s="30"/>
      <x:c r="K176" s="24" t="str">
        <x:v>SW-C-325구9443-1-20250820-73</x:v>
      </x:c>
      <x:c r="L176" s="24" t="str">
        <x:v>자동점검</x:v>
      </x:c>
    </x:row>
    <x:row r="177" ht="17.25" customHeight="1">
      <x:c r="A177" s="24" t="str">
        <x:v>W-0176</x:v>
      </x:c>
      <x:c r="B177" s="24" t="str">
        <x:v>스위치플랜</x:v>
      </x:c>
      <x:c r="C177" s="24" t="str">
        <x:v>325구9443</x:v>
      </x:c>
      <x:c r="D177" s="24" t="str">
        <x:v>높음</x:v>
      </x:c>
      <x:c r="E177" s="24" t="str">
        <x:v>보험 갱신 확인</x:v>
      </x:c>
      <x:c r="F177" s="24" t="str">
        <x:v>325구9443 보험 갱신 확인</x:v>
      </x:c>
      <x:c r="G177" s="24" t="str"/>
      <x:c r="H177" s="30"/>
      <x:c r="I177" s="24" t="str">
        <x:v>대기</x:v>
      </x:c>
      <x:c r="J177" s="30"/>
      <x:c r="K177" s="24" t="str">
        <x:v>SW-C-325구9443-1-20250820-73</x:v>
      </x:c>
      <x:c r="L177" s="24" t="str">
        <x:v>자동점검</x:v>
      </x:c>
    </x:row>
    <x:row r="178" ht="17.25" customHeight="1">
      <x:c r="A178" s="24" t="str">
        <x:v>W-0177</x:v>
      </x:c>
      <x:c r="B178" s="24" t="str">
        <x:v>스위치플랜</x:v>
      </x:c>
      <x:c r="C178" s="24" t="str">
        <x:v>268저3547</x:v>
      </x:c>
      <x:c r="D178" s="24" t="str">
        <x:v>긴급</x:v>
      </x:c>
      <x:c r="E178" s="24" t="str">
        <x:v>미수 확인</x:v>
      </x:c>
      <x:c r="F178" s="24" t="str">
        <x:v>268저3547 미수 확인</x:v>
      </x:c>
      <x:c r="G178" s="24" t="str"/>
      <x:c r="H178" s="30"/>
      <x:c r="I178" s="24" t="str">
        <x:v>대기</x:v>
      </x:c>
      <x:c r="J178" s="30"/>
      <x:c r="K178" s="24" t="str">
        <x:v>SW-C-268저3547-1-20250709-74</x:v>
      </x:c>
      <x:c r="L178" s="24" t="str">
        <x:v>자동점검</x:v>
      </x:c>
    </x:row>
    <x:row r="179" ht="17.25" customHeight="1">
      <x:c r="A179" s="24" t="str">
        <x:v>W-0178</x:v>
      </x:c>
      <x:c r="B179" s="24" t="str">
        <x:v>스위치플랜</x:v>
      </x:c>
      <x:c r="C179" s="24" t="str">
        <x:v>268저3547</x:v>
      </x:c>
      <x:c r="D179" s="24" t="str">
        <x:v>높음</x:v>
      </x:c>
      <x:c r="E179" s="24" t="str">
        <x:v>보험 연령 입력</x:v>
      </x:c>
      <x:c r="F179" s="24" t="str">
        <x:v>268저3547 보험 연령 입력</x:v>
      </x:c>
      <x:c r="G179" s="24" t="str"/>
      <x:c r="H179" s="30"/>
      <x:c r="I179" s="24" t="str">
        <x:v>대기</x:v>
      </x:c>
      <x:c r="J179" s="30"/>
      <x:c r="K179" s="24" t="str">
        <x:v>SW-C-268저3547-1-20250709-74</x:v>
      </x:c>
      <x:c r="L179" s="24" t="str">
        <x:v>자동점검</x:v>
      </x:c>
    </x:row>
    <x:row r="180" ht="17.25" customHeight="1">
      <x:c r="A180" s="24" t="str">
        <x:v>W-0179</x:v>
      </x:c>
      <x:c r="B180" s="24" t="str">
        <x:v>스위치플랜</x:v>
      </x:c>
      <x:c r="C180" s="24" t="str">
        <x:v>268저3547</x:v>
      </x:c>
      <x:c r="D180" s="24" t="str">
        <x:v>높음</x:v>
      </x:c>
      <x:c r="E180" s="24" t="str">
        <x:v>보험 갱신 확인</x:v>
      </x:c>
      <x:c r="F180" s="24" t="str">
        <x:v>268저3547 보험 갱신 확인</x:v>
      </x:c>
      <x:c r="G180" s="24" t="str"/>
      <x:c r="H180" s="30"/>
      <x:c r="I180" s="24" t="str">
        <x:v>대기</x:v>
      </x:c>
      <x:c r="J180" s="30"/>
      <x:c r="K180" s="24" t="str">
        <x:v>SW-C-268저3547-1-20250709-74</x:v>
      </x:c>
      <x:c r="L180" s="24" t="str">
        <x:v>자동점검</x:v>
      </x:c>
    </x:row>
    <x:row r="181" ht="17.25" customHeight="1">
      <x:c r="A181" s="24" t="str">
        <x:v>W-0180</x:v>
      </x:c>
      <x:c r="B181" s="24" t="str">
        <x:v>스위치플랜</x:v>
      </x:c>
      <x:c r="C181" s="24" t="str">
        <x:v>336소9711</x:v>
      </x:c>
      <x:c r="D181" s="24" t="str">
        <x:v>높음</x:v>
      </x:c>
      <x:c r="E181" s="24" t="str">
        <x:v>보험 연령 입력</x:v>
      </x:c>
      <x:c r="F181" s="24" t="str">
        <x:v>336소9711 보험 연령 입력</x:v>
      </x:c>
      <x:c r="G181" s="24" t="str"/>
      <x:c r="H181" s="30"/>
      <x:c r="I181" s="24" t="str">
        <x:v>대기</x:v>
      </x:c>
      <x:c r="J181" s="30"/>
      <x:c r="K181" s="24" t="str">
        <x:v>SW-C-336소9711-1-20231130-75</x:v>
      </x:c>
      <x:c r="L181" s="24" t="str">
        <x:v>자동점검</x:v>
      </x:c>
    </x:row>
    <x:row r="182" ht="17.25" customHeight="1">
      <x:c r="A182" s="24" t="str">
        <x:v>W-0181</x:v>
      </x:c>
      <x:c r="B182" s="24" t="str">
        <x:v>스위치플랜</x:v>
      </x:c>
      <x:c r="C182" s="24" t="str">
        <x:v>336소9711</x:v>
      </x:c>
      <x:c r="D182" s="24" t="str">
        <x:v>높음</x:v>
      </x:c>
      <x:c r="E182" s="24" t="str">
        <x:v>보험 갱신 확인</x:v>
      </x:c>
      <x:c r="F182" s="24" t="str">
        <x:v>336소9711 보험 갱신 확인</x:v>
      </x:c>
      <x:c r="G182" s="24" t="str"/>
      <x:c r="H182" s="30"/>
      <x:c r="I182" s="24" t="str">
        <x:v>대기</x:v>
      </x:c>
      <x:c r="J182" s="30"/>
      <x:c r="K182" s="24" t="str">
        <x:v>SW-C-336소9711-1-20231130-75</x:v>
      </x:c>
      <x:c r="L182" s="24" t="str">
        <x:v>자동점검</x:v>
      </x:c>
    </x:row>
    <x:row r="183" ht="17.25" customHeight="1">
      <x:c r="A183" s="24" t="str">
        <x:v>W-0182</x:v>
      </x:c>
      <x:c r="B183" s="24" t="str">
        <x:v>스위치플랜</x:v>
      </x:c>
      <x:c r="C183" s="24" t="str">
        <x:v>182거8282</x:v>
      </x:c>
      <x:c r="D183" s="24" t="str">
        <x:v>높음</x:v>
      </x:c>
      <x:c r="E183" s="24" t="str">
        <x:v>보험 연령 입력</x:v>
      </x:c>
      <x:c r="F183" s="24" t="str">
        <x:v>182거8282 보험 연령 입력</x:v>
      </x:c>
      <x:c r="G183" s="24" t="str"/>
      <x:c r="H183" s="30"/>
      <x:c r="I183" s="24" t="str">
        <x:v>대기</x:v>
      </x:c>
      <x:c r="J183" s="30"/>
      <x:c r="K183" s="24" t="str">
        <x:v>SW-C-182거8282-1-20250605-76</x:v>
      </x:c>
      <x:c r="L183" s="24" t="str">
        <x:v>자동점검</x:v>
      </x:c>
    </x:row>
    <x:row r="184" ht="17.25" customHeight="1">
      <x:c r="A184" s="24" t="str">
        <x:v>W-0183</x:v>
      </x:c>
      <x:c r="B184" s="24" t="str">
        <x:v>스위치플랜</x:v>
      </x:c>
      <x:c r="C184" s="24" t="str">
        <x:v>182거8282</x:v>
      </x:c>
      <x:c r="D184" s="24" t="str">
        <x:v>높음</x:v>
      </x:c>
      <x:c r="E184" s="24" t="str">
        <x:v>보험 갱신 확인</x:v>
      </x:c>
      <x:c r="F184" s="24" t="str">
        <x:v>182거8282 보험 갱신 확인</x:v>
      </x:c>
      <x:c r="G184" s="24" t="str"/>
      <x:c r="H184" s="30"/>
      <x:c r="I184" s="24" t="str">
        <x:v>대기</x:v>
      </x:c>
      <x:c r="J184" s="30"/>
      <x:c r="K184" s="24" t="str">
        <x:v>SW-C-182거8282-1-20250605-76</x:v>
      </x:c>
      <x:c r="L184" s="24" t="str">
        <x:v>자동점검</x:v>
      </x:c>
    </x:row>
    <x:row r="185" ht="17.25" customHeight="1">
      <x:c r="A185" s="24" t="str">
        <x:v>W-0184</x:v>
      </x:c>
      <x:c r="B185" s="24" t="str">
        <x:v>스위치플랜</x:v>
      </x:c>
      <x:c r="C185" s="24" t="str">
        <x:v>165다5063</x:v>
      </x:c>
      <x:c r="D185" s="24" t="str">
        <x:v>긴급</x:v>
      </x:c>
      <x:c r="E185" s="24" t="str">
        <x:v>미수 확인</x:v>
      </x:c>
      <x:c r="F185" s="24" t="str">
        <x:v>165다5063 미수 확인</x:v>
      </x:c>
      <x:c r="G185" s="24" t="str"/>
      <x:c r="H185" s="30"/>
      <x:c r="I185" s="24" t="str">
        <x:v>대기</x:v>
      </x:c>
      <x:c r="J185" s="30"/>
      <x:c r="K185" s="24" t="str">
        <x:v>SW-C-165다5063-1-20250910-77</x:v>
      </x:c>
      <x:c r="L185" s="24" t="str">
        <x:v>자동점검</x:v>
      </x:c>
    </x:row>
    <x:row r="186" ht="17.25" customHeight="1">
      <x:c r="A186" s="24" t="str">
        <x:v>W-0185</x:v>
      </x:c>
      <x:c r="B186" s="24" t="str">
        <x:v>스위치플랜</x:v>
      </x:c>
      <x:c r="C186" s="24" t="str">
        <x:v>165다5063</x:v>
      </x:c>
      <x:c r="D186" s="24" t="str">
        <x:v>높음</x:v>
      </x:c>
      <x:c r="E186" s="24" t="str">
        <x:v>보험 연령 입력</x:v>
      </x:c>
      <x:c r="F186" s="24" t="str">
        <x:v>165다5063 보험 연령 입력</x:v>
      </x:c>
      <x:c r="G186" s="24" t="str"/>
      <x:c r="H186" s="30"/>
      <x:c r="I186" s="24" t="str">
        <x:v>대기</x:v>
      </x:c>
      <x:c r="J186" s="30"/>
      <x:c r="K186" s="24" t="str">
        <x:v>SW-C-165다5063-1-20250910-77</x:v>
      </x:c>
      <x:c r="L186" s="24" t="str">
        <x:v>자동점검</x:v>
      </x:c>
    </x:row>
    <x:row r="187" ht="17.25" customHeight="1">
      <x:c r="A187" s="24" t="str">
        <x:v>W-0186</x:v>
      </x:c>
      <x:c r="B187" s="24" t="str">
        <x:v>스위치플랜</x:v>
      </x:c>
      <x:c r="C187" s="24" t="str">
        <x:v>165다5063</x:v>
      </x:c>
      <x:c r="D187" s="24" t="str">
        <x:v>높음</x:v>
      </x:c>
      <x:c r="E187" s="24" t="str">
        <x:v>보험 갱신 확인</x:v>
      </x:c>
      <x:c r="F187" s="24" t="str">
        <x:v>165다5063 보험 갱신 확인</x:v>
      </x:c>
      <x:c r="G187" s="24" t="str"/>
      <x:c r="H187" s="30"/>
      <x:c r="I187" s="24" t="str">
        <x:v>대기</x:v>
      </x:c>
      <x:c r="J187" s="30"/>
      <x:c r="K187" s="24" t="str">
        <x:v>SW-C-165다5063-1-20250910-77</x:v>
      </x:c>
      <x:c r="L187" s="24" t="str">
        <x:v>자동점검</x:v>
      </x:c>
    </x:row>
    <x:row r="188" ht="17.25" customHeight="1">
      <x:c r="A188" s="24" t="str">
        <x:v>W-0187</x:v>
      </x:c>
      <x:c r="B188" s="24" t="str">
        <x:v>스위치플랜</x:v>
      </x:c>
      <x:c r="C188" s="24" t="str">
        <x:v>145가1781</x:v>
      </x:c>
      <x:c r="D188" s="24" t="str">
        <x:v>높음</x:v>
      </x:c>
      <x:c r="E188" s="24" t="str">
        <x:v>보험 연령 입력</x:v>
      </x:c>
      <x:c r="F188" s="24" t="str">
        <x:v>145가1781 보험 연령 입력</x:v>
      </x:c>
      <x:c r="G188" s="24" t="str"/>
      <x:c r="H188" s="30"/>
      <x:c r="I188" s="24" t="str">
        <x:v>대기</x:v>
      </x:c>
      <x:c r="J188" s="30"/>
      <x:c r="K188" s="24" t="str">
        <x:v>SW-C-145가1781-1-20260309-78</x:v>
      </x:c>
      <x:c r="L188" s="24" t="str">
        <x:v>자동점검</x:v>
      </x:c>
    </x:row>
    <x:row r="189" ht="17.25" customHeight="1">
      <x:c r="A189" s="24" t="str">
        <x:v>W-0188</x:v>
      </x:c>
      <x:c r="B189" s="24" t="str">
        <x:v>스위치플랜</x:v>
      </x:c>
      <x:c r="C189" s="24" t="str">
        <x:v>145가1781</x:v>
      </x:c>
      <x:c r="D189" s="24" t="str">
        <x:v>높음</x:v>
      </x:c>
      <x:c r="E189" s="24" t="str">
        <x:v>보험 갱신 확인</x:v>
      </x:c>
      <x:c r="F189" s="24" t="str">
        <x:v>145가1781 보험 갱신 확인</x:v>
      </x:c>
      <x:c r="G189" s="24" t="str"/>
      <x:c r="H189" s="30"/>
      <x:c r="I189" s="24" t="str">
        <x:v>대기</x:v>
      </x:c>
      <x:c r="J189" s="30"/>
      <x:c r="K189" s="24" t="str">
        <x:v>SW-C-145가1781-1-20260309-78</x:v>
      </x:c>
      <x:c r="L189" s="24" t="str">
        <x:v>자동점검</x:v>
      </x:c>
    </x:row>
    <x:row r="190" ht="17.25" customHeight="1">
      <x:c r="A190" s="24" t="str">
        <x:v>W-0189</x:v>
      </x:c>
      <x:c r="B190" s="24" t="str">
        <x:v>스위치플랜</x:v>
      </x:c>
      <x:c r="C190" s="24" t="str">
        <x:v>145가1796</x:v>
      </x:c>
      <x:c r="D190" s="24" t="str">
        <x:v>긴급</x:v>
      </x:c>
      <x:c r="E190" s="24" t="str">
        <x:v>미수 확인</x:v>
      </x:c>
      <x:c r="F190" s="24" t="str">
        <x:v>145가1796 미수 확인</x:v>
      </x:c>
      <x:c r="G190" s="24" t="str"/>
      <x:c r="H190" s="30"/>
      <x:c r="I190" s="24" t="str">
        <x:v>대기</x:v>
      </x:c>
      <x:c r="J190" s="30"/>
      <x:c r="K190" s="24" t="str">
        <x:v>SW-C-145가1796-1-20250626-79</x:v>
      </x:c>
      <x:c r="L190" s="24" t="str">
        <x:v>자동점검</x:v>
      </x:c>
    </x:row>
    <x:row r="191" ht="17.25" customHeight="1">
      <x:c r="A191" s="24" t="str">
        <x:v>W-0190</x:v>
      </x:c>
      <x:c r="B191" s="24" t="str">
        <x:v>스위치플랜</x:v>
      </x:c>
      <x:c r="C191" s="24" t="str">
        <x:v>145가1796</x:v>
      </x:c>
      <x:c r="D191" s="24" t="str">
        <x:v>높음</x:v>
      </x:c>
      <x:c r="E191" s="24" t="str">
        <x:v>보험 연령 입력</x:v>
      </x:c>
      <x:c r="F191" s="24" t="str">
        <x:v>145가1796 보험 연령 입력</x:v>
      </x:c>
      <x:c r="G191" s="24" t="str"/>
      <x:c r="H191" s="30"/>
      <x:c r="I191" s="24" t="str">
        <x:v>대기</x:v>
      </x:c>
      <x:c r="J191" s="30"/>
      <x:c r="K191" s="24" t="str">
        <x:v>SW-C-145가1796-1-20250626-79</x:v>
      </x:c>
      <x:c r="L191" s="24" t="str">
        <x:v>자동점검</x:v>
      </x:c>
    </x:row>
    <x:row r="192" ht="17.25" customHeight="1">
      <x:c r="A192" s="24" t="str">
        <x:v>W-0191</x:v>
      </x:c>
      <x:c r="B192" s="24" t="str">
        <x:v>스위치플랜</x:v>
      </x:c>
      <x:c r="C192" s="24" t="str">
        <x:v>145가1796</x:v>
      </x:c>
      <x:c r="D192" s="24" t="str">
        <x:v>높음</x:v>
      </x:c>
      <x:c r="E192" s="24" t="str">
        <x:v>보험 갱신 확인</x:v>
      </x:c>
      <x:c r="F192" s="24" t="str">
        <x:v>145가1796 보험 갱신 확인</x:v>
      </x:c>
      <x:c r="G192" s="24" t="str"/>
      <x:c r="H192" s="30"/>
      <x:c r="I192" s="24" t="str">
        <x:v>대기</x:v>
      </x:c>
      <x:c r="J192" s="30"/>
      <x:c r="K192" s="24" t="str">
        <x:v>SW-C-145가1796-1-20250626-79</x:v>
      </x:c>
      <x:c r="L192" s="24" t="str">
        <x:v>자동점검</x:v>
      </x:c>
    </x:row>
    <x:row r="193" ht="17.25" customHeight="1">
      <x:c r="A193" s="24" t="str">
        <x:v>W-0192</x:v>
      </x:c>
      <x:c r="B193" s="24" t="str">
        <x:v>스위치플랜</x:v>
      </x:c>
      <x:c r="C193" s="24" t="str">
        <x:v>155라6331</x:v>
      </x:c>
      <x:c r="D193" s="24" t="str">
        <x:v>긴급</x:v>
      </x:c>
      <x:c r="E193" s="24" t="str">
        <x:v>미수 확인</x:v>
      </x:c>
      <x:c r="F193" s="24" t="str">
        <x:v>155라6331 미수 확인</x:v>
      </x:c>
      <x:c r="G193" s="24" t="str"/>
      <x:c r="H193" s="30"/>
      <x:c r="I193" s="24" t="str">
        <x:v>대기</x:v>
      </x:c>
      <x:c r="J193" s="30"/>
      <x:c r="K193" s="24" t="str">
        <x:v>SW-C-155라6331-1-20250314-81</x:v>
      </x:c>
      <x:c r="L193" s="24" t="str">
        <x:v>자동점검</x:v>
      </x:c>
    </x:row>
    <x:row r="194" ht="17.25" customHeight="1">
      <x:c r="A194" s="24" t="str">
        <x:v>W-0193</x:v>
      </x:c>
      <x:c r="B194" s="24" t="str">
        <x:v>스위치플랜</x:v>
      </x:c>
      <x:c r="C194" s="24" t="str">
        <x:v>155라6331</x:v>
      </x:c>
      <x:c r="D194" s="24" t="str">
        <x:v>높음</x:v>
      </x:c>
      <x:c r="E194" s="24" t="str">
        <x:v>보험 연령 입력</x:v>
      </x:c>
      <x:c r="F194" s="24" t="str">
        <x:v>155라6331 보험 연령 입력</x:v>
      </x:c>
      <x:c r="G194" s="24" t="str"/>
      <x:c r="H194" s="30"/>
      <x:c r="I194" s="24" t="str">
        <x:v>대기</x:v>
      </x:c>
      <x:c r="J194" s="30"/>
      <x:c r="K194" s="24" t="str">
        <x:v>SW-C-155라6331-1-20250314-81</x:v>
      </x:c>
      <x:c r="L194" s="24" t="str">
        <x:v>자동점검</x:v>
      </x:c>
    </x:row>
    <x:row r="195" ht="17.25" customHeight="1">
      <x:c r="A195" s="24" t="str">
        <x:v>W-0194</x:v>
      </x:c>
      <x:c r="B195" s="24" t="str">
        <x:v>스위치플랜</x:v>
      </x:c>
      <x:c r="C195" s="24" t="str">
        <x:v>155라6331</x:v>
      </x:c>
      <x:c r="D195" s="24" t="str">
        <x:v>높음</x:v>
      </x:c>
      <x:c r="E195" s="24" t="str">
        <x:v>보험 갱신 확인</x:v>
      </x:c>
      <x:c r="F195" s="24" t="str">
        <x:v>155라6331 보험 갱신 확인</x:v>
      </x:c>
      <x:c r="G195" s="24" t="str"/>
      <x:c r="H195" s="30"/>
      <x:c r="I195" s="24" t="str">
        <x:v>대기</x:v>
      </x:c>
      <x:c r="J195" s="30"/>
      <x:c r="K195" s="24" t="str">
        <x:v>SW-C-155라6331-1-20250314-81</x:v>
      </x:c>
      <x:c r="L195" s="24" t="str">
        <x:v>자동점검</x:v>
      </x:c>
    </x:row>
    <x:row r="196" ht="17.25" customHeight="1">
      <x:c r="A196" s="24" t="str">
        <x:v>W-0195</x:v>
      </x:c>
      <x:c r="B196" s="24" t="str">
        <x:v>스위치플랜</x:v>
      </x:c>
      <x:c r="C196" s="24" t="str">
        <x:v>248너5286</x:v>
      </x:c>
      <x:c r="D196" s="24" t="str">
        <x:v>긴급</x:v>
      </x:c>
      <x:c r="E196" s="24" t="str">
        <x:v>미수 확인</x:v>
      </x:c>
      <x:c r="F196" s="24" t="str">
        <x:v>248너5286 미수 확인</x:v>
      </x:c>
      <x:c r="G196" s="24" t="str"/>
      <x:c r="H196" s="30"/>
      <x:c r="I196" s="24" t="str">
        <x:v>대기</x:v>
      </x:c>
      <x:c r="J196" s="30"/>
      <x:c r="K196" s="24" t="str">
        <x:v>SW-C-248너5286-1-20240223-82</x:v>
      </x:c>
      <x:c r="L196" s="24" t="str">
        <x:v>자동점검</x:v>
      </x:c>
    </x:row>
    <x:row r="197" ht="17.25" customHeight="1">
      <x:c r="A197" s="24" t="str">
        <x:v>W-0196</x:v>
      </x:c>
      <x:c r="B197" s="24" t="str">
        <x:v>스위치플랜</x:v>
      </x:c>
      <x:c r="C197" s="24" t="str">
        <x:v>248너5286</x:v>
      </x:c>
      <x:c r="D197" s="24" t="str">
        <x:v>높음</x:v>
      </x:c>
      <x:c r="E197" s="24" t="str">
        <x:v>보험 연령 입력</x:v>
      </x:c>
      <x:c r="F197" s="24" t="str">
        <x:v>248너5286 보험 연령 입력</x:v>
      </x:c>
      <x:c r="G197" s="24" t="str"/>
      <x:c r="H197" s="30"/>
      <x:c r="I197" s="24" t="str">
        <x:v>대기</x:v>
      </x:c>
      <x:c r="J197" s="30"/>
      <x:c r="K197" s="24" t="str">
        <x:v>SW-C-248너5286-1-20240223-82</x:v>
      </x:c>
      <x:c r="L197" s="24" t="str">
        <x:v>자동점검</x:v>
      </x:c>
    </x:row>
    <x:row r="198" ht="17.25" customHeight="1">
      <x:c r="A198" s="24" t="str">
        <x:v>W-0197</x:v>
      </x:c>
      <x:c r="B198" s="24" t="str">
        <x:v>스위치플랜</x:v>
      </x:c>
      <x:c r="C198" s="24" t="str">
        <x:v>248너5286</x:v>
      </x:c>
      <x:c r="D198" s="24" t="str">
        <x:v>높음</x:v>
      </x:c>
      <x:c r="E198" s="24" t="str">
        <x:v>보험 갱신 확인</x:v>
      </x:c>
      <x:c r="F198" s="24" t="str">
        <x:v>248너5286 보험 갱신 확인</x:v>
      </x:c>
      <x:c r="G198" s="24" t="str"/>
      <x:c r="H198" s="30"/>
      <x:c r="I198" s="24" t="str">
        <x:v>대기</x:v>
      </x:c>
      <x:c r="J198" s="30"/>
      <x:c r="K198" s="24" t="str">
        <x:v>SW-C-248너5286-1-20240223-82</x:v>
      </x:c>
      <x:c r="L198" s="24" t="str">
        <x:v>자동점검</x:v>
      </x:c>
    </x:row>
    <x:row r="199" ht="17.25" customHeight="1">
      <x:c r="A199" s="24" t="str">
        <x:v>W-0198</x:v>
      </x:c>
      <x:c r="B199" s="24" t="str">
        <x:v>스위치플랜</x:v>
      </x:c>
      <x:c r="C199" s="24" t="str">
        <x:v>350수9623</x:v>
      </x:c>
      <x:c r="D199" s="24" t="str">
        <x:v>높음</x:v>
      </x:c>
      <x:c r="E199" s="24" t="str">
        <x:v>보험 연령 입력</x:v>
      </x:c>
      <x:c r="F199" s="24" t="str">
        <x:v>350수9623 보험 연령 입력</x:v>
      </x:c>
      <x:c r="G199" s="24" t="str"/>
      <x:c r="H199" s="30"/>
      <x:c r="I199" s="24" t="str">
        <x:v>대기</x:v>
      </x:c>
      <x:c r="J199" s="30"/>
      <x:c r="K199" s="24" t="str">
        <x:v>SW-C-350수9623-1-20260504-83</x:v>
      </x:c>
      <x:c r="L199" s="24" t="str">
        <x:v>자동점검</x:v>
      </x:c>
    </x:row>
    <x:row r="200" ht="17.25" customHeight="1">
      <x:c r="A200" s="24" t="str">
        <x:v>W-0199</x:v>
      </x:c>
      <x:c r="B200" s="24" t="str">
        <x:v>스위치플랜</x:v>
      </x:c>
      <x:c r="C200" s="24" t="str">
        <x:v>350수9623</x:v>
      </x:c>
      <x:c r="D200" s="24" t="str">
        <x:v>높음</x:v>
      </x:c>
      <x:c r="E200" s="24" t="str">
        <x:v>보험 갱신 확인</x:v>
      </x:c>
      <x:c r="F200" s="24" t="str">
        <x:v>350수9623 보험 갱신 확인</x:v>
      </x:c>
      <x:c r="G200" s="24" t="str"/>
      <x:c r="H200" s="30"/>
      <x:c r="I200" s="24" t="str">
        <x:v>대기</x:v>
      </x:c>
      <x:c r="J200" s="30"/>
      <x:c r="K200" s="24" t="str">
        <x:v>SW-C-350수9623-1-20260504-83</x:v>
      </x:c>
      <x:c r="L200" s="24" t="str">
        <x:v>자동점검</x:v>
      </x:c>
    </x:row>
    <x:row r="201" ht="17.25" customHeight="1">
      <x:c r="A201" s="24" t="str">
        <x:v>W-0200</x:v>
      </x:c>
      <x:c r="B201" s="24" t="str">
        <x:v>스위치플랜</x:v>
      </x:c>
      <x:c r="C201" s="24" t="str">
        <x:v>827버3872</x:v>
      </x:c>
      <x:c r="D201" s="24" t="str">
        <x:v>긴급</x:v>
      </x:c>
      <x:c r="E201" s="24" t="str">
        <x:v>미수 확인</x:v>
      </x:c>
      <x:c r="F201" s="24" t="str">
        <x:v>827버3872 미수 확인</x:v>
      </x:c>
      <x:c r="G201" s="24" t="str"/>
      <x:c r="H201" s="30"/>
      <x:c r="I201" s="24" t="str">
        <x:v>대기</x:v>
      </x:c>
      <x:c r="J201" s="30"/>
      <x:c r="K201" s="24" t="str">
        <x:v>SW-C-827버3872-1-20240528-84</x:v>
      </x:c>
      <x:c r="L201" s="24" t="str">
        <x:v>자동점검</x:v>
      </x:c>
    </x:row>
    <x:row r="202" ht="17.25" customHeight="1">
      <x:c r="A202" s="24" t="str">
        <x:v>W-0201</x:v>
      </x:c>
      <x:c r="B202" s="24" t="str">
        <x:v>스위치플랜</x:v>
      </x:c>
      <x:c r="C202" s="24" t="str">
        <x:v>827버3872</x:v>
      </x:c>
      <x:c r="D202" s="24" t="str">
        <x:v>높음</x:v>
      </x:c>
      <x:c r="E202" s="24" t="str">
        <x:v>보험 연령 입력</x:v>
      </x:c>
      <x:c r="F202" s="24" t="str">
        <x:v>827버3872 보험 연령 입력</x:v>
      </x:c>
      <x:c r="G202" s="24" t="str"/>
      <x:c r="H202" s="30"/>
      <x:c r="I202" s="24" t="str">
        <x:v>대기</x:v>
      </x:c>
      <x:c r="J202" s="30"/>
      <x:c r="K202" s="24" t="str">
        <x:v>SW-C-827버3872-1-20240528-84</x:v>
      </x:c>
      <x:c r="L202" s="24" t="str">
        <x:v>자동점검</x:v>
      </x:c>
    </x:row>
    <x:row r="203" ht="17.25" customHeight="1">
      <x:c r="A203" s="24" t="str">
        <x:v>W-0202</x:v>
      </x:c>
      <x:c r="B203" s="24" t="str">
        <x:v>스위치플랜</x:v>
      </x:c>
      <x:c r="C203" s="24" t="str">
        <x:v>827버3872</x:v>
      </x:c>
      <x:c r="D203" s="24" t="str">
        <x:v>높음</x:v>
      </x:c>
      <x:c r="E203" s="24" t="str">
        <x:v>보험 갱신 확인</x:v>
      </x:c>
      <x:c r="F203" s="24" t="str">
        <x:v>827버3872 보험 갱신 확인</x:v>
      </x:c>
      <x:c r="G203" s="24" t="str"/>
      <x:c r="H203" s="30"/>
      <x:c r="I203" s="24" t="str">
        <x:v>대기</x:v>
      </x:c>
      <x:c r="J203" s="30"/>
      <x:c r="K203" s="24" t="str">
        <x:v>SW-C-827버3872-1-20240528-84</x:v>
      </x:c>
      <x:c r="L203" s="24" t="str">
        <x:v>자동점검</x:v>
      </x:c>
    </x:row>
    <x:row r="204" ht="17.25" customHeight="1">
      <x:c r="A204" s="24" t="str">
        <x:v>W-0203</x:v>
      </x:c>
      <x:c r="B204" s="24" t="str">
        <x:v>스위치플랜</x:v>
      </x:c>
      <x:c r="C204" s="24" t="str">
        <x:v>201다3498</x:v>
      </x:c>
      <x:c r="D204" s="24" t="str">
        <x:v>높음</x:v>
      </x:c>
      <x:c r="E204" s="24" t="str">
        <x:v>보험 연령 입력</x:v>
      </x:c>
      <x:c r="F204" s="24" t="str">
        <x:v>201다3498 보험 연령 입력</x:v>
      </x:c>
      <x:c r="G204" s="24" t="str"/>
      <x:c r="H204" s="30"/>
      <x:c r="I204" s="24" t="str">
        <x:v>대기</x:v>
      </x:c>
      <x:c r="J204" s="30"/>
      <x:c r="K204" s="24" t="str">
        <x:v>SW-C-201다3498-1-20240110-85</x:v>
      </x:c>
      <x:c r="L204" s="24" t="str">
        <x:v>자동점검</x:v>
      </x:c>
    </x:row>
    <x:row r="205" ht="17.25" customHeight="1">
      <x:c r="A205" s="24" t="str">
        <x:v>W-0204</x:v>
      </x:c>
      <x:c r="B205" s="24" t="str">
        <x:v>스위치플랜</x:v>
      </x:c>
      <x:c r="C205" s="24" t="str">
        <x:v>201다3498</x:v>
      </x:c>
      <x:c r="D205" s="24" t="str">
        <x:v>높음</x:v>
      </x:c>
      <x:c r="E205" s="24" t="str">
        <x:v>보험 갱신 확인</x:v>
      </x:c>
      <x:c r="F205" s="24" t="str">
        <x:v>201다3498 보험 갱신 확인</x:v>
      </x:c>
      <x:c r="G205" s="24" t="str"/>
      <x:c r="H205" s="30"/>
      <x:c r="I205" s="24" t="str">
        <x:v>대기</x:v>
      </x:c>
      <x:c r="J205" s="30"/>
      <x:c r="K205" s="24" t="str">
        <x:v>SW-C-201다3498-1-20240110-85</x:v>
      </x:c>
      <x:c r="L205" s="24" t="str">
        <x:v>자동점검</x:v>
      </x:c>
    </x:row>
    <x:row r="206" ht="17.25" customHeight="1">
      <x:c r="A206" s="24" t="str">
        <x:v>W-0205</x:v>
      </x:c>
      <x:c r="B206" s="24" t="str">
        <x:v>스위치플랜</x:v>
      </x:c>
      <x:c r="C206" s="24" t="str">
        <x:v>288수6402</x:v>
      </x:c>
      <x:c r="D206" s="24" t="str">
        <x:v>긴급</x:v>
      </x:c>
      <x:c r="E206" s="24" t="str">
        <x:v>미수 확인</x:v>
      </x:c>
      <x:c r="F206" s="24" t="str">
        <x:v>288수6402 미수 확인</x:v>
      </x:c>
      <x:c r="G206" s="24" t="str"/>
      <x:c r="H206" s="30"/>
      <x:c r="I206" s="24" t="str">
        <x:v>대기</x:v>
      </x:c>
      <x:c r="J206" s="30"/>
      <x:c r="K206" s="24" t="str">
        <x:v>SW-C-288수6402-1-20260324-86</x:v>
      </x:c>
      <x:c r="L206" s="24" t="str">
        <x:v>자동점검</x:v>
      </x:c>
    </x:row>
    <x:row r="207" ht="17.25" customHeight="1">
      <x:c r="A207" s="24" t="str">
        <x:v>W-0206</x:v>
      </x:c>
      <x:c r="B207" s="24" t="str">
        <x:v>스위치플랜</x:v>
      </x:c>
      <x:c r="C207" s="24" t="str">
        <x:v>288수6402</x:v>
      </x:c>
      <x:c r="D207" s="24" t="str">
        <x:v>높음</x:v>
      </x:c>
      <x:c r="E207" s="24" t="str">
        <x:v>보험 연령 입력</x:v>
      </x:c>
      <x:c r="F207" s="24" t="str">
        <x:v>288수6402 보험 연령 입력</x:v>
      </x:c>
      <x:c r="G207" s="24" t="str"/>
      <x:c r="H207" s="30"/>
      <x:c r="I207" s="24" t="str">
        <x:v>대기</x:v>
      </x:c>
      <x:c r="J207" s="30"/>
      <x:c r="K207" s="24" t="str">
        <x:v>SW-C-288수6402-1-20260324-86</x:v>
      </x:c>
      <x:c r="L207" s="24" t="str">
        <x:v>자동점검</x:v>
      </x:c>
    </x:row>
    <x:row r="208" ht="17.25" customHeight="1">
      <x:c r="A208" s="24" t="str">
        <x:v>W-0207</x:v>
      </x:c>
      <x:c r="B208" s="24" t="str">
        <x:v>스위치플랜</x:v>
      </x:c>
      <x:c r="C208" s="24" t="str">
        <x:v>288수6402</x:v>
      </x:c>
      <x:c r="D208" s="24" t="str">
        <x:v>높음</x:v>
      </x:c>
      <x:c r="E208" s="24" t="str">
        <x:v>보험 갱신 확인</x:v>
      </x:c>
      <x:c r="F208" s="24" t="str">
        <x:v>288수6402 보험 갱신 확인</x:v>
      </x:c>
      <x:c r="G208" s="24" t="str"/>
      <x:c r="H208" s="30"/>
      <x:c r="I208" s="24" t="str">
        <x:v>대기</x:v>
      </x:c>
      <x:c r="J208" s="30"/>
      <x:c r="K208" s="24" t="str">
        <x:v>SW-C-288수6402-1-20260324-86</x:v>
      </x:c>
      <x:c r="L208" s="24" t="str">
        <x:v>자동점검</x:v>
      </x:c>
    </x:row>
    <x:row r="209" ht="17.25" customHeight="1">
      <x:c r="A209" s="24" t="str">
        <x:v>W-0208</x:v>
      </x:c>
      <x:c r="B209" s="24" t="str">
        <x:v>스위치플랜</x:v>
      </x:c>
      <x:c r="C209" s="24" t="str">
        <x:v>244루2757</x:v>
      </x:c>
      <x:c r="D209" s="24" t="str">
        <x:v>긴급</x:v>
      </x:c>
      <x:c r="E209" s="24" t="str">
        <x:v>미수 확인</x:v>
      </x:c>
      <x:c r="F209" s="24" t="str">
        <x:v>244루2757 미수 확인</x:v>
      </x:c>
      <x:c r="G209" s="24" t="str"/>
      <x:c r="H209" s="30"/>
      <x:c r="I209" s="24" t="str">
        <x:v>대기</x:v>
      </x:c>
      <x:c r="J209" s="30"/>
      <x:c r="K209" s="24" t="str">
        <x:v>SW-C-244루2757-1-20260318-87</x:v>
      </x:c>
      <x:c r="L209" s="24" t="str">
        <x:v>자동점검</x:v>
      </x:c>
    </x:row>
    <x:row r="210" ht="17.25" customHeight="1">
      <x:c r="A210" s="24" t="str">
        <x:v>W-0209</x:v>
      </x:c>
      <x:c r="B210" s="24" t="str">
        <x:v>스위치플랜</x:v>
      </x:c>
      <x:c r="C210" s="24" t="str">
        <x:v>244루2757</x:v>
      </x:c>
      <x:c r="D210" s="24" t="str">
        <x:v>높음</x:v>
      </x:c>
      <x:c r="E210" s="24" t="str">
        <x:v>보험 연령 입력</x:v>
      </x:c>
      <x:c r="F210" s="24" t="str">
        <x:v>244루2757 보험 연령 입력</x:v>
      </x:c>
      <x:c r="G210" s="24" t="str"/>
      <x:c r="H210" s="30"/>
      <x:c r="I210" s="24" t="str">
        <x:v>대기</x:v>
      </x:c>
      <x:c r="J210" s="30"/>
      <x:c r="K210" s="24" t="str">
        <x:v>SW-C-244루2757-1-20260318-87</x:v>
      </x:c>
      <x:c r="L210" s="24" t="str">
        <x:v>자동점검</x:v>
      </x:c>
    </x:row>
    <x:row r="211" ht="17.25" customHeight="1">
      <x:c r="A211" s="24" t="str">
        <x:v>W-0210</x:v>
      </x:c>
      <x:c r="B211" s="24" t="str">
        <x:v>스위치플랜</x:v>
      </x:c>
      <x:c r="C211" s="24" t="str">
        <x:v>244루2757</x:v>
      </x:c>
      <x:c r="D211" s="24" t="str">
        <x:v>높음</x:v>
      </x:c>
      <x:c r="E211" s="24" t="str">
        <x:v>보험 갱신 확인</x:v>
      </x:c>
      <x:c r="F211" s="24" t="str">
        <x:v>244루2757 보험 갱신 확인</x:v>
      </x:c>
      <x:c r="G211" s="24" t="str"/>
      <x:c r="H211" s="30"/>
      <x:c r="I211" s="24" t="str">
        <x:v>대기</x:v>
      </x:c>
      <x:c r="J211" s="30"/>
      <x:c r="K211" s="24" t="str">
        <x:v>SW-C-244루2757-1-20260318-87</x:v>
      </x:c>
      <x:c r="L211" s="24" t="str">
        <x:v>자동점검</x:v>
      </x:c>
    </x:row>
    <x:row r="212" ht="17.25" customHeight="1">
      <x:c r="A212" s="24" t="str">
        <x:v>W-0211</x:v>
      </x:c>
      <x:c r="B212" s="24" t="str">
        <x:v>스위치플랜</x:v>
      </x:c>
      <x:c r="C212" s="24" t="str">
        <x:v>330모8787</x:v>
      </x:c>
      <x:c r="D212" s="24" t="str">
        <x:v>높음</x:v>
      </x:c>
      <x:c r="E212" s="24" t="str">
        <x:v>보험 연령 입력</x:v>
      </x:c>
      <x:c r="F212" s="24" t="str">
        <x:v>330모8787 보험 연령 입력</x:v>
      </x:c>
      <x:c r="G212" s="24" t="str"/>
      <x:c r="H212" s="30"/>
      <x:c r="I212" s="24" t="str">
        <x:v>대기</x:v>
      </x:c>
      <x:c r="J212" s="30"/>
      <x:c r="K212" s="24" t="str">
        <x:v>SW-C-330모8787-1-20250524-88</x:v>
      </x:c>
      <x:c r="L212" s="24" t="str">
        <x:v>자동점검</x:v>
      </x:c>
    </x:row>
    <x:row r="213" ht="17.25" customHeight="1">
      <x:c r="A213" s="24" t="str">
        <x:v>W-0212</x:v>
      </x:c>
      <x:c r="B213" s="24" t="str">
        <x:v>스위치플랜</x:v>
      </x:c>
      <x:c r="C213" s="24" t="str">
        <x:v>330모8787</x:v>
      </x:c>
      <x:c r="D213" s="24" t="str">
        <x:v>높음</x:v>
      </x:c>
      <x:c r="E213" s="24" t="str">
        <x:v>보험 갱신 확인</x:v>
      </x:c>
      <x:c r="F213" s="24" t="str">
        <x:v>330모8787 보험 갱신 확인</x:v>
      </x:c>
      <x:c r="G213" s="24" t="str"/>
      <x:c r="H213" s="30"/>
      <x:c r="I213" s="24" t="str">
        <x:v>대기</x:v>
      </x:c>
      <x:c r="J213" s="30"/>
      <x:c r="K213" s="24" t="str">
        <x:v>SW-C-330모8787-1-20250524-88</x:v>
      </x:c>
      <x:c r="L213" s="24" t="str">
        <x:v>자동점검</x:v>
      </x:c>
    </x:row>
    <x:row r="214" ht="17.25" customHeight="1">
      <x:c r="A214" s="24" t="str">
        <x:v>W-0213</x:v>
      </x:c>
      <x:c r="B214" s="24" t="str">
        <x:v>스위치플랜</x:v>
      </x:c>
      <x:c r="C214" s="24" t="str">
        <x:v>186고4026</x:v>
      </x:c>
      <x:c r="D214" s="24" t="str">
        <x:v>긴급</x:v>
      </x:c>
      <x:c r="E214" s="24" t="str">
        <x:v>미수 확인</x:v>
      </x:c>
      <x:c r="F214" s="24" t="str">
        <x:v>186고4026 미수 확인</x:v>
      </x:c>
      <x:c r="G214" s="24" t="str"/>
      <x:c r="H214" s="30"/>
      <x:c r="I214" s="24" t="str">
        <x:v>대기</x:v>
      </x:c>
      <x:c r="J214" s="30"/>
      <x:c r="K214" s="24" t="str">
        <x:v>SW-C-186고4026-1-20240530-89</x:v>
      </x:c>
      <x:c r="L214" s="24" t="str">
        <x:v>자동점검</x:v>
      </x:c>
    </x:row>
    <x:row r="215" ht="17.25" customHeight="1">
      <x:c r="A215" s="24" t="str">
        <x:v>W-0214</x:v>
      </x:c>
      <x:c r="B215" s="24" t="str">
        <x:v>스위치플랜</x:v>
      </x:c>
      <x:c r="C215" s="24" t="str">
        <x:v>186고4026</x:v>
      </x:c>
      <x:c r="D215" s="24" t="str">
        <x:v>높음</x:v>
      </x:c>
      <x:c r="E215" s="24" t="str">
        <x:v>보험 연령 입력</x:v>
      </x:c>
      <x:c r="F215" s="24" t="str">
        <x:v>186고4026 보험 연령 입력</x:v>
      </x:c>
      <x:c r="G215" s="24" t="str"/>
      <x:c r="H215" s="30"/>
      <x:c r="I215" s="24" t="str">
        <x:v>대기</x:v>
      </x:c>
      <x:c r="J215" s="30"/>
      <x:c r="K215" s="24" t="str">
        <x:v>SW-C-186고4026-1-20240530-89</x:v>
      </x:c>
      <x:c r="L215" s="24" t="str">
        <x:v>자동점검</x:v>
      </x:c>
    </x:row>
    <x:row r="216" ht="17.25" customHeight="1">
      <x:c r="A216" s="24" t="str">
        <x:v>W-0215</x:v>
      </x:c>
      <x:c r="B216" s="24" t="str">
        <x:v>스위치플랜</x:v>
      </x:c>
      <x:c r="C216" s="24" t="str">
        <x:v>186고4026</x:v>
      </x:c>
      <x:c r="D216" s="24" t="str">
        <x:v>높음</x:v>
      </x:c>
      <x:c r="E216" s="24" t="str">
        <x:v>보험 갱신 확인</x:v>
      </x:c>
      <x:c r="F216" s="24" t="str">
        <x:v>186고4026 보험 갱신 확인</x:v>
      </x:c>
      <x:c r="G216" s="24" t="str"/>
      <x:c r="H216" s="30"/>
      <x:c r="I216" s="24" t="str">
        <x:v>대기</x:v>
      </x:c>
      <x:c r="J216" s="30"/>
      <x:c r="K216" s="24" t="str">
        <x:v>SW-C-186고4026-1-20240530-89</x:v>
      </x:c>
      <x:c r="L216" s="24" t="str">
        <x:v>자동점검</x:v>
      </x:c>
    </x:row>
    <x:row r="217" ht="17.25" customHeight="1">
      <x:c r="A217" s="24" t="str">
        <x:v>W-0216</x:v>
      </x:c>
      <x:c r="B217" s="24" t="str">
        <x:v>스위치플랜</x:v>
      </x:c>
      <x:c r="C217" s="24" t="str">
        <x:v>151나8783</x:v>
      </x:c>
      <x:c r="D217" s="24" t="str">
        <x:v>긴급</x:v>
      </x:c>
      <x:c r="E217" s="24" t="str">
        <x:v>회수 검토</x:v>
      </x:c>
      <x:c r="F217" s="24" t="str">
        <x:v>151나8783 회수 검토</x:v>
      </x:c>
      <x:c r="G217" s="24" t="str"/>
      <x:c r="H217" s="30"/>
      <x:c r="I217" s="24" t="str">
        <x:v>대기</x:v>
      </x:c>
      <x:c r="J217" s="30"/>
      <x:c r="K217" s="24" t="str">
        <x:v>SW-C-151나8783-1-20260410-90</x:v>
      </x:c>
      <x:c r="L217" s="24" t="str">
        <x:v>자동점검</x:v>
      </x:c>
    </x:row>
    <x:row r="218" ht="17.25" customHeight="1">
      <x:c r="A218" s="24" t="str">
        <x:v>W-0217</x:v>
      </x:c>
      <x:c r="B218" s="24" t="str">
        <x:v>스위치플랜</x:v>
      </x:c>
      <x:c r="C218" s="24" t="str">
        <x:v>151나8783</x:v>
      </x:c>
      <x:c r="D218" s="24" t="str">
        <x:v>높음</x:v>
      </x:c>
      <x:c r="E218" s="24" t="str">
        <x:v>보험 연령 입력</x:v>
      </x:c>
      <x:c r="F218" s="24" t="str">
        <x:v>151나8783 보험 연령 입력</x:v>
      </x:c>
      <x:c r="G218" s="24" t="str"/>
      <x:c r="H218" s="30"/>
      <x:c r="I218" s="24" t="str">
        <x:v>대기</x:v>
      </x:c>
      <x:c r="J218" s="30"/>
      <x:c r="K218" s="24" t="str">
        <x:v>SW-C-151나8783-1-20260410-90</x:v>
      </x:c>
      <x:c r="L218" s="24" t="str">
        <x:v>자동점검</x:v>
      </x:c>
    </x:row>
    <x:row r="219" ht="17.25" customHeight="1">
      <x:c r="A219" s="24" t="str">
        <x:v>W-0218</x:v>
      </x:c>
      <x:c r="B219" s="24" t="str">
        <x:v>스위치플랜</x:v>
      </x:c>
      <x:c r="C219" s="24" t="str">
        <x:v>151나8783</x:v>
      </x:c>
      <x:c r="D219" s="24" t="str">
        <x:v>높음</x:v>
      </x:c>
      <x:c r="E219" s="24" t="str">
        <x:v>보험 갱신 확인</x:v>
      </x:c>
      <x:c r="F219" s="24" t="str">
        <x:v>151나8783 보험 갱신 확인</x:v>
      </x:c>
      <x:c r="G219" s="24" t="str"/>
      <x:c r="H219" s="30"/>
      <x:c r="I219" s="24" t="str">
        <x:v>대기</x:v>
      </x:c>
      <x:c r="J219" s="30"/>
      <x:c r="K219" s="24" t="str">
        <x:v>SW-C-151나8783-1-20260410-90</x:v>
      </x:c>
      <x:c r="L219" s="24" t="str">
        <x:v>자동점검</x:v>
      </x:c>
    </x:row>
    <x:row r="220" ht="17.25" customHeight="1">
      <x:c r="A220" s="24" t="str">
        <x:v>W-0219</x:v>
      </x:c>
      <x:c r="B220" s="24" t="str">
        <x:v>스위치플랜</x:v>
      </x:c>
      <x:c r="C220" s="24" t="str">
        <x:v>181조8459</x:v>
      </x:c>
      <x:c r="D220" s="24" t="str">
        <x:v>긴급</x:v>
      </x:c>
      <x:c r="E220" s="24" t="str">
        <x:v>미수 확인</x:v>
      </x:c>
      <x:c r="F220" s="24" t="str">
        <x:v>181조8459 미수 확인</x:v>
      </x:c>
      <x:c r="G220" s="24" t="str"/>
      <x:c r="H220" s="30"/>
      <x:c r="I220" s="24" t="str">
        <x:v>대기</x:v>
      </x:c>
      <x:c r="J220" s="30"/>
      <x:c r="K220" s="24" t="str">
        <x:v>SW-C-181조8459-1-20260420-91</x:v>
      </x:c>
      <x:c r="L220" s="24" t="str">
        <x:v>자동점검</x:v>
      </x:c>
    </x:row>
    <x:row r="221" ht="17.25" customHeight="1">
      <x:c r="A221" s="24" t="str">
        <x:v>W-0220</x:v>
      </x:c>
      <x:c r="B221" s="24" t="str">
        <x:v>스위치플랜</x:v>
      </x:c>
      <x:c r="C221" s="24" t="str">
        <x:v>181조8459</x:v>
      </x:c>
      <x:c r="D221" s="24" t="str">
        <x:v>높음</x:v>
      </x:c>
      <x:c r="E221" s="24" t="str">
        <x:v>보험 연령 입력</x:v>
      </x:c>
      <x:c r="F221" s="24" t="str">
        <x:v>181조8459 보험 연령 입력</x:v>
      </x:c>
      <x:c r="G221" s="24" t="str"/>
      <x:c r="H221" s="30"/>
      <x:c r="I221" s="24" t="str">
        <x:v>대기</x:v>
      </x:c>
      <x:c r="J221" s="30"/>
      <x:c r="K221" s="24" t="str">
        <x:v>SW-C-181조8459-1-20260420-91</x:v>
      </x:c>
      <x:c r="L221" s="24" t="str">
        <x:v>자동점검</x:v>
      </x:c>
    </x:row>
    <x:row r="222" ht="17.25" customHeight="1">
      <x:c r="A222" s="24" t="str">
        <x:v>W-0221</x:v>
      </x:c>
      <x:c r="B222" s="24" t="str">
        <x:v>스위치플랜</x:v>
      </x:c>
      <x:c r="C222" s="24" t="str">
        <x:v>181조8459</x:v>
      </x:c>
      <x:c r="D222" s="24" t="str">
        <x:v>높음</x:v>
      </x:c>
      <x:c r="E222" s="24" t="str">
        <x:v>보험 갱신 확인</x:v>
      </x:c>
      <x:c r="F222" s="24" t="str">
        <x:v>181조8459 보험 갱신 확인</x:v>
      </x:c>
      <x:c r="G222" s="24" t="str"/>
      <x:c r="H222" s="30"/>
      <x:c r="I222" s="24" t="str">
        <x:v>대기</x:v>
      </x:c>
      <x:c r="J222" s="30"/>
      <x:c r="K222" s="24" t="str">
        <x:v>SW-C-181조8459-1-20260420-91</x:v>
      </x:c>
      <x:c r="L222" s="24" t="str">
        <x:v>자동점검</x:v>
      </x:c>
    </x:row>
    <x:row r="223" ht="17.25" customHeight="1">
      <x:c r="A223" s="24" t="str">
        <x:v>W-0222</x:v>
      </x:c>
      <x:c r="B223" s="24" t="str">
        <x:v>스위치플랜</x:v>
      </x:c>
      <x:c r="C223" s="24" t="str">
        <x:v>120라5445</x:v>
      </x:c>
      <x:c r="D223" s="24" t="str">
        <x:v>긴급</x:v>
      </x:c>
      <x:c r="E223" s="24" t="str">
        <x:v>미수 확인</x:v>
      </x:c>
      <x:c r="F223" s="24" t="str">
        <x:v>120라5445 미수 확인</x:v>
      </x:c>
      <x:c r="G223" s="24" t="str"/>
      <x:c r="H223" s="30"/>
      <x:c r="I223" s="24" t="str">
        <x:v>대기</x:v>
      </x:c>
      <x:c r="J223" s="30"/>
      <x:c r="K223" s="24" t="str">
        <x:v>SW-C-120라5445-1-20231208-92</x:v>
      </x:c>
      <x:c r="L223" s="24" t="str">
        <x:v>자동점검</x:v>
      </x:c>
    </x:row>
    <x:row r="224" ht="17.25" customHeight="1">
      <x:c r="A224" s="24" t="str">
        <x:v>W-0223</x:v>
      </x:c>
      <x:c r="B224" s="24" t="str">
        <x:v>스위치플랜</x:v>
      </x:c>
      <x:c r="C224" s="24" t="str">
        <x:v>120라5445</x:v>
      </x:c>
      <x:c r="D224" s="24" t="str">
        <x:v>높음</x:v>
      </x:c>
      <x:c r="E224" s="24" t="str">
        <x:v>보험 연령 입력</x:v>
      </x:c>
      <x:c r="F224" s="24" t="str">
        <x:v>120라5445 보험 연령 입력</x:v>
      </x:c>
      <x:c r="G224" s="24" t="str"/>
      <x:c r="H224" s="30"/>
      <x:c r="I224" s="24" t="str">
        <x:v>대기</x:v>
      </x:c>
      <x:c r="J224" s="30"/>
      <x:c r="K224" s="24" t="str">
        <x:v>SW-C-120라5445-1-20231208-92</x:v>
      </x:c>
      <x:c r="L224" s="24" t="str">
        <x:v>자동점검</x:v>
      </x:c>
    </x:row>
    <x:row r="225" ht="17.25" customHeight="1">
      <x:c r="A225" s="24" t="str">
        <x:v>W-0224</x:v>
      </x:c>
      <x:c r="B225" s="24" t="str">
        <x:v>스위치플랜</x:v>
      </x:c>
      <x:c r="C225" s="24" t="str">
        <x:v>120라5445</x:v>
      </x:c>
      <x:c r="D225" s="24" t="str">
        <x:v>높음</x:v>
      </x:c>
      <x:c r="E225" s="24" t="str">
        <x:v>보험 갱신 확인</x:v>
      </x:c>
      <x:c r="F225" s="24" t="str">
        <x:v>120라5445 보험 갱신 확인</x:v>
      </x:c>
      <x:c r="G225" s="24" t="str"/>
      <x:c r="H225" s="30"/>
      <x:c r="I225" s="24" t="str">
        <x:v>대기</x:v>
      </x:c>
      <x:c r="J225" s="30"/>
      <x:c r="K225" s="24" t="str">
        <x:v>SW-C-120라5445-1-20231208-92</x:v>
      </x:c>
      <x:c r="L225" s="24" t="str">
        <x:v>자동점검</x:v>
      </x:c>
    </x:row>
    <x:row r="226" ht="17.25" customHeight="1">
      <x:c r="A226" s="24" t="str">
        <x:v>W-0225</x:v>
      </x:c>
      <x:c r="B226" s="24" t="str">
        <x:v>스위치플랜</x:v>
      </x:c>
      <x:c r="C226" s="24" t="str">
        <x:v>363소9788</x:v>
      </x:c>
      <x:c r="D226" s="24" t="str">
        <x:v>긴급</x:v>
      </x:c>
      <x:c r="E226" s="24" t="str">
        <x:v>미수 확인</x:v>
      </x:c>
      <x:c r="F226" s="24" t="str">
        <x:v>363소9788 미수 확인</x:v>
      </x:c>
      <x:c r="G226" s="24" t="str"/>
      <x:c r="H226" s="30"/>
      <x:c r="I226" s="24" t="str">
        <x:v>대기</x:v>
      </x:c>
      <x:c r="J226" s="30"/>
      <x:c r="K226" s="24" t="str">
        <x:v>SW-C-363소9788-1-20250529-93</x:v>
      </x:c>
      <x:c r="L226" s="24" t="str">
        <x:v>자동점검</x:v>
      </x:c>
    </x:row>
    <x:row r="227" ht="17.25" customHeight="1">
      <x:c r="A227" s="24" t="str">
        <x:v>W-0226</x:v>
      </x:c>
      <x:c r="B227" s="24" t="str">
        <x:v>스위치플랜</x:v>
      </x:c>
      <x:c r="C227" s="24" t="str">
        <x:v>363소9788</x:v>
      </x:c>
      <x:c r="D227" s="24" t="str">
        <x:v>높음</x:v>
      </x:c>
      <x:c r="E227" s="24" t="str">
        <x:v>보험 연령 입력</x:v>
      </x:c>
      <x:c r="F227" s="24" t="str">
        <x:v>363소9788 보험 연령 입력</x:v>
      </x:c>
      <x:c r="G227" s="24" t="str"/>
      <x:c r="H227" s="30"/>
      <x:c r="I227" s="24" t="str">
        <x:v>대기</x:v>
      </x:c>
      <x:c r="J227" s="30"/>
      <x:c r="K227" s="24" t="str">
        <x:v>SW-C-363소9788-1-20250529-93</x:v>
      </x:c>
      <x:c r="L227" s="24" t="str">
        <x:v>자동점검</x:v>
      </x:c>
    </x:row>
    <x:row r="228" ht="17.25" customHeight="1">
      <x:c r="A228" s="24" t="str">
        <x:v>W-0227</x:v>
      </x:c>
      <x:c r="B228" s="24" t="str">
        <x:v>스위치플랜</x:v>
      </x:c>
      <x:c r="C228" s="24" t="str">
        <x:v>363소9788</x:v>
      </x:c>
      <x:c r="D228" s="24" t="str">
        <x:v>높음</x:v>
      </x:c>
      <x:c r="E228" s="24" t="str">
        <x:v>보험 갱신 확인</x:v>
      </x:c>
      <x:c r="F228" s="24" t="str">
        <x:v>363소9788 보험 갱신 확인</x:v>
      </x:c>
      <x:c r="G228" s="24" t="str"/>
      <x:c r="H228" s="30"/>
      <x:c r="I228" s="24" t="str">
        <x:v>대기</x:v>
      </x:c>
      <x:c r="J228" s="30"/>
      <x:c r="K228" s="24" t="str">
        <x:v>SW-C-363소9788-1-20250529-93</x:v>
      </x:c>
      <x:c r="L228" s="24" t="str">
        <x:v>자동점검</x:v>
      </x:c>
    </x:row>
    <x:row r="229" ht="17.25" customHeight="1">
      <x:c r="A229" s="24" t="str">
        <x:v>W-0228</x:v>
      </x:c>
      <x:c r="B229" s="24" t="str">
        <x:v>스위치플랜</x:v>
      </x:c>
      <x:c r="C229" s="24" t="str">
        <x:v>162버2918</x:v>
      </x:c>
      <x:c r="D229" s="24" t="str">
        <x:v>높음</x:v>
      </x:c>
      <x:c r="E229" s="24" t="str">
        <x:v>보험 연령 입력</x:v>
      </x:c>
      <x:c r="F229" s="24" t="str">
        <x:v>162버2918 보험 연령 입력</x:v>
      </x:c>
      <x:c r="G229" s="24" t="str"/>
      <x:c r="H229" s="30"/>
      <x:c r="I229" s="24" t="str">
        <x:v>대기</x:v>
      </x:c>
      <x:c r="J229" s="30"/>
      <x:c r="K229" s="24" t="str">
        <x:v>SW-C-162버2918-1-20240709-94</x:v>
      </x:c>
      <x:c r="L229" s="24" t="str">
        <x:v>자동점검</x:v>
      </x:c>
    </x:row>
    <x:row r="230" ht="17.25" customHeight="1">
      <x:c r="A230" s="24" t="str">
        <x:v>W-0229</x:v>
      </x:c>
      <x:c r="B230" s="24" t="str">
        <x:v>스위치플랜</x:v>
      </x:c>
      <x:c r="C230" s="24" t="str">
        <x:v>162버2918</x:v>
      </x:c>
      <x:c r="D230" s="24" t="str">
        <x:v>높음</x:v>
      </x:c>
      <x:c r="E230" s="24" t="str">
        <x:v>보험 갱신 확인</x:v>
      </x:c>
      <x:c r="F230" s="24" t="str">
        <x:v>162버2918 보험 갱신 확인</x:v>
      </x:c>
      <x:c r="G230" s="24" t="str"/>
      <x:c r="H230" s="30"/>
      <x:c r="I230" s="24" t="str">
        <x:v>대기</x:v>
      </x:c>
      <x:c r="J230" s="30"/>
      <x:c r="K230" s="24" t="str">
        <x:v>SW-C-162버2918-1-20240709-94</x:v>
      </x:c>
      <x:c r="L230" s="24" t="str">
        <x:v>자동점검</x:v>
      </x:c>
    </x:row>
    <x:row r="231" ht="17.25" customHeight="1">
      <x:c r="A231" s="24" t="str">
        <x:v>W-0230</x:v>
      </x:c>
      <x:c r="B231" s="24" t="str">
        <x:v>스위치플랜</x:v>
      </x:c>
      <x:c r="C231" s="24" t="str">
        <x:v>286주8294</x:v>
      </x:c>
      <x:c r="D231" s="24" t="str">
        <x:v>긴급</x:v>
      </x:c>
      <x:c r="E231" s="24" t="str">
        <x:v>미수 확인</x:v>
      </x:c>
      <x:c r="F231" s="24" t="str">
        <x:v>286주8294 미수 확인</x:v>
      </x:c>
      <x:c r="G231" s="24" t="str"/>
      <x:c r="H231" s="30"/>
      <x:c r="I231" s="24" t="str">
        <x:v>대기</x:v>
      </x:c>
      <x:c r="J231" s="30"/>
      <x:c r="K231" s="24" t="str">
        <x:v>SW-C-286주8294-1-20250328-95</x:v>
      </x:c>
      <x:c r="L231" s="24" t="str">
        <x:v>자동점검</x:v>
      </x:c>
    </x:row>
    <x:row r="232" ht="17.25" customHeight="1">
      <x:c r="A232" s="24" t="str">
        <x:v>W-0231</x:v>
      </x:c>
      <x:c r="B232" s="24" t="str">
        <x:v>스위치플랜</x:v>
      </x:c>
      <x:c r="C232" s="24" t="str">
        <x:v>286주8294</x:v>
      </x:c>
      <x:c r="D232" s="24" t="str">
        <x:v>높음</x:v>
      </x:c>
      <x:c r="E232" s="24" t="str">
        <x:v>보험 연령 입력</x:v>
      </x:c>
      <x:c r="F232" s="24" t="str">
        <x:v>286주8294 보험 연령 입력</x:v>
      </x:c>
      <x:c r="G232" s="24" t="str"/>
      <x:c r="H232" s="30"/>
      <x:c r="I232" s="24" t="str">
        <x:v>대기</x:v>
      </x:c>
      <x:c r="J232" s="30"/>
      <x:c r="K232" s="24" t="str">
        <x:v>SW-C-286주8294-1-20250328-95</x:v>
      </x:c>
      <x:c r="L232" s="24" t="str">
        <x:v>자동점검</x:v>
      </x:c>
    </x:row>
    <x:row r="233" ht="17.25" customHeight="1">
      <x:c r="A233" s="24" t="str">
        <x:v>W-0232</x:v>
      </x:c>
      <x:c r="B233" s="24" t="str">
        <x:v>스위치플랜</x:v>
      </x:c>
      <x:c r="C233" s="24" t="str">
        <x:v>286주8294</x:v>
      </x:c>
      <x:c r="D233" s="24" t="str">
        <x:v>높음</x:v>
      </x:c>
      <x:c r="E233" s="24" t="str">
        <x:v>보험 갱신 확인</x:v>
      </x:c>
      <x:c r="F233" s="24" t="str">
        <x:v>286주8294 보험 갱신 확인</x:v>
      </x:c>
      <x:c r="G233" s="24" t="str"/>
      <x:c r="H233" s="30"/>
      <x:c r="I233" s="24" t="str">
        <x:v>대기</x:v>
      </x:c>
      <x:c r="J233" s="30"/>
      <x:c r="K233" s="24" t="str">
        <x:v>SW-C-286주8294-1-20250328-95</x:v>
      </x:c>
      <x:c r="L233" s="24" t="str">
        <x:v>자동점검</x:v>
      </x:c>
    </x:row>
    <x:row r="234" ht="17.25" customHeight="1">
      <x:c r="A234" s="24" t="str">
        <x:v>W-0233</x:v>
      </x:c>
      <x:c r="B234" s="24" t="str">
        <x:v>스위치플랜</x:v>
      </x:c>
      <x:c r="C234" s="24" t="str">
        <x:v>347다5712</x:v>
      </x:c>
      <x:c r="D234" s="24" t="str">
        <x:v>긴급</x:v>
      </x:c>
      <x:c r="E234" s="24" t="str">
        <x:v>미수 확인</x:v>
      </x:c>
      <x:c r="F234" s="24" t="str">
        <x:v>347다5712 미수 확인</x:v>
      </x:c>
      <x:c r="G234" s="24" t="str"/>
      <x:c r="H234" s="30"/>
      <x:c r="I234" s="24" t="str">
        <x:v>대기</x:v>
      </x:c>
      <x:c r="J234" s="30"/>
      <x:c r="K234" s="24" t="str">
        <x:v>SW-C-347다5712-1-20240319-96</x:v>
      </x:c>
      <x:c r="L234" s="24" t="str">
        <x:v>자동점검</x:v>
      </x:c>
    </x:row>
    <x:row r="235" ht="17.25" customHeight="1">
      <x:c r="A235" s="24" t="str">
        <x:v>W-0234</x:v>
      </x:c>
      <x:c r="B235" s="24" t="str">
        <x:v>스위치플랜</x:v>
      </x:c>
      <x:c r="C235" s="24" t="str">
        <x:v>347다5712</x:v>
      </x:c>
      <x:c r="D235" s="24" t="str">
        <x:v>높음</x:v>
      </x:c>
      <x:c r="E235" s="24" t="str">
        <x:v>보험 연령 입력</x:v>
      </x:c>
      <x:c r="F235" s="24" t="str">
        <x:v>347다5712 보험 연령 입력</x:v>
      </x:c>
      <x:c r="G235" s="24" t="str"/>
      <x:c r="H235" s="30"/>
      <x:c r="I235" s="24" t="str">
        <x:v>대기</x:v>
      </x:c>
      <x:c r="J235" s="30"/>
      <x:c r="K235" s="24" t="str">
        <x:v>SW-C-347다5712-1-20240319-96</x:v>
      </x:c>
      <x:c r="L235" s="24" t="str">
        <x:v>자동점검</x:v>
      </x:c>
    </x:row>
    <x:row r="236" ht="17.25" customHeight="1">
      <x:c r="A236" s="24" t="str">
        <x:v>W-0235</x:v>
      </x:c>
      <x:c r="B236" s="24" t="str">
        <x:v>스위치플랜</x:v>
      </x:c>
      <x:c r="C236" s="24" t="str">
        <x:v>347다5712</x:v>
      </x:c>
      <x:c r="D236" s="24" t="str">
        <x:v>높음</x:v>
      </x:c>
      <x:c r="E236" s="24" t="str">
        <x:v>보험 갱신 확인</x:v>
      </x:c>
      <x:c r="F236" s="24" t="str">
        <x:v>347다5712 보험 갱신 확인</x:v>
      </x:c>
      <x:c r="G236" s="24" t="str"/>
      <x:c r="H236" s="30"/>
      <x:c r="I236" s="24" t="str">
        <x:v>대기</x:v>
      </x:c>
      <x:c r="J236" s="30"/>
      <x:c r="K236" s="24" t="str">
        <x:v>SW-C-347다5712-1-20240319-96</x:v>
      </x:c>
      <x:c r="L236" s="24" t="str">
        <x:v>자동점검</x:v>
      </x:c>
    </x:row>
    <x:row r="237" ht="17.25" customHeight="1">
      <x:c r="A237" s="24" t="str">
        <x:v>W-0236</x:v>
      </x:c>
      <x:c r="B237" s="24" t="str">
        <x:v>스위치플랜</x:v>
      </x:c>
      <x:c r="C237" s="24" t="str">
        <x:v>126서4223</x:v>
      </x:c>
      <x:c r="D237" s="24" t="str">
        <x:v>긴급</x:v>
      </x:c>
      <x:c r="E237" s="24" t="str">
        <x:v>미수 확인</x:v>
      </x:c>
      <x:c r="F237" s="24" t="str">
        <x:v>126서4223 미수 확인</x:v>
      </x:c>
      <x:c r="G237" s="24" t="str"/>
      <x:c r="H237" s="30"/>
      <x:c r="I237" s="24" t="str">
        <x:v>대기</x:v>
      </x:c>
      <x:c r="J237" s="30"/>
      <x:c r="K237" s="24" t="str">
        <x:v>SW-C-126서4223-1-20260616-98</x:v>
      </x:c>
      <x:c r="L237" s="24" t="str">
        <x:v>자동점검</x:v>
      </x:c>
    </x:row>
    <x:row r="238" ht="17.25" customHeight="1">
      <x:c r="A238" s="24" t="str">
        <x:v>W-0237</x:v>
      </x:c>
      <x:c r="B238" s="24" t="str">
        <x:v>스위치플랜</x:v>
      </x:c>
      <x:c r="C238" s="24" t="str">
        <x:v>126서4223</x:v>
      </x:c>
      <x:c r="D238" s="24" t="str">
        <x:v>높음</x:v>
      </x:c>
      <x:c r="E238" s="24" t="str">
        <x:v>보험 연령 입력</x:v>
      </x:c>
      <x:c r="F238" s="24" t="str">
        <x:v>126서4223 보험 연령 입력</x:v>
      </x:c>
      <x:c r="G238" s="24" t="str"/>
      <x:c r="H238" s="30"/>
      <x:c r="I238" s="24" t="str">
        <x:v>대기</x:v>
      </x:c>
      <x:c r="J238" s="30"/>
      <x:c r="K238" s="24" t="str">
        <x:v>SW-C-126서4223-1-20260616-98</x:v>
      </x:c>
      <x:c r="L238" s="24" t="str">
        <x:v>자동점검</x:v>
      </x:c>
    </x:row>
    <x:row r="239" ht="17.25" customHeight="1">
      <x:c r="A239" s="24" t="str">
        <x:v>W-0238</x:v>
      </x:c>
      <x:c r="B239" s="24" t="str">
        <x:v>스위치플랜</x:v>
      </x:c>
      <x:c r="C239" s="24" t="str">
        <x:v>126서4223</x:v>
      </x:c>
      <x:c r="D239" s="24" t="str">
        <x:v>높음</x:v>
      </x:c>
      <x:c r="E239" s="24" t="str">
        <x:v>보험 갱신 확인</x:v>
      </x:c>
      <x:c r="F239" s="24" t="str">
        <x:v>126서4223 보험 갱신 확인</x:v>
      </x:c>
      <x:c r="G239" s="24" t="str"/>
      <x:c r="H239" s="30"/>
      <x:c r="I239" s="24" t="str">
        <x:v>대기</x:v>
      </x:c>
      <x:c r="J239" s="30"/>
      <x:c r="K239" s="24" t="str">
        <x:v>SW-C-126서4223-1-20260616-98</x:v>
      </x:c>
      <x:c r="L239" s="24" t="str">
        <x:v>자동점검</x:v>
      </x:c>
    </x:row>
    <x:row r="240" ht="17.25" customHeight="1">
      <x:c r="A240" s="24" t="str">
        <x:v>W-0239</x:v>
      </x:c>
      <x:c r="B240" s="24" t="str">
        <x:v>스위치플랜</x:v>
      </x:c>
      <x:c r="C240" s="24" t="str">
        <x:v>391서7476</x:v>
      </x:c>
      <x:c r="D240" s="24" t="str">
        <x:v>긴급</x:v>
      </x:c>
      <x:c r="E240" s="24" t="str">
        <x:v>회수 검토</x:v>
      </x:c>
      <x:c r="F240" s="24" t="str">
        <x:v>391서7476 회수 검토</x:v>
      </x:c>
      <x:c r="G240" s="24" t="str"/>
      <x:c r="H240" s="30"/>
      <x:c r="I240" s="24" t="str">
        <x:v>대기</x:v>
      </x:c>
      <x:c r="J240" s="30"/>
      <x:c r="K240" s="24" t="str">
        <x:v>SW-C-391서7476-1-20260115-99</x:v>
      </x:c>
      <x:c r="L240" s="24" t="str">
        <x:v>자동점검</x:v>
      </x:c>
    </x:row>
    <x:row r="241" ht="17.25" customHeight="1">
      <x:c r="A241" s="24" t="str">
        <x:v>W-0240</x:v>
      </x:c>
      <x:c r="B241" s="24" t="str">
        <x:v>스위치플랜</x:v>
      </x:c>
      <x:c r="C241" s="24" t="str">
        <x:v>391서7476</x:v>
      </x:c>
      <x:c r="D241" s="24" t="str">
        <x:v>높음</x:v>
      </x:c>
      <x:c r="E241" s="24" t="str">
        <x:v>보험 연령 입력</x:v>
      </x:c>
      <x:c r="F241" s="24" t="str">
        <x:v>391서7476 보험 연령 입력</x:v>
      </x:c>
      <x:c r="G241" s="24" t="str"/>
      <x:c r="H241" s="30"/>
      <x:c r="I241" s="24" t="str">
        <x:v>대기</x:v>
      </x:c>
      <x:c r="J241" s="30"/>
      <x:c r="K241" s="24" t="str">
        <x:v>SW-C-391서7476-1-20260115-99</x:v>
      </x:c>
      <x:c r="L241" s="24" t="str">
        <x:v>자동점검</x:v>
      </x:c>
    </x:row>
    <x:row r="242" ht="17.25" customHeight="1">
      <x:c r="A242" s="24" t="str">
        <x:v>W-0241</x:v>
      </x:c>
      <x:c r="B242" s="24" t="str">
        <x:v>스위치플랜</x:v>
      </x:c>
      <x:c r="C242" s="24" t="str">
        <x:v>391서7476</x:v>
      </x:c>
      <x:c r="D242" s="24" t="str">
        <x:v>높음</x:v>
      </x:c>
      <x:c r="E242" s="24" t="str">
        <x:v>보험 갱신 확인</x:v>
      </x:c>
      <x:c r="F242" s="24" t="str">
        <x:v>391서7476 보험 갱신 확인</x:v>
      </x:c>
      <x:c r="G242" s="24" t="str"/>
      <x:c r="H242" s="30"/>
      <x:c r="I242" s="24" t="str">
        <x:v>대기</x:v>
      </x:c>
      <x:c r="J242" s="30"/>
      <x:c r="K242" s="24" t="str">
        <x:v>SW-C-391서7476-1-20260115-99</x:v>
      </x:c>
      <x:c r="L242" s="24" t="str">
        <x:v>자동점검</x:v>
      </x:c>
    </x:row>
    <x:row r="243" ht="17.25" customHeight="1">
      <x:c r="A243" s="24" t="str">
        <x:v>W-0242</x:v>
      </x:c>
      <x:c r="B243" s="24" t="str">
        <x:v>스위치플랜</x:v>
      </x:c>
      <x:c r="C243" s="24" t="str">
        <x:v>139우7166</x:v>
      </x:c>
      <x:c r="D243" s="24" t="str">
        <x:v>긴급</x:v>
      </x:c>
      <x:c r="E243" s="24" t="str">
        <x:v>회수 검토</x:v>
      </x:c>
      <x:c r="F243" s="24" t="str">
        <x:v>139우7166 회수 검토</x:v>
      </x:c>
      <x:c r="G243" s="24" t="str"/>
      <x:c r="H243" s="30"/>
      <x:c r="I243" s="24" t="str">
        <x:v>대기</x:v>
      </x:c>
      <x:c r="J243" s="30"/>
      <x:c r="K243" s="24" t="str">
        <x:v>SW-C-139우7166-1-20231127-100</x:v>
      </x:c>
      <x:c r="L243" s="24" t="str">
        <x:v>자동점검</x:v>
      </x:c>
    </x:row>
    <x:row r="244" ht="17.25" customHeight="1">
      <x:c r="A244" s="24" t="str">
        <x:v>W-0243</x:v>
      </x:c>
      <x:c r="B244" s="24" t="str">
        <x:v>스위치플랜</x:v>
      </x:c>
      <x:c r="C244" s="24" t="str">
        <x:v>139우7166</x:v>
      </x:c>
      <x:c r="D244" s="24" t="str">
        <x:v>높음</x:v>
      </x:c>
      <x:c r="E244" s="24" t="str">
        <x:v>보험 연령 입력</x:v>
      </x:c>
      <x:c r="F244" s="24" t="str">
        <x:v>139우7166 보험 연령 입력</x:v>
      </x:c>
      <x:c r="G244" s="24" t="str"/>
      <x:c r="H244" s="30"/>
      <x:c r="I244" s="24" t="str">
        <x:v>대기</x:v>
      </x:c>
      <x:c r="J244" s="30"/>
      <x:c r="K244" s="24" t="str">
        <x:v>SW-C-139우7166-1-20231127-100</x:v>
      </x:c>
      <x:c r="L244" s="24" t="str">
        <x:v>자동점검</x:v>
      </x:c>
    </x:row>
    <x:row r="245" ht="17.25" customHeight="1">
      <x:c r="A245" s="24" t="str">
        <x:v>W-0244</x:v>
      </x:c>
      <x:c r="B245" s="24" t="str">
        <x:v>스위치플랜</x:v>
      </x:c>
      <x:c r="C245" s="24" t="str">
        <x:v>139우7166</x:v>
      </x:c>
      <x:c r="D245" s="24" t="str">
        <x:v>높음</x:v>
      </x:c>
      <x:c r="E245" s="24" t="str">
        <x:v>보험 갱신 확인</x:v>
      </x:c>
      <x:c r="F245" s="24" t="str">
        <x:v>139우7166 보험 갱신 확인</x:v>
      </x:c>
      <x:c r="G245" s="24" t="str"/>
      <x:c r="H245" s="30"/>
      <x:c r="I245" s="24" t="str">
        <x:v>대기</x:v>
      </x:c>
      <x:c r="J245" s="30"/>
      <x:c r="K245" s="24" t="str">
        <x:v>SW-C-139우7166-1-20231127-100</x:v>
      </x:c>
      <x:c r="L245" s="24" t="str">
        <x:v>자동점검</x:v>
      </x:c>
    </x:row>
    <x:row r="246" ht="17.25" customHeight="1">
      <x:c r="A246" s="24" t="str">
        <x:v>W-0245</x:v>
      </x:c>
      <x:c r="B246" s="24" t="str">
        <x:v>스위치플랜</x:v>
      </x:c>
      <x:c r="C246" s="24" t="str">
        <x:v>41호8300</x:v>
      </x:c>
      <x:c r="D246" s="24" t="str">
        <x:v>높음</x:v>
      </x:c>
      <x:c r="E246" s="24" t="str">
        <x:v>계약서 연결</x:v>
      </x:c>
      <x:c r="F246" s="24" t="str">
        <x:v>41호8300 계약서 연결</x:v>
      </x:c>
      <x:c r="G246" s="24" t="str"/>
      <x:c r="H246" s="30"/>
      <x:c r="I246" s="24" t="str">
        <x:v>대기</x:v>
      </x:c>
      <x:c r="J246" s="30"/>
      <x:c r="K246" s="24" t="str">
        <x:v>SW-C-41호8300-1-NA-101</x:v>
      </x:c>
      <x:c r="L246" s="24" t="str">
        <x:v>자동점검</x:v>
      </x:c>
    </x:row>
    <x:row r="247" ht="17.25" customHeight="1">
      <x:c r="A247" s="24" t="str">
        <x:v>W-0246</x:v>
      </x:c>
      <x:c r="B247" s="24" t="str">
        <x:v>스위치플랜</x:v>
      </x:c>
      <x:c r="C247" s="24" t="str">
        <x:v>41호8300</x:v>
      </x:c>
      <x:c r="D247" s="24" t="str">
        <x:v>높음</x:v>
      </x:c>
      <x:c r="E247" s="24" t="str">
        <x:v>보험 연령 입력</x:v>
      </x:c>
      <x:c r="F247" s="24" t="str">
        <x:v>41호8300 보험 연령 입력</x:v>
      </x:c>
      <x:c r="G247" s="24" t="str"/>
      <x:c r="H247" s="30"/>
      <x:c r="I247" s="24" t="str">
        <x:v>대기</x:v>
      </x:c>
      <x:c r="J247" s="30"/>
      <x:c r="K247" s="24" t="str">
        <x:v>SW-C-41호8300-1-NA-101</x:v>
      </x:c>
      <x:c r="L247" s="24" t="str">
        <x:v>자동점검</x:v>
      </x:c>
    </x:row>
    <x:row r="248" ht="17.25" customHeight="1">
      <x:c r="A248" s="24" t="str">
        <x:v>W-0247</x:v>
      </x:c>
      <x:c r="B248" s="24" t="str">
        <x:v>스위치플랜</x:v>
      </x:c>
      <x:c r="C248" s="24" t="str">
        <x:v>41호8300</x:v>
      </x:c>
      <x:c r="D248" s="24" t="str">
        <x:v>높음</x:v>
      </x:c>
      <x:c r="E248" s="24" t="str">
        <x:v>보험 갱신 확인</x:v>
      </x:c>
      <x:c r="F248" s="24" t="str">
        <x:v>41호8300 보험 갱신 확인</x:v>
      </x:c>
      <x:c r="G248" s="24" t="str"/>
      <x:c r="H248" s="30"/>
      <x:c r="I248" s="24" t="str">
        <x:v>대기</x:v>
      </x:c>
      <x:c r="J248" s="30"/>
      <x:c r="K248" s="24" t="str">
        <x:v>SW-C-41호8300-1-NA-101</x:v>
      </x:c>
      <x:c r="L248" s="24" t="str">
        <x:v>자동점검</x:v>
      </x:c>
    </x:row>
    <x:row r="249" ht="17.25" customHeight="1">
      <x:c r="A249" s="24" t="str">
        <x:v>W-0248</x:v>
      </x:c>
      <x:c r="B249" s="24" t="str">
        <x:v>스위치플랜</x:v>
      </x:c>
      <x:c r="C249" s="24" t="str">
        <x:v>41호8302</x:v>
      </x:c>
      <x:c r="D249" s="24" t="str">
        <x:v>높음</x:v>
      </x:c>
      <x:c r="E249" s="24" t="str">
        <x:v>보험 연령 입력</x:v>
      </x:c>
      <x:c r="F249" s="24" t="str">
        <x:v>41호8302 보험 연령 입력</x:v>
      </x:c>
      <x:c r="G249" s="24" t="str"/>
      <x:c r="H249" s="30"/>
      <x:c r="I249" s="24" t="str">
        <x:v>대기</x:v>
      </x:c>
      <x:c r="J249" s="30"/>
      <x:c r="K249" s="24" t="str">
        <x:v>SW-C-41호8302-1-20260317-103</x:v>
      </x:c>
      <x:c r="L249" s="24" t="str">
        <x:v>자동점검</x:v>
      </x:c>
    </x:row>
    <x:row r="250" ht="17.25" customHeight="1">
      <x:c r="A250" s="24" t="str">
        <x:v>W-0249</x:v>
      </x:c>
      <x:c r="B250" s="24" t="str">
        <x:v>스위치플랜</x:v>
      </x:c>
      <x:c r="C250" s="24" t="str">
        <x:v>41호8302</x:v>
      </x:c>
      <x:c r="D250" s="24" t="str">
        <x:v>높음</x:v>
      </x:c>
      <x:c r="E250" s="24" t="str">
        <x:v>보험 갱신 확인</x:v>
      </x:c>
      <x:c r="F250" s="24" t="str">
        <x:v>41호8302 보험 갱신 확인</x:v>
      </x:c>
      <x:c r="G250" s="24" t="str"/>
      <x:c r="H250" s="30"/>
      <x:c r="I250" s="24" t="str">
        <x:v>대기</x:v>
      </x:c>
      <x:c r="J250" s="30"/>
      <x:c r="K250" s="24" t="str">
        <x:v>SW-C-41호8302-1-20260317-103</x:v>
      </x:c>
      <x:c r="L250" s="24" t="str">
        <x:v>자동점검</x:v>
      </x:c>
    </x:row>
    <x:row r="251" ht="17.25" customHeight="1">
      <x:c r="A251" s="24" t="str">
        <x:v>W-0250</x:v>
      </x:c>
      <x:c r="B251" s="24" t="str">
        <x:v>스위치플랜</x:v>
      </x:c>
      <x:c r="C251" s="24" t="str">
        <x:v>41호8303</x:v>
      </x:c>
      <x:c r="D251" s="24" t="str">
        <x:v>긴급</x:v>
      </x:c>
      <x:c r="E251" s="24" t="str">
        <x:v>미수 확인</x:v>
      </x:c>
      <x:c r="F251" s="24" t="str">
        <x:v>41호8303 미수 확인</x:v>
      </x:c>
      <x:c r="G251" s="24" t="str"/>
      <x:c r="H251" s="30"/>
      <x:c r="I251" s="24" t="str">
        <x:v>대기</x:v>
      </x:c>
      <x:c r="J251" s="30"/>
      <x:c r="K251" s="24" t="str">
        <x:v>SW-C-41호8303-1-20260226-104</x:v>
      </x:c>
      <x:c r="L251" s="24" t="str">
        <x:v>자동점검</x:v>
      </x:c>
    </x:row>
    <x:row r="252" ht="17.25" customHeight="1">
      <x:c r="A252" s="24" t="str">
        <x:v>W-0251</x:v>
      </x:c>
      <x:c r="B252" s="24" t="str">
        <x:v>스위치플랜</x:v>
      </x:c>
      <x:c r="C252" s="24" t="str">
        <x:v>41호8303</x:v>
      </x:c>
      <x:c r="D252" s="24" t="str">
        <x:v>높음</x:v>
      </x:c>
      <x:c r="E252" s="24" t="str">
        <x:v>보험 연령 입력</x:v>
      </x:c>
      <x:c r="F252" s="24" t="str">
        <x:v>41호8303 보험 연령 입력</x:v>
      </x:c>
      <x:c r="G252" s="24" t="str"/>
      <x:c r="H252" s="30"/>
      <x:c r="I252" s="24" t="str">
        <x:v>대기</x:v>
      </x:c>
      <x:c r="J252" s="30"/>
      <x:c r="K252" s="24" t="str">
        <x:v>SW-C-41호8303-1-20260226-104</x:v>
      </x:c>
      <x:c r="L252" s="24" t="str">
        <x:v>자동점검</x:v>
      </x:c>
    </x:row>
    <x:row r="253" ht="17.25" customHeight="1">
      <x:c r="A253" s="24" t="str">
        <x:v>W-0252</x:v>
      </x:c>
      <x:c r="B253" s="24" t="str">
        <x:v>스위치플랜</x:v>
      </x:c>
      <x:c r="C253" s="24" t="str">
        <x:v>41호8303</x:v>
      </x:c>
      <x:c r="D253" s="24" t="str">
        <x:v>높음</x:v>
      </x:c>
      <x:c r="E253" s="24" t="str">
        <x:v>보험 갱신 확인</x:v>
      </x:c>
      <x:c r="F253" s="24" t="str">
        <x:v>41호8303 보험 갱신 확인</x:v>
      </x:c>
      <x:c r="G253" s="24" t="str"/>
      <x:c r="H253" s="30"/>
      <x:c r="I253" s="24" t="str">
        <x:v>대기</x:v>
      </x:c>
      <x:c r="J253" s="30"/>
      <x:c r="K253" s="24" t="str">
        <x:v>SW-C-41호8303-1-20260226-104</x:v>
      </x:c>
      <x:c r="L253" s="24" t="str">
        <x:v>자동점검</x:v>
      </x:c>
    </x:row>
    <x:row r="254" ht="17.25" customHeight="1">
      <x:c r="A254" s="24" t="str">
        <x:v>W-0253</x:v>
      </x:c>
      <x:c r="B254" s="24" t="str">
        <x:v>스위치플랜</x:v>
      </x:c>
      <x:c r="C254" s="24" t="str">
        <x:v>41호8307</x:v>
      </x:c>
      <x:c r="D254" s="24" t="str">
        <x:v>긴급</x:v>
      </x:c>
      <x:c r="E254" s="24" t="str">
        <x:v>미수 확인</x:v>
      </x:c>
      <x:c r="F254" s="24" t="str">
        <x:v>41호8307 미수 확인</x:v>
      </x:c>
      <x:c r="G254" s="24" t="str"/>
      <x:c r="H254" s="30"/>
      <x:c r="I254" s="24" t="str">
        <x:v>대기</x:v>
      </x:c>
      <x:c r="J254" s="30"/>
      <x:c r="K254" s="24" t="str">
        <x:v>SW-C-41호8307-1-20260310-107</x:v>
      </x:c>
      <x:c r="L254" s="24" t="str">
        <x:v>자동점검</x:v>
      </x:c>
    </x:row>
    <x:row r="255" ht="17.25" customHeight="1">
      <x:c r="A255" s="24" t="str">
        <x:v>W-0254</x:v>
      </x:c>
      <x:c r="B255" s="24" t="str">
        <x:v>스위치플랜</x:v>
      </x:c>
      <x:c r="C255" s="24" t="str">
        <x:v>41호8307</x:v>
      </x:c>
      <x:c r="D255" s="24" t="str">
        <x:v>높음</x:v>
      </x:c>
      <x:c r="E255" s="24" t="str">
        <x:v>보험 연령 입력</x:v>
      </x:c>
      <x:c r="F255" s="24" t="str">
        <x:v>41호8307 보험 연령 입력</x:v>
      </x:c>
      <x:c r="G255" s="24" t="str"/>
      <x:c r="H255" s="30"/>
      <x:c r="I255" s="24" t="str">
        <x:v>대기</x:v>
      </x:c>
      <x:c r="J255" s="30"/>
      <x:c r="K255" s="24" t="str">
        <x:v>SW-C-41호8307-1-20260310-107</x:v>
      </x:c>
      <x:c r="L255" s="24" t="str">
        <x:v>자동점검</x:v>
      </x:c>
    </x:row>
    <x:row r="256" ht="17.25" customHeight="1">
      <x:c r="A256" s="24" t="str">
        <x:v>W-0255</x:v>
      </x:c>
      <x:c r="B256" s="24" t="str">
        <x:v>스위치플랜</x:v>
      </x:c>
      <x:c r="C256" s="24" t="str">
        <x:v>41호8307</x:v>
      </x:c>
      <x:c r="D256" s="24" t="str">
        <x:v>높음</x:v>
      </x:c>
      <x:c r="E256" s="24" t="str">
        <x:v>보험 갱신 확인</x:v>
      </x:c>
      <x:c r="F256" s="24" t="str">
        <x:v>41호8307 보험 갱신 확인</x:v>
      </x:c>
      <x:c r="G256" s="24" t="str"/>
      <x:c r="H256" s="30"/>
      <x:c r="I256" s="24" t="str">
        <x:v>대기</x:v>
      </x:c>
      <x:c r="J256" s="30"/>
      <x:c r="K256" s="24" t="str">
        <x:v>SW-C-41호8307-1-20260310-107</x:v>
      </x:c>
      <x:c r="L256" s="24" t="str">
        <x:v>자동점검</x:v>
      </x:c>
    </x:row>
    <x:row r="257" ht="17.25" customHeight="1">
      <x:c r="A257" s="24" t="str">
        <x:v>W-0256</x:v>
      </x:c>
      <x:c r="B257" s="24" t="str">
        <x:v>스위치플랜</x:v>
      </x:c>
      <x:c r="C257" s="24" t="str">
        <x:v>17하3915</x:v>
      </x:c>
      <x:c r="D257" s="24" t="str">
        <x:v>긴급</x:v>
      </x:c>
      <x:c r="E257" s="24" t="str">
        <x:v>미수 확인</x:v>
      </x:c>
      <x:c r="F257" s="24" t="str">
        <x:v>17하3915 미수 확인</x:v>
      </x:c>
      <x:c r="G257" s="24" t="str"/>
      <x:c r="H257" s="30"/>
      <x:c r="I257" s="24" t="str">
        <x:v>대기</x:v>
      </x:c>
      <x:c r="J257" s="30"/>
      <x:c r="K257" s="24" t="str">
        <x:v>SW-C-17하3915-1-20260415-108</x:v>
      </x:c>
      <x:c r="L257" s="24" t="str">
        <x:v>자동점검</x:v>
      </x:c>
    </x:row>
    <x:row r="258" ht="17.25" customHeight="1">
      <x:c r="A258" s="24" t="str">
        <x:v>W-0257</x:v>
      </x:c>
      <x:c r="B258" s="24" t="str">
        <x:v>스위치플랜</x:v>
      </x:c>
      <x:c r="C258" s="24" t="str">
        <x:v>17하3915</x:v>
      </x:c>
      <x:c r="D258" s="24" t="str">
        <x:v>높음</x:v>
      </x:c>
      <x:c r="E258" s="24" t="str">
        <x:v>보험 연령 입력</x:v>
      </x:c>
      <x:c r="F258" s="24" t="str">
        <x:v>17하3915 보험 연령 입력</x:v>
      </x:c>
      <x:c r="G258" s="24" t="str"/>
      <x:c r="H258" s="30"/>
      <x:c r="I258" s="24" t="str">
        <x:v>대기</x:v>
      </x:c>
      <x:c r="J258" s="30"/>
      <x:c r="K258" s="24" t="str">
        <x:v>SW-C-17하3915-1-20260415-108</x:v>
      </x:c>
      <x:c r="L258" s="24" t="str">
        <x:v>자동점검</x:v>
      </x:c>
    </x:row>
    <x:row r="259" ht="17.25" customHeight="1">
      <x:c r="A259" s="24" t="str">
        <x:v>W-0258</x:v>
      </x:c>
      <x:c r="B259" s="24" t="str">
        <x:v>스위치플랜</x:v>
      </x:c>
      <x:c r="C259" s="24" t="str">
        <x:v>17하3915</x:v>
      </x:c>
      <x:c r="D259" s="24" t="str">
        <x:v>높음</x:v>
      </x:c>
      <x:c r="E259" s="24" t="str">
        <x:v>보험 갱신 확인</x:v>
      </x:c>
      <x:c r="F259" s="24" t="str">
        <x:v>17하3915 보험 갱신 확인</x:v>
      </x:c>
      <x:c r="G259" s="24" t="str"/>
      <x:c r="H259" s="30"/>
      <x:c r="I259" s="24" t="str">
        <x:v>대기</x:v>
      </x:c>
      <x:c r="J259" s="30"/>
      <x:c r="K259" s="24" t="str">
        <x:v>SW-C-17하3915-1-20260415-108</x:v>
      </x:c>
      <x:c r="L259" s="24" t="str">
        <x:v>자동점검</x:v>
      </x:c>
    </x:row>
    <x:row r="260" ht="17.25" customHeight="1">
      <x:c r="A260" s="24" t="str">
        <x:v>W-0259</x:v>
      </x:c>
      <x:c r="B260" s="24" t="str">
        <x:v>스위치플랜</x:v>
      </x:c>
      <x:c r="C260" s="24" t="str">
        <x:v>17하3922</x:v>
      </x:c>
      <x:c r="D260" s="24" t="str">
        <x:v>긴급</x:v>
      </x:c>
      <x:c r="E260" s="24" t="str">
        <x:v>회수 검토</x:v>
      </x:c>
      <x:c r="F260" s="24" t="str">
        <x:v>17하3922 회수 검토</x:v>
      </x:c>
      <x:c r="G260" s="24" t="str"/>
      <x:c r="H260" s="30"/>
      <x:c r="I260" s="24" t="str">
        <x:v>대기</x:v>
      </x:c>
      <x:c r="J260" s="30"/>
      <x:c r="K260" s="24" t="str">
        <x:v>SW-C-17하3922-1-20260227-109</x:v>
      </x:c>
      <x:c r="L260" s="24" t="str">
        <x:v>자동점검</x:v>
      </x:c>
    </x:row>
    <x:row r="261" ht="17.25" customHeight="1">
      <x:c r="A261" s="24" t="str">
        <x:v>W-0260</x:v>
      </x:c>
      <x:c r="B261" s="24" t="str">
        <x:v>스위치플랜</x:v>
      </x:c>
      <x:c r="C261" s="24" t="str">
        <x:v>17하3922</x:v>
      </x:c>
      <x:c r="D261" s="24" t="str">
        <x:v>높음</x:v>
      </x:c>
      <x:c r="E261" s="24" t="str">
        <x:v>보험 연령 입력</x:v>
      </x:c>
      <x:c r="F261" s="24" t="str">
        <x:v>17하3922 보험 연령 입력</x:v>
      </x:c>
      <x:c r="G261" s="24" t="str"/>
      <x:c r="H261" s="30"/>
      <x:c r="I261" s="24" t="str">
        <x:v>대기</x:v>
      </x:c>
      <x:c r="J261" s="30"/>
      <x:c r="K261" s="24" t="str">
        <x:v>SW-C-17하3922-1-20260227-109</x:v>
      </x:c>
      <x:c r="L261" s="24" t="str">
        <x:v>자동점검</x:v>
      </x:c>
    </x:row>
    <x:row r="262" ht="17.25" customHeight="1">
      <x:c r="A262" s="24" t="str">
        <x:v>W-0261</x:v>
      </x:c>
      <x:c r="B262" s="24" t="str">
        <x:v>스위치플랜</x:v>
      </x:c>
      <x:c r="C262" s="24" t="str">
        <x:v>17하3922</x:v>
      </x:c>
      <x:c r="D262" s="24" t="str">
        <x:v>높음</x:v>
      </x:c>
      <x:c r="E262" s="24" t="str">
        <x:v>보험 갱신 확인</x:v>
      </x:c>
      <x:c r="F262" s="24" t="str">
        <x:v>17하3922 보험 갱신 확인</x:v>
      </x:c>
      <x:c r="G262" s="24" t="str"/>
      <x:c r="H262" s="30"/>
      <x:c r="I262" s="24" t="str">
        <x:v>대기</x:v>
      </x:c>
      <x:c r="J262" s="30"/>
      <x:c r="K262" s="24" t="str">
        <x:v>SW-C-17하3922-1-20260227-109</x:v>
      </x:c>
      <x:c r="L262" s="24" t="str">
        <x:v>자동점검</x:v>
      </x:c>
    </x:row>
    <x:row r="263" ht="17.25" customHeight="1">
      <x:c r="A263" s="24" t="str">
        <x:v>W-0262</x:v>
      </x:c>
      <x:c r="B263" s="24" t="str">
        <x:v>스위치플랜</x:v>
      </x:c>
      <x:c r="C263" s="24" t="str">
        <x:v>75두7416</x:v>
      </x:c>
      <x:c r="D263" s="24" t="str">
        <x:v>긴급</x:v>
      </x:c>
      <x:c r="E263" s="24" t="str">
        <x:v>회수 검토</x:v>
      </x:c>
      <x:c r="F263" s="24" t="str">
        <x:v>75두7416 회수 검토</x:v>
      </x:c>
      <x:c r="G263" s="24" t="str"/>
      <x:c r="H263" s="30"/>
      <x:c r="I263" s="24" t="str">
        <x:v>대기</x:v>
      </x:c>
      <x:c r="J263" s="30"/>
      <x:c r="K263" s="24" t="str">
        <x:v>SW-C-75두7416-1-26-110</x:v>
      </x:c>
      <x:c r="L263" s="24" t="str">
        <x:v>자동점검</x:v>
      </x:c>
    </x:row>
    <x:row r="264" ht="17.25" customHeight="1">
      <x:c r="A264" s="24" t="str">
        <x:v>W-0263</x:v>
      </x:c>
      <x:c r="B264" s="24" t="str">
        <x:v>스위치플랜</x:v>
      </x:c>
      <x:c r="C264" s="24" t="str">
        <x:v>75두7416</x:v>
      </x:c>
      <x:c r="D264" s="24" t="str">
        <x:v>높음</x:v>
      </x:c>
      <x:c r="E264" s="24" t="str">
        <x:v>보험 연령 입력</x:v>
      </x:c>
      <x:c r="F264" s="24" t="str">
        <x:v>75두7416 보험 연령 입력</x:v>
      </x:c>
      <x:c r="G264" s="24" t="str"/>
      <x:c r="H264" s="30"/>
      <x:c r="I264" s="24" t="str">
        <x:v>대기</x:v>
      </x:c>
      <x:c r="J264" s="30"/>
      <x:c r="K264" s="24" t="str">
        <x:v>SW-C-75두7416-1-26-110</x:v>
      </x:c>
      <x:c r="L264" s="24" t="str">
        <x:v>자동점검</x:v>
      </x:c>
    </x:row>
    <x:row r="265" ht="17.25" customHeight="1">
      <x:c r="A265" s="24" t="str">
        <x:v>W-0264</x:v>
      </x:c>
      <x:c r="B265" s="24" t="str">
        <x:v>스위치플랜</x:v>
      </x:c>
      <x:c r="C265" s="24" t="str">
        <x:v>75두7416</x:v>
      </x:c>
      <x:c r="D265" s="24" t="str">
        <x:v>높음</x:v>
      </x:c>
      <x:c r="E265" s="24" t="str">
        <x:v>보험 갱신 확인</x:v>
      </x:c>
      <x:c r="F265" s="24" t="str">
        <x:v>75두7416 보험 갱신 확인</x:v>
      </x:c>
      <x:c r="G265" s="24" t="str"/>
      <x:c r="H265" s="30"/>
      <x:c r="I265" s="24" t="str">
        <x:v>대기</x:v>
      </x:c>
      <x:c r="J265" s="30"/>
      <x:c r="K265" s="24" t="str">
        <x:v>SW-C-75두7416-1-26-110</x:v>
      </x:c>
      <x:c r="L265" s="24" t="str">
        <x:v>자동점검</x:v>
      </x:c>
    </x:row>
    <x:row r="266" ht="17.25" customHeight="1">
      <x:c r="A266" s="24" t="str">
        <x:v>W-0265</x:v>
      </x:c>
      <x:c r="B266" s="24" t="str">
        <x:v>스위치플랜</x:v>
      </x:c>
      <x:c r="C266" s="24" t="str">
        <x:v>161허1751</x:v>
      </x:c>
      <x:c r="D266" s="24" t="str">
        <x:v>높음</x:v>
      </x:c>
      <x:c r="E266" s="24" t="str">
        <x:v>계약서 연결</x:v>
      </x:c>
      <x:c r="F266" s="24" t="str">
        <x:v>161허1751 계약서 연결</x:v>
      </x:c>
      <x:c r="G266" s="24" t="str"/>
      <x:c r="H266" s="30"/>
      <x:c r="I266" s="24" t="str">
        <x:v>대기</x:v>
      </x:c>
      <x:c r="J266" s="30"/>
      <x:c r="K266" s="24" t="str">
        <x:v>SW-C-161허1751-1-NA-111</x:v>
      </x:c>
      <x:c r="L266" s="24" t="str">
        <x:v>자동점검</x:v>
      </x:c>
    </x:row>
    <x:row r="267" ht="17.25" customHeight="1">
      <x:c r="A267" s="24" t="str">
        <x:v>W-0266</x:v>
      </x:c>
      <x:c r="B267" s="24" t="str">
        <x:v>스위치플랜</x:v>
      </x:c>
      <x:c r="C267" s="24" t="str">
        <x:v>161허1751</x:v>
      </x:c>
      <x:c r="D267" s="24" t="str">
        <x:v>높음</x:v>
      </x:c>
      <x:c r="E267" s="24" t="str">
        <x:v>보험 연령 입력</x:v>
      </x:c>
      <x:c r="F267" s="24" t="str">
        <x:v>161허1751 보험 연령 입력</x:v>
      </x:c>
      <x:c r="G267" s="24" t="str"/>
      <x:c r="H267" s="30"/>
      <x:c r="I267" s="24" t="str">
        <x:v>대기</x:v>
      </x:c>
      <x:c r="J267" s="30"/>
      <x:c r="K267" s="24" t="str">
        <x:v>SW-C-161허1751-1-NA-111</x:v>
      </x:c>
      <x:c r="L267" s="24" t="str">
        <x:v>자동점검</x:v>
      </x:c>
    </x:row>
    <x:row r="268" ht="17.25" customHeight="1">
      <x:c r="A268" s="24" t="str">
        <x:v>W-0267</x:v>
      </x:c>
      <x:c r="B268" s="24" t="str">
        <x:v>스위치플랜</x:v>
      </x:c>
      <x:c r="C268" s="24" t="str">
        <x:v>161허1751</x:v>
      </x:c>
      <x:c r="D268" s="24" t="str">
        <x:v>높음</x:v>
      </x:c>
      <x:c r="E268" s="24" t="str">
        <x:v>보험 갱신 확인</x:v>
      </x:c>
      <x:c r="F268" s="24" t="str">
        <x:v>161허1751 보험 갱신 확인</x:v>
      </x:c>
      <x:c r="G268" s="24" t="str"/>
      <x:c r="H268" s="30"/>
      <x:c r="I268" s="24" t="str">
        <x:v>대기</x:v>
      </x:c>
      <x:c r="J268" s="30"/>
      <x:c r="K268" s="24" t="str">
        <x:v>SW-C-161허1751-1-NA-111</x:v>
      </x:c>
      <x:c r="L268" s="24" t="str">
        <x:v>자동점검</x:v>
      </x:c>
    </x:row>
    <x:row r="269" ht="17.25" customHeight="1">
      <x:c r="A269" s="24" t="str">
        <x:v>W-0268</x:v>
      </x:c>
      <x:c r="B269" s="24" t="str">
        <x:v>스위치플랜</x:v>
      </x:c>
      <x:c r="C269" s="24" t="str">
        <x:v>252나8761</x:v>
      </x:c>
      <x:c r="D269" s="24" t="str">
        <x:v>보통</x:v>
      </x:c>
      <x:c r="E269" s="24" t="str">
        <x:v>상태 시작일 입력</x:v>
      </x:c>
      <x:c r="F269" s="24" t="str">
        <x:v>252나8761 상태 시작일 입력</x:v>
      </x:c>
      <x:c r="G269" s="24" t="str"/>
      <x:c r="H269" s="30"/>
      <x:c r="I269" s="24" t="str">
        <x:v>대기</x:v>
      </x:c>
      <x:c r="J269" s="30"/>
      <x:c r="K269" s="24" t="str"/>
      <x:c r="L269" s="24" t="str">
        <x:v>자동점검</x:v>
      </x:c>
    </x:row>
    <x:row r="270" ht="17.25" customHeight="1">
      <x:c r="A270" s="24" t="str">
        <x:v>W-0269</x:v>
      </x:c>
      <x:c r="B270" s="24" t="str">
        <x:v>프라임구독</x:v>
      </x:c>
      <x:c r="C270" s="24" t="str">
        <x:v>01도2340</x:v>
      </x:c>
      <x:c r="D270" s="24" t="str">
        <x:v>긴급</x:v>
      </x:c>
      <x:c r="E270" s="24" t="str">
        <x:v>미수 확인</x:v>
      </x:c>
      <x:c r="F270" s="24" t="str">
        <x:v>01도2340 미수 확인</x:v>
      </x:c>
      <x:c r="G270" s="24" t="str"/>
      <x:c r="H270" s="30"/>
      <x:c r="I270" s="24" t="str">
        <x:v>대기</x:v>
      </x:c>
      <x:c r="J270" s="30"/>
      <x:c r="K270" s="24" t="str">
        <x:v>PR-C-01도2340-1-20230105-3</x:v>
      </x:c>
      <x:c r="L270" s="24" t="str">
        <x:v>자동점검</x:v>
      </x:c>
    </x:row>
    <x:row r="271" ht="17.25" customHeight="1">
      <x:c r="A271" s="24" t="str">
        <x:v>W-0270</x:v>
      </x:c>
      <x:c r="B271" s="24" t="str">
        <x:v>프라임구독</x:v>
      </x:c>
      <x:c r="C271" s="24" t="str">
        <x:v>01도2340</x:v>
      </x:c>
      <x:c r="D271" s="24" t="str">
        <x:v>높음</x:v>
      </x:c>
      <x:c r="E271" s="24" t="str">
        <x:v>보험 연령 입력</x:v>
      </x:c>
      <x:c r="F271" s="24" t="str">
        <x:v>01도2340 보험 연령 입력</x:v>
      </x:c>
      <x:c r="G271" s="24" t="str"/>
      <x:c r="H271" s="30"/>
      <x:c r="I271" s="24" t="str">
        <x:v>대기</x:v>
      </x:c>
      <x:c r="J271" s="30"/>
      <x:c r="K271" s="24" t="str">
        <x:v>PR-C-01도2340-1-20230105-3</x:v>
      </x:c>
      <x:c r="L271" s="24" t="str">
        <x:v>자동점검</x:v>
      </x:c>
    </x:row>
    <x:row r="272" ht="17.25" customHeight="1">
      <x:c r="A272" s="24" t="str">
        <x:v>W-0271</x:v>
      </x:c>
      <x:c r="B272" s="24" t="str">
        <x:v>프라임구독</x:v>
      </x:c>
      <x:c r="C272" s="24" t="str">
        <x:v>01도2340</x:v>
      </x:c>
      <x:c r="D272" s="24" t="str">
        <x:v>높음</x:v>
      </x:c>
      <x:c r="E272" s="24" t="str">
        <x:v>보험 갱신 확인</x:v>
      </x:c>
      <x:c r="F272" s="24" t="str">
        <x:v>01도2340 보험 갱신 확인</x:v>
      </x:c>
      <x:c r="G272" s="24" t="str"/>
      <x:c r="H272" s="30"/>
      <x:c r="I272" s="24" t="str">
        <x:v>대기</x:v>
      </x:c>
      <x:c r="J272" s="30"/>
      <x:c r="K272" s="24" t="str">
        <x:v>PR-C-01도2340-1-20230105-3</x:v>
      </x:c>
      <x:c r="L272" s="24" t="str">
        <x:v>자동점검</x:v>
      </x:c>
    </x:row>
    <x:row r="273" ht="17.25" customHeight="1">
      <x:c r="A273" s="24" t="str">
        <x:v>W-0272</x:v>
      </x:c>
      <x:c r="B273" s="24" t="str">
        <x:v>프라임구독</x:v>
      </x:c>
      <x:c r="C273" s="24" t="str">
        <x:v>01도2340</x:v>
      </x:c>
      <x:c r="D273" s="24" t="str">
        <x:v>보통</x:v>
      </x:c>
      <x:c r="E273" s="24" t="str">
        <x:v>현재 보유 확인</x:v>
      </x:c>
      <x:c r="F273" s="24" t="str">
        <x:v>01도2340 현재 보유 확인</x:v>
      </x:c>
      <x:c r="G273" s="24" t="str"/>
      <x:c r="H273" s="30"/>
      <x:c r="I273" s="24" t="str">
        <x:v>대기</x:v>
      </x:c>
      <x:c r="J273" s="30"/>
      <x:c r="K273" s="24" t="str">
        <x:v>PR-C-01도2340-1-20230105-3</x:v>
      </x:c>
      <x:c r="L273" s="24" t="str">
        <x:v>자동점검</x:v>
      </x:c>
    </x:row>
    <x:row r="274" ht="17.25" customHeight="1">
      <x:c r="A274" s="24" t="str">
        <x:v>W-0273</x:v>
      </x:c>
      <x:c r="B274" s="24" t="str">
        <x:v>프라임구독</x:v>
      </x:c>
      <x:c r="C274" s="24" t="str">
        <x:v>01두1601</x:v>
      </x:c>
      <x:c r="D274" s="24" t="str">
        <x:v>보통</x:v>
      </x:c>
      <x:c r="E274" s="24" t="str">
        <x:v>상태 시작일 입력</x:v>
      </x:c>
      <x:c r="F274" s="24" t="str">
        <x:v>01두1601 상태 시작일 입력</x:v>
      </x:c>
      <x:c r="G274" s="24" t="str"/>
      <x:c r="H274" s="30"/>
      <x:c r="I274" s="24" t="str">
        <x:v>대기</x:v>
      </x:c>
      <x:c r="J274" s="30"/>
      <x:c r="K274" s="24" t="str"/>
      <x:c r="L274" s="24" t="str">
        <x:v>자동점검</x:v>
      </x:c>
    </x:row>
    <x:row r="275" ht="17.25" customHeight="1">
      <x:c r="A275" s="24" t="str">
        <x:v>W-0274</x:v>
      </x:c>
      <x:c r="B275" s="24" t="str">
        <x:v>프라임구독</x:v>
      </x:c>
      <x:c r="C275" s="24" t="str">
        <x:v>01두1601</x:v>
      </x:c>
      <x:c r="D275" s="24" t="str">
        <x:v>보통</x:v>
      </x:c>
      <x:c r="E275" s="24" t="str">
        <x:v>현재 보유 확인</x:v>
      </x:c>
      <x:c r="F275" s="24" t="str">
        <x:v>01두1601 현재 보유 확인</x:v>
      </x:c>
      <x:c r="G275" s="24" t="str"/>
      <x:c r="H275" s="30"/>
      <x:c r="I275" s="24" t="str">
        <x:v>대기</x:v>
      </x:c>
      <x:c r="J275" s="30"/>
      <x:c r="K275" s="24" t="str"/>
      <x:c r="L275" s="24" t="str">
        <x:v>자동점검</x:v>
      </x:c>
    </x:row>
    <x:row r="276" ht="17.25" customHeight="1">
      <x:c r="A276" s="24" t="str">
        <x:v>W-0275</x:v>
      </x:c>
      <x:c r="B276" s="24" t="str">
        <x:v>프라임구독</x:v>
      </x:c>
      <x:c r="C276" s="24" t="str">
        <x:v>01무1615</x:v>
      </x:c>
      <x:c r="D276" s="24" t="str">
        <x:v>보통</x:v>
      </x:c>
      <x:c r="E276" s="24" t="str">
        <x:v>상태 시작일 입력</x:v>
      </x:c>
      <x:c r="F276" s="24" t="str">
        <x:v>01무1615 상태 시작일 입력</x:v>
      </x:c>
      <x:c r="G276" s="24" t="str"/>
      <x:c r="H276" s="30"/>
      <x:c r="I276" s="24" t="str">
        <x:v>대기</x:v>
      </x:c>
      <x:c r="J276" s="30"/>
      <x:c r="K276" s="24" t="str"/>
      <x:c r="L276" s="24" t="str">
        <x:v>자동점검</x:v>
      </x:c>
    </x:row>
    <x:row r="277" ht="17.25" customHeight="1">
      <x:c r="A277" s="24" t="str">
        <x:v>W-0276</x:v>
      </x:c>
      <x:c r="B277" s="24" t="str">
        <x:v>프라임구독</x:v>
      </x:c>
      <x:c r="C277" s="24" t="str">
        <x:v>01무1615</x:v>
      </x:c>
      <x:c r="D277" s="24" t="str">
        <x:v>보통</x:v>
      </x:c>
      <x:c r="E277" s="24" t="str">
        <x:v>현재 보유 확인</x:v>
      </x:c>
      <x:c r="F277" s="24" t="str">
        <x:v>01무1615 현재 보유 확인</x:v>
      </x:c>
      <x:c r="G277" s="24" t="str"/>
      <x:c r="H277" s="30"/>
      <x:c r="I277" s="24" t="str">
        <x:v>대기</x:v>
      </x:c>
      <x:c r="J277" s="30"/>
      <x:c r="K277" s="24" t="str"/>
      <x:c r="L277" s="24" t="str">
        <x:v>자동점검</x:v>
      </x:c>
    </x:row>
    <x:row r="278" ht="17.25" customHeight="1">
      <x:c r="A278" s="24" t="str">
        <x:v>W-0277</x:v>
      </x:c>
      <x:c r="B278" s="24" t="str">
        <x:v>프라임구독</x:v>
      </x:c>
      <x:c r="C278" s="24" t="str">
        <x:v>01부3634</x:v>
      </x:c>
      <x:c r="D278" s="24" t="str">
        <x:v>긴급</x:v>
      </x:c>
      <x:c r="E278" s="24" t="str">
        <x:v>회수 검토</x:v>
      </x:c>
      <x:c r="F278" s="24" t="str">
        <x:v>01부3634 회수 검토</x:v>
      </x:c>
      <x:c r="G278" s="24" t="str"/>
      <x:c r="H278" s="30"/>
      <x:c r="I278" s="24" t="str">
        <x:v>대기</x:v>
      </x:c>
      <x:c r="J278" s="30"/>
      <x:c r="K278" s="24" t="str">
        <x:v>PR-C-01부3634-1-20230821-6</x:v>
      </x:c>
      <x:c r="L278" s="24" t="str">
        <x:v>자동점검</x:v>
      </x:c>
    </x:row>
    <x:row r="279" ht="17.25" customHeight="1">
      <x:c r="A279" s="24" t="str">
        <x:v>W-0278</x:v>
      </x:c>
      <x:c r="B279" s="24" t="str">
        <x:v>프라임구독</x:v>
      </x:c>
      <x:c r="C279" s="24" t="str">
        <x:v>01부3634</x:v>
      </x:c>
      <x:c r="D279" s="24" t="str">
        <x:v>높음</x:v>
      </x:c>
      <x:c r="E279" s="24" t="str">
        <x:v>보험 연령 입력</x:v>
      </x:c>
      <x:c r="F279" s="24" t="str">
        <x:v>01부3634 보험 연령 입력</x:v>
      </x:c>
      <x:c r="G279" s="24" t="str"/>
      <x:c r="H279" s="30"/>
      <x:c r="I279" s="24" t="str">
        <x:v>대기</x:v>
      </x:c>
      <x:c r="J279" s="30"/>
      <x:c r="K279" s="24" t="str">
        <x:v>PR-C-01부3634-1-20230821-6</x:v>
      </x:c>
      <x:c r="L279" s="24" t="str">
        <x:v>자동점검</x:v>
      </x:c>
    </x:row>
    <x:row r="280" ht="17.25" customHeight="1">
      <x:c r="A280" s="24" t="str">
        <x:v>W-0279</x:v>
      </x:c>
      <x:c r="B280" s="24" t="str">
        <x:v>프라임구독</x:v>
      </x:c>
      <x:c r="C280" s="24" t="str">
        <x:v>01부3634</x:v>
      </x:c>
      <x:c r="D280" s="24" t="str">
        <x:v>높음</x:v>
      </x:c>
      <x:c r="E280" s="24" t="str">
        <x:v>보험 갱신 확인</x:v>
      </x:c>
      <x:c r="F280" s="24" t="str">
        <x:v>01부3634 보험 갱신 확인</x:v>
      </x:c>
      <x:c r="G280" s="24" t="str"/>
      <x:c r="H280" s="30"/>
      <x:c r="I280" s="24" t="str">
        <x:v>대기</x:v>
      </x:c>
      <x:c r="J280" s="30"/>
      <x:c r="K280" s="24" t="str">
        <x:v>PR-C-01부3634-1-20230821-6</x:v>
      </x:c>
      <x:c r="L280" s="24" t="str">
        <x:v>자동점검</x:v>
      </x:c>
    </x:row>
    <x:row r="281" ht="17.25" customHeight="1">
      <x:c r="A281" s="24" t="str">
        <x:v>W-0280</x:v>
      </x:c>
      <x:c r="B281" s="24" t="str">
        <x:v>프라임구독</x:v>
      </x:c>
      <x:c r="C281" s="24" t="str">
        <x:v>01부3634</x:v>
      </x:c>
      <x:c r="D281" s="24" t="str">
        <x:v>보통</x:v>
      </x:c>
      <x:c r="E281" s="24" t="str">
        <x:v>현재 보유 확인</x:v>
      </x:c>
      <x:c r="F281" s="24" t="str">
        <x:v>01부3634 현재 보유 확인</x:v>
      </x:c>
      <x:c r="G281" s="24" t="str"/>
      <x:c r="H281" s="30"/>
      <x:c r="I281" s="24" t="str">
        <x:v>대기</x:v>
      </x:c>
      <x:c r="J281" s="30"/>
      <x:c r="K281" s="24" t="str">
        <x:v>PR-C-01부3634-1-20230821-6</x:v>
      </x:c>
      <x:c r="L281" s="24" t="str">
        <x:v>자동점검</x:v>
      </x:c>
    </x:row>
    <x:row r="282" ht="17.25" customHeight="1">
      <x:c r="A282" s="24" t="str">
        <x:v>W-0281</x:v>
      </x:c>
      <x:c r="B282" s="24" t="str">
        <x:v>프라임구독</x:v>
      </x:c>
      <x:c r="C282" s="24" t="str">
        <x:v>02노0857</x:v>
      </x:c>
      <x:c r="D282" s="24" t="str">
        <x:v>긴급</x:v>
      </x:c>
      <x:c r="E282" s="24" t="str">
        <x:v>미수 확인</x:v>
      </x:c>
      <x:c r="F282" s="24" t="str">
        <x:v>02노0857 미수 확인</x:v>
      </x:c>
      <x:c r="G282" s="24" t="str"/>
      <x:c r="H282" s="30"/>
      <x:c r="I282" s="24" t="str">
        <x:v>대기</x:v>
      </x:c>
      <x:c r="J282" s="30"/>
      <x:c r="K282" s="24" t="str">
        <x:v>PR-C-02노0857-1-20230308-7</x:v>
      </x:c>
      <x:c r="L282" s="24" t="str">
        <x:v>자동점검</x:v>
      </x:c>
    </x:row>
    <x:row r="283" ht="17.25" customHeight="1">
      <x:c r="A283" s="24" t="str">
        <x:v>W-0282</x:v>
      </x:c>
      <x:c r="B283" s="24" t="str">
        <x:v>프라임구독</x:v>
      </x:c>
      <x:c r="C283" s="24" t="str">
        <x:v>02노0857</x:v>
      </x:c>
      <x:c r="D283" s="24" t="str">
        <x:v>높음</x:v>
      </x:c>
      <x:c r="E283" s="24" t="str">
        <x:v>보험 연령 입력</x:v>
      </x:c>
      <x:c r="F283" s="24" t="str">
        <x:v>02노0857 보험 연령 입력</x:v>
      </x:c>
      <x:c r="G283" s="24" t="str"/>
      <x:c r="H283" s="30"/>
      <x:c r="I283" s="24" t="str">
        <x:v>대기</x:v>
      </x:c>
      <x:c r="J283" s="30"/>
      <x:c r="K283" s="24" t="str">
        <x:v>PR-C-02노0857-1-20230308-7</x:v>
      </x:c>
      <x:c r="L283" s="24" t="str">
        <x:v>자동점검</x:v>
      </x:c>
    </x:row>
    <x:row r="284" ht="17.25" customHeight="1">
      <x:c r="A284" s="24" t="str">
        <x:v>W-0283</x:v>
      </x:c>
      <x:c r="B284" s="24" t="str">
        <x:v>프라임구독</x:v>
      </x:c>
      <x:c r="C284" s="24" t="str">
        <x:v>02노0857</x:v>
      </x:c>
      <x:c r="D284" s="24" t="str">
        <x:v>높음</x:v>
      </x:c>
      <x:c r="E284" s="24" t="str">
        <x:v>보험 갱신 확인</x:v>
      </x:c>
      <x:c r="F284" s="24" t="str">
        <x:v>02노0857 보험 갱신 확인</x:v>
      </x:c>
      <x:c r="G284" s="24" t="str"/>
      <x:c r="H284" s="30"/>
      <x:c r="I284" s="24" t="str">
        <x:v>대기</x:v>
      </x:c>
      <x:c r="J284" s="30"/>
      <x:c r="K284" s="24" t="str">
        <x:v>PR-C-02노0857-1-20230308-7</x:v>
      </x:c>
      <x:c r="L284" s="24" t="str">
        <x:v>자동점검</x:v>
      </x:c>
    </x:row>
    <x:row r="285" ht="17.25" customHeight="1">
      <x:c r="A285" s="24" t="str">
        <x:v>W-0284</x:v>
      </x:c>
      <x:c r="B285" s="24" t="str">
        <x:v>프라임구독</x:v>
      </x:c>
      <x:c r="C285" s="24" t="str">
        <x:v>02노0857</x:v>
      </x:c>
      <x:c r="D285" s="24" t="str">
        <x:v>보통</x:v>
      </x:c>
      <x:c r="E285" s="24" t="str">
        <x:v>현재 보유 확인</x:v>
      </x:c>
      <x:c r="F285" s="24" t="str">
        <x:v>02노0857 현재 보유 확인</x:v>
      </x:c>
      <x:c r="G285" s="24" t="str"/>
      <x:c r="H285" s="30"/>
      <x:c r="I285" s="24" t="str">
        <x:v>대기</x:v>
      </x:c>
      <x:c r="J285" s="30"/>
      <x:c r="K285" s="24" t="str">
        <x:v>PR-C-02노0857-1-20230308-7</x:v>
      </x:c>
      <x:c r="L285" s="24" t="str">
        <x:v>자동점검</x:v>
      </x:c>
    </x:row>
    <x:row r="286" ht="17.25" customHeight="1">
      <x:c r="A286" s="24" t="str">
        <x:v>W-0285</x:v>
      </x:c>
      <x:c r="B286" s="24" t="str">
        <x:v>프라임구독</x:v>
      </x:c>
      <x:c r="C286" s="24" t="str">
        <x:v>02어5437</x:v>
      </x:c>
      <x:c r="D286" s="24" t="str">
        <x:v>보통</x:v>
      </x:c>
      <x:c r="E286" s="24" t="str">
        <x:v>상태 시작일 입력</x:v>
      </x:c>
      <x:c r="F286" s="24" t="str">
        <x:v>02어5437 상태 시작일 입력</x:v>
      </x:c>
      <x:c r="G286" s="24" t="str"/>
      <x:c r="H286" s="30"/>
      <x:c r="I286" s="24" t="str">
        <x:v>대기</x:v>
      </x:c>
      <x:c r="J286" s="30"/>
      <x:c r="K286" s="24" t="str"/>
      <x:c r="L286" s="24" t="str">
        <x:v>자동점검</x:v>
      </x:c>
    </x:row>
    <x:row r="287" ht="17.25" customHeight="1">
      <x:c r="A287" s="24" t="str">
        <x:v>W-0286</x:v>
      </x:c>
      <x:c r="B287" s="24" t="str">
        <x:v>프라임구독</x:v>
      </x:c>
      <x:c r="C287" s="24" t="str">
        <x:v>02어5437</x:v>
      </x:c>
      <x:c r="D287" s="24" t="str">
        <x:v>보통</x:v>
      </x:c>
      <x:c r="E287" s="24" t="str">
        <x:v>현재 보유 확인</x:v>
      </x:c>
      <x:c r="F287" s="24" t="str">
        <x:v>02어5437 현재 보유 확인</x:v>
      </x:c>
      <x:c r="G287" s="24" t="str"/>
      <x:c r="H287" s="30"/>
      <x:c r="I287" s="24" t="str">
        <x:v>대기</x:v>
      </x:c>
      <x:c r="J287" s="30"/>
      <x:c r="K287" s="24" t="str"/>
      <x:c r="L287" s="24" t="str">
        <x:v>자동점검</x:v>
      </x:c>
    </x:row>
    <x:row r="288" ht="17.25" customHeight="1">
      <x:c r="A288" s="24" t="str">
        <x:v>W-0287</x:v>
      </x:c>
      <x:c r="B288" s="24" t="str">
        <x:v>프라임구독</x:v>
      </x:c>
      <x:c r="C288" s="24" t="str">
        <x:v>03거6049</x:v>
      </x:c>
      <x:c r="D288" s="24" t="str">
        <x:v>보통</x:v>
      </x:c>
      <x:c r="E288" s="24" t="str">
        <x:v>상태 시작일 입력</x:v>
      </x:c>
      <x:c r="F288" s="24" t="str">
        <x:v>03거6049 상태 시작일 입력</x:v>
      </x:c>
      <x:c r="G288" s="24" t="str"/>
      <x:c r="H288" s="30"/>
      <x:c r="I288" s="24" t="str">
        <x:v>대기</x:v>
      </x:c>
      <x:c r="J288" s="30"/>
      <x:c r="K288" s="24" t="str"/>
      <x:c r="L288" s="24" t="str">
        <x:v>자동점검</x:v>
      </x:c>
    </x:row>
    <x:row r="289" ht="17.25" customHeight="1">
      <x:c r="A289" s="24" t="str">
        <x:v>W-0288</x:v>
      </x:c>
      <x:c r="B289" s="24" t="str">
        <x:v>프라임구독</x:v>
      </x:c>
      <x:c r="C289" s="24" t="str">
        <x:v>03거6049</x:v>
      </x:c>
      <x:c r="D289" s="24" t="str">
        <x:v>보통</x:v>
      </x:c>
      <x:c r="E289" s="24" t="str">
        <x:v>현재 보유 확인</x:v>
      </x:c>
      <x:c r="F289" s="24" t="str">
        <x:v>03거6049 현재 보유 확인</x:v>
      </x:c>
      <x:c r="G289" s="24" t="str"/>
      <x:c r="H289" s="30"/>
      <x:c r="I289" s="24" t="str">
        <x:v>대기</x:v>
      </x:c>
      <x:c r="J289" s="30"/>
      <x:c r="K289" s="24" t="str"/>
      <x:c r="L289" s="24" t="str">
        <x:v>자동점검</x:v>
      </x:c>
    </x:row>
    <x:row r="290" ht="17.25" customHeight="1">
      <x:c r="A290" s="24" t="str">
        <x:v>W-0289</x:v>
      </x:c>
      <x:c r="B290" s="24" t="str">
        <x:v>프라임구독</x:v>
      </x:c>
      <x:c r="C290" s="24" t="str">
        <x:v>03고7687</x:v>
      </x:c>
      <x:c r="D290" s="24" t="str">
        <x:v>보통</x:v>
      </x:c>
      <x:c r="E290" s="24" t="str">
        <x:v>상태 시작일 입력</x:v>
      </x:c>
      <x:c r="F290" s="24" t="str">
        <x:v>03고7687 상태 시작일 입력</x:v>
      </x:c>
      <x:c r="G290" s="24" t="str"/>
      <x:c r="H290" s="30"/>
      <x:c r="I290" s="24" t="str">
        <x:v>대기</x:v>
      </x:c>
      <x:c r="J290" s="30"/>
      <x:c r="K290" s="24" t="str"/>
      <x:c r="L290" s="24" t="str">
        <x:v>자동점검</x:v>
      </x:c>
    </x:row>
    <x:row r="291" ht="17.25" customHeight="1">
      <x:c r="A291" s="24" t="str">
        <x:v>W-0290</x:v>
      </x:c>
      <x:c r="B291" s="24" t="str">
        <x:v>프라임구독</x:v>
      </x:c>
      <x:c r="C291" s="24" t="str">
        <x:v>03고7687</x:v>
      </x:c>
      <x:c r="D291" s="24" t="str">
        <x:v>보통</x:v>
      </x:c>
      <x:c r="E291" s="24" t="str">
        <x:v>현재 보유 확인</x:v>
      </x:c>
      <x:c r="F291" s="24" t="str">
        <x:v>03고7687 현재 보유 확인</x:v>
      </x:c>
      <x:c r="G291" s="24" t="str"/>
      <x:c r="H291" s="30"/>
      <x:c r="I291" s="24" t="str">
        <x:v>대기</x:v>
      </x:c>
      <x:c r="J291" s="30"/>
      <x:c r="K291" s="24" t="str"/>
      <x:c r="L291" s="24" t="str">
        <x:v>자동점검</x:v>
      </x:c>
    </x:row>
    <x:row r="292" ht="17.25" customHeight="1">
      <x:c r="A292" s="24" t="str">
        <x:v>W-0291</x:v>
      </x:c>
      <x:c r="B292" s="24" t="str">
        <x:v>프라임구독</x:v>
      </x:c>
      <x:c r="C292" s="24" t="str">
        <x:v>03러8697</x:v>
      </x:c>
      <x:c r="D292" s="24" t="str">
        <x:v>보통</x:v>
      </x:c>
      <x:c r="E292" s="24" t="str">
        <x:v>상태 시작일 입력</x:v>
      </x:c>
      <x:c r="F292" s="24" t="str">
        <x:v>03러8697 상태 시작일 입력</x:v>
      </x:c>
      <x:c r="G292" s="24" t="str"/>
      <x:c r="H292" s="30"/>
      <x:c r="I292" s="24" t="str">
        <x:v>대기</x:v>
      </x:c>
      <x:c r="J292" s="30"/>
      <x:c r="K292" s="24" t="str"/>
      <x:c r="L292" s="24" t="str">
        <x:v>자동점검</x:v>
      </x:c>
    </x:row>
    <x:row r="293" ht="17.25" customHeight="1">
      <x:c r="A293" s="24" t="str">
        <x:v>W-0292</x:v>
      </x:c>
      <x:c r="B293" s="24" t="str">
        <x:v>프라임구독</x:v>
      </x:c>
      <x:c r="C293" s="24" t="str">
        <x:v>03러8697</x:v>
      </x:c>
      <x:c r="D293" s="24" t="str">
        <x:v>보통</x:v>
      </x:c>
      <x:c r="E293" s="24" t="str">
        <x:v>현재 보유 확인</x:v>
      </x:c>
      <x:c r="F293" s="24" t="str">
        <x:v>03러8697 현재 보유 확인</x:v>
      </x:c>
      <x:c r="G293" s="24" t="str"/>
      <x:c r="H293" s="30"/>
      <x:c r="I293" s="24" t="str">
        <x:v>대기</x:v>
      </x:c>
      <x:c r="J293" s="30"/>
      <x:c r="K293" s="24" t="str"/>
      <x:c r="L293" s="24" t="str">
        <x:v>자동점검</x:v>
      </x:c>
    </x:row>
    <x:row r="294" ht="17.25" customHeight="1">
      <x:c r="A294" s="24" t="str">
        <x:v>W-0293</x:v>
      </x:c>
      <x:c r="B294" s="24" t="str">
        <x:v>프라임구독</x:v>
      </x:c>
      <x:c r="C294" s="24" t="str">
        <x:v>04모0665</x:v>
      </x:c>
      <x:c r="D294" s="24" t="str">
        <x:v>보통</x:v>
      </x:c>
      <x:c r="E294" s="24" t="str">
        <x:v>상태 시작일 입력</x:v>
      </x:c>
      <x:c r="F294" s="24" t="str">
        <x:v>04모0665 상태 시작일 입력</x:v>
      </x:c>
      <x:c r="G294" s="24" t="str"/>
      <x:c r="H294" s="30"/>
      <x:c r="I294" s="24" t="str">
        <x:v>대기</x:v>
      </x:c>
      <x:c r="J294" s="30"/>
      <x:c r="K294" s="24" t="str"/>
      <x:c r="L294" s="24" t="str">
        <x:v>자동점검</x:v>
      </x:c>
    </x:row>
    <x:row r="295" ht="17.25" customHeight="1">
      <x:c r="A295" s="24" t="str">
        <x:v>W-0294</x:v>
      </x:c>
      <x:c r="B295" s="24" t="str">
        <x:v>프라임구독</x:v>
      </x:c>
      <x:c r="C295" s="24" t="str">
        <x:v>04모0665</x:v>
      </x:c>
      <x:c r="D295" s="24" t="str">
        <x:v>보통</x:v>
      </x:c>
      <x:c r="E295" s="24" t="str">
        <x:v>현재 보유 확인</x:v>
      </x:c>
      <x:c r="F295" s="24" t="str">
        <x:v>04모0665 현재 보유 확인</x:v>
      </x:c>
      <x:c r="G295" s="24" t="str"/>
      <x:c r="H295" s="30"/>
      <x:c r="I295" s="24" t="str">
        <x:v>대기</x:v>
      </x:c>
      <x:c r="J295" s="30"/>
      <x:c r="K295" s="24" t="str"/>
      <x:c r="L295" s="24" t="str">
        <x:v>자동점검</x:v>
      </x:c>
    </x:row>
    <x:row r="296" ht="17.25" customHeight="1">
      <x:c r="A296" s="24" t="str">
        <x:v>W-0295</x:v>
      </x:c>
      <x:c r="B296" s="24" t="str">
        <x:v>프라임구독</x:v>
      </x:c>
      <x:c r="C296" s="24" t="str">
        <x:v>06오8368</x:v>
      </x:c>
      <x:c r="D296" s="24" t="str">
        <x:v>보통</x:v>
      </x:c>
      <x:c r="E296" s="24" t="str">
        <x:v>상태 시작일 입력</x:v>
      </x:c>
      <x:c r="F296" s="24" t="str">
        <x:v>06오8368 상태 시작일 입력</x:v>
      </x:c>
      <x:c r="G296" s="24" t="str"/>
      <x:c r="H296" s="30"/>
      <x:c r="I296" s="24" t="str">
        <x:v>대기</x:v>
      </x:c>
      <x:c r="J296" s="30"/>
      <x:c r="K296" s="24" t="str"/>
      <x:c r="L296" s="24" t="str">
        <x:v>자동점검</x:v>
      </x:c>
    </x:row>
    <x:row r="297" ht="17.25" customHeight="1">
      <x:c r="A297" s="24" t="str">
        <x:v>W-0296</x:v>
      </x:c>
      <x:c r="B297" s="24" t="str">
        <x:v>프라임구독</x:v>
      </x:c>
      <x:c r="C297" s="24" t="str">
        <x:v>06오8368</x:v>
      </x:c>
      <x:c r="D297" s="24" t="str">
        <x:v>보통</x:v>
      </x:c>
      <x:c r="E297" s="24" t="str">
        <x:v>현재 보유 확인</x:v>
      </x:c>
      <x:c r="F297" s="24" t="str">
        <x:v>06오8368 현재 보유 확인</x:v>
      </x:c>
      <x:c r="G297" s="24" t="str"/>
      <x:c r="H297" s="30"/>
      <x:c r="I297" s="24" t="str">
        <x:v>대기</x:v>
      </x:c>
      <x:c r="J297" s="30"/>
      <x:c r="K297" s="24" t="str"/>
      <x:c r="L297" s="24" t="str">
        <x:v>자동점검</x:v>
      </x:c>
    </x:row>
    <x:row r="298" ht="17.25" customHeight="1">
      <x:c r="A298" s="24" t="str">
        <x:v>W-0297</x:v>
      </x:c>
      <x:c r="B298" s="24" t="str">
        <x:v>프라임구독</x:v>
      </x:c>
      <x:c r="C298" s="24" t="str">
        <x:v>07로0775</x:v>
      </x:c>
      <x:c r="D298" s="24" t="str">
        <x:v>보통</x:v>
      </x:c>
      <x:c r="E298" s="24" t="str">
        <x:v>상태 시작일 입력</x:v>
      </x:c>
      <x:c r="F298" s="24" t="str">
        <x:v>07로0775 상태 시작일 입력</x:v>
      </x:c>
      <x:c r="G298" s="24" t="str"/>
      <x:c r="H298" s="30"/>
      <x:c r="I298" s="24" t="str">
        <x:v>대기</x:v>
      </x:c>
      <x:c r="J298" s="30"/>
      <x:c r="K298" s="24" t="str"/>
      <x:c r="L298" s="24" t="str">
        <x:v>자동점검</x:v>
      </x:c>
    </x:row>
    <x:row r="299" ht="17.25" customHeight="1">
      <x:c r="A299" s="24" t="str">
        <x:v>W-0298</x:v>
      </x:c>
      <x:c r="B299" s="24" t="str">
        <x:v>프라임구독</x:v>
      </x:c>
      <x:c r="C299" s="24" t="str">
        <x:v>07로0775</x:v>
      </x:c>
      <x:c r="D299" s="24" t="str">
        <x:v>보통</x:v>
      </x:c>
      <x:c r="E299" s="24" t="str">
        <x:v>현재 보유 확인</x:v>
      </x:c>
      <x:c r="F299" s="24" t="str">
        <x:v>07로0775 현재 보유 확인</x:v>
      </x:c>
      <x:c r="G299" s="24" t="str"/>
      <x:c r="H299" s="30"/>
      <x:c r="I299" s="24" t="str">
        <x:v>대기</x:v>
      </x:c>
      <x:c r="J299" s="30"/>
      <x:c r="K299" s="24" t="str"/>
      <x:c r="L299" s="24" t="str">
        <x:v>자동점검</x:v>
      </x:c>
    </x:row>
    <x:row r="300" ht="17.25" customHeight="1">
      <x:c r="A300" s="24" t="str">
        <x:v>W-0299</x:v>
      </x:c>
      <x:c r="B300" s="24" t="str">
        <x:v>프라임구독</x:v>
      </x:c>
      <x:c r="C300" s="24" t="str">
        <x:v>08모1646</x:v>
      </x:c>
      <x:c r="D300" s="24" t="str">
        <x:v>보통</x:v>
      </x:c>
      <x:c r="E300" s="24" t="str">
        <x:v>상태 시작일 입력</x:v>
      </x:c>
      <x:c r="F300" s="24" t="str">
        <x:v>08모1646 상태 시작일 입력</x:v>
      </x:c>
      <x:c r="G300" s="24" t="str"/>
      <x:c r="H300" s="30"/>
      <x:c r="I300" s="24" t="str">
        <x:v>대기</x:v>
      </x:c>
      <x:c r="J300" s="30"/>
      <x:c r="K300" s="24" t="str"/>
      <x:c r="L300" s="24" t="str">
        <x:v>자동점검</x:v>
      </x:c>
    </x:row>
    <x:row r="301" ht="17.25" customHeight="1">
      <x:c r="A301" s="24" t="str">
        <x:v>W-0300</x:v>
      </x:c>
      <x:c r="B301" s="24" t="str">
        <x:v>프라임구독</x:v>
      </x:c>
      <x:c r="C301" s="24" t="str">
        <x:v>08모1646</x:v>
      </x:c>
      <x:c r="D301" s="24" t="str">
        <x:v>보통</x:v>
      </x:c>
      <x:c r="E301" s="24" t="str">
        <x:v>현재 보유 확인</x:v>
      </x:c>
      <x:c r="F301" s="24" t="str">
        <x:v>08모1646 현재 보유 확인</x:v>
      </x:c>
      <x:c r="G301" s="24" t="str"/>
      <x:c r="H301" s="30"/>
      <x:c r="I301" s="24" t="str">
        <x:v>대기</x:v>
      </x:c>
      <x:c r="J301" s="30"/>
      <x:c r="K301" s="24" t="str"/>
      <x:c r="L301" s="24" t="str">
        <x:v>자동점검</x:v>
      </x:c>
    </x:row>
    <x:row r="302" ht="17.25" customHeight="1">
      <x:c r="A302" s="24" t="str">
        <x:v>W-0301</x:v>
      </x:c>
      <x:c r="B302" s="24" t="str">
        <x:v>프라임구독</x:v>
      </x:c>
      <x:c r="C302" s="24" t="str">
        <x:v>09누4209</x:v>
      </x:c>
      <x:c r="D302" s="24" t="str">
        <x:v>보통</x:v>
      </x:c>
      <x:c r="E302" s="24" t="str">
        <x:v>상태 시작일 입력</x:v>
      </x:c>
      <x:c r="F302" s="24" t="str">
        <x:v>09누4209 상태 시작일 입력</x:v>
      </x:c>
      <x:c r="G302" s="24" t="str"/>
      <x:c r="H302" s="30"/>
      <x:c r="I302" s="24" t="str">
        <x:v>대기</x:v>
      </x:c>
      <x:c r="J302" s="30"/>
      <x:c r="K302" s="24" t="str"/>
      <x:c r="L302" s="24" t="str">
        <x:v>자동점검</x:v>
      </x:c>
    </x:row>
    <x:row r="303" ht="17.25" customHeight="1">
      <x:c r="A303" s="24" t="str">
        <x:v>W-0302</x:v>
      </x:c>
      <x:c r="B303" s="24" t="str">
        <x:v>프라임구독</x:v>
      </x:c>
      <x:c r="C303" s="24" t="str">
        <x:v>09누4209</x:v>
      </x:c>
      <x:c r="D303" s="24" t="str">
        <x:v>보통</x:v>
      </x:c>
      <x:c r="E303" s="24" t="str">
        <x:v>현재 보유 확인</x:v>
      </x:c>
      <x:c r="F303" s="24" t="str">
        <x:v>09누4209 현재 보유 확인</x:v>
      </x:c>
      <x:c r="G303" s="24" t="str"/>
      <x:c r="H303" s="30"/>
      <x:c r="I303" s="24" t="str">
        <x:v>대기</x:v>
      </x:c>
      <x:c r="J303" s="30"/>
      <x:c r="K303" s="24" t="str"/>
      <x:c r="L303" s="24" t="str">
        <x:v>자동점검</x:v>
      </x:c>
    </x:row>
    <x:row r="304" ht="17.25" customHeight="1">
      <x:c r="A304" s="24" t="str">
        <x:v>W-0303</x:v>
      </x:c>
      <x:c r="B304" s="24" t="str">
        <x:v>프라임구독</x:v>
      </x:c>
      <x:c r="C304" s="24" t="str">
        <x:v>103너3604</x:v>
      </x:c>
      <x:c r="D304" s="24" t="str">
        <x:v>보통</x:v>
      </x:c>
      <x:c r="E304" s="24" t="str">
        <x:v>상태 시작일 입력</x:v>
      </x:c>
      <x:c r="F304" s="24" t="str">
        <x:v>103너3604 상태 시작일 입력</x:v>
      </x:c>
      <x:c r="G304" s="24" t="str"/>
      <x:c r="H304" s="30"/>
      <x:c r="I304" s="24" t="str">
        <x:v>대기</x:v>
      </x:c>
      <x:c r="J304" s="30"/>
      <x:c r="K304" s="24" t="str"/>
      <x:c r="L304" s="24" t="str">
        <x:v>자동점검</x:v>
      </x:c>
    </x:row>
    <x:row r="305" ht="17.25" customHeight="1">
      <x:c r="A305" s="24" t="str">
        <x:v>W-0304</x:v>
      </x:c>
      <x:c r="B305" s="24" t="str">
        <x:v>프라임구독</x:v>
      </x:c>
      <x:c r="C305" s="24" t="str">
        <x:v>103너3604</x:v>
      </x:c>
      <x:c r="D305" s="24" t="str">
        <x:v>보통</x:v>
      </x:c>
      <x:c r="E305" s="24" t="str">
        <x:v>현재 보유 확인</x:v>
      </x:c>
      <x:c r="F305" s="24" t="str">
        <x:v>103너3604 현재 보유 확인</x:v>
      </x:c>
      <x:c r="G305" s="24" t="str"/>
      <x:c r="H305" s="30"/>
      <x:c r="I305" s="24" t="str">
        <x:v>대기</x:v>
      </x:c>
      <x:c r="J305" s="30"/>
      <x:c r="K305" s="24" t="str"/>
      <x:c r="L305" s="24" t="str">
        <x:v>자동점검</x:v>
      </x:c>
    </x:row>
    <x:row r="306" ht="17.25" customHeight="1">
      <x:c r="A306" s="24" t="str">
        <x:v>W-0305</x:v>
      </x:c>
      <x:c r="B306" s="24" t="str">
        <x:v>프라임구독</x:v>
      </x:c>
      <x:c r="C306" s="24" t="str">
        <x:v>107고5687</x:v>
      </x:c>
      <x:c r="D306" s="24" t="str">
        <x:v>보통</x:v>
      </x:c>
      <x:c r="E306" s="24" t="str">
        <x:v>상태 시작일 입력</x:v>
      </x:c>
      <x:c r="F306" s="24" t="str">
        <x:v>107고5687 상태 시작일 입력</x:v>
      </x:c>
      <x:c r="G306" s="24" t="str"/>
      <x:c r="H306" s="30"/>
      <x:c r="I306" s="24" t="str">
        <x:v>대기</x:v>
      </x:c>
      <x:c r="J306" s="30"/>
      <x:c r="K306" s="24" t="str"/>
      <x:c r="L306" s="24" t="str">
        <x:v>자동점검</x:v>
      </x:c>
    </x:row>
    <x:row r="307" ht="17.25" customHeight="1">
      <x:c r="A307" s="24" t="str">
        <x:v>W-0306</x:v>
      </x:c>
      <x:c r="B307" s="24" t="str">
        <x:v>프라임구독</x:v>
      </x:c>
      <x:c r="C307" s="24" t="str">
        <x:v>107고5687</x:v>
      </x:c>
      <x:c r="D307" s="24" t="str">
        <x:v>보통</x:v>
      </x:c>
      <x:c r="E307" s="24" t="str">
        <x:v>현재 보유 확인</x:v>
      </x:c>
      <x:c r="F307" s="24" t="str">
        <x:v>107고5687 현재 보유 확인</x:v>
      </x:c>
      <x:c r="G307" s="24" t="str"/>
      <x:c r="H307" s="30"/>
      <x:c r="I307" s="24" t="str">
        <x:v>대기</x:v>
      </x:c>
      <x:c r="J307" s="30"/>
      <x:c r="K307" s="24" t="str"/>
      <x:c r="L307" s="24" t="str">
        <x:v>자동점검</x:v>
      </x:c>
    </x:row>
    <x:row r="308" ht="17.25" customHeight="1">
      <x:c r="A308" s="24" t="str">
        <x:v>W-0307</x:v>
      </x:c>
      <x:c r="B308" s="24" t="str">
        <x:v>프라임구독</x:v>
      </x:c>
      <x:c r="C308" s="24" t="str">
        <x:v>107보9912</x:v>
      </x:c>
      <x:c r="D308" s="24" t="str">
        <x:v>보통</x:v>
      </x:c>
      <x:c r="E308" s="24" t="str">
        <x:v>상태 시작일 입력</x:v>
      </x:c>
      <x:c r="F308" s="24" t="str">
        <x:v>107보9912 상태 시작일 입력</x:v>
      </x:c>
      <x:c r="G308" s="24" t="str"/>
      <x:c r="H308" s="30"/>
      <x:c r="I308" s="24" t="str">
        <x:v>대기</x:v>
      </x:c>
      <x:c r="J308" s="30"/>
      <x:c r="K308" s="24" t="str"/>
      <x:c r="L308" s="24" t="str">
        <x:v>자동점검</x:v>
      </x:c>
    </x:row>
    <x:row r="309" ht="17.25" customHeight="1">
      <x:c r="A309" s="24" t="str">
        <x:v>W-0308</x:v>
      </x:c>
      <x:c r="B309" s="24" t="str">
        <x:v>프라임구독</x:v>
      </x:c>
      <x:c r="C309" s="24" t="str">
        <x:v>107보9912</x:v>
      </x:c>
      <x:c r="D309" s="24" t="str">
        <x:v>보통</x:v>
      </x:c>
      <x:c r="E309" s="24" t="str">
        <x:v>현재 보유 확인</x:v>
      </x:c>
      <x:c r="F309" s="24" t="str">
        <x:v>107보9912 현재 보유 확인</x:v>
      </x:c>
      <x:c r="G309" s="24" t="str"/>
      <x:c r="H309" s="30"/>
      <x:c r="I309" s="24" t="str">
        <x:v>대기</x:v>
      </x:c>
      <x:c r="J309" s="30"/>
      <x:c r="K309" s="24" t="str"/>
      <x:c r="L309" s="24" t="str">
        <x:v>자동점검</x:v>
      </x:c>
    </x:row>
    <x:row r="310" ht="17.25" customHeight="1">
      <x:c r="A310" s="24" t="str">
        <x:v>W-0309</x:v>
      </x:c>
      <x:c r="B310" s="24" t="str">
        <x:v>프라임구독</x:v>
      </x:c>
      <x:c r="C310" s="24" t="str">
        <x:v>10고0707</x:v>
      </x:c>
      <x:c r="D310" s="24" t="str">
        <x:v>보통</x:v>
      </x:c>
      <x:c r="E310" s="24" t="str">
        <x:v>상태 시작일 입력</x:v>
      </x:c>
      <x:c r="F310" s="24" t="str">
        <x:v>10고0707 상태 시작일 입력</x:v>
      </x:c>
      <x:c r="G310" s="24" t="str"/>
      <x:c r="H310" s="30"/>
      <x:c r="I310" s="24" t="str">
        <x:v>대기</x:v>
      </x:c>
      <x:c r="J310" s="30"/>
      <x:c r="K310" s="24" t="str"/>
      <x:c r="L310" s="24" t="str">
        <x:v>자동점검</x:v>
      </x:c>
    </x:row>
    <x:row r="311" ht="17.25" customHeight="1">
      <x:c r="A311" s="24" t="str">
        <x:v>W-0310</x:v>
      </x:c>
      <x:c r="B311" s="24" t="str">
        <x:v>프라임구독</x:v>
      </x:c>
      <x:c r="C311" s="24" t="str">
        <x:v>10고0707</x:v>
      </x:c>
      <x:c r="D311" s="24" t="str">
        <x:v>보통</x:v>
      </x:c>
      <x:c r="E311" s="24" t="str">
        <x:v>현재 보유 확인</x:v>
      </x:c>
      <x:c r="F311" s="24" t="str">
        <x:v>10고0707 현재 보유 확인</x:v>
      </x:c>
      <x:c r="G311" s="24" t="str"/>
      <x:c r="H311" s="30"/>
      <x:c r="I311" s="24" t="str">
        <x:v>대기</x:v>
      </x:c>
      <x:c r="J311" s="30"/>
      <x:c r="K311" s="24" t="str"/>
      <x:c r="L311" s="24" t="str">
        <x:v>자동점검</x:v>
      </x:c>
    </x:row>
    <x:row r="312" ht="17.25" customHeight="1">
      <x:c r="A312" s="24" t="str">
        <x:v>W-0311</x:v>
      </x:c>
      <x:c r="B312" s="24" t="str">
        <x:v>프라임구독</x:v>
      </x:c>
      <x:c r="C312" s="24" t="str">
        <x:v>10루8404</x:v>
      </x:c>
      <x:c r="D312" s="24" t="str">
        <x:v>보통</x:v>
      </x:c>
      <x:c r="E312" s="24" t="str">
        <x:v>상태 시작일 입력</x:v>
      </x:c>
      <x:c r="F312" s="24" t="str">
        <x:v>10루8404 상태 시작일 입력</x:v>
      </x:c>
      <x:c r="G312" s="24" t="str"/>
      <x:c r="H312" s="30"/>
      <x:c r="I312" s="24" t="str">
        <x:v>대기</x:v>
      </x:c>
      <x:c r="J312" s="30"/>
      <x:c r="K312" s="24" t="str"/>
      <x:c r="L312" s="24" t="str">
        <x:v>자동점검</x:v>
      </x:c>
    </x:row>
    <x:row r="313" ht="17.25" customHeight="1">
      <x:c r="A313" s="24" t="str">
        <x:v>W-0312</x:v>
      </x:c>
      <x:c r="B313" s="24" t="str">
        <x:v>프라임구독</x:v>
      </x:c>
      <x:c r="C313" s="24" t="str">
        <x:v>10루8404</x:v>
      </x:c>
      <x:c r="D313" s="24" t="str">
        <x:v>보통</x:v>
      </x:c>
      <x:c r="E313" s="24" t="str">
        <x:v>현재 보유 확인</x:v>
      </x:c>
      <x:c r="F313" s="24" t="str">
        <x:v>10루8404 현재 보유 확인</x:v>
      </x:c>
      <x:c r="G313" s="24" t="str"/>
      <x:c r="H313" s="30"/>
      <x:c r="I313" s="24" t="str">
        <x:v>대기</x:v>
      </x:c>
      <x:c r="J313" s="30"/>
      <x:c r="K313" s="24" t="str"/>
      <x:c r="L313" s="24" t="str">
        <x:v>자동점검</x:v>
      </x:c>
    </x:row>
    <x:row r="314" ht="17.25" customHeight="1">
      <x:c r="A314" s="24" t="str">
        <x:v>W-0313</x:v>
      </x:c>
      <x:c r="B314" s="24" t="str">
        <x:v>프라임구독</x:v>
      </x:c>
      <x:c r="C314" s="24" t="str">
        <x:v>10버7680</x:v>
      </x:c>
      <x:c r="D314" s="24" t="str">
        <x:v>보통</x:v>
      </x:c>
      <x:c r="E314" s="24" t="str">
        <x:v>상태 시작일 입력</x:v>
      </x:c>
      <x:c r="F314" s="24" t="str">
        <x:v>10버7680 상태 시작일 입력</x:v>
      </x:c>
      <x:c r="G314" s="24" t="str"/>
      <x:c r="H314" s="30"/>
      <x:c r="I314" s="24" t="str">
        <x:v>대기</x:v>
      </x:c>
      <x:c r="J314" s="30"/>
      <x:c r="K314" s="24" t="str"/>
      <x:c r="L314" s="24" t="str">
        <x:v>자동점검</x:v>
      </x:c>
    </x:row>
    <x:row r="315" ht="17.25" customHeight="1">
      <x:c r="A315" s="24" t="str">
        <x:v>W-0314</x:v>
      </x:c>
      <x:c r="B315" s="24" t="str">
        <x:v>프라임구독</x:v>
      </x:c>
      <x:c r="C315" s="24" t="str">
        <x:v>10버7680</x:v>
      </x:c>
      <x:c r="D315" s="24" t="str">
        <x:v>보통</x:v>
      </x:c>
      <x:c r="E315" s="24" t="str">
        <x:v>현재 보유 확인</x:v>
      </x:c>
      <x:c r="F315" s="24" t="str">
        <x:v>10버7680 현재 보유 확인</x:v>
      </x:c>
      <x:c r="G315" s="24" t="str"/>
      <x:c r="H315" s="30"/>
      <x:c r="I315" s="24" t="str">
        <x:v>대기</x:v>
      </x:c>
      <x:c r="J315" s="30"/>
      <x:c r="K315" s="24" t="str"/>
      <x:c r="L315" s="24" t="str">
        <x:v>자동점검</x:v>
      </x:c>
    </x:row>
    <x:row r="316" ht="17.25" customHeight="1">
      <x:c r="A316" s="24" t="str">
        <x:v>W-0315</x:v>
      </x:c>
      <x:c r="B316" s="24" t="str">
        <x:v>프라임구독</x:v>
      </x:c>
      <x:c r="C316" s="24" t="str">
        <x:v>110오3731</x:v>
      </x:c>
      <x:c r="D316" s="24" t="str">
        <x:v>보통</x:v>
      </x:c>
      <x:c r="E316" s="24" t="str">
        <x:v>상태 시작일 입력</x:v>
      </x:c>
      <x:c r="F316" s="24" t="str">
        <x:v>110오3731 상태 시작일 입력</x:v>
      </x:c>
      <x:c r="G316" s="24" t="str"/>
      <x:c r="H316" s="30"/>
      <x:c r="I316" s="24" t="str">
        <x:v>대기</x:v>
      </x:c>
      <x:c r="J316" s="30"/>
      <x:c r="K316" s="24" t="str"/>
      <x:c r="L316" s="24" t="str">
        <x:v>자동점검</x:v>
      </x:c>
    </x:row>
    <x:row r="317" ht="17.25" customHeight="1">
      <x:c r="A317" s="24" t="str">
        <x:v>W-0316</x:v>
      </x:c>
      <x:c r="B317" s="24" t="str">
        <x:v>프라임구독</x:v>
      </x:c>
      <x:c r="C317" s="24" t="str">
        <x:v>110오3731</x:v>
      </x:c>
      <x:c r="D317" s="24" t="str">
        <x:v>보통</x:v>
      </x:c>
      <x:c r="E317" s="24" t="str">
        <x:v>현재 보유 확인</x:v>
      </x:c>
      <x:c r="F317" s="24" t="str">
        <x:v>110오3731 현재 보유 확인</x:v>
      </x:c>
      <x:c r="G317" s="24" t="str"/>
      <x:c r="H317" s="30"/>
      <x:c r="I317" s="24" t="str">
        <x:v>대기</x:v>
      </x:c>
      <x:c r="J317" s="30"/>
      <x:c r="K317" s="24" t="str"/>
      <x:c r="L317" s="24" t="str">
        <x:v>자동점검</x:v>
      </x:c>
    </x:row>
    <x:row r="318" ht="17.25" customHeight="1">
      <x:c r="A318" s="24" t="str">
        <x:v>W-0317</x:v>
      </x:c>
      <x:c r="B318" s="24" t="str">
        <x:v>프라임구독</x:v>
      </x:c>
      <x:c r="C318" s="24" t="str">
        <x:v>110오3787</x:v>
      </x:c>
      <x:c r="D318" s="24" t="str">
        <x:v>보통</x:v>
      </x:c>
      <x:c r="E318" s="24" t="str">
        <x:v>상태 시작일 입력</x:v>
      </x:c>
      <x:c r="F318" s="24" t="str">
        <x:v>110오3787 상태 시작일 입력</x:v>
      </x:c>
      <x:c r="G318" s="24" t="str"/>
      <x:c r="H318" s="30"/>
      <x:c r="I318" s="24" t="str">
        <x:v>대기</x:v>
      </x:c>
      <x:c r="J318" s="30"/>
      <x:c r="K318" s="24" t="str"/>
      <x:c r="L318" s="24" t="str">
        <x:v>자동점검</x:v>
      </x:c>
    </x:row>
    <x:row r="319" ht="17.25" customHeight="1">
      <x:c r="A319" s="24" t="str">
        <x:v>W-0318</x:v>
      </x:c>
      <x:c r="B319" s="24" t="str">
        <x:v>프라임구독</x:v>
      </x:c>
      <x:c r="C319" s="24" t="str">
        <x:v>110오3787</x:v>
      </x:c>
      <x:c r="D319" s="24" t="str">
        <x:v>보통</x:v>
      </x:c>
      <x:c r="E319" s="24" t="str">
        <x:v>현재 보유 확인</x:v>
      </x:c>
      <x:c r="F319" s="24" t="str">
        <x:v>110오3787 현재 보유 확인</x:v>
      </x:c>
      <x:c r="G319" s="24" t="str"/>
      <x:c r="H319" s="30"/>
      <x:c r="I319" s="24" t="str">
        <x:v>대기</x:v>
      </x:c>
      <x:c r="J319" s="30"/>
      <x:c r="K319" s="24" t="str"/>
      <x:c r="L319" s="24" t="str">
        <x:v>자동점검</x:v>
      </x:c>
    </x:row>
    <x:row r="320" ht="17.25" customHeight="1">
      <x:c r="A320" s="24" t="str">
        <x:v>W-0319</x:v>
      </x:c>
      <x:c r="B320" s="24" t="str">
        <x:v>프라임구독</x:v>
      </x:c>
      <x:c r="C320" s="24" t="str">
        <x:v>111로8548</x:v>
      </x:c>
      <x:c r="D320" s="24" t="str">
        <x:v>보통</x:v>
      </x:c>
      <x:c r="E320" s="24" t="str">
        <x:v>상태 시작일 입력</x:v>
      </x:c>
      <x:c r="F320" s="24" t="str">
        <x:v>111로8548 상태 시작일 입력</x:v>
      </x:c>
      <x:c r="G320" s="24" t="str"/>
      <x:c r="H320" s="30"/>
      <x:c r="I320" s="24" t="str">
        <x:v>대기</x:v>
      </x:c>
      <x:c r="J320" s="30"/>
      <x:c r="K320" s="24" t="str"/>
      <x:c r="L320" s="24" t="str">
        <x:v>자동점검</x:v>
      </x:c>
    </x:row>
    <x:row r="321" ht="17.25" customHeight="1">
      <x:c r="A321" s="24" t="str">
        <x:v>W-0320</x:v>
      </x:c>
      <x:c r="B321" s="24" t="str">
        <x:v>프라임구독</x:v>
      </x:c>
      <x:c r="C321" s="24" t="str">
        <x:v>111로8548</x:v>
      </x:c>
      <x:c r="D321" s="24" t="str">
        <x:v>보통</x:v>
      </x:c>
      <x:c r="E321" s="24" t="str">
        <x:v>현재 보유 확인</x:v>
      </x:c>
      <x:c r="F321" s="24" t="str">
        <x:v>111로8548 현재 보유 확인</x:v>
      </x:c>
      <x:c r="G321" s="24" t="str"/>
      <x:c r="H321" s="30"/>
      <x:c r="I321" s="24" t="str">
        <x:v>대기</x:v>
      </x:c>
      <x:c r="J321" s="30"/>
      <x:c r="K321" s="24" t="str"/>
      <x:c r="L321" s="24" t="str">
        <x:v>자동점검</x:v>
      </x:c>
    </x:row>
    <x:row r="322" ht="17.25" customHeight="1">
      <x:c r="A322" s="24" t="str">
        <x:v>W-0321</x:v>
      </x:c>
      <x:c r="B322" s="24" t="str">
        <x:v>프라임구독</x:v>
      </x:c>
      <x:c r="C322" s="24" t="str">
        <x:v>112가8342</x:v>
      </x:c>
      <x:c r="D322" s="24" t="str">
        <x:v>보통</x:v>
      </x:c>
      <x:c r="E322" s="24" t="str">
        <x:v>상태 시작일 입력</x:v>
      </x:c>
      <x:c r="F322" s="24" t="str">
        <x:v>112가8342 상태 시작일 입력</x:v>
      </x:c>
      <x:c r="G322" s="24" t="str"/>
      <x:c r="H322" s="30"/>
      <x:c r="I322" s="24" t="str">
        <x:v>대기</x:v>
      </x:c>
      <x:c r="J322" s="30"/>
      <x:c r="K322" s="24" t="str"/>
      <x:c r="L322" s="24" t="str">
        <x:v>자동점검</x:v>
      </x:c>
    </x:row>
    <x:row r="323" ht="17.25" customHeight="1">
      <x:c r="A323" s="24" t="str">
        <x:v>W-0322</x:v>
      </x:c>
      <x:c r="B323" s="24" t="str">
        <x:v>프라임구독</x:v>
      </x:c>
      <x:c r="C323" s="24" t="str">
        <x:v>112가8342</x:v>
      </x:c>
      <x:c r="D323" s="24" t="str">
        <x:v>보통</x:v>
      </x:c>
      <x:c r="E323" s="24" t="str">
        <x:v>현재 보유 확인</x:v>
      </x:c>
      <x:c r="F323" s="24" t="str">
        <x:v>112가8342 현재 보유 확인</x:v>
      </x:c>
      <x:c r="G323" s="24" t="str"/>
      <x:c r="H323" s="30"/>
      <x:c r="I323" s="24" t="str">
        <x:v>대기</x:v>
      </x:c>
      <x:c r="J323" s="30"/>
      <x:c r="K323" s="24" t="str"/>
      <x:c r="L323" s="24" t="str">
        <x:v>자동점검</x:v>
      </x:c>
    </x:row>
    <x:row r="324" ht="17.25" customHeight="1">
      <x:c r="A324" s="24" t="str">
        <x:v>W-0323</x:v>
      </x:c>
      <x:c r="B324" s="24" t="str">
        <x:v>프라임구독</x:v>
      </x:c>
      <x:c r="C324" s="24" t="str">
        <x:v>112수8932</x:v>
      </x:c>
      <x:c r="D324" s="24" t="str">
        <x:v>보통</x:v>
      </x:c>
      <x:c r="E324" s="24" t="str">
        <x:v>상태 시작일 입력</x:v>
      </x:c>
      <x:c r="F324" s="24" t="str">
        <x:v>112수8932 상태 시작일 입력</x:v>
      </x:c>
      <x:c r="G324" s="24" t="str"/>
      <x:c r="H324" s="30"/>
      <x:c r="I324" s="24" t="str">
        <x:v>대기</x:v>
      </x:c>
      <x:c r="J324" s="30"/>
      <x:c r="K324" s="24" t="str"/>
      <x:c r="L324" s="24" t="str">
        <x:v>자동점검</x:v>
      </x:c>
    </x:row>
    <x:row r="325" ht="17.25" customHeight="1">
      <x:c r="A325" s="24" t="str">
        <x:v>W-0324</x:v>
      </x:c>
      <x:c r="B325" s="24" t="str">
        <x:v>프라임구독</x:v>
      </x:c>
      <x:c r="C325" s="24" t="str">
        <x:v>112수8932</x:v>
      </x:c>
      <x:c r="D325" s="24" t="str">
        <x:v>보통</x:v>
      </x:c>
      <x:c r="E325" s="24" t="str">
        <x:v>현재 보유 확인</x:v>
      </x:c>
      <x:c r="F325" s="24" t="str">
        <x:v>112수8932 현재 보유 확인</x:v>
      </x:c>
      <x:c r="G325" s="24" t="str"/>
      <x:c r="H325" s="30"/>
      <x:c r="I325" s="24" t="str">
        <x:v>대기</x:v>
      </x:c>
      <x:c r="J325" s="30"/>
      <x:c r="K325" s="24" t="str"/>
      <x:c r="L325" s="24" t="str">
        <x:v>자동점검</x:v>
      </x:c>
    </x:row>
    <x:row r="326" ht="17.25" customHeight="1">
      <x:c r="A326" s="24" t="str">
        <x:v>W-0325</x:v>
      </x:c>
      <x:c r="B326" s="24" t="str">
        <x:v>프라임구독</x:v>
      </x:c>
      <x:c r="C326" s="24" t="str">
        <x:v>113더8112</x:v>
      </x:c>
      <x:c r="D326" s="24" t="str">
        <x:v>긴급</x:v>
      </x:c>
      <x:c r="E326" s="24" t="str">
        <x:v>회수 검토</x:v>
      </x:c>
      <x:c r="F326" s="24" t="str">
        <x:v>113더8112 회수 검토</x:v>
      </x:c>
      <x:c r="G326" s="24" t="str"/>
      <x:c r="H326" s="30"/>
      <x:c r="I326" s="24" t="str">
        <x:v>대기</x:v>
      </x:c>
      <x:c r="J326" s="30"/>
      <x:c r="K326" s="24" t="str">
        <x:v>PR-C-113더8112-1-20230817-27</x:v>
      </x:c>
      <x:c r="L326" s="24" t="str">
        <x:v>자동점검</x:v>
      </x:c>
    </x:row>
    <x:row r="327" ht="17.25" customHeight="1">
      <x:c r="A327" s="24" t="str">
        <x:v>W-0326</x:v>
      </x:c>
      <x:c r="B327" s="24" t="str">
        <x:v>프라임구독</x:v>
      </x:c>
      <x:c r="C327" s="24" t="str">
        <x:v>113더8112</x:v>
      </x:c>
      <x:c r="D327" s="24" t="str">
        <x:v>높음</x:v>
      </x:c>
      <x:c r="E327" s="24" t="str">
        <x:v>보험 연령 입력</x:v>
      </x:c>
      <x:c r="F327" s="24" t="str">
        <x:v>113더8112 보험 연령 입력</x:v>
      </x:c>
      <x:c r="G327" s="24" t="str"/>
      <x:c r="H327" s="30"/>
      <x:c r="I327" s="24" t="str">
        <x:v>대기</x:v>
      </x:c>
      <x:c r="J327" s="30"/>
      <x:c r="K327" s="24" t="str">
        <x:v>PR-C-113더8112-1-20230817-27</x:v>
      </x:c>
      <x:c r="L327" s="24" t="str">
        <x:v>자동점검</x:v>
      </x:c>
    </x:row>
    <x:row r="328" ht="17.25" customHeight="1">
      <x:c r="A328" s="24" t="str">
        <x:v>W-0327</x:v>
      </x:c>
      <x:c r="B328" s="24" t="str">
        <x:v>프라임구독</x:v>
      </x:c>
      <x:c r="C328" s="24" t="str">
        <x:v>113더8112</x:v>
      </x:c>
      <x:c r="D328" s="24" t="str">
        <x:v>높음</x:v>
      </x:c>
      <x:c r="E328" s="24" t="str">
        <x:v>보험 갱신 확인</x:v>
      </x:c>
      <x:c r="F328" s="24" t="str">
        <x:v>113더8112 보험 갱신 확인</x:v>
      </x:c>
      <x:c r="G328" s="24" t="str"/>
      <x:c r="H328" s="30"/>
      <x:c r="I328" s="24" t="str">
        <x:v>대기</x:v>
      </x:c>
      <x:c r="J328" s="30"/>
      <x:c r="K328" s="24" t="str">
        <x:v>PR-C-113더8112-1-20230817-27</x:v>
      </x:c>
      <x:c r="L328" s="24" t="str">
        <x:v>자동점검</x:v>
      </x:c>
    </x:row>
    <x:row r="329" ht="17.25" customHeight="1">
      <x:c r="A329" s="24" t="str">
        <x:v>W-0328</x:v>
      </x:c>
      <x:c r="B329" s="24" t="str">
        <x:v>프라임구독</x:v>
      </x:c>
      <x:c r="C329" s="24" t="str">
        <x:v>113더8112</x:v>
      </x:c>
      <x:c r="D329" s="24" t="str">
        <x:v>보통</x:v>
      </x:c>
      <x:c r="E329" s="24" t="str">
        <x:v>현재 보유 확인</x:v>
      </x:c>
      <x:c r="F329" s="24" t="str">
        <x:v>113더8112 현재 보유 확인</x:v>
      </x:c>
      <x:c r="G329" s="24" t="str"/>
      <x:c r="H329" s="30"/>
      <x:c r="I329" s="24" t="str">
        <x:v>대기</x:v>
      </x:c>
      <x:c r="J329" s="30"/>
      <x:c r="K329" s="24" t="str">
        <x:v>PR-C-113더8112-1-20230817-27</x:v>
      </x:c>
      <x:c r="L329" s="24" t="str">
        <x:v>자동점검</x:v>
      </x:c>
    </x:row>
    <x:row r="330" ht="17.25" customHeight="1">
      <x:c r="A330" s="24" t="str">
        <x:v>W-0329</x:v>
      </x:c>
      <x:c r="B330" s="24" t="str">
        <x:v>프라임구독</x:v>
      </x:c>
      <x:c r="C330" s="24" t="str">
        <x:v>114루8423</x:v>
      </x:c>
      <x:c r="D330" s="24" t="str">
        <x:v>보통</x:v>
      </x:c>
      <x:c r="E330" s="24" t="str">
        <x:v>상태 시작일 입력</x:v>
      </x:c>
      <x:c r="F330" s="24" t="str">
        <x:v>114루8423 상태 시작일 입력</x:v>
      </x:c>
      <x:c r="G330" s="24" t="str"/>
      <x:c r="H330" s="30"/>
      <x:c r="I330" s="24" t="str">
        <x:v>대기</x:v>
      </x:c>
      <x:c r="J330" s="30"/>
      <x:c r="K330" s="24" t="str"/>
      <x:c r="L330" s="24" t="str">
        <x:v>자동점검</x:v>
      </x:c>
    </x:row>
    <x:row r="331" ht="17.25" customHeight="1">
      <x:c r="A331" s="24" t="str">
        <x:v>W-0330</x:v>
      </x:c>
      <x:c r="B331" s="24" t="str">
        <x:v>프라임구독</x:v>
      </x:c>
      <x:c r="C331" s="24" t="str">
        <x:v>114루8423</x:v>
      </x:c>
      <x:c r="D331" s="24" t="str">
        <x:v>보통</x:v>
      </x:c>
      <x:c r="E331" s="24" t="str">
        <x:v>현재 보유 확인</x:v>
      </x:c>
      <x:c r="F331" s="24" t="str">
        <x:v>114루8423 현재 보유 확인</x:v>
      </x:c>
      <x:c r="G331" s="24" t="str"/>
      <x:c r="H331" s="30"/>
      <x:c r="I331" s="24" t="str">
        <x:v>대기</x:v>
      </x:c>
      <x:c r="J331" s="30"/>
      <x:c r="K331" s="24" t="str"/>
      <x:c r="L331" s="24" t="str">
        <x:v>자동점검</x:v>
      </x:c>
    </x:row>
    <x:row r="332" ht="17.25" customHeight="1">
      <x:c r="A332" s="24" t="str">
        <x:v>W-0331</x:v>
      </x:c>
      <x:c r="B332" s="24" t="str">
        <x:v>프라임구독</x:v>
      </x:c>
      <x:c r="C332" s="24" t="str">
        <x:v>119두7903</x:v>
      </x:c>
      <x:c r="D332" s="24" t="str">
        <x:v>긴급</x:v>
      </x:c>
      <x:c r="E332" s="24" t="str">
        <x:v>회수 검토</x:v>
      </x:c>
      <x:c r="F332" s="24" t="str">
        <x:v>119두7903 회수 검토</x:v>
      </x:c>
      <x:c r="G332" s="24" t="str"/>
      <x:c r="H332" s="30"/>
      <x:c r="I332" s="24" t="str">
        <x:v>대기</x:v>
      </x:c>
      <x:c r="J332" s="30"/>
      <x:c r="K332" s="24" t="str">
        <x:v>PR-C-119두7903-1-20230113-29</x:v>
      </x:c>
      <x:c r="L332" s="24" t="str">
        <x:v>자동점검</x:v>
      </x:c>
    </x:row>
    <x:row r="333" ht="17.25" customHeight="1">
      <x:c r="A333" s="24" t="str">
        <x:v>W-0332</x:v>
      </x:c>
      <x:c r="B333" s="24" t="str">
        <x:v>프라임구독</x:v>
      </x:c>
      <x:c r="C333" s="24" t="str">
        <x:v>119두7903</x:v>
      </x:c>
      <x:c r="D333" s="24" t="str">
        <x:v>높음</x:v>
      </x:c>
      <x:c r="E333" s="24" t="str">
        <x:v>보험 연령 입력</x:v>
      </x:c>
      <x:c r="F333" s="24" t="str">
        <x:v>119두7903 보험 연령 입력</x:v>
      </x:c>
      <x:c r="G333" s="24" t="str"/>
      <x:c r="H333" s="30"/>
      <x:c r="I333" s="24" t="str">
        <x:v>대기</x:v>
      </x:c>
      <x:c r="J333" s="30"/>
      <x:c r="K333" s="24" t="str">
        <x:v>PR-C-119두7903-1-20230113-29</x:v>
      </x:c>
      <x:c r="L333" s="24" t="str">
        <x:v>자동점검</x:v>
      </x:c>
    </x:row>
    <x:row r="334" ht="17.25" customHeight="1">
      <x:c r="A334" s="24" t="str">
        <x:v>W-0333</x:v>
      </x:c>
      <x:c r="B334" s="24" t="str">
        <x:v>프라임구독</x:v>
      </x:c>
      <x:c r="C334" s="24" t="str">
        <x:v>119두7903</x:v>
      </x:c>
      <x:c r="D334" s="24" t="str">
        <x:v>높음</x:v>
      </x:c>
      <x:c r="E334" s="24" t="str">
        <x:v>보험 갱신 확인</x:v>
      </x:c>
      <x:c r="F334" s="24" t="str">
        <x:v>119두7903 보험 갱신 확인</x:v>
      </x:c>
      <x:c r="G334" s="24" t="str"/>
      <x:c r="H334" s="30"/>
      <x:c r="I334" s="24" t="str">
        <x:v>대기</x:v>
      </x:c>
      <x:c r="J334" s="30"/>
      <x:c r="K334" s="24" t="str">
        <x:v>PR-C-119두7903-1-20230113-29</x:v>
      </x:c>
      <x:c r="L334" s="24" t="str">
        <x:v>자동점검</x:v>
      </x:c>
    </x:row>
    <x:row r="335" ht="17.25" customHeight="1">
      <x:c r="A335" s="24" t="str">
        <x:v>W-0334</x:v>
      </x:c>
      <x:c r="B335" s="24" t="str">
        <x:v>프라임구독</x:v>
      </x:c>
      <x:c r="C335" s="24" t="str">
        <x:v>119두7903</x:v>
      </x:c>
      <x:c r="D335" s="24" t="str">
        <x:v>보통</x:v>
      </x:c>
      <x:c r="E335" s="24" t="str">
        <x:v>현재 보유 확인</x:v>
      </x:c>
      <x:c r="F335" s="24" t="str">
        <x:v>119두7903 현재 보유 확인</x:v>
      </x:c>
      <x:c r="G335" s="24" t="str"/>
      <x:c r="H335" s="30"/>
      <x:c r="I335" s="24" t="str">
        <x:v>대기</x:v>
      </x:c>
      <x:c r="J335" s="30"/>
      <x:c r="K335" s="24" t="str">
        <x:v>PR-C-119두7903-1-20230113-29</x:v>
      </x:c>
      <x:c r="L335" s="24" t="str">
        <x:v>자동점검</x:v>
      </x:c>
    </x:row>
    <x:row r="336" ht="17.25" customHeight="1">
      <x:c r="A336" s="24" t="str">
        <x:v>W-0335</x:v>
      </x:c>
      <x:c r="B336" s="24" t="str">
        <x:v>프라임구독</x:v>
      </x:c>
      <x:c r="C336" s="24" t="str">
        <x:v>119라1440</x:v>
      </x:c>
      <x:c r="D336" s="24" t="str">
        <x:v>보통</x:v>
      </x:c>
      <x:c r="E336" s="24" t="str">
        <x:v>상태 시작일 입력</x:v>
      </x:c>
      <x:c r="F336" s="24" t="str">
        <x:v>119라1440 상태 시작일 입력</x:v>
      </x:c>
      <x:c r="G336" s="24" t="str"/>
      <x:c r="H336" s="30"/>
      <x:c r="I336" s="24" t="str">
        <x:v>대기</x:v>
      </x:c>
      <x:c r="J336" s="30"/>
      <x:c r="K336" s="24" t="str"/>
      <x:c r="L336" s="24" t="str">
        <x:v>자동점검</x:v>
      </x:c>
    </x:row>
    <x:row r="337" ht="17.25" customHeight="1">
      <x:c r="A337" s="24" t="str">
        <x:v>W-0336</x:v>
      </x:c>
      <x:c r="B337" s="24" t="str">
        <x:v>프라임구독</x:v>
      </x:c>
      <x:c r="C337" s="24" t="str">
        <x:v>119라1440</x:v>
      </x:c>
      <x:c r="D337" s="24" t="str">
        <x:v>보통</x:v>
      </x:c>
      <x:c r="E337" s="24" t="str">
        <x:v>현재 보유 확인</x:v>
      </x:c>
      <x:c r="F337" s="24" t="str">
        <x:v>119라1440 현재 보유 확인</x:v>
      </x:c>
      <x:c r="G337" s="24" t="str"/>
      <x:c r="H337" s="30"/>
      <x:c r="I337" s="24" t="str">
        <x:v>대기</x:v>
      </x:c>
      <x:c r="J337" s="30"/>
      <x:c r="K337" s="24" t="str"/>
      <x:c r="L337" s="24" t="str">
        <x:v>자동점검</x:v>
      </x:c>
    </x:row>
    <x:row r="338" ht="17.25" customHeight="1">
      <x:c r="A338" s="24" t="str">
        <x:v>W-0337</x:v>
      </x:c>
      <x:c r="B338" s="24" t="str">
        <x:v>프라임구독</x:v>
      </x:c>
      <x:c r="C338" s="24" t="str">
        <x:v>11구5844</x:v>
      </x:c>
      <x:c r="D338" s="24" t="str">
        <x:v>보통</x:v>
      </x:c>
      <x:c r="E338" s="24" t="str">
        <x:v>상태 시작일 입력</x:v>
      </x:c>
      <x:c r="F338" s="24" t="str">
        <x:v>11구5844 상태 시작일 입력</x:v>
      </x:c>
      <x:c r="G338" s="24" t="str"/>
      <x:c r="H338" s="30"/>
      <x:c r="I338" s="24" t="str">
        <x:v>대기</x:v>
      </x:c>
      <x:c r="J338" s="30"/>
      <x:c r="K338" s="24" t="str"/>
      <x:c r="L338" s="24" t="str">
        <x:v>자동점검</x:v>
      </x:c>
    </x:row>
    <x:row r="339" ht="17.25" customHeight="1">
      <x:c r="A339" s="24" t="str">
        <x:v>W-0338</x:v>
      </x:c>
      <x:c r="B339" s="24" t="str">
        <x:v>프라임구독</x:v>
      </x:c>
      <x:c r="C339" s="24" t="str">
        <x:v>11구5844</x:v>
      </x:c>
      <x:c r="D339" s="24" t="str">
        <x:v>보통</x:v>
      </x:c>
      <x:c r="E339" s="24" t="str">
        <x:v>현재 보유 확인</x:v>
      </x:c>
      <x:c r="F339" s="24" t="str">
        <x:v>11구5844 현재 보유 확인</x:v>
      </x:c>
      <x:c r="G339" s="24" t="str"/>
      <x:c r="H339" s="30"/>
      <x:c r="I339" s="24" t="str">
        <x:v>대기</x:v>
      </x:c>
      <x:c r="J339" s="30"/>
      <x:c r="K339" s="24" t="str"/>
      <x:c r="L339" s="24" t="str">
        <x:v>자동점검</x:v>
      </x:c>
    </x:row>
    <x:row r="340" ht="17.25" customHeight="1">
      <x:c r="A340" s="24" t="str">
        <x:v>W-0339</x:v>
      </x:c>
      <x:c r="B340" s="24" t="str">
        <x:v>프라임구독</x:v>
      </x:c>
      <x:c r="C340" s="24" t="str">
        <x:v>11머0509</x:v>
      </x:c>
      <x:c r="D340" s="24" t="str">
        <x:v>보통</x:v>
      </x:c>
      <x:c r="E340" s="24" t="str">
        <x:v>상태 시작일 입력</x:v>
      </x:c>
      <x:c r="F340" s="24" t="str">
        <x:v>11머0509 상태 시작일 입력</x:v>
      </x:c>
      <x:c r="G340" s="24" t="str"/>
      <x:c r="H340" s="30"/>
      <x:c r="I340" s="24" t="str">
        <x:v>대기</x:v>
      </x:c>
      <x:c r="J340" s="30"/>
      <x:c r="K340" s="24" t="str"/>
      <x:c r="L340" s="24" t="str">
        <x:v>자동점검</x:v>
      </x:c>
    </x:row>
    <x:row r="341" ht="17.25" customHeight="1">
      <x:c r="A341" s="24" t="str">
        <x:v>W-0340</x:v>
      </x:c>
      <x:c r="B341" s="24" t="str">
        <x:v>프라임구독</x:v>
      </x:c>
      <x:c r="C341" s="24" t="str">
        <x:v>11머0509</x:v>
      </x:c>
      <x:c r="D341" s="24" t="str">
        <x:v>보통</x:v>
      </x:c>
      <x:c r="E341" s="24" t="str">
        <x:v>현재 보유 확인</x:v>
      </x:c>
      <x:c r="F341" s="24" t="str">
        <x:v>11머0509 현재 보유 확인</x:v>
      </x:c>
      <x:c r="G341" s="24" t="str"/>
      <x:c r="H341" s="30"/>
      <x:c r="I341" s="24" t="str">
        <x:v>대기</x:v>
      </x:c>
      <x:c r="J341" s="30"/>
      <x:c r="K341" s="24" t="str"/>
      <x:c r="L341" s="24" t="str">
        <x:v>자동점검</x:v>
      </x:c>
    </x:row>
    <x:row r="342" ht="17.25" customHeight="1">
      <x:c r="A342" s="24" t="str">
        <x:v>W-0341</x:v>
      </x:c>
      <x:c r="B342" s="24" t="str">
        <x:v>프라임구독</x:v>
      </x:c>
      <x:c r="C342" s="24" t="str">
        <x:v>11서5986</x:v>
      </x:c>
      <x:c r="D342" s="24" t="str">
        <x:v>보통</x:v>
      </x:c>
      <x:c r="E342" s="24" t="str">
        <x:v>상태 시작일 입력</x:v>
      </x:c>
      <x:c r="F342" s="24" t="str">
        <x:v>11서5986 상태 시작일 입력</x:v>
      </x:c>
      <x:c r="G342" s="24" t="str"/>
      <x:c r="H342" s="30"/>
      <x:c r="I342" s="24" t="str">
        <x:v>대기</x:v>
      </x:c>
      <x:c r="J342" s="30"/>
      <x:c r="K342" s="24" t="str"/>
      <x:c r="L342" s="24" t="str">
        <x:v>자동점검</x:v>
      </x:c>
    </x:row>
    <x:row r="343" ht="17.25" customHeight="1">
      <x:c r="A343" s="24" t="str">
        <x:v>W-0342</x:v>
      </x:c>
      <x:c r="B343" s="24" t="str">
        <x:v>프라임구독</x:v>
      </x:c>
      <x:c r="C343" s="24" t="str">
        <x:v>11서5986</x:v>
      </x:c>
      <x:c r="D343" s="24" t="str">
        <x:v>보통</x:v>
      </x:c>
      <x:c r="E343" s="24" t="str">
        <x:v>현재 보유 확인</x:v>
      </x:c>
      <x:c r="F343" s="24" t="str">
        <x:v>11서5986 현재 보유 확인</x:v>
      </x:c>
      <x:c r="G343" s="24" t="str"/>
      <x:c r="H343" s="30"/>
      <x:c r="I343" s="24" t="str">
        <x:v>대기</x:v>
      </x:c>
      <x:c r="J343" s="30"/>
      <x:c r="K343" s="24" t="str"/>
      <x:c r="L343" s="24" t="str">
        <x:v>자동점검</x:v>
      </x:c>
    </x:row>
    <x:row r="344" ht="17.25" customHeight="1">
      <x:c r="A344" s="24" t="str">
        <x:v>W-0343</x:v>
      </x:c>
      <x:c r="B344" s="24" t="str">
        <x:v>프라임구독</x:v>
      </x:c>
      <x:c r="C344" s="24" t="str">
        <x:v>129수4096</x:v>
      </x:c>
      <x:c r="D344" s="24" t="str">
        <x:v>보통</x:v>
      </x:c>
      <x:c r="E344" s="24" t="str">
        <x:v>상태 시작일 입력</x:v>
      </x:c>
      <x:c r="F344" s="24" t="str">
        <x:v>129수4096 상태 시작일 입력</x:v>
      </x:c>
      <x:c r="G344" s="24" t="str"/>
      <x:c r="H344" s="30"/>
      <x:c r="I344" s="24" t="str">
        <x:v>대기</x:v>
      </x:c>
      <x:c r="J344" s="30"/>
      <x:c r="K344" s="24" t="str"/>
      <x:c r="L344" s="24" t="str">
        <x:v>자동점검</x:v>
      </x:c>
    </x:row>
    <x:row r="345" ht="17.25" customHeight="1">
      <x:c r="A345" s="24" t="str">
        <x:v>W-0344</x:v>
      </x:c>
      <x:c r="B345" s="24" t="str">
        <x:v>프라임구독</x:v>
      </x:c>
      <x:c r="C345" s="24" t="str">
        <x:v>129수4096</x:v>
      </x:c>
      <x:c r="D345" s="24" t="str">
        <x:v>보통</x:v>
      </x:c>
      <x:c r="E345" s="24" t="str">
        <x:v>현재 보유 확인</x:v>
      </x:c>
      <x:c r="F345" s="24" t="str">
        <x:v>129수4096 현재 보유 확인</x:v>
      </x:c>
      <x:c r="G345" s="24" t="str"/>
      <x:c r="H345" s="30"/>
      <x:c r="I345" s="24" t="str">
        <x:v>대기</x:v>
      </x:c>
      <x:c r="J345" s="30"/>
      <x:c r="K345" s="24" t="str"/>
      <x:c r="L345" s="24" t="str">
        <x:v>자동점검</x:v>
      </x:c>
    </x:row>
    <x:row r="346" ht="17.25" customHeight="1">
      <x:c r="A346" s="24" t="str">
        <x:v>W-0345</x:v>
      </x:c>
      <x:c r="B346" s="24" t="str">
        <x:v>프라임구독</x:v>
      </x:c>
      <x:c r="C346" s="24" t="str">
        <x:v>136저9431</x:v>
      </x:c>
      <x:c r="D346" s="24" t="str">
        <x:v>긴급</x:v>
      </x:c>
      <x:c r="E346" s="24" t="str">
        <x:v>회수 검토</x:v>
      </x:c>
      <x:c r="F346" s="24" t="str">
        <x:v>136저9431 회수 검토</x:v>
      </x:c>
      <x:c r="G346" s="24" t="str"/>
      <x:c r="H346" s="30"/>
      <x:c r="I346" s="24" t="str">
        <x:v>대기</x:v>
      </x:c>
      <x:c r="J346" s="30"/>
      <x:c r="K346" s="24" t="str">
        <x:v>PR-C-136저9431-1-20240307-36</x:v>
      </x:c>
      <x:c r="L346" s="24" t="str">
        <x:v>자동점검</x:v>
      </x:c>
    </x:row>
    <x:row r="347" ht="17.25" customHeight="1">
      <x:c r="A347" s="24" t="str">
        <x:v>W-0346</x:v>
      </x:c>
      <x:c r="B347" s="24" t="str">
        <x:v>프라임구독</x:v>
      </x:c>
      <x:c r="C347" s="24" t="str">
        <x:v>136저9431</x:v>
      </x:c>
      <x:c r="D347" s="24" t="str">
        <x:v>높음</x:v>
      </x:c>
      <x:c r="E347" s="24" t="str">
        <x:v>보험 연령 입력</x:v>
      </x:c>
      <x:c r="F347" s="24" t="str">
        <x:v>136저9431 보험 연령 입력</x:v>
      </x:c>
      <x:c r="G347" s="24" t="str"/>
      <x:c r="H347" s="30"/>
      <x:c r="I347" s="24" t="str">
        <x:v>대기</x:v>
      </x:c>
      <x:c r="J347" s="30"/>
      <x:c r="K347" s="24" t="str">
        <x:v>PR-C-136저9431-1-20240307-36</x:v>
      </x:c>
      <x:c r="L347" s="24" t="str">
        <x:v>자동점검</x:v>
      </x:c>
    </x:row>
    <x:row r="348" ht="17.25" customHeight="1">
      <x:c r="A348" s="24" t="str">
        <x:v>W-0347</x:v>
      </x:c>
      <x:c r="B348" s="24" t="str">
        <x:v>프라임구독</x:v>
      </x:c>
      <x:c r="C348" s="24" t="str">
        <x:v>136저9431</x:v>
      </x:c>
      <x:c r="D348" s="24" t="str">
        <x:v>높음</x:v>
      </x:c>
      <x:c r="E348" s="24" t="str">
        <x:v>보험 갱신 확인</x:v>
      </x:c>
      <x:c r="F348" s="24" t="str">
        <x:v>136저9431 보험 갱신 확인</x:v>
      </x:c>
      <x:c r="G348" s="24" t="str"/>
      <x:c r="H348" s="30"/>
      <x:c r="I348" s="24" t="str">
        <x:v>대기</x:v>
      </x:c>
      <x:c r="J348" s="30"/>
      <x:c r="K348" s="24" t="str">
        <x:v>PR-C-136저9431-1-20240307-36</x:v>
      </x:c>
      <x:c r="L348" s="24" t="str">
        <x:v>자동점검</x:v>
      </x:c>
    </x:row>
    <x:row r="349" ht="17.25" customHeight="1">
      <x:c r="A349" s="24" t="str">
        <x:v>W-0348</x:v>
      </x:c>
      <x:c r="B349" s="24" t="str">
        <x:v>프라임구독</x:v>
      </x:c>
      <x:c r="C349" s="24" t="str">
        <x:v>136저9431</x:v>
      </x:c>
      <x:c r="D349" s="24" t="str">
        <x:v>보통</x:v>
      </x:c>
      <x:c r="E349" s="24" t="str">
        <x:v>현재 보유 확인</x:v>
      </x:c>
      <x:c r="F349" s="24" t="str">
        <x:v>136저9431 현재 보유 확인</x:v>
      </x:c>
      <x:c r="G349" s="24" t="str"/>
      <x:c r="H349" s="30"/>
      <x:c r="I349" s="24" t="str">
        <x:v>대기</x:v>
      </x:c>
      <x:c r="J349" s="30"/>
      <x:c r="K349" s="24" t="str">
        <x:v>PR-C-136저9431-1-20240307-36</x:v>
      </x:c>
      <x:c r="L349" s="24" t="str">
        <x:v>자동점검</x:v>
      </x:c>
    </x:row>
    <x:row r="350" ht="17.25" customHeight="1">
      <x:c r="A350" s="24" t="str">
        <x:v>W-0349</x:v>
      </x:c>
      <x:c r="B350" s="24" t="str">
        <x:v>프라임구독</x:v>
      </x:c>
      <x:c r="C350" s="24" t="str">
        <x:v>13보6078</x:v>
      </x:c>
      <x:c r="D350" s="24" t="str">
        <x:v>보통</x:v>
      </x:c>
      <x:c r="E350" s="24" t="str">
        <x:v>상태 시작일 입력</x:v>
      </x:c>
      <x:c r="F350" s="24" t="str">
        <x:v>13보6078 상태 시작일 입력</x:v>
      </x:c>
      <x:c r="G350" s="24" t="str"/>
      <x:c r="H350" s="30"/>
      <x:c r="I350" s="24" t="str">
        <x:v>대기</x:v>
      </x:c>
      <x:c r="J350" s="30"/>
      <x:c r="K350" s="24" t="str"/>
      <x:c r="L350" s="24" t="str">
        <x:v>자동점검</x:v>
      </x:c>
    </x:row>
    <x:row r="351" ht="17.25" customHeight="1">
      <x:c r="A351" s="24" t="str">
        <x:v>W-0350</x:v>
      </x:c>
      <x:c r="B351" s="24" t="str">
        <x:v>프라임구독</x:v>
      </x:c>
      <x:c r="C351" s="24" t="str">
        <x:v>13보6078</x:v>
      </x:c>
      <x:c r="D351" s="24" t="str">
        <x:v>보통</x:v>
      </x:c>
      <x:c r="E351" s="24" t="str">
        <x:v>현재 보유 확인</x:v>
      </x:c>
      <x:c r="F351" s="24" t="str">
        <x:v>13보6078 현재 보유 확인</x:v>
      </x:c>
      <x:c r="G351" s="24" t="str"/>
      <x:c r="H351" s="30"/>
      <x:c r="I351" s="24" t="str">
        <x:v>대기</x:v>
      </x:c>
      <x:c r="J351" s="30"/>
      <x:c r="K351" s="24" t="str"/>
      <x:c r="L351" s="24" t="str">
        <x:v>자동점검</x:v>
      </x:c>
    </x:row>
    <x:row r="352" ht="17.25" customHeight="1">
      <x:c r="A352" s="24" t="str">
        <x:v>W-0351</x:v>
      </x:c>
      <x:c r="B352" s="24" t="str">
        <x:v>프라임구독</x:v>
      </x:c>
      <x:c r="C352" s="24" t="str">
        <x:v>13서8926</x:v>
      </x:c>
      <x:c r="D352" s="24" t="str">
        <x:v>보통</x:v>
      </x:c>
      <x:c r="E352" s="24" t="str">
        <x:v>상태 시작일 입력</x:v>
      </x:c>
      <x:c r="F352" s="24" t="str">
        <x:v>13서8926 상태 시작일 입력</x:v>
      </x:c>
      <x:c r="G352" s="24" t="str"/>
      <x:c r="H352" s="30"/>
      <x:c r="I352" s="24" t="str">
        <x:v>대기</x:v>
      </x:c>
      <x:c r="J352" s="30"/>
      <x:c r="K352" s="24" t="str"/>
      <x:c r="L352" s="24" t="str">
        <x:v>자동점검</x:v>
      </x:c>
    </x:row>
    <x:row r="353" ht="17.25" customHeight="1">
      <x:c r="A353" s="24" t="str">
        <x:v>W-0352</x:v>
      </x:c>
      <x:c r="B353" s="24" t="str">
        <x:v>프라임구독</x:v>
      </x:c>
      <x:c r="C353" s="24" t="str">
        <x:v>13서8926</x:v>
      </x:c>
      <x:c r="D353" s="24" t="str">
        <x:v>보통</x:v>
      </x:c>
      <x:c r="E353" s="24" t="str">
        <x:v>현재 보유 확인</x:v>
      </x:c>
      <x:c r="F353" s="24" t="str">
        <x:v>13서8926 현재 보유 확인</x:v>
      </x:c>
      <x:c r="G353" s="24" t="str"/>
      <x:c r="H353" s="30"/>
      <x:c r="I353" s="24" t="str">
        <x:v>대기</x:v>
      </x:c>
      <x:c r="J353" s="30"/>
      <x:c r="K353" s="24" t="str"/>
      <x:c r="L353" s="24" t="str">
        <x:v>자동점검</x:v>
      </x:c>
    </x:row>
    <x:row r="354" ht="17.25" customHeight="1">
      <x:c r="A354" s="24" t="str">
        <x:v>W-0353</x:v>
      </x:c>
      <x:c r="B354" s="24" t="str">
        <x:v>프라임구독</x:v>
      </x:c>
      <x:c r="C354" s="24" t="str">
        <x:v>141라3003</x:v>
      </x:c>
      <x:c r="D354" s="24" t="str">
        <x:v>보통</x:v>
      </x:c>
      <x:c r="E354" s="24" t="str">
        <x:v>상태 시작일 입력</x:v>
      </x:c>
      <x:c r="F354" s="24" t="str">
        <x:v>141라3003 상태 시작일 입력</x:v>
      </x:c>
      <x:c r="G354" s="24" t="str"/>
      <x:c r="H354" s="30"/>
      <x:c r="I354" s="24" t="str">
        <x:v>대기</x:v>
      </x:c>
      <x:c r="J354" s="30"/>
      <x:c r="K354" s="24" t="str"/>
      <x:c r="L354" s="24" t="str">
        <x:v>자동점검</x:v>
      </x:c>
    </x:row>
    <x:row r="355" ht="17.25" customHeight="1">
      <x:c r="A355" s="24" t="str">
        <x:v>W-0354</x:v>
      </x:c>
      <x:c r="B355" s="24" t="str">
        <x:v>프라임구독</x:v>
      </x:c>
      <x:c r="C355" s="24" t="str">
        <x:v>141라3003</x:v>
      </x:c>
      <x:c r="D355" s="24" t="str">
        <x:v>보통</x:v>
      </x:c>
      <x:c r="E355" s="24" t="str">
        <x:v>현재 보유 확인</x:v>
      </x:c>
      <x:c r="F355" s="24" t="str">
        <x:v>141라3003 현재 보유 확인</x:v>
      </x:c>
      <x:c r="G355" s="24" t="str"/>
      <x:c r="H355" s="30"/>
      <x:c r="I355" s="24" t="str">
        <x:v>대기</x:v>
      </x:c>
      <x:c r="J355" s="30"/>
      <x:c r="K355" s="24" t="str"/>
      <x:c r="L355" s="24" t="str">
        <x:v>자동점검</x:v>
      </x:c>
    </x:row>
    <x:row r="356" ht="17.25" customHeight="1">
      <x:c r="A356" s="24" t="str">
        <x:v>W-0355</x:v>
      </x:c>
      <x:c r="B356" s="24" t="str">
        <x:v>프라임구독</x:v>
      </x:c>
      <x:c r="C356" s="24" t="str">
        <x:v>141로3689</x:v>
      </x:c>
      <x:c r="D356" s="24" t="str">
        <x:v>보통</x:v>
      </x:c>
      <x:c r="E356" s="24" t="str">
        <x:v>상태 시작일 입력</x:v>
      </x:c>
      <x:c r="F356" s="24" t="str">
        <x:v>141로3689 상태 시작일 입력</x:v>
      </x:c>
      <x:c r="G356" s="24" t="str"/>
      <x:c r="H356" s="30"/>
      <x:c r="I356" s="24" t="str">
        <x:v>대기</x:v>
      </x:c>
      <x:c r="J356" s="30"/>
      <x:c r="K356" s="24" t="str"/>
      <x:c r="L356" s="24" t="str">
        <x:v>자동점검</x:v>
      </x:c>
    </x:row>
    <x:row r="357" ht="17.25" customHeight="1">
      <x:c r="A357" s="24" t="str">
        <x:v>W-0356</x:v>
      </x:c>
      <x:c r="B357" s="24" t="str">
        <x:v>프라임구독</x:v>
      </x:c>
      <x:c r="C357" s="24" t="str">
        <x:v>141로3689</x:v>
      </x:c>
      <x:c r="D357" s="24" t="str">
        <x:v>보통</x:v>
      </x:c>
      <x:c r="E357" s="24" t="str">
        <x:v>현재 보유 확인</x:v>
      </x:c>
      <x:c r="F357" s="24" t="str">
        <x:v>141로3689 현재 보유 확인</x:v>
      </x:c>
      <x:c r="G357" s="24" t="str"/>
      <x:c r="H357" s="30"/>
      <x:c r="I357" s="24" t="str">
        <x:v>대기</x:v>
      </x:c>
      <x:c r="J357" s="30"/>
      <x:c r="K357" s="24" t="str"/>
      <x:c r="L357" s="24" t="str">
        <x:v>자동점검</x:v>
      </x:c>
    </x:row>
    <x:row r="358" ht="17.25" customHeight="1">
      <x:c r="A358" s="24" t="str">
        <x:v>W-0357</x:v>
      </x:c>
      <x:c r="B358" s="24" t="str">
        <x:v>프라임구독</x:v>
      </x:c>
      <x:c r="C358" s="24" t="str">
        <x:v>145부9300</x:v>
      </x:c>
      <x:c r="D358" s="24" t="str">
        <x:v>보통</x:v>
      </x:c>
      <x:c r="E358" s="24" t="str">
        <x:v>상태 시작일 입력</x:v>
      </x:c>
      <x:c r="F358" s="24" t="str">
        <x:v>145부9300 상태 시작일 입력</x:v>
      </x:c>
      <x:c r="G358" s="24" t="str"/>
      <x:c r="H358" s="30"/>
      <x:c r="I358" s="24" t="str">
        <x:v>대기</x:v>
      </x:c>
      <x:c r="J358" s="30"/>
      <x:c r="K358" s="24" t="str"/>
      <x:c r="L358" s="24" t="str">
        <x:v>자동점검</x:v>
      </x:c>
    </x:row>
    <x:row r="359" ht="17.25" customHeight="1">
      <x:c r="A359" s="24" t="str">
        <x:v>W-0358</x:v>
      </x:c>
      <x:c r="B359" s="24" t="str">
        <x:v>프라임구독</x:v>
      </x:c>
      <x:c r="C359" s="24" t="str">
        <x:v>145부9300</x:v>
      </x:c>
      <x:c r="D359" s="24" t="str">
        <x:v>보통</x:v>
      </x:c>
      <x:c r="E359" s="24" t="str">
        <x:v>현재 보유 확인</x:v>
      </x:c>
      <x:c r="F359" s="24" t="str">
        <x:v>145부9300 현재 보유 확인</x:v>
      </x:c>
      <x:c r="G359" s="24" t="str"/>
      <x:c r="H359" s="30"/>
      <x:c r="I359" s="24" t="str">
        <x:v>대기</x:v>
      </x:c>
      <x:c r="J359" s="30"/>
      <x:c r="K359" s="24" t="str"/>
      <x:c r="L359" s="24" t="str">
        <x:v>자동점검</x:v>
      </x:c>
    </x:row>
    <x:row r="360" ht="17.25" customHeight="1">
      <x:c r="A360" s="24" t="str">
        <x:v>W-0359</x:v>
      </x:c>
      <x:c r="B360" s="24" t="str">
        <x:v>프라임구독</x:v>
      </x:c>
      <x:c r="C360" s="24" t="str">
        <x:v>14누0912</x:v>
      </x:c>
      <x:c r="D360" s="24" t="str">
        <x:v>긴급</x:v>
      </x:c>
      <x:c r="E360" s="24" t="str">
        <x:v>회수 검토</x:v>
      </x:c>
      <x:c r="F360" s="24" t="str">
        <x:v>14누0912 회수 검토</x:v>
      </x:c>
      <x:c r="G360" s="24" t="str"/>
      <x:c r="H360" s="30"/>
      <x:c r="I360" s="24" t="str">
        <x:v>대기</x:v>
      </x:c>
      <x:c r="J360" s="30"/>
      <x:c r="K360" s="24" t="str">
        <x:v>PR-C-14누0912-1-20240223-45</x:v>
      </x:c>
      <x:c r="L360" s="24" t="str">
        <x:v>자동점검</x:v>
      </x:c>
    </x:row>
    <x:row r="361" ht="17.25" customHeight="1">
      <x:c r="A361" s="24" t="str">
        <x:v>W-0360</x:v>
      </x:c>
      <x:c r="B361" s="24" t="str">
        <x:v>프라임구독</x:v>
      </x:c>
      <x:c r="C361" s="24" t="str">
        <x:v>14누0912</x:v>
      </x:c>
      <x:c r="D361" s="24" t="str">
        <x:v>높음</x:v>
      </x:c>
      <x:c r="E361" s="24" t="str">
        <x:v>보험 연령 입력</x:v>
      </x:c>
      <x:c r="F361" s="24" t="str">
        <x:v>14누0912 보험 연령 입력</x:v>
      </x:c>
      <x:c r="G361" s="24" t="str"/>
      <x:c r="H361" s="30"/>
      <x:c r="I361" s="24" t="str">
        <x:v>대기</x:v>
      </x:c>
      <x:c r="J361" s="30"/>
      <x:c r="K361" s="24" t="str">
        <x:v>PR-C-14누0912-1-20240223-45</x:v>
      </x:c>
      <x:c r="L361" s="24" t="str">
        <x:v>자동점검</x:v>
      </x:c>
    </x:row>
    <x:row r="362" ht="17.25" customHeight="1">
      <x:c r="A362" s="24" t="str">
        <x:v>W-0361</x:v>
      </x:c>
      <x:c r="B362" s="24" t="str">
        <x:v>프라임구독</x:v>
      </x:c>
      <x:c r="C362" s="24" t="str">
        <x:v>14누0912</x:v>
      </x:c>
      <x:c r="D362" s="24" t="str">
        <x:v>높음</x:v>
      </x:c>
      <x:c r="E362" s="24" t="str">
        <x:v>보험 갱신 확인</x:v>
      </x:c>
      <x:c r="F362" s="24" t="str">
        <x:v>14누0912 보험 갱신 확인</x:v>
      </x:c>
      <x:c r="G362" s="24" t="str"/>
      <x:c r="H362" s="30"/>
      <x:c r="I362" s="24" t="str">
        <x:v>대기</x:v>
      </x:c>
      <x:c r="J362" s="30"/>
      <x:c r="K362" s="24" t="str">
        <x:v>PR-C-14누0912-1-20240223-45</x:v>
      </x:c>
      <x:c r="L362" s="24" t="str">
        <x:v>자동점검</x:v>
      </x:c>
    </x:row>
    <x:row r="363" ht="17.25" customHeight="1">
      <x:c r="A363" s="24" t="str">
        <x:v>W-0362</x:v>
      </x:c>
      <x:c r="B363" s="24" t="str">
        <x:v>프라임구독</x:v>
      </x:c>
      <x:c r="C363" s="24" t="str">
        <x:v>14누0912</x:v>
      </x:c>
      <x:c r="D363" s="24" t="str">
        <x:v>보통</x:v>
      </x:c>
      <x:c r="E363" s="24" t="str">
        <x:v>현재 보유 확인</x:v>
      </x:c>
      <x:c r="F363" s="24" t="str">
        <x:v>14누0912 현재 보유 확인</x:v>
      </x:c>
      <x:c r="G363" s="24" t="str"/>
      <x:c r="H363" s="30"/>
      <x:c r="I363" s="24" t="str">
        <x:v>대기</x:v>
      </x:c>
      <x:c r="J363" s="30"/>
      <x:c r="K363" s="24" t="str">
        <x:v>PR-C-14누0912-1-20240223-45</x:v>
      </x:c>
      <x:c r="L363" s="24" t="str">
        <x:v>자동점검</x:v>
      </x:c>
    </x:row>
    <x:row r="364" ht="17.25" customHeight="1">
      <x:c r="A364" s="24" t="str">
        <x:v>W-0363</x:v>
      </x:c>
      <x:c r="B364" s="24" t="str">
        <x:v>프라임구독</x:v>
      </x:c>
      <x:c r="C364" s="24" t="str">
        <x:v>14도4653</x:v>
      </x:c>
      <x:c r="D364" s="24" t="str">
        <x:v>긴급</x:v>
      </x:c>
      <x:c r="E364" s="24" t="str">
        <x:v>미수 확인</x:v>
      </x:c>
      <x:c r="F364" s="24" t="str">
        <x:v>14도4653 미수 확인</x:v>
      </x:c>
      <x:c r="G364" s="24" t="str"/>
      <x:c r="H364" s="30"/>
      <x:c r="I364" s="24" t="str">
        <x:v>대기</x:v>
      </x:c>
      <x:c r="J364" s="30"/>
      <x:c r="K364" s="24" t="str">
        <x:v>PR-C-14도4653-1-20240221-46</x:v>
      </x:c>
      <x:c r="L364" s="24" t="str">
        <x:v>자동점검</x:v>
      </x:c>
    </x:row>
    <x:row r="365" ht="17.25" customHeight="1">
      <x:c r="A365" s="24" t="str">
        <x:v>W-0364</x:v>
      </x:c>
      <x:c r="B365" s="24" t="str">
        <x:v>프라임구독</x:v>
      </x:c>
      <x:c r="C365" s="24" t="str">
        <x:v>14도4653</x:v>
      </x:c>
      <x:c r="D365" s="24" t="str">
        <x:v>높음</x:v>
      </x:c>
      <x:c r="E365" s="24" t="str">
        <x:v>보험 연령 입력</x:v>
      </x:c>
      <x:c r="F365" s="24" t="str">
        <x:v>14도4653 보험 연령 입력</x:v>
      </x:c>
      <x:c r="G365" s="24" t="str"/>
      <x:c r="H365" s="30"/>
      <x:c r="I365" s="24" t="str">
        <x:v>대기</x:v>
      </x:c>
      <x:c r="J365" s="30"/>
      <x:c r="K365" s="24" t="str">
        <x:v>PR-C-14도4653-1-20240221-46</x:v>
      </x:c>
      <x:c r="L365" s="24" t="str">
        <x:v>자동점검</x:v>
      </x:c>
    </x:row>
    <x:row r="366" ht="17.25" customHeight="1">
      <x:c r="A366" s="24" t="str">
        <x:v>W-0365</x:v>
      </x:c>
      <x:c r="B366" s="24" t="str">
        <x:v>프라임구독</x:v>
      </x:c>
      <x:c r="C366" s="24" t="str">
        <x:v>14도4653</x:v>
      </x:c>
      <x:c r="D366" s="24" t="str">
        <x:v>높음</x:v>
      </x:c>
      <x:c r="E366" s="24" t="str">
        <x:v>보험 갱신 확인</x:v>
      </x:c>
      <x:c r="F366" s="24" t="str">
        <x:v>14도4653 보험 갱신 확인</x:v>
      </x:c>
      <x:c r="G366" s="24" t="str"/>
      <x:c r="H366" s="30"/>
      <x:c r="I366" s="24" t="str">
        <x:v>대기</x:v>
      </x:c>
      <x:c r="J366" s="30"/>
      <x:c r="K366" s="24" t="str">
        <x:v>PR-C-14도4653-1-20240221-46</x:v>
      </x:c>
      <x:c r="L366" s="24" t="str">
        <x:v>자동점검</x:v>
      </x:c>
    </x:row>
    <x:row r="367" ht="17.25" customHeight="1">
      <x:c r="A367" s="24" t="str">
        <x:v>W-0366</x:v>
      </x:c>
      <x:c r="B367" s="24" t="str">
        <x:v>프라임구독</x:v>
      </x:c>
      <x:c r="C367" s="24" t="str">
        <x:v>14도4653</x:v>
      </x:c>
      <x:c r="D367" s="24" t="str">
        <x:v>보통</x:v>
      </x:c>
      <x:c r="E367" s="24" t="str">
        <x:v>현재 보유 확인</x:v>
      </x:c>
      <x:c r="F367" s="24" t="str">
        <x:v>14도4653 현재 보유 확인</x:v>
      </x:c>
      <x:c r="G367" s="24" t="str"/>
      <x:c r="H367" s="30"/>
      <x:c r="I367" s="24" t="str">
        <x:v>대기</x:v>
      </x:c>
      <x:c r="J367" s="30"/>
      <x:c r="K367" s="24" t="str">
        <x:v>PR-C-14도4653-1-20240221-46</x:v>
      </x:c>
      <x:c r="L367" s="24" t="str">
        <x:v>자동점검</x:v>
      </x:c>
    </x:row>
    <x:row r="368" ht="17.25" customHeight="1">
      <x:c r="A368" s="24" t="str">
        <x:v>W-0367</x:v>
      </x:c>
      <x:c r="B368" s="24" t="str">
        <x:v>프라임구독</x:v>
      </x:c>
      <x:c r="C368" s="24" t="str">
        <x:v>14두9128</x:v>
      </x:c>
      <x:c r="D368" s="24" t="str">
        <x:v>긴급</x:v>
      </x:c>
      <x:c r="E368" s="24" t="str">
        <x:v>회수 검토</x:v>
      </x:c>
      <x:c r="F368" s="24" t="str">
        <x:v>14두9128 회수 검토</x:v>
      </x:c>
      <x:c r="G368" s="24" t="str"/>
      <x:c r="H368" s="30"/>
      <x:c r="I368" s="24" t="str">
        <x:v>대기</x:v>
      </x:c>
      <x:c r="J368" s="30"/>
      <x:c r="K368" s="24" t="str">
        <x:v>PR-C-14두9128-1-20230906-47</x:v>
      </x:c>
      <x:c r="L368" s="24" t="str">
        <x:v>자동점검</x:v>
      </x:c>
    </x:row>
    <x:row r="369" ht="17.25" customHeight="1">
      <x:c r="A369" s="24" t="str">
        <x:v>W-0368</x:v>
      </x:c>
      <x:c r="B369" s="24" t="str">
        <x:v>프라임구독</x:v>
      </x:c>
      <x:c r="C369" s="24" t="str">
        <x:v>14두9128</x:v>
      </x:c>
      <x:c r="D369" s="24" t="str">
        <x:v>높음</x:v>
      </x:c>
      <x:c r="E369" s="24" t="str">
        <x:v>보험 연령 입력</x:v>
      </x:c>
      <x:c r="F369" s="24" t="str">
        <x:v>14두9128 보험 연령 입력</x:v>
      </x:c>
      <x:c r="G369" s="24" t="str"/>
      <x:c r="H369" s="30"/>
      <x:c r="I369" s="24" t="str">
        <x:v>대기</x:v>
      </x:c>
      <x:c r="J369" s="30"/>
      <x:c r="K369" s="24" t="str">
        <x:v>PR-C-14두9128-1-20230906-47</x:v>
      </x:c>
      <x:c r="L369" s="24" t="str">
        <x:v>자동점검</x:v>
      </x:c>
    </x:row>
    <x:row r="370" ht="17.25" customHeight="1">
      <x:c r="A370" s="24" t="str">
        <x:v>W-0369</x:v>
      </x:c>
      <x:c r="B370" s="24" t="str">
        <x:v>프라임구독</x:v>
      </x:c>
      <x:c r="C370" s="24" t="str">
        <x:v>14두9128</x:v>
      </x:c>
      <x:c r="D370" s="24" t="str">
        <x:v>높음</x:v>
      </x:c>
      <x:c r="E370" s="24" t="str">
        <x:v>보험 갱신 확인</x:v>
      </x:c>
      <x:c r="F370" s="24" t="str">
        <x:v>14두9128 보험 갱신 확인</x:v>
      </x:c>
      <x:c r="G370" s="24" t="str"/>
      <x:c r="H370" s="30"/>
      <x:c r="I370" s="24" t="str">
        <x:v>대기</x:v>
      </x:c>
      <x:c r="J370" s="30"/>
      <x:c r="K370" s="24" t="str">
        <x:v>PR-C-14두9128-1-20230906-47</x:v>
      </x:c>
      <x:c r="L370" s="24" t="str">
        <x:v>자동점검</x:v>
      </x:c>
    </x:row>
    <x:row r="371" ht="17.25" customHeight="1">
      <x:c r="A371" s="24" t="str">
        <x:v>W-0370</x:v>
      </x:c>
      <x:c r="B371" s="24" t="str">
        <x:v>프라임구독</x:v>
      </x:c>
      <x:c r="C371" s="24" t="str">
        <x:v>14두9128</x:v>
      </x:c>
      <x:c r="D371" s="24" t="str">
        <x:v>보통</x:v>
      </x:c>
      <x:c r="E371" s="24" t="str">
        <x:v>현재 보유 확인</x:v>
      </x:c>
      <x:c r="F371" s="24" t="str">
        <x:v>14두9128 현재 보유 확인</x:v>
      </x:c>
      <x:c r="G371" s="24" t="str"/>
      <x:c r="H371" s="30"/>
      <x:c r="I371" s="24" t="str">
        <x:v>대기</x:v>
      </x:c>
      <x:c r="J371" s="30"/>
      <x:c r="K371" s="24" t="str">
        <x:v>PR-C-14두9128-1-20230906-47</x:v>
      </x:c>
      <x:c r="L371" s="24" t="str">
        <x:v>자동점검</x:v>
      </x:c>
    </x:row>
    <x:row r="372" ht="17.25" customHeight="1">
      <x:c r="A372" s="24" t="str">
        <x:v>W-0371</x:v>
      </x:c>
      <x:c r="B372" s="24" t="str">
        <x:v>프라임구독</x:v>
      </x:c>
      <x:c r="C372" s="24" t="str">
        <x:v>14소0456</x:v>
      </x:c>
      <x:c r="D372" s="24" t="str">
        <x:v>긴급</x:v>
      </x:c>
      <x:c r="E372" s="24" t="str">
        <x:v>회수 검토</x:v>
      </x:c>
      <x:c r="F372" s="24" t="str">
        <x:v>14소0456 회수 검토</x:v>
      </x:c>
      <x:c r="G372" s="24" t="str"/>
      <x:c r="H372" s="30"/>
      <x:c r="I372" s="24" t="str">
        <x:v>대기</x:v>
      </x:c>
      <x:c r="J372" s="30"/>
      <x:c r="K372" s="24" t="str">
        <x:v>PR-C-14소0456-1-20230317-48</x:v>
      </x:c>
      <x:c r="L372" s="24" t="str">
        <x:v>자동점검</x:v>
      </x:c>
    </x:row>
    <x:row r="373" ht="17.25" customHeight="1">
      <x:c r="A373" s="24" t="str">
        <x:v>W-0372</x:v>
      </x:c>
      <x:c r="B373" s="24" t="str">
        <x:v>프라임구독</x:v>
      </x:c>
      <x:c r="C373" s="24" t="str">
        <x:v>14소0456</x:v>
      </x:c>
      <x:c r="D373" s="24" t="str">
        <x:v>높음</x:v>
      </x:c>
      <x:c r="E373" s="24" t="str">
        <x:v>보험 연령 입력</x:v>
      </x:c>
      <x:c r="F373" s="24" t="str">
        <x:v>14소0456 보험 연령 입력</x:v>
      </x:c>
      <x:c r="G373" s="24" t="str"/>
      <x:c r="H373" s="30"/>
      <x:c r="I373" s="24" t="str">
        <x:v>대기</x:v>
      </x:c>
      <x:c r="J373" s="30"/>
      <x:c r="K373" s="24" t="str">
        <x:v>PR-C-14소0456-1-20230317-48</x:v>
      </x:c>
      <x:c r="L373" s="24" t="str">
        <x:v>자동점검</x:v>
      </x:c>
    </x:row>
    <x:row r="374" ht="17.25" customHeight="1">
      <x:c r="A374" s="24" t="str">
        <x:v>W-0373</x:v>
      </x:c>
      <x:c r="B374" s="24" t="str">
        <x:v>프라임구독</x:v>
      </x:c>
      <x:c r="C374" s="24" t="str">
        <x:v>14소0456</x:v>
      </x:c>
      <x:c r="D374" s="24" t="str">
        <x:v>높음</x:v>
      </x:c>
      <x:c r="E374" s="24" t="str">
        <x:v>보험 갱신 확인</x:v>
      </x:c>
      <x:c r="F374" s="24" t="str">
        <x:v>14소0456 보험 갱신 확인</x:v>
      </x:c>
      <x:c r="G374" s="24" t="str"/>
      <x:c r="H374" s="30"/>
      <x:c r="I374" s="24" t="str">
        <x:v>대기</x:v>
      </x:c>
      <x:c r="J374" s="30"/>
      <x:c r="K374" s="24" t="str">
        <x:v>PR-C-14소0456-1-20230317-48</x:v>
      </x:c>
      <x:c r="L374" s="24" t="str">
        <x:v>자동점검</x:v>
      </x:c>
    </x:row>
    <x:row r="375" ht="17.25" customHeight="1">
      <x:c r="A375" s="24" t="str">
        <x:v>W-0374</x:v>
      </x:c>
      <x:c r="B375" s="24" t="str">
        <x:v>프라임구독</x:v>
      </x:c>
      <x:c r="C375" s="24" t="str">
        <x:v>14소0456</x:v>
      </x:c>
      <x:c r="D375" s="24" t="str">
        <x:v>보통</x:v>
      </x:c>
      <x:c r="E375" s="24" t="str">
        <x:v>현재 보유 확인</x:v>
      </x:c>
      <x:c r="F375" s="24" t="str">
        <x:v>14소0456 현재 보유 확인</x:v>
      </x:c>
      <x:c r="G375" s="24" t="str"/>
      <x:c r="H375" s="30"/>
      <x:c r="I375" s="24" t="str">
        <x:v>대기</x:v>
      </x:c>
      <x:c r="J375" s="30"/>
      <x:c r="K375" s="24" t="str">
        <x:v>PR-C-14소0456-1-20230317-48</x:v>
      </x:c>
      <x:c r="L375" s="24" t="str">
        <x:v>자동점검</x:v>
      </x:c>
    </x:row>
    <x:row r="376" ht="17.25" customHeight="1">
      <x:c r="A376" s="24" t="str">
        <x:v>W-0375</x:v>
      </x:c>
      <x:c r="B376" s="24" t="str">
        <x:v>프라임구독</x:v>
      </x:c>
      <x:c r="C376" s="24" t="str">
        <x:v>152거6619</x:v>
      </x:c>
      <x:c r="D376" s="24" t="str">
        <x:v>보통</x:v>
      </x:c>
      <x:c r="E376" s="24" t="str">
        <x:v>상태 시작일 입력</x:v>
      </x:c>
      <x:c r="F376" s="24" t="str">
        <x:v>152거6619 상태 시작일 입력</x:v>
      </x:c>
      <x:c r="G376" s="24" t="str"/>
      <x:c r="H376" s="30"/>
      <x:c r="I376" s="24" t="str">
        <x:v>대기</x:v>
      </x:c>
      <x:c r="J376" s="30"/>
      <x:c r="K376" s="24" t="str"/>
      <x:c r="L376" s="24" t="str">
        <x:v>자동점검</x:v>
      </x:c>
    </x:row>
    <x:row r="377" ht="17.25" customHeight="1">
      <x:c r="A377" s="24" t="str">
        <x:v>W-0376</x:v>
      </x:c>
      <x:c r="B377" s="24" t="str">
        <x:v>프라임구독</x:v>
      </x:c>
      <x:c r="C377" s="24" t="str">
        <x:v>152거6619</x:v>
      </x:c>
      <x:c r="D377" s="24" t="str">
        <x:v>보통</x:v>
      </x:c>
      <x:c r="E377" s="24" t="str">
        <x:v>현재 보유 확인</x:v>
      </x:c>
      <x:c r="F377" s="24" t="str">
        <x:v>152거6619 현재 보유 확인</x:v>
      </x:c>
      <x:c r="G377" s="24" t="str"/>
      <x:c r="H377" s="30"/>
      <x:c r="I377" s="24" t="str">
        <x:v>대기</x:v>
      </x:c>
      <x:c r="J377" s="30"/>
      <x:c r="K377" s="24" t="str"/>
      <x:c r="L377" s="24" t="str">
        <x:v>자동점검</x:v>
      </x:c>
    </x:row>
    <x:row r="378" ht="17.25" customHeight="1">
      <x:c r="A378" s="24" t="str">
        <x:v>W-0377</x:v>
      </x:c>
      <x:c r="B378" s="24" t="str">
        <x:v>프라임구독</x:v>
      </x:c>
      <x:c r="C378" s="24" t="str">
        <x:v>157구9550</x:v>
      </x:c>
      <x:c r="D378" s="24" t="str">
        <x:v>보통</x:v>
      </x:c>
      <x:c r="E378" s="24" t="str">
        <x:v>상태 시작일 입력</x:v>
      </x:c>
      <x:c r="F378" s="24" t="str">
        <x:v>157구9550 상태 시작일 입력</x:v>
      </x:c>
      <x:c r="G378" s="24" t="str"/>
      <x:c r="H378" s="30"/>
      <x:c r="I378" s="24" t="str">
        <x:v>대기</x:v>
      </x:c>
      <x:c r="J378" s="30"/>
      <x:c r="K378" s="24" t="str"/>
      <x:c r="L378" s="24" t="str">
        <x:v>자동점검</x:v>
      </x:c>
    </x:row>
    <x:row r="379" ht="17.25" customHeight="1">
      <x:c r="A379" s="24" t="str">
        <x:v>W-0378</x:v>
      </x:c>
      <x:c r="B379" s="24" t="str">
        <x:v>프라임구독</x:v>
      </x:c>
      <x:c r="C379" s="24" t="str">
        <x:v>157구9550</x:v>
      </x:c>
      <x:c r="D379" s="24" t="str">
        <x:v>보통</x:v>
      </x:c>
      <x:c r="E379" s="24" t="str">
        <x:v>현재 보유 확인</x:v>
      </x:c>
      <x:c r="F379" s="24" t="str">
        <x:v>157구9550 현재 보유 확인</x:v>
      </x:c>
      <x:c r="G379" s="24" t="str"/>
      <x:c r="H379" s="30"/>
      <x:c r="I379" s="24" t="str">
        <x:v>대기</x:v>
      </x:c>
      <x:c r="J379" s="30"/>
      <x:c r="K379" s="24" t="str"/>
      <x:c r="L379" s="24" t="str">
        <x:v>자동점검</x:v>
      </x:c>
    </x:row>
    <x:row r="380" ht="17.25" customHeight="1">
      <x:c r="A380" s="24" t="str">
        <x:v>W-0379</x:v>
      </x:c>
      <x:c r="B380" s="24" t="str">
        <x:v>프라임구독</x:v>
      </x:c>
      <x:c r="C380" s="24" t="str">
        <x:v>15도5239</x:v>
      </x:c>
      <x:c r="D380" s="24" t="str">
        <x:v>보통</x:v>
      </x:c>
      <x:c r="E380" s="24" t="str">
        <x:v>상태 시작일 입력</x:v>
      </x:c>
      <x:c r="F380" s="24" t="str">
        <x:v>15도5239 상태 시작일 입력</x:v>
      </x:c>
      <x:c r="G380" s="24" t="str"/>
      <x:c r="H380" s="30"/>
      <x:c r="I380" s="24" t="str">
        <x:v>대기</x:v>
      </x:c>
      <x:c r="J380" s="30"/>
      <x:c r="K380" s="24" t="str"/>
      <x:c r="L380" s="24" t="str">
        <x:v>자동점검</x:v>
      </x:c>
    </x:row>
    <x:row r="381" ht="17.25" customHeight="1">
      <x:c r="A381" s="24" t="str">
        <x:v>W-0380</x:v>
      </x:c>
      <x:c r="B381" s="24" t="str">
        <x:v>프라임구독</x:v>
      </x:c>
      <x:c r="C381" s="24" t="str">
        <x:v>15도5239</x:v>
      </x:c>
      <x:c r="D381" s="24" t="str">
        <x:v>보통</x:v>
      </x:c>
      <x:c r="E381" s="24" t="str">
        <x:v>현재 보유 확인</x:v>
      </x:c>
      <x:c r="F381" s="24" t="str">
        <x:v>15도5239 현재 보유 확인</x:v>
      </x:c>
      <x:c r="G381" s="24" t="str"/>
      <x:c r="H381" s="30"/>
      <x:c r="I381" s="24" t="str">
        <x:v>대기</x:v>
      </x:c>
      <x:c r="J381" s="30"/>
      <x:c r="K381" s="24" t="str"/>
      <x:c r="L381" s="24" t="str">
        <x:v>자동점검</x:v>
      </x:c>
    </x:row>
    <x:row r="382" ht="17.25" customHeight="1">
      <x:c r="A382" s="24" t="str">
        <x:v>W-0381</x:v>
      </x:c>
      <x:c r="B382" s="24" t="str">
        <x:v>프라임구독</x:v>
      </x:c>
      <x:c r="C382" s="24" t="str">
        <x:v>15마0652</x:v>
      </x:c>
      <x:c r="D382" s="24" t="str">
        <x:v>보통</x:v>
      </x:c>
      <x:c r="E382" s="24" t="str">
        <x:v>상태 시작일 입력</x:v>
      </x:c>
      <x:c r="F382" s="24" t="str">
        <x:v>15마0652 상태 시작일 입력</x:v>
      </x:c>
      <x:c r="G382" s="24" t="str"/>
      <x:c r="H382" s="30"/>
      <x:c r="I382" s="24" t="str">
        <x:v>대기</x:v>
      </x:c>
      <x:c r="J382" s="30"/>
      <x:c r="K382" s="24" t="str"/>
      <x:c r="L382" s="24" t="str">
        <x:v>자동점검</x:v>
      </x:c>
    </x:row>
    <x:row r="383" ht="17.25" customHeight="1">
      <x:c r="A383" s="24" t="str">
        <x:v>W-0382</x:v>
      </x:c>
      <x:c r="B383" s="24" t="str">
        <x:v>프라임구독</x:v>
      </x:c>
      <x:c r="C383" s="24" t="str">
        <x:v>15마0652</x:v>
      </x:c>
      <x:c r="D383" s="24" t="str">
        <x:v>보통</x:v>
      </x:c>
      <x:c r="E383" s="24" t="str">
        <x:v>현재 보유 확인</x:v>
      </x:c>
      <x:c r="F383" s="24" t="str">
        <x:v>15마0652 현재 보유 확인</x:v>
      </x:c>
      <x:c r="G383" s="24" t="str"/>
      <x:c r="H383" s="30"/>
      <x:c r="I383" s="24" t="str">
        <x:v>대기</x:v>
      </x:c>
      <x:c r="J383" s="30"/>
      <x:c r="K383" s="24" t="str"/>
      <x:c r="L383" s="24" t="str">
        <x:v>자동점검</x:v>
      </x:c>
    </x:row>
    <x:row r="384" ht="17.25" customHeight="1">
      <x:c r="A384" s="24" t="str">
        <x:v>W-0383</x:v>
      </x:c>
      <x:c r="B384" s="24" t="str">
        <x:v>프라임구독</x:v>
      </x:c>
      <x:c r="C384" s="24" t="str">
        <x:v>15머9092</x:v>
      </x:c>
      <x:c r="D384" s="24" t="str">
        <x:v>보통</x:v>
      </x:c>
      <x:c r="E384" s="24" t="str">
        <x:v>상태 시작일 입력</x:v>
      </x:c>
      <x:c r="F384" s="24" t="str">
        <x:v>15머9092 상태 시작일 입력</x:v>
      </x:c>
      <x:c r="G384" s="24" t="str"/>
      <x:c r="H384" s="30"/>
      <x:c r="I384" s="24" t="str">
        <x:v>대기</x:v>
      </x:c>
      <x:c r="J384" s="30"/>
      <x:c r="K384" s="24" t="str"/>
      <x:c r="L384" s="24" t="str">
        <x:v>자동점검</x:v>
      </x:c>
    </x:row>
    <x:row r="385" ht="17.25" customHeight="1">
      <x:c r="A385" s="24" t="str">
        <x:v>W-0384</x:v>
      </x:c>
      <x:c r="B385" s="24" t="str">
        <x:v>프라임구독</x:v>
      </x:c>
      <x:c r="C385" s="24" t="str">
        <x:v>15머9092</x:v>
      </x:c>
      <x:c r="D385" s="24" t="str">
        <x:v>보통</x:v>
      </x:c>
      <x:c r="E385" s="24" t="str">
        <x:v>현재 보유 확인</x:v>
      </x:c>
      <x:c r="F385" s="24" t="str">
        <x:v>15머9092 현재 보유 확인</x:v>
      </x:c>
      <x:c r="G385" s="24" t="str"/>
      <x:c r="H385" s="30"/>
      <x:c r="I385" s="24" t="str">
        <x:v>대기</x:v>
      </x:c>
      <x:c r="J385" s="30"/>
      <x:c r="K385" s="24" t="str"/>
      <x:c r="L385" s="24" t="str">
        <x:v>자동점검</x:v>
      </x:c>
    </x:row>
    <x:row r="386" ht="17.25" customHeight="1">
      <x:c r="A386" s="24" t="str">
        <x:v>W-0385</x:v>
      </x:c>
      <x:c r="B386" s="24" t="str">
        <x:v>프라임구독</x:v>
      </x:c>
      <x:c r="C386" s="24" t="str">
        <x:v>163부8390</x:v>
      </x:c>
      <x:c r="D386" s="24" t="str">
        <x:v>보통</x:v>
      </x:c>
      <x:c r="E386" s="24" t="str">
        <x:v>상태 시작일 입력</x:v>
      </x:c>
      <x:c r="F386" s="24" t="str">
        <x:v>163부8390 상태 시작일 입력</x:v>
      </x:c>
      <x:c r="G386" s="24" t="str"/>
      <x:c r="H386" s="30"/>
      <x:c r="I386" s="24" t="str">
        <x:v>대기</x:v>
      </x:c>
      <x:c r="J386" s="30"/>
      <x:c r="K386" s="24" t="str"/>
      <x:c r="L386" s="24" t="str">
        <x:v>자동점검</x:v>
      </x:c>
    </x:row>
    <x:row r="387" ht="17.25" customHeight="1">
      <x:c r="A387" s="24" t="str">
        <x:v>W-0386</x:v>
      </x:c>
      <x:c r="B387" s="24" t="str">
        <x:v>프라임구독</x:v>
      </x:c>
      <x:c r="C387" s="24" t="str">
        <x:v>163부8390</x:v>
      </x:c>
      <x:c r="D387" s="24" t="str">
        <x:v>보통</x:v>
      </x:c>
      <x:c r="E387" s="24" t="str">
        <x:v>현재 보유 확인</x:v>
      </x:c>
      <x:c r="F387" s="24" t="str">
        <x:v>163부8390 현재 보유 확인</x:v>
      </x:c>
      <x:c r="G387" s="24" t="str"/>
      <x:c r="H387" s="30"/>
      <x:c r="I387" s="24" t="str">
        <x:v>대기</x:v>
      </x:c>
      <x:c r="J387" s="30"/>
      <x:c r="K387" s="24" t="str"/>
      <x:c r="L387" s="24" t="str">
        <x:v>자동점검</x:v>
      </x:c>
    </x:row>
    <x:row r="388" ht="17.25" customHeight="1">
      <x:c r="A388" s="24" t="str">
        <x:v>W-0387</x:v>
      </x:c>
      <x:c r="B388" s="24" t="str">
        <x:v>프라임구독</x:v>
      </x:c>
      <x:c r="C388" s="24" t="str">
        <x:v>164노9379</x:v>
      </x:c>
      <x:c r="D388" s="24" t="str">
        <x:v>긴급</x:v>
      </x:c>
      <x:c r="E388" s="24" t="str">
        <x:v>미수 확인</x:v>
      </x:c>
      <x:c r="F388" s="24" t="str">
        <x:v>164노9379 미수 확인</x:v>
      </x:c>
      <x:c r="G388" s="24" t="str"/>
      <x:c r="H388" s="30"/>
      <x:c r="I388" s="24" t="str">
        <x:v>대기</x:v>
      </x:c>
      <x:c r="J388" s="30"/>
      <x:c r="K388" s="24" t="str">
        <x:v>PR-C-164노9379-1-20230814-56</x:v>
      </x:c>
      <x:c r="L388" s="24" t="str">
        <x:v>자동점검</x:v>
      </x:c>
    </x:row>
    <x:row r="389" ht="17.25" customHeight="1">
      <x:c r="A389" s="24" t="str">
        <x:v>W-0388</x:v>
      </x:c>
      <x:c r="B389" s="24" t="str">
        <x:v>프라임구독</x:v>
      </x:c>
      <x:c r="C389" s="24" t="str">
        <x:v>164노9379</x:v>
      </x:c>
      <x:c r="D389" s="24" t="str">
        <x:v>높음</x:v>
      </x:c>
      <x:c r="E389" s="24" t="str">
        <x:v>보험 연령 입력</x:v>
      </x:c>
      <x:c r="F389" s="24" t="str">
        <x:v>164노9379 보험 연령 입력</x:v>
      </x:c>
      <x:c r="G389" s="24" t="str"/>
      <x:c r="H389" s="30"/>
      <x:c r="I389" s="24" t="str">
        <x:v>대기</x:v>
      </x:c>
      <x:c r="J389" s="30"/>
      <x:c r="K389" s="24" t="str">
        <x:v>PR-C-164노9379-1-20230814-56</x:v>
      </x:c>
      <x:c r="L389" s="24" t="str">
        <x:v>자동점검</x:v>
      </x:c>
    </x:row>
    <x:row r="390" ht="17.25" customHeight="1">
      <x:c r="A390" s="24" t="str">
        <x:v>W-0389</x:v>
      </x:c>
      <x:c r="B390" s="24" t="str">
        <x:v>프라임구독</x:v>
      </x:c>
      <x:c r="C390" s="24" t="str">
        <x:v>164노9379</x:v>
      </x:c>
      <x:c r="D390" s="24" t="str">
        <x:v>높음</x:v>
      </x:c>
      <x:c r="E390" s="24" t="str">
        <x:v>보험 갱신 확인</x:v>
      </x:c>
      <x:c r="F390" s="24" t="str">
        <x:v>164노9379 보험 갱신 확인</x:v>
      </x:c>
      <x:c r="G390" s="24" t="str"/>
      <x:c r="H390" s="30"/>
      <x:c r="I390" s="24" t="str">
        <x:v>대기</x:v>
      </x:c>
      <x:c r="J390" s="30"/>
      <x:c r="K390" s="24" t="str">
        <x:v>PR-C-164노9379-1-20230814-56</x:v>
      </x:c>
      <x:c r="L390" s="24" t="str">
        <x:v>자동점검</x:v>
      </x:c>
    </x:row>
    <x:row r="391" ht="17.25" customHeight="1">
      <x:c r="A391" s="24" t="str">
        <x:v>W-0390</x:v>
      </x:c>
      <x:c r="B391" s="24" t="str">
        <x:v>프라임구독</x:v>
      </x:c>
      <x:c r="C391" s="24" t="str">
        <x:v>164노9379</x:v>
      </x:c>
      <x:c r="D391" s="24" t="str">
        <x:v>보통</x:v>
      </x:c>
      <x:c r="E391" s="24" t="str">
        <x:v>현재 보유 확인</x:v>
      </x:c>
      <x:c r="F391" s="24" t="str">
        <x:v>164노9379 현재 보유 확인</x:v>
      </x:c>
      <x:c r="G391" s="24" t="str"/>
      <x:c r="H391" s="30"/>
      <x:c r="I391" s="24" t="str">
        <x:v>대기</x:v>
      </x:c>
      <x:c r="J391" s="30"/>
      <x:c r="K391" s="24" t="str">
        <x:v>PR-C-164노9379-1-20230814-56</x:v>
      </x:c>
      <x:c r="L391" s="24" t="str">
        <x:v>자동점검</x:v>
      </x:c>
    </x:row>
    <x:row r="392" ht="17.25" customHeight="1">
      <x:c r="A392" s="24" t="str">
        <x:v>W-0391</x:v>
      </x:c>
      <x:c r="B392" s="24" t="str">
        <x:v>프라임구독</x:v>
      </x:c>
      <x:c r="C392" s="24" t="str">
        <x:v>169버5426</x:v>
      </x:c>
      <x:c r="D392" s="24" t="str">
        <x:v>보통</x:v>
      </x:c>
      <x:c r="E392" s="24" t="str">
        <x:v>상태 시작일 입력</x:v>
      </x:c>
      <x:c r="F392" s="24" t="str">
        <x:v>169버5426 상태 시작일 입력</x:v>
      </x:c>
      <x:c r="G392" s="24" t="str"/>
      <x:c r="H392" s="30"/>
      <x:c r="I392" s="24" t="str">
        <x:v>대기</x:v>
      </x:c>
      <x:c r="J392" s="30"/>
      <x:c r="K392" s="24" t="str"/>
      <x:c r="L392" s="24" t="str">
        <x:v>자동점검</x:v>
      </x:c>
    </x:row>
    <x:row r="393" ht="17.25" customHeight="1">
      <x:c r="A393" s="24" t="str">
        <x:v>W-0392</x:v>
      </x:c>
      <x:c r="B393" s="24" t="str">
        <x:v>프라임구독</x:v>
      </x:c>
      <x:c r="C393" s="24" t="str">
        <x:v>169버5426</x:v>
      </x:c>
      <x:c r="D393" s="24" t="str">
        <x:v>보통</x:v>
      </x:c>
      <x:c r="E393" s="24" t="str">
        <x:v>현재 보유 확인</x:v>
      </x:c>
      <x:c r="F393" s="24" t="str">
        <x:v>169버5426 현재 보유 확인</x:v>
      </x:c>
      <x:c r="G393" s="24" t="str"/>
      <x:c r="H393" s="30"/>
      <x:c r="I393" s="24" t="str">
        <x:v>대기</x:v>
      </x:c>
      <x:c r="J393" s="30"/>
      <x:c r="K393" s="24" t="str"/>
      <x:c r="L393" s="24" t="str">
        <x:v>자동점검</x:v>
      </x:c>
    </x:row>
    <x:row r="394" ht="17.25" customHeight="1">
      <x:c r="A394" s="24" t="str">
        <x:v>W-0393</x:v>
      </x:c>
      <x:c r="B394" s="24" t="str">
        <x:v>프라임구독</x:v>
      </x:c>
      <x:c r="C394" s="24" t="str">
        <x:v>16다6556</x:v>
      </x:c>
      <x:c r="D394" s="24" t="str">
        <x:v>보통</x:v>
      </x:c>
      <x:c r="E394" s="24" t="str">
        <x:v>상태 시작일 입력</x:v>
      </x:c>
      <x:c r="F394" s="24" t="str">
        <x:v>16다6556 상태 시작일 입력</x:v>
      </x:c>
      <x:c r="G394" s="24" t="str"/>
      <x:c r="H394" s="30"/>
      <x:c r="I394" s="24" t="str">
        <x:v>대기</x:v>
      </x:c>
      <x:c r="J394" s="30"/>
      <x:c r="K394" s="24" t="str"/>
      <x:c r="L394" s="24" t="str">
        <x:v>자동점검</x:v>
      </x:c>
    </x:row>
    <x:row r="395" ht="17.25" customHeight="1">
      <x:c r="A395" s="24" t="str">
        <x:v>W-0394</x:v>
      </x:c>
      <x:c r="B395" s="24" t="str">
        <x:v>프라임구독</x:v>
      </x:c>
      <x:c r="C395" s="24" t="str">
        <x:v>16다6556</x:v>
      </x:c>
      <x:c r="D395" s="24" t="str">
        <x:v>보통</x:v>
      </x:c>
      <x:c r="E395" s="24" t="str">
        <x:v>현재 보유 확인</x:v>
      </x:c>
      <x:c r="F395" s="24" t="str">
        <x:v>16다6556 현재 보유 확인</x:v>
      </x:c>
      <x:c r="G395" s="24" t="str"/>
      <x:c r="H395" s="30"/>
      <x:c r="I395" s="24" t="str">
        <x:v>대기</x:v>
      </x:c>
      <x:c r="J395" s="30"/>
      <x:c r="K395" s="24" t="str"/>
      <x:c r="L395" s="24" t="str">
        <x:v>자동점검</x:v>
      </x:c>
    </x:row>
    <x:row r="396" ht="17.25" customHeight="1">
      <x:c r="A396" s="24" t="str">
        <x:v>W-0395</x:v>
      </x:c>
      <x:c r="B396" s="24" t="str">
        <x:v>프라임구독</x:v>
      </x:c>
      <x:c r="C396" s="24" t="str">
        <x:v>16소0356</x:v>
      </x:c>
      <x:c r="D396" s="24" t="str">
        <x:v>보통</x:v>
      </x:c>
      <x:c r="E396" s="24" t="str">
        <x:v>상태 시작일 입력</x:v>
      </x:c>
      <x:c r="F396" s="24" t="str">
        <x:v>16소0356 상태 시작일 입력</x:v>
      </x:c>
      <x:c r="G396" s="24" t="str"/>
      <x:c r="H396" s="30"/>
      <x:c r="I396" s="24" t="str">
        <x:v>대기</x:v>
      </x:c>
      <x:c r="J396" s="30"/>
      <x:c r="K396" s="24" t="str"/>
      <x:c r="L396" s="24" t="str">
        <x:v>자동점검</x:v>
      </x:c>
    </x:row>
    <x:row r="397" ht="17.25" customHeight="1">
      <x:c r="A397" s="24" t="str">
        <x:v>W-0396</x:v>
      </x:c>
      <x:c r="B397" s="24" t="str">
        <x:v>프라임구독</x:v>
      </x:c>
      <x:c r="C397" s="24" t="str">
        <x:v>16소0356</x:v>
      </x:c>
      <x:c r="D397" s="24" t="str">
        <x:v>보통</x:v>
      </x:c>
      <x:c r="E397" s="24" t="str">
        <x:v>현재 보유 확인</x:v>
      </x:c>
      <x:c r="F397" s="24" t="str">
        <x:v>16소0356 현재 보유 확인</x:v>
      </x:c>
      <x:c r="G397" s="24" t="str"/>
      <x:c r="H397" s="30"/>
      <x:c r="I397" s="24" t="str">
        <x:v>대기</x:v>
      </x:c>
      <x:c r="J397" s="30"/>
      <x:c r="K397" s="24" t="str"/>
      <x:c r="L397" s="24" t="str">
        <x:v>자동점검</x:v>
      </x:c>
    </x:row>
    <x:row r="398" ht="17.25" customHeight="1">
      <x:c r="A398" s="24" t="str">
        <x:v>W-0397</x:v>
      </x:c>
      <x:c r="B398" s="24" t="str">
        <x:v>프라임구독</x:v>
      </x:c>
      <x:c r="C398" s="24" t="str">
        <x:v>16어0497</x:v>
      </x:c>
      <x:c r="D398" s="24" t="str">
        <x:v>보통</x:v>
      </x:c>
      <x:c r="E398" s="24" t="str">
        <x:v>상태 시작일 입력</x:v>
      </x:c>
      <x:c r="F398" s="24" t="str">
        <x:v>16어0497 상태 시작일 입력</x:v>
      </x:c>
      <x:c r="G398" s="24" t="str"/>
      <x:c r="H398" s="30"/>
      <x:c r="I398" s="24" t="str">
        <x:v>대기</x:v>
      </x:c>
      <x:c r="J398" s="30"/>
      <x:c r="K398" s="24" t="str"/>
      <x:c r="L398" s="24" t="str">
        <x:v>자동점검</x:v>
      </x:c>
    </x:row>
    <x:row r="399" ht="17.25" customHeight="1">
      <x:c r="A399" s="24" t="str">
        <x:v>W-0398</x:v>
      </x:c>
      <x:c r="B399" s="24" t="str">
        <x:v>프라임구독</x:v>
      </x:c>
      <x:c r="C399" s="24" t="str">
        <x:v>16어0497</x:v>
      </x:c>
      <x:c r="D399" s="24" t="str">
        <x:v>보통</x:v>
      </x:c>
      <x:c r="E399" s="24" t="str">
        <x:v>현재 보유 확인</x:v>
      </x:c>
      <x:c r="F399" s="24" t="str">
        <x:v>16어0497 현재 보유 확인</x:v>
      </x:c>
      <x:c r="G399" s="24" t="str"/>
      <x:c r="H399" s="30"/>
      <x:c r="I399" s="24" t="str">
        <x:v>대기</x:v>
      </x:c>
      <x:c r="J399" s="30"/>
      <x:c r="K399" s="24" t="str"/>
      <x:c r="L399" s="24" t="str">
        <x:v>자동점검</x:v>
      </x:c>
    </x:row>
    <x:row r="400" ht="17.25" customHeight="1">
      <x:c r="A400" s="24" t="str">
        <x:v>W-0399</x:v>
      </x:c>
      <x:c r="B400" s="24" t="str">
        <x:v>프라임구독</x:v>
      </x:c>
      <x:c r="C400" s="24" t="str">
        <x:v>179다2681</x:v>
      </x:c>
      <x:c r="D400" s="24" t="str">
        <x:v>긴급</x:v>
      </x:c>
      <x:c r="E400" s="24" t="str">
        <x:v>회수 검토</x:v>
      </x:c>
      <x:c r="F400" s="24" t="str">
        <x:v>179다2681 회수 검토</x:v>
      </x:c>
      <x:c r="G400" s="24" t="str"/>
      <x:c r="H400" s="30"/>
      <x:c r="I400" s="24" t="str">
        <x:v>대기</x:v>
      </x:c>
      <x:c r="J400" s="30"/>
      <x:c r="K400" s="24" t="str">
        <x:v>PR-C-179다2681-1-20230605-62</x:v>
      </x:c>
      <x:c r="L400" s="24" t="str">
        <x:v>자동점검</x:v>
      </x:c>
    </x:row>
    <x:row r="401" ht="17.25" customHeight="1">
      <x:c r="A401" s="24" t="str">
        <x:v>W-0400</x:v>
      </x:c>
      <x:c r="B401" s="24" t="str">
        <x:v>프라임구독</x:v>
      </x:c>
      <x:c r="C401" s="24" t="str">
        <x:v>179다2681</x:v>
      </x:c>
      <x:c r="D401" s="24" t="str">
        <x:v>높음</x:v>
      </x:c>
      <x:c r="E401" s="24" t="str">
        <x:v>보험 연령 입력</x:v>
      </x:c>
      <x:c r="F401" s="24" t="str">
        <x:v>179다2681 보험 연령 입력</x:v>
      </x:c>
      <x:c r="G401" s="24" t="str"/>
      <x:c r="H401" s="30"/>
      <x:c r="I401" s="24" t="str">
        <x:v>대기</x:v>
      </x:c>
      <x:c r="J401" s="30"/>
      <x:c r="K401" s="24" t="str">
        <x:v>PR-C-179다2681-1-20230605-62</x:v>
      </x:c>
      <x:c r="L401" s="24" t="str">
        <x:v>자동점검</x:v>
      </x:c>
    </x:row>
    <x:row r="402" ht="17.25" customHeight="1">
      <x:c r="A402" s="24" t="str">
        <x:v>W-0401</x:v>
      </x:c>
      <x:c r="B402" s="24" t="str">
        <x:v>프라임구독</x:v>
      </x:c>
      <x:c r="C402" s="24" t="str">
        <x:v>179다2681</x:v>
      </x:c>
      <x:c r="D402" s="24" t="str">
        <x:v>높음</x:v>
      </x:c>
      <x:c r="E402" s="24" t="str">
        <x:v>보험 갱신 확인</x:v>
      </x:c>
      <x:c r="F402" s="24" t="str">
        <x:v>179다2681 보험 갱신 확인</x:v>
      </x:c>
      <x:c r="G402" s="24" t="str"/>
      <x:c r="H402" s="30"/>
      <x:c r="I402" s="24" t="str">
        <x:v>대기</x:v>
      </x:c>
      <x:c r="J402" s="30"/>
      <x:c r="K402" s="24" t="str">
        <x:v>PR-C-179다2681-1-20230605-62</x:v>
      </x:c>
      <x:c r="L402" s="24" t="str">
        <x:v>자동점검</x:v>
      </x:c>
    </x:row>
    <x:row r="403" ht="17.25" customHeight="1">
      <x:c r="A403" s="24" t="str">
        <x:v>W-0402</x:v>
      </x:c>
      <x:c r="B403" s="24" t="str">
        <x:v>프라임구독</x:v>
      </x:c>
      <x:c r="C403" s="24" t="str">
        <x:v>179다2681</x:v>
      </x:c>
      <x:c r="D403" s="24" t="str">
        <x:v>보통</x:v>
      </x:c>
      <x:c r="E403" s="24" t="str">
        <x:v>현재 보유 확인</x:v>
      </x:c>
      <x:c r="F403" s="24" t="str">
        <x:v>179다2681 현재 보유 확인</x:v>
      </x:c>
      <x:c r="G403" s="24" t="str"/>
      <x:c r="H403" s="30"/>
      <x:c r="I403" s="24" t="str">
        <x:v>대기</x:v>
      </x:c>
      <x:c r="J403" s="30"/>
      <x:c r="K403" s="24" t="str">
        <x:v>PR-C-179다2681-1-20230605-62</x:v>
      </x:c>
      <x:c r="L403" s="24" t="str">
        <x:v>자동점검</x:v>
      </x:c>
    </x:row>
    <x:row r="404" ht="17.25" customHeight="1">
      <x:c r="A404" s="24" t="str">
        <x:v>W-0403</x:v>
      </x:c>
      <x:c r="B404" s="24" t="str">
        <x:v>프라임구독</x:v>
      </x:c>
      <x:c r="C404" s="24" t="str">
        <x:v>184주9892</x:v>
      </x:c>
      <x:c r="D404" s="24" t="str">
        <x:v>보통</x:v>
      </x:c>
      <x:c r="E404" s="24" t="str">
        <x:v>상태 시작일 입력</x:v>
      </x:c>
      <x:c r="F404" s="24" t="str">
        <x:v>184주9892 상태 시작일 입력</x:v>
      </x:c>
      <x:c r="G404" s="24" t="str"/>
      <x:c r="H404" s="30"/>
      <x:c r="I404" s="24" t="str">
        <x:v>대기</x:v>
      </x:c>
      <x:c r="J404" s="30"/>
      <x:c r="K404" s="24" t="str"/>
      <x:c r="L404" s="24" t="str">
        <x:v>자동점검</x:v>
      </x:c>
    </x:row>
    <x:row r="405" ht="17.25" customHeight="1">
      <x:c r="A405" s="24" t="str">
        <x:v>W-0404</x:v>
      </x:c>
      <x:c r="B405" s="24" t="str">
        <x:v>프라임구독</x:v>
      </x:c>
      <x:c r="C405" s="24" t="str">
        <x:v>184주9892</x:v>
      </x:c>
      <x:c r="D405" s="24" t="str">
        <x:v>보통</x:v>
      </x:c>
      <x:c r="E405" s="24" t="str">
        <x:v>현재 보유 확인</x:v>
      </x:c>
      <x:c r="F405" s="24" t="str">
        <x:v>184주9892 현재 보유 확인</x:v>
      </x:c>
      <x:c r="G405" s="24" t="str"/>
      <x:c r="H405" s="30"/>
      <x:c r="I405" s="24" t="str">
        <x:v>대기</x:v>
      </x:c>
      <x:c r="J405" s="30"/>
      <x:c r="K405" s="24" t="str"/>
      <x:c r="L405" s="24" t="str">
        <x:v>자동점검</x:v>
      </x:c>
    </x:row>
    <x:row r="406" ht="17.25" customHeight="1">
      <x:c r="A406" s="24" t="str">
        <x:v>W-0405</x:v>
      </x:c>
      <x:c r="B406" s="24" t="str">
        <x:v>프라임구독</x:v>
      </x:c>
      <x:c r="C406" s="24" t="str">
        <x:v>193저7763</x:v>
      </x:c>
      <x:c r="D406" s="24" t="str">
        <x:v>보통</x:v>
      </x:c>
      <x:c r="E406" s="24" t="str">
        <x:v>상태 시작일 입력</x:v>
      </x:c>
      <x:c r="F406" s="24" t="str">
        <x:v>193저7763 상태 시작일 입력</x:v>
      </x:c>
      <x:c r="G406" s="24" t="str"/>
      <x:c r="H406" s="30"/>
      <x:c r="I406" s="24" t="str">
        <x:v>대기</x:v>
      </x:c>
      <x:c r="J406" s="30"/>
      <x:c r="K406" s="24" t="str"/>
      <x:c r="L406" s="24" t="str">
        <x:v>자동점검</x:v>
      </x:c>
    </x:row>
    <x:row r="407" ht="17.25" customHeight="1">
      <x:c r="A407" s="24" t="str">
        <x:v>W-0406</x:v>
      </x:c>
      <x:c r="B407" s="24" t="str">
        <x:v>프라임구독</x:v>
      </x:c>
      <x:c r="C407" s="24" t="str">
        <x:v>193저7763</x:v>
      </x:c>
      <x:c r="D407" s="24" t="str">
        <x:v>보통</x:v>
      </x:c>
      <x:c r="E407" s="24" t="str">
        <x:v>현재 보유 확인</x:v>
      </x:c>
      <x:c r="F407" s="24" t="str">
        <x:v>193저7763 현재 보유 확인</x:v>
      </x:c>
      <x:c r="G407" s="24" t="str"/>
      <x:c r="H407" s="30"/>
      <x:c r="I407" s="24" t="str">
        <x:v>대기</x:v>
      </x:c>
      <x:c r="J407" s="30"/>
      <x:c r="K407" s="24" t="str"/>
      <x:c r="L407" s="24" t="str">
        <x:v>자동점검</x:v>
      </x:c>
    </x:row>
    <x:row r="408" ht="17.25" customHeight="1">
      <x:c r="A408" s="24" t="str">
        <x:v>W-0407</x:v>
      </x:c>
      <x:c r="B408" s="24" t="str">
        <x:v>프라임구독</x:v>
      </x:c>
      <x:c r="C408" s="24" t="str">
        <x:v>198조2892</x:v>
      </x:c>
      <x:c r="D408" s="24" t="str">
        <x:v>보통</x:v>
      </x:c>
      <x:c r="E408" s="24" t="str">
        <x:v>상태 시작일 입력</x:v>
      </x:c>
      <x:c r="F408" s="24" t="str">
        <x:v>198조2892 상태 시작일 입력</x:v>
      </x:c>
      <x:c r="G408" s="24" t="str"/>
      <x:c r="H408" s="30"/>
      <x:c r="I408" s="24" t="str">
        <x:v>대기</x:v>
      </x:c>
      <x:c r="J408" s="30"/>
      <x:c r="K408" s="24" t="str"/>
      <x:c r="L408" s="24" t="str">
        <x:v>자동점검</x:v>
      </x:c>
    </x:row>
    <x:row r="409" ht="17.25" customHeight="1">
      <x:c r="A409" s="24" t="str">
        <x:v>W-0408</x:v>
      </x:c>
      <x:c r="B409" s="24" t="str">
        <x:v>프라임구독</x:v>
      </x:c>
      <x:c r="C409" s="24" t="str">
        <x:v>198조2892</x:v>
      </x:c>
      <x:c r="D409" s="24" t="str">
        <x:v>보통</x:v>
      </x:c>
      <x:c r="E409" s="24" t="str">
        <x:v>현재 보유 확인</x:v>
      </x:c>
      <x:c r="F409" s="24" t="str">
        <x:v>198조2892 현재 보유 확인</x:v>
      </x:c>
      <x:c r="G409" s="24" t="str"/>
      <x:c r="H409" s="30"/>
      <x:c r="I409" s="24" t="str">
        <x:v>대기</x:v>
      </x:c>
      <x:c r="J409" s="30"/>
      <x:c r="K409" s="24" t="str"/>
      <x:c r="L409" s="24" t="str">
        <x:v>자동점검</x:v>
      </x:c>
    </x:row>
    <x:row r="410" ht="17.25" customHeight="1">
      <x:c r="A410" s="24" t="str">
        <x:v>W-0409</x:v>
      </x:c>
      <x:c r="B410" s="24" t="str">
        <x:v>프라임구독</x:v>
      </x:c>
      <x:c r="C410" s="24" t="str">
        <x:v>19너5699</x:v>
      </x:c>
      <x:c r="D410" s="24" t="str">
        <x:v>긴급</x:v>
      </x:c>
      <x:c r="E410" s="24" t="str">
        <x:v>회수 검토</x:v>
      </x:c>
      <x:c r="F410" s="24" t="str">
        <x:v>19너5699 회수 검토</x:v>
      </x:c>
      <x:c r="G410" s="24" t="str"/>
      <x:c r="H410" s="30"/>
      <x:c r="I410" s="24" t="str">
        <x:v>대기</x:v>
      </x:c>
      <x:c r="J410" s="30"/>
      <x:c r="K410" s="24" t="str">
        <x:v>PR-C-19너5699-1-20240423-72</x:v>
      </x:c>
      <x:c r="L410" s="24" t="str">
        <x:v>자동점검</x:v>
      </x:c>
    </x:row>
    <x:row r="411" ht="17.25" customHeight="1">
      <x:c r="A411" s="24" t="str">
        <x:v>W-0410</x:v>
      </x:c>
      <x:c r="B411" s="24" t="str">
        <x:v>프라임구독</x:v>
      </x:c>
      <x:c r="C411" s="24" t="str">
        <x:v>19너5699</x:v>
      </x:c>
      <x:c r="D411" s="24" t="str">
        <x:v>높음</x:v>
      </x:c>
      <x:c r="E411" s="24" t="str">
        <x:v>보험 연령 입력</x:v>
      </x:c>
      <x:c r="F411" s="24" t="str">
        <x:v>19너5699 보험 연령 입력</x:v>
      </x:c>
      <x:c r="G411" s="24" t="str"/>
      <x:c r="H411" s="30"/>
      <x:c r="I411" s="24" t="str">
        <x:v>대기</x:v>
      </x:c>
      <x:c r="J411" s="30"/>
      <x:c r="K411" s="24" t="str">
        <x:v>PR-C-19너5699-1-20240423-72</x:v>
      </x:c>
      <x:c r="L411" s="24" t="str">
        <x:v>자동점검</x:v>
      </x:c>
    </x:row>
    <x:row r="412" ht="17.25" customHeight="1">
      <x:c r="A412" s="24" t="str">
        <x:v>W-0411</x:v>
      </x:c>
      <x:c r="B412" s="24" t="str">
        <x:v>프라임구독</x:v>
      </x:c>
      <x:c r="C412" s="24" t="str">
        <x:v>19너5699</x:v>
      </x:c>
      <x:c r="D412" s="24" t="str">
        <x:v>높음</x:v>
      </x:c>
      <x:c r="E412" s="24" t="str">
        <x:v>보험 갱신 확인</x:v>
      </x:c>
      <x:c r="F412" s="24" t="str">
        <x:v>19너5699 보험 갱신 확인</x:v>
      </x:c>
      <x:c r="G412" s="24" t="str"/>
      <x:c r="H412" s="30"/>
      <x:c r="I412" s="24" t="str">
        <x:v>대기</x:v>
      </x:c>
      <x:c r="J412" s="30"/>
      <x:c r="K412" s="24" t="str">
        <x:v>PR-C-19너5699-1-20240423-72</x:v>
      </x:c>
      <x:c r="L412" s="24" t="str">
        <x:v>자동점검</x:v>
      </x:c>
    </x:row>
    <x:row r="413" ht="17.25" customHeight="1">
      <x:c r="A413" s="24" t="str">
        <x:v>W-0412</x:v>
      </x:c>
      <x:c r="B413" s="24" t="str">
        <x:v>프라임구독</x:v>
      </x:c>
      <x:c r="C413" s="24" t="str">
        <x:v>19너5699</x:v>
      </x:c>
      <x:c r="D413" s="24" t="str">
        <x:v>보통</x:v>
      </x:c>
      <x:c r="E413" s="24" t="str">
        <x:v>현재 보유 확인</x:v>
      </x:c>
      <x:c r="F413" s="24" t="str">
        <x:v>19너5699 현재 보유 확인</x:v>
      </x:c>
      <x:c r="G413" s="24" t="str"/>
      <x:c r="H413" s="30"/>
      <x:c r="I413" s="24" t="str">
        <x:v>대기</x:v>
      </x:c>
      <x:c r="J413" s="30"/>
      <x:c r="K413" s="24" t="str">
        <x:v>PR-C-19너5699-1-20240423-72</x:v>
      </x:c>
      <x:c r="L413" s="24" t="str">
        <x:v>자동점검</x:v>
      </x:c>
    </x:row>
    <x:row r="414" ht="17.25" customHeight="1">
      <x:c r="A414" s="24" t="str">
        <x:v>W-0413</x:v>
      </x:c>
      <x:c r="B414" s="24" t="str">
        <x:v>프라임구독</x:v>
      </x:c>
      <x:c r="C414" s="24" t="str">
        <x:v>19보9990</x:v>
      </x:c>
      <x:c r="D414" s="24" t="str">
        <x:v>보통</x:v>
      </x:c>
      <x:c r="E414" s="24" t="str">
        <x:v>상태 시작일 입력</x:v>
      </x:c>
      <x:c r="F414" s="24" t="str">
        <x:v>19보9990 상태 시작일 입력</x:v>
      </x:c>
      <x:c r="G414" s="24" t="str"/>
      <x:c r="H414" s="30"/>
      <x:c r="I414" s="24" t="str">
        <x:v>대기</x:v>
      </x:c>
      <x:c r="J414" s="30"/>
      <x:c r="K414" s="24" t="str"/>
      <x:c r="L414" s="24" t="str">
        <x:v>자동점검</x:v>
      </x:c>
    </x:row>
    <x:row r="415" ht="17.25" customHeight="1">
      <x:c r="A415" s="24" t="str">
        <x:v>W-0414</x:v>
      </x:c>
      <x:c r="B415" s="24" t="str">
        <x:v>프라임구독</x:v>
      </x:c>
      <x:c r="C415" s="24" t="str">
        <x:v>19보9990</x:v>
      </x:c>
      <x:c r="D415" s="24" t="str">
        <x:v>보통</x:v>
      </x:c>
      <x:c r="E415" s="24" t="str">
        <x:v>현재 보유 확인</x:v>
      </x:c>
      <x:c r="F415" s="24" t="str">
        <x:v>19보9990 현재 보유 확인</x:v>
      </x:c>
      <x:c r="G415" s="24" t="str"/>
      <x:c r="H415" s="30"/>
      <x:c r="I415" s="24" t="str">
        <x:v>대기</x:v>
      </x:c>
      <x:c r="J415" s="30"/>
      <x:c r="K415" s="24" t="str"/>
      <x:c r="L415" s="24" t="str">
        <x:v>자동점검</x:v>
      </x:c>
    </x:row>
    <x:row r="416" ht="17.25" customHeight="1">
      <x:c r="A416" s="24" t="str">
        <x:v>W-0415</x:v>
      </x:c>
      <x:c r="B416" s="24" t="str">
        <x:v>프라임구독</x:v>
      </x:c>
      <x:c r="C416" s="24" t="str">
        <x:v>200나9556</x:v>
      </x:c>
      <x:c r="D416" s="24" t="str">
        <x:v>보통</x:v>
      </x:c>
      <x:c r="E416" s="24" t="str">
        <x:v>상태 시작일 입력</x:v>
      </x:c>
      <x:c r="F416" s="24" t="str">
        <x:v>200나9556 상태 시작일 입력</x:v>
      </x:c>
      <x:c r="G416" s="24" t="str"/>
      <x:c r="H416" s="30"/>
      <x:c r="I416" s="24" t="str">
        <x:v>대기</x:v>
      </x:c>
      <x:c r="J416" s="30"/>
      <x:c r="K416" s="24" t="str"/>
      <x:c r="L416" s="24" t="str">
        <x:v>자동점검</x:v>
      </x:c>
    </x:row>
    <x:row r="417" ht="17.25" customHeight="1">
      <x:c r="A417" s="24" t="str">
        <x:v>W-0416</x:v>
      </x:c>
      <x:c r="B417" s="24" t="str">
        <x:v>프라임구독</x:v>
      </x:c>
      <x:c r="C417" s="24" t="str">
        <x:v>200나9556</x:v>
      </x:c>
      <x:c r="D417" s="24" t="str">
        <x:v>보통</x:v>
      </x:c>
      <x:c r="E417" s="24" t="str">
        <x:v>현재 보유 확인</x:v>
      </x:c>
      <x:c r="F417" s="24" t="str">
        <x:v>200나9556 현재 보유 확인</x:v>
      </x:c>
      <x:c r="G417" s="24" t="str"/>
      <x:c r="H417" s="30"/>
      <x:c r="I417" s="24" t="str">
        <x:v>대기</x:v>
      </x:c>
      <x:c r="J417" s="30"/>
      <x:c r="K417" s="24" t="str"/>
      <x:c r="L417" s="24" t="str">
        <x:v>자동점검</x:v>
      </x:c>
    </x:row>
    <x:row r="418" ht="17.25" customHeight="1">
      <x:c r="A418" s="24" t="str">
        <x:v>W-0417</x:v>
      </x:c>
      <x:c r="B418" s="24" t="str">
        <x:v>프라임구독</x:v>
      </x:c>
      <x:c r="C418" s="24" t="str">
        <x:v>20가6992</x:v>
      </x:c>
      <x:c r="D418" s="24" t="str">
        <x:v>보통</x:v>
      </x:c>
      <x:c r="E418" s="24" t="str">
        <x:v>상태 시작일 입력</x:v>
      </x:c>
      <x:c r="F418" s="24" t="str">
        <x:v>20가6992 상태 시작일 입력</x:v>
      </x:c>
      <x:c r="G418" s="24" t="str"/>
      <x:c r="H418" s="30"/>
      <x:c r="I418" s="24" t="str">
        <x:v>대기</x:v>
      </x:c>
      <x:c r="J418" s="30"/>
      <x:c r="K418" s="24" t="str"/>
      <x:c r="L418" s="24" t="str">
        <x:v>자동점검</x:v>
      </x:c>
    </x:row>
    <x:row r="419" ht="17.25" customHeight="1">
      <x:c r="A419" s="24" t="str">
        <x:v>W-0418</x:v>
      </x:c>
      <x:c r="B419" s="24" t="str">
        <x:v>프라임구독</x:v>
      </x:c>
      <x:c r="C419" s="24" t="str">
        <x:v>20가6992</x:v>
      </x:c>
      <x:c r="D419" s="24" t="str">
        <x:v>보통</x:v>
      </x:c>
      <x:c r="E419" s="24" t="str">
        <x:v>현재 보유 확인</x:v>
      </x:c>
      <x:c r="F419" s="24" t="str">
        <x:v>20가6992 현재 보유 확인</x:v>
      </x:c>
      <x:c r="G419" s="24" t="str"/>
      <x:c r="H419" s="30"/>
      <x:c r="I419" s="24" t="str">
        <x:v>대기</x:v>
      </x:c>
      <x:c r="J419" s="30"/>
      <x:c r="K419" s="24" t="str"/>
      <x:c r="L419" s="24" t="str">
        <x:v>자동점검</x:v>
      </x:c>
    </x:row>
    <x:row r="420" ht="17.25" customHeight="1">
      <x:c r="A420" s="24" t="str">
        <x:v>W-0419</x:v>
      </x:c>
      <x:c r="B420" s="24" t="str">
        <x:v>프라임구독</x:v>
      </x:c>
      <x:c r="C420" s="24" t="str">
        <x:v>20누1882</x:v>
      </x:c>
      <x:c r="D420" s="24" t="str">
        <x:v>보통</x:v>
      </x:c>
      <x:c r="E420" s="24" t="str">
        <x:v>상태 시작일 입력</x:v>
      </x:c>
      <x:c r="F420" s="24" t="str">
        <x:v>20누1882 상태 시작일 입력</x:v>
      </x:c>
      <x:c r="G420" s="24" t="str"/>
      <x:c r="H420" s="30"/>
      <x:c r="I420" s="24" t="str">
        <x:v>대기</x:v>
      </x:c>
      <x:c r="J420" s="30"/>
      <x:c r="K420" s="24" t="str"/>
      <x:c r="L420" s="24" t="str">
        <x:v>자동점검</x:v>
      </x:c>
    </x:row>
    <x:row r="421" ht="17.25" customHeight="1">
      <x:c r="A421" s="24" t="str">
        <x:v>W-0420</x:v>
      </x:c>
      <x:c r="B421" s="24" t="str">
        <x:v>프라임구독</x:v>
      </x:c>
      <x:c r="C421" s="24" t="str">
        <x:v>20누1882</x:v>
      </x:c>
      <x:c r="D421" s="24" t="str">
        <x:v>보통</x:v>
      </x:c>
      <x:c r="E421" s="24" t="str">
        <x:v>현재 보유 확인</x:v>
      </x:c>
      <x:c r="F421" s="24" t="str">
        <x:v>20누1882 현재 보유 확인</x:v>
      </x:c>
      <x:c r="G421" s="24" t="str"/>
      <x:c r="H421" s="30"/>
      <x:c r="I421" s="24" t="str">
        <x:v>대기</x:v>
      </x:c>
      <x:c r="J421" s="30"/>
      <x:c r="K421" s="24" t="str"/>
      <x:c r="L421" s="24" t="str">
        <x:v>자동점검</x:v>
      </x:c>
    </x:row>
    <x:row r="422" ht="17.25" customHeight="1">
      <x:c r="A422" s="24" t="str">
        <x:v>W-0421</x:v>
      </x:c>
      <x:c r="B422" s="24" t="str">
        <x:v>프라임구독</x:v>
      </x:c>
      <x:c r="C422" s="24" t="str">
        <x:v>20부2787</x:v>
      </x:c>
      <x:c r="D422" s="24" t="str">
        <x:v>보통</x:v>
      </x:c>
      <x:c r="E422" s="24" t="str">
        <x:v>상태 시작일 입력</x:v>
      </x:c>
      <x:c r="F422" s="24" t="str">
        <x:v>20부2787 상태 시작일 입력</x:v>
      </x:c>
      <x:c r="G422" s="24" t="str"/>
      <x:c r="H422" s="30"/>
      <x:c r="I422" s="24" t="str">
        <x:v>대기</x:v>
      </x:c>
      <x:c r="J422" s="30"/>
      <x:c r="K422" s="24" t="str"/>
      <x:c r="L422" s="24" t="str">
        <x:v>자동점검</x:v>
      </x:c>
    </x:row>
    <x:row r="423" ht="17.25" customHeight="1">
      <x:c r="A423" s="24" t="str">
        <x:v>W-0422</x:v>
      </x:c>
      <x:c r="B423" s="24" t="str">
        <x:v>프라임구독</x:v>
      </x:c>
      <x:c r="C423" s="24" t="str">
        <x:v>20부2787</x:v>
      </x:c>
      <x:c r="D423" s="24" t="str">
        <x:v>보통</x:v>
      </x:c>
      <x:c r="E423" s="24" t="str">
        <x:v>현재 보유 확인</x:v>
      </x:c>
      <x:c r="F423" s="24" t="str">
        <x:v>20부2787 현재 보유 확인</x:v>
      </x:c>
      <x:c r="G423" s="24" t="str"/>
      <x:c r="H423" s="30"/>
      <x:c r="I423" s="24" t="str">
        <x:v>대기</x:v>
      </x:c>
      <x:c r="J423" s="30"/>
      <x:c r="K423" s="24" t="str"/>
      <x:c r="L423" s="24" t="str">
        <x:v>자동점검</x:v>
      </x:c>
    </x:row>
    <x:row r="424" ht="17.25" customHeight="1">
      <x:c r="A424" s="24" t="str">
        <x:v>W-0423</x:v>
      </x:c>
      <x:c r="B424" s="24" t="str">
        <x:v>프라임구독</x:v>
      </x:c>
      <x:c r="C424" s="24" t="str">
        <x:v>20서8159</x:v>
      </x:c>
      <x:c r="D424" s="24" t="str">
        <x:v>보통</x:v>
      </x:c>
      <x:c r="E424" s="24" t="str">
        <x:v>상태 시작일 입력</x:v>
      </x:c>
      <x:c r="F424" s="24" t="str">
        <x:v>20서8159 상태 시작일 입력</x:v>
      </x:c>
      <x:c r="G424" s="24" t="str"/>
      <x:c r="H424" s="30"/>
      <x:c r="I424" s="24" t="str">
        <x:v>대기</x:v>
      </x:c>
      <x:c r="J424" s="30"/>
      <x:c r="K424" s="24" t="str"/>
      <x:c r="L424" s="24" t="str">
        <x:v>자동점검</x:v>
      </x:c>
    </x:row>
    <x:row r="425" ht="17.25" customHeight="1">
      <x:c r="A425" s="24" t="str">
        <x:v>W-0424</x:v>
      </x:c>
      <x:c r="B425" s="24" t="str">
        <x:v>프라임구독</x:v>
      </x:c>
      <x:c r="C425" s="24" t="str">
        <x:v>20서8159</x:v>
      </x:c>
      <x:c r="D425" s="24" t="str">
        <x:v>보통</x:v>
      </x:c>
      <x:c r="E425" s="24" t="str">
        <x:v>현재 보유 확인</x:v>
      </x:c>
      <x:c r="F425" s="24" t="str">
        <x:v>20서8159 현재 보유 확인</x:v>
      </x:c>
      <x:c r="G425" s="24" t="str"/>
      <x:c r="H425" s="30"/>
      <x:c r="I425" s="24" t="str">
        <x:v>대기</x:v>
      </x:c>
      <x:c r="J425" s="30"/>
      <x:c r="K425" s="24" t="str"/>
      <x:c r="L425" s="24" t="str">
        <x:v>자동점검</x:v>
      </x:c>
    </x:row>
    <x:row r="426" ht="17.25" customHeight="1">
      <x:c r="A426" s="24" t="str">
        <x:v>W-0425</x:v>
      </x:c>
      <x:c r="B426" s="24" t="str">
        <x:v>프라임구독</x:v>
      </x:c>
      <x:c r="C426" s="24" t="str">
        <x:v>21고4882</x:v>
      </x:c>
      <x:c r="D426" s="24" t="str">
        <x:v>긴급</x:v>
      </x:c>
      <x:c r="E426" s="24" t="str">
        <x:v>미수 확인</x:v>
      </x:c>
      <x:c r="F426" s="24" t="str">
        <x:v>21고4882 미수 확인</x:v>
      </x:c>
      <x:c r="G426" s="24" t="str"/>
      <x:c r="H426" s="30"/>
      <x:c r="I426" s="24" t="str">
        <x:v>대기</x:v>
      </x:c>
      <x:c r="J426" s="30"/>
      <x:c r="K426" s="24" t="str">
        <x:v>PR-C-21고4882-1-20231117-80</x:v>
      </x:c>
      <x:c r="L426" s="24" t="str">
        <x:v>자동점검</x:v>
      </x:c>
    </x:row>
    <x:row r="427" ht="17.25" customHeight="1">
      <x:c r="A427" s="24" t="str">
        <x:v>W-0426</x:v>
      </x:c>
      <x:c r="B427" s="24" t="str">
        <x:v>프라임구독</x:v>
      </x:c>
      <x:c r="C427" s="24" t="str">
        <x:v>21고4882</x:v>
      </x:c>
      <x:c r="D427" s="24" t="str">
        <x:v>높음</x:v>
      </x:c>
      <x:c r="E427" s="24" t="str">
        <x:v>보험 연령 입력</x:v>
      </x:c>
      <x:c r="F427" s="24" t="str">
        <x:v>21고4882 보험 연령 입력</x:v>
      </x:c>
      <x:c r="G427" s="24" t="str"/>
      <x:c r="H427" s="30"/>
      <x:c r="I427" s="24" t="str">
        <x:v>대기</x:v>
      </x:c>
      <x:c r="J427" s="30"/>
      <x:c r="K427" s="24" t="str">
        <x:v>PR-C-21고4882-1-20231117-80</x:v>
      </x:c>
      <x:c r="L427" s="24" t="str">
        <x:v>자동점검</x:v>
      </x:c>
    </x:row>
    <x:row r="428" ht="17.25" customHeight="1">
      <x:c r="A428" s="24" t="str">
        <x:v>W-0427</x:v>
      </x:c>
      <x:c r="B428" s="24" t="str">
        <x:v>프라임구독</x:v>
      </x:c>
      <x:c r="C428" s="24" t="str">
        <x:v>21고4882</x:v>
      </x:c>
      <x:c r="D428" s="24" t="str">
        <x:v>높음</x:v>
      </x:c>
      <x:c r="E428" s="24" t="str">
        <x:v>보험 갱신 확인</x:v>
      </x:c>
      <x:c r="F428" s="24" t="str">
        <x:v>21고4882 보험 갱신 확인</x:v>
      </x:c>
      <x:c r="G428" s="24" t="str"/>
      <x:c r="H428" s="30"/>
      <x:c r="I428" s="24" t="str">
        <x:v>대기</x:v>
      </x:c>
      <x:c r="J428" s="30"/>
      <x:c r="K428" s="24" t="str">
        <x:v>PR-C-21고4882-1-20231117-80</x:v>
      </x:c>
      <x:c r="L428" s="24" t="str">
        <x:v>자동점검</x:v>
      </x:c>
    </x:row>
    <x:row r="429" ht="17.25" customHeight="1">
      <x:c r="A429" s="24" t="str">
        <x:v>W-0428</x:v>
      </x:c>
      <x:c r="B429" s="24" t="str">
        <x:v>프라임구독</x:v>
      </x:c>
      <x:c r="C429" s="24" t="str">
        <x:v>21고4882</x:v>
      </x:c>
      <x:c r="D429" s="24" t="str">
        <x:v>보통</x:v>
      </x:c>
      <x:c r="E429" s="24" t="str">
        <x:v>현재 보유 확인</x:v>
      </x:c>
      <x:c r="F429" s="24" t="str">
        <x:v>21고4882 현재 보유 확인</x:v>
      </x:c>
      <x:c r="G429" s="24" t="str"/>
      <x:c r="H429" s="30"/>
      <x:c r="I429" s="24" t="str">
        <x:v>대기</x:v>
      </x:c>
      <x:c r="J429" s="30"/>
      <x:c r="K429" s="24" t="str">
        <x:v>PR-C-21고4882-1-20231117-80</x:v>
      </x:c>
      <x:c r="L429" s="24" t="str">
        <x:v>자동점검</x:v>
      </x:c>
    </x:row>
    <x:row r="430" ht="17.25" customHeight="1">
      <x:c r="A430" s="24" t="str">
        <x:v>W-0429</x:v>
      </x:c>
      <x:c r="B430" s="24" t="str">
        <x:v>프라임구독</x:v>
      </x:c>
      <x:c r="C430" s="24" t="str">
        <x:v>227서8291</x:v>
      </x:c>
      <x:c r="D430" s="24" t="str">
        <x:v>보통</x:v>
      </x:c>
      <x:c r="E430" s="24" t="str">
        <x:v>상태 시작일 입력</x:v>
      </x:c>
      <x:c r="F430" s="24" t="str">
        <x:v>227서8291 상태 시작일 입력</x:v>
      </x:c>
      <x:c r="G430" s="24" t="str"/>
      <x:c r="H430" s="30"/>
      <x:c r="I430" s="24" t="str">
        <x:v>대기</x:v>
      </x:c>
      <x:c r="J430" s="30"/>
      <x:c r="K430" s="24" t="str"/>
      <x:c r="L430" s="24" t="str">
        <x:v>자동점검</x:v>
      </x:c>
    </x:row>
    <x:row r="431" ht="17.25" customHeight="1">
      <x:c r="A431" s="24" t="str">
        <x:v>W-0430</x:v>
      </x:c>
      <x:c r="B431" s="24" t="str">
        <x:v>프라임구독</x:v>
      </x:c>
      <x:c r="C431" s="24" t="str">
        <x:v>227서8291</x:v>
      </x:c>
      <x:c r="D431" s="24" t="str">
        <x:v>보통</x:v>
      </x:c>
      <x:c r="E431" s="24" t="str">
        <x:v>현재 보유 확인</x:v>
      </x:c>
      <x:c r="F431" s="24" t="str">
        <x:v>227서8291 현재 보유 확인</x:v>
      </x:c>
      <x:c r="G431" s="24" t="str"/>
      <x:c r="H431" s="30"/>
      <x:c r="I431" s="24" t="str">
        <x:v>대기</x:v>
      </x:c>
      <x:c r="J431" s="30"/>
      <x:c r="K431" s="24" t="str"/>
      <x:c r="L431" s="24" t="str">
        <x:v>자동점검</x:v>
      </x:c>
    </x:row>
    <x:row r="432" ht="17.25" customHeight="1">
      <x:c r="A432" s="24" t="str">
        <x:v>W-0431</x:v>
      </x:c>
      <x:c r="B432" s="24" t="str">
        <x:v>프라임구독</x:v>
      </x:c>
      <x:c r="C432" s="24" t="str">
        <x:v>22거1063</x:v>
      </x:c>
      <x:c r="D432" s="24" t="str">
        <x:v>보통</x:v>
      </x:c>
      <x:c r="E432" s="24" t="str">
        <x:v>상태 시작일 입력</x:v>
      </x:c>
      <x:c r="F432" s="24" t="str">
        <x:v>22거1063 상태 시작일 입력</x:v>
      </x:c>
      <x:c r="G432" s="24" t="str"/>
      <x:c r="H432" s="30"/>
      <x:c r="I432" s="24" t="str">
        <x:v>대기</x:v>
      </x:c>
      <x:c r="J432" s="30"/>
      <x:c r="K432" s="24" t="str"/>
      <x:c r="L432" s="24" t="str">
        <x:v>자동점검</x:v>
      </x:c>
    </x:row>
    <x:row r="433" ht="17.25" customHeight="1">
      <x:c r="A433" s="24" t="str">
        <x:v>W-0432</x:v>
      </x:c>
      <x:c r="B433" s="24" t="str">
        <x:v>프라임구독</x:v>
      </x:c>
      <x:c r="C433" s="24" t="str">
        <x:v>22거1063</x:v>
      </x:c>
      <x:c r="D433" s="24" t="str">
        <x:v>보통</x:v>
      </x:c>
      <x:c r="E433" s="24" t="str">
        <x:v>현재 보유 확인</x:v>
      </x:c>
      <x:c r="F433" s="24" t="str">
        <x:v>22거1063 현재 보유 확인</x:v>
      </x:c>
      <x:c r="G433" s="24" t="str"/>
      <x:c r="H433" s="30"/>
      <x:c r="I433" s="24" t="str">
        <x:v>대기</x:v>
      </x:c>
      <x:c r="J433" s="30"/>
      <x:c r="K433" s="24" t="str"/>
      <x:c r="L433" s="24" t="str">
        <x:v>자동점검</x:v>
      </x:c>
    </x:row>
    <x:row r="434" ht="17.25" customHeight="1">
      <x:c r="A434" s="24" t="str">
        <x:v>W-0433</x:v>
      </x:c>
      <x:c r="B434" s="24" t="str">
        <x:v>프라임구독</x:v>
      </x:c>
      <x:c r="C434" s="24" t="str">
        <x:v>231더7227</x:v>
      </x:c>
      <x:c r="D434" s="24" t="str">
        <x:v>보통</x:v>
      </x:c>
      <x:c r="E434" s="24" t="str">
        <x:v>상태 시작일 입력</x:v>
      </x:c>
      <x:c r="F434" s="24" t="str">
        <x:v>231더7227 상태 시작일 입력</x:v>
      </x:c>
      <x:c r="G434" s="24" t="str"/>
      <x:c r="H434" s="30"/>
      <x:c r="I434" s="24" t="str">
        <x:v>대기</x:v>
      </x:c>
      <x:c r="J434" s="30"/>
      <x:c r="K434" s="24" t="str"/>
      <x:c r="L434" s="24" t="str">
        <x:v>자동점검</x:v>
      </x:c>
    </x:row>
    <x:row r="435" ht="17.25" customHeight="1">
      <x:c r="A435" s="24" t="str">
        <x:v>W-0434</x:v>
      </x:c>
      <x:c r="B435" s="24" t="str">
        <x:v>프라임구독</x:v>
      </x:c>
      <x:c r="C435" s="24" t="str">
        <x:v>231더7227</x:v>
      </x:c>
      <x:c r="D435" s="24" t="str">
        <x:v>보통</x:v>
      </x:c>
      <x:c r="E435" s="24" t="str">
        <x:v>현재 보유 확인</x:v>
      </x:c>
      <x:c r="F435" s="24" t="str">
        <x:v>231더7227 현재 보유 확인</x:v>
      </x:c>
      <x:c r="G435" s="24" t="str"/>
      <x:c r="H435" s="30"/>
      <x:c r="I435" s="24" t="str">
        <x:v>대기</x:v>
      </x:c>
      <x:c r="J435" s="30"/>
      <x:c r="K435" s="24" t="str"/>
      <x:c r="L435" s="24" t="str">
        <x:v>자동점검</x:v>
      </x:c>
    </x:row>
    <x:row r="436" ht="17.25" customHeight="1">
      <x:c r="A436" s="24" t="str">
        <x:v>W-0435</x:v>
      </x:c>
      <x:c r="B436" s="24" t="str">
        <x:v>프라임구독</x:v>
      </x:c>
      <x:c r="C436" s="24" t="str">
        <x:v>236가3220</x:v>
      </x:c>
      <x:c r="D436" s="24" t="str">
        <x:v>보통</x:v>
      </x:c>
      <x:c r="E436" s="24" t="str">
        <x:v>상태 시작일 입력</x:v>
      </x:c>
      <x:c r="F436" s="24" t="str">
        <x:v>236가3220 상태 시작일 입력</x:v>
      </x:c>
      <x:c r="G436" s="24" t="str"/>
      <x:c r="H436" s="30"/>
      <x:c r="I436" s="24" t="str">
        <x:v>대기</x:v>
      </x:c>
      <x:c r="J436" s="30"/>
      <x:c r="K436" s="24" t="str"/>
      <x:c r="L436" s="24" t="str">
        <x:v>자동점검</x:v>
      </x:c>
    </x:row>
    <x:row r="437" ht="17.25" customHeight="1">
      <x:c r="A437" s="24" t="str">
        <x:v>W-0436</x:v>
      </x:c>
      <x:c r="B437" s="24" t="str">
        <x:v>프라임구독</x:v>
      </x:c>
      <x:c r="C437" s="24" t="str">
        <x:v>236가3220</x:v>
      </x:c>
      <x:c r="D437" s="24" t="str">
        <x:v>보통</x:v>
      </x:c>
      <x:c r="E437" s="24" t="str">
        <x:v>현재 보유 확인</x:v>
      </x:c>
      <x:c r="F437" s="24" t="str">
        <x:v>236가3220 현재 보유 확인</x:v>
      </x:c>
      <x:c r="G437" s="24" t="str"/>
      <x:c r="H437" s="30"/>
      <x:c r="I437" s="24" t="str">
        <x:v>대기</x:v>
      </x:c>
      <x:c r="J437" s="30"/>
      <x:c r="K437" s="24" t="str"/>
      <x:c r="L437" s="24" t="str">
        <x:v>자동점검</x:v>
      </x:c>
    </x:row>
    <x:row r="438" ht="17.25" customHeight="1">
      <x:c r="A438" s="24" t="str">
        <x:v>W-0437</x:v>
      </x:c>
      <x:c r="B438" s="24" t="str">
        <x:v>프라임구독</x:v>
      </x:c>
      <x:c r="C438" s="24" t="str">
        <x:v>236보1364</x:v>
      </x:c>
      <x:c r="D438" s="24" t="str">
        <x:v>긴급</x:v>
      </x:c>
      <x:c r="E438" s="24" t="str">
        <x:v>회수 검토</x:v>
      </x:c>
      <x:c r="F438" s="24" t="str">
        <x:v>236보1364 회수 검토</x:v>
      </x:c>
      <x:c r="G438" s="24" t="str"/>
      <x:c r="H438" s="30"/>
      <x:c r="I438" s="24" t="str">
        <x:v>대기</x:v>
      </x:c>
      <x:c r="J438" s="30"/>
      <x:c r="K438" s="24" t="str">
        <x:v>PR-C-236보1364-1-20240313-85</x:v>
      </x:c>
      <x:c r="L438" s="24" t="str">
        <x:v>자동점검</x:v>
      </x:c>
    </x:row>
    <x:row r="439" ht="17.25" customHeight="1">
      <x:c r="A439" s="24" t="str">
        <x:v>W-0438</x:v>
      </x:c>
      <x:c r="B439" s="24" t="str">
        <x:v>프라임구독</x:v>
      </x:c>
      <x:c r="C439" s="24" t="str">
        <x:v>236보1364</x:v>
      </x:c>
      <x:c r="D439" s="24" t="str">
        <x:v>높음</x:v>
      </x:c>
      <x:c r="E439" s="24" t="str">
        <x:v>보험 연령 입력</x:v>
      </x:c>
      <x:c r="F439" s="24" t="str">
        <x:v>236보1364 보험 연령 입력</x:v>
      </x:c>
      <x:c r="G439" s="24" t="str"/>
      <x:c r="H439" s="30"/>
      <x:c r="I439" s="24" t="str">
        <x:v>대기</x:v>
      </x:c>
      <x:c r="J439" s="30"/>
      <x:c r="K439" s="24" t="str">
        <x:v>PR-C-236보1364-1-20240313-85</x:v>
      </x:c>
      <x:c r="L439" s="24" t="str">
        <x:v>자동점검</x:v>
      </x:c>
    </x:row>
    <x:row r="440" ht="17.25" customHeight="1">
      <x:c r="A440" s="24" t="str">
        <x:v>W-0439</x:v>
      </x:c>
      <x:c r="B440" s="24" t="str">
        <x:v>프라임구독</x:v>
      </x:c>
      <x:c r="C440" s="24" t="str">
        <x:v>236보1364</x:v>
      </x:c>
      <x:c r="D440" s="24" t="str">
        <x:v>높음</x:v>
      </x:c>
      <x:c r="E440" s="24" t="str">
        <x:v>보험 갱신 확인</x:v>
      </x:c>
      <x:c r="F440" s="24" t="str">
        <x:v>236보1364 보험 갱신 확인</x:v>
      </x:c>
      <x:c r="G440" s="24" t="str"/>
      <x:c r="H440" s="30"/>
      <x:c r="I440" s="24" t="str">
        <x:v>대기</x:v>
      </x:c>
      <x:c r="J440" s="30"/>
      <x:c r="K440" s="24" t="str">
        <x:v>PR-C-236보1364-1-20240313-85</x:v>
      </x:c>
      <x:c r="L440" s="24" t="str">
        <x:v>자동점검</x:v>
      </x:c>
    </x:row>
    <x:row r="441" ht="17.25" customHeight="1">
      <x:c r="A441" s="24" t="str">
        <x:v>W-0440</x:v>
      </x:c>
      <x:c r="B441" s="24" t="str">
        <x:v>프라임구독</x:v>
      </x:c>
      <x:c r="C441" s="24" t="str">
        <x:v>236보1364</x:v>
      </x:c>
      <x:c r="D441" s="24" t="str">
        <x:v>보통</x:v>
      </x:c>
      <x:c r="E441" s="24" t="str">
        <x:v>현재 보유 확인</x:v>
      </x:c>
      <x:c r="F441" s="24" t="str">
        <x:v>236보1364 현재 보유 확인</x:v>
      </x:c>
      <x:c r="G441" s="24" t="str"/>
      <x:c r="H441" s="30"/>
      <x:c r="I441" s="24" t="str">
        <x:v>대기</x:v>
      </x:c>
      <x:c r="J441" s="30"/>
      <x:c r="K441" s="24" t="str">
        <x:v>PR-C-236보1364-1-20240313-85</x:v>
      </x:c>
      <x:c r="L441" s="24" t="str">
        <x:v>자동점검</x:v>
      </x:c>
    </x:row>
    <x:row r="442" ht="17.25" customHeight="1">
      <x:c r="A442" s="24" t="str">
        <x:v>W-0441</x:v>
      </x:c>
      <x:c r="B442" s="24" t="str">
        <x:v>프라임구독</x:v>
      </x:c>
      <x:c r="C442" s="24" t="str">
        <x:v>239버3661</x:v>
      </x:c>
      <x:c r="D442" s="24" t="str">
        <x:v>보통</x:v>
      </x:c>
      <x:c r="E442" s="24" t="str">
        <x:v>상태 시작일 입력</x:v>
      </x:c>
      <x:c r="F442" s="24" t="str">
        <x:v>239버3661 상태 시작일 입력</x:v>
      </x:c>
      <x:c r="G442" s="24" t="str"/>
      <x:c r="H442" s="30"/>
      <x:c r="I442" s="24" t="str">
        <x:v>대기</x:v>
      </x:c>
      <x:c r="J442" s="30"/>
      <x:c r="K442" s="24" t="str"/>
      <x:c r="L442" s="24" t="str">
        <x:v>자동점검</x:v>
      </x:c>
    </x:row>
    <x:row r="443" ht="17.25" customHeight="1">
      <x:c r="A443" s="24" t="str">
        <x:v>W-0442</x:v>
      </x:c>
      <x:c r="B443" s="24" t="str">
        <x:v>프라임구독</x:v>
      </x:c>
      <x:c r="C443" s="24" t="str">
        <x:v>239버3661</x:v>
      </x:c>
      <x:c r="D443" s="24" t="str">
        <x:v>보통</x:v>
      </x:c>
      <x:c r="E443" s="24" t="str">
        <x:v>현재 보유 확인</x:v>
      </x:c>
      <x:c r="F443" s="24" t="str">
        <x:v>239버3661 현재 보유 확인</x:v>
      </x:c>
      <x:c r="G443" s="24" t="str"/>
      <x:c r="H443" s="30"/>
      <x:c r="I443" s="24" t="str">
        <x:v>대기</x:v>
      </x:c>
      <x:c r="J443" s="30"/>
      <x:c r="K443" s="24" t="str"/>
      <x:c r="L443" s="24" t="str">
        <x:v>자동점검</x:v>
      </x:c>
    </x:row>
    <x:row r="444" ht="17.25" customHeight="1">
      <x:c r="A444" s="24" t="str">
        <x:v>W-0443</x:v>
      </x:c>
      <x:c r="B444" s="24" t="str">
        <x:v>프라임구독</x:v>
      </x:c>
      <x:c r="C444" s="24" t="str">
        <x:v>23더7974</x:v>
      </x:c>
      <x:c r="D444" s="24" t="str">
        <x:v>보통</x:v>
      </x:c>
      <x:c r="E444" s="24" t="str">
        <x:v>상태 시작일 입력</x:v>
      </x:c>
      <x:c r="F444" s="24" t="str">
        <x:v>23더7974 상태 시작일 입력</x:v>
      </x:c>
      <x:c r="G444" s="24" t="str"/>
      <x:c r="H444" s="30"/>
      <x:c r="I444" s="24" t="str">
        <x:v>대기</x:v>
      </x:c>
      <x:c r="J444" s="30"/>
      <x:c r="K444" s="24" t="str"/>
      <x:c r="L444" s="24" t="str">
        <x:v>자동점검</x:v>
      </x:c>
    </x:row>
    <x:row r="445" ht="17.25" customHeight="1">
      <x:c r="A445" s="24" t="str">
        <x:v>W-0444</x:v>
      </x:c>
      <x:c r="B445" s="24" t="str">
        <x:v>프라임구독</x:v>
      </x:c>
      <x:c r="C445" s="24" t="str">
        <x:v>23더7974</x:v>
      </x:c>
      <x:c r="D445" s="24" t="str">
        <x:v>보통</x:v>
      </x:c>
      <x:c r="E445" s="24" t="str">
        <x:v>현재 보유 확인</x:v>
      </x:c>
      <x:c r="F445" s="24" t="str">
        <x:v>23더7974 현재 보유 확인</x:v>
      </x:c>
      <x:c r="G445" s="24" t="str"/>
      <x:c r="H445" s="30"/>
      <x:c r="I445" s="24" t="str">
        <x:v>대기</x:v>
      </x:c>
      <x:c r="J445" s="30"/>
      <x:c r="K445" s="24" t="str"/>
      <x:c r="L445" s="24" t="str">
        <x:v>자동점검</x:v>
      </x:c>
    </x:row>
    <x:row r="446" ht="17.25" customHeight="1">
      <x:c r="A446" s="24" t="str">
        <x:v>W-0445</x:v>
      </x:c>
      <x:c r="B446" s="24" t="str">
        <x:v>프라임구독</x:v>
      </x:c>
      <x:c r="C446" s="24" t="str">
        <x:v>240보1114</x:v>
      </x:c>
      <x:c r="D446" s="24" t="str">
        <x:v>보통</x:v>
      </x:c>
      <x:c r="E446" s="24" t="str">
        <x:v>상태 시작일 입력</x:v>
      </x:c>
      <x:c r="F446" s="24" t="str">
        <x:v>240보1114 상태 시작일 입력</x:v>
      </x:c>
      <x:c r="G446" s="24" t="str"/>
      <x:c r="H446" s="30"/>
      <x:c r="I446" s="24" t="str">
        <x:v>대기</x:v>
      </x:c>
      <x:c r="J446" s="30"/>
      <x:c r="K446" s="24" t="str"/>
      <x:c r="L446" s="24" t="str">
        <x:v>자동점검</x:v>
      </x:c>
    </x:row>
    <x:row r="447" ht="17.25" customHeight="1">
      <x:c r="A447" s="24" t="str">
        <x:v>W-0446</x:v>
      </x:c>
      <x:c r="B447" s="24" t="str">
        <x:v>프라임구독</x:v>
      </x:c>
      <x:c r="C447" s="24" t="str">
        <x:v>240보1114</x:v>
      </x:c>
      <x:c r="D447" s="24" t="str">
        <x:v>보통</x:v>
      </x:c>
      <x:c r="E447" s="24" t="str">
        <x:v>현재 보유 확인</x:v>
      </x:c>
      <x:c r="F447" s="24" t="str">
        <x:v>240보1114 현재 보유 확인</x:v>
      </x:c>
      <x:c r="G447" s="24" t="str"/>
      <x:c r="H447" s="30"/>
      <x:c r="I447" s="24" t="str">
        <x:v>대기</x:v>
      </x:c>
      <x:c r="J447" s="30"/>
      <x:c r="K447" s="24" t="str"/>
      <x:c r="L447" s="24" t="str">
        <x:v>자동점검</x:v>
      </x:c>
    </x:row>
    <x:row r="448" ht="17.25" customHeight="1">
      <x:c r="A448" s="24" t="str">
        <x:v>W-0447</x:v>
      </x:c>
      <x:c r="B448" s="24" t="str">
        <x:v>프라임구독</x:v>
      </x:c>
      <x:c r="C448" s="24" t="str">
        <x:v>24고7227</x:v>
      </x:c>
      <x:c r="D448" s="24" t="str">
        <x:v>보통</x:v>
      </x:c>
      <x:c r="E448" s="24" t="str">
        <x:v>상태 시작일 입력</x:v>
      </x:c>
      <x:c r="F448" s="24" t="str">
        <x:v>24고7227 상태 시작일 입력</x:v>
      </x:c>
      <x:c r="G448" s="24" t="str"/>
      <x:c r="H448" s="30"/>
      <x:c r="I448" s="24" t="str">
        <x:v>대기</x:v>
      </x:c>
      <x:c r="J448" s="30"/>
      <x:c r="K448" s="24" t="str"/>
      <x:c r="L448" s="24" t="str">
        <x:v>자동점검</x:v>
      </x:c>
    </x:row>
    <x:row r="449" ht="17.25" customHeight="1">
      <x:c r="A449" s="24" t="str">
        <x:v>W-0448</x:v>
      </x:c>
      <x:c r="B449" s="24" t="str">
        <x:v>프라임구독</x:v>
      </x:c>
      <x:c r="C449" s="24" t="str">
        <x:v>24고7227</x:v>
      </x:c>
      <x:c r="D449" s="24" t="str">
        <x:v>보통</x:v>
      </x:c>
      <x:c r="E449" s="24" t="str">
        <x:v>현재 보유 확인</x:v>
      </x:c>
      <x:c r="F449" s="24" t="str">
        <x:v>24고7227 현재 보유 확인</x:v>
      </x:c>
      <x:c r="G449" s="24" t="str"/>
      <x:c r="H449" s="30"/>
      <x:c r="I449" s="24" t="str">
        <x:v>대기</x:v>
      </x:c>
      <x:c r="J449" s="30"/>
      <x:c r="K449" s="24" t="str"/>
      <x:c r="L449" s="24" t="str">
        <x:v>자동점검</x:v>
      </x:c>
    </x:row>
    <x:row r="450" ht="17.25" customHeight="1">
      <x:c r="A450" s="24" t="str">
        <x:v>W-0449</x:v>
      </x:c>
      <x:c r="B450" s="24" t="str">
        <x:v>프라임구독</x:v>
      </x:c>
      <x:c r="C450" s="24" t="str">
        <x:v>250서5013</x:v>
      </x:c>
      <x:c r="D450" s="24" t="str">
        <x:v>보통</x:v>
      </x:c>
      <x:c r="E450" s="24" t="str">
        <x:v>상태 시작일 입력</x:v>
      </x:c>
      <x:c r="F450" s="24" t="str">
        <x:v>250서5013 상태 시작일 입력</x:v>
      </x:c>
      <x:c r="G450" s="24" t="str"/>
      <x:c r="H450" s="30"/>
      <x:c r="I450" s="24" t="str">
        <x:v>대기</x:v>
      </x:c>
      <x:c r="J450" s="30"/>
      <x:c r="K450" s="24" t="str"/>
      <x:c r="L450" s="24" t="str">
        <x:v>자동점검</x:v>
      </x:c>
    </x:row>
    <x:row r="451" ht="17.25" customHeight="1">
      <x:c r="A451" s="24" t="str">
        <x:v>W-0450</x:v>
      </x:c>
      <x:c r="B451" s="24" t="str">
        <x:v>프라임구독</x:v>
      </x:c>
      <x:c r="C451" s="24" t="str">
        <x:v>250서5013</x:v>
      </x:c>
      <x:c r="D451" s="24" t="str">
        <x:v>보통</x:v>
      </x:c>
      <x:c r="E451" s="24" t="str">
        <x:v>현재 보유 확인</x:v>
      </x:c>
      <x:c r="F451" s="24" t="str">
        <x:v>250서5013 현재 보유 확인</x:v>
      </x:c>
      <x:c r="G451" s="24" t="str"/>
      <x:c r="H451" s="30"/>
      <x:c r="I451" s="24" t="str">
        <x:v>대기</x:v>
      </x:c>
      <x:c r="J451" s="30"/>
      <x:c r="K451" s="24" t="str"/>
      <x:c r="L451" s="24" t="str">
        <x:v>자동점검</x:v>
      </x:c>
    </x:row>
    <x:row r="452" ht="17.25" customHeight="1">
      <x:c r="A452" s="24" t="str">
        <x:v>W-0451</x:v>
      </x:c>
      <x:c r="B452" s="24" t="str">
        <x:v>프라임구독</x:v>
      </x:c>
      <x:c r="C452" s="24" t="str">
        <x:v>255로9949</x:v>
      </x:c>
      <x:c r="D452" s="24" t="str">
        <x:v>보통</x:v>
      </x:c>
      <x:c r="E452" s="24" t="str">
        <x:v>상태 시작일 입력</x:v>
      </x:c>
      <x:c r="F452" s="24" t="str">
        <x:v>255로9949 상태 시작일 입력</x:v>
      </x:c>
      <x:c r="G452" s="24" t="str"/>
      <x:c r="H452" s="30"/>
      <x:c r="I452" s="24" t="str">
        <x:v>대기</x:v>
      </x:c>
      <x:c r="J452" s="30"/>
      <x:c r="K452" s="24" t="str"/>
      <x:c r="L452" s="24" t="str">
        <x:v>자동점검</x:v>
      </x:c>
    </x:row>
    <x:row r="453" ht="17.25" customHeight="1">
      <x:c r="A453" s="24" t="str">
        <x:v>W-0452</x:v>
      </x:c>
      <x:c r="B453" s="24" t="str">
        <x:v>프라임구독</x:v>
      </x:c>
      <x:c r="C453" s="24" t="str">
        <x:v>255로9949</x:v>
      </x:c>
      <x:c r="D453" s="24" t="str">
        <x:v>보통</x:v>
      </x:c>
      <x:c r="E453" s="24" t="str">
        <x:v>현재 보유 확인</x:v>
      </x:c>
      <x:c r="F453" s="24" t="str">
        <x:v>255로9949 현재 보유 확인</x:v>
      </x:c>
      <x:c r="G453" s="24" t="str"/>
      <x:c r="H453" s="30"/>
      <x:c r="I453" s="24" t="str">
        <x:v>대기</x:v>
      </x:c>
      <x:c r="J453" s="30"/>
      <x:c r="K453" s="24" t="str"/>
      <x:c r="L453" s="24" t="str">
        <x:v>자동점검</x:v>
      </x:c>
    </x:row>
    <x:row r="454" ht="17.25" customHeight="1">
      <x:c r="A454" s="24" t="str">
        <x:v>W-0453</x:v>
      </x:c>
      <x:c r="B454" s="24" t="str">
        <x:v>프라임구독</x:v>
      </x:c>
      <x:c r="C454" s="24" t="str">
        <x:v>255오1360</x:v>
      </x:c>
      <x:c r="D454" s="24" t="str">
        <x:v>긴급</x:v>
      </x:c>
      <x:c r="E454" s="24" t="str">
        <x:v>회수 검토</x:v>
      </x:c>
      <x:c r="F454" s="24" t="str">
        <x:v>255오1360 회수 검토</x:v>
      </x:c>
      <x:c r="G454" s="24" t="str"/>
      <x:c r="H454" s="30"/>
      <x:c r="I454" s="24" t="str">
        <x:v>대기</x:v>
      </x:c>
      <x:c r="J454" s="30"/>
      <x:c r="K454" s="24" t="str">
        <x:v>PR-C-255오1360-1-20231115-92</x:v>
      </x:c>
      <x:c r="L454" s="24" t="str">
        <x:v>자동점검</x:v>
      </x:c>
    </x:row>
    <x:row r="455" ht="17.25" customHeight="1">
      <x:c r="A455" s="24" t="str">
        <x:v>W-0454</x:v>
      </x:c>
      <x:c r="B455" s="24" t="str">
        <x:v>프라임구독</x:v>
      </x:c>
      <x:c r="C455" s="24" t="str">
        <x:v>255오1360</x:v>
      </x:c>
      <x:c r="D455" s="24" t="str">
        <x:v>높음</x:v>
      </x:c>
      <x:c r="E455" s="24" t="str">
        <x:v>보험 연령 입력</x:v>
      </x:c>
      <x:c r="F455" s="24" t="str">
        <x:v>255오1360 보험 연령 입력</x:v>
      </x:c>
      <x:c r="G455" s="24" t="str"/>
      <x:c r="H455" s="30"/>
      <x:c r="I455" s="24" t="str">
        <x:v>대기</x:v>
      </x:c>
      <x:c r="J455" s="30"/>
      <x:c r="K455" s="24" t="str">
        <x:v>PR-C-255오1360-1-20231115-92</x:v>
      </x:c>
      <x:c r="L455" s="24" t="str">
        <x:v>자동점검</x:v>
      </x:c>
    </x:row>
    <x:row r="456" ht="17.25" customHeight="1">
      <x:c r="A456" s="24" t="str">
        <x:v>W-0455</x:v>
      </x:c>
      <x:c r="B456" s="24" t="str">
        <x:v>프라임구독</x:v>
      </x:c>
      <x:c r="C456" s="24" t="str">
        <x:v>255오1360</x:v>
      </x:c>
      <x:c r="D456" s="24" t="str">
        <x:v>높음</x:v>
      </x:c>
      <x:c r="E456" s="24" t="str">
        <x:v>보험 갱신 확인</x:v>
      </x:c>
      <x:c r="F456" s="24" t="str">
        <x:v>255오1360 보험 갱신 확인</x:v>
      </x:c>
      <x:c r="G456" s="24" t="str"/>
      <x:c r="H456" s="30"/>
      <x:c r="I456" s="24" t="str">
        <x:v>대기</x:v>
      </x:c>
      <x:c r="J456" s="30"/>
      <x:c r="K456" s="24" t="str">
        <x:v>PR-C-255오1360-1-20231115-92</x:v>
      </x:c>
      <x:c r="L456" s="24" t="str">
        <x:v>자동점검</x:v>
      </x:c>
    </x:row>
    <x:row r="457" ht="17.25" customHeight="1">
      <x:c r="A457" s="24" t="str">
        <x:v>W-0456</x:v>
      </x:c>
      <x:c r="B457" s="24" t="str">
        <x:v>프라임구독</x:v>
      </x:c>
      <x:c r="C457" s="24" t="str">
        <x:v>255오1360</x:v>
      </x:c>
      <x:c r="D457" s="24" t="str">
        <x:v>보통</x:v>
      </x:c>
      <x:c r="E457" s="24" t="str">
        <x:v>현재 보유 확인</x:v>
      </x:c>
      <x:c r="F457" s="24" t="str">
        <x:v>255오1360 현재 보유 확인</x:v>
      </x:c>
      <x:c r="G457" s="24" t="str"/>
      <x:c r="H457" s="30"/>
      <x:c r="I457" s="24" t="str">
        <x:v>대기</x:v>
      </x:c>
      <x:c r="J457" s="30"/>
      <x:c r="K457" s="24" t="str">
        <x:v>PR-C-255오1360-1-20231115-92</x:v>
      </x:c>
      <x:c r="L457" s="24" t="str">
        <x:v>자동점검</x:v>
      </x:c>
    </x:row>
    <x:row r="458" ht="17.25" customHeight="1">
      <x:c r="A458" s="24" t="str">
        <x:v>W-0457</x:v>
      </x:c>
      <x:c r="B458" s="24" t="str">
        <x:v>프라임구독</x:v>
      </x:c>
      <x:c r="C458" s="24" t="str">
        <x:v>255우2089</x:v>
      </x:c>
      <x:c r="D458" s="24" t="str">
        <x:v>보통</x:v>
      </x:c>
      <x:c r="E458" s="24" t="str">
        <x:v>상태 시작일 입력</x:v>
      </x:c>
      <x:c r="F458" s="24" t="str">
        <x:v>255우2089 상태 시작일 입력</x:v>
      </x:c>
      <x:c r="G458" s="24" t="str"/>
      <x:c r="H458" s="30"/>
      <x:c r="I458" s="24" t="str">
        <x:v>대기</x:v>
      </x:c>
      <x:c r="J458" s="30"/>
      <x:c r="K458" s="24" t="str"/>
      <x:c r="L458" s="24" t="str">
        <x:v>자동점검</x:v>
      </x:c>
    </x:row>
    <x:row r="459" ht="17.25" customHeight="1">
      <x:c r="A459" s="24" t="str">
        <x:v>W-0458</x:v>
      </x:c>
      <x:c r="B459" s="24" t="str">
        <x:v>프라임구독</x:v>
      </x:c>
      <x:c r="C459" s="24" t="str">
        <x:v>255우2089</x:v>
      </x:c>
      <x:c r="D459" s="24" t="str">
        <x:v>보통</x:v>
      </x:c>
      <x:c r="E459" s="24" t="str">
        <x:v>현재 보유 확인</x:v>
      </x:c>
      <x:c r="F459" s="24" t="str">
        <x:v>255우2089 현재 보유 확인</x:v>
      </x:c>
      <x:c r="G459" s="24" t="str"/>
      <x:c r="H459" s="30"/>
      <x:c r="I459" s="24" t="str">
        <x:v>대기</x:v>
      </x:c>
      <x:c r="J459" s="30"/>
      <x:c r="K459" s="24" t="str"/>
      <x:c r="L459" s="24" t="str">
        <x:v>자동점검</x:v>
      </x:c>
    </x:row>
    <x:row r="460" ht="17.25" customHeight="1">
      <x:c r="A460" s="24" t="str">
        <x:v>W-0459</x:v>
      </x:c>
      <x:c r="B460" s="24" t="str">
        <x:v>프라임구독</x:v>
      </x:c>
      <x:c r="C460" s="24" t="str">
        <x:v>25머4399</x:v>
      </x:c>
      <x:c r="D460" s="24" t="str">
        <x:v>보통</x:v>
      </x:c>
      <x:c r="E460" s="24" t="str">
        <x:v>상태 시작일 입력</x:v>
      </x:c>
      <x:c r="F460" s="24" t="str">
        <x:v>25머4399 상태 시작일 입력</x:v>
      </x:c>
      <x:c r="G460" s="24" t="str"/>
      <x:c r="H460" s="30"/>
      <x:c r="I460" s="24" t="str">
        <x:v>대기</x:v>
      </x:c>
      <x:c r="J460" s="30"/>
      <x:c r="K460" s="24" t="str"/>
      <x:c r="L460" s="24" t="str">
        <x:v>자동점검</x:v>
      </x:c>
    </x:row>
    <x:row r="461" ht="17.25" customHeight="1">
      <x:c r="A461" s="24" t="str">
        <x:v>W-0460</x:v>
      </x:c>
      <x:c r="B461" s="24" t="str">
        <x:v>프라임구독</x:v>
      </x:c>
      <x:c r="C461" s="24" t="str">
        <x:v>25머4399</x:v>
      </x:c>
      <x:c r="D461" s="24" t="str">
        <x:v>보통</x:v>
      </x:c>
      <x:c r="E461" s="24" t="str">
        <x:v>현재 보유 확인</x:v>
      </x:c>
      <x:c r="F461" s="24" t="str">
        <x:v>25머4399 현재 보유 확인</x:v>
      </x:c>
      <x:c r="G461" s="24" t="str"/>
      <x:c r="H461" s="30"/>
      <x:c r="I461" s="24" t="str">
        <x:v>대기</x:v>
      </x:c>
      <x:c r="J461" s="30"/>
      <x:c r="K461" s="24" t="str"/>
      <x:c r="L461" s="24" t="str">
        <x:v>자동점검</x:v>
      </x:c>
    </x:row>
    <x:row r="462" ht="17.25" customHeight="1">
      <x:c r="A462" s="24" t="str">
        <x:v>W-0461</x:v>
      </x:c>
      <x:c r="B462" s="24" t="str">
        <x:v>프라임구독</x:v>
      </x:c>
      <x:c r="C462" s="24" t="str">
        <x:v>25부0580</x:v>
      </x:c>
      <x:c r="D462" s="24" t="str">
        <x:v>보통</x:v>
      </x:c>
      <x:c r="E462" s="24" t="str">
        <x:v>상태 시작일 입력</x:v>
      </x:c>
      <x:c r="F462" s="24" t="str">
        <x:v>25부0580 상태 시작일 입력</x:v>
      </x:c>
      <x:c r="G462" s="24" t="str"/>
      <x:c r="H462" s="30"/>
      <x:c r="I462" s="24" t="str">
        <x:v>대기</x:v>
      </x:c>
      <x:c r="J462" s="30"/>
      <x:c r="K462" s="24" t="str"/>
      <x:c r="L462" s="24" t="str">
        <x:v>자동점검</x:v>
      </x:c>
    </x:row>
    <x:row r="463" ht="17.25" customHeight="1">
      <x:c r="A463" s="24" t="str">
        <x:v>W-0462</x:v>
      </x:c>
      <x:c r="B463" s="24" t="str">
        <x:v>프라임구독</x:v>
      </x:c>
      <x:c r="C463" s="24" t="str">
        <x:v>25부0580</x:v>
      </x:c>
      <x:c r="D463" s="24" t="str">
        <x:v>보통</x:v>
      </x:c>
      <x:c r="E463" s="24" t="str">
        <x:v>현재 보유 확인</x:v>
      </x:c>
      <x:c r="F463" s="24" t="str">
        <x:v>25부0580 현재 보유 확인</x:v>
      </x:c>
      <x:c r="G463" s="24" t="str"/>
      <x:c r="H463" s="30"/>
      <x:c r="I463" s="24" t="str">
        <x:v>대기</x:v>
      </x:c>
      <x:c r="J463" s="30"/>
      <x:c r="K463" s="24" t="str"/>
      <x:c r="L463" s="24" t="str">
        <x:v>자동점검</x:v>
      </x:c>
    </x:row>
    <x:row r="464" ht="17.25" customHeight="1">
      <x:c r="A464" s="24" t="str">
        <x:v>W-0463</x:v>
      </x:c>
      <x:c r="B464" s="24" t="str">
        <x:v>프라임구독</x:v>
      </x:c>
      <x:c r="C464" s="24" t="str">
        <x:v>25오7995</x:v>
      </x:c>
      <x:c r="D464" s="24" t="str">
        <x:v>보통</x:v>
      </x:c>
      <x:c r="E464" s="24" t="str">
        <x:v>상태 시작일 입력</x:v>
      </x:c>
      <x:c r="F464" s="24" t="str">
        <x:v>25오7995 상태 시작일 입력</x:v>
      </x:c>
      <x:c r="G464" s="24" t="str"/>
      <x:c r="H464" s="30"/>
      <x:c r="I464" s="24" t="str">
        <x:v>대기</x:v>
      </x:c>
      <x:c r="J464" s="30"/>
      <x:c r="K464" s="24" t="str"/>
      <x:c r="L464" s="24" t="str">
        <x:v>자동점검</x:v>
      </x:c>
    </x:row>
    <x:row r="465" ht="17.25" customHeight="1">
      <x:c r="A465" s="24" t="str">
        <x:v>W-0464</x:v>
      </x:c>
      <x:c r="B465" s="24" t="str">
        <x:v>프라임구독</x:v>
      </x:c>
      <x:c r="C465" s="24" t="str">
        <x:v>25오7995</x:v>
      </x:c>
      <x:c r="D465" s="24" t="str">
        <x:v>보통</x:v>
      </x:c>
      <x:c r="E465" s="24" t="str">
        <x:v>현재 보유 확인</x:v>
      </x:c>
      <x:c r="F465" s="24" t="str">
        <x:v>25오7995 현재 보유 확인</x:v>
      </x:c>
      <x:c r="G465" s="24" t="str"/>
      <x:c r="H465" s="30"/>
      <x:c r="I465" s="24" t="str">
        <x:v>대기</x:v>
      </x:c>
      <x:c r="J465" s="30"/>
      <x:c r="K465" s="24" t="str"/>
      <x:c r="L465" s="24" t="str">
        <x:v>자동점검</x:v>
      </x:c>
    </x:row>
    <x:row r="466" ht="17.25" customHeight="1">
      <x:c r="A466" s="24" t="str">
        <x:v>W-0465</x:v>
      </x:c>
      <x:c r="B466" s="24" t="str">
        <x:v>프라임구독</x:v>
      </x:c>
      <x:c r="C466" s="24" t="str">
        <x:v>263오7836</x:v>
      </x:c>
      <x:c r="D466" s="24" t="str">
        <x:v>보통</x:v>
      </x:c>
      <x:c r="E466" s="24" t="str">
        <x:v>상태 시작일 입력</x:v>
      </x:c>
      <x:c r="F466" s="24" t="str">
        <x:v>263오7836 상태 시작일 입력</x:v>
      </x:c>
      <x:c r="G466" s="24" t="str"/>
      <x:c r="H466" s="30"/>
      <x:c r="I466" s="24" t="str">
        <x:v>대기</x:v>
      </x:c>
      <x:c r="J466" s="30"/>
      <x:c r="K466" s="24" t="str"/>
      <x:c r="L466" s="24" t="str">
        <x:v>자동점검</x:v>
      </x:c>
    </x:row>
    <x:row r="467" ht="17.25" customHeight="1">
      <x:c r="A467" s="24" t="str">
        <x:v>W-0466</x:v>
      </x:c>
      <x:c r="B467" s="24" t="str">
        <x:v>프라임구독</x:v>
      </x:c>
      <x:c r="C467" s="24" t="str">
        <x:v>263오7836</x:v>
      </x:c>
      <x:c r="D467" s="24" t="str">
        <x:v>보통</x:v>
      </x:c>
      <x:c r="E467" s="24" t="str">
        <x:v>현재 보유 확인</x:v>
      </x:c>
      <x:c r="F467" s="24" t="str">
        <x:v>263오7836 현재 보유 확인</x:v>
      </x:c>
      <x:c r="G467" s="24" t="str"/>
      <x:c r="H467" s="30"/>
      <x:c r="I467" s="24" t="str">
        <x:v>대기</x:v>
      </x:c>
      <x:c r="J467" s="30"/>
      <x:c r="K467" s="24" t="str"/>
      <x:c r="L467" s="24" t="str">
        <x:v>자동점검</x:v>
      </x:c>
    </x:row>
    <x:row r="468" ht="17.25" customHeight="1">
      <x:c r="A468" s="24" t="str">
        <x:v>W-0467</x:v>
      </x:c>
      <x:c r="B468" s="24" t="str">
        <x:v>프라임구독</x:v>
      </x:c>
      <x:c r="C468" s="24" t="str">
        <x:v>266버3645</x:v>
      </x:c>
      <x:c r="D468" s="24" t="str">
        <x:v>보통</x:v>
      </x:c>
      <x:c r="E468" s="24" t="str">
        <x:v>상태 시작일 입력</x:v>
      </x:c>
      <x:c r="F468" s="24" t="str">
        <x:v>266버3645 상태 시작일 입력</x:v>
      </x:c>
      <x:c r="G468" s="24" t="str"/>
      <x:c r="H468" s="30"/>
      <x:c r="I468" s="24" t="str">
        <x:v>대기</x:v>
      </x:c>
      <x:c r="J468" s="30"/>
      <x:c r="K468" s="24" t="str"/>
      <x:c r="L468" s="24" t="str">
        <x:v>자동점검</x:v>
      </x:c>
    </x:row>
    <x:row r="469" ht="17.25" customHeight="1">
      <x:c r="A469" s="24" t="str">
        <x:v>W-0468</x:v>
      </x:c>
      <x:c r="B469" s="24" t="str">
        <x:v>프라임구독</x:v>
      </x:c>
      <x:c r="C469" s="24" t="str">
        <x:v>266버3645</x:v>
      </x:c>
      <x:c r="D469" s="24" t="str">
        <x:v>보통</x:v>
      </x:c>
      <x:c r="E469" s="24" t="str">
        <x:v>현재 보유 확인</x:v>
      </x:c>
      <x:c r="F469" s="24" t="str">
        <x:v>266버3645 현재 보유 확인</x:v>
      </x:c>
      <x:c r="G469" s="24" t="str"/>
      <x:c r="H469" s="30"/>
      <x:c r="I469" s="24" t="str">
        <x:v>대기</x:v>
      </x:c>
      <x:c r="J469" s="30"/>
      <x:c r="K469" s="24" t="str"/>
      <x:c r="L469" s="24" t="str">
        <x:v>자동점검</x:v>
      </x:c>
    </x:row>
    <x:row r="470" ht="17.25" customHeight="1">
      <x:c r="A470" s="24" t="str">
        <x:v>W-0469</x:v>
      </x:c>
      <x:c r="B470" s="24" t="str">
        <x:v>프라임구독</x:v>
      </x:c>
      <x:c r="C470" s="24" t="str">
        <x:v>26너0333</x:v>
      </x:c>
      <x:c r="D470" s="24" t="str">
        <x:v>보통</x:v>
      </x:c>
      <x:c r="E470" s="24" t="str">
        <x:v>상태 시작일 입력</x:v>
      </x:c>
      <x:c r="F470" s="24" t="str">
        <x:v>26너0333 상태 시작일 입력</x:v>
      </x:c>
      <x:c r="G470" s="24" t="str"/>
      <x:c r="H470" s="30"/>
      <x:c r="I470" s="24" t="str">
        <x:v>대기</x:v>
      </x:c>
      <x:c r="J470" s="30"/>
      <x:c r="K470" s="24" t="str"/>
      <x:c r="L470" s="24" t="str">
        <x:v>자동점검</x:v>
      </x:c>
    </x:row>
    <x:row r="471" ht="17.25" customHeight="1">
      <x:c r="A471" s="24" t="str">
        <x:v>W-0470</x:v>
      </x:c>
      <x:c r="B471" s="24" t="str">
        <x:v>프라임구독</x:v>
      </x:c>
      <x:c r="C471" s="24" t="str">
        <x:v>26너0333</x:v>
      </x:c>
      <x:c r="D471" s="24" t="str">
        <x:v>보통</x:v>
      </x:c>
      <x:c r="E471" s="24" t="str">
        <x:v>현재 보유 확인</x:v>
      </x:c>
      <x:c r="F471" s="24" t="str">
        <x:v>26너0333 현재 보유 확인</x:v>
      </x:c>
      <x:c r="G471" s="24" t="str"/>
      <x:c r="H471" s="30"/>
      <x:c r="I471" s="24" t="str">
        <x:v>대기</x:v>
      </x:c>
      <x:c r="J471" s="30"/>
      <x:c r="K471" s="24" t="str"/>
      <x:c r="L471" s="24" t="str">
        <x:v>자동점검</x:v>
      </x:c>
    </x:row>
    <x:row r="472" ht="17.25" customHeight="1">
      <x:c r="A472" s="24" t="str">
        <x:v>W-0471</x:v>
      </x:c>
      <x:c r="B472" s="24" t="str">
        <x:v>프라임구독</x:v>
      </x:c>
      <x:c r="C472" s="24" t="str">
        <x:v>26수4134</x:v>
      </x:c>
      <x:c r="D472" s="24" t="str">
        <x:v>보통</x:v>
      </x:c>
      <x:c r="E472" s="24" t="str">
        <x:v>상태 시작일 입력</x:v>
      </x:c>
      <x:c r="F472" s="24" t="str">
        <x:v>26수4134 상태 시작일 입력</x:v>
      </x:c>
      <x:c r="G472" s="24" t="str"/>
      <x:c r="H472" s="30"/>
      <x:c r="I472" s="24" t="str">
        <x:v>대기</x:v>
      </x:c>
      <x:c r="J472" s="30"/>
      <x:c r="K472" s="24" t="str"/>
      <x:c r="L472" s="24" t="str">
        <x:v>자동점검</x:v>
      </x:c>
    </x:row>
    <x:row r="473" ht="17.25" customHeight="1">
      <x:c r="A473" s="24" t="str">
        <x:v>W-0472</x:v>
      </x:c>
      <x:c r="B473" s="24" t="str">
        <x:v>프라임구독</x:v>
      </x:c>
      <x:c r="C473" s="24" t="str">
        <x:v>26수4134</x:v>
      </x:c>
      <x:c r="D473" s="24" t="str">
        <x:v>보통</x:v>
      </x:c>
      <x:c r="E473" s="24" t="str">
        <x:v>현재 보유 확인</x:v>
      </x:c>
      <x:c r="F473" s="24" t="str">
        <x:v>26수4134 현재 보유 확인</x:v>
      </x:c>
      <x:c r="G473" s="24" t="str"/>
      <x:c r="H473" s="30"/>
      <x:c r="I473" s="24" t="str">
        <x:v>대기</x:v>
      </x:c>
      <x:c r="J473" s="30"/>
      <x:c r="K473" s="24" t="str"/>
      <x:c r="L473" s="24" t="str">
        <x:v>자동점검</x:v>
      </x:c>
    </x:row>
    <x:row r="474" ht="17.25" customHeight="1">
      <x:c r="A474" s="24" t="str">
        <x:v>W-0473</x:v>
      </x:c>
      <x:c r="B474" s="24" t="str">
        <x:v>프라임구독</x:v>
      </x:c>
      <x:c r="C474" s="24" t="str">
        <x:v>272오2150</x:v>
      </x:c>
      <x:c r="D474" s="24" t="str">
        <x:v>보통</x:v>
      </x:c>
      <x:c r="E474" s="24" t="str">
        <x:v>상태 시작일 입력</x:v>
      </x:c>
      <x:c r="F474" s="24" t="str">
        <x:v>272오2150 상태 시작일 입력</x:v>
      </x:c>
      <x:c r="G474" s="24" t="str"/>
      <x:c r="H474" s="30"/>
      <x:c r="I474" s="24" t="str">
        <x:v>대기</x:v>
      </x:c>
      <x:c r="J474" s="30"/>
      <x:c r="K474" s="24" t="str"/>
      <x:c r="L474" s="24" t="str">
        <x:v>자동점검</x:v>
      </x:c>
    </x:row>
    <x:row r="475" ht="17.25" customHeight="1">
      <x:c r="A475" s="24" t="str">
        <x:v>W-0474</x:v>
      </x:c>
      <x:c r="B475" s="24" t="str">
        <x:v>프라임구독</x:v>
      </x:c>
      <x:c r="C475" s="24" t="str">
        <x:v>272오2150</x:v>
      </x:c>
      <x:c r="D475" s="24" t="str">
        <x:v>보통</x:v>
      </x:c>
      <x:c r="E475" s="24" t="str">
        <x:v>현재 보유 확인</x:v>
      </x:c>
      <x:c r="F475" s="24" t="str">
        <x:v>272오2150 현재 보유 확인</x:v>
      </x:c>
      <x:c r="G475" s="24" t="str"/>
      <x:c r="H475" s="30"/>
      <x:c r="I475" s="24" t="str">
        <x:v>대기</x:v>
      </x:c>
      <x:c r="J475" s="30"/>
      <x:c r="K475" s="24" t="str"/>
      <x:c r="L475" s="24" t="str">
        <x:v>자동점검</x:v>
      </x:c>
    </x:row>
    <x:row r="476" ht="17.25" customHeight="1">
      <x:c r="A476" s="24" t="str">
        <x:v>W-0475</x:v>
      </x:c>
      <x:c r="B476" s="24" t="str">
        <x:v>프라임구독</x:v>
      </x:c>
      <x:c r="C476" s="24" t="str">
        <x:v>27로0765</x:v>
      </x:c>
      <x:c r="D476" s="24" t="str">
        <x:v>보통</x:v>
      </x:c>
      <x:c r="E476" s="24" t="str">
        <x:v>상태 시작일 입력</x:v>
      </x:c>
      <x:c r="F476" s="24" t="str">
        <x:v>27로0765 상태 시작일 입력</x:v>
      </x:c>
      <x:c r="G476" s="24" t="str"/>
      <x:c r="H476" s="30"/>
      <x:c r="I476" s="24" t="str">
        <x:v>대기</x:v>
      </x:c>
      <x:c r="J476" s="30"/>
      <x:c r="K476" s="24" t="str"/>
      <x:c r="L476" s="24" t="str">
        <x:v>자동점검</x:v>
      </x:c>
    </x:row>
    <x:row r="477" ht="17.25" customHeight="1">
      <x:c r="A477" s="24" t="str">
        <x:v>W-0476</x:v>
      </x:c>
      <x:c r="B477" s="24" t="str">
        <x:v>프라임구독</x:v>
      </x:c>
      <x:c r="C477" s="24" t="str">
        <x:v>27로0765</x:v>
      </x:c>
      <x:c r="D477" s="24" t="str">
        <x:v>보통</x:v>
      </x:c>
      <x:c r="E477" s="24" t="str">
        <x:v>현재 보유 확인</x:v>
      </x:c>
      <x:c r="F477" s="24" t="str">
        <x:v>27로0765 현재 보유 확인</x:v>
      </x:c>
      <x:c r="G477" s="24" t="str"/>
      <x:c r="H477" s="30"/>
      <x:c r="I477" s="24" t="str">
        <x:v>대기</x:v>
      </x:c>
      <x:c r="J477" s="30"/>
      <x:c r="K477" s="24" t="str"/>
      <x:c r="L477" s="24" t="str">
        <x:v>자동점검</x:v>
      </x:c>
    </x:row>
    <x:row r="478" ht="17.25" customHeight="1">
      <x:c r="A478" s="24" t="str">
        <x:v>W-0477</x:v>
      </x:c>
      <x:c r="B478" s="24" t="str">
        <x:v>프라임구독</x:v>
      </x:c>
      <x:c r="C478" s="24" t="str">
        <x:v>27무0874</x:v>
      </x:c>
      <x:c r="D478" s="24" t="str">
        <x:v>보통</x:v>
      </x:c>
      <x:c r="E478" s="24" t="str">
        <x:v>상태 시작일 입력</x:v>
      </x:c>
      <x:c r="F478" s="24" t="str">
        <x:v>27무0874 상태 시작일 입력</x:v>
      </x:c>
      <x:c r="G478" s="24" t="str"/>
      <x:c r="H478" s="30"/>
      <x:c r="I478" s="24" t="str">
        <x:v>대기</x:v>
      </x:c>
      <x:c r="J478" s="30"/>
      <x:c r="K478" s="24" t="str"/>
      <x:c r="L478" s="24" t="str">
        <x:v>자동점검</x:v>
      </x:c>
    </x:row>
    <x:row r="479" ht="17.25" customHeight="1">
      <x:c r="A479" s="24" t="str">
        <x:v>W-0478</x:v>
      </x:c>
      <x:c r="B479" s="24" t="str">
        <x:v>프라임구독</x:v>
      </x:c>
      <x:c r="C479" s="24" t="str">
        <x:v>27무0874</x:v>
      </x:c>
      <x:c r="D479" s="24" t="str">
        <x:v>보통</x:v>
      </x:c>
      <x:c r="E479" s="24" t="str">
        <x:v>현재 보유 확인</x:v>
      </x:c>
      <x:c r="F479" s="24" t="str">
        <x:v>27무0874 현재 보유 확인</x:v>
      </x:c>
      <x:c r="G479" s="24" t="str"/>
      <x:c r="H479" s="30"/>
      <x:c r="I479" s="24" t="str">
        <x:v>대기</x:v>
      </x:c>
      <x:c r="J479" s="30"/>
      <x:c r="K479" s="24" t="str"/>
      <x:c r="L479" s="24" t="str">
        <x:v>자동점검</x:v>
      </x:c>
    </x:row>
    <x:row r="480" ht="17.25" customHeight="1">
      <x:c r="A480" s="24" t="str">
        <x:v>W-0479</x:v>
      </x:c>
      <x:c r="B480" s="24" t="str">
        <x:v>프라임구독</x:v>
      </x:c>
      <x:c r="C480" s="24" t="str">
        <x:v>27오1144</x:v>
      </x:c>
      <x:c r="D480" s="24" t="str">
        <x:v>높음</x:v>
      </x:c>
      <x:c r="E480" s="24" t="str">
        <x:v>보험 연령 입력</x:v>
      </x:c>
      <x:c r="F480" s="24" t="str">
        <x:v>27오1144 보험 연령 입력</x:v>
      </x:c>
      <x:c r="G480" s="24" t="str"/>
      <x:c r="H480" s="30"/>
      <x:c r="I480" s="24" t="str">
        <x:v>대기</x:v>
      </x:c>
      <x:c r="J480" s="30"/>
      <x:c r="K480" s="24" t="str">
        <x:v>PR-C-27오1144-1-20220708-104</x:v>
      </x:c>
      <x:c r="L480" s="24" t="str">
        <x:v>자동점검</x:v>
      </x:c>
    </x:row>
    <x:row r="481" ht="17.25" customHeight="1">
      <x:c r="A481" s="24" t="str">
        <x:v>W-0480</x:v>
      </x:c>
      <x:c r="B481" s="24" t="str">
        <x:v>프라임구독</x:v>
      </x:c>
      <x:c r="C481" s="24" t="str">
        <x:v>27오1144</x:v>
      </x:c>
      <x:c r="D481" s="24" t="str">
        <x:v>높음</x:v>
      </x:c>
      <x:c r="E481" s="24" t="str">
        <x:v>보험 갱신 확인</x:v>
      </x:c>
      <x:c r="F481" s="24" t="str">
        <x:v>27오1144 보험 갱신 확인</x:v>
      </x:c>
      <x:c r="G481" s="24" t="str"/>
      <x:c r="H481" s="30"/>
      <x:c r="I481" s="24" t="str">
        <x:v>대기</x:v>
      </x:c>
      <x:c r="J481" s="30"/>
      <x:c r="K481" s="24" t="str">
        <x:v>PR-C-27오1144-1-20220708-104</x:v>
      </x:c>
      <x:c r="L481" s="24" t="str">
        <x:v>자동점검</x:v>
      </x:c>
    </x:row>
    <x:row r="482" ht="17.25" customHeight="1">
      <x:c r="A482" s="24" t="str">
        <x:v>W-0481</x:v>
      </x:c>
      <x:c r="B482" s="24" t="str">
        <x:v>프라임구독</x:v>
      </x:c>
      <x:c r="C482" s="24" t="str">
        <x:v>27오1144</x:v>
      </x:c>
      <x:c r="D482" s="24" t="str">
        <x:v>보통</x:v>
      </x:c>
      <x:c r="E482" s="24" t="str">
        <x:v>현재 보유 확인</x:v>
      </x:c>
      <x:c r="F482" s="24" t="str">
        <x:v>27오1144 현재 보유 확인</x:v>
      </x:c>
      <x:c r="G482" s="24" t="str"/>
      <x:c r="H482" s="30"/>
      <x:c r="I482" s="24" t="str">
        <x:v>대기</x:v>
      </x:c>
      <x:c r="J482" s="30"/>
      <x:c r="K482" s="24" t="str">
        <x:v>PR-C-27오1144-1-20220708-104</x:v>
      </x:c>
      <x:c r="L482" s="24" t="str">
        <x:v>자동점검</x:v>
      </x:c>
    </x:row>
    <x:row r="483" ht="17.25" customHeight="1">
      <x:c r="A483" s="24" t="str">
        <x:v>W-0482</x:v>
      </x:c>
      <x:c r="B483" s="24" t="str">
        <x:v>프라임구독</x:v>
      </x:c>
      <x:c r="C483" s="24" t="str">
        <x:v>28머4792</x:v>
      </x:c>
      <x:c r="D483" s="24" t="str">
        <x:v>보통</x:v>
      </x:c>
      <x:c r="E483" s="24" t="str">
        <x:v>상태 시작일 입력</x:v>
      </x:c>
      <x:c r="F483" s="24" t="str">
        <x:v>28머4792 상태 시작일 입력</x:v>
      </x:c>
      <x:c r="G483" s="24" t="str"/>
      <x:c r="H483" s="30"/>
      <x:c r="I483" s="24" t="str">
        <x:v>대기</x:v>
      </x:c>
      <x:c r="J483" s="30"/>
      <x:c r="K483" s="24" t="str"/>
      <x:c r="L483" s="24" t="str">
        <x:v>자동점검</x:v>
      </x:c>
    </x:row>
    <x:row r="484" ht="17.25" customHeight="1">
      <x:c r="A484" s="24" t="str">
        <x:v>W-0483</x:v>
      </x:c>
      <x:c r="B484" s="24" t="str">
        <x:v>프라임구독</x:v>
      </x:c>
      <x:c r="C484" s="24" t="str">
        <x:v>28머4792</x:v>
      </x:c>
      <x:c r="D484" s="24" t="str">
        <x:v>보통</x:v>
      </x:c>
      <x:c r="E484" s="24" t="str">
        <x:v>현재 보유 확인</x:v>
      </x:c>
      <x:c r="F484" s="24" t="str">
        <x:v>28머4792 현재 보유 확인</x:v>
      </x:c>
      <x:c r="G484" s="24" t="str"/>
      <x:c r="H484" s="30"/>
      <x:c r="I484" s="24" t="str">
        <x:v>대기</x:v>
      </x:c>
      <x:c r="J484" s="30"/>
      <x:c r="K484" s="24" t="str"/>
      <x:c r="L484" s="24" t="str">
        <x:v>자동점검</x:v>
      </x:c>
    </x:row>
    <x:row r="485" ht="17.25" customHeight="1">
      <x:c r="A485" s="24" t="str">
        <x:v>W-0484</x:v>
      </x:c>
      <x:c r="B485" s="24" t="str">
        <x:v>프라임구독</x:v>
      </x:c>
      <x:c r="C485" s="24" t="str">
        <x:v>290주5804</x:v>
      </x:c>
      <x:c r="D485" s="24" t="str">
        <x:v>높음</x:v>
      </x:c>
      <x:c r="E485" s="24" t="str">
        <x:v>보험 연령 입력</x:v>
      </x:c>
      <x:c r="F485" s="24" t="str">
        <x:v>290주5804 보험 연령 입력</x:v>
      </x:c>
      <x:c r="G485" s="24" t="str"/>
      <x:c r="H485" s="30"/>
      <x:c r="I485" s="24" t="str">
        <x:v>대기</x:v>
      </x:c>
      <x:c r="J485" s="30"/>
      <x:c r="K485" s="24" t="str">
        <x:v>PR-C-290주5804-1-20240422-107</x:v>
      </x:c>
      <x:c r="L485" s="24" t="str">
        <x:v>자동점검</x:v>
      </x:c>
    </x:row>
    <x:row r="486" ht="17.25" customHeight="1">
      <x:c r="A486" s="24" t="str">
        <x:v>W-0485</x:v>
      </x:c>
      <x:c r="B486" s="24" t="str">
        <x:v>프라임구독</x:v>
      </x:c>
      <x:c r="C486" s="24" t="str">
        <x:v>290주5804</x:v>
      </x:c>
      <x:c r="D486" s="24" t="str">
        <x:v>높음</x:v>
      </x:c>
      <x:c r="E486" s="24" t="str">
        <x:v>보험 갱신 확인</x:v>
      </x:c>
      <x:c r="F486" s="24" t="str">
        <x:v>290주5804 보험 갱신 확인</x:v>
      </x:c>
      <x:c r="G486" s="24" t="str"/>
      <x:c r="H486" s="30"/>
      <x:c r="I486" s="24" t="str">
        <x:v>대기</x:v>
      </x:c>
      <x:c r="J486" s="30"/>
      <x:c r="K486" s="24" t="str">
        <x:v>PR-C-290주5804-1-20240422-107</x:v>
      </x:c>
      <x:c r="L486" s="24" t="str">
        <x:v>자동점검</x:v>
      </x:c>
    </x:row>
    <x:row r="487" ht="17.25" customHeight="1">
      <x:c r="A487" s="24" t="str">
        <x:v>W-0486</x:v>
      </x:c>
      <x:c r="B487" s="24" t="str">
        <x:v>프라임구독</x:v>
      </x:c>
      <x:c r="C487" s="24" t="str">
        <x:v>290주5804</x:v>
      </x:c>
      <x:c r="D487" s="24" t="str">
        <x:v>보통</x:v>
      </x:c>
      <x:c r="E487" s="24" t="str">
        <x:v>현재 보유 확인</x:v>
      </x:c>
      <x:c r="F487" s="24" t="str">
        <x:v>290주5804 현재 보유 확인</x:v>
      </x:c>
      <x:c r="G487" s="24" t="str"/>
      <x:c r="H487" s="30"/>
      <x:c r="I487" s="24" t="str">
        <x:v>대기</x:v>
      </x:c>
      <x:c r="J487" s="30"/>
      <x:c r="K487" s="24" t="str">
        <x:v>PR-C-290주5804-1-20240422-107</x:v>
      </x:c>
      <x:c r="L487" s="24" t="str">
        <x:v>자동점검</x:v>
      </x:c>
    </x:row>
    <x:row r="488" ht="17.25" customHeight="1">
      <x:c r="A488" s="24" t="str">
        <x:v>W-0487</x:v>
      </x:c>
      <x:c r="B488" s="24" t="str">
        <x:v>프라임구독</x:v>
      </x:c>
      <x:c r="C488" s="24" t="str">
        <x:v>29마4743</x:v>
      </x:c>
      <x:c r="D488" s="24" t="str">
        <x:v>긴급</x:v>
      </x:c>
      <x:c r="E488" s="24" t="str">
        <x:v>미수 확인</x:v>
      </x:c>
      <x:c r="F488" s="24" t="str">
        <x:v>29마4743 미수 확인</x:v>
      </x:c>
      <x:c r="G488" s="24" t="str"/>
      <x:c r="H488" s="30"/>
      <x:c r="I488" s="24" t="str">
        <x:v>대기</x:v>
      </x:c>
      <x:c r="J488" s="30"/>
      <x:c r="K488" s="24" t="str">
        <x:v>PR-C-29마4743-1-20231113-108</x:v>
      </x:c>
      <x:c r="L488" s="24" t="str">
        <x:v>자동점검</x:v>
      </x:c>
    </x:row>
    <x:row r="489" ht="17.25" customHeight="1">
      <x:c r="A489" s="24" t="str">
        <x:v>W-0488</x:v>
      </x:c>
      <x:c r="B489" s="24" t="str">
        <x:v>프라임구독</x:v>
      </x:c>
      <x:c r="C489" s="24" t="str">
        <x:v>29마4743</x:v>
      </x:c>
      <x:c r="D489" s="24" t="str">
        <x:v>높음</x:v>
      </x:c>
      <x:c r="E489" s="24" t="str">
        <x:v>보험 연령 입력</x:v>
      </x:c>
      <x:c r="F489" s="24" t="str">
        <x:v>29마4743 보험 연령 입력</x:v>
      </x:c>
      <x:c r="G489" s="24" t="str"/>
      <x:c r="H489" s="30"/>
      <x:c r="I489" s="24" t="str">
        <x:v>대기</x:v>
      </x:c>
      <x:c r="J489" s="30"/>
      <x:c r="K489" s="24" t="str">
        <x:v>PR-C-29마4743-1-20231113-108</x:v>
      </x:c>
      <x:c r="L489" s="24" t="str">
        <x:v>자동점검</x:v>
      </x:c>
    </x:row>
    <x:row r="490" ht="17.25" customHeight="1">
      <x:c r="A490" s="24" t="str">
        <x:v>W-0489</x:v>
      </x:c>
      <x:c r="B490" s="24" t="str">
        <x:v>프라임구독</x:v>
      </x:c>
      <x:c r="C490" s="24" t="str">
        <x:v>29마4743</x:v>
      </x:c>
      <x:c r="D490" s="24" t="str">
        <x:v>높음</x:v>
      </x:c>
      <x:c r="E490" s="24" t="str">
        <x:v>보험 갱신 확인</x:v>
      </x:c>
      <x:c r="F490" s="24" t="str">
        <x:v>29마4743 보험 갱신 확인</x:v>
      </x:c>
      <x:c r="G490" s="24" t="str"/>
      <x:c r="H490" s="30"/>
      <x:c r="I490" s="24" t="str">
        <x:v>대기</x:v>
      </x:c>
      <x:c r="J490" s="30"/>
      <x:c r="K490" s="24" t="str">
        <x:v>PR-C-29마4743-1-20231113-108</x:v>
      </x:c>
      <x:c r="L490" s="24" t="str">
        <x:v>자동점검</x:v>
      </x:c>
    </x:row>
    <x:row r="491" ht="17.25" customHeight="1">
      <x:c r="A491" s="24" t="str">
        <x:v>W-0490</x:v>
      </x:c>
      <x:c r="B491" s="24" t="str">
        <x:v>프라임구독</x:v>
      </x:c>
      <x:c r="C491" s="24" t="str">
        <x:v>29마4743</x:v>
      </x:c>
      <x:c r="D491" s="24" t="str">
        <x:v>보통</x:v>
      </x:c>
      <x:c r="E491" s="24" t="str">
        <x:v>현재 보유 확인</x:v>
      </x:c>
      <x:c r="F491" s="24" t="str">
        <x:v>29마4743 현재 보유 확인</x:v>
      </x:c>
      <x:c r="G491" s="24" t="str"/>
      <x:c r="H491" s="30"/>
      <x:c r="I491" s="24" t="str">
        <x:v>대기</x:v>
      </x:c>
      <x:c r="J491" s="30"/>
      <x:c r="K491" s="24" t="str">
        <x:v>PR-C-29마4743-1-20231113-108</x:v>
      </x:c>
      <x:c r="L491" s="24" t="str">
        <x:v>자동점검</x:v>
      </x:c>
    </x:row>
    <x:row r="492" ht="17.25" customHeight="1">
      <x:c r="A492" s="24" t="str">
        <x:v>W-0491</x:v>
      </x:c>
      <x:c r="B492" s="24" t="str">
        <x:v>프라임구독</x:v>
      </x:c>
      <x:c r="C492" s="24" t="str">
        <x:v>302보9212</x:v>
      </x:c>
      <x:c r="D492" s="24" t="str">
        <x:v>보통</x:v>
      </x:c>
      <x:c r="E492" s="24" t="str">
        <x:v>상태 시작일 입력</x:v>
      </x:c>
      <x:c r="F492" s="24" t="str">
        <x:v>302보9212 상태 시작일 입력</x:v>
      </x:c>
      <x:c r="G492" s="24" t="str"/>
      <x:c r="H492" s="30"/>
      <x:c r="I492" s="24" t="str">
        <x:v>대기</x:v>
      </x:c>
      <x:c r="J492" s="30"/>
      <x:c r="K492" s="24" t="str"/>
      <x:c r="L492" s="24" t="str">
        <x:v>자동점검</x:v>
      </x:c>
    </x:row>
    <x:row r="493" ht="17.25" customHeight="1">
      <x:c r="A493" s="24" t="str">
        <x:v>W-0492</x:v>
      </x:c>
      <x:c r="B493" s="24" t="str">
        <x:v>프라임구독</x:v>
      </x:c>
      <x:c r="C493" s="24" t="str">
        <x:v>302보9212</x:v>
      </x:c>
      <x:c r="D493" s="24" t="str">
        <x:v>보통</x:v>
      </x:c>
      <x:c r="E493" s="24" t="str">
        <x:v>현재 보유 확인</x:v>
      </x:c>
      <x:c r="F493" s="24" t="str">
        <x:v>302보9212 현재 보유 확인</x:v>
      </x:c>
      <x:c r="G493" s="24" t="str"/>
      <x:c r="H493" s="30"/>
      <x:c r="I493" s="24" t="str">
        <x:v>대기</x:v>
      </x:c>
      <x:c r="J493" s="30"/>
      <x:c r="K493" s="24" t="str"/>
      <x:c r="L493" s="24" t="str">
        <x:v>자동점검</x:v>
      </x:c>
    </x:row>
    <x:row r="494" ht="17.25" customHeight="1">
      <x:c r="A494" s="24" t="str">
        <x:v>W-0493</x:v>
      </x:c>
      <x:c r="B494" s="24" t="str">
        <x:v>프라임구독</x:v>
      </x:c>
      <x:c r="C494" s="24" t="str">
        <x:v>309무3799</x:v>
      </x:c>
      <x:c r="D494" s="24" t="str">
        <x:v>긴급</x:v>
      </x:c>
      <x:c r="E494" s="24" t="str">
        <x:v>미수 확인</x:v>
      </x:c>
      <x:c r="F494" s="24" t="str">
        <x:v>309무3799 미수 확인</x:v>
      </x:c>
      <x:c r="G494" s="24" t="str"/>
      <x:c r="H494" s="30"/>
      <x:c r="I494" s="24" t="str">
        <x:v>대기</x:v>
      </x:c>
      <x:c r="J494" s="30"/>
      <x:c r="K494" s="24" t="str">
        <x:v>PR-C-309무3799-1-20240618-110</x:v>
      </x:c>
      <x:c r="L494" s="24" t="str">
        <x:v>자동점검</x:v>
      </x:c>
    </x:row>
    <x:row r="495" ht="17.25" customHeight="1">
      <x:c r="A495" s="24" t="str">
        <x:v>W-0494</x:v>
      </x:c>
      <x:c r="B495" s="24" t="str">
        <x:v>프라임구독</x:v>
      </x:c>
      <x:c r="C495" s="24" t="str">
        <x:v>309무3799</x:v>
      </x:c>
      <x:c r="D495" s="24" t="str">
        <x:v>높음</x:v>
      </x:c>
      <x:c r="E495" s="24" t="str">
        <x:v>보험 연령 입력</x:v>
      </x:c>
      <x:c r="F495" s="24" t="str">
        <x:v>309무3799 보험 연령 입력</x:v>
      </x:c>
      <x:c r="G495" s="24" t="str"/>
      <x:c r="H495" s="30"/>
      <x:c r="I495" s="24" t="str">
        <x:v>대기</x:v>
      </x:c>
      <x:c r="J495" s="30"/>
      <x:c r="K495" s="24" t="str">
        <x:v>PR-C-309무3799-1-20240618-110</x:v>
      </x:c>
      <x:c r="L495" s="24" t="str">
        <x:v>자동점검</x:v>
      </x:c>
    </x:row>
    <x:row r="496" ht="17.25" customHeight="1">
      <x:c r="A496" s="24" t="str">
        <x:v>W-0495</x:v>
      </x:c>
      <x:c r="B496" s="24" t="str">
        <x:v>프라임구독</x:v>
      </x:c>
      <x:c r="C496" s="24" t="str">
        <x:v>309무3799</x:v>
      </x:c>
      <x:c r="D496" s="24" t="str">
        <x:v>높음</x:v>
      </x:c>
      <x:c r="E496" s="24" t="str">
        <x:v>보험 갱신 확인</x:v>
      </x:c>
      <x:c r="F496" s="24" t="str">
        <x:v>309무3799 보험 갱신 확인</x:v>
      </x:c>
      <x:c r="G496" s="24" t="str"/>
      <x:c r="H496" s="30"/>
      <x:c r="I496" s="24" t="str">
        <x:v>대기</x:v>
      </x:c>
      <x:c r="J496" s="30"/>
      <x:c r="K496" s="24" t="str">
        <x:v>PR-C-309무3799-1-20240618-110</x:v>
      </x:c>
      <x:c r="L496" s="24" t="str">
        <x:v>자동점검</x:v>
      </x:c>
    </x:row>
    <x:row r="497" ht="17.25" customHeight="1">
      <x:c r="A497" s="24" t="str">
        <x:v>W-0496</x:v>
      </x:c>
      <x:c r="B497" s="24" t="str">
        <x:v>프라임구독</x:v>
      </x:c>
      <x:c r="C497" s="24" t="str">
        <x:v>309무3799</x:v>
      </x:c>
      <x:c r="D497" s="24" t="str">
        <x:v>보통</x:v>
      </x:c>
      <x:c r="E497" s="24" t="str">
        <x:v>현재 보유 확인</x:v>
      </x:c>
      <x:c r="F497" s="24" t="str">
        <x:v>309무3799 현재 보유 확인</x:v>
      </x:c>
      <x:c r="G497" s="24" t="str"/>
      <x:c r="H497" s="30"/>
      <x:c r="I497" s="24" t="str">
        <x:v>대기</x:v>
      </x:c>
      <x:c r="J497" s="30"/>
      <x:c r="K497" s="24" t="str">
        <x:v>PR-C-309무3799-1-20240618-110</x:v>
      </x:c>
      <x:c r="L497" s="24" t="str">
        <x:v>자동점검</x:v>
      </x:c>
    </x:row>
    <x:row r="498" ht="17.25" customHeight="1">
      <x:c r="A498" s="24" t="str">
        <x:v>W-0497</x:v>
      </x:c>
      <x:c r="B498" s="24" t="str">
        <x:v>프라임구독</x:v>
      </x:c>
      <x:c r="C498" s="24" t="str">
        <x:v>30고0596</x:v>
      </x:c>
      <x:c r="D498" s="24" t="str">
        <x:v>보통</x:v>
      </x:c>
      <x:c r="E498" s="24" t="str">
        <x:v>상태 시작일 입력</x:v>
      </x:c>
      <x:c r="F498" s="24" t="str">
        <x:v>30고0596 상태 시작일 입력</x:v>
      </x:c>
      <x:c r="G498" s="24" t="str"/>
      <x:c r="H498" s="30"/>
      <x:c r="I498" s="24" t="str">
        <x:v>대기</x:v>
      </x:c>
      <x:c r="J498" s="30"/>
      <x:c r="K498" s="24" t="str"/>
      <x:c r="L498" s="24" t="str">
        <x:v>자동점검</x:v>
      </x:c>
    </x:row>
    <x:row r="499" ht="17.25" customHeight="1">
      <x:c r="A499" s="24" t="str">
        <x:v>W-0498</x:v>
      </x:c>
      <x:c r="B499" s="24" t="str">
        <x:v>프라임구독</x:v>
      </x:c>
      <x:c r="C499" s="24" t="str">
        <x:v>30고0596</x:v>
      </x:c>
      <x:c r="D499" s="24" t="str">
        <x:v>보통</x:v>
      </x:c>
      <x:c r="E499" s="24" t="str">
        <x:v>현재 보유 확인</x:v>
      </x:c>
      <x:c r="F499" s="24" t="str">
        <x:v>30고0596 현재 보유 확인</x:v>
      </x:c>
      <x:c r="G499" s="24" t="str"/>
      <x:c r="H499" s="30"/>
      <x:c r="I499" s="24" t="str">
        <x:v>대기</x:v>
      </x:c>
      <x:c r="J499" s="30"/>
      <x:c r="K499" s="24" t="str"/>
      <x:c r="L499" s="24" t="str">
        <x:v>자동점검</x:v>
      </x:c>
    </x:row>
    <x:row r="500" ht="17.25" customHeight="1">
      <x:c r="A500" s="24" t="str">
        <x:v>W-0499</x:v>
      </x:c>
      <x:c r="B500" s="24" t="str">
        <x:v>프라임구독</x:v>
      </x:c>
      <x:c r="C500" s="24" t="str">
        <x:v>322주8288</x:v>
      </x:c>
      <x:c r="D500" s="24" t="str">
        <x:v>보통</x:v>
      </x:c>
      <x:c r="E500" s="24" t="str">
        <x:v>상태 시작일 입력</x:v>
      </x:c>
      <x:c r="F500" s="24" t="str">
        <x:v>322주8288 상태 시작일 입력</x:v>
      </x:c>
      <x:c r="G500" s="24" t="str"/>
      <x:c r="H500" s="30"/>
      <x:c r="I500" s="24" t="str">
        <x:v>대기</x:v>
      </x:c>
      <x:c r="J500" s="30"/>
      <x:c r="K500" s="24" t="str"/>
      <x:c r="L500" s="24" t="str">
        <x:v>자동점검</x:v>
      </x:c>
    </x:row>
    <x:row r="501" ht="17.25" customHeight="1">
      <x:c r="A501" s="24" t="str">
        <x:v>W-0500</x:v>
      </x:c>
      <x:c r="B501" s="24" t="str">
        <x:v>프라임구독</x:v>
      </x:c>
      <x:c r="C501" s="24" t="str">
        <x:v>322주8288</x:v>
      </x:c>
      <x:c r="D501" s="24" t="str">
        <x:v>보통</x:v>
      </x:c>
      <x:c r="E501" s="24" t="str">
        <x:v>현재 보유 확인</x:v>
      </x:c>
      <x:c r="F501" s="24" t="str">
        <x:v>322주8288 현재 보유 확인</x:v>
      </x:c>
      <x:c r="G501" s="24" t="str"/>
      <x:c r="H501" s="30"/>
      <x:c r="I501" s="24" t="str">
        <x:v>대기</x:v>
      </x:c>
      <x:c r="J501" s="30"/>
      <x:c r="K501" s="24" t="str"/>
      <x:c r="L501" s="24" t="str">
        <x:v>자동점검</x:v>
      </x:c>
    </x:row>
    <x:row r="502" ht="17.25" customHeight="1">
      <x:c r="A502" s="24" t="str">
        <x:v>W-0501</x:v>
      </x:c>
      <x:c r="B502" s="24" t="str">
        <x:v>프라임구독</x:v>
      </x:c>
      <x:c r="C502" s="24" t="str">
        <x:v>32오3869</x:v>
      </x:c>
      <x:c r="D502" s="24" t="str">
        <x:v>보통</x:v>
      </x:c>
      <x:c r="E502" s="24" t="str">
        <x:v>상태 시작일 입력</x:v>
      </x:c>
      <x:c r="F502" s="24" t="str">
        <x:v>32오3869 상태 시작일 입력</x:v>
      </x:c>
      <x:c r="G502" s="24" t="str"/>
      <x:c r="H502" s="30"/>
      <x:c r="I502" s="24" t="str">
        <x:v>대기</x:v>
      </x:c>
      <x:c r="J502" s="30"/>
      <x:c r="K502" s="24" t="str"/>
      <x:c r="L502" s="24" t="str">
        <x:v>자동점검</x:v>
      </x:c>
    </x:row>
    <x:row r="503" ht="17.25" customHeight="1">
      <x:c r="A503" s="24" t="str">
        <x:v>W-0502</x:v>
      </x:c>
      <x:c r="B503" s="24" t="str">
        <x:v>프라임구독</x:v>
      </x:c>
      <x:c r="C503" s="24" t="str">
        <x:v>32오3869</x:v>
      </x:c>
      <x:c r="D503" s="24" t="str">
        <x:v>보통</x:v>
      </x:c>
      <x:c r="E503" s="24" t="str">
        <x:v>현재 보유 확인</x:v>
      </x:c>
      <x:c r="F503" s="24" t="str">
        <x:v>32오3869 현재 보유 확인</x:v>
      </x:c>
      <x:c r="G503" s="24" t="str"/>
      <x:c r="H503" s="30"/>
      <x:c r="I503" s="24" t="str">
        <x:v>대기</x:v>
      </x:c>
      <x:c r="J503" s="30"/>
      <x:c r="K503" s="24" t="str"/>
      <x:c r="L503" s="24" t="str">
        <x:v>자동점검</x:v>
      </x:c>
    </x:row>
    <x:row r="504" ht="17.25" customHeight="1">
      <x:c r="A504" s="24" t="str">
        <x:v>W-0503</x:v>
      </x:c>
      <x:c r="B504" s="24" t="str">
        <x:v>프라임구독</x:v>
      </x:c>
      <x:c r="C504" s="24" t="str">
        <x:v>338우2810</x:v>
      </x:c>
      <x:c r="D504" s="24" t="str">
        <x:v>보통</x:v>
      </x:c>
      <x:c r="E504" s="24" t="str">
        <x:v>상태 시작일 입력</x:v>
      </x:c>
      <x:c r="F504" s="24" t="str">
        <x:v>338우2810 상태 시작일 입력</x:v>
      </x:c>
      <x:c r="G504" s="24" t="str"/>
      <x:c r="H504" s="30"/>
      <x:c r="I504" s="24" t="str">
        <x:v>대기</x:v>
      </x:c>
      <x:c r="J504" s="30"/>
      <x:c r="K504" s="24" t="str"/>
      <x:c r="L504" s="24" t="str">
        <x:v>자동점검</x:v>
      </x:c>
    </x:row>
    <x:row r="505" ht="17.25" customHeight="1">
      <x:c r="A505" s="24" t="str">
        <x:v>W-0504</x:v>
      </x:c>
      <x:c r="B505" s="24" t="str">
        <x:v>프라임구독</x:v>
      </x:c>
      <x:c r="C505" s="24" t="str">
        <x:v>338우2810</x:v>
      </x:c>
      <x:c r="D505" s="24" t="str">
        <x:v>보통</x:v>
      </x:c>
      <x:c r="E505" s="24" t="str">
        <x:v>현재 보유 확인</x:v>
      </x:c>
      <x:c r="F505" s="24" t="str">
        <x:v>338우2810 현재 보유 확인</x:v>
      </x:c>
      <x:c r="G505" s="24" t="str"/>
      <x:c r="H505" s="30"/>
      <x:c r="I505" s="24" t="str">
        <x:v>대기</x:v>
      </x:c>
      <x:c r="J505" s="30"/>
      <x:c r="K505" s="24" t="str"/>
      <x:c r="L505" s="24" t="str">
        <x:v>자동점검</x:v>
      </x:c>
    </x:row>
    <x:row r="506" ht="17.25" customHeight="1">
      <x:c r="A506" s="24" t="str">
        <x:v>W-0505</x:v>
      </x:c>
      <x:c r="B506" s="24" t="str">
        <x:v>프라임구독</x:v>
      </x:c>
      <x:c r="C506" s="24" t="str">
        <x:v>340고3084</x:v>
      </x:c>
      <x:c r="D506" s="24" t="str">
        <x:v>보통</x:v>
      </x:c>
      <x:c r="E506" s="24" t="str">
        <x:v>상태 시작일 입력</x:v>
      </x:c>
      <x:c r="F506" s="24" t="str">
        <x:v>340고3084 상태 시작일 입력</x:v>
      </x:c>
      <x:c r="G506" s="24" t="str"/>
      <x:c r="H506" s="30"/>
      <x:c r="I506" s="24" t="str">
        <x:v>대기</x:v>
      </x:c>
      <x:c r="J506" s="30"/>
      <x:c r="K506" s="24" t="str"/>
      <x:c r="L506" s="24" t="str">
        <x:v>자동점검</x:v>
      </x:c>
    </x:row>
    <x:row r="507" ht="17.25" customHeight="1">
      <x:c r="A507" s="24" t="str">
        <x:v>W-0506</x:v>
      </x:c>
      <x:c r="B507" s="24" t="str">
        <x:v>프라임구독</x:v>
      </x:c>
      <x:c r="C507" s="24" t="str">
        <x:v>340고3084</x:v>
      </x:c>
      <x:c r="D507" s="24" t="str">
        <x:v>보통</x:v>
      </x:c>
      <x:c r="E507" s="24" t="str">
        <x:v>현재 보유 확인</x:v>
      </x:c>
      <x:c r="F507" s="24" t="str">
        <x:v>340고3084 현재 보유 확인</x:v>
      </x:c>
      <x:c r="G507" s="24" t="str"/>
      <x:c r="H507" s="30"/>
      <x:c r="I507" s="24" t="str">
        <x:v>대기</x:v>
      </x:c>
      <x:c r="J507" s="30"/>
      <x:c r="K507" s="24" t="str"/>
      <x:c r="L507" s="24" t="str">
        <x:v>자동점검</x:v>
      </x:c>
    </x:row>
    <x:row r="508" ht="17.25" customHeight="1">
      <x:c r="A508" s="24" t="str">
        <x:v>W-0507</x:v>
      </x:c>
      <x:c r="B508" s="24" t="str">
        <x:v>프라임구독</x:v>
      </x:c>
      <x:c r="C508" s="24" t="str">
        <x:v>343거1533</x:v>
      </x:c>
      <x:c r="D508" s="24" t="str">
        <x:v>보통</x:v>
      </x:c>
      <x:c r="E508" s="24" t="str">
        <x:v>상태 시작일 입력</x:v>
      </x:c>
      <x:c r="F508" s="24" t="str">
        <x:v>343거1533 상태 시작일 입력</x:v>
      </x:c>
      <x:c r="G508" s="24" t="str"/>
      <x:c r="H508" s="30"/>
      <x:c r="I508" s="24" t="str">
        <x:v>대기</x:v>
      </x:c>
      <x:c r="J508" s="30"/>
      <x:c r="K508" s="24" t="str"/>
      <x:c r="L508" s="24" t="str">
        <x:v>자동점검</x:v>
      </x:c>
    </x:row>
    <x:row r="509" ht="17.25" customHeight="1">
      <x:c r="A509" s="24" t="str">
        <x:v>W-0508</x:v>
      </x:c>
      <x:c r="B509" s="24" t="str">
        <x:v>프라임구독</x:v>
      </x:c>
      <x:c r="C509" s="24" t="str">
        <x:v>343거1533</x:v>
      </x:c>
      <x:c r="D509" s="24" t="str">
        <x:v>보통</x:v>
      </x:c>
      <x:c r="E509" s="24" t="str">
        <x:v>현재 보유 확인</x:v>
      </x:c>
      <x:c r="F509" s="24" t="str">
        <x:v>343거1533 현재 보유 확인</x:v>
      </x:c>
      <x:c r="G509" s="24" t="str"/>
      <x:c r="H509" s="30"/>
      <x:c r="I509" s="24" t="str">
        <x:v>대기</x:v>
      </x:c>
      <x:c r="J509" s="30"/>
      <x:c r="K509" s="24" t="str"/>
      <x:c r="L509" s="24" t="str">
        <x:v>자동점검</x:v>
      </x:c>
    </x:row>
    <x:row r="510" ht="17.25" customHeight="1">
      <x:c r="A510" s="24" t="str">
        <x:v>W-0509</x:v>
      </x:c>
      <x:c r="B510" s="24" t="str">
        <x:v>프라임구독</x:v>
      </x:c>
      <x:c r="C510" s="24" t="str">
        <x:v>34구0251</x:v>
      </x:c>
      <x:c r="D510" s="24" t="str">
        <x:v>긴급</x:v>
      </x:c>
      <x:c r="E510" s="24" t="str">
        <x:v>미수 확인</x:v>
      </x:c>
      <x:c r="F510" s="24" t="str">
        <x:v>34구0251 미수 확인</x:v>
      </x:c>
      <x:c r="G510" s="24" t="str"/>
      <x:c r="H510" s="30"/>
      <x:c r="I510" s="24" t="str">
        <x:v>대기</x:v>
      </x:c>
      <x:c r="J510" s="30"/>
      <x:c r="K510" s="24" t="str">
        <x:v>PR-C-34구0251-1-20240415-119</x:v>
      </x:c>
      <x:c r="L510" s="24" t="str">
        <x:v>자동점검</x:v>
      </x:c>
    </x:row>
    <x:row r="511" ht="17.25" customHeight="1">
      <x:c r="A511" s="24" t="str">
        <x:v>W-0510</x:v>
      </x:c>
      <x:c r="B511" s="24" t="str">
        <x:v>프라임구독</x:v>
      </x:c>
      <x:c r="C511" s="24" t="str">
        <x:v>34구0251</x:v>
      </x:c>
      <x:c r="D511" s="24" t="str">
        <x:v>높음</x:v>
      </x:c>
      <x:c r="E511" s="24" t="str">
        <x:v>보험 연령 입력</x:v>
      </x:c>
      <x:c r="F511" s="24" t="str">
        <x:v>34구0251 보험 연령 입력</x:v>
      </x:c>
      <x:c r="G511" s="24" t="str"/>
      <x:c r="H511" s="30"/>
      <x:c r="I511" s="24" t="str">
        <x:v>대기</x:v>
      </x:c>
      <x:c r="J511" s="30"/>
      <x:c r="K511" s="24" t="str">
        <x:v>PR-C-34구0251-1-20240415-119</x:v>
      </x:c>
      <x:c r="L511" s="24" t="str">
        <x:v>자동점검</x:v>
      </x:c>
    </x:row>
    <x:row r="512" ht="17.25" customHeight="1">
      <x:c r="A512" s="24" t="str">
        <x:v>W-0511</x:v>
      </x:c>
      <x:c r="B512" s="24" t="str">
        <x:v>프라임구독</x:v>
      </x:c>
      <x:c r="C512" s="24" t="str">
        <x:v>34구0251</x:v>
      </x:c>
      <x:c r="D512" s="24" t="str">
        <x:v>높음</x:v>
      </x:c>
      <x:c r="E512" s="24" t="str">
        <x:v>보험 갱신 확인</x:v>
      </x:c>
      <x:c r="F512" s="24" t="str">
        <x:v>34구0251 보험 갱신 확인</x:v>
      </x:c>
      <x:c r="G512" s="24" t="str"/>
      <x:c r="H512" s="30"/>
      <x:c r="I512" s="24" t="str">
        <x:v>대기</x:v>
      </x:c>
      <x:c r="J512" s="30"/>
      <x:c r="K512" s="24" t="str">
        <x:v>PR-C-34구0251-1-20240415-119</x:v>
      </x:c>
      <x:c r="L512" s="24" t="str">
        <x:v>자동점검</x:v>
      </x:c>
    </x:row>
    <x:row r="513" ht="17.25" customHeight="1">
      <x:c r="A513" s="24" t="str">
        <x:v>W-0512</x:v>
      </x:c>
      <x:c r="B513" s="24" t="str">
        <x:v>프라임구독</x:v>
      </x:c>
      <x:c r="C513" s="24" t="str">
        <x:v>34구0251</x:v>
      </x:c>
      <x:c r="D513" s="24" t="str">
        <x:v>보통</x:v>
      </x:c>
      <x:c r="E513" s="24" t="str">
        <x:v>현재 보유 확인</x:v>
      </x:c>
      <x:c r="F513" s="24" t="str">
        <x:v>34구0251 현재 보유 확인</x:v>
      </x:c>
      <x:c r="G513" s="24" t="str"/>
      <x:c r="H513" s="30"/>
      <x:c r="I513" s="24" t="str">
        <x:v>대기</x:v>
      </x:c>
      <x:c r="J513" s="30"/>
      <x:c r="K513" s="24" t="str">
        <x:v>PR-C-34구0251-1-20240415-119</x:v>
      </x:c>
      <x:c r="L513" s="24" t="str">
        <x:v>자동점검</x:v>
      </x:c>
    </x:row>
    <x:row r="514" ht="17.25" customHeight="1">
      <x:c r="A514" s="24" t="str">
        <x:v>W-0513</x:v>
      </x:c>
      <x:c r="B514" s="24" t="str">
        <x:v>프라임구독</x:v>
      </x:c>
      <x:c r="C514" s="24" t="str">
        <x:v>34우4050</x:v>
      </x:c>
      <x:c r="D514" s="24" t="str">
        <x:v>보통</x:v>
      </x:c>
      <x:c r="E514" s="24" t="str">
        <x:v>상태 시작일 입력</x:v>
      </x:c>
      <x:c r="F514" s="24" t="str">
        <x:v>34우4050 상태 시작일 입력</x:v>
      </x:c>
      <x:c r="G514" s="24" t="str"/>
      <x:c r="H514" s="30"/>
      <x:c r="I514" s="24" t="str">
        <x:v>대기</x:v>
      </x:c>
      <x:c r="J514" s="30"/>
      <x:c r="K514" s="24" t="str"/>
      <x:c r="L514" s="24" t="str">
        <x:v>자동점검</x:v>
      </x:c>
    </x:row>
    <x:row r="515" ht="17.25" customHeight="1">
      <x:c r="A515" s="24" t="str">
        <x:v>W-0514</x:v>
      </x:c>
      <x:c r="B515" s="24" t="str">
        <x:v>프라임구독</x:v>
      </x:c>
      <x:c r="C515" s="24" t="str">
        <x:v>34우4050</x:v>
      </x:c>
      <x:c r="D515" s="24" t="str">
        <x:v>보통</x:v>
      </x:c>
      <x:c r="E515" s="24" t="str">
        <x:v>현재 보유 확인</x:v>
      </x:c>
      <x:c r="F515" s="24" t="str">
        <x:v>34우4050 현재 보유 확인</x:v>
      </x:c>
      <x:c r="G515" s="24" t="str"/>
      <x:c r="H515" s="30"/>
      <x:c r="I515" s="24" t="str">
        <x:v>대기</x:v>
      </x:c>
      <x:c r="J515" s="30"/>
      <x:c r="K515" s="24" t="str"/>
      <x:c r="L515" s="24" t="str">
        <x:v>자동점검</x:v>
      </x:c>
    </x:row>
    <x:row r="516" ht="17.25" customHeight="1">
      <x:c r="A516" s="24" t="str">
        <x:v>W-0515</x:v>
      </x:c>
      <x:c r="B516" s="24" t="str">
        <x:v>프라임구독</x:v>
      </x:c>
      <x:c r="C516" s="24" t="str">
        <x:v>355루1724</x:v>
      </x:c>
      <x:c r="D516" s="24" t="str">
        <x:v>보통</x:v>
      </x:c>
      <x:c r="E516" s="24" t="str">
        <x:v>상태 시작일 입력</x:v>
      </x:c>
      <x:c r="F516" s="24" t="str">
        <x:v>355루1724 상태 시작일 입력</x:v>
      </x:c>
      <x:c r="G516" s="24" t="str"/>
      <x:c r="H516" s="30"/>
      <x:c r="I516" s="24" t="str">
        <x:v>대기</x:v>
      </x:c>
      <x:c r="J516" s="30"/>
      <x:c r="K516" s="24" t="str"/>
      <x:c r="L516" s="24" t="str">
        <x:v>자동점검</x:v>
      </x:c>
    </x:row>
    <x:row r="517" ht="17.25" customHeight="1">
      <x:c r="A517" s="24" t="str">
        <x:v>W-0516</x:v>
      </x:c>
      <x:c r="B517" s="24" t="str">
        <x:v>프라임구독</x:v>
      </x:c>
      <x:c r="C517" s="24" t="str">
        <x:v>355루1724</x:v>
      </x:c>
      <x:c r="D517" s="24" t="str">
        <x:v>보통</x:v>
      </x:c>
      <x:c r="E517" s="24" t="str">
        <x:v>현재 보유 확인</x:v>
      </x:c>
      <x:c r="F517" s="24" t="str">
        <x:v>355루1724 현재 보유 확인</x:v>
      </x:c>
      <x:c r="G517" s="24" t="str"/>
      <x:c r="H517" s="30"/>
      <x:c r="I517" s="24" t="str">
        <x:v>대기</x:v>
      </x:c>
      <x:c r="J517" s="30"/>
      <x:c r="K517" s="24" t="str"/>
      <x:c r="L517" s="24" t="str">
        <x:v>자동점검</x:v>
      </x:c>
    </x:row>
    <x:row r="518" ht="17.25" customHeight="1">
      <x:c r="A518" s="24" t="str">
        <x:v>W-0517</x:v>
      </x:c>
      <x:c r="B518" s="24" t="str">
        <x:v>프라임구독</x:v>
      </x:c>
      <x:c r="C518" s="24" t="str">
        <x:v>358다8942</x:v>
      </x:c>
      <x:c r="D518" s="24" t="str">
        <x:v>긴급</x:v>
      </x:c>
      <x:c r="E518" s="24" t="str">
        <x:v>회수 검토</x:v>
      </x:c>
      <x:c r="F518" s="24" t="str">
        <x:v>358다8942 회수 검토</x:v>
      </x:c>
      <x:c r="G518" s="24" t="str"/>
      <x:c r="H518" s="30"/>
      <x:c r="I518" s="24" t="str">
        <x:v>대기</x:v>
      </x:c>
      <x:c r="J518" s="30"/>
      <x:c r="K518" s="24" t="str">
        <x:v>PR-C-358다8942-1-20230112-122</x:v>
      </x:c>
      <x:c r="L518" s="24" t="str">
        <x:v>자동점검</x:v>
      </x:c>
    </x:row>
    <x:row r="519" ht="17.25" customHeight="1">
      <x:c r="A519" s="24" t="str">
        <x:v>W-0518</x:v>
      </x:c>
      <x:c r="B519" s="24" t="str">
        <x:v>프라임구독</x:v>
      </x:c>
      <x:c r="C519" s="24" t="str">
        <x:v>358다8942</x:v>
      </x:c>
      <x:c r="D519" s="24" t="str">
        <x:v>높음</x:v>
      </x:c>
      <x:c r="E519" s="24" t="str">
        <x:v>보험 연령 입력</x:v>
      </x:c>
      <x:c r="F519" s="24" t="str">
        <x:v>358다8942 보험 연령 입력</x:v>
      </x:c>
      <x:c r="G519" s="24" t="str"/>
      <x:c r="H519" s="30"/>
      <x:c r="I519" s="24" t="str">
        <x:v>대기</x:v>
      </x:c>
      <x:c r="J519" s="30"/>
      <x:c r="K519" s="24" t="str">
        <x:v>PR-C-358다8942-1-20230112-122</x:v>
      </x:c>
      <x:c r="L519" s="24" t="str">
        <x:v>자동점검</x:v>
      </x:c>
    </x:row>
    <x:row r="520" ht="17.25" customHeight="1">
      <x:c r="A520" s="24" t="str">
        <x:v>W-0519</x:v>
      </x:c>
      <x:c r="B520" s="24" t="str">
        <x:v>프라임구독</x:v>
      </x:c>
      <x:c r="C520" s="24" t="str">
        <x:v>358다8942</x:v>
      </x:c>
      <x:c r="D520" s="24" t="str">
        <x:v>높음</x:v>
      </x:c>
      <x:c r="E520" s="24" t="str">
        <x:v>보험 갱신 확인</x:v>
      </x:c>
      <x:c r="F520" s="24" t="str">
        <x:v>358다8942 보험 갱신 확인</x:v>
      </x:c>
      <x:c r="G520" s="24" t="str"/>
      <x:c r="H520" s="30"/>
      <x:c r="I520" s="24" t="str">
        <x:v>대기</x:v>
      </x:c>
      <x:c r="J520" s="30"/>
      <x:c r="K520" s="24" t="str">
        <x:v>PR-C-358다8942-1-20230112-122</x:v>
      </x:c>
      <x:c r="L520" s="24" t="str">
        <x:v>자동점검</x:v>
      </x:c>
    </x:row>
    <x:row r="521" ht="17.25" customHeight="1">
      <x:c r="A521" s="24" t="str">
        <x:v>W-0520</x:v>
      </x:c>
      <x:c r="B521" s="24" t="str">
        <x:v>프라임구독</x:v>
      </x:c>
      <x:c r="C521" s="24" t="str">
        <x:v>358다8942</x:v>
      </x:c>
      <x:c r="D521" s="24" t="str">
        <x:v>보통</x:v>
      </x:c>
      <x:c r="E521" s="24" t="str">
        <x:v>현재 보유 확인</x:v>
      </x:c>
      <x:c r="F521" s="24" t="str">
        <x:v>358다8942 현재 보유 확인</x:v>
      </x:c>
      <x:c r="G521" s="24" t="str"/>
      <x:c r="H521" s="30"/>
      <x:c r="I521" s="24" t="str">
        <x:v>대기</x:v>
      </x:c>
      <x:c r="J521" s="30"/>
      <x:c r="K521" s="24" t="str">
        <x:v>PR-C-358다8942-1-20230112-122</x:v>
      </x:c>
      <x:c r="L521" s="24" t="str">
        <x:v>자동점검</x:v>
      </x:c>
    </x:row>
    <x:row r="522" ht="17.25" customHeight="1">
      <x:c r="A522" s="24" t="str">
        <x:v>W-0521</x:v>
      </x:c>
      <x:c r="B522" s="24" t="str">
        <x:v>프라임구독</x:v>
      </x:c>
      <x:c r="C522" s="24" t="str">
        <x:v>35라3486</x:v>
      </x:c>
      <x:c r="D522" s="24" t="str">
        <x:v>보통</x:v>
      </x:c>
      <x:c r="E522" s="24" t="str">
        <x:v>상태 시작일 입력</x:v>
      </x:c>
      <x:c r="F522" s="24" t="str">
        <x:v>35라3486 상태 시작일 입력</x:v>
      </x:c>
      <x:c r="G522" s="24" t="str"/>
      <x:c r="H522" s="30"/>
      <x:c r="I522" s="24" t="str">
        <x:v>대기</x:v>
      </x:c>
      <x:c r="J522" s="30"/>
      <x:c r="K522" s="24" t="str"/>
      <x:c r="L522" s="24" t="str">
        <x:v>자동점검</x:v>
      </x:c>
    </x:row>
    <x:row r="523" ht="17.25" customHeight="1">
      <x:c r="A523" s="24" t="str">
        <x:v>W-0522</x:v>
      </x:c>
      <x:c r="B523" s="24" t="str">
        <x:v>프라임구독</x:v>
      </x:c>
      <x:c r="C523" s="24" t="str">
        <x:v>35라3486</x:v>
      </x:c>
      <x:c r="D523" s="24" t="str">
        <x:v>보통</x:v>
      </x:c>
      <x:c r="E523" s="24" t="str">
        <x:v>현재 보유 확인</x:v>
      </x:c>
      <x:c r="F523" s="24" t="str">
        <x:v>35라3486 현재 보유 확인</x:v>
      </x:c>
      <x:c r="G523" s="24" t="str"/>
      <x:c r="H523" s="30"/>
      <x:c r="I523" s="24" t="str">
        <x:v>대기</x:v>
      </x:c>
      <x:c r="J523" s="30"/>
      <x:c r="K523" s="24" t="str"/>
      <x:c r="L523" s="24" t="str">
        <x:v>자동점검</x:v>
      </x:c>
    </x:row>
    <x:row r="524" ht="17.25" customHeight="1">
      <x:c r="A524" s="24" t="str">
        <x:v>W-0523</x:v>
      </x:c>
      <x:c r="B524" s="24" t="str">
        <x:v>프라임구독</x:v>
      </x:c>
      <x:c r="C524" s="24" t="str">
        <x:v>35조0980</x:v>
      </x:c>
      <x:c r="D524" s="24" t="str">
        <x:v>긴급</x:v>
      </x:c>
      <x:c r="E524" s="24" t="str">
        <x:v>미수 확인</x:v>
      </x:c>
      <x:c r="F524" s="24" t="str">
        <x:v>35조0980 미수 확인</x:v>
      </x:c>
      <x:c r="G524" s="24" t="str"/>
      <x:c r="H524" s="30"/>
      <x:c r="I524" s="24" t="str">
        <x:v>대기</x:v>
      </x:c>
      <x:c r="J524" s="30"/>
      <x:c r="K524" s="24" t="str">
        <x:v>PR-C-35조0980-1-20230811-124</x:v>
      </x:c>
      <x:c r="L524" s="24" t="str">
        <x:v>자동점검</x:v>
      </x:c>
    </x:row>
    <x:row r="525" ht="17.25" customHeight="1">
      <x:c r="A525" s="24" t="str">
        <x:v>W-0524</x:v>
      </x:c>
      <x:c r="B525" s="24" t="str">
        <x:v>프라임구독</x:v>
      </x:c>
      <x:c r="C525" s="24" t="str">
        <x:v>35조0980</x:v>
      </x:c>
      <x:c r="D525" s="24" t="str">
        <x:v>높음</x:v>
      </x:c>
      <x:c r="E525" s="24" t="str">
        <x:v>보험 연령 입력</x:v>
      </x:c>
      <x:c r="F525" s="24" t="str">
        <x:v>35조0980 보험 연령 입력</x:v>
      </x:c>
      <x:c r="G525" s="24" t="str"/>
      <x:c r="H525" s="30"/>
      <x:c r="I525" s="24" t="str">
        <x:v>대기</x:v>
      </x:c>
      <x:c r="J525" s="30"/>
      <x:c r="K525" s="24" t="str">
        <x:v>PR-C-35조0980-1-20230811-124</x:v>
      </x:c>
      <x:c r="L525" s="24" t="str">
        <x:v>자동점검</x:v>
      </x:c>
    </x:row>
    <x:row r="526" ht="17.25" customHeight="1">
      <x:c r="A526" s="24" t="str">
        <x:v>W-0525</x:v>
      </x:c>
      <x:c r="B526" s="24" t="str">
        <x:v>프라임구독</x:v>
      </x:c>
      <x:c r="C526" s="24" t="str">
        <x:v>35조0980</x:v>
      </x:c>
      <x:c r="D526" s="24" t="str">
        <x:v>높음</x:v>
      </x:c>
      <x:c r="E526" s="24" t="str">
        <x:v>보험 갱신 확인</x:v>
      </x:c>
      <x:c r="F526" s="24" t="str">
        <x:v>35조0980 보험 갱신 확인</x:v>
      </x:c>
      <x:c r="G526" s="24" t="str"/>
      <x:c r="H526" s="30"/>
      <x:c r="I526" s="24" t="str">
        <x:v>대기</x:v>
      </x:c>
      <x:c r="J526" s="30"/>
      <x:c r="K526" s="24" t="str">
        <x:v>PR-C-35조0980-1-20230811-124</x:v>
      </x:c>
      <x:c r="L526" s="24" t="str">
        <x:v>자동점검</x:v>
      </x:c>
    </x:row>
    <x:row r="527" ht="17.25" customHeight="1">
      <x:c r="A527" s="24" t="str">
        <x:v>W-0526</x:v>
      </x:c>
      <x:c r="B527" s="24" t="str">
        <x:v>프라임구독</x:v>
      </x:c>
      <x:c r="C527" s="24" t="str">
        <x:v>35조0980</x:v>
      </x:c>
      <x:c r="D527" s="24" t="str">
        <x:v>보통</x:v>
      </x:c>
      <x:c r="E527" s="24" t="str">
        <x:v>현재 보유 확인</x:v>
      </x:c>
      <x:c r="F527" s="24" t="str">
        <x:v>35조0980 현재 보유 확인</x:v>
      </x:c>
      <x:c r="G527" s="24" t="str"/>
      <x:c r="H527" s="30"/>
      <x:c r="I527" s="24" t="str">
        <x:v>대기</x:v>
      </x:c>
      <x:c r="J527" s="30"/>
      <x:c r="K527" s="24" t="str">
        <x:v>PR-C-35조0980-1-20230811-124</x:v>
      </x:c>
      <x:c r="L527" s="24" t="str">
        <x:v>자동점검</x:v>
      </x:c>
    </x:row>
    <x:row r="528" ht="17.25" customHeight="1">
      <x:c r="A528" s="24" t="str">
        <x:v>W-0527</x:v>
      </x:c>
      <x:c r="B528" s="24" t="str">
        <x:v>프라임구독</x:v>
      </x:c>
      <x:c r="C528" s="24" t="str">
        <x:v>366버2054</x:v>
      </x:c>
      <x:c r="D528" s="24" t="str">
        <x:v>보통</x:v>
      </x:c>
      <x:c r="E528" s="24" t="str">
        <x:v>상태 시작일 입력</x:v>
      </x:c>
      <x:c r="F528" s="24" t="str">
        <x:v>366버2054 상태 시작일 입력</x:v>
      </x:c>
      <x:c r="G528" s="24" t="str"/>
      <x:c r="H528" s="30"/>
      <x:c r="I528" s="24" t="str">
        <x:v>대기</x:v>
      </x:c>
      <x:c r="J528" s="30"/>
      <x:c r="K528" s="24" t="str"/>
      <x:c r="L528" s="24" t="str">
        <x:v>자동점검</x:v>
      </x:c>
    </x:row>
    <x:row r="529" ht="17.25" customHeight="1">
      <x:c r="A529" s="24" t="str">
        <x:v>W-0528</x:v>
      </x:c>
      <x:c r="B529" s="24" t="str">
        <x:v>프라임구독</x:v>
      </x:c>
      <x:c r="C529" s="24" t="str">
        <x:v>366버2054</x:v>
      </x:c>
      <x:c r="D529" s="24" t="str">
        <x:v>보통</x:v>
      </x:c>
      <x:c r="E529" s="24" t="str">
        <x:v>현재 보유 확인</x:v>
      </x:c>
      <x:c r="F529" s="24" t="str">
        <x:v>366버2054 현재 보유 확인</x:v>
      </x:c>
      <x:c r="G529" s="24" t="str"/>
      <x:c r="H529" s="30"/>
      <x:c r="I529" s="24" t="str">
        <x:v>대기</x:v>
      </x:c>
      <x:c r="J529" s="30"/>
      <x:c r="K529" s="24" t="str"/>
      <x:c r="L529" s="24" t="str">
        <x:v>자동점검</x:v>
      </x:c>
    </x:row>
    <x:row r="530" ht="17.25" customHeight="1">
      <x:c r="A530" s="24" t="str">
        <x:v>W-0529</x:v>
      </x:c>
      <x:c r="B530" s="24" t="str">
        <x:v>프라임구독</x:v>
      </x:c>
      <x:c r="C530" s="24" t="str">
        <x:v>36너9100</x:v>
      </x:c>
      <x:c r="D530" s="24" t="str">
        <x:v>보통</x:v>
      </x:c>
      <x:c r="E530" s="24" t="str">
        <x:v>상태 시작일 입력</x:v>
      </x:c>
      <x:c r="F530" s="24" t="str">
        <x:v>36너9100 상태 시작일 입력</x:v>
      </x:c>
      <x:c r="G530" s="24" t="str"/>
      <x:c r="H530" s="30"/>
      <x:c r="I530" s="24" t="str">
        <x:v>대기</x:v>
      </x:c>
      <x:c r="J530" s="30"/>
      <x:c r="K530" s="24" t="str"/>
      <x:c r="L530" s="24" t="str">
        <x:v>자동점검</x:v>
      </x:c>
    </x:row>
    <x:row r="531" ht="17.25" customHeight="1">
      <x:c r="A531" s="24" t="str">
        <x:v>W-0530</x:v>
      </x:c>
      <x:c r="B531" s="24" t="str">
        <x:v>프라임구독</x:v>
      </x:c>
      <x:c r="C531" s="24" t="str">
        <x:v>36너9100</x:v>
      </x:c>
      <x:c r="D531" s="24" t="str">
        <x:v>보통</x:v>
      </x:c>
      <x:c r="E531" s="24" t="str">
        <x:v>현재 보유 확인</x:v>
      </x:c>
      <x:c r="F531" s="24" t="str">
        <x:v>36너9100 현재 보유 확인</x:v>
      </x:c>
      <x:c r="G531" s="24" t="str"/>
      <x:c r="H531" s="30"/>
      <x:c r="I531" s="24" t="str">
        <x:v>대기</x:v>
      </x:c>
      <x:c r="J531" s="30"/>
      <x:c r="K531" s="24" t="str"/>
      <x:c r="L531" s="24" t="str">
        <x:v>자동점검</x:v>
      </x:c>
    </x:row>
    <x:row r="532" ht="17.25" customHeight="1">
      <x:c r="A532" s="24" t="str">
        <x:v>W-0531</x:v>
      </x:c>
      <x:c r="B532" s="24" t="str">
        <x:v>프라임구독</x:v>
      </x:c>
      <x:c r="C532" s="24" t="str">
        <x:v>36조8835</x:v>
      </x:c>
      <x:c r="D532" s="24" t="str">
        <x:v>보통</x:v>
      </x:c>
      <x:c r="E532" s="24" t="str">
        <x:v>상태 시작일 입력</x:v>
      </x:c>
      <x:c r="F532" s="24" t="str">
        <x:v>36조8835 상태 시작일 입력</x:v>
      </x:c>
      <x:c r="G532" s="24" t="str"/>
      <x:c r="H532" s="30"/>
      <x:c r="I532" s="24" t="str">
        <x:v>대기</x:v>
      </x:c>
      <x:c r="J532" s="30"/>
      <x:c r="K532" s="24" t="str"/>
      <x:c r="L532" s="24" t="str">
        <x:v>자동점검</x:v>
      </x:c>
    </x:row>
    <x:row r="533" ht="17.25" customHeight="1">
      <x:c r="A533" s="24" t="str">
        <x:v>W-0532</x:v>
      </x:c>
      <x:c r="B533" s="24" t="str">
        <x:v>프라임구독</x:v>
      </x:c>
      <x:c r="C533" s="24" t="str">
        <x:v>36조8835</x:v>
      </x:c>
      <x:c r="D533" s="24" t="str">
        <x:v>보통</x:v>
      </x:c>
      <x:c r="E533" s="24" t="str">
        <x:v>현재 보유 확인</x:v>
      </x:c>
      <x:c r="F533" s="24" t="str">
        <x:v>36조8835 현재 보유 확인</x:v>
      </x:c>
      <x:c r="G533" s="24" t="str"/>
      <x:c r="H533" s="30"/>
      <x:c r="I533" s="24" t="str">
        <x:v>대기</x:v>
      </x:c>
      <x:c r="J533" s="30"/>
      <x:c r="K533" s="24" t="str"/>
      <x:c r="L533" s="24" t="str">
        <x:v>자동점검</x:v>
      </x:c>
    </x:row>
    <x:row r="534" ht="17.25" customHeight="1">
      <x:c r="A534" s="24" t="str">
        <x:v>W-0533</x:v>
      </x:c>
      <x:c r="B534" s="24" t="str">
        <x:v>프라임구독</x:v>
      </x:c>
      <x:c r="C534" s="24" t="str">
        <x:v>372너6080</x:v>
      </x:c>
      <x:c r="D534" s="24" t="str">
        <x:v>보통</x:v>
      </x:c>
      <x:c r="E534" s="24" t="str">
        <x:v>상태 시작일 입력</x:v>
      </x:c>
      <x:c r="F534" s="24" t="str">
        <x:v>372너6080 상태 시작일 입력</x:v>
      </x:c>
      <x:c r="G534" s="24" t="str"/>
      <x:c r="H534" s="30"/>
      <x:c r="I534" s="24" t="str">
        <x:v>대기</x:v>
      </x:c>
      <x:c r="J534" s="30"/>
      <x:c r="K534" s="24" t="str"/>
      <x:c r="L534" s="24" t="str">
        <x:v>자동점검</x:v>
      </x:c>
    </x:row>
    <x:row r="535" ht="17.25" customHeight="1">
      <x:c r="A535" s="24" t="str">
        <x:v>W-0534</x:v>
      </x:c>
      <x:c r="B535" s="24" t="str">
        <x:v>프라임구독</x:v>
      </x:c>
      <x:c r="C535" s="24" t="str">
        <x:v>372너6080</x:v>
      </x:c>
      <x:c r="D535" s="24" t="str">
        <x:v>보통</x:v>
      </x:c>
      <x:c r="E535" s="24" t="str">
        <x:v>현재 보유 확인</x:v>
      </x:c>
      <x:c r="F535" s="24" t="str">
        <x:v>372너6080 현재 보유 확인</x:v>
      </x:c>
      <x:c r="G535" s="24" t="str"/>
      <x:c r="H535" s="30"/>
      <x:c r="I535" s="24" t="str">
        <x:v>대기</x:v>
      </x:c>
      <x:c r="J535" s="30"/>
      <x:c r="K535" s="24" t="str"/>
      <x:c r="L535" s="24" t="str">
        <x:v>자동점검</x:v>
      </x:c>
    </x:row>
    <x:row r="536" ht="17.25" customHeight="1">
      <x:c r="A536" s="24" t="str">
        <x:v>W-0535</x:v>
      </x:c>
      <x:c r="B536" s="24" t="str">
        <x:v>프라임구독</x:v>
      </x:c>
      <x:c r="C536" s="24" t="str">
        <x:v>375노8331</x:v>
      </x:c>
      <x:c r="D536" s="24" t="str">
        <x:v>보통</x:v>
      </x:c>
      <x:c r="E536" s="24" t="str">
        <x:v>상태 시작일 입력</x:v>
      </x:c>
      <x:c r="F536" s="24" t="str">
        <x:v>375노8331 상태 시작일 입력</x:v>
      </x:c>
      <x:c r="G536" s="24" t="str"/>
      <x:c r="H536" s="30"/>
      <x:c r="I536" s="24" t="str">
        <x:v>대기</x:v>
      </x:c>
      <x:c r="J536" s="30"/>
      <x:c r="K536" s="24" t="str"/>
      <x:c r="L536" s="24" t="str">
        <x:v>자동점검</x:v>
      </x:c>
    </x:row>
    <x:row r="537" ht="17.25" customHeight="1">
      <x:c r="A537" s="24" t="str">
        <x:v>W-0536</x:v>
      </x:c>
      <x:c r="B537" s="24" t="str">
        <x:v>프라임구독</x:v>
      </x:c>
      <x:c r="C537" s="24" t="str">
        <x:v>375노8331</x:v>
      </x:c>
      <x:c r="D537" s="24" t="str">
        <x:v>보통</x:v>
      </x:c>
      <x:c r="E537" s="24" t="str">
        <x:v>현재 보유 확인</x:v>
      </x:c>
      <x:c r="F537" s="24" t="str">
        <x:v>375노8331 현재 보유 확인</x:v>
      </x:c>
      <x:c r="G537" s="24" t="str"/>
      <x:c r="H537" s="30"/>
      <x:c r="I537" s="24" t="str">
        <x:v>대기</x:v>
      </x:c>
      <x:c r="J537" s="30"/>
      <x:c r="K537" s="24" t="str"/>
      <x:c r="L537" s="24" t="str">
        <x:v>자동점검</x:v>
      </x:c>
    </x:row>
    <x:row r="538" ht="17.25" customHeight="1">
      <x:c r="A538" s="24" t="str">
        <x:v>W-0537</x:v>
      </x:c>
      <x:c r="B538" s="24" t="str">
        <x:v>프라임구독</x:v>
      </x:c>
      <x:c r="C538" s="24" t="str">
        <x:v>375어9516</x:v>
      </x:c>
      <x:c r="D538" s="24" t="str">
        <x:v>보통</x:v>
      </x:c>
      <x:c r="E538" s="24" t="str">
        <x:v>상태 시작일 입력</x:v>
      </x:c>
      <x:c r="F538" s="24" t="str">
        <x:v>375어9516 상태 시작일 입력</x:v>
      </x:c>
      <x:c r="G538" s="24" t="str"/>
      <x:c r="H538" s="30"/>
      <x:c r="I538" s="24" t="str">
        <x:v>대기</x:v>
      </x:c>
      <x:c r="J538" s="30"/>
      <x:c r="K538" s="24" t="str"/>
      <x:c r="L538" s="24" t="str">
        <x:v>자동점검</x:v>
      </x:c>
    </x:row>
    <x:row r="539" ht="17.25" customHeight="1">
      <x:c r="A539" s="24" t="str">
        <x:v>W-0538</x:v>
      </x:c>
      <x:c r="B539" s="24" t="str">
        <x:v>프라임구독</x:v>
      </x:c>
      <x:c r="C539" s="24" t="str">
        <x:v>375어9516</x:v>
      </x:c>
      <x:c r="D539" s="24" t="str">
        <x:v>보통</x:v>
      </x:c>
      <x:c r="E539" s="24" t="str">
        <x:v>현재 보유 확인</x:v>
      </x:c>
      <x:c r="F539" s="24" t="str">
        <x:v>375어9516 현재 보유 확인</x:v>
      </x:c>
      <x:c r="G539" s="24" t="str"/>
      <x:c r="H539" s="30"/>
      <x:c r="I539" s="24" t="str">
        <x:v>대기</x:v>
      </x:c>
      <x:c r="J539" s="30"/>
      <x:c r="K539" s="24" t="str"/>
      <x:c r="L539" s="24" t="str">
        <x:v>자동점검</x:v>
      </x:c>
    </x:row>
    <x:row r="540" ht="17.25" customHeight="1">
      <x:c r="A540" s="24" t="str">
        <x:v>W-0539</x:v>
      </x:c>
      <x:c r="B540" s="24" t="str">
        <x:v>프라임구독</x:v>
      </x:c>
      <x:c r="C540" s="24" t="str">
        <x:v>37가6818</x:v>
      </x:c>
      <x:c r="D540" s="24" t="str">
        <x:v>보통</x:v>
      </x:c>
      <x:c r="E540" s="24" t="str">
        <x:v>상태 시작일 입력</x:v>
      </x:c>
      <x:c r="F540" s="24" t="str">
        <x:v>37가6818 상태 시작일 입력</x:v>
      </x:c>
      <x:c r="G540" s="24" t="str"/>
      <x:c r="H540" s="30"/>
      <x:c r="I540" s="24" t="str">
        <x:v>대기</x:v>
      </x:c>
      <x:c r="J540" s="30"/>
      <x:c r="K540" s="24" t="str"/>
      <x:c r="L540" s="24" t="str">
        <x:v>자동점검</x:v>
      </x:c>
    </x:row>
    <x:row r="541" ht="17.25" customHeight="1">
      <x:c r="A541" s="24" t="str">
        <x:v>W-0540</x:v>
      </x:c>
      <x:c r="B541" s="24" t="str">
        <x:v>프라임구독</x:v>
      </x:c>
      <x:c r="C541" s="24" t="str">
        <x:v>37가6818</x:v>
      </x:c>
      <x:c r="D541" s="24" t="str">
        <x:v>보통</x:v>
      </x:c>
      <x:c r="E541" s="24" t="str">
        <x:v>현재 보유 확인</x:v>
      </x:c>
      <x:c r="F541" s="24" t="str">
        <x:v>37가6818 현재 보유 확인</x:v>
      </x:c>
      <x:c r="G541" s="24" t="str"/>
      <x:c r="H541" s="30"/>
      <x:c r="I541" s="24" t="str">
        <x:v>대기</x:v>
      </x:c>
      <x:c r="J541" s="30"/>
      <x:c r="K541" s="24" t="str"/>
      <x:c r="L541" s="24" t="str">
        <x:v>자동점검</x:v>
      </x:c>
    </x:row>
    <x:row r="542" ht="17.25" customHeight="1">
      <x:c r="A542" s="24" t="str">
        <x:v>W-0541</x:v>
      </x:c>
      <x:c r="B542" s="24" t="str">
        <x:v>프라임구독</x:v>
      </x:c>
      <x:c r="C542" s="24" t="str">
        <x:v>37루0709</x:v>
      </x:c>
      <x:c r="D542" s="24" t="str">
        <x:v>보통</x:v>
      </x:c>
      <x:c r="E542" s="24" t="str">
        <x:v>상태 시작일 입력</x:v>
      </x:c>
      <x:c r="F542" s="24" t="str">
        <x:v>37루0709 상태 시작일 입력</x:v>
      </x:c>
      <x:c r="G542" s="24" t="str"/>
      <x:c r="H542" s="30"/>
      <x:c r="I542" s="24" t="str">
        <x:v>대기</x:v>
      </x:c>
      <x:c r="J542" s="30"/>
      <x:c r="K542" s="24" t="str"/>
      <x:c r="L542" s="24" t="str">
        <x:v>자동점검</x:v>
      </x:c>
    </x:row>
    <x:row r="543" ht="17.25" customHeight="1">
      <x:c r="A543" s="24" t="str">
        <x:v>W-0542</x:v>
      </x:c>
      <x:c r="B543" s="24" t="str">
        <x:v>프라임구독</x:v>
      </x:c>
      <x:c r="C543" s="24" t="str">
        <x:v>37루0709</x:v>
      </x:c>
      <x:c r="D543" s="24" t="str">
        <x:v>보통</x:v>
      </x:c>
      <x:c r="E543" s="24" t="str">
        <x:v>현재 보유 확인</x:v>
      </x:c>
      <x:c r="F543" s="24" t="str">
        <x:v>37루0709 현재 보유 확인</x:v>
      </x:c>
      <x:c r="G543" s="24" t="str"/>
      <x:c r="H543" s="30"/>
      <x:c r="I543" s="24" t="str">
        <x:v>대기</x:v>
      </x:c>
      <x:c r="J543" s="30"/>
      <x:c r="K543" s="24" t="str"/>
      <x:c r="L543" s="24" t="str">
        <x:v>자동점검</x:v>
      </x:c>
    </x:row>
    <x:row r="544" ht="17.25" customHeight="1">
      <x:c r="A544" s="24" t="str">
        <x:v>W-0543</x:v>
      </x:c>
      <x:c r="B544" s="24" t="str">
        <x:v>프라임구독</x:v>
      </x:c>
      <x:c r="C544" s="24" t="str">
        <x:v>37부6628</x:v>
      </x:c>
      <x:c r="D544" s="24" t="str">
        <x:v>긴급</x:v>
      </x:c>
      <x:c r="E544" s="24" t="str">
        <x:v>미수 확인</x:v>
      </x:c>
      <x:c r="F544" s="24" t="str">
        <x:v>37부6628 미수 확인</x:v>
      </x:c>
      <x:c r="G544" s="24" t="str"/>
      <x:c r="H544" s="30"/>
      <x:c r="I544" s="24" t="str">
        <x:v>대기</x:v>
      </x:c>
      <x:c r="J544" s="30"/>
      <x:c r="K544" s="24" t="str">
        <x:v>PR-C-37부6628-1-20231031-134</x:v>
      </x:c>
      <x:c r="L544" s="24" t="str">
        <x:v>자동점검</x:v>
      </x:c>
    </x:row>
    <x:row r="545" ht="17.25" customHeight="1">
      <x:c r="A545" s="24" t="str">
        <x:v>W-0544</x:v>
      </x:c>
      <x:c r="B545" s="24" t="str">
        <x:v>프라임구독</x:v>
      </x:c>
      <x:c r="C545" s="24" t="str">
        <x:v>37부6628</x:v>
      </x:c>
      <x:c r="D545" s="24" t="str">
        <x:v>높음</x:v>
      </x:c>
      <x:c r="E545" s="24" t="str">
        <x:v>보험 연령 입력</x:v>
      </x:c>
      <x:c r="F545" s="24" t="str">
        <x:v>37부6628 보험 연령 입력</x:v>
      </x:c>
      <x:c r="G545" s="24" t="str"/>
      <x:c r="H545" s="30"/>
      <x:c r="I545" s="24" t="str">
        <x:v>대기</x:v>
      </x:c>
      <x:c r="J545" s="30"/>
      <x:c r="K545" s="24" t="str">
        <x:v>PR-C-37부6628-1-20231031-134</x:v>
      </x:c>
      <x:c r="L545" s="24" t="str">
        <x:v>자동점검</x:v>
      </x:c>
    </x:row>
    <x:row r="546" ht="17.25" customHeight="1">
      <x:c r="A546" s="24" t="str">
        <x:v>W-0545</x:v>
      </x:c>
      <x:c r="B546" s="24" t="str">
        <x:v>프라임구독</x:v>
      </x:c>
      <x:c r="C546" s="24" t="str">
        <x:v>37부6628</x:v>
      </x:c>
      <x:c r="D546" s="24" t="str">
        <x:v>높음</x:v>
      </x:c>
      <x:c r="E546" s="24" t="str">
        <x:v>보험 갱신 확인</x:v>
      </x:c>
      <x:c r="F546" s="24" t="str">
        <x:v>37부6628 보험 갱신 확인</x:v>
      </x:c>
      <x:c r="G546" s="24" t="str"/>
      <x:c r="H546" s="30"/>
      <x:c r="I546" s="24" t="str">
        <x:v>대기</x:v>
      </x:c>
      <x:c r="J546" s="30"/>
      <x:c r="K546" s="24" t="str">
        <x:v>PR-C-37부6628-1-20231031-134</x:v>
      </x:c>
      <x:c r="L546" s="24" t="str">
        <x:v>자동점검</x:v>
      </x:c>
    </x:row>
    <x:row r="547" ht="17.25" customHeight="1">
      <x:c r="A547" s="24" t="str">
        <x:v>W-0546</x:v>
      </x:c>
      <x:c r="B547" s="24" t="str">
        <x:v>프라임구독</x:v>
      </x:c>
      <x:c r="C547" s="24" t="str">
        <x:v>37부6628</x:v>
      </x:c>
      <x:c r="D547" s="24" t="str">
        <x:v>보통</x:v>
      </x:c>
      <x:c r="E547" s="24" t="str">
        <x:v>현재 보유 확인</x:v>
      </x:c>
      <x:c r="F547" s="24" t="str">
        <x:v>37부6628 현재 보유 확인</x:v>
      </x:c>
      <x:c r="G547" s="24" t="str"/>
      <x:c r="H547" s="30"/>
      <x:c r="I547" s="24" t="str">
        <x:v>대기</x:v>
      </x:c>
      <x:c r="J547" s="30"/>
      <x:c r="K547" s="24" t="str">
        <x:v>PR-C-37부6628-1-20231031-134</x:v>
      </x:c>
      <x:c r="L547" s="24" t="str">
        <x:v>자동점검</x:v>
      </x:c>
    </x:row>
    <x:row r="548" ht="17.25" customHeight="1">
      <x:c r="A548" s="24" t="str">
        <x:v>W-0547</x:v>
      </x:c>
      <x:c r="B548" s="24" t="str">
        <x:v>프라임구독</x:v>
      </x:c>
      <x:c r="C548" s="24" t="str">
        <x:v>383고5530</x:v>
      </x:c>
      <x:c r="D548" s="24" t="str">
        <x:v>보통</x:v>
      </x:c>
      <x:c r="E548" s="24" t="str">
        <x:v>상태 시작일 입력</x:v>
      </x:c>
      <x:c r="F548" s="24" t="str">
        <x:v>383고5530 상태 시작일 입력</x:v>
      </x:c>
      <x:c r="G548" s="24" t="str"/>
      <x:c r="H548" s="30"/>
      <x:c r="I548" s="24" t="str">
        <x:v>대기</x:v>
      </x:c>
      <x:c r="J548" s="30"/>
      <x:c r="K548" s="24" t="str"/>
      <x:c r="L548" s="24" t="str">
        <x:v>자동점검</x:v>
      </x:c>
    </x:row>
    <x:row r="549" ht="17.25" customHeight="1">
      <x:c r="A549" s="24" t="str">
        <x:v>W-0548</x:v>
      </x:c>
      <x:c r="B549" s="24" t="str">
        <x:v>프라임구독</x:v>
      </x:c>
      <x:c r="C549" s="24" t="str">
        <x:v>383고5530</x:v>
      </x:c>
      <x:c r="D549" s="24" t="str">
        <x:v>보통</x:v>
      </x:c>
      <x:c r="E549" s="24" t="str">
        <x:v>현재 보유 확인</x:v>
      </x:c>
      <x:c r="F549" s="24" t="str">
        <x:v>383고5530 현재 보유 확인</x:v>
      </x:c>
      <x:c r="G549" s="24" t="str"/>
      <x:c r="H549" s="30"/>
      <x:c r="I549" s="24" t="str">
        <x:v>대기</x:v>
      </x:c>
      <x:c r="J549" s="30"/>
      <x:c r="K549" s="24" t="str"/>
      <x:c r="L549" s="24" t="str">
        <x:v>자동점검</x:v>
      </x:c>
    </x:row>
    <x:row r="550" ht="17.25" customHeight="1">
      <x:c r="A550" s="24" t="str">
        <x:v>W-0549</x:v>
      </x:c>
      <x:c r="B550" s="24" t="str">
        <x:v>프라임구독</x:v>
      </x:c>
      <x:c r="C550" s="24" t="str">
        <x:v>385두9468</x:v>
      </x:c>
      <x:c r="D550" s="24" t="str">
        <x:v>보통</x:v>
      </x:c>
      <x:c r="E550" s="24" t="str">
        <x:v>상태 시작일 입력</x:v>
      </x:c>
      <x:c r="F550" s="24" t="str">
        <x:v>385두9468 상태 시작일 입력</x:v>
      </x:c>
      <x:c r="G550" s="24" t="str"/>
      <x:c r="H550" s="30"/>
      <x:c r="I550" s="24" t="str">
        <x:v>대기</x:v>
      </x:c>
      <x:c r="J550" s="30"/>
      <x:c r="K550" s="24" t="str"/>
      <x:c r="L550" s="24" t="str">
        <x:v>자동점검</x:v>
      </x:c>
    </x:row>
    <x:row r="551" ht="17.25" customHeight="1">
      <x:c r="A551" s="24" t="str">
        <x:v>W-0550</x:v>
      </x:c>
      <x:c r="B551" s="24" t="str">
        <x:v>프라임구독</x:v>
      </x:c>
      <x:c r="C551" s="24" t="str">
        <x:v>385두9468</x:v>
      </x:c>
      <x:c r="D551" s="24" t="str">
        <x:v>보통</x:v>
      </x:c>
      <x:c r="E551" s="24" t="str">
        <x:v>현재 보유 확인</x:v>
      </x:c>
      <x:c r="F551" s="24" t="str">
        <x:v>385두9468 현재 보유 확인</x:v>
      </x:c>
      <x:c r="G551" s="24" t="str"/>
      <x:c r="H551" s="30"/>
      <x:c r="I551" s="24" t="str">
        <x:v>대기</x:v>
      </x:c>
      <x:c r="J551" s="30"/>
      <x:c r="K551" s="24" t="str"/>
      <x:c r="L551" s="24" t="str">
        <x:v>자동점검</x:v>
      </x:c>
    </x:row>
    <x:row r="552" ht="17.25" customHeight="1">
      <x:c r="A552" s="24" t="str">
        <x:v>W-0551</x:v>
      </x:c>
      <x:c r="B552" s="24" t="str">
        <x:v>프라임구독</x:v>
      </x:c>
      <x:c r="C552" s="24" t="str">
        <x:v>38거0839</x:v>
      </x:c>
      <x:c r="D552" s="24" t="str">
        <x:v>긴급</x:v>
      </x:c>
      <x:c r="E552" s="24" t="str">
        <x:v>회수 검토</x:v>
      </x:c>
      <x:c r="F552" s="24" t="str">
        <x:v>38거0839 회수 검토</x:v>
      </x:c>
      <x:c r="G552" s="24" t="str"/>
      <x:c r="H552" s="30"/>
      <x:c r="I552" s="24" t="str">
        <x:v>대기</x:v>
      </x:c>
      <x:c r="J552" s="30"/>
      <x:c r="K552" s="24" t="str">
        <x:v>PR-C-38거0839-1-20240130-137</x:v>
      </x:c>
      <x:c r="L552" s="24" t="str">
        <x:v>자동점검</x:v>
      </x:c>
    </x:row>
    <x:row r="553" ht="17.25" customHeight="1">
      <x:c r="A553" s="24" t="str">
        <x:v>W-0552</x:v>
      </x:c>
      <x:c r="B553" s="24" t="str">
        <x:v>프라임구독</x:v>
      </x:c>
      <x:c r="C553" s="24" t="str">
        <x:v>38거0839</x:v>
      </x:c>
      <x:c r="D553" s="24" t="str">
        <x:v>높음</x:v>
      </x:c>
      <x:c r="E553" s="24" t="str">
        <x:v>계약서 연결</x:v>
      </x:c>
      <x:c r="F553" s="24" t="str">
        <x:v>38거0839 계약서 연결</x:v>
      </x:c>
      <x:c r="G553" s="24" t="str"/>
      <x:c r="H553" s="30"/>
      <x:c r="I553" s="24" t="str">
        <x:v>대기</x:v>
      </x:c>
      <x:c r="J553" s="30"/>
      <x:c r="K553" s="24" t="str">
        <x:v>PR-C-38거0839-1-20240130-137</x:v>
      </x:c>
      <x:c r="L553" s="24" t="str">
        <x:v>자동점검</x:v>
      </x:c>
    </x:row>
    <x:row r="554" ht="17.25" customHeight="1">
      <x:c r="A554" s="24" t="str">
        <x:v>W-0553</x:v>
      </x:c>
      <x:c r="B554" s="24" t="str">
        <x:v>프라임구독</x:v>
      </x:c>
      <x:c r="C554" s="24" t="str">
        <x:v>38거0839</x:v>
      </x:c>
      <x:c r="D554" s="24" t="str">
        <x:v>높음</x:v>
      </x:c>
      <x:c r="E554" s="24" t="str">
        <x:v>보험 연령 입력</x:v>
      </x:c>
      <x:c r="F554" s="24" t="str">
        <x:v>38거0839 보험 연령 입력</x:v>
      </x:c>
      <x:c r="G554" s="24" t="str"/>
      <x:c r="H554" s="30"/>
      <x:c r="I554" s="24" t="str">
        <x:v>대기</x:v>
      </x:c>
      <x:c r="J554" s="30"/>
      <x:c r="K554" s="24" t="str">
        <x:v>PR-C-38거0839-1-20240130-137</x:v>
      </x:c>
      <x:c r="L554" s="24" t="str">
        <x:v>자동점검</x:v>
      </x:c>
    </x:row>
    <x:row r="555" ht="17.25" customHeight="1">
      <x:c r="A555" s="24" t="str">
        <x:v>W-0554</x:v>
      </x:c>
      <x:c r="B555" s="24" t="str">
        <x:v>프라임구독</x:v>
      </x:c>
      <x:c r="C555" s="24" t="str">
        <x:v>38거0839</x:v>
      </x:c>
      <x:c r="D555" s="24" t="str">
        <x:v>높음</x:v>
      </x:c>
      <x:c r="E555" s="24" t="str">
        <x:v>보험 갱신 확인</x:v>
      </x:c>
      <x:c r="F555" s="24" t="str">
        <x:v>38거0839 보험 갱신 확인</x:v>
      </x:c>
      <x:c r="G555" s="24" t="str"/>
      <x:c r="H555" s="30"/>
      <x:c r="I555" s="24" t="str">
        <x:v>대기</x:v>
      </x:c>
      <x:c r="J555" s="30"/>
      <x:c r="K555" s="24" t="str">
        <x:v>PR-C-38거0839-1-20240130-137</x:v>
      </x:c>
      <x:c r="L555" s="24" t="str">
        <x:v>자동점검</x:v>
      </x:c>
    </x:row>
    <x:row r="556" ht="17.25" customHeight="1">
      <x:c r="A556" s="24" t="str">
        <x:v>W-0555</x:v>
      </x:c>
      <x:c r="B556" s="24" t="str">
        <x:v>프라임구독</x:v>
      </x:c>
      <x:c r="C556" s="24" t="str">
        <x:v>38거0839</x:v>
      </x:c>
      <x:c r="D556" s="24" t="str">
        <x:v>보통</x:v>
      </x:c>
      <x:c r="E556" s="24" t="str">
        <x:v>현재 보유 확인</x:v>
      </x:c>
      <x:c r="F556" s="24" t="str">
        <x:v>38거0839 현재 보유 확인</x:v>
      </x:c>
      <x:c r="G556" s="24" t="str"/>
      <x:c r="H556" s="30"/>
      <x:c r="I556" s="24" t="str">
        <x:v>대기</x:v>
      </x:c>
      <x:c r="J556" s="30"/>
      <x:c r="K556" s="24" t="str">
        <x:v>PR-C-38거0839-1-20240130-137</x:v>
      </x:c>
      <x:c r="L556" s="24" t="str">
        <x:v>자동점검</x:v>
      </x:c>
    </x:row>
    <x:row r="557" ht="17.25" customHeight="1">
      <x:c r="A557" s="24" t="str">
        <x:v>W-0556</x:v>
      </x:c>
      <x:c r="B557" s="24" t="str">
        <x:v>프라임구독</x:v>
      </x:c>
      <x:c r="C557" s="24" t="str">
        <x:v>38나0980</x:v>
      </x:c>
      <x:c r="D557" s="24" t="str">
        <x:v>보통</x:v>
      </x:c>
      <x:c r="E557" s="24" t="str">
        <x:v>상태 시작일 입력</x:v>
      </x:c>
      <x:c r="F557" s="24" t="str">
        <x:v>38나0980 상태 시작일 입력</x:v>
      </x:c>
      <x:c r="G557" s="24" t="str"/>
      <x:c r="H557" s="30"/>
      <x:c r="I557" s="24" t="str">
        <x:v>대기</x:v>
      </x:c>
      <x:c r="J557" s="30"/>
      <x:c r="K557" s="24" t="str"/>
      <x:c r="L557" s="24" t="str">
        <x:v>자동점검</x:v>
      </x:c>
    </x:row>
    <x:row r="558" ht="17.25" customHeight="1">
      <x:c r="A558" s="24" t="str">
        <x:v>W-0557</x:v>
      </x:c>
      <x:c r="B558" s="24" t="str">
        <x:v>프라임구독</x:v>
      </x:c>
      <x:c r="C558" s="24" t="str">
        <x:v>38나0980</x:v>
      </x:c>
      <x:c r="D558" s="24" t="str">
        <x:v>보통</x:v>
      </x:c>
      <x:c r="E558" s="24" t="str">
        <x:v>현재 보유 확인</x:v>
      </x:c>
      <x:c r="F558" s="24" t="str">
        <x:v>38나0980 현재 보유 확인</x:v>
      </x:c>
      <x:c r="G558" s="24" t="str"/>
      <x:c r="H558" s="30"/>
      <x:c r="I558" s="24" t="str">
        <x:v>대기</x:v>
      </x:c>
      <x:c r="J558" s="30"/>
      <x:c r="K558" s="24" t="str"/>
      <x:c r="L558" s="24" t="str">
        <x:v>자동점검</x:v>
      </x:c>
    </x:row>
    <x:row r="559" ht="17.25" customHeight="1">
      <x:c r="A559" s="24" t="str">
        <x:v>W-0558</x:v>
      </x:c>
      <x:c r="B559" s="24" t="str">
        <x:v>프라임구독</x:v>
      </x:c>
      <x:c r="C559" s="24" t="str">
        <x:v>38모0931</x:v>
      </x:c>
      <x:c r="D559" s="24" t="str">
        <x:v>보통</x:v>
      </x:c>
      <x:c r="E559" s="24" t="str">
        <x:v>상태 시작일 입력</x:v>
      </x:c>
      <x:c r="F559" s="24" t="str">
        <x:v>38모0931 상태 시작일 입력</x:v>
      </x:c>
      <x:c r="G559" s="24" t="str"/>
      <x:c r="H559" s="30"/>
      <x:c r="I559" s="24" t="str">
        <x:v>대기</x:v>
      </x:c>
      <x:c r="J559" s="30"/>
      <x:c r="K559" s="24" t="str"/>
      <x:c r="L559" s="24" t="str">
        <x:v>자동점검</x:v>
      </x:c>
    </x:row>
    <x:row r="560" ht="17.25" customHeight="1">
      <x:c r="A560" s="24" t="str">
        <x:v>W-0559</x:v>
      </x:c>
      <x:c r="B560" s="24" t="str">
        <x:v>프라임구독</x:v>
      </x:c>
      <x:c r="C560" s="24" t="str">
        <x:v>38모0931</x:v>
      </x:c>
      <x:c r="D560" s="24" t="str">
        <x:v>보통</x:v>
      </x:c>
      <x:c r="E560" s="24" t="str">
        <x:v>현재 보유 확인</x:v>
      </x:c>
      <x:c r="F560" s="24" t="str">
        <x:v>38모0931 현재 보유 확인</x:v>
      </x:c>
      <x:c r="G560" s="24" t="str"/>
      <x:c r="H560" s="30"/>
      <x:c r="I560" s="24" t="str">
        <x:v>대기</x:v>
      </x:c>
      <x:c r="J560" s="30"/>
      <x:c r="K560" s="24" t="str"/>
      <x:c r="L560" s="24" t="str">
        <x:v>자동점검</x:v>
      </x:c>
    </x:row>
    <x:row r="561" ht="17.25" customHeight="1">
      <x:c r="A561" s="24" t="str">
        <x:v>W-0560</x:v>
      </x:c>
      <x:c r="B561" s="24" t="str">
        <x:v>프라임구독</x:v>
      </x:c>
      <x:c r="C561" s="24" t="str">
        <x:v>38모0931</x:v>
      </x:c>
      <x:c r="D561" s="24" t="str">
        <x:v>보통</x:v>
      </x:c>
      <x:c r="E561" s="24" t="str">
        <x:v>자산 중복 확인</x:v>
      </x:c>
      <x:c r="F561" s="24" t="str">
        <x:v>38모0931 자산 중복 확인</x:v>
      </x:c>
      <x:c r="G561" s="24" t="str"/>
      <x:c r="H561" s="30"/>
      <x:c r="I561" s="24" t="str">
        <x:v>대기</x:v>
      </x:c>
      <x:c r="J561" s="30"/>
      <x:c r="K561" s="24" t="str"/>
      <x:c r="L561" s="24" t="str">
        <x:v>자동점검</x:v>
      </x:c>
    </x:row>
    <x:row r="562" ht="17.25" customHeight="1">
      <x:c r="A562" s="24" t="str">
        <x:v>W-0561</x:v>
      </x:c>
      <x:c r="B562" s="24" t="str">
        <x:v>프라임구독</x:v>
      </x:c>
      <x:c r="C562" s="24" t="str">
        <x:v>392주8214</x:v>
      </x:c>
      <x:c r="D562" s="24" t="str">
        <x:v>보통</x:v>
      </x:c>
      <x:c r="E562" s="24" t="str">
        <x:v>상태 시작일 입력</x:v>
      </x:c>
      <x:c r="F562" s="24" t="str">
        <x:v>392주8214 상태 시작일 입력</x:v>
      </x:c>
      <x:c r="G562" s="24" t="str"/>
      <x:c r="H562" s="30"/>
      <x:c r="I562" s="24" t="str">
        <x:v>대기</x:v>
      </x:c>
      <x:c r="J562" s="30"/>
      <x:c r="K562" s="24" t="str"/>
      <x:c r="L562" s="24" t="str">
        <x:v>자동점검</x:v>
      </x:c>
    </x:row>
    <x:row r="563" ht="17.25" customHeight="1">
      <x:c r="A563" s="24" t="str">
        <x:v>W-0562</x:v>
      </x:c>
      <x:c r="B563" s="24" t="str">
        <x:v>프라임구독</x:v>
      </x:c>
      <x:c r="C563" s="24" t="str">
        <x:v>392주8214</x:v>
      </x:c>
      <x:c r="D563" s="24" t="str">
        <x:v>보통</x:v>
      </x:c>
      <x:c r="E563" s="24" t="str">
        <x:v>현재 보유 확인</x:v>
      </x:c>
      <x:c r="F563" s="24" t="str">
        <x:v>392주8214 현재 보유 확인</x:v>
      </x:c>
      <x:c r="G563" s="24" t="str"/>
      <x:c r="H563" s="30"/>
      <x:c r="I563" s="24" t="str">
        <x:v>대기</x:v>
      </x:c>
      <x:c r="J563" s="30"/>
      <x:c r="K563" s="24" t="str"/>
      <x:c r="L563" s="24" t="str">
        <x:v>자동점검</x:v>
      </x:c>
    </x:row>
    <x:row r="564" ht="17.25" customHeight="1">
      <x:c r="A564" s="24" t="str">
        <x:v>W-0563</x:v>
      </x:c>
      <x:c r="B564" s="24" t="str">
        <x:v>프라임구독</x:v>
      </x:c>
      <x:c r="C564" s="24" t="str">
        <x:v>40가4998</x:v>
      </x:c>
      <x:c r="D564" s="24" t="str">
        <x:v>보통</x:v>
      </x:c>
      <x:c r="E564" s="24" t="str">
        <x:v>상태 시작일 입력</x:v>
      </x:c>
      <x:c r="F564" s="24" t="str">
        <x:v>40가4998 상태 시작일 입력</x:v>
      </x:c>
      <x:c r="G564" s="24" t="str"/>
      <x:c r="H564" s="30"/>
      <x:c r="I564" s="24" t="str">
        <x:v>대기</x:v>
      </x:c>
      <x:c r="J564" s="30"/>
      <x:c r="K564" s="24" t="str"/>
      <x:c r="L564" s="24" t="str">
        <x:v>자동점검</x:v>
      </x:c>
    </x:row>
    <x:row r="565" ht="17.25" customHeight="1">
      <x:c r="A565" s="24" t="str">
        <x:v>W-0564</x:v>
      </x:c>
      <x:c r="B565" s="24" t="str">
        <x:v>프라임구독</x:v>
      </x:c>
      <x:c r="C565" s="24" t="str">
        <x:v>40가4998</x:v>
      </x:c>
      <x:c r="D565" s="24" t="str">
        <x:v>보통</x:v>
      </x:c>
      <x:c r="E565" s="24" t="str">
        <x:v>현재 보유 확인</x:v>
      </x:c>
      <x:c r="F565" s="24" t="str">
        <x:v>40가4998 현재 보유 확인</x:v>
      </x:c>
      <x:c r="G565" s="24" t="str"/>
      <x:c r="H565" s="30"/>
      <x:c r="I565" s="24" t="str">
        <x:v>대기</x:v>
      </x:c>
      <x:c r="J565" s="30"/>
      <x:c r="K565" s="24" t="str"/>
      <x:c r="L565" s="24" t="str">
        <x:v>자동점검</x:v>
      </x:c>
    </x:row>
    <x:row r="566" ht="17.25" customHeight="1">
      <x:c r="A566" s="24" t="str">
        <x:v>W-0565</x:v>
      </x:c>
      <x:c r="B566" s="24" t="str">
        <x:v>프라임구독</x:v>
      </x:c>
      <x:c r="C566" s="24" t="str">
        <x:v>41누0758</x:v>
      </x:c>
      <x:c r="D566" s="24" t="str">
        <x:v>긴급</x:v>
      </x:c>
      <x:c r="E566" s="24" t="str">
        <x:v>회수 검토</x:v>
      </x:c>
      <x:c r="F566" s="24" t="str">
        <x:v>41누0758 회수 검토</x:v>
      </x:c>
      <x:c r="G566" s="24" t="str"/>
      <x:c r="H566" s="30"/>
      <x:c r="I566" s="24" t="str">
        <x:v>대기</x:v>
      </x:c>
      <x:c r="J566" s="30"/>
      <x:c r="K566" s="24" t="str">
        <x:v>PR-C-41누0758-1-20221125-143</x:v>
      </x:c>
      <x:c r="L566" s="24" t="str">
        <x:v>자동점검</x:v>
      </x:c>
    </x:row>
    <x:row r="567" ht="17.25" customHeight="1">
      <x:c r="A567" s="24" t="str">
        <x:v>W-0566</x:v>
      </x:c>
      <x:c r="B567" s="24" t="str">
        <x:v>프라임구독</x:v>
      </x:c>
      <x:c r="C567" s="24" t="str">
        <x:v>41누0758</x:v>
      </x:c>
      <x:c r="D567" s="24" t="str">
        <x:v>높음</x:v>
      </x:c>
      <x:c r="E567" s="24" t="str">
        <x:v>보험 연령 입력</x:v>
      </x:c>
      <x:c r="F567" s="24" t="str">
        <x:v>41누0758 보험 연령 입력</x:v>
      </x:c>
      <x:c r="G567" s="24" t="str"/>
      <x:c r="H567" s="30"/>
      <x:c r="I567" s="24" t="str">
        <x:v>대기</x:v>
      </x:c>
      <x:c r="J567" s="30"/>
      <x:c r="K567" s="24" t="str">
        <x:v>PR-C-41누0758-1-20221125-143</x:v>
      </x:c>
      <x:c r="L567" s="24" t="str">
        <x:v>자동점검</x:v>
      </x:c>
    </x:row>
    <x:row r="568" ht="17.25" customHeight="1">
      <x:c r="A568" s="24" t="str">
        <x:v>W-0567</x:v>
      </x:c>
      <x:c r="B568" s="24" t="str">
        <x:v>프라임구독</x:v>
      </x:c>
      <x:c r="C568" s="24" t="str">
        <x:v>41누0758</x:v>
      </x:c>
      <x:c r="D568" s="24" t="str">
        <x:v>높음</x:v>
      </x:c>
      <x:c r="E568" s="24" t="str">
        <x:v>보험 갱신 확인</x:v>
      </x:c>
      <x:c r="F568" s="24" t="str">
        <x:v>41누0758 보험 갱신 확인</x:v>
      </x:c>
      <x:c r="G568" s="24" t="str"/>
      <x:c r="H568" s="30"/>
      <x:c r="I568" s="24" t="str">
        <x:v>대기</x:v>
      </x:c>
      <x:c r="J568" s="30"/>
      <x:c r="K568" s="24" t="str">
        <x:v>PR-C-41누0758-1-20221125-143</x:v>
      </x:c>
      <x:c r="L568" s="24" t="str">
        <x:v>자동점검</x:v>
      </x:c>
    </x:row>
    <x:row r="569" ht="17.25" customHeight="1">
      <x:c r="A569" s="24" t="str">
        <x:v>W-0568</x:v>
      </x:c>
      <x:c r="B569" s="24" t="str">
        <x:v>프라임구독</x:v>
      </x:c>
      <x:c r="C569" s="24" t="str">
        <x:v>41누0758</x:v>
      </x:c>
      <x:c r="D569" s="24" t="str">
        <x:v>보통</x:v>
      </x:c>
      <x:c r="E569" s="24" t="str">
        <x:v>현재 보유 확인</x:v>
      </x:c>
      <x:c r="F569" s="24" t="str">
        <x:v>41누0758 현재 보유 확인</x:v>
      </x:c>
      <x:c r="G569" s="24" t="str"/>
      <x:c r="H569" s="30"/>
      <x:c r="I569" s="24" t="str">
        <x:v>대기</x:v>
      </x:c>
      <x:c r="J569" s="30"/>
      <x:c r="K569" s="24" t="str">
        <x:v>PR-C-41누0758-1-20221125-143</x:v>
      </x:c>
      <x:c r="L569" s="24" t="str">
        <x:v>자동점검</x:v>
      </x:c>
    </x:row>
    <x:row r="570" ht="17.25" customHeight="1">
      <x:c r="A570" s="24" t="str">
        <x:v>W-0569</x:v>
      </x:c>
      <x:c r="B570" s="24" t="str">
        <x:v>프라임구독</x:v>
      </x:c>
      <x:c r="C570" s="24" t="str">
        <x:v>46누5796</x:v>
      </x:c>
      <x:c r="D570" s="24" t="str">
        <x:v>보통</x:v>
      </x:c>
      <x:c r="E570" s="24" t="str">
        <x:v>상태 시작일 입력</x:v>
      </x:c>
      <x:c r="F570" s="24" t="str">
        <x:v>46누5796 상태 시작일 입력</x:v>
      </x:c>
      <x:c r="G570" s="24" t="str"/>
      <x:c r="H570" s="30"/>
      <x:c r="I570" s="24" t="str">
        <x:v>대기</x:v>
      </x:c>
      <x:c r="J570" s="30"/>
      <x:c r="K570" s="24" t="str"/>
      <x:c r="L570" s="24" t="str">
        <x:v>자동점검</x:v>
      </x:c>
    </x:row>
    <x:row r="571" ht="17.25" customHeight="1">
      <x:c r="A571" s="24" t="str">
        <x:v>W-0570</x:v>
      </x:c>
      <x:c r="B571" s="24" t="str">
        <x:v>프라임구독</x:v>
      </x:c>
      <x:c r="C571" s="24" t="str">
        <x:v>46누5796</x:v>
      </x:c>
      <x:c r="D571" s="24" t="str">
        <x:v>보통</x:v>
      </x:c>
      <x:c r="E571" s="24" t="str">
        <x:v>현재 보유 확인</x:v>
      </x:c>
      <x:c r="F571" s="24" t="str">
        <x:v>46누5796 현재 보유 확인</x:v>
      </x:c>
      <x:c r="G571" s="24" t="str"/>
      <x:c r="H571" s="30"/>
      <x:c r="I571" s="24" t="str">
        <x:v>대기</x:v>
      </x:c>
      <x:c r="J571" s="30"/>
      <x:c r="K571" s="24" t="str"/>
      <x:c r="L571" s="24" t="str">
        <x:v>자동점검</x:v>
      </x:c>
    </x:row>
    <x:row r="572" ht="17.25" customHeight="1">
      <x:c r="A572" s="24" t="str">
        <x:v>W-0571</x:v>
      </x:c>
      <x:c r="B572" s="24" t="str">
        <x:v>프라임구독</x:v>
      </x:c>
      <x:c r="C572" s="24" t="str">
        <x:v>46어0360</x:v>
      </x:c>
      <x:c r="D572" s="24" t="str">
        <x:v>보통</x:v>
      </x:c>
      <x:c r="E572" s="24" t="str">
        <x:v>상태 시작일 입력</x:v>
      </x:c>
      <x:c r="F572" s="24" t="str">
        <x:v>46어0360 상태 시작일 입력</x:v>
      </x:c>
      <x:c r="G572" s="24" t="str"/>
      <x:c r="H572" s="30"/>
      <x:c r="I572" s="24" t="str">
        <x:v>대기</x:v>
      </x:c>
      <x:c r="J572" s="30"/>
      <x:c r="K572" s="24" t="str"/>
      <x:c r="L572" s="24" t="str">
        <x:v>자동점검</x:v>
      </x:c>
    </x:row>
    <x:row r="573" ht="17.25" customHeight="1">
      <x:c r="A573" s="24" t="str">
        <x:v>W-0572</x:v>
      </x:c>
      <x:c r="B573" s="24" t="str">
        <x:v>프라임구독</x:v>
      </x:c>
      <x:c r="C573" s="24" t="str">
        <x:v>46어0360</x:v>
      </x:c>
      <x:c r="D573" s="24" t="str">
        <x:v>보통</x:v>
      </x:c>
      <x:c r="E573" s="24" t="str">
        <x:v>현재 보유 확인</x:v>
      </x:c>
      <x:c r="F573" s="24" t="str">
        <x:v>46어0360 현재 보유 확인</x:v>
      </x:c>
      <x:c r="G573" s="24" t="str"/>
      <x:c r="H573" s="30"/>
      <x:c r="I573" s="24" t="str">
        <x:v>대기</x:v>
      </x:c>
      <x:c r="J573" s="30"/>
      <x:c r="K573" s="24" t="str"/>
      <x:c r="L573" s="24" t="str">
        <x:v>자동점검</x:v>
      </x:c>
    </x:row>
    <x:row r="574" ht="17.25" customHeight="1">
      <x:c r="A574" s="24" t="str">
        <x:v>W-0573</x:v>
      </x:c>
      <x:c r="B574" s="24" t="str">
        <x:v>프라임구독</x:v>
      </x:c>
      <x:c r="C574" s="24" t="str">
        <x:v>46어0360</x:v>
      </x:c>
      <x:c r="D574" s="24" t="str">
        <x:v>보통</x:v>
      </x:c>
      <x:c r="E574" s="24" t="str">
        <x:v>자산 중복 확인</x:v>
      </x:c>
      <x:c r="F574" s="24" t="str">
        <x:v>46어0360 자산 중복 확인</x:v>
      </x:c>
      <x:c r="G574" s="24" t="str"/>
      <x:c r="H574" s="30"/>
      <x:c r="I574" s="24" t="str">
        <x:v>대기</x:v>
      </x:c>
      <x:c r="J574" s="30"/>
      <x:c r="K574" s="24" t="str"/>
      <x:c r="L574" s="24" t="str">
        <x:v>자동점검</x:v>
      </x:c>
    </x:row>
    <x:row r="575" ht="17.25" customHeight="1">
      <x:c r="A575" s="24" t="str">
        <x:v>W-0574</x:v>
      </x:c>
      <x:c r="B575" s="24" t="str">
        <x:v>프라임구독</x:v>
      </x:c>
      <x:c r="C575" s="24" t="str">
        <x:v>47너7301</x:v>
      </x:c>
      <x:c r="D575" s="24" t="str">
        <x:v>보통</x:v>
      </x:c>
      <x:c r="E575" s="24" t="str">
        <x:v>상태 시작일 입력</x:v>
      </x:c>
      <x:c r="F575" s="24" t="str">
        <x:v>47너7301 상태 시작일 입력</x:v>
      </x:c>
      <x:c r="G575" s="24" t="str"/>
      <x:c r="H575" s="30"/>
      <x:c r="I575" s="24" t="str">
        <x:v>대기</x:v>
      </x:c>
      <x:c r="J575" s="30"/>
      <x:c r="K575" s="24" t="str"/>
      <x:c r="L575" s="24" t="str">
        <x:v>자동점검</x:v>
      </x:c>
    </x:row>
    <x:row r="576" ht="17.25" customHeight="1">
      <x:c r="A576" s="24" t="str">
        <x:v>W-0575</x:v>
      </x:c>
      <x:c r="B576" s="24" t="str">
        <x:v>프라임구독</x:v>
      </x:c>
      <x:c r="C576" s="24" t="str">
        <x:v>47너7301</x:v>
      </x:c>
      <x:c r="D576" s="24" t="str">
        <x:v>보통</x:v>
      </x:c>
      <x:c r="E576" s="24" t="str">
        <x:v>현재 보유 확인</x:v>
      </x:c>
      <x:c r="F576" s="24" t="str">
        <x:v>47너7301 현재 보유 확인</x:v>
      </x:c>
      <x:c r="G576" s="24" t="str"/>
      <x:c r="H576" s="30"/>
      <x:c r="I576" s="24" t="str">
        <x:v>대기</x:v>
      </x:c>
      <x:c r="J576" s="30"/>
      <x:c r="K576" s="24" t="str"/>
      <x:c r="L576" s="24" t="str">
        <x:v>자동점검</x:v>
      </x:c>
    </x:row>
    <x:row r="577" ht="17.25" customHeight="1">
      <x:c r="A577" s="24" t="str">
        <x:v>W-0576</x:v>
      </x:c>
      <x:c r="B577" s="24" t="str">
        <x:v>프라임구독</x:v>
      </x:c>
      <x:c r="C577" s="24" t="str">
        <x:v>47마0220</x:v>
      </x:c>
      <x:c r="D577" s="24" t="str">
        <x:v>보통</x:v>
      </x:c>
      <x:c r="E577" s="24" t="str">
        <x:v>상태 시작일 입력</x:v>
      </x:c>
      <x:c r="F577" s="24" t="str">
        <x:v>47마0220 상태 시작일 입력</x:v>
      </x:c>
      <x:c r="G577" s="24" t="str"/>
      <x:c r="H577" s="30"/>
      <x:c r="I577" s="24" t="str">
        <x:v>대기</x:v>
      </x:c>
      <x:c r="J577" s="30"/>
      <x:c r="K577" s="24" t="str"/>
      <x:c r="L577" s="24" t="str">
        <x:v>자동점검</x:v>
      </x:c>
    </x:row>
    <x:row r="578" ht="17.25" customHeight="1">
      <x:c r="A578" s="24" t="str">
        <x:v>W-0577</x:v>
      </x:c>
      <x:c r="B578" s="24" t="str">
        <x:v>프라임구독</x:v>
      </x:c>
      <x:c r="C578" s="24" t="str">
        <x:v>47마0220</x:v>
      </x:c>
      <x:c r="D578" s="24" t="str">
        <x:v>보통</x:v>
      </x:c>
      <x:c r="E578" s="24" t="str">
        <x:v>현재 보유 확인</x:v>
      </x:c>
      <x:c r="F578" s="24" t="str">
        <x:v>47마0220 현재 보유 확인</x:v>
      </x:c>
      <x:c r="G578" s="24" t="str"/>
      <x:c r="H578" s="30"/>
      <x:c r="I578" s="24" t="str">
        <x:v>대기</x:v>
      </x:c>
      <x:c r="J578" s="30"/>
      <x:c r="K578" s="24" t="str"/>
      <x:c r="L578" s="24" t="str">
        <x:v>자동점검</x:v>
      </x:c>
    </x:row>
    <x:row r="579" ht="17.25" customHeight="1">
      <x:c r="A579" s="24" t="str">
        <x:v>W-0578</x:v>
      </x:c>
      <x:c r="B579" s="24" t="str">
        <x:v>프라임구독</x:v>
      </x:c>
      <x:c r="C579" s="24" t="str">
        <x:v>47어0249</x:v>
      </x:c>
      <x:c r="D579" s="24" t="str">
        <x:v>보통</x:v>
      </x:c>
      <x:c r="E579" s="24" t="str">
        <x:v>상태 시작일 입력</x:v>
      </x:c>
      <x:c r="F579" s="24" t="str">
        <x:v>47어0249 상태 시작일 입력</x:v>
      </x:c>
      <x:c r="G579" s="24" t="str"/>
      <x:c r="H579" s="30"/>
      <x:c r="I579" s="24" t="str">
        <x:v>대기</x:v>
      </x:c>
      <x:c r="J579" s="30"/>
      <x:c r="K579" s="24" t="str"/>
      <x:c r="L579" s="24" t="str">
        <x:v>자동점검</x:v>
      </x:c>
    </x:row>
    <x:row r="580" ht="17.25" customHeight="1">
      <x:c r="A580" s="24" t="str">
        <x:v>W-0579</x:v>
      </x:c>
      <x:c r="B580" s="24" t="str">
        <x:v>프라임구독</x:v>
      </x:c>
      <x:c r="C580" s="24" t="str">
        <x:v>47어0249</x:v>
      </x:c>
      <x:c r="D580" s="24" t="str">
        <x:v>보통</x:v>
      </x:c>
      <x:c r="E580" s="24" t="str">
        <x:v>현재 보유 확인</x:v>
      </x:c>
      <x:c r="F580" s="24" t="str">
        <x:v>47어0249 현재 보유 확인</x:v>
      </x:c>
      <x:c r="G580" s="24" t="str"/>
      <x:c r="H580" s="30"/>
      <x:c r="I580" s="24" t="str">
        <x:v>대기</x:v>
      </x:c>
      <x:c r="J580" s="30"/>
      <x:c r="K580" s="24" t="str"/>
      <x:c r="L580" s="24" t="str">
        <x:v>자동점검</x:v>
      </x:c>
    </x:row>
    <x:row r="581" ht="17.25" customHeight="1">
      <x:c r="A581" s="24" t="str">
        <x:v>W-0580</x:v>
      </x:c>
      <x:c r="B581" s="24" t="str">
        <x:v>프라임구독</x:v>
      </x:c>
      <x:c r="C581" s="24" t="str">
        <x:v>48라0691</x:v>
      </x:c>
      <x:c r="D581" s="24" t="str">
        <x:v>보통</x:v>
      </x:c>
      <x:c r="E581" s="24" t="str">
        <x:v>상태 시작일 입력</x:v>
      </x:c>
      <x:c r="F581" s="24" t="str">
        <x:v>48라0691 상태 시작일 입력</x:v>
      </x:c>
      <x:c r="G581" s="24" t="str"/>
      <x:c r="H581" s="30"/>
      <x:c r="I581" s="24" t="str">
        <x:v>대기</x:v>
      </x:c>
      <x:c r="J581" s="30"/>
      <x:c r="K581" s="24" t="str"/>
      <x:c r="L581" s="24" t="str">
        <x:v>자동점검</x:v>
      </x:c>
    </x:row>
    <x:row r="582" ht="17.25" customHeight="1">
      <x:c r="A582" s="24" t="str">
        <x:v>W-0581</x:v>
      </x:c>
      <x:c r="B582" s="24" t="str">
        <x:v>프라임구독</x:v>
      </x:c>
      <x:c r="C582" s="24" t="str">
        <x:v>48라0691</x:v>
      </x:c>
      <x:c r="D582" s="24" t="str">
        <x:v>보통</x:v>
      </x:c>
      <x:c r="E582" s="24" t="str">
        <x:v>현재 보유 확인</x:v>
      </x:c>
      <x:c r="F582" s="24" t="str">
        <x:v>48라0691 현재 보유 확인</x:v>
      </x:c>
      <x:c r="G582" s="24" t="str"/>
      <x:c r="H582" s="30"/>
      <x:c r="I582" s="24" t="str">
        <x:v>대기</x:v>
      </x:c>
      <x:c r="J582" s="30"/>
      <x:c r="K582" s="24" t="str"/>
      <x:c r="L582" s="24" t="str">
        <x:v>자동점검</x:v>
      </x:c>
    </x:row>
    <x:row r="583" ht="17.25" customHeight="1">
      <x:c r="A583" s="24" t="str">
        <x:v>W-0582</x:v>
      </x:c>
      <x:c r="B583" s="24" t="str">
        <x:v>프라임구독</x:v>
      </x:c>
      <x:c r="C583" s="24" t="str">
        <x:v>48저0234</x:v>
      </x:c>
      <x:c r="D583" s="24" t="str">
        <x:v>보통</x:v>
      </x:c>
      <x:c r="E583" s="24" t="str">
        <x:v>상태 시작일 입력</x:v>
      </x:c>
      <x:c r="F583" s="24" t="str">
        <x:v>48저0234 상태 시작일 입력</x:v>
      </x:c>
      <x:c r="G583" s="24" t="str"/>
      <x:c r="H583" s="30"/>
      <x:c r="I583" s="24" t="str">
        <x:v>대기</x:v>
      </x:c>
      <x:c r="J583" s="30"/>
      <x:c r="K583" s="24" t="str"/>
      <x:c r="L583" s="24" t="str">
        <x:v>자동점검</x:v>
      </x:c>
    </x:row>
    <x:row r="584" ht="17.25" customHeight="1">
      <x:c r="A584" s="24" t="str">
        <x:v>W-0583</x:v>
      </x:c>
      <x:c r="B584" s="24" t="str">
        <x:v>프라임구독</x:v>
      </x:c>
      <x:c r="C584" s="24" t="str">
        <x:v>48저0234</x:v>
      </x:c>
      <x:c r="D584" s="24" t="str">
        <x:v>보통</x:v>
      </x:c>
      <x:c r="E584" s="24" t="str">
        <x:v>현재 보유 확인</x:v>
      </x:c>
      <x:c r="F584" s="24" t="str">
        <x:v>48저0234 현재 보유 확인</x:v>
      </x:c>
      <x:c r="G584" s="24" t="str"/>
      <x:c r="H584" s="30"/>
      <x:c r="I584" s="24" t="str">
        <x:v>대기</x:v>
      </x:c>
      <x:c r="J584" s="30"/>
      <x:c r="K584" s="24" t="str"/>
      <x:c r="L584" s="24" t="str">
        <x:v>자동점검</x:v>
      </x:c>
    </x:row>
    <x:row r="585" ht="17.25" customHeight="1">
      <x:c r="A585" s="24" t="str">
        <x:v>W-0584</x:v>
      </x:c>
      <x:c r="B585" s="24" t="str">
        <x:v>프라임구독</x:v>
      </x:c>
      <x:c r="C585" s="24" t="str">
        <x:v>49노4773</x:v>
      </x:c>
      <x:c r="D585" s="24" t="str">
        <x:v>보통</x:v>
      </x:c>
      <x:c r="E585" s="24" t="str">
        <x:v>상태 시작일 입력</x:v>
      </x:c>
      <x:c r="F585" s="24" t="str">
        <x:v>49노4773 상태 시작일 입력</x:v>
      </x:c>
      <x:c r="G585" s="24" t="str"/>
      <x:c r="H585" s="30"/>
      <x:c r="I585" s="24" t="str">
        <x:v>대기</x:v>
      </x:c>
      <x:c r="J585" s="30"/>
      <x:c r="K585" s="24" t="str"/>
      <x:c r="L585" s="24" t="str">
        <x:v>자동점검</x:v>
      </x:c>
    </x:row>
    <x:row r="586" ht="17.25" customHeight="1">
      <x:c r="A586" s="24" t="str">
        <x:v>W-0585</x:v>
      </x:c>
      <x:c r="B586" s="24" t="str">
        <x:v>프라임구독</x:v>
      </x:c>
      <x:c r="C586" s="24" t="str">
        <x:v>49노4773</x:v>
      </x:c>
      <x:c r="D586" s="24" t="str">
        <x:v>보통</x:v>
      </x:c>
      <x:c r="E586" s="24" t="str">
        <x:v>현재 보유 확인</x:v>
      </x:c>
      <x:c r="F586" s="24" t="str">
        <x:v>49노4773 현재 보유 확인</x:v>
      </x:c>
      <x:c r="G586" s="24" t="str"/>
      <x:c r="H586" s="30"/>
      <x:c r="I586" s="24" t="str">
        <x:v>대기</x:v>
      </x:c>
      <x:c r="J586" s="30"/>
      <x:c r="K586" s="24" t="str"/>
      <x:c r="L586" s="24" t="str">
        <x:v>자동점검</x:v>
      </x:c>
    </x:row>
    <x:row r="587" ht="17.25" customHeight="1">
      <x:c r="A587" s="24" t="str">
        <x:v>W-0586</x:v>
      </x:c>
      <x:c r="B587" s="24" t="str">
        <x:v>프라임구독</x:v>
      </x:c>
      <x:c r="C587" s="24" t="str">
        <x:v>49누4194</x:v>
      </x:c>
      <x:c r="D587" s="24" t="str">
        <x:v>보통</x:v>
      </x:c>
      <x:c r="E587" s="24" t="str">
        <x:v>상태 시작일 입력</x:v>
      </x:c>
      <x:c r="F587" s="24" t="str">
        <x:v>49누4194 상태 시작일 입력</x:v>
      </x:c>
      <x:c r="G587" s="24" t="str"/>
      <x:c r="H587" s="30"/>
      <x:c r="I587" s="24" t="str">
        <x:v>대기</x:v>
      </x:c>
      <x:c r="J587" s="30"/>
      <x:c r="K587" s="24" t="str"/>
      <x:c r="L587" s="24" t="str">
        <x:v>자동점검</x:v>
      </x:c>
    </x:row>
    <x:row r="588" ht="17.25" customHeight="1">
      <x:c r="A588" s="24" t="str">
        <x:v>W-0587</x:v>
      </x:c>
      <x:c r="B588" s="24" t="str">
        <x:v>프라임구독</x:v>
      </x:c>
      <x:c r="C588" s="24" t="str">
        <x:v>49누4194</x:v>
      </x:c>
      <x:c r="D588" s="24" t="str">
        <x:v>보통</x:v>
      </x:c>
      <x:c r="E588" s="24" t="str">
        <x:v>현재 보유 확인</x:v>
      </x:c>
      <x:c r="F588" s="24" t="str">
        <x:v>49누4194 현재 보유 확인</x:v>
      </x:c>
      <x:c r="G588" s="24" t="str"/>
      <x:c r="H588" s="30"/>
      <x:c r="I588" s="24" t="str">
        <x:v>대기</x:v>
      </x:c>
      <x:c r="J588" s="30"/>
      <x:c r="K588" s="24" t="str"/>
      <x:c r="L588" s="24" t="str">
        <x:v>자동점검</x:v>
      </x:c>
    </x:row>
    <x:row r="589" ht="17.25" customHeight="1">
      <x:c r="A589" s="24" t="str">
        <x:v>W-0588</x:v>
      </x:c>
      <x:c r="B589" s="24" t="str">
        <x:v>프라임구독</x:v>
      </x:c>
      <x:c r="C589" s="24" t="str">
        <x:v>49더0163</x:v>
      </x:c>
      <x:c r="D589" s="24" t="str">
        <x:v>긴급</x:v>
      </x:c>
      <x:c r="E589" s="24" t="str">
        <x:v>회수 검토</x:v>
      </x:c>
      <x:c r="F589" s="24" t="str">
        <x:v>49더0163 회수 검토</x:v>
      </x:c>
      <x:c r="G589" s="24" t="str"/>
      <x:c r="H589" s="30"/>
      <x:c r="I589" s="24" t="str">
        <x:v>대기</x:v>
      </x:c>
      <x:c r="J589" s="30"/>
      <x:c r="K589" s="24" t="str">
        <x:v>PR-C-49더0163-1-20230705-155</x:v>
      </x:c>
      <x:c r="L589" s="24" t="str">
        <x:v>자동점검</x:v>
      </x:c>
    </x:row>
    <x:row r="590" ht="17.25" customHeight="1">
      <x:c r="A590" s="24" t="str">
        <x:v>W-0589</x:v>
      </x:c>
      <x:c r="B590" s="24" t="str">
        <x:v>프라임구독</x:v>
      </x:c>
      <x:c r="C590" s="24" t="str">
        <x:v>49더0163</x:v>
      </x:c>
      <x:c r="D590" s="24" t="str">
        <x:v>높음</x:v>
      </x:c>
      <x:c r="E590" s="24" t="str">
        <x:v>보험 연령 입력</x:v>
      </x:c>
      <x:c r="F590" s="24" t="str">
        <x:v>49더0163 보험 연령 입력</x:v>
      </x:c>
      <x:c r="G590" s="24" t="str"/>
      <x:c r="H590" s="30"/>
      <x:c r="I590" s="24" t="str">
        <x:v>대기</x:v>
      </x:c>
      <x:c r="J590" s="30"/>
      <x:c r="K590" s="24" t="str">
        <x:v>PR-C-49더0163-1-20230705-155</x:v>
      </x:c>
      <x:c r="L590" s="24" t="str">
        <x:v>자동점검</x:v>
      </x:c>
    </x:row>
    <x:row r="591" ht="17.25" customHeight="1">
      <x:c r="A591" s="24" t="str">
        <x:v>W-0590</x:v>
      </x:c>
      <x:c r="B591" s="24" t="str">
        <x:v>프라임구독</x:v>
      </x:c>
      <x:c r="C591" s="24" t="str">
        <x:v>49더0163</x:v>
      </x:c>
      <x:c r="D591" s="24" t="str">
        <x:v>높음</x:v>
      </x:c>
      <x:c r="E591" s="24" t="str">
        <x:v>보험 갱신 확인</x:v>
      </x:c>
      <x:c r="F591" s="24" t="str">
        <x:v>49더0163 보험 갱신 확인</x:v>
      </x:c>
      <x:c r="G591" s="24" t="str"/>
      <x:c r="H591" s="30"/>
      <x:c r="I591" s="24" t="str">
        <x:v>대기</x:v>
      </x:c>
      <x:c r="J591" s="30"/>
      <x:c r="K591" s="24" t="str">
        <x:v>PR-C-49더0163-1-20230705-155</x:v>
      </x:c>
      <x:c r="L591" s="24" t="str">
        <x:v>자동점검</x:v>
      </x:c>
    </x:row>
    <x:row r="592" ht="17.25" customHeight="1">
      <x:c r="A592" s="24" t="str">
        <x:v>W-0591</x:v>
      </x:c>
      <x:c r="B592" s="24" t="str">
        <x:v>프라임구독</x:v>
      </x:c>
      <x:c r="C592" s="24" t="str">
        <x:v>49더0163</x:v>
      </x:c>
      <x:c r="D592" s="24" t="str">
        <x:v>보통</x:v>
      </x:c>
      <x:c r="E592" s="24" t="str">
        <x:v>현재 보유 확인</x:v>
      </x:c>
      <x:c r="F592" s="24" t="str">
        <x:v>49더0163 현재 보유 확인</x:v>
      </x:c>
      <x:c r="G592" s="24" t="str"/>
      <x:c r="H592" s="30"/>
      <x:c r="I592" s="24" t="str">
        <x:v>대기</x:v>
      </x:c>
      <x:c r="J592" s="30"/>
      <x:c r="K592" s="24" t="str">
        <x:v>PR-C-49더0163-1-20230705-155</x:v>
      </x:c>
      <x:c r="L592" s="24" t="str">
        <x:v>자동점검</x:v>
      </x:c>
    </x:row>
    <x:row r="593" ht="17.25" customHeight="1">
      <x:c r="A593" s="24" t="str">
        <x:v>W-0592</x:v>
      </x:c>
      <x:c r="B593" s="24" t="str">
        <x:v>프라임구독</x:v>
      </x:c>
      <x:c r="C593" s="24" t="str">
        <x:v>49두5388</x:v>
      </x:c>
      <x:c r="D593" s="24" t="str">
        <x:v>보통</x:v>
      </x:c>
      <x:c r="E593" s="24" t="str">
        <x:v>상태 시작일 입력</x:v>
      </x:c>
      <x:c r="F593" s="24" t="str">
        <x:v>49두5388 상태 시작일 입력</x:v>
      </x:c>
      <x:c r="G593" s="24" t="str"/>
      <x:c r="H593" s="30"/>
      <x:c r="I593" s="24" t="str">
        <x:v>대기</x:v>
      </x:c>
      <x:c r="J593" s="30"/>
      <x:c r="K593" s="24" t="str"/>
      <x:c r="L593" s="24" t="str">
        <x:v>자동점검</x:v>
      </x:c>
    </x:row>
    <x:row r="594" ht="17.25" customHeight="1">
      <x:c r="A594" s="24" t="str">
        <x:v>W-0593</x:v>
      </x:c>
      <x:c r="B594" s="24" t="str">
        <x:v>프라임구독</x:v>
      </x:c>
      <x:c r="C594" s="24" t="str">
        <x:v>49두5388</x:v>
      </x:c>
      <x:c r="D594" s="24" t="str">
        <x:v>보통</x:v>
      </x:c>
      <x:c r="E594" s="24" t="str">
        <x:v>현재 보유 확인</x:v>
      </x:c>
      <x:c r="F594" s="24" t="str">
        <x:v>49두5388 현재 보유 확인</x:v>
      </x:c>
      <x:c r="G594" s="24" t="str"/>
      <x:c r="H594" s="30"/>
      <x:c r="I594" s="24" t="str">
        <x:v>대기</x:v>
      </x:c>
      <x:c r="J594" s="30"/>
      <x:c r="K594" s="24" t="str"/>
      <x:c r="L594" s="24" t="str">
        <x:v>자동점검</x:v>
      </x:c>
    </x:row>
    <x:row r="595" ht="17.25" customHeight="1">
      <x:c r="A595" s="24" t="str">
        <x:v>W-0594</x:v>
      </x:c>
      <x:c r="B595" s="24" t="str">
        <x:v>프라임구독</x:v>
      </x:c>
      <x:c r="C595" s="24" t="str">
        <x:v>49부7248</x:v>
      </x:c>
      <x:c r="D595" s="24" t="str">
        <x:v>보통</x:v>
      </x:c>
      <x:c r="E595" s="24" t="str">
        <x:v>상태 시작일 입력</x:v>
      </x:c>
      <x:c r="F595" s="24" t="str">
        <x:v>49부7248 상태 시작일 입력</x:v>
      </x:c>
      <x:c r="G595" s="24" t="str"/>
      <x:c r="H595" s="30"/>
      <x:c r="I595" s="24" t="str">
        <x:v>대기</x:v>
      </x:c>
      <x:c r="J595" s="30"/>
      <x:c r="K595" s="24" t="str"/>
      <x:c r="L595" s="24" t="str">
        <x:v>자동점검</x:v>
      </x:c>
    </x:row>
    <x:row r="596" ht="17.25" customHeight="1">
      <x:c r="A596" s="24" t="str">
        <x:v>W-0595</x:v>
      </x:c>
      <x:c r="B596" s="24" t="str">
        <x:v>프라임구독</x:v>
      </x:c>
      <x:c r="C596" s="24" t="str">
        <x:v>49부7248</x:v>
      </x:c>
      <x:c r="D596" s="24" t="str">
        <x:v>보통</x:v>
      </x:c>
      <x:c r="E596" s="24" t="str">
        <x:v>현재 보유 확인</x:v>
      </x:c>
      <x:c r="F596" s="24" t="str">
        <x:v>49부7248 현재 보유 확인</x:v>
      </x:c>
      <x:c r="G596" s="24" t="str"/>
      <x:c r="H596" s="30"/>
      <x:c r="I596" s="24" t="str">
        <x:v>대기</x:v>
      </x:c>
      <x:c r="J596" s="30"/>
      <x:c r="K596" s="24" t="str"/>
      <x:c r="L596" s="24" t="str">
        <x:v>자동점검</x:v>
      </x:c>
    </x:row>
    <x:row r="597" ht="17.25" customHeight="1">
      <x:c r="A597" s="24" t="str">
        <x:v>W-0596</x:v>
      </x:c>
      <x:c r="B597" s="24" t="str">
        <x:v>프라임구독</x:v>
      </x:c>
      <x:c r="C597" s="24" t="str">
        <x:v>49수2445</x:v>
      </x:c>
      <x:c r="D597" s="24" t="str">
        <x:v>보통</x:v>
      </x:c>
      <x:c r="E597" s="24" t="str">
        <x:v>상태 시작일 입력</x:v>
      </x:c>
      <x:c r="F597" s="24" t="str">
        <x:v>49수2445 상태 시작일 입력</x:v>
      </x:c>
      <x:c r="G597" s="24" t="str"/>
      <x:c r="H597" s="30"/>
      <x:c r="I597" s="24" t="str">
        <x:v>대기</x:v>
      </x:c>
      <x:c r="J597" s="30"/>
      <x:c r="K597" s="24" t="str"/>
      <x:c r="L597" s="24" t="str">
        <x:v>자동점검</x:v>
      </x:c>
    </x:row>
    <x:row r="598" ht="17.25" customHeight="1">
      <x:c r="A598" s="24" t="str">
        <x:v>W-0597</x:v>
      </x:c>
      <x:c r="B598" s="24" t="str">
        <x:v>프라임구독</x:v>
      </x:c>
      <x:c r="C598" s="24" t="str">
        <x:v>49수2445</x:v>
      </x:c>
      <x:c r="D598" s="24" t="str">
        <x:v>보통</x:v>
      </x:c>
      <x:c r="E598" s="24" t="str">
        <x:v>현재 보유 확인</x:v>
      </x:c>
      <x:c r="F598" s="24" t="str">
        <x:v>49수2445 현재 보유 확인</x:v>
      </x:c>
      <x:c r="G598" s="24" t="str"/>
      <x:c r="H598" s="30"/>
      <x:c r="I598" s="24" t="str">
        <x:v>대기</x:v>
      </x:c>
      <x:c r="J598" s="30"/>
      <x:c r="K598" s="24" t="str"/>
      <x:c r="L598" s="24" t="str">
        <x:v>자동점검</x:v>
      </x:c>
    </x:row>
    <x:row r="599" ht="17.25" customHeight="1">
      <x:c r="A599" s="24" t="str">
        <x:v>W-0598</x:v>
      </x:c>
      <x:c r="B599" s="24" t="str">
        <x:v>프라임구독</x:v>
      </x:c>
      <x:c r="C599" s="24" t="str">
        <x:v>49어2497</x:v>
      </x:c>
      <x:c r="D599" s="24" t="str">
        <x:v>긴급</x:v>
      </x:c>
      <x:c r="E599" s="24" t="str">
        <x:v>회수 검토</x:v>
      </x:c>
      <x:c r="F599" s="24" t="str">
        <x:v>49어2497 회수 검토</x:v>
      </x:c>
      <x:c r="G599" s="24" t="str"/>
      <x:c r="H599" s="30"/>
      <x:c r="I599" s="24" t="str">
        <x:v>대기</x:v>
      </x:c>
      <x:c r="J599" s="30"/>
      <x:c r="K599" s="24" t="str">
        <x:v>PR-C-49어2497-1-20240403-159</x:v>
      </x:c>
      <x:c r="L599" s="24" t="str">
        <x:v>자동점검</x:v>
      </x:c>
    </x:row>
    <x:row r="600" ht="17.25" customHeight="1">
      <x:c r="A600" s="24" t="str">
        <x:v>W-0599</x:v>
      </x:c>
      <x:c r="B600" s="24" t="str">
        <x:v>프라임구독</x:v>
      </x:c>
      <x:c r="C600" s="24" t="str">
        <x:v>49어2497</x:v>
      </x:c>
      <x:c r="D600" s="24" t="str">
        <x:v>높음</x:v>
      </x:c>
      <x:c r="E600" s="24" t="str">
        <x:v>보험 연령 입력</x:v>
      </x:c>
      <x:c r="F600" s="24" t="str">
        <x:v>49어2497 보험 연령 입력</x:v>
      </x:c>
      <x:c r="G600" s="24" t="str"/>
      <x:c r="H600" s="30"/>
      <x:c r="I600" s="24" t="str">
        <x:v>대기</x:v>
      </x:c>
      <x:c r="J600" s="30"/>
      <x:c r="K600" s="24" t="str">
        <x:v>PR-C-49어2497-1-20240403-159</x:v>
      </x:c>
      <x:c r="L600" s="24" t="str">
        <x:v>자동점검</x:v>
      </x:c>
    </x:row>
    <x:row r="601" ht="17.25" customHeight="1">
      <x:c r="A601" s="24" t="str">
        <x:v>W-0600</x:v>
      </x:c>
      <x:c r="B601" s="24" t="str">
        <x:v>프라임구독</x:v>
      </x:c>
      <x:c r="C601" s="24" t="str">
        <x:v>49어2497</x:v>
      </x:c>
      <x:c r="D601" s="24" t="str">
        <x:v>높음</x:v>
      </x:c>
      <x:c r="E601" s="24" t="str">
        <x:v>보험 갱신 확인</x:v>
      </x:c>
      <x:c r="F601" s="24" t="str">
        <x:v>49어2497 보험 갱신 확인</x:v>
      </x:c>
      <x:c r="G601" s="24" t="str"/>
      <x:c r="H601" s="30"/>
      <x:c r="I601" s="24" t="str">
        <x:v>대기</x:v>
      </x:c>
      <x:c r="J601" s="30"/>
      <x:c r="K601" s="24" t="str">
        <x:v>PR-C-49어2497-1-20240403-159</x:v>
      </x:c>
      <x:c r="L601" s="24" t="str">
        <x:v>자동점검</x:v>
      </x:c>
    </x:row>
    <x:row r="602" ht="17.25" customHeight="1">
      <x:c r="A602" s="24" t="str">
        <x:v>W-0601</x:v>
      </x:c>
      <x:c r="B602" s="24" t="str">
        <x:v>프라임구독</x:v>
      </x:c>
      <x:c r="C602" s="24" t="str">
        <x:v>49어2497</x:v>
      </x:c>
      <x:c r="D602" s="24" t="str">
        <x:v>보통</x:v>
      </x:c>
      <x:c r="E602" s="24" t="str">
        <x:v>현재 보유 확인</x:v>
      </x:c>
      <x:c r="F602" s="24" t="str">
        <x:v>49어2497 현재 보유 확인</x:v>
      </x:c>
      <x:c r="G602" s="24" t="str"/>
      <x:c r="H602" s="30"/>
      <x:c r="I602" s="24" t="str">
        <x:v>대기</x:v>
      </x:c>
      <x:c r="J602" s="30"/>
      <x:c r="K602" s="24" t="str">
        <x:v>PR-C-49어2497-1-20240403-159</x:v>
      </x:c>
      <x:c r="L602" s="24" t="str">
        <x:v>자동점검</x:v>
      </x:c>
    </x:row>
    <x:row r="603" ht="17.25" customHeight="1">
      <x:c r="A603" s="24" t="str">
        <x:v>W-0602</x:v>
      </x:c>
      <x:c r="B603" s="24" t="str">
        <x:v>프라임구독</x:v>
      </x:c>
      <x:c r="C603" s="24" t="str">
        <x:v>50마3675</x:v>
      </x:c>
      <x:c r="D603" s="24" t="str">
        <x:v>보통</x:v>
      </x:c>
      <x:c r="E603" s="24" t="str">
        <x:v>상태 시작일 입력</x:v>
      </x:c>
      <x:c r="F603" s="24" t="str">
        <x:v>50마3675 상태 시작일 입력</x:v>
      </x:c>
      <x:c r="G603" s="24" t="str"/>
      <x:c r="H603" s="30"/>
      <x:c r="I603" s="24" t="str">
        <x:v>대기</x:v>
      </x:c>
      <x:c r="J603" s="30"/>
      <x:c r="K603" s="24" t="str"/>
      <x:c r="L603" s="24" t="str">
        <x:v>자동점검</x:v>
      </x:c>
    </x:row>
    <x:row r="604" ht="17.25" customHeight="1">
      <x:c r="A604" s="24" t="str">
        <x:v>W-0603</x:v>
      </x:c>
      <x:c r="B604" s="24" t="str">
        <x:v>프라임구독</x:v>
      </x:c>
      <x:c r="C604" s="24" t="str">
        <x:v>50마3675</x:v>
      </x:c>
      <x:c r="D604" s="24" t="str">
        <x:v>보통</x:v>
      </x:c>
      <x:c r="E604" s="24" t="str">
        <x:v>현재 보유 확인</x:v>
      </x:c>
      <x:c r="F604" s="24" t="str">
        <x:v>50마3675 현재 보유 확인</x:v>
      </x:c>
      <x:c r="G604" s="24" t="str"/>
      <x:c r="H604" s="30"/>
      <x:c r="I604" s="24" t="str">
        <x:v>대기</x:v>
      </x:c>
      <x:c r="J604" s="30"/>
      <x:c r="K604" s="24" t="str"/>
      <x:c r="L604" s="24" t="str">
        <x:v>자동점검</x:v>
      </x:c>
    </x:row>
    <x:row r="605" ht="17.25" customHeight="1">
      <x:c r="A605" s="24" t="str">
        <x:v>W-0604</x:v>
      </x:c>
      <x:c r="B605" s="24" t="str">
        <x:v>프라임구독</x:v>
      </x:c>
      <x:c r="C605" s="24" t="str">
        <x:v>51누9585</x:v>
      </x:c>
      <x:c r="D605" s="24" t="str">
        <x:v>보통</x:v>
      </x:c>
      <x:c r="E605" s="24" t="str">
        <x:v>상태 시작일 입력</x:v>
      </x:c>
      <x:c r="F605" s="24" t="str">
        <x:v>51누9585 상태 시작일 입력</x:v>
      </x:c>
      <x:c r="G605" s="24" t="str"/>
      <x:c r="H605" s="30"/>
      <x:c r="I605" s="24" t="str">
        <x:v>대기</x:v>
      </x:c>
      <x:c r="J605" s="30"/>
      <x:c r="K605" s="24" t="str"/>
      <x:c r="L605" s="24" t="str">
        <x:v>자동점검</x:v>
      </x:c>
    </x:row>
    <x:row r="606" ht="17.25" customHeight="1">
      <x:c r="A606" s="24" t="str">
        <x:v>W-0605</x:v>
      </x:c>
      <x:c r="B606" s="24" t="str">
        <x:v>프라임구독</x:v>
      </x:c>
      <x:c r="C606" s="24" t="str">
        <x:v>51누9585</x:v>
      </x:c>
      <x:c r="D606" s="24" t="str">
        <x:v>보통</x:v>
      </x:c>
      <x:c r="E606" s="24" t="str">
        <x:v>현재 보유 확인</x:v>
      </x:c>
      <x:c r="F606" s="24" t="str">
        <x:v>51누9585 현재 보유 확인</x:v>
      </x:c>
      <x:c r="G606" s="24" t="str"/>
      <x:c r="H606" s="30"/>
      <x:c r="I606" s="24" t="str">
        <x:v>대기</x:v>
      </x:c>
      <x:c r="J606" s="30"/>
      <x:c r="K606" s="24" t="str"/>
      <x:c r="L606" s="24" t="str">
        <x:v>자동점검</x:v>
      </x:c>
    </x:row>
    <x:row r="607" ht="17.25" customHeight="1">
      <x:c r="A607" s="24" t="str">
        <x:v>W-0606</x:v>
      </x:c>
      <x:c r="B607" s="24" t="str">
        <x:v>프라임구독</x:v>
      </x:c>
      <x:c r="C607" s="24" t="str">
        <x:v>51주4315</x:v>
      </x:c>
      <x:c r="D607" s="24" t="str">
        <x:v>보통</x:v>
      </x:c>
      <x:c r="E607" s="24" t="str">
        <x:v>상태 시작일 입력</x:v>
      </x:c>
      <x:c r="F607" s="24" t="str">
        <x:v>51주4315 상태 시작일 입력</x:v>
      </x:c>
      <x:c r="G607" s="24" t="str"/>
      <x:c r="H607" s="30"/>
      <x:c r="I607" s="24" t="str">
        <x:v>대기</x:v>
      </x:c>
      <x:c r="J607" s="30"/>
      <x:c r="K607" s="24" t="str"/>
      <x:c r="L607" s="24" t="str">
        <x:v>자동점검</x:v>
      </x:c>
    </x:row>
    <x:row r="608" ht="17.25" customHeight="1">
      <x:c r="A608" s="24" t="str">
        <x:v>W-0607</x:v>
      </x:c>
      <x:c r="B608" s="24" t="str">
        <x:v>프라임구독</x:v>
      </x:c>
      <x:c r="C608" s="24" t="str">
        <x:v>51주4315</x:v>
      </x:c>
      <x:c r="D608" s="24" t="str">
        <x:v>보통</x:v>
      </x:c>
      <x:c r="E608" s="24" t="str">
        <x:v>현재 보유 확인</x:v>
      </x:c>
      <x:c r="F608" s="24" t="str">
        <x:v>51주4315 현재 보유 확인</x:v>
      </x:c>
      <x:c r="G608" s="24" t="str"/>
      <x:c r="H608" s="30"/>
      <x:c r="I608" s="24" t="str">
        <x:v>대기</x:v>
      </x:c>
      <x:c r="J608" s="30"/>
      <x:c r="K608" s="24" t="str"/>
      <x:c r="L608" s="24" t="str">
        <x:v>자동점검</x:v>
      </x:c>
    </x:row>
    <x:row r="609" ht="17.25" customHeight="1">
      <x:c r="A609" s="24" t="str">
        <x:v>W-0608</x:v>
      </x:c>
      <x:c r="B609" s="24" t="str">
        <x:v>프라임구독</x:v>
      </x:c>
      <x:c r="C609" s="24" t="str">
        <x:v>52우0228</x:v>
      </x:c>
      <x:c r="D609" s="24" t="str">
        <x:v>긴급</x:v>
      </x:c>
      <x:c r="E609" s="24" t="str">
        <x:v>회수 검토</x:v>
      </x:c>
      <x:c r="F609" s="24" t="str">
        <x:v>52우0228 회수 검토</x:v>
      </x:c>
      <x:c r="G609" s="24" t="str"/>
      <x:c r="H609" s="30"/>
      <x:c r="I609" s="24" t="str">
        <x:v>대기</x:v>
      </x:c>
      <x:c r="J609" s="30"/>
      <x:c r="K609" s="24" t="str">
        <x:v>PR-C-52우0228-1-20230704-164</x:v>
      </x:c>
      <x:c r="L609" s="24" t="str">
        <x:v>자동점검</x:v>
      </x:c>
    </x:row>
    <x:row r="610" ht="17.25" customHeight="1">
      <x:c r="A610" s="24" t="str">
        <x:v>W-0609</x:v>
      </x:c>
      <x:c r="B610" s="24" t="str">
        <x:v>프라임구독</x:v>
      </x:c>
      <x:c r="C610" s="24" t="str">
        <x:v>52우0228</x:v>
      </x:c>
      <x:c r="D610" s="24" t="str">
        <x:v>높음</x:v>
      </x:c>
      <x:c r="E610" s="24" t="str">
        <x:v>보험 연령 입력</x:v>
      </x:c>
      <x:c r="F610" s="24" t="str">
        <x:v>52우0228 보험 연령 입력</x:v>
      </x:c>
      <x:c r="G610" s="24" t="str"/>
      <x:c r="H610" s="30"/>
      <x:c r="I610" s="24" t="str">
        <x:v>대기</x:v>
      </x:c>
      <x:c r="J610" s="30"/>
      <x:c r="K610" s="24" t="str">
        <x:v>PR-C-52우0228-1-20230704-164</x:v>
      </x:c>
      <x:c r="L610" s="24" t="str">
        <x:v>자동점검</x:v>
      </x:c>
    </x:row>
    <x:row r="611" ht="17.25" customHeight="1">
      <x:c r="A611" s="24" t="str">
        <x:v>W-0610</x:v>
      </x:c>
      <x:c r="B611" s="24" t="str">
        <x:v>프라임구독</x:v>
      </x:c>
      <x:c r="C611" s="24" t="str">
        <x:v>52우0228</x:v>
      </x:c>
      <x:c r="D611" s="24" t="str">
        <x:v>높음</x:v>
      </x:c>
      <x:c r="E611" s="24" t="str">
        <x:v>보험 갱신 확인</x:v>
      </x:c>
      <x:c r="F611" s="24" t="str">
        <x:v>52우0228 보험 갱신 확인</x:v>
      </x:c>
      <x:c r="G611" s="24" t="str"/>
      <x:c r="H611" s="30"/>
      <x:c r="I611" s="24" t="str">
        <x:v>대기</x:v>
      </x:c>
      <x:c r="J611" s="30"/>
      <x:c r="K611" s="24" t="str">
        <x:v>PR-C-52우0228-1-20230704-164</x:v>
      </x:c>
      <x:c r="L611" s="24" t="str">
        <x:v>자동점검</x:v>
      </x:c>
    </x:row>
    <x:row r="612" ht="17.25" customHeight="1">
      <x:c r="A612" s="24" t="str">
        <x:v>W-0611</x:v>
      </x:c>
      <x:c r="B612" s="24" t="str">
        <x:v>프라임구독</x:v>
      </x:c>
      <x:c r="C612" s="24" t="str">
        <x:v>52우0228</x:v>
      </x:c>
      <x:c r="D612" s="24" t="str">
        <x:v>보통</x:v>
      </x:c>
      <x:c r="E612" s="24" t="str">
        <x:v>현재 보유 확인</x:v>
      </x:c>
      <x:c r="F612" s="24" t="str">
        <x:v>52우0228 현재 보유 확인</x:v>
      </x:c>
      <x:c r="G612" s="24" t="str"/>
      <x:c r="H612" s="30"/>
      <x:c r="I612" s="24" t="str">
        <x:v>대기</x:v>
      </x:c>
      <x:c r="J612" s="30"/>
      <x:c r="K612" s="24" t="str">
        <x:v>PR-C-52우0228-1-20230704-164</x:v>
      </x:c>
      <x:c r="L612" s="24" t="str">
        <x:v>자동점검</x:v>
      </x:c>
    </x:row>
    <x:row r="613" ht="17.25" customHeight="1">
      <x:c r="A613" s="24" t="str">
        <x:v>W-0612</x:v>
      </x:c>
      <x:c r="B613" s="24" t="str">
        <x:v>프라임구독</x:v>
      </x:c>
      <x:c r="C613" s="24" t="str">
        <x:v>54라8654</x:v>
      </x:c>
      <x:c r="D613" s="24" t="str">
        <x:v>보통</x:v>
      </x:c>
      <x:c r="E613" s="24" t="str">
        <x:v>상태 시작일 입력</x:v>
      </x:c>
      <x:c r="F613" s="24" t="str">
        <x:v>54라8654 상태 시작일 입력</x:v>
      </x:c>
      <x:c r="G613" s="24" t="str"/>
      <x:c r="H613" s="30"/>
      <x:c r="I613" s="24" t="str">
        <x:v>대기</x:v>
      </x:c>
      <x:c r="J613" s="30"/>
      <x:c r="K613" s="24" t="str"/>
      <x:c r="L613" s="24" t="str">
        <x:v>자동점검</x:v>
      </x:c>
    </x:row>
    <x:row r="614" ht="17.25" customHeight="1">
      <x:c r="A614" s="24" t="str">
        <x:v>W-0613</x:v>
      </x:c>
      <x:c r="B614" s="24" t="str">
        <x:v>프라임구독</x:v>
      </x:c>
      <x:c r="C614" s="24" t="str">
        <x:v>54라8654</x:v>
      </x:c>
      <x:c r="D614" s="24" t="str">
        <x:v>보통</x:v>
      </x:c>
      <x:c r="E614" s="24" t="str">
        <x:v>현재 보유 확인</x:v>
      </x:c>
      <x:c r="F614" s="24" t="str">
        <x:v>54라8654 현재 보유 확인</x:v>
      </x:c>
      <x:c r="G614" s="24" t="str"/>
      <x:c r="H614" s="30"/>
      <x:c r="I614" s="24" t="str">
        <x:v>대기</x:v>
      </x:c>
      <x:c r="J614" s="30"/>
      <x:c r="K614" s="24" t="str"/>
      <x:c r="L614" s="24" t="str">
        <x:v>자동점검</x:v>
      </x:c>
    </x:row>
    <x:row r="615" ht="17.25" customHeight="1">
      <x:c r="A615" s="24" t="str">
        <x:v>W-0614</x:v>
      </x:c>
      <x:c r="B615" s="24" t="str">
        <x:v>프라임구독</x:v>
      </x:c>
      <x:c r="C615" s="24" t="str">
        <x:v>55두2701</x:v>
      </x:c>
      <x:c r="D615" s="24" t="str">
        <x:v>보통</x:v>
      </x:c>
      <x:c r="E615" s="24" t="str">
        <x:v>상태 시작일 입력</x:v>
      </x:c>
      <x:c r="F615" s="24" t="str">
        <x:v>55두2701 상태 시작일 입력</x:v>
      </x:c>
      <x:c r="G615" s="24" t="str"/>
      <x:c r="H615" s="30"/>
      <x:c r="I615" s="24" t="str">
        <x:v>대기</x:v>
      </x:c>
      <x:c r="J615" s="30"/>
      <x:c r="K615" s="24" t="str"/>
      <x:c r="L615" s="24" t="str">
        <x:v>자동점검</x:v>
      </x:c>
    </x:row>
    <x:row r="616" ht="17.25" customHeight="1">
      <x:c r="A616" s="24" t="str">
        <x:v>W-0615</x:v>
      </x:c>
      <x:c r="B616" s="24" t="str">
        <x:v>프라임구독</x:v>
      </x:c>
      <x:c r="C616" s="24" t="str">
        <x:v>55두2701</x:v>
      </x:c>
      <x:c r="D616" s="24" t="str">
        <x:v>보통</x:v>
      </x:c>
      <x:c r="E616" s="24" t="str">
        <x:v>현재 보유 확인</x:v>
      </x:c>
      <x:c r="F616" s="24" t="str">
        <x:v>55두2701 현재 보유 확인</x:v>
      </x:c>
      <x:c r="G616" s="24" t="str"/>
      <x:c r="H616" s="30"/>
      <x:c r="I616" s="24" t="str">
        <x:v>대기</x:v>
      </x:c>
      <x:c r="J616" s="30"/>
      <x:c r="K616" s="24" t="str"/>
      <x:c r="L616" s="24" t="str">
        <x:v>자동점검</x:v>
      </x:c>
    </x:row>
    <x:row r="617" ht="17.25" customHeight="1">
      <x:c r="A617" s="24" t="str">
        <x:v>W-0616</x:v>
      </x:c>
      <x:c r="B617" s="24" t="str">
        <x:v>프라임구독</x:v>
      </x:c>
      <x:c r="C617" s="24" t="str">
        <x:v>56마2851</x:v>
      </x:c>
      <x:c r="D617" s="24" t="str">
        <x:v>긴급</x:v>
      </x:c>
      <x:c r="E617" s="24" t="str">
        <x:v>회수 검토</x:v>
      </x:c>
      <x:c r="F617" s="24" t="str">
        <x:v>56마2851 회수 검토</x:v>
      </x:c>
      <x:c r="G617" s="24" t="str"/>
      <x:c r="H617" s="30"/>
      <x:c r="I617" s="24" t="str">
        <x:v>대기</x:v>
      </x:c>
      <x:c r="J617" s="30"/>
      <x:c r="K617" s="24" t="str">
        <x:v>PR-C-56마2851-1-20230925-170</x:v>
      </x:c>
      <x:c r="L617" s="24" t="str">
        <x:v>자동점검</x:v>
      </x:c>
    </x:row>
    <x:row r="618" ht="17.25" customHeight="1">
      <x:c r="A618" s="24" t="str">
        <x:v>W-0617</x:v>
      </x:c>
      <x:c r="B618" s="24" t="str">
        <x:v>프라임구독</x:v>
      </x:c>
      <x:c r="C618" s="24" t="str">
        <x:v>56마2851</x:v>
      </x:c>
      <x:c r="D618" s="24" t="str">
        <x:v>높음</x:v>
      </x:c>
      <x:c r="E618" s="24" t="str">
        <x:v>보험 연령 입력</x:v>
      </x:c>
      <x:c r="F618" s="24" t="str">
        <x:v>56마2851 보험 연령 입력</x:v>
      </x:c>
      <x:c r="G618" s="24" t="str"/>
      <x:c r="H618" s="30"/>
      <x:c r="I618" s="24" t="str">
        <x:v>대기</x:v>
      </x:c>
      <x:c r="J618" s="30"/>
      <x:c r="K618" s="24" t="str">
        <x:v>PR-C-56마2851-1-20230925-170</x:v>
      </x:c>
      <x:c r="L618" s="24" t="str">
        <x:v>자동점검</x:v>
      </x:c>
    </x:row>
    <x:row r="619" ht="17.25" customHeight="1">
      <x:c r="A619" s="24" t="str">
        <x:v>W-0618</x:v>
      </x:c>
      <x:c r="B619" s="24" t="str">
        <x:v>프라임구독</x:v>
      </x:c>
      <x:c r="C619" s="24" t="str">
        <x:v>56마2851</x:v>
      </x:c>
      <x:c r="D619" s="24" t="str">
        <x:v>높음</x:v>
      </x:c>
      <x:c r="E619" s="24" t="str">
        <x:v>보험 갱신 확인</x:v>
      </x:c>
      <x:c r="F619" s="24" t="str">
        <x:v>56마2851 보험 갱신 확인</x:v>
      </x:c>
      <x:c r="G619" s="24" t="str"/>
      <x:c r="H619" s="30"/>
      <x:c r="I619" s="24" t="str">
        <x:v>대기</x:v>
      </x:c>
      <x:c r="J619" s="30"/>
      <x:c r="K619" s="24" t="str">
        <x:v>PR-C-56마2851-1-20230925-170</x:v>
      </x:c>
      <x:c r="L619" s="24" t="str">
        <x:v>자동점검</x:v>
      </x:c>
    </x:row>
    <x:row r="620" ht="17.25" customHeight="1">
      <x:c r="A620" s="24" t="str">
        <x:v>W-0619</x:v>
      </x:c>
      <x:c r="B620" s="24" t="str">
        <x:v>프라임구독</x:v>
      </x:c>
      <x:c r="C620" s="24" t="str">
        <x:v>56마2851</x:v>
      </x:c>
      <x:c r="D620" s="24" t="str">
        <x:v>보통</x:v>
      </x:c>
      <x:c r="E620" s="24" t="str">
        <x:v>현재 보유 확인</x:v>
      </x:c>
      <x:c r="F620" s="24" t="str">
        <x:v>56마2851 현재 보유 확인</x:v>
      </x:c>
      <x:c r="G620" s="24" t="str"/>
      <x:c r="H620" s="30"/>
      <x:c r="I620" s="24" t="str">
        <x:v>대기</x:v>
      </x:c>
      <x:c r="J620" s="30"/>
      <x:c r="K620" s="24" t="str">
        <x:v>PR-C-56마2851-1-20230925-170</x:v>
      </x:c>
      <x:c r="L620" s="24" t="str">
        <x:v>자동점검</x:v>
      </x:c>
    </x:row>
    <x:row r="621" ht="17.25" customHeight="1">
      <x:c r="A621" s="24" t="str">
        <x:v>W-0620</x:v>
      </x:c>
      <x:c r="B621" s="24" t="str">
        <x:v>프라임구독</x:v>
      </x:c>
      <x:c r="C621" s="24" t="str">
        <x:v>56보8997</x:v>
      </x:c>
      <x:c r="D621" s="24" t="str">
        <x:v>보통</x:v>
      </x:c>
      <x:c r="E621" s="24" t="str">
        <x:v>상태 시작일 입력</x:v>
      </x:c>
      <x:c r="F621" s="24" t="str">
        <x:v>56보8997 상태 시작일 입력</x:v>
      </x:c>
      <x:c r="G621" s="24" t="str"/>
      <x:c r="H621" s="30"/>
      <x:c r="I621" s="24" t="str">
        <x:v>대기</x:v>
      </x:c>
      <x:c r="J621" s="30"/>
      <x:c r="K621" s="24" t="str"/>
      <x:c r="L621" s="24" t="str">
        <x:v>자동점검</x:v>
      </x:c>
    </x:row>
    <x:row r="622" ht="17.25" customHeight="1">
      <x:c r="A622" s="24" t="str">
        <x:v>W-0621</x:v>
      </x:c>
      <x:c r="B622" s="24" t="str">
        <x:v>프라임구독</x:v>
      </x:c>
      <x:c r="C622" s="24" t="str">
        <x:v>56보8997</x:v>
      </x:c>
      <x:c r="D622" s="24" t="str">
        <x:v>보통</x:v>
      </x:c>
      <x:c r="E622" s="24" t="str">
        <x:v>현재 보유 확인</x:v>
      </x:c>
      <x:c r="F622" s="24" t="str">
        <x:v>56보8997 현재 보유 확인</x:v>
      </x:c>
      <x:c r="G622" s="24" t="str"/>
      <x:c r="H622" s="30"/>
      <x:c r="I622" s="24" t="str">
        <x:v>대기</x:v>
      </x:c>
      <x:c r="J622" s="30"/>
      <x:c r="K622" s="24" t="str"/>
      <x:c r="L622" s="24" t="str">
        <x:v>자동점검</x:v>
      </x:c>
    </x:row>
    <x:row r="623" ht="17.25" customHeight="1">
      <x:c r="A623" s="24" t="str">
        <x:v>W-0622</x:v>
      </x:c>
      <x:c r="B623" s="24" t="str">
        <x:v>프라임구독</x:v>
      </x:c>
      <x:c r="C623" s="24" t="str">
        <x:v>57두7690</x:v>
      </x:c>
      <x:c r="D623" s="24" t="str">
        <x:v>보통</x:v>
      </x:c>
      <x:c r="E623" s="24" t="str">
        <x:v>상태 시작일 입력</x:v>
      </x:c>
      <x:c r="F623" s="24" t="str">
        <x:v>57두7690 상태 시작일 입력</x:v>
      </x:c>
      <x:c r="G623" s="24" t="str"/>
      <x:c r="H623" s="30"/>
      <x:c r="I623" s="24" t="str">
        <x:v>대기</x:v>
      </x:c>
      <x:c r="J623" s="30"/>
      <x:c r="K623" s="24" t="str"/>
      <x:c r="L623" s="24" t="str">
        <x:v>자동점검</x:v>
      </x:c>
    </x:row>
    <x:row r="624" ht="17.25" customHeight="1">
      <x:c r="A624" s="24" t="str">
        <x:v>W-0623</x:v>
      </x:c>
      <x:c r="B624" s="24" t="str">
        <x:v>프라임구독</x:v>
      </x:c>
      <x:c r="C624" s="24" t="str">
        <x:v>57두7690</x:v>
      </x:c>
      <x:c r="D624" s="24" t="str">
        <x:v>보통</x:v>
      </x:c>
      <x:c r="E624" s="24" t="str">
        <x:v>현재 보유 확인</x:v>
      </x:c>
      <x:c r="F624" s="24" t="str">
        <x:v>57두7690 현재 보유 확인</x:v>
      </x:c>
      <x:c r="G624" s="24" t="str"/>
      <x:c r="H624" s="30"/>
      <x:c r="I624" s="24" t="str">
        <x:v>대기</x:v>
      </x:c>
      <x:c r="J624" s="30"/>
      <x:c r="K624" s="24" t="str"/>
      <x:c r="L624" s="24" t="str">
        <x:v>자동점검</x:v>
      </x:c>
    </x:row>
    <x:row r="625" ht="17.25" customHeight="1">
      <x:c r="A625" s="24" t="str">
        <x:v>W-0624</x:v>
      </x:c>
      <x:c r="B625" s="24" t="str">
        <x:v>프라임구독</x:v>
      </x:c>
      <x:c r="C625" s="24" t="str">
        <x:v>59보0161</x:v>
      </x:c>
      <x:c r="D625" s="24" t="str">
        <x:v>보통</x:v>
      </x:c>
      <x:c r="E625" s="24" t="str">
        <x:v>상태 시작일 입력</x:v>
      </x:c>
      <x:c r="F625" s="24" t="str">
        <x:v>59보0161 상태 시작일 입력</x:v>
      </x:c>
      <x:c r="G625" s="24" t="str"/>
      <x:c r="H625" s="30"/>
      <x:c r="I625" s="24" t="str">
        <x:v>대기</x:v>
      </x:c>
      <x:c r="J625" s="30"/>
      <x:c r="K625" s="24" t="str"/>
      <x:c r="L625" s="24" t="str">
        <x:v>자동점검</x:v>
      </x:c>
    </x:row>
    <x:row r="626" ht="17.25" customHeight="1">
      <x:c r="A626" s="24" t="str">
        <x:v>W-0625</x:v>
      </x:c>
      <x:c r="B626" s="24" t="str">
        <x:v>프라임구독</x:v>
      </x:c>
      <x:c r="C626" s="24" t="str">
        <x:v>59보0161</x:v>
      </x:c>
      <x:c r="D626" s="24" t="str">
        <x:v>보통</x:v>
      </x:c>
      <x:c r="E626" s="24" t="str">
        <x:v>현재 보유 확인</x:v>
      </x:c>
      <x:c r="F626" s="24" t="str">
        <x:v>59보0161 현재 보유 확인</x:v>
      </x:c>
      <x:c r="G626" s="24" t="str"/>
      <x:c r="H626" s="30"/>
      <x:c r="I626" s="24" t="str">
        <x:v>대기</x:v>
      </x:c>
      <x:c r="J626" s="30"/>
      <x:c r="K626" s="24" t="str"/>
      <x:c r="L626" s="24" t="str">
        <x:v>자동점검</x:v>
      </x:c>
    </x:row>
    <x:row r="627" ht="17.25" customHeight="1">
      <x:c r="A627" s="24" t="str">
        <x:v>W-0626</x:v>
      </x:c>
      <x:c r="B627" s="24" t="str">
        <x:v>프라임구독</x:v>
      </x:c>
      <x:c r="C627" s="24" t="str">
        <x:v>59보0907</x:v>
      </x:c>
      <x:c r="D627" s="24" t="str">
        <x:v>보통</x:v>
      </x:c>
      <x:c r="E627" s="24" t="str">
        <x:v>상태 시작일 입력</x:v>
      </x:c>
      <x:c r="F627" s="24" t="str">
        <x:v>59보0907 상태 시작일 입력</x:v>
      </x:c>
      <x:c r="G627" s="24" t="str"/>
      <x:c r="H627" s="30"/>
      <x:c r="I627" s="24" t="str">
        <x:v>대기</x:v>
      </x:c>
      <x:c r="J627" s="30"/>
      <x:c r="K627" s="24" t="str"/>
      <x:c r="L627" s="24" t="str">
        <x:v>자동점검</x:v>
      </x:c>
    </x:row>
    <x:row r="628" ht="17.25" customHeight="1">
      <x:c r="A628" s="24" t="str">
        <x:v>W-0627</x:v>
      </x:c>
      <x:c r="B628" s="24" t="str">
        <x:v>프라임구독</x:v>
      </x:c>
      <x:c r="C628" s="24" t="str">
        <x:v>59보0907</x:v>
      </x:c>
      <x:c r="D628" s="24" t="str">
        <x:v>보통</x:v>
      </x:c>
      <x:c r="E628" s="24" t="str">
        <x:v>현재 보유 확인</x:v>
      </x:c>
      <x:c r="F628" s="24" t="str">
        <x:v>59보0907 현재 보유 확인</x:v>
      </x:c>
      <x:c r="G628" s="24" t="str"/>
      <x:c r="H628" s="30"/>
      <x:c r="I628" s="24" t="str">
        <x:v>대기</x:v>
      </x:c>
      <x:c r="J628" s="30"/>
      <x:c r="K628" s="24" t="str"/>
      <x:c r="L628" s="24" t="str">
        <x:v>자동점검</x:v>
      </x:c>
    </x:row>
    <x:row r="629" ht="17.25" customHeight="1">
      <x:c r="A629" s="24" t="str">
        <x:v>W-0628</x:v>
      </x:c>
      <x:c r="B629" s="24" t="str">
        <x:v>프라임구독</x:v>
      </x:c>
      <x:c r="C629" s="24" t="str">
        <x:v>60조0437</x:v>
      </x:c>
      <x:c r="D629" s="24" t="str">
        <x:v>긴급</x:v>
      </x:c>
      <x:c r="E629" s="24" t="str">
        <x:v>회수 검토</x:v>
      </x:c>
      <x:c r="F629" s="24" t="str">
        <x:v>60조0437 회수 검토</x:v>
      </x:c>
      <x:c r="G629" s="24" t="str"/>
      <x:c r="H629" s="30"/>
      <x:c r="I629" s="24" t="str">
        <x:v>대기</x:v>
      </x:c>
      <x:c r="J629" s="30"/>
      <x:c r="K629" s="24" t="str">
        <x:v>PR-C-60조0437-1-20230418-175</x:v>
      </x:c>
      <x:c r="L629" s="24" t="str">
        <x:v>자동점검</x:v>
      </x:c>
    </x:row>
    <x:row r="630" ht="17.25" customHeight="1">
      <x:c r="A630" s="24" t="str">
        <x:v>W-0629</x:v>
      </x:c>
      <x:c r="B630" s="24" t="str">
        <x:v>프라임구독</x:v>
      </x:c>
      <x:c r="C630" s="24" t="str">
        <x:v>60조0437</x:v>
      </x:c>
      <x:c r="D630" s="24" t="str">
        <x:v>높음</x:v>
      </x:c>
      <x:c r="E630" s="24" t="str">
        <x:v>보험 연령 입력</x:v>
      </x:c>
      <x:c r="F630" s="24" t="str">
        <x:v>60조0437 보험 연령 입력</x:v>
      </x:c>
      <x:c r="G630" s="24" t="str"/>
      <x:c r="H630" s="30"/>
      <x:c r="I630" s="24" t="str">
        <x:v>대기</x:v>
      </x:c>
      <x:c r="J630" s="30"/>
      <x:c r="K630" s="24" t="str">
        <x:v>PR-C-60조0437-1-20230418-175</x:v>
      </x:c>
      <x:c r="L630" s="24" t="str">
        <x:v>자동점검</x:v>
      </x:c>
    </x:row>
    <x:row r="631" ht="17.25" customHeight="1">
      <x:c r="A631" s="24" t="str">
        <x:v>W-0630</x:v>
      </x:c>
      <x:c r="B631" s="24" t="str">
        <x:v>프라임구독</x:v>
      </x:c>
      <x:c r="C631" s="24" t="str">
        <x:v>60조0437</x:v>
      </x:c>
      <x:c r="D631" s="24" t="str">
        <x:v>높음</x:v>
      </x:c>
      <x:c r="E631" s="24" t="str">
        <x:v>보험 갱신 확인</x:v>
      </x:c>
      <x:c r="F631" s="24" t="str">
        <x:v>60조0437 보험 갱신 확인</x:v>
      </x:c>
      <x:c r="G631" s="24" t="str"/>
      <x:c r="H631" s="30"/>
      <x:c r="I631" s="24" t="str">
        <x:v>대기</x:v>
      </x:c>
      <x:c r="J631" s="30"/>
      <x:c r="K631" s="24" t="str">
        <x:v>PR-C-60조0437-1-20230418-175</x:v>
      </x:c>
      <x:c r="L631" s="24" t="str">
        <x:v>자동점검</x:v>
      </x:c>
    </x:row>
    <x:row r="632" ht="17.25" customHeight="1">
      <x:c r="A632" s="24" t="str">
        <x:v>W-0631</x:v>
      </x:c>
      <x:c r="B632" s="24" t="str">
        <x:v>프라임구독</x:v>
      </x:c>
      <x:c r="C632" s="24" t="str">
        <x:v>60조0437</x:v>
      </x:c>
      <x:c r="D632" s="24" t="str">
        <x:v>보통</x:v>
      </x:c>
      <x:c r="E632" s="24" t="str">
        <x:v>현재 보유 확인</x:v>
      </x:c>
      <x:c r="F632" s="24" t="str">
        <x:v>60조0437 현재 보유 확인</x:v>
      </x:c>
      <x:c r="G632" s="24" t="str"/>
      <x:c r="H632" s="30"/>
      <x:c r="I632" s="24" t="str">
        <x:v>대기</x:v>
      </x:c>
      <x:c r="J632" s="30"/>
      <x:c r="K632" s="24" t="str">
        <x:v>PR-C-60조0437-1-20230418-175</x:v>
      </x:c>
      <x:c r="L632" s="24" t="str">
        <x:v>자동점검</x:v>
      </x:c>
    </x:row>
    <x:row r="633" ht="17.25" customHeight="1">
      <x:c r="A633" s="24" t="str">
        <x:v>W-0632</x:v>
      </x:c>
      <x:c r="B633" s="24" t="str">
        <x:v>프라임구독</x:v>
      </x:c>
      <x:c r="C633" s="24" t="str">
        <x:v>61너5024</x:v>
      </x:c>
      <x:c r="D633" s="24" t="str">
        <x:v>긴급</x:v>
      </x:c>
      <x:c r="E633" s="24" t="str">
        <x:v>미수 확인</x:v>
      </x:c>
      <x:c r="F633" s="24" t="str">
        <x:v>61너5024 미수 확인</x:v>
      </x:c>
      <x:c r="G633" s="24" t="str"/>
      <x:c r="H633" s="30"/>
      <x:c r="I633" s="24" t="str">
        <x:v>대기</x:v>
      </x:c>
      <x:c r="J633" s="30"/>
      <x:c r="K633" s="24" t="str">
        <x:v>PR-C-61너5024-1-20230629-177</x:v>
      </x:c>
      <x:c r="L633" s="24" t="str">
        <x:v>자동점검</x:v>
      </x:c>
    </x:row>
    <x:row r="634" ht="17.25" customHeight="1">
      <x:c r="A634" s="24" t="str">
        <x:v>W-0633</x:v>
      </x:c>
      <x:c r="B634" s="24" t="str">
        <x:v>프라임구독</x:v>
      </x:c>
      <x:c r="C634" s="24" t="str">
        <x:v>61너5024</x:v>
      </x:c>
      <x:c r="D634" s="24" t="str">
        <x:v>높음</x:v>
      </x:c>
      <x:c r="E634" s="24" t="str">
        <x:v>보험 연령 입력</x:v>
      </x:c>
      <x:c r="F634" s="24" t="str">
        <x:v>61너5024 보험 연령 입력</x:v>
      </x:c>
      <x:c r="G634" s="24" t="str"/>
      <x:c r="H634" s="30"/>
      <x:c r="I634" s="24" t="str">
        <x:v>대기</x:v>
      </x:c>
      <x:c r="J634" s="30"/>
      <x:c r="K634" s="24" t="str">
        <x:v>PR-C-61너5024-1-20230629-177</x:v>
      </x:c>
      <x:c r="L634" s="24" t="str">
        <x:v>자동점검</x:v>
      </x:c>
    </x:row>
    <x:row r="635" ht="17.25" customHeight="1">
      <x:c r="A635" s="24" t="str">
        <x:v>W-0634</x:v>
      </x:c>
      <x:c r="B635" s="24" t="str">
        <x:v>프라임구독</x:v>
      </x:c>
      <x:c r="C635" s="24" t="str">
        <x:v>61너5024</x:v>
      </x:c>
      <x:c r="D635" s="24" t="str">
        <x:v>높음</x:v>
      </x:c>
      <x:c r="E635" s="24" t="str">
        <x:v>보험 갱신 확인</x:v>
      </x:c>
      <x:c r="F635" s="24" t="str">
        <x:v>61너5024 보험 갱신 확인</x:v>
      </x:c>
      <x:c r="G635" s="24" t="str"/>
      <x:c r="H635" s="30"/>
      <x:c r="I635" s="24" t="str">
        <x:v>대기</x:v>
      </x:c>
      <x:c r="J635" s="30"/>
      <x:c r="K635" s="24" t="str">
        <x:v>PR-C-61너5024-1-20230629-177</x:v>
      </x:c>
      <x:c r="L635" s="24" t="str">
        <x:v>자동점검</x:v>
      </x:c>
    </x:row>
    <x:row r="636" ht="17.25" customHeight="1">
      <x:c r="A636" s="24" t="str">
        <x:v>W-0635</x:v>
      </x:c>
      <x:c r="B636" s="24" t="str">
        <x:v>프라임구독</x:v>
      </x:c>
      <x:c r="C636" s="24" t="str">
        <x:v>61너5024</x:v>
      </x:c>
      <x:c r="D636" s="24" t="str">
        <x:v>보통</x:v>
      </x:c>
      <x:c r="E636" s="24" t="str">
        <x:v>현재 보유 확인</x:v>
      </x:c>
      <x:c r="F636" s="24" t="str">
        <x:v>61너5024 현재 보유 확인</x:v>
      </x:c>
      <x:c r="G636" s="24" t="str"/>
      <x:c r="H636" s="30"/>
      <x:c r="I636" s="24" t="str">
        <x:v>대기</x:v>
      </x:c>
      <x:c r="J636" s="30"/>
      <x:c r="K636" s="24" t="str">
        <x:v>PR-C-61너5024-1-20230629-177</x:v>
      </x:c>
      <x:c r="L636" s="24" t="str">
        <x:v>자동점검</x:v>
      </x:c>
    </x:row>
    <x:row r="637" ht="17.25" customHeight="1">
      <x:c r="A637" s="24" t="str">
        <x:v>W-0636</x:v>
      </x:c>
      <x:c r="B637" s="24" t="str">
        <x:v>프라임구독</x:v>
      </x:c>
      <x:c r="C637" s="24" t="str">
        <x:v>61루2328</x:v>
      </x:c>
      <x:c r="D637" s="24" t="str">
        <x:v>긴급</x:v>
      </x:c>
      <x:c r="E637" s="24" t="str">
        <x:v>미수 확인</x:v>
      </x:c>
      <x:c r="F637" s="24" t="str">
        <x:v>61루2328 미수 확인</x:v>
      </x:c>
      <x:c r="G637" s="24" t="str"/>
      <x:c r="H637" s="30"/>
      <x:c r="I637" s="24" t="str">
        <x:v>대기</x:v>
      </x:c>
      <x:c r="J637" s="30"/>
      <x:c r="K637" s="24" t="str">
        <x:v>PR-C-61루2328-1-20230705-178</x:v>
      </x:c>
      <x:c r="L637" s="24" t="str">
        <x:v>자동점검</x:v>
      </x:c>
    </x:row>
    <x:row r="638" ht="17.25" customHeight="1">
      <x:c r="A638" s="24" t="str">
        <x:v>W-0637</x:v>
      </x:c>
      <x:c r="B638" s="24" t="str">
        <x:v>프라임구독</x:v>
      </x:c>
      <x:c r="C638" s="24" t="str">
        <x:v>61루2328</x:v>
      </x:c>
      <x:c r="D638" s="24" t="str">
        <x:v>높음</x:v>
      </x:c>
      <x:c r="E638" s="24" t="str">
        <x:v>보험 연령 입력</x:v>
      </x:c>
      <x:c r="F638" s="24" t="str">
        <x:v>61루2328 보험 연령 입력</x:v>
      </x:c>
      <x:c r="G638" s="24" t="str"/>
      <x:c r="H638" s="30"/>
      <x:c r="I638" s="24" t="str">
        <x:v>대기</x:v>
      </x:c>
      <x:c r="J638" s="30"/>
      <x:c r="K638" s="24" t="str">
        <x:v>PR-C-61루2328-1-20230705-178</x:v>
      </x:c>
      <x:c r="L638" s="24" t="str">
        <x:v>자동점검</x:v>
      </x:c>
    </x:row>
    <x:row r="639" ht="17.25" customHeight="1">
      <x:c r="A639" s="24" t="str">
        <x:v>W-0638</x:v>
      </x:c>
      <x:c r="B639" s="24" t="str">
        <x:v>프라임구독</x:v>
      </x:c>
      <x:c r="C639" s="24" t="str">
        <x:v>61루2328</x:v>
      </x:c>
      <x:c r="D639" s="24" t="str">
        <x:v>높음</x:v>
      </x:c>
      <x:c r="E639" s="24" t="str">
        <x:v>보험 갱신 확인</x:v>
      </x:c>
      <x:c r="F639" s="24" t="str">
        <x:v>61루2328 보험 갱신 확인</x:v>
      </x:c>
      <x:c r="G639" s="24" t="str"/>
      <x:c r="H639" s="30"/>
      <x:c r="I639" s="24" t="str">
        <x:v>대기</x:v>
      </x:c>
      <x:c r="J639" s="30"/>
      <x:c r="K639" s="24" t="str">
        <x:v>PR-C-61루2328-1-20230705-178</x:v>
      </x:c>
      <x:c r="L639" s="24" t="str">
        <x:v>자동점검</x:v>
      </x:c>
    </x:row>
    <x:row r="640" ht="17.25" customHeight="1">
      <x:c r="A640" s="24" t="str">
        <x:v>W-0639</x:v>
      </x:c>
      <x:c r="B640" s="24" t="str">
        <x:v>프라임구독</x:v>
      </x:c>
      <x:c r="C640" s="24" t="str">
        <x:v>61루2328</x:v>
      </x:c>
      <x:c r="D640" s="24" t="str">
        <x:v>보통</x:v>
      </x:c>
      <x:c r="E640" s="24" t="str">
        <x:v>현재 보유 확인</x:v>
      </x:c>
      <x:c r="F640" s="24" t="str">
        <x:v>61루2328 현재 보유 확인</x:v>
      </x:c>
      <x:c r="G640" s="24" t="str"/>
      <x:c r="H640" s="30"/>
      <x:c r="I640" s="24" t="str">
        <x:v>대기</x:v>
      </x:c>
      <x:c r="J640" s="30"/>
      <x:c r="K640" s="24" t="str">
        <x:v>PR-C-61루2328-1-20230705-178</x:v>
      </x:c>
      <x:c r="L640" s="24" t="str">
        <x:v>자동점검</x:v>
      </x:c>
    </x:row>
    <x:row r="641" ht="17.25" customHeight="1">
      <x:c r="A641" s="24" t="str">
        <x:v>W-0640</x:v>
      </x:c>
      <x:c r="B641" s="24" t="str">
        <x:v>프라임구독</x:v>
      </x:c>
      <x:c r="C641" s="24" t="str">
        <x:v>61루2328</x:v>
      </x:c>
      <x:c r="D641" s="24" t="str">
        <x:v>보통</x:v>
      </x:c>
      <x:c r="E641" s="24" t="str">
        <x:v>자산 중복 확인</x:v>
      </x:c>
      <x:c r="F641" s="24" t="str">
        <x:v>61루2328 자산 중복 확인</x:v>
      </x:c>
      <x:c r="G641" s="24" t="str"/>
      <x:c r="H641" s="30"/>
      <x:c r="I641" s="24" t="str">
        <x:v>대기</x:v>
      </x:c>
      <x:c r="J641" s="30"/>
      <x:c r="K641" s="24" t="str">
        <x:v>PR-C-61루2328-1-20230705-178</x:v>
      </x:c>
      <x:c r="L641" s="24" t="str">
        <x:v>자동점검</x:v>
      </x:c>
    </x:row>
    <x:row r="642" ht="17.25" customHeight="1">
      <x:c r="A642" s="24" t="str">
        <x:v>W-0641</x:v>
      </x:c>
      <x:c r="B642" s="24" t="str">
        <x:v>프라임구독</x:v>
      </x:c>
      <x:c r="C642" s="24" t="str">
        <x:v>61마9264</x:v>
      </x:c>
      <x:c r="D642" s="24" t="str">
        <x:v>보통</x:v>
      </x:c>
      <x:c r="E642" s="24" t="str">
        <x:v>상태 시작일 입력</x:v>
      </x:c>
      <x:c r="F642" s="24" t="str">
        <x:v>61마9264 상태 시작일 입력</x:v>
      </x:c>
      <x:c r="G642" s="24" t="str"/>
      <x:c r="H642" s="30"/>
      <x:c r="I642" s="24" t="str">
        <x:v>대기</x:v>
      </x:c>
      <x:c r="J642" s="30"/>
      <x:c r="K642" s="24" t="str"/>
      <x:c r="L642" s="24" t="str">
        <x:v>자동점검</x:v>
      </x:c>
    </x:row>
    <x:row r="643" ht="17.25" customHeight="1">
      <x:c r="A643" s="24" t="str">
        <x:v>W-0642</x:v>
      </x:c>
      <x:c r="B643" s="24" t="str">
        <x:v>프라임구독</x:v>
      </x:c>
      <x:c r="C643" s="24" t="str">
        <x:v>61마9264</x:v>
      </x:c>
      <x:c r="D643" s="24" t="str">
        <x:v>보통</x:v>
      </x:c>
      <x:c r="E643" s="24" t="str">
        <x:v>현재 보유 확인</x:v>
      </x:c>
      <x:c r="F643" s="24" t="str">
        <x:v>61마9264 현재 보유 확인</x:v>
      </x:c>
      <x:c r="G643" s="24" t="str"/>
      <x:c r="H643" s="30"/>
      <x:c r="I643" s="24" t="str">
        <x:v>대기</x:v>
      </x:c>
      <x:c r="J643" s="30"/>
      <x:c r="K643" s="24" t="str"/>
      <x:c r="L643" s="24" t="str">
        <x:v>자동점검</x:v>
      </x:c>
    </x:row>
    <x:row r="644" ht="17.25" customHeight="1">
      <x:c r="A644" s="24" t="str">
        <x:v>W-0643</x:v>
      </x:c>
      <x:c r="B644" s="24" t="str">
        <x:v>프라임구독</x:v>
      </x:c>
      <x:c r="C644" s="24" t="str">
        <x:v>64너1414</x:v>
      </x:c>
      <x:c r="D644" s="24" t="str">
        <x:v>보통</x:v>
      </x:c>
      <x:c r="E644" s="24" t="str">
        <x:v>상태 시작일 입력</x:v>
      </x:c>
      <x:c r="F644" s="24" t="str">
        <x:v>64너1414 상태 시작일 입력</x:v>
      </x:c>
      <x:c r="G644" s="24" t="str"/>
      <x:c r="H644" s="30"/>
      <x:c r="I644" s="24" t="str">
        <x:v>대기</x:v>
      </x:c>
      <x:c r="J644" s="30"/>
      <x:c r="K644" s="24" t="str"/>
      <x:c r="L644" s="24" t="str">
        <x:v>자동점검</x:v>
      </x:c>
    </x:row>
    <x:row r="645" ht="17.25" customHeight="1">
      <x:c r="A645" s="24" t="str">
        <x:v>W-0644</x:v>
      </x:c>
      <x:c r="B645" s="24" t="str">
        <x:v>프라임구독</x:v>
      </x:c>
      <x:c r="C645" s="24" t="str">
        <x:v>64너1414</x:v>
      </x:c>
      <x:c r="D645" s="24" t="str">
        <x:v>보통</x:v>
      </x:c>
      <x:c r="E645" s="24" t="str">
        <x:v>현재 보유 확인</x:v>
      </x:c>
      <x:c r="F645" s="24" t="str">
        <x:v>64너1414 현재 보유 확인</x:v>
      </x:c>
      <x:c r="G645" s="24" t="str"/>
      <x:c r="H645" s="30"/>
      <x:c r="I645" s="24" t="str">
        <x:v>대기</x:v>
      </x:c>
      <x:c r="J645" s="30"/>
      <x:c r="K645" s="24" t="str"/>
      <x:c r="L645" s="24" t="str">
        <x:v>자동점검</x:v>
      </x:c>
    </x:row>
    <x:row r="646" ht="17.25" customHeight="1">
      <x:c r="A646" s="24" t="str">
        <x:v>W-0645</x:v>
      </x:c>
      <x:c r="B646" s="24" t="str">
        <x:v>프라임구독</x:v>
      </x:c>
      <x:c r="C646" s="24" t="str">
        <x:v>64로0269</x:v>
      </x:c>
      <x:c r="D646" s="24" t="str">
        <x:v>긴급</x:v>
      </x:c>
      <x:c r="E646" s="24" t="str">
        <x:v>회수 검토</x:v>
      </x:c>
      <x:c r="F646" s="24" t="str">
        <x:v>64로0269 회수 검토</x:v>
      </x:c>
      <x:c r="G646" s="24" t="str"/>
      <x:c r="H646" s="30"/>
      <x:c r="I646" s="24" t="str">
        <x:v>대기</x:v>
      </x:c>
      <x:c r="J646" s="30"/>
      <x:c r="K646" s="24" t="str">
        <x:v>PR-C-64로0269-1-20230623-181</x:v>
      </x:c>
      <x:c r="L646" s="24" t="str">
        <x:v>자동점검</x:v>
      </x:c>
    </x:row>
    <x:row r="647" ht="17.25" customHeight="1">
      <x:c r="A647" s="24" t="str">
        <x:v>W-0646</x:v>
      </x:c>
      <x:c r="B647" s="24" t="str">
        <x:v>프라임구독</x:v>
      </x:c>
      <x:c r="C647" s="24" t="str">
        <x:v>64로0269</x:v>
      </x:c>
      <x:c r="D647" s="24" t="str">
        <x:v>높음</x:v>
      </x:c>
      <x:c r="E647" s="24" t="str">
        <x:v>보험 연령 입력</x:v>
      </x:c>
      <x:c r="F647" s="24" t="str">
        <x:v>64로0269 보험 연령 입력</x:v>
      </x:c>
      <x:c r="G647" s="24" t="str"/>
      <x:c r="H647" s="30"/>
      <x:c r="I647" s="24" t="str">
        <x:v>대기</x:v>
      </x:c>
      <x:c r="J647" s="30"/>
      <x:c r="K647" s="24" t="str">
        <x:v>PR-C-64로0269-1-20230623-181</x:v>
      </x:c>
      <x:c r="L647" s="24" t="str">
        <x:v>자동점검</x:v>
      </x:c>
    </x:row>
    <x:row r="648" ht="17.25" customHeight="1">
      <x:c r="A648" s="24" t="str">
        <x:v>W-0647</x:v>
      </x:c>
      <x:c r="B648" s="24" t="str">
        <x:v>프라임구독</x:v>
      </x:c>
      <x:c r="C648" s="24" t="str">
        <x:v>64로0269</x:v>
      </x:c>
      <x:c r="D648" s="24" t="str">
        <x:v>높음</x:v>
      </x:c>
      <x:c r="E648" s="24" t="str">
        <x:v>보험 갱신 확인</x:v>
      </x:c>
      <x:c r="F648" s="24" t="str">
        <x:v>64로0269 보험 갱신 확인</x:v>
      </x:c>
      <x:c r="G648" s="24" t="str"/>
      <x:c r="H648" s="30"/>
      <x:c r="I648" s="24" t="str">
        <x:v>대기</x:v>
      </x:c>
      <x:c r="J648" s="30"/>
      <x:c r="K648" s="24" t="str">
        <x:v>PR-C-64로0269-1-20230623-181</x:v>
      </x:c>
      <x:c r="L648" s="24" t="str">
        <x:v>자동점검</x:v>
      </x:c>
    </x:row>
    <x:row r="649" ht="17.25" customHeight="1">
      <x:c r="A649" s="24" t="str">
        <x:v>W-0648</x:v>
      </x:c>
      <x:c r="B649" s="24" t="str">
        <x:v>프라임구독</x:v>
      </x:c>
      <x:c r="C649" s="24" t="str">
        <x:v>64로0269</x:v>
      </x:c>
      <x:c r="D649" s="24" t="str">
        <x:v>보통</x:v>
      </x:c>
      <x:c r="E649" s="24" t="str">
        <x:v>현재 보유 확인</x:v>
      </x:c>
      <x:c r="F649" s="24" t="str">
        <x:v>64로0269 현재 보유 확인</x:v>
      </x:c>
      <x:c r="G649" s="24" t="str"/>
      <x:c r="H649" s="30"/>
      <x:c r="I649" s="24" t="str">
        <x:v>대기</x:v>
      </x:c>
      <x:c r="J649" s="30"/>
      <x:c r="K649" s="24" t="str">
        <x:v>PR-C-64로0269-1-20230623-181</x:v>
      </x:c>
      <x:c r="L649" s="24" t="str">
        <x:v>자동점검</x:v>
      </x:c>
    </x:row>
    <x:row r="650" ht="17.25" customHeight="1">
      <x:c r="A650" s="24" t="str">
        <x:v>W-0649</x:v>
      </x:c>
      <x:c r="B650" s="24" t="str">
        <x:v>프라임구독</x:v>
      </x:c>
      <x:c r="C650" s="24" t="str">
        <x:v>65서0911</x:v>
      </x:c>
      <x:c r="D650" s="24" t="str">
        <x:v>보통</x:v>
      </x:c>
      <x:c r="E650" s="24" t="str">
        <x:v>상태 시작일 입력</x:v>
      </x:c>
      <x:c r="F650" s="24" t="str">
        <x:v>65서0911 상태 시작일 입력</x:v>
      </x:c>
      <x:c r="G650" s="24" t="str"/>
      <x:c r="H650" s="30"/>
      <x:c r="I650" s="24" t="str">
        <x:v>대기</x:v>
      </x:c>
      <x:c r="J650" s="30"/>
      <x:c r="K650" s="24" t="str"/>
      <x:c r="L650" s="24" t="str">
        <x:v>자동점검</x:v>
      </x:c>
    </x:row>
    <x:row r="651" ht="17.25" customHeight="1">
      <x:c r="A651" s="24" t="str">
        <x:v>W-0650</x:v>
      </x:c>
      <x:c r="B651" s="24" t="str">
        <x:v>프라임구독</x:v>
      </x:c>
      <x:c r="C651" s="24" t="str">
        <x:v>65서0911</x:v>
      </x:c>
      <x:c r="D651" s="24" t="str">
        <x:v>보통</x:v>
      </x:c>
      <x:c r="E651" s="24" t="str">
        <x:v>현재 보유 확인</x:v>
      </x:c>
      <x:c r="F651" s="24" t="str">
        <x:v>65서0911 현재 보유 확인</x:v>
      </x:c>
      <x:c r="G651" s="24" t="str"/>
      <x:c r="H651" s="30"/>
      <x:c r="I651" s="24" t="str">
        <x:v>대기</x:v>
      </x:c>
      <x:c r="J651" s="30"/>
      <x:c r="K651" s="24" t="str"/>
      <x:c r="L651" s="24" t="str">
        <x:v>자동점검</x:v>
      </x:c>
    </x:row>
    <x:row r="652" ht="17.25" customHeight="1">
      <x:c r="A652" s="24" t="str">
        <x:v>W-0651</x:v>
      </x:c>
      <x:c r="B652" s="24" t="str">
        <x:v>프라임구독</x:v>
      </x:c>
      <x:c r="C652" s="24" t="str">
        <x:v>66어1934</x:v>
      </x:c>
      <x:c r="D652" s="24" t="str">
        <x:v>긴급</x:v>
      </x:c>
      <x:c r="E652" s="24" t="str">
        <x:v>회수 검토</x:v>
      </x:c>
      <x:c r="F652" s="24" t="str">
        <x:v>66어1934 회수 검토</x:v>
      </x:c>
      <x:c r="G652" s="24" t="str"/>
      <x:c r="H652" s="30"/>
      <x:c r="I652" s="24" t="str">
        <x:v>대기</x:v>
      </x:c>
      <x:c r="J652" s="30"/>
      <x:c r="K652" s="24" t="str">
        <x:v>PR-C-66어1934-1-20220526-183</x:v>
      </x:c>
      <x:c r="L652" s="24" t="str">
        <x:v>자동점검</x:v>
      </x:c>
    </x:row>
    <x:row r="653" ht="17.25" customHeight="1">
      <x:c r="A653" s="24" t="str">
        <x:v>W-0652</x:v>
      </x:c>
      <x:c r="B653" s="24" t="str">
        <x:v>프라임구독</x:v>
      </x:c>
      <x:c r="C653" s="24" t="str">
        <x:v>66어1934</x:v>
      </x:c>
      <x:c r="D653" s="24" t="str">
        <x:v>높음</x:v>
      </x:c>
      <x:c r="E653" s="24" t="str">
        <x:v>보험 연령 입력</x:v>
      </x:c>
      <x:c r="F653" s="24" t="str">
        <x:v>66어1934 보험 연령 입력</x:v>
      </x:c>
      <x:c r="G653" s="24" t="str"/>
      <x:c r="H653" s="30"/>
      <x:c r="I653" s="24" t="str">
        <x:v>대기</x:v>
      </x:c>
      <x:c r="J653" s="30"/>
      <x:c r="K653" s="24" t="str">
        <x:v>PR-C-66어1934-1-20220526-183</x:v>
      </x:c>
      <x:c r="L653" s="24" t="str">
        <x:v>자동점검</x:v>
      </x:c>
    </x:row>
    <x:row r="654" ht="17.25" customHeight="1">
      <x:c r="A654" s="24" t="str">
        <x:v>W-0653</x:v>
      </x:c>
      <x:c r="B654" s="24" t="str">
        <x:v>프라임구독</x:v>
      </x:c>
      <x:c r="C654" s="24" t="str">
        <x:v>66어1934</x:v>
      </x:c>
      <x:c r="D654" s="24" t="str">
        <x:v>높음</x:v>
      </x:c>
      <x:c r="E654" s="24" t="str">
        <x:v>보험 갱신 확인</x:v>
      </x:c>
      <x:c r="F654" s="24" t="str">
        <x:v>66어1934 보험 갱신 확인</x:v>
      </x:c>
      <x:c r="G654" s="24" t="str"/>
      <x:c r="H654" s="30"/>
      <x:c r="I654" s="24" t="str">
        <x:v>대기</x:v>
      </x:c>
      <x:c r="J654" s="30"/>
      <x:c r="K654" s="24" t="str">
        <x:v>PR-C-66어1934-1-20220526-183</x:v>
      </x:c>
      <x:c r="L654" s="24" t="str">
        <x:v>자동점검</x:v>
      </x:c>
    </x:row>
    <x:row r="655" ht="17.25" customHeight="1">
      <x:c r="A655" s="24" t="str">
        <x:v>W-0654</x:v>
      </x:c>
      <x:c r="B655" s="24" t="str">
        <x:v>프라임구독</x:v>
      </x:c>
      <x:c r="C655" s="24" t="str">
        <x:v>66어1934</x:v>
      </x:c>
      <x:c r="D655" s="24" t="str">
        <x:v>보통</x:v>
      </x:c>
      <x:c r="E655" s="24" t="str">
        <x:v>현재 보유 확인</x:v>
      </x:c>
      <x:c r="F655" s="24" t="str">
        <x:v>66어1934 현재 보유 확인</x:v>
      </x:c>
      <x:c r="G655" s="24" t="str"/>
      <x:c r="H655" s="30"/>
      <x:c r="I655" s="24" t="str">
        <x:v>대기</x:v>
      </x:c>
      <x:c r="J655" s="30"/>
      <x:c r="K655" s="24" t="str">
        <x:v>PR-C-66어1934-1-20220526-183</x:v>
      </x:c>
      <x:c r="L655" s="24" t="str">
        <x:v>자동점검</x:v>
      </x:c>
    </x:row>
    <x:row r="656" ht="17.25" customHeight="1">
      <x:c r="A656" s="24" t="str">
        <x:v>W-0655</x:v>
      </x:c>
      <x:c r="B656" s="24" t="str">
        <x:v>프라임구독</x:v>
      </x:c>
      <x:c r="C656" s="24" t="str">
        <x:v>66오8575</x:v>
      </x:c>
      <x:c r="D656" s="24" t="str">
        <x:v>보통</x:v>
      </x:c>
      <x:c r="E656" s="24" t="str">
        <x:v>상태 시작일 입력</x:v>
      </x:c>
      <x:c r="F656" s="24" t="str">
        <x:v>66오8575 상태 시작일 입력</x:v>
      </x:c>
      <x:c r="G656" s="24" t="str"/>
      <x:c r="H656" s="30"/>
      <x:c r="I656" s="24" t="str">
        <x:v>대기</x:v>
      </x:c>
      <x:c r="J656" s="30"/>
      <x:c r="K656" s="24" t="str"/>
      <x:c r="L656" s="24" t="str">
        <x:v>자동점검</x:v>
      </x:c>
    </x:row>
    <x:row r="657" ht="17.25" customHeight="1">
      <x:c r="A657" s="24" t="str">
        <x:v>W-0656</x:v>
      </x:c>
      <x:c r="B657" s="24" t="str">
        <x:v>프라임구독</x:v>
      </x:c>
      <x:c r="C657" s="24" t="str">
        <x:v>66오8575</x:v>
      </x:c>
      <x:c r="D657" s="24" t="str">
        <x:v>보통</x:v>
      </x:c>
      <x:c r="E657" s="24" t="str">
        <x:v>현재 보유 확인</x:v>
      </x:c>
      <x:c r="F657" s="24" t="str">
        <x:v>66오8575 현재 보유 확인</x:v>
      </x:c>
      <x:c r="G657" s="24" t="str"/>
      <x:c r="H657" s="30"/>
      <x:c r="I657" s="24" t="str">
        <x:v>대기</x:v>
      </x:c>
      <x:c r="J657" s="30"/>
      <x:c r="K657" s="24" t="str"/>
      <x:c r="L657" s="24" t="str">
        <x:v>자동점검</x:v>
      </x:c>
    </x:row>
    <x:row r="658" ht="17.25" customHeight="1">
      <x:c r="A658" s="24" t="str">
        <x:v>W-0657</x:v>
      </x:c>
      <x:c r="B658" s="24" t="str">
        <x:v>프라임구독</x:v>
      </x:c>
      <x:c r="C658" s="24" t="str">
        <x:v>67거4224</x:v>
      </x:c>
      <x:c r="D658" s="24" t="str">
        <x:v>보통</x:v>
      </x:c>
      <x:c r="E658" s="24" t="str">
        <x:v>상태 시작일 입력</x:v>
      </x:c>
      <x:c r="F658" s="24" t="str">
        <x:v>67거4224 상태 시작일 입력</x:v>
      </x:c>
      <x:c r="G658" s="24" t="str"/>
      <x:c r="H658" s="30"/>
      <x:c r="I658" s="24" t="str">
        <x:v>대기</x:v>
      </x:c>
      <x:c r="J658" s="30"/>
      <x:c r="K658" s="24" t="str"/>
      <x:c r="L658" s="24" t="str">
        <x:v>자동점검</x:v>
      </x:c>
    </x:row>
    <x:row r="659" ht="17.25" customHeight="1">
      <x:c r="A659" s="24" t="str">
        <x:v>W-0658</x:v>
      </x:c>
      <x:c r="B659" s="24" t="str">
        <x:v>프라임구독</x:v>
      </x:c>
      <x:c r="C659" s="24" t="str">
        <x:v>67거4224</x:v>
      </x:c>
      <x:c r="D659" s="24" t="str">
        <x:v>보통</x:v>
      </x:c>
      <x:c r="E659" s="24" t="str">
        <x:v>현재 보유 확인</x:v>
      </x:c>
      <x:c r="F659" s="24" t="str">
        <x:v>67거4224 현재 보유 확인</x:v>
      </x:c>
      <x:c r="G659" s="24" t="str"/>
      <x:c r="H659" s="30"/>
      <x:c r="I659" s="24" t="str">
        <x:v>대기</x:v>
      </x:c>
      <x:c r="J659" s="30"/>
      <x:c r="K659" s="24" t="str"/>
      <x:c r="L659" s="24" t="str">
        <x:v>자동점검</x:v>
      </x:c>
    </x:row>
    <x:row r="660" ht="17.25" customHeight="1">
      <x:c r="A660" s="24" t="str">
        <x:v>W-0659</x:v>
      </x:c>
      <x:c r="B660" s="24" t="str">
        <x:v>프라임구독</x:v>
      </x:c>
      <x:c r="C660" s="24" t="str">
        <x:v>67구7368</x:v>
      </x:c>
      <x:c r="D660" s="24" t="str">
        <x:v>긴급</x:v>
      </x:c>
      <x:c r="E660" s="24" t="str">
        <x:v>회수 검토</x:v>
      </x:c>
      <x:c r="F660" s="24" t="str">
        <x:v>67구7368 회수 검토</x:v>
      </x:c>
      <x:c r="G660" s="24" t="str"/>
      <x:c r="H660" s="30"/>
      <x:c r="I660" s="24" t="str">
        <x:v>대기</x:v>
      </x:c>
      <x:c r="J660" s="30"/>
      <x:c r="K660" s="24" t="str">
        <x:v>PR-C-67구7368-1-20230103-186</x:v>
      </x:c>
      <x:c r="L660" s="24" t="str">
        <x:v>자동점검</x:v>
      </x:c>
    </x:row>
    <x:row r="661" ht="17.25" customHeight="1">
      <x:c r="A661" s="24" t="str">
        <x:v>W-0660</x:v>
      </x:c>
      <x:c r="B661" s="24" t="str">
        <x:v>프라임구독</x:v>
      </x:c>
      <x:c r="C661" s="24" t="str">
        <x:v>67구7368</x:v>
      </x:c>
      <x:c r="D661" s="24" t="str">
        <x:v>높음</x:v>
      </x:c>
      <x:c r="E661" s="24" t="str">
        <x:v>계약서 연결</x:v>
      </x:c>
      <x:c r="F661" s="24" t="str">
        <x:v>67구7368 계약서 연결</x:v>
      </x:c>
      <x:c r="G661" s="24" t="str"/>
      <x:c r="H661" s="30"/>
      <x:c r="I661" s="24" t="str">
        <x:v>대기</x:v>
      </x:c>
      <x:c r="J661" s="30"/>
      <x:c r="K661" s="24" t="str">
        <x:v>PR-C-67구7368-1-20230103-186</x:v>
      </x:c>
      <x:c r="L661" s="24" t="str">
        <x:v>자동점검</x:v>
      </x:c>
    </x:row>
    <x:row r="662" ht="17.25" customHeight="1">
      <x:c r="A662" s="24" t="str">
        <x:v>W-0661</x:v>
      </x:c>
      <x:c r="B662" s="24" t="str">
        <x:v>프라임구독</x:v>
      </x:c>
      <x:c r="C662" s="24" t="str">
        <x:v>67구7368</x:v>
      </x:c>
      <x:c r="D662" s="24" t="str">
        <x:v>높음</x:v>
      </x:c>
      <x:c r="E662" s="24" t="str">
        <x:v>보험 연령 입력</x:v>
      </x:c>
      <x:c r="F662" s="24" t="str">
        <x:v>67구7368 보험 연령 입력</x:v>
      </x:c>
      <x:c r="G662" s="24" t="str"/>
      <x:c r="H662" s="30"/>
      <x:c r="I662" s="24" t="str">
        <x:v>대기</x:v>
      </x:c>
      <x:c r="J662" s="30"/>
      <x:c r="K662" s="24" t="str">
        <x:v>PR-C-67구7368-1-20230103-186</x:v>
      </x:c>
      <x:c r="L662" s="24" t="str">
        <x:v>자동점검</x:v>
      </x:c>
    </x:row>
    <x:row r="663" ht="17.25" customHeight="1">
      <x:c r="A663" s="24" t="str">
        <x:v>W-0662</x:v>
      </x:c>
      <x:c r="B663" s="24" t="str">
        <x:v>프라임구독</x:v>
      </x:c>
      <x:c r="C663" s="24" t="str">
        <x:v>67구7368</x:v>
      </x:c>
      <x:c r="D663" s="24" t="str">
        <x:v>높음</x:v>
      </x:c>
      <x:c r="E663" s="24" t="str">
        <x:v>보험 갱신 확인</x:v>
      </x:c>
      <x:c r="F663" s="24" t="str">
        <x:v>67구7368 보험 갱신 확인</x:v>
      </x:c>
      <x:c r="G663" s="24" t="str"/>
      <x:c r="H663" s="30"/>
      <x:c r="I663" s="24" t="str">
        <x:v>대기</x:v>
      </x:c>
      <x:c r="J663" s="30"/>
      <x:c r="K663" s="24" t="str">
        <x:v>PR-C-67구7368-1-20230103-186</x:v>
      </x:c>
      <x:c r="L663" s="24" t="str">
        <x:v>자동점검</x:v>
      </x:c>
    </x:row>
    <x:row r="664" ht="17.25" customHeight="1">
      <x:c r="A664" s="24" t="str">
        <x:v>W-0663</x:v>
      </x:c>
      <x:c r="B664" s="24" t="str">
        <x:v>프라임구독</x:v>
      </x:c>
      <x:c r="C664" s="24" t="str">
        <x:v>67구7368</x:v>
      </x:c>
      <x:c r="D664" s="24" t="str">
        <x:v>보통</x:v>
      </x:c>
      <x:c r="E664" s="24" t="str">
        <x:v>현재 보유 확인</x:v>
      </x:c>
      <x:c r="F664" s="24" t="str">
        <x:v>67구7368 현재 보유 확인</x:v>
      </x:c>
      <x:c r="G664" s="24" t="str"/>
      <x:c r="H664" s="30"/>
      <x:c r="I664" s="24" t="str">
        <x:v>대기</x:v>
      </x:c>
      <x:c r="J664" s="30"/>
      <x:c r="K664" s="24" t="str">
        <x:v>PR-C-67구7368-1-20230103-186</x:v>
      </x:c>
      <x:c r="L664" s="24" t="str">
        <x:v>자동점검</x:v>
      </x:c>
    </x:row>
    <x:row r="665" ht="17.25" customHeight="1">
      <x:c r="A665" s="24" t="str">
        <x:v>W-0664</x:v>
      </x:c>
      <x:c r="B665" s="24" t="str">
        <x:v>프라임구독</x:v>
      </x:c>
      <x:c r="C665" s="24" t="str">
        <x:v>67어3004</x:v>
      </x:c>
      <x:c r="D665" s="24" t="str">
        <x:v>보통</x:v>
      </x:c>
      <x:c r="E665" s="24" t="str">
        <x:v>상태 시작일 입력</x:v>
      </x:c>
      <x:c r="F665" s="24" t="str">
        <x:v>67어3004 상태 시작일 입력</x:v>
      </x:c>
      <x:c r="G665" s="24" t="str"/>
      <x:c r="H665" s="30"/>
      <x:c r="I665" s="24" t="str">
        <x:v>대기</x:v>
      </x:c>
      <x:c r="J665" s="30"/>
      <x:c r="K665" s="24" t="str"/>
      <x:c r="L665" s="24" t="str">
        <x:v>자동점검</x:v>
      </x:c>
    </x:row>
    <x:row r="666" ht="17.25" customHeight="1">
      <x:c r="A666" s="24" t="str">
        <x:v>W-0665</x:v>
      </x:c>
      <x:c r="B666" s="24" t="str">
        <x:v>프라임구독</x:v>
      </x:c>
      <x:c r="C666" s="24" t="str">
        <x:v>67어3004</x:v>
      </x:c>
      <x:c r="D666" s="24" t="str">
        <x:v>보통</x:v>
      </x:c>
      <x:c r="E666" s="24" t="str">
        <x:v>현재 보유 확인</x:v>
      </x:c>
      <x:c r="F666" s="24" t="str">
        <x:v>67어3004 현재 보유 확인</x:v>
      </x:c>
      <x:c r="G666" s="24" t="str"/>
      <x:c r="H666" s="30"/>
      <x:c r="I666" s="24" t="str">
        <x:v>대기</x:v>
      </x:c>
      <x:c r="J666" s="30"/>
      <x:c r="K666" s="24" t="str"/>
      <x:c r="L666" s="24" t="str">
        <x:v>자동점검</x:v>
      </x:c>
    </x:row>
    <x:row r="667" ht="17.25" customHeight="1">
      <x:c r="A667" s="24" t="str">
        <x:v>W-0666</x:v>
      </x:c>
      <x:c r="B667" s="24" t="str">
        <x:v>프라임구독</x:v>
      </x:c>
      <x:c r="C667" s="24" t="str">
        <x:v>68수7744</x:v>
      </x:c>
      <x:c r="D667" s="24" t="str">
        <x:v>보통</x:v>
      </x:c>
      <x:c r="E667" s="24" t="str">
        <x:v>상태 시작일 입력</x:v>
      </x:c>
      <x:c r="F667" s="24" t="str">
        <x:v>68수7744 상태 시작일 입력</x:v>
      </x:c>
      <x:c r="G667" s="24" t="str"/>
      <x:c r="H667" s="30"/>
      <x:c r="I667" s="24" t="str">
        <x:v>대기</x:v>
      </x:c>
      <x:c r="J667" s="30"/>
      <x:c r="K667" s="24" t="str"/>
      <x:c r="L667" s="24" t="str">
        <x:v>자동점검</x:v>
      </x:c>
    </x:row>
    <x:row r="668" ht="17.25" customHeight="1">
      <x:c r="A668" s="24" t="str">
        <x:v>W-0667</x:v>
      </x:c>
      <x:c r="B668" s="24" t="str">
        <x:v>프라임구독</x:v>
      </x:c>
      <x:c r="C668" s="24" t="str">
        <x:v>68수7744</x:v>
      </x:c>
      <x:c r="D668" s="24" t="str">
        <x:v>보통</x:v>
      </x:c>
      <x:c r="E668" s="24" t="str">
        <x:v>현재 보유 확인</x:v>
      </x:c>
      <x:c r="F668" s="24" t="str">
        <x:v>68수7744 현재 보유 확인</x:v>
      </x:c>
      <x:c r="G668" s="24" t="str"/>
      <x:c r="H668" s="30"/>
      <x:c r="I668" s="24" t="str">
        <x:v>대기</x:v>
      </x:c>
      <x:c r="J668" s="30"/>
      <x:c r="K668" s="24" t="str"/>
      <x:c r="L668" s="24" t="str">
        <x:v>자동점검</x:v>
      </x:c>
    </x:row>
    <x:row r="669" ht="17.25" customHeight="1">
      <x:c r="A669" s="24" t="str">
        <x:v>W-0668</x:v>
      </x:c>
      <x:c r="B669" s="24" t="str">
        <x:v>프라임구독</x:v>
      </x:c>
      <x:c r="C669" s="24" t="str">
        <x:v>69나9074</x:v>
      </x:c>
      <x:c r="D669" s="24" t="str">
        <x:v>보통</x:v>
      </x:c>
      <x:c r="E669" s="24" t="str">
        <x:v>상태 시작일 입력</x:v>
      </x:c>
      <x:c r="F669" s="24" t="str">
        <x:v>69나9074 상태 시작일 입력</x:v>
      </x:c>
      <x:c r="G669" s="24" t="str"/>
      <x:c r="H669" s="30"/>
      <x:c r="I669" s="24" t="str">
        <x:v>대기</x:v>
      </x:c>
      <x:c r="J669" s="30"/>
      <x:c r="K669" s="24" t="str"/>
      <x:c r="L669" s="24" t="str">
        <x:v>자동점검</x:v>
      </x:c>
    </x:row>
    <x:row r="670" ht="17.25" customHeight="1">
      <x:c r="A670" s="24" t="str">
        <x:v>W-0669</x:v>
      </x:c>
      <x:c r="B670" s="24" t="str">
        <x:v>프라임구독</x:v>
      </x:c>
      <x:c r="C670" s="24" t="str">
        <x:v>69나9074</x:v>
      </x:c>
      <x:c r="D670" s="24" t="str">
        <x:v>보통</x:v>
      </x:c>
      <x:c r="E670" s="24" t="str">
        <x:v>현재 보유 확인</x:v>
      </x:c>
      <x:c r="F670" s="24" t="str">
        <x:v>69나9074 현재 보유 확인</x:v>
      </x:c>
      <x:c r="G670" s="24" t="str"/>
      <x:c r="H670" s="30"/>
      <x:c r="I670" s="24" t="str">
        <x:v>대기</x:v>
      </x:c>
      <x:c r="J670" s="30"/>
      <x:c r="K670" s="24" t="str"/>
      <x:c r="L670" s="24" t="str">
        <x:v>자동점검</x:v>
      </x:c>
    </x:row>
    <x:row r="671" ht="17.25" customHeight="1">
      <x:c r="A671" s="24" t="str">
        <x:v>W-0670</x:v>
      </x:c>
      <x:c r="B671" s="24" t="str">
        <x:v>프라임구독</x:v>
      </x:c>
      <x:c r="C671" s="24" t="str">
        <x:v>69모6244</x:v>
      </x:c>
      <x:c r="D671" s="24" t="str">
        <x:v>보통</x:v>
      </x:c>
      <x:c r="E671" s="24" t="str">
        <x:v>상태 시작일 입력</x:v>
      </x:c>
      <x:c r="F671" s="24" t="str">
        <x:v>69모6244 상태 시작일 입력</x:v>
      </x:c>
      <x:c r="G671" s="24" t="str"/>
      <x:c r="H671" s="30"/>
      <x:c r="I671" s="24" t="str">
        <x:v>대기</x:v>
      </x:c>
      <x:c r="J671" s="30"/>
      <x:c r="K671" s="24" t="str"/>
      <x:c r="L671" s="24" t="str">
        <x:v>자동점검</x:v>
      </x:c>
    </x:row>
    <x:row r="672" ht="17.25" customHeight="1">
      <x:c r="A672" s="24" t="str">
        <x:v>W-0671</x:v>
      </x:c>
      <x:c r="B672" s="24" t="str">
        <x:v>프라임구독</x:v>
      </x:c>
      <x:c r="C672" s="24" t="str">
        <x:v>69모6244</x:v>
      </x:c>
      <x:c r="D672" s="24" t="str">
        <x:v>보통</x:v>
      </x:c>
      <x:c r="E672" s="24" t="str">
        <x:v>현재 보유 확인</x:v>
      </x:c>
      <x:c r="F672" s="24" t="str">
        <x:v>69모6244 현재 보유 확인</x:v>
      </x:c>
      <x:c r="G672" s="24" t="str"/>
      <x:c r="H672" s="30"/>
      <x:c r="I672" s="24" t="str">
        <x:v>대기</x:v>
      </x:c>
      <x:c r="J672" s="30"/>
      <x:c r="K672" s="24" t="str"/>
      <x:c r="L672" s="24" t="str">
        <x:v>자동점검</x:v>
      </x:c>
    </x:row>
    <x:row r="673" ht="17.25" customHeight="1">
      <x:c r="A673" s="24" t="str">
        <x:v>W-0672</x:v>
      </x:c>
      <x:c r="B673" s="24" t="str">
        <x:v>프라임구독</x:v>
      </x:c>
      <x:c r="C673" s="24" t="str">
        <x:v>69버0299</x:v>
      </x:c>
      <x:c r="D673" s="24" t="str">
        <x:v>긴급</x:v>
      </x:c>
      <x:c r="E673" s="24" t="str">
        <x:v>미수 확인</x:v>
      </x:c>
      <x:c r="F673" s="24" t="str">
        <x:v>69버0299 미수 확인</x:v>
      </x:c>
      <x:c r="G673" s="24" t="str"/>
      <x:c r="H673" s="30"/>
      <x:c r="I673" s="24" t="str">
        <x:v>대기</x:v>
      </x:c>
      <x:c r="J673" s="30"/>
      <x:c r="K673" s="24" t="str">
        <x:v>PR-C-69버0299-1-20240305-191</x:v>
      </x:c>
      <x:c r="L673" s="24" t="str">
        <x:v>자동점검</x:v>
      </x:c>
    </x:row>
    <x:row r="674" ht="17.25" customHeight="1">
      <x:c r="A674" s="24" t="str">
        <x:v>W-0673</x:v>
      </x:c>
      <x:c r="B674" s="24" t="str">
        <x:v>프라임구독</x:v>
      </x:c>
      <x:c r="C674" s="24" t="str">
        <x:v>69버0299</x:v>
      </x:c>
      <x:c r="D674" s="24" t="str">
        <x:v>높음</x:v>
      </x:c>
      <x:c r="E674" s="24" t="str">
        <x:v>보험 연령 입력</x:v>
      </x:c>
      <x:c r="F674" s="24" t="str">
        <x:v>69버0299 보험 연령 입력</x:v>
      </x:c>
      <x:c r="G674" s="24" t="str"/>
      <x:c r="H674" s="30"/>
      <x:c r="I674" s="24" t="str">
        <x:v>대기</x:v>
      </x:c>
      <x:c r="J674" s="30"/>
      <x:c r="K674" s="24" t="str">
        <x:v>PR-C-69버0299-1-20240305-191</x:v>
      </x:c>
      <x:c r="L674" s="24" t="str">
        <x:v>자동점검</x:v>
      </x:c>
    </x:row>
    <x:row r="675" ht="17.25" customHeight="1">
      <x:c r="A675" s="24" t="str">
        <x:v>W-0674</x:v>
      </x:c>
      <x:c r="B675" s="24" t="str">
        <x:v>프라임구독</x:v>
      </x:c>
      <x:c r="C675" s="24" t="str">
        <x:v>69버0299</x:v>
      </x:c>
      <x:c r="D675" s="24" t="str">
        <x:v>보통</x:v>
      </x:c>
      <x:c r="E675" s="24" t="str">
        <x:v>현재 보유 확인</x:v>
      </x:c>
      <x:c r="F675" s="24" t="str">
        <x:v>69버0299 현재 보유 확인</x:v>
      </x:c>
      <x:c r="G675" s="24" t="str"/>
      <x:c r="H675" s="30"/>
      <x:c r="I675" s="24" t="str">
        <x:v>대기</x:v>
      </x:c>
      <x:c r="J675" s="30"/>
      <x:c r="K675" s="24" t="str">
        <x:v>PR-C-69버0299-1-20240305-191</x:v>
      </x:c>
      <x:c r="L675" s="24" t="str">
        <x:v>자동점검</x:v>
      </x:c>
    </x:row>
    <x:row r="676" ht="17.25" customHeight="1">
      <x:c r="A676" s="24" t="str">
        <x:v>W-0675</x:v>
      </x:c>
      <x:c r="B676" s="24" t="str">
        <x:v>프라임구독</x:v>
      </x:c>
      <x:c r="C676" s="24" t="str">
        <x:v>69오7954</x:v>
      </x:c>
      <x:c r="D676" s="24" t="str">
        <x:v>보통</x:v>
      </x:c>
      <x:c r="E676" s="24" t="str">
        <x:v>상태 시작일 입력</x:v>
      </x:c>
      <x:c r="F676" s="24" t="str">
        <x:v>69오7954 상태 시작일 입력</x:v>
      </x:c>
      <x:c r="G676" s="24" t="str"/>
      <x:c r="H676" s="30"/>
      <x:c r="I676" s="24" t="str">
        <x:v>대기</x:v>
      </x:c>
      <x:c r="J676" s="30"/>
      <x:c r="K676" s="24" t="str"/>
      <x:c r="L676" s="24" t="str">
        <x:v>자동점검</x:v>
      </x:c>
    </x:row>
    <x:row r="677" ht="17.25" customHeight="1">
      <x:c r="A677" s="24" t="str">
        <x:v>W-0676</x:v>
      </x:c>
      <x:c r="B677" s="24" t="str">
        <x:v>프라임구독</x:v>
      </x:c>
      <x:c r="C677" s="24" t="str">
        <x:v>69오7954</x:v>
      </x:c>
      <x:c r="D677" s="24" t="str">
        <x:v>보통</x:v>
      </x:c>
      <x:c r="E677" s="24" t="str">
        <x:v>현재 보유 확인</x:v>
      </x:c>
      <x:c r="F677" s="24" t="str">
        <x:v>69오7954 현재 보유 확인</x:v>
      </x:c>
      <x:c r="G677" s="24" t="str"/>
      <x:c r="H677" s="30"/>
      <x:c r="I677" s="24" t="str">
        <x:v>대기</x:v>
      </x:c>
      <x:c r="J677" s="30"/>
      <x:c r="K677" s="24" t="str"/>
      <x:c r="L677" s="24" t="str">
        <x:v>자동점검</x:v>
      </x:c>
    </x:row>
    <x:row r="678" ht="17.25" customHeight="1">
      <x:c r="A678" s="24" t="str">
        <x:v>W-0677</x:v>
      </x:c>
      <x:c r="B678" s="24" t="str">
        <x:v>프라임구독</x:v>
      </x:c>
      <x:c r="C678" s="24" t="str">
        <x:v>72러4490</x:v>
      </x:c>
      <x:c r="D678" s="24" t="str">
        <x:v>보통</x:v>
      </x:c>
      <x:c r="E678" s="24" t="str">
        <x:v>상태 시작일 입력</x:v>
      </x:c>
      <x:c r="F678" s="24" t="str">
        <x:v>72러4490 상태 시작일 입력</x:v>
      </x:c>
      <x:c r="G678" s="24" t="str"/>
      <x:c r="H678" s="30"/>
      <x:c r="I678" s="24" t="str">
        <x:v>대기</x:v>
      </x:c>
      <x:c r="J678" s="30"/>
      <x:c r="K678" s="24" t="str"/>
      <x:c r="L678" s="24" t="str">
        <x:v>자동점검</x:v>
      </x:c>
    </x:row>
    <x:row r="679" ht="17.25" customHeight="1">
      <x:c r="A679" s="24" t="str">
        <x:v>W-0678</x:v>
      </x:c>
      <x:c r="B679" s="24" t="str">
        <x:v>프라임구독</x:v>
      </x:c>
      <x:c r="C679" s="24" t="str">
        <x:v>72러4490</x:v>
      </x:c>
      <x:c r="D679" s="24" t="str">
        <x:v>보통</x:v>
      </x:c>
      <x:c r="E679" s="24" t="str">
        <x:v>현재 보유 확인</x:v>
      </x:c>
      <x:c r="F679" s="24" t="str">
        <x:v>72러4490 현재 보유 확인</x:v>
      </x:c>
      <x:c r="G679" s="24" t="str"/>
      <x:c r="H679" s="30"/>
      <x:c r="I679" s="24" t="str">
        <x:v>대기</x:v>
      </x:c>
      <x:c r="J679" s="30"/>
      <x:c r="K679" s="24" t="str"/>
      <x:c r="L679" s="24" t="str">
        <x:v>자동점검</x:v>
      </x:c>
    </x:row>
    <x:row r="680" ht="17.25" customHeight="1">
      <x:c r="A680" s="24" t="str">
        <x:v>W-0679</x:v>
      </x:c>
      <x:c r="B680" s="24" t="str">
        <x:v>프라임구독</x:v>
      </x:c>
      <x:c r="C680" s="24" t="str">
        <x:v>76버5489</x:v>
      </x:c>
      <x:c r="D680" s="24" t="str">
        <x:v>긴급</x:v>
      </x:c>
      <x:c r="E680" s="24" t="str">
        <x:v>회수 검토</x:v>
      </x:c>
      <x:c r="F680" s="24" t="str">
        <x:v>76버5489 회수 검토</x:v>
      </x:c>
      <x:c r="G680" s="24" t="str"/>
      <x:c r="H680" s="30"/>
      <x:c r="I680" s="24" t="str">
        <x:v>대기</x:v>
      </x:c>
      <x:c r="J680" s="30"/>
      <x:c r="K680" s="24" t="str">
        <x:v>PR-C-76버5489-1-20220816-194</x:v>
      </x:c>
      <x:c r="L680" s="24" t="str">
        <x:v>자동점검</x:v>
      </x:c>
    </x:row>
    <x:row r="681" ht="17.25" customHeight="1">
      <x:c r="A681" s="24" t="str">
        <x:v>W-0680</x:v>
      </x:c>
      <x:c r="B681" s="24" t="str">
        <x:v>프라임구독</x:v>
      </x:c>
      <x:c r="C681" s="24" t="str">
        <x:v>76버5489</x:v>
      </x:c>
      <x:c r="D681" s="24" t="str">
        <x:v>높음</x:v>
      </x:c>
      <x:c r="E681" s="24" t="str">
        <x:v>보험 연령 입력</x:v>
      </x:c>
      <x:c r="F681" s="24" t="str">
        <x:v>76버5489 보험 연령 입력</x:v>
      </x:c>
      <x:c r="G681" s="24" t="str"/>
      <x:c r="H681" s="30"/>
      <x:c r="I681" s="24" t="str">
        <x:v>대기</x:v>
      </x:c>
      <x:c r="J681" s="30"/>
      <x:c r="K681" s="24" t="str">
        <x:v>PR-C-76버5489-1-20220816-194</x:v>
      </x:c>
      <x:c r="L681" s="24" t="str">
        <x:v>자동점검</x:v>
      </x:c>
    </x:row>
    <x:row r="682" ht="17.25" customHeight="1">
      <x:c r="A682" s="24" t="str">
        <x:v>W-0681</x:v>
      </x:c>
      <x:c r="B682" s="24" t="str">
        <x:v>프라임구독</x:v>
      </x:c>
      <x:c r="C682" s="24" t="str">
        <x:v>76버5489</x:v>
      </x:c>
      <x:c r="D682" s="24" t="str">
        <x:v>높음</x:v>
      </x:c>
      <x:c r="E682" s="24" t="str">
        <x:v>보험 갱신 확인</x:v>
      </x:c>
      <x:c r="F682" s="24" t="str">
        <x:v>76버5489 보험 갱신 확인</x:v>
      </x:c>
      <x:c r="G682" s="24" t="str"/>
      <x:c r="H682" s="30"/>
      <x:c r="I682" s="24" t="str">
        <x:v>대기</x:v>
      </x:c>
      <x:c r="J682" s="30"/>
      <x:c r="K682" s="24" t="str">
        <x:v>PR-C-76버5489-1-20220816-194</x:v>
      </x:c>
      <x:c r="L682" s="24" t="str">
        <x:v>자동점검</x:v>
      </x:c>
    </x:row>
    <x:row r="683" ht="17.25" customHeight="1">
      <x:c r="A683" s="24" t="str">
        <x:v>W-0682</x:v>
      </x:c>
      <x:c r="B683" s="24" t="str">
        <x:v>프라임구독</x:v>
      </x:c>
      <x:c r="C683" s="24" t="str">
        <x:v>76버5489</x:v>
      </x:c>
      <x:c r="D683" s="24" t="str">
        <x:v>보통</x:v>
      </x:c>
      <x:c r="E683" s="24" t="str">
        <x:v>현재 보유 확인</x:v>
      </x:c>
      <x:c r="F683" s="24" t="str">
        <x:v>76버5489 현재 보유 확인</x:v>
      </x:c>
      <x:c r="G683" s="24" t="str"/>
      <x:c r="H683" s="30"/>
      <x:c r="I683" s="24" t="str">
        <x:v>대기</x:v>
      </x:c>
      <x:c r="J683" s="30"/>
      <x:c r="K683" s="24" t="str">
        <x:v>PR-C-76버5489-1-20220816-194</x:v>
      </x:c>
      <x:c r="L683" s="24" t="str">
        <x:v>자동점검</x:v>
      </x:c>
    </x:row>
    <x:row r="684" ht="17.25" customHeight="1">
      <x:c r="A684" s="24" t="str">
        <x:v>W-0683</x:v>
      </x:c>
      <x:c r="B684" s="24" t="str">
        <x:v>프라임구독</x:v>
      </x:c>
      <x:c r="C684" s="24" t="str">
        <x:v>78고8923</x:v>
      </x:c>
      <x:c r="D684" s="24" t="str">
        <x:v>보통</x:v>
      </x:c>
      <x:c r="E684" s="24" t="str">
        <x:v>상태 시작일 입력</x:v>
      </x:c>
      <x:c r="F684" s="24" t="str">
        <x:v>78고8923 상태 시작일 입력</x:v>
      </x:c>
      <x:c r="G684" s="24" t="str"/>
      <x:c r="H684" s="30"/>
      <x:c r="I684" s="24" t="str">
        <x:v>대기</x:v>
      </x:c>
      <x:c r="J684" s="30"/>
      <x:c r="K684" s="24" t="str"/>
      <x:c r="L684" s="24" t="str">
        <x:v>자동점검</x:v>
      </x:c>
    </x:row>
    <x:row r="685" ht="17.25" customHeight="1">
      <x:c r="A685" s="24" t="str">
        <x:v>W-0684</x:v>
      </x:c>
      <x:c r="B685" s="24" t="str">
        <x:v>프라임구독</x:v>
      </x:c>
      <x:c r="C685" s="24" t="str">
        <x:v>78고8923</x:v>
      </x:c>
      <x:c r="D685" s="24" t="str">
        <x:v>보통</x:v>
      </x:c>
      <x:c r="E685" s="24" t="str">
        <x:v>현재 보유 확인</x:v>
      </x:c>
      <x:c r="F685" s="24" t="str">
        <x:v>78고8923 현재 보유 확인</x:v>
      </x:c>
      <x:c r="G685" s="24" t="str"/>
      <x:c r="H685" s="30"/>
      <x:c r="I685" s="24" t="str">
        <x:v>대기</x:v>
      </x:c>
      <x:c r="J685" s="30"/>
      <x:c r="K685" s="24" t="str"/>
      <x:c r="L685" s="24" t="str">
        <x:v>자동점검</x:v>
      </x:c>
    </x:row>
    <x:row r="686" ht="17.25" customHeight="1">
      <x:c r="A686" s="24" t="str">
        <x:v>W-0685</x:v>
      </x:c>
      <x:c r="B686" s="24" t="str">
        <x:v>프라임구독</x:v>
      </x:c>
      <x:c r="C686" s="24" t="str">
        <x:v>79도2997</x:v>
      </x:c>
      <x:c r="D686" s="24" t="str">
        <x:v>보통</x:v>
      </x:c>
      <x:c r="E686" s="24" t="str">
        <x:v>상태 시작일 입력</x:v>
      </x:c>
      <x:c r="F686" s="24" t="str">
        <x:v>79도2997 상태 시작일 입력</x:v>
      </x:c>
      <x:c r="G686" s="24" t="str"/>
      <x:c r="H686" s="30"/>
      <x:c r="I686" s="24" t="str">
        <x:v>대기</x:v>
      </x:c>
      <x:c r="J686" s="30"/>
      <x:c r="K686" s="24" t="str"/>
      <x:c r="L686" s="24" t="str">
        <x:v>자동점검</x:v>
      </x:c>
    </x:row>
    <x:row r="687" ht="17.25" customHeight="1">
      <x:c r="A687" s="24" t="str">
        <x:v>W-0686</x:v>
      </x:c>
      <x:c r="B687" s="24" t="str">
        <x:v>프라임구독</x:v>
      </x:c>
      <x:c r="C687" s="24" t="str">
        <x:v>79도2997</x:v>
      </x:c>
      <x:c r="D687" s="24" t="str">
        <x:v>보통</x:v>
      </x:c>
      <x:c r="E687" s="24" t="str">
        <x:v>현재 보유 확인</x:v>
      </x:c>
      <x:c r="F687" s="24" t="str">
        <x:v>79도2997 현재 보유 확인</x:v>
      </x:c>
      <x:c r="G687" s="24" t="str"/>
      <x:c r="H687" s="30"/>
      <x:c r="I687" s="24" t="str">
        <x:v>대기</x:v>
      </x:c>
      <x:c r="J687" s="30"/>
      <x:c r="K687" s="24" t="str"/>
      <x:c r="L687" s="24" t="str">
        <x:v>자동점검</x:v>
      </x:c>
    </x:row>
    <x:row r="688" ht="17.25" customHeight="1">
      <x:c r="A688" s="24" t="str">
        <x:v>W-0687</x:v>
      </x:c>
      <x:c r="B688" s="24" t="str">
        <x:v>프라임구독</x:v>
      </x:c>
      <x:c r="C688" s="24" t="str">
        <x:v>824도7383</x:v>
      </x:c>
      <x:c r="D688" s="24" t="str">
        <x:v>보통</x:v>
      </x:c>
      <x:c r="E688" s="24" t="str">
        <x:v>상태 시작일 입력</x:v>
      </x:c>
      <x:c r="F688" s="24" t="str">
        <x:v>824도7383 상태 시작일 입력</x:v>
      </x:c>
      <x:c r="G688" s="24" t="str"/>
      <x:c r="H688" s="30"/>
      <x:c r="I688" s="24" t="str">
        <x:v>대기</x:v>
      </x:c>
      <x:c r="J688" s="30"/>
      <x:c r="K688" s="24" t="str"/>
      <x:c r="L688" s="24" t="str">
        <x:v>자동점검</x:v>
      </x:c>
    </x:row>
    <x:row r="689" ht="17.25" customHeight="1">
      <x:c r="A689" s="24" t="str">
        <x:v>W-0688</x:v>
      </x:c>
      <x:c r="B689" s="24" t="str">
        <x:v>프라임구독</x:v>
      </x:c>
      <x:c r="C689" s="24" t="str">
        <x:v>824도7383</x:v>
      </x:c>
      <x:c r="D689" s="24" t="str">
        <x:v>보통</x:v>
      </x:c>
      <x:c r="E689" s="24" t="str">
        <x:v>현재 보유 확인</x:v>
      </x:c>
      <x:c r="F689" s="24" t="str">
        <x:v>824도7383 현재 보유 확인</x:v>
      </x:c>
      <x:c r="G689" s="24" t="str"/>
      <x:c r="H689" s="30"/>
      <x:c r="I689" s="24" t="str">
        <x:v>대기</x:v>
      </x:c>
      <x:c r="J689" s="30"/>
      <x:c r="K689" s="24" t="str"/>
      <x:c r="L689" s="24" t="str">
        <x:v>자동점검</x:v>
      </x:c>
    </x:row>
    <x:row r="690" ht="17.25" customHeight="1">
      <x:c r="A690" s="24" t="str">
        <x:v>W-0689</x:v>
      </x:c>
      <x:c r="B690" s="24" t="str">
        <x:v>프라임구독</x:v>
      </x:c>
      <x:c r="C690" s="24" t="str">
        <x:v>84고8297</x:v>
      </x:c>
      <x:c r="D690" s="24" t="str">
        <x:v>보통</x:v>
      </x:c>
      <x:c r="E690" s="24" t="str">
        <x:v>상태 시작일 입력</x:v>
      </x:c>
      <x:c r="F690" s="24" t="str">
        <x:v>84고8297 상태 시작일 입력</x:v>
      </x:c>
      <x:c r="G690" s="24" t="str"/>
      <x:c r="H690" s="30"/>
      <x:c r="I690" s="24" t="str">
        <x:v>대기</x:v>
      </x:c>
      <x:c r="J690" s="30"/>
      <x:c r="K690" s="24" t="str"/>
      <x:c r="L690" s="24" t="str">
        <x:v>자동점검</x:v>
      </x:c>
    </x:row>
    <x:row r="691" ht="17.25" customHeight="1">
      <x:c r="A691" s="24" t="str">
        <x:v>W-0690</x:v>
      </x:c>
      <x:c r="B691" s="24" t="str">
        <x:v>프라임구독</x:v>
      </x:c>
      <x:c r="C691" s="24" t="str">
        <x:v>84고8297</x:v>
      </x:c>
      <x:c r="D691" s="24" t="str">
        <x:v>보통</x:v>
      </x:c>
      <x:c r="E691" s="24" t="str">
        <x:v>현재 보유 확인</x:v>
      </x:c>
      <x:c r="F691" s="24" t="str">
        <x:v>84고8297 현재 보유 확인</x:v>
      </x:c>
      <x:c r="G691" s="24" t="str"/>
      <x:c r="H691" s="30"/>
      <x:c r="I691" s="24" t="str">
        <x:v>대기</x:v>
      </x:c>
      <x:c r="J691" s="30"/>
      <x:c r="K691" s="24" t="str"/>
      <x:c r="L691" s="24" t="str">
        <x:v>자동점검</x:v>
      </x:c>
    </x:row>
    <x:row r="692" ht="17.25" customHeight="1">
      <x:c r="A692" s="24" t="str">
        <x:v>W-0691</x:v>
      </x:c>
      <x:c r="B692" s="24" t="str">
        <x:v>프라임구독</x:v>
      </x:c>
      <x:c r="C692" s="24" t="str">
        <x:v>84모5364</x:v>
      </x:c>
      <x:c r="D692" s="24" t="str">
        <x:v>긴급</x:v>
      </x:c>
      <x:c r="E692" s="24" t="str">
        <x:v>회수 검토</x:v>
      </x:c>
      <x:c r="F692" s="24" t="str">
        <x:v>84모5364 회수 검토</x:v>
      </x:c>
      <x:c r="G692" s="24" t="str"/>
      <x:c r="H692" s="30"/>
      <x:c r="I692" s="24" t="str">
        <x:v>대기</x:v>
      </x:c>
      <x:c r="J692" s="30"/>
      <x:c r="K692" s="24" t="str">
        <x:v>PR-C-84모5364-1-20231122-200</x:v>
      </x:c>
      <x:c r="L692" s="24" t="str">
        <x:v>자동점검</x:v>
      </x:c>
    </x:row>
    <x:row r="693" ht="17.25" customHeight="1">
      <x:c r="A693" s="24" t="str">
        <x:v>W-0692</x:v>
      </x:c>
      <x:c r="B693" s="24" t="str">
        <x:v>프라임구독</x:v>
      </x:c>
      <x:c r="C693" s="24" t="str">
        <x:v>84모5364</x:v>
      </x:c>
      <x:c r="D693" s="24" t="str">
        <x:v>높음</x:v>
      </x:c>
      <x:c r="E693" s="24" t="str">
        <x:v>보험 연령 입력</x:v>
      </x:c>
      <x:c r="F693" s="24" t="str">
        <x:v>84모5364 보험 연령 입력</x:v>
      </x:c>
      <x:c r="G693" s="24" t="str"/>
      <x:c r="H693" s="30"/>
      <x:c r="I693" s="24" t="str">
        <x:v>대기</x:v>
      </x:c>
      <x:c r="J693" s="30"/>
      <x:c r="K693" s="24" t="str">
        <x:v>PR-C-84모5364-1-20231122-200</x:v>
      </x:c>
      <x:c r="L693" s="24" t="str">
        <x:v>자동점검</x:v>
      </x:c>
    </x:row>
    <x:row r="694" ht="17.25" customHeight="1">
      <x:c r="A694" s="24" t="str">
        <x:v>W-0693</x:v>
      </x:c>
      <x:c r="B694" s="24" t="str">
        <x:v>프라임구독</x:v>
      </x:c>
      <x:c r="C694" s="24" t="str">
        <x:v>84모5364</x:v>
      </x:c>
      <x:c r="D694" s="24" t="str">
        <x:v>높음</x:v>
      </x:c>
      <x:c r="E694" s="24" t="str">
        <x:v>보험 갱신 확인</x:v>
      </x:c>
      <x:c r="F694" s="24" t="str">
        <x:v>84모5364 보험 갱신 확인</x:v>
      </x:c>
      <x:c r="G694" s="24" t="str"/>
      <x:c r="H694" s="30"/>
      <x:c r="I694" s="24" t="str">
        <x:v>대기</x:v>
      </x:c>
      <x:c r="J694" s="30"/>
      <x:c r="K694" s="24" t="str">
        <x:v>PR-C-84모5364-1-20231122-200</x:v>
      </x:c>
      <x:c r="L694" s="24" t="str">
        <x:v>자동점검</x:v>
      </x:c>
    </x:row>
    <x:row r="695" ht="17.25" customHeight="1">
      <x:c r="A695" s="24" t="str">
        <x:v>W-0694</x:v>
      </x:c>
      <x:c r="B695" s="24" t="str">
        <x:v>프라임구독</x:v>
      </x:c>
      <x:c r="C695" s="24" t="str">
        <x:v>84모5364</x:v>
      </x:c>
      <x:c r="D695" s="24" t="str">
        <x:v>보통</x:v>
      </x:c>
      <x:c r="E695" s="24" t="str">
        <x:v>현재 보유 확인</x:v>
      </x:c>
      <x:c r="F695" s="24" t="str">
        <x:v>84모5364 현재 보유 확인</x:v>
      </x:c>
      <x:c r="G695" s="24" t="str"/>
      <x:c r="H695" s="30"/>
      <x:c r="I695" s="24" t="str">
        <x:v>대기</x:v>
      </x:c>
      <x:c r="J695" s="30"/>
      <x:c r="K695" s="24" t="str">
        <x:v>PR-C-84모5364-1-20231122-200</x:v>
      </x:c>
      <x:c r="L695" s="24" t="str">
        <x:v>자동점검</x:v>
      </x:c>
    </x:row>
    <x:row r="696" ht="17.25" customHeight="1">
      <x:c r="A696" s="24" t="str">
        <x:v>W-0695</x:v>
      </x:c>
      <x:c r="B696" s="24" t="str">
        <x:v>프라임구독</x:v>
      </x:c>
      <x:c r="C696" s="24" t="str">
        <x:v>84모5456</x:v>
      </x:c>
      <x:c r="D696" s="24" t="str">
        <x:v>보통</x:v>
      </x:c>
      <x:c r="E696" s="24" t="str">
        <x:v>상태 시작일 입력</x:v>
      </x:c>
      <x:c r="F696" s="24" t="str">
        <x:v>84모5456 상태 시작일 입력</x:v>
      </x:c>
      <x:c r="G696" s="24" t="str"/>
      <x:c r="H696" s="30"/>
      <x:c r="I696" s="24" t="str">
        <x:v>대기</x:v>
      </x:c>
      <x:c r="J696" s="30"/>
      <x:c r="K696" s="24" t="str"/>
      <x:c r="L696" s="24" t="str">
        <x:v>자동점검</x:v>
      </x:c>
    </x:row>
    <x:row r="697" ht="17.25" customHeight="1">
      <x:c r="A697" s="24" t="str">
        <x:v>W-0696</x:v>
      </x:c>
      <x:c r="B697" s="24" t="str">
        <x:v>프라임구독</x:v>
      </x:c>
      <x:c r="C697" s="24" t="str">
        <x:v>84모5456</x:v>
      </x:c>
      <x:c r="D697" s="24" t="str">
        <x:v>보통</x:v>
      </x:c>
      <x:c r="E697" s="24" t="str">
        <x:v>현재 보유 확인</x:v>
      </x:c>
      <x:c r="F697" s="24" t="str">
        <x:v>84모5456 현재 보유 확인</x:v>
      </x:c>
      <x:c r="G697" s="24" t="str"/>
      <x:c r="H697" s="30"/>
      <x:c r="I697" s="24" t="str">
        <x:v>대기</x:v>
      </x:c>
      <x:c r="J697" s="30"/>
      <x:c r="K697" s="24" t="str"/>
      <x:c r="L697" s="24" t="str">
        <x:v>자동점검</x:v>
      </x:c>
    </x:row>
    <x:row r="698" ht="17.25" customHeight="1">
      <x:c r="A698" s="24" t="str">
        <x:v>W-0697</x:v>
      </x:c>
      <x:c r="B698" s="24" t="str">
        <x:v>프라임구독</x:v>
      </x:c>
      <x:c r="C698" s="24" t="str">
        <x:v>86어0692</x:v>
      </x:c>
      <x:c r="D698" s="24" t="str">
        <x:v>보통</x:v>
      </x:c>
      <x:c r="E698" s="24" t="str">
        <x:v>상태 시작일 입력</x:v>
      </x:c>
      <x:c r="F698" s="24" t="str">
        <x:v>86어0692 상태 시작일 입력</x:v>
      </x:c>
      <x:c r="G698" s="24" t="str"/>
      <x:c r="H698" s="30"/>
      <x:c r="I698" s="24" t="str">
        <x:v>대기</x:v>
      </x:c>
      <x:c r="J698" s="30"/>
      <x:c r="K698" s="24" t="str"/>
      <x:c r="L698" s="24" t="str">
        <x:v>자동점검</x:v>
      </x:c>
    </x:row>
    <x:row r="699" ht="17.25" customHeight="1">
      <x:c r="A699" s="24" t="str">
        <x:v>W-0698</x:v>
      </x:c>
      <x:c r="B699" s="24" t="str">
        <x:v>프라임구독</x:v>
      </x:c>
      <x:c r="C699" s="24" t="str">
        <x:v>86어0692</x:v>
      </x:c>
      <x:c r="D699" s="24" t="str">
        <x:v>보통</x:v>
      </x:c>
      <x:c r="E699" s="24" t="str">
        <x:v>현재 보유 확인</x:v>
      </x:c>
      <x:c r="F699" s="24" t="str">
        <x:v>86어0692 현재 보유 확인</x:v>
      </x:c>
      <x:c r="G699" s="24" t="str"/>
      <x:c r="H699" s="30"/>
      <x:c r="I699" s="24" t="str">
        <x:v>대기</x:v>
      </x:c>
      <x:c r="J699" s="30"/>
      <x:c r="K699" s="24" t="str"/>
      <x:c r="L699" s="24" t="str">
        <x:v>자동점검</x:v>
      </x:c>
    </x:row>
    <x:row r="700" ht="17.25" customHeight="1">
      <x:c r="A700" s="24" t="str">
        <x:v>W-0699</x:v>
      </x:c>
      <x:c r="B700" s="24" t="str">
        <x:v>프라임구독</x:v>
      </x:c>
      <x:c r="C700" s="24" t="str">
        <x:v>88오9333</x:v>
      </x:c>
      <x:c r="D700" s="24" t="str">
        <x:v>보통</x:v>
      </x:c>
      <x:c r="E700" s="24" t="str">
        <x:v>상태 시작일 입력</x:v>
      </x:c>
      <x:c r="F700" s="24" t="str">
        <x:v>88오9333 상태 시작일 입력</x:v>
      </x:c>
      <x:c r="G700" s="24" t="str"/>
      <x:c r="H700" s="30"/>
      <x:c r="I700" s="24" t="str">
        <x:v>대기</x:v>
      </x:c>
      <x:c r="J700" s="30"/>
      <x:c r="K700" s="24" t="str"/>
      <x:c r="L700" s="24" t="str">
        <x:v>자동점검</x:v>
      </x:c>
    </x:row>
    <x:row r="701" ht="17.25" customHeight="1">
      <x:c r="A701" s="24" t="str">
        <x:v>W-0700</x:v>
      </x:c>
      <x:c r="B701" s="24" t="str">
        <x:v>프라임구독</x:v>
      </x:c>
      <x:c r="C701" s="24" t="str">
        <x:v>88오9333</x:v>
      </x:c>
      <x:c r="D701" s="24" t="str">
        <x:v>보통</x:v>
      </x:c>
      <x:c r="E701" s="24" t="str">
        <x:v>현재 보유 확인</x:v>
      </x:c>
      <x:c r="F701" s="24" t="str">
        <x:v>88오9333 현재 보유 확인</x:v>
      </x:c>
      <x:c r="G701" s="24" t="str"/>
      <x:c r="H701" s="30"/>
      <x:c r="I701" s="24" t="str">
        <x:v>대기</x:v>
      </x:c>
      <x:c r="J701" s="30"/>
      <x:c r="K701" s="24" t="str"/>
      <x:c r="L701" s="24" t="str">
        <x:v>자동점검</x:v>
      </x:c>
    </x:row>
    <x:row r="702" ht="17.25" customHeight="1">
      <x:c r="A702" s="24" t="str">
        <x:v>W-0701</x:v>
      </x:c>
      <x:c r="B702" s="24" t="str">
        <x:v>프라임구독</x:v>
      </x:c>
      <x:c r="C702" s="24" t="str">
        <x:v>89누6882</x:v>
      </x:c>
      <x:c r="D702" s="24" t="str">
        <x:v>보통</x:v>
      </x:c>
      <x:c r="E702" s="24" t="str">
        <x:v>상태 시작일 입력</x:v>
      </x:c>
      <x:c r="F702" s="24" t="str">
        <x:v>89누6882 상태 시작일 입력</x:v>
      </x:c>
      <x:c r="G702" s="24" t="str"/>
      <x:c r="H702" s="30"/>
      <x:c r="I702" s="24" t="str">
        <x:v>대기</x:v>
      </x:c>
      <x:c r="J702" s="30"/>
      <x:c r="K702" s="24" t="str"/>
      <x:c r="L702" s="24" t="str">
        <x:v>자동점검</x:v>
      </x:c>
    </x:row>
    <x:row r="703" ht="17.25" customHeight="1">
      <x:c r="A703" s="24" t="str">
        <x:v>W-0702</x:v>
      </x:c>
      <x:c r="B703" s="24" t="str">
        <x:v>프라임구독</x:v>
      </x:c>
      <x:c r="C703" s="24" t="str">
        <x:v>89누6882</x:v>
      </x:c>
      <x:c r="D703" s="24" t="str">
        <x:v>보통</x:v>
      </x:c>
      <x:c r="E703" s="24" t="str">
        <x:v>현재 보유 확인</x:v>
      </x:c>
      <x:c r="F703" s="24" t="str">
        <x:v>89누6882 현재 보유 확인</x:v>
      </x:c>
      <x:c r="G703" s="24" t="str"/>
      <x:c r="H703" s="30"/>
      <x:c r="I703" s="24" t="str">
        <x:v>대기</x:v>
      </x:c>
      <x:c r="J703" s="30"/>
      <x:c r="K703" s="24" t="str"/>
      <x:c r="L703" s="24" t="str">
        <x:v>자동점검</x:v>
      </x:c>
    </x:row>
    <x:row r="704" ht="17.25" customHeight="1">
      <x:c r="A704" s="24" t="str">
        <x:v>W-0703</x:v>
      </x:c>
      <x:c r="B704" s="24" t="str">
        <x:v>프라임구독</x:v>
      </x:c>
      <x:c r="C704" s="24" t="str">
        <x:v>89더0565</x:v>
      </x:c>
      <x:c r="D704" s="24" t="str">
        <x:v>보통</x:v>
      </x:c>
      <x:c r="E704" s="24" t="str">
        <x:v>상태 시작일 입력</x:v>
      </x:c>
      <x:c r="F704" s="24" t="str">
        <x:v>89더0565 상태 시작일 입력</x:v>
      </x:c>
      <x:c r="G704" s="24" t="str"/>
      <x:c r="H704" s="30"/>
      <x:c r="I704" s="24" t="str">
        <x:v>대기</x:v>
      </x:c>
      <x:c r="J704" s="30"/>
      <x:c r="K704" s="24" t="str"/>
      <x:c r="L704" s="24" t="str">
        <x:v>자동점검</x:v>
      </x:c>
    </x:row>
    <x:row r="705" ht="17.25" customHeight="1">
      <x:c r="A705" s="24" t="str">
        <x:v>W-0704</x:v>
      </x:c>
      <x:c r="B705" s="24" t="str">
        <x:v>프라임구독</x:v>
      </x:c>
      <x:c r="C705" s="24" t="str">
        <x:v>89더0565</x:v>
      </x:c>
      <x:c r="D705" s="24" t="str">
        <x:v>보통</x:v>
      </x:c>
      <x:c r="E705" s="24" t="str">
        <x:v>현재 보유 확인</x:v>
      </x:c>
      <x:c r="F705" s="24" t="str">
        <x:v>89더0565 현재 보유 확인</x:v>
      </x:c>
      <x:c r="G705" s="24" t="str"/>
      <x:c r="H705" s="30"/>
      <x:c r="I705" s="24" t="str">
        <x:v>대기</x:v>
      </x:c>
      <x:c r="J705" s="30"/>
      <x:c r="K705" s="24" t="str"/>
      <x:c r="L705" s="24" t="str">
        <x:v>자동점검</x:v>
      </x:c>
    </x:row>
    <x:row r="706" ht="17.25" customHeight="1">
      <x:c r="A706" s="24" t="str">
        <x:v>W-0705</x:v>
      </x:c>
      <x:c r="B706" s="24" t="str">
        <x:v>프라임구독</x:v>
      </x:c>
      <x:c r="C706" s="24" t="str">
        <x:v>91구1898</x:v>
      </x:c>
      <x:c r="D706" s="24" t="str">
        <x:v>보통</x:v>
      </x:c>
      <x:c r="E706" s="24" t="str">
        <x:v>상태 시작일 입력</x:v>
      </x:c>
      <x:c r="F706" s="24" t="str">
        <x:v>91구1898 상태 시작일 입력</x:v>
      </x:c>
      <x:c r="G706" s="24" t="str"/>
      <x:c r="H706" s="30"/>
      <x:c r="I706" s="24" t="str">
        <x:v>대기</x:v>
      </x:c>
      <x:c r="J706" s="30"/>
      <x:c r="K706" s="24" t="str"/>
      <x:c r="L706" s="24" t="str">
        <x:v>자동점검</x:v>
      </x:c>
    </x:row>
    <x:row r="707" ht="17.25" customHeight="1">
      <x:c r="A707" s="24" t="str">
        <x:v>W-0706</x:v>
      </x:c>
      <x:c r="B707" s="24" t="str">
        <x:v>프라임구독</x:v>
      </x:c>
      <x:c r="C707" s="24" t="str">
        <x:v>91구1898</x:v>
      </x:c>
      <x:c r="D707" s="24" t="str">
        <x:v>보통</x:v>
      </x:c>
      <x:c r="E707" s="24" t="str">
        <x:v>현재 보유 확인</x:v>
      </x:c>
      <x:c r="F707" s="24" t="str">
        <x:v>91구1898 현재 보유 확인</x:v>
      </x:c>
      <x:c r="G707" s="24" t="str"/>
      <x:c r="H707" s="30"/>
      <x:c r="I707" s="24" t="str">
        <x:v>대기</x:v>
      </x:c>
      <x:c r="J707" s="30"/>
      <x:c r="K707" s="24" t="str"/>
      <x:c r="L707" s="24" t="str">
        <x:v>자동점검</x:v>
      </x:c>
    </x:row>
    <x:row r="708" ht="17.25" customHeight="1">
      <x:c r="A708" s="24" t="str">
        <x:v>W-0707</x:v>
      </x:c>
      <x:c r="B708" s="24" t="str">
        <x:v>프라임구독</x:v>
      </x:c>
      <x:c r="C708" s="24" t="str">
        <x:v>93너4019</x:v>
      </x:c>
      <x:c r="D708" s="24" t="str">
        <x:v>긴급</x:v>
      </x:c>
      <x:c r="E708" s="24" t="str">
        <x:v>회수 검토</x:v>
      </x:c>
      <x:c r="F708" s="24" t="str">
        <x:v>93너4019 회수 검토</x:v>
      </x:c>
      <x:c r="G708" s="24" t="str"/>
      <x:c r="H708" s="30"/>
      <x:c r="I708" s="24" t="str">
        <x:v>대기</x:v>
      </x:c>
      <x:c r="J708" s="30"/>
      <x:c r="K708" s="24" t="str">
        <x:v>PR-C-93너4019-1-20231024-209</x:v>
      </x:c>
      <x:c r="L708" s="24" t="str">
        <x:v>자동점검</x:v>
      </x:c>
    </x:row>
    <x:row r="709" ht="17.25" customHeight="1">
      <x:c r="A709" s="24" t="str">
        <x:v>W-0708</x:v>
      </x:c>
      <x:c r="B709" s="24" t="str">
        <x:v>프라임구독</x:v>
      </x:c>
      <x:c r="C709" s="24" t="str">
        <x:v>93너4019</x:v>
      </x:c>
      <x:c r="D709" s="24" t="str">
        <x:v>높음</x:v>
      </x:c>
      <x:c r="E709" s="24" t="str">
        <x:v>보험 연령 입력</x:v>
      </x:c>
      <x:c r="F709" s="24" t="str">
        <x:v>93너4019 보험 연령 입력</x:v>
      </x:c>
      <x:c r="G709" s="24" t="str"/>
      <x:c r="H709" s="30"/>
      <x:c r="I709" s="24" t="str">
        <x:v>대기</x:v>
      </x:c>
      <x:c r="J709" s="30"/>
      <x:c r="K709" s="24" t="str">
        <x:v>PR-C-93너4019-1-20231024-209</x:v>
      </x:c>
      <x:c r="L709" s="24" t="str">
        <x:v>자동점검</x:v>
      </x:c>
    </x:row>
    <x:row r="710" ht="17.25" customHeight="1">
      <x:c r="A710" s="24" t="str">
        <x:v>W-0709</x:v>
      </x:c>
      <x:c r="B710" s="24" t="str">
        <x:v>프라임구독</x:v>
      </x:c>
      <x:c r="C710" s="24" t="str">
        <x:v>93너4019</x:v>
      </x:c>
      <x:c r="D710" s="24" t="str">
        <x:v>높음</x:v>
      </x:c>
      <x:c r="E710" s="24" t="str">
        <x:v>보험 갱신 확인</x:v>
      </x:c>
      <x:c r="F710" s="24" t="str">
        <x:v>93너4019 보험 갱신 확인</x:v>
      </x:c>
      <x:c r="G710" s="24" t="str"/>
      <x:c r="H710" s="30"/>
      <x:c r="I710" s="24" t="str">
        <x:v>대기</x:v>
      </x:c>
      <x:c r="J710" s="30"/>
      <x:c r="K710" s="24" t="str">
        <x:v>PR-C-93너4019-1-20231024-209</x:v>
      </x:c>
      <x:c r="L710" s="24" t="str">
        <x:v>자동점검</x:v>
      </x:c>
    </x:row>
    <x:row r="711" ht="17.25" customHeight="1">
      <x:c r="A711" s="24" t="str">
        <x:v>W-0710</x:v>
      </x:c>
      <x:c r="B711" s="24" t="str">
        <x:v>프라임구독</x:v>
      </x:c>
      <x:c r="C711" s="24" t="str">
        <x:v>93너4019</x:v>
      </x:c>
      <x:c r="D711" s="24" t="str">
        <x:v>보통</x:v>
      </x:c>
      <x:c r="E711" s="24" t="str">
        <x:v>현재 보유 확인</x:v>
      </x:c>
      <x:c r="F711" s="24" t="str">
        <x:v>93너4019 현재 보유 확인</x:v>
      </x:c>
      <x:c r="G711" s="24" t="str"/>
      <x:c r="H711" s="30"/>
      <x:c r="I711" s="24" t="str">
        <x:v>대기</x:v>
      </x:c>
      <x:c r="J711" s="30"/>
      <x:c r="K711" s="24" t="str">
        <x:v>PR-C-93너4019-1-20231024-209</x:v>
      </x:c>
      <x:c r="L711" s="24" t="str">
        <x:v>자동점검</x:v>
      </x:c>
    </x:row>
    <x:row r="712" ht="17.25" customHeight="1">
      <x:c r="A712" s="24" t="str">
        <x:v>W-0711</x:v>
      </x:c>
      <x:c r="B712" s="24" t="str">
        <x:v>프라임구독</x:v>
      </x:c>
      <x:c r="C712" s="24" t="str">
        <x:v>93오0716</x:v>
      </x:c>
      <x:c r="D712" s="24" t="str">
        <x:v>긴급</x:v>
      </x:c>
      <x:c r="E712" s="24" t="str">
        <x:v>회수 검토</x:v>
      </x:c>
      <x:c r="F712" s="24" t="str">
        <x:v>93오0716 회수 검토</x:v>
      </x:c>
      <x:c r="G712" s="24" t="str"/>
      <x:c r="H712" s="30"/>
      <x:c r="I712" s="24" t="str">
        <x:v>대기</x:v>
      </x:c>
      <x:c r="J712" s="30"/>
      <x:c r="K712" s="24" t="str">
        <x:v>PR-C-93오0716-1-20230712-211</x:v>
      </x:c>
      <x:c r="L712" s="24" t="str">
        <x:v>자동점검</x:v>
      </x:c>
    </x:row>
    <x:row r="713" ht="17.25" customHeight="1">
      <x:c r="A713" s="24" t="str">
        <x:v>W-0712</x:v>
      </x:c>
      <x:c r="B713" s="24" t="str">
        <x:v>프라임구독</x:v>
      </x:c>
      <x:c r="C713" s="24" t="str">
        <x:v>93오0716</x:v>
      </x:c>
      <x:c r="D713" s="24" t="str">
        <x:v>높음</x:v>
      </x:c>
      <x:c r="E713" s="24" t="str">
        <x:v>보험 연령 입력</x:v>
      </x:c>
      <x:c r="F713" s="24" t="str">
        <x:v>93오0716 보험 연령 입력</x:v>
      </x:c>
      <x:c r="G713" s="24" t="str"/>
      <x:c r="H713" s="30"/>
      <x:c r="I713" s="24" t="str">
        <x:v>대기</x:v>
      </x:c>
      <x:c r="J713" s="30"/>
      <x:c r="K713" s="24" t="str">
        <x:v>PR-C-93오0716-1-20230712-211</x:v>
      </x:c>
      <x:c r="L713" s="24" t="str">
        <x:v>자동점검</x:v>
      </x:c>
    </x:row>
    <x:row r="714" ht="17.25" customHeight="1">
      <x:c r="A714" s="24" t="str">
        <x:v>W-0713</x:v>
      </x:c>
      <x:c r="B714" s="24" t="str">
        <x:v>프라임구독</x:v>
      </x:c>
      <x:c r="C714" s="24" t="str">
        <x:v>93오0716</x:v>
      </x:c>
      <x:c r="D714" s="24" t="str">
        <x:v>높음</x:v>
      </x:c>
      <x:c r="E714" s="24" t="str">
        <x:v>보험 갱신 확인</x:v>
      </x:c>
      <x:c r="F714" s="24" t="str">
        <x:v>93오0716 보험 갱신 확인</x:v>
      </x:c>
      <x:c r="G714" s="24" t="str"/>
      <x:c r="H714" s="30"/>
      <x:c r="I714" s="24" t="str">
        <x:v>대기</x:v>
      </x:c>
      <x:c r="J714" s="30"/>
      <x:c r="K714" s="24" t="str">
        <x:v>PR-C-93오0716-1-20230712-211</x:v>
      </x:c>
      <x:c r="L714" s="24" t="str">
        <x:v>자동점검</x:v>
      </x:c>
    </x:row>
    <x:row r="715" ht="17.25" customHeight="1">
      <x:c r="A715" s="24" t="str">
        <x:v>W-0714</x:v>
      </x:c>
      <x:c r="B715" s="24" t="str">
        <x:v>프라임구독</x:v>
      </x:c>
      <x:c r="C715" s="24" t="str">
        <x:v>93오0716</x:v>
      </x:c>
      <x:c r="D715" s="24" t="str">
        <x:v>보통</x:v>
      </x:c>
      <x:c r="E715" s="24" t="str">
        <x:v>현재 보유 확인</x:v>
      </x:c>
      <x:c r="F715" s="24" t="str">
        <x:v>93오0716 현재 보유 확인</x:v>
      </x:c>
      <x:c r="G715" s="24" t="str"/>
      <x:c r="H715" s="30"/>
      <x:c r="I715" s="24" t="str">
        <x:v>대기</x:v>
      </x:c>
      <x:c r="J715" s="30"/>
      <x:c r="K715" s="24" t="str">
        <x:v>PR-C-93오0716-1-20230712-211</x:v>
      </x:c>
      <x:c r="L715" s="24" t="str">
        <x:v>자동점검</x:v>
      </x:c>
    </x:row>
    <x:row r="716" ht="17.25" customHeight="1">
      <x:c r="A716" s="24" t="str">
        <x:v>W-0715</x:v>
      </x:c>
      <x:c r="B716" s="24" t="str">
        <x:v>프라임구독</x:v>
      </x:c>
      <x:c r="C716" s="24" t="str">
        <x:v>95서4167</x:v>
      </x:c>
      <x:c r="D716" s="24" t="str">
        <x:v>보통</x:v>
      </x:c>
      <x:c r="E716" s="24" t="str">
        <x:v>상태 시작일 입력</x:v>
      </x:c>
      <x:c r="F716" s="24" t="str">
        <x:v>95서4167 상태 시작일 입력</x:v>
      </x:c>
      <x:c r="G716" s="24" t="str"/>
      <x:c r="H716" s="30"/>
      <x:c r="I716" s="24" t="str">
        <x:v>대기</x:v>
      </x:c>
      <x:c r="J716" s="30"/>
      <x:c r="K716" s="24" t="str"/>
      <x:c r="L716" s="24" t="str">
        <x:v>자동점검</x:v>
      </x:c>
    </x:row>
    <x:row r="717" ht="17.25" customHeight="1">
      <x:c r="A717" s="24" t="str">
        <x:v>W-0716</x:v>
      </x:c>
      <x:c r="B717" s="24" t="str">
        <x:v>프라임구독</x:v>
      </x:c>
      <x:c r="C717" s="24" t="str">
        <x:v>95서4167</x:v>
      </x:c>
      <x:c r="D717" s="24" t="str">
        <x:v>보통</x:v>
      </x:c>
      <x:c r="E717" s="24" t="str">
        <x:v>현재 보유 확인</x:v>
      </x:c>
      <x:c r="F717" s="24" t="str">
        <x:v>95서4167 현재 보유 확인</x:v>
      </x:c>
      <x:c r="G717" s="24" t="str"/>
      <x:c r="H717" s="30"/>
      <x:c r="I717" s="24" t="str">
        <x:v>대기</x:v>
      </x:c>
      <x:c r="J717" s="30"/>
      <x:c r="K717" s="24" t="str"/>
      <x:c r="L717" s="24" t="str">
        <x:v>자동점검</x:v>
      </x:c>
    </x:row>
    <x:row r="718" ht="17.25" customHeight="1">
      <x:c r="A718" s="24" t="str">
        <x:v>W-0717</x:v>
      </x:c>
      <x:c r="B718" s="24" t="str">
        <x:v>프라임구독</x:v>
      </x:c>
      <x:c r="C718" s="24" t="str">
        <x:v>96머7474</x:v>
      </x:c>
      <x:c r="D718" s="24" t="str">
        <x:v>긴급</x:v>
      </x:c>
      <x:c r="E718" s="24" t="str">
        <x:v>미수 확인</x:v>
      </x:c>
      <x:c r="F718" s="24" t="str">
        <x:v>96머7474 미수 확인</x:v>
      </x:c>
      <x:c r="G718" s="24" t="str"/>
      <x:c r="H718" s="30"/>
      <x:c r="I718" s="24" t="str">
        <x:v>대기</x:v>
      </x:c>
      <x:c r="J718" s="30"/>
      <x:c r="K718" s="24" t="str">
        <x:v>PR-C-96머7474-1-20230131-214</x:v>
      </x:c>
      <x:c r="L718" s="24" t="str">
        <x:v>자동점검</x:v>
      </x:c>
    </x:row>
    <x:row r="719" ht="17.25" customHeight="1">
      <x:c r="A719" s="24" t="str">
        <x:v>W-0718</x:v>
      </x:c>
      <x:c r="B719" s="24" t="str">
        <x:v>프라임구독</x:v>
      </x:c>
      <x:c r="C719" s="24" t="str">
        <x:v>96머7474</x:v>
      </x:c>
      <x:c r="D719" s="24" t="str">
        <x:v>높음</x:v>
      </x:c>
      <x:c r="E719" s="24" t="str">
        <x:v>보험 연령 입력</x:v>
      </x:c>
      <x:c r="F719" s="24" t="str">
        <x:v>96머7474 보험 연령 입력</x:v>
      </x:c>
      <x:c r="G719" s="24" t="str"/>
      <x:c r="H719" s="30"/>
      <x:c r="I719" s="24" t="str">
        <x:v>대기</x:v>
      </x:c>
      <x:c r="J719" s="30"/>
      <x:c r="K719" s="24" t="str">
        <x:v>PR-C-96머7474-1-20230131-214</x:v>
      </x:c>
      <x:c r="L719" s="24" t="str">
        <x:v>자동점검</x:v>
      </x:c>
    </x:row>
    <x:row r="720" ht="17.25" customHeight="1">
      <x:c r="A720" s="24" t="str">
        <x:v>W-0719</x:v>
      </x:c>
      <x:c r="B720" s="24" t="str">
        <x:v>프라임구독</x:v>
      </x:c>
      <x:c r="C720" s="24" t="str">
        <x:v>96머7474</x:v>
      </x:c>
      <x:c r="D720" s="24" t="str">
        <x:v>높음</x:v>
      </x:c>
      <x:c r="E720" s="24" t="str">
        <x:v>보험 갱신 확인</x:v>
      </x:c>
      <x:c r="F720" s="24" t="str">
        <x:v>96머7474 보험 갱신 확인</x:v>
      </x:c>
      <x:c r="G720" s="24" t="str"/>
      <x:c r="H720" s="30"/>
      <x:c r="I720" s="24" t="str">
        <x:v>대기</x:v>
      </x:c>
      <x:c r="J720" s="30"/>
      <x:c r="K720" s="24" t="str">
        <x:v>PR-C-96머7474-1-20230131-214</x:v>
      </x:c>
      <x:c r="L720" s="24" t="str">
        <x:v>자동점검</x:v>
      </x:c>
    </x:row>
    <x:row r="721" ht="17.25" customHeight="1">
      <x:c r="A721" s="24" t="str">
        <x:v>W-0720</x:v>
      </x:c>
      <x:c r="B721" s="24" t="str">
        <x:v>프라임구독</x:v>
      </x:c>
      <x:c r="C721" s="24" t="str">
        <x:v>96머7474</x:v>
      </x:c>
      <x:c r="D721" s="24" t="str">
        <x:v>보통</x:v>
      </x:c>
      <x:c r="E721" s="24" t="str">
        <x:v>현재 보유 확인</x:v>
      </x:c>
      <x:c r="F721" s="24" t="str">
        <x:v>96머7474 현재 보유 확인</x:v>
      </x:c>
      <x:c r="G721" s="24" t="str"/>
      <x:c r="H721" s="30"/>
      <x:c r="I721" s="24" t="str">
        <x:v>대기</x:v>
      </x:c>
      <x:c r="J721" s="30"/>
      <x:c r="K721" s="24" t="str">
        <x:v>PR-C-96머7474-1-20230131-214</x:v>
      </x:c>
      <x:c r="L721" s="24" t="str">
        <x:v>자동점검</x:v>
      </x:c>
    </x:row>
    <x:row r="722" ht="17.25" customHeight="1">
      <x:c r="A722" s="24" t="str">
        <x:v>W-0721</x:v>
      </x:c>
      <x:c r="B722" s="24" t="str">
        <x:v>프라임구독</x:v>
      </x:c>
      <x:c r="C722" s="24" t="str">
        <x:v>96서1502</x:v>
      </x:c>
      <x:c r="D722" s="24" t="str">
        <x:v>보통</x:v>
      </x:c>
      <x:c r="E722" s="24" t="str">
        <x:v>상태 시작일 입력</x:v>
      </x:c>
      <x:c r="F722" s="24" t="str">
        <x:v>96서1502 상태 시작일 입력</x:v>
      </x:c>
      <x:c r="G722" s="24" t="str"/>
      <x:c r="H722" s="30"/>
      <x:c r="I722" s="24" t="str">
        <x:v>대기</x:v>
      </x:c>
      <x:c r="J722" s="30"/>
      <x:c r="K722" s="24" t="str"/>
      <x:c r="L722" s="24" t="str">
        <x:v>자동점검</x:v>
      </x:c>
    </x:row>
    <x:row r="723" ht="17.25" customHeight="1">
      <x:c r="A723" s="24" t="str">
        <x:v>W-0722</x:v>
      </x:c>
      <x:c r="B723" s="24" t="str">
        <x:v>프라임구독</x:v>
      </x:c>
      <x:c r="C723" s="24" t="str">
        <x:v>96서1502</x:v>
      </x:c>
      <x:c r="D723" s="24" t="str">
        <x:v>보통</x:v>
      </x:c>
      <x:c r="E723" s="24" t="str">
        <x:v>현재 보유 확인</x:v>
      </x:c>
      <x:c r="F723" s="24" t="str">
        <x:v>96서1502 현재 보유 확인</x:v>
      </x:c>
      <x:c r="G723" s="24" t="str"/>
      <x:c r="H723" s="30"/>
      <x:c r="I723" s="24" t="str">
        <x:v>대기</x:v>
      </x:c>
      <x:c r="J723" s="30"/>
      <x:c r="K723" s="24" t="str"/>
      <x:c r="L723" s="24" t="str">
        <x:v>자동점검</x:v>
      </x:c>
    </x:row>
  </x:sheetData>
  <x:conditionalFormatting sqref="D2:D723">
    <x:cfRule type="containsText" dxfId="11" priority="1" operator="containsText" text="긴급"/>
    <x:cfRule type="containsText" dxfId="12" priority="2" operator="containsText" text="높음"/>
  </x:conditionalFormatting>
  <x:pageMargins left="0.7" right="0.7" top="0.75" bottom="0.75" header="0.3" footer="0.3"/>
  <x:tableParts count="1">
    <x:tablePart xmlns:r="http://schemas.openxmlformats.org/officeDocument/2006/relationships" r:id="R2f7607caa44547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130000114440918" hidden="0" customWidth="1"/>
    <x:col min="3" max="3" width="11.25" hidden="0" customWidth="1"/>
    <x:col min="4" max="4" width="13.130000114440918" hidden="0" customWidth="1"/>
    <x:col min="5" max="5" width="10.630000114440918" hidden="0" customWidth="1"/>
    <x:col min="6" max="6" width="10" hidden="0" customWidth="1"/>
    <x:col min="7" max="7" width="10" hidden="0" customWidth="1"/>
    <x:col min="8" max="8" width="11.880000114440918" hidden="0" customWidth="1"/>
    <x:col min="9" max="9" width="22.5" hidden="0" customWidth="1"/>
    <x:col min="10" max="10" width="11.880000114440918" hidden="0" customWidth="1"/>
    <x:col min="11" max="11" width="25" hidden="0" customWidth="1"/>
    <x:col min="12" max="12" width="22.5" hidden="0" customWidth="1"/>
    <x:col min="13" max="13" width="10" hidden="0" customWidth="1"/>
    <x:col min="14" max="14" width="11.25" hidden="0" customWidth="1"/>
  </x:cols>
  <x:sheetData>
    <x:row r="1" ht="25.5" customHeight="1">
      <x:c r="A1" s="29" t="str">
        <x:v>이벤트ID</x:v>
      </x:c>
      <x:c r="B1" s="29" t="str">
        <x:v>법인</x:v>
      </x:c>
      <x:c r="C1" s="29" t="str">
        <x:v>차량번호</x:v>
      </x:c>
      <x:c r="D1" s="29" t="str">
        <x:v>발생일시</x:v>
      </x:c>
      <x:c r="E1" s="29" t="str">
        <x:v>유형</x:v>
      </x:c>
      <x:c r="F1" s="29" t="str">
        <x:v>상태전</x:v>
      </x:c>
      <x:c r="G1" s="29" t="str">
        <x:v>상태후</x:v>
      </x:c>
      <x:c r="H1" s="29" t="str">
        <x:v>금액</x:v>
      </x:c>
      <x:c r="I1" s="29" t="str">
        <x:v>계약ID</x:v>
      </x:c>
      <x:c r="J1" s="29" t="str">
        <x:v>상대방</x:v>
      </x:c>
      <x:c r="K1" s="29" t="str">
        <x:v>내용</x:v>
      </x:c>
      <x:c r="L1" s="29" t="str">
        <x:v>증빙링크</x:v>
      </x:c>
      <x:c r="M1" s="29" t="str">
        <x:v>담당자</x:v>
      </x:c>
      <x:c r="N1" s="29" t="str">
        <x:v>완료일</x:v>
      </x:c>
    </x:row>
    <x:row r="2" ht="17.25" customHeight="1">
      <x:c r="A2" s="24" t="str">
        <x:v>E-00001</x:v>
      </x:c>
      <x:c r="B2" s="24" t="str">
        <x:v>스위치플랜</x:v>
      </x:c>
      <x:c r="C2" s="24" t="str">
        <x:v>16부2718</x:v>
      </x:c>
      <x:c r="D2" s="30" t="n">
        <x:v>46064</x:v>
      </x:c>
      <x:c r="E2" s="24" t="str">
        <x:v>계약시작</x:v>
      </x:c>
      <x:c r="F2" s="24" t="str"/>
      <x:c r="G2" s="24" t="str">
        <x:v>대여중</x:v>
      </x:c>
      <x:c r="H2" s="32" t="n">
        <x:v>390000</x:v>
      </x:c>
      <x:c r="I2" s="24" t="str">
        <x:v>SW-C-16부2718-1-20260211-3</x:v>
      </x:c>
      <x:c r="J2" s="24" t="str">
        <x:v>김근하</x:v>
      </x:c>
      <x:c r="K2" s="24" t="str">
        <x:v>구독대여 계약 시작</x:v>
      </x:c>
      <x:c r="L2" s="24" t="str"/>
      <x:c r="M2" s="24" t="str">
        <x:v>하허호</x:v>
      </x:c>
      <x:c r="N2" s="30" t="n">
        <x:v>46064</x:v>
      </x:c>
    </x:row>
    <x:row r="3" ht="17.25" customHeight="1">
      <x:c r="A3" s="24" t="str">
        <x:v>E-00002</x:v>
      </x:c>
      <x:c r="B3" s="24" t="str">
        <x:v>스위치플랜</x:v>
      </x:c>
      <x:c r="C3" s="24" t="str">
        <x:v>16부2718</x:v>
      </x:c>
      <x:c r="D3" s="30" t="n">
        <x:v>45756</x:v>
      </x:c>
      <x:c r="E3" s="24" t="str">
        <x:v>계약시작</x:v>
      </x:c>
      <x:c r="F3" s="24" t="str"/>
      <x:c r="G3" s="24" t="str">
        <x:v>대여중</x:v>
      </x:c>
      <x:c r="H3" s="32" t="n">
        <x:v>490000</x:v>
      </x:c>
      <x:c r="I3" s="24" t="str">
        <x:v>SW-C-16부2718-3-20250409-3</x:v>
      </x:c>
      <x:c r="J3" s="24" t="str">
        <x:v>임영래</x:v>
      </x:c>
      <x:c r="K3" s="24" t="str">
        <x:v>구독대여 계약 시작</x:v>
      </x:c>
      <x:c r="L3" s="24" t="str"/>
      <x:c r="M3" s="24" t="str">
        <x:v>하허호</x:v>
      </x:c>
      <x:c r="N3" s="30" t="n">
        <x:v>45756</x:v>
      </x:c>
    </x:row>
    <x:row r="4" ht="17.25" customHeight="1">
      <x:c r="A4" s="24" t="str">
        <x:v>E-00003</x:v>
      </x:c>
      <x:c r="B4" s="24" t="str">
        <x:v>스위치플랜</x:v>
      </x:c>
      <x:c r="C4" s="24" t="str">
        <x:v>16부2718</x:v>
      </x:c>
      <x:c r="D4" s="30" t="n">
        <x:v>45861</x:v>
      </x:c>
      <x:c r="E4" s="24" t="str">
        <x:v>반납</x:v>
      </x:c>
      <x:c r="F4" s="24" t="str">
        <x:v>대여중</x:v>
      </x:c>
      <x:c r="G4" s="24" t="str">
        <x:v>쉬는차</x:v>
      </x:c>
      <x:c r="H4" s="32"/>
      <x:c r="I4" s="24" t="str">
        <x:v>SW-C-16부2718-3-20250409-3</x:v>
      </x:c>
      <x:c r="J4" s="24" t="str">
        <x:v>임영래</x:v>
      </x:c>
      <x:c r="K4" s="24" t="str">
        <x:v>차량 반납</x:v>
      </x:c>
      <x:c r="L4" s="24" t="str"/>
      <x:c r="M4" s="24" t="str">
        <x:v>하허호</x:v>
      </x:c>
      <x:c r="N4" s="30" t="n">
        <x:v>45861</x:v>
      </x:c>
    </x:row>
    <x:row r="5" ht="17.25" customHeight="1">
      <x:c r="A5" s="24" t="str">
        <x:v>E-00004</x:v>
      </x:c>
      <x:c r="B5" s="24" t="str">
        <x:v>스위치플랜</x:v>
      </x:c>
      <x:c r="C5" s="24" t="str">
        <x:v>16부2718</x:v>
      </x:c>
      <x:c r="D5" s="30" t="n">
        <x:v>45674</x:v>
      </x:c>
      <x:c r="E5" s="24" t="str">
        <x:v>계약시작</x:v>
      </x:c>
      <x:c r="F5" s="24" t="str"/>
      <x:c r="G5" s="24" t="str">
        <x:v>대여중</x:v>
      </x:c>
      <x:c r="H5" s="32" t="n">
        <x:v>700000</x:v>
      </x:c>
      <x:c r="I5" s="24" t="str">
        <x:v>SW-C-16부2718-4-20250117-3</x:v>
      </x:c>
      <x:c r="J5" s="24" t="str">
        <x:v>이명재</x:v>
      </x:c>
      <x:c r="K5" s="24" t="str">
        <x:v>구독대여 계약 시작</x:v>
      </x:c>
      <x:c r="L5" s="24" t="str"/>
      <x:c r="M5" s="24" t="str">
        <x:v>하허호</x:v>
      </x:c>
      <x:c r="N5" s="30" t="n">
        <x:v>45674</x:v>
      </x:c>
    </x:row>
    <x:row r="6" ht="17.25" customHeight="1">
      <x:c r="A6" s="24" t="str">
        <x:v>E-00005</x:v>
      </x:c>
      <x:c r="B6" s="24" t="str">
        <x:v>스위치플랜</x:v>
      </x:c>
      <x:c r="C6" s="24" t="str">
        <x:v>16부2718</x:v>
      </x:c>
      <x:c r="D6" s="30" t="n">
        <x:v>45741</x:v>
      </x:c>
      <x:c r="E6" s="24" t="str">
        <x:v>반납</x:v>
      </x:c>
      <x:c r="F6" s="24" t="str">
        <x:v>대여중</x:v>
      </x:c>
      <x:c r="G6" s="24" t="str">
        <x:v>쉬는차</x:v>
      </x:c>
      <x:c r="H6" s="32"/>
      <x:c r="I6" s="24" t="str">
        <x:v>SW-C-16부2718-4-20250117-3</x:v>
      </x:c>
      <x:c r="J6" s="24" t="str">
        <x:v>이명재</x:v>
      </x:c>
      <x:c r="K6" s="24" t="str">
        <x:v>차량 반납</x:v>
      </x:c>
      <x:c r="L6" s="24" t="str"/>
      <x:c r="M6" s="24" t="str">
        <x:v>하허호</x:v>
      </x:c>
      <x:c r="N6" s="30" t="n">
        <x:v>45741</x:v>
      </x:c>
    </x:row>
    <x:row r="7" ht="17.25" customHeight="1">
      <x:c r="A7" s="24" t="str">
        <x:v>E-00006</x:v>
      </x:c>
      <x:c r="B7" s="24" t="str">
        <x:v>스위치플랜</x:v>
      </x:c>
      <x:c r="C7" s="24" t="str">
        <x:v>16부2718</x:v>
      </x:c>
      <x:c r="D7" s="30" t="n">
        <x:v>45665</x:v>
      </x:c>
      <x:c r="E7" s="24" t="str">
        <x:v>계약시작</x:v>
      </x:c>
      <x:c r="F7" s="24" t="str"/>
      <x:c r="G7" s="24" t="str">
        <x:v>대여중</x:v>
      </x:c>
      <x:c r="H7" s="32" t="n">
        <x:v>45300</x:v>
      </x:c>
      <x:c r="I7" s="24" t="str">
        <x:v>SW-C-16부2718-5-20250108-3</x:v>
      </x:c>
      <x:c r="J7" s="24" t="str">
        <x:v>공창원</x:v>
      </x:c>
      <x:c r="K7" s="24" t="str">
        <x:v>구독대여 계약 시작</x:v>
      </x:c>
      <x:c r="L7" s="24" t="str"/>
      <x:c r="M7" s="24" t="str">
        <x:v>하허호</x:v>
      </x:c>
      <x:c r="N7" s="30" t="n">
        <x:v>45665</x:v>
      </x:c>
    </x:row>
    <x:row r="8" ht="17.25" customHeight="1">
      <x:c r="A8" s="24" t="str">
        <x:v>E-00007</x:v>
      </x:c>
      <x:c r="B8" s="24" t="str">
        <x:v>스위치플랜</x:v>
      </x:c>
      <x:c r="C8" s="24" t="str">
        <x:v>16부2718</x:v>
      </x:c>
      <x:c r="D8" s="30"/>
      <x:c r="E8" s="24" t="str">
        <x:v>반납</x:v>
      </x:c>
      <x:c r="F8" s="24" t="str">
        <x:v>대여중</x:v>
      </x:c>
      <x:c r="G8" s="24" t="str">
        <x:v>쉬는차</x:v>
      </x:c>
      <x:c r="H8" s="32"/>
      <x:c r="I8" s="24" t="str">
        <x:v>SW-C-16부2718-5-20250108-3</x:v>
      </x:c>
      <x:c r="J8" s="24" t="str">
        <x:v>공창원</x:v>
      </x:c>
      <x:c r="K8" s="24" t="str">
        <x:v>차량 반납</x:v>
      </x:c>
      <x:c r="L8" s="24" t="str"/>
      <x:c r="M8" s="24" t="str">
        <x:v>하허호</x:v>
      </x:c>
      <x:c r="N8" s="30"/>
    </x:row>
    <x:row r="9" ht="17.25" customHeight="1">
      <x:c r="A9" s="24" t="str">
        <x:v>E-00008</x:v>
      </x:c>
      <x:c r="B9" s="24" t="str">
        <x:v>스위치플랜</x:v>
      </x:c>
      <x:c r="C9" s="24" t="str">
        <x:v>181로2705</x:v>
      </x:c>
      <x:c r="D9" s="30" t="n">
        <x:v>45635</x:v>
      </x:c>
      <x:c r="E9" s="24" t="str">
        <x:v>계약시작</x:v>
      </x:c>
      <x:c r="F9" s="24" t="str"/>
      <x:c r="G9" s="24" t="str">
        <x:v>대여중</x:v>
      </x:c>
      <x:c r="H9" s="32" t="n">
        <x:v>1360000</x:v>
      </x:c>
      <x:c r="I9" s="24" t="str">
        <x:v>SW-C-181로2705-1-20241209-4</x:v>
      </x:c>
      <x:c r="J9" s="24" t="str">
        <x:v>김현우</x:v>
      </x:c>
      <x:c r="K9" s="24" t="str">
        <x:v>구독대여 계약 시작</x:v>
      </x:c>
      <x:c r="L9" s="24" t="str"/>
      <x:c r="M9" s="24" t="str">
        <x:v>하허호</x:v>
      </x:c>
      <x:c r="N9" s="30" t="n">
        <x:v>45635</x:v>
      </x:c>
    </x:row>
    <x:row r="10" ht="17.25" customHeight="1">
      <x:c r="A10" s="24" t="str">
        <x:v>E-00009</x:v>
      </x:c>
      <x:c r="B10" s="24" t="str">
        <x:v>스위치플랜</x:v>
      </x:c>
      <x:c r="C10" s="24" t="str">
        <x:v>03머0389</x:v>
      </x:c>
      <x:c r="D10" s="30" t="n">
        <x:v>45295</x:v>
      </x:c>
      <x:c r="E10" s="24" t="str">
        <x:v>계약시작</x:v>
      </x:c>
      <x:c r="F10" s="24" t="str"/>
      <x:c r="G10" s="24" t="str">
        <x:v>대여중</x:v>
      </x:c>
      <x:c r="H10" s="32" t="n">
        <x:v>1030000</x:v>
      </x:c>
      <x:c r="I10" s="24" t="str">
        <x:v>SW-C-03머0389-1-20240104-5</x:v>
      </x:c>
      <x:c r="J10" s="24" t="str">
        <x:v>고욱</x:v>
      </x:c>
      <x:c r="K10" s="24" t="str">
        <x:v>구독대여 계약 시작</x:v>
      </x:c>
      <x:c r="L10" s="24" t="str"/>
      <x:c r="M10" s="24" t="str">
        <x:v>하허호</x:v>
      </x:c>
      <x:c r="N10" s="30" t="n">
        <x:v>45295</x:v>
      </x:c>
    </x:row>
    <x:row r="11" ht="17.25" customHeight="1">
      <x:c r="A11" s="24" t="str">
        <x:v>E-00010</x:v>
      </x:c>
      <x:c r="B11" s="24" t="str">
        <x:v>스위치플랜</x:v>
      </x:c>
      <x:c r="C11" s="24" t="str">
        <x:v>03머0389</x:v>
      </x:c>
      <x:c r="D11" s="30" t="n">
        <x:v>45271</x:v>
      </x:c>
      <x:c r="E11" s="24" t="str">
        <x:v>계약시작</x:v>
      </x:c>
      <x:c r="F11" s="24" t="str"/>
      <x:c r="G11" s="24" t="str">
        <x:v>대여중</x:v>
      </x:c>
      <x:c r="H11" s="32" t="n">
        <x:v>1360000</x:v>
      </x:c>
      <x:c r="I11" s="24" t="str">
        <x:v>SW-C-03머0389-2-20231211-5</x:v>
      </x:c>
      <x:c r="J11" s="24" t="str">
        <x:v>신윤형</x:v>
      </x:c>
      <x:c r="K11" s="24" t="str">
        <x:v>구독대여 계약 시작</x:v>
      </x:c>
      <x:c r="L11" s="24" t="str"/>
      <x:c r="M11" s="24" t="str">
        <x:v>하허호</x:v>
      </x:c>
      <x:c r="N11" s="30" t="n">
        <x:v>45271</x:v>
      </x:c>
    </x:row>
    <x:row r="12" ht="17.25" customHeight="1">
      <x:c r="A12" s="24" t="str">
        <x:v>E-00011</x:v>
      </x:c>
      <x:c r="B12" s="24" t="str">
        <x:v>스위치플랜</x:v>
      </x:c>
      <x:c r="C12" s="24" t="str">
        <x:v>03머0389</x:v>
      </x:c>
      <x:c r="D12" s="30" t="n">
        <x:v>45531</x:v>
      </x:c>
      <x:c r="E12" s="24" t="str">
        <x:v>반납</x:v>
      </x:c>
      <x:c r="F12" s="24" t="str">
        <x:v>대여중</x:v>
      </x:c>
      <x:c r="G12" s="24" t="str">
        <x:v>쉬는차</x:v>
      </x:c>
      <x:c r="H12" s="32"/>
      <x:c r="I12" s="24" t="str">
        <x:v>SW-C-03머0389-2-20231211-5</x:v>
      </x:c>
      <x:c r="J12" s="24" t="str">
        <x:v>신윤형</x:v>
      </x:c>
      <x:c r="K12" s="24" t="str">
        <x:v>차량 반납</x:v>
      </x:c>
      <x:c r="L12" s="24" t="str"/>
      <x:c r="M12" s="24" t="str">
        <x:v>하허호</x:v>
      </x:c>
      <x:c r="N12" s="30" t="n">
        <x:v>45531</x:v>
      </x:c>
    </x:row>
    <x:row r="13" ht="17.25" customHeight="1">
      <x:c r="A13" s="24" t="str">
        <x:v>E-00012</x:v>
      </x:c>
      <x:c r="B13" s="24" t="str">
        <x:v>스위치플랜</x:v>
      </x:c>
      <x:c r="C13" s="24" t="str">
        <x:v>117머4942</x:v>
      </x:c>
      <x:c r="D13" s="30" t="n">
        <x:v>45831</x:v>
      </x:c>
      <x:c r="E13" s="24" t="str">
        <x:v>계약시작</x:v>
      </x:c>
      <x:c r="F13" s="24" t="str"/>
      <x:c r="G13" s="24" t="str">
        <x:v>대여중</x:v>
      </x:c>
      <x:c r="H13" s="32" t="n">
        <x:v>990000</x:v>
      </x:c>
      <x:c r="I13" s="24" t="str">
        <x:v>SW-C-117머4942-1-20250623-6</x:v>
      </x:c>
      <x:c r="J13" s="24" t="str">
        <x:v>김지원</x:v>
      </x:c>
      <x:c r="K13" s="24" t="str">
        <x:v>구독대여 계약 시작</x:v>
      </x:c>
      <x:c r="L13" s="24" t="str"/>
      <x:c r="M13" s="24" t="str">
        <x:v>하허호</x:v>
      </x:c>
      <x:c r="N13" s="30" t="n">
        <x:v>45831</x:v>
      </x:c>
    </x:row>
    <x:row r="14" ht="17.25" customHeight="1">
      <x:c r="A14" s="24" t="str">
        <x:v>E-00013</x:v>
      </x:c>
      <x:c r="B14" s="24" t="str">
        <x:v>스위치플랜</x:v>
      </x:c>
      <x:c r="C14" s="24" t="str">
        <x:v>117머4942</x:v>
      </x:c>
      <x:c r="D14" s="30" t="n">
        <x:v>45728</x:v>
      </x:c>
      <x:c r="E14" s="24" t="str">
        <x:v>계약시작</x:v>
      </x:c>
      <x:c r="F14" s="24" t="str"/>
      <x:c r="G14" s="24" t="str">
        <x:v>대여중</x:v>
      </x:c>
      <x:c r="H14" s="32" t="n">
        <x:v>1090000</x:v>
      </x:c>
      <x:c r="I14" s="24" t="str">
        <x:v>SW-C-117머4942-2-20250312-6</x:v>
      </x:c>
      <x:c r="J14" s="24" t="str">
        <x:v>박진영</x:v>
      </x:c>
      <x:c r="K14" s="24" t="str">
        <x:v>구독대여 계약 시작</x:v>
      </x:c>
      <x:c r="L14" s="24" t="str"/>
      <x:c r="M14" s="24" t="str">
        <x:v>하허호</x:v>
      </x:c>
      <x:c r="N14" s="30" t="n">
        <x:v>45728</x:v>
      </x:c>
    </x:row>
    <x:row r="15" ht="17.25" customHeight="1">
      <x:c r="A15" s="24" t="str">
        <x:v>E-00014</x:v>
      </x:c>
      <x:c r="B15" s="24" t="str">
        <x:v>스위치플랜</x:v>
      </x:c>
      <x:c r="C15" s="24" t="str">
        <x:v>117머4942</x:v>
      </x:c>
      <x:c r="D15" s="30" t="n">
        <x:v>45810</x:v>
      </x:c>
      <x:c r="E15" s="24" t="str">
        <x:v>반납</x:v>
      </x:c>
      <x:c r="F15" s="24" t="str">
        <x:v>대여중</x:v>
      </x:c>
      <x:c r="G15" s="24" t="str">
        <x:v>쉬는차</x:v>
      </x:c>
      <x:c r="H15" s="32"/>
      <x:c r="I15" s="24" t="str">
        <x:v>SW-C-117머4942-2-20250312-6</x:v>
      </x:c>
      <x:c r="J15" s="24" t="str">
        <x:v>박진영</x:v>
      </x:c>
      <x:c r="K15" s="24" t="str">
        <x:v>차량 반납</x:v>
      </x:c>
      <x:c r="L15" s="24" t="str"/>
      <x:c r="M15" s="24" t="str">
        <x:v>하허호</x:v>
      </x:c>
      <x:c r="N15" s="30" t="n">
        <x:v>45810</x:v>
      </x:c>
    </x:row>
    <x:row r="16" ht="17.25" customHeight="1">
      <x:c r="A16" s="24" t="str">
        <x:v>E-00015</x:v>
      </x:c>
      <x:c r="B16" s="24" t="str">
        <x:v>스위치플랜</x:v>
      </x:c>
      <x:c r="C16" s="24" t="str">
        <x:v>117머4942</x:v>
      </x:c>
      <x:c r="D16" s="30" t="n">
        <x:v>45677</x:v>
      </x:c>
      <x:c r="E16" s="24" t="str">
        <x:v>계약시작</x:v>
      </x:c>
      <x:c r="F16" s="24" t="str"/>
      <x:c r="G16" s="24" t="str">
        <x:v>대여중</x:v>
      </x:c>
      <x:c r="H16" s="32" t="n">
        <x:v>990000</x:v>
      </x:c>
      <x:c r="I16" s="24" t="str">
        <x:v>SW-C-117머4942-3-20250120-6</x:v>
      </x:c>
      <x:c r="J16" s="24" t="str">
        <x:v>김종한</x:v>
      </x:c>
      <x:c r="K16" s="24" t="str">
        <x:v>구독대여 계약 시작</x:v>
      </x:c>
      <x:c r="L16" s="24" t="str"/>
      <x:c r="M16" s="24" t="str">
        <x:v>하허호</x:v>
      </x:c>
      <x:c r="N16" s="30" t="n">
        <x:v>45677</x:v>
      </x:c>
    </x:row>
    <x:row r="17" ht="17.25" customHeight="1">
      <x:c r="A17" s="24" t="str">
        <x:v>E-00016</x:v>
      </x:c>
      <x:c r="B17" s="24" t="str">
        <x:v>스위치플랜</x:v>
      </x:c>
      <x:c r="C17" s="24" t="str">
        <x:v>117머4942</x:v>
      </x:c>
      <x:c r="D17" s="30" t="n">
        <x:v>45726</x:v>
      </x:c>
      <x:c r="E17" s="24" t="str">
        <x:v>반납</x:v>
      </x:c>
      <x:c r="F17" s="24" t="str">
        <x:v>대여중</x:v>
      </x:c>
      <x:c r="G17" s="24" t="str">
        <x:v>쉬는차</x:v>
      </x:c>
      <x:c r="H17" s="32"/>
      <x:c r="I17" s="24" t="str">
        <x:v>SW-C-117머4942-3-20250120-6</x:v>
      </x:c>
      <x:c r="J17" s="24" t="str">
        <x:v>김종한</x:v>
      </x:c>
      <x:c r="K17" s="24" t="str">
        <x:v>차량 반납</x:v>
      </x:c>
      <x:c r="L17" s="24" t="str"/>
      <x:c r="M17" s="24" t="str">
        <x:v>하허호</x:v>
      </x:c>
      <x:c r="N17" s="30" t="n">
        <x:v>45726</x:v>
      </x:c>
    </x:row>
    <x:row r="18" ht="17.25" customHeight="1">
      <x:c r="A18" s="24" t="str">
        <x:v>E-00017</x:v>
      </x:c>
      <x:c r="B18" s="24" t="str">
        <x:v>스위치플랜</x:v>
      </x:c>
      <x:c r="C18" s="24" t="str">
        <x:v>19마6497</x:v>
      </x:c>
      <x:c r="D18" s="30" t="n">
        <x:v>45637</x:v>
      </x:c>
      <x:c r="E18" s="24" t="str">
        <x:v>계약시작</x:v>
      </x:c>
      <x:c r="F18" s="24" t="str"/>
      <x:c r="G18" s="24" t="str">
        <x:v>대여중</x:v>
      </x:c>
      <x:c r="H18" s="32" t="n">
        <x:v>1080000</x:v>
      </x:c>
      <x:c r="I18" s="24" t="str">
        <x:v>SW-C-19마6497-1-20241211-7</x:v>
      </x:c>
      <x:c r="J18" s="24" t="str">
        <x:v>강권식</x:v>
      </x:c>
      <x:c r="K18" s="24" t="str">
        <x:v>구독대여 계약 시작</x:v>
      </x:c>
      <x:c r="L18" s="24" t="str"/>
      <x:c r="M18" s="24" t="str">
        <x:v>하허호</x:v>
      </x:c>
      <x:c r="N18" s="30" t="n">
        <x:v>45637</x:v>
      </x:c>
    </x:row>
    <x:row r="19" ht="17.25" customHeight="1">
      <x:c r="A19" s="24" t="str">
        <x:v>E-00018</x:v>
      </x:c>
      <x:c r="B19" s="24" t="str">
        <x:v>스위치플랜</x:v>
      </x:c>
      <x:c r="C19" s="24" t="str">
        <x:v>62조4444</x:v>
      </x:c>
      <x:c r="D19" s="30"/>
      <x:c r="E19" s="24" t="str">
        <x:v>계약시작</x:v>
      </x:c>
      <x:c r="F19" s="24" t="str"/>
      <x:c r="G19" s="24" t="str">
        <x:v>대여중</x:v>
      </x:c>
      <x:c r="H19" s="32" t="n">
        <x:v>1300000</x:v>
      </x:c>
      <x:c r="I19" s="24" t="str">
        <x:v>SW-C-62조4444-1-2510-8</x:v>
      </x:c>
      <x:c r="J19" s="24" t="str">
        <x:v>이경석</x:v>
      </x:c>
      <x:c r="K19" s="24" t="str">
        <x:v>지인 계약 시작</x:v>
      </x:c>
      <x:c r="L19" s="24" t="str"/>
      <x:c r="M19" s="24" t="str"/>
      <x:c r="N19" s="30"/>
    </x:row>
    <x:row r="20" ht="17.25" customHeight="1">
      <x:c r="A20" s="24" t="str">
        <x:v>E-00019</x:v>
      </x:c>
      <x:c r="B20" s="24" t="str">
        <x:v>스위치플랜</x:v>
      </x:c>
      <x:c r="C20" s="24" t="str">
        <x:v>62조4444</x:v>
      </x:c>
      <x:c r="D20" s="30" t="n">
        <x:v>45926</x:v>
      </x:c>
      <x:c r="E20" s="24" t="str">
        <x:v>계약시작</x:v>
      </x:c>
      <x:c r="F20" s="24" t="str"/>
      <x:c r="G20" s="24" t="str">
        <x:v>대여중</x:v>
      </x:c>
      <x:c r="H20" s="32"/>
      <x:c r="I20" s="24" t="str">
        <x:v>SW-C-62조4444-3-20250926-8</x:v>
      </x:c>
      <x:c r="J20" s="24" t="str">
        <x:v>김성진(조희선)</x:v>
      </x:c>
      <x:c r="K20" s="24" t="str">
        <x:v>단기 계약 시작</x:v>
      </x:c>
      <x:c r="L20" s="24" t="str"/>
      <x:c r="M20" s="24" t="str"/>
      <x:c r="N20" s="30" t="n">
        <x:v>45926</x:v>
      </x:c>
    </x:row>
    <x:row r="21" ht="17.25" customHeight="1">
      <x:c r="A21" s="24" t="str">
        <x:v>E-00020</x:v>
      </x:c>
      <x:c r="B21" s="24" t="str">
        <x:v>스위치플랜</x:v>
      </x:c>
      <x:c r="C21" s="24" t="str">
        <x:v>62조4444</x:v>
      </x:c>
      <x:c r="D21" s="30" t="n">
        <x:v>45946</x:v>
      </x:c>
      <x:c r="E21" s="24" t="str">
        <x:v>반납</x:v>
      </x:c>
      <x:c r="F21" s="24" t="str">
        <x:v>대여중</x:v>
      </x:c>
      <x:c r="G21" s="24" t="str">
        <x:v>쉬는차</x:v>
      </x:c>
      <x:c r="H21" s="32"/>
      <x:c r="I21" s="24" t="str">
        <x:v>SW-C-62조4444-3-20250926-8</x:v>
      </x:c>
      <x:c r="J21" s="24" t="str">
        <x:v>김성진(조희선)</x:v>
      </x:c>
      <x:c r="K21" s="24" t="str">
        <x:v>차량 반납</x:v>
      </x:c>
      <x:c r="L21" s="24" t="str"/>
      <x:c r="M21" s="24" t="str"/>
      <x:c r="N21" s="30" t="n">
        <x:v>45946</x:v>
      </x:c>
    </x:row>
    <x:row r="22" ht="17.25" customHeight="1">
      <x:c r="A22" s="24" t="str">
        <x:v>E-00021</x:v>
      </x:c>
      <x:c r="B22" s="24" t="str">
        <x:v>스위치플랜</x:v>
      </x:c>
      <x:c r="C22" s="24" t="str">
        <x:v>62조4444</x:v>
      </x:c>
      <x:c r="D22" s="30" t="n">
        <x:v>45678</x:v>
      </x:c>
      <x:c r="E22" s="24" t="str">
        <x:v>계약시작</x:v>
      </x:c>
      <x:c r="F22" s="24" t="str"/>
      <x:c r="G22" s="24" t="str">
        <x:v>대여중</x:v>
      </x:c>
      <x:c r="H22" s="32" t="n">
        <x:v>1550000</x:v>
      </x:c>
      <x:c r="I22" s="24" t="str">
        <x:v>SW-C-62조4444-4-20250121-8</x:v>
      </x:c>
      <x:c r="J22" s="24" t="str">
        <x:v>이승민(넷넷)</x:v>
      </x:c>
      <x:c r="K22" s="24" t="str">
        <x:v>구독대여 계약 시작</x:v>
      </x:c>
      <x:c r="L22" s="24" t="str"/>
      <x:c r="M22" s="24" t="str">
        <x:v>하허호</x:v>
      </x:c>
      <x:c r="N22" s="30" t="n">
        <x:v>45678</x:v>
      </x:c>
    </x:row>
    <x:row r="23" ht="17.25" customHeight="1">
      <x:c r="A23" s="24" t="str">
        <x:v>E-00022</x:v>
      </x:c>
      <x:c r="B23" s="24" t="str">
        <x:v>스위치플랜</x:v>
      </x:c>
      <x:c r="C23" s="24" t="str">
        <x:v>62조4444</x:v>
      </x:c>
      <x:c r="D23" s="30" t="n">
        <x:v>45905</x:v>
      </x:c>
      <x:c r="E23" s="24" t="str">
        <x:v>반납</x:v>
      </x:c>
      <x:c r="F23" s="24" t="str">
        <x:v>대여중</x:v>
      </x:c>
      <x:c r="G23" s="24" t="str">
        <x:v>쉬는차</x:v>
      </x:c>
      <x:c r="H23" s="32"/>
      <x:c r="I23" s="24" t="str">
        <x:v>SW-C-62조4444-4-20250121-8</x:v>
      </x:c>
      <x:c r="J23" s="24" t="str">
        <x:v>이승민(넷넷)</x:v>
      </x:c>
      <x:c r="K23" s="24" t="str">
        <x:v>차량 반납</x:v>
      </x:c>
      <x:c r="L23" s="24" t="str"/>
      <x:c r="M23" s="24" t="str">
        <x:v>하허호</x:v>
      </x:c>
      <x:c r="N23" s="30" t="n">
        <x:v>45905</x:v>
      </x:c>
    </x:row>
    <x:row r="24" ht="17.25" customHeight="1">
      <x:c r="A24" s="24" t="str">
        <x:v>E-00023</x:v>
      </x:c>
      <x:c r="B24" s="24" t="str">
        <x:v>스위치플랜</x:v>
      </x:c>
      <x:c r="C24" s="24" t="str">
        <x:v>41구1614</x:v>
      </x:c>
      <x:c r="D24" s="30" t="n">
        <x:v>45769</x:v>
      </x:c>
      <x:c r="E24" s="24" t="str">
        <x:v>계약시작</x:v>
      </x:c>
      <x:c r="F24" s="24" t="str"/>
      <x:c r="G24" s="24" t="str">
        <x:v>대여중</x:v>
      </x:c>
      <x:c r="H24" s="32" t="n">
        <x:v>330000</x:v>
      </x:c>
      <x:c r="I24" s="24" t="str">
        <x:v>SW-C-41구1614-1-20250422-9</x:v>
      </x:c>
      <x:c r="J24" s="24" t="str">
        <x:v>조해인</x:v>
      </x:c>
      <x:c r="K24" s="24" t="str">
        <x:v>구독대여 계약 시작</x:v>
      </x:c>
      <x:c r="L24" s="24" t="str"/>
      <x:c r="M24" s="24" t="str">
        <x:v>하허호</x:v>
      </x:c>
      <x:c r="N24" s="30" t="n">
        <x:v>45769</x:v>
      </x:c>
    </x:row>
    <x:row r="25" ht="17.25" customHeight="1">
      <x:c r="A25" s="24" t="str">
        <x:v>E-00024</x:v>
      </x:c>
      <x:c r="B25" s="24" t="str">
        <x:v>스위치플랜</x:v>
      </x:c>
      <x:c r="C25" s="24" t="str">
        <x:v>41구1614</x:v>
      </x:c>
      <x:c r="D25" s="30" t="n">
        <x:v>45524</x:v>
      </x:c>
      <x:c r="E25" s="24" t="str">
        <x:v>계약시작</x:v>
      </x:c>
      <x:c r="F25" s="24" t="str"/>
      <x:c r="G25" s="24" t="str">
        <x:v>대여중</x:v>
      </x:c>
      <x:c r="H25" s="32" t="n">
        <x:v>390000</x:v>
      </x:c>
      <x:c r="I25" s="24" t="str">
        <x:v>SW-C-41구1614-2-20240820-9</x:v>
      </x:c>
      <x:c r="J25" s="24" t="str">
        <x:v>김민준</x:v>
      </x:c>
      <x:c r="K25" s="24" t="str">
        <x:v>구독대여 계약 시작</x:v>
      </x:c>
      <x:c r="L25" s="24" t="str"/>
      <x:c r="M25" s="24" t="str">
        <x:v>하허호</x:v>
      </x:c>
      <x:c r="N25" s="30" t="n">
        <x:v>45524</x:v>
      </x:c>
    </x:row>
    <x:row r="26" ht="17.25" customHeight="1">
      <x:c r="A26" s="24" t="str">
        <x:v>E-00025</x:v>
      </x:c>
      <x:c r="B26" s="24" t="str">
        <x:v>스위치플랜</x:v>
      </x:c>
      <x:c r="C26" s="24" t="str">
        <x:v>41구1614</x:v>
      </x:c>
      <x:c r="D26" s="30" t="n">
        <x:v>45759</x:v>
      </x:c>
      <x:c r="E26" s="24" t="str">
        <x:v>반납</x:v>
      </x:c>
      <x:c r="F26" s="24" t="str">
        <x:v>대여중</x:v>
      </x:c>
      <x:c r="G26" s="24" t="str">
        <x:v>쉬는차</x:v>
      </x:c>
      <x:c r="H26" s="32"/>
      <x:c r="I26" s="24" t="str">
        <x:v>SW-C-41구1614-2-20240820-9</x:v>
      </x:c>
      <x:c r="J26" s="24" t="str">
        <x:v>김민준</x:v>
      </x:c>
      <x:c r="K26" s="24" t="str">
        <x:v>차량 반납</x:v>
      </x:c>
      <x:c r="L26" s="24" t="str"/>
      <x:c r="M26" s="24" t="str">
        <x:v>하허호</x:v>
      </x:c>
      <x:c r="N26" s="30" t="n">
        <x:v>45759</x:v>
      </x:c>
    </x:row>
    <x:row r="27" ht="17.25" customHeight="1">
      <x:c r="A27" s="24" t="str">
        <x:v>E-00026</x:v>
      </x:c>
      <x:c r="B27" s="24" t="str">
        <x:v>스위치플랜</x:v>
      </x:c>
      <x:c r="C27" s="24" t="str">
        <x:v>52수7832</x:v>
      </x:c>
      <x:c r="D27" s="30" t="n">
        <x:v>46168</x:v>
      </x:c>
      <x:c r="E27" s="24" t="str">
        <x:v>계약시작</x:v>
      </x:c>
      <x:c r="F27" s="24" t="str"/>
      <x:c r="G27" s="24" t="str">
        <x:v>대여중</x:v>
      </x:c>
      <x:c r="H27" s="32" t="n">
        <x:v>780000</x:v>
      </x:c>
      <x:c r="I27" s="24" t="str">
        <x:v>SW-C-52수7832-1-20260526-10</x:v>
      </x:c>
      <x:c r="J27" s="24" t="str">
        <x:v>손영태</x:v>
      </x:c>
      <x:c r="K27" s="24" t="str">
        <x:v>구독대여 계약 시작</x:v>
      </x:c>
      <x:c r="L27" s="24" t="str"/>
      <x:c r="M27" s="24" t="str">
        <x:v>하허호</x:v>
      </x:c>
      <x:c r="N27" s="30" t="n">
        <x:v>46168</x:v>
      </x:c>
    </x:row>
    <x:row r="28" ht="17.25" customHeight="1">
      <x:c r="A28" s="24" t="str">
        <x:v>E-00027</x:v>
      </x:c>
      <x:c r="B28" s="24" t="str">
        <x:v>스위치플랜</x:v>
      </x:c>
      <x:c r="C28" s="24" t="str">
        <x:v>52수7832</x:v>
      </x:c>
      <x:c r="D28" s="30" t="n">
        <x:v>45982</x:v>
      </x:c>
      <x:c r="E28" s="24" t="str">
        <x:v>계약시작</x:v>
      </x:c>
      <x:c r="F28" s="24" t="str"/>
      <x:c r="G28" s="24" t="str">
        <x:v>대여중</x:v>
      </x:c>
      <x:c r="H28" s="32" t="n">
        <x:v>990000</x:v>
      </x:c>
      <x:c r="I28" s="24" t="str">
        <x:v>SW-C-52수7832-2-20251121-10</x:v>
      </x:c>
      <x:c r="J28" s="24" t="str">
        <x:v>이재찬</x:v>
      </x:c>
      <x:c r="K28" s="24" t="str">
        <x:v>구독대여 계약 시작</x:v>
      </x:c>
      <x:c r="L28" s="24" t="str"/>
      <x:c r="M28" s="24" t="str">
        <x:v>하허호</x:v>
      </x:c>
      <x:c r="N28" s="30" t="n">
        <x:v>45982</x:v>
      </x:c>
    </x:row>
    <x:row r="29" ht="17.25" customHeight="1">
      <x:c r="A29" s="24" t="str">
        <x:v>E-00028</x:v>
      </x:c>
      <x:c r="B29" s="24" t="str">
        <x:v>스위치플랜</x:v>
      </x:c>
      <x:c r="C29" s="24" t="str">
        <x:v>52수7832</x:v>
      </x:c>
      <x:c r="D29" s="30" t="n">
        <x:v>46142</x:v>
      </x:c>
      <x:c r="E29" s="24" t="str">
        <x:v>반납</x:v>
      </x:c>
      <x:c r="F29" s="24" t="str">
        <x:v>대여중</x:v>
      </x:c>
      <x:c r="G29" s="24" t="str">
        <x:v>쉬는차</x:v>
      </x:c>
      <x:c r="H29" s="32"/>
      <x:c r="I29" s="24" t="str">
        <x:v>SW-C-52수7832-2-20251121-10</x:v>
      </x:c>
      <x:c r="J29" s="24" t="str">
        <x:v>이재찬</x:v>
      </x:c>
      <x:c r="K29" s="24" t="str">
        <x:v>차량 반납</x:v>
      </x:c>
      <x:c r="L29" s="24" t="str"/>
      <x:c r="M29" s="24" t="str">
        <x:v>하허호</x:v>
      </x:c>
      <x:c r="N29" s="30" t="n">
        <x:v>46142</x:v>
      </x:c>
    </x:row>
    <x:row r="30" ht="17.25" customHeight="1">
      <x:c r="A30" s="24" t="str">
        <x:v>E-00029</x:v>
      </x:c>
      <x:c r="B30" s="24" t="str">
        <x:v>스위치플랜</x:v>
      </x:c>
      <x:c r="C30" s="24" t="str">
        <x:v>52수7832</x:v>
      </x:c>
      <x:c r="D30" s="30" t="n">
        <x:v>45923</x:v>
      </x:c>
      <x:c r="E30" s="24" t="str">
        <x:v>계약시작</x:v>
      </x:c>
      <x:c r="F30" s="24" t="str"/>
      <x:c r="G30" s="24" t="str">
        <x:v>대여중</x:v>
      </x:c>
      <x:c r="H30" s="32" t="n">
        <x:v>1030000</x:v>
      </x:c>
      <x:c r="I30" s="24" t="str">
        <x:v>SW-C-52수7832-3-20250923-10</x:v>
      </x:c>
      <x:c r="J30" s="24" t="str">
        <x:v>안준범</x:v>
      </x:c>
      <x:c r="K30" s="24" t="str">
        <x:v>구독대여 계약 시작</x:v>
      </x:c>
      <x:c r="L30" s="24" t="str"/>
      <x:c r="M30" s="24" t="str">
        <x:v>하허호</x:v>
      </x:c>
      <x:c r="N30" s="30" t="n">
        <x:v>45923</x:v>
      </x:c>
    </x:row>
    <x:row r="31" ht="17.25" customHeight="1">
      <x:c r="A31" s="24" t="str">
        <x:v>E-00030</x:v>
      </x:c>
      <x:c r="B31" s="24" t="str">
        <x:v>스위치플랜</x:v>
      </x:c>
      <x:c r="C31" s="24" t="str">
        <x:v>52수7832</x:v>
      </x:c>
      <x:c r="D31" s="30" t="n">
        <x:v>45944</x:v>
      </x:c>
      <x:c r="E31" s="24" t="str">
        <x:v>반납</x:v>
      </x:c>
      <x:c r="F31" s="24" t="str">
        <x:v>대여중</x:v>
      </x:c>
      <x:c r="G31" s="24" t="str">
        <x:v>쉬는차</x:v>
      </x:c>
      <x:c r="H31" s="32"/>
      <x:c r="I31" s="24" t="str">
        <x:v>SW-C-52수7832-3-20250923-10</x:v>
      </x:c>
      <x:c r="J31" s="24" t="str">
        <x:v>안준범</x:v>
      </x:c>
      <x:c r="K31" s="24" t="str">
        <x:v>차량 반납</x:v>
      </x:c>
      <x:c r="L31" s="24" t="str"/>
      <x:c r="M31" s="24" t="str">
        <x:v>하허호</x:v>
      </x:c>
      <x:c r="N31" s="30" t="n">
        <x:v>45944</x:v>
      </x:c>
    </x:row>
    <x:row r="32" ht="17.25" customHeight="1">
      <x:c r="A32" s="24" t="str">
        <x:v>E-00031</x:v>
      </x:c>
      <x:c r="B32" s="24" t="str">
        <x:v>스위치플랜</x:v>
      </x:c>
      <x:c r="C32" s="24" t="str">
        <x:v>52수7832</x:v>
      </x:c>
      <x:c r="D32" s="30" t="n">
        <x:v>45812</x:v>
      </x:c>
      <x:c r="E32" s="24" t="str">
        <x:v>계약시작</x:v>
      </x:c>
      <x:c r="F32" s="24" t="str"/>
      <x:c r="G32" s="24" t="str">
        <x:v>대여중</x:v>
      </x:c>
      <x:c r="H32" s="32" t="n">
        <x:v>1130000</x:v>
      </x:c>
      <x:c r="I32" s="24" t="str">
        <x:v>SW-C-52수7832-4-20250604-10</x:v>
      </x:c>
      <x:c r="J32" s="24" t="str">
        <x:v>김민재</x:v>
      </x:c>
      <x:c r="K32" s="24" t="str">
        <x:v>구독대여 계약 시작</x:v>
      </x:c>
      <x:c r="L32" s="24" t="str"/>
      <x:c r="M32" s="24" t="str">
        <x:v>하허호</x:v>
      </x:c>
      <x:c r="N32" s="30" t="n">
        <x:v>45812</x:v>
      </x:c>
    </x:row>
    <x:row r="33" ht="17.25" customHeight="1">
      <x:c r="A33" s="24" t="str">
        <x:v>E-00032</x:v>
      </x:c>
      <x:c r="B33" s="24" t="str">
        <x:v>스위치플랜</x:v>
      </x:c>
      <x:c r="C33" s="24" t="str">
        <x:v>52수7832</x:v>
      </x:c>
      <x:c r="D33" s="30"/>
      <x:c r="E33" s="24" t="str">
        <x:v>반납</x:v>
      </x:c>
      <x:c r="F33" s="24" t="str">
        <x:v>대여중</x:v>
      </x:c>
      <x:c r="G33" s="24" t="str">
        <x:v>쉬는차</x:v>
      </x:c>
      <x:c r="H33" s="32"/>
      <x:c r="I33" s="24" t="str">
        <x:v>SW-C-52수7832-4-20250604-10</x:v>
      </x:c>
      <x:c r="J33" s="24" t="str">
        <x:v>김민재</x:v>
      </x:c>
      <x:c r="K33" s="24" t="str">
        <x:v>차량 반납</x:v>
      </x:c>
      <x:c r="L33" s="24" t="str"/>
      <x:c r="M33" s="24" t="str">
        <x:v>하허호</x:v>
      </x:c>
      <x:c r="N33" s="30"/>
    </x:row>
    <x:row r="34" ht="17.25" customHeight="1">
      <x:c r="A34" s="24" t="str">
        <x:v>E-00033</x:v>
      </x:c>
      <x:c r="B34" s="24" t="str">
        <x:v>스위치플랜</x:v>
      </x:c>
      <x:c r="C34" s="24" t="str">
        <x:v>52수7832</x:v>
      </x:c>
      <x:c r="D34" s="30" t="n">
        <x:v>46826</x:v>
      </x:c>
      <x:c r="E34" s="24" t="str">
        <x:v>계약시작</x:v>
      </x:c>
      <x:c r="F34" s="24" t="str"/>
      <x:c r="G34" s="24" t="str">
        <x:v>대여중</x:v>
      </x:c>
      <x:c r="H34" s="32" t="n">
        <x:v>45366</x:v>
      </x:c>
      <x:c r="I34" s="24" t="str">
        <x:v>SW-C-52수7832-5-20280314-10</x:v>
      </x:c>
      <x:c r="J34" s="24" t="str">
        <x:v>박정호</x:v>
      </x:c>
      <x:c r="K34" s="24" t="str">
        <x:v>구독대여 계약 시작</x:v>
      </x:c>
      <x:c r="L34" s="24" t="str"/>
      <x:c r="M34" s="24" t="str">
        <x:v>카랜(주)</x:v>
      </x:c>
      <x:c r="N34" s="30" t="n">
        <x:v>46826</x:v>
      </x:c>
    </x:row>
    <x:row r="35" ht="17.25" customHeight="1">
      <x:c r="A35" s="24" t="str">
        <x:v>E-00034</x:v>
      </x:c>
      <x:c r="B35" s="24" t="str">
        <x:v>스위치플랜</x:v>
      </x:c>
      <x:c r="C35" s="24" t="str">
        <x:v>52수7832</x:v>
      </x:c>
      <x:c r="D35" s="30"/>
      <x:c r="E35" s="24" t="str">
        <x:v>반납</x:v>
      </x:c>
      <x:c r="F35" s="24" t="str">
        <x:v>대여중</x:v>
      </x:c>
      <x:c r="G35" s="24" t="str">
        <x:v>쉬는차</x:v>
      </x:c>
      <x:c r="H35" s="32"/>
      <x:c r="I35" s="24" t="str">
        <x:v>SW-C-52수7832-5-20280314-10</x:v>
      </x:c>
      <x:c r="J35" s="24" t="str">
        <x:v>박정호</x:v>
      </x:c>
      <x:c r="K35" s="24" t="str">
        <x:v>차량 반납</x:v>
      </x:c>
      <x:c r="L35" s="24" t="str"/>
      <x:c r="M35" s="24" t="str">
        <x:v>카랜(주)</x:v>
      </x:c>
      <x:c r="N35" s="30"/>
    </x:row>
    <x:row r="36" ht="17.25" customHeight="1">
      <x:c r="A36" s="24" t="str">
        <x:v>E-00035</x:v>
      </x:c>
      <x:c r="B36" s="24" t="str">
        <x:v>스위치플랜</x:v>
      </x:c>
      <x:c r="C36" s="24" t="str">
        <x:v>36머9150</x:v>
      </x:c>
      <x:c r="D36" s="30" t="n">
        <x:v>46136</x:v>
      </x:c>
      <x:c r="E36" s="24" t="str">
        <x:v>계약시작</x:v>
      </x:c>
      <x:c r="F36" s="24" t="str"/>
      <x:c r="G36" s="24" t="str">
        <x:v>대여중</x:v>
      </x:c>
      <x:c r="H36" s="32" t="n">
        <x:v>720000</x:v>
      </x:c>
      <x:c r="I36" s="24" t="str">
        <x:v>SW-C-36머9150-2-20260424-11</x:v>
      </x:c>
      <x:c r="J36" s="24" t="str">
        <x:v>장현주</x:v>
      </x:c>
      <x:c r="K36" s="24" t="str">
        <x:v>구독대여 계약 시작</x:v>
      </x:c>
      <x:c r="L36" s="24" t="str"/>
      <x:c r="M36" s="24" t="str">
        <x:v>하허호</x:v>
      </x:c>
      <x:c r="N36" s="30" t="n">
        <x:v>46136</x:v>
      </x:c>
    </x:row>
    <x:row r="37" ht="17.25" customHeight="1">
      <x:c r="A37" s="24" t="str">
        <x:v>E-00036</x:v>
      </x:c>
      <x:c r="B37" s="24" t="str">
        <x:v>스위치플랜</x:v>
      </x:c>
      <x:c r="C37" s="24" t="str">
        <x:v>36머9150</x:v>
      </x:c>
      <x:c r="D37" s="30" t="n">
        <x:v>46195</x:v>
      </x:c>
      <x:c r="E37" s="24" t="str">
        <x:v>반납</x:v>
      </x:c>
      <x:c r="F37" s="24" t="str">
        <x:v>대여중</x:v>
      </x:c>
      <x:c r="G37" s="24" t="str">
        <x:v>쉬는차</x:v>
      </x:c>
      <x:c r="H37" s="32"/>
      <x:c r="I37" s="24" t="str">
        <x:v>SW-C-36머9150-2-20260424-11</x:v>
      </x:c>
      <x:c r="J37" s="24" t="str">
        <x:v>장현주</x:v>
      </x:c>
      <x:c r="K37" s="24" t="str">
        <x:v>차량 반납</x:v>
      </x:c>
      <x:c r="L37" s="24" t="str"/>
      <x:c r="M37" s="24" t="str">
        <x:v>하허호</x:v>
      </x:c>
      <x:c r="N37" s="30" t="n">
        <x:v>46195</x:v>
      </x:c>
    </x:row>
    <x:row r="38" ht="17.25" customHeight="1">
      <x:c r="A38" s="24" t="str">
        <x:v>E-00037</x:v>
      </x:c>
      <x:c r="B38" s="24" t="str">
        <x:v>스위치플랜</x:v>
      </x:c>
      <x:c r="C38" s="24" t="str">
        <x:v>36머9150</x:v>
      </x:c>
      <x:c r="D38" s="30" t="n">
        <x:v>45637</x:v>
      </x:c>
      <x:c r="E38" s="24" t="str">
        <x:v>계약시작</x:v>
      </x:c>
      <x:c r="F38" s="24" t="str"/>
      <x:c r="G38" s="24" t="str">
        <x:v>대여중</x:v>
      </x:c>
      <x:c r="H38" s="32" t="n">
        <x:v>730000</x:v>
      </x:c>
      <x:c r="I38" s="24" t="str">
        <x:v>SW-C-36머9150-3-20241211-11</x:v>
      </x:c>
      <x:c r="J38" s="24" t="str">
        <x:v>한태훈</x:v>
      </x:c>
      <x:c r="K38" s="24" t="str">
        <x:v>구독대여 계약 시작</x:v>
      </x:c>
      <x:c r="L38" s="24" t="str"/>
      <x:c r="M38" s="24" t="str">
        <x:v>하허호</x:v>
      </x:c>
      <x:c r="N38" s="30" t="n">
        <x:v>45637</x:v>
      </x:c>
    </x:row>
    <x:row r="39" ht="17.25" customHeight="1">
      <x:c r="A39" s="24" t="str">
        <x:v>E-00038</x:v>
      </x:c>
      <x:c r="B39" s="24" t="str">
        <x:v>스위치플랜</x:v>
      </x:c>
      <x:c r="C39" s="24" t="str">
        <x:v>36머9150</x:v>
      </x:c>
      <x:c r="D39" s="30" t="n">
        <x:v>46110</x:v>
      </x:c>
      <x:c r="E39" s="24" t="str">
        <x:v>반납</x:v>
      </x:c>
      <x:c r="F39" s="24" t="str">
        <x:v>대여중</x:v>
      </x:c>
      <x:c r="G39" s="24" t="str">
        <x:v>쉬는차</x:v>
      </x:c>
      <x:c r="H39" s="32"/>
      <x:c r="I39" s="24" t="str">
        <x:v>SW-C-36머9150-3-20241211-11</x:v>
      </x:c>
      <x:c r="J39" s="24" t="str">
        <x:v>한태훈</x:v>
      </x:c>
      <x:c r="K39" s="24" t="str">
        <x:v>차량 반납</x:v>
      </x:c>
      <x:c r="L39" s="24" t="str"/>
      <x:c r="M39" s="24" t="str">
        <x:v>하허호</x:v>
      </x:c>
      <x:c r="N39" s="30" t="n">
        <x:v>46110</x:v>
      </x:c>
    </x:row>
    <x:row r="40" ht="17.25" customHeight="1">
      <x:c r="A40" s="24" t="str">
        <x:v>E-00039</x:v>
      </x:c>
      <x:c r="B40" s="24" t="str">
        <x:v>스위치플랜</x:v>
      </x:c>
      <x:c r="C40" s="24" t="str">
        <x:v>07버3390</x:v>
      </x:c>
      <x:c r="D40" s="30" t="n">
        <x:v>45867</x:v>
      </x:c>
      <x:c r="E40" s="24" t="str">
        <x:v>계약시작</x:v>
      </x:c>
      <x:c r="F40" s="24" t="str"/>
      <x:c r="G40" s="24" t="str">
        <x:v>대여중</x:v>
      </x:c>
      <x:c r="H40" s="32" t="n">
        <x:v>550000</x:v>
      </x:c>
      <x:c r="I40" s="24" t="str">
        <x:v>SW-C-07버3390-1-20250729-12</x:v>
      </x:c>
      <x:c r="J40" s="24" t="str">
        <x:v>유정란</x:v>
      </x:c>
      <x:c r="K40" s="24" t="str">
        <x:v>구독대여 계약 시작</x:v>
      </x:c>
      <x:c r="L40" s="24" t="str"/>
      <x:c r="M40" s="24" t="str">
        <x:v>하허호</x:v>
      </x:c>
      <x:c r="N40" s="30" t="n">
        <x:v>45867</x:v>
      </x:c>
    </x:row>
    <x:row r="41" ht="17.25" customHeight="1">
      <x:c r="A41" s="24" t="str">
        <x:v>E-00040</x:v>
      </x:c>
      <x:c r="B41" s="24" t="str">
        <x:v>스위치플랜</x:v>
      </x:c>
      <x:c r="C41" s="24" t="str">
        <x:v>07버3390</x:v>
      </x:c>
      <x:c r="D41" s="30" t="n">
        <x:v>45491</x:v>
      </x:c>
      <x:c r="E41" s="24" t="str">
        <x:v>계약시작</x:v>
      </x:c>
      <x:c r="F41" s="24" t="str"/>
      <x:c r="G41" s="24" t="str">
        <x:v>대여중</x:v>
      </x:c>
      <x:c r="H41" s="32" t="n">
        <x:v>740000</x:v>
      </x:c>
      <x:c r="I41" s="24" t="str">
        <x:v>SW-C-07버3390-2-20240718-12</x:v>
      </x:c>
      <x:c r="J41" s="24" t="str">
        <x:v>최은혜</x:v>
      </x:c>
      <x:c r="K41" s="24" t="str">
        <x:v>구독대여 계약 시작</x:v>
      </x:c>
      <x:c r="L41" s="24" t="str"/>
      <x:c r="M41" s="24" t="str">
        <x:v>하허호</x:v>
      </x:c>
      <x:c r="N41" s="30" t="n">
        <x:v>45491</x:v>
      </x:c>
    </x:row>
    <x:row r="42" ht="17.25" customHeight="1">
      <x:c r="A42" s="24" t="str">
        <x:v>E-00041</x:v>
      </x:c>
      <x:c r="B42" s="24" t="str">
        <x:v>스위치플랜</x:v>
      </x:c>
      <x:c r="C42" s="24" t="str">
        <x:v>07버3390</x:v>
      </x:c>
      <x:c r="D42" s="30" t="n">
        <x:v>45847</x:v>
      </x:c>
      <x:c r="E42" s="24" t="str">
        <x:v>반납</x:v>
      </x:c>
      <x:c r="F42" s="24" t="str">
        <x:v>대여중</x:v>
      </x:c>
      <x:c r="G42" s="24" t="str">
        <x:v>쉬는차</x:v>
      </x:c>
      <x:c r="H42" s="32"/>
      <x:c r="I42" s="24" t="str">
        <x:v>SW-C-07버3390-2-20240718-12</x:v>
      </x:c>
      <x:c r="J42" s="24" t="str">
        <x:v>최은혜</x:v>
      </x:c>
      <x:c r="K42" s="24" t="str">
        <x:v>차량 반납</x:v>
      </x:c>
      <x:c r="L42" s="24" t="str"/>
      <x:c r="M42" s="24" t="str">
        <x:v>하허호</x:v>
      </x:c>
      <x:c r="N42" s="30" t="n">
        <x:v>45847</x:v>
      </x:c>
    </x:row>
    <x:row r="43" ht="17.25" customHeight="1">
      <x:c r="A43" s="24" t="str">
        <x:v>E-00042</x:v>
      </x:c>
      <x:c r="B43" s="24" t="str">
        <x:v>스위치플랜</x:v>
      </x:c>
      <x:c r="C43" s="24" t="str">
        <x:v>12다2400</x:v>
      </x:c>
      <x:c r="D43" s="30" t="n">
        <x:v>45556</x:v>
      </x:c>
      <x:c r="E43" s="24" t="str">
        <x:v>계약시작</x:v>
      </x:c>
      <x:c r="F43" s="24" t="str"/>
      <x:c r="G43" s="24" t="str">
        <x:v>대여중</x:v>
      </x:c>
      <x:c r="H43" s="32" t="n">
        <x:v>900000</x:v>
      </x:c>
      <x:c r="I43" s="24" t="str">
        <x:v>SW-C-12다2400-1-20240921-13</x:v>
      </x:c>
      <x:c r="J43" s="24" t="str">
        <x:v>배준호</x:v>
      </x:c>
      <x:c r="K43" s="24" t="str">
        <x:v>구독대여 계약 시작</x:v>
      </x:c>
      <x:c r="L43" s="24" t="str"/>
      <x:c r="M43" s="24" t="str">
        <x:v>하허호</x:v>
      </x:c>
      <x:c r="N43" s="30" t="n">
        <x:v>45556</x:v>
      </x:c>
    </x:row>
    <x:row r="44" ht="17.25" customHeight="1">
      <x:c r="A44" s="24" t="str">
        <x:v>E-00043</x:v>
      </x:c>
      <x:c r="B44" s="24" t="str">
        <x:v>스위치플랜</x:v>
      </x:c>
      <x:c r="C44" s="24" t="str">
        <x:v>54무1552</x:v>
      </x:c>
      <x:c r="D44" s="30" t="n">
        <x:v>45659</x:v>
      </x:c>
      <x:c r="E44" s="24" t="str">
        <x:v>계약시작</x:v>
      </x:c>
      <x:c r="F44" s="24" t="str"/>
      <x:c r="G44" s="24" t="str">
        <x:v>대여중</x:v>
      </x:c>
      <x:c r="H44" s="32" t="n">
        <x:v>330000</x:v>
      </x:c>
      <x:c r="I44" s="24" t="str">
        <x:v>SW-C-54무1552-1-20250102-14</x:v>
      </x:c>
      <x:c r="J44" s="24" t="str">
        <x:v>정현묵</x:v>
      </x:c>
      <x:c r="K44" s="24" t="str">
        <x:v>구독대여 계약 시작</x:v>
      </x:c>
      <x:c r="L44" s="24" t="str"/>
      <x:c r="M44" s="24" t="str">
        <x:v>하허호</x:v>
      </x:c>
      <x:c r="N44" s="30" t="n">
        <x:v>45659</x:v>
      </x:c>
    </x:row>
    <x:row r="45" ht="17.25" customHeight="1">
      <x:c r="A45" s="24" t="str">
        <x:v>E-00044</x:v>
      </x:c>
      <x:c r="B45" s="24" t="str">
        <x:v>스위치플랜</x:v>
      </x:c>
      <x:c r="C45" s="24" t="str">
        <x:v>24부3251</x:v>
      </x:c>
      <x:c r="D45" s="30" t="n">
        <x:v>45877</x:v>
      </x:c>
      <x:c r="E45" s="24" t="str">
        <x:v>계약시작</x:v>
      </x:c>
      <x:c r="F45" s="24" t="str"/>
      <x:c r="G45" s="24" t="str">
        <x:v>대여중</x:v>
      </x:c>
      <x:c r="H45" s="32" t="n">
        <x:v>780000</x:v>
      </x:c>
      <x:c r="I45" s="24" t="str">
        <x:v>SW-C-24부3251-1-20250808-15</x:v>
      </x:c>
      <x:c r="J45" s="24" t="str">
        <x:v>이정원</x:v>
      </x:c>
      <x:c r="K45" s="24" t="str">
        <x:v>구독대여 계약 시작</x:v>
      </x:c>
      <x:c r="L45" s="24" t="str"/>
      <x:c r="M45" s="24" t="str">
        <x:v>하허호</x:v>
      </x:c>
      <x:c r="N45" s="30" t="n">
        <x:v>45877</x:v>
      </x:c>
    </x:row>
    <x:row r="46" ht="17.25" customHeight="1">
      <x:c r="A46" s="24" t="str">
        <x:v>E-00045</x:v>
      </x:c>
      <x:c r="B46" s="24" t="str">
        <x:v>스위치플랜</x:v>
      </x:c>
      <x:c r="C46" s="24" t="str">
        <x:v>24부3251</x:v>
      </x:c>
      <x:c r="D46" s="30" t="n">
        <x:v>45630</x:v>
      </x:c>
      <x:c r="E46" s="24" t="str">
        <x:v>계약시작</x:v>
      </x:c>
      <x:c r="F46" s="24" t="str"/>
      <x:c r="G46" s="24" t="str">
        <x:v>대여중</x:v>
      </x:c>
      <x:c r="H46" s="32" t="n">
        <x:v>870000</x:v>
      </x:c>
      <x:c r="I46" s="24" t="str">
        <x:v>SW-C-24부3251-2-20241204-15</x:v>
      </x:c>
      <x:c r="J46" s="24" t="str">
        <x:v>이상훈</x:v>
      </x:c>
      <x:c r="K46" s="24" t="str">
        <x:v>구독대여 계약 시작</x:v>
      </x:c>
      <x:c r="L46" s="24" t="str"/>
      <x:c r="M46" s="24" t="str">
        <x:v>하허호</x:v>
      </x:c>
      <x:c r="N46" s="30" t="n">
        <x:v>45630</x:v>
      </x:c>
    </x:row>
    <x:row r="47" ht="17.25" customHeight="1">
      <x:c r="A47" s="24" t="str">
        <x:v>E-00046</x:v>
      </x:c>
      <x:c r="B47" s="24" t="str">
        <x:v>스위치플랜</x:v>
      </x:c>
      <x:c r="C47" s="24" t="str">
        <x:v>24부3251</x:v>
      </x:c>
      <x:c r="D47" s="30" t="n">
        <x:v>45829</x:v>
      </x:c>
      <x:c r="E47" s="24" t="str">
        <x:v>반납</x:v>
      </x:c>
      <x:c r="F47" s="24" t="str">
        <x:v>대여중</x:v>
      </x:c>
      <x:c r="G47" s="24" t="str">
        <x:v>쉬는차</x:v>
      </x:c>
      <x:c r="H47" s="32"/>
      <x:c r="I47" s="24" t="str">
        <x:v>SW-C-24부3251-2-20241204-15</x:v>
      </x:c>
      <x:c r="J47" s="24" t="str">
        <x:v>이상훈</x:v>
      </x:c>
      <x:c r="K47" s="24" t="str">
        <x:v>차량 반납</x:v>
      </x:c>
      <x:c r="L47" s="24" t="str"/>
      <x:c r="M47" s="24" t="str">
        <x:v>하허호</x:v>
      </x:c>
      <x:c r="N47" s="30" t="n">
        <x:v>45829</x:v>
      </x:c>
    </x:row>
    <x:row r="48" ht="17.25" customHeight="1">
      <x:c r="A48" s="24" t="str">
        <x:v>E-00047</x:v>
      </x:c>
      <x:c r="B48" s="24" t="str">
        <x:v>스위치플랜</x:v>
      </x:c>
      <x:c r="C48" s="24" t="str">
        <x:v>24부3251</x:v>
      </x:c>
      <x:c r="D48" s="30" t="n">
        <x:v>45274</x:v>
      </x:c>
      <x:c r="E48" s="24" t="str">
        <x:v>계약시작</x:v>
      </x:c>
      <x:c r="F48" s="24" t="str"/>
      <x:c r="G48" s="24" t="str">
        <x:v>대여중</x:v>
      </x:c>
      <x:c r="H48" s="32" t="n">
        <x:v>1150000</x:v>
      </x:c>
      <x:c r="I48" s="24" t="str">
        <x:v>SW-C-24부3251-3-20231214-15</x:v>
      </x:c>
      <x:c r="J48" s="24" t="str">
        <x:v>진세진</x:v>
      </x:c>
      <x:c r="K48" s="24" t="str">
        <x:v>구독대여 계약 시작</x:v>
      </x:c>
      <x:c r="L48" s="24" t="str"/>
      <x:c r="M48" s="24" t="str">
        <x:v>헬로</x:v>
      </x:c>
      <x:c r="N48" s="30" t="n">
        <x:v>45274</x:v>
      </x:c>
    </x:row>
    <x:row r="49" ht="17.25" customHeight="1">
      <x:c r="A49" s="24" t="str">
        <x:v>E-00048</x:v>
      </x:c>
      <x:c r="B49" s="24" t="str">
        <x:v>스위치플랜</x:v>
      </x:c>
      <x:c r="C49" s="24" t="str">
        <x:v>24부3251</x:v>
      </x:c>
      <x:c r="D49" s="30"/>
      <x:c r="E49" s="24" t="str">
        <x:v>반납</x:v>
      </x:c>
      <x:c r="F49" s="24" t="str">
        <x:v>대여중</x:v>
      </x:c>
      <x:c r="G49" s="24" t="str">
        <x:v>쉬는차</x:v>
      </x:c>
      <x:c r="H49" s="32"/>
      <x:c r="I49" s="24" t="str">
        <x:v>SW-C-24부3251-3-20231214-15</x:v>
      </x:c>
      <x:c r="J49" s="24" t="str">
        <x:v>진세진</x:v>
      </x:c>
      <x:c r="K49" s="24" t="str">
        <x:v>차량 반납</x:v>
      </x:c>
      <x:c r="L49" s="24" t="str"/>
      <x:c r="M49" s="24" t="str">
        <x:v>헬로</x:v>
      </x:c>
      <x:c r="N49" s="30"/>
    </x:row>
    <x:row r="50" ht="17.25" customHeight="1">
      <x:c r="A50" s="24" t="str">
        <x:v>E-00049</x:v>
      </x:c>
      <x:c r="B50" s="24" t="str">
        <x:v>스위치플랜</x:v>
      </x:c>
      <x:c r="C50" s="24" t="str">
        <x:v>297거4892</x:v>
      </x:c>
      <x:c r="D50" s="30" t="n">
        <x:v>45947</x:v>
      </x:c>
      <x:c r="E50" s="24" t="str">
        <x:v>계약시작</x:v>
      </x:c>
      <x:c r="F50" s="24" t="str"/>
      <x:c r="G50" s="24" t="str">
        <x:v>대여중</x:v>
      </x:c>
      <x:c r="H50" s="32" t="n">
        <x:v>930000</x:v>
      </x:c>
      <x:c r="I50" s="24" t="str">
        <x:v>SW-C-297거4892-1-20251017-16</x:v>
      </x:c>
      <x:c r="J50" s="24" t="str">
        <x:v>김선우</x:v>
      </x:c>
      <x:c r="K50" s="24" t="str">
        <x:v>구독대여 계약 시작</x:v>
      </x:c>
      <x:c r="L50" s="24" t="str"/>
      <x:c r="M50" s="24" t="str">
        <x:v>하허호</x:v>
      </x:c>
      <x:c r="N50" s="30" t="n">
        <x:v>45947</x:v>
      </x:c>
    </x:row>
    <x:row r="51" ht="17.25" customHeight="1">
      <x:c r="A51" s="24" t="str">
        <x:v>E-00050</x:v>
      </x:c>
      <x:c r="B51" s="24" t="str">
        <x:v>스위치플랜</x:v>
      </x:c>
      <x:c r="C51" s="24" t="str">
        <x:v>297거4892</x:v>
      </x:c>
      <x:c r="D51" s="30" t="n">
        <x:v>45849</x:v>
      </x:c>
      <x:c r="E51" s="24" t="str">
        <x:v>계약시작</x:v>
      </x:c>
      <x:c r="F51" s="24" t="str"/>
      <x:c r="G51" s="24" t="str">
        <x:v>대여중</x:v>
      </x:c>
      <x:c r="H51" s="32" t="n">
        <x:v>930000</x:v>
      </x:c>
      <x:c r="I51" s="24" t="str">
        <x:v>SW-C-297거4892-2-20250711-16</x:v>
      </x:c>
      <x:c r="J51" s="24" t="str">
        <x:v>문규호</x:v>
      </x:c>
      <x:c r="K51" s="24" t="str">
        <x:v>구독대여 계약 시작</x:v>
      </x:c>
      <x:c r="L51" s="24" t="str"/>
      <x:c r="M51" s="24" t="str">
        <x:v>하허호</x:v>
      </x:c>
      <x:c r="N51" s="30" t="n">
        <x:v>45849</x:v>
      </x:c>
    </x:row>
    <x:row r="52" ht="17.25" customHeight="1">
      <x:c r="A52" s="24" t="str">
        <x:v>E-00051</x:v>
      </x:c>
      <x:c r="B52" s="24" t="str">
        <x:v>스위치플랜</x:v>
      </x:c>
      <x:c r="C52" s="24" t="str">
        <x:v>297거4892</x:v>
      </x:c>
      <x:c r="D52" s="30"/>
      <x:c r="E52" s="24" t="str">
        <x:v>반납</x:v>
      </x:c>
      <x:c r="F52" s="24" t="str">
        <x:v>대여중</x:v>
      </x:c>
      <x:c r="G52" s="24" t="str">
        <x:v>쉬는차</x:v>
      </x:c>
      <x:c r="H52" s="32"/>
      <x:c r="I52" s="24" t="str">
        <x:v>SW-C-297거4892-2-20250711-16</x:v>
      </x:c>
      <x:c r="J52" s="24" t="str">
        <x:v>문규호</x:v>
      </x:c>
      <x:c r="K52" s="24" t="str">
        <x:v>차량 반납</x:v>
      </x:c>
      <x:c r="L52" s="24" t="str"/>
      <x:c r="M52" s="24" t="str">
        <x:v>하허호</x:v>
      </x:c>
      <x:c r="N52" s="30"/>
    </x:row>
    <x:row r="53" ht="17.25" customHeight="1">
      <x:c r="A53" s="24" t="str">
        <x:v>E-00052</x:v>
      </x:c>
      <x:c r="B53" s="24" t="str">
        <x:v>스위치플랜</x:v>
      </x:c>
      <x:c r="C53" s="24" t="str">
        <x:v>297거4892</x:v>
      </x:c>
      <x:c r="D53" s="30" t="n">
        <x:v>45698</x:v>
      </x:c>
      <x:c r="E53" s="24" t="str">
        <x:v>계약시작</x:v>
      </x:c>
      <x:c r="F53" s="24" t="str"/>
      <x:c r="G53" s="24" t="str">
        <x:v>대여중</x:v>
      </x:c>
      <x:c r="H53" s="32" t="n">
        <x:v>830000</x:v>
      </x:c>
      <x:c r="I53" s="24" t="str">
        <x:v>SW-C-297거4892-3-20250210-16</x:v>
      </x:c>
      <x:c r="J53" s="24" t="str">
        <x:v>오재훈</x:v>
      </x:c>
      <x:c r="K53" s="24" t="str">
        <x:v>구독대여 계약 시작</x:v>
      </x:c>
      <x:c r="L53" s="24" t="str"/>
      <x:c r="M53" s="24" t="str">
        <x:v>하허호</x:v>
      </x:c>
      <x:c r="N53" s="30" t="n">
        <x:v>45698</x:v>
      </x:c>
    </x:row>
    <x:row r="54" ht="17.25" customHeight="1">
      <x:c r="A54" s="24" t="str">
        <x:v>E-00053</x:v>
      </x:c>
      <x:c r="B54" s="24" t="str">
        <x:v>스위치플랜</x:v>
      </x:c>
      <x:c r="C54" s="24" t="str">
        <x:v>297거4892</x:v>
      </x:c>
      <x:c r="D54" s="30"/>
      <x:c r="E54" s="24" t="str">
        <x:v>반납</x:v>
      </x:c>
      <x:c r="F54" s="24" t="str">
        <x:v>대여중</x:v>
      </x:c>
      <x:c r="G54" s="24" t="str">
        <x:v>쉬는차</x:v>
      </x:c>
      <x:c r="H54" s="32"/>
      <x:c r="I54" s="24" t="str">
        <x:v>SW-C-297거4892-3-20250210-16</x:v>
      </x:c>
      <x:c r="J54" s="24" t="str">
        <x:v>오재훈</x:v>
      </x:c>
      <x:c r="K54" s="24" t="str">
        <x:v>차량 반납</x:v>
      </x:c>
      <x:c r="L54" s="24" t="str"/>
      <x:c r="M54" s="24" t="str">
        <x:v>하허호</x:v>
      </x:c>
      <x:c r="N54" s="30"/>
    </x:row>
    <x:row r="55" ht="17.25" customHeight="1">
      <x:c r="A55" s="24" t="str">
        <x:v>E-00054</x:v>
      </x:c>
      <x:c r="B55" s="24" t="str">
        <x:v>스위치플랜</x:v>
      </x:c>
      <x:c r="C55" s="24" t="str">
        <x:v>297거4892</x:v>
      </x:c>
      <x:c r="D55" s="30" t="n">
        <x:v>45366</x:v>
      </x:c>
      <x:c r="E55" s="24" t="str">
        <x:v>계약시작</x:v>
      </x:c>
      <x:c r="F55" s="24" t="str"/>
      <x:c r="G55" s="24" t="str">
        <x:v>대여중</x:v>
      </x:c>
      <x:c r="H55" s="32" t="n">
        <x:v>1110000</x:v>
      </x:c>
      <x:c r="I55" s="24" t="str">
        <x:v>SW-C-297거4892-4-20240315-16</x:v>
      </x:c>
      <x:c r="J55" s="24" t="str">
        <x:v>김태린</x:v>
      </x:c>
      <x:c r="K55" s="24" t="str">
        <x:v>구독대여 계약 시작</x:v>
      </x:c>
      <x:c r="L55" s="24" t="str"/>
      <x:c r="M55" s="24" t="str">
        <x:v>카랜(주)</x:v>
      </x:c>
      <x:c r="N55" s="30" t="n">
        <x:v>45366</x:v>
      </x:c>
    </x:row>
    <x:row r="56" ht="17.25" customHeight="1">
      <x:c r="A56" s="24" t="str">
        <x:v>E-00055</x:v>
      </x:c>
      <x:c r="B56" s="24" t="str">
        <x:v>스위치플랜</x:v>
      </x:c>
      <x:c r="C56" s="24" t="str">
        <x:v>297거4892</x:v>
      </x:c>
      <x:c r="D56" s="30" t="n">
        <x:v>45645</x:v>
      </x:c>
      <x:c r="E56" s="24" t="str">
        <x:v>반납</x:v>
      </x:c>
      <x:c r="F56" s="24" t="str">
        <x:v>대여중</x:v>
      </x:c>
      <x:c r="G56" s="24" t="str">
        <x:v>쉬는차</x:v>
      </x:c>
      <x:c r="H56" s="32"/>
      <x:c r="I56" s="24" t="str">
        <x:v>SW-C-297거4892-4-20240315-16</x:v>
      </x:c>
      <x:c r="J56" s="24" t="str">
        <x:v>김태린</x:v>
      </x:c>
      <x:c r="K56" s="24" t="str">
        <x:v>차량 반납</x:v>
      </x:c>
      <x:c r="L56" s="24" t="str"/>
      <x:c r="M56" s="24" t="str">
        <x:v>카랜(주)</x:v>
      </x:c>
      <x:c r="N56" s="30" t="n">
        <x:v>45645</x:v>
      </x:c>
    </x:row>
    <x:row r="57" ht="17.25" customHeight="1">
      <x:c r="A57" s="24" t="str">
        <x:v>E-00056</x:v>
      </x:c>
      <x:c r="B57" s="24" t="str">
        <x:v>스위치플랜</x:v>
      </x:c>
      <x:c r="C57" s="24" t="str">
        <x:v>263모3889</x:v>
      </x:c>
      <x:c r="D57" s="30" t="n">
        <x:v>45769</x:v>
      </x:c>
      <x:c r="E57" s="24" t="str">
        <x:v>계약시작</x:v>
      </x:c>
      <x:c r="F57" s="24" t="str"/>
      <x:c r="G57" s="24" t="str">
        <x:v>대여중</x:v>
      </x:c>
      <x:c r="H57" s="32" t="n">
        <x:v>1290000</x:v>
      </x:c>
      <x:c r="I57" s="24" t="str">
        <x:v>SW-C-263모3889-1-20250422-17</x:v>
      </x:c>
      <x:c r="J57" s="24" t="str">
        <x:v>박진경</x:v>
      </x:c>
      <x:c r="K57" s="24" t="str">
        <x:v>구독대여 계약 시작</x:v>
      </x:c>
      <x:c r="L57" s="24" t="str"/>
      <x:c r="M57" s="24" t="str">
        <x:v>하허호</x:v>
      </x:c>
      <x:c r="N57" s="30" t="n">
        <x:v>45769</x:v>
      </x:c>
    </x:row>
    <x:row r="58" ht="17.25" customHeight="1">
      <x:c r="A58" s="24" t="str">
        <x:v>E-00057</x:v>
      </x:c>
      <x:c r="B58" s="24" t="str">
        <x:v>스위치플랜</x:v>
      </x:c>
      <x:c r="C58" s="24" t="str">
        <x:v>01도9893</x:v>
      </x:c>
      <x:c r="D58" s="30" t="n">
        <x:v>45579</x:v>
      </x:c>
      <x:c r="E58" s="24" t="str">
        <x:v>계약시작</x:v>
      </x:c>
      <x:c r="F58" s="24" t="str"/>
      <x:c r="G58" s="24" t="str">
        <x:v>대여중</x:v>
      </x:c>
      <x:c r="H58" s="32" t="n">
        <x:v>450000</x:v>
      </x:c>
      <x:c r="I58" s="24" t="str">
        <x:v>SW-C-01도9893-1-20241014-18</x:v>
      </x:c>
      <x:c r="J58" s="24" t="str">
        <x:v>김효은</x:v>
      </x:c>
      <x:c r="K58" s="24" t="str">
        <x:v>구독대여 계약 시작</x:v>
      </x:c>
      <x:c r="L58" s="24" t="str"/>
      <x:c r="M58" s="24" t="str">
        <x:v>하허호</x:v>
      </x:c>
      <x:c r="N58" s="30" t="n">
        <x:v>45579</x:v>
      </x:c>
    </x:row>
    <x:row r="59" ht="17.25" customHeight="1">
      <x:c r="A59" s="24" t="str">
        <x:v>E-00058</x:v>
      </x:c>
      <x:c r="B59" s="24" t="str">
        <x:v>스위치플랜</x:v>
      </x:c>
      <x:c r="C59" s="24" t="str">
        <x:v>02마4731</x:v>
      </x:c>
      <x:c r="D59" s="30" t="n">
        <x:v>45733</x:v>
      </x:c>
      <x:c r="E59" s="24" t="str">
        <x:v>계약시작</x:v>
      </x:c>
      <x:c r="F59" s="24" t="str"/>
      <x:c r="G59" s="24" t="str">
        <x:v>대여중</x:v>
      </x:c>
      <x:c r="H59" s="32" t="n">
        <x:v>330000</x:v>
      </x:c>
      <x:c r="I59" s="24" t="str">
        <x:v>SW-C-02마4731-1-20250317-19</x:v>
      </x:c>
      <x:c r="J59" s="24" t="str">
        <x:v>하정만</x:v>
      </x:c>
      <x:c r="K59" s="24" t="str">
        <x:v>구독대여 계약 시작</x:v>
      </x:c>
      <x:c r="L59" s="24" t="str"/>
      <x:c r="M59" s="24" t="str">
        <x:v>하허호</x:v>
      </x:c>
      <x:c r="N59" s="30" t="n">
        <x:v>45733</x:v>
      </x:c>
    </x:row>
    <x:row r="60" ht="17.25" customHeight="1">
      <x:c r="A60" s="24" t="str">
        <x:v>E-00059</x:v>
      </x:c>
      <x:c r="B60" s="24" t="str">
        <x:v>스위치플랜</x:v>
      </x:c>
      <x:c r="C60" s="24" t="str">
        <x:v>02마4731</x:v>
      </x:c>
      <x:c r="D60" s="30" t="n">
        <x:v>45665</x:v>
      </x:c>
      <x:c r="E60" s="24" t="str">
        <x:v>계약시작</x:v>
      </x:c>
      <x:c r="F60" s="24" t="str"/>
      <x:c r="G60" s="24" t="str">
        <x:v>대여중</x:v>
      </x:c>
      <x:c r="H60" s="32" t="n">
        <x:v>300000</x:v>
      </x:c>
      <x:c r="I60" s="24" t="str">
        <x:v>SW-C-02마4731-2-20250108-19</x:v>
      </x:c>
      <x:c r="J60" s="24" t="str">
        <x:v>김영희</x:v>
      </x:c>
      <x:c r="K60" s="24" t="str">
        <x:v>단기대여 계약 시작</x:v>
      </x:c>
      <x:c r="L60" s="24" t="str"/>
      <x:c r="M60" s="24" t="str">
        <x:v>하허호</x:v>
      </x:c>
      <x:c r="N60" s="30" t="n">
        <x:v>45665</x:v>
      </x:c>
    </x:row>
    <x:row r="61" ht="17.25" customHeight="1">
      <x:c r="A61" s="24" t="str">
        <x:v>E-00060</x:v>
      </x:c>
      <x:c r="B61" s="24" t="str">
        <x:v>스위치플랜</x:v>
      </x:c>
      <x:c r="C61" s="24" t="str">
        <x:v>02마4731</x:v>
      </x:c>
      <x:c r="D61" s="30" t="n">
        <x:v>45726</x:v>
      </x:c>
      <x:c r="E61" s="24" t="str">
        <x:v>반납</x:v>
      </x:c>
      <x:c r="F61" s="24" t="str">
        <x:v>대여중</x:v>
      </x:c>
      <x:c r="G61" s="24" t="str">
        <x:v>쉬는차</x:v>
      </x:c>
      <x:c r="H61" s="32"/>
      <x:c r="I61" s="24" t="str">
        <x:v>SW-C-02마4731-2-20250108-19</x:v>
      </x:c>
      <x:c r="J61" s="24" t="str">
        <x:v>김영희</x:v>
      </x:c>
      <x:c r="K61" s="24" t="str">
        <x:v>차량 반납</x:v>
      </x:c>
      <x:c r="L61" s="24" t="str"/>
      <x:c r="M61" s="24" t="str">
        <x:v>하허호</x:v>
      </x:c>
      <x:c r="N61" s="30" t="n">
        <x:v>45726</x:v>
      </x:c>
    </x:row>
    <x:row r="62" ht="17.25" customHeight="1">
      <x:c r="A62" s="24" t="str">
        <x:v>E-00061</x:v>
      </x:c>
      <x:c r="B62" s="24" t="str">
        <x:v>스위치플랜</x:v>
      </x:c>
      <x:c r="C62" s="24" t="str">
        <x:v>02마4731</x:v>
      </x:c>
      <x:c r="D62" s="30" t="n">
        <x:v>45279</x:v>
      </x:c>
      <x:c r="E62" s="24" t="str">
        <x:v>계약시작</x:v>
      </x:c>
      <x:c r="F62" s="24" t="str"/>
      <x:c r="G62" s="24" t="str">
        <x:v>대여중</x:v>
      </x:c>
      <x:c r="H62" s="32" t="n">
        <x:v>410000</x:v>
      </x:c>
      <x:c r="I62" s="24" t="str">
        <x:v>SW-C-02마4731-3-20231219-19</x:v>
      </x:c>
      <x:c r="J62" s="24" t="str">
        <x:v>백중선</x:v>
      </x:c>
      <x:c r="K62" s="24" t="str">
        <x:v>구독대여 계약 시작</x:v>
      </x:c>
      <x:c r="L62" s="24" t="str"/>
      <x:c r="M62" s="24" t="str">
        <x:v>하허호</x:v>
      </x:c>
      <x:c r="N62" s="30" t="n">
        <x:v>45279</x:v>
      </x:c>
    </x:row>
    <x:row r="63" ht="17.25" customHeight="1">
      <x:c r="A63" s="24" t="str">
        <x:v>E-00062</x:v>
      </x:c>
      <x:c r="B63" s="24" t="str">
        <x:v>스위치플랜</x:v>
      </x:c>
      <x:c r="C63" s="24" t="str">
        <x:v>02마4731</x:v>
      </x:c>
      <x:c r="D63" s="30" t="n">
        <x:v>45645</x:v>
      </x:c>
      <x:c r="E63" s="24" t="str">
        <x:v>반납</x:v>
      </x:c>
      <x:c r="F63" s="24" t="str">
        <x:v>대여중</x:v>
      </x:c>
      <x:c r="G63" s="24" t="str">
        <x:v>쉬는차</x:v>
      </x:c>
      <x:c r="H63" s="32"/>
      <x:c r="I63" s="24" t="str">
        <x:v>SW-C-02마4731-3-20231219-19</x:v>
      </x:c>
      <x:c r="J63" s="24" t="str">
        <x:v>백중선</x:v>
      </x:c>
      <x:c r="K63" s="24" t="str">
        <x:v>차량 반납</x:v>
      </x:c>
      <x:c r="L63" s="24" t="str"/>
      <x:c r="M63" s="24" t="str">
        <x:v>하허호</x:v>
      </x:c>
      <x:c r="N63" s="30" t="n">
        <x:v>45645</x:v>
      </x:c>
    </x:row>
    <x:row r="64" ht="17.25" customHeight="1">
      <x:c r="A64" s="24" t="str">
        <x:v>E-00063</x:v>
      </x:c>
      <x:c r="B64" s="24" t="str">
        <x:v>스위치플랜</x:v>
      </x:c>
      <x:c r="C64" s="24" t="str">
        <x:v>306조9919</x:v>
      </x:c>
      <x:c r="D64" s="30" t="n">
        <x:v>46057</x:v>
      </x:c>
      <x:c r="E64" s="24" t="str">
        <x:v>계약시작</x:v>
      </x:c>
      <x:c r="F64" s="24" t="str"/>
      <x:c r="G64" s="24" t="str">
        <x:v>대여중</x:v>
      </x:c>
      <x:c r="H64" s="32" t="n">
        <x:v>1070000</x:v>
      </x:c>
      <x:c r="I64" s="24" t="str">
        <x:v>SW-C-306조9919-1-20260204-20</x:v>
      </x:c>
      <x:c r="J64" s="24" t="str">
        <x:v>김기영</x:v>
      </x:c>
      <x:c r="K64" s="24" t="str">
        <x:v>구독대여 계약 시작</x:v>
      </x:c>
      <x:c r="L64" s="24" t="str"/>
      <x:c r="M64" s="24" t="str"/>
      <x:c r="N64" s="30" t="n">
        <x:v>46057</x:v>
      </x:c>
    </x:row>
    <x:row r="65" ht="17.25" customHeight="1">
      <x:c r="A65" s="24" t="str">
        <x:v>E-00064</x:v>
      </x:c>
      <x:c r="B65" s="24" t="str">
        <x:v>스위치플랜</x:v>
      </x:c>
      <x:c r="C65" s="24" t="str">
        <x:v>306조9919</x:v>
      </x:c>
      <x:c r="D65" s="30" t="n">
        <x:v>45897</x:v>
      </x:c>
      <x:c r="E65" s="24" t="str">
        <x:v>계약시작</x:v>
      </x:c>
      <x:c r="F65" s="24" t="str"/>
      <x:c r="G65" s="24" t="str">
        <x:v>대여중</x:v>
      </x:c>
      <x:c r="H65" s="32" t="n">
        <x:v>1150000</x:v>
      </x:c>
      <x:c r="I65" s="24" t="str">
        <x:v>SW-C-306조9919-2-20250828-20</x:v>
      </x:c>
      <x:c r="J65" s="24" t="str">
        <x:v>링크월배</x:v>
      </x:c>
      <x:c r="K65" s="24" t="str">
        <x:v>구독대여 계약 시작</x:v>
      </x:c>
      <x:c r="L65" s="24" t="str"/>
      <x:c r="M65" s="24" t="str"/>
      <x:c r="N65" s="30" t="n">
        <x:v>45897</x:v>
      </x:c>
    </x:row>
    <x:row r="66" ht="17.25" customHeight="1">
      <x:c r="A66" s="24" t="str">
        <x:v>E-00065</x:v>
      </x:c>
      <x:c r="B66" s="24" t="str">
        <x:v>스위치플랜</x:v>
      </x:c>
      <x:c r="C66" s="24" t="str">
        <x:v>306조9919</x:v>
      </x:c>
      <x:c r="D66" s="30" t="n">
        <x:v>45947</x:v>
      </x:c>
      <x:c r="E66" s="24" t="str">
        <x:v>반납</x:v>
      </x:c>
      <x:c r="F66" s="24" t="str">
        <x:v>대여중</x:v>
      </x:c>
      <x:c r="G66" s="24" t="str">
        <x:v>쉬는차</x:v>
      </x:c>
      <x:c r="H66" s="32"/>
      <x:c r="I66" s="24" t="str">
        <x:v>SW-C-306조9919-2-20250828-20</x:v>
      </x:c>
      <x:c r="J66" s="24" t="str">
        <x:v>링크월배</x:v>
      </x:c>
      <x:c r="K66" s="24" t="str">
        <x:v>차량 반납</x:v>
      </x:c>
      <x:c r="L66" s="24" t="str"/>
      <x:c r="M66" s="24" t="str"/>
      <x:c r="N66" s="30" t="n">
        <x:v>45947</x:v>
      </x:c>
    </x:row>
    <x:row r="67" ht="17.25" customHeight="1">
      <x:c r="A67" s="24" t="str">
        <x:v>E-00066</x:v>
      </x:c>
      <x:c r="B67" s="24" t="str">
        <x:v>스위치플랜</x:v>
      </x:c>
      <x:c r="C67" s="24" t="str">
        <x:v>306조9919</x:v>
      </x:c>
      <x:c r="D67" s="30" t="n">
        <x:v>45810</x:v>
      </x:c>
      <x:c r="E67" s="24" t="str">
        <x:v>계약시작</x:v>
      </x:c>
      <x:c r="F67" s="24" t="str"/>
      <x:c r="G67" s="24" t="str">
        <x:v>대여중</x:v>
      </x:c>
      <x:c r="H67" s="32" t="n">
        <x:v>1150000</x:v>
      </x:c>
      <x:c r="I67" s="24" t="str">
        <x:v>SW-C-306조9919-3-20250602-20</x:v>
      </x:c>
      <x:c r="J67" s="24" t="str">
        <x:v>조인환</x:v>
      </x:c>
      <x:c r="K67" s="24" t="str">
        <x:v>구독대여 계약 시작</x:v>
      </x:c>
      <x:c r="L67" s="24" t="str"/>
      <x:c r="M67" s="24" t="str">
        <x:v>하허호</x:v>
      </x:c>
      <x:c r="N67" s="30" t="n">
        <x:v>45810</x:v>
      </x:c>
    </x:row>
    <x:row r="68" ht="17.25" customHeight="1">
      <x:c r="A68" s="24" t="str">
        <x:v>E-00067</x:v>
      </x:c>
      <x:c r="B68" s="24" t="str">
        <x:v>스위치플랜</x:v>
      </x:c>
      <x:c r="C68" s="24" t="str">
        <x:v>306조9919</x:v>
      </x:c>
      <x:c r="D68" s="30"/>
      <x:c r="E68" s="24" t="str">
        <x:v>반납</x:v>
      </x:c>
      <x:c r="F68" s="24" t="str">
        <x:v>대여중</x:v>
      </x:c>
      <x:c r="G68" s="24" t="str">
        <x:v>쉬는차</x:v>
      </x:c>
      <x:c r="H68" s="32"/>
      <x:c r="I68" s="24" t="str">
        <x:v>SW-C-306조9919-3-20250602-20</x:v>
      </x:c>
      <x:c r="J68" s="24" t="str">
        <x:v>조인환</x:v>
      </x:c>
      <x:c r="K68" s="24" t="str">
        <x:v>차량 반납</x:v>
      </x:c>
      <x:c r="L68" s="24" t="str"/>
      <x:c r="M68" s="24" t="str">
        <x:v>하허호</x:v>
      </x:c>
      <x:c r="N68" s="30"/>
    </x:row>
    <x:row r="69" ht="17.25" customHeight="1">
      <x:c r="A69" s="24" t="str">
        <x:v>E-00068</x:v>
      </x:c>
      <x:c r="B69" s="24" t="str">
        <x:v>스위치플랜</x:v>
      </x:c>
      <x:c r="C69" s="24" t="str">
        <x:v>306조9919</x:v>
      </x:c>
      <x:c r="D69" s="30" t="n">
        <x:v>45632</x:v>
      </x:c>
      <x:c r="E69" s="24" t="str">
        <x:v>계약시작</x:v>
      </x:c>
      <x:c r="F69" s="24" t="str"/>
      <x:c r="G69" s="24" t="str">
        <x:v>대여중</x:v>
      </x:c>
      <x:c r="H69" s="32" t="n">
        <x:v>1390000</x:v>
      </x:c>
      <x:c r="I69" s="24" t="str">
        <x:v>SW-C-306조9919-4-20241206-20</x:v>
      </x:c>
      <x:c r="J69" s="24" t="str">
        <x:v>김대욱</x:v>
      </x:c>
      <x:c r="K69" s="24" t="str">
        <x:v>구독대여 계약 시작</x:v>
      </x:c>
      <x:c r="L69" s="24" t="str"/>
      <x:c r="M69" s="24" t="str">
        <x:v>하허호</x:v>
      </x:c>
      <x:c r="N69" s="30" t="n">
        <x:v>45632</x:v>
      </x:c>
    </x:row>
    <x:row r="70" ht="17.25" customHeight="1">
      <x:c r="A70" s="24" t="str">
        <x:v>E-00069</x:v>
      </x:c>
      <x:c r="B70" s="24" t="str">
        <x:v>스위치플랜</x:v>
      </x:c>
      <x:c r="C70" s="24" t="str">
        <x:v>306조9919</x:v>
      </x:c>
      <x:c r="D70" s="30" t="n">
        <x:v>45796</x:v>
      </x:c>
      <x:c r="E70" s="24" t="str">
        <x:v>반납</x:v>
      </x:c>
      <x:c r="F70" s="24" t="str">
        <x:v>대여중</x:v>
      </x:c>
      <x:c r="G70" s="24" t="str">
        <x:v>쉬는차</x:v>
      </x:c>
      <x:c r="H70" s="32"/>
      <x:c r="I70" s="24" t="str">
        <x:v>SW-C-306조9919-4-20241206-20</x:v>
      </x:c>
      <x:c r="J70" s="24" t="str">
        <x:v>김대욱</x:v>
      </x:c>
      <x:c r="K70" s="24" t="str">
        <x:v>차량 반납</x:v>
      </x:c>
      <x:c r="L70" s="24" t="str"/>
      <x:c r="M70" s="24" t="str">
        <x:v>하허호</x:v>
      </x:c>
      <x:c r="N70" s="30" t="n">
        <x:v>45796</x:v>
      </x:c>
    </x:row>
    <x:row r="71" ht="17.25" customHeight="1">
      <x:c r="A71" s="24" t="str">
        <x:v>E-00070</x:v>
      </x:c>
      <x:c r="B71" s="24" t="str">
        <x:v>스위치플랜</x:v>
      </x:c>
      <x:c r="C71" s="24" t="str">
        <x:v>109로1819</x:v>
      </x:c>
      <x:c r="D71" s="30" t="n">
        <x:v>45854</x:v>
      </x:c>
      <x:c r="E71" s="24" t="str">
        <x:v>계약시작</x:v>
      </x:c>
      <x:c r="F71" s="24" t="str"/>
      <x:c r="G71" s="24" t="str">
        <x:v>대여중</x:v>
      </x:c>
      <x:c r="H71" s="32" t="n">
        <x:v>1800000</x:v>
      </x:c>
      <x:c r="I71" s="24" t="str">
        <x:v>SW-C-109로1819-1-20250716-21</x:v>
      </x:c>
      <x:c r="J71" s="24" t="str">
        <x:v>박주신</x:v>
      </x:c>
      <x:c r="K71" s="24" t="str">
        <x:v>구독대여 계약 시작</x:v>
      </x:c>
      <x:c r="L71" s="24" t="str"/>
      <x:c r="M71" s="24" t="str">
        <x:v>하허호</x:v>
      </x:c>
      <x:c r="N71" s="30" t="n">
        <x:v>45854</x:v>
      </x:c>
    </x:row>
    <x:row r="72" ht="17.25" customHeight="1">
      <x:c r="A72" s="24" t="str">
        <x:v>E-00071</x:v>
      </x:c>
      <x:c r="B72" s="24" t="str">
        <x:v>스위치플랜</x:v>
      </x:c>
      <x:c r="C72" s="24" t="str">
        <x:v>109로1819</x:v>
      </x:c>
      <x:c r="D72" s="30" t="n">
        <x:v>45636</x:v>
      </x:c>
      <x:c r="E72" s="24" t="str">
        <x:v>계약시작</x:v>
      </x:c>
      <x:c r="F72" s="24" t="str"/>
      <x:c r="G72" s="24" t="str">
        <x:v>대여중</x:v>
      </x:c>
      <x:c r="H72" s="32" t="n">
        <x:v>2190000</x:v>
      </x:c>
      <x:c r="I72" s="24" t="str">
        <x:v>SW-C-109로1819-2-20241210-21</x:v>
      </x:c>
      <x:c r="J72" s="24" t="str">
        <x:v>윤홍석</x:v>
      </x:c>
      <x:c r="K72" s="24" t="str">
        <x:v>구독대여 계약 시작</x:v>
      </x:c>
      <x:c r="L72" s="24" t="str"/>
      <x:c r="M72" s="24" t="str">
        <x:v>김지호</x:v>
      </x:c>
      <x:c r="N72" s="30" t="n">
        <x:v>45636</x:v>
      </x:c>
    </x:row>
    <x:row r="73" ht="17.25" customHeight="1">
      <x:c r="A73" s="24" t="str">
        <x:v>E-00072</x:v>
      </x:c>
      <x:c r="B73" s="24" t="str">
        <x:v>스위치플랜</x:v>
      </x:c>
      <x:c r="C73" s="24" t="str">
        <x:v>109로1819</x:v>
      </x:c>
      <x:c r="D73" s="30" t="n">
        <x:v>45836</x:v>
      </x:c>
      <x:c r="E73" s="24" t="str">
        <x:v>반납</x:v>
      </x:c>
      <x:c r="F73" s="24" t="str">
        <x:v>대여중</x:v>
      </x:c>
      <x:c r="G73" s="24" t="str">
        <x:v>쉬는차</x:v>
      </x:c>
      <x:c r="H73" s="32"/>
      <x:c r="I73" s="24" t="str">
        <x:v>SW-C-109로1819-2-20241210-21</x:v>
      </x:c>
      <x:c r="J73" s="24" t="str">
        <x:v>윤홍석</x:v>
      </x:c>
      <x:c r="K73" s="24" t="str">
        <x:v>차량 반납</x:v>
      </x:c>
      <x:c r="L73" s="24" t="str"/>
      <x:c r="M73" s="24" t="str">
        <x:v>김지호</x:v>
      </x:c>
      <x:c r="N73" s="30" t="n">
        <x:v>45836</x:v>
      </x:c>
    </x:row>
    <x:row r="74" ht="17.25" customHeight="1">
      <x:c r="A74" s="24" t="str">
        <x:v>E-00073</x:v>
      </x:c>
      <x:c r="B74" s="24" t="str">
        <x:v>스위치플랜</x:v>
      </x:c>
      <x:c r="C74" s="24" t="str">
        <x:v>17수4278</x:v>
      </x:c>
      <x:c r="D74" s="30" t="n">
        <x:v>46084</x:v>
      </x:c>
      <x:c r="E74" s="24" t="str">
        <x:v>계약시작</x:v>
      </x:c>
      <x:c r="F74" s="24" t="str"/>
      <x:c r="G74" s="24" t="str">
        <x:v>대여중</x:v>
      </x:c>
      <x:c r="H74" s="32" t="n">
        <x:v>630000</x:v>
      </x:c>
      <x:c r="I74" s="24" t="str">
        <x:v>SW-C-17수4278-1-20260303-22</x:v>
      </x:c>
      <x:c r="J74" s="24" t="str">
        <x:v>김은옥</x:v>
      </x:c>
      <x:c r="K74" s="24" t="str">
        <x:v>구독대여 계약 시작</x:v>
      </x:c>
      <x:c r="L74" s="24" t="str"/>
      <x:c r="M74" s="24" t="str">
        <x:v>하허호</x:v>
      </x:c>
      <x:c r="N74" s="30" t="n">
        <x:v>46084</x:v>
      </x:c>
    </x:row>
    <x:row r="75" ht="17.25" customHeight="1">
      <x:c r="A75" s="24" t="str">
        <x:v>E-00074</x:v>
      </x:c>
      <x:c r="B75" s="24" t="str">
        <x:v>스위치플랜</x:v>
      </x:c>
      <x:c r="C75" s="24" t="str">
        <x:v>17수4278</x:v>
      </x:c>
      <x:c r="D75" s="30" t="n">
        <x:v>45990</x:v>
      </x:c>
      <x:c r="E75" s="24" t="str">
        <x:v>계약시작</x:v>
      </x:c>
      <x:c r="F75" s="24" t="str"/>
      <x:c r="G75" s="24" t="str">
        <x:v>대여중</x:v>
      </x:c>
      <x:c r="H75" s="32" t="n">
        <x:v>630000</x:v>
      </x:c>
      <x:c r="I75" s="24" t="str">
        <x:v>SW-C-17수4278-2-20251129-22</x:v>
      </x:c>
      <x:c r="J75" s="24" t="str">
        <x:v>김민영</x:v>
      </x:c>
      <x:c r="K75" s="24" t="str">
        <x:v>구독대여 계약 시작</x:v>
      </x:c>
      <x:c r="L75" s="24" t="str"/>
      <x:c r="M75" s="24" t="str">
        <x:v>하허호</x:v>
      </x:c>
      <x:c r="N75" s="30" t="n">
        <x:v>45990</x:v>
      </x:c>
    </x:row>
    <x:row r="76" ht="17.25" customHeight="1">
      <x:c r="A76" s="24" t="str">
        <x:v>E-00075</x:v>
      </x:c>
      <x:c r="B76" s="24" t="str">
        <x:v>스위치플랜</x:v>
      </x:c>
      <x:c r="C76" s="24" t="str">
        <x:v>17수4278</x:v>
      </x:c>
      <x:c r="D76" s="30"/>
      <x:c r="E76" s="24" t="str">
        <x:v>반납</x:v>
      </x:c>
      <x:c r="F76" s="24" t="str">
        <x:v>대여중</x:v>
      </x:c>
      <x:c r="G76" s="24" t="str">
        <x:v>쉬는차</x:v>
      </x:c>
      <x:c r="H76" s="32"/>
      <x:c r="I76" s="24" t="str">
        <x:v>SW-C-17수4278-2-20251129-22</x:v>
      </x:c>
      <x:c r="J76" s="24" t="str">
        <x:v>김민영</x:v>
      </x:c>
      <x:c r="K76" s="24" t="str">
        <x:v>차량 반납</x:v>
      </x:c>
      <x:c r="L76" s="24" t="str"/>
      <x:c r="M76" s="24" t="str">
        <x:v>하허호</x:v>
      </x:c>
      <x:c r="N76" s="30"/>
    </x:row>
    <x:row r="77" ht="17.25" customHeight="1">
      <x:c r="A77" s="24" t="str">
        <x:v>E-00076</x:v>
      </x:c>
      <x:c r="B77" s="24" t="str">
        <x:v>스위치플랜</x:v>
      </x:c>
      <x:c r="C77" s="24" t="str">
        <x:v>17수4278</x:v>
      </x:c>
      <x:c r="D77" s="30" t="n">
        <x:v>45906</x:v>
      </x:c>
      <x:c r="E77" s="24" t="str">
        <x:v>계약시작</x:v>
      </x:c>
      <x:c r="F77" s="24" t="str"/>
      <x:c r="G77" s="24" t="str">
        <x:v>대여중</x:v>
      </x:c>
      <x:c r="H77" s="32" t="n">
        <x:v>780000</x:v>
      </x:c>
      <x:c r="I77" s="24" t="str">
        <x:v>SW-C-17수4278-3-20250906-22</x:v>
      </x:c>
      <x:c r="J77" s="24" t="str">
        <x:v>김영도</x:v>
      </x:c>
      <x:c r="K77" s="24" t="str">
        <x:v>구독대여 계약 시작</x:v>
      </x:c>
      <x:c r="L77" s="24" t="str"/>
      <x:c r="M77" s="24" t="str"/>
      <x:c r="N77" s="30" t="n">
        <x:v>45906</x:v>
      </x:c>
    </x:row>
    <x:row r="78" ht="17.25" customHeight="1">
      <x:c r="A78" s="24" t="str">
        <x:v>E-00077</x:v>
      </x:c>
      <x:c r="B78" s="24" t="str">
        <x:v>스위치플랜</x:v>
      </x:c>
      <x:c r="C78" s="24" t="str">
        <x:v>17수4278</x:v>
      </x:c>
      <x:c r="D78" s="30" t="n">
        <x:v>45955</x:v>
      </x:c>
      <x:c r="E78" s="24" t="str">
        <x:v>반납</x:v>
      </x:c>
      <x:c r="F78" s="24" t="str">
        <x:v>대여중</x:v>
      </x:c>
      <x:c r="G78" s="24" t="str">
        <x:v>쉬는차</x:v>
      </x:c>
      <x:c r="H78" s="32"/>
      <x:c r="I78" s="24" t="str">
        <x:v>SW-C-17수4278-3-20250906-22</x:v>
      </x:c>
      <x:c r="J78" s="24" t="str">
        <x:v>김영도</x:v>
      </x:c>
      <x:c r="K78" s="24" t="str">
        <x:v>차량 반납</x:v>
      </x:c>
      <x:c r="L78" s="24" t="str"/>
      <x:c r="M78" s="24" t="str"/>
      <x:c r="N78" s="30" t="n">
        <x:v>45955</x:v>
      </x:c>
    </x:row>
    <x:row r="79" ht="17.25" customHeight="1">
      <x:c r="A79" s="24" t="str">
        <x:v>E-00078</x:v>
      </x:c>
      <x:c r="B79" s="24" t="str">
        <x:v>스위치플랜</x:v>
      </x:c>
      <x:c r="C79" s="24" t="str">
        <x:v>17수4278</x:v>
      </x:c>
      <x:c r="D79" s="30" t="n">
        <x:v>45663</x:v>
      </x:c>
      <x:c r="E79" s="24" t="str">
        <x:v>계약시작</x:v>
      </x:c>
      <x:c r="F79" s="24" t="str"/>
      <x:c r="G79" s="24" t="str">
        <x:v>대여중</x:v>
      </x:c>
      <x:c r="H79" s="32" t="n">
        <x:v>780000</x:v>
      </x:c>
      <x:c r="I79" s="24" t="str">
        <x:v>SW-C-17수4278-4-20250106-22</x:v>
      </x:c>
      <x:c r="J79" s="24" t="str">
        <x:v>박주희</x:v>
      </x:c>
      <x:c r="K79" s="24" t="str">
        <x:v>구독대여 계약 시작</x:v>
      </x:c>
      <x:c r="L79" s="24" t="str"/>
      <x:c r="M79" s="24" t="str"/>
      <x:c r="N79" s="30" t="n">
        <x:v>45663</x:v>
      </x:c>
    </x:row>
    <x:row r="80" ht="17.25" customHeight="1">
      <x:c r="A80" s="24" t="str">
        <x:v>E-00079</x:v>
      </x:c>
      <x:c r="B80" s="24" t="str">
        <x:v>스위치플랜</x:v>
      </x:c>
      <x:c r="C80" s="24" t="str">
        <x:v>17수4278</x:v>
      </x:c>
      <x:c r="D80" s="30" t="n">
        <x:v>45817</x:v>
      </x:c>
      <x:c r="E80" s="24" t="str">
        <x:v>반납</x:v>
      </x:c>
      <x:c r="F80" s="24" t="str">
        <x:v>대여중</x:v>
      </x:c>
      <x:c r="G80" s="24" t="str">
        <x:v>쉬는차</x:v>
      </x:c>
      <x:c r="H80" s="32"/>
      <x:c r="I80" s="24" t="str">
        <x:v>SW-C-17수4278-4-20250106-22</x:v>
      </x:c>
      <x:c r="J80" s="24" t="str">
        <x:v>박주희</x:v>
      </x:c>
      <x:c r="K80" s="24" t="str">
        <x:v>차량 반납</x:v>
      </x:c>
      <x:c r="L80" s="24" t="str"/>
      <x:c r="M80" s="24" t="str"/>
      <x:c r="N80" s="30" t="n">
        <x:v>45817</x:v>
      </x:c>
    </x:row>
    <x:row r="81" ht="17.25" customHeight="1">
      <x:c r="A81" s="24" t="str">
        <x:v>E-00080</x:v>
      </x:c>
      <x:c r="B81" s="24" t="str">
        <x:v>스위치플랜</x:v>
      </x:c>
      <x:c r="C81" s="24" t="str">
        <x:v>17수4278</x:v>
      </x:c>
      <x:c r="D81" s="30" t="n">
        <x:v>46873</x:v>
      </x:c>
      <x:c r="E81" s="24" t="str">
        <x:v>계약시작</x:v>
      </x:c>
      <x:c r="F81" s="24" t="str"/>
      <x:c r="G81" s="24" t="str">
        <x:v>대여중</x:v>
      </x:c>
      <x:c r="H81" s="32" t="n">
        <x:v>45663</x:v>
      </x:c>
      <x:c r="I81" s="24" t="str">
        <x:v>SW-C-17수4278-5-20280430-22</x:v>
      </x:c>
      <x:c r="J81" s="24" t="str">
        <x:v>전민석</x:v>
      </x:c>
      <x:c r="K81" s="24" t="str">
        <x:v>구독대여 계약 시작</x:v>
      </x:c>
      <x:c r="L81" s="24" t="str"/>
      <x:c r="M81" s="24" t="str">
        <x:v>하허호</x:v>
      </x:c>
      <x:c r="N81" s="30" t="n">
        <x:v>46873</x:v>
      </x:c>
    </x:row>
    <x:row r="82" ht="17.25" customHeight="1">
      <x:c r="A82" s="24" t="str">
        <x:v>E-00081</x:v>
      </x:c>
      <x:c r="B82" s="24" t="str">
        <x:v>스위치플랜</x:v>
      </x:c>
      <x:c r="C82" s="24" t="str">
        <x:v>17수4278</x:v>
      </x:c>
      <x:c r="D82" s="30"/>
      <x:c r="E82" s="24" t="str">
        <x:v>반납</x:v>
      </x:c>
      <x:c r="F82" s="24" t="str">
        <x:v>대여중</x:v>
      </x:c>
      <x:c r="G82" s="24" t="str">
        <x:v>쉬는차</x:v>
      </x:c>
      <x:c r="H82" s="32"/>
      <x:c r="I82" s="24" t="str">
        <x:v>SW-C-17수4278-5-20280430-22</x:v>
      </x:c>
      <x:c r="J82" s="24" t="str">
        <x:v>전민석</x:v>
      </x:c>
      <x:c r="K82" s="24" t="str">
        <x:v>차량 반납</x:v>
      </x:c>
      <x:c r="L82" s="24" t="str"/>
      <x:c r="M82" s="24" t="str">
        <x:v>하허호</x:v>
      </x:c>
      <x:c r="N82" s="30"/>
    </x:row>
    <x:row r="83" ht="17.25" customHeight="1">
      <x:c r="A83" s="24" t="str">
        <x:v>E-00082</x:v>
      </x:c>
      <x:c r="B83" s="24" t="str">
        <x:v>스위치플랜</x:v>
      </x:c>
      <x:c r="C83" s="24" t="str">
        <x:v>17수4278</x:v>
      </x:c>
      <x:c r="D83" s="30" t="n">
        <x:v>46873</x:v>
      </x:c>
      <x:c r="E83" s="24" t="str">
        <x:v>계약시작</x:v>
      </x:c>
      <x:c r="F83" s="24" t="str"/>
      <x:c r="G83" s="24" t="str">
        <x:v>대여중</x:v>
      </x:c>
      <x:c r="H83" s="32" t="n">
        <x:v>45413</x:v>
      </x:c>
      <x:c r="I83" s="24" t="str">
        <x:v>SW-C-17수4278-6-20280430-22</x:v>
      </x:c>
      <x:c r="J83" s="24" t="str">
        <x:v>서성종</x:v>
      </x:c>
      <x:c r="K83" s="24" t="str">
        <x:v>구독대여 계약 시작</x:v>
      </x:c>
      <x:c r="L83" s="24" t="str"/>
      <x:c r="M83" s="24" t="str">
        <x:v>카랜(주)</x:v>
      </x:c>
      <x:c r="N83" s="30" t="n">
        <x:v>46873</x:v>
      </x:c>
    </x:row>
    <x:row r="84" ht="17.25" customHeight="1">
      <x:c r="A84" s="24" t="str">
        <x:v>E-00083</x:v>
      </x:c>
      <x:c r="B84" s="24" t="str">
        <x:v>스위치플랜</x:v>
      </x:c>
      <x:c r="C84" s="24" t="str">
        <x:v>17수4278</x:v>
      </x:c>
      <x:c r="D84" s="30"/>
      <x:c r="E84" s="24" t="str">
        <x:v>반납</x:v>
      </x:c>
      <x:c r="F84" s="24" t="str">
        <x:v>대여중</x:v>
      </x:c>
      <x:c r="G84" s="24" t="str">
        <x:v>쉬는차</x:v>
      </x:c>
      <x:c r="H84" s="32"/>
      <x:c r="I84" s="24" t="str">
        <x:v>SW-C-17수4278-6-20280430-22</x:v>
      </x:c>
      <x:c r="J84" s="24" t="str">
        <x:v>서성종</x:v>
      </x:c>
      <x:c r="K84" s="24" t="str">
        <x:v>차량 반납</x:v>
      </x:c>
      <x:c r="L84" s="24" t="str"/>
      <x:c r="M84" s="24" t="str">
        <x:v>카랜(주)</x:v>
      </x:c>
      <x:c r="N84" s="30"/>
    </x:row>
    <x:row r="85" ht="17.25" customHeight="1">
      <x:c r="A85" s="24" t="str">
        <x:v>E-00084</x:v>
      </x:c>
      <x:c r="B85" s="24" t="str">
        <x:v>스위치플랜</x:v>
      </x:c>
      <x:c r="C85" s="24" t="str">
        <x:v>17수4278</x:v>
      </x:c>
      <x:c r="D85" s="30" t="n">
        <x:v>46726</x:v>
      </x:c>
      <x:c r="E85" s="24" t="str">
        <x:v>계약시작</x:v>
      </x:c>
      <x:c r="F85" s="24" t="str"/>
      <x:c r="G85" s="24" t="str">
        <x:v>대여중</x:v>
      </x:c>
      <x:c r="H85" s="32" t="n">
        <x:v>45266</x:v>
      </x:c>
      <x:c r="I85" s="24" t="str">
        <x:v>SW-C-17수4278-7-20271205-22</x:v>
      </x:c>
      <x:c r="J85" s="24" t="str">
        <x:v>한동완</x:v>
      </x:c>
      <x:c r="K85" s="24" t="str">
        <x:v>구독대여 계약 시작</x:v>
      </x:c>
      <x:c r="L85" s="24" t="str"/>
      <x:c r="M85" s="24" t="str">
        <x:v>SI</x:v>
      </x:c>
      <x:c r="N85" s="30" t="n">
        <x:v>46726</x:v>
      </x:c>
    </x:row>
    <x:row r="86" ht="17.25" customHeight="1">
      <x:c r="A86" s="24" t="str">
        <x:v>E-00085</x:v>
      </x:c>
      <x:c r="B86" s="24" t="str">
        <x:v>스위치플랜</x:v>
      </x:c>
      <x:c r="C86" s="24" t="str">
        <x:v>17수4278</x:v>
      </x:c>
      <x:c r="D86" s="30"/>
      <x:c r="E86" s="24" t="str">
        <x:v>반납</x:v>
      </x:c>
      <x:c r="F86" s="24" t="str">
        <x:v>대여중</x:v>
      </x:c>
      <x:c r="G86" s="24" t="str">
        <x:v>쉬는차</x:v>
      </x:c>
      <x:c r="H86" s="32"/>
      <x:c r="I86" s="24" t="str">
        <x:v>SW-C-17수4278-7-20271205-22</x:v>
      </x:c>
      <x:c r="J86" s="24" t="str">
        <x:v>한동완</x:v>
      </x:c>
      <x:c r="K86" s="24" t="str">
        <x:v>차량 반납</x:v>
      </x:c>
      <x:c r="L86" s="24" t="str"/>
      <x:c r="M86" s="24" t="str">
        <x:v>SI</x:v>
      </x:c>
      <x:c r="N86" s="30"/>
    </x:row>
    <x:row r="87" ht="17.25" customHeight="1">
      <x:c r="A87" s="24" t="str">
        <x:v>E-00086</x:v>
      </x:c>
      <x:c r="B87" s="24" t="str">
        <x:v>스위치플랜</x:v>
      </x:c>
      <x:c r="C87" s="24" t="str">
        <x:v>15두2255</x:v>
      </x:c>
      <x:c r="D87" s="30" t="n">
        <x:v>46106</x:v>
      </x:c>
      <x:c r="E87" s="24" t="str">
        <x:v>계약시작</x:v>
      </x:c>
      <x:c r="F87" s="24" t="str"/>
      <x:c r="G87" s="24" t="str">
        <x:v>대여중</x:v>
      </x:c>
      <x:c r="H87" s="32" t="n">
        <x:v>850000</x:v>
      </x:c>
      <x:c r="I87" s="24" t="str">
        <x:v>SW-C-15두2255-1-20260325-23</x:v>
      </x:c>
      <x:c r="J87" s="24" t="str">
        <x:v>송대성</x:v>
      </x:c>
      <x:c r="K87" s="24" t="str">
        <x:v>구독대여 계약 시작</x:v>
      </x:c>
      <x:c r="L87" s="24" t="str"/>
      <x:c r="M87" s="24" t="str">
        <x:v>하허호</x:v>
      </x:c>
      <x:c r="N87" s="30" t="n">
        <x:v>46106</x:v>
      </x:c>
    </x:row>
    <x:row r="88" ht="17.25" customHeight="1">
      <x:c r="A88" s="24" t="str">
        <x:v>E-00087</x:v>
      </x:c>
      <x:c r="B88" s="24" t="str">
        <x:v>스위치플랜</x:v>
      </x:c>
      <x:c r="C88" s="24" t="str">
        <x:v>15두2255</x:v>
      </x:c>
      <x:c r="D88" s="30" t="n">
        <x:v>45740</x:v>
      </x:c>
      <x:c r="E88" s="24" t="str">
        <x:v>계약시작</x:v>
      </x:c>
      <x:c r="F88" s="24" t="str"/>
      <x:c r="G88" s="24" t="str">
        <x:v>대여중</x:v>
      </x:c>
      <x:c r="H88" s="32" t="n">
        <x:v>850000</x:v>
      </x:c>
      <x:c r="I88" s="24" t="str">
        <x:v>SW-C-15두2255-2-20250324-23</x:v>
      </x:c>
      <x:c r="J88" s="24" t="str">
        <x:v>이명규</x:v>
      </x:c>
      <x:c r="K88" s="24" t="str">
        <x:v>구독대여 계약 시작</x:v>
      </x:c>
      <x:c r="L88" s="24" t="str"/>
      <x:c r="M88" s="24" t="str">
        <x:v>하허호</x:v>
      </x:c>
      <x:c r="N88" s="30" t="n">
        <x:v>45740</x:v>
      </x:c>
    </x:row>
    <x:row r="89" ht="17.25" customHeight="1">
      <x:c r="A89" s="24" t="str">
        <x:v>E-00088</x:v>
      </x:c>
      <x:c r="B89" s="24" t="str">
        <x:v>스위치플랜</x:v>
      </x:c>
      <x:c r="C89" s="24" t="str">
        <x:v>15두2255</x:v>
      </x:c>
      <x:c r="D89" s="30"/>
      <x:c r="E89" s="24" t="str">
        <x:v>반납</x:v>
      </x:c>
      <x:c r="F89" s="24" t="str">
        <x:v>대여중</x:v>
      </x:c>
      <x:c r="G89" s="24" t="str">
        <x:v>쉬는차</x:v>
      </x:c>
      <x:c r="H89" s="32"/>
      <x:c r="I89" s="24" t="str">
        <x:v>SW-C-15두2255-2-20250324-23</x:v>
      </x:c>
      <x:c r="J89" s="24" t="str">
        <x:v>이명규</x:v>
      </x:c>
      <x:c r="K89" s="24" t="str">
        <x:v>차량 반납</x:v>
      </x:c>
      <x:c r="L89" s="24" t="str"/>
      <x:c r="M89" s="24" t="str">
        <x:v>하허호</x:v>
      </x:c>
      <x:c r="N89" s="30"/>
    </x:row>
    <x:row r="90" ht="17.25" customHeight="1">
      <x:c r="A90" s="24" t="str">
        <x:v>E-00089</x:v>
      </x:c>
      <x:c r="B90" s="24" t="str">
        <x:v>스위치플랜</x:v>
      </x:c>
      <x:c r="C90" s="24" t="str">
        <x:v>15두2255</x:v>
      </x:c>
      <x:c r="D90" s="30" t="n">
        <x:v>45720</x:v>
      </x:c>
      <x:c r="E90" s="24" t="str">
        <x:v>계약시작</x:v>
      </x:c>
      <x:c r="F90" s="24" t="str"/>
      <x:c r="G90" s="24" t="str">
        <x:v>대여중</x:v>
      </x:c>
      <x:c r="H90" s="32" t="n">
        <x:v>850000</x:v>
      </x:c>
      <x:c r="I90" s="24" t="str">
        <x:v>SW-C-15두2255-3-20250304-23</x:v>
      </x:c>
      <x:c r="J90" s="24" t="str">
        <x:v>안준범</x:v>
      </x:c>
      <x:c r="K90" s="24" t="str">
        <x:v>구독대여 계약 시작</x:v>
      </x:c>
      <x:c r="L90" s="24" t="str"/>
      <x:c r="M90" s="24" t="str">
        <x:v>하허호</x:v>
      </x:c>
      <x:c r="N90" s="30" t="n">
        <x:v>45720</x:v>
      </x:c>
    </x:row>
    <x:row r="91" ht="17.25" customHeight="1">
      <x:c r="A91" s="24" t="str">
        <x:v>E-00090</x:v>
      </x:c>
      <x:c r="B91" s="24" t="str">
        <x:v>스위치플랜</x:v>
      </x:c>
      <x:c r="C91" s="24" t="str">
        <x:v>15두2255</x:v>
      </x:c>
      <x:c r="D91" s="30"/>
      <x:c r="E91" s="24" t="str">
        <x:v>반납</x:v>
      </x:c>
      <x:c r="F91" s="24" t="str">
        <x:v>대여중</x:v>
      </x:c>
      <x:c r="G91" s="24" t="str">
        <x:v>쉬는차</x:v>
      </x:c>
      <x:c r="H91" s="32"/>
      <x:c r="I91" s="24" t="str">
        <x:v>SW-C-15두2255-3-20250304-23</x:v>
      </x:c>
      <x:c r="J91" s="24" t="str">
        <x:v>안준범</x:v>
      </x:c>
      <x:c r="K91" s="24" t="str">
        <x:v>차량 반납</x:v>
      </x:c>
      <x:c r="L91" s="24" t="str"/>
      <x:c r="M91" s="24" t="str">
        <x:v>하허호</x:v>
      </x:c>
      <x:c r="N91" s="30"/>
    </x:row>
    <x:row r="92" ht="17.25" customHeight="1">
      <x:c r="A92" s="24" t="str">
        <x:v>E-00091</x:v>
      </x:c>
      <x:c r="B92" s="24" t="str">
        <x:v>스위치플랜</x:v>
      </x:c>
      <x:c r="C92" s="24" t="str">
        <x:v>15두2255</x:v>
      </x:c>
      <x:c r="D92" s="30" t="n">
        <x:v>45677</x:v>
      </x:c>
      <x:c r="E92" s="24" t="str">
        <x:v>계약시작</x:v>
      </x:c>
      <x:c r="F92" s="24" t="str"/>
      <x:c r="G92" s="24" t="str">
        <x:v>대여중</x:v>
      </x:c>
      <x:c r="H92" s="32" t="n">
        <x:v>850000</x:v>
      </x:c>
      <x:c r="I92" s="24" t="str">
        <x:v>SW-C-15두2255-4-20250120-23</x:v>
      </x:c>
      <x:c r="J92" s="24" t="str">
        <x:v>강호</x:v>
      </x:c>
      <x:c r="K92" s="24" t="str">
        <x:v>구독대여 계약 시작</x:v>
      </x:c>
      <x:c r="L92" s="24" t="str"/>
      <x:c r="M92" s="24" t="str">
        <x:v>하허호</x:v>
      </x:c>
      <x:c r="N92" s="30" t="n">
        <x:v>45677</x:v>
      </x:c>
    </x:row>
    <x:row r="93" ht="17.25" customHeight="1">
      <x:c r="A93" s="24" t="str">
        <x:v>E-00092</x:v>
      </x:c>
      <x:c r="B93" s="24" t="str">
        <x:v>스위치플랜</x:v>
      </x:c>
      <x:c r="C93" s="24" t="str">
        <x:v>15두2255</x:v>
      </x:c>
      <x:c r="D93" s="30" t="n">
        <x:v>45720</x:v>
      </x:c>
      <x:c r="E93" s="24" t="str">
        <x:v>반납</x:v>
      </x:c>
      <x:c r="F93" s="24" t="str">
        <x:v>대여중</x:v>
      </x:c>
      <x:c r="G93" s="24" t="str">
        <x:v>쉬는차</x:v>
      </x:c>
      <x:c r="H93" s="32"/>
      <x:c r="I93" s="24" t="str">
        <x:v>SW-C-15두2255-4-20250120-23</x:v>
      </x:c>
      <x:c r="J93" s="24" t="str">
        <x:v>강호</x:v>
      </x:c>
      <x:c r="K93" s="24" t="str">
        <x:v>차량 반납</x:v>
      </x:c>
      <x:c r="L93" s="24" t="str"/>
      <x:c r="M93" s="24" t="str">
        <x:v>하허호</x:v>
      </x:c>
      <x:c r="N93" s="30" t="n">
        <x:v>45720</x:v>
      </x:c>
    </x:row>
    <x:row r="94" ht="17.25" customHeight="1">
      <x:c r="A94" s="24" t="str">
        <x:v>E-00093</x:v>
      </x:c>
      <x:c r="B94" s="24" t="str">
        <x:v>스위치플랜</x:v>
      </x:c>
      <x:c r="C94" s="24" t="str">
        <x:v>15두2255</x:v>
      </x:c>
      <x:c r="D94" s="30" t="n">
        <x:v>45775</x:v>
      </x:c>
      <x:c r="E94" s="24" t="str">
        <x:v>계약시작</x:v>
      </x:c>
      <x:c r="F94" s="24" t="str"/>
      <x:c r="G94" s="24" t="str">
        <x:v>대여중</x:v>
      </x:c>
      <x:c r="H94" s="32" t="n">
        <x:v>45411</x:v>
      </x:c>
      <x:c r="I94" s="24" t="str">
        <x:v>SW-C-15두2255-5-20250428-23</x:v>
      </x:c>
      <x:c r="J94" s="24" t="str">
        <x:v>박승빈</x:v>
      </x:c>
      <x:c r="K94" s="24" t="str">
        <x:v>구독대여 계약 시작</x:v>
      </x:c>
      <x:c r="L94" s="24" t="str"/>
      <x:c r="M94" s="24" t="str">
        <x:v>카랜(주)</x:v>
      </x:c>
      <x:c r="N94" s="30" t="n">
        <x:v>45775</x:v>
      </x:c>
    </x:row>
    <x:row r="95" ht="17.25" customHeight="1">
      <x:c r="A95" s="24" t="str">
        <x:v>E-00094</x:v>
      </x:c>
      <x:c r="B95" s="24" t="str">
        <x:v>스위치플랜</x:v>
      </x:c>
      <x:c r="C95" s="24" t="str">
        <x:v>15두2255</x:v>
      </x:c>
      <x:c r="D95" s="30"/>
      <x:c r="E95" s="24" t="str">
        <x:v>반납</x:v>
      </x:c>
      <x:c r="F95" s="24" t="str">
        <x:v>대여중</x:v>
      </x:c>
      <x:c r="G95" s="24" t="str">
        <x:v>쉬는차</x:v>
      </x:c>
      <x:c r="H95" s="32"/>
      <x:c r="I95" s="24" t="str">
        <x:v>SW-C-15두2255-5-20250428-23</x:v>
      </x:c>
      <x:c r="J95" s="24" t="str">
        <x:v>박승빈</x:v>
      </x:c>
      <x:c r="K95" s="24" t="str">
        <x:v>차량 반납</x:v>
      </x:c>
      <x:c r="L95" s="24" t="str"/>
      <x:c r="M95" s="24" t="str">
        <x:v>카랜(주)</x:v>
      </x:c>
      <x:c r="N95" s="30"/>
    </x:row>
    <x:row r="96" ht="17.25" customHeight="1">
      <x:c r="A96" s="24" t="str">
        <x:v>E-00095</x:v>
      </x:c>
      <x:c r="B96" s="24" t="str">
        <x:v>스위치플랜</x:v>
      </x:c>
      <x:c r="C96" s="24" t="str">
        <x:v>311마8929</x:v>
      </x:c>
      <x:c r="D96" s="30" t="n">
        <x:v>46146</x:v>
      </x:c>
      <x:c r="E96" s="24" t="str">
        <x:v>계약시작</x:v>
      </x:c>
      <x:c r="F96" s="24" t="str"/>
      <x:c r="G96" s="24" t="str">
        <x:v>대여중</x:v>
      </x:c>
      <x:c r="H96" s="32" t="n">
        <x:v>880000</x:v>
      </x:c>
      <x:c r="I96" s="24" t="str">
        <x:v>SW-C-311마8929-1-20260504-24</x:v>
      </x:c>
      <x:c r="J96" s="24" t="str">
        <x:v>김태원</x:v>
      </x:c>
      <x:c r="K96" s="24" t="str">
        <x:v>구독대여 계약 시작</x:v>
      </x:c>
      <x:c r="L96" s="24" t="str"/>
      <x:c r="M96" s="24" t="str">
        <x:v>하하호</x:v>
      </x:c>
      <x:c r="N96" s="30" t="n">
        <x:v>46146</x:v>
      </x:c>
    </x:row>
    <x:row r="97" ht="17.25" customHeight="1">
      <x:c r="A97" s="24" t="str">
        <x:v>E-00096</x:v>
      </x:c>
      <x:c r="B97" s="24" t="str">
        <x:v>스위치플랜</x:v>
      </x:c>
      <x:c r="C97" s="24" t="str">
        <x:v>311마8929</x:v>
      </x:c>
      <x:c r="D97" s="30" t="n">
        <x:v>45992</x:v>
      </x:c>
      <x:c r="E97" s="24" t="str">
        <x:v>계약시작</x:v>
      </x:c>
      <x:c r="F97" s="24" t="str"/>
      <x:c r="G97" s="24" t="str">
        <x:v>대여중</x:v>
      </x:c>
      <x:c r="H97" s="32" t="n">
        <x:v>1280000</x:v>
      </x:c>
      <x:c r="I97" s="24" t="str">
        <x:v>SW-C-311마8929-2-20251201-24</x:v>
      </x:c>
      <x:c r="J97" s="24" t="str">
        <x:v>주은호</x:v>
      </x:c>
      <x:c r="K97" s="24" t="str">
        <x:v>구독대여 계약 시작</x:v>
      </x:c>
      <x:c r="L97" s="24" t="str"/>
      <x:c r="M97" s="24" t="str">
        <x:v>하허호</x:v>
      </x:c>
      <x:c r="N97" s="30" t="n">
        <x:v>45992</x:v>
      </x:c>
    </x:row>
    <x:row r="98" ht="17.25" customHeight="1">
      <x:c r="A98" s="24" t="str">
        <x:v>E-00097</x:v>
      </x:c>
      <x:c r="B98" s="24" t="str">
        <x:v>스위치플랜</x:v>
      </x:c>
      <x:c r="C98" s="24" t="str">
        <x:v>311마8929</x:v>
      </x:c>
      <x:c r="D98" s="30" t="n">
        <x:v>46120</x:v>
      </x:c>
      <x:c r="E98" s="24" t="str">
        <x:v>반납</x:v>
      </x:c>
      <x:c r="F98" s="24" t="str">
        <x:v>대여중</x:v>
      </x:c>
      <x:c r="G98" s="24" t="str">
        <x:v>쉬는차</x:v>
      </x:c>
      <x:c r="H98" s="32"/>
      <x:c r="I98" s="24" t="str">
        <x:v>SW-C-311마8929-2-20251201-24</x:v>
      </x:c>
      <x:c r="J98" s="24" t="str">
        <x:v>주은호</x:v>
      </x:c>
      <x:c r="K98" s="24" t="str">
        <x:v>차량 반납</x:v>
      </x:c>
      <x:c r="L98" s="24" t="str"/>
      <x:c r="M98" s="24" t="str">
        <x:v>하허호</x:v>
      </x:c>
      <x:c r="N98" s="30" t="n">
        <x:v>46120</x:v>
      </x:c>
    </x:row>
    <x:row r="99" ht="17.25" customHeight="1">
      <x:c r="A99" s="24" t="str">
        <x:v>E-00098</x:v>
      </x:c>
      <x:c r="B99" s="24" t="str">
        <x:v>스위치플랜</x:v>
      </x:c>
      <x:c r="C99" s="24" t="str">
        <x:v>311마8929</x:v>
      </x:c>
      <x:c r="D99" s="30" t="n">
        <x:v>45762</x:v>
      </x:c>
      <x:c r="E99" s="24" t="str">
        <x:v>계약시작</x:v>
      </x:c>
      <x:c r="F99" s="24" t="str"/>
      <x:c r="G99" s="24" t="str">
        <x:v>대여중</x:v>
      </x:c>
      <x:c r="H99" s="32" t="n">
        <x:v>1280000</x:v>
      </x:c>
      <x:c r="I99" s="24" t="str">
        <x:v>SW-C-311마8929-3-20250415-24</x:v>
      </x:c>
      <x:c r="J99" s="24" t="str">
        <x:v>윤도희</x:v>
      </x:c>
      <x:c r="K99" s="24" t="str">
        <x:v>구독대여 계약 시작</x:v>
      </x:c>
      <x:c r="L99" s="24" t="str"/>
      <x:c r="M99" s="24" t="str">
        <x:v>하허호</x:v>
      </x:c>
      <x:c r="N99" s="30" t="n">
        <x:v>45762</x:v>
      </x:c>
    </x:row>
    <x:row r="100" ht="17.25" customHeight="1">
      <x:c r="A100" s="24" t="str">
        <x:v>E-00099</x:v>
      </x:c>
      <x:c r="B100" s="24" t="str">
        <x:v>스위치플랜</x:v>
      </x:c>
      <x:c r="C100" s="24" t="str">
        <x:v>311마8929</x:v>
      </x:c>
      <x:c r="D100" s="30" t="n">
        <x:v>45992</x:v>
      </x:c>
      <x:c r="E100" s="24" t="str">
        <x:v>반납</x:v>
      </x:c>
      <x:c r="F100" s="24" t="str">
        <x:v>대여중</x:v>
      </x:c>
      <x:c r="G100" s="24" t="str">
        <x:v>쉬는차</x:v>
      </x:c>
      <x:c r="H100" s="32"/>
      <x:c r="I100" s="24" t="str">
        <x:v>SW-C-311마8929-3-20250415-24</x:v>
      </x:c>
      <x:c r="J100" s="24" t="str">
        <x:v>윤도희</x:v>
      </x:c>
      <x:c r="K100" s="24" t="str">
        <x:v>차량 반납</x:v>
      </x:c>
      <x:c r="L100" s="24" t="str"/>
      <x:c r="M100" s="24" t="str">
        <x:v>하허호</x:v>
      </x:c>
      <x:c r="N100" s="30" t="n">
        <x:v>45992</x:v>
      </x:c>
    </x:row>
    <x:row r="101" ht="17.25" customHeight="1">
      <x:c r="A101" s="24" t="str">
        <x:v>E-00100</x:v>
      </x:c>
      <x:c r="B101" s="24" t="str">
        <x:v>스위치플랜</x:v>
      </x:c>
      <x:c r="C101" s="24" t="str">
        <x:v>311마8929</x:v>
      </x:c>
      <x:c r="D101" s="30" t="n">
        <x:v>45351</x:v>
      </x:c>
      <x:c r="E101" s="24" t="str">
        <x:v>계약시작</x:v>
      </x:c>
      <x:c r="F101" s="24" t="str"/>
      <x:c r="G101" s="24" t="str">
        <x:v>대여중</x:v>
      </x:c>
      <x:c r="H101" s="32" t="n">
        <x:v>1170000</x:v>
      </x:c>
      <x:c r="I101" s="24" t="str">
        <x:v>SW-C-311마8929-4-20240229-24</x:v>
      </x:c>
      <x:c r="J101" s="24" t="str">
        <x:v>위국희</x:v>
      </x:c>
      <x:c r="K101" s="24" t="str">
        <x:v>구독대여 계약 시작</x:v>
      </x:c>
      <x:c r="L101" s="24" t="str"/>
      <x:c r="M101" s="24" t="str">
        <x:v>카랜(주)</x:v>
      </x:c>
      <x:c r="N101" s="30" t="n">
        <x:v>45351</x:v>
      </x:c>
    </x:row>
    <x:row r="102" ht="17.25" customHeight="1">
      <x:c r="A102" s="24" t="str">
        <x:v>E-00101</x:v>
      </x:c>
      <x:c r="B102" s="24" t="str">
        <x:v>스위치플랜</x:v>
      </x:c>
      <x:c r="C102" s="24" t="str">
        <x:v>311마8929</x:v>
      </x:c>
      <x:c r="D102" s="30" t="n">
        <x:v>45746</x:v>
      </x:c>
      <x:c r="E102" s="24" t="str">
        <x:v>반납</x:v>
      </x:c>
      <x:c r="F102" s="24" t="str">
        <x:v>대여중</x:v>
      </x:c>
      <x:c r="G102" s="24" t="str">
        <x:v>쉬는차</x:v>
      </x:c>
      <x:c r="H102" s="32"/>
      <x:c r="I102" s="24" t="str">
        <x:v>SW-C-311마8929-4-20240229-24</x:v>
      </x:c>
      <x:c r="J102" s="24" t="str">
        <x:v>위국희</x:v>
      </x:c>
      <x:c r="K102" s="24" t="str">
        <x:v>차량 반납</x:v>
      </x:c>
      <x:c r="L102" s="24" t="str"/>
      <x:c r="M102" s="24" t="str">
        <x:v>카랜(주)</x:v>
      </x:c>
      <x:c r="N102" s="30" t="n">
        <x:v>45746</x:v>
      </x:c>
    </x:row>
    <x:row r="103" ht="17.25" customHeight="1">
      <x:c r="A103" s="24" t="str">
        <x:v>E-00102</x:v>
      </x:c>
      <x:c r="B103" s="24" t="str">
        <x:v>스위치플랜</x:v>
      </x:c>
      <x:c r="C103" s="24" t="str">
        <x:v>10어7374</x:v>
      </x:c>
      <x:c r="D103" s="30" t="n">
        <x:v>45656</x:v>
      </x:c>
      <x:c r="E103" s="24" t="str">
        <x:v>계약시작</x:v>
      </x:c>
      <x:c r="F103" s="24" t="str"/>
      <x:c r="G103" s="24" t="str">
        <x:v>대여중</x:v>
      </x:c>
      <x:c r="H103" s="32" t="n">
        <x:v>580000</x:v>
      </x:c>
      <x:c r="I103" s="24" t="str">
        <x:v>SW-C-10어7374-1-20241230-25</x:v>
      </x:c>
      <x:c r="J103" s="24" t="str">
        <x:v>오종석</x:v>
      </x:c>
      <x:c r="K103" s="24" t="str">
        <x:v>구독대여 계약 시작</x:v>
      </x:c>
      <x:c r="L103" s="24" t="str"/>
      <x:c r="M103" s="24" t="str">
        <x:v>하허호</x:v>
      </x:c>
      <x:c r="N103" s="30" t="n">
        <x:v>45656</x:v>
      </x:c>
    </x:row>
    <x:row r="104" ht="17.25" customHeight="1">
      <x:c r="A104" s="24" t="str">
        <x:v>E-00103</x:v>
      </x:c>
      <x:c r="B104" s="24" t="str">
        <x:v>스위치플랜</x:v>
      </x:c>
      <x:c r="C104" s="24" t="str">
        <x:v>252거3143</x:v>
      </x:c>
      <x:c r="D104" s="30" t="n">
        <x:v>45524</x:v>
      </x:c>
      <x:c r="E104" s="24" t="str">
        <x:v>계약시작</x:v>
      </x:c>
      <x:c r="F104" s="24" t="str"/>
      <x:c r="G104" s="24" t="str">
        <x:v>대여중</x:v>
      </x:c>
      <x:c r="H104" s="32" t="n">
        <x:v>320000</x:v>
      </x:c>
      <x:c r="I104" s="24" t="str">
        <x:v>SW-C-252거3143-1-20240820-26</x:v>
      </x:c>
      <x:c r="J104" s="24" t="str">
        <x:v>김종원</x:v>
      </x:c>
      <x:c r="K104" s="24" t="str">
        <x:v>구독대여 계약 시작</x:v>
      </x:c>
      <x:c r="L104" s="24" t="str"/>
      <x:c r="M104" s="24" t="str">
        <x:v>하허호</x:v>
      </x:c>
      <x:c r="N104" s="30" t="n">
        <x:v>45524</x:v>
      </x:c>
    </x:row>
    <x:row r="105" ht="17.25" customHeight="1">
      <x:c r="A105" s="24" t="str">
        <x:v>E-00104</x:v>
      </x:c>
      <x:c r="B105" s="24" t="str">
        <x:v>스위치플랜</x:v>
      </x:c>
      <x:c r="C105" s="24" t="str">
        <x:v>57나3382</x:v>
      </x:c>
      <x:c r="D105" s="30" t="n">
        <x:v>46162</x:v>
      </x:c>
      <x:c r="E105" s="24" t="str">
        <x:v>계약시작</x:v>
      </x:c>
      <x:c r="F105" s="24" t="str"/>
      <x:c r="G105" s="24" t="str">
        <x:v>대여중</x:v>
      </x:c>
      <x:c r="H105" s="32" t="n">
        <x:v>350000</x:v>
      </x:c>
      <x:c r="I105" s="24" t="str">
        <x:v>SW-C-57나3382-1-20260520-27</x:v>
      </x:c>
      <x:c r="J105" s="24" t="str">
        <x:v>김대훈</x:v>
      </x:c>
      <x:c r="K105" s="24" t="str">
        <x:v>구독대여 계약 시작</x:v>
      </x:c>
      <x:c r="L105" s="24" t="str"/>
      <x:c r="M105" s="24" t="str"/>
      <x:c r="N105" s="30" t="n">
        <x:v>46162</x:v>
      </x:c>
    </x:row>
    <x:row r="106" ht="17.25" customHeight="1">
      <x:c r="A106" s="24" t="str">
        <x:v>E-00105</x:v>
      </x:c>
      <x:c r="B106" s="24" t="str">
        <x:v>스위치플랜</x:v>
      </x:c>
      <x:c r="C106" s="24" t="str">
        <x:v>57나3382</x:v>
      </x:c>
      <x:c r="D106" s="30" t="n">
        <x:v>45775</x:v>
      </x:c>
      <x:c r="E106" s="24" t="str">
        <x:v>계약시작</x:v>
      </x:c>
      <x:c r="F106" s="24" t="str"/>
      <x:c r="G106" s="24" t="str">
        <x:v>대여중</x:v>
      </x:c>
      <x:c r="H106" s="32" t="n">
        <x:v>370000</x:v>
      </x:c>
      <x:c r="I106" s="24" t="str">
        <x:v>SW-C-57나3382-2-20250428-27</x:v>
      </x:c>
      <x:c r="J106" s="24" t="str">
        <x:v>최춘학</x:v>
      </x:c>
      <x:c r="K106" s="24" t="str">
        <x:v>구독대여 계약 시작</x:v>
      </x:c>
      <x:c r="L106" s="24" t="str"/>
      <x:c r="M106" s="24" t="str">
        <x:v>에메트</x:v>
      </x:c>
      <x:c r="N106" s="30" t="n">
        <x:v>45775</x:v>
      </x:c>
    </x:row>
    <x:row r="107" ht="17.25" customHeight="1">
      <x:c r="A107" s="24" t="str">
        <x:v>E-00106</x:v>
      </x:c>
      <x:c r="B107" s="24" t="str">
        <x:v>스위치플랜</x:v>
      </x:c>
      <x:c r="C107" s="24" t="str">
        <x:v>57나3382</x:v>
      </x:c>
      <x:c r="D107" s="30" t="n">
        <x:v>46135</x:v>
      </x:c>
      <x:c r="E107" s="24" t="str">
        <x:v>반납</x:v>
      </x:c>
      <x:c r="F107" s="24" t="str">
        <x:v>대여중</x:v>
      </x:c>
      <x:c r="G107" s="24" t="str">
        <x:v>쉬는차</x:v>
      </x:c>
      <x:c r="H107" s="32"/>
      <x:c r="I107" s="24" t="str">
        <x:v>SW-C-57나3382-2-20250428-27</x:v>
      </x:c>
      <x:c r="J107" s="24" t="str">
        <x:v>최춘학</x:v>
      </x:c>
      <x:c r="K107" s="24" t="str">
        <x:v>차량 반납</x:v>
      </x:c>
      <x:c r="L107" s="24" t="str"/>
      <x:c r="M107" s="24" t="str">
        <x:v>에메트</x:v>
      </x:c>
      <x:c r="N107" s="30" t="n">
        <x:v>46135</x:v>
      </x:c>
    </x:row>
    <x:row r="108" ht="17.25" customHeight="1">
      <x:c r="A108" s="24" t="str">
        <x:v>E-00107</x:v>
      </x:c>
      <x:c r="B108" s="24" t="str">
        <x:v>스위치플랜</x:v>
      </x:c>
      <x:c r="C108" s="24" t="str">
        <x:v>57나3382</x:v>
      </x:c>
      <x:c r="D108" s="30" t="n">
        <x:v>45399</x:v>
      </x:c>
      <x:c r="E108" s="24" t="str">
        <x:v>계약시작</x:v>
      </x:c>
      <x:c r="F108" s="24" t="str"/>
      <x:c r="G108" s="24" t="str">
        <x:v>대여중</x:v>
      </x:c>
      <x:c r="H108" s="32" t="n">
        <x:v>460000</x:v>
      </x:c>
      <x:c r="I108" s="24" t="str">
        <x:v>SW-C-57나3382-3-20240417-27</x:v>
      </x:c>
      <x:c r="J108" s="24" t="str">
        <x:v>현경재</x:v>
      </x:c>
      <x:c r="K108" s="24" t="str">
        <x:v>구독대여 계약 시작</x:v>
      </x:c>
      <x:c r="L108" s="24" t="str"/>
      <x:c r="M108" s="24" t="str">
        <x:v>하허호</x:v>
      </x:c>
      <x:c r="N108" s="30" t="n">
        <x:v>45399</x:v>
      </x:c>
    </x:row>
    <x:row r="109" ht="17.25" customHeight="1">
      <x:c r="A109" s="24" t="str">
        <x:v>E-00108</x:v>
      </x:c>
      <x:c r="B109" s="24" t="str">
        <x:v>스위치플랜</x:v>
      </x:c>
      <x:c r="C109" s="24" t="str">
        <x:v>57나3382</x:v>
      </x:c>
      <x:c r="D109" s="30" t="n">
        <x:v>45763</x:v>
      </x:c>
      <x:c r="E109" s="24" t="str">
        <x:v>반납</x:v>
      </x:c>
      <x:c r="F109" s="24" t="str">
        <x:v>대여중</x:v>
      </x:c>
      <x:c r="G109" s="24" t="str">
        <x:v>쉬는차</x:v>
      </x:c>
      <x:c r="H109" s="32"/>
      <x:c r="I109" s="24" t="str">
        <x:v>SW-C-57나3382-3-20240417-27</x:v>
      </x:c>
      <x:c r="J109" s="24" t="str">
        <x:v>현경재</x:v>
      </x:c>
      <x:c r="K109" s="24" t="str">
        <x:v>차량 반납</x:v>
      </x:c>
      <x:c r="L109" s="24" t="str"/>
      <x:c r="M109" s="24" t="str">
        <x:v>하허호</x:v>
      </x:c>
      <x:c r="N109" s="30" t="n">
        <x:v>45763</x:v>
      </x:c>
    </x:row>
    <x:row r="110" ht="17.25" customHeight="1">
      <x:c r="A110" s="24" t="str">
        <x:v>E-00109</x:v>
      </x:c>
      <x:c r="B110" s="24" t="str">
        <x:v>스위치플랜</x:v>
      </x:c>
      <x:c r="C110" s="24" t="str">
        <x:v>57나3382</x:v>
      </x:c>
      <x:c r="D110" s="30" t="n">
        <x:v>45257</x:v>
      </x:c>
      <x:c r="E110" s="24" t="str">
        <x:v>계약시작</x:v>
      </x:c>
      <x:c r="F110" s="24" t="str"/>
      <x:c r="G110" s="24" t="str">
        <x:v>대여중</x:v>
      </x:c>
      <x:c r="H110" s="32" t="n">
        <x:v>460000</x:v>
      </x:c>
      <x:c r="I110" s="24" t="str">
        <x:v>SW-C-57나3382-4-20231127-27</x:v>
      </x:c>
      <x:c r="J110" s="24" t="str">
        <x:v>이명성</x:v>
      </x:c>
      <x:c r="K110" s="24" t="str">
        <x:v>구독대여 계약 시작</x:v>
      </x:c>
      <x:c r="L110" s="24" t="str"/>
      <x:c r="M110" s="24" t="str">
        <x:v>하허호</x:v>
      </x:c>
      <x:c r="N110" s="30" t="n">
        <x:v>45257</x:v>
      </x:c>
    </x:row>
    <x:row r="111" ht="17.25" customHeight="1">
      <x:c r="A111" s="24" t="str">
        <x:v>E-00110</x:v>
      </x:c>
      <x:c r="B111" s="24" t="str">
        <x:v>스위치플랜</x:v>
      </x:c>
      <x:c r="C111" s="24" t="str">
        <x:v>57나3382</x:v>
      </x:c>
      <x:c r="D111" s="30" t="n">
        <x:v>45393</x:v>
      </x:c>
      <x:c r="E111" s="24" t="str">
        <x:v>반납</x:v>
      </x:c>
      <x:c r="F111" s="24" t="str">
        <x:v>대여중</x:v>
      </x:c>
      <x:c r="G111" s="24" t="str">
        <x:v>쉬는차</x:v>
      </x:c>
      <x:c r="H111" s="32"/>
      <x:c r="I111" s="24" t="str">
        <x:v>SW-C-57나3382-4-20231127-27</x:v>
      </x:c>
      <x:c r="J111" s="24" t="str">
        <x:v>이명성</x:v>
      </x:c>
      <x:c r="K111" s="24" t="str">
        <x:v>차량 반납</x:v>
      </x:c>
      <x:c r="L111" s="24" t="str"/>
      <x:c r="M111" s="24" t="str">
        <x:v>하허호</x:v>
      </x:c>
      <x:c r="N111" s="30" t="n">
        <x:v>45393</x:v>
      </x:c>
    </x:row>
    <x:row r="112" ht="17.25" customHeight="1">
      <x:c r="A112" s="24" t="str">
        <x:v>E-00111</x:v>
      </x:c>
      <x:c r="B112" s="24" t="str">
        <x:v>스위치플랜</x:v>
      </x:c>
      <x:c r="C112" s="24" t="str">
        <x:v>81너0984</x:v>
      </x:c>
      <x:c r="D112" s="30" t="n">
        <x:v>45309</x:v>
      </x:c>
      <x:c r="E112" s="24" t="str">
        <x:v>계약시작</x:v>
      </x:c>
      <x:c r="F112" s="24" t="str"/>
      <x:c r="G112" s="24" t="str">
        <x:v>대여중</x:v>
      </x:c>
      <x:c r="H112" s="32" t="n">
        <x:v>720000</x:v>
      </x:c>
      <x:c r="I112" s="24" t="str">
        <x:v>SW-C-81너0984-1-20240118-28</x:v>
      </x:c>
      <x:c r="J112" s="24" t="str">
        <x:v>양인석</x:v>
      </x:c>
      <x:c r="K112" s="24" t="str">
        <x:v>구독대여 계약 시작</x:v>
      </x:c>
      <x:c r="L112" s="24" t="str"/>
      <x:c r="M112" s="24" t="str">
        <x:v>SI</x:v>
      </x:c>
      <x:c r="N112" s="30" t="n">
        <x:v>45309</x:v>
      </x:c>
    </x:row>
    <x:row r="113" ht="17.25" customHeight="1">
      <x:c r="A113" s="24" t="str">
        <x:v>E-00112</x:v>
      </x:c>
      <x:c r="B113" s="24" t="str">
        <x:v>스위치플랜</x:v>
      </x:c>
      <x:c r="C113" s="24" t="str">
        <x:v>133가8292</x:v>
      </x:c>
      <x:c r="D113" s="30" t="n">
        <x:v>45416</x:v>
      </x:c>
      <x:c r="E113" s="24" t="str">
        <x:v>계약시작</x:v>
      </x:c>
      <x:c r="F113" s="24" t="str"/>
      <x:c r="G113" s="24" t="str">
        <x:v>대여중</x:v>
      </x:c>
      <x:c r="H113" s="32" t="n">
        <x:v>840000</x:v>
      </x:c>
      <x:c r="I113" s="24" t="str">
        <x:v>SW-C-133가8292-1-20240504-29</x:v>
      </x:c>
      <x:c r="J113" s="24" t="str">
        <x:v>김찬일</x:v>
      </x:c>
      <x:c r="K113" s="24" t="str">
        <x:v>구독대여 계약 시작</x:v>
      </x:c>
      <x:c r="L113" s="24" t="str"/>
      <x:c r="M113" s="24" t="str">
        <x:v>하허호</x:v>
      </x:c>
      <x:c r="N113" s="30" t="n">
        <x:v>45416</x:v>
      </x:c>
    </x:row>
    <x:row r="114" ht="17.25" customHeight="1">
      <x:c r="A114" s="24" t="str">
        <x:v>E-00113</x:v>
      </x:c>
      <x:c r="B114" s="24" t="str">
        <x:v>스위치플랜</x:v>
      </x:c>
      <x:c r="C114" s="24" t="str">
        <x:v>51라1828</x:v>
      </x:c>
      <x:c r="D114" s="30" t="n">
        <x:v>45387</x:v>
      </x:c>
      <x:c r="E114" s="24" t="str">
        <x:v>계약시작</x:v>
      </x:c>
      <x:c r="F114" s="24" t="str"/>
      <x:c r="G114" s="24" t="str">
        <x:v>대여중</x:v>
      </x:c>
      <x:c r="H114" s="32" t="n">
        <x:v>650000</x:v>
      </x:c>
      <x:c r="I114" s="24" t="str">
        <x:v>SW-C-51라1828-1-20240405-30</x:v>
      </x:c>
      <x:c r="J114" s="24" t="str">
        <x:v>안준우</x:v>
      </x:c>
      <x:c r="K114" s="24" t="str">
        <x:v>구독대여 계약 시작</x:v>
      </x:c>
      <x:c r="L114" s="24" t="str"/>
      <x:c r="M114" s="24" t="str">
        <x:v>카랜(주)</x:v>
      </x:c>
      <x:c r="N114" s="30" t="n">
        <x:v>45387</x:v>
      </x:c>
    </x:row>
    <x:row r="115" ht="17.25" customHeight="1">
      <x:c r="A115" s="24" t="str">
        <x:v>E-00114</x:v>
      </x:c>
      <x:c r="B115" s="24" t="str">
        <x:v>스위치플랜</x:v>
      </x:c>
      <x:c r="C115" s="24" t="str">
        <x:v>265가2481</x:v>
      </x:c>
      <x:c r="D115" s="30" t="n">
        <x:v>45491</x:v>
      </x:c>
      <x:c r="E115" s="24" t="str">
        <x:v>계약시작</x:v>
      </x:c>
      <x:c r="F115" s="24" t="str"/>
      <x:c r="G115" s="24" t="str">
        <x:v>대여중</x:v>
      </x:c>
      <x:c r="H115" s="32" t="n">
        <x:v>990000</x:v>
      </x:c>
      <x:c r="I115" s="24" t="str">
        <x:v>SW-C-265가2481-1-20240718-31</x:v>
      </x:c>
      <x:c r="J115" s="24" t="str">
        <x:v>최희영</x:v>
      </x:c>
      <x:c r="K115" s="24" t="str">
        <x:v>구독대여 계약 시작</x:v>
      </x:c>
      <x:c r="L115" s="24" t="str"/>
      <x:c r="M115" s="24" t="str">
        <x:v>하허호</x:v>
      </x:c>
      <x:c r="N115" s="30" t="n">
        <x:v>45491</x:v>
      </x:c>
    </x:row>
    <x:row r="116" ht="17.25" customHeight="1">
      <x:c r="A116" s="24" t="str">
        <x:v>E-00115</x:v>
      </x:c>
      <x:c r="B116" s="24" t="str">
        <x:v>스위치플랜</x:v>
      </x:c>
      <x:c r="C116" s="24" t="str">
        <x:v>30어1926</x:v>
      </x:c>
      <x:c r="D116" s="30" t="n">
        <x:v>45873</x:v>
      </x:c>
      <x:c r="E116" s="24" t="str">
        <x:v>계약시작</x:v>
      </x:c>
      <x:c r="F116" s="24" t="str"/>
      <x:c r="G116" s="24" t="str">
        <x:v>대여중</x:v>
      </x:c>
      <x:c r="H116" s="32" t="n">
        <x:v>1080000</x:v>
      </x:c>
      <x:c r="I116" s="24" t="str">
        <x:v>SW-C-30어1926-1-20250804-32</x:v>
      </x:c>
      <x:c r="J116" s="24" t="str">
        <x:v>광명건설</x:v>
      </x:c>
      <x:c r="K116" s="24" t="str">
        <x:v>구독대여 계약 시작</x:v>
      </x:c>
      <x:c r="L116" s="24" t="str"/>
      <x:c r="M116" s="24" t="str">
        <x:v>렌트야</x:v>
      </x:c>
      <x:c r="N116" s="30" t="n">
        <x:v>45873</x:v>
      </x:c>
    </x:row>
    <x:row r="117" ht="17.25" customHeight="1">
      <x:c r="A117" s="24" t="str">
        <x:v>E-00116</x:v>
      </x:c>
      <x:c r="B117" s="24" t="str">
        <x:v>스위치플랜</x:v>
      </x:c>
      <x:c r="C117" s="24" t="str">
        <x:v>30어1926</x:v>
      </x:c>
      <x:c r="D117" s="30" t="n">
        <x:v>45700</x:v>
      </x:c>
      <x:c r="E117" s="24" t="str">
        <x:v>계약시작</x:v>
      </x:c>
      <x:c r="F117" s="24" t="str"/>
      <x:c r="G117" s="24" t="str">
        <x:v>대여중</x:v>
      </x:c>
      <x:c r="H117" s="32" t="n">
        <x:v>980000</x:v>
      </x:c>
      <x:c r="I117" s="24" t="str">
        <x:v>SW-C-30어1926-2-20250212-32</x:v>
      </x:c>
      <x:c r="J117" s="24" t="str">
        <x:v>서동혁</x:v>
      </x:c>
      <x:c r="K117" s="24" t="str">
        <x:v>구독대여 계약 시작</x:v>
      </x:c>
      <x:c r="L117" s="24" t="str"/>
      <x:c r="M117" s="24" t="str">
        <x:v>하허호</x:v>
      </x:c>
      <x:c r="N117" s="30" t="n">
        <x:v>45700</x:v>
      </x:c>
    </x:row>
    <x:row r="118" ht="17.25" customHeight="1">
      <x:c r="A118" s="24" t="str">
        <x:v>E-00117</x:v>
      </x:c>
      <x:c r="B118" s="24" t="str">
        <x:v>스위치플랜</x:v>
      </x:c>
      <x:c r="C118" s="24" t="str">
        <x:v>30어1926</x:v>
      </x:c>
      <x:c r="D118" s="30" t="n">
        <x:v>45831</x:v>
      </x:c>
      <x:c r="E118" s="24" t="str">
        <x:v>반납</x:v>
      </x:c>
      <x:c r="F118" s="24" t="str">
        <x:v>대여중</x:v>
      </x:c>
      <x:c r="G118" s="24" t="str">
        <x:v>쉬는차</x:v>
      </x:c>
      <x:c r="H118" s="32"/>
      <x:c r="I118" s="24" t="str">
        <x:v>SW-C-30어1926-2-20250212-32</x:v>
      </x:c>
      <x:c r="J118" s="24" t="str">
        <x:v>서동혁</x:v>
      </x:c>
      <x:c r="K118" s="24" t="str">
        <x:v>차량 반납</x:v>
      </x:c>
      <x:c r="L118" s="24" t="str"/>
      <x:c r="M118" s="24" t="str">
        <x:v>하허호</x:v>
      </x:c>
      <x:c r="N118" s="30" t="n">
        <x:v>45831</x:v>
      </x:c>
    </x:row>
    <x:row r="119" ht="17.25" customHeight="1">
      <x:c r="A119" s="24" t="str">
        <x:v>E-00118</x:v>
      </x:c>
      <x:c r="B119" s="24" t="str">
        <x:v>스위치플랜</x:v>
      </x:c>
      <x:c r="C119" s="24" t="str">
        <x:v>30어1926</x:v>
      </x:c>
      <x:c r="D119" s="30" t="n">
        <x:v>45317</x:v>
      </x:c>
      <x:c r="E119" s="24" t="str">
        <x:v>계약시작</x:v>
      </x:c>
      <x:c r="F119" s="24" t="str"/>
      <x:c r="G119" s="24" t="str">
        <x:v>대여중</x:v>
      </x:c>
      <x:c r="H119" s="32" t="n">
        <x:v>1360000</x:v>
      </x:c>
      <x:c r="I119" s="24" t="str">
        <x:v>SW-C-30어1926-3-20240126-32</x:v>
      </x:c>
      <x:c r="J119" s="24" t="str">
        <x:v>차현</x:v>
      </x:c>
      <x:c r="K119" s="24" t="str">
        <x:v>구독대여 계약 시작</x:v>
      </x:c>
      <x:c r="L119" s="24" t="str"/>
      <x:c r="M119" s="24" t="str">
        <x:v>하허호</x:v>
      </x:c>
      <x:c r="N119" s="30" t="n">
        <x:v>45317</x:v>
      </x:c>
    </x:row>
    <x:row r="120" ht="17.25" customHeight="1">
      <x:c r="A120" s="24" t="str">
        <x:v>E-00119</x:v>
      </x:c>
      <x:c r="B120" s="24" t="str">
        <x:v>스위치플랜</x:v>
      </x:c>
      <x:c r="C120" s="24" t="str">
        <x:v>30어1926</x:v>
      </x:c>
      <x:c r="D120" s="30" t="n">
        <x:v>45523</x:v>
      </x:c>
      <x:c r="E120" s="24" t="str">
        <x:v>반납</x:v>
      </x:c>
      <x:c r="F120" s="24" t="str">
        <x:v>대여중</x:v>
      </x:c>
      <x:c r="G120" s="24" t="str">
        <x:v>쉬는차</x:v>
      </x:c>
      <x:c r="H120" s="32"/>
      <x:c r="I120" s="24" t="str">
        <x:v>SW-C-30어1926-3-20240126-32</x:v>
      </x:c>
      <x:c r="J120" s="24" t="str">
        <x:v>차현</x:v>
      </x:c>
      <x:c r="K120" s="24" t="str">
        <x:v>차량 반납</x:v>
      </x:c>
      <x:c r="L120" s="24" t="str"/>
      <x:c r="M120" s="24" t="str">
        <x:v>하허호</x:v>
      </x:c>
      <x:c r="N120" s="30" t="n">
        <x:v>45523</x:v>
      </x:c>
    </x:row>
    <x:row r="121" ht="17.25" customHeight="1">
      <x:c r="A121" s="24" t="str">
        <x:v>E-00120</x:v>
      </x:c>
      <x:c r="B121" s="24" t="str">
        <x:v>스위치플랜</x:v>
      </x:c>
      <x:c r="C121" s="24" t="str">
        <x:v>172수8945</x:v>
      </x:c>
      <x:c r="D121" s="30" t="n">
        <x:v>46170</x:v>
      </x:c>
      <x:c r="E121" s="24" t="str">
        <x:v>계약시작</x:v>
      </x:c>
      <x:c r="F121" s="24" t="str"/>
      <x:c r="G121" s="24" t="str">
        <x:v>대여중</x:v>
      </x:c>
      <x:c r="H121" s="32" t="n">
        <x:v>780000</x:v>
      </x:c>
      <x:c r="I121" s="24" t="str">
        <x:v>SW-C-172수8945-1-20260528-33</x:v>
      </x:c>
      <x:c r="J121" s="24" t="str">
        <x:v>박형주</x:v>
      </x:c>
      <x:c r="K121" s="24" t="str">
        <x:v>구독대여 계약 시작</x:v>
      </x:c>
      <x:c r="L121" s="24" t="str"/>
      <x:c r="M121" s="24" t="str">
        <x:v>하허호</x:v>
      </x:c>
      <x:c r="N121" s="30" t="n">
        <x:v>46170</x:v>
      </x:c>
    </x:row>
    <x:row r="122" ht="17.25" customHeight="1">
      <x:c r="A122" s="24" t="str">
        <x:v>E-00121</x:v>
      </x:c>
      <x:c r="B122" s="24" t="str">
        <x:v>스위치플랜</x:v>
      </x:c>
      <x:c r="C122" s="24" t="str">
        <x:v>172수8945</x:v>
      </x:c>
      <x:c r="D122" s="30" t="n">
        <x:v>45798</x:v>
      </x:c>
      <x:c r="E122" s="24" t="str">
        <x:v>계약시작</x:v>
      </x:c>
      <x:c r="F122" s="24" t="str"/>
      <x:c r="G122" s="24" t="str">
        <x:v>대여중</x:v>
      </x:c>
      <x:c r="H122" s="32" t="n">
        <x:v>1180000</x:v>
      </x:c>
      <x:c r="I122" s="24" t="str">
        <x:v>SW-C-172수8945-2-20250521-33</x:v>
      </x:c>
      <x:c r="J122" s="24" t="str">
        <x:v>라온하제</x:v>
      </x:c>
      <x:c r="K122" s="24" t="str">
        <x:v>구독대여 계약 시작</x:v>
      </x:c>
      <x:c r="L122" s="24" t="str"/>
      <x:c r="M122" s="24" t="str">
        <x:v>하허호</x:v>
      </x:c>
      <x:c r="N122" s="30" t="n">
        <x:v>45798</x:v>
      </x:c>
    </x:row>
    <x:row r="123" ht="17.25" customHeight="1">
      <x:c r="A123" s="24" t="str">
        <x:v>E-00122</x:v>
      </x:c>
      <x:c r="B123" s="24" t="str">
        <x:v>스위치플랜</x:v>
      </x:c>
      <x:c r="C123" s="24" t="str">
        <x:v>172수8945</x:v>
      </x:c>
      <x:c r="D123" s="30" t="n">
        <x:v>46112</x:v>
      </x:c>
      <x:c r="E123" s="24" t="str">
        <x:v>반납</x:v>
      </x:c>
      <x:c r="F123" s="24" t="str">
        <x:v>대여중</x:v>
      </x:c>
      <x:c r="G123" s="24" t="str">
        <x:v>쉬는차</x:v>
      </x:c>
      <x:c r="H123" s="32"/>
      <x:c r="I123" s="24" t="str">
        <x:v>SW-C-172수8945-2-20250521-33</x:v>
      </x:c>
      <x:c r="J123" s="24" t="str">
        <x:v>라온하제</x:v>
      </x:c>
      <x:c r="K123" s="24" t="str">
        <x:v>차량 반납</x:v>
      </x:c>
      <x:c r="L123" s="24" t="str"/>
      <x:c r="M123" s="24" t="str">
        <x:v>하허호</x:v>
      </x:c>
      <x:c r="N123" s="30" t="n">
        <x:v>46112</x:v>
      </x:c>
    </x:row>
    <x:row r="124" ht="17.25" customHeight="1">
      <x:c r="A124" s="24" t="str">
        <x:v>E-00123</x:v>
      </x:c>
      <x:c r="B124" s="24" t="str">
        <x:v>스위치플랜</x:v>
      </x:c>
      <x:c r="C124" s="24" t="str">
        <x:v>172수8945</x:v>
      </x:c>
      <x:c r="D124" s="30" t="n">
        <x:v>45257</x:v>
      </x:c>
      <x:c r="E124" s="24" t="str">
        <x:v>계약시작</x:v>
      </x:c>
      <x:c r="F124" s="24" t="str"/>
      <x:c r="G124" s="24" t="str">
        <x:v>대여중</x:v>
      </x:c>
      <x:c r="H124" s="32" t="n">
        <x:v>1400000</x:v>
      </x:c>
      <x:c r="I124" s="24" t="str">
        <x:v>SW-C-172수8945-3-20231127-33</x:v>
      </x:c>
      <x:c r="J124" s="24" t="str">
        <x:v>장시영</x:v>
      </x:c>
      <x:c r="K124" s="24" t="str">
        <x:v>구독대여 계약 시작</x:v>
      </x:c>
      <x:c r="L124" s="24" t="str"/>
      <x:c r="M124" s="24" t="str">
        <x:v>하허호</x:v>
      </x:c>
      <x:c r="N124" s="30" t="n">
        <x:v>45257</x:v>
      </x:c>
    </x:row>
    <x:row r="125" ht="17.25" customHeight="1">
      <x:c r="A125" s="24" t="str">
        <x:v>E-00124</x:v>
      </x:c>
      <x:c r="B125" s="24" t="str">
        <x:v>스위치플랜</x:v>
      </x:c>
      <x:c r="C125" s="24" t="str">
        <x:v>172수8945</x:v>
      </x:c>
      <x:c r="D125" s="30" t="n">
        <x:v>45422</x:v>
      </x:c>
      <x:c r="E125" s="24" t="str">
        <x:v>반납</x:v>
      </x:c>
      <x:c r="F125" s="24" t="str">
        <x:v>대여중</x:v>
      </x:c>
      <x:c r="G125" s="24" t="str">
        <x:v>쉬는차</x:v>
      </x:c>
      <x:c r="H125" s="32"/>
      <x:c r="I125" s="24" t="str">
        <x:v>SW-C-172수8945-3-20231127-33</x:v>
      </x:c>
      <x:c r="J125" s="24" t="str">
        <x:v>장시영</x:v>
      </x:c>
      <x:c r="K125" s="24" t="str">
        <x:v>차량 반납</x:v>
      </x:c>
      <x:c r="L125" s="24" t="str"/>
      <x:c r="M125" s="24" t="str">
        <x:v>하허호</x:v>
      </x:c>
      <x:c r="N125" s="30" t="n">
        <x:v>45422</x:v>
      </x:c>
    </x:row>
    <x:row r="126" ht="17.25" customHeight="1">
      <x:c r="A126" s="24" t="str">
        <x:v>E-00125</x:v>
      </x:c>
      <x:c r="B126" s="24" t="str">
        <x:v>스위치플랜</x:v>
      </x:c>
      <x:c r="C126" s="24" t="str">
        <x:v>81소0566</x:v>
      </x:c>
      <x:c r="D126" s="30" t="n">
        <x:v>45321</x:v>
      </x:c>
      <x:c r="E126" s="24" t="str">
        <x:v>계약시작</x:v>
      </x:c>
      <x:c r="F126" s="24" t="str"/>
      <x:c r="G126" s="24" t="str">
        <x:v>대여중</x:v>
      </x:c>
      <x:c r="H126" s="32" t="n">
        <x:v>580000</x:v>
      </x:c>
      <x:c r="I126" s="24" t="str">
        <x:v>SW-C-81소0566-1-20240130-34</x:v>
      </x:c>
      <x:c r="J126" s="24" t="str">
        <x:v>김승겸</x:v>
      </x:c>
      <x:c r="K126" s="24" t="str">
        <x:v>구독대여 계약 시작</x:v>
      </x:c>
      <x:c r="L126" s="24" t="str"/>
      <x:c r="M126" s="24" t="str">
        <x:v>카리스</x:v>
      </x:c>
      <x:c r="N126" s="30" t="n">
        <x:v>45321</x:v>
      </x:c>
    </x:row>
    <x:row r="127" ht="17.25" customHeight="1">
      <x:c r="A127" s="24" t="str">
        <x:v>E-00126</x:v>
      </x:c>
      <x:c r="B127" s="24" t="str">
        <x:v>스위치플랜</x:v>
      </x:c>
      <x:c r="C127" s="24" t="str">
        <x:v>314소2486</x:v>
      </x:c>
      <x:c r="D127" s="30" t="n">
        <x:v>45251</x:v>
      </x:c>
      <x:c r="E127" s="24" t="str">
        <x:v>계약시작</x:v>
      </x:c>
      <x:c r="F127" s="24" t="str"/>
      <x:c r="G127" s="24" t="str">
        <x:v>대여중</x:v>
      </x:c>
      <x:c r="H127" s="32" t="n">
        <x:v>660000</x:v>
      </x:c>
      <x:c r="I127" s="24" t="str">
        <x:v>SW-C-314소2486-1-20231121-36</x:v>
      </x:c>
      <x:c r="J127" s="24" t="str">
        <x:v>우재민</x:v>
      </x:c>
      <x:c r="K127" s="24" t="str">
        <x:v>구독대여 계약 시작</x:v>
      </x:c>
      <x:c r="L127" s="24" t="str"/>
      <x:c r="M127" s="24" t="str">
        <x:v>SI</x:v>
      </x:c>
      <x:c r="N127" s="30" t="n">
        <x:v>45251</x:v>
      </x:c>
    </x:row>
    <x:row r="128" ht="17.25" customHeight="1">
      <x:c r="A128" s="24" t="str">
        <x:v>E-00127</x:v>
      </x:c>
      <x:c r="B128" s="24" t="str">
        <x:v>스위치플랜</x:v>
      </x:c>
      <x:c r="C128" s="24" t="str">
        <x:v>52모6211</x:v>
      </x:c>
      <x:c r="D128" s="30" t="n">
        <x:v>45560</x:v>
      </x:c>
      <x:c r="E128" s="24" t="str">
        <x:v>계약시작</x:v>
      </x:c>
      <x:c r="F128" s="24" t="str"/>
      <x:c r="G128" s="24" t="str">
        <x:v>대여중</x:v>
      </x:c>
      <x:c r="H128" s="32" t="n">
        <x:v>800000</x:v>
      </x:c>
      <x:c r="I128" s="24" t="str">
        <x:v>SW-C-52모6211-1-20240925-37</x:v>
      </x:c>
      <x:c r="J128" s="24" t="str">
        <x:v>이우진</x:v>
      </x:c>
      <x:c r="K128" s="24" t="str">
        <x:v>구독대여 계약 시작</x:v>
      </x:c>
      <x:c r="L128" s="24" t="str"/>
      <x:c r="M128" s="24" t="str">
        <x:v>카랜(주)</x:v>
      </x:c>
      <x:c r="N128" s="30" t="n">
        <x:v>45560</x:v>
      </x:c>
    </x:row>
    <x:row r="129" ht="17.25" customHeight="1">
      <x:c r="A129" s="24" t="str">
        <x:v>E-00128</x:v>
      </x:c>
      <x:c r="B129" s="24" t="str">
        <x:v>스위치플랜</x:v>
      </x:c>
      <x:c r="C129" s="24" t="str">
        <x:v>52모6211</x:v>
      </x:c>
      <x:c r="D129" s="30" t="n">
        <x:v>45386</x:v>
      </x:c>
      <x:c r="E129" s="24" t="str">
        <x:v>계약시작</x:v>
      </x:c>
      <x:c r="F129" s="24" t="str"/>
      <x:c r="G129" s="24" t="str">
        <x:v>대여중</x:v>
      </x:c>
      <x:c r="H129" s="32" t="n">
        <x:v>930000</x:v>
      </x:c>
      <x:c r="I129" s="24" t="str">
        <x:v>SW-C-52모6211-2-20240404-37</x:v>
      </x:c>
      <x:c r="J129" s="24" t="str">
        <x:v>박세인</x:v>
      </x:c>
      <x:c r="K129" s="24" t="str">
        <x:v>구독대여 계약 시작</x:v>
      </x:c>
      <x:c r="L129" s="24" t="str"/>
      <x:c r="M129" s="24" t="str">
        <x:v>카랜(주)</x:v>
      </x:c>
      <x:c r="N129" s="30" t="n">
        <x:v>45386</x:v>
      </x:c>
    </x:row>
    <x:row r="130" ht="17.25" customHeight="1">
      <x:c r="A130" s="24" t="str">
        <x:v>E-00129</x:v>
      </x:c>
      <x:c r="B130" s="24" t="str">
        <x:v>스위치플랜</x:v>
      </x:c>
      <x:c r="C130" s="24" t="str">
        <x:v>52모6211</x:v>
      </x:c>
      <x:c r="D130" s="30" t="n">
        <x:v>45544</x:v>
      </x:c>
      <x:c r="E130" s="24" t="str">
        <x:v>반납</x:v>
      </x:c>
      <x:c r="F130" s="24" t="str">
        <x:v>대여중</x:v>
      </x:c>
      <x:c r="G130" s="24" t="str">
        <x:v>쉬는차</x:v>
      </x:c>
      <x:c r="H130" s="32"/>
      <x:c r="I130" s="24" t="str">
        <x:v>SW-C-52모6211-2-20240404-37</x:v>
      </x:c>
      <x:c r="J130" s="24" t="str">
        <x:v>박세인</x:v>
      </x:c>
      <x:c r="K130" s="24" t="str">
        <x:v>차량 반납</x:v>
      </x:c>
      <x:c r="L130" s="24" t="str"/>
      <x:c r="M130" s="24" t="str">
        <x:v>카랜(주)</x:v>
      </x:c>
      <x:c r="N130" s="30" t="n">
        <x:v>45544</x:v>
      </x:c>
    </x:row>
    <x:row r="131" ht="17.25" customHeight="1">
      <x:c r="A131" s="24" t="str">
        <x:v>E-00130</x:v>
      </x:c>
      <x:c r="B131" s="24" t="str">
        <x:v>스위치플랜</x:v>
      </x:c>
      <x:c r="C131" s="24" t="str">
        <x:v>376두7844</x:v>
      </x:c>
      <x:c r="D131" s="30" t="n">
        <x:v>45824</x:v>
      </x:c>
      <x:c r="E131" s="24" t="str">
        <x:v>계약시작</x:v>
      </x:c>
      <x:c r="F131" s="24" t="str"/>
      <x:c r="G131" s="24" t="str">
        <x:v>대여중</x:v>
      </x:c>
      <x:c r="H131" s="32" t="n">
        <x:v>1170000</x:v>
      </x:c>
      <x:c r="I131" s="24" t="str">
        <x:v>SW-C-376두7844-1-20250616-38</x:v>
      </x:c>
      <x:c r="J131" s="24" t="str">
        <x:v>김동현</x:v>
      </x:c>
      <x:c r="K131" s="24" t="str">
        <x:v>구독대여 계약 시작</x:v>
      </x:c>
      <x:c r="L131" s="24" t="str"/>
      <x:c r="M131" s="24" t="str">
        <x:v>하허호</x:v>
      </x:c>
      <x:c r="N131" s="30" t="n">
        <x:v>45824</x:v>
      </x:c>
    </x:row>
    <x:row r="132" ht="17.25" customHeight="1">
      <x:c r="A132" s="24" t="str">
        <x:v>E-00131</x:v>
      </x:c>
      <x:c r="B132" s="24" t="str">
        <x:v>스위치플랜</x:v>
      </x:c>
      <x:c r="C132" s="24" t="str">
        <x:v>66소6317</x:v>
      </x:c>
      <x:c r="D132" s="30" t="n">
        <x:v>46163</x:v>
      </x:c>
      <x:c r="E132" s="24" t="str">
        <x:v>계약시작</x:v>
      </x:c>
      <x:c r="F132" s="24" t="str"/>
      <x:c r="G132" s="24" t="str">
        <x:v>대여중</x:v>
      </x:c>
      <x:c r="H132" s="32" t="n">
        <x:v>760000</x:v>
      </x:c>
      <x:c r="I132" s="24" t="str">
        <x:v>SW-C-66소6317-2-20260521-39</x:v>
      </x:c>
      <x:c r="J132" s="24" t="str">
        <x:v>카스파</x:v>
      </x:c>
      <x:c r="K132" s="24" t="str">
        <x:v>구독대여 계약 시작</x:v>
      </x:c>
      <x:c r="L132" s="24" t="str"/>
      <x:c r="M132" s="24" t="str"/>
      <x:c r="N132" s="30" t="n">
        <x:v>46163</x:v>
      </x:c>
    </x:row>
    <x:row r="133" ht="17.25" customHeight="1">
      <x:c r="A133" s="24" t="str">
        <x:v>E-00132</x:v>
      </x:c>
      <x:c r="B133" s="24" t="str">
        <x:v>스위치플랜</x:v>
      </x:c>
      <x:c r="C133" s="24" t="str">
        <x:v>66소6317</x:v>
      </x:c>
      <x:c r="D133" s="30" t="n">
        <x:v>46231</x:v>
      </x:c>
      <x:c r="E133" s="24" t="str">
        <x:v>반납</x:v>
      </x:c>
      <x:c r="F133" s="24" t="str">
        <x:v>대여중</x:v>
      </x:c>
      <x:c r="G133" s="24" t="str">
        <x:v>쉬는차</x:v>
      </x:c>
      <x:c r="H133" s="32"/>
      <x:c r="I133" s="24" t="str">
        <x:v>SW-C-66소6317-2-20260521-39</x:v>
      </x:c>
      <x:c r="J133" s="24" t="str">
        <x:v>카스파</x:v>
      </x:c>
      <x:c r="K133" s="24" t="str">
        <x:v>차량 반납</x:v>
      </x:c>
      <x:c r="L133" s="24" t="str"/>
      <x:c r="M133" s="24" t="str"/>
      <x:c r="N133" s="30" t="n">
        <x:v>46231</x:v>
      </x:c>
    </x:row>
    <x:row r="134" ht="17.25" customHeight="1">
      <x:c r="A134" s="24" t="str">
        <x:v>E-00133</x:v>
      </x:c>
      <x:c r="B134" s="24" t="str">
        <x:v>스위치플랜</x:v>
      </x:c>
      <x:c r="C134" s="24" t="str">
        <x:v>66소6317</x:v>
      </x:c>
      <x:c r="D134" s="30" t="n">
        <x:v>45859</x:v>
      </x:c>
      <x:c r="E134" s="24" t="str">
        <x:v>계약시작</x:v>
      </x:c>
      <x:c r="F134" s="24" t="str"/>
      <x:c r="G134" s="24" t="str">
        <x:v>대여중</x:v>
      </x:c>
      <x:c r="H134" s="32" t="n">
        <x:v>930000</x:v>
      </x:c>
      <x:c r="I134" s="24" t="str">
        <x:v>SW-C-66소6317-3-20250721-39</x:v>
      </x:c>
      <x:c r="J134" s="24" t="str">
        <x:v>김희정</x:v>
      </x:c>
      <x:c r="K134" s="24" t="str">
        <x:v>구독대여 계약 시작</x:v>
      </x:c>
      <x:c r="L134" s="24" t="str"/>
      <x:c r="M134" s="24" t="str">
        <x:v>하허호</x:v>
      </x:c>
      <x:c r="N134" s="30" t="n">
        <x:v>45859</x:v>
      </x:c>
    </x:row>
    <x:row r="135" ht="17.25" customHeight="1">
      <x:c r="A135" s="24" t="str">
        <x:v>E-00134</x:v>
      </x:c>
      <x:c r="B135" s="24" t="str">
        <x:v>스위치플랜</x:v>
      </x:c>
      <x:c r="C135" s="24" t="str">
        <x:v>66소6317</x:v>
      </x:c>
      <x:c r="D135" s="30" t="n">
        <x:v>46046</x:v>
      </x:c>
      <x:c r="E135" s="24" t="str">
        <x:v>반납</x:v>
      </x:c>
      <x:c r="F135" s="24" t="str">
        <x:v>대여중</x:v>
      </x:c>
      <x:c r="G135" s="24" t="str">
        <x:v>쉬는차</x:v>
      </x:c>
      <x:c r="H135" s="32"/>
      <x:c r="I135" s="24" t="str">
        <x:v>SW-C-66소6317-3-20250721-39</x:v>
      </x:c>
      <x:c r="J135" s="24" t="str">
        <x:v>김희정</x:v>
      </x:c>
      <x:c r="K135" s="24" t="str">
        <x:v>차량 반납</x:v>
      </x:c>
      <x:c r="L135" s="24" t="str"/>
      <x:c r="M135" s="24" t="str">
        <x:v>하허호</x:v>
      </x:c>
      <x:c r="N135" s="30" t="n">
        <x:v>46046</x:v>
      </x:c>
    </x:row>
    <x:row r="136" ht="17.25" customHeight="1">
      <x:c r="A136" s="24" t="str">
        <x:v>E-00135</x:v>
      </x:c>
      <x:c r="B136" s="24" t="str">
        <x:v>스위치플랜</x:v>
      </x:c>
      <x:c r="C136" s="24" t="str">
        <x:v>66소6317</x:v>
      </x:c>
      <x:c r="D136" s="30" t="n">
        <x:v>45667</x:v>
      </x:c>
      <x:c r="E136" s="24" t="str">
        <x:v>계약시작</x:v>
      </x:c>
      <x:c r="F136" s="24" t="str"/>
      <x:c r="G136" s="24" t="str">
        <x:v>대여중</x:v>
      </x:c>
      <x:c r="H136" s="32" t="n">
        <x:v>980000</x:v>
      </x:c>
      <x:c r="I136" s="24" t="str">
        <x:v>SW-C-66소6317-4-20250110-39</x:v>
      </x:c>
      <x:c r="J136" s="24" t="str">
        <x:v>고영엽</x:v>
      </x:c>
      <x:c r="K136" s="24" t="str">
        <x:v>구독대여 계약 시작</x:v>
      </x:c>
      <x:c r="L136" s="24" t="str"/>
      <x:c r="M136" s="24" t="str">
        <x:v>SI</x:v>
      </x:c>
      <x:c r="N136" s="30" t="n">
        <x:v>45667</x:v>
      </x:c>
    </x:row>
    <x:row r="137" ht="17.25" customHeight="1">
      <x:c r="A137" s="24" t="str">
        <x:v>E-00136</x:v>
      </x:c>
      <x:c r="B137" s="24" t="str">
        <x:v>스위치플랜</x:v>
      </x:c>
      <x:c r="C137" s="24" t="str">
        <x:v>66소6317</x:v>
      </x:c>
      <x:c r="D137" s="30" t="n">
        <x:v>45847</x:v>
      </x:c>
      <x:c r="E137" s="24" t="str">
        <x:v>반납</x:v>
      </x:c>
      <x:c r="F137" s="24" t="str">
        <x:v>대여중</x:v>
      </x:c>
      <x:c r="G137" s="24" t="str">
        <x:v>쉬는차</x:v>
      </x:c>
      <x:c r="H137" s="32"/>
      <x:c r="I137" s="24" t="str">
        <x:v>SW-C-66소6317-4-20250110-39</x:v>
      </x:c>
      <x:c r="J137" s="24" t="str">
        <x:v>고영엽</x:v>
      </x:c>
      <x:c r="K137" s="24" t="str">
        <x:v>차량 반납</x:v>
      </x:c>
      <x:c r="L137" s="24" t="str"/>
      <x:c r="M137" s="24" t="str">
        <x:v>SI</x:v>
      </x:c>
      <x:c r="N137" s="30" t="n">
        <x:v>45847</x:v>
      </x:c>
    </x:row>
    <x:row r="138" ht="17.25" customHeight="1">
      <x:c r="A138" s="24" t="str">
        <x:v>E-00137</x:v>
      </x:c>
      <x:c r="B138" s="24" t="str">
        <x:v>스위치플랜</x:v>
      </x:c>
      <x:c r="C138" s="24" t="str">
        <x:v>162고5602</x:v>
      </x:c>
      <x:c r="D138" s="30" t="n">
        <x:v>45642</x:v>
      </x:c>
      <x:c r="E138" s="24" t="str">
        <x:v>계약시작</x:v>
      </x:c>
      <x:c r="F138" s="24" t="str"/>
      <x:c r="G138" s="24" t="str">
        <x:v>대여중</x:v>
      </x:c>
      <x:c r="H138" s="32" t="n">
        <x:v>280000</x:v>
      </x:c>
      <x:c r="I138" s="24" t="str">
        <x:v>SW-C-162고5602-1-20241216-40</x:v>
      </x:c>
      <x:c r="J138" s="24" t="str">
        <x:v>디테힐링(장승민)</x:v>
      </x:c>
      <x:c r="K138" s="24" t="str">
        <x:v>구독대여 계약 시작</x:v>
      </x:c>
      <x:c r="L138" s="24" t="str"/>
      <x:c r="M138" s="24" t="str">
        <x:v>하허호</x:v>
      </x:c>
      <x:c r="N138" s="30" t="n">
        <x:v>45642</x:v>
      </x:c>
    </x:row>
    <x:row r="139" ht="17.25" customHeight="1">
      <x:c r="A139" s="24" t="str">
        <x:v>E-00138</x:v>
      </x:c>
      <x:c r="B139" s="24" t="str">
        <x:v>스위치플랜</x:v>
      </x:c>
      <x:c r="C139" s="24" t="str">
        <x:v>15나3640</x:v>
      </x:c>
      <x:c r="D139" s="30" t="n">
        <x:v>45891</x:v>
      </x:c>
      <x:c r="E139" s="24" t="str">
        <x:v>계약시작</x:v>
      </x:c>
      <x:c r="F139" s="24" t="str"/>
      <x:c r="G139" s="24" t="str">
        <x:v>대여중</x:v>
      </x:c>
      <x:c r="H139" s="32" t="n">
        <x:v>850000</x:v>
      </x:c>
      <x:c r="I139" s="24" t="str">
        <x:v>SW-C-15나3640-1-20250822-41</x:v>
      </x:c>
      <x:c r="J139" s="24" t="str">
        <x:v>이영민</x:v>
      </x:c>
      <x:c r="K139" s="24" t="str">
        <x:v>구독대여 계약 시작</x:v>
      </x:c>
      <x:c r="L139" s="24" t="str"/>
      <x:c r="M139" s="24" t="str">
        <x:v>하허호</x:v>
      </x:c>
      <x:c r="N139" s="30" t="n">
        <x:v>45891</x:v>
      </x:c>
    </x:row>
    <x:row r="140" ht="17.25" customHeight="1">
      <x:c r="A140" s="24" t="str">
        <x:v>E-00139</x:v>
      </x:c>
      <x:c r="B140" s="24" t="str">
        <x:v>스위치플랜</x:v>
      </x:c>
      <x:c r="C140" s="24" t="str">
        <x:v>15나3640</x:v>
      </x:c>
      <x:c r="D140" s="30" t="n">
        <x:v>45631</x:v>
      </x:c>
      <x:c r="E140" s="24" t="str">
        <x:v>계약시작</x:v>
      </x:c>
      <x:c r="F140" s="24" t="str"/>
      <x:c r="G140" s="24" t="str">
        <x:v>대여중</x:v>
      </x:c>
      <x:c r="H140" s="32" t="n">
        <x:v>920000</x:v>
      </x:c>
      <x:c r="I140" s="24" t="str">
        <x:v>SW-C-15나3640-2-20241205-41</x:v>
      </x:c>
      <x:c r="J140" s="24" t="str">
        <x:v>차재현</x:v>
      </x:c>
      <x:c r="K140" s="24" t="str">
        <x:v>구독대여 계약 시작</x:v>
      </x:c>
      <x:c r="L140" s="24" t="str"/>
      <x:c r="M140" s="24" t="str">
        <x:v>하허호</x:v>
      </x:c>
      <x:c r="N140" s="30" t="n">
        <x:v>45631</x:v>
      </x:c>
    </x:row>
    <x:row r="141" ht="17.25" customHeight="1">
      <x:c r="A141" s="24" t="str">
        <x:v>E-00140</x:v>
      </x:c>
      <x:c r="B141" s="24" t="str">
        <x:v>스위치플랜</x:v>
      </x:c>
      <x:c r="C141" s="24" t="str">
        <x:v>15나3640</x:v>
      </x:c>
      <x:c r="D141" s="30" t="n">
        <x:v>45854</x:v>
      </x:c>
      <x:c r="E141" s="24" t="str">
        <x:v>반납</x:v>
      </x:c>
      <x:c r="F141" s="24" t="str">
        <x:v>대여중</x:v>
      </x:c>
      <x:c r="G141" s="24" t="str">
        <x:v>쉬는차</x:v>
      </x:c>
      <x:c r="H141" s="32"/>
      <x:c r="I141" s="24" t="str">
        <x:v>SW-C-15나3640-2-20241205-41</x:v>
      </x:c>
      <x:c r="J141" s="24" t="str">
        <x:v>차재현</x:v>
      </x:c>
      <x:c r="K141" s="24" t="str">
        <x:v>차량 반납</x:v>
      </x:c>
      <x:c r="L141" s="24" t="str"/>
      <x:c r="M141" s="24" t="str">
        <x:v>하허호</x:v>
      </x:c>
      <x:c r="N141" s="30" t="n">
        <x:v>45854</x:v>
      </x:c>
    </x:row>
    <x:row r="142" ht="17.25" customHeight="1">
      <x:c r="A142" s="24" t="str">
        <x:v>E-00141</x:v>
      </x:c>
      <x:c r="B142" s="24" t="str">
        <x:v>스위치플랜</x:v>
      </x:c>
      <x:c r="C142" s="24" t="str">
        <x:v>15나3640</x:v>
      </x:c>
      <x:c r="D142" s="30" t="n">
        <x:v>45250</x:v>
      </x:c>
      <x:c r="E142" s="24" t="str">
        <x:v>계약시작</x:v>
      </x:c>
      <x:c r="F142" s="24" t="str"/>
      <x:c r="G142" s="24" t="str">
        <x:v>대여중</x:v>
      </x:c>
      <x:c r="H142" s="32" t="n">
        <x:v>1100000</x:v>
      </x:c>
      <x:c r="I142" s="24" t="str">
        <x:v>SW-C-15나3640-3-20231120-41</x:v>
      </x:c>
      <x:c r="J142" s="24" t="str">
        <x:v>김예은</x:v>
      </x:c>
      <x:c r="K142" s="24" t="str">
        <x:v>구독대여 계약 시작</x:v>
      </x:c>
      <x:c r="L142" s="24" t="str"/>
      <x:c r="M142" s="24" t="str">
        <x:v>KS오토</x:v>
      </x:c>
      <x:c r="N142" s="30" t="n">
        <x:v>45250</x:v>
      </x:c>
    </x:row>
    <x:row r="143" ht="17.25" customHeight="1">
      <x:c r="A143" s="24" t="str">
        <x:v>E-00142</x:v>
      </x:c>
      <x:c r="B143" s="24" t="str">
        <x:v>스위치플랜</x:v>
      </x:c>
      <x:c r="C143" s="24" t="str">
        <x:v>15나3640</x:v>
      </x:c>
      <x:c r="D143" s="30" t="n">
        <x:v>45615</x:v>
      </x:c>
      <x:c r="E143" s="24" t="str">
        <x:v>반납</x:v>
      </x:c>
      <x:c r="F143" s="24" t="str">
        <x:v>대여중</x:v>
      </x:c>
      <x:c r="G143" s="24" t="str">
        <x:v>쉬는차</x:v>
      </x:c>
      <x:c r="H143" s="32"/>
      <x:c r="I143" s="24" t="str">
        <x:v>SW-C-15나3640-3-20231120-41</x:v>
      </x:c>
      <x:c r="J143" s="24" t="str">
        <x:v>김예은</x:v>
      </x:c>
      <x:c r="K143" s="24" t="str">
        <x:v>차량 반납</x:v>
      </x:c>
      <x:c r="L143" s="24" t="str"/>
      <x:c r="M143" s="24" t="str">
        <x:v>KS오토</x:v>
      </x:c>
      <x:c r="N143" s="30" t="n">
        <x:v>45615</x:v>
      </x:c>
    </x:row>
    <x:row r="144" ht="17.25" customHeight="1">
      <x:c r="A144" s="24" t="str">
        <x:v>E-00143</x:v>
      </x:c>
      <x:c r="B144" s="24" t="str">
        <x:v>스위치플랜</x:v>
      </x:c>
      <x:c r="C144" s="24" t="str">
        <x:v>97러0815</x:v>
      </x:c>
      <x:c r="D144" s="30" t="n">
        <x:v>46037</x:v>
      </x:c>
      <x:c r="E144" s="24" t="str">
        <x:v>계약시작</x:v>
      </x:c>
      <x:c r="F144" s="24" t="str"/>
      <x:c r="G144" s="24" t="str">
        <x:v>대여중</x:v>
      </x:c>
      <x:c r="H144" s="32" t="n">
        <x:v>720000</x:v>
      </x:c>
      <x:c r="I144" s="24" t="str">
        <x:v>SW-C-97러0815-1-20260115-42</x:v>
      </x:c>
      <x:c r="J144" s="24" t="str">
        <x:v>쏘노엠</x:v>
      </x:c>
      <x:c r="K144" s="24" t="str">
        <x:v>구독대여 계약 시작</x:v>
      </x:c>
      <x:c r="L144" s="24" t="str"/>
      <x:c r="M144" s="24" t="str"/>
      <x:c r="N144" s="30" t="n">
        <x:v>46037</x:v>
      </x:c>
    </x:row>
    <x:row r="145" ht="17.25" customHeight="1">
      <x:c r="A145" s="24" t="str">
        <x:v>E-00144</x:v>
      </x:c>
      <x:c r="B145" s="24" t="str">
        <x:v>스위치플랜</x:v>
      </x:c>
      <x:c r="C145" s="24" t="str">
        <x:v>97러0815</x:v>
      </x:c>
      <x:c r="D145" s="30" t="n">
        <x:v>45289</x:v>
      </x:c>
      <x:c r="E145" s="24" t="str">
        <x:v>계약시작</x:v>
      </x:c>
      <x:c r="F145" s="24" t="str"/>
      <x:c r="G145" s="24" t="str">
        <x:v>대여중</x:v>
      </x:c>
      <x:c r="H145" s="32" t="n">
        <x:v>720000</x:v>
      </x:c>
      <x:c r="I145" s="24" t="str">
        <x:v>SW-C-97러0815-2-20231229-42</x:v>
      </x:c>
      <x:c r="J145" s="24" t="str">
        <x:v>뉴포트홀딩스</x:v>
      </x:c>
      <x:c r="K145" s="24" t="str">
        <x:v>구독대여 계약 시작</x:v>
      </x:c>
      <x:c r="L145" s="24" t="str"/>
      <x:c r="M145" s="24" t="str">
        <x:v>GNA</x:v>
      </x:c>
      <x:c r="N145" s="30" t="n">
        <x:v>45289</x:v>
      </x:c>
    </x:row>
    <x:row r="146" ht="17.25" customHeight="1">
      <x:c r="A146" s="24" t="str">
        <x:v>E-00145</x:v>
      </x:c>
      <x:c r="B146" s="24" t="str">
        <x:v>스위치플랜</x:v>
      </x:c>
      <x:c r="C146" s="24" t="str">
        <x:v>97러0815</x:v>
      </x:c>
      <x:c r="D146" s="30" t="n">
        <x:v>46037</x:v>
      </x:c>
      <x:c r="E146" s="24" t="str">
        <x:v>반납</x:v>
      </x:c>
      <x:c r="F146" s="24" t="str">
        <x:v>대여중</x:v>
      </x:c>
      <x:c r="G146" s="24" t="str">
        <x:v>쉬는차</x:v>
      </x:c>
      <x:c r="H146" s="32"/>
      <x:c r="I146" s="24" t="str">
        <x:v>SW-C-97러0815-2-20231229-42</x:v>
      </x:c>
      <x:c r="J146" s="24" t="str">
        <x:v>뉴포트홀딩스</x:v>
      </x:c>
      <x:c r="K146" s="24" t="str">
        <x:v>차량 반납</x:v>
      </x:c>
      <x:c r="L146" s="24" t="str"/>
      <x:c r="M146" s="24" t="str">
        <x:v>GNA</x:v>
      </x:c>
      <x:c r="N146" s="30" t="n">
        <x:v>46037</x:v>
      </x:c>
    </x:row>
    <x:row r="147" ht="17.25" customHeight="1">
      <x:c r="A147" s="24" t="str">
        <x:v>E-00146</x:v>
      </x:c>
      <x:c r="B147" s="24" t="str">
        <x:v>스위치플랜</x:v>
      </x:c>
      <x:c r="C147" s="24" t="str">
        <x:v>68서5320</x:v>
      </x:c>
      <x:c r="D147" s="30" t="n">
        <x:v>46136</x:v>
      </x:c>
      <x:c r="E147" s="24" t="str">
        <x:v>계약시작</x:v>
      </x:c>
      <x:c r="F147" s="24" t="str"/>
      <x:c r="G147" s="24" t="str">
        <x:v>대여중</x:v>
      </x:c>
      <x:c r="H147" s="32" t="n">
        <x:v>500000</x:v>
      </x:c>
      <x:c r="I147" s="24" t="str">
        <x:v>SW-C-68서5320-1-20260424-43</x:v>
      </x:c>
      <x:c r="J147" s="24" t="str">
        <x:v>이승조</x:v>
      </x:c>
      <x:c r="K147" s="24" t="str">
        <x:v>구독대여 계약 시작</x:v>
      </x:c>
      <x:c r="L147" s="24" t="str"/>
      <x:c r="M147" s="24" t="str">
        <x:v>하허호</x:v>
      </x:c>
      <x:c r="N147" s="30" t="n">
        <x:v>46136</x:v>
      </x:c>
    </x:row>
    <x:row r="148" ht="17.25" customHeight="1">
      <x:c r="A148" s="24" t="str">
        <x:v>E-00147</x:v>
      </x:c>
      <x:c r="B148" s="24" t="str">
        <x:v>스위치플랜</x:v>
      </x:c>
      <x:c r="C148" s="24" t="str">
        <x:v>68서5320</x:v>
      </x:c>
      <x:c r="D148" s="30" t="n">
        <x:v>45874</x:v>
      </x:c>
      <x:c r="E148" s="24" t="str">
        <x:v>계약시작</x:v>
      </x:c>
      <x:c r="F148" s="24" t="str"/>
      <x:c r="G148" s="24" t="str">
        <x:v>대여중</x:v>
      </x:c>
      <x:c r="H148" s="32" t="n">
        <x:v>500000</x:v>
      </x:c>
      <x:c r="I148" s="24" t="str">
        <x:v>SW-C-68서5320-2-20250805-43</x:v>
      </x:c>
      <x:c r="J148" s="24" t="str">
        <x:v>황우정5320</x:v>
      </x:c>
      <x:c r="K148" s="24" t="str">
        <x:v>구독대여 계약 시작</x:v>
      </x:c>
      <x:c r="L148" s="24" t="str"/>
      <x:c r="M148" s="24" t="str">
        <x:v>하허호</x:v>
      </x:c>
      <x:c r="N148" s="30" t="n">
        <x:v>45874</x:v>
      </x:c>
    </x:row>
    <x:row r="149" ht="17.25" customHeight="1">
      <x:c r="A149" s="24" t="str">
        <x:v>E-00148</x:v>
      </x:c>
      <x:c r="B149" s="24" t="str">
        <x:v>스위치플랜</x:v>
      </x:c>
      <x:c r="C149" s="24" t="str">
        <x:v>68서5320</x:v>
      </x:c>
      <x:c r="D149" s="30"/>
      <x:c r="E149" s="24" t="str">
        <x:v>반납</x:v>
      </x:c>
      <x:c r="F149" s="24" t="str">
        <x:v>대여중</x:v>
      </x:c>
      <x:c r="G149" s="24" t="str">
        <x:v>쉬는차</x:v>
      </x:c>
      <x:c r="H149" s="32"/>
      <x:c r="I149" s="24" t="str">
        <x:v>SW-C-68서5320-2-20250805-43</x:v>
      </x:c>
      <x:c r="J149" s="24" t="str">
        <x:v>황우정5320</x:v>
      </x:c>
      <x:c r="K149" s="24" t="str">
        <x:v>차량 반납</x:v>
      </x:c>
      <x:c r="L149" s="24" t="str"/>
      <x:c r="M149" s="24" t="str">
        <x:v>하허호</x:v>
      </x:c>
      <x:c r="N149" s="30"/>
    </x:row>
    <x:row r="150" ht="17.25" customHeight="1">
      <x:c r="A150" s="24" t="str">
        <x:v>E-00149</x:v>
      </x:c>
      <x:c r="B150" s="24" t="str">
        <x:v>스위치플랜</x:v>
      </x:c>
      <x:c r="C150" s="24" t="str">
        <x:v>68서5320</x:v>
      </x:c>
      <x:c r="D150" s="30" t="n">
        <x:v>45597</x:v>
      </x:c>
      <x:c r="E150" s="24" t="str">
        <x:v>계약시작</x:v>
      </x:c>
      <x:c r="F150" s="24" t="str"/>
      <x:c r="G150" s="24" t="str">
        <x:v>대여중</x:v>
      </x:c>
      <x:c r="H150" s="32" t="n">
        <x:v>670000</x:v>
      </x:c>
      <x:c r="I150" s="24" t="str">
        <x:v>SW-C-68서5320-3-20241101-43</x:v>
      </x:c>
      <x:c r="J150" s="24" t="str">
        <x:v>권태훈</x:v>
      </x:c>
      <x:c r="K150" s="24" t="str">
        <x:v>구독대여 계약 시작</x:v>
      </x:c>
      <x:c r="L150" s="24" t="str"/>
      <x:c r="M150" s="24" t="str">
        <x:v>하허호</x:v>
      </x:c>
      <x:c r="N150" s="30" t="n">
        <x:v>45597</x:v>
      </x:c>
    </x:row>
    <x:row r="151" ht="17.25" customHeight="1">
      <x:c r="A151" s="24" t="str">
        <x:v>E-00150</x:v>
      </x:c>
      <x:c r="B151" s="24" t="str">
        <x:v>스위치플랜</x:v>
      </x:c>
      <x:c r="C151" s="24" t="str">
        <x:v>68서5320</x:v>
      </x:c>
      <x:c r="D151" s="30" t="n">
        <x:v>45867</x:v>
      </x:c>
      <x:c r="E151" s="24" t="str">
        <x:v>반납</x:v>
      </x:c>
      <x:c r="F151" s="24" t="str">
        <x:v>대여중</x:v>
      </x:c>
      <x:c r="G151" s="24" t="str">
        <x:v>쉬는차</x:v>
      </x:c>
      <x:c r="H151" s="32"/>
      <x:c r="I151" s="24" t="str">
        <x:v>SW-C-68서5320-3-20241101-43</x:v>
      </x:c>
      <x:c r="J151" s="24" t="str">
        <x:v>권태훈</x:v>
      </x:c>
      <x:c r="K151" s="24" t="str">
        <x:v>차량 반납</x:v>
      </x:c>
      <x:c r="L151" s="24" t="str"/>
      <x:c r="M151" s="24" t="str">
        <x:v>하허호</x:v>
      </x:c>
      <x:c r="N151" s="30" t="n">
        <x:v>45867</x:v>
      </x:c>
    </x:row>
    <x:row r="152" ht="17.25" customHeight="1">
      <x:c r="A152" s="24" t="str">
        <x:v>E-00151</x:v>
      </x:c>
      <x:c r="B152" s="24" t="str">
        <x:v>스위치플랜</x:v>
      </x:c>
      <x:c r="C152" s="24" t="str">
        <x:v>68서5320</x:v>
      </x:c>
      <x:c r="D152" s="30" t="n">
        <x:v>45422</x:v>
      </x:c>
      <x:c r="E152" s="24" t="str">
        <x:v>계약시작</x:v>
      </x:c>
      <x:c r="F152" s="24" t="str"/>
      <x:c r="G152" s="24" t="str">
        <x:v>대여중</x:v>
      </x:c>
      <x:c r="H152" s="32" t="n">
        <x:v>580000</x:v>
      </x:c>
      <x:c r="I152" s="24" t="str">
        <x:v>SW-C-68서5320-4-20240510-43</x:v>
      </x:c>
      <x:c r="J152" s="24" t="str">
        <x:v>김종혁</x:v>
      </x:c>
      <x:c r="K152" s="24" t="str">
        <x:v>구독대여 계약 시작</x:v>
      </x:c>
      <x:c r="L152" s="24" t="str"/>
      <x:c r="M152" s="24" t="str">
        <x:v>카랜(주)</x:v>
      </x:c>
      <x:c r="N152" s="30" t="n">
        <x:v>45422</x:v>
      </x:c>
    </x:row>
    <x:row r="153" ht="17.25" customHeight="1">
      <x:c r="A153" s="24" t="str">
        <x:v>E-00152</x:v>
      </x:c>
      <x:c r="B153" s="24" t="str">
        <x:v>스위치플랜</x:v>
      </x:c>
      <x:c r="C153" s="24" t="str">
        <x:v>68서5320</x:v>
      </x:c>
      <x:c r="D153" s="30" t="n">
        <x:v>45587</x:v>
      </x:c>
      <x:c r="E153" s="24" t="str">
        <x:v>반납</x:v>
      </x:c>
      <x:c r="F153" s="24" t="str">
        <x:v>대여중</x:v>
      </x:c>
      <x:c r="G153" s="24" t="str">
        <x:v>쉬는차</x:v>
      </x:c>
      <x:c r="H153" s="32"/>
      <x:c r="I153" s="24" t="str">
        <x:v>SW-C-68서5320-4-20240510-43</x:v>
      </x:c>
      <x:c r="J153" s="24" t="str">
        <x:v>김종혁</x:v>
      </x:c>
      <x:c r="K153" s="24" t="str">
        <x:v>차량 반납</x:v>
      </x:c>
      <x:c r="L153" s="24" t="str"/>
      <x:c r="M153" s="24" t="str">
        <x:v>카랜(주)</x:v>
      </x:c>
      <x:c r="N153" s="30" t="n">
        <x:v>45587</x:v>
      </x:c>
    </x:row>
    <x:row r="154" ht="17.25" customHeight="1">
      <x:c r="A154" s="24" t="str">
        <x:v>E-00153</x:v>
      </x:c>
      <x:c r="B154" s="24" t="str">
        <x:v>스위치플랜</x:v>
      </x:c>
      <x:c r="C154" s="24" t="str">
        <x:v>28구4152</x:v>
      </x:c>
      <x:c r="D154" s="30" t="n">
        <x:v>45323</x:v>
      </x:c>
      <x:c r="E154" s="24" t="str">
        <x:v>계약시작</x:v>
      </x:c>
      <x:c r="F154" s="24" t="str"/>
      <x:c r="G154" s="24" t="str">
        <x:v>대여중</x:v>
      </x:c>
      <x:c r="H154" s="32" t="n">
        <x:v>880000</x:v>
      </x:c>
      <x:c r="I154" s="24" t="str">
        <x:v>SW-C-28구4152-1-20240201-44</x:v>
      </x:c>
      <x:c r="J154" s="24" t="str">
        <x:v>김경남</x:v>
      </x:c>
      <x:c r="K154" s="24" t="str">
        <x:v>구독대여 계약 시작</x:v>
      </x:c>
      <x:c r="L154" s="24" t="str"/>
      <x:c r="M154" s="24" t="str">
        <x:v>SI</x:v>
      </x:c>
      <x:c r="N154" s="30" t="n">
        <x:v>45323</x:v>
      </x:c>
    </x:row>
    <x:row r="155" ht="17.25" customHeight="1">
      <x:c r="A155" s="24" t="str">
        <x:v>E-00154</x:v>
      </x:c>
      <x:c r="B155" s="24" t="str">
        <x:v>스위치플랜</x:v>
      </x:c>
      <x:c r="C155" s="24" t="str">
        <x:v>365주3303</x:v>
      </x:c>
      <x:c r="D155" s="30" t="n">
        <x:v>45251</x:v>
      </x:c>
      <x:c r="E155" s="24" t="str">
        <x:v>계약시작</x:v>
      </x:c>
      <x:c r="F155" s="24" t="str"/>
      <x:c r="G155" s="24" t="str">
        <x:v>대여중</x:v>
      </x:c>
      <x:c r="H155" s="32" t="n">
        <x:v>960000</x:v>
      </x:c>
      <x:c r="I155" s="24" t="str">
        <x:v>SW-C-365주3303-1-20231121-45</x:v>
      </x:c>
      <x:c r="J155" s="24" t="str">
        <x:v>이은규</x:v>
      </x:c>
      <x:c r="K155" s="24" t="str">
        <x:v>구독대여 계약 시작</x:v>
      </x:c>
      <x:c r="L155" s="24" t="str"/>
      <x:c r="M155" s="24" t="str">
        <x:v>하허호</x:v>
      </x:c>
      <x:c r="N155" s="30" t="n">
        <x:v>45251</x:v>
      </x:c>
    </x:row>
    <x:row r="156" ht="17.25" customHeight="1">
      <x:c r="A156" s="24" t="str">
        <x:v>E-00155</x:v>
      </x:c>
      <x:c r="B156" s="24" t="str">
        <x:v>스위치플랜</x:v>
      </x:c>
      <x:c r="C156" s="24" t="str">
        <x:v>165서6056</x:v>
      </x:c>
      <x:c r="D156" s="30" t="n">
        <x:v>45253</x:v>
      </x:c>
      <x:c r="E156" s="24" t="str">
        <x:v>계약시작</x:v>
      </x:c>
      <x:c r="F156" s="24" t="str"/>
      <x:c r="G156" s="24" t="str">
        <x:v>대여중</x:v>
      </x:c>
      <x:c r="H156" s="32" t="n">
        <x:v>400000</x:v>
      </x:c>
      <x:c r="I156" s="24" t="str">
        <x:v>SW-C-165서6056-1-20231123-46</x:v>
      </x:c>
      <x:c r="J156" s="24" t="str">
        <x:v>백규열</x:v>
      </x:c>
      <x:c r="K156" s="24" t="str">
        <x:v>구독대여 계약 시작</x:v>
      </x:c>
      <x:c r="L156" s="24" t="str"/>
      <x:c r="M156" s="24" t="str">
        <x:v>개인AG</x:v>
      </x:c>
      <x:c r="N156" s="30" t="n">
        <x:v>45253</x:v>
      </x:c>
    </x:row>
    <x:row r="157" ht="17.25" customHeight="1">
      <x:c r="A157" s="24" t="str">
        <x:v>E-00156</x:v>
      </x:c>
      <x:c r="B157" s="24" t="str">
        <x:v>스위치플랜</x:v>
      </x:c>
      <x:c r="C157" s="24" t="str">
        <x:v>32어3092</x:v>
      </x:c>
      <x:c r="D157" s="30" t="n">
        <x:v>45419</x:v>
      </x:c>
      <x:c r="E157" s="24" t="str">
        <x:v>계약시작</x:v>
      </x:c>
      <x:c r="F157" s="24" t="str"/>
      <x:c r="G157" s="24" t="str">
        <x:v>대여중</x:v>
      </x:c>
      <x:c r="H157" s="32" t="n">
        <x:v>500000</x:v>
      </x:c>
      <x:c r="I157" s="24" t="str">
        <x:v>SW-C-32어3092-2-20240507-47</x:v>
      </x:c>
      <x:c r="J157" s="24" t="str">
        <x:v>임수민</x:v>
      </x:c>
      <x:c r="K157" s="24" t="str">
        <x:v>구독대여 계약 시작</x:v>
      </x:c>
      <x:c r="L157" s="24" t="str"/>
      <x:c r="M157" s="24" t="str">
        <x:v>카랜(주)</x:v>
      </x:c>
      <x:c r="N157" s="30" t="n">
        <x:v>45419</x:v>
      </x:c>
    </x:row>
    <x:row r="158" ht="17.25" customHeight="1">
      <x:c r="A158" s="24" t="str">
        <x:v>E-00157</x:v>
      </x:c>
      <x:c r="B158" s="24" t="str">
        <x:v>스위치플랜</x:v>
      </x:c>
      <x:c r="C158" s="24" t="str">
        <x:v>32어3092</x:v>
      </x:c>
      <x:c r="D158" s="30" t="n">
        <x:v>45986</x:v>
      </x:c>
      <x:c r="E158" s="24" t="str">
        <x:v>반납</x:v>
      </x:c>
      <x:c r="F158" s="24" t="str">
        <x:v>대여중</x:v>
      </x:c>
      <x:c r="G158" s="24" t="str">
        <x:v>쉬는차</x:v>
      </x:c>
      <x:c r="H158" s="32"/>
      <x:c r="I158" s="24" t="str">
        <x:v>SW-C-32어3092-2-20240507-47</x:v>
      </x:c>
      <x:c r="J158" s="24" t="str">
        <x:v>임수민</x:v>
      </x:c>
      <x:c r="K158" s="24" t="str">
        <x:v>차량 반납</x:v>
      </x:c>
      <x:c r="L158" s="24" t="str"/>
      <x:c r="M158" s="24" t="str">
        <x:v>카랜(주)</x:v>
      </x:c>
      <x:c r="N158" s="30" t="n">
        <x:v>45986</x:v>
      </x:c>
    </x:row>
    <x:row r="159" ht="17.25" customHeight="1">
      <x:c r="A159" s="24" t="str">
        <x:v>E-00158</x:v>
      </x:c>
      <x:c r="B159" s="24" t="str">
        <x:v>스위치플랜</x:v>
      </x:c>
      <x:c r="C159" s="24" t="str">
        <x:v>193우6384</x:v>
      </x:c>
      <x:c r="D159" s="30" t="n">
        <x:v>45714</x:v>
      </x:c>
      <x:c r="E159" s="24" t="str">
        <x:v>계약시작</x:v>
      </x:c>
      <x:c r="F159" s="24" t="str"/>
      <x:c r="G159" s="24" t="str">
        <x:v>대여중</x:v>
      </x:c>
      <x:c r="H159" s="32" t="n">
        <x:v>710000</x:v>
      </x:c>
      <x:c r="I159" s="24" t="str">
        <x:v>SW-C-193우6384-1-20250226-48</x:v>
      </x:c>
      <x:c r="J159" s="24" t="str">
        <x:v>김도건</x:v>
      </x:c>
      <x:c r="K159" s="24" t="str">
        <x:v>구독대여 계약 시작</x:v>
      </x:c>
      <x:c r="L159" s="24" t="str"/>
      <x:c r="M159" s="24" t="str">
        <x:v>하허호</x:v>
      </x:c>
      <x:c r="N159" s="30" t="n">
        <x:v>45714</x:v>
      </x:c>
    </x:row>
    <x:row r="160" ht="17.25" customHeight="1">
      <x:c r="A160" s="24" t="str">
        <x:v>E-00159</x:v>
      </x:c>
      <x:c r="B160" s="24" t="str">
        <x:v>스위치플랜</x:v>
      </x:c>
      <x:c r="C160" s="24" t="str">
        <x:v>193우6384</x:v>
      </x:c>
      <x:c r="D160" s="30" t="n">
        <x:v>45419</x:v>
      </x:c>
      <x:c r="E160" s="24" t="str">
        <x:v>계약시작</x:v>
      </x:c>
      <x:c r="F160" s="24" t="str"/>
      <x:c r="G160" s="24" t="str">
        <x:v>대여중</x:v>
      </x:c>
      <x:c r="H160" s="32" t="n">
        <x:v>640000</x:v>
      </x:c>
      <x:c r="I160" s="24" t="str">
        <x:v>SW-C-193우6384-2-20240507-48</x:v>
      </x:c>
      <x:c r="J160" s="24" t="str">
        <x:v>김병근</x:v>
      </x:c>
      <x:c r="K160" s="24" t="str">
        <x:v>구독대여 계약 시작</x:v>
      </x:c>
      <x:c r="L160" s="24" t="str"/>
      <x:c r="M160" s="24" t="str">
        <x:v>카랜(주)</x:v>
      </x:c>
      <x:c r="N160" s="30" t="n">
        <x:v>45419</x:v>
      </x:c>
    </x:row>
    <x:row r="161" ht="17.25" customHeight="1">
      <x:c r="A161" s="24" t="str">
        <x:v>E-00160</x:v>
      </x:c>
      <x:c r="B161" s="24" t="str">
        <x:v>스위치플랜</x:v>
      </x:c>
      <x:c r="C161" s="24" t="str">
        <x:v>193우6384</x:v>
      </x:c>
      <x:c r="D161" s="30" t="n">
        <x:v>45700</x:v>
      </x:c>
      <x:c r="E161" s="24" t="str">
        <x:v>반납</x:v>
      </x:c>
      <x:c r="F161" s="24" t="str">
        <x:v>대여중</x:v>
      </x:c>
      <x:c r="G161" s="24" t="str">
        <x:v>쉬는차</x:v>
      </x:c>
      <x:c r="H161" s="32"/>
      <x:c r="I161" s="24" t="str">
        <x:v>SW-C-193우6384-2-20240507-48</x:v>
      </x:c>
      <x:c r="J161" s="24" t="str">
        <x:v>김병근</x:v>
      </x:c>
      <x:c r="K161" s="24" t="str">
        <x:v>차량 반납</x:v>
      </x:c>
      <x:c r="L161" s="24" t="str"/>
      <x:c r="M161" s="24" t="str">
        <x:v>카랜(주)</x:v>
      </x:c>
      <x:c r="N161" s="30" t="n">
        <x:v>45700</x:v>
      </x:c>
    </x:row>
    <x:row r="162" ht="17.25" customHeight="1">
      <x:c r="A162" s="24" t="str">
        <x:v>E-00161</x:v>
      </x:c>
      <x:c r="B162" s="24" t="str">
        <x:v>스위치플랜</x:v>
      </x:c>
      <x:c r="C162" s="24" t="str">
        <x:v>293서9081</x:v>
      </x:c>
      <x:c r="D162" s="30" t="n">
        <x:v>45328</x:v>
      </x:c>
      <x:c r="E162" s="24" t="str">
        <x:v>계약시작</x:v>
      </x:c>
      <x:c r="F162" s="24" t="str"/>
      <x:c r="G162" s="24" t="str">
        <x:v>대여중</x:v>
      </x:c>
      <x:c r="H162" s="32" t="n">
        <x:v>1320000</x:v>
      </x:c>
      <x:c r="I162" s="24" t="str">
        <x:v>SW-C-293서9081-1-20240206-49</x:v>
      </x:c>
      <x:c r="J162" s="24" t="str">
        <x:v>진보민</x:v>
      </x:c>
      <x:c r="K162" s="24" t="str">
        <x:v>구독대여 계약 시작</x:v>
      </x:c>
      <x:c r="L162" s="24" t="str"/>
      <x:c r="M162" s="24" t="str">
        <x:v>카랜(주)</x:v>
      </x:c>
      <x:c r="N162" s="30" t="n">
        <x:v>45328</x:v>
      </x:c>
    </x:row>
    <x:row r="163" ht="17.25" customHeight="1">
      <x:c r="A163" s="24" t="str">
        <x:v>E-00162</x:v>
      </x:c>
      <x:c r="B163" s="24" t="str">
        <x:v>스위치플랜</x:v>
      </x:c>
      <x:c r="C163" s="24" t="str">
        <x:v>149조6163</x:v>
      </x:c>
      <x:c r="D163" s="30" t="n">
        <x:v>46104</x:v>
      </x:c>
      <x:c r="E163" s="24" t="str">
        <x:v>계약시작</x:v>
      </x:c>
      <x:c r="F163" s="24" t="str"/>
      <x:c r="G163" s="24" t="str">
        <x:v>대여중</x:v>
      </x:c>
      <x:c r="H163" s="32" t="n">
        <x:v>1000000</x:v>
      </x:c>
      <x:c r="I163" s="24" t="str">
        <x:v>SW-C-149조6163-1-20260323-50</x:v>
      </x:c>
      <x:c r="J163" s="24" t="str">
        <x:v>한상관</x:v>
      </x:c>
      <x:c r="K163" s="24" t="str">
        <x:v>구독대여 계약 시작</x:v>
      </x:c>
      <x:c r="L163" s="24" t="str"/>
      <x:c r="M163" s="24" t="str">
        <x:v>하허호</x:v>
      </x:c>
      <x:c r="N163" s="30" t="n">
        <x:v>46104</x:v>
      </x:c>
    </x:row>
    <x:row r="164" ht="17.25" customHeight="1">
      <x:c r="A164" s="24" t="str">
        <x:v>E-00163</x:v>
      </x:c>
      <x:c r="B164" s="24" t="str">
        <x:v>스위치플랜</x:v>
      </x:c>
      <x:c r="C164" s="24" t="str">
        <x:v>149조6163</x:v>
      </x:c>
      <x:c r="D164" s="30" t="n">
        <x:v>45328</x:v>
      </x:c>
      <x:c r="E164" s="24" t="str">
        <x:v>계약시작</x:v>
      </x:c>
      <x:c r="F164" s="24" t="str"/>
      <x:c r="G164" s="24" t="str">
        <x:v>대여중</x:v>
      </x:c>
      <x:c r="H164" s="32" t="n">
        <x:v>1540000</x:v>
      </x:c>
      <x:c r="I164" s="24" t="str">
        <x:v>SW-C-149조6163-2-20240206-50</x:v>
      </x:c>
      <x:c r="J164" s="24" t="str">
        <x:v>이상진</x:v>
      </x:c>
      <x:c r="K164" s="24" t="str">
        <x:v>구독대여 계약 시작</x:v>
      </x:c>
      <x:c r="L164" s="24" t="str"/>
      <x:c r="M164" s="24" t="str">
        <x:v>카랜(주)</x:v>
      </x:c>
      <x:c r="N164" s="30" t="n">
        <x:v>45328</x:v>
      </x:c>
    </x:row>
    <x:row r="165" ht="17.25" customHeight="1">
      <x:c r="A165" s="24" t="str">
        <x:v>E-00164</x:v>
      </x:c>
      <x:c r="B165" s="24" t="str">
        <x:v>스위치플랜</x:v>
      </x:c>
      <x:c r="C165" s="24" t="str">
        <x:v>149조6163</x:v>
      </x:c>
      <x:c r="D165" s="30" t="n">
        <x:v>46058</x:v>
      </x:c>
      <x:c r="E165" s="24" t="str">
        <x:v>반납</x:v>
      </x:c>
      <x:c r="F165" s="24" t="str">
        <x:v>대여중</x:v>
      </x:c>
      <x:c r="G165" s="24" t="str">
        <x:v>쉬는차</x:v>
      </x:c>
      <x:c r="H165" s="32"/>
      <x:c r="I165" s="24" t="str">
        <x:v>SW-C-149조6163-2-20240206-50</x:v>
      </x:c>
      <x:c r="J165" s="24" t="str">
        <x:v>이상진</x:v>
      </x:c>
      <x:c r="K165" s="24" t="str">
        <x:v>차량 반납</x:v>
      </x:c>
      <x:c r="L165" s="24" t="str"/>
      <x:c r="M165" s="24" t="str">
        <x:v>카랜(주)</x:v>
      </x:c>
      <x:c r="N165" s="30" t="n">
        <x:v>46058</x:v>
      </x:c>
    </x:row>
    <x:row r="166" ht="17.25" customHeight="1">
      <x:c r="A166" s="24" t="str">
        <x:v>E-00165</x:v>
      </x:c>
      <x:c r="B166" s="24" t="str">
        <x:v>스위치플랜</x:v>
      </x:c>
      <x:c r="C166" s="24" t="str">
        <x:v>193우6308</x:v>
      </x:c>
      <x:c r="D166" s="30" t="n">
        <x:v>45419</x:v>
      </x:c>
      <x:c r="E166" s="24" t="str">
        <x:v>계약시작</x:v>
      </x:c>
      <x:c r="F166" s="24" t="str"/>
      <x:c r="G166" s="24" t="str">
        <x:v>대여중</x:v>
      </x:c>
      <x:c r="H166" s="32" t="n">
        <x:v>700000</x:v>
      </x:c>
      <x:c r="I166" s="24" t="str">
        <x:v>SW-C-193우6308-1-20240507-51</x:v>
      </x:c>
      <x:c r="J166" s="24" t="str">
        <x:v>권오현</x:v>
      </x:c>
      <x:c r="K166" s="24" t="str">
        <x:v>구독대여 계약 시작</x:v>
      </x:c>
      <x:c r="L166" s="24" t="str"/>
      <x:c r="M166" s="24" t="str">
        <x:v>카랜(주)</x:v>
      </x:c>
      <x:c r="N166" s="30" t="n">
        <x:v>45419</x:v>
      </x:c>
    </x:row>
    <x:row r="167" ht="17.25" customHeight="1">
      <x:c r="A167" s="24" t="str">
        <x:v>E-00166</x:v>
      </x:c>
      <x:c r="B167" s="24" t="str">
        <x:v>스위치플랜</x:v>
      </x:c>
      <x:c r="C167" s="24" t="str">
        <x:v>314구7889</x:v>
      </x:c>
      <x:c r="D167" s="30" t="n">
        <x:v>45789</x:v>
      </x:c>
      <x:c r="E167" s="24" t="str">
        <x:v>계약시작</x:v>
      </x:c>
      <x:c r="F167" s="24" t="str"/>
      <x:c r="G167" s="24" t="str">
        <x:v>대여중</x:v>
      </x:c>
      <x:c r="H167" s="32" t="n">
        <x:v>930000</x:v>
      </x:c>
      <x:c r="I167" s="24" t="str">
        <x:v>SW-C-314구7889-1-20250512-52</x:v>
      </x:c>
      <x:c r="J167" s="24" t="str">
        <x:v>홍미정</x:v>
      </x:c>
      <x:c r="K167" s="24" t="str">
        <x:v>구독대여 계약 시작</x:v>
      </x:c>
      <x:c r="L167" s="24" t="str"/>
      <x:c r="M167" s="24" t="str">
        <x:v>하허호</x:v>
      </x:c>
      <x:c r="N167" s="30" t="n">
        <x:v>45789</x:v>
      </x:c>
    </x:row>
    <x:row r="168" ht="17.25" customHeight="1">
      <x:c r="A168" s="24" t="str">
        <x:v>E-00167</x:v>
      </x:c>
      <x:c r="B168" s="24" t="str">
        <x:v>스위치플랜</x:v>
      </x:c>
      <x:c r="C168" s="24" t="str">
        <x:v>314구7889</x:v>
      </x:c>
      <x:c r="D168" s="30" t="n">
        <x:v>45286</x:v>
      </x:c>
      <x:c r="E168" s="24" t="str">
        <x:v>계약시작</x:v>
      </x:c>
      <x:c r="F168" s="24" t="str"/>
      <x:c r="G168" s="24" t="str">
        <x:v>대여중</x:v>
      </x:c>
      <x:c r="H168" s="32" t="n">
        <x:v>1210000</x:v>
      </x:c>
      <x:c r="I168" s="24" t="str">
        <x:v>SW-C-314구7889-2-20231226-52</x:v>
      </x:c>
      <x:c r="J168" s="24" t="str">
        <x:v>조다운</x:v>
      </x:c>
      <x:c r="K168" s="24" t="str">
        <x:v>구독대여 계약 시작</x:v>
      </x:c>
      <x:c r="L168" s="24" t="str"/>
      <x:c r="M168" s="24" t="str">
        <x:v>SI</x:v>
      </x:c>
      <x:c r="N168" s="30" t="n">
        <x:v>45286</x:v>
      </x:c>
    </x:row>
    <x:row r="169" ht="17.25" customHeight="1">
      <x:c r="A169" s="24" t="str">
        <x:v>E-00168</x:v>
      </x:c>
      <x:c r="B169" s="24" t="str">
        <x:v>스위치플랜</x:v>
      </x:c>
      <x:c r="C169" s="24" t="str">
        <x:v>314구7889</x:v>
      </x:c>
      <x:c r="D169" s="30" t="n">
        <x:v>45757</x:v>
      </x:c>
      <x:c r="E169" s="24" t="str">
        <x:v>반납</x:v>
      </x:c>
      <x:c r="F169" s="24" t="str">
        <x:v>대여중</x:v>
      </x:c>
      <x:c r="G169" s="24" t="str">
        <x:v>쉬는차</x:v>
      </x:c>
      <x:c r="H169" s="32"/>
      <x:c r="I169" s="24" t="str">
        <x:v>SW-C-314구7889-2-20231226-52</x:v>
      </x:c>
      <x:c r="J169" s="24" t="str">
        <x:v>조다운</x:v>
      </x:c>
      <x:c r="K169" s="24" t="str">
        <x:v>차량 반납</x:v>
      </x:c>
      <x:c r="L169" s="24" t="str"/>
      <x:c r="M169" s="24" t="str">
        <x:v>SI</x:v>
      </x:c>
      <x:c r="N169" s="30" t="n">
        <x:v>45757</x:v>
      </x:c>
    </x:row>
    <x:row r="170" ht="17.25" customHeight="1">
      <x:c r="A170" s="24" t="str">
        <x:v>E-00169</x:v>
      </x:c>
      <x:c r="B170" s="24" t="str">
        <x:v>스위치플랜</x:v>
      </x:c>
      <x:c r="C170" s="24" t="str">
        <x:v>383마3206</x:v>
      </x:c>
      <x:c r="D170" s="30" t="n">
        <x:v>46060</x:v>
      </x:c>
      <x:c r="E170" s="24" t="str">
        <x:v>계약시작</x:v>
      </x:c>
      <x:c r="F170" s="24" t="str"/>
      <x:c r="G170" s="24" t="str">
        <x:v>대여중</x:v>
      </x:c>
      <x:c r="H170" s="32" t="n">
        <x:v>730000</x:v>
      </x:c>
      <x:c r="I170" s="24" t="str">
        <x:v>SW-C-383마3206-1-20260207-53</x:v>
      </x:c>
      <x:c r="J170" s="24" t="str">
        <x:v>이수정</x:v>
      </x:c>
      <x:c r="K170" s="24" t="str">
        <x:v>구독대여 계약 시작</x:v>
      </x:c>
      <x:c r="L170" s="24" t="str"/>
      <x:c r="M170" s="24" t="str">
        <x:v>카랜(주)</x:v>
      </x:c>
      <x:c r="N170" s="30" t="n">
        <x:v>46060</x:v>
      </x:c>
    </x:row>
    <x:row r="171" ht="17.25" customHeight="1">
      <x:c r="A171" s="24" t="str">
        <x:v>E-00170</x:v>
      </x:c>
      <x:c r="B171" s="24" t="str">
        <x:v>스위치플랜</x:v>
      </x:c>
      <x:c r="C171" s="24" t="str">
        <x:v>193우6312</x:v>
      </x:c>
      <x:c r="D171" s="30" t="n">
        <x:v>45404</x:v>
      </x:c>
      <x:c r="E171" s="24" t="str">
        <x:v>계약시작</x:v>
      </x:c>
      <x:c r="F171" s="24" t="str"/>
      <x:c r="G171" s="24" t="str">
        <x:v>대여중</x:v>
      </x:c>
      <x:c r="H171" s="32" t="n">
        <x:v>450000</x:v>
      </x:c>
      <x:c r="I171" s="24" t="str">
        <x:v>SW-C-193우6312-1-20240422-54</x:v>
      </x:c>
      <x:c r="J171" s="24" t="str">
        <x:v>김서진</x:v>
      </x:c>
      <x:c r="K171" s="24" t="str">
        <x:v>구독대여 계약 시작</x:v>
      </x:c>
      <x:c r="L171" s="24" t="str"/>
      <x:c r="M171" s="24" t="str">
        <x:v>카랜(주)</x:v>
      </x:c>
      <x:c r="N171" s="30" t="n">
        <x:v>45404</x:v>
      </x:c>
    </x:row>
    <x:row r="172" ht="17.25" customHeight="1">
      <x:c r="A172" s="24" t="str">
        <x:v>E-00171</x:v>
      </x:c>
      <x:c r="B172" s="24" t="str">
        <x:v>스위치플랜</x:v>
      </x:c>
      <x:c r="C172" s="24" t="str">
        <x:v>193우6391</x:v>
      </x:c>
      <x:c r="D172" s="30" t="n">
        <x:v>45986</x:v>
      </x:c>
      <x:c r="E172" s="24" t="str">
        <x:v>계약시작</x:v>
      </x:c>
      <x:c r="F172" s="24" t="str"/>
      <x:c r="G172" s="24" t="str">
        <x:v>대여중</x:v>
      </x:c>
      <x:c r="H172" s="32" t="n">
        <x:v>750000</x:v>
      </x:c>
      <x:c r="I172" s="24" t="str">
        <x:v>SW-C-193우6391-1-20251125-55</x:v>
      </x:c>
      <x:c r="J172" s="24" t="str">
        <x:v>엠제이에스</x:v>
      </x:c>
      <x:c r="K172" s="24" t="str">
        <x:v>구독대여 계약 시작</x:v>
      </x:c>
      <x:c r="L172" s="24" t="str"/>
      <x:c r="M172" s="24" t="str">
        <x:v>하허호</x:v>
      </x:c>
      <x:c r="N172" s="30" t="n">
        <x:v>45986</x:v>
      </x:c>
    </x:row>
    <x:row r="173" ht="17.25" customHeight="1">
      <x:c r="A173" s="24" t="str">
        <x:v>E-00172</x:v>
      </x:c>
      <x:c r="B173" s="24" t="str">
        <x:v>스위치플랜</x:v>
      </x:c>
      <x:c r="C173" s="24" t="str">
        <x:v>193우6343</x:v>
      </x:c>
      <x:c r="D173" s="30" t="n">
        <x:v>45792</x:v>
      </x:c>
      <x:c r="E173" s="24" t="str">
        <x:v>계약시작</x:v>
      </x:c>
      <x:c r="F173" s="24" t="str"/>
      <x:c r="G173" s="24" t="str">
        <x:v>대여중</x:v>
      </x:c>
      <x:c r="H173" s="32" t="n">
        <x:v>560000</x:v>
      </x:c>
      <x:c r="I173" s="24" t="str">
        <x:v>SW-C-193우6343-1-20250515-56</x:v>
      </x:c>
      <x:c r="J173" s="24" t="str">
        <x:v>권현지</x:v>
      </x:c>
      <x:c r="K173" s="24" t="str">
        <x:v>구독대여 계약 시작</x:v>
      </x:c>
      <x:c r="L173" s="24" t="str"/>
      <x:c r="M173" s="24" t="str">
        <x:v>하허호</x:v>
      </x:c>
      <x:c r="N173" s="30" t="n">
        <x:v>45792</x:v>
      </x:c>
    </x:row>
    <x:row r="174" ht="17.25" customHeight="1">
      <x:c r="A174" s="24" t="str">
        <x:v>E-00173</x:v>
      </x:c>
      <x:c r="B174" s="24" t="str">
        <x:v>스위치플랜</x:v>
      </x:c>
      <x:c r="C174" s="24" t="str">
        <x:v>193우6343</x:v>
      </x:c>
      <x:c r="D174" s="30" t="n">
        <x:v>45384</x:v>
      </x:c>
      <x:c r="E174" s="24" t="str">
        <x:v>계약시작</x:v>
      </x:c>
      <x:c r="F174" s="24" t="str"/>
      <x:c r="G174" s="24" t="str">
        <x:v>대여중</x:v>
      </x:c>
      <x:c r="H174" s="32" t="n">
        <x:v>600000</x:v>
      </x:c>
      <x:c r="I174" s="24" t="str">
        <x:v>SW-C-193우6343-2-20240402-56</x:v>
      </x:c>
      <x:c r="J174" s="24" t="str">
        <x:v>정재원</x:v>
      </x:c>
      <x:c r="K174" s="24" t="str">
        <x:v>구독대여 계약 시작</x:v>
      </x:c>
      <x:c r="L174" s="24" t="str"/>
      <x:c r="M174" s="24" t="str">
        <x:v>카랜(주)</x:v>
      </x:c>
      <x:c r="N174" s="30" t="n">
        <x:v>45384</x:v>
      </x:c>
    </x:row>
    <x:row r="175" ht="17.25" customHeight="1">
      <x:c r="A175" s="24" t="str">
        <x:v>E-00174</x:v>
      </x:c>
      <x:c r="B175" s="24" t="str">
        <x:v>스위치플랜</x:v>
      </x:c>
      <x:c r="C175" s="24" t="str">
        <x:v>193우6343</x:v>
      </x:c>
      <x:c r="D175" s="30" t="n">
        <x:v>45734</x:v>
      </x:c>
      <x:c r="E175" s="24" t="str">
        <x:v>반납</x:v>
      </x:c>
      <x:c r="F175" s="24" t="str">
        <x:v>대여중</x:v>
      </x:c>
      <x:c r="G175" s="24" t="str">
        <x:v>쉬는차</x:v>
      </x:c>
      <x:c r="H175" s="32"/>
      <x:c r="I175" s="24" t="str">
        <x:v>SW-C-193우6343-2-20240402-56</x:v>
      </x:c>
      <x:c r="J175" s="24" t="str">
        <x:v>정재원</x:v>
      </x:c>
      <x:c r="K175" s="24" t="str">
        <x:v>차량 반납</x:v>
      </x:c>
      <x:c r="L175" s="24" t="str"/>
      <x:c r="M175" s="24" t="str">
        <x:v>카랜(주)</x:v>
      </x:c>
      <x:c r="N175" s="30" t="n">
        <x:v>45734</x:v>
      </x:c>
    </x:row>
    <x:row r="176" ht="17.25" customHeight="1">
      <x:c r="A176" s="24" t="str">
        <x:v>E-00175</x:v>
      </x:c>
      <x:c r="B176" s="24" t="str">
        <x:v>스위치플랜</x:v>
      </x:c>
      <x:c r="C176" s="24" t="str">
        <x:v>245고2473</x:v>
      </x:c>
      <x:c r="D176" s="30" t="n">
        <x:v>45273</x:v>
      </x:c>
      <x:c r="E176" s="24" t="str">
        <x:v>계약시작</x:v>
      </x:c>
      <x:c r="F176" s="24" t="str"/>
      <x:c r="G176" s="24" t="str">
        <x:v>대여중</x:v>
      </x:c>
      <x:c r="H176" s="32" t="n">
        <x:v>460000</x:v>
      </x:c>
      <x:c r="I176" s="24" t="str">
        <x:v>SW-C-245고2473-1-20231213-57</x:v>
      </x:c>
      <x:c r="J176" s="24" t="str">
        <x:v>최윤형</x:v>
      </x:c>
      <x:c r="K176" s="24" t="str">
        <x:v>구독대여 계약 시작</x:v>
      </x:c>
      <x:c r="L176" s="24" t="str"/>
      <x:c r="M176" s="24" t="str">
        <x:v>SI</x:v>
      </x:c>
      <x:c r="N176" s="30" t="n">
        <x:v>45273</x:v>
      </x:c>
    </x:row>
    <x:row r="177" ht="17.25" customHeight="1">
      <x:c r="A177" s="24" t="str">
        <x:v>E-00176</x:v>
      </x:c>
      <x:c r="B177" s="24" t="str">
        <x:v>스위치플랜</x:v>
      </x:c>
      <x:c r="C177" s="24" t="str">
        <x:v>193우6396</x:v>
      </x:c>
      <x:c r="D177" s="30" t="n">
        <x:v>45548</x:v>
      </x:c>
      <x:c r="E177" s="24" t="str">
        <x:v>계약시작</x:v>
      </x:c>
      <x:c r="F177" s="24" t="str"/>
      <x:c r="G177" s="24" t="str">
        <x:v>대여중</x:v>
      </x:c>
      <x:c r="H177" s="32" t="n">
        <x:v>670000</x:v>
      </x:c>
      <x:c r="I177" s="24" t="str">
        <x:v>SW-C-193우6396-1-20240913-58</x:v>
      </x:c>
      <x:c r="J177" s="24" t="str">
        <x:v>권성호</x:v>
      </x:c>
      <x:c r="K177" s="24" t="str">
        <x:v>구독대여 계약 시작</x:v>
      </x:c>
      <x:c r="L177" s="24" t="str"/>
      <x:c r="M177" s="24" t="str">
        <x:v>하허호</x:v>
      </x:c>
      <x:c r="N177" s="30" t="n">
        <x:v>45548</x:v>
      </x:c>
    </x:row>
    <x:row r="178" ht="17.25" customHeight="1">
      <x:c r="A178" s="24" t="str">
        <x:v>E-00177</x:v>
      </x:c>
      <x:c r="B178" s="24" t="str">
        <x:v>스위치플랜</x:v>
      </x:c>
      <x:c r="C178" s="24" t="str">
        <x:v>193우6396</x:v>
      </x:c>
      <x:c r="D178" s="30" t="n">
        <x:v>45464</x:v>
      </x:c>
      <x:c r="E178" s="24" t="str">
        <x:v>계약시작</x:v>
      </x:c>
      <x:c r="F178" s="24" t="str"/>
      <x:c r="G178" s="24" t="str">
        <x:v>대여중</x:v>
      </x:c>
      <x:c r="H178" s="32" t="n">
        <x:v>880000</x:v>
      </x:c>
      <x:c r="I178" s="24" t="str">
        <x:v>SW-C-193우6396-2-20240621-58</x:v>
      </x:c>
      <x:c r="J178" s="24" t="str">
        <x:v>홍일무역</x:v>
      </x:c>
      <x:c r="K178" s="24" t="str">
        <x:v>구독대여 계약 시작</x:v>
      </x:c>
      <x:c r="L178" s="24" t="str"/>
      <x:c r="M178" s="24" t="str">
        <x:v>황제</x:v>
      </x:c>
      <x:c r="N178" s="30" t="n">
        <x:v>45464</x:v>
      </x:c>
    </x:row>
    <x:row r="179" ht="17.25" customHeight="1">
      <x:c r="A179" s="24" t="str">
        <x:v>E-00178</x:v>
      </x:c>
      <x:c r="B179" s="24" t="str">
        <x:v>스위치플랜</x:v>
      </x:c>
      <x:c r="C179" s="24" t="str">
        <x:v>193우6396</x:v>
      </x:c>
      <x:c r="D179" s="30" t="n">
        <x:v>45540</x:v>
      </x:c>
      <x:c r="E179" s="24" t="str">
        <x:v>반납</x:v>
      </x:c>
      <x:c r="F179" s="24" t="str">
        <x:v>대여중</x:v>
      </x:c>
      <x:c r="G179" s="24" t="str">
        <x:v>쉬는차</x:v>
      </x:c>
      <x:c r="H179" s="32"/>
      <x:c r="I179" s="24" t="str">
        <x:v>SW-C-193우6396-2-20240621-58</x:v>
      </x:c>
      <x:c r="J179" s="24" t="str">
        <x:v>홍일무역</x:v>
      </x:c>
      <x:c r="K179" s="24" t="str">
        <x:v>차량 반납</x:v>
      </x:c>
      <x:c r="L179" s="24" t="str"/>
      <x:c r="M179" s="24" t="str">
        <x:v>황제</x:v>
      </x:c>
      <x:c r="N179" s="30" t="n">
        <x:v>45540</x:v>
      </x:c>
    </x:row>
    <x:row r="180" ht="17.25" customHeight="1">
      <x:c r="A180" s="24" t="str">
        <x:v>E-00179</x:v>
      </x:c>
      <x:c r="B180" s="24" t="str">
        <x:v>스위치플랜</x:v>
      </x:c>
      <x:c r="C180" s="24" t="str">
        <x:v>204나2940</x:v>
      </x:c>
      <x:c r="D180" s="30" t="n">
        <x:v>46073</x:v>
      </x:c>
      <x:c r="E180" s="24" t="str">
        <x:v>계약시작</x:v>
      </x:c>
      <x:c r="F180" s="24" t="str"/>
      <x:c r="G180" s="24" t="str">
        <x:v>대여중</x:v>
      </x:c>
      <x:c r="H180" s="32" t="n">
        <x:v>690000</x:v>
      </x:c>
      <x:c r="I180" s="24" t="str">
        <x:v>SW-C-204나2940-2-20260220-59</x:v>
      </x:c>
      <x:c r="J180" s="24" t="str">
        <x:v>정승헌</x:v>
      </x:c>
      <x:c r="K180" s="24" t="str">
        <x:v>구독대여 계약 시작</x:v>
      </x:c>
      <x:c r="L180" s="24" t="str"/>
      <x:c r="M180" s="24" t="str">
        <x:v>하허호</x:v>
      </x:c>
      <x:c r="N180" s="30" t="n">
        <x:v>46073</x:v>
      </x:c>
    </x:row>
    <x:row r="181" ht="17.25" customHeight="1">
      <x:c r="A181" s="24" t="str">
        <x:v>E-00180</x:v>
      </x:c>
      <x:c r="B181" s="24" t="str">
        <x:v>스위치플랜</x:v>
      </x:c>
      <x:c r="C181" s="24" t="str">
        <x:v>204나2940</x:v>
      </x:c>
      <x:c r="D181" s="30" t="n">
        <x:v>46216</x:v>
      </x:c>
      <x:c r="E181" s="24" t="str">
        <x:v>반납</x:v>
      </x:c>
      <x:c r="F181" s="24" t="str">
        <x:v>대여중</x:v>
      </x:c>
      <x:c r="G181" s="24" t="str">
        <x:v>쉬는차</x:v>
      </x:c>
      <x:c r="H181" s="32"/>
      <x:c r="I181" s="24" t="str">
        <x:v>SW-C-204나2940-2-20260220-59</x:v>
      </x:c>
      <x:c r="J181" s="24" t="str">
        <x:v>정승헌</x:v>
      </x:c>
      <x:c r="K181" s="24" t="str">
        <x:v>차량 반납</x:v>
      </x:c>
      <x:c r="L181" s="24" t="str"/>
      <x:c r="M181" s="24" t="str">
        <x:v>하허호</x:v>
      </x:c>
      <x:c r="N181" s="30" t="n">
        <x:v>46216</x:v>
      </x:c>
    </x:row>
    <x:row r="182" ht="17.25" customHeight="1">
      <x:c r="A182" s="24" t="str">
        <x:v>E-00181</x:v>
      </x:c>
      <x:c r="B182" s="24" t="str">
        <x:v>스위치플랜</x:v>
      </x:c>
      <x:c r="C182" s="24" t="str">
        <x:v>204나2940</x:v>
      </x:c>
      <x:c r="D182" s="30" t="n">
        <x:v>45820</x:v>
      </x:c>
      <x:c r="E182" s="24" t="str">
        <x:v>계약시작</x:v>
      </x:c>
      <x:c r="F182" s="24" t="str"/>
      <x:c r="G182" s="24" t="str">
        <x:v>대여중</x:v>
      </x:c>
      <x:c r="H182" s="32" t="n">
        <x:v>690000</x:v>
      </x:c>
      <x:c r="I182" s="24" t="str">
        <x:v>SW-C-204나2940-3-20250612-59</x:v>
      </x:c>
      <x:c r="J182" s="24" t="str">
        <x:v>더블에이치</x:v>
      </x:c>
      <x:c r="K182" s="24" t="str">
        <x:v>구독대여 계약 시작</x:v>
      </x:c>
      <x:c r="L182" s="24" t="str"/>
      <x:c r="M182" s="24" t="str">
        <x:v>하허호</x:v>
      </x:c>
      <x:c r="N182" s="30" t="n">
        <x:v>45820</x:v>
      </x:c>
    </x:row>
    <x:row r="183" ht="17.25" customHeight="1">
      <x:c r="A183" s="24" t="str">
        <x:v>E-00182</x:v>
      </x:c>
      <x:c r="B183" s="24" t="str">
        <x:v>스위치플랜</x:v>
      </x:c>
      <x:c r="C183" s="24" t="str">
        <x:v>204나2940</x:v>
      </x:c>
      <x:c r="D183" s="30"/>
      <x:c r="E183" s="24" t="str">
        <x:v>반납</x:v>
      </x:c>
      <x:c r="F183" s="24" t="str">
        <x:v>대여중</x:v>
      </x:c>
      <x:c r="G183" s="24" t="str">
        <x:v>쉬는차</x:v>
      </x:c>
      <x:c r="H183" s="32"/>
      <x:c r="I183" s="24" t="str">
        <x:v>SW-C-204나2940-3-20250612-59</x:v>
      </x:c>
      <x:c r="J183" s="24" t="str">
        <x:v>더블에이치</x:v>
      </x:c>
      <x:c r="K183" s="24" t="str">
        <x:v>차량 반납</x:v>
      </x:c>
      <x:c r="L183" s="24" t="str"/>
      <x:c r="M183" s="24" t="str">
        <x:v>하허호</x:v>
      </x:c>
      <x:c r="N183" s="30"/>
    </x:row>
    <x:row r="184" ht="17.25" customHeight="1">
      <x:c r="A184" s="24" t="str">
        <x:v>E-00183</x:v>
      </x:c>
      <x:c r="B184" s="24" t="str">
        <x:v>스위치플랜</x:v>
      </x:c>
      <x:c r="C184" s="24" t="str">
        <x:v>204나2940</x:v>
      </x:c>
      <x:c r="D184" s="30" t="n">
        <x:v>45455</x:v>
      </x:c>
      <x:c r="E184" s="24" t="str">
        <x:v>계약시작</x:v>
      </x:c>
      <x:c r="F184" s="24" t="str"/>
      <x:c r="G184" s="24" t="str">
        <x:v>대여중</x:v>
      </x:c>
      <x:c r="H184" s="32" t="n">
        <x:v>690000</x:v>
      </x:c>
      <x:c r="I184" s="24" t="str">
        <x:v>SW-C-204나2940-4-20240612-59</x:v>
      </x:c>
      <x:c r="J184" s="24" t="str">
        <x:v>최창훈</x:v>
      </x:c>
      <x:c r="K184" s="24" t="str">
        <x:v>구독대여 계약 시작</x:v>
      </x:c>
      <x:c r="L184" s="24" t="str"/>
      <x:c r="M184" s="24" t="str">
        <x:v>카랜(주)</x:v>
      </x:c>
      <x:c r="N184" s="30" t="n">
        <x:v>45455</x:v>
      </x:c>
    </x:row>
    <x:row r="185" ht="17.25" customHeight="1">
      <x:c r="A185" s="24" t="str">
        <x:v>E-00184</x:v>
      </x:c>
      <x:c r="B185" s="24" t="str">
        <x:v>스위치플랜</x:v>
      </x:c>
      <x:c r="C185" s="24" t="str">
        <x:v>204나2940</x:v>
      </x:c>
      <x:c r="D185" s="30" t="n">
        <x:v>45777</x:v>
      </x:c>
      <x:c r="E185" s="24" t="str">
        <x:v>반납</x:v>
      </x:c>
      <x:c r="F185" s="24" t="str">
        <x:v>대여중</x:v>
      </x:c>
      <x:c r="G185" s="24" t="str">
        <x:v>쉬는차</x:v>
      </x:c>
      <x:c r="H185" s="32"/>
      <x:c r="I185" s="24" t="str">
        <x:v>SW-C-204나2940-4-20240612-59</x:v>
      </x:c>
      <x:c r="J185" s="24" t="str">
        <x:v>최창훈</x:v>
      </x:c>
      <x:c r="K185" s="24" t="str">
        <x:v>차량 반납</x:v>
      </x:c>
      <x:c r="L185" s="24" t="str"/>
      <x:c r="M185" s="24" t="str">
        <x:v>카랜(주)</x:v>
      </x:c>
      <x:c r="N185" s="30" t="n">
        <x:v>45777</x:v>
      </x:c>
    </x:row>
    <x:row r="186" ht="17.25" customHeight="1">
      <x:c r="A186" s="24" t="str">
        <x:v>E-00185</x:v>
      </x:c>
      <x:c r="B186" s="24" t="str">
        <x:v>스위치플랜</x:v>
      </x:c>
      <x:c r="C186" s="24" t="str">
        <x:v>204나2940</x:v>
      </x:c>
      <x:c r="D186" s="30" t="n">
        <x:v>46915</x:v>
      </x:c>
      <x:c r="E186" s="24" t="str">
        <x:v>계약시작</x:v>
      </x:c>
      <x:c r="F186" s="24" t="str"/>
      <x:c r="G186" s="24" t="str">
        <x:v>대여중</x:v>
      </x:c>
      <x:c r="H186" s="32" t="n">
        <x:v>45455</x:v>
      </x:c>
      <x:c r="I186" s="24" t="str">
        <x:v>SW-C-204나2940-5-20280611-59</x:v>
      </x:c>
      <x:c r="J186" s="24" t="str">
        <x:v>김영훈</x:v>
      </x:c>
      <x:c r="K186" s="24" t="str">
        <x:v>구독대여 계약 시작</x:v>
      </x:c>
      <x:c r="L186" s="24" t="str"/>
      <x:c r="M186" s="24" t="str">
        <x:v>카랜(주)</x:v>
      </x:c>
      <x:c r="N186" s="30" t="n">
        <x:v>46915</x:v>
      </x:c>
    </x:row>
    <x:row r="187" ht="17.25" customHeight="1">
      <x:c r="A187" s="24" t="str">
        <x:v>E-00186</x:v>
      </x:c>
      <x:c r="B187" s="24" t="str">
        <x:v>스위치플랜</x:v>
      </x:c>
      <x:c r="C187" s="24" t="str">
        <x:v>204나2940</x:v>
      </x:c>
      <x:c r="D187" s="30"/>
      <x:c r="E187" s="24" t="str">
        <x:v>반납</x:v>
      </x:c>
      <x:c r="F187" s="24" t="str">
        <x:v>대여중</x:v>
      </x:c>
      <x:c r="G187" s="24" t="str">
        <x:v>쉬는차</x:v>
      </x:c>
      <x:c r="H187" s="32"/>
      <x:c r="I187" s="24" t="str">
        <x:v>SW-C-204나2940-5-20280611-59</x:v>
      </x:c>
      <x:c r="J187" s="24" t="str">
        <x:v>김영훈</x:v>
      </x:c>
      <x:c r="K187" s="24" t="str">
        <x:v>차량 반납</x:v>
      </x:c>
      <x:c r="L187" s="24" t="str"/>
      <x:c r="M187" s="24" t="str">
        <x:v>카랜(주)</x:v>
      </x:c>
      <x:c r="N187" s="30"/>
    </x:row>
    <x:row r="188" ht="17.25" customHeight="1">
      <x:c r="A188" s="24" t="str">
        <x:v>E-00187</x:v>
      </x:c>
      <x:c r="B188" s="24" t="str">
        <x:v>스위치플랜</x:v>
      </x:c>
      <x:c r="C188" s="24" t="str">
        <x:v>204거7383</x:v>
      </x:c>
      <x:c r="D188" s="30" t="n">
        <x:v>45764</x:v>
      </x:c>
      <x:c r="E188" s="24" t="str">
        <x:v>계약시작</x:v>
      </x:c>
      <x:c r="F188" s="24" t="str"/>
      <x:c r="G188" s="24" t="str">
        <x:v>대여중</x:v>
      </x:c>
      <x:c r="H188" s="32" t="n">
        <x:v>990000</x:v>
      </x:c>
      <x:c r="I188" s="24" t="str">
        <x:v>SW-C-204거7383-2-20250417-60</x:v>
      </x:c>
      <x:c r="J188" s="24" t="str">
        <x:v>김은진</x:v>
      </x:c>
      <x:c r="K188" s="24" t="str">
        <x:v>구독대여 계약 시작</x:v>
      </x:c>
      <x:c r="L188" s="24" t="str"/>
      <x:c r="M188" s="24" t="str">
        <x:v>하허호</x:v>
      </x:c>
      <x:c r="N188" s="30" t="n">
        <x:v>45764</x:v>
      </x:c>
    </x:row>
    <x:row r="189" ht="17.25" customHeight="1">
      <x:c r="A189" s="24" t="str">
        <x:v>E-00188</x:v>
      </x:c>
      <x:c r="B189" s="24" t="str">
        <x:v>스위치플랜</x:v>
      </x:c>
      <x:c r="C189" s="24" t="str">
        <x:v>204거7383</x:v>
      </x:c>
      <x:c r="D189" s="30" t="n">
        <x:v>45988</x:v>
      </x:c>
      <x:c r="E189" s="24" t="str">
        <x:v>반납</x:v>
      </x:c>
      <x:c r="F189" s="24" t="str">
        <x:v>대여중</x:v>
      </x:c>
      <x:c r="G189" s="24" t="str">
        <x:v>쉬는차</x:v>
      </x:c>
      <x:c r="H189" s="32"/>
      <x:c r="I189" s="24" t="str">
        <x:v>SW-C-204거7383-2-20250417-60</x:v>
      </x:c>
      <x:c r="J189" s="24" t="str">
        <x:v>김은진</x:v>
      </x:c>
      <x:c r="K189" s="24" t="str">
        <x:v>차량 반납</x:v>
      </x:c>
      <x:c r="L189" s="24" t="str"/>
      <x:c r="M189" s="24" t="str">
        <x:v>하허호</x:v>
      </x:c>
      <x:c r="N189" s="30" t="n">
        <x:v>45988</x:v>
      </x:c>
    </x:row>
    <x:row r="190" ht="17.25" customHeight="1">
      <x:c r="A190" s="24" t="str">
        <x:v>E-00189</x:v>
      </x:c>
      <x:c r="B190" s="24" t="str">
        <x:v>스위치플랜</x:v>
      </x:c>
      <x:c r="C190" s="24" t="str">
        <x:v>204거7383</x:v>
      </x:c>
      <x:c r="D190" s="30" t="n">
        <x:v>45446</x:v>
      </x:c>
      <x:c r="E190" s="24" t="str">
        <x:v>계약시작</x:v>
      </x:c>
      <x:c r="F190" s="24" t="str"/>
      <x:c r="G190" s="24" t="str">
        <x:v>대여중</x:v>
      </x:c>
      <x:c r="H190" s="32" t="n">
        <x:v>1350000</x:v>
      </x:c>
      <x:c r="I190" s="24" t="str">
        <x:v>SW-C-204거7383-4-20240603-60</x:v>
      </x:c>
      <x:c r="J190" s="24" t="str">
        <x:v>송혜린</x:v>
      </x:c>
      <x:c r="K190" s="24" t="str">
        <x:v>구독대여 계약 시작</x:v>
      </x:c>
      <x:c r="L190" s="24" t="str"/>
      <x:c r="M190" s="24" t="str">
        <x:v>카랜(주)</x:v>
      </x:c>
      <x:c r="N190" s="30" t="n">
        <x:v>45446</x:v>
      </x:c>
    </x:row>
    <x:row r="191" ht="17.25" customHeight="1">
      <x:c r="A191" s="24" t="str">
        <x:v>E-00190</x:v>
      </x:c>
      <x:c r="B191" s="24" t="str">
        <x:v>스위치플랜</x:v>
      </x:c>
      <x:c r="C191" s="24" t="str">
        <x:v>204거7383</x:v>
      </x:c>
      <x:c r="D191" s="30" t="n">
        <x:v>45730</x:v>
      </x:c>
      <x:c r="E191" s="24" t="str">
        <x:v>반납</x:v>
      </x:c>
      <x:c r="F191" s="24" t="str">
        <x:v>대여중</x:v>
      </x:c>
      <x:c r="G191" s="24" t="str">
        <x:v>쉬는차</x:v>
      </x:c>
      <x:c r="H191" s="32"/>
      <x:c r="I191" s="24" t="str">
        <x:v>SW-C-204거7383-4-20240603-60</x:v>
      </x:c>
      <x:c r="J191" s="24" t="str">
        <x:v>송혜린</x:v>
      </x:c>
      <x:c r="K191" s="24" t="str">
        <x:v>차량 반납</x:v>
      </x:c>
      <x:c r="L191" s="24" t="str"/>
      <x:c r="M191" s="24" t="str">
        <x:v>카랜(주)</x:v>
      </x:c>
      <x:c r="N191" s="30" t="n">
        <x:v>45730</x:v>
      </x:c>
    </x:row>
    <x:row r="192" ht="17.25" customHeight="1">
      <x:c r="A192" s="24" t="str">
        <x:v>E-00191</x:v>
      </x:c>
      <x:c r="B192" s="24" t="str">
        <x:v>스위치플랜</x:v>
      </x:c>
      <x:c r="C192" s="24" t="str">
        <x:v>204거7383</x:v>
      </x:c>
      <x:c r="D192" s="30" t="n">
        <x:v>46106</x:v>
      </x:c>
      <x:c r="E192" s="24" t="str">
        <x:v>계약시작</x:v>
      </x:c>
      <x:c r="F192" s="24" t="str"/>
      <x:c r="G192" s="24" t="str">
        <x:v>대여중</x:v>
      </x:c>
      <x:c r="H192" s="32" t="n">
        <x:v>45377</x:v>
      </x:c>
      <x:c r="I192" s="24" t="str">
        <x:v>SW-C-204거7383-5-20260325-60</x:v>
      </x:c>
      <x:c r="J192" s="24" t="str">
        <x:v>장순규</x:v>
      </x:c>
      <x:c r="K192" s="24" t="str">
        <x:v>구독대여 계약 시작</x:v>
      </x:c>
      <x:c r="L192" s="24" t="str"/>
      <x:c r="M192" s="24" t="str">
        <x:v>카랜(주)</x:v>
      </x:c>
      <x:c r="N192" s="30" t="n">
        <x:v>46106</x:v>
      </x:c>
    </x:row>
    <x:row r="193" ht="17.25" customHeight="1">
      <x:c r="A193" s="24" t="str">
        <x:v>E-00192</x:v>
      </x:c>
      <x:c r="B193" s="24" t="str">
        <x:v>스위치플랜</x:v>
      </x:c>
      <x:c r="C193" s="24" t="str">
        <x:v>204거7383</x:v>
      </x:c>
      <x:c r="D193" s="30"/>
      <x:c r="E193" s="24" t="str">
        <x:v>반납</x:v>
      </x:c>
      <x:c r="F193" s="24" t="str">
        <x:v>대여중</x:v>
      </x:c>
      <x:c r="G193" s="24" t="str">
        <x:v>쉬는차</x:v>
      </x:c>
      <x:c r="H193" s="32"/>
      <x:c r="I193" s="24" t="str">
        <x:v>SW-C-204거7383-5-20260325-60</x:v>
      </x:c>
      <x:c r="J193" s="24" t="str">
        <x:v>장순규</x:v>
      </x:c>
      <x:c r="K193" s="24" t="str">
        <x:v>차량 반납</x:v>
      </x:c>
      <x:c r="L193" s="24" t="str"/>
      <x:c r="M193" s="24" t="str">
        <x:v>카랜(주)</x:v>
      </x:c>
      <x:c r="N193" s="30"/>
    </x:row>
    <x:row r="194" ht="17.25" customHeight="1">
      <x:c r="A194" s="24" t="str">
        <x:v>E-00193</x:v>
      </x:c>
      <x:c r="B194" s="24" t="str">
        <x:v>스위치플랜</x:v>
      </x:c>
      <x:c r="C194" s="24" t="str">
        <x:v>15가4481</x:v>
      </x:c>
      <x:c r="D194" s="30" t="n">
        <x:v>46209</x:v>
      </x:c>
      <x:c r="E194" s="24" t="str">
        <x:v>계약시작</x:v>
      </x:c>
      <x:c r="F194" s="24" t="str"/>
      <x:c r="G194" s="24" t="str">
        <x:v>대여중</x:v>
      </x:c>
      <x:c r="H194" s="32" t="n">
        <x:v>1200000</x:v>
      </x:c>
      <x:c r="I194" s="24" t="str">
        <x:v>SW-C-15가4481-1-20260706-61</x:v>
      </x:c>
      <x:c r="J194" s="24" t="str">
        <x:v>이용호</x:v>
      </x:c>
      <x:c r="K194" s="24" t="str">
        <x:v>구독대여 계약 시작</x:v>
      </x:c>
      <x:c r="L194" s="24" t="str"/>
      <x:c r="M194" s="24" t="str"/>
      <x:c r="N194" s="30" t="n">
        <x:v>46209</x:v>
      </x:c>
    </x:row>
    <x:row r="195" ht="17.25" customHeight="1">
      <x:c r="A195" s="24" t="str">
        <x:v>E-00194</x:v>
      </x:c>
      <x:c r="B195" s="24" t="str">
        <x:v>스위치플랜</x:v>
      </x:c>
      <x:c r="C195" s="24" t="str">
        <x:v>15가4481</x:v>
      </x:c>
      <x:c r="D195" s="30" t="n">
        <x:v>45899</x:v>
      </x:c>
      <x:c r="E195" s="24" t="str">
        <x:v>계약시작</x:v>
      </x:c>
      <x:c r="F195" s="24" t="str"/>
      <x:c r="G195" s="24" t="str">
        <x:v>대여중</x:v>
      </x:c>
      <x:c r="H195" s="32" t="n">
        <x:v>1360000</x:v>
      </x:c>
      <x:c r="I195" s="24" t="str">
        <x:v>SW-C-15가4481-2-20250830-61</x:v>
      </x:c>
      <x:c r="J195" s="24" t="str">
        <x:v>권태훈</x:v>
      </x:c>
      <x:c r="K195" s="24" t="str">
        <x:v>구독대여 계약 시작</x:v>
      </x:c>
      <x:c r="L195" s="24" t="str"/>
      <x:c r="M195" s="24" t="str">
        <x:v>하허호</x:v>
      </x:c>
      <x:c r="N195" s="30" t="n">
        <x:v>45899</x:v>
      </x:c>
    </x:row>
    <x:row r="196" ht="17.25" customHeight="1">
      <x:c r="A196" s="24" t="str">
        <x:v>E-00195</x:v>
      </x:c>
      <x:c r="B196" s="24" t="str">
        <x:v>스위치플랜</x:v>
      </x:c>
      <x:c r="C196" s="24" t="str">
        <x:v>15가4481</x:v>
      </x:c>
      <x:c r="D196" s="30"/>
      <x:c r="E196" s="24" t="str">
        <x:v>반납</x:v>
      </x:c>
      <x:c r="F196" s="24" t="str">
        <x:v>대여중</x:v>
      </x:c>
      <x:c r="G196" s="24" t="str">
        <x:v>쉬는차</x:v>
      </x:c>
      <x:c r="H196" s="32"/>
      <x:c r="I196" s="24" t="str">
        <x:v>SW-C-15가4481-2-20250830-61</x:v>
      </x:c>
      <x:c r="J196" s="24" t="str">
        <x:v>권태훈</x:v>
      </x:c>
      <x:c r="K196" s="24" t="str">
        <x:v>차량 반납</x:v>
      </x:c>
      <x:c r="L196" s="24" t="str"/>
      <x:c r="M196" s="24" t="str">
        <x:v>하허호</x:v>
      </x:c>
      <x:c r="N196" s="30"/>
    </x:row>
    <x:row r="197" ht="17.25" customHeight="1">
      <x:c r="A197" s="24" t="str">
        <x:v>E-00196</x:v>
      </x:c>
      <x:c r="B197" s="24" t="str">
        <x:v>스위치플랜</x:v>
      </x:c>
      <x:c r="C197" s="24" t="str">
        <x:v>15가4481</x:v>
      </x:c>
      <x:c r="D197" s="30" t="n">
        <x:v>45807</x:v>
      </x:c>
      <x:c r="E197" s="24" t="str">
        <x:v>계약시작</x:v>
      </x:c>
      <x:c r="F197" s="24" t="str"/>
      <x:c r="G197" s="24" t="str">
        <x:v>대여중</x:v>
      </x:c>
      <x:c r="H197" s="32" t="n">
        <x:v>1290000</x:v>
      </x:c>
      <x:c r="I197" s="24" t="str">
        <x:v>SW-C-15가4481-3-20250530-61</x:v>
      </x:c>
      <x:c r="J197" s="24" t="str">
        <x:v>정은수</x:v>
      </x:c>
      <x:c r="K197" s="24" t="str">
        <x:v>구독대여 계약 시작</x:v>
      </x:c>
      <x:c r="L197" s="24" t="str"/>
      <x:c r="M197" s="24" t="str">
        <x:v>하허호</x:v>
      </x:c>
      <x:c r="N197" s="30" t="n">
        <x:v>45807</x:v>
      </x:c>
    </x:row>
    <x:row r="198" ht="17.25" customHeight="1">
      <x:c r="A198" s="24" t="str">
        <x:v>E-00197</x:v>
      </x:c>
      <x:c r="B198" s="24" t="str">
        <x:v>스위치플랜</x:v>
      </x:c>
      <x:c r="C198" s="24" t="str">
        <x:v>15가4481</x:v>
      </x:c>
      <x:c r="D198" s="30" t="n">
        <x:v>45877</x:v>
      </x:c>
      <x:c r="E198" s="24" t="str">
        <x:v>반납</x:v>
      </x:c>
      <x:c r="F198" s="24" t="str">
        <x:v>대여중</x:v>
      </x:c>
      <x:c r="G198" s="24" t="str">
        <x:v>쉬는차</x:v>
      </x:c>
      <x:c r="H198" s="32"/>
      <x:c r="I198" s="24" t="str">
        <x:v>SW-C-15가4481-3-20250530-61</x:v>
      </x:c>
      <x:c r="J198" s="24" t="str">
        <x:v>정은수</x:v>
      </x:c>
      <x:c r="K198" s="24" t="str">
        <x:v>차량 반납</x:v>
      </x:c>
      <x:c r="L198" s="24" t="str"/>
      <x:c r="M198" s="24" t="str">
        <x:v>하허호</x:v>
      </x:c>
      <x:c r="N198" s="30" t="n">
        <x:v>45877</x:v>
      </x:c>
    </x:row>
    <x:row r="199" ht="17.25" customHeight="1">
      <x:c r="A199" s="24" t="str">
        <x:v>E-00198</x:v>
      </x:c>
      <x:c r="B199" s="24" t="str">
        <x:v>스위치플랜</x:v>
      </x:c>
      <x:c r="C199" s="24" t="str">
        <x:v>299수4820</x:v>
      </x:c>
      <x:c r="D199" s="30"/>
      <x:c r="E199" s="24" t="str">
        <x:v>계약시작</x:v>
      </x:c>
      <x:c r="F199" s="24" t="str"/>
      <x:c r="G199" s="24" t="str">
        <x:v>대여중</x:v>
      </x:c>
      <x:c r="H199" s="32" t="n">
        <x:v>630000</x:v>
      </x:c>
      <x:c r="I199" s="24" t="str">
        <x:v>SW-C-299수4820-1-26-62</x:v>
      </x:c>
      <x:c r="J199" s="24" t="str">
        <x:v>이훈4820</x:v>
      </x:c>
      <x:c r="K199" s="24" t="str">
        <x:v>지인 계약 시작</x:v>
      </x:c>
      <x:c r="L199" s="24" t="str"/>
      <x:c r="M199" s="24" t="str"/>
      <x:c r="N199" s="30"/>
    </x:row>
    <x:row r="200" ht="17.25" customHeight="1">
      <x:c r="A200" s="24" t="str">
        <x:v>E-00199</x:v>
      </x:c>
      <x:c r="B200" s="24" t="str">
        <x:v>스위치플랜</x:v>
      </x:c>
      <x:c r="C200" s="24" t="str">
        <x:v>299수4820</x:v>
      </x:c>
      <x:c r="D200" s="30" t="n">
        <x:v>45421</x:v>
      </x:c>
      <x:c r="E200" s="24" t="str">
        <x:v>계약시작</x:v>
      </x:c>
      <x:c r="F200" s="24" t="str"/>
      <x:c r="G200" s="24" t="str">
        <x:v>대여중</x:v>
      </x:c>
      <x:c r="H200" s="32" t="n">
        <x:v>550000</x:v>
      </x:c>
      <x:c r="I200" s="24" t="str">
        <x:v>SW-C-299수4820-2-20240509-62</x:v>
      </x:c>
      <x:c r="J200" s="24" t="str">
        <x:v>이훈</x:v>
      </x:c>
      <x:c r="K200" s="24" t="str">
        <x:v>구독대여 계약 시작</x:v>
      </x:c>
      <x:c r="L200" s="24" t="str"/>
      <x:c r="M200" s="24" t="str">
        <x:v>카랜(주)</x:v>
      </x:c>
      <x:c r="N200" s="30" t="n">
        <x:v>45421</x:v>
      </x:c>
    </x:row>
    <x:row r="201" ht="17.25" customHeight="1">
      <x:c r="A201" s="24" t="str">
        <x:v>E-00200</x:v>
      </x:c>
      <x:c r="B201" s="24" t="str">
        <x:v>스위치플랜</x:v>
      </x:c>
      <x:c r="C201" s="24" t="str">
        <x:v>299수4820</x:v>
      </x:c>
      <x:c r="D201" s="30" t="n">
        <x:v>46015</x:v>
      </x:c>
      <x:c r="E201" s="24" t="str">
        <x:v>반납</x:v>
      </x:c>
      <x:c r="F201" s="24" t="str">
        <x:v>대여중</x:v>
      </x:c>
      <x:c r="G201" s="24" t="str">
        <x:v>쉬는차</x:v>
      </x:c>
      <x:c r="H201" s="32"/>
      <x:c r="I201" s="24" t="str">
        <x:v>SW-C-299수4820-2-20240509-62</x:v>
      </x:c>
      <x:c r="J201" s="24" t="str">
        <x:v>이훈</x:v>
      </x:c>
      <x:c r="K201" s="24" t="str">
        <x:v>차량 반납</x:v>
      </x:c>
      <x:c r="L201" s="24" t="str"/>
      <x:c r="M201" s="24" t="str">
        <x:v>카랜(주)</x:v>
      </x:c>
      <x:c r="N201" s="30" t="n">
        <x:v>46015</x:v>
      </x:c>
    </x:row>
    <x:row r="202" ht="17.25" customHeight="1">
      <x:c r="A202" s="24" t="str">
        <x:v>E-00201</x:v>
      </x:c>
      <x:c r="B202" s="24" t="str">
        <x:v>스위치플랜</x:v>
      </x:c>
      <x:c r="C202" s="24" t="str">
        <x:v>154모5759</x:v>
      </x:c>
      <x:c r="D202" s="30" t="n">
        <x:v>45898</x:v>
      </x:c>
      <x:c r="E202" s="24" t="str">
        <x:v>계약시작</x:v>
      </x:c>
      <x:c r="F202" s="24" t="str"/>
      <x:c r="G202" s="24" t="str">
        <x:v>대여중</x:v>
      </x:c>
      <x:c r="H202" s="32" t="n">
        <x:v>880000</x:v>
      </x:c>
      <x:c r="I202" s="24" t="str">
        <x:v>SW-C-154모5759-1-20250829-63</x:v>
      </x:c>
      <x:c r="J202" s="24" t="str">
        <x:v>아산휴먼</x:v>
      </x:c>
      <x:c r="K202" s="24" t="str">
        <x:v>구독대여 계약 시작</x:v>
      </x:c>
      <x:c r="L202" s="24" t="str"/>
      <x:c r="M202" s="24" t="str">
        <x:v>SI</x:v>
      </x:c>
      <x:c r="N202" s="30" t="n">
        <x:v>45898</x:v>
      </x:c>
    </x:row>
    <x:row r="203" ht="17.25" customHeight="1">
      <x:c r="A203" s="24" t="str">
        <x:v>E-00202</x:v>
      </x:c>
      <x:c r="B203" s="24" t="str">
        <x:v>스위치플랜</x:v>
      </x:c>
      <x:c r="C203" s="24" t="str">
        <x:v>154모5759</x:v>
      </x:c>
      <x:c r="D203" s="30" t="n">
        <x:v>45826</x:v>
      </x:c>
      <x:c r="E203" s="24" t="str">
        <x:v>계약시작</x:v>
      </x:c>
      <x:c r="F203" s="24" t="str"/>
      <x:c r="G203" s="24" t="str">
        <x:v>대여중</x:v>
      </x:c>
      <x:c r="H203" s="32" t="n">
        <x:v>880000</x:v>
      </x:c>
      <x:c r="I203" s="24" t="str">
        <x:v>SW-C-154모5759-2-20250618-63</x:v>
      </x:c>
      <x:c r="J203" s="24" t="str">
        <x:v>임지수</x:v>
      </x:c>
      <x:c r="K203" s="24" t="str">
        <x:v>구독대여 계약 시작</x:v>
      </x:c>
      <x:c r="L203" s="24" t="str"/>
      <x:c r="M203" s="24" t="str">
        <x:v>하허호</x:v>
      </x:c>
      <x:c r="N203" s="30" t="n">
        <x:v>45826</x:v>
      </x:c>
    </x:row>
    <x:row r="204" ht="17.25" customHeight="1">
      <x:c r="A204" s="24" t="str">
        <x:v>E-00203</x:v>
      </x:c>
      <x:c r="B204" s="24" t="str">
        <x:v>스위치플랜</x:v>
      </x:c>
      <x:c r="C204" s="24" t="str">
        <x:v>154모5759</x:v>
      </x:c>
      <x:c r="D204" s="30" t="n">
        <x:v>45876</x:v>
      </x:c>
      <x:c r="E204" s="24" t="str">
        <x:v>반납</x:v>
      </x:c>
      <x:c r="F204" s="24" t="str">
        <x:v>대여중</x:v>
      </x:c>
      <x:c r="G204" s="24" t="str">
        <x:v>쉬는차</x:v>
      </x:c>
      <x:c r="H204" s="32"/>
      <x:c r="I204" s="24" t="str">
        <x:v>SW-C-154모5759-2-20250618-63</x:v>
      </x:c>
      <x:c r="J204" s="24" t="str">
        <x:v>임지수</x:v>
      </x:c>
      <x:c r="K204" s="24" t="str">
        <x:v>차량 반납</x:v>
      </x:c>
      <x:c r="L204" s="24" t="str"/>
      <x:c r="M204" s="24" t="str">
        <x:v>하허호</x:v>
      </x:c>
      <x:c r="N204" s="30" t="n">
        <x:v>45876</x:v>
      </x:c>
    </x:row>
    <x:row r="205" ht="17.25" customHeight="1">
      <x:c r="A205" s="24" t="str">
        <x:v>E-00204</x:v>
      </x:c>
      <x:c r="B205" s="24" t="str">
        <x:v>스위치플랜</x:v>
      </x:c>
      <x:c r="C205" s="24" t="str">
        <x:v>154모5759</x:v>
      </x:c>
      <x:c r="D205" s="30" t="n">
        <x:v>45744</x:v>
      </x:c>
      <x:c r="E205" s="24" t="str">
        <x:v>계약시작</x:v>
      </x:c>
      <x:c r="F205" s="24" t="str"/>
      <x:c r="G205" s="24" t="str">
        <x:v>대여중</x:v>
      </x:c>
      <x:c r="H205" s="32" t="n">
        <x:v>950000</x:v>
      </x:c>
      <x:c r="I205" s="24" t="str">
        <x:v>SW-C-154모5759-3-20250328-63</x:v>
      </x:c>
      <x:c r="J205" s="24" t="str">
        <x:v>김종현</x:v>
      </x:c>
      <x:c r="K205" s="24" t="str">
        <x:v>구독대여 계약 시작</x:v>
      </x:c>
      <x:c r="L205" s="24" t="str"/>
      <x:c r="M205" s="24" t="str">
        <x:v>하허호</x:v>
      </x:c>
      <x:c r="N205" s="30" t="n">
        <x:v>45744</x:v>
      </x:c>
    </x:row>
    <x:row r="206" ht="17.25" customHeight="1">
      <x:c r="A206" s="24" t="str">
        <x:v>E-00205</x:v>
      </x:c>
      <x:c r="B206" s="24" t="str">
        <x:v>스위치플랜</x:v>
      </x:c>
      <x:c r="C206" s="24" t="str">
        <x:v>154모5759</x:v>
      </x:c>
      <x:c r="D206" s="30" t="n">
        <x:v>45751</x:v>
      </x:c>
      <x:c r="E206" s="24" t="str">
        <x:v>반납</x:v>
      </x:c>
      <x:c r="F206" s="24" t="str">
        <x:v>대여중</x:v>
      </x:c>
      <x:c r="G206" s="24" t="str">
        <x:v>쉬는차</x:v>
      </x:c>
      <x:c r="H206" s="32"/>
      <x:c r="I206" s="24" t="str">
        <x:v>SW-C-154모5759-3-20250328-63</x:v>
      </x:c>
      <x:c r="J206" s="24" t="str">
        <x:v>김종현</x:v>
      </x:c>
      <x:c r="K206" s="24" t="str">
        <x:v>차량 반납</x:v>
      </x:c>
      <x:c r="L206" s="24" t="str"/>
      <x:c r="M206" s="24" t="str">
        <x:v>하허호</x:v>
      </x:c>
      <x:c r="N206" s="30" t="n">
        <x:v>45751</x:v>
      </x:c>
    </x:row>
    <x:row r="207" ht="17.25" customHeight="1">
      <x:c r="A207" s="24" t="str">
        <x:v>E-00206</x:v>
      </x:c>
      <x:c r="B207" s="24" t="str">
        <x:v>스위치플랜</x:v>
      </x:c>
      <x:c r="C207" s="24" t="str">
        <x:v>154모5759</x:v>
      </x:c>
      <x:c r="D207" s="30" t="n">
        <x:v>45250</x:v>
      </x:c>
      <x:c r="E207" s="24" t="str">
        <x:v>계약시작</x:v>
      </x:c>
      <x:c r="F207" s="24" t="str"/>
      <x:c r="G207" s="24" t="str">
        <x:v>대여중</x:v>
      </x:c>
      <x:c r="H207" s="32" t="n">
        <x:v>930000</x:v>
      </x:c>
      <x:c r="I207" s="24" t="str">
        <x:v>SW-C-154모5759-4-20231120-63</x:v>
      </x:c>
      <x:c r="J207" s="24" t="str">
        <x:v>구재언</x:v>
      </x:c>
      <x:c r="K207" s="24" t="str">
        <x:v>구독대여 계약 시작</x:v>
      </x:c>
      <x:c r="L207" s="24" t="str"/>
      <x:c r="M207" s="24" t="str">
        <x:v>하허호</x:v>
      </x:c>
      <x:c r="N207" s="30" t="n">
        <x:v>45250</x:v>
      </x:c>
    </x:row>
    <x:row r="208" ht="17.25" customHeight="1">
      <x:c r="A208" s="24" t="str">
        <x:v>E-00207</x:v>
      </x:c>
      <x:c r="B208" s="24" t="str">
        <x:v>스위치플랜</x:v>
      </x:c>
      <x:c r="C208" s="24" t="str">
        <x:v>154모5759</x:v>
      </x:c>
      <x:c r="D208" s="30" t="n">
        <x:v>45726</x:v>
      </x:c>
      <x:c r="E208" s="24" t="str">
        <x:v>반납</x:v>
      </x:c>
      <x:c r="F208" s="24" t="str">
        <x:v>대여중</x:v>
      </x:c>
      <x:c r="G208" s="24" t="str">
        <x:v>쉬는차</x:v>
      </x:c>
      <x:c r="H208" s="32"/>
      <x:c r="I208" s="24" t="str">
        <x:v>SW-C-154모5759-4-20231120-63</x:v>
      </x:c>
      <x:c r="J208" s="24" t="str">
        <x:v>구재언</x:v>
      </x:c>
      <x:c r="K208" s="24" t="str">
        <x:v>차량 반납</x:v>
      </x:c>
      <x:c r="L208" s="24" t="str"/>
      <x:c r="M208" s="24" t="str">
        <x:v>하허호</x:v>
      </x:c>
      <x:c r="N208" s="30" t="n">
        <x:v>45726</x:v>
      </x:c>
    </x:row>
    <x:row r="209" ht="17.25" customHeight="1">
      <x:c r="A209" s="24" t="str">
        <x:v>E-00208</x:v>
      </x:c>
      <x:c r="B209" s="24" t="str">
        <x:v>스위치플랜</x:v>
      </x:c>
      <x:c r="C209" s="24" t="str">
        <x:v>135수5711</x:v>
      </x:c>
      <x:c r="D209" s="30" t="n">
        <x:v>46043</x:v>
      </x:c>
      <x:c r="E209" s="24" t="str">
        <x:v>계약시작</x:v>
      </x:c>
      <x:c r="F209" s="24" t="str"/>
      <x:c r="G209" s="24" t="str">
        <x:v>대여중</x:v>
      </x:c>
      <x:c r="H209" s="32" t="n">
        <x:v>1090000</x:v>
      </x:c>
      <x:c r="I209" s="24" t="str">
        <x:v>SW-C-135수5711-2-20260121-64</x:v>
      </x:c>
      <x:c r="J209" s="24" t="str">
        <x:v>정도하</x:v>
      </x:c>
      <x:c r="K209" s="24" t="str">
        <x:v>구독대여 계약 시작</x:v>
      </x:c>
      <x:c r="L209" s="24" t="str"/>
      <x:c r="M209" s="24" t="str">
        <x:v>하허호</x:v>
      </x:c>
      <x:c r="N209" s="30" t="n">
        <x:v>46043</x:v>
      </x:c>
    </x:row>
    <x:row r="210" ht="17.25" customHeight="1">
      <x:c r="A210" s="24" t="str">
        <x:v>E-00209</x:v>
      </x:c>
      <x:c r="B210" s="24" t="str">
        <x:v>스위치플랜</x:v>
      </x:c>
      <x:c r="C210" s="24" t="str">
        <x:v>135수5711</x:v>
      </x:c>
      <x:c r="D210" s="30" t="n">
        <x:v>46177</x:v>
      </x:c>
      <x:c r="E210" s="24" t="str">
        <x:v>반납</x:v>
      </x:c>
      <x:c r="F210" s="24" t="str">
        <x:v>대여중</x:v>
      </x:c>
      <x:c r="G210" s="24" t="str">
        <x:v>쉬는차</x:v>
      </x:c>
      <x:c r="H210" s="32"/>
      <x:c r="I210" s="24" t="str">
        <x:v>SW-C-135수5711-2-20260121-64</x:v>
      </x:c>
      <x:c r="J210" s="24" t="str">
        <x:v>정도하</x:v>
      </x:c>
      <x:c r="K210" s="24" t="str">
        <x:v>차량 반납</x:v>
      </x:c>
      <x:c r="L210" s="24" t="str"/>
      <x:c r="M210" s="24" t="str">
        <x:v>하허호</x:v>
      </x:c>
      <x:c r="N210" s="30" t="n">
        <x:v>46177</x:v>
      </x:c>
    </x:row>
    <x:row r="211" ht="17.25" customHeight="1">
      <x:c r="A211" s="24" t="str">
        <x:v>E-00210</x:v>
      </x:c>
      <x:c r="B211" s="24" t="str">
        <x:v>스위치플랜</x:v>
      </x:c>
      <x:c r="C211" s="24" t="str">
        <x:v>135수5711</x:v>
      </x:c>
      <x:c r="D211" s="30" t="n">
        <x:v>45982</x:v>
      </x:c>
      <x:c r="E211" s="24" t="str">
        <x:v>계약시작</x:v>
      </x:c>
      <x:c r="F211" s="24" t="str"/>
      <x:c r="G211" s="24" t="str">
        <x:v>대여중</x:v>
      </x:c>
      <x:c r="H211" s="32" t="n">
        <x:v>990000</x:v>
      </x:c>
      <x:c r="I211" s="24" t="str">
        <x:v>SW-C-135수5711-3-20251121-64</x:v>
      </x:c>
      <x:c r="J211" s="24" t="str">
        <x:v>원명재</x:v>
      </x:c>
      <x:c r="K211" s="24" t="str">
        <x:v>구독대여 계약 시작</x:v>
      </x:c>
      <x:c r="L211" s="24" t="str"/>
      <x:c r="M211" s="24" t="str">
        <x:v>하허호</x:v>
      </x:c>
      <x:c r="N211" s="30" t="n">
        <x:v>45982</x:v>
      </x:c>
    </x:row>
    <x:row r="212" ht="17.25" customHeight="1">
      <x:c r="A212" s="24" t="str">
        <x:v>E-00211</x:v>
      </x:c>
      <x:c r="B212" s="24" t="str">
        <x:v>스위치플랜</x:v>
      </x:c>
      <x:c r="C212" s="24" t="str">
        <x:v>135수5711</x:v>
      </x:c>
      <x:c r="D212" s="30" t="n">
        <x:v>46037</x:v>
      </x:c>
      <x:c r="E212" s="24" t="str">
        <x:v>반납</x:v>
      </x:c>
      <x:c r="F212" s="24" t="str">
        <x:v>대여중</x:v>
      </x:c>
      <x:c r="G212" s="24" t="str">
        <x:v>쉬는차</x:v>
      </x:c>
      <x:c r="H212" s="32"/>
      <x:c r="I212" s="24" t="str">
        <x:v>SW-C-135수5711-3-20251121-64</x:v>
      </x:c>
      <x:c r="J212" s="24" t="str">
        <x:v>원명재</x:v>
      </x:c>
      <x:c r="K212" s="24" t="str">
        <x:v>차량 반납</x:v>
      </x:c>
      <x:c r="L212" s="24" t="str"/>
      <x:c r="M212" s="24" t="str">
        <x:v>하허호</x:v>
      </x:c>
      <x:c r="N212" s="30" t="n">
        <x:v>46037</x:v>
      </x:c>
    </x:row>
    <x:row r="213" ht="17.25" customHeight="1">
      <x:c r="A213" s="24" t="str">
        <x:v>E-00212</x:v>
      </x:c>
      <x:c r="B213" s="24" t="str">
        <x:v>스위치플랜</x:v>
      </x:c>
      <x:c r="C213" s="24" t="str">
        <x:v>135수5711</x:v>
      </x:c>
      <x:c r="D213" s="30" t="n">
        <x:v>45870</x:v>
      </x:c>
      <x:c r="E213" s="24" t="str">
        <x:v>계약시작</x:v>
      </x:c>
      <x:c r="F213" s="24" t="str"/>
      <x:c r="G213" s="24" t="str">
        <x:v>대여중</x:v>
      </x:c>
      <x:c r="H213" s="32" t="n">
        <x:v>980000</x:v>
      </x:c>
      <x:c r="I213" s="24" t="str">
        <x:v>SW-C-135수5711-4-20250801-64</x:v>
      </x:c>
      <x:c r="J213" s="24" t="str">
        <x:v>권태훈</x:v>
      </x:c>
      <x:c r="K213" s="24" t="str">
        <x:v>구독대여 계약 시작</x:v>
      </x:c>
      <x:c r="L213" s="24" t="str"/>
      <x:c r="M213" s="24" t="str"/>
      <x:c r="N213" s="30" t="n">
        <x:v>45870</x:v>
      </x:c>
    </x:row>
    <x:row r="214" ht="17.25" customHeight="1">
      <x:c r="A214" s="24" t="str">
        <x:v>E-00213</x:v>
      </x:c>
      <x:c r="B214" s="24" t="str">
        <x:v>스위치플랜</x:v>
      </x:c>
      <x:c r="C214" s="24" t="str">
        <x:v>135수5711</x:v>
      </x:c>
      <x:c r="D214" s="30" t="n">
        <x:v>45898</x:v>
      </x:c>
      <x:c r="E214" s="24" t="str">
        <x:v>반납</x:v>
      </x:c>
      <x:c r="F214" s="24" t="str">
        <x:v>대여중</x:v>
      </x:c>
      <x:c r="G214" s="24" t="str">
        <x:v>쉬는차</x:v>
      </x:c>
      <x:c r="H214" s="32"/>
      <x:c r="I214" s="24" t="str">
        <x:v>SW-C-135수5711-4-20250801-64</x:v>
      </x:c>
      <x:c r="J214" s="24" t="str">
        <x:v>권태훈</x:v>
      </x:c>
      <x:c r="K214" s="24" t="str">
        <x:v>차량 반납</x:v>
      </x:c>
      <x:c r="L214" s="24" t="str"/>
      <x:c r="M214" s="24" t="str"/>
      <x:c r="N214" s="30" t="n">
        <x:v>45898</x:v>
      </x:c>
    </x:row>
    <x:row r="215" ht="17.25" customHeight="1">
      <x:c r="A215" s="24" t="str">
        <x:v>E-00214</x:v>
      </x:c>
      <x:c r="B215" s="24" t="str">
        <x:v>스위치플랜</x:v>
      </x:c>
      <x:c r="C215" s="24" t="str">
        <x:v>135수5711</x:v>
      </x:c>
      <x:c r="D215" s="30" t="n">
        <x:v>47287</x:v>
      </x:c>
      <x:c r="E215" s="24" t="str">
        <x:v>계약시작</x:v>
      </x:c>
      <x:c r="F215" s="24" t="str"/>
      <x:c r="G215" s="24" t="str">
        <x:v>대여중</x:v>
      </x:c>
      <x:c r="H215" s="32" t="n">
        <x:v>45827</x:v>
      </x:c>
      <x:c r="I215" s="24" t="str">
        <x:v>SW-C-135수5711-5-20290618-64</x:v>
      </x:c>
      <x:c r="J215" s="24" t="str">
        <x:v>안준범</x:v>
      </x:c>
      <x:c r="K215" s="24" t="str">
        <x:v>구독대여 계약 시작</x:v>
      </x:c>
      <x:c r="L215" s="24" t="str"/>
      <x:c r="M215" s="24" t="str">
        <x:v>하허호</x:v>
      </x:c>
      <x:c r="N215" s="30" t="n">
        <x:v>47287</x:v>
      </x:c>
    </x:row>
    <x:row r="216" ht="17.25" customHeight="1">
      <x:c r="A216" s="24" t="str">
        <x:v>E-00215</x:v>
      </x:c>
      <x:c r="B216" s="24" t="str">
        <x:v>스위치플랜</x:v>
      </x:c>
      <x:c r="C216" s="24" t="str">
        <x:v>135수5711</x:v>
      </x:c>
      <x:c r="D216" s="30"/>
      <x:c r="E216" s="24" t="str">
        <x:v>반납</x:v>
      </x:c>
      <x:c r="F216" s="24" t="str">
        <x:v>대여중</x:v>
      </x:c>
      <x:c r="G216" s="24" t="str">
        <x:v>쉬는차</x:v>
      </x:c>
      <x:c r="H216" s="32"/>
      <x:c r="I216" s="24" t="str">
        <x:v>SW-C-135수5711-5-20290618-64</x:v>
      </x:c>
      <x:c r="J216" s="24" t="str">
        <x:v>안준범</x:v>
      </x:c>
      <x:c r="K216" s="24" t="str">
        <x:v>차량 반납</x:v>
      </x:c>
      <x:c r="L216" s="24" t="str"/>
      <x:c r="M216" s="24" t="str">
        <x:v>하허호</x:v>
      </x:c>
      <x:c r="N216" s="30"/>
    </x:row>
    <x:row r="217" ht="17.25" customHeight="1">
      <x:c r="A217" s="24" t="str">
        <x:v>E-00216</x:v>
      </x:c>
      <x:c r="B217" s="24" t="str">
        <x:v>스위치플랜</x:v>
      </x:c>
      <x:c r="C217" s="24" t="str">
        <x:v>135수5711</x:v>
      </x:c>
      <x:c r="D217" s="30" t="n">
        <x:v>46221</x:v>
      </x:c>
      <x:c r="E217" s="24" t="str">
        <x:v>계약시작</x:v>
      </x:c>
      <x:c r="F217" s="24" t="str"/>
      <x:c r="G217" s="24" t="str">
        <x:v>대여중</x:v>
      </x:c>
      <x:c r="H217" s="32" t="n">
        <x:v>45492</x:v>
      </x:c>
      <x:c r="I217" s="24" t="str">
        <x:v>SW-C-135수5711-6-20260718-64</x:v>
      </x:c>
      <x:c r="J217" s="24" t="str">
        <x:v>임동진</x:v>
      </x:c>
      <x:c r="K217" s="24" t="str">
        <x:v>구독대여 계약 시작</x:v>
      </x:c>
      <x:c r="L217" s="24" t="str"/>
      <x:c r="M217" s="24" t="str">
        <x:v>하허호</x:v>
      </x:c>
      <x:c r="N217" s="30" t="n">
        <x:v>46221</x:v>
      </x:c>
    </x:row>
    <x:row r="218" ht="17.25" customHeight="1">
      <x:c r="A218" s="24" t="str">
        <x:v>E-00217</x:v>
      </x:c>
      <x:c r="B218" s="24" t="str">
        <x:v>스위치플랜</x:v>
      </x:c>
      <x:c r="C218" s="24" t="str">
        <x:v>135수5711</x:v>
      </x:c>
      <x:c r="D218" s="30"/>
      <x:c r="E218" s="24" t="str">
        <x:v>반납</x:v>
      </x:c>
      <x:c r="F218" s="24" t="str">
        <x:v>대여중</x:v>
      </x:c>
      <x:c r="G218" s="24" t="str">
        <x:v>쉬는차</x:v>
      </x:c>
      <x:c r="H218" s="32"/>
      <x:c r="I218" s="24" t="str">
        <x:v>SW-C-135수5711-6-20260718-64</x:v>
      </x:c>
      <x:c r="J218" s="24" t="str">
        <x:v>임동진</x:v>
      </x:c>
      <x:c r="K218" s="24" t="str">
        <x:v>차량 반납</x:v>
      </x:c>
      <x:c r="L218" s="24" t="str"/>
      <x:c r="M218" s="24" t="str">
        <x:v>하허호</x:v>
      </x:c>
      <x:c r="N218" s="30"/>
    </x:row>
    <x:row r="219" ht="17.25" customHeight="1">
      <x:c r="A219" s="24" t="str">
        <x:v>E-00218</x:v>
      </x:c>
      <x:c r="B219" s="24" t="str">
        <x:v>스위치플랜</x:v>
      </x:c>
      <x:c r="C219" s="24" t="str">
        <x:v>135수5711</x:v>
      </x:c>
      <x:c r="D219" s="30" t="n">
        <x:v>45660</x:v>
      </x:c>
      <x:c r="E219" s="24" t="str">
        <x:v>계약시작</x:v>
      </x:c>
      <x:c r="F219" s="24" t="str"/>
      <x:c r="G219" s="24" t="str">
        <x:v>대여중</x:v>
      </x:c>
      <x:c r="H219" s="32" t="n">
        <x:v>45295</x:v>
      </x:c>
      <x:c r="I219" s="24" t="str">
        <x:v>SW-C-135수5711-7-20250103-64</x:v>
      </x:c>
      <x:c r="J219" s="24" t="str">
        <x:v>박청호</x:v>
      </x:c>
      <x:c r="K219" s="24" t="str">
        <x:v>구독대여 계약 시작</x:v>
      </x:c>
      <x:c r="L219" s="24" t="str"/>
      <x:c r="M219" s="24" t="str">
        <x:v>하허호</x:v>
      </x:c>
      <x:c r="N219" s="30" t="n">
        <x:v>45660</x:v>
      </x:c>
    </x:row>
    <x:row r="220" ht="17.25" customHeight="1">
      <x:c r="A220" s="24" t="str">
        <x:v>E-00219</x:v>
      </x:c>
      <x:c r="B220" s="24" t="str">
        <x:v>스위치플랜</x:v>
      </x:c>
      <x:c r="C220" s="24" t="str">
        <x:v>135수5711</x:v>
      </x:c>
      <x:c r="D220" s="30"/>
      <x:c r="E220" s="24" t="str">
        <x:v>반납</x:v>
      </x:c>
      <x:c r="F220" s="24" t="str">
        <x:v>대여중</x:v>
      </x:c>
      <x:c r="G220" s="24" t="str">
        <x:v>쉬는차</x:v>
      </x:c>
      <x:c r="H220" s="32"/>
      <x:c r="I220" s="24" t="str">
        <x:v>SW-C-135수5711-7-20250103-64</x:v>
      </x:c>
      <x:c r="J220" s="24" t="str">
        <x:v>박청호</x:v>
      </x:c>
      <x:c r="K220" s="24" t="str">
        <x:v>차량 반납</x:v>
      </x:c>
      <x:c r="L220" s="24" t="str"/>
      <x:c r="M220" s="24" t="str">
        <x:v>하허호</x:v>
      </x:c>
      <x:c r="N220" s="30"/>
    </x:row>
    <x:row r="221" ht="17.25" customHeight="1">
      <x:c r="A221" s="24" t="str">
        <x:v>E-00220</x:v>
      </x:c>
      <x:c r="B221" s="24" t="str">
        <x:v>스위치플랜</x:v>
      </x:c>
      <x:c r="C221" s="24" t="str">
        <x:v>94주0700</x:v>
      </x:c>
      <x:c r="D221" s="30" t="n">
        <x:v>45279</x:v>
      </x:c>
      <x:c r="E221" s="24" t="str">
        <x:v>계약시작</x:v>
      </x:c>
      <x:c r="F221" s="24" t="str"/>
      <x:c r="G221" s="24" t="str">
        <x:v>대여중</x:v>
      </x:c>
      <x:c r="H221" s="32" t="n">
        <x:v>610000</x:v>
      </x:c>
      <x:c r="I221" s="24" t="str">
        <x:v>SW-C-94주0700-1-20231219-65</x:v>
      </x:c>
      <x:c r="J221" s="24" t="str">
        <x:v>신태민</x:v>
      </x:c>
      <x:c r="K221" s="24" t="str">
        <x:v>구독대여 계약 시작</x:v>
      </x:c>
      <x:c r="L221" s="24" t="str"/>
      <x:c r="M221" s="24" t="str">
        <x:v>하허호</x:v>
      </x:c>
      <x:c r="N221" s="30" t="n">
        <x:v>45279</x:v>
      </x:c>
    </x:row>
    <x:row r="222" ht="17.25" customHeight="1">
      <x:c r="A222" s="24" t="str">
        <x:v>E-00221</x:v>
      </x:c>
      <x:c r="B222" s="24" t="str">
        <x:v>스위치플랜</x:v>
      </x:c>
      <x:c r="C222" s="24" t="str">
        <x:v>236로9998</x:v>
      </x:c>
      <x:c r="D222" s="30" t="n">
        <x:v>46164</x:v>
      </x:c>
      <x:c r="E222" s="24" t="str">
        <x:v>계약시작</x:v>
      </x:c>
      <x:c r="F222" s="24" t="str"/>
      <x:c r="G222" s="24" t="str">
        <x:v>대여중</x:v>
      </x:c>
      <x:c r="H222" s="32" t="n">
        <x:v>1200000</x:v>
      </x:c>
      <x:c r="I222" s="24" t="str">
        <x:v>SW-C-236로9998-1-20260522-66</x:v>
      </x:c>
      <x:c r="J222" s="24" t="str">
        <x:v>유승</x:v>
      </x:c>
      <x:c r="K222" s="24" t="str">
        <x:v>구독대여 계약 시작</x:v>
      </x:c>
      <x:c r="L222" s="24" t="str"/>
      <x:c r="M222" s="24" t="str">
        <x:v>하허호</x:v>
      </x:c>
      <x:c r="N222" s="30" t="n">
        <x:v>46164</x:v>
      </x:c>
    </x:row>
    <x:row r="223" ht="17.25" customHeight="1">
      <x:c r="A223" s="24" t="str">
        <x:v>E-00222</x:v>
      </x:c>
      <x:c r="B223" s="24" t="str">
        <x:v>스위치플랜</x:v>
      </x:c>
      <x:c r="C223" s="24" t="str">
        <x:v>236로9998</x:v>
      </x:c>
      <x:c r="D223" s="30" t="n">
        <x:v>45752</x:v>
      </x:c>
      <x:c r="E223" s="24" t="str">
        <x:v>계약시작</x:v>
      </x:c>
      <x:c r="F223" s="24" t="str"/>
      <x:c r="G223" s="24" t="str">
        <x:v>대여중</x:v>
      </x:c>
      <x:c r="H223" s="32" t="n">
        <x:v>1550000</x:v>
      </x:c>
      <x:c r="I223" s="24" t="str">
        <x:v>SW-C-236로9998-2-20250405-66</x:v>
      </x:c>
      <x:c r="J223" s="24" t="str">
        <x:v>조경원</x:v>
      </x:c>
      <x:c r="K223" s="24" t="str">
        <x:v>구독대여 계약 시작</x:v>
      </x:c>
      <x:c r="L223" s="24" t="str"/>
      <x:c r="M223" s="24" t="str">
        <x:v>하허호</x:v>
      </x:c>
      <x:c r="N223" s="30" t="n">
        <x:v>45752</x:v>
      </x:c>
    </x:row>
    <x:row r="224" ht="17.25" customHeight="1">
      <x:c r="A224" s="24" t="str">
        <x:v>E-00223</x:v>
      </x:c>
      <x:c r="B224" s="24" t="str">
        <x:v>스위치플랜</x:v>
      </x:c>
      <x:c r="C224" s="24" t="str">
        <x:v>236로9998</x:v>
      </x:c>
      <x:c r="D224" s="30" t="n">
        <x:v>45919</x:v>
      </x:c>
      <x:c r="E224" s="24" t="str">
        <x:v>반납</x:v>
      </x:c>
      <x:c r="F224" s="24" t="str">
        <x:v>대여중</x:v>
      </x:c>
      <x:c r="G224" s="24" t="str">
        <x:v>쉬는차</x:v>
      </x:c>
      <x:c r="H224" s="32"/>
      <x:c r="I224" s="24" t="str">
        <x:v>SW-C-236로9998-2-20250405-66</x:v>
      </x:c>
      <x:c r="J224" s="24" t="str">
        <x:v>조경원</x:v>
      </x:c>
      <x:c r="K224" s="24" t="str">
        <x:v>차량 반납</x:v>
      </x:c>
      <x:c r="L224" s="24" t="str"/>
      <x:c r="M224" s="24" t="str">
        <x:v>하허호</x:v>
      </x:c>
      <x:c r="N224" s="30" t="n">
        <x:v>45919</x:v>
      </x:c>
    </x:row>
    <x:row r="225" ht="17.25" customHeight="1">
      <x:c r="A225" s="24" t="str">
        <x:v>E-00224</x:v>
      </x:c>
      <x:c r="B225" s="24" t="str">
        <x:v>스위치플랜</x:v>
      </x:c>
      <x:c r="C225" s="24" t="str">
        <x:v>236로9998</x:v>
      </x:c>
      <x:c r="D225" s="30" t="n">
        <x:v>45372</x:v>
      </x:c>
      <x:c r="E225" s="24" t="str">
        <x:v>계약시작</x:v>
      </x:c>
      <x:c r="F225" s="24" t="str"/>
      <x:c r="G225" s="24" t="str">
        <x:v>대여중</x:v>
      </x:c>
      <x:c r="H225" s="32" t="n">
        <x:v>1600000</x:v>
      </x:c>
      <x:c r="I225" s="24" t="str">
        <x:v>SW-C-236로9998-3-20240321-66</x:v>
      </x:c>
      <x:c r="J225" s="24" t="str">
        <x:v>박광희</x:v>
      </x:c>
      <x:c r="K225" s="24" t="str">
        <x:v>/-+ 계약 시작</x:v>
      </x:c>
      <x:c r="L225" s="24" t="str"/>
      <x:c r="M225" s="24" t="str">
        <x:v>카랜(주)</x:v>
      </x:c>
      <x:c r="N225" s="30" t="n">
        <x:v>45372</x:v>
      </x:c>
    </x:row>
    <x:row r="226" ht="17.25" customHeight="1">
      <x:c r="A226" s="24" t="str">
        <x:v>E-00225</x:v>
      </x:c>
      <x:c r="B226" s="24" t="str">
        <x:v>스위치플랜</x:v>
      </x:c>
      <x:c r="C226" s="24" t="str">
        <x:v>236로9998</x:v>
      </x:c>
      <x:c r="D226" s="30" t="n">
        <x:v>45726</x:v>
      </x:c>
      <x:c r="E226" s="24" t="str">
        <x:v>반납</x:v>
      </x:c>
      <x:c r="F226" s="24" t="str">
        <x:v>대여중</x:v>
      </x:c>
      <x:c r="G226" s="24" t="str">
        <x:v>쉬는차</x:v>
      </x:c>
      <x:c r="H226" s="32"/>
      <x:c r="I226" s="24" t="str">
        <x:v>SW-C-236로9998-3-20240321-66</x:v>
      </x:c>
      <x:c r="J226" s="24" t="str">
        <x:v>박광희</x:v>
      </x:c>
      <x:c r="K226" s="24" t="str">
        <x:v>차량 반납</x:v>
      </x:c>
      <x:c r="L226" s="24" t="str"/>
      <x:c r="M226" s="24" t="str">
        <x:v>카랜(주)</x:v>
      </x:c>
      <x:c r="N226" s="30" t="n">
        <x:v>45726</x:v>
      </x:c>
    </x:row>
    <x:row r="227" ht="17.25" customHeight="1">
      <x:c r="A227" s="24" t="str">
        <x:v>E-00226</x:v>
      </x:c>
      <x:c r="B227" s="24" t="str">
        <x:v>스위치플랜</x:v>
      </x:c>
      <x:c r="C227" s="24" t="str">
        <x:v>45루6163</x:v>
      </x:c>
      <x:c r="D227" s="30" t="n">
        <x:v>45891</x:v>
      </x:c>
      <x:c r="E227" s="24" t="str">
        <x:v>계약시작</x:v>
      </x:c>
      <x:c r="F227" s="24" t="str"/>
      <x:c r="G227" s="24" t="str">
        <x:v>대여중</x:v>
      </x:c>
      <x:c r="H227" s="32" t="n">
        <x:v>1100000</x:v>
      </x:c>
      <x:c r="I227" s="24" t="str">
        <x:v>SW-C-45루6163-1-20250822-67</x:v>
      </x:c>
      <x:c r="J227" s="24" t="str">
        <x:v>김민수</x:v>
      </x:c>
      <x:c r="K227" s="24" t="str">
        <x:v>구독대여 계약 시작</x:v>
      </x:c>
      <x:c r="L227" s="24" t="str"/>
      <x:c r="M227" s="24" t="str">
        <x:v>하허호</x:v>
      </x:c>
      <x:c r="N227" s="30" t="n">
        <x:v>45891</x:v>
      </x:c>
    </x:row>
    <x:row r="228" ht="17.25" customHeight="1">
      <x:c r="A228" s="24" t="str">
        <x:v>E-00227</x:v>
      </x:c>
      <x:c r="B228" s="24" t="str">
        <x:v>스위치플랜</x:v>
      </x:c>
      <x:c r="C228" s="24" t="str">
        <x:v>45루6163</x:v>
      </x:c>
      <x:c r="D228" s="30" t="n">
        <x:v>45733</x:v>
      </x:c>
      <x:c r="E228" s="24" t="str">
        <x:v>계약시작</x:v>
      </x:c>
      <x:c r="F228" s="24" t="str"/>
      <x:c r="G228" s="24" t="str">
        <x:v>대여중</x:v>
      </x:c>
      <x:c r="H228" s="32" t="n">
        <x:v>1300000</x:v>
      </x:c>
      <x:c r="I228" s="24" t="str">
        <x:v>SW-C-45루6163-2-20250317-67</x:v>
      </x:c>
      <x:c r="J228" s="24" t="str">
        <x:v>이지(EASY)</x:v>
      </x:c>
      <x:c r="K228" s="24" t="str">
        <x:v>구독대여 계약 시작</x:v>
      </x:c>
      <x:c r="L228" s="24" t="str"/>
      <x:c r="M228" s="24" t="str">
        <x:v>하허호</x:v>
      </x:c>
      <x:c r="N228" s="30" t="n">
        <x:v>45733</x:v>
      </x:c>
    </x:row>
    <x:row r="229" ht="17.25" customHeight="1">
      <x:c r="A229" s="24" t="str">
        <x:v>E-00228</x:v>
      </x:c>
      <x:c r="B229" s="24" t="str">
        <x:v>스위치플랜</x:v>
      </x:c>
      <x:c r="C229" s="24" t="str">
        <x:v>45루6163</x:v>
      </x:c>
      <x:c r="D229" s="30" t="n">
        <x:v>45963</x:v>
      </x:c>
      <x:c r="E229" s="24" t="str">
        <x:v>반납</x:v>
      </x:c>
      <x:c r="F229" s="24" t="str">
        <x:v>대여중</x:v>
      </x:c>
      <x:c r="G229" s="24" t="str">
        <x:v>쉬는차</x:v>
      </x:c>
      <x:c r="H229" s="32"/>
      <x:c r="I229" s="24" t="str">
        <x:v>SW-C-45루6163-2-20250317-67</x:v>
      </x:c>
      <x:c r="J229" s="24" t="str">
        <x:v>이지(EASY)</x:v>
      </x:c>
      <x:c r="K229" s="24" t="str">
        <x:v>차량 반납</x:v>
      </x:c>
      <x:c r="L229" s="24" t="str"/>
      <x:c r="M229" s="24" t="str">
        <x:v>하허호</x:v>
      </x:c>
      <x:c r="N229" s="30" t="n">
        <x:v>45963</x:v>
      </x:c>
    </x:row>
    <x:row r="230" ht="17.25" customHeight="1">
      <x:c r="A230" s="24" t="str">
        <x:v>E-00229</x:v>
      </x:c>
      <x:c r="B230" s="24" t="str">
        <x:v>스위치플랜</x:v>
      </x:c>
      <x:c r="C230" s="24" t="str">
        <x:v>45루6163</x:v>
      </x:c>
      <x:c r="D230" s="30" t="n">
        <x:v>45681</x:v>
      </x:c>
      <x:c r="E230" s="24" t="str">
        <x:v>계약시작</x:v>
      </x:c>
      <x:c r="F230" s="24" t="str"/>
      <x:c r="G230" s="24" t="str">
        <x:v>대여중</x:v>
      </x:c>
      <x:c r="H230" s="32" t="n">
        <x:v>1600000</x:v>
      </x:c>
      <x:c r="I230" s="24" t="str">
        <x:v>SW-C-45루6163-3-20250124-67</x:v>
      </x:c>
      <x:c r="J230" s="24" t="str">
        <x:v>이중연</x:v>
      </x:c>
      <x:c r="K230" s="24" t="str">
        <x:v>구독대여 계약 시작</x:v>
      </x:c>
      <x:c r="L230" s="24" t="str"/>
      <x:c r="M230" s="24" t="str"/>
      <x:c r="N230" s="30" t="n">
        <x:v>45681</x:v>
      </x:c>
    </x:row>
    <x:row r="231" ht="17.25" customHeight="1">
      <x:c r="A231" s="24" t="str">
        <x:v>E-00230</x:v>
      </x:c>
      <x:c r="B231" s="24" t="str">
        <x:v>스위치플랜</x:v>
      </x:c>
      <x:c r="C231" s="24" t="str">
        <x:v>45루6163</x:v>
      </x:c>
      <x:c r="D231" s="30" t="n">
        <x:v>45722</x:v>
      </x:c>
      <x:c r="E231" s="24" t="str">
        <x:v>반납</x:v>
      </x:c>
      <x:c r="F231" s="24" t="str">
        <x:v>대여중</x:v>
      </x:c>
      <x:c r="G231" s="24" t="str">
        <x:v>쉬는차</x:v>
      </x:c>
      <x:c r="H231" s="32"/>
      <x:c r="I231" s="24" t="str">
        <x:v>SW-C-45루6163-3-20250124-67</x:v>
      </x:c>
      <x:c r="J231" s="24" t="str">
        <x:v>이중연</x:v>
      </x:c>
      <x:c r="K231" s="24" t="str">
        <x:v>차량 반납</x:v>
      </x:c>
      <x:c r="L231" s="24" t="str"/>
      <x:c r="M231" s="24" t="str"/>
      <x:c r="N231" s="30" t="n">
        <x:v>45722</x:v>
      </x:c>
    </x:row>
    <x:row r="232" ht="17.25" customHeight="1">
      <x:c r="A232" s="24" t="str">
        <x:v>E-00231</x:v>
      </x:c>
      <x:c r="B232" s="24" t="str">
        <x:v>스위치플랜</x:v>
      </x:c>
      <x:c r="C232" s="24" t="str">
        <x:v>143조2022</x:v>
      </x:c>
      <x:c r="D232" s="30" t="n">
        <x:v>46090</x:v>
      </x:c>
      <x:c r="E232" s="24" t="str">
        <x:v>계약시작</x:v>
      </x:c>
      <x:c r="F232" s="24" t="str"/>
      <x:c r="G232" s="24" t="str">
        <x:v>대여중</x:v>
      </x:c>
      <x:c r="H232" s="32" t="n">
        <x:v>520000</x:v>
      </x:c>
      <x:c r="I232" s="24" t="str">
        <x:v>SW-C-143조2022-1-20260309-68</x:v>
      </x:c>
      <x:c r="J232" s="24" t="str">
        <x:v>김현민</x:v>
      </x:c>
      <x:c r="K232" s="24" t="str">
        <x:v>구독대여 계약 시작</x:v>
      </x:c>
      <x:c r="L232" s="24" t="str"/>
      <x:c r="M232" s="24" t="str">
        <x:v>하허호</x:v>
      </x:c>
      <x:c r="N232" s="30" t="n">
        <x:v>46090</x:v>
      </x:c>
    </x:row>
    <x:row r="233" ht="17.25" customHeight="1">
      <x:c r="A233" s="24" t="str">
        <x:v>E-00232</x:v>
      </x:c>
      <x:c r="B233" s="24" t="str">
        <x:v>스위치플랜</x:v>
      </x:c>
      <x:c r="C233" s="24" t="str">
        <x:v>143조2022</x:v>
      </x:c>
      <x:c r="D233" s="30" t="n">
        <x:v>45861</x:v>
      </x:c>
      <x:c r="E233" s="24" t="str">
        <x:v>계약시작</x:v>
      </x:c>
      <x:c r="F233" s="24" t="str"/>
      <x:c r="G233" s="24" t="str">
        <x:v>대여중</x:v>
      </x:c>
      <x:c r="H233" s="32" t="n">
        <x:v>690000</x:v>
      </x:c>
      <x:c r="I233" s="24" t="str">
        <x:v>SW-C-143조2022-2-20250723-68</x:v>
      </x:c>
      <x:c r="J233" s="24" t="str">
        <x:v>남동근</x:v>
      </x:c>
      <x:c r="K233" s="24" t="str">
        <x:v>구독대여 계약 시작</x:v>
      </x:c>
      <x:c r="L233" s="24" t="str"/>
      <x:c r="M233" s="24" t="str"/>
      <x:c r="N233" s="30" t="n">
        <x:v>45861</x:v>
      </x:c>
    </x:row>
    <x:row r="234" ht="17.25" customHeight="1">
      <x:c r="A234" s="24" t="str">
        <x:v>E-00233</x:v>
      </x:c>
      <x:c r="B234" s="24" t="str">
        <x:v>스위치플랜</x:v>
      </x:c>
      <x:c r="C234" s="24" t="str">
        <x:v>143조2022</x:v>
      </x:c>
      <x:c r="D234" s="30" t="n">
        <x:v>45996</x:v>
      </x:c>
      <x:c r="E234" s="24" t="str">
        <x:v>반납</x:v>
      </x:c>
      <x:c r="F234" s="24" t="str">
        <x:v>대여중</x:v>
      </x:c>
      <x:c r="G234" s="24" t="str">
        <x:v>쉬는차</x:v>
      </x:c>
      <x:c r="H234" s="32"/>
      <x:c r="I234" s="24" t="str">
        <x:v>SW-C-143조2022-2-20250723-68</x:v>
      </x:c>
      <x:c r="J234" s="24" t="str">
        <x:v>남동근</x:v>
      </x:c>
      <x:c r="K234" s="24" t="str">
        <x:v>차량 반납</x:v>
      </x:c>
      <x:c r="L234" s="24" t="str"/>
      <x:c r="M234" s="24" t="str"/>
      <x:c r="N234" s="30" t="n">
        <x:v>45996</x:v>
      </x:c>
    </x:row>
    <x:row r="235" ht="17.25" customHeight="1">
      <x:c r="A235" s="24" t="str">
        <x:v>E-00234</x:v>
      </x:c>
      <x:c r="B235" s="24" t="str">
        <x:v>스위치플랜</x:v>
      </x:c>
      <x:c r="C235" s="24" t="str">
        <x:v>174모9645</x:v>
      </x:c>
      <x:c r="D235" s="30" t="n">
        <x:v>45504</x:v>
      </x:c>
      <x:c r="E235" s="24" t="str">
        <x:v>계약시작</x:v>
      </x:c>
      <x:c r="F235" s="24" t="str"/>
      <x:c r="G235" s="24" t="str">
        <x:v>대여중</x:v>
      </x:c>
      <x:c r="H235" s="32" t="n">
        <x:v>900000</x:v>
      </x:c>
      <x:c r="I235" s="24" t="str">
        <x:v>SW-C-174모9645-1-20240731-69</x:v>
      </x:c>
      <x:c r="J235" s="24" t="str">
        <x:v>나모나</x:v>
      </x:c>
      <x:c r="K235" s="24" t="str">
        <x:v>구독대여 계약 시작</x:v>
      </x:c>
      <x:c r="L235" s="24" t="str"/>
      <x:c r="M235" s="24" t="str">
        <x:v>김정남</x:v>
      </x:c>
      <x:c r="N235" s="30" t="n">
        <x:v>45504</x:v>
      </x:c>
    </x:row>
    <x:row r="236" ht="17.25" customHeight="1">
      <x:c r="A236" s="24" t="str">
        <x:v>E-00235</x:v>
      </x:c>
      <x:c r="B236" s="24" t="str">
        <x:v>스위치플랜</x:v>
      </x:c>
      <x:c r="C236" s="24" t="str">
        <x:v>377마3268</x:v>
      </x:c>
      <x:c r="D236" s="30" t="n">
        <x:v>45468</x:v>
      </x:c>
      <x:c r="E236" s="24" t="str">
        <x:v>계약시작</x:v>
      </x:c>
      <x:c r="F236" s="24" t="str"/>
      <x:c r="G236" s="24" t="str">
        <x:v>대여중</x:v>
      </x:c>
      <x:c r="H236" s="32" t="n">
        <x:v>1100000</x:v>
      </x:c>
      <x:c r="I236" s="24" t="str">
        <x:v>SW-C-377마3268-2-20240625-70</x:v>
      </x:c>
      <x:c r="J236" s="24" t="str">
        <x:v>박수익</x:v>
      </x:c>
      <x:c r="K236" s="24" t="str">
        <x:v>구독대여 계약 시작</x:v>
      </x:c>
      <x:c r="L236" s="24" t="str"/>
      <x:c r="M236" s="24" t="str">
        <x:v>황제</x:v>
      </x:c>
      <x:c r="N236" s="30" t="n">
        <x:v>45468</x:v>
      </x:c>
    </x:row>
    <x:row r="237" ht="17.25" customHeight="1">
      <x:c r="A237" s="24" t="str">
        <x:v>E-00236</x:v>
      </x:c>
      <x:c r="B237" s="24" t="str">
        <x:v>스위치플랜</x:v>
      </x:c>
      <x:c r="C237" s="24" t="str">
        <x:v>377마3268</x:v>
      </x:c>
      <x:c r="D237" s="30" t="n">
        <x:v>46227</x:v>
      </x:c>
      <x:c r="E237" s="24" t="str">
        <x:v>반납</x:v>
      </x:c>
      <x:c r="F237" s="24" t="str">
        <x:v>대여중</x:v>
      </x:c>
      <x:c r="G237" s="24" t="str">
        <x:v>쉬는차</x:v>
      </x:c>
      <x:c r="H237" s="32"/>
      <x:c r="I237" s="24" t="str">
        <x:v>SW-C-377마3268-2-20240625-70</x:v>
      </x:c>
      <x:c r="J237" s="24" t="str">
        <x:v>박수익</x:v>
      </x:c>
      <x:c r="K237" s="24" t="str">
        <x:v>차량 반납</x:v>
      </x:c>
      <x:c r="L237" s="24" t="str"/>
      <x:c r="M237" s="24" t="str">
        <x:v>황제</x:v>
      </x:c>
      <x:c r="N237" s="30" t="n">
        <x:v>46227</x:v>
      </x:c>
    </x:row>
    <x:row r="238" ht="17.25" customHeight="1">
      <x:c r="A238" s="24" t="str">
        <x:v>E-00237</x:v>
      </x:c>
      <x:c r="B238" s="24" t="str">
        <x:v>스위치플랜</x:v>
      </x:c>
      <x:c r="C238" s="24" t="str">
        <x:v>104버2190</x:v>
      </x:c>
      <x:c r="D238" s="30" t="n">
        <x:v>45513</x:v>
      </x:c>
      <x:c r="E238" s="24" t="str">
        <x:v>계약시작</x:v>
      </x:c>
      <x:c r="F238" s="24" t="str"/>
      <x:c r="G238" s="24" t="str">
        <x:v>대여중</x:v>
      </x:c>
      <x:c r="H238" s="32" t="n">
        <x:v>1340000</x:v>
      </x:c>
      <x:c r="I238" s="24" t="str">
        <x:v>SW-C-104버2190-1-20240809-71</x:v>
      </x:c>
      <x:c r="J238" s="24" t="str">
        <x:v>박지혜</x:v>
      </x:c>
      <x:c r="K238" s="24" t="str">
        <x:v>구독대여 계약 시작</x:v>
      </x:c>
      <x:c r="L238" s="24" t="str"/>
      <x:c r="M238" s="24" t="str">
        <x:v>하허호</x:v>
      </x:c>
      <x:c r="N238" s="30" t="n">
        <x:v>45513</x:v>
      </x:c>
    </x:row>
    <x:row r="239" ht="17.25" customHeight="1">
      <x:c r="A239" s="24" t="str">
        <x:v>E-00238</x:v>
      </x:c>
      <x:c r="B239" s="24" t="str">
        <x:v>스위치플랜</x:v>
      </x:c>
      <x:c r="C239" s="24" t="str">
        <x:v>155라6323</x:v>
      </x:c>
      <x:c r="D239" s="30" t="n">
        <x:v>45698</x:v>
      </x:c>
      <x:c r="E239" s="24" t="str">
        <x:v>계약시작</x:v>
      </x:c>
      <x:c r="F239" s="24" t="str"/>
      <x:c r="G239" s="24" t="str">
        <x:v>대여중</x:v>
      </x:c>
      <x:c r="H239" s="32" t="n">
        <x:v>1320000</x:v>
      </x:c>
      <x:c r="I239" s="24" t="str">
        <x:v>SW-C-155라6323-1-20250210-72</x:v>
      </x:c>
      <x:c r="J239" s="24" t="str">
        <x:v>장준</x:v>
      </x:c>
      <x:c r="K239" s="24" t="str">
        <x:v>구독대여 계약 시작</x:v>
      </x:c>
      <x:c r="L239" s="24" t="str"/>
      <x:c r="M239" s="24" t="str">
        <x:v>하허호</x:v>
      </x:c>
      <x:c r="N239" s="30" t="n">
        <x:v>45698</x:v>
      </x:c>
    </x:row>
    <x:row r="240" ht="17.25" customHeight="1">
      <x:c r="A240" s="24" t="str">
        <x:v>E-00239</x:v>
      </x:c>
      <x:c r="B240" s="24" t="str">
        <x:v>스위치플랜</x:v>
      </x:c>
      <x:c r="C240" s="24" t="str">
        <x:v>325구9443</x:v>
      </x:c>
      <x:c r="D240" s="30" t="n">
        <x:v>45889</x:v>
      </x:c>
      <x:c r="E240" s="24" t="str">
        <x:v>계약시작</x:v>
      </x:c>
      <x:c r="F240" s="24" t="str"/>
      <x:c r="G240" s="24" t="str">
        <x:v>대여중</x:v>
      </x:c>
      <x:c r="H240" s="32" t="n">
        <x:v>850000</x:v>
      </x:c>
      <x:c r="I240" s="24" t="str">
        <x:v>SW-C-325구9443-1-20250820-73</x:v>
      </x:c>
      <x:c r="J240" s="24" t="str">
        <x:v>최정훈</x:v>
      </x:c>
      <x:c r="K240" s="24" t="str">
        <x:v>구독대여 계약 시작</x:v>
      </x:c>
      <x:c r="L240" s="24" t="str"/>
      <x:c r="M240" s="24" t="str">
        <x:v>하허호</x:v>
      </x:c>
      <x:c r="N240" s="30" t="n">
        <x:v>45889</x:v>
      </x:c>
    </x:row>
    <x:row r="241" ht="17.25" customHeight="1">
      <x:c r="A241" s="24" t="str">
        <x:v>E-00240</x:v>
      </x:c>
      <x:c r="B241" s="24" t="str">
        <x:v>스위치플랜</x:v>
      </x:c>
      <x:c r="C241" s="24" t="str">
        <x:v>325구9443</x:v>
      </x:c>
      <x:c r="D241" s="30" t="n">
        <x:v>45701</x:v>
      </x:c>
      <x:c r="E241" s="24" t="str">
        <x:v>계약시작</x:v>
      </x:c>
      <x:c r="F241" s="24" t="str"/>
      <x:c r="G241" s="24" t="str">
        <x:v>대여중</x:v>
      </x:c>
      <x:c r="H241" s="32" t="n">
        <x:v>770000</x:v>
      </x:c>
      <x:c r="I241" s="24" t="str">
        <x:v>SW-C-325구9443-2-20250213-73</x:v>
      </x:c>
      <x:c r="J241" s="24" t="str">
        <x:v>김근호</x:v>
      </x:c>
      <x:c r="K241" s="24" t="str">
        <x:v>구독대여 계약 시작</x:v>
      </x:c>
      <x:c r="L241" s="24" t="str"/>
      <x:c r="M241" s="24" t="str">
        <x:v>하허호</x:v>
      </x:c>
      <x:c r="N241" s="30" t="n">
        <x:v>45701</x:v>
      </x:c>
    </x:row>
    <x:row r="242" ht="17.25" customHeight="1">
      <x:c r="A242" s="24" t="str">
        <x:v>E-00241</x:v>
      </x:c>
      <x:c r="B242" s="24" t="str">
        <x:v>스위치플랜</x:v>
      </x:c>
      <x:c r="C242" s="24" t="str">
        <x:v>325구9443</x:v>
      </x:c>
      <x:c r="D242" s="30" t="n">
        <x:v>45880</x:v>
      </x:c>
      <x:c r="E242" s="24" t="str">
        <x:v>반납</x:v>
      </x:c>
      <x:c r="F242" s="24" t="str">
        <x:v>대여중</x:v>
      </x:c>
      <x:c r="G242" s="24" t="str">
        <x:v>쉬는차</x:v>
      </x:c>
      <x:c r="H242" s="32"/>
      <x:c r="I242" s="24" t="str">
        <x:v>SW-C-325구9443-2-20250213-73</x:v>
      </x:c>
      <x:c r="J242" s="24" t="str">
        <x:v>김근호</x:v>
      </x:c>
      <x:c r="K242" s="24" t="str">
        <x:v>차량 반납</x:v>
      </x:c>
      <x:c r="L242" s="24" t="str"/>
      <x:c r="M242" s="24" t="str">
        <x:v>하허호</x:v>
      </x:c>
      <x:c r="N242" s="30" t="n">
        <x:v>45880</x:v>
      </x:c>
    </x:row>
    <x:row r="243" ht="17.25" customHeight="1">
      <x:c r="A243" s="24" t="str">
        <x:v>E-00242</x:v>
      </x:c>
      <x:c r="B243" s="24" t="str">
        <x:v>스위치플랜</x:v>
      </x:c>
      <x:c r="C243" s="24" t="str">
        <x:v>325구9443</x:v>
      </x:c>
      <x:c r="D243" s="30" t="n">
        <x:v>45329</x:v>
      </x:c>
      <x:c r="E243" s="24" t="str">
        <x:v>계약시작</x:v>
      </x:c>
      <x:c r="F243" s="24" t="str"/>
      <x:c r="G243" s="24" t="str">
        <x:v>대여중</x:v>
      </x:c>
      <x:c r="H243" s="32" t="n">
        <x:v>1160000</x:v>
      </x:c>
      <x:c r="I243" s="24" t="str">
        <x:v>SW-C-325구9443-3-20240207-73</x:v>
      </x:c>
      <x:c r="J243" s="24" t="str">
        <x:v>강현식</x:v>
      </x:c>
      <x:c r="K243" s="24" t="str">
        <x:v>구독대여 계약 시작</x:v>
      </x:c>
      <x:c r="L243" s="24" t="str"/>
      <x:c r="M243" s="24" t="str">
        <x:v>카랜(주)</x:v>
      </x:c>
      <x:c r="N243" s="30" t="n">
        <x:v>45329</x:v>
      </x:c>
    </x:row>
    <x:row r="244" ht="17.25" customHeight="1">
      <x:c r="A244" s="24" t="str">
        <x:v>E-00243</x:v>
      </x:c>
      <x:c r="B244" s="24" t="str">
        <x:v>스위치플랜</x:v>
      </x:c>
      <x:c r="C244" s="24" t="str">
        <x:v>325구9443</x:v>
      </x:c>
      <x:c r="D244" s="30"/>
      <x:c r="E244" s="24" t="str">
        <x:v>반납</x:v>
      </x:c>
      <x:c r="F244" s="24" t="str">
        <x:v>대여중</x:v>
      </x:c>
      <x:c r="G244" s="24" t="str">
        <x:v>쉬는차</x:v>
      </x:c>
      <x:c r="H244" s="32"/>
      <x:c r="I244" s="24" t="str">
        <x:v>SW-C-325구9443-3-20240207-73</x:v>
      </x:c>
      <x:c r="J244" s="24" t="str">
        <x:v>강현식</x:v>
      </x:c>
      <x:c r="K244" s="24" t="str">
        <x:v>차량 반납</x:v>
      </x:c>
      <x:c r="L244" s="24" t="str"/>
      <x:c r="M244" s="24" t="str">
        <x:v>카랜(주)</x:v>
      </x:c>
      <x:c r="N244" s="30"/>
    </x:row>
    <x:row r="245" ht="17.25" customHeight="1">
      <x:c r="A245" s="24" t="str">
        <x:v>E-00244</x:v>
      </x:c>
      <x:c r="B245" s="24" t="str">
        <x:v>스위치플랜</x:v>
      </x:c>
      <x:c r="C245" s="24" t="str">
        <x:v>268저3547</x:v>
      </x:c>
      <x:c r="D245" s="30" t="n">
        <x:v>45847</x:v>
      </x:c>
      <x:c r="E245" s="24" t="str">
        <x:v>계약시작</x:v>
      </x:c>
      <x:c r="F245" s="24" t="str"/>
      <x:c r="G245" s="24" t="str">
        <x:v>대여중</x:v>
      </x:c>
      <x:c r="H245" s="32" t="n">
        <x:v>1220000</x:v>
      </x:c>
      <x:c r="I245" s="24" t="str">
        <x:v>SW-C-268저3547-1-20250709-74</x:v>
      </x:c>
      <x:c r="J245" s="24" t="str">
        <x:v>제이엠</x:v>
      </x:c>
      <x:c r="K245" s="24" t="str">
        <x:v>구독대여 계약 시작</x:v>
      </x:c>
      <x:c r="L245" s="24" t="str"/>
      <x:c r="M245" s="24" t="str">
        <x:v>하허호</x:v>
      </x:c>
      <x:c r="N245" s="30" t="n">
        <x:v>45847</x:v>
      </x:c>
    </x:row>
    <x:row r="246" ht="17.25" customHeight="1">
      <x:c r="A246" s="24" t="str">
        <x:v>E-00245</x:v>
      </x:c>
      <x:c r="B246" s="24" t="str">
        <x:v>스위치플랜</x:v>
      </x:c>
      <x:c r="C246" s="24" t="str">
        <x:v>268저3547</x:v>
      </x:c>
      <x:c r="D246" s="30" t="n">
        <x:v>45813</x:v>
      </x:c>
      <x:c r="E246" s="24" t="str">
        <x:v>계약시작</x:v>
      </x:c>
      <x:c r="F246" s="24" t="str"/>
      <x:c r="G246" s="24" t="str">
        <x:v>대여중</x:v>
      </x:c>
      <x:c r="H246" s="32" t="n">
        <x:v>1270000</x:v>
      </x:c>
      <x:c r="I246" s="24" t="str">
        <x:v>SW-C-268저3547-2-20250605-74</x:v>
      </x:c>
      <x:c r="J246" s="24" t="str">
        <x:v>김민환</x:v>
      </x:c>
      <x:c r="K246" s="24" t="str">
        <x:v>구독대여 계약 시작</x:v>
      </x:c>
      <x:c r="L246" s="24" t="str"/>
      <x:c r="M246" s="24" t="str">
        <x:v>하하호</x:v>
      </x:c>
      <x:c r="N246" s="30" t="n">
        <x:v>45813</x:v>
      </x:c>
    </x:row>
    <x:row r="247" ht="17.25" customHeight="1">
      <x:c r="A247" s="24" t="str">
        <x:v>E-00246</x:v>
      </x:c>
      <x:c r="B247" s="24" t="str">
        <x:v>스위치플랜</x:v>
      </x:c>
      <x:c r="C247" s="24" t="str">
        <x:v>268저3547</x:v>
      </x:c>
      <x:c r="D247" s="30"/>
      <x:c r="E247" s="24" t="str">
        <x:v>반납</x:v>
      </x:c>
      <x:c r="F247" s="24" t="str">
        <x:v>대여중</x:v>
      </x:c>
      <x:c r="G247" s="24" t="str">
        <x:v>쉬는차</x:v>
      </x:c>
      <x:c r="H247" s="32"/>
      <x:c r="I247" s="24" t="str">
        <x:v>SW-C-268저3547-2-20250605-74</x:v>
      </x:c>
      <x:c r="J247" s="24" t="str">
        <x:v>김민환</x:v>
      </x:c>
      <x:c r="K247" s="24" t="str">
        <x:v>차량 반납</x:v>
      </x:c>
      <x:c r="L247" s="24" t="str"/>
      <x:c r="M247" s="24" t="str">
        <x:v>하하호</x:v>
      </x:c>
      <x:c r="N247" s="30"/>
    </x:row>
    <x:row r="248" ht="17.25" customHeight="1">
      <x:c r="A248" s="24" t="str">
        <x:v>E-00247</x:v>
      </x:c>
      <x:c r="B248" s="24" t="str">
        <x:v>스위치플랜</x:v>
      </x:c>
      <x:c r="C248" s="24" t="str">
        <x:v>268저3547</x:v>
      </x:c>
      <x:c r="D248" s="30" t="n">
        <x:v>45632</x:v>
      </x:c>
      <x:c r="E248" s="24" t="str">
        <x:v>계약시작</x:v>
      </x:c>
      <x:c r="F248" s="24" t="str"/>
      <x:c r="G248" s="24" t="str">
        <x:v>대여중</x:v>
      </x:c>
      <x:c r="H248" s="32" t="n">
        <x:v>1300000</x:v>
      </x:c>
      <x:c r="I248" s="24" t="str">
        <x:v>SW-C-268저3547-3-20241206-74</x:v>
      </x:c>
      <x:c r="J248" s="24" t="str">
        <x:v>이정민</x:v>
      </x:c>
      <x:c r="K248" s="24" t="str">
        <x:v>구독대여 계약 시작</x:v>
      </x:c>
      <x:c r="L248" s="24" t="str"/>
      <x:c r="M248" s="24" t="str">
        <x:v>최사랑</x:v>
      </x:c>
      <x:c r="N248" s="30" t="n">
        <x:v>45632</x:v>
      </x:c>
    </x:row>
    <x:row r="249" ht="17.25" customHeight="1">
      <x:c r="A249" s="24" t="str">
        <x:v>E-00248</x:v>
      </x:c>
      <x:c r="B249" s="24" t="str">
        <x:v>스위치플랜</x:v>
      </x:c>
      <x:c r="C249" s="24" t="str">
        <x:v>268저3547</x:v>
      </x:c>
      <x:c r="D249" s="30" t="n">
        <x:v>45812</x:v>
      </x:c>
      <x:c r="E249" s="24" t="str">
        <x:v>반납</x:v>
      </x:c>
      <x:c r="F249" s="24" t="str">
        <x:v>대여중</x:v>
      </x:c>
      <x:c r="G249" s="24" t="str">
        <x:v>쉬는차</x:v>
      </x:c>
      <x:c r="H249" s="32"/>
      <x:c r="I249" s="24" t="str">
        <x:v>SW-C-268저3547-3-20241206-74</x:v>
      </x:c>
      <x:c r="J249" s="24" t="str">
        <x:v>이정민</x:v>
      </x:c>
      <x:c r="K249" s="24" t="str">
        <x:v>차량 반납</x:v>
      </x:c>
      <x:c r="L249" s="24" t="str"/>
      <x:c r="M249" s="24" t="str">
        <x:v>최사랑</x:v>
      </x:c>
      <x:c r="N249" s="30" t="n">
        <x:v>45812</x:v>
      </x:c>
    </x:row>
    <x:row r="250" ht="17.25" customHeight="1">
      <x:c r="A250" s="24" t="str">
        <x:v>E-00249</x:v>
      </x:c>
      <x:c r="B250" s="24" t="str">
        <x:v>스위치플랜</x:v>
      </x:c>
      <x:c r="C250" s="24" t="str">
        <x:v>336소9711</x:v>
      </x:c>
      <x:c r="D250" s="30" t="n">
        <x:v>45260</x:v>
      </x:c>
      <x:c r="E250" s="24" t="str">
        <x:v>계약시작</x:v>
      </x:c>
      <x:c r="F250" s="24" t="str"/>
      <x:c r="G250" s="24" t="str">
        <x:v>대여중</x:v>
      </x:c>
      <x:c r="H250" s="32" t="n">
        <x:v>1000000</x:v>
      </x:c>
      <x:c r="I250" s="24" t="str">
        <x:v>SW-C-336소9711-1-20231130-75</x:v>
      </x:c>
      <x:c r="J250" s="24" t="str">
        <x:v>문성오</x:v>
      </x:c>
      <x:c r="K250" s="24" t="str">
        <x:v>구독대여 계약 시작</x:v>
      </x:c>
      <x:c r="L250" s="24" t="str"/>
      <x:c r="M250" s="24" t="str">
        <x:v>SI</x:v>
      </x:c>
      <x:c r="N250" s="30" t="n">
        <x:v>45260</x:v>
      </x:c>
    </x:row>
    <x:row r="251" ht="17.25" customHeight="1">
      <x:c r="A251" s="24" t="str">
        <x:v>E-00250</x:v>
      </x:c>
      <x:c r="B251" s="24" t="str">
        <x:v>스위치플랜</x:v>
      </x:c>
      <x:c r="C251" s="24" t="str">
        <x:v>182거8282</x:v>
      </x:c>
      <x:c r="D251" s="30" t="n">
        <x:v>45813</x:v>
      </x:c>
      <x:c r="E251" s="24" t="str">
        <x:v>계약시작</x:v>
      </x:c>
      <x:c r="F251" s="24" t="str"/>
      <x:c r="G251" s="24" t="str">
        <x:v>대여중</x:v>
      </x:c>
      <x:c r="H251" s="32" t="n">
        <x:v>350000</x:v>
      </x:c>
      <x:c r="I251" s="24" t="str">
        <x:v>SW-C-182거8282-1-20250605-76</x:v>
      </x:c>
      <x:c r="J251" s="24" t="str">
        <x:v>지승언</x:v>
      </x:c>
      <x:c r="K251" s="24" t="str">
        <x:v>구독대여 계약 시작</x:v>
      </x:c>
      <x:c r="L251" s="24" t="str"/>
      <x:c r="M251" s="24" t="str">
        <x:v>렌트야</x:v>
      </x:c>
      <x:c r="N251" s="30" t="n">
        <x:v>45813</x:v>
      </x:c>
    </x:row>
    <x:row r="252" ht="17.25" customHeight="1">
      <x:c r="A252" s="24" t="str">
        <x:v>E-00251</x:v>
      </x:c>
      <x:c r="B252" s="24" t="str">
        <x:v>스위치플랜</x:v>
      </x:c>
      <x:c r="C252" s="24" t="str">
        <x:v>182거8282</x:v>
      </x:c>
      <x:c r="D252" s="30" t="n">
        <x:v>45637</x:v>
      </x:c>
      <x:c r="E252" s="24" t="str">
        <x:v>계약시작</x:v>
      </x:c>
      <x:c r="F252" s="24" t="str"/>
      <x:c r="G252" s="24" t="str">
        <x:v>대여중</x:v>
      </x:c>
      <x:c r="H252" s="32" t="n">
        <x:v>440000</x:v>
      </x:c>
      <x:c r="I252" s="24" t="str">
        <x:v>SW-C-182거8282-2-20241211-76</x:v>
      </x:c>
      <x:c r="J252" s="24" t="str">
        <x:v>김학무</x:v>
      </x:c>
      <x:c r="K252" s="24" t="str">
        <x:v>구독대여 계약 시작</x:v>
      </x:c>
      <x:c r="L252" s="24" t="str"/>
      <x:c r="M252" s="24" t="str">
        <x:v>렌트야</x:v>
      </x:c>
      <x:c r="N252" s="30" t="n">
        <x:v>45637</x:v>
      </x:c>
    </x:row>
    <x:row r="253" ht="17.25" customHeight="1">
      <x:c r="A253" s="24" t="str">
        <x:v>E-00252</x:v>
      </x:c>
      <x:c r="B253" s="24" t="str">
        <x:v>스위치플랜</x:v>
      </x:c>
      <x:c r="C253" s="24" t="str">
        <x:v>182거8282</x:v>
      </x:c>
      <x:c r="D253" s="30" t="n">
        <x:v>45798</x:v>
      </x:c>
      <x:c r="E253" s="24" t="str">
        <x:v>반납</x:v>
      </x:c>
      <x:c r="F253" s="24" t="str">
        <x:v>대여중</x:v>
      </x:c>
      <x:c r="G253" s="24" t="str">
        <x:v>쉬는차</x:v>
      </x:c>
      <x:c r="H253" s="32"/>
      <x:c r="I253" s="24" t="str">
        <x:v>SW-C-182거8282-2-20241211-76</x:v>
      </x:c>
      <x:c r="J253" s="24" t="str">
        <x:v>김학무</x:v>
      </x:c>
      <x:c r="K253" s="24" t="str">
        <x:v>차량 반납</x:v>
      </x:c>
      <x:c r="L253" s="24" t="str"/>
      <x:c r="M253" s="24" t="str">
        <x:v>렌트야</x:v>
      </x:c>
      <x:c r="N253" s="30" t="n">
        <x:v>45798</x:v>
      </x:c>
    </x:row>
    <x:row r="254" ht="17.25" customHeight="1">
      <x:c r="A254" s="24" t="str">
        <x:v>E-00253</x:v>
      </x:c>
      <x:c r="B254" s="24" t="str">
        <x:v>스위치플랜</x:v>
      </x:c>
      <x:c r="C254" s="24" t="str">
        <x:v>165다5063</x:v>
      </x:c>
      <x:c r="D254" s="30" t="n">
        <x:v>45910</x:v>
      </x:c>
      <x:c r="E254" s="24" t="str">
        <x:v>계약시작</x:v>
      </x:c>
      <x:c r="F254" s="24" t="str"/>
      <x:c r="G254" s="24" t="str">
        <x:v>대여중</x:v>
      </x:c>
      <x:c r="H254" s="32" t="n">
        <x:v>690000</x:v>
      </x:c>
      <x:c r="I254" s="24" t="str">
        <x:v>SW-C-165다5063-1-20250910-77</x:v>
      </x:c>
      <x:c r="J254" s="24" t="str">
        <x:v>정성</x:v>
      </x:c>
      <x:c r="K254" s="24" t="str">
        <x:v>구독대여 계약 시작</x:v>
      </x:c>
      <x:c r="L254" s="24" t="str"/>
      <x:c r="M254" s="24" t="str">
        <x:v>카랜(주)</x:v>
      </x:c>
      <x:c r="N254" s="30" t="n">
        <x:v>45910</x:v>
      </x:c>
    </x:row>
    <x:row r="255" ht="17.25" customHeight="1">
      <x:c r="A255" s="24" t="str">
        <x:v>E-00254</x:v>
      </x:c>
      <x:c r="B255" s="24" t="str">
        <x:v>스위치플랜</x:v>
      </x:c>
      <x:c r="C255" s="24" t="str">
        <x:v>165다5063</x:v>
      </x:c>
      <x:c r="D255" s="30" t="n">
        <x:v>45432</x:v>
      </x:c>
      <x:c r="E255" s="24" t="str">
        <x:v>계약시작</x:v>
      </x:c>
      <x:c r="F255" s="24" t="str"/>
      <x:c r="G255" s="24" t="str">
        <x:v>대여중</x:v>
      </x:c>
      <x:c r="H255" s="32" t="n">
        <x:v>690000</x:v>
      </x:c>
      <x:c r="I255" s="24" t="str">
        <x:v>SW-C-165다5063-2-20240520-77</x:v>
      </x:c>
      <x:c r="J255" s="24" t="str">
        <x:v>조준영</x:v>
      </x:c>
      <x:c r="K255" s="24" t="str">
        <x:v>구독대여 계약 시작</x:v>
      </x:c>
      <x:c r="L255" s="24" t="str"/>
      <x:c r="M255" s="24" t="str">
        <x:v>카랜(주)</x:v>
      </x:c>
      <x:c r="N255" s="30" t="n">
        <x:v>45432</x:v>
      </x:c>
    </x:row>
    <x:row r="256" ht="17.25" customHeight="1">
      <x:c r="A256" s="24" t="str">
        <x:v>E-00255</x:v>
      </x:c>
      <x:c r="B256" s="24" t="str">
        <x:v>스위치플랜</x:v>
      </x:c>
      <x:c r="C256" s="24" t="str">
        <x:v>165다5063</x:v>
      </x:c>
      <x:c r="D256" s="30"/>
      <x:c r="E256" s="24" t="str">
        <x:v>반납</x:v>
      </x:c>
      <x:c r="F256" s="24" t="str">
        <x:v>대여중</x:v>
      </x:c>
      <x:c r="G256" s="24" t="str">
        <x:v>쉬는차</x:v>
      </x:c>
      <x:c r="H256" s="32"/>
      <x:c r="I256" s="24" t="str">
        <x:v>SW-C-165다5063-2-20240520-77</x:v>
      </x:c>
      <x:c r="J256" s="24" t="str">
        <x:v>조준영</x:v>
      </x:c>
      <x:c r="K256" s="24" t="str">
        <x:v>차량 반납</x:v>
      </x:c>
      <x:c r="L256" s="24" t="str"/>
      <x:c r="M256" s="24" t="str">
        <x:v>카랜(주)</x:v>
      </x:c>
      <x:c r="N256" s="30"/>
    </x:row>
    <x:row r="257" ht="17.25" customHeight="1">
      <x:c r="A257" s="24" t="str">
        <x:v>E-00256</x:v>
      </x:c>
      <x:c r="B257" s="24" t="str">
        <x:v>스위치플랜</x:v>
      </x:c>
      <x:c r="C257" s="24" t="str">
        <x:v>145가1781</x:v>
      </x:c>
      <x:c r="D257" s="30" t="n">
        <x:v>46090</x:v>
      </x:c>
      <x:c r="E257" s="24" t="str">
        <x:v>계약시작</x:v>
      </x:c>
      <x:c r="F257" s="24" t="str"/>
      <x:c r="G257" s="24" t="str">
        <x:v>대여중</x:v>
      </x:c>
      <x:c r="H257" s="32" t="n">
        <x:v>1100000</x:v>
      </x:c>
      <x:c r="I257" s="24" t="str">
        <x:v>SW-C-145가1781-1-20260309-78</x:v>
      </x:c>
      <x:c r="J257" s="24" t="str">
        <x:v>김용순</x:v>
      </x:c>
      <x:c r="K257" s="24" t="str">
        <x:v>구독대여 계약 시작</x:v>
      </x:c>
      <x:c r="L257" s="24" t="str"/>
      <x:c r="M257" s="24" t="str">
        <x:v>지인</x:v>
      </x:c>
      <x:c r="N257" s="30" t="n">
        <x:v>46090</x:v>
      </x:c>
    </x:row>
    <x:row r="258" ht="17.25" customHeight="1">
      <x:c r="A258" s="24" t="str">
        <x:v>E-00257</x:v>
      </x:c>
      <x:c r="B258" s="24" t="str">
        <x:v>스위치플랜</x:v>
      </x:c>
      <x:c r="C258" s="24" t="str">
        <x:v>145가1781</x:v>
      </x:c>
      <x:c r="D258" s="30" t="n">
        <x:v>46014</x:v>
      </x:c>
      <x:c r="E258" s="24" t="str">
        <x:v>계약시작</x:v>
      </x:c>
      <x:c r="F258" s="24" t="str"/>
      <x:c r="G258" s="24" t="str">
        <x:v>대여중</x:v>
      </x:c>
      <x:c r="H258" s="32" t="n">
        <x:v>1210000</x:v>
      </x:c>
      <x:c r="I258" s="24" t="str">
        <x:v>SW-C-145가1781-2-20251223-78</x:v>
      </x:c>
      <x:c r="J258" s="24" t="str">
        <x:v>법무법인 닥터홈</x:v>
      </x:c>
      <x:c r="K258" s="24" t="str">
        <x:v>지인 계약 시작</x:v>
      </x:c>
      <x:c r="L258" s="24" t="str"/>
      <x:c r="M258" s="24" t="str">
        <x:v>신선호</x:v>
      </x:c>
      <x:c r="N258" s="30" t="n">
        <x:v>46014</x:v>
      </x:c>
    </x:row>
    <x:row r="259" ht="17.25" customHeight="1">
      <x:c r="A259" s="24" t="str">
        <x:v>E-00258</x:v>
      </x:c>
      <x:c r="B259" s="24" t="str">
        <x:v>스위치플랜</x:v>
      </x:c>
      <x:c r="C259" s="24" t="str">
        <x:v>145가1781</x:v>
      </x:c>
      <x:c r="D259" s="30" t="n">
        <x:v>46044</x:v>
      </x:c>
      <x:c r="E259" s="24" t="str">
        <x:v>반납</x:v>
      </x:c>
      <x:c r="F259" s="24" t="str">
        <x:v>대여중</x:v>
      </x:c>
      <x:c r="G259" s="24" t="str">
        <x:v>쉬는차</x:v>
      </x:c>
      <x:c r="H259" s="32"/>
      <x:c r="I259" s="24" t="str">
        <x:v>SW-C-145가1781-2-20251223-78</x:v>
      </x:c>
      <x:c r="J259" s="24" t="str">
        <x:v>법무법인 닥터홈</x:v>
      </x:c>
      <x:c r="K259" s="24" t="str">
        <x:v>차량 반납</x:v>
      </x:c>
      <x:c r="L259" s="24" t="str"/>
      <x:c r="M259" s="24" t="str">
        <x:v>신선호</x:v>
      </x:c>
      <x:c r="N259" s="30" t="n">
        <x:v>46044</x:v>
      </x:c>
    </x:row>
    <x:row r="260" ht="17.25" customHeight="1">
      <x:c r="A260" s="24" t="str">
        <x:v>E-00259</x:v>
      </x:c>
      <x:c r="B260" s="24" t="str">
        <x:v>스위치플랜</x:v>
      </x:c>
      <x:c r="C260" s="24" t="str">
        <x:v>145가1781</x:v>
      </x:c>
      <x:c r="D260" s="30" t="n">
        <x:v>45912</x:v>
      </x:c>
      <x:c r="E260" s="24" t="str">
        <x:v>계약시작</x:v>
      </x:c>
      <x:c r="F260" s="24" t="str"/>
      <x:c r="G260" s="24" t="str">
        <x:v>대여중</x:v>
      </x:c>
      <x:c r="H260" s="32" t="n">
        <x:v>1430000</x:v>
      </x:c>
      <x:c r="I260" s="24" t="str">
        <x:v>SW-C-145가1781-3-20250912-78</x:v>
      </x:c>
      <x:c r="J260" s="24" t="str">
        <x:v>장동현</x:v>
      </x:c>
      <x:c r="K260" s="24" t="str">
        <x:v>구독대여 계약 시작</x:v>
      </x:c>
      <x:c r="L260" s="24" t="str"/>
      <x:c r="M260" s="24" t="str">
        <x:v>하허호</x:v>
      </x:c>
      <x:c r="N260" s="30" t="n">
        <x:v>45912</x:v>
      </x:c>
    </x:row>
    <x:row r="261" ht="17.25" customHeight="1">
      <x:c r="A261" s="24" t="str">
        <x:v>E-00260</x:v>
      </x:c>
      <x:c r="B261" s="24" t="str">
        <x:v>스위치플랜</x:v>
      </x:c>
      <x:c r="C261" s="24" t="str">
        <x:v>145가1781</x:v>
      </x:c>
      <x:c r="D261" s="30" t="n">
        <x:v>45997</x:v>
      </x:c>
      <x:c r="E261" s="24" t="str">
        <x:v>반납</x:v>
      </x:c>
      <x:c r="F261" s="24" t="str">
        <x:v>대여중</x:v>
      </x:c>
      <x:c r="G261" s="24" t="str">
        <x:v>쉬는차</x:v>
      </x:c>
      <x:c r="H261" s="32"/>
      <x:c r="I261" s="24" t="str">
        <x:v>SW-C-145가1781-3-20250912-78</x:v>
      </x:c>
      <x:c r="J261" s="24" t="str">
        <x:v>장동현</x:v>
      </x:c>
      <x:c r="K261" s="24" t="str">
        <x:v>차량 반납</x:v>
      </x:c>
      <x:c r="L261" s="24" t="str"/>
      <x:c r="M261" s="24" t="str">
        <x:v>하허호</x:v>
      </x:c>
      <x:c r="N261" s="30" t="n">
        <x:v>45997</x:v>
      </x:c>
    </x:row>
    <x:row r="262" ht="17.25" customHeight="1">
      <x:c r="A262" s="24" t="str">
        <x:v>E-00261</x:v>
      </x:c>
      <x:c r="B262" s="24" t="str">
        <x:v>스위치플랜</x:v>
      </x:c>
      <x:c r="C262" s="24" t="str">
        <x:v>145가1781</x:v>
      </x:c>
      <x:c r="D262" s="30" t="n">
        <x:v>45709</x:v>
      </x:c>
      <x:c r="E262" s="24" t="str">
        <x:v>계약시작</x:v>
      </x:c>
      <x:c r="F262" s="24" t="str"/>
      <x:c r="G262" s="24" t="str">
        <x:v>대여중</x:v>
      </x:c>
      <x:c r="H262" s="32" t="n">
        <x:v>1590000</x:v>
      </x:c>
      <x:c r="I262" s="24" t="str">
        <x:v>SW-C-145가1781-4-20250221-78</x:v>
      </x:c>
      <x:c r="J262" s="24" t="str">
        <x:v>송안기</x:v>
      </x:c>
      <x:c r="K262" s="24" t="str">
        <x:v>구독대여 계약 시작</x:v>
      </x:c>
      <x:c r="L262" s="24" t="str"/>
      <x:c r="M262" s="24" t="str">
        <x:v>하허호</x:v>
      </x:c>
      <x:c r="N262" s="30" t="n">
        <x:v>45709</x:v>
      </x:c>
    </x:row>
    <x:row r="263" ht="17.25" customHeight="1">
      <x:c r="A263" s="24" t="str">
        <x:v>E-00262</x:v>
      </x:c>
      <x:c r="B263" s="24" t="str">
        <x:v>스위치플랜</x:v>
      </x:c>
      <x:c r="C263" s="24" t="str">
        <x:v>145가1781</x:v>
      </x:c>
      <x:c r="D263" s="30" t="n">
        <x:v>45888</x:v>
      </x:c>
      <x:c r="E263" s="24" t="str">
        <x:v>반납</x:v>
      </x:c>
      <x:c r="F263" s="24" t="str">
        <x:v>대여중</x:v>
      </x:c>
      <x:c r="G263" s="24" t="str">
        <x:v>쉬는차</x:v>
      </x:c>
      <x:c r="H263" s="32"/>
      <x:c r="I263" s="24" t="str">
        <x:v>SW-C-145가1781-4-20250221-78</x:v>
      </x:c>
      <x:c r="J263" s="24" t="str">
        <x:v>송안기</x:v>
      </x:c>
      <x:c r="K263" s="24" t="str">
        <x:v>차량 반납</x:v>
      </x:c>
      <x:c r="L263" s="24" t="str"/>
      <x:c r="M263" s="24" t="str">
        <x:v>하허호</x:v>
      </x:c>
      <x:c r="N263" s="30" t="n">
        <x:v>45888</x:v>
      </x:c>
    </x:row>
    <x:row r="264" ht="17.25" customHeight="1">
      <x:c r="A264" s="24" t="str">
        <x:v>E-00263</x:v>
      </x:c>
      <x:c r="B264" s="24" t="str">
        <x:v>스위치플랜</x:v>
      </x:c>
      <x:c r="C264" s="24" t="str">
        <x:v>145가1796</x:v>
      </x:c>
      <x:c r="D264" s="30" t="n">
        <x:v>45834</x:v>
      </x:c>
      <x:c r="E264" s="24" t="str">
        <x:v>계약시작</x:v>
      </x:c>
      <x:c r="F264" s="24" t="str"/>
      <x:c r="G264" s="24" t="str">
        <x:v>대여중</x:v>
      </x:c>
      <x:c r="H264" s="32" t="n">
        <x:v>1070000</x:v>
      </x:c>
      <x:c r="I264" s="24" t="str">
        <x:v>SW-C-145가1796-1-20250626-79</x:v>
      </x:c>
      <x:c r="J264" s="24" t="str">
        <x:v>정유림</x:v>
      </x:c>
      <x:c r="K264" s="24" t="str">
        <x:v>구독대여 계약 시작</x:v>
      </x:c>
      <x:c r="L264" s="24" t="str"/>
      <x:c r="M264" s="24" t="str">
        <x:v>하허호</x:v>
      </x:c>
      <x:c r="N264" s="30" t="n">
        <x:v>45834</x:v>
      </x:c>
    </x:row>
    <x:row r="265" ht="17.25" customHeight="1">
      <x:c r="A265" s="24" t="str">
        <x:v>E-00264</x:v>
      </x:c>
      <x:c r="B265" s="24" t="str">
        <x:v>스위치플랜</x:v>
      </x:c>
      <x:c r="C265" s="24" t="str">
        <x:v>145가1796</x:v>
      </x:c>
      <x:c r="D265" s="30" t="n">
        <x:v>45728</x:v>
      </x:c>
      <x:c r="E265" s="24" t="str">
        <x:v>계약시작</x:v>
      </x:c>
      <x:c r="F265" s="24" t="str"/>
      <x:c r="G265" s="24" t="str">
        <x:v>대여중</x:v>
      </x:c>
      <x:c r="H265" s="32" t="n">
        <x:v>1590000</x:v>
      </x:c>
      <x:c r="I265" s="24" t="str">
        <x:v>SW-C-145가1796-2-20250312-79</x:v>
      </x:c>
      <x:c r="J265" s="24" t="str">
        <x:v>우치우</x:v>
      </x:c>
      <x:c r="K265" s="24" t="str">
        <x:v>구독대여 계약 시작</x:v>
      </x:c>
      <x:c r="L265" s="24" t="str"/>
      <x:c r="M265" s="24" t="str">
        <x:v>하허호</x:v>
      </x:c>
      <x:c r="N265" s="30" t="n">
        <x:v>45728</x:v>
      </x:c>
    </x:row>
    <x:row r="266" ht="17.25" customHeight="1">
      <x:c r="A266" s="24" t="str">
        <x:v>E-00265</x:v>
      </x:c>
      <x:c r="B266" s="24" t="str">
        <x:v>스위치플랜</x:v>
      </x:c>
      <x:c r="C266" s="24" t="str">
        <x:v>145가1796</x:v>
      </x:c>
      <x:c r="D266" s="30" t="n">
        <x:v>45798</x:v>
      </x:c>
      <x:c r="E266" s="24" t="str">
        <x:v>반납</x:v>
      </x:c>
      <x:c r="F266" s="24" t="str">
        <x:v>대여중</x:v>
      </x:c>
      <x:c r="G266" s="24" t="str">
        <x:v>쉬는차</x:v>
      </x:c>
      <x:c r="H266" s="32"/>
      <x:c r="I266" s="24" t="str">
        <x:v>SW-C-145가1796-2-20250312-79</x:v>
      </x:c>
      <x:c r="J266" s="24" t="str">
        <x:v>우치우</x:v>
      </x:c>
      <x:c r="K266" s="24" t="str">
        <x:v>차량 반납</x:v>
      </x:c>
      <x:c r="L266" s="24" t="str"/>
      <x:c r="M266" s="24" t="str">
        <x:v>하허호</x:v>
      </x:c>
      <x:c r="N266" s="30" t="n">
        <x:v>45798</x:v>
      </x:c>
    </x:row>
    <x:row r="267" ht="17.25" customHeight="1">
      <x:c r="A267" s="24" t="str">
        <x:v>E-00266</x:v>
      </x:c>
      <x:c r="B267" s="24" t="str">
        <x:v>스위치플랜</x:v>
      </x:c>
      <x:c r="C267" s="24" t="str">
        <x:v>155라6311</x:v>
      </x:c>
      <x:c r="D267" s="30" t="n">
        <x:v>45793</x:v>
      </x:c>
      <x:c r="E267" s="24" t="str">
        <x:v>계약시작</x:v>
      </x:c>
      <x:c r="F267" s="24" t="str"/>
      <x:c r="G267" s="24" t="str">
        <x:v>대여중</x:v>
      </x:c>
      <x:c r="H267" s="32" t="n">
        <x:v>1400000</x:v>
      </x:c>
      <x:c r="I267" s="24" t="str">
        <x:v>SW-C-155라6311-2-20250516-80</x:v>
      </x:c>
      <x:c r="J267" s="24" t="str">
        <x:v>박정희</x:v>
      </x:c>
      <x:c r="K267" s="24" t="str">
        <x:v>구독대여 계약 시작</x:v>
      </x:c>
      <x:c r="L267" s="24" t="str"/>
      <x:c r="M267" s="24" t="str"/>
      <x:c r="N267" s="30" t="n">
        <x:v>45793</x:v>
      </x:c>
    </x:row>
    <x:row r="268" ht="17.25" customHeight="1">
      <x:c r="A268" s="24" t="str">
        <x:v>E-00267</x:v>
      </x:c>
      <x:c r="B268" s="24" t="str">
        <x:v>스위치플랜</x:v>
      </x:c>
      <x:c r="C268" s="24" t="str">
        <x:v>155라6311</x:v>
      </x:c>
      <x:c r="D268" s="30" t="n">
        <x:v>45982</x:v>
      </x:c>
      <x:c r="E268" s="24" t="str">
        <x:v>반납</x:v>
      </x:c>
      <x:c r="F268" s="24" t="str">
        <x:v>대여중</x:v>
      </x:c>
      <x:c r="G268" s="24" t="str">
        <x:v>쉬는차</x:v>
      </x:c>
      <x:c r="H268" s="32"/>
      <x:c r="I268" s="24" t="str">
        <x:v>SW-C-155라6311-2-20250516-80</x:v>
      </x:c>
      <x:c r="J268" s="24" t="str">
        <x:v>박정희</x:v>
      </x:c>
      <x:c r="K268" s="24" t="str">
        <x:v>차량 반납</x:v>
      </x:c>
      <x:c r="L268" s="24" t="str"/>
      <x:c r="M268" s="24" t="str"/>
      <x:c r="N268" s="30" t="n">
        <x:v>45982</x:v>
      </x:c>
    </x:row>
    <x:row r="269" ht="17.25" customHeight="1">
      <x:c r="A269" s="24" t="str">
        <x:v>E-00268</x:v>
      </x:c>
      <x:c r="B269" s="24" t="str">
        <x:v>스위치플랜</x:v>
      </x:c>
      <x:c r="C269" s="24" t="str">
        <x:v>155라6311</x:v>
      </x:c>
      <x:c r="D269" s="30" t="n">
        <x:v>45737</x:v>
      </x:c>
      <x:c r="E269" s="24" t="str">
        <x:v>계약시작</x:v>
      </x:c>
      <x:c r="F269" s="24" t="str"/>
      <x:c r="G269" s="24" t="str">
        <x:v>대여중</x:v>
      </x:c>
      <x:c r="H269" s="32" t="n">
        <x:v>1330000</x:v>
      </x:c>
      <x:c r="I269" s="24" t="str">
        <x:v>SW-C-155라6311-3-20250321-80</x:v>
      </x:c>
      <x:c r="J269" s="24" t="str">
        <x:v>류원상</x:v>
      </x:c>
      <x:c r="K269" s="24" t="str">
        <x:v>구독대여 계약 시작</x:v>
      </x:c>
      <x:c r="L269" s="24" t="str"/>
      <x:c r="M269" s="24" t="str">
        <x:v>하허호</x:v>
      </x:c>
      <x:c r="N269" s="30" t="n">
        <x:v>45737</x:v>
      </x:c>
    </x:row>
    <x:row r="270" ht="17.25" customHeight="1">
      <x:c r="A270" s="24" t="str">
        <x:v>E-00269</x:v>
      </x:c>
      <x:c r="B270" s="24" t="str">
        <x:v>스위치플랜</x:v>
      </x:c>
      <x:c r="C270" s="24" t="str">
        <x:v>155라6311</x:v>
      </x:c>
      <x:c r="D270" s="30" t="n">
        <x:v>45779</x:v>
      </x:c>
      <x:c r="E270" s="24" t="str">
        <x:v>반납</x:v>
      </x:c>
      <x:c r="F270" s="24" t="str">
        <x:v>대여중</x:v>
      </x:c>
      <x:c r="G270" s="24" t="str">
        <x:v>쉬는차</x:v>
      </x:c>
      <x:c r="H270" s="32"/>
      <x:c r="I270" s="24" t="str">
        <x:v>SW-C-155라6311-3-20250321-80</x:v>
      </x:c>
      <x:c r="J270" s="24" t="str">
        <x:v>류원상</x:v>
      </x:c>
      <x:c r="K270" s="24" t="str">
        <x:v>차량 반납</x:v>
      </x:c>
      <x:c r="L270" s="24" t="str"/>
      <x:c r="M270" s="24" t="str">
        <x:v>하허호</x:v>
      </x:c>
      <x:c r="N270" s="30" t="n">
        <x:v>45779</x:v>
      </x:c>
    </x:row>
    <x:row r="271" ht="17.25" customHeight="1">
      <x:c r="A271" s="24" t="str">
        <x:v>E-00270</x:v>
      </x:c>
      <x:c r="B271" s="24" t="str">
        <x:v>스위치플랜</x:v>
      </x:c>
      <x:c r="C271" s="24" t="str">
        <x:v>155라6331</x:v>
      </x:c>
      <x:c r="D271" s="30" t="n">
        <x:v>45730</x:v>
      </x:c>
      <x:c r="E271" s="24" t="str">
        <x:v>계약시작</x:v>
      </x:c>
      <x:c r="F271" s="24" t="str"/>
      <x:c r="G271" s="24" t="str">
        <x:v>대여중</x:v>
      </x:c>
      <x:c r="H271" s="32" t="n">
        <x:v>1330000</x:v>
      </x:c>
      <x:c r="I271" s="24" t="str">
        <x:v>SW-C-155라6331-1-20250314-81</x:v>
      </x:c>
      <x:c r="J271" s="24" t="str">
        <x:v>김지현</x:v>
      </x:c>
      <x:c r="K271" s="24" t="str">
        <x:v>구독대여 계약 시작</x:v>
      </x:c>
      <x:c r="L271" s="24" t="str"/>
      <x:c r="M271" s="24" t="str">
        <x:v>하허호</x:v>
      </x:c>
      <x:c r="N271" s="30" t="n">
        <x:v>45730</x:v>
      </x:c>
    </x:row>
    <x:row r="272" ht="17.25" customHeight="1">
      <x:c r="A272" s="24" t="str">
        <x:v>E-00271</x:v>
      </x:c>
      <x:c r="B272" s="24" t="str">
        <x:v>스위치플랜</x:v>
      </x:c>
      <x:c r="C272" s="24" t="str">
        <x:v>248너5286</x:v>
      </x:c>
      <x:c r="D272" s="30" t="n">
        <x:v>45345</x:v>
      </x:c>
      <x:c r="E272" s="24" t="str">
        <x:v>계약시작</x:v>
      </x:c>
      <x:c r="F272" s="24" t="str"/>
      <x:c r="G272" s="24" t="str">
        <x:v>대여중</x:v>
      </x:c>
      <x:c r="H272" s="32" t="n">
        <x:v>1500000</x:v>
      </x:c>
      <x:c r="I272" s="24" t="str">
        <x:v>SW-C-248너5286-1-20240223-82</x:v>
      </x:c>
      <x:c r="J272" s="24" t="str">
        <x:v>김후집</x:v>
      </x:c>
      <x:c r="K272" s="24" t="str">
        <x:v>구독대여 계약 시작</x:v>
      </x:c>
      <x:c r="L272" s="24" t="str"/>
      <x:c r="M272" s="24" t="str">
        <x:v>카랜(주)</x:v>
      </x:c>
      <x:c r="N272" s="30" t="n">
        <x:v>45345</x:v>
      </x:c>
    </x:row>
    <x:row r="273" ht="17.25" customHeight="1">
      <x:c r="A273" s="24" t="str">
        <x:v>E-00272</x:v>
      </x:c>
      <x:c r="B273" s="24" t="str">
        <x:v>스위치플랜</x:v>
      </x:c>
      <x:c r="C273" s="24" t="str">
        <x:v>350수9623</x:v>
      </x:c>
      <x:c r="D273" s="30" t="n">
        <x:v>46146</x:v>
      </x:c>
      <x:c r="E273" s="24" t="str">
        <x:v>계약시작</x:v>
      </x:c>
      <x:c r="F273" s="24" t="str"/>
      <x:c r="G273" s="24" t="str">
        <x:v>대여중</x:v>
      </x:c>
      <x:c r="H273" s="32" t="n">
        <x:v>1230000</x:v>
      </x:c>
      <x:c r="I273" s="24" t="str">
        <x:v>SW-C-350수9623-1-20260504-83</x:v>
      </x:c>
      <x:c r="J273" s="24" t="str">
        <x:v>청산물류</x:v>
      </x:c>
      <x:c r="K273" s="24" t="str">
        <x:v>구독대여 계약 시작</x:v>
      </x:c>
      <x:c r="L273" s="24" t="str"/>
      <x:c r="M273" s="24" t="str">
        <x:v>하허호</x:v>
      </x:c>
      <x:c r="N273" s="30" t="n">
        <x:v>46146</x:v>
      </x:c>
    </x:row>
    <x:row r="274" ht="17.25" customHeight="1">
      <x:c r="A274" s="24" t="str">
        <x:v>E-00273</x:v>
      </x:c>
      <x:c r="B274" s="24" t="str">
        <x:v>스위치플랜</x:v>
      </x:c>
      <x:c r="C274" s="24" t="str">
        <x:v>350수9623</x:v>
      </x:c>
      <x:c r="D274" s="30" t="n">
        <x:v>46125</x:v>
      </x:c>
      <x:c r="E274" s="24" t="str">
        <x:v>반납</x:v>
      </x:c>
      <x:c r="F274" s="24" t="str">
        <x:v>대여중</x:v>
      </x:c>
      <x:c r="G274" s="24" t="str">
        <x:v>쉬는차</x:v>
      </x:c>
      <x:c r="H274" s="32"/>
      <x:c r="I274" s="24" t="str">
        <x:v>SW-C-350수9623-2-NA-83</x:v>
      </x:c>
      <x:c r="J274" s="24" t="str">
        <x:v>김영훈</x:v>
      </x:c>
      <x:c r="K274" s="24" t="str">
        <x:v>차량 반납</x:v>
      </x:c>
      <x:c r="L274" s="24" t="str"/>
      <x:c r="M274" s="24" t="str">
        <x:v>김성진</x:v>
      </x:c>
      <x:c r="N274" s="30" t="n">
        <x:v>46125</x:v>
      </x:c>
    </x:row>
    <x:row r="275" ht="17.25" customHeight="1">
      <x:c r="A275" s="24" t="str">
        <x:v>E-00274</x:v>
      </x:c>
      <x:c r="B275" s="24" t="str">
        <x:v>스위치플랜</x:v>
      </x:c>
      <x:c r="C275" s="24" t="str">
        <x:v>350수9623</x:v>
      </x:c>
      <x:c r="D275" s="30" t="n">
        <x:v>45832</x:v>
      </x:c>
      <x:c r="E275" s="24" t="str">
        <x:v>계약시작</x:v>
      </x:c>
      <x:c r="F275" s="24" t="str"/>
      <x:c r="G275" s="24" t="str">
        <x:v>대여중</x:v>
      </x:c>
      <x:c r="H275" s="32" t="n">
        <x:v>1600000</x:v>
      </x:c>
      <x:c r="I275" s="24" t="str">
        <x:v>SW-C-350수9623-3-20250624-83</x:v>
      </x:c>
      <x:c r="J275" s="24" t="str">
        <x:v>정나결</x:v>
      </x:c>
      <x:c r="K275" s="24" t="str">
        <x:v>구독대여 계약 시작</x:v>
      </x:c>
      <x:c r="L275" s="24" t="str"/>
      <x:c r="M275" s="24" t="str">
        <x:v>하허호</x:v>
      </x:c>
      <x:c r="N275" s="30" t="n">
        <x:v>45832</x:v>
      </x:c>
    </x:row>
    <x:row r="276" ht="17.25" customHeight="1">
      <x:c r="A276" s="24" t="str">
        <x:v>E-00275</x:v>
      </x:c>
      <x:c r="B276" s="24" t="str">
        <x:v>스위치플랜</x:v>
      </x:c>
      <x:c r="C276" s="24" t="str">
        <x:v>350수9623</x:v>
      </x:c>
      <x:c r="D276" s="30" t="n">
        <x:v>45897</x:v>
      </x:c>
      <x:c r="E276" s="24" t="str">
        <x:v>반납</x:v>
      </x:c>
      <x:c r="F276" s="24" t="str">
        <x:v>대여중</x:v>
      </x:c>
      <x:c r="G276" s="24" t="str">
        <x:v>쉬는차</x:v>
      </x:c>
      <x:c r="H276" s="32"/>
      <x:c r="I276" s="24" t="str">
        <x:v>SW-C-350수9623-3-20250624-83</x:v>
      </x:c>
      <x:c r="J276" s="24" t="str">
        <x:v>정나결</x:v>
      </x:c>
      <x:c r="K276" s="24" t="str">
        <x:v>차량 반납</x:v>
      </x:c>
      <x:c r="L276" s="24" t="str"/>
      <x:c r="M276" s="24" t="str">
        <x:v>하허호</x:v>
      </x:c>
      <x:c r="N276" s="30" t="n">
        <x:v>45897</x:v>
      </x:c>
    </x:row>
    <x:row r="277" ht="17.25" customHeight="1">
      <x:c r="A277" s="24" t="str">
        <x:v>E-00276</x:v>
      </x:c>
      <x:c r="B277" s="24" t="str">
        <x:v>스위치플랜</x:v>
      </x:c>
      <x:c r="C277" s="24" t="str">
        <x:v>350수9623</x:v>
      </x:c>
      <x:c r="D277" s="30" t="n">
        <x:v>45279</x:v>
      </x:c>
      <x:c r="E277" s="24" t="str">
        <x:v>계약시작</x:v>
      </x:c>
      <x:c r="F277" s="24" t="str"/>
      <x:c r="G277" s="24" t="str">
        <x:v>대여중</x:v>
      </x:c>
      <x:c r="H277" s="32" t="n">
        <x:v>1840000</x:v>
      </x:c>
      <x:c r="I277" s="24" t="str">
        <x:v>SW-C-350수9623-4-20231219-83</x:v>
      </x:c>
      <x:c r="J277" s="24" t="str">
        <x:v>이미숙</x:v>
      </x:c>
      <x:c r="K277" s="24" t="str">
        <x:v>구독대여 계약 시작</x:v>
      </x:c>
      <x:c r="L277" s="24" t="str"/>
      <x:c r="M277" s="24" t="str">
        <x:v>하허호</x:v>
      </x:c>
      <x:c r="N277" s="30" t="n">
        <x:v>45279</x:v>
      </x:c>
    </x:row>
    <x:row r="278" ht="17.25" customHeight="1">
      <x:c r="A278" s="24" t="str">
        <x:v>E-00277</x:v>
      </x:c>
      <x:c r="B278" s="24" t="str">
        <x:v>스위치플랜</x:v>
      </x:c>
      <x:c r="C278" s="24" t="str">
        <x:v>350수9623</x:v>
      </x:c>
      <x:c r="D278" s="30" t="n">
        <x:v>45804</x:v>
      </x:c>
      <x:c r="E278" s="24" t="str">
        <x:v>반납</x:v>
      </x:c>
      <x:c r="F278" s="24" t="str">
        <x:v>대여중</x:v>
      </x:c>
      <x:c r="G278" s="24" t="str">
        <x:v>쉬는차</x:v>
      </x:c>
      <x:c r="H278" s="32"/>
      <x:c r="I278" s="24" t="str">
        <x:v>SW-C-350수9623-4-20231219-83</x:v>
      </x:c>
      <x:c r="J278" s="24" t="str">
        <x:v>이미숙</x:v>
      </x:c>
      <x:c r="K278" s="24" t="str">
        <x:v>차량 반납</x:v>
      </x:c>
      <x:c r="L278" s="24" t="str"/>
      <x:c r="M278" s="24" t="str">
        <x:v>하허호</x:v>
      </x:c>
      <x:c r="N278" s="30" t="n">
        <x:v>45804</x:v>
      </x:c>
    </x:row>
    <x:row r="279" ht="17.25" customHeight="1">
      <x:c r="A279" s="24" t="str">
        <x:v>E-00278</x:v>
      </x:c>
      <x:c r="B279" s="24" t="str">
        <x:v>스위치플랜</x:v>
      </x:c>
      <x:c r="C279" s="24" t="str">
        <x:v>827버3872</x:v>
      </x:c>
      <x:c r="D279" s="30" t="n">
        <x:v>45440</x:v>
      </x:c>
      <x:c r="E279" s="24" t="str">
        <x:v>계약시작</x:v>
      </x:c>
      <x:c r="F279" s="24" t="str"/>
      <x:c r="G279" s="24" t="str">
        <x:v>대여중</x:v>
      </x:c>
      <x:c r="H279" s="32" t="n">
        <x:v>660000</x:v>
      </x:c>
      <x:c r="I279" s="24" t="str">
        <x:v>SW-C-827버3872-1-20240528-84</x:v>
      </x:c>
      <x:c r="J279" s="24" t="str">
        <x:v>전국연합누수119</x:v>
      </x:c>
      <x:c r="K279" s="24" t="str">
        <x:v>구독대여 계약 시작</x:v>
      </x:c>
      <x:c r="L279" s="24" t="str"/>
      <x:c r="M279" s="24" t="str">
        <x:v>카랜(주)</x:v>
      </x:c>
      <x:c r="N279" s="30" t="n">
        <x:v>45440</x:v>
      </x:c>
    </x:row>
    <x:row r="280" ht="17.25" customHeight="1">
      <x:c r="A280" s="24" t="str">
        <x:v>E-00279</x:v>
      </x:c>
      <x:c r="B280" s="24" t="str">
        <x:v>스위치플랜</x:v>
      </x:c>
      <x:c r="C280" s="24" t="str">
        <x:v>201다3498</x:v>
      </x:c>
      <x:c r="D280" s="30" t="n">
        <x:v>45301</x:v>
      </x:c>
      <x:c r="E280" s="24" t="str">
        <x:v>계약시작</x:v>
      </x:c>
      <x:c r="F280" s="24" t="str"/>
      <x:c r="G280" s="24" t="str">
        <x:v>대여중</x:v>
      </x:c>
      <x:c r="H280" s="32" t="n">
        <x:v>1160000</x:v>
      </x:c>
      <x:c r="I280" s="24" t="str">
        <x:v>SW-C-201다3498-1-20240110-85</x:v>
      </x:c>
      <x:c r="J280" s="24" t="str">
        <x:v>남정식</x:v>
      </x:c>
      <x:c r="K280" s="24" t="str">
        <x:v>구독대여 계약 시작</x:v>
      </x:c>
      <x:c r="L280" s="24" t="str"/>
      <x:c r="M280" s="24" t="str">
        <x:v>헬로</x:v>
      </x:c>
      <x:c r="N280" s="30" t="n">
        <x:v>45301</x:v>
      </x:c>
    </x:row>
    <x:row r="281" ht="17.25" customHeight="1">
      <x:c r="A281" s="24" t="str">
        <x:v>E-00280</x:v>
      </x:c>
      <x:c r="B281" s="24" t="str">
        <x:v>스위치플랜</x:v>
      </x:c>
      <x:c r="C281" s="24" t="str">
        <x:v>288수6402</x:v>
      </x:c>
      <x:c r="D281" s="30" t="n">
        <x:v>46105</x:v>
      </x:c>
      <x:c r="E281" s="24" t="str">
        <x:v>계약시작</x:v>
      </x:c>
      <x:c r="F281" s="24" t="str"/>
      <x:c r="G281" s="24" t="str">
        <x:v>대여중</x:v>
      </x:c>
      <x:c r="H281" s="32" t="n">
        <x:v>730000</x:v>
      </x:c>
      <x:c r="I281" s="24" t="str">
        <x:v>SW-C-288수6402-1-20260324-86</x:v>
      </x:c>
      <x:c r="J281" s="24" t="str">
        <x:v>김서운</x:v>
      </x:c>
      <x:c r="K281" s="24" t="str">
        <x:v>구독대여 계약 시작</x:v>
      </x:c>
      <x:c r="L281" s="24" t="str"/>
      <x:c r="M281" s="24" t="str"/>
      <x:c r="N281" s="30" t="n">
        <x:v>46105</x:v>
      </x:c>
    </x:row>
    <x:row r="282" ht="17.25" customHeight="1">
      <x:c r="A282" s="24" t="str">
        <x:v>E-00281</x:v>
      </x:c>
      <x:c r="B282" s="24" t="str">
        <x:v>스위치플랜</x:v>
      </x:c>
      <x:c r="C282" s="24" t="str">
        <x:v>288수6402</x:v>
      </x:c>
      <x:c r="D282" s="30" t="n">
        <x:v>46078</x:v>
      </x:c>
      <x:c r="E282" s="24" t="str">
        <x:v>계약시작</x:v>
      </x:c>
      <x:c r="F282" s="24" t="str"/>
      <x:c r="G282" s="24" t="str">
        <x:v>대여중</x:v>
      </x:c>
      <x:c r="H282" s="32" t="n">
        <x:v>730000</x:v>
      </x:c>
      <x:c r="I282" s="24" t="str">
        <x:v>SW-C-288수6402-2-20260225-86</x:v>
      </x:c>
      <x:c r="J282" s="24" t="str">
        <x:v>황우정6402</x:v>
      </x:c>
      <x:c r="K282" s="24" t="str">
        <x:v>구독대여 계약 시작</x:v>
      </x:c>
      <x:c r="L282" s="24" t="str"/>
      <x:c r="M282" s="24" t="str">
        <x:v>하허호</x:v>
      </x:c>
      <x:c r="N282" s="30" t="n">
        <x:v>46078</x:v>
      </x:c>
    </x:row>
    <x:row r="283" ht="17.25" customHeight="1">
      <x:c r="A283" s="24" t="str">
        <x:v>E-00282</x:v>
      </x:c>
      <x:c r="B283" s="24" t="str">
        <x:v>스위치플랜</x:v>
      </x:c>
      <x:c r="C283" s="24" t="str">
        <x:v>288수6402</x:v>
      </x:c>
      <x:c r="D283" s="30"/>
      <x:c r="E283" s="24" t="str">
        <x:v>반납</x:v>
      </x:c>
      <x:c r="F283" s="24" t="str">
        <x:v>대여중</x:v>
      </x:c>
      <x:c r="G283" s="24" t="str">
        <x:v>쉬는차</x:v>
      </x:c>
      <x:c r="H283" s="32"/>
      <x:c r="I283" s="24" t="str">
        <x:v>SW-C-288수6402-2-20260225-86</x:v>
      </x:c>
      <x:c r="J283" s="24" t="str">
        <x:v>황우정6402</x:v>
      </x:c>
      <x:c r="K283" s="24" t="str">
        <x:v>차량 반납</x:v>
      </x:c>
      <x:c r="L283" s="24" t="str"/>
      <x:c r="M283" s="24" t="str">
        <x:v>하허호</x:v>
      </x:c>
      <x:c r="N283" s="30"/>
    </x:row>
    <x:row r="284" ht="17.25" customHeight="1">
      <x:c r="A284" s="24" t="str">
        <x:v>E-00283</x:v>
      </x:c>
      <x:c r="B284" s="24" t="str">
        <x:v>스위치플랜</x:v>
      </x:c>
      <x:c r="C284" s="24" t="str">
        <x:v>288수6402</x:v>
      </x:c>
      <x:c r="D284" s="30" t="n">
        <x:v>46043</x:v>
      </x:c>
      <x:c r="E284" s="24" t="str">
        <x:v>계약시작</x:v>
      </x:c>
      <x:c r="F284" s="24" t="str"/>
      <x:c r="G284" s="24" t="str">
        <x:v>대여중</x:v>
      </x:c>
      <x:c r="H284" s="32" t="n">
        <x:v>830000</x:v>
      </x:c>
      <x:c r="I284" s="24" t="str">
        <x:v>SW-C-288수6402-3-20260121-86</x:v>
      </x:c>
      <x:c r="J284" s="24" t="str">
        <x:v>강동근</x:v>
      </x:c>
      <x:c r="K284" s="24" t="str">
        <x:v>구독대여 계약 시작</x:v>
      </x:c>
      <x:c r="L284" s="24" t="str"/>
      <x:c r="M284" s="24" t="str">
        <x:v>하허호</x:v>
      </x:c>
      <x:c r="N284" s="30" t="n">
        <x:v>46043</x:v>
      </x:c>
    </x:row>
    <x:row r="285" ht="17.25" customHeight="1">
      <x:c r="A285" s="24" t="str">
        <x:v>E-00284</x:v>
      </x:c>
      <x:c r="B285" s="24" t="str">
        <x:v>스위치플랜</x:v>
      </x:c>
      <x:c r="C285" s="24" t="str">
        <x:v>288수6402</x:v>
      </x:c>
      <x:c r="D285" s="30"/>
      <x:c r="E285" s="24" t="str">
        <x:v>반납</x:v>
      </x:c>
      <x:c r="F285" s="24" t="str">
        <x:v>대여중</x:v>
      </x:c>
      <x:c r="G285" s="24" t="str">
        <x:v>쉬는차</x:v>
      </x:c>
      <x:c r="H285" s="32"/>
      <x:c r="I285" s="24" t="str">
        <x:v>SW-C-288수6402-3-20260121-86</x:v>
      </x:c>
      <x:c r="J285" s="24" t="str">
        <x:v>강동근</x:v>
      </x:c>
      <x:c r="K285" s="24" t="str">
        <x:v>차량 반납</x:v>
      </x:c>
      <x:c r="L285" s="24" t="str"/>
      <x:c r="M285" s="24" t="str">
        <x:v>하허호</x:v>
      </x:c>
      <x:c r="N285" s="30"/>
    </x:row>
    <x:row r="286" ht="17.25" customHeight="1">
      <x:c r="A286" s="24" t="str">
        <x:v>E-00285</x:v>
      </x:c>
      <x:c r="B286" s="24" t="str">
        <x:v>스위치플랜</x:v>
      </x:c>
      <x:c r="C286" s="24" t="str">
        <x:v>288수6402</x:v>
      </x:c>
      <x:c r="D286" s="30" t="n">
        <x:v>45982</x:v>
      </x:c>
      <x:c r="E286" s="24" t="str">
        <x:v>계약시작</x:v>
      </x:c>
      <x:c r="F286" s="24" t="str"/>
      <x:c r="G286" s="24" t="str">
        <x:v>대여중</x:v>
      </x:c>
      <x:c r="H286" s="32" t="n">
        <x:v>730000</x:v>
      </x:c>
      <x:c r="I286" s="24" t="str">
        <x:v>SW-C-288수6402-4-20251121-86</x:v>
      </x:c>
      <x:c r="J286" s="24" t="str">
        <x:v>이용호</x:v>
      </x:c>
      <x:c r="K286" s="24" t="str">
        <x:v>구독대여 계약 시작</x:v>
      </x:c>
      <x:c r="L286" s="24" t="str"/>
      <x:c r="M286" s="24" t="str">
        <x:v>하허호</x:v>
      </x:c>
      <x:c r="N286" s="30" t="n">
        <x:v>45982</x:v>
      </x:c>
    </x:row>
    <x:row r="287" ht="17.25" customHeight="1">
      <x:c r="A287" s="24" t="str">
        <x:v>E-00286</x:v>
      </x:c>
      <x:c r="B287" s="24" t="str">
        <x:v>스위치플랜</x:v>
      </x:c>
      <x:c r="C287" s="24" t="str">
        <x:v>288수6402</x:v>
      </x:c>
      <x:c r="D287" s="30"/>
      <x:c r="E287" s="24" t="str">
        <x:v>반납</x:v>
      </x:c>
      <x:c r="F287" s="24" t="str">
        <x:v>대여중</x:v>
      </x:c>
      <x:c r="G287" s="24" t="str">
        <x:v>쉬는차</x:v>
      </x:c>
      <x:c r="H287" s="32"/>
      <x:c r="I287" s="24" t="str">
        <x:v>SW-C-288수6402-4-20251121-86</x:v>
      </x:c>
      <x:c r="J287" s="24" t="str">
        <x:v>이용호</x:v>
      </x:c>
      <x:c r="K287" s="24" t="str">
        <x:v>차량 반납</x:v>
      </x:c>
      <x:c r="L287" s="24" t="str"/>
      <x:c r="M287" s="24" t="str">
        <x:v>하허호</x:v>
      </x:c>
      <x:c r="N287" s="30"/>
    </x:row>
    <x:row r="288" ht="17.25" customHeight="1">
      <x:c r="A288" s="24" t="str">
        <x:v>E-00287</x:v>
      </x:c>
      <x:c r="B288" s="24" t="str">
        <x:v>스위치플랜</x:v>
      </x:c>
      <x:c r="C288" s="24" t="str">
        <x:v>288수6402</x:v>
      </x:c>
      <x:c r="D288" s="30" t="n">
        <x:v>46980</x:v>
      </x:c>
      <x:c r="E288" s="24" t="str">
        <x:v>계약시작</x:v>
      </x:c>
      <x:c r="F288" s="24" t="str"/>
      <x:c r="G288" s="24" t="str">
        <x:v>대여중</x:v>
      </x:c>
      <x:c r="H288" s="32" t="n">
        <x:v>45520</x:v>
      </x:c>
      <x:c r="I288" s="24" t="str">
        <x:v>SW-C-288수6402-5-20280815-86</x:v>
      </x:c>
      <x:c r="J288" s="24" t="str">
        <x:v>이민혁6402</x:v>
      </x:c>
      <x:c r="K288" s="24" t="str">
        <x:v>구독대여 계약 시작</x:v>
      </x:c>
      <x:c r="L288" s="24" t="str"/>
      <x:c r="M288" s="24" t="str">
        <x:v>하허호</x:v>
      </x:c>
      <x:c r="N288" s="30" t="n">
        <x:v>46980</x:v>
      </x:c>
    </x:row>
    <x:row r="289" ht="17.25" customHeight="1">
      <x:c r="A289" s="24" t="str">
        <x:v>E-00288</x:v>
      </x:c>
      <x:c r="B289" s="24" t="str">
        <x:v>스위치플랜</x:v>
      </x:c>
      <x:c r="C289" s="24" t="str">
        <x:v>288수6402</x:v>
      </x:c>
      <x:c r="D289" s="30"/>
      <x:c r="E289" s="24" t="str">
        <x:v>반납</x:v>
      </x:c>
      <x:c r="F289" s="24" t="str">
        <x:v>대여중</x:v>
      </x:c>
      <x:c r="G289" s="24" t="str">
        <x:v>쉬는차</x:v>
      </x:c>
      <x:c r="H289" s="32"/>
      <x:c r="I289" s="24" t="str">
        <x:v>SW-C-288수6402-5-20280815-86</x:v>
      </x:c>
      <x:c r="J289" s="24" t="str">
        <x:v>이민혁6402</x:v>
      </x:c>
      <x:c r="K289" s="24" t="str">
        <x:v>차량 반납</x:v>
      </x:c>
      <x:c r="L289" s="24" t="str"/>
      <x:c r="M289" s="24" t="str">
        <x:v>하허호</x:v>
      </x:c>
      <x:c r="N289" s="30"/>
    </x:row>
    <x:row r="290" ht="17.25" customHeight="1">
      <x:c r="A290" s="24" t="str">
        <x:v>E-00289</x:v>
      </x:c>
      <x:c r="B290" s="24" t="str">
        <x:v>스위치플랜</x:v>
      </x:c>
      <x:c r="C290" s="24" t="str">
        <x:v>244루2757</x:v>
      </x:c>
      <x:c r="D290" s="30" t="n">
        <x:v>46099</x:v>
      </x:c>
      <x:c r="E290" s="24" t="str">
        <x:v>계약시작</x:v>
      </x:c>
      <x:c r="F290" s="24" t="str"/>
      <x:c r="G290" s="24" t="str">
        <x:v>대여중</x:v>
      </x:c>
      <x:c r="H290" s="32" t="n">
        <x:v>380000</x:v>
      </x:c>
      <x:c r="I290" s="24" t="str">
        <x:v>SW-C-244루2757-1-20260318-87</x:v>
      </x:c>
      <x:c r="J290" s="24" t="str">
        <x:v>홍이삭</x:v>
      </x:c>
      <x:c r="K290" s="24" t="str">
        <x:v>구독대여 계약 시작</x:v>
      </x:c>
      <x:c r="L290" s="24" t="str"/>
      <x:c r="M290" s="24" t="str"/>
      <x:c r="N290" s="30" t="n">
        <x:v>46099</x:v>
      </x:c>
    </x:row>
    <x:row r="291" ht="17.25" customHeight="1">
      <x:c r="A291" s="24" t="str">
        <x:v>E-00290</x:v>
      </x:c>
      <x:c r="B291" s="24" t="str">
        <x:v>스위치플랜</x:v>
      </x:c>
      <x:c r="C291" s="24" t="str">
        <x:v>244루2757</x:v>
      </x:c>
      <x:c r="D291" s="30" t="n">
        <x:v>45359</x:v>
      </x:c>
      <x:c r="E291" s="24" t="str">
        <x:v>계약시작</x:v>
      </x:c>
      <x:c r="F291" s="24" t="str"/>
      <x:c r="G291" s="24" t="str">
        <x:v>대여중</x:v>
      </x:c>
      <x:c r="H291" s="32" t="n">
        <x:v>470000</x:v>
      </x:c>
      <x:c r="I291" s="24" t="str">
        <x:v>SW-C-244루2757-2-20240308-87</x:v>
      </x:c>
      <x:c r="J291" s="24" t="str">
        <x:v>유옥란</x:v>
      </x:c>
      <x:c r="K291" s="24" t="str">
        <x:v>구독대여 계약 시작</x:v>
      </x:c>
      <x:c r="L291" s="24" t="str"/>
      <x:c r="M291" s="24" t="str">
        <x:v>계산서발행금지</x:v>
      </x:c>
      <x:c r="N291" s="30" t="n">
        <x:v>45359</x:v>
      </x:c>
    </x:row>
    <x:row r="292" ht="17.25" customHeight="1">
      <x:c r="A292" s="24" t="str">
        <x:v>E-00291</x:v>
      </x:c>
      <x:c r="B292" s="24" t="str">
        <x:v>스위치플랜</x:v>
      </x:c>
      <x:c r="C292" s="24" t="str">
        <x:v>244루2757</x:v>
      </x:c>
      <x:c r="D292" s="30" t="n">
        <x:v>46086</x:v>
      </x:c>
      <x:c r="E292" s="24" t="str">
        <x:v>반납</x:v>
      </x:c>
      <x:c r="F292" s="24" t="str">
        <x:v>대여중</x:v>
      </x:c>
      <x:c r="G292" s="24" t="str">
        <x:v>쉬는차</x:v>
      </x:c>
      <x:c r="H292" s="32"/>
      <x:c r="I292" s="24" t="str">
        <x:v>SW-C-244루2757-2-20240308-87</x:v>
      </x:c>
      <x:c r="J292" s="24" t="str">
        <x:v>유옥란</x:v>
      </x:c>
      <x:c r="K292" s="24" t="str">
        <x:v>차량 반납</x:v>
      </x:c>
      <x:c r="L292" s="24" t="str"/>
      <x:c r="M292" s="24" t="str">
        <x:v>계산서발행금지</x:v>
      </x:c>
      <x:c r="N292" s="30" t="n">
        <x:v>46086</x:v>
      </x:c>
    </x:row>
    <x:row r="293" ht="17.25" customHeight="1">
      <x:c r="A293" s="24" t="str">
        <x:v>E-00292</x:v>
      </x:c>
      <x:c r="B293" s="24" t="str">
        <x:v>스위치플랜</x:v>
      </x:c>
      <x:c r="C293" s="24" t="str">
        <x:v>330모8787</x:v>
      </x:c>
      <x:c r="D293" s="30" t="n">
        <x:v>45801</x:v>
      </x:c>
      <x:c r="E293" s="24" t="str">
        <x:v>계약시작</x:v>
      </x:c>
      <x:c r="F293" s="24" t="str"/>
      <x:c r="G293" s="24" t="str">
        <x:v>대여중</x:v>
      </x:c>
      <x:c r="H293" s="32" t="n">
        <x:v>1010000</x:v>
      </x:c>
      <x:c r="I293" s="24" t="str">
        <x:v>SW-C-330모8787-1-20250524-88</x:v>
      </x:c>
      <x:c r="J293" s="24" t="str">
        <x:v>이상원</x:v>
      </x:c>
      <x:c r="K293" s="24" t="str">
        <x:v>구독대여 계약 시작</x:v>
      </x:c>
      <x:c r="L293" s="24" t="str"/>
      <x:c r="M293" s="24" t="str">
        <x:v>하허호</x:v>
      </x:c>
      <x:c r="N293" s="30" t="n">
        <x:v>45801</x:v>
      </x:c>
    </x:row>
    <x:row r="294" ht="17.25" customHeight="1">
      <x:c r="A294" s="24" t="str">
        <x:v>E-00293</x:v>
      </x:c>
      <x:c r="B294" s="24" t="str">
        <x:v>스위치플랜</x:v>
      </x:c>
      <x:c r="C294" s="24" t="str">
        <x:v>330모8787</x:v>
      </x:c>
      <x:c r="D294" s="30" t="n">
        <x:v>45598</x:v>
      </x:c>
      <x:c r="E294" s="24" t="str">
        <x:v>계약시작</x:v>
      </x:c>
      <x:c r="F294" s="24" t="str"/>
      <x:c r="G294" s="24" t="str">
        <x:v>대여중</x:v>
      </x:c>
      <x:c r="H294" s="32" t="n">
        <x:v>1110000</x:v>
      </x:c>
      <x:c r="I294" s="24" t="str">
        <x:v>SW-C-330모8787-2-20241102-88</x:v>
      </x:c>
      <x:c r="J294" s="24" t="str">
        <x:v>김용빈</x:v>
      </x:c>
      <x:c r="K294" s="24" t="str">
        <x:v>구독대여 계약 시작</x:v>
      </x:c>
      <x:c r="L294" s="24" t="str"/>
      <x:c r="M294" s="24" t="str">
        <x:v>하허호</x:v>
      </x:c>
      <x:c r="N294" s="30" t="n">
        <x:v>45598</x:v>
      </x:c>
    </x:row>
    <x:row r="295" ht="17.25" customHeight="1">
      <x:c r="A295" s="24" t="str">
        <x:v>E-00294</x:v>
      </x:c>
      <x:c r="B295" s="24" t="str">
        <x:v>스위치플랜</x:v>
      </x:c>
      <x:c r="C295" s="24" t="str">
        <x:v>330모8787</x:v>
      </x:c>
      <x:c r="D295" s="30"/>
      <x:c r="E295" s="24" t="str">
        <x:v>반납</x:v>
      </x:c>
      <x:c r="F295" s="24" t="str">
        <x:v>대여중</x:v>
      </x:c>
      <x:c r="G295" s="24" t="str">
        <x:v>쉬는차</x:v>
      </x:c>
      <x:c r="H295" s="32"/>
      <x:c r="I295" s="24" t="str">
        <x:v>SW-C-330모8787-2-20241102-88</x:v>
      </x:c>
      <x:c r="J295" s="24" t="str">
        <x:v>김용빈</x:v>
      </x:c>
      <x:c r="K295" s="24" t="str">
        <x:v>차량 반납</x:v>
      </x:c>
      <x:c r="L295" s="24" t="str"/>
      <x:c r="M295" s="24" t="str">
        <x:v>하허호</x:v>
      </x:c>
      <x:c r="N295" s="30"/>
    </x:row>
    <x:row r="296" ht="17.25" customHeight="1">
      <x:c r="A296" s="24" t="str">
        <x:v>E-00295</x:v>
      </x:c>
      <x:c r="B296" s="24" t="str">
        <x:v>스위치플랜</x:v>
      </x:c>
      <x:c r="C296" s="24" t="str">
        <x:v>330모8787</x:v>
      </x:c>
      <x:c r="D296" s="30" t="n">
        <x:v>45495</x:v>
      </x:c>
      <x:c r="E296" s="24" t="str">
        <x:v>계약시작</x:v>
      </x:c>
      <x:c r="F296" s="24" t="str"/>
      <x:c r="G296" s="24" t="str">
        <x:v>대여중</x:v>
      </x:c>
      <x:c r="H296" s="32" t="n">
        <x:v>1160000</x:v>
      </x:c>
      <x:c r="I296" s="24" t="str">
        <x:v>SW-C-330모8787-3-20240722-88</x:v>
      </x:c>
      <x:c r="J296" s="24" t="str">
        <x:v>김황중</x:v>
      </x:c>
      <x:c r="K296" s="24" t="str">
        <x:v>구독대여 계약 시작</x:v>
      </x:c>
      <x:c r="L296" s="24" t="str"/>
      <x:c r="M296" s="24" t="str">
        <x:v>하허호</x:v>
      </x:c>
      <x:c r="N296" s="30" t="n">
        <x:v>45495</x:v>
      </x:c>
    </x:row>
    <x:row r="297" ht="17.25" customHeight="1">
      <x:c r="A297" s="24" t="str">
        <x:v>E-00296</x:v>
      </x:c>
      <x:c r="B297" s="24" t="str">
        <x:v>스위치플랜</x:v>
      </x:c>
      <x:c r="C297" s="24" t="str">
        <x:v>330모8787</x:v>
      </x:c>
      <x:c r="D297" s="30" t="n">
        <x:v>45576</x:v>
      </x:c>
      <x:c r="E297" s="24" t="str">
        <x:v>반납</x:v>
      </x:c>
      <x:c r="F297" s="24" t="str">
        <x:v>대여중</x:v>
      </x:c>
      <x:c r="G297" s="24" t="str">
        <x:v>쉬는차</x:v>
      </x:c>
      <x:c r="H297" s="32"/>
      <x:c r="I297" s="24" t="str">
        <x:v>SW-C-330모8787-3-20240722-88</x:v>
      </x:c>
      <x:c r="J297" s="24" t="str">
        <x:v>김황중</x:v>
      </x:c>
      <x:c r="K297" s="24" t="str">
        <x:v>차량 반납</x:v>
      </x:c>
      <x:c r="L297" s="24" t="str"/>
      <x:c r="M297" s="24" t="str">
        <x:v>하허호</x:v>
      </x:c>
      <x:c r="N297" s="30" t="n">
        <x:v>45576</x:v>
      </x:c>
    </x:row>
    <x:row r="298" ht="17.25" customHeight="1">
      <x:c r="A298" s="24" t="str">
        <x:v>E-00297</x:v>
      </x:c>
      <x:c r="B298" s="24" t="str">
        <x:v>스위치플랜</x:v>
      </x:c>
      <x:c r="C298" s="24" t="str">
        <x:v>330모8787</x:v>
      </x:c>
      <x:c r="D298" s="30" t="n">
        <x:v>45433</x:v>
      </x:c>
      <x:c r="E298" s="24" t="str">
        <x:v>계약시작</x:v>
      </x:c>
      <x:c r="F298" s="24" t="str"/>
      <x:c r="G298" s="24" t="str">
        <x:v>대여중</x:v>
      </x:c>
      <x:c r="H298" s="32" t="n">
        <x:v>950000</x:v>
      </x:c>
      <x:c r="I298" s="24" t="str">
        <x:v>SW-C-330모8787-4-20240521-88</x:v>
      </x:c>
      <x:c r="J298" s="24" t="str">
        <x:v>황두호</x:v>
      </x:c>
      <x:c r="K298" s="24" t="str">
        <x:v>구독대여 계약 시작</x:v>
      </x:c>
      <x:c r="L298" s="24" t="str"/>
      <x:c r="M298" s="24" t="str">
        <x:v>카랜(주)</x:v>
      </x:c>
      <x:c r="N298" s="30" t="n">
        <x:v>45433</x:v>
      </x:c>
    </x:row>
    <x:row r="299" ht="17.25" customHeight="1">
      <x:c r="A299" s="24" t="str">
        <x:v>E-00298</x:v>
      </x:c>
      <x:c r="B299" s="24" t="str">
        <x:v>스위치플랜</x:v>
      </x:c>
      <x:c r="C299" s="24" t="str">
        <x:v>330모8787</x:v>
      </x:c>
      <x:c r="D299" s="30" t="n">
        <x:v>45481</x:v>
      </x:c>
      <x:c r="E299" s="24" t="str">
        <x:v>반납</x:v>
      </x:c>
      <x:c r="F299" s="24" t="str">
        <x:v>대여중</x:v>
      </x:c>
      <x:c r="G299" s="24" t="str">
        <x:v>쉬는차</x:v>
      </x:c>
      <x:c r="H299" s="32"/>
      <x:c r="I299" s="24" t="str">
        <x:v>SW-C-330모8787-4-20240521-88</x:v>
      </x:c>
      <x:c r="J299" s="24" t="str">
        <x:v>황두호</x:v>
      </x:c>
      <x:c r="K299" s="24" t="str">
        <x:v>차량 반납</x:v>
      </x:c>
      <x:c r="L299" s="24" t="str"/>
      <x:c r="M299" s="24" t="str">
        <x:v>카랜(주)</x:v>
      </x:c>
      <x:c r="N299" s="30" t="n">
        <x:v>45481</x:v>
      </x:c>
    </x:row>
    <x:row r="300" ht="17.25" customHeight="1">
      <x:c r="A300" s="24" t="str">
        <x:v>E-00299</x:v>
      </x:c>
      <x:c r="B300" s="24" t="str">
        <x:v>스위치플랜</x:v>
      </x:c>
      <x:c r="C300" s="24" t="str">
        <x:v>330모8787</x:v>
      </x:c>
      <x:c r="D300" s="30" t="n">
        <x:v>46837</x:v>
      </x:c>
      <x:c r="E300" s="24" t="str">
        <x:v>계약시작</x:v>
      </x:c>
      <x:c r="F300" s="24" t="str"/>
      <x:c r="G300" s="24" t="str">
        <x:v>대여중</x:v>
      </x:c>
      <x:c r="H300" s="32" t="n">
        <x:v>45377</x:v>
      </x:c>
      <x:c r="I300" s="24" t="str">
        <x:v>SW-C-330모8787-5-20280325-88</x:v>
      </x:c>
      <x:c r="J300" s="24" t="str">
        <x:v>김대환</x:v>
      </x:c>
      <x:c r="K300" s="24" t="str">
        <x:v>구독대여 계약 시작</x:v>
      </x:c>
      <x:c r="L300" s="24" t="str"/>
      <x:c r="M300" s="24" t="str">
        <x:v>카랜(주)</x:v>
      </x:c>
      <x:c r="N300" s="30" t="n">
        <x:v>46837</x:v>
      </x:c>
    </x:row>
    <x:row r="301" ht="17.25" customHeight="1">
      <x:c r="A301" s="24" t="str">
        <x:v>E-00300</x:v>
      </x:c>
      <x:c r="B301" s="24" t="str">
        <x:v>스위치플랜</x:v>
      </x:c>
      <x:c r="C301" s="24" t="str">
        <x:v>330모8787</x:v>
      </x:c>
      <x:c r="D301" s="30"/>
      <x:c r="E301" s="24" t="str">
        <x:v>반납</x:v>
      </x:c>
      <x:c r="F301" s="24" t="str">
        <x:v>대여중</x:v>
      </x:c>
      <x:c r="G301" s="24" t="str">
        <x:v>쉬는차</x:v>
      </x:c>
      <x:c r="H301" s="32"/>
      <x:c r="I301" s="24" t="str">
        <x:v>SW-C-330모8787-5-20280325-88</x:v>
      </x:c>
      <x:c r="J301" s="24" t="str">
        <x:v>김대환</x:v>
      </x:c>
      <x:c r="K301" s="24" t="str">
        <x:v>차량 반납</x:v>
      </x:c>
      <x:c r="L301" s="24" t="str"/>
      <x:c r="M301" s="24" t="str">
        <x:v>카랜(주)</x:v>
      </x:c>
      <x:c r="N301" s="30"/>
    </x:row>
    <x:row r="302" ht="17.25" customHeight="1">
      <x:c r="A302" s="24" t="str">
        <x:v>E-00301</x:v>
      </x:c>
      <x:c r="B302" s="24" t="str">
        <x:v>스위치플랜</x:v>
      </x:c>
      <x:c r="C302" s="24" t="str">
        <x:v>330모8787</x:v>
      </x:c>
      <x:c r="D302" s="30" t="n">
        <x:v>46725</x:v>
      </x:c>
      <x:c r="E302" s="24" t="str">
        <x:v>계약시작</x:v>
      </x:c>
      <x:c r="F302" s="24" t="str"/>
      <x:c r="G302" s="24" t="str">
        <x:v>대여중</x:v>
      </x:c>
      <x:c r="H302" s="32" t="n">
        <x:v>45265</x:v>
      </x:c>
      <x:c r="I302" s="24" t="str">
        <x:v>SW-C-330모8787-6-20271204-88</x:v>
      </x:c>
      <x:c r="J302" s="24" t="str">
        <x:v>최준희</x:v>
      </x:c>
      <x:c r="K302" s="24" t="str">
        <x:v>구독대여 계약 시작</x:v>
      </x:c>
      <x:c r="L302" s="24" t="str"/>
      <x:c r="M302" s="24" t="str">
        <x:v>SI</x:v>
      </x:c>
      <x:c r="N302" s="30" t="n">
        <x:v>46725</x:v>
      </x:c>
    </x:row>
    <x:row r="303" ht="17.25" customHeight="1">
      <x:c r="A303" s="24" t="str">
        <x:v>E-00302</x:v>
      </x:c>
      <x:c r="B303" s="24" t="str">
        <x:v>스위치플랜</x:v>
      </x:c>
      <x:c r="C303" s="24" t="str">
        <x:v>330모8787</x:v>
      </x:c>
      <x:c r="D303" s="30"/>
      <x:c r="E303" s="24" t="str">
        <x:v>반납</x:v>
      </x:c>
      <x:c r="F303" s="24" t="str">
        <x:v>대여중</x:v>
      </x:c>
      <x:c r="G303" s="24" t="str">
        <x:v>쉬는차</x:v>
      </x:c>
      <x:c r="H303" s="32"/>
      <x:c r="I303" s="24" t="str">
        <x:v>SW-C-330모8787-6-20271204-88</x:v>
      </x:c>
      <x:c r="J303" s="24" t="str">
        <x:v>최준희</x:v>
      </x:c>
      <x:c r="K303" s="24" t="str">
        <x:v>차량 반납</x:v>
      </x:c>
      <x:c r="L303" s="24" t="str"/>
      <x:c r="M303" s="24" t="str">
        <x:v>SI</x:v>
      </x:c>
      <x:c r="N303" s="30"/>
    </x:row>
    <x:row r="304" ht="17.25" customHeight="1">
      <x:c r="A304" s="24" t="str">
        <x:v>E-00303</x:v>
      </x:c>
      <x:c r="B304" s="24" t="str">
        <x:v>스위치플랜</x:v>
      </x:c>
      <x:c r="C304" s="24" t="str">
        <x:v>186고4026</x:v>
      </x:c>
      <x:c r="D304" s="30" t="n">
        <x:v>45442</x:v>
      </x:c>
      <x:c r="E304" s="24" t="str">
        <x:v>계약시작</x:v>
      </x:c>
      <x:c r="F304" s="24" t="str"/>
      <x:c r="G304" s="24" t="str">
        <x:v>대여중</x:v>
      </x:c>
      <x:c r="H304" s="32" t="n">
        <x:v>1100000</x:v>
      </x:c>
      <x:c r="I304" s="24" t="str">
        <x:v>SW-C-186고4026-1-20240530-89</x:v>
      </x:c>
      <x:c r="J304" s="24" t="str">
        <x:v>김경호</x:v>
      </x:c>
      <x:c r="K304" s="24" t="str">
        <x:v>구독대여 계약 시작</x:v>
      </x:c>
      <x:c r="L304" s="24" t="str"/>
      <x:c r="M304" s="24" t="str">
        <x:v>카랜(주)</x:v>
      </x:c>
      <x:c r="N304" s="30" t="n">
        <x:v>45442</x:v>
      </x:c>
    </x:row>
    <x:row r="305" ht="17.25" customHeight="1">
      <x:c r="A305" s="24" t="str">
        <x:v>E-00304</x:v>
      </x:c>
      <x:c r="B305" s="24" t="str">
        <x:v>스위치플랜</x:v>
      </x:c>
      <x:c r="C305" s="24" t="str">
        <x:v>151나8783</x:v>
      </x:c>
      <x:c r="D305" s="30" t="n">
        <x:v>46122</x:v>
      </x:c>
      <x:c r="E305" s="24" t="str">
        <x:v>계약시작</x:v>
      </x:c>
      <x:c r="F305" s="24" t="str"/>
      <x:c r="G305" s="24" t="str">
        <x:v>대여중</x:v>
      </x:c>
      <x:c r="H305" s="32" t="n">
        <x:v>880000</x:v>
      </x:c>
      <x:c r="I305" s="24" t="str">
        <x:v>SW-C-151나8783-1-20260410-90</x:v>
      </x:c>
      <x:c r="J305" s="24" t="str">
        <x:v>황우정</x:v>
      </x:c>
      <x:c r="K305" s="24" t="str">
        <x:v>구독대여 계약 시작</x:v>
      </x:c>
      <x:c r="L305" s="24" t="str"/>
      <x:c r="M305" s="24" t="str">
        <x:v>하허호</x:v>
      </x:c>
      <x:c r="N305" s="30" t="n">
        <x:v>46122</x:v>
      </x:c>
    </x:row>
    <x:row r="306" ht="17.25" customHeight="1">
      <x:c r="A306" s="24" t="str">
        <x:v>E-00305</x:v>
      </x:c>
      <x:c r="B306" s="24" t="str">
        <x:v>스위치플랜</x:v>
      </x:c>
      <x:c r="C306" s="24" t="str">
        <x:v>151나8783</x:v>
      </x:c>
      <x:c r="D306" s="30" t="n">
        <x:v>45827</x:v>
      </x:c>
      <x:c r="E306" s="24" t="str">
        <x:v>계약시작</x:v>
      </x:c>
      <x:c r="F306" s="24" t="str"/>
      <x:c r="G306" s="24" t="str">
        <x:v>대여중</x:v>
      </x:c>
      <x:c r="H306" s="32" t="n">
        <x:v>950000</x:v>
      </x:c>
      <x:c r="I306" s="24" t="str">
        <x:v>SW-C-151나8783-2-20250619-90</x:v>
      </x:c>
      <x:c r="J306" s="24" t="str">
        <x:v>최영</x:v>
      </x:c>
      <x:c r="K306" s="24" t="str">
        <x:v>구독대여 계약 시작</x:v>
      </x:c>
      <x:c r="L306" s="24" t="str"/>
      <x:c r="M306" s="24" t="str">
        <x:v>하허호</x:v>
      </x:c>
      <x:c r="N306" s="30" t="n">
        <x:v>45827</x:v>
      </x:c>
    </x:row>
    <x:row r="307" ht="17.25" customHeight="1">
      <x:c r="A307" s="24" t="str">
        <x:v>E-00306</x:v>
      </x:c>
      <x:c r="B307" s="24" t="str">
        <x:v>스위치플랜</x:v>
      </x:c>
      <x:c r="C307" s="24" t="str">
        <x:v>151나8783</x:v>
      </x:c>
      <x:c r="D307" s="30"/>
      <x:c r="E307" s="24" t="str">
        <x:v>반납</x:v>
      </x:c>
      <x:c r="F307" s="24" t="str">
        <x:v>대여중</x:v>
      </x:c>
      <x:c r="G307" s="24" t="str">
        <x:v>쉬는차</x:v>
      </x:c>
      <x:c r="H307" s="32"/>
      <x:c r="I307" s="24" t="str">
        <x:v>SW-C-151나8783-2-20250619-90</x:v>
      </x:c>
      <x:c r="J307" s="24" t="str">
        <x:v>최영</x:v>
      </x:c>
      <x:c r="K307" s="24" t="str">
        <x:v>차량 반납</x:v>
      </x:c>
      <x:c r="L307" s="24" t="str"/>
      <x:c r="M307" s="24" t="str">
        <x:v>하허호</x:v>
      </x:c>
      <x:c r="N307" s="30"/>
    </x:row>
    <x:row r="308" ht="17.25" customHeight="1">
      <x:c r="A308" s="24" t="str">
        <x:v>E-00307</x:v>
      </x:c>
      <x:c r="B308" s="24" t="str">
        <x:v>스위치플랜</x:v>
      </x:c>
      <x:c r="C308" s="24" t="str">
        <x:v>181조8459</x:v>
      </x:c>
      <x:c r="D308" s="30" t="n">
        <x:v>46132</x:v>
      </x:c>
      <x:c r="E308" s="24" t="str">
        <x:v>계약시작</x:v>
      </x:c>
      <x:c r="F308" s="24" t="str"/>
      <x:c r="G308" s="24" t="str">
        <x:v>대여중</x:v>
      </x:c>
      <x:c r="H308" s="32" t="n">
        <x:v>370000</x:v>
      </x:c>
      <x:c r="I308" s="24" t="str">
        <x:v>SW-C-181조8459-1-20260420-91</x:v>
      </x:c>
      <x:c r="J308" s="24" t="str">
        <x:v>배성호</x:v>
      </x:c>
      <x:c r="K308" s="24" t="str">
        <x:v>구독대여 계약 시작</x:v>
      </x:c>
      <x:c r="L308" s="24" t="str"/>
      <x:c r="M308" s="24" t="str"/>
      <x:c r="N308" s="30" t="n">
        <x:v>46132</x:v>
      </x:c>
    </x:row>
    <x:row r="309" ht="17.25" customHeight="1">
      <x:c r="A309" s="24" t="str">
        <x:v>E-00308</x:v>
      </x:c>
      <x:c r="B309" s="24" t="str">
        <x:v>스위치플랜</x:v>
      </x:c>
      <x:c r="C309" s="24" t="str">
        <x:v>181조8459</x:v>
      </x:c>
      <x:c r="D309" s="30" t="n">
        <x:v>45758</x:v>
      </x:c>
      <x:c r="E309" s="24" t="str">
        <x:v>계약시작</x:v>
      </x:c>
      <x:c r="F309" s="24" t="str"/>
      <x:c r="G309" s="24" t="str">
        <x:v>대여중</x:v>
      </x:c>
      <x:c r="H309" s="32" t="n">
        <x:v>500000</x:v>
      </x:c>
      <x:c r="I309" s="24" t="str">
        <x:v>SW-C-181조8459-2-20250411-91</x:v>
      </x:c>
      <x:c r="J309" s="24" t="str">
        <x:v>김지혜</x:v>
      </x:c>
      <x:c r="K309" s="24" t="str">
        <x:v>구독대여 계약 시작</x:v>
      </x:c>
      <x:c r="L309" s="24" t="str"/>
      <x:c r="M309" s="24" t="str">
        <x:v>하허호</x:v>
      </x:c>
      <x:c r="N309" s="30" t="n">
        <x:v>45758</x:v>
      </x:c>
    </x:row>
    <x:row r="310" ht="17.25" customHeight="1">
      <x:c r="A310" s="24" t="str">
        <x:v>E-00309</x:v>
      </x:c>
      <x:c r="B310" s="24" t="str">
        <x:v>스위치플랜</x:v>
      </x:c>
      <x:c r="C310" s="24" t="str">
        <x:v>181조8459</x:v>
      </x:c>
      <x:c r="D310" s="30" t="n">
        <x:v>46108</x:v>
      </x:c>
      <x:c r="E310" s="24" t="str">
        <x:v>반납</x:v>
      </x:c>
      <x:c r="F310" s="24" t="str">
        <x:v>대여중</x:v>
      </x:c>
      <x:c r="G310" s="24" t="str">
        <x:v>쉬는차</x:v>
      </x:c>
      <x:c r="H310" s="32"/>
      <x:c r="I310" s="24" t="str">
        <x:v>SW-C-181조8459-2-20250411-91</x:v>
      </x:c>
      <x:c r="J310" s="24" t="str">
        <x:v>김지혜</x:v>
      </x:c>
      <x:c r="K310" s="24" t="str">
        <x:v>차량 반납</x:v>
      </x:c>
      <x:c r="L310" s="24" t="str"/>
      <x:c r="M310" s="24" t="str">
        <x:v>하허호</x:v>
      </x:c>
      <x:c r="N310" s="30" t="n">
        <x:v>46108</x:v>
      </x:c>
    </x:row>
    <x:row r="311" ht="17.25" customHeight="1">
      <x:c r="A311" s="24" t="str">
        <x:v>E-00310</x:v>
      </x:c>
      <x:c r="B311" s="24" t="str">
        <x:v>스위치플랜</x:v>
      </x:c>
      <x:c r="C311" s="24" t="str">
        <x:v>181조8459</x:v>
      </x:c>
      <x:c r="D311" s="30" t="n">
        <x:v>45296</x:v>
      </x:c>
      <x:c r="E311" s="24" t="str">
        <x:v>계약시작</x:v>
      </x:c>
      <x:c r="F311" s="24" t="str"/>
      <x:c r="G311" s="24" t="str">
        <x:v>대여중</x:v>
      </x:c>
      <x:c r="H311" s="32" t="n">
        <x:v>580000</x:v>
      </x:c>
      <x:c r="I311" s="24" t="str">
        <x:v>SW-C-181조8459-3-20240105-91</x:v>
      </x:c>
      <x:c r="J311" s="24" t="str">
        <x:v>김정화</x:v>
      </x:c>
      <x:c r="K311" s="24" t="str">
        <x:v>구독대여 계약 시작</x:v>
      </x:c>
      <x:c r="L311" s="24" t="str"/>
      <x:c r="M311" s="24" t="str">
        <x:v>GNA</x:v>
      </x:c>
      <x:c r="N311" s="30" t="n">
        <x:v>45296</x:v>
      </x:c>
    </x:row>
    <x:row r="312" ht="17.25" customHeight="1">
      <x:c r="A312" s="24" t="str">
        <x:v>E-00311</x:v>
      </x:c>
      <x:c r="B312" s="24" t="str">
        <x:v>스위치플랜</x:v>
      </x:c>
      <x:c r="C312" s="24" t="str">
        <x:v>181조8459</x:v>
      </x:c>
      <x:c r="D312" s="30" t="n">
        <x:v>45742</x:v>
      </x:c>
      <x:c r="E312" s="24" t="str">
        <x:v>반납</x:v>
      </x:c>
      <x:c r="F312" s="24" t="str">
        <x:v>대여중</x:v>
      </x:c>
      <x:c r="G312" s="24" t="str">
        <x:v>쉬는차</x:v>
      </x:c>
      <x:c r="H312" s="32"/>
      <x:c r="I312" s="24" t="str">
        <x:v>SW-C-181조8459-3-20240105-91</x:v>
      </x:c>
      <x:c r="J312" s="24" t="str">
        <x:v>김정화</x:v>
      </x:c>
      <x:c r="K312" s="24" t="str">
        <x:v>차량 반납</x:v>
      </x:c>
      <x:c r="L312" s="24" t="str"/>
      <x:c r="M312" s="24" t="str">
        <x:v>GNA</x:v>
      </x:c>
      <x:c r="N312" s="30" t="n">
        <x:v>45742</x:v>
      </x:c>
    </x:row>
    <x:row r="313" ht="17.25" customHeight="1">
      <x:c r="A313" s="24" t="str">
        <x:v>E-00312</x:v>
      </x:c>
      <x:c r="B313" s="24" t="str">
        <x:v>스위치플랜</x:v>
      </x:c>
      <x:c r="C313" s="24" t="str">
        <x:v>120라5445</x:v>
      </x:c>
      <x:c r="D313" s="30" t="n">
        <x:v>45268</x:v>
      </x:c>
      <x:c r="E313" s="24" t="str">
        <x:v>계약시작</x:v>
      </x:c>
      <x:c r="F313" s="24" t="str"/>
      <x:c r="G313" s="24" t="str">
        <x:v>대여중</x:v>
      </x:c>
      <x:c r="H313" s="32" t="n">
        <x:v>540000</x:v>
      </x:c>
      <x:c r="I313" s="24" t="str">
        <x:v>SW-C-120라5445-1-20231208-92</x:v>
      </x:c>
      <x:c r="J313" s="24" t="str">
        <x:v>백민정</x:v>
      </x:c>
      <x:c r="K313" s="24" t="str">
        <x:v>구독대여 계약 시작</x:v>
      </x:c>
      <x:c r="L313" s="24" t="str"/>
      <x:c r="M313" s="24" t="str">
        <x:v>SI</x:v>
      </x:c>
      <x:c r="N313" s="30" t="n">
        <x:v>45268</x:v>
      </x:c>
    </x:row>
    <x:row r="314" ht="17.25" customHeight="1">
      <x:c r="A314" s="24" t="str">
        <x:v>E-00313</x:v>
      </x:c>
      <x:c r="B314" s="24" t="str">
        <x:v>스위치플랜</x:v>
      </x:c>
      <x:c r="C314" s="24" t="str">
        <x:v>363소9788</x:v>
      </x:c>
      <x:c r="D314" s="30" t="n">
        <x:v>45806</x:v>
      </x:c>
      <x:c r="E314" s="24" t="str">
        <x:v>계약시작</x:v>
      </x:c>
      <x:c r="F314" s="24" t="str"/>
      <x:c r="G314" s="24" t="str">
        <x:v>대여중</x:v>
      </x:c>
      <x:c r="H314" s="32" t="n">
        <x:v>360000</x:v>
      </x:c>
      <x:c r="I314" s="24" t="str">
        <x:v>SW-C-363소9788-1-20250529-93</x:v>
      </x:c>
      <x:c r="J314" s="24" t="str">
        <x:v>김기남</x:v>
      </x:c>
      <x:c r="K314" s="24" t="str">
        <x:v>구독대여 계약 시작</x:v>
      </x:c>
      <x:c r="L314" s="24" t="str"/>
      <x:c r="M314" s="24" t="str">
        <x:v>하허호</x:v>
      </x:c>
      <x:c r="N314" s="30" t="n">
        <x:v>45806</x:v>
      </x:c>
    </x:row>
    <x:row r="315" ht="17.25" customHeight="1">
      <x:c r="A315" s="24" t="str">
        <x:v>E-00314</x:v>
      </x:c>
      <x:c r="B315" s="24" t="str">
        <x:v>스위치플랜</x:v>
      </x:c>
      <x:c r="C315" s="24" t="str">
        <x:v>363소9788</x:v>
      </x:c>
      <x:c r="D315" s="30" t="n">
        <x:v>45358</x:v>
      </x:c>
      <x:c r="E315" s="24" t="str">
        <x:v>계약시작</x:v>
      </x:c>
      <x:c r="F315" s="24" t="str"/>
      <x:c r="G315" s="24" t="str">
        <x:v>대여중</x:v>
      </x:c>
      <x:c r="H315" s="32" t="n">
        <x:v>460000</x:v>
      </x:c>
      <x:c r="I315" s="24" t="str">
        <x:v>SW-C-363소9788-2-20240307-93</x:v>
      </x:c>
      <x:c r="J315" s="24" t="str">
        <x:v>김철</x:v>
      </x:c>
      <x:c r="K315" s="24" t="str">
        <x:v>구독대여 계약 시작</x:v>
      </x:c>
      <x:c r="L315" s="24" t="str"/>
      <x:c r="M315" s="24" t="str">
        <x:v>카랜(주)</x:v>
      </x:c>
      <x:c r="N315" s="30" t="n">
        <x:v>45358</x:v>
      </x:c>
    </x:row>
    <x:row r="316" ht="17.25" customHeight="1">
      <x:c r="A316" s="24" t="str">
        <x:v>E-00315</x:v>
      </x:c>
      <x:c r="B316" s="24" t="str">
        <x:v>스위치플랜</x:v>
      </x:c>
      <x:c r="C316" s="24" t="str">
        <x:v>363소9788</x:v>
      </x:c>
      <x:c r="D316" s="30" t="n">
        <x:v>46150</x:v>
      </x:c>
      <x:c r="E316" s="24" t="str">
        <x:v>반납</x:v>
      </x:c>
      <x:c r="F316" s="24" t="str">
        <x:v>대여중</x:v>
      </x:c>
      <x:c r="G316" s="24" t="str">
        <x:v>쉬는차</x:v>
      </x:c>
      <x:c r="H316" s="32"/>
      <x:c r="I316" s="24" t="str">
        <x:v>SW-C-363소9788-2-20240307-93</x:v>
      </x:c>
      <x:c r="J316" s="24" t="str">
        <x:v>김철</x:v>
      </x:c>
      <x:c r="K316" s="24" t="str">
        <x:v>차량 반납</x:v>
      </x:c>
      <x:c r="L316" s="24" t="str"/>
      <x:c r="M316" s="24" t="str">
        <x:v>카랜(주)</x:v>
      </x:c>
      <x:c r="N316" s="30" t="n">
        <x:v>46150</x:v>
      </x:c>
    </x:row>
    <x:row r="317" ht="17.25" customHeight="1">
      <x:c r="A317" s="24" t="str">
        <x:v>E-00316</x:v>
      </x:c>
      <x:c r="B317" s="24" t="str">
        <x:v>스위치플랜</x:v>
      </x:c>
      <x:c r="C317" s="24" t="str">
        <x:v>162버2918</x:v>
      </x:c>
      <x:c r="D317" s="30" t="n">
        <x:v>45482</x:v>
      </x:c>
      <x:c r="E317" s="24" t="str">
        <x:v>계약시작</x:v>
      </x:c>
      <x:c r="F317" s="24" t="str"/>
      <x:c r="G317" s="24" t="str">
        <x:v>대여중</x:v>
      </x:c>
      <x:c r="H317" s="32" t="n">
        <x:v>950000</x:v>
      </x:c>
      <x:c r="I317" s="24" t="str">
        <x:v>SW-C-162버2918-1-20240709-94</x:v>
      </x:c>
      <x:c r="J317" s="24" t="str">
        <x:v>박소희</x:v>
      </x:c>
      <x:c r="K317" s="24" t="str">
        <x:v>구독대여 계약 시작</x:v>
      </x:c>
      <x:c r="L317" s="24" t="str"/>
      <x:c r="M317" s="24" t="str">
        <x:v>황제</x:v>
      </x:c>
      <x:c r="N317" s="30" t="n">
        <x:v>45482</x:v>
      </x:c>
    </x:row>
    <x:row r="318" ht="17.25" customHeight="1">
      <x:c r="A318" s="24" t="str">
        <x:v>E-00317</x:v>
      </x:c>
      <x:c r="B318" s="24" t="str">
        <x:v>스위치플랜</x:v>
      </x:c>
      <x:c r="C318" s="24" t="str">
        <x:v>286주8294</x:v>
      </x:c>
      <x:c r="D318" s="30" t="n">
        <x:v>45744</x:v>
      </x:c>
      <x:c r="E318" s="24" t="str">
        <x:v>계약시작</x:v>
      </x:c>
      <x:c r="F318" s="24" t="str"/>
      <x:c r="G318" s="24" t="str">
        <x:v>대여중</x:v>
      </x:c>
      <x:c r="H318" s="32" t="n">
        <x:v>1020000</x:v>
      </x:c>
      <x:c r="I318" s="24" t="str">
        <x:v>SW-C-286주8294-1-20250328-95</x:v>
      </x:c>
      <x:c r="J318" s="24" t="str">
        <x:v>성진우</x:v>
      </x:c>
      <x:c r="K318" s="24" t="str">
        <x:v>구독대여 계약 시작</x:v>
      </x:c>
      <x:c r="L318" s="24" t="str"/>
      <x:c r="M318" s="24" t="str">
        <x:v>하허호</x:v>
      </x:c>
      <x:c r="N318" s="30" t="n">
        <x:v>45744</x:v>
      </x:c>
    </x:row>
    <x:row r="319" ht="17.25" customHeight="1">
      <x:c r="A319" s="24" t="str">
        <x:v>E-00318</x:v>
      </x:c>
      <x:c r="B319" s="24" t="str">
        <x:v>스위치플랜</x:v>
      </x:c>
      <x:c r="C319" s="24" t="str">
        <x:v>286주8294</x:v>
      </x:c>
      <x:c r="D319" s="30" t="n">
        <x:v>45457</x:v>
      </x:c>
      <x:c r="E319" s="24" t="str">
        <x:v>계약시작</x:v>
      </x:c>
      <x:c r="F319" s="24" t="str"/>
      <x:c r="G319" s="24" t="str">
        <x:v>대여중</x:v>
      </x:c>
      <x:c r="H319" s="32" t="n">
        <x:v>1090000</x:v>
      </x:c>
      <x:c r="I319" s="24" t="str">
        <x:v>SW-C-286주8294-2-20240614-95</x:v>
      </x:c>
      <x:c r="J319" s="24" t="str">
        <x:v>이경훈</x:v>
      </x:c>
      <x:c r="K319" s="24" t="str">
        <x:v>구독대여 계약 시작</x:v>
      </x:c>
      <x:c r="L319" s="24" t="str"/>
      <x:c r="M319" s="24" t="str">
        <x:v>카랜(주)</x:v>
      </x:c>
      <x:c r="N319" s="30" t="n">
        <x:v>45457</x:v>
      </x:c>
    </x:row>
    <x:row r="320" ht="17.25" customHeight="1">
      <x:c r="A320" s="24" t="str">
        <x:v>E-00319</x:v>
      </x:c>
      <x:c r="B320" s="24" t="str">
        <x:v>스위치플랜</x:v>
      </x:c>
      <x:c r="C320" s="24" t="str">
        <x:v>286주8294</x:v>
      </x:c>
      <x:c r="D320" s="30" t="n">
        <x:v>45744</x:v>
      </x:c>
      <x:c r="E320" s="24" t="str">
        <x:v>반납</x:v>
      </x:c>
      <x:c r="F320" s="24" t="str">
        <x:v>대여중</x:v>
      </x:c>
      <x:c r="G320" s="24" t="str">
        <x:v>쉬는차</x:v>
      </x:c>
      <x:c r="H320" s="32"/>
      <x:c r="I320" s="24" t="str">
        <x:v>SW-C-286주8294-2-20240614-95</x:v>
      </x:c>
      <x:c r="J320" s="24" t="str">
        <x:v>이경훈</x:v>
      </x:c>
      <x:c r="K320" s="24" t="str">
        <x:v>차량 반납</x:v>
      </x:c>
      <x:c r="L320" s="24" t="str"/>
      <x:c r="M320" s="24" t="str">
        <x:v>카랜(주)</x:v>
      </x:c>
      <x:c r="N320" s="30" t="n">
        <x:v>45744</x:v>
      </x:c>
    </x:row>
    <x:row r="321" ht="17.25" customHeight="1">
      <x:c r="A321" s="24" t="str">
        <x:v>E-00320</x:v>
      </x:c>
      <x:c r="B321" s="24" t="str">
        <x:v>스위치플랜</x:v>
      </x:c>
      <x:c r="C321" s="24" t="str">
        <x:v>347다5712</x:v>
      </x:c>
      <x:c r="D321" s="30" t="n">
        <x:v>45370</x:v>
      </x:c>
      <x:c r="E321" s="24" t="str">
        <x:v>계약시작</x:v>
      </x:c>
      <x:c r="F321" s="24" t="str"/>
      <x:c r="G321" s="24" t="str">
        <x:v>대여중</x:v>
      </x:c>
      <x:c r="H321" s="32" t="n">
        <x:v>510000</x:v>
      </x:c>
      <x:c r="I321" s="24" t="str">
        <x:v>SW-C-347다5712-1-20240319-96</x:v>
      </x:c>
      <x:c r="J321" s="24" t="str">
        <x:v>이은진</x:v>
      </x:c>
      <x:c r="K321" s="24" t="str">
        <x:v>구독대여 계약 시작</x:v>
      </x:c>
      <x:c r="L321" s="24" t="str"/>
      <x:c r="M321" s="24" t="str">
        <x:v>카랜(주)</x:v>
      </x:c>
      <x:c r="N321" s="30" t="n">
        <x:v>45370</x:v>
      </x:c>
    </x:row>
    <x:row r="322" ht="17.25" customHeight="1">
      <x:c r="A322" s="24" t="str">
        <x:v>E-00321</x:v>
      </x:c>
      <x:c r="B322" s="24" t="str">
        <x:v>스위치플랜</x:v>
      </x:c>
      <x:c r="C322" s="24" t="str">
        <x:v>257구2888</x:v>
      </x:c>
      <x:c r="D322" s="30" t="n">
        <x:v>45891</x:v>
      </x:c>
      <x:c r="E322" s="24" t="str">
        <x:v>계약시작</x:v>
      </x:c>
      <x:c r="F322" s="24" t="str"/>
      <x:c r="G322" s="24" t="str">
        <x:v>대여중</x:v>
      </x:c>
      <x:c r="H322" s="32" t="n">
        <x:v>680000</x:v>
      </x:c>
      <x:c r="I322" s="24" t="str">
        <x:v>SW-C-257구2888-2-20250822-97</x:v>
      </x:c>
      <x:c r="J322" s="24" t="str">
        <x:v>김대경</x:v>
      </x:c>
      <x:c r="K322" s="24" t="str">
        <x:v>구독대여 계약 시작</x:v>
      </x:c>
      <x:c r="L322" s="24" t="str"/>
      <x:c r="M322" s="24" t="str">
        <x:v>하허호</x:v>
      </x:c>
      <x:c r="N322" s="30" t="n">
        <x:v>45891</x:v>
      </x:c>
    </x:row>
    <x:row r="323" ht="17.25" customHeight="1">
      <x:c r="A323" s="24" t="str">
        <x:v>E-00322</x:v>
      </x:c>
      <x:c r="B323" s="24" t="str">
        <x:v>스위치플랜</x:v>
      </x:c>
      <x:c r="C323" s="24" t="str">
        <x:v>257구2888</x:v>
      </x:c>
      <x:c r="D323" s="30" t="n">
        <x:v>46223</x:v>
      </x:c>
      <x:c r="E323" s="24" t="str">
        <x:v>반납</x:v>
      </x:c>
      <x:c r="F323" s="24" t="str">
        <x:v>대여중</x:v>
      </x:c>
      <x:c r="G323" s="24" t="str">
        <x:v>쉬는차</x:v>
      </x:c>
      <x:c r="H323" s="32"/>
      <x:c r="I323" s="24" t="str">
        <x:v>SW-C-257구2888-2-20250822-97</x:v>
      </x:c>
      <x:c r="J323" s="24" t="str">
        <x:v>김대경</x:v>
      </x:c>
      <x:c r="K323" s="24" t="str">
        <x:v>차량 반납</x:v>
      </x:c>
      <x:c r="L323" s="24" t="str"/>
      <x:c r="M323" s="24" t="str">
        <x:v>하허호</x:v>
      </x:c>
      <x:c r="N323" s="30" t="n">
        <x:v>46223</x:v>
      </x:c>
    </x:row>
    <x:row r="324" ht="17.25" customHeight="1">
      <x:c r="A324" s="24" t="str">
        <x:v>E-00323</x:v>
      </x:c>
      <x:c r="B324" s="24" t="str">
        <x:v>스위치플랜</x:v>
      </x:c>
      <x:c r="C324" s="24" t="str">
        <x:v>257구2888</x:v>
      </x:c>
      <x:c r="D324" s="30" t="n">
        <x:v>45707</x:v>
      </x:c>
      <x:c r="E324" s="24" t="str">
        <x:v>계약시작</x:v>
      </x:c>
      <x:c r="F324" s="24" t="str"/>
      <x:c r="G324" s="24" t="str">
        <x:v>대여중</x:v>
      </x:c>
      <x:c r="H324" s="32" t="n">
        <x:v>680000</x:v>
      </x:c>
      <x:c r="I324" s="24" t="str">
        <x:v>SW-C-257구2888-3-20250219-97</x:v>
      </x:c>
      <x:c r="J324" s="24" t="str">
        <x:v>이민우</x:v>
      </x:c>
      <x:c r="K324" s="24" t="str">
        <x:v>구독대여 계약 시작</x:v>
      </x:c>
      <x:c r="L324" s="24" t="str"/>
      <x:c r="M324" s="24" t="str">
        <x:v>하허호</x:v>
      </x:c>
      <x:c r="N324" s="30" t="n">
        <x:v>45707</x:v>
      </x:c>
    </x:row>
    <x:row r="325" ht="17.25" customHeight="1">
      <x:c r="A325" s="24" t="str">
        <x:v>E-00324</x:v>
      </x:c>
      <x:c r="B325" s="24" t="str">
        <x:v>스위치플랜</x:v>
      </x:c>
      <x:c r="C325" s="24" t="str">
        <x:v>257구2888</x:v>
      </x:c>
      <x:c r="D325" s="30"/>
      <x:c r="E325" s="24" t="str">
        <x:v>반납</x:v>
      </x:c>
      <x:c r="F325" s="24" t="str">
        <x:v>대여중</x:v>
      </x:c>
      <x:c r="G325" s="24" t="str">
        <x:v>쉬는차</x:v>
      </x:c>
      <x:c r="H325" s="32"/>
      <x:c r="I325" s="24" t="str">
        <x:v>SW-C-257구2888-3-20250219-97</x:v>
      </x:c>
      <x:c r="J325" s="24" t="str">
        <x:v>이민우</x:v>
      </x:c>
      <x:c r="K325" s="24" t="str">
        <x:v>차량 반납</x:v>
      </x:c>
      <x:c r="L325" s="24" t="str"/>
      <x:c r="M325" s="24" t="str">
        <x:v>하허호</x:v>
      </x:c>
      <x:c r="N325" s="30"/>
    </x:row>
    <x:row r="326" ht="17.25" customHeight="1">
      <x:c r="A326" s="24" t="str">
        <x:v>E-00325</x:v>
      </x:c>
      <x:c r="B326" s="24" t="str">
        <x:v>스위치플랜</x:v>
      </x:c>
      <x:c r="C326" s="24" t="str">
        <x:v>126서4223</x:v>
      </x:c>
      <x:c r="D326" s="30" t="n">
        <x:v>46189</x:v>
      </x:c>
      <x:c r="E326" s="24" t="str">
        <x:v>계약시작</x:v>
      </x:c>
      <x:c r="F326" s="24" t="str"/>
      <x:c r="G326" s="24" t="str">
        <x:v>대여중</x:v>
      </x:c>
      <x:c r="H326" s="32" t="n">
        <x:v>1070000</x:v>
      </x:c>
      <x:c r="I326" s="24" t="str">
        <x:v>SW-C-126서4223-1-20260616-98</x:v>
      </x:c>
      <x:c r="J326" s="24" t="str">
        <x:v>김민창</x:v>
      </x:c>
      <x:c r="K326" s="24" t="str">
        <x:v>구독대여 계약 시작</x:v>
      </x:c>
      <x:c r="L326" s="24" t="str"/>
      <x:c r="M326" s="24" t="str">
        <x:v>하허호</x:v>
      </x:c>
      <x:c r="N326" s="30" t="n">
        <x:v>46189</x:v>
      </x:c>
    </x:row>
    <x:row r="327" ht="17.25" customHeight="1">
      <x:c r="A327" s="24" t="str">
        <x:v>E-00326</x:v>
      </x:c>
      <x:c r="B327" s="24" t="str">
        <x:v>스위치플랜</x:v>
      </x:c>
      <x:c r="C327" s="24" t="str">
        <x:v>126서4223</x:v>
      </x:c>
      <x:c r="D327" s="30" t="n">
        <x:v>45825</x:v>
      </x:c>
      <x:c r="E327" s="24" t="str">
        <x:v>계약시작</x:v>
      </x:c>
      <x:c r="F327" s="24" t="str"/>
      <x:c r="G327" s="24" t="str">
        <x:v>대여중</x:v>
      </x:c>
      <x:c r="H327" s="32" t="n">
        <x:v>1070000</x:v>
      </x:c>
      <x:c r="I327" s="24" t="str">
        <x:v>SW-C-126서4223-2-20250617-98</x:v>
      </x:c>
      <x:c r="J327" s="24" t="str">
        <x:v>김민창</x:v>
      </x:c>
      <x:c r="K327" s="24" t="str">
        <x:v>구독대여 계약 시작</x:v>
      </x:c>
      <x:c r="L327" s="24" t="str"/>
      <x:c r="M327" s="24" t="str">
        <x:v>하허호</x:v>
      </x:c>
      <x:c r="N327" s="30" t="n">
        <x:v>45825</x:v>
      </x:c>
    </x:row>
    <x:row r="328" ht="17.25" customHeight="1">
      <x:c r="A328" s="24" t="str">
        <x:v>E-00327</x:v>
      </x:c>
      <x:c r="B328" s="24" t="str">
        <x:v>스위치플랜</x:v>
      </x:c>
      <x:c r="C328" s="24" t="str">
        <x:v>126서4223</x:v>
      </x:c>
      <x:c r="D328" s="30"/>
      <x:c r="E328" s="24" t="str">
        <x:v>반납</x:v>
      </x:c>
      <x:c r="F328" s="24" t="str">
        <x:v>대여중</x:v>
      </x:c>
      <x:c r="G328" s="24" t="str">
        <x:v>쉬는차</x:v>
      </x:c>
      <x:c r="H328" s="32"/>
      <x:c r="I328" s="24" t="str">
        <x:v>SW-C-126서4223-2-20250617-98</x:v>
      </x:c>
      <x:c r="J328" s="24" t="str">
        <x:v>김민창</x:v>
      </x:c>
      <x:c r="K328" s="24" t="str">
        <x:v>차량 반납</x:v>
      </x:c>
      <x:c r="L328" s="24" t="str"/>
      <x:c r="M328" s="24" t="str">
        <x:v>하허호</x:v>
      </x:c>
      <x:c r="N328" s="30"/>
    </x:row>
    <x:row r="329" ht="17.25" customHeight="1">
      <x:c r="A329" s="24" t="str">
        <x:v>E-00328</x:v>
      </x:c>
      <x:c r="B329" s="24" t="str">
        <x:v>스위치플랜</x:v>
      </x:c>
      <x:c r="C329" s="24" t="str">
        <x:v>391서7476</x:v>
      </x:c>
      <x:c r="D329" s="30" t="n">
        <x:v>46037</x:v>
      </x:c>
      <x:c r="E329" s="24" t="str">
        <x:v>계약시작</x:v>
      </x:c>
      <x:c r="F329" s="24" t="str"/>
      <x:c r="G329" s="24" t="str">
        <x:v>대여중</x:v>
      </x:c>
      <x:c r="H329" s="32" t="n">
        <x:v>1000000</x:v>
      </x:c>
      <x:c r="I329" s="24" t="str">
        <x:v>SW-C-391서7476-1-20260115-99</x:v>
      </x:c>
      <x:c r="J329" s="24" t="str">
        <x:v>태재완</x:v>
      </x:c>
      <x:c r="K329" s="24" t="str">
        <x:v>구독대여 계약 시작</x:v>
      </x:c>
      <x:c r="L329" s="24" t="str"/>
      <x:c r="M329" s="24" t="str">
        <x:v>하허호</x:v>
      </x:c>
      <x:c r="N329" s="30" t="n">
        <x:v>46037</x:v>
      </x:c>
    </x:row>
    <x:row r="330" ht="17.25" customHeight="1">
      <x:c r="A330" s="24" t="str">
        <x:v>E-00329</x:v>
      </x:c>
      <x:c r="B330" s="24" t="str">
        <x:v>스위치플랜</x:v>
      </x:c>
      <x:c r="C330" s="24" t="str">
        <x:v>391서7476</x:v>
      </x:c>
      <x:c r="D330" s="30" t="n">
        <x:v>45842</x:v>
      </x:c>
      <x:c r="E330" s="24" t="str">
        <x:v>계약시작</x:v>
      </x:c>
      <x:c r="F330" s="24" t="str"/>
      <x:c r="G330" s="24" t="str">
        <x:v>대여중</x:v>
      </x:c>
      <x:c r="H330" s="32" t="n">
        <x:v>1000000</x:v>
      </x:c>
      <x:c r="I330" s="24" t="str">
        <x:v>SW-C-391서7476-2-20250704-99</x:v>
      </x:c>
      <x:c r="J330" s="24" t="str">
        <x:v>김현욱</x:v>
      </x:c>
      <x:c r="K330" s="24" t="str">
        <x:v>구독대여 계약 시작</x:v>
      </x:c>
      <x:c r="L330" s="24" t="str"/>
      <x:c r="M330" s="24" t="str"/>
      <x:c r="N330" s="30" t="n">
        <x:v>45842</x:v>
      </x:c>
    </x:row>
    <x:row r="331" ht="17.25" customHeight="1">
      <x:c r="A331" s="24" t="str">
        <x:v>E-00330</x:v>
      </x:c>
      <x:c r="B331" s="24" t="str">
        <x:v>스위치플랜</x:v>
      </x:c>
      <x:c r="C331" s="24" t="str">
        <x:v>391서7476</x:v>
      </x:c>
      <x:c r="D331" s="30" t="n">
        <x:v>46029</x:v>
      </x:c>
      <x:c r="E331" s="24" t="str">
        <x:v>반납</x:v>
      </x:c>
      <x:c r="F331" s="24" t="str">
        <x:v>대여중</x:v>
      </x:c>
      <x:c r="G331" s="24" t="str">
        <x:v>쉬는차</x:v>
      </x:c>
      <x:c r="H331" s="32"/>
      <x:c r="I331" s="24" t="str">
        <x:v>SW-C-391서7476-2-20250704-99</x:v>
      </x:c>
      <x:c r="J331" s="24" t="str">
        <x:v>김현욱</x:v>
      </x:c>
      <x:c r="K331" s="24" t="str">
        <x:v>차량 반납</x:v>
      </x:c>
      <x:c r="L331" s="24" t="str"/>
      <x:c r="M331" s="24" t="str"/>
      <x:c r="N331" s="30" t="n">
        <x:v>46029</x:v>
      </x:c>
    </x:row>
    <x:row r="332" ht="17.25" customHeight="1">
      <x:c r="A332" s="24" t="str">
        <x:v>E-00331</x:v>
      </x:c>
      <x:c r="B332" s="24" t="str">
        <x:v>스위치플랜</x:v>
      </x:c>
      <x:c r="C332" s="24" t="str">
        <x:v>391서7476</x:v>
      </x:c>
      <x:c r="D332" s="30" t="n">
        <x:v>45756</x:v>
      </x:c>
      <x:c r="E332" s="24" t="str">
        <x:v>계약시작</x:v>
      </x:c>
      <x:c r="F332" s="24" t="str"/>
      <x:c r="G332" s="24" t="str">
        <x:v>대여중</x:v>
      </x:c>
      <x:c r="H332" s="32" t="n">
        <x:v>950000</x:v>
      </x:c>
      <x:c r="I332" s="24" t="str">
        <x:v>SW-C-391서7476-3-20250409-99</x:v>
      </x:c>
      <x:c r="J332" s="24" t="str">
        <x:v>박명규</x:v>
      </x:c>
      <x:c r="K332" s="24" t="str">
        <x:v>구독대여 계약 시작</x:v>
      </x:c>
      <x:c r="L332" s="24" t="str"/>
      <x:c r="M332" s="24" t="str">
        <x:v>하허호</x:v>
      </x:c>
      <x:c r="N332" s="30" t="n">
        <x:v>45756</x:v>
      </x:c>
    </x:row>
    <x:row r="333" ht="17.25" customHeight="1">
      <x:c r="A333" s="24" t="str">
        <x:v>E-00332</x:v>
      </x:c>
      <x:c r="B333" s="24" t="str">
        <x:v>스위치플랜</x:v>
      </x:c>
      <x:c r="C333" s="24" t="str">
        <x:v>391서7476</x:v>
      </x:c>
      <x:c r="D333" s="30" t="n">
        <x:v>45836</x:v>
      </x:c>
      <x:c r="E333" s="24" t="str">
        <x:v>반납</x:v>
      </x:c>
      <x:c r="F333" s="24" t="str">
        <x:v>대여중</x:v>
      </x:c>
      <x:c r="G333" s="24" t="str">
        <x:v>쉬는차</x:v>
      </x:c>
      <x:c r="H333" s="32"/>
      <x:c r="I333" s="24" t="str">
        <x:v>SW-C-391서7476-3-20250409-99</x:v>
      </x:c>
      <x:c r="J333" s="24" t="str">
        <x:v>박명규</x:v>
      </x:c>
      <x:c r="K333" s="24" t="str">
        <x:v>차량 반납</x:v>
      </x:c>
      <x:c r="L333" s="24" t="str"/>
      <x:c r="M333" s="24" t="str">
        <x:v>하허호</x:v>
      </x:c>
      <x:c r="N333" s="30" t="n">
        <x:v>45836</x:v>
      </x:c>
    </x:row>
    <x:row r="334" ht="17.25" customHeight="1">
      <x:c r="A334" s="24" t="str">
        <x:v>E-00333</x:v>
      </x:c>
      <x:c r="B334" s="24" t="str">
        <x:v>스위치플랜</x:v>
      </x:c>
      <x:c r="C334" s="24" t="str">
        <x:v>391서7476</x:v>
      </x:c>
      <x:c r="D334" s="30" t="n">
        <x:v>45643</x:v>
      </x:c>
      <x:c r="E334" s="24" t="str">
        <x:v>계약시작</x:v>
      </x:c>
      <x:c r="F334" s="24" t="str"/>
      <x:c r="G334" s="24" t="str">
        <x:v>대여중</x:v>
      </x:c>
      <x:c r="H334" s="32" t="n">
        <x:v>1530000</x:v>
      </x:c>
      <x:c r="I334" s="24" t="str">
        <x:v>SW-C-391서7476-4-20241217-99</x:v>
      </x:c>
      <x:c r="J334" s="24" t="str">
        <x:v>김진혁</x:v>
      </x:c>
      <x:c r="K334" s="24" t="str">
        <x:v>구독대여 계약 시작</x:v>
      </x:c>
      <x:c r="L334" s="24" t="str"/>
      <x:c r="M334" s="24" t="str">
        <x:v>카랜(주)</x:v>
      </x:c>
      <x:c r="N334" s="30" t="n">
        <x:v>45643</x:v>
      </x:c>
    </x:row>
    <x:row r="335" ht="17.25" customHeight="1">
      <x:c r="A335" s="24" t="str">
        <x:v>E-00334</x:v>
      </x:c>
      <x:c r="B335" s="24" t="str">
        <x:v>스위치플랜</x:v>
      </x:c>
      <x:c r="C335" s="24" t="str">
        <x:v>391서7476</x:v>
      </x:c>
      <x:c r="D335" s="30" t="n">
        <x:v>45742</x:v>
      </x:c>
      <x:c r="E335" s="24" t="str">
        <x:v>반납</x:v>
      </x:c>
      <x:c r="F335" s="24" t="str">
        <x:v>대여중</x:v>
      </x:c>
      <x:c r="G335" s="24" t="str">
        <x:v>쉬는차</x:v>
      </x:c>
      <x:c r="H335" s="32"/>
      <x:c r="I335" s="24" t="str">
        <x:v>SW-C-391서7476-4-20241217-99</x:v>
      </x:c>
      <x:c r="J335" s="24" t="str">
        <x:v>김진혁</x:v>
      </x:c>
      <x:c r="K335" s="24" t="str">
        <x:v>차량 반납</x:v>
      </x:c>
      <x:c r="L335" s="24" t="str"/>
      <x:c r="M335" s="24" t="str">
        <x:v>카랜(주)</x:v>
      </x:c>
      <x:c r="N335" s="30" t="n">
        <x:v>45742</x:v>
      </x:c>
    </x:row>
    <x:row r="336" ht="17.25" customHeight="1">
      <x:c r="A336" s="24" t="str">
        <x:v>E-00335</x:v>
      </x:c>
      <x:c r="B336" s="24" t="str">
        <x:v>스위치플랜</x:v>
      </x:c>
      <x:c r="C336" s="24" t="str">
        <x:v>391서7476</x:v>
      </x:c>
      <x:c r="D336" s="30" t="n">
        <x:v>45729</x:v>
      </x:c>
      <x:c r="E336" s="24" t="str">
        <x:v>계약시작</x:v>
      </x:c>
      <x:c r="F336" s="24" t="str"/>
      <x:c r="G336" s="24" t="str">
        <x:v>대여중</x:v>
      </x:c>
      <x:c r="H336" s="32" t="n">
        <x:v>45365</x:v>
      </x:c>
      <x:c r="I336" s="24" t="str">
        <x:v>SW-C-391서7476-5-20250313-99</x:v>
      </x:c>
      <x:c r="J336" s="24" t="str">
        <x:v>김서운</x:v>
      </x:c>
      <x:c r="K336" s="24" t="str">
        <x:v>구독대여 계약 시작</x:v>
      </x:c>
      <x:c r="L336" s="24" t="str"/>
      <x:c r="M336" s="24" t="str">
        <x:v>카랜(주)</x:v>
      </x:c>
      <x:c r="N336" s="30" t="n">
        <x:v>45729</x:v>
      </x:c>
    </x:row>
    <x:row r="337" ht="17.25" customHeight="1">
      <x:c r="A337" s="24" t="str">
        <x:v>E-00336</x:v>
      </x:c>
      <x:c r="B337" s="24" t="str">
        <x:v>스위치플랜</x:v>
      </x:c>
      <x:c r="C337" s="24" t="str">
        <x:v>391서7476</x:v>
      </x:c>
      <x:c r="D337" s="30"/>
      <x:c r="E337" s="24" t="str">
        <x:v>반납</x:v>
      </x:c>
      <x:c r="F337" s="24" t="str">
        <x:v>대여중</x:v>
      </x:c>
      <x:c r="G337" s="24" t="str">
        <x:v>쉬는차</x:v>
      </x:c>
      <x:c r="H337" s="32"/>
      <x:c r="I337" s="24" t="str">
        <x:v>SW-C-391서7476-5-20250313-99</x:v>
      </x:c>
      <x:c r="J337" s="24" t="str">
        <x:v>김서운</x:v>
      </x:c>
      <x:c r="K337" s="24" t="str">
        <x:v>차량 반납</x:v>
      </x:c>
      <x:c r="L337" s="24" t="str"/>
      <x:c r="M337" s="24" t="str">
        <x:v>카랜(주)</x:v>
      </x:c>
      <x:c r="N337" s="30"/>
    </x:row>
    <x:row r="338" ht="17.25" customHeight="1">
      <x:c r="A338" s="24" t="str">
        <x:v>E-00337</x:v>
      </x:c>
      <x:c r="B338" s="24" t="str">
        <x:v>스위치플랜</x:v>
      </x:c>
      <x:c r="C338" s="24" t="str">
        <x:v>139우7166</x:v>
      </x:c>
      <x:c r="D338" s="30" t="n">
        <x:v>45257</x:v>
      </x:c>
      <x:c r="E338" s="24" t="str">
        <x:v>계약시작</x:v>
      </x:c>
      <x:c r="F338" s="24" t="str"/>
      <x:c r="G338" s="24" t="str">
        <x:v>대여중</x:v>
      </x:c>
      <x:c r="H338" s="32" t="n">
        <x:v>750000</x:v>
      </x:c>
      <x:c r="I338" s="24" t="str">
        <x:v>SW-C-139우7166-1-20231127-100</x:v>
      </x:c>
      <x:c r="J338" s="24" t="str">
        <x:v>박진택</x:v>
      </x:c>
      <x:c r="K338" s="24" t="str">
        <x:v>구독대여 계약 시작</x:v>
      </x:c>
      <x:c r="L338" s="24" t="str"/>
      <x:c r="M338" s="24" t="str"/>
      <x:c r="N338" s="30" t="n">
        <x:v>45257</x:v>
      </x:c>
    </x:row>
    <x:row r="339" ht="17.25" customHeight="1">
      <x:c r="A339" s="24" t="str">
        <x:v>E-00338</x:v>
      </x:c>
      <x:c r="B339" s="24" t="str">
        <x:v>스위치플랜</x:v>
      </x:c>
      <x:c r="C339" s="24" t="str">
        <x:v>41호8302</x:v>
      </x:c>
      <x:c r="D339" s="30" t="n">
        <x:v>46098</x:v>
      </x:c>
      <x:c r="E339" s="24" t="str">
        <x:v>계약시작</x:v>
      </x:c>
      <x:c r="F339" s="24" t="str"/>
      <x:c r="G339" s="24" t="str">
        <x:v>대여중</x:v>
      </x:c>
      <x:c r="H339" s="32" t="n">
        <x:v>700000</x:v>
      </x:c>
      <x:c r="I339" s="24" t="str">
        <x:v>SW-C-41호8302-1-20260317-103</x:v>
      </x:c>
      <x:c r="J339" s="24" t="str">
        <x:v>김성은</x:v>
      </x:c>
      <x:c r="K339" s="24" t="str">
        <x:v>구독대여 계약 시작</x:v>
      </x:c>
      <x:c r="L339" s="24" t="str"/>
      <x:c r="M339" s="24" t="str"/>
      <x:c r="N339" s="30" t="n">
        <x:v>46098</x:v>
      </x:c>
    </x:row>
    <x:row r="340" ht="17.25" customHeight="1">
      <x:c r="A340" s="24" t="str">
        <x:v>E-00339</x:v>
      </x:c>
      <x:c r="B340" s="24" t="str">
        <x:v>스위치플랜</x:v>
      </x:c>
      <x:c r="C340" s="24" t="str">
        <x:v>41호8303</x:v>
      </x:c>
      <x:c r="D340" s="30" t="n">
        <x:v>46079</x:v>
      </x:c>
      <x:c r="E340" s="24" t="str">
        <x:v>계약시작</x:v>
      </x:c>
      <x:c r="F340" s="24" t="str"/>
      <x:c r="G340" s="24" t="str">
        <x:v>대여중</x:v>
      </x:c>
      <x:c r="H340" s="32" t="n">
        <x:v>700000</x:v>
      </x:c>
      <x:c r="I340" s="24" t="str">
        <x:v>SW-C-41호8303-1-20260226-104</x:v>
      </x:c>
      <x:c r="J340" s="24" t="str">
        <x:v>또바기</x:v>
      </x:c>
      <x:c r="K340" s="24" t="str">
        <x:v>구독대여 계약 시작</x:v>
      </x:c>
      <x:c r="L340" s="24" t="str"/>
      <x:c r="M340" s="24" t="str"/>
      <x:c r="N340" s="30" t="n">
        <x:v>46079</x:v>
      </x:c>
    </x:row>
    <x:row r="341" ht="17.25" customHeight="1">
      <x:c r="A341" s="24" t="str">
        <x:v>E-00340</x:v>
      </x:c>
      <x:c r="B341" s="24" t="str">
        <x:v>스위치플랜</x:v>
      </x:c>
      <x:c r="C341" s="24" t="str">
        <x:v>41호8304</x:v>
      </x:c>
      <x:c r="D341" s="30" t="n">
        <x:v>46065</x:v>
      </x:c>
      <x:c r="E341" s="24" t="str">
        <x:v>계약시작</x:v>
      </x:c>
      <x:c r="F341" s="24" t="str"/>
      <x:c r="G341" s="24" t="str">
        <x:v>대여중</x:v>
      </x:c>
      <x:c r="H341" s="32" t="n">
        <x:v>700000</x:v>
      </x:c>
      <x:c r="I341" s="24" t="str">
        <x:v>SW-C-41호8304-2-20260212-105</x:v>
      </x:c>
      <x:c r="J341" s="24" t="str">
        <x:v>권현근</x:v>
      </x:c>
      <x:c r="K341" s="24" t="str">
        <x:v>구독대여 계약 시작</x:v>
      </x:c>
      <x:c r="L341" s="24" t="str"/>
      <x:c r="M341" s="24" t="str">
        <x:v>하허호</x:v>
      </x:c>
      <x:c r="N341" s="30" t="n">
        <x:v>46065</x:v>
      </x:c>
    </x:row>
    <x:row r="342" ht="17.25" customHeight="1">
      <x:c r="A342" s="24" t="str">
        <x:v>E-00341</x:v>
      </x:c>
      <x:c r="B342" s="24" t="str">
        <x:v>스위치플랜</x:v>
      </x:c>
      <x:c r="C342" s="24" t="str">
        <x:v>41호8304</x:v>
      </x:c>
      <x:c r="D342" s="30" t="n">
        <x:v>46134</x:v>
      </x:c>
      <x:c r="E342" s="24" t="str">
        <x:v>반납</x:v>
      </x:c>
      <x:c r="F342" s="24" t="str">
        <x:v>대여중</x:v>
      </x:c>
      <x:c r="G342" s="24" t="str">
        <x:v>쉬는차</x:v>
      </x:c>
      <x:c r="H342" s="32"/>
      <x:c r="I342" s="24" t="str">
        <x:v>SW-C-41호8304-2-20260212-105</x:v>
      </x:c>
      <x:c r="J342" s="24" t="str">
        <x:v>권현근</x:v>
      </x:c>
      <x:c r="K342" s="24" t="str">
        <x:v>차량 반납</x:v>
      </x:c>
      <x:c r="L342" s="24" t="str"/>
      <x:c r="M342" s="24" t="str">
        <x:v>하허호</x:v>
      </x:c>
      <x:c r="N342" s="30" t="n">
        <x:v>46134</x:v>
      </x:c>
    </x:row>
    <x:row r="343" ht="17.25" customHeight="1">
      <x:c r="A343" s="24" t="str">
        <x:v>E-00342</x:v>
      </x:c>
      <x:c r="B343" s="24" t="str">
        <x:v>스위치플랜</x:v>
      </x:c>
      <x:c r="C343" s="24" t="str">
        <x:v>41호8306</x:v>
      </x:c>
      <x:c r="D343" s="30" t="n">
        <x:v>46150</x:v>
      </x:c>
      <x:c r="E343" s="24" t="str">
        <x:v>계약시작</x:v>
      </x:c>
      <x:c r="F343" s="24" t="str"/>
      <x:c r="G343" s="24" t="str">
        <x:v>대여중</x:v>
      </x:c>
      <x:c r="H343" s="32" t="n">
        <x:v>700000</x:v>
      </x:c>
      <x:c r="I343" s="24" t="str">
        <x:v>SW-C-41호8306-2-20260508-106</x:v>
      </x:c>
      <x:c r="J343" s="24" t="str">
        <x:v>정선기</x:v>
      </x:c>
      <x:c r="K343" s="24" t="str">
        <x:v>구독대여 계약 시작</x:v>
      </x:c>
      <x:c r="L343" s="24" t="str"/>
      <x:c r="M343" s="24" t="str"/>
      <x:c r="N343" s="30" t="n">
        <x:v>46150</x:v>
      </x:c>
    </x:row>
    <x:row r="344" ht="17.25" customHeight="1">
      <x:c r="A344" s="24" t="str">
        <x:v>E-00343</x:v>
      </x:c>
      <x:c r="B344" s="24" t="str">
        <x:v>스위치플랜</x:v>
      </x:c>
      <x:c r="C344" s="24" t="str">
        <x:v>41호8306</x:v>
      </x:c>
      <x:c r="D344" s="30" t="n">
        <x:v>46198</x:v>
      </x:c>
      <x:c r="E344" s="24" t="str">
        <x:v>반납</x:v>
      </x:c>
      <x:c r="F344" s="24" t="str">
        <x:v>대여중</x:v>
      </x:c>
      <x:c r="G344" s="24" t="str">
        <x:v>쉬는차</x:v>
      </x:c>
      <x:c r="H344" s="32"/>
      <x:c r="I344" s="24" t="str">
        <x:v>SW-C-41호8306-2-20260508-106</x:v>
      </x:c>
      <x:c r="J344" s="24" t="str">
        <x:v>정선기</x:v>
      </x:c>
      <x:c r="K344" s="24" t="str">
        <x:v>차량 반납</x:v>
      </x:c>
      <x:c r="L344" s="24" t="str"/>
      <x:c r="M344" s="24" t="str"/>
      <x:c r="N344" s="30" t="n">
        <x:v>46198</x:v>
      </x:c>
    </x:row>
    <x:row r="345" ht="17.25" customHeight="1">
      <x:c r="A345" s="24" t="str">
        <x:v>E-00344</x:v>
      </x:c>
      <x:c r="B345" s="24" t="str">
        <x:v>스위치플랜</x:v>
      </x:c>
      <x:c r="C345" s="24" t="str">
        <x:v>41호8306</x:v>
      </x:c>
      <x:c r="D345" s="30" t="n">
        <x:v>46092</x:v>
      </x:c>
      <x:c r="E345" s="24" t="str">
        <x:v>계약시작</x:v>
      </x:c>
      <x:c r="F345" s="24" t="str"/>
      <x:c r="G345" s="24" t="str">
        <x:v>대여중</x:v>
      </x:c>
      <x:c r="H345" s="32" t="n">
        <x:v>700000</x:v>
      </x:c>
      <x:c r="I345" s="24" t="str">
        <x:v>SW-C-41호8306-3-20260311-106</x:v>
      </x:c>
      <x:c r="J345" s="24" t="str">
        <x:v>김용빈</x:v>
      </x:c>
      <x:c r="K345" s="24" t="str">
        <x:v>구독대여 계약 시작</x:v>
      </x:c>
      <x:c r="L345" s="24" t="str"/>
      <x:c r="M345" s="24" t="str"/>
      <x:c r="N345" s="30" t="n">
        <x:v>46092</x:v>
      </x:c>
    </x:row>
    <x:row r="346" ht="17.25" customHeight="1">
      <x:c r="A346" s="24" t="str">
        <x:v>E-00345</x:v>
      </x:c>
      <x:c r="B346" s="24" t="str">
        <x:v>스위치플랜</x:v>
      </x:c>
      <x:c r="C346" s="24" t="str">
        <x:v>41호8306</x:v>
      </x:c>
      <x:c r="D346" s="30"/>
      <x:c r="E346" s="24" t="str">
        <x:v>반납</x:v>
      </x:c>
      <x:c r="F346" s="24" t="str">
        <x:v>대여중</x:v>
      </x:c>
      <x:c r="G346" s="24" t="str">
        <x:v>쉬는차</x:v>
      </x:c>
      <x:c r="H346" s="32"/>
      <x:c r="I346" s="24" t="str">
        <x:v>SW-C-41호8306-3-20260311-106</x:v>
      </x:c>
      <x:c r="J346" s="24" t="str">
        <x:v>김용빈</x:v>
      </x:c>
      <x:c r="K346" s="24" t="str">
        <x:v>차량 반납</x:v>
      </x:c>
      <x:c r="L346" s="24" t="str"/>
      <x:c r="M346" s="24" t="str"/>
      <x:c r="N346" s="30"/>
    </x:row>
    <x:row r="347" ht="17.25" customHeight="1">
      <x:c r="A347" s="24" t="str">
        <x:v>E-00346</x:v>
      </x:c>
      <x:c r="B347" s="24" t="str">
        <x:v>스위치플랜</x:v>
      </x:c>
      <x:c r="C347" s="24" t="str">
        <x:v>41호8307</x:v>
      </x:c>
      <x:c r="D347" s="30" t="n">
        <x:v>46091</x:v>
      </x:c>
      <x:c r="E347" s="24" t="str">
        <x:v>계약시작</x:v>
      </x:c>
      <x:c r="F347" s="24" t="str"/>
      <x:c r="G347" s="24" t="str">
        <x:v>대여중</x:v>
      </x:c>
      <x:c r="H347" s="32" t="n">
        <x:v>700000</x:v>
      </x:c>
      <x:c r="I347" s="24" t="str">
        <x:v>SW-C-41호8307-1-20260310-107</x:v>
      </x:c>
      <x:c r="J347" s="24" t="str">
        <x:v>박진용</x:v>
      </x:c>
      <x:c r="K347" s="24" t="str">
        <x:v>구독대여 계약 시작</x:v>
      </x:c>
      <x:c r="L347" s="24" t="str"/>
      <x:c r="M347" s="24" t="str"/>
      <x:c r="N347" s="30" t="n">
        <x:v>46091</x:v>
      </x:c>
    </x:row>
    <x:row r="348" ht="17.25" customHeight="1">
      <x:c r="A348" s="24" t="str">
        <x:v>E-00347</x:v>
      </x:c>
      <x:c r="B348" s="24" t="str">
        <x:v>스위치플랜</x:v>
      </x:c>
      <x:c r="C348" s="24" t="str">
        <x:v>17하3915</x:v>
      </x:c>
      <x:c r="D348" s="30" t="n">
        <x:v>46127</x:v>
      </x:c>
      <x:c r="E348" s="24" t="str">
        <x:v>계약시작</x:v>
      </x:c>
      <x:c r="F348" s="24" t="str"/>
      <x:c r="G348" s="24" t="str">
        <x:v>대여중</x:v>
      </x:c>
      <x:c r="H348" s="32" t="n">
        <x:v>730000</x:v>
      </x:c>
      <x:c r="I348" s="24" t="str">
        <x:v>SW-C-17하3915-1-20260415-108</x:v>
      </x:c>
      <x:c r="J348" s="24" t="str">
        <x:v>천설</x:v>
      </x:c>
      <x:c r="K348" s="24" t="str">
        <x:v>구독대여 계약 시작</x:v>
      </x:c>
      <x:c r="L348" s="24" t="str"/>
      <x:c r="M348" s="24" t="str"/>
      <x:c r="N348" s="30" t="n">
        <x:v>46127</x:v>
      </x:c>
    </x:row>
    <x:row r="349" ht="17.25" customHeight="1">
      <x:c r="A349" s="24" t="str">
        <x:v>E-00348</x:v>
      </x:c>
      <x:c r="B349" s="24" t="str">
        <x:v>스위치플랜</x:v>
      </x:c>
      <x:c r="C349" s="24" t="str">
        <x:v>17하3922</x:v>
      </x:c>
      <x:c r="D349" s="30" t="n">
        <x:v>46080</x:v>
      </x:c>
      <x:c r="E349" s="24" t="str">
        <x:v>계약시작</x:v>
      </x:c>
      <x:c r="F349" s="24" t="str"/>
      <x:c r="G349" s="24" t="str">
        <x:v>대여중</x:v>
      </x:c>
      <x:c r="H349" s="32" t="n">
        <x:v>800000</x:v>
      </x:c>
      <x:c r="I349" s="24" t="str">
        <x:v>SW-C-17하3922-1-20260227-109</x:v>
      </x:c>
      <x:c r="J349" s="24" t="str">
        <x:v>김상호</x:v>
      </x:c>
      <x:c r="K349" s="24" t="str">
        <x:v>구독대여 계약 시작</x:v>
      </x:c>
      <x:c r="L349" s="24" t="str"/>
      <x:c r="M349" s="24" t="str"/>
      <x:c r="N349" s="30" t="n">
        <x:v>46080</x:v>
      </x:c>
    </x:row>
    <x:row r="350" ht="17.25" customHeight="1">
      <x:c r="A350" s="24" t="str">
        <x:v>E-00349</x:v>
      </x:c>
      <x:c r="B350" s="24" t="str">
        <x:v>스위치플랜</x:v>
      </x:c>
      <x:c r="C350" s="24" t="str">
        <x:v>75두7416</x:v>
      </x:c>
      <x:c r="D350" s="30"/>
      <x:c r="E350" s="24" t="str">
        <x:v>계약시작</x:v>
      </x:c>
      <x:c r="F350" s="24" t="str"/>
      <x:c r="G350" s="24" t="str">
        <x:v>대여중</x:v>
      </x:c>
      <x:c r="H350" s="32" t="n">
        <x:v>630000</x:v>
      </x:c>
      <x:c r="I350" s="24" t="str">
        <x:v>SW-C-75두7416-1-26-110</x:v>
      </x:c>
      <x:c r="J350" s="24" t="str">
        <x:v>이훈7416</x:v>
      </x:c>
      <x:c r="K350" s="24" t="str">
        <x:v>지인 계약 시작</x:v>
      </x:c>
      <x:c r="L350" s="24" t="str"/>
      <x:c r="M350" s="24" t="str"/>
      <x:c r="N350" s="30"/>
    </x:row>
    <x:row r="351" ht="17.25" customHeight="1">
      <x:c r="A351" s="24" t="str">
        <x:v>E-00350</x:v>
      </x:c>
      <x:c r="B351" s="24" t="str">
        <x:v>스위치플랜</x:v>
      </x:c>
      <x:c r="C351" s="24" t="str">
        <x:v>193우6313</x:v>
      </x:c>
      <x:c r="D351" s="30" t="n">
        <x:v>45391</x:v>
      </x:c>
      <x:c r="E351" s="24" t="str">
        <x:v>계약시작</x:v>
      </x:c>
      <x:c r="F351" s="24" t="str"/>
      <x:c r="G351" s="24" t="str">
        <x:v>대여중</x:v>
      </x:c>
      <x:c r="H351" s="32" t="n">
        <x:v>600000</x:v>
      </x:c>
      <x:c r="I351" s="24" t="str">
        <x:v>SW-C-193우6313-2-20240409-117</x:v>
      </x:c>
      <x:c r="J351" s="24" t="str">
        <x:v>나인웅</x:v>
      </x:c>
      <x:c r="K351" s="24" t="str">
        <x:v>구독대여 계약 시작</x:v>
      </x:c>
      <x:c r="L351" s="24" t="str"/>
      <x:c r="M351" s="24" t="str">
        <x:v>카랜(주)</x:v>
      </x:c>
      <x:c r="N351" s="30" t="n">
        <x:v>45391</x:v>
      </x:c>
    </x:row>
    <x:row r="352" ht="17.25" customHeight="1">
      <x:c r="A352" s="24" t="str">
        <x:v>E-00351</x:v>
      </x:c>
      <x:c r="B352" s="24" t="str">
        <x:v>스위치플랜</x:v>
      </x:c>
      <x:c r="C352" s="24" t="str">
        <x:v>193우6313</x:v>
      </x:c>
      <x:c r="D352" s="30" t="n">
        <x:v>45499</x:v>
      </x:c>
      <x:c r="E352" s="24" t="str">
        <x:v>반납</x:v>
      </x:c>
      <x:c r="F352" s="24" t="str">
        <x:v>대여중</x:v>
      </x:c>
      <x:c r="G352" s="24" t="str">
        <x:v>쉬는차</x:v>
      </x:c>
      <x:c r="H352" s="32"/>
      <x:c r="I352" s="24" t="str">
        <x:v>SW-C-193우6313-2-20240409-117</x:v>
      </x:c>
      <x:c r="J352" s="24" t="str">
        <x:v>나인웅</x:v>
      </x:c>
      <x:c r="K352" s="24" t="str">
        <x:v>차량 반납</x:v>
      </x:c>
      <x:c r="L352" s="24" t="str"/>
      <x:c r="M352" s="24" t="str">
        <x:v>카랜(주)</x:v>
      </x:c>
      <x:c r="N352" s="30" t="n">
        <x:v>45499</x:v>
      </x:c>
    </x:row>
    <x:row r="353" ht="17.25" customHeight="1">
      <x:c r="A353" s="24" t="str">
        <x:v>E-00352</x:v>
      </x:c>
      <x:c r="B353" s="24" t="str">
        <x:v>스위치플랜</x:v>
      </x:c>
      <x:c r="C353" s="24" t="str">
        <x:v>68모3867</x:v>
      </x:c>
      <x:c r="D353" s="30" t="n">
        <x:v>45250</x:v>
      </x:c>
      <x:c r="E353" s="24" t="str">
        <x:v>계약시작</x:v>
      </x:c>
      <x:c r="F353" s="24" t="str"/>
      <x:c r="G353" s="24" t="str">
        <x:v>대여중</x:v>
      </x:c>
      <x:c r="H353" s="32" t="n">
        <x:v>280000</x:v>
      </x:c>
      <x:c r="I353" s="24" t="str">
        <x:v>SW-C-68모3867-2-20231120-118</x:v>
      </x:c>
      <x:c r="J353" s="24" t="str">
        <x:v>썬이헤어샵</x:v>
      </x:c>
      <x:c r="K353" s="24" t="str">
        <x:v>구독대여 계약 시작</x:v>
      </x:c>
      <x:c r="L353" s="24" t="str"/>
      <x:c r="M353" s="24" t="str">
        <x:v>헬로</x:v>
      </x:c>
      <x:c r="N353" s="30" t="n">
        <x:v>45250</x:v>
      </x:c>
    </x:row>
    <x:row r="354" ht="17.25" customHeight="1">
      <x:c r="A354" s="24" t="str">
        <x:v>E-00353</x:v>
      </x:c>
      <x:c r="B354" s="24" t="str">
        <x:v>스위치플랜</x:v>
      </x:c>
      <x:c r="C354" s="24" t="str">
        <x:v>68모3867</x:v>
      </x:c>
      <x:c r="D354" s="30"/>
      <x:c r="E354" s="24" t="str">
        <x:v>반납</x:v>
      </x:c>
      <x:c r="F354" s="24" t="str">
        <x:v>대여중</x:v>
      </x:c>
      <x:c r="G354" s="24" t="str">
        <x:v>쉬는차</x:v>
      </x:c>
      <x:c r="H354" s="32"/>
      <x:c r="I354" s="24" t="str">
        <x:v>SW-C-68모3867-2-20231120-118</x:v>
      </x:c>
      <x:c r="J354" s="24" t="str">
        <x:v>썬이헤어샵</x:v>
      </x:c>
      <x:c r="K354" s="24" t="str">
        <x:v>차량 반납</x:v>
      </x:c>
      <x:c r="L354" s="24" t="str"/>
      <x:c r="M354" s="24" t="str">
        <x:v>헬로</x:v>
      </x:c>
      <x:c r="N354" s="30"/>
    </x:row>
    <x:row r="355" ht="17.25" customHeight="1">
      <x:c r="A355" s="24" t="str">
        <x:v>E-00354</x:v>
      </x:c>
      <x:c r="B355" s="24" t="str">
        <x:v>스위치플랜</x:v>
      </x:c>
      <x:c r="C355" s="24" t="str">
        <x:v>07모9002</x:v>
      </x:c>
      <x:c r="D355" s="30" t="n">
        <x:v>45302</x:v>
      </x:c>
      <x:c r="E355" s="24" t="str">
        <x:v>계약시작</x:v>
      </x:c>
      <x:c r="F355" s="24" t="str"/>
      <x:c r="G355" s="24" t="str">
        <x:v>대여중</x:v>
      </x:c>
      <x:c r="H355" s="32" t="n">
        <x:v>1910000</x:v>
      </x:c>
      <x:c r="I355" s="24" t="str">
        <x:v>SW-C-07모9002-2-20240111-119</x:v>
      </x:c>
      <x:c r="J355" s="24" t="str">
        <x:v>김민혁</x:v>
      </x:c>
      <x:c r="K355" s="24" t="str">
        <x:v>구독대여 계약 시작</x:v>
      </x:c>
      <x:c r="L355" s="24" t="str"/>
      <x:c r="M355" s="24" t="str">
        <x:v>개인AG</x:v>
      </x:c>
      <x:c r="N355" s="30" t="n">
        <x:v>45302</x:v>
      </x:c>
    </x:row>
    <x:row r="356" ht="17.25" customHeight="1">
      <x:c r="A356" s="24" t="str">
        <x:v>E-00355</x:v>
      </x:c>
      <x:c r="B356" s="24" t="str">
        <x:v>스위치플랜</x:v>
      </x:c>
      <x:c r="C356" s="24" t="str">
        <x:v>07모9002</x:v>
      </x:c>
      <x:c r="D356" s="30" t="n">
        <x:v>45491</x:v>
      </x:c>
      <x:c r="E356" s="24" t="str">
        <x:v>반납</x:v>
      </x:c>
      <x:c r="F356" s="24" t="str">
        <x:v>대여중</x:v>
      </x:c>
      <x:c r="G356" s="24" t="str">
        <x:v>쉬는차</x:v>
      </x:c>
      <x:c r="H356" s="32"/>
      <x:c r="I356" s="24" t="str">
        <x:v>SW-C-07모9002-2-20240111-119</x:v>
      </x:c>
      <x:c r="J356" s="24" t="str">
        <x:v>김민혁</x:v>
      </x:c>
      <x:c r="K356" s="24" t="str">
        <x:v>차량 반납</x:v>
      </x:c>
      <x:c r="L356" s="24" t="str"/>
      <x:c r="M356" s="24" t="str">
        <x:v>개인AG</x:v>
      </x:c>
      <x:c r="N356" s="30" t="n">
        <x:v>45491</x:v>
      </x:c>
    </x:row>
    <x:row r="357" ht="17.25" customHeight="1">
      <x:c r="A357" s="24" t="str">
        <x:v>E-00356</x:v>
      </x:c>
      <x:c r="B357" s="24" t="str">
        <x:v>스위치플랜</x:v>
      </x:c>
      <x:c r="C357" s="24" t="str">
        <x:v>81소3575</x:v>
      </x:c>
      <x:c r="D357" s="30" t="n">
        <x:v>45344</x:v>
      </x:c>
      <x:c r="E357" s="24" t="str">
        <x:v>계약시작</x:v>
      </x:c>
      <x:c r="F357" s="24" t="str"/>
      <x:c r="G357" s="24" t="str">
        <x:v>대여중</x:v>
      </x:c>
      <x:c r="H357" s="32" t="n">
        <x:v>800000</x:v>
      </x:c>
      <x:c r="I357" s="24" t="str">
        <x:v>SW-C-81소3575-2-20240222-120</x:v>
      </x:c>
      <x:c r="J357" s="24" t="str">
        <x:v>이범호</x:v>
      </x:c>
      <x:c r="K357" s="24" t="str">
        <x:v>구독대여 계약 시작</x:v>
      </x:c>
      <x:c r="L357" s="24" t="str"/>
      <x:c r="M357" s="24" t="str">
        <x:v>카랜(주)</x:v>
      </x:c>
      <x:c r="N357" s="30" t="n">
        <x:v>45344</x:v>
      </x:c>
    </x:row>
    <x:row r="358" ht="17.25" customHeight="1">
      <x:c r="A358" s="24" t="str">
        <x:v>E-00357</x:v>
      </x:c>
      <x:c r="B358" s="24" t="str">
        <x:v>스위치플랜</x:v>
      </x:c>
      <x:c r="C358" s="24" t="str">
        <x:v>81소3575</x:v>
      </x:c>
      <x:c r="D358" s="30" t="n">
        <x:v>45449</x:v>
      </x:c>
      <x:c r="E358" s="24" t="str">
        <x:v>반납</x:v>
      </x:c>
      <x:c r="F358" s="24" t="str">
        <x:v>대여중</x:v>
      </x:c>
      <x:c r="G358" s="24" t="str">
        <x:v>쉬는차</x:v>
      </x:c>
      <x:c r="H358" s="32"/>
      <x:c r="I358" s="24" t="str">
        <x:v>SW-C-81소3575-2-20240222-120</x:v>
      </x:c>
      <x:c r="J358" s="24" t="str">
        <x:v>이범호</x:v>
      </x:c>
      <x:c r="K358" s="24" t="str">
        <x:v>차량 반납</x:v>
      </x:c>
      <x:c r="L358" s="24" t="str"/>
      <x:c r="M358" s="24" t="str">
        <x:v>카랜(주)</x:v>
      </x:c>
      <x:c r="N358" s="30" t="n">
        <x:v>45449</x:v>
      </x:c>
    </x:row>
    <x:row r="359" ht="17.25" customHeight="1">
      <x:c r="A359" s="24" t="str">
        <x:v>E-00358</x:v>
      </x:c>
      <x:c r="B359" s="24" t="str">
        <x:v>스위치플랜</x:v>
      </x:c>
      <x:c r="C359" s="24" t="str">
        <x:v>283보6844</x:v>
      </x:c>
      <x:c r="D359" s="30" t="n">
        <x:v>45344</x:v>
      </x:c>
      <x:c r="E359" s="24" t="str">
        <x:v>계약시작</x:v>
      </x:c>
      <x:c r="F359" s="24" t="str"/>
      <x:c r="G359" s="24" t="str">
        <x:v>대여중</x:v>
      </x:c>
      <x:c r="H359" s="32" t="n">
        <x:v>770000</x:v>
      </x:c>
      <x:c r="I359" s="24" t="str">
        <x:v>SW-C-283보6844-2-20240222-121</x:v>
      </x:c>
      <x:c r="J359" s="24" t="str">
        <x:v>박수영</x:v>
      </x:c>
      <x:c r="K359" s="24" t="str">
        <x:v>구독대여 계약 시작</x:v>
      </x:c>
      <x:c r="L359" s="24" t="str"/>
      <x:c r="M359" s="24" t="str">
        <x:v>카랜(주)</x:v>
      </x:c>
      <x:c r="N359" s="30" t="n">
        <x:v>45344</x:v>
      </x:c>
    </x:row>
    <x:row r="360" ht="17.25" customHeight="1">
      <x:c r="A360" s="24" t="str">
        <x:v>E-00359</x:v>
      </x:c>
      <x:c r="B360" s="24" t="str">
        <x:v>스위치플랜</x:v>
      </x:c>
      <x:c r="C360" s="24" t="str">
        <x:v>13누0392</x:v>
      </x:c>
      <x:c r="D360" s="30" t="n">
        <x:v>45335</x:v>
      </x:c>
      <x:c r="E360" s="24" t="str">
        <x:v>계약시작</x:v>
      </x:c>
      <x:c r="F360" s="24" t="str"/>
      <x:c r="G360" s="24" t="str">
        <x:v>대여중</x:v>
      </x:c>
      <x:c r="H360" s="32" t="n">
        <x:v>560000</x:v>
      </x:c>
      <x:c r="I360" s="24" t="str">
        <x:v>SW-C-13누0392-2-20240213-122</x:v>
      </x:c>
      <x:c r="J360" s="24" t="str">
        <x:v>박요한</x:v>
      </x:c>
      <x:c r="K360" s="24" t="str">
        <x:v>구독대여 계약 시작</x:v>
      </x:c>
      <x:c r="L360" s="24" t="str"/>
      <x:c r="M360" s="24" t="str">
        <x:v>카랜(주)</x:v>
      </x:c>
      <x:c r="N360" s="30" t="n">
        <x:v>45335</x:v>
      </x:c>
    </x:row>
    <x:row r="361" ht="17.25" customHeight="1">
      <x:c r="A361" s="24" t="str">
        <x:v>E-00360</x:v>
      </x:c>
      <x:c r="B361" s="24" t="str">
        <x:v>스위치플랜</x:v>
      </x:c>
      <x:c r="C361" s="24" t="str">
        <x:v>13누0392</x:v>
      </x:c>
      <x:c r="D361" s="30" t="n">
        <x:v>45560</x:v>
      </x:c>
      <x:c r="E361" s="24" t="str">
        <x:v>반납</x:v>
      </x:c>
      <x:c r="F361" s="24" t="str">
        <x:v>대여중</x:v>
      </x:c>
      <x:c r="G361" s="24" t="str">
        <x:v>쉬는차</x:v>
      </x:c>
      <x:c r="H361" s="32"/>
      <x:c r="I361" s="24" t="str">
        <x:v>SW-C-13누0392-2-20240213-122</x:v>
      </x:c>
      <x:c r="J361" s="24" t="str">
        <x:v>박요한</x:v>
      </x:c>
      <x:c r="K361" s="24" t="str">
        <x:v>차량 반납</x:v>
      </x:c>
      <x:c r="L361" s="24" t="str"/>
      <x:c r="M361" s="24" t="str">
        <x:v>카랜(주)</x:v>
      </x:c>
      <x:c r="N361" s="30" t="n">
        <x:v>45560</x:v>
      </x:c>
    </x:row>
    <x:row r="362" ht="17.25" customHeight="1">
      <x:c r="A362" s="24" t="str">
        <x:v>E-00361</x:v>
      </x:c>
      <x:c r="B362" s="24" t="str">
        <x:v>스위치플랜</x:v>
      </x:c>
      <x:c r="C362" s="24" t="str">
        <x:v>13누0392</x:v>
      </x:c>
      <x:c r="D362" s="30" t="n">
        <x:v>45252</x:v>
      </x:c>
      <x:c r="E362" s="24" t="str">
        <x:v>계약시작</x:v>
      </x:c>
      <x:c r="F362" s="24" t="str"/>
      <x:c r="G362" s="24" t="str">
        <x:v>대여중</x:v>
      </x:c>
      <x:c r="H362" s="32" t="n">
        <x:v>590000</x:v>
      </x:c>
      <x:c r="I362" s="24" t="str">
        <x:v>SW-C-13누0392-3-20231122-122</x:v>
      </x:c>
      <x:c r="J362" s="24" t="str">
        <x:v>김성주</x:v>
      </x:c>
      <x:c r="K362" s="24" t="str">
        <x:v>LC 계약 시작</x:v>
      </x:c>
      <x:c r="L362" s="24" t="str"/>
      <x:c r="M362" s="24" t="str">
        <x:v>하허호</x:v>
      </x:c>
      <x:c r="N362" s="30" t="n">
        <x:v>45252</x:v>
      </x:c>
    </x:row>
    <x:row r="363" ht="17.25" customHeight="1">
      <x:c r="A363" s="24" t="str">
        <x:v>E-00362</x:v>
      </x:c>
      <x:c r="B363" s="24" t="str">
        <x:v>스위치플랜</x:v>
      </x:c>
      <x:c r="C363" s="24" t="str">
        <x:v>47도9135</x:v>
      </x:c>
      <x:c r="D363" s="30" t="n">
        <x:v>45268</x:v>
      </x:c>
      <x:c r="E363" s="24" t="str">
        <x:v>계약시작</x:v>
      </x:c>
      <x:c r="F363" s="24" t="str"/>
      <x:c r="G363" s="24" t="str">
        <x:v>대여중</x:v>
      </x:c>
      <x:c r="H363" s="32" t="n">
        <x:v>1090000</x:v>
      </x:c>
      <x:c r="I363" s="24" t="str">
        <x:v>SW-C-47도9135-2-20231208-123</x:v>
      </x:c>
      <x:c r="J363" s="24" t="str">
        <x:v>박종현</x:v>
      </x:c>
      <x:c r="K363" s="24" t="str">
        <x:v>구독대여 계약 시작</x:v>
      </x:c>
      <x:c r="L363" s="24" t="str"/>
      <x:c r="M363" s="24" t="str">
        <x:v>하허호</x:v>
      </x:c>
      <x:c r="N363" s="30" t="n">
        <x:v>45268</x:v>
      </x:c>
    </x:row>
    <x:row r="364" ht="17.25" customHeight="1">
      <x:c r="A364" s="24" t="str">
        <x:v>E-00363</x:v>
      </x:c>
      <x:c r="B364" s="24" t="str">
        <x:v>스위치플랜</x:v>
      </x:c>
      <x:c r="C364" s="24" t="str">
        <x:v>47도9135</x:v>
      </x:c>
      <x:c r="D364" s="30" t="n">
        <x:v>45632</x:v>
      </x:c>
      <x:c r="E364" s="24" t="str">
        <x:v>반납</x:v>
      </x:c>
      <x:c r="F364" s="24" t="str">
        <x:v>대여중</x:v>
      </x:c>
      <x:c r="G364" s="24" t="str">
        <x:v>쉬는차</x:v>
      </x:c>
      <x:c r="H364" s="32"/>
      <x:c r="I364" s="24" t="str">
        <x:v>SW-C-47도9135-2-20231208-123</x:v>
      </x:c>
      <x:c r="J364" s="24" t="str">
        <x:v>박종현</x:v>
      </x:c>
      <x:c r="K364" s="24" t="str">
        <x:v>차량 반납</x:v>
      </x:c>
      <x:c r="L364" s="24" t="str"/>
      <x:c r="M364" s="24" t="str">
        <x:v>하허호</x:v>
      </x:c>
      <x:c r="N364" s="30" t="n">
        <x:v>45632</x:v>
      </x:c>
    </x:row>
    <x:row r="365" ht="17.25" customHeight="1">
      <x:c r="A365" s="24" t="str">
        <x:v>E-00364</x:v>
      </x:c>
      <x:c r="B365" s="24" t="str">
        <x:v>스위치플랜</x:v>
      </x:c>
      <x:c r="C365" s="24" t="str">
        <x:v>02고5259</x:v>
      </x:c>
      <x:c r="D365" s="30" t="n">
        <x:v>45425</x:v>
      </x:c>
      <x:c r="E365" s="24" t="str">
        <x:v>계약시작</x:v>
      </x:c>
      <x:c r="F365" s="24" t="str"/>
      <x:c r="G365" s="24" t="str">
        <x:v>대여중</x:v>
      </x:c>
      <x:c r="H365" s="32" t="n">
        <x:v>1300000</x:v>
      </x:c>
      <x:c r="I365" s="24" t="str">
        <x:v>SW-C-02고5259-2-20240513-124</x:v>
      </x:c>
      <x:c r="J365" s="24" t="str">
        <x:v>황정훈</x:v>
      </x:c>
      <x:c r="K365" s="24" t="str">
        <x:v>구독대여 계약 시작</x:v>
      </x:c>
      <x:c r="L365" s="24" t="str"/>
      <x:c r="M365" s="24" t="str">
        <x:v>카랜(주)</x:v>
      </x:c>
      <x:c r="N365" s="30" t="n">
        <x:v>45425</x:v>
      </x:c>
    </x:row>
    <x:row r="366" ht="17.25" customHeight="1">
      <x:c r="A366" s="24" t="str">
        <x:v>E-00365</x:v>
      </x:c>
      <x:c r="B366" s="24" t="str">
        <x:v>스위치플랜</x:v>
      </x:c>
      <x:c r="C366" s="24" t="str">
        <x:v>02고5259</x:v>
      </x:c>
      <x:c r="D366" s="30"/>
      <x:c r="E366" s="24" t="str">
        <x:v>반납</x:v>
      </x:c>
      <x:c r="F366" s="24" t="str">
        <x:v>대여중</x:v>
      </x:c>
      <x:c r="G366" s="24" t="str">
        <x:v>쉬는차</x:v>
      </x:c>
      <x:c r="H366" s="32"/>
      <x:c r="I366" s="24" t="str">
        <x:v>SW-C-02고5259-2-20240513-124</x:v>
      </x:c>
      <x:c r="J366" s="24" t="str">
        <x:v>황정훈</x:v>
      </x:c>
      <x:c r="K366" s="24" t="str">
        <x:v>차량 반납</x:v>
      </x:c>
      <x:c r="L366" s="24" t="str"/>
      <x:c r="M366" s="24" t="str">
        <x:v>카랜(주)</x:v>
      </x:c>
      <x:c r="N366" s="30"/>
    </x:row>
    <x:row r="367" ht="17.25" customHeight="1">
      <x:c r="A367" s="24" t="str">
        <x:v>E-00366</x:v>
      </x:c>
      <x:c r="B367" s="24" t="str">
        <x:v>스위치플랜</x:v>
      </x:c>
      <x:c r="C367" s="24" t="str">
        <x:v>300서2532</x:v>
      </x:c>
      <x:c r="D367" s="30" t="n">
        <x:v>45693</x:v>
      </x:c>
      <x:c r="E367" s="24" t="str">
        <x:v>반납</x:v>
      </x:c>
      <x:c r="F367" s="24" t="str">
        <x:v>대여중</x:v>
      </x:c>
      <x:c r="G367" s="24" t="str">
        <x:v>쉬는차</x:v>
      </x:c>
      <x:c r="H367" s="32"/>
      <x:c r="I367" s="24" t="str">
        <x:v>SW-C-300서2532-1-NA-125</x:v>
      </x:c>
      <x:c r="J367" s="24" t="str">
        <x:v>매각</x:v>
      </x:c>
      <x:c r="K367" s="24" t="str">
        <x:v>차량 반납</x:v>
      </x:c>
      <x:c r="L367" s="24" t="str"/>
      <x:c r="M367" s="24" t="str"/>
      <x:c r="N367" s="30" t="n">
        <x:v>45693</x:v>
      </x:c>
    </x:row>
    <x:row r="368" ht="17.25" customHeight="1">
      <x:c r="A368" s="24" t="str">
        <x:v>E-00367</x:v>
      </x:c>
      <x:c r="B368" s="24" t="str">
        <x:v>스위치플랜</x:v>
      </x:c>
      <x:c r="C368" s="24" t="str">
        <x:v>300서2532</x:v>
      </x:c>
      <x:c r="D368" s="30" t="n">
        <x:v>45611</x:v>
      </x:c>
      <x:c r="E368" s="24" t="str">
        <x:v>계약시작</x:v>
      </x:c>
      <x:c r="F368" s="24" t="str"/>
      <x:c r="G368" s="24" t="str">
        <x:v>대여중</x:v>
      </x:c>
      <x:c r="H368" s="32" t="n">
        <x:v>1000000</x:v>
      </x:c>
      <x:c r="I368" s="24" t="str">
        <x:v>SW-C-300서2532-2-20241115-125</x:v>
      </x:c>
      <x:c r="J368" s="24" t="str">
        <x:v>정석</x:v>
      </x:c>
      <x:c r="K368" s="24" t="str">
        <x:v>구독대여 계약 시작</x:v>
      </x:c>
      <x:c r="L368" s="24" t="str"/>
      <x:c r="M368" s="24" t="str">
        <x:v>하허호</x:v>
      </x:c>
      <x:c r="N368" s="30" t="n">
        <x:v>45611</x:v>
      </x:c>
    </x:row>
    <x:row r="369" ht="17.25" customHeight="1">
      <x:c r="A369" s="24" t="str">
        <x:v>E-00368</x:v>
      </x:c>
      <x:c r="B369" s="24" t="str">
        <x:v>스위치플랜</x:v>
      </x:c>
      <x:c r="C369" s="24" t="str">
        <x:v>300서2532</x:v>
      </x:c>
      <x:c r="D369" s="30" t="n">
        <x:v>45677</x:v>
      </x:c>
      <x:c r="E369" s="24" t="str">
        <x:v>반납</x:v>
      </x:c>
      <x:c r="F369" s="24" t="str">
        <x:v>대여중</x:v>
      </x:c>
      <x:c r="G369" s="24" t="str">
        <x:v>쉬는차</x:v>
      </x:c>
      <x:c r="H369" s="32"/>
      <x:c r="I369" s="24" t="str">
        <x:v>SW-C-300서2532-2-20241115-125</x:v>
      </x:c>
      <x:c r="J369" s="24" t="str">
        <x:v>정석</x:v>
      </x:c>
      <x:c r="K369" s="24" t="str">
        <x:v>차량 반납</x:v>
      </x:c>
      <x:c r="L369" s="24" t="str"/>
      <x:c r="M369" s="24" t="str">
        <x:v>하허호</x:v>
      </x:c>
      <x:c r="N369" s="30" t="n">
        <x:v>45677</x:v>
      </x:c>
    </x:row>
    <x:row r="370" ht="17.25" customHeight="1">
      <x:c r="A370" s="24" t="str">
        <x:v>E-00369</x:v>
      </x:c>
      <x:c r="B370" s="24" t="str">
        <x:v>스위치플랜</x:v>
      </x:c>
      <x:c r="C370" s="24" t="str">
        <x:v>300서2532</x:v>
      </x:c>
      <x:c r="D370" s="30" t="n">
        <x:v>45450</x:v>
      </x:c>
      <x:c r="E370" s="24" t="str">
        <x:v>계약시작</x:v>
      </x:c>
      <x:c r="F370" s="24" t="str"/>
      <x:c r="G370" s="24" t="str">
        <x:v>대여중</x:v>
      </x:c>
      <x:c r="H370" s="32" t="n">
        <x:v>1100000</x:v>
      </x:c>
      <x:c r="I370" s="24" t="str">
        <x:v>SW-C-300서2532-3-20240607-125</x:v>
      </x:c>
      <x:c r="J370" s="24" t="str">
        <x:v>문진욱</x:v>
      </x:c>
      <x:c r="K370" s="24" t="str">
        <x:v>구독대여 계약 시작</x:v>
      </x:c>
      <x:c r="L370" s="24" t="str"/>
      <x:c r="M370" s="24" t="str">
        <x:v>하허호</x:v>
      </x:c>
      <x:c r="N370" s="30" t="n">
        <x:v>45450</x:v>
      </x:c>
    </x:row>
    <x:row r="371" ht="17.25" customHeight="1">
      <x:c r="A371" s="24" t="str">
        <x:v>E-00370</x:v>
      </x:c>
      <x:c r="B371" s="24" t="str">
        <x:v>스위치플랜</x:v>
      </x:c>
      <x:c r="C371" s="24" t="str">
        <x:v>300서2532</x:v>
      </x:c>
      <x:c r="D371" s="30" t="n">
        <x:v>45603</x:v>
      </x:c>
      <x:c r="E371" s="24" t="str">
        <x:v>반납</x:v>
      </x:c>
      <x:c r="F371" s="24" t="str">
        <x:v>대여중</x:v>
      </x:c>
      <x:c r="G371" s="24" t="str">
        <x:v>쉬는차</x:v>
      </x:c>
      <x:c r="H371" s="32"/>
      <x:c r="I371" s="24" t="str">
        <x:v>SW-C-300서2532-3-20240607-125</x:v>
      </x:c>
      <x:c r="J371" s="24" t="str">
        <x:v>문진욱</x:v>
      </x:c>
      <x:c r="K371" s="24" t="str">
        <x:v>차량 반납</x:v>
      </x:c>
      <x:c r="L371" s="24" t="str"/>
      <x:c r="M371" s="24" t="str">
        <x:v>하허호</x:v>
      </x:c>
      <x:c r="N371" s="30" t="n">
        <x:v>45603</x:v>
      </x:c>
    </x:row>
    <x:row r="372" ht="17.25" customHeight="1">
      <x:c r="A372" s="24" t="str">
        <x:v>E-00371</x:v>
      </x:c>
      <x:c r="B372" s="24" t="str">
        <x:v>스위치플랜</x:v>
      </x:c>
      <x:c r="C372" s="24" t="str">
        <x:v>336무2957</x:v>
      </x:c>
      <x:c r="D372" s="30" t="n">
        <x:v>45807</x:v>
      </x:c>
      <x:c r="E372" s="24" t="str">
        <x:v>반납</x:v>
      </x:c>
      <x:c r="F372" s="24" t="str">
        <x:v>대여중</x:v>
      </x:c>
      <x:c r="G372" s="24" t="str">
        <x:v>쉬는차</x:v>
      </x:c>
      <x:c r="H372" s="32"/>
      <x:c r="I372" s="24" t="str">
        <x:v>SW-C-336무2957-1-NA-126</x:v>
      </x:c>
      <x:c r="J372" s="24" t="str">
        <x:v>매각</x:v>
      </x:c>
      <x:c r="K372" s="24" t="str">
        <x:v>차량 반납</x:v>
      </x:c>
      <x:c r="L372" s="24" t="str"/>
      <x:c r="M372" s="24" t="str"/>
      <x:c r="N372" s="30" t="n">
        <x:v>45807</x:v>
      </x:c>
    </x:row>
    <x:row r="373" ht="17.25" customHeight="1">
      <x:c r="A373" s="24" t="str">
        <x:v>E-00372</x:v>
      </x:c>
      <x:c r="B373" s="24" t="str">
        <x:v>스위치플랜</x:v>
      </x:c>
      <x:c r="C373" s="24" t="str">
        <x:v>336무2957</x:v>
      </x:c>
      <x:c r="D373" s="30" t="n">
        <x:v>45253</x:v>
      </x:c>
      <x:c r="E373" s="24" t="str">
        <x:v>계약시작</x:v>
      </x:c>
      <x:c r="F373" s="24" t="str"/>
      <x:c r="G373" s="24" t="str">
        <x:v>대여중</x:v>
      </x:c>
      <x:c r="H373" s="32" t="n">
        <x:v>430000</x:v>
      </x:c>
      <x:c r="I373" s="24" t="str">
        <x:v>SW-C-336무2957-2-20231123-126</x:v>
      </x:c>
      <x:c r="J373" s="24" t="str">
        <x:v>김종필</x:v>
      </x:c>
      <x:c r="K373" s="24" t="str">
        <x:v>구독대여 계약 시작</x:v>
      </x:c>
      <x:c r="L373" s="24" t="str"/>
      <x:c r="M373" s="24" t="str">
        <x:v>GNA</x:v>
      </x:c>
      <x:c r="N373" s="30" t="n">
        <x:v>45253</x:v>
      </x:c>
    </x:row>
    <x:row r="374" ht="17.25" customHeight="1">
      <x:c r="A374" s="24" t="str">
        <x:v>E-00373</x:v>
      </x:c>
      <x:c r="B374" s="24" t="str">
        <x:v>스위치플랜</x:v>
      </x:c>
      <x:c r="C374" s="24" t="str">
        <x:v>336무2957</x:v>
      </x:c>
      <x:c r="D374" s="30" t="n">
        <x:v>45641</x:v>
      </x:c>
      <x:c r="E374" s="24" t="str">
        <x:v>반납</x:v>
      </x:c>
      <x:c r="F374" s="24" t="str">
        <x:v>대여중</x:v>
      </x:c>
      <x:c r="G374" s="24" t="str">
        <x:v>쉬는차</x:v>
      </x:c>
      <x:c r="H374" s="32"/>
      <x:c r="I374" s="24" t="str">
        <x:v>SW-C-336무2957-2-20231123-126</x:v>
      </x:c>
      <x:c r="J374" s="24" t="str">
        <x:v>김종필</x:v>
      </x:c>
      <x:c r="K374" s="24" t="str">
        <x:v>차량 반납</x:v>
      </x:c>
      <x:c r="L374" s="24" t="str"/>
      <x:c r="M374" s="24" t="str">
        <x:v>GNA</x:v>
      </x:c>
      <x:c r="N374" s="30" t="n">
        <x:v>45641</x:v>
      </x:c>
    </x:row>
    <x:row r="375" ht="17.25" customHeight="1">
      <x:c r="A375" s="24" t="str">
        <x:v>E-00374</x:v>
      </x:c>
      <x:c r="B375" s="24" t="str">
        <x:v>스위치플랜</x:v>
      </x:c>
      <x:c r="C375" s="24" t="str">
        <x:v>58너1732</x:v>
      </x:c>
      <x:c r="D375" s="30" t="n">
        <x:v>45821</x:v>
      </x:c>
      <x:c r="E375" s="24" t="str">
        <x:v>반납</x:v>
      </x:c>
      <x:c r="F375" s="24" t="str">
        <x:v>대여중</x:v>
      </x:c>
      <x:c r="G375" s="24" t="str">
        <x:v>쉬는차</x:v>
      </x:c>
      <x:c r="H375" s="32"/>
      <x:c r="I375" s="24" t="str">
        <x:v>SW-C-58너1732-1-NA-127</x:v>
      </x:c>
      <x:c r="J375" s="24" t="str">
        <x:v>매각</x:v>
      </x:c>
      <x:c r="K375" s="24" t="str">
        <x:v>차량 반납</x:v>
      </x:c>
      <x:c r="L375" s="24" t="str"/>
      <x:c r="M375" s="24" t="str"/>
      <x:c r="N375" s="30" t="n">
        <x:v>45821</x:v>
      </x:c>
    </x:row>
    <x:row r="376" ht="17.25" customHeight="1">
      <x:c r="A376" s="24" t="str">
        <x:v>E-00375</x:v>
      </x:c>
      <x:c r="B376" s="24" t="str">
        <x:v>스위치플랜</x:v>
      </x:c>
      <x:c r="C376" s="24" t="str">
        <x:v>58너1732</x:v>
      </x:c>
      <x:c r="D376" s="30" t="n">
        <x:v>45250</x:v>
      </x:c>
      <x:c r="E376" s="24" t="str">
        <x:v>계약시작</x:v>
      </x:c>
      <x:c r="F376" s="24" t="str"/>
      <x:c r="G376" s="24" t="str">
        <x:v>대여중</x:v>
      </x:c>
      <x:c r="H376" s="32" t="n">
        <x:v>280000</x:v>
      </x:c>
      <x:c r="I376" s="24" t="str">
        <x:v>SW-C-58너1732-2-20231120-127</x:v>
      </x:c>
      <x:c r="J376" s="24" t="str">
        <x:v>썬이헤어샵</x:v>
      </x:c>
      <x:c r="K376" s="24" t="str">
        <x:v>구독대여 계약 시작</x:v>
      </x:c>
      <x:c r="L376" s="24" t="str"/>
      <x:c r="M376" s="24" t="str">
        <x:v>헬로</x:v>
      </x:c>
      <x:c r="N376" s="30" t="n">
        <x:v>45250</x:v>
      </x:c>
    </x:row>
    <x:row r="377" ht="17.25" customHeight="1">
      <x:c r="A377" s="24" t="str">
        <x:v>E-00376</x:v>
      </x:c>
      <x:c r="B377" s="24" t="str">
        <x:v>스위치플랜</x:v>
      </x:c>
      <x:c r="C377" s="24" t="str">
        <x:v>58너1732</x:v>
      </x:c>
      <x:c r="D377" s="30" t="n">
        <x:v>45820</x:v>
      </x:c>
      <x:c r="E377" s="24" t="str">
        <x:v>반납</x:v>
      </x:c>
      <x:c r="F377" s="24" t="str">
        <x:v>대여중</x:v>
      </x:c>
      <x:c r="G377" s="24" t="str">
        <x:v>쉬는차</x:v>
      </x:c>
      <x:c r="H377" s="32"/>
      <x:c r="I377" s="24" t="str">
        <x:v>SW-C-58너1732-2-20231120-127</x:v>
      </x:c>
      <x:c r="J377" s="24" t="str">
        <x:v>썬이헤어샵</x:v>
      </x:c>
      <x:c r="K377" s="24" t="str">
        <x:v>차량 반납</x:v>
      </x:c>
      <x:c r="L377" s="24" t="str"/>
      <x:c r="M377" s="24" t="str">
        <x:v>헬로</x:v>
      </x:c>
      <x:c r="N377" s="30" t="n">
        <x:v>45820</x:v>
      </x:c>
    </x:row>
    <x:row r="378" ht="17.25" customHeight="1">
      <x:c r="A378" s="24" t="str">
        <x:v>E-00377</x:v>
      </x:c>
      <x:c r="B378" s="24" t="str">
        <x:v>스위치플랜</x:v>
      </x:c>
      <x:c r="C378" s="24" t="str">
        <x:v>114라7069</x:v>
      </x:c>
      <x:c r="D378" s="30" t="n">
        <x:v>45821</x:v>
      </x:c>
      <x:c r="E378" s="24" t="str">
        <x:v>반납</x:v>
      </x:c>
      <x:c r="F378" s="24" t="str">
        <x:v>대여중</x:v>
      </x:c>
      <x:c r="G378" s="24" t="str">
        <x:v>쉬는차</x:v>
      </x:c>
      <x:c r="H378" s="32"/>
      <x:c r="I378" s="24" t="str">
        <x:v>SW-C-114라7069-1-NA-128</x:v>
      </x:c>
      <x:c r="J378" s="24" t="str">
        <x:v>매각</x:v>
      </x:c>
      <x:c r="K378" s="24" t="str">
        <x:v>차량 반납</x:v>
      </x:c>
      <x:c r="L378" s="24" t="str"/>
      <x:c r="M378" s="24" t="str"/>
      <x:c r="N378" s="30" t="n">
        <x:v>45821</x:v>
      </x:c>
    </x:row>
    <x:row r="379" ht="17.25" customHeight="1">
      <x:c r="A379" s="24" t="str">
        <x:v>E-00378</x:v>
      </x:c>
      <x:c r="B379" s="24" t="str">
        <x:v>스위치플랜</x:v>
      </x:c>
      <x:c r="C379" s="24" t="str">
        <x:v>114라7069</x:v>
      </x:c>
      <x:c r="D379" s="30" t="n">
        <x:v>45587</x:v>
      </x:c>
      <x:c r="E379" s="24" t="str">
        <x:v>계약시작</x:v>
      </x:c>
      <x:c r="F379" s="24" t="str"/>
      <x:c r="G379" s="24" t="str">
        <x:v>대여중</x:v>
      </x:c>
      <x:c r="H379" s="32" t="n">
        <x:v>1000000</x:v>
      </x:c>
      <x:c r="I379" s="24" t="str">
        <x:v>SW-C-114라7069-2-20241022-128</x:v>
      </x:c>
      <x:c r="J379" s="24" t="str">
        <x:v>김기영</x:v>
      </x:c>
      <x:c r="K379" s="24" t="str">
        <x:v>구독대여 계약 시작</x:v>
      </x:c>
      <x:c r="L379" s="24" t="str"/>
      <x:c r="M379" s="24" t="str">
        <x:v>하허호</x:v>
      </x:c>
      <x:c r="N379" s="30" t="n">
        <x:v>45587</x:v>
      </x:c>
    </x:row>
    <x:row r="380" ht="17.25" customHeight="1">
      <x:c r="A380" s="24" t="str">
        <x:v>E-00379</x:v>
      </x:c>
      <x:c r="B380" s="24" t="str">
        <x:v>스위치플랜</x:v>
      </x:c>
      <x:c r="C380" s="24" t="str">
        <x:v>114라7069</x:v>
      </x:c>
      <x:c r="D380" s="30" t="n">
        <x:v>45817</x:v>
      </x:c>
      <x:c r="E380" s="24" t="str">
        <x:v>반납</x:v>
      </x:c>
      <x:c r="F380" s="24" t="str">
        <x:v>대여중</x:v>
      </x:c>
      <x:c r="G380" s="24" t="str">
        <x:v>쉬는차</x:v>
      </x:c>
      <x:c r="H380" s="32"/>
      <x:c r="I380" s="24" t="str">
        <x:v>SW-C-114라7069-2-20241022-128</x:v>
      </x:c>
      <x:c r="J380" s="24" t="str">
        <x:v>김기영</x:v>
      </x:c>
      <x:c r="K380" s="24" t="str">
        <x:v>차량 반납</x:v>
      </x:c>
      <x:c r="L380" s="24" t="str"/>
      <x:c r="M380" s="24" t="str">
        <x:v>하허호</x:v>
      </x:c>
      <x:c r="N380" s="30" t="n">
        <x:v>45817</x:v>
      </x:c>
    </x:row>
    <x:row r="381" ht="17.25" customHeight="1">
      <x:c r="A381" s="24" t="str">
        <x:v>E-00380</x:v>
      </x:c>
      <x:c r="B381" s="24" t="str">
        <x:v>스위치플랜</x:v>
      </x:c>
      <x:c r="C381" s="24" t="str">
        <x:v>114라7069</x:v>
      </x:c>
      <x:c r="D381" s="30" t="n">
        <x:v>45251</x:v>
      </x:c>
      <x:c r="E381" s="24" t="str">
        <x:v>계약시작</x:v>
      </x:c>
      <x:c r="F381" s="24" t="str"/>
      <x:c r="G381" s="24" t="str">
        <x:v>대여중</x:v>
      </x:c>
      <x:c r="H381" s="32" t="n">
        <x:v>780000</x:v>
      </x:c>
      <x:c r="I381" s="24" t="str">
        <x:v>SW-C-114라7069-3-20231121-128</x:v>
      </x:c>
      <x:c r="J381" s="24" t="str">
        <x:v>달래웨딩</x:v>
      </x:c>
      <x:c r="K381" s="24" t="str">
        <x:v>구독대여 계약 시작</x:v>
      </x:c>
      <x:c r="L381" s="24" t="str"/>
      <x:c r="M381" s="24" t="str">
        <x:v>SI</x:v>
      </x:c>
      <x:c r="N381" s="30" t="n">
        <x:v>45251</x:v>
      </x:c>
    </x:row>
    <x:row r="382" ht="17.25" customHeight="1">
      <x:c r="A382" s="24" t="str">
        <x:v>E-00381</x:v>
      </x:c>
      <x:c r="B382" s="24" t="str">
        <x:v>스위치플랜</x:v>
      </x:c>
      <x:c r="C382" s="24" t="str">
        <x:v>114라7069</x:v>
      </x:c>
      <x:c r="D382" s="30" t="n">
        <x:v>45512</x:v>
      </x:c>
      <x:c r="E382" s="24" t="str">
        <x:v>반납</x:v>
      </x:c>
      <x:c r="F382" s="24" t="str">
        <x:v>대여중</x:v>
      </x:c>
      <x:c r="G382" s="24" t="str">
        <x:v>쉬는차</x:v>
      </x:c>
      <x:c r="H382" s="32"/>
      <x:c r="I382" s="24" t="str">
        <x:v>SW-C-114라7069-3-20231121-128</x:v>
      </x:c>
      <x:c r="J382" s="24" t="str">
        <x:v>달래웨딩</x:v>
      </x:c>
      <x:c r="K382" s="24" t="str">
        <x:v>차량 반납</x:v>
      </x:c>
      <x:c r="L382" s="24" t="str"/>
      <x:c r="M382" s="24" t="str">
        <x:v>SI</x:v>
      </x:c>
      <x:c r="N382" s="30" t="n">
        <x:v>45512</x:v>
      </x:c>
    </x:row>
    <x:row r="383" ht="17.25" customHeight="1">
      <x:c r="A383" s="24" t="str">
        <x:v>E-00382</x:v>
      </x:c>
      <x:c r="B383" s="24" t="str">
        <x:v>스위치플랜</x:v>
      </x:c>
      <x:c r="C383" s="24" t="str">
        <x:v>21수0400</x:v>
      </x:c>
      <x:c r="D383" s="30" t="n">
        <x:v>46097</x:v>
      </x:c>
      <x:c r="E383" s="24" t="str">
        <x:v>반납</x:v>
      </x:c>
      <x:c r="F383" s="24" t="str">
        <x:v>대여중</x:v>
      </x:c>
      <x:c r="G383" s="24" t="str">
        <x:v>쉬는차</x:v>
      </x:c>
      <x:c r="H383" s="32"/>
      <x:c r="I383" s="24" t="str">
        <x:v>SW-C-21수0400-1-NA-129</x:v>
      </x:c>
      <x:c r="J383" s="24" t="str">
        <x:v>매각</x:v>
      </x:c>
      <x:c r="K383" s="24" t="str">
        <x:v>차량 반납</x:v>
      </x:c>
      <x:c r="L383" s="24" t="str"/>
      <x:c r="M383" s="24" t="str"/>
      <x:c r="N383" s="30" t="n">
        <x:v>46097</x:v>
      </x:c>
    </x:row>
    <x:row r="384" ht="17.25" customHeight="1">
      <x:c r="A384" s="24" t="str">
        <x:v>E-00383</x:v>
      </x:c>
      <x:c r="B384" s="24" t="str">
        <x:v>스위치플랜</x:v>
      </x:c>
      <x:c r="C384" s="24" t="str">
        <x:v>21수0400</x:v>
      </x:c>
      <x:c r="D384" s="30" t="n">
        <x:v>45831</x:v>
      </x:c>
      <x:c r="E384" s="24" t="str">
        <x:v>계약시작</x:v>
      </x:c>
      <x:c r="F384" s="24" t="str"/>
      <x:c r="G384" s="24" t="str">
        <x:v>대여중</x:v>
      </x:c>
      <x:c r="H384" s="32" t="n">
        <x:v>700000</x:v>
      </x:c>
      <x:c r="I384" s="24" t="str">
        <x:v>SW-C-21수0400-2-20250623-129</x:v>
      </x:c>
      <x:c r="J384" s="24" t="str">
        <x:v>임진수</x:v>
      </x:c>
      <x:c r="K384" s="24" t="str">
        <x:v>구독대여 계약 시작</x:v>
      </x:c>
      <x:c r="L384" s="24" t="str"/>
      <x:c r="M384" s="24" t="str"/>
      <x:c r="N384" s="30" t="n">
        <x:v>45831</x:v>
      </x:c>
    </x:row>
    <x:row r="385" ht="17.25" customHeight="1">
      <x:c r="A385" s="24" t="str">
        <x:v>E-00384</x:v>
      </x:c>
      <x:c r="B385" s="24" t="str">
        <x:v>스위치플랜</x:v>
      </x:c>
      <x:c r="C385" s="24" t="str">
        <x:v>21수0400</x:v>
      </x:c>
      <x:c r="D385" s="30" t="n">
        <x:v>45860</x:v>
      </x:c>
      <x:c r="E385" s="24" t="str">
        <x:v>반납</x:v>
      </x:c>
      <x:c r="F385" s="24" t="str">
        <x:v>대여중</x:v>
      </x:c>
      <x:c r="G385" s="24" t="str">
        <x:v>쉬는차</x:v>
      </x:c>
      <x:c r="H385" s="32"/>
      <x:c r="I385" s="24" t="str">
        <x:v>SW-C-21수0400-2-20250623-129</x:v>
      </x:c>
      <x:c r="J385" s="24" t="str">
        <x:v>임진수</x:v>
      </x:c>
      <x:c r="K385" s="24" t="str">
        <x:v>차량 반납</x:v>
      </x:c>
      <x:c r="L385" s="24" t="str"/>
      <x:c r="M385" s="24" t="str"/>
      <x:c r="N385" s="30" t="n">
        <x:v>45860</x:v>
      </x:c>
    </x:row>
    <x:row r="386" ht="17.25" customHeight="1">
      <x:c r="A386" s="24" t="str">
        <x:v>E-00385</x:v>
      </x:c>
      <x:c r="B386" s="24" t="str">
        <x:v>스위치플랜</x:v>
      </x:c>
      <x:c r="C386" s="24" t="str">
        <x:v>21수0400</x:v>
      </x:c>
      <x:c r="D386" s="30" t="n">
        <x:v>45793</x:v>
      </x:c>
      <x:c r="E386" s="24" t="str">
        <x:v>계약시작</x:v>
      </x:c>
      <x:c r="F386" s="24" t="str"/>
      <x:c r="G386" s="24" t="str">
        <x:v>대여중</x:v>
      </x:c>
      <x:c r="H386" s="32" t="n">
        <x:v>770000</x:v>
      </x:c>
      <x:c r="I386" s="24" t="str">
        <x:v>SW-C-21수0400-3-20250516-129</x:v>
      </x:c>
      <x:c r="J386" s="24" t="str">
        <x:v>남보석</x:v>
      </x:c>
      <x:c r="K386" s="24" t="str">
        <x:v>구독대여 계약 시작</x:v>
      </x:c>
      <x:c r="L386" s="24" t="str"/>
      <x:c r="M386" s="24" t="str"/>
      <x:c r="N386" s="30" t="n">
        <x:v>45793</x:v>
      </x:c>
    </x:row>
    <x:row r="387" ht="17.25" customHeight="1">
      <x:c r="A387" s="24" t="str">
        <x:v>E-00386</x:v>
      </x:c>
      <x:c r="B387" s="24" t="str">
        <x:v>스위치플랜</x:v>
      </x:c>
      <x:c r="C387" s="24" t="str">
        <x:v>21수0400</x:v>
      </x:c>
      <x:c r="D387" s="30"/>
      <x:c r="E387" s="24" t="str">
        <x:v>반납</x:v>
      </x:c>
      <x:c r="F387" s="24" t="str">
        <x:v>대여중</x:v>
      </x:c>
      <x:c r="G387" s="24" t="str">
        <x:v>쉬는차</x:v>
      </x:c>
      <x:c r="H387" s="32"/>
      <x:c r="I387" s="24" t="str">
        <x:v>SW-C-21수0400-3-20250516-129</x:v>
      </x:c>
      <x:c r="J387" s="24" t="str">
        <x:v>남보석</x:v>
      </x:c>
      <x:c r="K387" s="24" t="str">
        <x:v>차량 반납</x:v>
      </x:c>
      <x:c r="L387" s="24" t="str"/>
      <x:c r="M387" s="24" t="str"/>
      <x:c r="N387" s="30"/>
    </x:row>
    <x:row r="388" ht="17.25" customHeight="1">
      <x:c r="A388" s="24" t="str">
        <x:v>E-00387</x:v>
      </x:c>
      <x:c r="B388" s="24" t="str">
        <x:v>스위치플랜</x:v>
      </x:c>
      <x:c r="C388" s="24" t="str">
        <x:v>21수0400</x:v>
      </x:c>
      <x:c r="D388" s="30" t="n">
        <x:v>45733</x:v>
      </x:c>
      <x:c r="E388" s="24" t="str">
        <x:v>계약시작</x:v>
      </x:c>
      <x:c r="F388" s="24" t="str"/>
      <x:c r="G388" s="24" t="str">
        <x:v>대여중</x:v>
      </x:c>
      <x:c r="H388" s="32" t="n">
        <x:v>600000</x:v>
      </x:c>
      <x:c r="I388" s="24" t="str">
        <x:v>SW-C-21수0400-4-20250317-129</x:v>
      </x:c>
      <x:c r="J388" s="24" t="str">
        <x:v>신명주</x:v>
      </x:c>
      <x:c r="K388" s="24" t="str">
        <x:v>구독대여 계약 시작</x:v>
      </x:c>
      <x:c r="L388" s="24" t="str"/>
      <x:c r="M388" s="24" t="str">
        <x:v>오토원트</x:v>
      </x:c>
      <x:c r="N388" s="30" t="n">
        <x:v>45733</x:v>
      </x:c>
    </x:row>
    <x:row r="389" ht="17.25" customHeight="1">
      <x:c r="A389" s="24" t="str">
        <x:v>E-00388</x:v>
      </x:c>
      <x:c r="B389" s="24" t="str">
        <x:v>스위치플랜</x:v>
      </x:c>
      <x:c r="C389" s="24" t="str">
        <x:v>21수0400</x:v>
      </x:c>
      <x:c r="D389" s="30" t="n">
        <x:v>45776</x:v>
      </x:c>
      <x:c r="E389" s="24" t="str">
        <x:v>반납</x:v>
      </x:c>
      <x:c r="F389" s="24" t="str">
        <x:v>대여중</x:v>
      </x:c>
      <x:c r="G389" s="24" t="str">
        <x:v>쉬는차</x:v>
      </x:c>
      <x:c r="H389" s="32"/>
      <x:c r="I389" s="24" t="str">
        <x:v>SW-C-21수0400-4-20250317-129</x:v>
      </x:c>
      <x:c r="J389" s="24" t="str">
        <x:v>신명주</x:v>
      </x:c>
      <x:c r="K389" s="24" t="str">
        <x:v>차량 반납</x:v>
      </x:c>
      <x:c r="L389" s="24" t="str"/>
      <x:c r="M389" s="24" t="str">
        <x:v>오토원트</x:v>
      </x:c>
      <x:c r="N389" s="30" t="n">
        <x:v>45776</x:v>
      </x:c>
    </x:row>
    <x:row r="390" ht="17.25" customHeight="1">
      <x:c r="A390" s="24" t="str">
        <x:v>E-00389</x:v>
      </x:c>
      <x:c r="B390" s="24" t="str">
        <x:v>스위치플랜</x:v>
      </x:c>
      <x:c r="C390" s="24" t="str">
        <x:v>21수0400</x:v>
      </x:c>
      <x:c r="D390" s="30" t="n">
        <x:v>46725</x:v>
      </x:c>
      <x:c r="E390" s="24" t="str">
        <x:v>계약시작</x:v>
      </x:c>
      <x:c r="F390" s="24" t="str"/>
      <x:c r="G390" s="24" t="str">
        <x:v>대여중</x:v>
      </x:c>
      <x:c r="H390" s="32" t="n">
        <x:v>45265</x:v>
      </x:c>
      <x:c r="I390" s="24" t="str">
        <x:v>SW-C-21수0400-5-20271204-129</x:v>
      </x:c>
      <x:c r="J390" s="24" t="str">
        <x:v>봉현준</x:v>
      </x:c>
      <x:c r="K390" s="24" t="str">
        <x:v>구독대여 계약 시작</x:v>
      </x:c>
      <x:c r="L390" s="24" t="str"/>
      <x:c r="M390" s="24" t="str">
        <x:v>하허호</x:v>
      </x:c>
      <x:c r="N390" s="30" t="n">
        <x:v>46725</x:v>
      </x:c>
    </x:row>
    <x:row r="391" ht="17.25" customHeight="1">
      <x:c r="A391" s="24" t="str">
        <x:v>E-00390</x:v>
      </x:c>
      <x:c r="B391" s="24" t="str">
        <x:v>스위치플랜</x:v>
      </x:c>
      <x:c r="C391" s="24" t="str">
        <x:v>21수0400</x:v>
      </x:c>
      <x:c r="D391" s="30"/>
      <x:c r="E391" s="24" t="str">
        <x:v>반납</x:v>
      </x:c>
      <x:c r="F391" s="24" t="str">
        <x:v>대여중</x:v>
      </x:c>
      <x:c r="G391" s="24" t="str">
        <x:v>쉬는차</x:v>
      </x:c>
      <x:c r="H391" s="32"/>
      <x:c r="I391" s="24" t="str">
        <x:v>SW-C-21수0400-5-20271204-129</x:v>
      </x:c>
      <x:c r="J391" s="24" t="str">
        <x:v>봉현준</x:v>
      </x:c>
      <x:c r="K391" s="24" t="str">
        <x:v>차량 반납</x:v>
      </x:c>
      <x:c r="L391" s="24" t="str"/>
      <x:c r="M391" s="24" t="str">
        <x:v>하허호</x:v>
      </x:c>
      <x:c r="N391" s="30"/>
    </x:row>
    <x:row r="392" ht="17.25" customHeight="1">
      <x:c r="A392" s="24" t="str">
        <x:v>E-00391</x:v>
      </x:c>
      <x:c r="B392" s="24" t="str">
        <x:v>스위치플랜</x:v>
      </x:c>
      <x:c r="C392" s="24" t="str">
        <x:v>31나5759</x:v>
      </x:c>
      <x:c r="D392" s="30" t="n">
        <x:v>46097</x:v>
      </x:c>
      <x:c r="E392" s="24" t="str">
        <x:v>반납</x:v>
      </x:c>
      <x:c r="F392" s="24" t="str">
        <x:v>대여중</x:v>
      </x:c>
      <x:c r="G392" s="24" t="str">
        <x:v>쉬는차</x:v>
      </x:c>
      <x:c r="H392" s="32"/>
      <x:c r="I392" s="24" t="str">
        <x:v>SW-C-31나5759-1-NA-130</x:v>
      </x:c>
      <x:c r="J392" s="24" t="str">
        <x:v>매각</x:v>
      </x:c>
      <x:c r="K392" s="24" t="str">
        <x:v>차량 반납</x:v>
      </x:c>
      <x:c r="L392" s="24" t="str"/>
      <x:c r="M392" s="24" t="str"/>
      <x:c r="N392" s="30" t="n">
        <x:v>46097</x:v>
      </x:c>
    </x:row>
    <x:row r="393" ht="17.25" customHeight="1">
      <x:c r="A393" s="24" t="str">
        <x:v>E-00392</x:v>
      </x:c>
      <x:c r="B393" s="24" t="str">
        <x:v>스위치플랜</x:v>
      </x:c>
      <x:c r="C393" s="24" t="str">
        <x:v>31나5759</x:v>
      </x:c>
      <x:c r="D393" s="30" t="n">
        <x:v>45314</x:v>
      </x:c>
      <x:c r="E393" s="24" t="str">
        <x:v>계약시작</x:v>
      </x:c>
      <x:c r="F393" s="24" t="str"/>
      <x:c r="G393" s="24" t="str">
        <x:v>대여중</x:v>
      </x:c>
      <x:c r="H393" s="32" t="n">
        <x:v>533000</x:v>
      </x:c>
      <x:c r="I393" s="24" t="str">
        <x:v>SW-C-31나5759-2-20240123-130</x:v>
      </x:c>
      <x:c r="J393" s="24" t="str">
        <x:v>홍은지</x:v>
      </x:c>
      <x:c r="K393" s="24" t="str">
        <x:v>구독대여 계약 시작</x:v>
      </x:c>
      <x:c r="L393" s="24" t="str"/>
      <x:c r="M393" s="24" t="str">
        <x:v>하허호</x:v>
      </x:c>
      <x:c r="N393" s="30" t="n">
        <x:v>45314</x:v>
      </x:c>
    </x:row>
    <x:row r="394" ht="17.25" customHeight="1">
      <x:c r="A394" s="24" t="str">
        <x:v>E-00393</x:v>
      </x:c>
      <x:c r="B394" s="24" t="str">
        <x:v>스위치플랜</x:v>
      </x:c>
      <x:c r="C394" s="24" t="str">
        <x:v>31나5759</x:v>
      </x:c>
      <x:c r="D394" s="30" t="n">
        <x:v>45849</x:v>
      </x:c>
      <x:c r="E394" s="24" t="str">
        <x:v>반납</x:v>
      </x:c>
      <x:c r="F394" s="24" t="str">
        <x:v>대여중</x:v>
      </x:c>
      <x:c r="G394" s="24" t="str">
        <x:v>쉬는차</x:v>
      </x:c>
      <x:c r="H394" s="32"/>
      <x:c r="I394" s="24" t="str">
        <x:v>SW-C-31나5759-2-20240123-130</x:v>
      </x:c>
      <x:c r="J394" s="24" t="str">
        <x:v>홍은지</x:v>
      </x:c>
      <x:c r="K394" s="24" t="str">
        <x:v>차량 반납</x:v>
      </x:c>
      <x:c r="L394" s="24" t="str"/>
      <x:c r="M394" s="24" t="str">
        <x:v>하허호</x:v>
      </x:c>
      <x:c r="N394" s="30" t="n">
        <x:v>45849</x:v>
      </x:c>
    </x:row>
    <x:row r="395" ht="17.25" customHeight="1">
      <x:c r="A395" s="24" t="str">
        <x:v>E-00394</x:v>
      </x:c>
      <x:c r="B395" s="24" t="str">
        <x:v>스위치플랜</x:v>
      </x:c>
      <x:c r="C395" s="24" t="str">
        <x:v>42더5054</x:v>
      </x:c>
      <x:c r="D395" s="30" t="n">
        <x:v>45833</x:v>
      </x:c>
      <x:c r="E395" s="24" t="str">
        <x:v>반납</x:v>
      </x:c>
      <x:c r="F395" s="24" t="str">
        <x:v>대여중</x:v>
      </x:c>
      <x:c r="G395" s="24" t="str">
        <x:v>쉬는차</x:v>
      </x:c>
      <x:c r="H395" s="32"/>
      <x:c r="I395" s="24" t="str">
        <x:v>SW-C-42더5054-1-NA-131</x:v>
      </x:c>
      <x:c r="J395" s="24" t="str">
        <x:v>매각</x:v>
      </x:c>
      <x:c r="K395" s="24" t="str">
        <x:v>차량 반납</x:v>
      </x:c>
      <x:c r="L395" s="24" t="str"/>
      <x:c r="M395" s="24" t="str"/>
      <x:c r="N395" s="30" t="n">
        <x:v>45833</x:v>
      </x:c>
    </x:row>
    <x:row r="396" ht="17.25" customHeight="1">
      <x:c r="A396" s="24" t="str">
        <x:v>E-00395</x:v>
      </x:c>
      <x:c r="B396" s="24" t="str">
        <x:v>스위치플랜</x:v>
      </x:c>
      <x:c r="C396" s="24" t="str">
        <x:v>42더5054</x:v>
      </x:c>
      <x:c r="D396" s="30" t="n">
        <x:v>45378</x:v>
      </x:c>
      <x:c r="E396" s="24" t="str">
        <x:v>계약시작</x:v>
      </x:c>
      <x:c r="F396" s="24" t="str"/>
      <x:c r="G396" s="24" t="str">
        <x:v>대여중</x:v>
      </x:c>
      <x:c r="H396" s="32" t="n">
        <x:v>1010000</x:v>
      </x:c>
      <x:c r="I396" s="24" t="str">
        <x:v>SW-C-42더5054-2-20240327-131</x:v>
      </x:c>
      <x:c r="J396" s="24" t="str">
        <x:v>김종수</x:v>
      </x:c>
      <x:c r="K396" s="24" t="str">
        <x:v>구독대여 계약 시작</x:v>
      </x:c>
      <x:c r="L396" s="24" t="str"/>
      <x:c r="M396" s="24" t="str">
        <x:v>카랜(주)</x:v>
      </x:c>
      <x:c r="N396" s="30" t="n">
        <x:v>45378</x:v>
      </x:c>
    </x:row>
    <x:row r="397" ht="17.25" customHeight="1">
      <x:c r="A397" s="24" t="str">
        <x:v>E-00396</x:v>
      </x:c>
      <x:c r="B397" s="24" t="str">
        <x:v>스위치플랜</x:v>
      </x:c>
      <x:c r="C397" s="24" t="str">
        <x:v>42더5054</x:v>
      </x:c>
      <x:c r="D397" s="30" t="n">
        <x:v>45799</x:v>
      </x:c>
      <x:c r="E397" s="24" t="str">
        <x:v>반납</x:v>
      </x:c>
      <x:c r="F397" s="24" t="str">
        <x:v>대여중</x:v>
      </x:c>
      <x:c r="G397" s="24" t="str">
        <x:v>쉬는차</x:v>
      </x:c>
      <x:c r="H397" s="32"/>
      <x:c r="I397" s="24" t="str">
        <x:v>SW-C-42더5054-2-20240327-131</x:v>
      </x:c>
      <x:c r="J397" s="24" t="str">
        <x:v>김종수</x:v>
      </x:c>
      <x:c r="K397" s="24" t="str">
        <x:v>차량 반납</x:v>
      </x:c>
      <x:c r="L397" s="24" t="str"/>
      <x:c r="M397" s="24" t="str">
        <x:v>카랜(주)</x:v>
      </x:c>
      <x:c r="N397" s="30" t="n">
        <x:v>45799</x:v>
      </x:c>
    </x:row>
    <x:row r="398" ht="17.25" customHeight="1">
      <x:c r="A398" s="24" t="str">
        <x:v>E-00397</x:v>
      </x:c>
      <x:c r="B398" s="24" t="str">
        <x:v>스위치플랜</x:v>
      </x:c>
      <x:c r="C398" s="24" t="str">
        <x:v>27두4385</x:v>
      </x:c>
      <x:c r="D398" s="30" t="n">
        <x:v>45833</x:v>
      </x:c>
      <x:c r="E398" s="24" t="str">
        <x:v>반납</x:v>
      </x:c>
      <x:c r="F398" s="24" t="str">
        <x:v>대여중</x:v>
      </x:c>
      <x:c r="G398" s="24" t="str">
        <x:v>쉬는차</x:v>
      </x:c>
      <x:c r="H398" s="32"/>
      <x:c r="I398" s="24" t="str">
        <x:v>SW-C-27두4385-1-NA-132</x:v>
      </x:c>
      <x:c r="J398" s="24" t="str">
        <x:v>매각</x:v>
      </x:c>
      <x:c r="K398" s="24" t="str">
        <x:v>차량 반납</x:v>
      </x:c>
      <x:c r="L398" s="24" t="str"/>
      <x:c r="M398" s="24" t="str"/>
      <x:c r="N398" s="30" t="n">
        <x:v>45833</x:v>
      </x:c>
    </x:row>
    <x:row r="399" ht="17.25" customHeight="1">
      <x:c r="A399" s="24" t="str">
        <x:v>E-00398</x:v>
      </x:c>
      <x:c r="B399" s="24" t="str">
        <x:v>스위치플랜</x:v>
      </x:c>
      <x:c r="C399" s="24" t="str">
        <x:v>27두4385</x:v>
      </x:c>
      <x:c r="D399" s="30" t="n">
        <x:v>45317</x:v>
      </x:c>
      <x:c r="E399" s="24" t="str">
        <x:v>계약시작</x:v>
      </x:c>
      <x:c r="F399" s="24" t="str"/>
      <x:c r="G399" s="24" t="str">
        <x:v>대여중</x:v>
      </x:c>
      <x:c r="H399" s="32" t="n">
        <x:v>960000</x:v>
      </x:c>
      <x:c r="I399" s="24" t="str">
        <x:v>SW-C-27두4385-2-20240126-132</x:v>
      </x:c>
      <x:c r="J399" s="24" t="str">
        <x:v>김민혁</x:v>
      </x:c>
      <x:c r="K399" s="24" t="str">
        <x:v>구독대여 계약 시작</x:v>
      </x:c>
      <x:c r="L399" s="24" t="str"/>
      <x:c r="M399" s="24" t="str">
        <x:v>하허호</x:v>
      </x:c>
      <x:c r="N399" s="30" t="n">
        <x:v>45317</x:v>
      </x:c>
    </x:row>
    <x:row r="400" ht="17.25" customHeight="1">
      <x:c r="A400" s="24" t="str">
        <x:v>E-00399</x:v>
      </x:c>
      <x:c r="B400" s="24" t="str">
        <x:v>스위치플랜</x:v>
      </x:c>
      <x:c r="C400" s="24" t="str">
        <x:v>27두4385</x:v>
      </x:c>
      <x:c r="D400" s="30" t="n">
        <x:v>45317</x:v>
      </x:c>
      <x:c r="E400" s="24" t="str">
        <x:v>계약시작</x:v>
      </x:c>
      <x:c r="F400" s="24" t="str"/>
      <x:c r="G400" s="24" t="str">
        <x:v>대여중</x:v>
      </x:c>
      <x:c r="H400" s="32" t="n">
        <x:v>860000</x:v>
      </x:c>
      <x:c r="I400" s="24" t="str">
        <x:v>SW-C-27두4385-3-20240126-132</x:v>
      </x:c>
      <x:c r="J400" s="24" t="str">
        <x:v>이민상</x:v>
      </x:c>
      <x:c r="K400" s="24" t="str">
        <x:v>구독대여 계약 시작</x:v>
      </x:c>
      <x:c r="L400" s="24" t="str"/>
      <x:c r="M400" s="24" t="str">
        <x:v>하허호</x:v>
      </x:c>
      <x:c r="N400" s="30" t="n">
        <x:v>45317</x:v>
      </x:c>
    </x:row>
    <x:row r="401" ht="17.25" customHeight="1">
      <x:c r="A401" s="24" t="str">
        <x:v>E-00400</x:v>
      </x:c>
      <x:c r="B401" s="24" t="str">
        <x:v>스위치플랜</x:v>
      </x:c>
      <x:c r="C401" s="24" t="str">
        <x:v>27두4385</x:v>
      </x:c>
      <x:c r="D401" s="30" t="n">
        <x:v>45317</x:v>
      </x:c>
      <x:c r="E401" s="24" t="str">
        <x:v>반납</x:v>
      </x:c>
      <x:c r="F401" s="24" t="str">
        <x:v>대여중</x:v>
      </x:c>
      <x:c r="G401" s="24" t="str">
        <x:v>쉬는차</x:v>
      </x:c>
      <x:c r="H401" s="32"/>
      <x:c r="I401" s="24" t="str">
        <x:v>SW-C-27두4385-3-20240126-132</x:v>
      </x:c>
      <x:c r="J401" s="24" t="str">
        <x:v>이민상</x:v>
      </x:c>
      <x:c r="K401" s="24" t="str">
        <x:v>차량 반납</x:v>
      </x:c>
      <x:c r="L401" s="24" t="str"/>
      <x:c r="M401" s="24" t="str">
        <x:v>하허호</x:v>
      </x:c>
      <x:c r="N401" s="30" t="n">
        <x:v>45317</x:v>
      </x:c>
    </x:row>
    <x:row r="402" ht="17.25" customHeight="1">
      <x:c r="A402" s="24" t="str">
        <x:v>E-00401</x:v>
      </x:c>
      <x:c r="B402" s="24" t="str">
        <x:v>스위치플랜</x:v>
      </x:c>
      <x:c r="C402" s="24" t="str">
        <x:v>167고4054</x:v>
      </x:c>
      <x:c r="D402" s="30" t="n">
        <x:v>46097</x:v>
      </x:c>
      <x:c r="E402" s="24" t="str">
        <x:v>반납</x:v>
      </x:c>
      <x:c r="F402" s="24" t="str">
        <x:v>대여중</x:v>
      </x:c>
      <x:c r="G402" s="24" t="str">
        <x:v>쉬는차</x:v>
      </x:c>
      <x:c r="H402" s="32"/>
      <x:c r="I402" s="24" t="str">
        <x:v>SW-C-167고4054-1-NA-133</x:v>
      </x:c>
      <x:c r="J402" s="24" t="str">
        <x:v>매각</x:v>
      </x:c>
      <x:c r="K402" s="24" t="str">
        <x:v>차량 반납</x:v>
      </x:c>
      <x:c r="L402" s="24" t="str"/>
      <x:c r="M402" s="24" t="str"/>
      <x:c r="N402" s="30" t="n">
        <x:v>46097</x:v>
      </x:c>
    </x:row>
    <x:row r="403" ht="17.25" customHeight="1">
      <x:c r="A403" s="24" t="str">
        <x:v>E-00402</x:v>
      </x:c>
      <x:c r="B403" s="24" t="str">
        <x:v>스위치플랜</x:v>
      </x:c>
      <x:c r="C403" s="24" t="str">
        <x:v>167고4054</x:v>
      </x:c>
      <x:c r="D403" s="30" t="n">
        <x:v>45762</x:v>
      </x:c>
      <x:c r="E403" s="24" t="str">
        <x:v>계약시작</x:v>
      </x:c>
      <x:c r="F403" s="24" t="str"/>
      <x:c r="G403" s="24" t="str">
        <x:v>대여중</x:v>
      </x:c>
      <x:c r="H403" s="32" t="n">
        <x:v>980000</x:v>
      </x:c>
      <x:c r="I403" s="24" t="str">
        <x:v>SW-C-167고4054-2-20250415-133</x:v>
      </x:c>
      <x:c r="J403" s="24" t="str">
        <x:v>이광호</x:v>
      </x:c>
      <x:c r="K403" s="24" t="str">
        <x:v> 계약 시작</x:v>
      </x:c>
      <x:c r="L403" s="24" t="str"/>
      <x:c r="M403" s="24" t="str">
        <x:v>하허호</x:v>
      </x:c>
      <x:c r="N403" s="30" t="n">
        <x:v>45762</x:v>
      </x:c>
    </x:row>
    <x:row r="404" ht="17.25" customHeight="1">
      <x:c r="A404" s="24" t="str">
        <x:v>E-00403</x:v>
      </x:c>
      <x:c r="B404" s="24" t="str">
        <x:v>스위치플랜</x:v>
      </x:c>
      <x:c r="C404" s="24" t="str">
        <x:v>167고4054</x:v>
      </x:c>
      <x:c r="D404" s="30" t="n">
        <x:v>45869</x:v>
      </x:c>
      <x:c r="E404" s="24" t="str">
        <x:v>반납</x:v>
      </x:c>
      <x:c r="F404" s="24" t="str">
        <x:v>대여중</x:v>
      </x:c>
      <x:c r="G404" s="24" t="str">
        <x:v>쉬는차</x:v>
      </x:c>
      <x:c r="H404" s="32"/>
      <x:c r="I404" s="24" t="str">
        <x:v>SW-C-167고4054-2-20250415-133</x:v>
      </x:c>
      <x:c r="J404" s="24" t="str">
        <x:v>이광호</x:v>
      </x:c>
      <x:c r="K404" s="24" t="str">
        <x:v>차량 반납</x:v>
      </x:c>
      <x:c r="L404" s="24" t="str"/>
      <x:c r="M404" s="24" t="str">
        <x:v>하허호</x:v>
      </x:c>
      <x:c r="N404" s="30" t="n">
        <x:v>45869</x:v>
      </x:c>
    </x:row>
    <x:row r="405" ht="17.25" customHeight="1">
      <x:c r="A405" s="24" t="str">
        <x:v>E-00404</x:v>
      </x:c>
      <x:c r="B405" s="24" t="str">
        <x:v>스위치플랜</x:v>
      </x:c>
      <x:c r="C405" s="24" t="str">
        <x:v>167고4054</x:v>
      </x:c>
      <x:c r="D405" s="30" t="n">
        <x:v>45371</x:v>
      </x:c>
      <x:c r="E405" s="24" t="str">
        <x:v>계약시작</x:v>
      </x:c>
      <x:c r="F405" s="24" t="str"/>
      <x:c r="G405" s="24" t="str">
        <x:v>대여중</x:v>
      </x:c>
      <x:c r="H405" s="32" t="n">
        <x:v>1020000</x:v>
      </x:c>
      <x:c r="I405" s="24" t="str">
        <x:v>SW-C-167고4054-3-20240320-133</x:v>
      </x:c>
      <x:c r="J405" s="24" t="str">
        <x:v>이주호</x:v>
      </x:c>
      <x:c r="K405" s="24" t="str">
        <x:v>구독대여 계약 시작</x:v>
      </x:c>
      <x:c r="L405" s="24" t="str"/>
      <x:c r="M405" s="24" t="str">
        <x:v>카랜(주)</x:v>
      </x:c>
      <x:c r="N405" s="30" t="n">
        <x:v>45371</x:v>
      </x:c>
    </x:row>
    <x:row r="406" ht="17.25" customHeight="1">
      <x:c r="A406" s="24" t="str">
        <x:v>E-00405</x:v>
      </x:c>
      <x:c r="B406" s="24" t="str">
        <x:v>스위치플랜</x:v>
      </x:c>
      <x:c r="C406" s="24" t="str">
        <x:v>167고4054</x:v>
      </x:c>
      <x:c r="D406" s="30" t="n">
        <x:v>45504</x:v>
      </x:c>
      <x:c r="E406" s="24" t="str">
        <x:v>반납</x:v>
      </x:c>
      <x:c r="F406" s="24" t="str">
        <x:v>대여중</x:v>
      </x:c>
      <x:c r="G406" s="24" t="str">
        <x:v>쉬는차</x:v>
      </x:c>
      <x:c r="H406" s="32"/>
      <x:c r="I406" s="24" t="str">
        <x:v>SW-C-167고4054-3-20240320-133</x:v>
      </x:c>
      <x:c r="J406" s="24" t="str">
        <x:v>이주호</x:v>
      </x:c>
      <x:c r="K406" s="24" t="str">
        <x:v>차량 반납</x:v>
      </x:c>
      <x:c r="L406" s="24" t="str"/>
      <x:c r="M406" s="24" t="str">
        <x:v>카랜(주)</x:v>
      </x:c>
      <x:c r="N406" s="30" t="n">
        <x:v>45504</x:v>
      </x:c>
    </x:row>
    <x:row r="407" ht="17.25" customHeight="1">
      <x:c r="A407" s="24" t="str">
        <x:v>E-00406</x:v>
      </x:c>
      <x:c r="B407" s="24" t="str">
        <x:v>스위치플랜</x:v>
      </x:c>
      <x:c r="C407" s="24" t="str">
        <x:v>02머1479</x:v>
      </x:c>
      <x:c r="D407" s="30" t="n">
        <x:v>45917</x:v>
      </x:c>
      <x:c r="E407" s="24" t="str">
        <x:v>반납</x:v>
      </x:c>
      <x:c r="F407" s="24" t="str">
        <x:v>대여중</x:v>
      </x:c>
      <x:c r="G407" s="24" t="str">
        <x:v>쉬는차</x:v>
      </x:c>
      <x:c r="H407" s="32"/>
      <x:c r="I407" s="24" t="str">
        <x:v>SW-C-02머1479-1-NA-134</x:v>
      </x:c>
      <x:c r="J407" s="24" t="str">
        <x:v>매각</x:v>
      </x:c>
      <x:c r="K407" s="24" t="str">
        <x:v>차량 반납</x:v>
      </x:c>
      <x:c r="L407" s="24" t="str"/>
      <x:c r="M407" s="24" t="str"/>
      <x:c r="N407" s="30" t="n">
        <x:v>45917</x:v>
      </x:c>
    </x:row>
    <x:row r="408" ht="17.25" customHeight="1">
      <x:c r="A408" s="24" t="str">
        <x:v>E-00407</x:v>
      </x:c>
      <x:c r="B408" s="24" t="str">
        <x:v>스위치플랜</x:v>
      </x:c>
      <x:c r="C408" s="24" t="str">
        <x:v>02머1479</x:v>
      </x:c>
      <x:c r="D408" s="30" t="n">
        <x:v>45680</x:v>
      </x:c>
      <x:c r="E408" s="24" t="str">
        <x:v>계약시작</x:v>
      </x:c>
      <x:c r="F408" s="24" t="str"/>
      <x:c r="G408" s="24" t="str">
        <x:v>대여중</x:v>
      </x:c>
      <x:c r="H408" s="32" t="n">
        <x:v>400000</x:v>
      </x:c>
      <x:c r="I408" s="24" t="str">
        <x:v>SW-C-02머1479-2-20250123-134</x:v>
      </x:c>
      <x:c r="J408" s="24" t="str">
        <x:v>허수연</x:v>
      </x:c>
      <x:c r="K408" s="24" t="str">
        <x:v>구독대여 계약 시작</x:v>
      </x:c>
      <x:c r="L408" s="24" t="str"/>
      <x:c r="M408" s="24" t="str">
        <x:v>하허호</x:v>
      </x:c>
      <x:c r="N408" s="30" t="n">
        <x:v>45680</x:v>
      </x:c>
    </x:row>
    <x:row r="409" ht="17.25" customHeight="1">
      <x:c r="A409" s="24" t="str">
        <x:v>E-00408</x:v>
      </x:c>
      <x:c r="B409" s="24" t="str">
        <x:v>스위치플랜</x:v>
      </x:c>
      <x:c r="C409" s="24" t="str">
        <x:v>02머1479</x:v>
      </x:c>
      <x:c r="D409" s="30" t="n">
        <x:v>45908</x:v>
      </x:c>
      <x:c r="E409" s="24" t="str">
        <x:v>반납</x:v>
      </x:c>
      <x:c r="F409" s="24" t="str">
        <x:v>대여중</x:v>
      </x:c>
      <x:c r="G409" s="24" t="str">
        <x:v>쉬는차</x:v>
      </x:c>
      <x:c r="H409" s="32"/>
      <x:c r="I409" s="24" t="str">
        <x:v>SW-C-02머1479-2-20250123-134</x:v>
      </x:c>
      <x:c r="J409" s="24" t="str">
        <x:v>허수연</x:v>
      </x:c>
      <x:c r="K409" s="24" t="str">
        <x:v>차량 반납</x:v>
      </x:c>
      <x:c r="L409" s="24" t="str"/>
      <x:c r="M409" s="24" t="str">
        <x:v>하허호</x:v>
      </x:c>
      <x:c r="N409" s="30" t="n">
        <x:v>45908</x:v>
      </x:c>
    </x:row>
    <x:row r="410" ht="17.25" customHeight="1">
      <x:c r="A410" s="24" t="str">
        <x:v>E-00409</x:v>
      </x:c>
      <x:c r="B410" s="24" t="str">
        <x:v>스위치플랜</x:v>
      </x:c>
      <x:c r="C410" s="24" t="str">
        <x:v>02머1479</x:v>
      </x:c>
      <x:c r="D410" s="30" t="n">
        <x:v>45561</x:v>
      </x:c>
      <x:c r="E410" s="24" t="str">
        <x:v>계약시작</x:v>
      </x:c>
      <x:c r="F410" s="24" t="str"/>
      <x:c r="G410" s="24" t="str">
        <x:v>대여중</x:v>
      </x:c>
      <x:c r="H410" s="32" t="n">
        <x:v>330000</x:v>
      </x:c>
      <x:c r="I410" s="24" t="str">
        <x:v>SW-C-02머1479-3-20240926-134</x:v>
      </x:c>
      <x:c r="J410" s="24" t="str">
        <x:v>조샛별</x:v>
      </x:c>
      <x:c r="K410" s="24" t="str">
        <x:v>구독대여 계약 시작</x:v>
      </x:c>
      <x:c r="L410" s="24" t="str"/>
      <x:c r="M410" s="24" t="str">
        <x:v>하허호</x:v>
      </x:c>
      <x:c r="N410" s="30" t="n">
        <x:v>45561</x:v>
      </x:c>
    </x:row>
    <x:row r="411" ht="17.25" customHeight="1">
      <x:c r="A411" s="24" t="str">
        <x:v>E-00410</x:v>
      </x:c>
      <x:c r="B411" s="24" t="str">
        <x:v>스위치플랜</x:v>
      </x:c>
      <x:c r="C411" s="24" t="str">
        <x:v>02머1479</x:v>
      </x:c>
      <x:c r="D411" s="30"/>
      <x:c r="E411" s="24" t="str">
        <x:v>반납</x:v>
      </x:c>
      <x:c r="F411" s="24" t="str">
        <x:v>대여중</x:v>
      </x:c>
      <x:c r="G411" s="24" t="str">
        <x:v>쉬는차</x:v>
      </x:c>
      <x:c r="H411" s="32"/>
      <x:c r="I411" s="24" t="str">
        <x:v>SW-C-02머1479-3-20240926-134</x:v>
      </x:c>
      <x:c r="J411" s="24" t="str">
        <x:v>조샛별</x:v>
      </x:c>
      <x:c r="K411" s="24" t="str">
        <x:v>차량 반납</x:v>
      </x:c>
      <x:c r="L411" s="24" t="str"/>
      <x:c r="M411" s="24" t="str">
        <x:v>하허호</x:v>
      </x:c>
      <x:c r="N411" s="30"/>
    </x:row>
    <x:row r="412" ht="17.25" customHeight="1">
      <x:c r="A412" s="24" t="str">
        <x:v>E-00411</x:v>
      </x:c>
      <x:c r="B412" s="24" t="str">
        <x:v>스위치플랜</x:v>
      </x:c>
      <x:c r="C412" s="24" t="str">
        <x:v>02머1479</x:v>
      </x:c>
      <x:c r="D412" s="30" t="n">
        <x:v>45439</x:v>
      </x:c>
      <x:c r="E412" s="24" t="str">
        <x:v>계약시작</x:v>
      </x:c>
      <x:c r="F412" s="24" t="str"/>
      <x:c r="G412" s="24" t="str">
        <x:v>대여중</x:v>
      </x:c>
      <x:c r="H412" s="32" t="n">
        <x:v>490000</x:v>
      </x:c>
      <x:c r="I412" s="24" t="str">
        <x:v>SW-C-02머1479-4-20240527-134</x:v>
      </x:c>
      <x:c r="J412" s="24" t="str">
        <x:v>김남익</x:v>
      </x:c>
      <x:c r="K412" s="24" t="str">
        <x:v>구독대여 계약 시작</x:v>
      </x:c>
      <x:c r="L412" s="24" t="str"/>
      <x:c r="M412" s="24" t="str">
        <x:v>카랜(주)</x:v>
      </x:c>
      <x:c r="N412" s="30" t="n">
        <x:v>45439</x:v>
      </x:c>
    </x:row>
    <x:row r="413" ht="17.25" customHeight="1">
      <x:c r="A413" s="24" t="str">
        <x:v>E-00412</x:v>
      </x:c>
      <x:c r="B413" s="24" t="str">
        <x:v>스위치플랜</x:v>
      </x:c>
      <x:c r="C413" s="24" t="str">
        <x:v>02머1479</x:v>
      </x:c>
      <x:c r="D413" s="30" t="n">
        <x:v>45546</x:v>
      </x:c>
      <x:c r="E413" s="24" t="str">
        <x:v>반납</x:v>
      </x:c>
      <x:c r="F413" s="24" t="str">
        <x:v>대여중</x:v>
      </x:c>
      <x:c r="G413" s="24" t="str">
        <x:v>쉬는차</x:v>
      </x:c>
      <x:c r="H413" s="32"/>
      <x:c r="I413" s="24" t="str">
        <x:v>SW-C-02머1479-4-20240527-134</x:v>
      </x:c>
      <x:c r="J413" s="24" t="str">
        <x:v>김남익</x:v>
      </x:c>
      <x:c r="K413" s="24" t="str">
        <x:v>차량 반납</x:v>
      </x:c>
      <x:c r="L413" s="24" t="str"/>
      <x:c r="M413" s="24" t="str">
        <x:v>카랜(주)</x:v>
      </x:c>
      <x:c r="N413" s="30" t="n">
        <x:v>45546</x:v>
      </x:c>
    </x:row>
    <x:row r="414" ht="17.25" customHeight="1">
      <x:c r="A414" s="24" t="str">
        <x:v>E-00413</x:v>
      </x:c>
      <x:c r="B414" s="24" t="str">
        <x:v>스위치플랜</x:v>
      </x:c>
      <x:c r="C414" s="24" t="str">
        <x:v>365마1616</x:v>
      </x:c>
      <x:c r="D414" s="30" t="n">
        <x:v>45966</x:v>
      </x:c>
      <x:c r="E414" s="24" t="str">
        <x:v>반납</x:v>
      </x:c>
      <x:c r="F414" s="24" t="str">
        <x:v>대여중</x:v>
      </x:c>
      <x:c r="G414" s="24" t="str">
        <x:v>쉬는차</x:v>
      </x:c>
      <x:c r="H414" s="32"/>
      <x:c r="I414" s="24" t="str">
        <x:v>SW-C-365마1616-1-NA-136</x:v>
      </x:c>
      <x:c r="J414" s="24" t="str">
        <x:v>매각</x:v>
      </x:c>
      <x:c r="K414" s="24" t="str">
        <x:v>차량 반납</x:v>
      </x:c>
      <x:c r="L414" s="24" t="str"/>
      <x:c r="M414" s="24" t="str"/>
      <x:c r="N414" s="30" t="n">
        <x:v>45966</x:v>
      </x:c>
    </x:row>
    <x:row r="415" ht="17.25" customHeight="1">
      <x:c r="A415" s="24" t="str">
        <x:v>E-00414</x:v>
      </x:c>
      <x:c r="B415" s="24" t="str">
        <x:v>스위치플랜</x:v>
      </x:c>
      <x:c r="C415" s="24" t="str">
        <x:v>365마1616</x:v>
      </x:c>
      <x:c r="D415" s="30" t="n">
        <x:v>45859</x:v>
      </x:c>
      <x:c r="E415" s="24" t="str">
        <x:v>계약시작</x:v>
      </x:c>
      <x:c r="F415" s="24" t="str"/>
      <x:c r="G415" s="24" t="str">
        <x:v>대여중</x:v>
      </x:c>
      <x:c r="H415" s="32" t="n">
        <x:v>1520000</x:v>
      </x:c>
      <x:c r="I415" s="24" t="str">
        <x:v>SW-C-365마1616-2-20250721-136</x:v>
      </x:c>
      <x:c r="J415" s="24" t="str">
        <x:v>김태리1616</x:v>
      </x:c>
      <x:c r="K415" s="24" t="str">
        <x:v>구독대여 계약 시작</x:v>
      </x:c>
      <x:c r="L415" s="24" t="str"/>
      <x:c r="M415" s="24" t="str"/>
      <x:c r="N415" s="30" t="n">
        <x:v>45859</x:v>
      </x:c>
    </x:row>
    <x:row r="416" ht="17.25" customHeight="1">
      <x:c r="A416" s="24" t="str">
        <x:v>E-00415</x:v>
      </x:c>
      <x:c r="B416" s="24" t="str">
        <x:v>스위치플랜</x:v>
      </x:c>
      <x:c r="C416" s="24" t="str">
        <x:v>365마1616</x:v>
      </x:c>
      <x:c r="D416" s="30" t="n">
        <x:v>45905</x:v>
      </x:c>
      <x:c r="E416" s="24" t="str">
        <x:v>반납</x:v>
      </x:c>
      <x:c r="F416" s="24" t="str">
        <x:v>대여중</x:v>
      </x:c>
      <x:c r="G416" s="24" t="str">
        <x:v>쉬는차</x:v>
      </x:c>
      <x:c r="H416" s="32"/>
      <x:c r="I416" s="24" t="str">
        <x:v>SW-C-365마1616-2-20250721-136</x:v>
      </x:c>
      <x:c r="J416" s="24" t="str">
        <x:v>김태리1616</x:v>
      </x:c>
      <x:c r="K416" s="24" t="str">
        <x:v>차량 반납</x:v>
      </x:c>
      <x:c r="L416" s="24" t="str"/>
      <x:c r="M416" s="24" t="str"/>
      <x:c r="N416" s="30" t="n">
        <x:v>45905</x:v>
      </x:c>
    </x:row>
    <x:row r="417" ht="17.25" customHeight="1">
      <x:c r="A417" s="24" t="str">
        <x:v>E-00416</x:v>
      </x:c>
      <x:c r="B417" s="24" t="str">
        <x:v>스위치플랜</x:v>
      </x:c>
      <x:c r="C417" s="24" t="str">
        <x:v>365마1616</x:v>
      </x:c>
      <x:c r="D417" s="30" t="n">
        <x:v>45503</x:v>
      </x:c>
      <x:c r="E417" s="24" t="str">
        <x:v>계약시작</x:v>
      </x:c>
      <x:c r="F417" s="24" t="str"/>
      <x:c r="G417" s="24" t="str">
        <x:v>대여중</x:v>
      </x:c>
      <x:c r="H417" s="32" t="n">
        <x:v>1670000</x:v>
      </x:c>
      <x:c r="I417" s="24" t="str">
        <x:v>SW-C-365마1616-3-20240730-136</x:v>
      </x:c>
      <x:c r="J417" s="24" t="str">
        <x:v>양선민</x:v>
      </x:c>
      <x:c r="K417" s="24" t="str">
        <x:v>구독대여 계약 시작</x:v>
      </x:c>
      <x:c r="L417" s="24" t="str"/>
      <x:c r="M417" s="24" t="str">
        <x:v>하허호</x:v>
      </x:c>
      <x:c r="N417" s="30" t="n">
        <x:v>45503</x:v>
      </x:c>
    </x:row>
    <x:row r="418" ht="17.25" customHeight="1">
      <x:c r="A418" s="24" t="str">
        <x:v>E-00417</x:v>
      </x:c>
      <x:c r="B418" s="24" t="str">
        <x:v>스위치플랜</x:v>
      </x:c>
      <x:c r="C418" s="24" t="str">
        <x:v>365마1616</x:v>
      </x:c>
      <x:c r="D418" s="30" t="n">
        <x:v>45818</x:v>
      </x:c>
      <x:c r="E418" s="24" t="str">
        <x:v>반납</x:v>
      </x:c>
      <x:c r="F418" s="24" t="str">
        <x:v>대여중</x:v>
      </x:c>
      <x:c r="G418" s="24" t="str">
        <x:v>쉬는차</x:v>
      </x:c>
      <x:c r="H418" s="32"/>
      <x:c r="I418" s="24" t="str">
        <x:v>SW-C-365마1616-3-20240730-136</x:v>
      </x:c>
      <x:c r="J418" s="24" t="str">
        <x:v>양선민</x:v>
      </x:c>
      <x:c r="K418" s="24" t="str">
        <x:v>차량 반납</x:v>
      </x:c>
      <x:c r="L418" s="24" t="str"/>
      <x:c r="M418" s="24" t="str">
        <x:v>하허호</x:v>
      </x:c>
      <x:c r="N418" s="30" t="n">
        <x:v>45818</x:v>
      </x:c>
    </x:row>
    <x:row r="419" ht="17.25" customHeight="1">
      <x:c r="A419" s="24" t="str">
        <x:v>E-00418</x:v>
      </x:c>
      <x:c r="B419" s="24" t="str">
        <x:v>스위치플랜</x:v>
      </x:c>
      <x:c r="C419" s="24" t="str">
        <x:v>365마1616</x:v>
      </x:c>
      <x:c r="D419" s="30" t="n">
        <x:v>45481</x:v>
      </x:c>
      <x:c r="E419" s="24" t="str">
        <x:v>계약시작</x:v>
      </x:c>
      <x:c r="F419" s="24" t="str"/>
      <x:c r="G419" s="24" t="str">
        <x:v>대여중</x:v>
      </x:c>
      <x:c r="H419" s="32" t="n">
        <x:v>2550000</x:v>
      </x:c>
      <x:c r="I419" s="24" t="str">
        <x:v>SW-C-365마1616-4-20240708-136</x:v>
      </x:c>
      <x:c r="J419" s="24" t="str">
        <x:v>이정민</x:v>
      </x:c>
      <x:c r="K419" s="24" t="str">
        <x:v>구독대여 계약 시작</x:v>
      </x:c>
      <x:c r="L419" s="24" t="str"/>
      <x:c r="M419" s="24" t="str">
        <x:v>하허호</x:v>
      </x:c>
      <x:c r="N419" s="30" t="n">
        <x:v>45481</x:v>
      </x:c>
    </x:row>
    <x:row r="420" ht="17.25" customHeight="1">
      <x:c r="A420" s="24" t="str">
        <x:v>E-00419</x:v>
      </x:c>
      <x:c r="B420" s="24" t="str">
        <x:v>스위치플랜</x:v>
      </x:c>
      <x:c r="C420" s="24" t="str">
        <x:v>365마1616</x:v>
      </x:c>
      <x:c r="D420" s="30" t="n">
        <x:v>45497</x:v>
      </x:c>
      <x:c r="E420" s="24" t="str">
        <x:v>반납</x:v>
      </x:c>
      <x:c r="F420" s="24" t="str">
        <x:v>대여중</x:v>
      </x:c>
      <x:c r="G420" s="24" t="str">
        <x:v>쉬는차</x:v>
      </x:c>
      <x:c r="H420" s="32"/>
      <x:c r="I420" s="24" t="str">
        <x:v>SW-C-365마1616-4-20240708-136</x:v>
      </x:c>
      <x:c r="J420" s="24" t="str">
        <x:v>이정민</x:v>
      </x:c>
      <x:c r="K420" s="24" t="str">
        <x:v>차량 반납</x:v>
      </x:c>
      <x:c r="L420" s="24" t="str"/>
      <x:c r="M420" s="24" t="str">
        <x:v>하허호</x:v>
      </x:c>
      <x:c r="N420" s="30" t="n">
        <x:v>45497</x:v>
      </x:c>
    </x:row>
    <x:row r="421" ht="17.25" customHeight="1">
      <x:c r="A421" s="24" t="str">
        <x:v>E-00420</x:v>
      </x:c>
      <x:c r="B421" s="24" t="str">
        <x:v>스위치플랜</x:v>
      </x:c>
      <x:c r="C421" s="24" t="str">
        <x:v>365마1616</x:v>
      </x:c>
      <x:c r="D421" s="30" t="n">
        <x:v>46081</x:v>
      </x:c>
      <x:c r="E421" s="24" t="str">
        <x:v>계약시작</x:v>
      </x:c>
      <x:c r="F421" s="24" t="str"/>
      <x:c r="G421" s="24" t="str">
        <x:v>대여중</x:v>
      </x:c>
      <x:c r="H421" s="32" t="n">
        <x:v>45351</x:v>
      </x:c>
      <x:c r="I421" s="24" t="str">
        <x:v>SW-C-365마1616-5-20260228-136</x:v>
      </x:c>
      <x:c r="J421" s="24" t="str">
        <x:v>김민호</x:v>
      </x:c>
      <x:c r="K421" s="24" t="str">
        <x:v>구독대여 계약 시작</x:v>
      </x:c>
      <x:c r="L421" s="24" t="str"/>
      <x:c r="M421" s="24" t="str">
        <x:v>카랜(주)</x:v>
      </x:c>
      <x:c r="N421" s="30" t="n">
        <x:v>46081</x:v>
      </x:c>
    </x:row>
    <x:row r="422" ht="17.25" customHeight="1">
      <x:c r="A422" s="24" t="str">
        <x:v>E-00421</x:v>
      </x:c>
      <x:c r="B422" s="24" t="str">
        <x:v>스위치플랜</x:v>
      </x:c>
      <x:c r="C422" s="24" t="str">
        <x:v>365마1616</x:v>
      </x:c>
      <x:c r="D422" s="30"/>
      <x:c r="E422" s="24" t="str">
        <x:v>반납</x:v>
      </x:c>
      <x:c r="F422" s="24" t="str">
        <x:v>대여중</x:v>
      </x:c>
      <x:c r="G422" s="24" t="str">
        <x:v>쉬는차</x:v>
      </x:c>
      <x:c r="H422" s="32"/>
      <x:c r="I422" s="24" t="str">
        <x:v>SW-C-365마1616-5-20260228-136</x:v>
      </x:c>
      <x:c r="J422" s="24" t="str">
        <x:v>김민호</x:v>
      </x:c>
      <x:c r="K422" s="24" t="str">
        <x:v>차량 반납</x:v>
      </x:c>
      <x:c r="L422" s="24" t="str"/>
      <x:c r="M422" s="24" t="str">
        <x:v>카랜(주)</x:v>
      </x:c>
      <x:c r="N422" s="30"/>
    </x:row>
    <x:row r="423" ht="17.25" customHeight="1">
      <x:c r="A423" s="24" t="str">
        <x:v>E-00422</x:v>
      </x:c>
      <x:c r="B423" s="24" t="str">
        <x:v>스위치플랜</x:v>
      </x:c>
      <x:c r="C423" s="24" t="str">
        <x:v>03우7717</x:v>
      </x:c>
      <x:c r="D423" s="30" t="n">
        <x:v>45917</x:v>
      </x:c>
      <x:c r="E423" s="24" t="str">
        <x:v>반납</x:v>
      </x:c>
      <x:c r="F423" s="24" t="str">
        <x:v>대여중</x:v>
      </x:c>
      <x:c r="G423" s="24" t="str">
        <x:v>쉬는차</x:v>
      </x:c>
      <x:c r="H423" s="32"/>
      <x:c r="I423" s="24" t="str">
        <x:v>SW-C-03우7717-1-NA-137</x:v>
      </x:c>
      <x:c r="J423" s="24" t="str">
        <x:v>매각</x:v>
      </x:c>
      <x:c r="K423" s="24" t="str">
        <x:v>차량 반납</x:v>
      </x:c>
      <x:c r="L423" s="24" t="str"/>
      <x:c r="M423" s="24" t="str"/>
      <x:c r="N423" s="30" t="n">
        <x:v>45917</x:v>
      </x:c>
    </x:row>
    <x:row r="424" ht="17.25" customHeight="1">
      <x:c r="A424" s="24" t="str">
        <x:v>E-00423</x:v>
      </x:c>
      <x:c r="B424" s="24" t="str">
        <x:v>스위치플랜</x:v>
      </x:c>
      <x:c r="C424" s="24" t="str">
        <x:v>03우7717</x:v>
      </x:c>
      <x:c r="D424" s="30" t="n">
        <x:v>45782</x:v>
      </x:c>
      <x:c r="E424" s="24" t="str">
        <x:v>계약시작</x:v>
      </x:c>
      <x:c r="F424" s="24" t="str"/>
      <x:c r="G424" s="24" t="str">
        <x:v>대여중</x:v>
      </x:c>
      <x:c r="H424" s="32" t="n">
        <x:v>2000000</x:v>
      </x:c>
      <x:c r="I424" s="24" t="str">
        <x:v>SW-C-03우7717-2-20250505-137</x:v>
      </x:c>
      <x:c r="J424" s="24" t="str">
        <x:v>김상훈</x:v>
      </x:c>
      <x:c r="K424" s="24" t="str">
        <x:v>구독대여 계약 시작</x:v>
      </x:c>
      <x:c r="L424" s="24" t="str"/>
      <x:c r="M424" s="24" t="str">
        <x:v>하허호</x:v>
      </x:c>
      <x:c r="N424" s="30" t="n">
        <x:v>45782</x:v>
      </x:c>
    </x:row>
    <x:row r="425" ht="17.25" customHeight="1">
      <x:c r="A425" s="24" t="str">
        <x:v>E-00424</x:v>
      </x:c>
      <x:c r="B425" s="24" t="str">
        <x:v>스위치플랜</x:v>
      </x:c>
      <x:c r="C425" s="24" t="str">
        <x:v>03우7717</x:v>
      </x:c>
      <x:c r="D425" s="30" t="n">
        <x:v>45913</x:v>
      </x:c>
      <x:c r="E425" s="24" t="str">
        <x:v>반납</x:v>
      </x:c>
      <x:c r="F425" s="24" t="str">
        <x:v>대여중</x:v>
      </x:c>
      <x:c r="G425" s="24" t="str">
        <x:v>쉬는차</x:v>
      </x:c>
      <x:c r="H425" s="32"/>
      <x:c r="I425" s="24" t="str">
        <x:v>SW-C-03우7717-2-20250505-137</x:v>
      </x:c>
      <x:c r="J425" s="24" t="str">
        <x:v>김상훈</x:v>
      </x:c>
      <x:c r="K425" s="24" t="str">
        <x:v>차량 반납</x:v>
      </x:c>
      <x:c r="L425" s="24" t="str"/>
      <x:c r="M425" s="24" t="str">
        <x:v>하허호</x:v>
      </x:c>
      <x:c r="N425" s="30" t="n">
        <x:v>45913</x:v>
      </x:c>
    </x:row>
    <x:row r="426" ht="17.25" customHeight="1">
      <x:c r="A426" s="24" t="str">
        <x:v>E-00425</x:v>
      </x:c>
      <x:c r="B426" s="24" t="str">
        <x:v>스위치플랜</x:v>
      </x:c>
      <x:c r="C426" s="24" t="str">
        <x:v>03우7717</x:v>
      </x:c>
      <x:c r="D426" s="30" t="n">
        <x:v>45272</x:v>
      </x:c>
      <x:c r="E426" s="24" t="str">
        <x:v>계약시작</x:v>
      </x:c>
      <x:c r="F426" s="24" t="str"/>
      <x:c r="G426" s="24" t="str">
        <x:v>대여중</x:v>
      </x:c>
      <x:c r="H426" s="32" t="n">
        <x:v>2830000</x:v>
      </x:c>
      <x:c r="I426" s="24" t="str">
        <x:v>SW-C-03우7717-3-20231212-137</x:v>
      </x:c>
      <x:c r="J426" s="24" t="str">
        <x:v>박재완</x:v>
      </x:c>
      <x:c r="K426" s="24" t="str">
        <x:v>구독대여 계약 시작</x:v>
      </x:c>
      <x:c r="L426" s="24" t="str"/>
      <x:c r="M426" s="24" t="str">
        <x:v>SI</x:v>
      </x:c>
      <x:c r="N426" s="30" t="n">
        <x:v>45272</x:v>
      </x:c>
    </x:row>
    <x:row r="427" ht="17.25" customHeight="1">
      <x:c r="A427" s="24" t="str">
        <x:v>E-00426</x:v>
      </x:c>
      <x:c r="B427" s="24" t="str">
        <x:v>스위치플랜</x:v>
      </x:c>
      <x:c r="C427" s="24" t="str">
        <x:v>03우7717</x:v>
      </x:c>
      <x:c r="D427" s="30" t="n">
        <x:v>45638</x:v>
      </x:c>
      <x:c r="E427" s="24" t="str">
        <x:v>반납</x:v>
      </x:c>
      <x:c r="F427" s="24" t="str">
        <x:v>대여중</x:v>
      </x:c>
      <x:c r="G427" s="24" t="str">
        <x:v>쉬는차</x:v>
      </x:c>
      <x:c r="H427" s="32"/>
      <x:c r="I427" s="24" t="str">
        <x:v>SW-C-03우7717-3-20231212-137</x:v>
      </x:c>
      <x:c r="J427" s="24" t="str">
        <x:v>박재완</x:v>
      </x:c>
      <x:c r="K427" s="24" t="str">
        <x:v>차량 반납</x:v>
      </x:c>
      <x:c r="L427" s="24" t="str"/>
      <x:c r="M427" s="24" t="str">
        <x:v>SI</x:v>
      </x:c>
      <x:c r="N427" s="30" t="n">
        <x:v>45638</x:v>
      </x:c>
    </x:row>
    <x:row r="428" ht="17.25" customHeight="1">
      <x:c r="A428" s="24" t="str">
        <x:v>E-00427</x:v>
      </x:c>
      <x:c r="B428" s="24" t="str">
        <x:v>스위치플랜</x:v>
      </x:c>
      <x:c r="C428" s="24" t="str">
        <x:v>384도7953</x:v>
      </x:c>
      <x:c r="D428" s="30" t="n">
        <x:v>45917</x:v>
      </x:c>
      <x:c r="E428" s="24" t="str">
        <x:v>반납</x:v>
      </x:c>
      <x:c r="F428" s="24" t="str">
        <x:v>대여중</x:v>
      </x:c>
      <x:c r="G428" s="24" t="str">
        <x:v>쉬는차</x:v>
      </x:c>
      <x:c r="H428" s="32"/>
      <x:c r="I428" s="24" t="str">
        <x:v>SW-C-384도7953-1-NA-138</x:v>
      </x:c>
      <x:c r="J428" s="24" t="str">
        <x:v>매각</x:v>
      </x:c>
      <x:c r="K428" s="24" t="str">
        <x:v>차량 반납</x:v>
      </x:c>
      <x:c r="L428" s="24" t="str"/>
      <x:c r="M428" s="24" t="str"/>
      <x:c r="N428" s="30" t="n">
        <x:v>45917</x:v>
      </x:c>
    </x:row>
    <x:row r="429" ht="17.25" customHeight="1">
      <x:c r="A429" s="24" t="str">
        <x:v>E-00428</x:v>
      </x:c>
      <x:c r="B429" s="24" t="str">
        <x:v>스위치플랜</x:v>
      </x:c>
      <x:c r="C429" s="24" t="str">
        <x:v>384도7953</x:v>
      </x:c>
      <x:c r="D429" s="30" t="n">
        <x:v>45859</x:v>
      </x:c>
      <x:c r="E429" s="24" t="str">
        <x:v>계약시작</x:v>
      </x:c>
      <x:c r="F429" s="24" t="str"/>
      <x:c r="G429" s="24" t="str">
        <x:v>대여중</x:v>
      </x:c>
      <x:c r="H429" s="32" t="n">
        <x:v>1600000</x:v>
      </x:c>
      <x:c r="I429" s="24" t="str">
        <x:v>SW-C-384도7953-2-20250721-138</x:v>
      </x:c>
      <x:c r="J429" s="24" t="str">
        <x:v>스타바이크</x:v>
      </x:c>
      <x:c r="K429" s="24" t="str">
        <x:v>구독대여 계약 시작</x:v>
      </x:c>
      <x:c r="L429" s="24" t="str"/>
      <x:c r="M429" s="24" t="str"/>
      <x:c r="N429" s="30" t="n">
        <x:v>45859</x:v>
      </x:c>
    </x:row>
    <x:row r="430" ht="17.25" customHeight="1">
      <x:c r="A430" s="24" t="str">
        <x:v>E-00429</x:v>
      </x:c>
      <x:c r="B430" s="24" t="str">
        <x:v>스위치플랜</x:v>
      </x:c>
      <x:c r="C430" s="24" t="str">
        <x:v>384도7953</x:v>
      </x:c>
      <x:c r="D430" s="30" t="n">
        <x:v>45904</x:v>
      </x:c>
      <x:c r="E430" s="24" t="str">
        <x:v>반납</x:v>
      </x:c>
      <x:c r="F430" s="24" t="str">
        <x:v>대여중</x:v>
      </x:c>
      <x:c r="G430" s="24" t="str">
        <x:v>쉬는차</x:v>
      </x:c>
      <x:c r="H430" s="32"/>
      <x:c r="I430" s="24" t="str">
        <x:v>SW-C-384도7953-2-20250721-138</x:v>
      </x:c>
      <x:c r="J430" s="24" t="str">
        <x:v>스타바이크</x:v>
      </x:c>
      <x:c r="K430" s="24" t="str">
        <x:v>차량 반납</x:v>
      </x:c>
      <x:c r="L430" s="24" t="str"/>
      <x:c r="M430" s="24" t="str"/>
      <x:c r="N430" s="30" t="n">
        <x:v>45904</x:v>
      </x:c>
    </x:row>
    <x:row r="431" ht="17.25" customHeight="1">
      <x:c r="A431" s="24" t="str">
        <x:v>E-00430</x:v>
      </x:c>
      <x:c r="B431" s="24" t="str">
        <x:v>스위치플랜</x:v>
      </x:c>
      <x:c r="C431" s="24" t="str">
        <x:v>384도7953</x:v>
      </x:c>
      <x:c r="D431" s="30" t="n">
        <x:v>45478</x:v>
      </x:c>
      <x:c r="E431" s="24" t="str">
        <x:v>계약시작</x:v>
      </x:c>
      <x:c r="F431" s="24" t="str"/>
      <x:c r="G431" s="24" t="str">
        <x:v>대여중</x:v>
      </x:c>
      <x:c r="H431" s="32" t="n">
        <x:v>1950000</x:v>
      </x:c>
      <x:c r="I431" s="24" t="str">
        <x:v>SW-C-384도7953-3-20240705-138</x:v>
      </x:c>
      <x:c r="J431" s="24" t="str">
        <x:v>박대현</x:v>
      </x:c>
      <x:c r="K431" s="24" t="str">
        <x:v>구독대여 계약 시작</x:v>
      </x:c>
      <x:c r="L431" s="24" t="str"/>
      <x:c r="M431" s="24" t="str">
        <x:v>하허호</x:v>
      </x:c>
      <x:c r="N431" s="30" t="n">
        <x:v>45478</x:v>
      </x:c>
    </x:row>
    <x:row r="432" ht="17.25" customHeight="1">
      <x:c r="A432" s="24" t="str">
        <x:v>E-00431</x:v>
      </x:c>
      <x:c r="B432" s="24" t="str">
        <x:v>스위치플랜</x:v>
      </x:c>
      <x:c r="C432" s="24" t="str">
        <x:v>384도7953</x:v>
      </x:c>
      <x:c r="D432" s="30" t="n">
        <x:v>45842</x:v>
      </x:c>
      <x:c r="E432" s="24" t="str">
        <x:v>반납</x:v>
      </x:c>
      <x:c r="F432" s="24" t="str">
        <x:v>대여중</x:v>
      </x:c>
      <x:c r="G432" s="24" t="str">
        <x:v>쉬는차</x:v>
      </x:c>
      <x:c r="H432" s="32"/>
      <x:c r="I432" s="24" t="str">
        <x:v>SW-C-384도7953-3-20240705-138</x:v>
      </x:c>
      <x:c r="J432" s="24" t="str">
        <x:v>박대현</x:v>
      </x:c>
      <x:c r="K432" s="24" t="str">
        <x:v>차량 반납</x:v>
      </x:c>
      <x:c r="L432" s="24" t="str"/>
      <x:c r="M432" s="24" t="str">
        <x:v>하허호</x:v>
      </x:c>
      <x:c r="N432" s="30" t="n">
        <x:v>45842</x:v>
      </x:c>
    </x:row>
    <x:row r="433" ht="17.25" customHeight="1">
      <x:c r="A433" s="24" t="str">
        <x:v>E-00432</x:v>
      </x:c>
      <x:c r="B433" s="24" t="str">
        <x:v>스위치플랜</x:v>
      </x:c>
      <x:c r="C433" s="24" t="str">
        <x:v>229고3898</x:v>
      </x:c>
      <x:c r="D433" s="30" t="n">
        <x:v>45671</x:v>
      </x:c>
      <x:c r="E433" s="24" t="str">
        <x:v>계약시작</x:v>
      </x:c>
      <x:c r="F433" s="24" t="str"/>
      <x:c r="G433" s="24" t="str">
        <x:v>대여중</x:v>
      </x:c>
      <x:c r="H433" s="32" t="n">
        <x:v>470000</x:v>
      </x:c>
      <x:c r="I433" s="24" t="str">
        <x:v>SW-C-229고3898-2-20250114-139</x:v>
      </x:c>
      <x:c r="J433" s="24" t="str">
        <x:v>이다현</x:v>
      </x:c>
      <x:c r="K433" s="24" t="str">
        <x:v>구독대여 계약 시작</x:v>
      </x:c>
      <x:c r="L433" s="24" t="str"/>
      <x:c r="M433" s="24" t="str"/>
      <x:c r="N433" s="30" t="n">
        <x:v>45671</x:v>
      </x:c>
    </x:row>
    <x:row r="434" ht="17.25" customHeight="1">
      <x:c r="A434" s="24" t="str">
        <x:v>E-00433</x:v>
      </x:c>
      <x:c r="B434" s="24" t="str">
        <x:v>스위치플랜</x:v>
      </x:c>
      <x:c r="C434" s="24" t="str">
        <x:v>229고3898</x:v>
      </x:c>
      <x:c r="D434" s="30"/>
      <x:c r="E434" s="24" t="str">
        <x:v>반납</x:v>
      </x:c>
      <x:c r="F434" s="24" t="str">
        <x:v>대여중</x:v>
      </x:c>
      <x:c r="G434" s="24" t="str">
        <x:v>쉬는차</x:v>
      </x:c>
      <x:c r="H434" s="32"/>
      <x:c r="I434" s="24" t="str">
        <x:v>SW-C-229고3898-2-20250114-139</x:v>
      </x:c>
      <x:c r="J434" s="24" t="str">
        <x:v>이다현</x:v>
      </x:c>
      <x:c r="K434" s="24" t="str">
        <x:v>차량 반납</x:v>
      </x:c>
      <x:c r="L434" s="24" t="str"/>
      <x:c r="M434" s="24" t="str"/>
      <x:c r="N434" s="30"/>
    </x:row>
    <x:row r="435" ht="17.25" customHeight="1">
      <x:c r="A435" s="24" t="str">
        <x:v>E-00434</x:v>
      </x:c>
      <x:c r="B435" s="24" t="str">
        <x:v>스위치플랜</x:v>
      </x:c>
      <x:c r="C435" s="24" t="str">
        <x:v>229고3898</x:v>
      </x:c>
      <x:c r="D435" s="30" t="n">
        <x:v>45330</x:v>
      </x:c>
      <x:c r="E435" s="24" t="str">
        <x:v>계약시작</x:v>
      </x:c>
      <x:c r="F435" s="24" t="str"/>
      <x:c r="G435" s="24" t="str">
        <x:v>대여중</x:v>
      </x:c>
      <x:c r="H435" s="32" t="n">
        <x:v>1070000</x:v>
      </x:c>
      <x:c r="I435" s="24" t="str">
        <x:v>SW-C-229고3898-3-20240208-139</x:v>
      </x:c>
      <x:c r="J435" s="24" t="str">
        <x:v>최인근</x:v>
      </x:c>
      <x:c r="K435" s="24" t="str">
        <x:v>구독대여 계약 시작</x:v>
      </x:c>
      <x:c r="L435" s="24" t="str"/>
      <x:c r="M435" s="24" t="str">
        <x:v>카랜(주)</x:v>
      </x:c>
      <x:c r="N435" s="30" t="n">
        <x:v>45330</x:v>
      </x:c>
    </x:row>
    <x:row r="436" ht="17.25" customHeight="1">
      <x:c r="A436" s="24" t="str">
        <x:v>E-00435</x:v>
      </x:c>
      <x:c r="B436" s="24" t="str">
        <x:v>스위치플랜</x:v>
      </x:c>
      <x:c r="C436" s="24" t="str">
        <x:v>229고3898</x:v>
      </x:c>
      <x:c r="D436" s="30" t="n">
        <x:v>45608</x:v>
      </x:c>
      <x:c r="E436" s="24" t="str">
        <x:v>반납</x:v>
      </x:c>
      <x:c r="F436" s="24" t="str">
        <x:v>대여중</x:v>
      </x:c>
      <x:c r="G436" s="24" t="str">
        <x:v>쉬는차</x:v>
      </x:c>
      <x:c r="H436" s="32"/>
      <x:c r="I436" s="24" t="str">
        <x:v>SW-C-229고3898-3-20240208-139</x:v>
      </x:c>
      <x:c r="J436" s="24" t="str">
        <x:v>최인근</x:v>
      </x:c>
      <x:c r="K436" s="24" t="str">
        <x:v>차량 반납</x:v>
      </x:c>
      <x:c r="L436" s="24" t="str"/>
      <x:c r="M436" s="24" t="str">
        <x:v>카랜(주)</x:v>
      </x:c>
      <x:c r="N436" s="30" t="n">
        <x:v>45608</x:v>
      </x:c>
    </x:row>
    <x:row r="437" ht="17.25" customHeight="1">
      <x:c r="A437" s="24" t="str">
        <x:v>E-00436</x:v>
      </x:c>
      <x:c r="B437" s="24" t="str">
        <x:v>스위치플랜</x:v>
      </x:c>
      <x:c r="C437" s="24" t="str">
        <x:v>275고4723</x:v>
      </x:c>
      <x:c r="D437" s="30"/>
      <x:c r="E437" s="24" t="str">
        <x:v>계약시작</x:v>
      </x:c>
      <x:c r="F437" s="24" t="str"/>
      <x:c r="G437" s="24" t="str">
        <x:v>대여중</x:v>
      </x:c>
      <x:c r="H437" s="32" t="n">
        <x:v>370000</x:v>
      </x:c>
      <x:c r="I437" s="24" t="str">
        <x:v>SW-C-275고4723-2-74-140</x:v>
      </x:c>
      <x:c r="J437" s="24" t="str">
        <x:v>최홍열</x:v>
      </x:c>
      <x:c r="K437" s="24" t="str">
        <x:v>구독대여 계약 시작</x:v>
      </x:c>
      <x:c r="L437" s="24" t="str"/>
      <x:c r="M437" s="24" t="str">
        <x:v>하허호</x:v>
      </x:c>
      <x:c r="N437" s="30"/>
    </x:row>
    <x:row r="438" ht="17.25" customHeight="1">
      <x:c r="A438" s="24" t="str">
        <x:v>E-00437</x:v>
      </x:c>
      <x:c r="B438" s="24" t="str">
        <x:v>스위치플랜</x:v>
      </x:c>
      <x:c r="C438" s="24" t="str">
        <x:v>275고4723</x:v>
      </x:c>
      <x:c r="D438" s="30" t="n">
        <x:v>45961</x:v>
      </x:c>
      <x:c r="E438" s="24" t="str">
        <x:v>반납</x:v>
      </x:c>
      <x:c r="F438" s="24" t="str">
        <x:v>대여중</x:v>
      </x:c>
      <x:c r="G438" s="24" t="str">
        <x:v>쉬는차</x:v>
      </x:c>
      <x:c r="H438" s="32"/>
      <x:c r="I438" s="24" t="str">
        <x:v>SW-C-275고4723-2-74-140</x:v>
      </x:c>
      <x:c r="J438" s="24" t="str">
        <x:v>최홍열</x:v>
      </x:c>
      <x:c r="K438" s="24" t="str">
        <x:v>차량 반납</x:v>
      </x:c>
      <x:c r="L438" s="24" t="str"/>
      <x:c r="M438" s="24" t="str">
        <x:v>하허호</x:v>
      </x:c>
      <x:c r="N438" s="30" t="n">
        <x:v>45961</x:v>
      </x:c>
    </x:row>
    <x:row r="439" ht="17.25" customHeight="1">
      <x:c r="A439" s="24" t="str">
        <x:v>E-00438</x:v>
      </x:c>
      <x:c r="B439" s="24" t="str">
        <x:v>스위치플랜</x:v>
      </x:c>
      <x:c r="C439" s="24" t="str">
        <x:v>134어2323</x:v>
      </x:c>
      <x:c r="D439" s="30" t="n">
        <x:v>45979</x:v>
      </x:c>
      <x:c r="E439" s="24" t="str">
        <x:v>반납</x:v>
      </x:c>
      <x:c r="F439" s="24" t="str">
        <x:v>대여중</x:v>
      </x:c>
      <x:c r="G439" s="24" t="str">
        <x:v>쉬는차</x:v>
      </x:c>
      <x:c r="H439" s="32"/>
      <x:c r="I439" s="24" t="str">
        <x:v>SW-C-134어2323-1-NA-141</x:v>
      </x:c>
      <x:c r="J439" s="24" t="str">
        <x:v>매각</x:v>
      </x:c>
      <x:c r="K439" s="24" t="str">
        <x:v>차량 반납</x:v>
      </x:c>
      <x:c r="L439" s="24" t="str"/>
      <x:c r="M439" s="24" t="str"/>
      <x:c r="N439" s="30" t="n">
        <x:v>45979</x:v>
      </x:c>
    </x:row>
    <x:row r="440" ht="17.25" customHeight="1">
      <x:c r="A440" s="24" t="str">
        <x:v>E-00439</x:v>
      </x:c>
      <x:c r="B440" s="24" t="str">
        <x:v>스위치플랜</x:v>
      </x:c>
      <x:c r="C440" s="24" t="str">
        <x:v>134어2323</x:v>
      </x:c>
      <x:c r="D440" s="30" t="n">
        <x:v>45769</x:v>
      </x:c>
      <x:c r="E440" s="24" t="str">
        <x:v>계약시작</x:v>
      </x:c>
      <x:c r="F440" s="24" t="str"/>
      <x:c r="G440" s="24" t="str">
        <x:v>대여중</x:v>
      </x:c>
      <x:c r="H440" s="32" t="n">
        <x:v>1350000</x:v>
      </x:c>
      <x:c r="I440" s="24" t="str">
        <x:v>SW-C-134어2323-2-20250422-141</x:v>
      </x:c>
      <x:c r="J440" s="24" t="str">
        <x:v>정희운(에메트중고)</x:v>
      </x:c>
      <x:c r="K440" s="24" t="str">
        <x:v>구독대여 계약 시작</x:v>
      </x:c>
      <x:c r="L440" s="24" t="str"/>
      <x:c r="M440" s="24" t="str"/>
      <x:c r="N440" s="30" t="n">
        <x:v>45769</x:v>
      </x:c>
    </x:row>
    <x:row r="441" ht="17.25" customHeight="1">
      <x:c r="A441" s="24" t="str">
        <x:v>E-00440</x:v>
      </x:c>
      <x:c r="B441" s="24" t="str">
        <x:v>스위치플랜</x:v>
      </x:c>
      <x:c r="C441" s="24" t="str">
        <x:v>134어2323</x:v>
      </x:c>
      <x:c r="D441" s="30" t="n">
        <x:v>45863</x:v>
      </x:c>
      <x:c r="E441" s="24" t="str">
        <x:v>반납</x:v>
      </x:c>
      <x:c r="F441" s="24" t="str">
        <x:v>대여중</x:v>
      </x:c>
      <x:c r="G441" s="24" t="str">
        <x:v>쉬는차</x:v>
      </x:c>
      <x:c r="H441" s="32"/>
      <x:c r="I441" s="24" t="str">
        <x:v>SW-C-134어2323-2-20250422-141</x:v>
      </x:c>
      <x:c r="J441" s="24" t="str">
        <x:v>정희운(에메트중고)</x:v>
      </x:c>
      <x:c r="K441" s="24" t="str">
        <x:v>차량 반납</x:v>
      </x:c>
      <x:c r="L441" s="24" t="str"/>
      <x:c r="M441" s="24" t="str"/>
      <x:c r="N441" s="30" t="n">
        <x:v>45863</x:v>
      </x:c>
    </x:row>
    <x:row r="442" ht="17.25" customHeight="1">
      <x:c r="A442" s="24" t="str">
        <x:v>E-00441</x:v>
      </x:c>
      <x:c r="B442" s="24" t="str">
        <x:v>스위치플랜</x:v>
      </x:c>
      <x:c r="C442" s="24" t="str">
        <x:v>134어2323</x:v>
      </x:c>
      <x:c r="D442" s="30" t="n">
        <x:v>45404</x:v>
      </x:c>
      <x:c r="E442" s="24" t="str">
        <x:v>계약시작</x:v>
      </x:c>
      <x:c r="F442" s="24" t="str"/>
      <x:c r="G442" s="24" t="str">
        <x:v>대여중</x:v>
      </x:c>
      <x:c r="H442" s="32" t="n">
        <x:v>1320000</x:v>
      </x:c>
      <x:c r="I442" s="24" t="str">
        <x:v>SW-C-134어2323-3-20240422-141</x:v>
      </x:c>
      <x:c r="J442" s="24" t="str">
        <x:v>김무준</x:v>
      </x:c>
      <x:c r="K442" s="24" t="str">
        <x:v>구독대여 계약 시작</x:v>
      </x:c>
      <x:c r="L442" s="24" t="str"/>
      <x:c r="M442" s="24" t="str">
        <x:v>카랜(주)</x:v>
      </x:c>
      <x:c r="N442" s="30" t="n">
        <x:v>45404</x:v>
      </x:c>
    </x:row>
    <x:row r="443" ht="17.25" customHeight="1">
      <x:c r="A443" s="24" t="str">
        <x:v>E-00442</x:v>
      </x:c>
      <x:c r="B443" s="24" t="str">
        <x:v>스위치플랜</x:v>
      </x:c>
      <x:c r="C443" s="24" t="str">
        <x:v>134어2323</x:v>
      </x:c>
      <x:c r="D443" s="30" t="n">
        <x:v>45753</x:v>
      </x:c>
      <x:c r="E443" s="24" t="str">
        <x:v>반납</x:v>
      </x:c>
      <x:c r="F443" s="24" t="str">
        <x:v>대여중</x:v>
      </x:c>
      <x:c r="G443" s="24" t="str">
        <x:v>쉬는차</x:v>
      </x:c>
      <x:c r="H443" s="32"/>
      <x:c r="I443" s="24" t="str">
        <x:v>SW-C-134어2323-3-20240422-141</x:v>
      </x:c>
      <x:c r="J443" s="24" t="str">
        <x:v>김무준</x:v>
      </x:c>
      <x:c r="K443" s="24" t="str">
        <x:v>차량 반납</x:v>
      </x:c>
      <x:c r="L443" s="24" t="str"/>
      <x:c r="M443" s="24" t="str">
        <x:v>카랜(주)</x:v>
      </x:c>
      <x:c r="N443" s="30" t="n">
        <x:v>45753</x:v>
      </x:c>
    </x:row>
    <x:row r="444" ht="17.25" customHeight="1">
      <x:c r="A444" s="24" t="str">
        <x:v>E-00443</x:v>
      </x:c>
      <x:c r="B444" s="24" t="str">
        <x:v>스위치플랜</x:v>
      </x:c>
      <x:c r="C444" s="24" t="str">
        <x:v>134어2323</x:v>
      </x:c>
      <x:c r="D444" s="30" t="n">
        <x:v>45404</x:v>
      </x:c>
      <x:c r="E444" s="24" t="str">
        <x:v>계약시작</x:v>
      </x:c>
      <x:c r="F444" s="24" t="str"/>
      <x:c r="G444" s="24" t="str">
        <x:v>대여중</x:v>
      </x:c>
      <x:c r="H444" s="32" t="n">
        <x:v>1320000</x:v>
      </x:c>
      <x:c r="I444" s="24" t="str">
        <x:v>SW-C-134어2323-4-20240422-141</x:v>
      </x:c>
      <x:c r="J444" s="24" t="str">
        <x:v>정세종</x:v>
      </x:c>
      <x:c r="K444" s="24" t="str">
        <x:v>구독대여 계약 시작</x:v>
      </x:c>
      <x:c r="L444" s="24" t="str"/>
      <x:c r="M444" s="24" t="str">
        <x:v>카랜(주)</x:v>
      </x:c>
      <x:c r="N444" s="30" t="n">
        <x:v>45404</x:v>
      </x:c>
    </x:row>
    <x:row r="445" ht="17.25" customHeight="1">
      <x:c r="A445" s="24" t="str">
        <x:v>E-00444</x:v>
      </x:c>
      <x:c r="B445" s="24" t="str">
        <x:v>스위치플랜</x:v>
      </x:c>
      <x:c r="C445" s="24" t="str">
        <x:v>134어2323</x:v>
      </x:c>
      <x:c r="D445" s="30"/>
      <x:c r="E445" s="24" t="str">
        <x:v>반납</x:v>
      </x:c>
      <x:c r="F445" s="24" t="str">
        <x:v>대여중</x:v>
      </x:c>
      <x:c r="G445" s="24" t="str">
        <x:v>쉬는차</x:v>
      </x:c>
      <x:c r="H445" s="32"/>
      <x:c r="I445" s="24" t="str">
        <x:v>SW-C-134어2323-4-20240422-141</x:v>
      </x:c>
      <x:c r="J445" s="24" t="str">
        <x:v>정세종</x:v>
      </x:c>
      <x:c r="K445" s="24" t="str">
        <x:v>차량 반납</x:v>
      </x:c>
      <x:c r="L445" s="24" t="str"/>
      <x:c r="M445" s="24" t="str">
        <x:v>카랜(주)</x:v>
      </x:c>
      <x:c r="N445" s="30"/>
    </x:row>
    <x:row r="446" ht="17.25" customHeight="1">
      <x:c r="A446" s="24" t="str">
        <x:v>E-00445</x:v>
      </x:c>
      <x:c r="B446" s="24" t="str">
        <x:v>스위치플랜</x:v>
      </x:c>
      <x:c r="C446" s="24" t="str">
        <x:v>365고4731</x:v>
      </x:c>
      <x:c r="D446" s="30" t="n">
        <x:v>45995</x:v>
      </x:c>
      <x:c r="E446" s="24" t="str">
        <x:v>반납</x:v>
      </x:c>
      <x:c r="F446" s="24" t="str">
        <x:v>대여중</x:v>
      </x:c>
      <x:c r="G446" s="24" t="str">
        <x:v>쉬는차</x:v>
      </x:c>
      <x:c r="H446" s="32"/>
      <x:c r="I446" s="24" t="str">
        <x:v>SW-C-365고4731-1-NA-142</x:v>
      </x:c>
      <x:c r="J446" s="24" t="str">
        <x:v>매각</x:v>
      </x:c>
      <x:c r="K446" s="24" t="str">
        <x:v>차량 반납</x:v>
      </x:c>
      <x:c r="L446" s="24" t="str"/>
      <x:c r="M446" s="24" t="str"/>
      <x:c r="N446" s="30" t="n">
        <x:v>45995</x:v>
      </x:c>
    </x:row>
    <x:row r="447" ht="17.25" customHeight="1">
      <x:c r="A447" s="24" t="str">
        <x:v>E-00446</x:v>
      </x:c>
      <x:c r="B447" s="24" t="str">
        <x:v>스위치플랜</x:v>
      </x:c>
      <x:c r="C447" s="24" t="str">
        <x:v>365고4731</x:v>
      </x:c>
      <x:c r="D447" s="30" t="n">
        <x:v>45912</x:v>
      </x:c>
      <x:c r="E447" s="24" t="str">
        <x:v>계약시작</x:v>
      </x:c>
      <x:c r="F447" s="24" t="str"/>
      <x:c r="G447" s="24" t="str">
        <x:v>대여중</x:v>
      </x:c>
      <x:c r="H447" s="32" t="n">
        <x:v>390000</x:v>
      </x:c>
      <x:c r="I447" s="24" t="str">
        <x:v>SW-C-365고4731-2-20250912-142</x:v>
      </x:c>
      <x:c r="J447" s="24" t="str">
        <x:v>김인겸</x:v>
      </x:c>
      <x:c r="K447" s="24" t="str">
        <x:v>구독대여 계약 시작</x:v>
      </x:c>
      <x:c r="L447" s="24" t="str"/>
      <x:c r="M447" s="24" t="str">
        <x:v>하허호</x:v>
      </x:c>
      <x:c r="N447" s="30" t="n">
        <x:v>45912</x:v>
      </x:c>
    </x:row>
    <x:row r="448" ht="17.25" customHeight="1">
      <x:c r="A448" s="24" t="str">
        <x:v>E-00447</x:v>
      </x:c>
      <x:c r="B448" s="24" t="str">
        <x:v>스위치플랜</x:v>
      </x:c>
      <x:c r="C448" s="24" t="str">
        <x:v>365고4731</x:v>
      </x:c>
      <x:c r="D448" s="30" t="n">
        <x:v>45960</x:v>
      </x:c>
      <x:c r="E448" s="24" t="str">
        <x:v>반납</x:v>
      </x:c>
      <x:c r="F448" s="24" t="str">
        <x:v>대여중</x:v>
      </x:c>
      <x:c r="G448" s="24" t="str">
        <x:v>쉬는차</x:v>
      </x:c>
      <x:c r="H448" s="32"/>
      <x:c r="I448" s="24" t="str">
        <x:v>SW-C-365고4731-2-20250912-142</x:v>
      </x:c>
      <x:c r="J448" s="24" t="str">
        <x:v>김인겸</x:v>
      </x:c>
      <x:c r="K448" s="24" t="str">
        <x:v>차량 반납</x:v>
      </x:c>
      <x:c r="L448" s="24" t="str"/>
      <x:c r="M448" s="24" t="str">
        <x:v>하허호</x:v>
      </x:c>
      <x:c r="N448" s="30" t="n">
        <x:v>45960</x:v>
      </x:c>
    </x:row>
    <x:row r="449" ht="17.25" customHeight="1">
      <x:c r="A449" s="24" t="str">
        <x:v>E-00448</x:v>
      </x:c>
      <x:c r="B449" s="24" t="str">
        <x:v>스위치플랜</x:v>
      </x:c>
      <x:c r="C449" s="24" t="str">
        <x:v>365고4731</x:v>
      </x:c>
      <x:c r="D449" s="30" t="n">
        <x:v>45861</x:v>
      </x:c>
      <x:c r="E449" s="24" t="str">
        <x:v>계약시작</x:v>
      </x:c>
      <x:c r="F449" s="24" t="str"/>
      <x:c r="G449" s="24" t="str">
        <x:v>대여중</x:v>
      </x:c>
      <x:c r="H449" s="32" t="n">
        <x:v>390000</x:v>
      </x:c>
      <x:c r="I449" s="24" t="str">
        <x:v>SW-C-365고4731-3-20250723-142</x:v>
      </x:c>
      <x:c r="J449" s="24" t="str">
        <x:v>장승민</x:v>
      </x:c>
      <x:c r="K449" s="24" t="str">
        <x:v>구독대여 계약 시작</x:v>
      </x:c>
      <x:c r="L449" s="24" t="str"/>
      <x:c r="M449" s="24" t="str"/>
      <x:c r="N449" s="30" t="n">
        <x:v>45861</x:v>
      </x:c>
    </x:row>
    <x:row r="450" ht="17.25" customHeight="1">
      <x:c r="A450" s="24" t="str">
        <x:v>E-00449</x:v>
      </x:c>
      <x:c r="B450" s="24" t="str">
        <x:v>스위치플랜</x:v>
      </x:c>
      <x:c r="C450" s="24" t="str">
        <x:v>365고4731</x:v>
      </x:c>
      <x:c r="D450" s="30"/>
      <x:c r="E450" s="24" t="str">
        <x:v>반납</x:v>
      </x:c>
      <x:c r="F450" s="24" t="str">
        <x:v>대여중</x:v>
      </x:c>
      <x:c r="G450" s="24" t="str">
        <x:v>쉬는차</x:v>
      </x:c>
      <x:c r="H450" s="32"/>
      <x:c r="I450" s="24" t="str">
        <x:v>SW-C-365고4731-3-20250723-142</x:v>
      </x:c>
      <x:c r="J450" s="24" t="str">
        <x:v>장승민</x:v>
      </x:c>
      <x:c r="K450" s="24" t="str">
        <x:v>차량 반납</x:v>
      </x:c>
      <x:c r="L450" s="24" t="str"/>
      <x:c r="M450" s="24" t="str"/>
      <x:c r="N450" s="30"/>
    </x:row>
    <x:row r="451" ht="17.25" customHeight="1">
      <x:c r="A451" s="24" t="str">
        <x:v>E-00450</x:v>
      </x:c>
      <x:c r="B451" s="24" t="str">
        <x:v>스위치플랜</x:v>
      </x:c>
      <x:c r="C451" s="24" t="str">
        <x:v>26부0281</x:v>
      </x:c>
      <x:c r="D451" s="30" t="n">
        <x:v>46008</x:v>
      </x:c>
      <x:c r="E451" s="24" t="str">
        <x:v>반납</x:v>
      </x:c>
      <x:c r="F451" s="24" t="str">
        <x:v>대여중</x:v>
      </x:c>
      <x:c r="G451" s="24" t="str">
        <x:v>쉬는차</x:v>
      </x:c>
      <x:c r="H451" s="32"/>
      <x:c r="I451" s="24" t="str">
        <x:v>SW-C-26부0281-1-NA-143</x:v>
      </x:c>
      <x:c r="J451" s="24" t="str">
        <x:v>매각</x:v>
      </x:c>
      <x:c r="K451" s="24" t="str">
        <x:v>차량 반납</x:v>
      </x:c>
      <x:c r="L451" s="24" t="str"/>
      <x:c r="M451" s="24" t="str"/>
      <x:c r="N451" s="30" t="n">
        <x:v>46008</x:v>
      </x:c>
    </x:row>
    <x:row r="452" ht="17.25" customHeight="1">
      <x:c r="A452" s="24" t="str">
        <x:v>E-00451</x:v>
      </x:c>
      <x:c r="B452" s="24" t="str">
        <x:v>스위치플랜</x:v>
      </x:c>
      <x:c r="C452" s="24" t="str">
        <x:v>26부0281</x:v>
      </x:c>
      <x:c r="D452" s="30" t="n">
        <x:v>45509</x:v>
      </x:c>
      <x:c r="E452" s="24" t="str">
        <x:v>계약시작</x:v>
      </x:c>
      <x:c r="F452" s="24" t="str"/>
      <x:c r="G452" s="24" t="str">
        <x:v>대여중</x:v>
      </x:c>
      <x:c r="H452" s="32" t="n">
        <x:v>1950000</x:v>
      </x:c>
      <x:c r="I452" s="24" t="str">
        <x:v>SW-C-26부0281-2-20240805-143</x:v>
      </x:c>
      <x:c r="J452" s="24" t="str">
        <x:v>이연수</x:v>
      </x:c>
      <x:c r="K452" s="24" t="str">
        <x:v>구독대여 계약 시작</x:v>
      </x:c>
      <x:c r="L452" s="24" t="str"/>
      <x:c r="M452" s="24" t="str">
        <x:v>하허호</x:v>
      </x:c>
      <x:c r="N452" s="30" t="n">
        <x:v>45509</x:v>
      </x:c>
    </x:row>
    <x:row r="453" ht="17.25" customHeight="1">
      <x:c r="A453" s="24" t="str">
        <x:v>E-00452</x:v>
      </x:c>
      <x:c r="B453" s="24" t="str">
        <x:v>스위치플랜</x:v>
      </x:c>
      <x:c r="C453" s="24" t="str">
        <x:v>26부0281</x:v>
      </x:c>
      <x:c r="D453" s="30" t="n">
        <x:v>45919</x:v>
      </x:c>
      <x:c r="E453" s="24" t="str">
        <x:v>반납</x:v>
      </x:c>
      <x:c r="F453" s="24" t="str">
        <x:v>대여중</x:v>
      </x:c>
      <x:c r="G453" s="24" t="str">
        <x:v>쉬는차</x:v>
      </x:c>
      <x:c r="H453" s="32"/>
      <x:c r="I453" s="24" t="str">
        <x:v>SW-C-26부0281-2-20240805-143</x:v>
      </x:c>
      <x:c r="J453" s="24" t="str">
        <x:v>이연수</x:v>
      </x:c>
      <x:c r="K453" s="24" t="str">
        <x:v>차량 반납</x:v>
      </x:c>
      <x:c r="L453" s="24" t="str"/>
      <x:c r="M453" s="24" t="str">
        <x:v>하허호</x:v>
      </x:c>
      <x:c r="N453" s="30" t="n">
        <x:v>45919</x:v>
      </x:c>
    </x:row>
    <x:row r="454" ht="17.25" customHeight="1">
      <x:c r="A454" s="24" t="str">
        <x:v>E-00453</x:v>
      </x:c>
      <x:c r="B454" s="24" t="str">
        <x:v>스위치플랜</x:v>
      </x:c>
      <x:c r="C454" s="24" t="str">
        <x:v>26부0281</x:v>
      </x:c>
      <x:c r="D454" s="30" t="n">
        <x:v>45268</x:v>
      </x:c>
      <x:c r="E454" s="24" t="str">
        <x:v>계약시작</x:v>
      </x:c>
      <x:c r="F454" s="24" t="str"/>
      <x:c r="G454" s="24" t="str">
        <x:v>대여중</x:v>
      </x:c>
      <x:c r="H454" s="32" t="n">
        <x:v>2500000</x:v>
      </x:c>
      <x:c r="I454" s="24" t="str">
        <x:v>SW-C-26부0281-3-20231208-143</x:v>
      </x:c>
      <x:c r="J454" s="24" t="str">
        <x:v>이두일</x:v>
      </x:c>
      <x:c r="K454" s="24" t="str">
        <x:v>구독대여 계약 시작</x:v>
      </x:c>
      <x:c r="L454" s="24" t="str"/>
      <x:c r="M454" s="24" t="str">
        <x:v>하허호</x:v>
      </x:c>
      <x:c r="N454" s="30" t="n">
        <x:v>45268</x:v>
      </x:c>
    </x:row>
    <x:row r="455" ht="17.25" customHeight="1">
      <x:c r="A455" s="24" t="str">
        <x:v>E-00454</x:v>
      </x:c>
      <x:c r="B455" s="24" t="str">
        <x:v>스위치플랜</x:v>
      </x:c>
      <x:c r="C455" s="24" t="str">
        <x:v>26부0281</x:v>
      </x:c>
      <x:c r="D455" s="30" t="n">
        <x:v>45496</x:v>
      </x:c>
      <x:c r="E455" s="24" t="str">
        <x:v>반납</x:v>
      </x:c>
      <x:c r="F455" s="24" t="str">
        <x:v>대여중</x:v>
      </x:c>
      <x:c r="G455" s="24" t="str">
        <x:v>쉬는차</x:v>
      </x:c>
      <x:c r="H455" s="32"/>
      <x:c r="I455" s="24" t="str">
        <x:v>SW-C-26부0281-3-20231208-143</x:v>
      </x:c>
      <x:c r="J455" s="24" t="str">
        <x:v>이두일</x:v>
      </x:c>
      <x:c r="K455" s="24" t="str">
        <x:v>차량 반납</x:v>
      </x:c>
      <x:c r="L455" s="24" t="str"/>
      <x:c r="M455" s="24" t="str">
        <x:v>하허호</x:v>
      </x:c>
      <x:c r="N455" s="30" t="n">
        <x:v>45496</x:v>
      </x:c>
    </x:row>
    <x:row r="456" ht="17.25" customHeight="1">
      <x:c r="A456" s="24" t="str">
        <x:v>E-00455</x:v>
      </x:c>
      <x:c r="B456" s="24" t="str">
        <x:v>스위치플랜</x:v>
      </x:c>
      <x:c r="C456" s="24" t="str">
        <x:v>08루7297</x:v>
      </x:c>
      <x:c r="D456" s="30" t="n">
        <x:v>46008</x:v>
      </x:c>
      <x:c r="E456" s="24" t="str">
        <x:v>반납</x:v>
      </x:c>
      <x:c r="F456" s="24" t="str">
        <x:v>대여중</x:v>
      </x:c>
      <x:c r="G456" s="24" t="str">
        <x:v>쉬는차</x:v>
      </x:c>
      <x:c r="H456" s="32"/>
      <x:c r="I456" s="24" t="str">
        <x:v>SW-C-08루7297-1-NA-144</x:v>
      </x:c>
      <x:c r="J456" s="24" t="str">
        <x:v>매각</x:v>
      </x:c>
      <x:c r="K456" s="24" t="str">
        <x:v>차량 반납</x:v>
      </x:c>
      <x:c r="L456" s="24" t="str"/>
      <x:c r="M456" s="24" t="str"/>
      <x:c r="N456" s="30" t="n">
        <x:v>46008</x:v>
      </x:c>
    </x:row>
    <x:row r="457" ht="17.25" customHeight="1">
      <x:c r="A457" s="24" t="str">
        <x:v>E-00456</x:v>
      </x:c>
      <x:c r="B457" s="24" t="str">
        <x:v>스위치플랜</x:v>
      </x:c>
      <x:c r="C457" s="24" t="str">
        <x:v>08루7297</x:v>
      </x:c>
      <x:c r="D457" s="30" t="n">
        <x:v>45288</x:v>
      </x:c>
      <x:c r="E457" s="24" t="str">
        <x:v>계약시작</x:v>
      </x:c>
      <x:c r="F457" s="24" t="str"/>
      <x:c r="G457" s="24" t="str">
        <x:v>대여중</x:v>
      </x:c>
      <x:c r="H457" s="32" t="n">
        <x:v>1260000</x:v>
      </x:c>
      <x:c r="I457" s="24" t="str">
        <x:v>SW-C-08루7297-2-20231228-144</x:v>
      </x:c>
      <x:c r="J457" s="24" t="str">
        <x:v>최창대</x:v>
      </x:c>
      <x:c r="K457" s="24" t="str">
        <x:v>구독대여 계약 시작</x:v>
      </x:c>
      <x:c r="L457" s="24" t="str"/>
      <x:c r="M457" s="24" t="str">
        <x:v>SI</x:v>
      </x:c>
      <x:c r="N457" s="30" t="n">
        <x:v>45288</x:v>
      </x:c>
    </x:row>
    <x:row r="458" ht="17.25" customHeight="1">
      <x:c r="A458" s="24" t="str">
        <x:v>E-00457</x:v>
      </x:c>
      <x:c r="B458" s="24" t="str">
        <x:v>스위치플랜</x:v>
      </x:c>
      <x:c r="C458" s="24" t="str">
        <x:v>08루7297</x:v>
      </x:c>
      <x:c r="D458" s="30" t="n">
        <x:v>45975</x:v>
      </x:c>
      <x:c r="E458" s="24" t="str">
        <x:v>반납</x:v>
      </x:c>
      <x:c r="F458" s="24" t="str">
        <x:v>대여중</x:v>
      </x:c>
      <x:c r="G458" s="24" t="str">
        <x:v>쉬는차</x:v>
      </x:c>
      <x:c r="H458" s="32"/>
      <x:c r="I458" s="24" t="str">
        <x:v>SW-C-08루7297-2-20231228-144</x:v>
      </x:c>
      <x:c r="J458" s="24" t="str">
        <x:v>최창대</x:v>
      </x:c>
      <x:c r="K458" s="24" t="str">
        <x:v>차량 반납</x:v>
      </x:c>
      <x:c r="L458" s="24" t="str"/>
      <x:c r="M458" s="24" t="str">
        <x:v>SI</x:v>
      </x:c>
      <x:c r="N458" s="30" t="n">
        <x:v>45975</x:v>
      </x:c>
    </x:row>
    <x:row r="459" ht="17.25" customHeight="1">
      <x:c r="A459" s="24" t="str">
        <x:v>E-00458</x:v>
      </x:c>
      <x:c r="B459" s="24" t="str">
        <x:v>스위치플랜</x:v>
      </x:c>
      <x:c r="C459" s="24" t="str">
        <x:v>85로2308</x:v>
      </x:c>
      <x:c r="D459" s="30" t="n">
        <x:v>46008</x:v>
      </x:c>
      <x:c r="E459" s="24" t="str">
        <x:v>반납</x:v>
      </x:c>
      <x:c r="F459" s="24" t="str">
        <x:v>대여중</x:v>
      </x:c>
      <x:c r="G459" s="24" t="str">
        <x:v>쉬는차</x:v>
      </x:c>
      <x:c r="H459" s="32"/>
      <x:c r="I459" s="24" t="str">
        <x:v>SW-C-85로2308-1-NA-145</x:v>
      </x:c>
      <x:c r="J459" s="24" t="str">
        <x:v>매각</x:v>
      </x:c>
      <x:c r="K459" s="24" t="str">
        <x:v>차량 반납</x:v>
      </x:c>
      <x:c r="L459" s="24" t="str"/>
      <x:c r="M459" s="24" t="str"/>
      <x:c r="N459" s="30" t="n">
        <x:v>46008</x:v>
      </x:c>
    </x:row>
    <x:row r="460" ht="17.25" customHeight="1">
      <x:c r="A460" s="24" t="str">
        <x:v>E-00459</x:v>
      </x:c>
      <x:c r="B460" s="24" t="str">
        <x:v>스위치플랜</x:v>
      </x:c>
      <x:c r="C460" s="24" t="str">
        <x:v>85로2308</x:v>
      </x:c>
      <x:c r="D460" s="30" t="n">
        <x:v>45839</x:v>
      </x:c>
      <x:c r="E460" s="24" t="str">
        <x:v>계약시작</x:v>
      </x:c>
      <x:c r="F460" s="24" t="str"/>
      <x:c r="G460" s="24" t="str">
        <x:v>대여중</x:v>
      </x:c>
      <x:c r="H460" s="32" t="n">
        <x:v>680000</x:v>
      </x:c>
      <x:c r="I460" s="24" t="str">
        <x:v>SW-C-85로2308-2-20250701-145</x:v>
      </x:c>
      <x:c r="J460" s="24" t="str">
        <x:v>최영진</x:v>
      </x:c>
      <x:c r="K460" s="24" t="str">
        <x:v>구독대여 계약 시작</x:v>
      </x:c>
      <x:c r="L460" s="24" t="str"/>
      <x:c r="M460" s="24" t="str"/>
      <x:c r="N460" s="30" t="n">
        <x:v>45839</x:v>
      </x:c>
    </x:row>
    <x:row r="461" ht="17.25" customHeight="1">
      <x:c r="A461" s="24" t="str">
        <x:v>E-00460</x:v>
      </x:c>
      <x:c r="B461" s="24" t="str">
        <x:v>스위치플랜</x:v>
      </x:c>
      <x:c r="C461" s="24" t="str">
        <x:v>85로2308</x:v>
      </x:c>
      <x:c r="D461" s="30" t="n">
        <x:v>45969</x:v>
      </x:c>
      <x:c r="E461" s="24" t="str">
        <x:v>반납</x:v>
      </x:c>
      <x:c r="F461" s="24" t="str">
        <x:v>대여중</x:v>
      </x:c>
      <x:c r="G461" s="24" t="str">
        <x:v>쉬는차</x:v>
      </x:c>
      <x:c r="H461" s="32"/>
      <x:c r="I461" s="24" t="str">
        <x:v>SW-C-85로2308-2-20250701-145</x:v>
      </x:c>
      <x:c r="J461" s="24" t="str">
        <x:v>최영진</x:v>
      </x:c>
      <x:c r="K461" s="24" t="str">
        <x:v>차량 반납</x:v>
      </x:c>
      <x:c r="L461" s="24" t="str"/>
      <x:c r="M461" s="24" t="str"/>
      <x:c r="N461" s="30" t="n">
        <x:v>45969</x:v>
      </x:c>
    </x:row>
    <x:row r="462" ht="17.25" customHeight="1">
      <x:c r="A462" s="24" t="str">
        <x:v>E-00461</x:v>
      </x:c>
      <x:c r="B462" s="24" t="str">
        <x:v>스위치플랜</x:v>
      </x:c>
      <x:c r="C462" s="24" t="str">
        <x:v>85로2308</x:v>
      </x:c>
      <x:c r="D462" s="30" t="n">
        <x:v>45308</x:v>
      </x:c>
      <x:c r="E462" s="24" t="str">
        <x:v>계약시작</x:v>
      </x:c>
      <x:c r="F462" s="24" t="str"/>
      <x:c r="G462" s="24" t="str">
        <x:v>대여중</x:v>
      </x:c>
      <x:c r="H462" s="32" t="n">
        <x:v>590000</x:v>
      </x:c>
      <x:c r="I462" s="24" t="str">
        <x:v>SW-C-85로2308-3-20240117-145</x:v>
      </x:c>
      <x:c r="J462" s="24" t="str">
        <x:v>윤현구</x:v>
      </x:c>
      <x:c r="K462" s="24" t="str">
        <x:v>구독대여 계약 시작</x:v>
      </x:c>
      <x:c r="L462" s="24" t="str"/>
      <x:c r="M462" s="24" t="str">
        <x:v>GNA</x:v>
      </x:c>
      <x:c r="N462" s="30" t="n">
        <x:v>45308</x:v>
      </x:c>
    </x:row>
    <x:row r="463" ht="17.25" customHeight="1">
      <x:c r="A463" s="24" t="str">
        <x:v>E-00462</x:v>
      </x:c>
      <x:c r="B463" s="24" t="str">
        <x:v>스위치플랜</x:v>
      </x:c>
      <x:c r="C463" s="24" t="str">
        <x:v>85로2308</x:v>
      </x:c>
      <x:c r="D463" s="30" t="n">
        <x:v>45777</x:v>
      </x:c>
      <x:c r="E463" s="24" t="str">
        <x:v>반납</x:v>
      </x:c>
      <x:c r="F463" s="24" t="str">
        <x:v>대여중</x:v>
      </x:c>
      <x:c r="G463" s="24" t="str">
        <x:v>쉬는차</x:v>
      </x:c>
      <x:c r="H463" s="32"/>
      <x:c r="I463" s="24" t="str">
        <x:v>SW-C-85로2308-3-20240117-145</x:v>
      </x:c>
      <x:c r="J463" s="24" t="str">
        <x:v>윤현구</x:v>
      </x:c>
      <x:c r="K463" s="24" t="str">
        <x:v>차량 반납</x:v>
      </x:c>
      <x:c r="L463" s="24" t="str"/>
      <x:c r="M463" s="24" t="str">
        <x:v>GNA</x:v>
      </x:c>
      <x:c r="N463" s="30" t="n">
        <x:v>45777</x:v>
      </x:c>
    </x:row>
    <x:row r="464" ht="17.25" customHeight="1">
      <x:c r="A464" s="24" t="str">
        <x:v>E-00463</x:v>
      </x:c>
      <x:c r="B464" s="24" t="str">
        <x:v>스위치플랜</x:v>
      </x:c>
      <x:c r="C464" s="24" t="str">
        <x:v>806머7753</x:v>
      </x:c>
      <x:c r="D464" s="30" t="n">
        <x:v>46008</x:v>
      </x:c>
      <x:c r="E464" s="24" t="str">
        <x:v>반납</x:v>
      </x:c>
      <x:c r="F464" s="24" t="str">
        <x:v>대여중</x:v>
      </x:c>
      <x:c r="G464" s="24" t="str">
        <x:v>쉬는차</x:v>
      </x:c>
      <x:c r="H464" s="32"/>
      <x:c r="I464" s="24" t="str">
        <x:v>SW-C-806머7753-1-NA-146</x:v>
      </x:c>
      <x:c r="J464" s="24" t="str">
        <x:v>매각</x:v>
      </x:c>
      <x:c r="K464" s="24" t="str">
        <x:v>차량 반납</x:v>
      </x:c>
      <x:c r="L464" s="24" t="str"/>
      <x:c r="M464" s="24" t="str"/>
      <x:c r="N464" s="30" t="n">
        <x:v>46008</x:v>
      </x:c>
    </x:row>
    <x:row r="465" ht="17.25" customHeight="1">
      <x:c r="A465" s="24" t="str">
        <x:v>E-00464</x:v>
      </x:c>
      <x:c r="B465" s="24" t="str">
        <x:v>스위치플랜</x:v>
      </x:c>
      <x:c r="C465" s="24" t="str">
        <x:v>806머7753</x:v>
      </x:c>
      <x:c r="D465" s="30" t="n">
        <x:v>45847</x:v>
      </x:c>
      <x:c r="E465" s="24" t="str">
        <x:v>계약시작</x:v>
      </x:c>
      <x:c r="F465" s="24" t="str"/>
      <x:c r="G465" s="24" t="str">
        <x:v>대여중</x:v>
      </x:c>
      <x:c r="H465" s="32" t="n">
        <x:v>830000</x:v>
      </x:c>
      <x:c r="I465" s="24" t="str">
        <x:v>SW-C-806머7753-2-20250709-146</x:v>
      </x:c>
      <x:c r="J465" s="24" t="str">
        <x:v>청소박사</x:v>
      </x:c>
      <x:c r="K465" s="24" t="str">
        <x:v>구독대여 계약 시작</x:v>
      </x:c>
      <x:c r="L465" s="24" t="str"/>
      <x:c r="M465" s="24" t="str"/>
      <x:c r="N465" s="30" t="n">
        <x:v>45847</x:v>
      </x:c>
    </x:row>
    <x:row r="466" ht="17.25" customHeight="1">
      <x:c r="A466" s="24" t="str">
        <x:v>E-00465</x:v>
      </x:c>
      <x:c r="B466" s="24" t="str">
        <x:v>스위치플랜</x:v>
      </x:c>
      <x:c r="C466" s="24" t="str">
        <x:v>806머7753</x:v>
      </x:c>
      <x:c r="D466" s="30" t="n">
        <x:v>45996</x:v>
      </x:c>
      <x:c r="E466" s="24" t="str">
        <x:v>반납</x:v>
      </x:c>
      <x:c r="F466" s="24" t="str">
        <x:v>대여중</x:v>
      </x:c>
      <x:c r="G466" s="24" t="str">
        <x:v>쉬는차</x:v>
      </x:c>
      <x:c r="H466" s="32"/>
      <x:c r="I466" s="24" t="str">
        <x:v>SW-C-806머7753-2-20250709-146</x:v>
      </x:c>
      <x:c r="J466" s="24" t="str">
        <x:v>청소박사</x:v>
      </x:c>
      <x:c r="K466" s="24" t="str">
        <x:v>차량 반납</x:v>
      </x:c>
      <x:c r="L466" s="24" t="str"/>
      <x:c r="M466" s="24" t="str"/>
      <x:c r="N466" s="30" t="n">
        <x:v>45996</x:v>
      </x:c>
    </x:row>
    <x:row r="467" ht="17.25" customHeight="1">
      <x:c r="A467" s="24" t="str">
        <x:v>E-00466</x:v>
      </x:c>
      <x:c r="B467" s="24" t="str">
        <x:v>스위치플랜</x:v>
      </x:c>
      <x:c r="C467" s="24" t="str">
        <x:v>806머7753</x:v>
      </x:c>
      <x:c r="D467" s="30" t="n">
        <x:v>45698</x:v>
      </x:c>
      <x:c r="E467" s="24" t="str">
        <x:v>계약시작</x:v>
      </x:c>
      <x:c r="F467" s="24" t="str"/>
      <x:c r="G467" s="24" t="str">
        <x:v>대여중</x:v>
      </x:c>
      <x:c r="H467" s="32" t="n">
        <x:v>830000</x:v>
      </x:c>
      <x:c r="I467" s="24" t="str">
        <x:v>SW-C-806머7753-3-20250210-146</x:v>
      </x:c>
      <x:c r="J467" s="24" t="str">
        <x:v>이광호</x:v>
      </x:c>
      <x:c r="K467" s="24" t="str">
        <x:v>구독대여 계약 시작</x:v>
      </x:c>
      <x:c r="L467" s="24" t="str"/>
      <x:c r="M467" s="24" t="str">
        <x:v>하허호</x:v>
      </x:c>
      <x:c r="N467" s="30" t="n">
        <x:v>45698</x:v>
      </x:c>
    </x:row>
    <x:row r="468" ht="17.25" customHeight="1">
      <x:c r="A468" s="24" t="str">
        <x:v>E-00467</x:v>
      </x:c>
      <x:c r="B468" s="24" t="str">
        <x:v>스위치플랜</x:v>
      </x:c>
      <x:c r="C468" s="24" t="str">
        <x:v>806머7753</x:v>
      </x:c>
      <x:c r="D468" s="30" t="n">
        <x:v>45800</x:v>
      </x:c>
      <x:c r="E468" s="24" t="str">
        <x:v>반납</x:v>
      </x:c>
      <x:c r="F468" s="24" t="str">
        <x:v>대여중</x:v>
      </x:c>
      <x:c r="G468" s="24" t="str">
        <x:v>쉬는차</x:v>
      </x:c>
      <x:c r="H468" s="32"/>
      <x:c r="I468" s="24" t="str">
        <x:v>SW-C-806머7753-3-20250210-146</x:v>
      </x:c>
      <x:c r="J468" s="24" t="str">
        <x:v>이광호</x:v>
      </x:c>
      <x:c r="K468" s="24" t="str">
        <x:v>차량 반납</x:v>
      </x:c>
      <x:c r="L468" s="24" t="str"/>
      <x:c r="M468" s="24" t="str">
        <x:v>하허호</x:v>
      </x:c>
      <x:c r="N468" s="30" t="n">
        <x:v>45800</x:v>
      </x:c>
    </x:row>
    <x:row r="469" ht="17.25" customHeight="1">
      <x:c r="A469" s="24" t="str">
        <x:v>E-00468</x:v>
      </x:c>
      <x:c r="B469" s="24" t="str">
        <x:v>스위치플랜</x:v>
      </x:c>
      <x:c r="C469" s="24" t="str">
        <x:v>806머7753</x:v>
      </x:c>
      <x:c r="D469" s="30" t="n">
        <x:v>45398</x:v>
      </x:c>
      <x:c r="E469" s="24" t="str">
        <x:v>계약시작</x:v>
      </x:c>
      <x:c r="F469" s="24" t="str"/>
      <x:c r="G469" s="24" t="str">
        <x:v>대여중</x:v>
      </x:c>
      <x:c r="H469" s="32" t="n">
        <x:v>1130000</x:v>
      </x:c>
      <x:c r="I469" s="24" t="str">
        <x:v>SW-C-806머7753-4-20240416-146</x:v>
      </x:c>
      <x:c r="J469" s="24" t="str">
        <x:v>정해준</x:v>
      </x:c>
      <x:c r="K469" s="24" t="str">
        <x:v>구독대여 계약 시작</x:v>
      </x:c>
      <x:c r="L469" s="24" t="str"/>
      <x:c r="M469" s="24" t="str">
        <x:v>카랜(주)</x:v>
      </x:c>
      <x:c r="N469" s="30" t="n">
        <x:v>45398</x:v>
      </x:c>
    </x:row>
    <x:row r="470" ht="17.25" customHeight="1">
      <x:c r="A470" s="24" t="str">
        <x:v>E-00469</x:v>
      </x:c>
      <x:c r="B470" s="24" t="str">
        <x:v>스위치플랜</x:v>
      </x:c>
      <x:c r="C470" s="24" t="str">
        <x:v>806머7753</x:v>
      </x:c>
      <x:c r="D470" s="30" t="n">
        <x:v>45637</x:v>
      </x:c>
      <x:c r="E470" s="24" t="str">
        <x:v>반납</x:v>
      </x:c>
      <x:c r="F470" s="24" t="str">
        <x:v>대여중</x:v>
      </x:c>
      <x:c r="G470" s="24" t="str">
        <x:v>쉬는차</x:v>
      </x:c>
      <x:c r="H470" s="32"/>
      <x:c r="I470" s="24" t="str">
        <x:v>SW-C-806머7753-4-20240416-146</x:v>
      </x:c>
      <x:c r="J470" s="24" t="str">
        <x:v>정해준</x:v>
      </x:c>
      <x:c r="K470" s="24" t="str">
        <x:v>차량 반납</x:v>
      </x:c>
      <x:c r="L470" s="24" t="str"/>
      <x:c r="M470" s="24" t="str">
        <x:v>카랜(주)</x:v>
      </x:c>
      <x:c r="N470" s="30" t="n">
        <x:v>45637</x:v>
      </x:c>
    </x:row>
    <x:row r="471" ht="17.25" customHeight="1">
      <x:c r="A471" s="24" t="str">
        <x:v>E-00470</x:v>
      </x:c>
      <x:c r="B471" s="24" t="str">
        <x:v>스위치플랜</x:v>
      </x:c>
      <x:c r="C471" s="24" t="str">
        <x:v>397주6617</x:v>
      </x:c>
      <x:c r="D471" s="30" t="n">
        <x:v>45953</x:v>
      </x:c>
      <x:c r="E471" s="24" t="str">
        <x:v>반납</x:v>
      </x:c>
      <x:c r="F471" s="24" t="str">
        <x:v>대여중</x:v>
      </x:c>
      <x:c r="G471" s="24" t="str">
        <x:v>쉬는차</x:v>
      </x:c>
      <x:c r="H471" s="32"/>
      <x:c r="I471" s="24" t="str">
        <x:v>SW-C-397주6617-1-NA-147</x:v>
      </x:c>
      <x:c r="J471" s="24" t="str">
        <x:v>매각</x:v>
      </x:c>
      <x:c r="K471" s="24" t="str">
        <x:v>차량 반납</x:v>
      </x:c>
      <x:c r="L471" s="24" t="str"/>
      <x:c r="M471" s="24" t="str"/>
      <x:c r="N471" s="30" t="n">
        <x:v>45953</x:v>
      </x:c>
    </x:row>
    <x:row r="472" ht="17.25" customHeight="1">
      <x:c r="A472" s="24" t="str">
        <x:v>E-00471</x:v>
      </x:c>
      <x:c r="B472" s="24" t="str">
        <x:v>스위치플랜</x:v>
      </x:c>
      <x:c r="C472" s="24" t="str">
        <x:v>397주6617</x:v>
      </x:c>
      <x:c r="D472" s="30" t="n">
        <x:v>45588</x:v>
      </x:c>
      <x:c r="E472" s="24" t="str">
        <x:v>계약시작</x:v>
      </x:c>
      <x:c r="F472" s="24" t="str"/>
      <x:c r="G472" s="24" t="str">
        <x:v>대여중</x:v>
      </x:c>
      <x:c r="H472" s="32" t="n">
        <x:v>1000000</x:v>
      </x:c>
      <x:c r="I472" s="24" t="str">
        <x:v>SW-C-397주6617-2-20241023-147</x:v>
      </x:c>
      <x:c r="J472" s="24" t="str">
        <x:v>김선길</x:v>
      </x:c>
      <x:c r="K472" s="24" t="str">
        <x:v>구독대여 계약 시작</x:v>
      </x:c>
      <x:c r="L472" s="24" t="str"/>
      <x:c r="M472" s="24" t="str">
        <x:v>모빌앤카</x:v>
      </x:c>
      <x:c r="N472" s="30" t="n">
        <x:v>45588</x:v>
      </x:c>
    </x:row>
    <x:row r="473" ht="17.25" customHeight="1">
      <x:c r="A473" s="24" t="str">
        <x:v>E-00472</x:v>
      </x:c>
      <x:c r="B473" s="24" t="str">
        <x:v>스위치플랜</x:v>
      </x:c>
      <x:c r="C473" s="24" t="str">
        <x:v>397주6617</x:v>
      </x:c>
      <x:c r="D473" s="30" t="n">
        <x:v>45649</x:v>
      </x:c>
      <x:c r="E473" s="24" t="str">
        <x:v>반납</x:v>
      </x:c>
      <x:c r="F473" s="24" t="str">
        <x:v>대여중</x:v>
      </x:c>
      <x:c r="G473" s="24" t="str">
        <x:v>쉬는차</x:v>
      </x:c>
      <x:c r="H473" s="32"/>
      <x:c r="I473" s="24" t="str">
        <x:v>SW-C-397주6617-2-20241023-147</x:v>
      </x:c>
      <x:c r="J473" s="24" t="str">
        <x:v>김선길</x:v>
      </x:c>
      <x:c r="K473" s="24" t="str">
        <x:v>차량 반납</x:v>
      </x:c>
      <x:c r="L473" s="24" t="str"/>
      <x:c r="M473" s="24" t="str">
        <x:v>모빌앤카</x:v>
      </x:c>
      <x:c r="N473" s="30" t="n">
        <x:v>45649</x:v>
      </x:c>
    </x:row>
    <x:row r="474" ht="17.25" customHeight="1">
      <x:c r="A474" s="24" t="str">
        <x:v>E-00473</x:v>
      </x:c>
      <x:c r="B474" s="24" t="str">
        <x:v>스위치플랜</x:v>
      </x:c>
      <x:c r="C474" s="24" t="str">
        <x:v>397주6617</x:v>
      </x:c>
      <x:c r="D474" s="30" t="n">
        <x:v>45450</x:v>
      </x:c>
      <x:c r="E474" s="24" t="str">
        <x:v>계약시작</x:v>
      </x:c>
      <x:c r="F474" s="24" t="str"/>
      <x:c r="G474" s="24" t="str">
        <x:v>대여중</x:v>
      </x:c>
      <x:c r="H474" s="32" t="n">
        <x:v>1220000</x:v>
      </x:c>
      <x:c r="I474" s="24" t="str">
        <x:v>SW-C-397주6617-3-20240607-147</x:v>
      </x:c>
      <x:c r="J474" s="24" t="str">
        <x:v>이중연</x:v>
      </x:c>
      <x:c r="K474" s="24" t="str">
        <x:v>구독대여 계약 시작</x:v>
      </x:c>
      <x:c r="L474" s="24" t="str"/>
      <x:c r="M474" s="24" t="str">
        <x:v>카랜(주)</x:v>
      </x:c>
      <x:c r="N474" s="30" t="n">
        <x:v>45450</x:v>
      </x:c>
    </x:row>
    <x:row r="475" ht="17.25" customHeight="1">
      <x:c r="A475" s="24" t="str">
        <x:v>E-00474</x:v>
      </x:c>
      <x:c r="B475" s="24" t="str">
        <x:v>스위치플랜</x:v>
      </x:c>
      <x:c r="C475" s="24" t="str">
        <x:v>397주6617</x:v>
      </x:c>
      <x:c r="D475" s="30" t="n">
        <x:v>45575</x:v>
      </x:c>
      <x:c r="E475" s="24" t="str">
        <x:v>반납</x:v>
      </x:c>
      <x:c r="F475" s="24" t="str">
        <x:v>대여중</x:v>
      </x:c>
      <x:c r="G475" s="24" t="str">
        <x:v>쉬는차</x:v>
      </x:c>
      <x:c r="H475" s="32"/>
      <x:c r="I475" s="24" t="str">
        <x:v>SW-C-397주6617-3-20240607-147</x:v>
      </x:c>
      <x:c r="J475" s="24" t="str">
        <x:v>이중연</x:v>
      </x:c>
      <x:c r="K475" s="24" t="str">
        <x:v>차량 반납</x:v>
      </x:c>
      <x:c r="L475" s="24" t="str"/>
      <x:c r="M475" s="24" t="str">
        <x:v>카랜(주)</x:v>
      </x:c>
      <x:c r="N475" s="30" t="n">
        <x:v>45575</x:v>
      </x:c>
    </x:row>
    <x:row r="476" ht="17.25" customHeight="1">
      <x:c r="A476" s="24" t="str">
        <x:v>E-00475</x:v>
      </x:c>
      <x:c r="B476" s="24" t="str">
        <x:v>스위치플랜</x:v>
      </x:c>
      <x:c r="C476" s="24" t="str">
        <x:v>21더9111</x:v>
      </x:c>
      <x:c r="D476" s="30" t="n">
        <x:v>46051</x:v>
      </x:c>
      <x:c r="E476" s="24" t="str">
        <x:v>반납</x:v>
      </x:c>
      <x:c r="F476" s="24" t="str">
        <x:v>대여중</x:v>
      </x:c>
      <x:c r="G476" s="24" t="str">
        <x:v>쉬는차</x:v>
      </x:c>
      <x:c r="H476" s="32"/>
      <x:c r="I476" s="24" t="str">
        <x:v>SW-C-21더9111-1-NA-148</x:v>
      </x:c>
      <x:c r="J476" s="24" t="str">
        <x:v>매각</x:v>
      </x:c>
      <x:c r="K476" s="24" t="str">
        <x:v>차량 반납</x:v>
      </x:c>
      <x:c r="L476" s="24" t="str"/>
      <x:c r="M476" s="24" t="str"/>
      <x:c r="N476" s="30" t="n">
        <x:v>46051</x:v>
      </x:c>
    </x:row>
    <x:row r="477" ht="17.25" customHeight="1">
      <x:c r="A477" s="24" t="str">
        <x:v>E-00476</x:v>
      </x:c>
      <x:c r="B477" s="24" t="str">
        <x:v>스위치플랜</x:v>
      </x:c>
      <x:c r="C477" s="24" t="str">
        <x:v>21더9111</x:v>
      </x:c>
      <x:c r="D477" s="30" t="n">
        <x:v>45730</x:v>
      </x:c>
      <x:c r="E477" s="24" t="str">
        <x:v>계약시작</x:v>
      </x:c>
      <x:c r="F477" s="24" t="str"/>
      <x:c r="G477" s="24" t="str">
        <x:v>대여중</x:v>
      </x:c>
      <x:c r="H477" s="32" t="n">
        <x:v>1150000</x:v>
      </x:c>
      <x:c r="I477" s="24" t="str">
        <x:v>SW-C-21더9111-2-20250314-148</x:v>
      </x:c>
      <x:c r="J477" s="24" t="str">
        <x:v>제이산업</x:v>
      </x:c>
      <x:c r="K477" s="24" t="str">
        <x:v>구독대여 계약 시작</x:v>
      </x:c>
      <x:c r="L477" s="24" t="str"/>
      <x:c r="M477" s="24" t="str">
        <x:v>오토원트</x:v>
      </x:c>
      <x:c r="N477" s="30" t="n">
        <x:v>45730</x:v>
      </x:c>
    </x:row>
    <x:row r="478" ht="17.25" customHeight="1">
      <x:c r="A478" s="24" t="str">
        <x:v>E-00477</x:v>
      </x:c>
      <x:c r="B478" s="24" t="str">
        <x:v>스위치플랜</x:v>
      </x:c>
      <x:c r="C478" s="24" t="str">
        <x:v>21더9111</x:v>
      </x:c>
      <x:c r="D478" s="30" t="n">
        <x:v>46041</x:v>
      </x:c>
      <x:c r="E478" s="24" t="str">
        <x:v>반납</x:v>
      </x:c>
      <x:c r="F478" s="24" t="str">
        <x:v>대여중</x:v>
      </x:c>
      <x:c r="G478" s="24" t="str">
        <x:v>쉬는차</x:v>
      </x:c>
      <x:c r="H478" s="32"/>
      <x:c r="I478" s="24" t="str">
        <x:v>SW-C-21더9111-2-20250314-148</x:v>
      </x:c>
      <x:c r="J478" s="24" t="str">
        <x:v>제이산업</x:v>
      </x:c>
      <x:c r="K478" s="24" t="str">
        <x:v>차량 반납</x:v>
      </x:c>
      <x:c r="L478" s="24" t="str"/>
      <x:c r="M478" s="24" t="str">
        <x:v>오토원트</x:v>
      </x:c>
      <x:c r="N478" s="30" t="n">
        <x:v>46041</x:v>
      </x:c>
    </x:row>
    <x:row r="479" ht="17.25" customHeight="1">
      <x:c r="A479" s="24" t="str">
        <x:v>E-00478</x:v>
      </x:c>
      <x:c r="B479" s="24" t="str">
        <x:v>스위치플랜</x:v>
      </x:c>
      <x:c r="C479" s="24" t="str">
        <x:v>21더9111</x:v>
      </x:c>
      <x:c r="D479" s="30" t="n">
        <x:v>45650</x:v>
      </x:c>
      <x:c r="E479" s="24" t="str">
        <x:v>계약시작</x:v>
      </x:c>
      <x:c r="F479" s="24" t="str"/>
      <x:c r="G479" s="24" t="str">
        <x:v>대여중</x:v>
      </x:c>
      <x:c r="H479" s="32" t="n">
        <x:v>1150000</x:v>
      </x:c>
      <x:c r="I479" s="24" t="str">
        <x:v>SW-C-21더9111-3-20241224-148</x:v>
      </x:c>
      <x:c r="J479" s="24" t="str">
        <x:v>안준범</x:v>
      </x:c>
      <x:c r="K479" s="24" t="str">
        <x:v>구독대여 계약 시작</x:v>
      </x:c>
      <x:c r="L479" s="24" t="str"/>
      <x:c r="M479" s="24" t="str">
        <x:v>하허호</x:v>
      </x:c>
      <x:c r="N479" s="30" t="n">
        <x:v>45650</x:v>
      </x:c>
    </x:row>
    <x:row r="480" ht="17.25" customHeight="1">
      <x:c r="A480" s="24" t="str">
        <x:v>E-00479</x:v>
      </x:c>
      <x:c r="B480" s="24" t="str">
        <x:v>스위치플랜</x:v>
      </x:c>
      <x:c r="C480" s="24" t="str">
        <x:v>21더9111</x:v>
      </x:c>
      <x:c r="D480" s="30" t="n">
        <x:v>45722</x:v>
      </x:c>
      <x:c r="E480" s="24" t="str">
        <x:v>반납</x:v>
      </x:c>
      <x:c r="F480" s="24" t="str">
        <x:v>대여중</x:v>
      </x:c>
      <x:c r="G480" s="24" t="str">
        <x:v>쉬는차</x:v>
      </x:c>
      <x:c r="H480" s="32"/>
      <x:c r="I480" s="24" t="str">
        <x:v>SW-C-21더9111-3-20241224-148</x:v>
      </x:c>
      <x:c r="J480" s="24" t="str">
        <x:v>안준범</x:v>
      </x:c>
      <x:c r="K480" s="24" t="str">
        <x:v>차량 반납</x:v>
      </x:c>
      <x:c r="L480" s="24" t="str"/>
      <x:c r="M480" s="24" t="str">
        <x:v>하허호</x:v>
      </x:c>
      <x:c r="N480" s="30" t="n">
        <x:v>45722</x:v>
      </x:c>
    </x:row>
    <x:row r="481" ht="17.25" customHeight="1">
      <x:c r="A481" s="24" t="str">
        <x:v>E-00480</x:v>
      </x:c>
      <x:c r="B481" s="24" t="str">
        <x:v>스위치플랜</x:v>
      </x:c>
      <x:c r="C481" s="24" t="str">
        <x:v>21더9111</x:v>
      </x:c>
      <x:c r="D481" s="30" t="n">
        <x:v>45583</x:v>
      </x:c>
      <x:c r="E481" s="24" t="str">
        <x:v>계약시작</x:v>
      </x:c>
      <x:c r="F481" s="24" t="str"/>
      <x:c r="G481" s="24" t="str">
        <x:v>대여중</x:v>
      </x:c>
      <x:c r="H481" s="32" t="n">
        <x:v>1550000</x:v>
      </x:c>
      <x:c r="I481" s="24" t="str">
        <x:v>SW-C-21더9111-4-20241018-148</x:v>
      </x:c>
      <x:c r="J481" s="24" t="str">
        <x:v>성지원</x:v>
      </x:c>
      <x:c r="K481" s="24" t="str">
        <x:v>구독대여 계약 시작</x:v>
      </x:c>
      <x:c r="L481" s="24" t="str"/>
      <x:c r="M481" s="24" t="str">
        <x:v>하허호</x:v>
      </x:c>
      <x:c r="N481" s="30" t="n">
        <x:v>45583</x:v>
      </x:c>
    </x:row>
    <x:row r="482" ht="17.25" customHeight="1">
      <x:c r="A482" s="24" t="str">
        <x:v>E-00481</x:v>
      </x:c>
      <x:c r="B482" s="24" t="str">
        <x:v>스위치플랜</x:v>
      </x:c>
      <x:c r="C482" s="24" t="str">
        <x:v>21더9111</x:v>
      </x:c>
      <x:c r="D482" s="30" t="n">
        <x:v>45642</x:v>
      </x:c>
      <x:c r="E482" s="24" t="str">
        <x:v>반납</x:v>
      </x:c>
      <x:c r="F482" s="24" t="str">
        <x:v>대여중</x:v>
      </x:c>
      <x:c r="G482" s="24" t="str">
        <x:v>쉬는차</x:v>
      </x:c>
      <x:c r="H482" s="32"/>
      <x:c r="I482" s="24" t="str">
        <x:v>SW-C-21더9111-4-20241018-148</x:v>
      </x:c>
      <x:c r="J482" s="24" t="str">
        <x:v>성지원</x:v>
      </x:c>
      <x:c r="K482" s="24" t="str">
        <x:v>차량 반납</x:v>
      </x:c>
      <x:c r="L482" s="24" t="str"/>
      <x:c r="M482" s="24" t="str">
        <x:v>하허호</x:v>
      </x:c>
      <x:c r="N482" s="30" t="n">
        <x:v>45642</x:v>
      </x:c>
    </x:row>
    <x:row r="483" ht="17.25" customHeight="1">
      <x:c r="A483" s="24" t="str">
        <x:v>E-00482</x:v>
      </x:c>
      <x:c r="B483" s="24" t="str">
        <x:v>스위치플랜</x:v>
      </x:c>
      <x:c r="C483" s="24" t="str">
        <x:v>31러6568</x:v>
      </x:c>
      <x:c r="D483" s="30" t="n">
        <x:v>46052</x:v>
      </x:c>
      <x:c r="E483" s="24" t="str">
        <x:v>반납</x:v>
      </x:c>
      <x:c r="F483" s="24" t="str">
        <x:v>대여중</x:v>
      </x:c>
      <x:c r="G483" s="24" t="str">
        <x:v>쉬는차</x:v>
      </x:c>
      <x:c r="H483" s="32"/>
      <x:c r="I483" s="24" t="str">
        <x:v>SW-C-31러6568-1-NA-149</x:v>
      </x:c>
      <x:c r="J483" s="24" t="str">
        <x:v>매각</x:v>
      </x:c>
      <x:c r="K483" s="24" t="str">
        <x:v>차량 반납</x:v>
      </x:c>
      <x:c r="L483" s="24" t="str"/>
      <x:c r="M483" s="24" t="str"/>
      <x:c r="N483" s="30" t="n">
        <x:v>46052</x:v>
      </x:c>
    </x:row>
    <x:row r="484" ht="17.25" customHeight="1">
      <x:c r="A484" s="24" t="str">
        <x:v>E-00483</x:v>
      </x:c>
      <x:c r="B484" s="24" t="str">
        <x:v>스위치플랜</x:v>
      </x:c>
      <x:c r="C484" s="24" t="str">
        <x:v>31러6568</x:v>
      </x:c>
      <x:c r="D484" s="30" t="n">
        <x:v>45874</x:v>
      </x:c>
      <x:c r="E484" s="24" t="str">
        <x:v>계약시작</x:v>
      </x:c>
      <x:c r="F484" s="24" t="str"/>
      <x:c r="G484" s="24" t="str">
        <x:v>대여중</x:v>
      </x:c>
      <x:c r="H484" s="32" t="n">
        <x:v>1050000</x:v>
      </x:c>
      <x:c r="I484" s="24" t="str">
        <x:v>SW-C-31러6568-2-20250805-149</x:v>
      </x:c>
      <x:c r="J484" s="24" t="str">
        <x:v>한강수</x:v>
      </x:c>
      <x:c r="K484" s="24" t="str">
        <x:v>구독대여 계약 시작</x:v>
      </x:c>
      <x:c r="L484" s="24" t="str"/>
      <x:c r="M484" s="24" t="str"/>
      <x:c r="N484" s="30" t="n">
        <x:v>45874</x:v>
      </x:c>
    </x:row>
    <x:row r="485" ht="17.25" customHeight="1">
      <x:c r="A485" s="24" t="str">
        <x:v>E-00484</x:v>
      </x:c>
      <x:c r="B485" s="24" t="str">
        <x:v>스위치플랜</x:v>
      </x:c>
      <x:c r="C485" s="24" t="str">
        <x:v>31러6568</x:v>
      </x:c>
      <x:c r="D485" s="30" t="n">
        <x:v>46018</x:v>
      </x:c>
      <x:c r="E485" s="24" t="str">
        <x:v>반납</x:v>
      </x:c>
      <x:c r="F485" s="24" t="str">
        <x:v>대여중</x:v>
      </x:c>
      <x:c r="G485" s="24" t="str">
        <x:v>쉬는차</x:v>
      </x:c>
      <x:c r="H485" s="32"/>
      <x:c r="I485" s="24" t="str">
        <x:v>SW-C-31러6568-2-20250805-149</x:v>
      </x:c>
      <x:c r="J485" s="24" t="str">
        <x:v>한강수</x:v>
      </x:c>
      <x:c r="K485" s="24" t="str">
        <x:v>차량 반납</x:v>
      </x:c>
      <x:c r="L485" s="24" t="str"/>
      <x:c r="M485" s="24" t="str"/>
      <x:c r="N485" s="30" t="n">
        <x:v>46018</x:v>
      </x:c>
    </x:row>
    <x:row r="486" ht="17.25" customHeight="1">
      <x:c r="A486" s="24" t="str">
        <x:v>E-00485</x:v>
      </x:c>
      <x:c r="B486" s="24" t="str">
        <x:v>스위치플랜</x:v>
      </x:c>
      <x:c r="C486" s="24" t="str">
        <x:v>31러6568</x:v>
      </x:c>
      <x:c r="D486" s="30" t="n">
        <x:v>45868</x:v>
      </x:c>
      <x:c r="E486" s="24" t="str">
        <x:v>계약시작</x:v>
      </x:c>
      <x:c r="F486" s="24" t="str"/>
      <x:c r="G486" s="24" t="str">
        <x:v>대여중</x:v>
      </x:c>
      <x:c r="H486" s="32" t="n">
        <x:v>1150000</x:v>
      </x:c>
      <x:c r="I486" s="24" t="str">
        <x:v>SW-C-31러6568-3-20250730-149</x:v>
      </x:c>
      <x:c r="J486" s="24" t="str">
        <x:v>김대환</x:v>
      </x:c>
      <x:c r="K486" s="24" t="str">
        <x:v>구독대여 계약 시작</x:v>
      </x:c>
      <x:c r="L486" s="24" t="str"/>
      <x:c r="M486" s="24" t="str"/>
      <x:c r="N486" s="30" t="n">
        <x:v>45868</x:v>
      </x:c>
    </x:row>
    <x:row r="487" ht="17.25" customHeight="1">
      <x:c r="A487" s="24" t="str">
        <x:v>E-00486</x:v>
      </x:c>
      <x:c r="B487" s="24" t="str">
        <x:v>스위치플랜</x:v>
      </x:c>
      <x:c r="C487" s="24" t="str">
        <x:v>31러6568</x:v>
      </x:c>
      <x:c r="D487" s="30" t="n">
        <x:v>45868</x:v>
      </x:c>
      <x:c r="E487" s="24" t="str">
        <x:v>반납</x:v>
      </x:c>
      <x:c r="F487" s="24" t="str">
        <x:v>대여중</x:v>
      </x:c>
      <x:c r="G487" s="24" t="str">
        <x:v>쉬는차</x:v>
      </x:c>
      <x:c r="H487" s="32"/>
      <x:c r="I487" s="24" t="str">
        <x:v>SW-C-31러6568-3-20250730-149</x:v>
      </x:c>
      <x:c r="J487" s="24" t="str">
        <x:v>김대환</x:v>
      </x:c>
      <x:c r="K487" s="24" t="str">
        <x:v>차량 반납</x:v>
      </x:c>
      <x:c r="L487" s="24" t="str"/>
      <x:c r="M487" s="24" t="str"/>
      <x:c r="N487" s="30" t="n">
        <x:v>45868</x:v>
      </x:c>
    </x:row>
    <x:row r="488" ht="17.25" customHeight="1">
      <x:c r="A488" s="24" t="str">
        <x:v>E-00487</x:v>
      </x:c>
      <x:c r="B488" s="24" t="str">
        <x:v>스위치플랜</x:v>
      </x:c>
      <x:c r="C488" s="24" t="str">
        <x:v>31러6568</x:v>
      </x:c>
      <x:c r="D488" s="30" t="n">
        <x:v>45821</x:v>
      </x:c>
      <x:c r="E488" s="24" t="str">
        <x:v>계약시작</x:v>
      </x:c>
      <x:c r="F488" s="24" t="str"/>
      <x:c r="G488" s="24" t="str">
        <x:v>대여중</x:v>
      </x:c>
      <x:c r="H488" s="32" t="n">
        <x:v>1050000</x:v>
      </x:c>
      <x:c r="I488" s="24" t="str">
        <x:v>SW-C-31러6568-4-20250613-149</x:v>
      </x:c>
      <x:c r="J488" s="24" t="str">
        <x:v>김민석</x:v>
      </x:c>
      <x:c r="K488" s="24" t="str">
        <x:v>구독대여 계약 시작</x:v>
      </x:c>
      <x:c r="L488" s="24" t="str"/>
      <x:c r="M488" s="24" t="str">
        <x:v>하허호</x:v>
      </x:c>
      <x:c r="N488" s="30" t="n">
        <x:v>45821</x:v>
      </x:c>
    </x:row>
    <x:row r="489" ht="17.25" customHeight="1">
      <x:c r="A489" s="24" t="str">
        <x:v>E-00488</x:v>
      </x:c>
      <x:c r="B489" s="24" t="str">
        <x:v>스위치플랜</x:v>
      </x:c>
      <x:c r="C489" s="24" t="str">
        <x:v>31러6568</x:v>
      </x:c>
      <x:c r="D489" s="30" t="n">
        <x:v>45861</x:v>
      </x:c>
      <x:c r="E489" s="24" t="str">
        <x:v>반납</x:v>
      </x:c>
      <x:c r="F489" s="24" t="str">
        <x:v>대여중</x:v>
      </x:c>
      <x:c r="G489" s="24" t="str">
        <x:v>쉬는차</x:v>
      </x:c>
      <x:c r="H489" s="32"/>
      <x:c r="I489" s="24" t="str">
        <x:v>SW-C-31러6568-4-20250613-149</x:v>
      </x:c>
      <x:c r="J489" s="24" t="str">
        <x:v>김민석</x:v>
      </x:c>
      <x:c r="K489" s="24" t="str">
        <x:v>차량 반납</x:v>
      </x:c>
      <x:c r="L489" s="24" t="str"/>
      <x:c r="M489" s="24" t="str">
        <x:v>하허호</x:v>
      </x:c>
      <x:c r="N489" s="30" t="n">
        <x:v>45861</x:v>
      </x:c>
    </x:row>
    <x:row r="490" ht="17.25" customHeight="1">
      <x:c r="A490" s="24" t="str">
        <x:v>E-00489</x:v>
      </x:c>
      <x:c r="B490" s="24" t="str">
        <x:v>스위치플랜</x:v>
      </x:c>
      <x:c r="C490" s="24" t="str">
        <x:v>31러6568</x:v>
      </x:c>
      <x:c r="D490" s="30" t="n">
        <x:v>46867</x:v>
      </x:c>
      <x:c r="E490" s="24" t="str">
        <x:v>계약시작</x:v>
      </x:c>
      <x:c r="F490" s="24" t="str"/>
      <x:c r="G490" s="24" t="str">
        <x:v>대여중</x:v>
      </x:c>
      <x:c r="H490" s="32" t="n">
        <x:v>45407</x:v>
      </x:c>
      <x:c r="I490" s="24" t="str">
        <x:v>SW-C-31러6568-5-20280424-149</x:v>
      </x:c>
      <x:c r="J490" s="24" t="str">
        <x:v>심기욱</x:v>
      </x:c>
      <x:c r="K490" s="24" t="str">
        <x:v>구독대여 계약 시작</x:v>
      </x:c>
      <x:c r="L490" s="24" t="str"/>
      <x:c r="M490" s="24" t="str">
        <x:v>카랜(주)</x:v>
      </x:c>
      <x:c r="N490" s="30" t="n">
        <x:v>46867</x:v>
      </x:c>
    </x:row>
    <x:row r="491" ht="17.25" customHeight="1">
      <x:c r="A491" s="24" t="str">
        <x:v>E-00490</x:v>
      </x:c>
      <x:c r="B491" s="24" t="str">
        <x:v>스위치플랜</x:v>
      </x:c>
      <x:c r="C491" s="24" t="str">
        <x:v>31러6568</x:v>
      </x:c>
      <x:c r="D491" s="30"/>
      <x:c r="E491" s="24" t="str">
        <x:v>반납</x:v>
      </x:c>
      <x:c r="F491" s="24" t="str">
        <x:v>대여중</x:v>
      </x:c>
      <x:c r="G491" s="24" t="str">
        <x:v>쉬는차</x:v>
      </x:c>
      <x:c r="H491" s="32"/>
      <x:c r="I491" s="24" t="str">
        <x:v>SW-C-31러6568-5-20280424-149</x:v>
      </x:c>
      <x:c r="J491" s="24" t="str">
        <x:v>심기욱</x:v>
      </x:c>
      <x:c r="K491" s="24" t="str">
        <x:v>차량 반납</x:v>
      </x:c>
      <x:c r="L491" s="24" t="str"/>
      <x:c r="M491" s="24" t="str">
        <x:v>카랜(주)</x:v>
      </x:c>
      <x:c r="N491" s="30"/>
    </x:row>
    <x:row r="492" ht="17.25" customHeight="1">
      <x:c r="A492" s="24" t="str">
        <x:v>E-00491</x:v>
      </x:c>
      <x:c r="B492" s="24" t="str">
        <x:v>스위치플랜</x:v>
      </x:c>
      <x:c r="C492" s="24" t="str">
        <x:v>349수3116</x:v>
      </x:c>
      <x:c r="D492" s="30" t="n">
        <x:v>46051</x:v>
      </x:c>
      <x:c r="E492" s="24" t="str">
        <x:v>반납</x:v>
      </x:c>
      <x:c r="F492" s="24" t="str">
        <x:v>대여중</x:v>
      </x:c>
      <x:c r="G492" s="24" t="str">
        <x:v>쉬는차</x:v>
      </x:c>
      <x:c r="H492" s="32"/>
      <x:c r="I492" s="24" t="str">
        <x:v>SW-C-349수3116-1-NA-150</x:v>
      </x:c>
      <x:c r="J492" s="24" t="str">
        <x:v>매각</x:v>
      </x:c>
      <x:c r="K492" s="24" t="str">
        <x:v>차량 반납</x:v>
      </x:c>
      <x:c r="L492" s="24" t="str"/>
      <x:c r="M492" s="24" t="str"/>
      <x:c r="N492" s="30" t="n">
        <x:v>46051</x:v>
      </x:c>
    </x:row>
    <x:row r="493" ht="17.25" customHeight="1">
      <x:c r="A493" s="24" t="str">
        <x:v>E-00492</x:v>
      </x:c>
      <x:c r="B493" s="24" t="str">
        <x:v>스위치플랜</x:v>
      </x:c>
      <x:c r="C493" s="24" t="str">
        <x:v>349수3116</x:v>
      </x:c>
      <x:c r="D493" s="30" t="n">
        <x:v>45695</x:v>
      </x:c>
      <x:c r="E493" s="24" t="str">
        <x:v>계약시작</x:v>
      </x:c>
      <x:c r="F493" s="24" t="str"/>
      <x:c r="G493" s="24" t="str">
        <x:v>대여중</x:v>
      </x:c>
      <x:c r="H493" s="32" t="n">
        <x:v>1060000</x:v>
      </x:c>
      <x:c r="I493" s="24" t="str">
        <x:v>SW-C-349수3116-2-20250207-150</x:v>
      </x:c>
      <x:c r="J493" s="24" t="str">
        <x:v>복경석</x:v>
      </x:c>
      <x:c r="K493" s="24" t="str">
        <x:v>구독대여 계약 시작</x:v>
      </x:c>
      <x:c r="L493" s="24" t="str"/>
      <x:c r="M493" s="24" t="str">
        <x:v>하허호</x:v>
      </x:c>
      <x:c r="N493" s="30" t="n">
        <x:v>45695</x:v>
      </x:c>
    </x:row>
    <x:row r="494" ht="17.25" customHeight="1">
      <x:c r="A494" s="24" t="str">
        <x:v>E-00493</x:v>
      </x:c>
      <x:c r="B494" s="24" t="str">
        <x:v>스위치플랜</x:v>
      </x:c>
      <x:c r="C494" s="24" t="str">
        <x:v>349수3116</x:v>
      </x:c>
      <x:c r="D494" s="30" t="n">
        <x:v>45957</x:v>
      </x:c>
      <x:c r="E494" s="24" t="str">
        <x:v>반납</x:v>
      </x:c>
      <x:c r="F494" s="24" t="str">
        <x:v>대여중</x:v>
      </x:c>
      <x:c r="G494" s="24" t="str">
        <x:v>쉬는차</x:v>
      </x:c>
      <x:c r="H494" s="32"/>
      <x:c r="I494" s="24" t="str">
        <x:v>SW-C-349수3116-2-20250207-150</x:v>
      </x:c>
      <x:c r="J494" s="24" t="str">
        <x:v>복경석</x:v>
      </x:c>
      <x:c r="K494" s="24" t="str">
        <x:v>차량 반납</x:v>
      </x:c>
      <x:c r="L494" s="24" t="str"/>
      <x:c r="M494" s="24" t="str">
        <x:v>하허호</x:v>
      </x:c>
      <x:c r="N494" s="30" t="n">
        <x:v>45957</x:v>
      </x:c>
    </x:row>
    <x:row r="495" ht="17.25" customHeight="1">
      <x:c r="A495" s="24" t="str">
        <x:v>E-00494</x:v>
      </x:c>
      <x:c r="B495" s="24" t="str">
        <x:v>스위치플랜</x:v>
      </x:c>
      <x:c r="C495" s="24" t="str">
        <x:v>59가1616</x:v>
      </x:c>
      <x:c r="D495" s="30" t="n">
        <x:v>46052</x:v>
      </x:c>
      <x:c r="E495" s="24" t="str">
        <x:v>반납</x:v>
      </x:c>
      <x:c r="F495" s="24" t="str">
        <x:v>대여중</x:v>
      </x:c>
      <x:c r="G495" s="24" t="str">
        <x:v>쉬는차</x:v>
      </x:c>
      <x:c r="H495" s="32"/>
      <x:c r="I495" s="24" t="str">
        <x:v>SW-C-59가1616-1-NA-151</x:v>
      </x:c>
      <x:c r="J495" s="24" t="str">
        <x:v>매각</x:v>
      </x:c>
      <x:c r="K495" s="24" t="str">
        <x:v>차량 반납</x:v>
      </x:c>
      <x:c r="L495" s="24" t="str"/>
      <x:c r="M495" s="24" t="str"/>
      <x:c r="N495" s="30" t="n">
        <x:v>46052</x:v>
      </x:c>
    </x:row>
    <x:row r="496" ht="17.25" customHeight="1">
      <x:c r="A496" s="24" t="str">
        <x:v>E-00495</x:v>
      </x:c>
      <x:c r="B496" s="24" t="str">
        <x:v>스위치플랜</x:v>
      </x:c>
      <x:c r="C496" s="24" t="str">
        <x:v>59가1616</x:v>
      </x:c>
      <x:c r="D496" s="30" t="n">
        <x:v>45930</x:v>
      </x:c>
      <x:c r="E496" s="24" t="str">
        <x:v>계약시작</x:v>
      </x:c>
      <x:c r="F496" s="24" t="str"/>
      <x:c r="G496" s="24" t="str">
        <x:v>대여중</x:v>
      </x:c>
      <x:c r="H496" s="32" t="n">
        <x:v>1160000</x:v>
      </x:c>
      <x:c r="I496" s="24" t="str">
        <x:v>SW-C-59가1616-2-20250930-151</x:v>
      </x:c>
      <x:c r="J496" s="24" t="str">
        <x:v>김민재</x:v>
      </x:c>
      <x:c r="K496" s="24" t="str">
        <x:v>구독대여 계약 시작</x:v>
      </x:c>
      <x:c r="L496" s="24" t="str"/>
      <x:c r="M496" s="24" t="str">
        <x:v>하허호</x:v>
      </x:c>
      <x:c r="N496" s="30" t="n">
        <x:v>45930</x:v>
      </x:c>
    </x:row>
    <x:row r="497" ht="17.25" customHeight="1">
      <x:c r="A497" s="24" t="str">
        <x:v>E-00496</x:v>
      </x:c>
      <x:c r="B497" s="24" t="str">
        <x:v>스위치플랜</x:v>
      </x:c>
      <x:c r="C497" s="24" t="str">
        <x:v>59가1616</x:v>
      </x:c>
      <x:c r="D497" s="30" t="n">
        <x:v>46045</x:v>
      </x:c>
      <x:c r="E497" s="24" t="str">
        <x:v>반납</x:v>
      </x:c>
      <x:c r="F497" s="24" t="str">
        <x:v>대여중</x:v>
      </x:c>
      <x:c r="G497" s="24" t="str">
        <x:v>쉬는차</x:v>
      </x:c>
      <x:c r="H497" s="32"/>
      <x:c r="I497" s="24" t="str">
        <x:v>SW-C-59가1616-2-20250930-151</x:v>
      </x:c>
      <x:c r="J497" s="24" t="str">
        <x:v>김민재</x:v>
      </x:c>
      <x:c r="K497" s="24" t="str">
        <x:v>차량 반납</x:v>
      </x:c>
      <x:c r="L497" s="24" t="str"/>
      <x:c r="M497" s="24" t="str">
        <x:v>하허호</x:v>
      </x:c>
      <x:c r="N497" s="30" t="n">
        <x:v>46045</x:v>
      </x:c>
    </x:row>
    <x:row r="498" ht="17.25" customHeight="1">
      <x:c r="A498" s="24" t="str">
        <x:v>E-00497</x:v>
      </x:c>
      <x:c r="B498" s="24" t="str">
        <x:v>스위치플랜</x:v>
      </x:c>
      <x:c r="C498" s="24" t="str">
        <x:v>59가1616</x:v>
      </x:c>
      <x:c r="D498" s="30" t="n">
        <x:v>45625</x:v>
      </x:c>
      <x:c r="E498" s="24" t="str">
        <x:v>계약시작</x:v>
      </x:c>
      <x:c r="F498" s="24" t="str"/>
      <x:c r="G498" s="24" t="str">
        <x:v>대여중</x:v>
      </x:c>
      <x:c r="H498" s="32" t="n">
        <x:v>1060000</x:v>
      </x:c>
      <x:c r="I498" s="24" t="str">
        <x:v>SW-C-59가1616-3-20241129-151</x:v>
      </x:c>
      <x:c r="J498" s="24" t="str">
        <x:v>정진욱</x:v>
      </x:c>
      <x:c r="K498" s="24" t="str">
        <x:v>구독대여 계약 시작</x:v>
      </x:c>
      <x:c r="L498" s="24" t="str"/>
      <x:c r="M498" s="24" t="str">
        <x:v>김지호</x:v>
      </x:c>
      <x:c r="N498" s="30" t="n">
        <x:v>45625</x:v>
      </x:c>
    </x:row>
    <x:row r="499" ht="17.25" customHeight="1">
      <x:c r="A499" s="24" t="str">
        <x:v>E-00498</x:v>
      </x:c>
      <x:c r="B499" s="24" t="str">
        <x:v>스위치플랜</x:v>
      </x:c>
      <x:c r="C499" s="24" t="str">
        <x:v>59가1616</x:v>
      </x:c>
      <x:c r="D499" s="30" t="n">
        <x:v>45827</x:v>
      </x:c>
      <x:c r="E499" s="24" t="str">
        <x:v>반납</x:v>
      </x:c>
      <x:c r="F499" s="24" t="str">
        <x:v>대여중</x:v>
      </x:c>
      <x:c r="G499" s="24" t="str">
        <x:v>쉬는차</x:v>
      </x:c>
      <x:c r="H499" s="32"/>
      <x:c r="I499" s="24" t="str">
        <x:v>SW-C-59가1616-3-20241129-151</x:v>
      </x:c>
      <x:c r="J499" s="24" t="str">
        <x:v>정진욱</x:v>
      </x:c>
      <x:c r="K499" s="24" t="str">
        <x:v>차량 반납</x:v>
      </x:c>
      <x:c r="L499" s="24" t="str"/>
      <x:c r="M499" s="24" t="str">
        <x:v>김지호</x:v>
      </x:c>
      <x:c r="N499" s="30" t="n">
        <x:v>45827</x:v>
      </x:c>
    </x:row>
    <x:row r="500" ht="17.25" customHeight="1">
      <x:c r="A500" s="24" t="str">
        <x:v>E-00499</x:v>
      </x:c>
      <x:c r="B500" s="24" t="str">
        <x:v>스위치플랜</x:v>
      </x:c>
      <x:c r="C500" s="24" t="str">
        <x:v>134오2250</x:v>
      </x:c>
      <x:c r="D500" s="30" t="n">
        <x:v>46052</x:v>
      </x:c>
      <x:c r="E500" s="24" t="str">
        <x:v>반납</x:v>
      </x:c>
      <x:c r="F500" s="24" t="str">
        <x:v>대여중</x:v>
      </x:c>
      <x:c r="G500" s="24" t="str">
        <x:v>쉬는차</x:v>
      </x:c>
      <x:c r="H500" s="32"/>
      <x:c r="I500" s="24" t="str">
        <x:v>SW-C-134오2250-1-NA-152</x:v>
      </x:c>
      <x:c r="J500" s="24" t="str">
        <x:v>매각</x:v>
      </x:c>
      <x:c r="K500" s="24" t="str">
        <x:v>차량 반납</x:v>
      </x:c>
      <x:c r="L500" s="24" t="str"/>
      <x:c r="M500" s="24" t="str"/>
      <x:c r="N500" s="30" t="n">
        <x:v>46052</x:v>
      </x:c>
    </x:row>
    <x:row r="501" ht="17.25" customHeight="1">
      <x:c r="A501" s="24" t="str">
        <x:v>E-00500</x:v>
      </x:c>
      <x:c r="B501" s="24" t="str">
        <x:v>스위치플랜</x:v>
      </x:c>
      <x:c r="C501" s="24" t="str">
        <x:v>134오2250</x:v>
      </x:c>
      <x:c r="D501" s="30" t="n">
        <x:v>45957</x:v>
      </x:c>
      <x:c r="E501" s="24" t="str">
        <x:v>계약시작</x:v>
      </x:c>
      <x:c r="F501" s="24" t="str"/>
      <x:c r="G501" s="24" t="str">
        <x:v>대여중</x:v>
      </x:c>
      <x:c r="H501" s="32" t="n">
        <x:v>990000</x:v>
      </x:c>
      <x:c r="I501" s="24" t="str">
        <x:v>SW-C-134오2250-2-20251027-152</x:v>
      </x:c>
      <x:c r="J501" s="24" t="str">
        <x:v>임진수</x:v>
      </x:c>
      <x:c r="K501" s="24" t="str">
        <x:v>구독대여 계약 시작</x:v>
      </x:c>
      <x:c r="L501" s="24" t="str"/>
      <x:c r="M501" s="24" t="str">
        <x:v>하허호</x:v>
      </x:c>
      <x:c r="N501" s="30" t="n">
        <x:v>45957</x:v>
      </x:c>
    </x:row>
    <x:row r="502" ht="17.25" customHeight="1">
      <x:c r="A502" s="24" t="str">
        <x:v>E-00501</x:v>
      </x:c>
      <x:c r="B502" s="24" t="str">
        <x:v>스위치플랜</x:v>
      </x:c>
      <x:c r="C502" s="24" t="str">
        <x:v>134오2250</x:v>
      </x:c>
      <x:c r="D502" s="30" t="n">
        <x:v>46002</x:v>
      </x:c>
      <x:c r="E502" s="24" t="str">
        <x:v>반납</x:v>
      </x:c>
      <x:c r="F502" s="24" t="str">
        <x:v>대여중</x:v>
      </x:c>
      <x:c r="G502" s="24" t="str">
        <x:v>쉬는차</x:v>
      </x:c>
      <x:c r="H502" s="32"/>
      <x:c r="I502" s="24" t="str">
        <x:v>SW-C-134오2250-2-20251027-152</x:v>
      </x:c>
      <x:c r="J502" s="24" t="str">
        <x:v>임진수</x:v>
      </x:c>
      <x:c r="K502" s="24" t="str">
        <x:v>차량 반납</x:v>
      </x:c>
      <x:c r="L502" s="24" t="str"/>
      <x:c r="M502" s="24" t="str">
        <x:v>하허호</x:v>
      </x:c>
      <x:c r="N502" s="30" t="n">
        <x:v>46002</x:v>
      </x:c>
    </x:row>
    <x:row r="503" ht="17.25" customHeight="1">
      <x:c r="A503" s="24" t="str">
        <x:v>E-00502</x:v>
      </x:c>
      <x:c r="B503" s="24" t="str">
        <x:v>스위치플랜</x:v>
      </x:c>
      <x:c r="C503" s="24" t="str">
        <x:v>134오2250</x:v>
      </x:c>
      <x:c r="D503" s="30" t="n">
        <x:v>45867</x:v>
      </x:c>
      <x:c r="E503" s="24" t="str">
        <x:v>계약시작</x:v>
      </x:c>
      <x:c r="F503" s="24" t="str"/>
      <x:c r="G503" s="24" t="str">
        <x:v>대여중</x:v>
      </x:c>
      <x:c r="H503" s="32" t="n">
        <x:v>990000</x:v>
      </x:c>
      <x:c r="I503" s="24" t="str">
        <x:v>SW-C-134오2250-3-20250729-152</x:v>
      </x:c>
      <x:c r="J503" s="24" t="str">
        <x:v>김현일</x:v>
      </x:c>
      <x:c r="K503" s="24" t="str">
        <x:v>구독대여 계약 시작</x:v>
      </x:c>
      <x:c r="L503" s="24" t="str"/>
      <x:c r="M503" s="24" t="str">
        <x:v>하허호</x:v>
      </x:c>
      <x:c r="N503" s="30" t="n">
        <x:v>45867</x:v>
      </x:c>
    </x:row>
    <x:row r="504" ht="17.25" customHeight="1">
      <x:c r="A504" s="24" t="str">
        <x:v>E-00503</x:v>
      </x:c>
      <x:c r="B504" s="24" t="str">
        <x:v>스위치플랜</x:v>
      </x:c>
      <x:c r="C504" s="24" t="str">
        <x:v>134오2250</x:v>
      </x:c>
      <x:c r="D504" s="30" t="n">
        <x:v>45930</x:v>
      </x:c>
      <x:c r="E504" s="24" t="str">
        <x:v>반납</x:v>
      </x:c>
      <x:c r="F504" s="24" t="str">
        <x:v>대여중</x:v>
      </x:c>
      <x:c r="G504" s="24" t="str">
        <x:v>쉬는차</x:v>
      </x:c>
      <x:c r="H504" s="32"/>
      <x:c r="I504" s="24" t="str">
        <x:v>SW-C-134오2250-3-20250729-152</x:v>
      </x:c>
      <x:c r="J504" s="24" t="str">
        <x:v>김현일</x:v>
      </x:c>
      <x:c r="K504" s="24" t="str">
        <x:v>차량 반납</x:v>
      </x:c>
      <x:c r="L504" s="24" t="str"/>
      <x:c r="M504" s="24" t="str">
        <x:v>하허호</x:v>
      </x:c>
      <x:c r="N504" s="30" t="n">
        <x:v>45930</x:v>
      </x:c>
    </x:row>
    <x:row r="505" ht="17.25" customHeight="1">
      <x:c r="A505" s="24" t="str">
        <x:v>E-00504</x:v>
      </x:c>
      <x:c r="B505" s="24" t="str">
        <x:v>스위치플랜</x:v>
      </x:c>
      <x:c r="C505" s="24" t="str">
        <x:v>134오2250</x:v>
      </x:c>
      <x:c r="D505" s="30" t="n">
        <x:v>45677</x:v>
      </x:c>
      <x:c r="E505" s="24" t="str">
        <x:v>계약시작</x:v>
      </x:c>
      <x:c r="F505" s="24" t="str"/>
      <x:c r="G505" s="24" t="str">
        <x:v>대여중</x:v>
      </x:c>
      <x:c r="H505" s="32" t="n">
        <x:v>990000</x:v>
      </x:c>
      <x:c r="I505" s="24" t="str">
        <x:v>SW-C-134오2250-4-20250120-152</x:v>
      </x:c>
      <x:c r="J505" s="24" t="str">
        <x:v>공수빈</x:v>
      </x:c>
      <x:c r="K505" s="24" t="str">
        <x:v>구독대여 계약 시작</x:v>
      </x:c>
      <x:c r="L505" s="24" t="str"/>
      <x:c r="M505" s="24" t="str">
        <x:v>하허호</x:v>
      </x:c>
      <x:c r="N505" s="30" t="n">
        <x:v>45677</x:v>
      </x:c>
    </x:row>
    <x:row r="506" ht="17.25" customHeight="1">
      <x:c r="A506" s="24" t="str">
        <x:v>E-00505</x:v>
      </x:c>
      <x:c r="B506" s="24" t="str">
        <x:v>스위치플랜</x:v>
      </x:c>
      <x:c r="C506" s="24" t="str">
        <x:v>134오2250</x:v>
      </x:c>
      <x:c r="D506" s="30"/>
      <x:c r="E506" s="24" t="str">
        <x:v>반납</x:v>
      </x:c>
      <x:c r="F506" s="24" t="str">
        <x:v>대여중</x:v>
      </x:c>
      <x:c r="G506" s="24" t="str">
        <x:v>쉬는차</x:v>
      </x:c>
      <x:c r="H506" s="32"/>
      <x:c r="I506" s="24" t="str">
        <x:v>SW-C-134오2250-4-20250120-152</x:v>
      </x:c>
      <x:c r="J506" s="24" t="str">
        <x:v>공수빈</x:v>
      </x:c>
      <x:c r="K506" s="24" t="str">
        <x:v>차량 반납</x:v>
      </x:c>
      <x:c r="L506" s="24" t="str"/>
      <x:c r="M506" s="24" t="str">
        <x:v>하허호</x:v>
      </x:c>
      <x:c r="N506" s="30"/>
    </x:row>
    <x:row r="507" ht="17.25" customHeight="1">
      <x:c r="A507" s="24" t="str">
        <x:v>E-00506</x:v>
      </x:c>
      <x:c r="B507" s="24" t="str">
        <x:v>스위치플랜</x:v>
      </x:c>
      <x:c r="C507" s="24" t="str">
        <x:v>134오2250</x:v>
      </x:c>
      <x:c r="D507" s="30" t="n">
        <x:v>45995</x:v>
      </x:c>
      <x:c r="E507" s="24" t="str">
        <x:v>계약시작</x:v>
      </x:c>
      <x:c r="F507" s="24" t="str"/>
      <x:c r="G507" s="24" t="str">
        <x:v>대여중</x:v>
      </x:c>
      <x:c r="H507" s="32" t="n">
        <x:v>45265</x:v>
      </x:c>
      <x:c r="I507" s="24" t="str">
        <x:v>SW-C-134오2250-5-20251204-152</x:v>
      </x:c>
      <x:c r="J507" s="24" t="str">
        <x:v>나희은</x:v>
      </x:c>
      <x:c r="K507" s="24" t="str">
        <x:v>구독대여 계약 시작</x:v>
      </x:c>
      <x:c r="L507" s="24" t="str"/>
      <x:c r="M507" s="24" t="str">
        <x:v>하허호</x:v>
      </x:c>
      <x:c r="N507" s="30" t="n">
        <x:v>45995</x:v>
      </x:c>
    </x:row>
    <x:row r="508" ht="17.25" customHeight="1">
      <x:c r="A508" s="24" t="str">
        <x:v>E-00507</x:v>
      </x:c>
      <x:c r="B508" s="24" t="str">
        <x:v>스위치플랜</x:v>
      </x:c>
      <x:c r="C508" s="24" t="str">
        <x:v>134오2250</x:v>
      </x:c>
      <x:c r="D508" s="30"/>
      <x:c r="E508" s="24" t="str">
        <x:v>반납</x:v>
      </x:c>
      <x:c r="F508" s="24" t="str">
        <x:v>대여중</x:v>
      </x:c>
      <x:c r="G508" s="24" t="str">
        <x:v>쉬는차</x:v>
      </x:c>
      <x:c r="H508" s="32"/>
      <x:c r="I508" s="24" t="str">
        <x:v>SW-C-134오2250-5-20251204-152</x:v>
      </x:c>
      <x:c r="J508" s="24" t="str">
        <x:v>나희은</x:v>
      </x:c>
      <x:c r="K508" s="24" t="str">
        <x:v>차량 반납</x:v>
      </x:c>
      <x:c r="L508" s="24" t="str"/>
      <x:c r="M508" s="24" t="str">
        <x:v>하허호</x:v>
      </x:c>
      <x:c r="N508" s="30"/>
    </x:row>
    <x:row r="509" ht="17.25" customHeight="1">
      <x:c r="A509" s="24" t="str">
        <x:v>E-00508</x:v>
      </x:c>
      <x:c r="B509" s="24" t="str">
        <x:v>스위치플랜</x:v>
      </x:c>
      <x:c r="C509" s="24" t="str">
        <x:v>34더3234</x:v>
      </x:c>
      <x:c r="D509" s="30" t="n">
        <x:v>46059</x:v>
      </x:c>
      <x:c r="E509" s="24" t="str">
        <x:v>반납</x:v>
      </x:c>
      <x:c r="F509" s="24" t="str">
        <x:v>대여중</x:v>
      </x:c>
      <x:c r="G509" s="24" t="str">
        <x:v>쉬는차</x:v>
      </x:c>
      <x:c r="H509" s="32"/>
      <x:c r="I509" s="24" t="str">
        <x:v>SW-C-34더3234-1-NA-153</x:v>
      </x:c>
      <x:c r="J509" s="24" t="str">
        <x:v>매각</x:v>
      </x:c>
      <x:c r="K509" s="24" t="str">
        <x:v>차량 반납</x:v>
      </x:c>
      <x:c r="L509" s="24" t="str"/>
      <x:c r="M509" s="24" t="str"/>
      <x:c r="N509" s="30" t="n">
        <x:v>46059</x:v>
      </x:c>
    </x:row>
    <x:row r="510" ht="17.25" customHeight="1">
      <x:c r="A510" s="24" t="str">
        <x:v>E-00509</x:v>
      </x:c>
      <x:c r="B510" s="24" t="str">
        <x:v>스위치플랜</x:v>
      </x:c>
      <x:c r="C510" s="24" t="str">
        <x:v>34더3234</x:v>
      </x:c>
      <x:c r="D510" s="30" t="n">
        <x:v>46024</x:v>
      </x:c>
      <x:c r="E510" s="24" t="str">
        <x:v>계약시작</x:v>
      </x:c>
      <x:c r="F510" s="24" t="str"/>
      <x:c r="G510" s="24" t="str">
        <x:v>대여중</x:v>
      </x:c>
      <x:c r="H510" s="32" t="n">
        <x:v>1100000</x:v>
      </x:c>
      <x:c r="I510" s="24" t="str">
        <x:v>SW-C-34더3234-2-20260102-153</x:v>
      </x:c>
      <x:c r="J510" s="24" t="str">
        <x:v>신경준</x:v>
      </x:c>
      <x:c r="K510" s="24" t="str">
        <x:v>구독대여 계약 시작</x:v>
      </x:c>
      <x:c r="L510" s="24" t="str"/>
      <x:c r="M510" s="24" t="str">
        <x:v>하허호</x:v>
      </x:c>
      <x:c r="N510" s="30" t="n">
        <x:v>46024</x:v>
      </x:c>
    </x:row>
    <x:row r="511" ht="17.25" customHeight="1">
      <x:c r="A511" s="24" t="str">
        <x:v>E-00510</x:v>
      </x:c>
      <x:c r="B511" s="24" t="str">
        <x:v>스위치플랜</x:v>
      </x:c>
      <x:c r="C511" s="24" t="str">
        <x:v>34더3234</x:v>
      </x:c>
      <x:c r="D511" s="30" t="n">
        <x:v>46044</x:v>
      </x:c>
      <x:c r="E511" s="24" t="str">
        <x:v>반납</x:v>
      </x:c>
      <x:c r="F511" s="24" t="str">
        <x:v>대여중</x:v>
      </x:c>
      <x:c r="G511" s="24" t="str">
        <x:v>쉬는차</x:v>
      </x:c>
      <x:c r="H511" s="32"/>
      <x:c r="I511" s="24" t="str">
        <x:v>SW-C-34더3234-2-20260102-153</x:v>
      </x:c>
      <x:c r="J511" s="24" t="str">
        <x:v>신경준</x:v>
      </x:c>
      <x:c r="K511" s="24" t="str">
        <x:v>차량 반납</x:v>
      </x:c>
      <x:c r="L511" s="24" t="str"/>
      <x:c r="M511" s="24" t="str">
        <x:v>하허호</x:v>
      </x:c>
      <x:c r="N511" s="30" t="n">
        <x:v>46044</x:v>
      </x:c>
    </x:row>
    <x:row r="512" ht="17.25" customHeight="1">
      <x:c r="A512" s="24" t="str">
        <x:v>E-00511</x:v>
      </x:c>
      <x:c r="B512" s="24" t="str">
        <x:v>스위치플랜</x:v>
      </x:c>
      <x:c r="C512" s="24" t="str">
        <x:v>34더3234</x:v>
      </x:c>
      <x:c r="D512" s="30" t="n">
        <x:v>45912</x:v>
      </x:c>
      <x:c r="E512" s="24" t="str">
        <x:v>계약시작</x:v>
      </x:c>
      <x:c r="F512" s="24" t="str"/>
      <x:c r="G512" s="24" t="str">
        <x:v>대여중</x:v>
      </x:c>
      <x:c r="H512" s="32" t="n">
        <x:v>1100000</x:v>
      </x:c>
      <x:c r="I512" s="24" t="str">
        <x:v>SW-C-34더3234-3-20250912-153</x:v>
      </x:c>
      <x:c r="J512" s="24" t="str">
        <x:v>신성민</x:v>
      </x:c>
      <x:c r="K512" s="24" t="str">
        <x:v>구독대여 계약 시작</x:v>
      </x:c>
      <x:c r="L512" s="24" t="str"/>
      <x:c r="M512" s="24" t="str">
        <x:v>하허호</x:v>
      </x:c>
      <x:c r="N512" s="30" t="n">
        <x:v>45912</x:v>
      </x:c>
    </x:row>
    <x:row r="513" ht="17.25" customHeight="1">
      <x:c r="A513" s="24" t="str">
        <x:v>E-00512</x:v>
      </x:c>
      <x:c r="B513" s="24" t="str">
        <x:v>스위치플랜</x:v>
      </x:c>
      <x:c r="C513" s="24" t="str">
        <x:v>34더3234</x:v>
      </x:c>
      <x:c r="D513" s="30"/>
      <x:c r="E513" s="24" t="str">
        <x:v>반납</x:v>
      </x:c>
      <x:c r="F513" s="24" t="str">
        <x:v>대여중</x:v>
      </x:c>
      <x:c r="G513" s="24" t="str">
        <x:v>쉬는차</x:v>
      </x:c>
      <x:c r="H513" s="32"/>
      <x:c r="I513" s="24" t="str">
        <x:v>SW-C-34더3234-3-20250912-153</x:v>
      </x:c>
      <x:c r="J513" s="24" t="str">
        <x:v>신성민</x:v>
      </x:c>
      <x:c r="K513" s="24" t="str">
        <x:v>차량 반납</x:v>
      </x:c>
      <x:c r="L513" s="24" t="str"/>
      <x:c r="M513" s="24" t="str">
        <x:v>하허호</x:v>
      </x:c>
      <x:c r="N513" s="30"/>
    </x:row>
    <x:row r="514" ht="17.25" customHeight="1">
      <x:c r="A514" s="24" t="str">
        <x:v>E-00513</x:v>
      </x:c>
      <x:c r="B514" s="24" t="str">
        <x:v>스위치플랜</x:v>
      </x:c>
      <x:c r="C514" s="24" t="str">
        <x:v>34더3234</x:v>
      </x:c>
      <x:c r="D514" s="30" t="n">
        <x:v>45526</x:v>
      </x:c>
      <x:c r="E514" s="24" t="str">
        <x:v>계약시작</x:v>
      </x:c>
      <x:c r="F514" s="24" t="str"/>
      <x:c r="G514" s="24" t="str">
        <x:v>대여중</x:v>
      </x:c>
      <x:c r="H514" s="32" t="n">
        <x:v>1300000</x:v>
      </x:c>
      <x:c r="I514" s="24" t="str">
        <x:v>SW-C-34더3234-4-20240822-153</x:v>
      </x:c>
      <x:c r="J514" s="24" t="str">
        <x:v>이상권</x:v>
      </x:c>
      <x:c r="K514" s="24" t="str">
        <x:v>구독대여 계약 시작</x:v>
      </x:c>
      <x:c r="L514" s="24" t="str"/>
      <x:c r="M514" s="24" t="str">
        <x:v>하허호</x:v>
      </x:c>
      <x:c r="N514" s="30" t="n">
        <x:v>45526</x:v>
      </x:c>
    </x:row>
    <x:row r="515" ht="17.25" customHeight="1">
      <x:c r="A515" s="24" t="str">
        <x:v>E-00514</x:v>
      </x:c>
      <x:c r="B515" s="24" t="str">
        <x:v>스위치플랜</x:v>
      </x:c>
      <x:c r="C515" s="24" t="str">
        <x:v>34더3234</x:v>
      </x:c>
      <x:c r="D515" s="30" t="n">
        <x:v>45892</x:v>
      </x:c>
      <x:c r="E515" s="24" t="str">
        <x:v>반납</x:v>
      </x:c>
      <x:c r="F515" s="24" t="str">
        <x:v>대여중</x:v>
      </x:c>
      <x:c r="G515" s="24" t="str">
        <x:v>쉬는차</x:v>
      </x:c>
      <x:c r="H515" s="32"/>
      <x:c r="I515" s="24" t="str">
        <x:v>SW-C-34더3234-4-20240822-153</x:v>
      </x:c>
      <x:c r="J515" s="24" t="str">
        <x:v>이상권</x:v>
      </x:c>
      <x:c r="K515" s="24" t="str">
        <x:v>차량 반납</x:v>
      </x:c>
      <x:c r="L515" s="24" t="str"/>
      <x:c r="M515" s="24" t="str">
        <x:v>하허호</x:v>
      </x:c>
      <x:c r="N515" s="30" t="n">
        <x:v>45892</x:v>
      </x:c>
    </x:row>
    <x:row r="516" ht="17.25" customHeight="1">
      <x:c r="A516" s="24" t="str">
        <x:v>E-00515</x:v>
      </x:c>
      <x:c r="B516" s="24" t="str">
        <x:v>스위치플랜</x:v>
      </x:c>
      <x:c r="C516" s="24" t="str">
        <x:v>34더3234</x:v>
      </x:c>
      <x:c r="D516" s="30" t="n">
        <x:v>46910</x:v>
      </x:c>
      <x:c r="E516" s="24" t="str">
        <x:v>계약시작</x:v>
      </x:c>
      <x:c r="F516" s="24" t="str"/>
      <x:c r="G516" s="24" t="str">
        <x:v>대여중</x:v>
      </x:c>
      <x:c r="H516" s="32" t="n">
        <x:v>45450</x:v>
      </x:c>
      <x:c r="I516" s="24" t="str">
        <x:v>SW-C-34더3234-5-20280606-153</x:v>
      </x:c>
      <x:c r="J516" s="24" t="str">
        <x:v>문진욱</x:v>
      </x:c>
      <x:c r="K516" s="24" t="str">
        <x:v>구독대여 계약 시작</x:v>
      </x:c>
      <x:c r="L516" s="24" t="str"/>
      <x:c r="M516" s="24" t="str">
        <x:v>카랜(주)</x:v>
      </x:c>
      <x:c r="N516" s="30" t="n">
        <x:v>46910</x:v>
      </x:c>
    </x:row>
    <x:row r="517" ht="17.25" customHeight="1">
      <x:c r="A517" s="24" t="str">
        <x:v>E-00516</x:v>
      </x:c>
      <x:c r="B517" s="24" t="str">
        <x:v>스위치플랜</x:v>
      </x:c>
      <x:c r="C517" s="24" t="str">
        <x:v>34더3234</x:v>
      </x:c>
      <x:c r="D517" s="30"/>
      <x:c r="E517" s="24" t="str">
        <x:v>반납</x:v>
      </x:c>
      <x:c r="F517" s="24" t="str">
        <x:v>대여중</x:v>
      </x:c>
      <x:c r="G517" s="24" t="str">
        <x:v>쉬는차</x:v>
      </x:c>
      <x:c r="H517" s="32"/>
      <x:c r="I517" s="24" t="str">
        <x:v>SW-C-34더3234-5-20280606-153</x:v>
      </x:c>
      <x:c r="J517" s="24" t="str">
        <x:v>문진욱</x:v>
      </x:c>
      <x:c r="K517" s="24" t="str">
        <x:v>차량 반납</x:v>
      </x:c>
      <x:c r="L517" s="24" t="str"/>
      <x:c r="M517" s="24" t="str">
        <x:v>카랜(주)</x:v>
      </x:c>
      <x:c r="N517" s="30"/>
    </x:row>
    <x:row r="518" ht="17.25" customHeight="1">
      <x:c r="A518" s="24" t="str">
        <x:v>E-00517</x:v>
      </x:c>
      <x:c r="B518" s="24" t="str">
        <x:v>스위치플랜</x:v>
      </x:c>
      <x:c r="C518" s="24" t="str">
        <x:v>374보1113</x:v>
      </x:c>
      <x:c r="D518" s="30" t="n">
        <x:v>46059</x:v>
      </x:c>
      <x:c r="E518" s="24" t="str">
        <x:v>반납</x:v>
      </x:c>
      <x:c r="F518" s="24" t="str">
        <x:v>대여중</x:v>
      </x:c>
      <x:c r="G518" s="24" t="str">
        <x:v>쉬는차</x:v>
      </x:c>
      <x:c r="H518" s="32"/>
      <x:c r="I518" s="24" t="str">
        <x:v>SW-C-374보1113-1-NA-154</x:v>
      </x:c>
      <x:c r="J518" s="24" t="str">
        <x:v>매각</x:v>
      </x:c>
      <x:c r="K518" s="24" t="str">
        <x:v>차량 반납</x:v>
      </x:c>
      <x:c r="L518" s="24" t="str"/>
      <x:c r="M518" s="24" t="str"/>
      <x:c r="N518" s="30" t="n">
        <x:v>46059</x:v>
      </x:c>
    </x:row>
    <x:row r="519" ht="17.25" customHeight="1">
      <x:c r="A519" s="24" t="str">
        <x:v>E-00518</x:v>
      </x:c>
      <x:c r="B519" s="24" t="str">
        <x:v>스위치플랜</x:v>
      </x:c>
      <x:c r="C519" s="24" t="str">
        <x:v>374보1113</x:v>
      </x:c>
      <x:c r="D519" s="30" t="n">
        <x:v>45989</x:v>
      </x:c>
      <x:c r="E519" s="24" t="str">
        <x:v>계약시작</x:v>
      </x:c>
      <x:c r="F519" s="24" t="str"/>
      <x:c r="G519" s="24" t="str">
        <x:v>대여중</x:v>
      </x:c>
      <x:c r="H519" s="32" t="n">
        <x:v>1270000</x:v>
      </x:c>
      <x:c r="I519" s="24" t="str">
        <x:v>SW-C-374보1113-2-20251128-154</x:v>
      </x:c>
      <x:c r="J519" s="24" t="str">
        <x:v>강진우</x:v>
      </x:c>
      <x:c r="K519" s="24" t="str">
        <x:v>구독대여 계약 시작</x:v>
      </x:c>
      <x:c r="L519" s="24" t="str"/>
      <x:c r="M519" s="24" t="str">
        <x:v>하허호</x:v>
      </x:c>
      <x:c r="N519" s="30" t="n">
        <x:v>45989</x:v>
      </x:c>
    </x:row>
    <x:row r="520" ht="17.25" customHeight="1">
      <x:c r="A520" s="24" t="str">
        <x:v>E-00519</x:v>
      </x:c>
      <x:c r="B520" s="24" t="str">
        <x:v>스위치플랜</x:v>
      </x:c>
      <x:c r="C520" s="24" t="str">
        <x:v>374보1113</x:v>
      </x:c>
      <x:c r="D520" s="30" t="n">
        <x:v>46053</x:v>
      </x:c>
      <x:c r="E520" s="24" t="str">
        <x:v>반납</x:v>
      </x:c>
      <x:c r="F520" s="24" t="str">
        <x:v>대여중</x:v>
      </x:c>
      <x:c r="G520" s="24" t="str">
        <x:v>쉬는차</x:v>
      </x:c>
      <x:c r="H520" s="32"/>
      <x:c r="I520" s="24" t="str">
        <x:v>SW-C-374보1113-2-20251128-154</x:v>
      </x:c>
      <x:c r="J520" s="24" t="str">
        <x:v>강진우</x:v>
      </x:c>
      <x:c r="K520" s="24" t="str">
        <x:v>차량 반납</x:v>
      </x:c>
      <x:c r="L520" s="24" t="str"/>
      <x:c r="M520" s="24" t="str">
        <x:v>하허호</x:v>
      </x:c>
      <x:c r="N520" s="30" t="n">
        <x:v>46053</x:v>
      </x:c>
    </x:row>
    <x:row r="521" ht="17.25" customHeight="1">
      <x:c r="A521" s="24" t="str">
        <x:v>E-00520</x:v>
      </x:c>
      <x:c r="B521" s="24" t="str">
        <x:v>스위치플랜</x:v>
      </x:c>
      <x:c r="C521" s="24" t="str">
        <x:v>374보1113</x:v>
      </x:c>
      <x:c r="D521" s="30" t="n">
        <x:v>45432</x:v>
      </x:c>
      <x:c r="E521" s="24" t="str">
        <x:v>계약시작</x:v>
      </x:c>
      <x:c r="F521" s="24" t="str"/>
      <x:c r="G521" s="24" t="str">
        <x:v>대여중</x:v>
      </x:c>
      <x:c r="H521" s="32" t="n">
        <x:v>990000</x:v>
      </x:c>
      <x:c r="I521" s="24" t="str">
        <x:v>SW-C-374보1113-3-20240520-154</x:v>
      </x:c>
      <x:c r="J521" s="24" t="str">
        <x:v>조아랑</x:v>
      </x:c>
      <x:c r="K521" s="24" t="str">
        <x:v>구독대여 계약 시작</x:v>
      </x:c>
      <x:c r="L521" s="24" t="str"/>
      <x:c r="M521" s="24" t="str">
        <x:v>카랜(주)</x:v>
      </x:c>
      <x:c r="N521" s="30" t="n">
        <x:v>45432</x:v>
      </x:c>
    </x:row>
    <x:row r="522" ht="17.25" customHeight="1">
      <x:c r="A522" s="24" t="str">
        <x:v>E-00521</x:v>
      </x:c>
      <x:c r="B522" s="24" t="str">
        <x:v>스위치플랜</x:v>
      </x:c>
      <x:c r="C522" s="24" t="str">
        <x:v>374보1113</x:v>
      </x:c>
      <x:c r="D522" s="30" t="n">
        <x:v>45974</x:v>
      </x:c>
      <x:c r="E522" s="24" t="str">
        <x:v>반납</x:v>
      </x:c>
      <x:c r="F522" s="24" t="str">
        <x:v>대여중</x:v>
      </x:c>
      <x:c r="G522" s="24" t="str">
        <x:v>쉬는차</x:v>
      </x:c>
      <x:c r="H522" s="32"/>
      <x:c r="I522" s="24" t="str">
        <x:v>SW-C-374보1113-3-20240520-154</x:v>
      </x:c>
      <x:c r="J522" s="24" t="str">
        <x:v>조아랑</x:v>
      </x:c>
      <x:c r="K522" s="24" t="str">
        <x:v>차량 반납</x:v>
      </x:c>
      <x:c r="L522" s="24" t="str"/>
      <x:c r="M522" s="24" t="str">
        <x:v>카랜(주)</x:v>
      </x:c>
      <x:c r="N522" s="30" t="n">
        <x:v>45974</x:v>
      </x:c>
    </x:row>
    <x:row r="523" ht="17.25" customHeight="1">
      <x:c r="A523" s="24" t="str">
        <x:v>E-00522</x:v>
      </x:c>
      <x:c r="B523" s="24" t="str">
        <x:v>스위치플랜</x:v>
      </x:c>
      <x:c r="C523" s="24" t="str">
        <x:v>374보1113</x:v>
      </x:c>
      <x:c r="D523" s="30" t="n">
        <x:v>45391</x:v>
      </x:c>
      <x:c r="E523" s="24" t="str">
        <x:v>계약시작</x:v>
      </x:c>
      <x:c r="F523" s="24" t="str"/>
      <x:c r="G523" s="24" t="str">
        <x:v>대여중</x:v>
      </x:c>
      <x:c r="H523" s="32" t="n">
        <x:v>1250000</x:v>
      </x:c>
      <x:c r="I523" s="24" t="str">
        <x:v>SW-C-374보1113-4-20240409-154</x:v>
      </x:c>
      <x:c r="J523" s="24" t="str">
        <x:v>범진광</x:v>
      </x:c>
      <x:c r="K523" s="24" t="str">
        <x:v>구독대여 계약 시작</x:v>
      </x:c>
      <x:c r="L523" s="24" t="str"/>
      <x:c r="M523" s="24" t="str">
        <x:v>하허호</x:v>
      </x:c>
      <x:c r="N523" s="30" t="n">
        <x:v>45391</x:v>
      </x:c>
    </x:row>
    <x:row r="524" ht="17.25" customHeight="1">
      <x:c r="A524" s="24" t="str">
        <x:v>E-00523</x:v>
      </x:c>
      <x:c r="B524" s="24" t="str">
        <x:v>스위치플랜</x:v>
      </x:c>
      <x:c r="C524" s="24" t="str">
        <x:v>374보1113</x:v>
      </x:c>
      <x:c r="D524" s="30" t="n">
        <x:v>45428</x:v>
      </x:c>
      <x:c r="E524" s="24" t="str">
        <x:v>반납</x:v>
      </x:c>
      <x:c r="F524" s="24" t="str">
        <x:v>대여중</x:v>
      </x:c>
      <x:c r="G524" s="24" t="str">
        <x:v>쉬는차</x:v>
      </x:c>
      <x:c r="H524" s="32"/>
      <x:c r="I524" s="24" t="str">
        <x:v>SW-C-374보1113-4-20240409-154</x:v>
      </x:c>
      <x:c r="J524" s="24" t="str">
        <x:v>범진광</x:v>
      </x:c>
      <x:c r="K524" s="24" t="str">
        <x:v>차량 반납</x:v>
      </x:c>
      <x:c r="L524" s="24" t="str"/>
      <x:c r="M524" s="24" t="str">
        <x:v>하허호</x:v>
      </x:c>
      <x:c r="N524" s="30" t="n">
        <x:v>45428</x:v>
      </x:c>
    </x:row>
    <x:row r="525" ht="17.25" customHeight="1">
      <x:c r="A525" s="24" t="str">
        <x:v>E-00524</x:v>
      </x:c>
      <x:c r="B525" s="24" t="str">
        <x:v>스위치플랜</x:v>
      </x:c>
      <x:c r="C525" s="24" t="str">
        <x:v>374보1113</x:v>
      </x:c>
      <x:c r="D525" s="30" t="n">
        <x:v>46005</x:v>
      </x:c>
      <x:c r="E525" s="24" t="str">
        <x:v>계약시작</x:v>
      </x:c>
      <x:c r="F525" s="24" t="str"/>
      <x:c r="G525" s="24" t="str">
        <x:v>대여중</x:v>
      </x:c>
      <x:c r="H525" s="32" t="n">
        <x:v>45275</x:v>
      </x:c>
      <x:c r="I525" s="24" t="str">
        <x:v>SW-C-374보1113-5-20251214-154</x:v>
      </x:c>
      <x:c r="J525" s="24" t="str">
        <x:v>최하현</x:v>
      </x:c>
      <x:c r="K525" s="24" t="str">
        <x:v>구독대여 계약 시작</x:v>
      </x:c>
      <x:c r="L525" s="24" t="str"/>
      <x:c r="M525" s="24" t="str">
        <x:v>하허호</x:v>
      </x:c>
      <x:c r="N525" s="30" t="n">
        <x:v>46005</x:v>
      </x:c>
    </x:row>
    <x:row r="526" ht="17.25" customHeight="1">
      <x:c r="A526" s="24" t="str">
        <x:v>E-00525</x:v>
      </x:c>
      <x:c r="B526" s="24" t="str">
        <x:v>스위치플랜</x:v>
      </x:c>
      <x:c r="C526" s="24" t="str">
        <x:v>374보1113</x:v>
      </x:c>
      <x:c r="D526" s="30"/>
      <x:c r="E526" s="24" t="str">
        <x:v>반납</x:v>
      </x:c>
      <x:c r="F526" s="24" t="str">
        <x:v>대여중</x:v>
      </x:c>
      <x:c r="G526" s="24" t="str">
        <x:v>쉬는차</x:v>
      </x:c>
      <x:c r="H526" s="32"/>
      <x:c r="I526" s="24" t="str">
        <x:v>SW-C-374보1113-5-20251214-154</x:v>
      </x:c>
      <x:c r="J526" s="24" t="str">
        <x:v>최하현</x:v>
      </x:c>
      <x:c r="K526" s="24" t="str">
        <x:v>차량 반납</x:v>
      </x:c>
      <x:c r="L526" s="24" t="str"/>
      <x:c r="M526" s="24" t="str">
        <x:v>하허호</x:v>
      </x:c>
      <x:c r="N526" s="30"/>
    </x:row>
    <x:row r="527" ht="17.25" customHeight="1">
      <x:c r="A527" s="24" t="str">
        <x:v>E-00526</x:v>
      </x:c>
      <x:c r="B527" s="24" t="str">
        <x:v>스위치플랜</x:v>
      </x:c>
      <x:c r="C527" s="24" t="str">
        <x:v>34저3600</x:v>
      </x:c>
      <x:c r="D527" s="30" t="n">
        <x:v>46078</x:v>
      </x:c>
      <x:c r="E527" s="24" t="str">
        <x:v>반납</x:v>
      </x:c>
      <x:c r="F527" s="24" t="str">
        <x:v>대여중</x:v>
      </x:c>
      <x:c r="G527" s="24" t="str">
        <x:v>쉬는차</x:v>
      </x:c>
      <x:c r="H527" s="32"/>
      <x:c r="I527" s="24" t="str">
        <x:v>SW-C-34저3600-1-NA-155</x:v>
      </x:c>
      <x:c r="J527" s="24" t="str">
        <x:v>매각</x:v>
      </x:c>
      <x:c r="K527" s="24" t="str">
        <x:v>차량 반납</x:v>
      </x:c>
      <x:c r="L527" s="24" t="str"/>
      <x:c r="M527" s="24" t="str"/>
      <x:c r="N527" s="30" t="n">
        <x:v>46078</x:v>
      </x:c>
    </x:row>
    <x:row r="528" ht="17.25" customHeight="1">
      <x:c r="A528" s="24" t="str">
        <x:v>E-00527</x:v>
      </x:c>
      <x:c r="B528" s="24" t="str">
        <x:v>스위치플랜</x:v>
      </x:c>
      <x:c r="C528" s="24" t="str">
        <x:v>34저3600</x:v>
      </x:c>
      <x:c r="D528" s="30" t="n">
        <x:v>45922</x:v>
      </x:c>
      <x:c r="E528" s="24" t="str">
        <x:v>계약시작</x:v>
      </x:c>
      <x:c r="F528" s="24" t="str"/>
      <x:c r="G528" s="24" t="str">
        <x:v>대여중</x:v>
      </x:c>
      <x:c r="H528" s="32" t="n">
        <x:v>970000</x:v>
      </x:c>
      <x:c r="I528" s="24" t="str">
        <x:v>SW-C-34저3600-2-20250922-155</x:v>
      </x:c>
      <x:c r="J528" s="24" t="str">
        <x:v>이규민</x:v>
      </x:c>
      <x:c r="K528" s="24" t="str">
        <x:v>구독대여 계약 시작</x:v>
      </x:c>
      <x:c r="L528" s="24" t="str"/>
      <x:c r="M528" s="24" t="str">
        <x:v>하허호</x:v>
      </x:c>
      <x:c r="N528" s="30" t="n">
        <x:v>45922</x:v>
      </x:c>
    </x:row>
    <x:row r="529" ht="17.25" customHeight="1">
      <x:c r="A529" s="24" t="str">
        <x:v>E-00528</x:v>
      </x:c>
      <x:c r="B529" s="24" t="str">
        <x:v>스위치플랜</x:v>
      </x:c>
      <x:c r="C529" s="24" t="str">
        <x:v>34저3600</x:v>
      </x:c>
      <x:c r="D529" s="30" t="n">
        <x:v>45972</x:v>
      </x:c>
      <x:c r="E529" s="24" t="str">
        <x:v>반납</x:v>
      </x:c>
      <x:c r="F529" s="24" t="str">
        <x:v>대여중</x:v>
      </x:c>
      <x:c r="G529" s="24" t="str">
        <x:v>쉬는차</x:v>
      </x:c>
      <x:c r="H529" s="32"/>
      <x:c r="I529" s="24" t="str">
        <x:v>SW-C-34저3600-2-20250922-155</x:v>
      </x:c>
      <x:c r="J529" s="24" t="str">
        <x:v>이규민</x:v>
      </x:c>
      <x:c r="K529" s="24" t="str">
        <x:v>차량 반납</x:v>
      </x:c>
      <x:c r="L529" s="24" t="str"/>
      <x:c r="M529" s="24" t="str">
        <x:v>하허호</x:v>
      </x:c>
      <x:c r="N529" s="30" t="n">
        <x:v>45972</x:v>
      </x:c>
    </x:row>
    <x:row r="530" ht="17.25" customHeight="1">
      <x:c r="A530" s="24" t="str">
        <x:v>E-00529</x:v>
      </x:c>
      <x:c r="B530" s="24" t="str">
        <x:v>스위치플랜</x:v>
      </x:c>
      <x:c r="C530" s="24" t="str">
        <x:v>34저3600</x:v>
      </x:c>
      <x:c r="D530" s="30" t="n">
        <x:v>45815</x:v>
      </x:c>
      <x:c r="E530" s="24" t="str">
        <x:v>계약시작</x:v>
      </x:c>
      <x:c r="F530" s="24" t="str"/>
      <x:c r="G530" s="24" t="str">
        <x:v>대여중</x:v>
      </x:c>
      <x:c r="H530" s="32" t="n">
        <x:v>1050000</x:v>
      </x:c>
      <x:c r="I530" s="24" t="str">
        <x:v>SW-C-34저3600-3-20250607-155</x:v>
      </x:c>
      <x:c r="J530" s="24" t="str">
        <x:v>김태리3600</x:v>
      </x:c>
      <x:c r="K530" s="24" t="str">
        <x:v>구독대여 계약 시작</x:v>
      </x:c>
      <x:c r="L530" s="24" t="str"/>
      <x:c r="M530" s="24" t="str">
        <x:v>카랜(주)</x:v>
      </x:c>
      <x:c r="N530" s="30" t="n">
        <x:v>45815</x:v>
      </x:c>
    </x:row>
    <x:row r="531" ht="17.25" customHeight="1">
      <x:c r="A531" s="24" t="str">
        <x:v>E-00530</x:v>
      </x:c>
      <x:c r="B531" s="24" t="str">
        <x:v>스위치플랜</x:v>
      </x:c>
      <x:c r="C531" s="24" t="str">
        <x:v>34저3600</x:v>
      </x:c>
      <x:c r="D531" s="30" t="n">
        <x:v>45905</x:v>
      </x:c>
      <x:c r="E531" s="24" t="str">
        <x:v>반납</x:v>
      </x:c>
      <x:c r="F531" s="24" t="str">
        <x:v>대여중</x:v>
      </x:c>
      <x:c r="G531" s="24" t="str">
        <x:v>쉬는차</x:v>
      </x:c>
      <x:c r="H531" s="32"/>
      <x:c r="I531" s="24" t="str">
        <x:v>SW-C-34저3600-3-20250607-155</x:v>
      </x:c>
      <x:c r="J531" s="24" t="str">
        <x:v>김태리3600</x:v>
      </x:c>
      <x:c r="K531" s="24" t="str">
        <x:v>차량 반납</x:v>
      </x:c>
      <x:c r="L531" s="24" t="str"/>
      <x:c r="M531" s="24" t="str">
        <x:v>카랜(주)</x:v>
      </x:c>
      <x:c r="N531" s="30" t="n">
        <x:v>45905</x:v>
      </x:c>
    </x:row>
    <x:row r="532" ht="17.25" customHeight="1">
      <x:c r="A532" s="24" t="str">
        <x:v>E-00531</x:v>
      </x:c>
      <x:c r="B532" s="24" t="str">
        <x:v>스위치플랜</x:v>
      </x:c>
      <x:c r="C532" s="24" t="str">
        <x:v>334다4851</x:v>
      </x:c>
      <x:c r="D532" s="30" t="n">
        <x:v>46104</x:v>
      </x:c>
      <x:c r="E532" s="24" t="str">
        <x:v>반납</x:v>
      </x:c>
      <x:c r="F532" s="24" t="str">
        <x:v>대여중</x:v>
      </x:c>
      <x:c r="G532" s="24" t="str">
        <x:v>쉬는차</x:v>
      </x:c>
      <x:c r="H532" s="32"/>
      <x:c r="I532" s="24" t="str">
        <x:v>SW-C-334다4851-1-NA-156</x:v>
      </x:c>
      <x:c r="J532" s="24" t="str">
        <x:v>매각</x:v>
      </x:c>
      <x:c r="K532" s="24" t="str">
        <x:v>차량 반납</x:v>
      </x:c>
      <x:c r="L532" s="24" t="str"/>
      <x:c r="M532" s="24" t="str"/>
      <x:c r="N532" s="30" t="n">
        <x:v>46104</x:v>
      </x:c>
    </x:row>
    <x:row r="533" ht="17.25" customHeight="1">
      <x:c r="A533" s="24" t="str">
        <x:v>E-00532</x:v>
      </x:c>
      <x:c r="B533" s="24" t="str">
        <x:v>스위치플랜</x:v>
      </x:c>
      <x:c r="C533" s="24" t="str">
        <x:v>334다4851</x:v>
      </x:c>
      <x:c r="D533" s="30" t="n">
        <x:v>45336</x:v>
      </x:c>
      <x:c r="E533" s="24" t="str">
        <x:v>계약시작</x:v>
      </x:c>
      <x:c r="F533" s="24" t="str"/>
      <x:c r="G533" s="24" t="str">
        <x:v>대여중</x:v>
      </x:c>
      <x:c r="H533" s="32" t="n">
        <x:v>1220000</x:v>
      </x:c>
      <x:c r="I533" s="24" t="str">
        <x:v>SW-C-334다4851-2-20240214-156</x:v>
      </x:c>
      <x:c r="J533" s="24" t="str">
        <x:v>김건기</x:v>
      </x:c>
      <x:c r="K533" s="24" t="str">
        <x:v>구독대여 계약 시작</x:v>
      </x:c>
      <x:c r="L533" s="24" t="str"/>
      <x:c r="M533" s="24" t="str">
        <x:v>카랜(주)</x:v>
      </x:c>
      <x:c r="N533" s="30" t="n">
        <x:v>45336</x:v>
      </x:c>
    </x:row>
    <x:row r="534" ht="17.25" customHeight="1">
      <x:c r="A534" s="24" t="str">
        <x:v>E-00533</x:v>
      </x:c>
      <x:c r="B534" s="24" t="str">
        <x:v>스위치플랜</x:v>
      </x:c>
      <x:c r="C534" s="24" t="str">
        <x:v>334다4851</x:v>
      </x:c>
      <x:c r="D534" s="30" t="n">
        <x:v>45995</x:v>
      </x:c>
      <x:c r="E534" s="24" t="str">
        <x:v>반납</x:v>
      </x:c>
      <x:c r="F534" s="24" t="str">
        <x:v>대여중</x:v>
      </x:c>
      <x:c r="G534" s="24" t="str">
        <x:v>쉬는차</x:v>
      </x:c>
      <x:c r="H534" s="32"/>
      <x:c r="I534" s="24" t="str">
        <x:v>SW-C-334다4851-2-20240214-156</x:v>
      </x:c>
      <x:c r="J534" s="24" t="str">
        <x:v>김건기</x:v>
      </x:c>
      <x:c r="K534" s="24" t="str">
        <x:v>차량 반납</x:v>
      </x:c>
      <x:c r="L534" s="24" t="str"/>
      <x:c r="M534" s="24" t="str">
        <x:v>카랜(주)</x:v>
      </x:c>
      <x:c r="N534" s="30" t="n">
        <x:v>45995</x:v>
      </x:c>
    </x:row>
    <x:row r="535" ht="17.25" customHeight="1">
      <x:c r="A535" s="24" t="str">
        <x:v>E-00534</x:v>
      </x:c>
      <x:c r="B535" s="24" t="str">
        <x:v>스위치플랜</x:v>
      </x:c>
      <x:c r="C535" s="24" t="str">
        <x:v>02무0357</x:v>
      </x:c>
      <x:c r="D535" s="30" t="n">
        <x:v>46127</x:v>
      </x:c>
      <x:c r="E535" s="24" t="str">
        <x:v>반납</x:v>
      </x:c>
      <x:c r="F535" s="24" t="str">
        <x:v>대여중</x:v>
      </x:c>
      <x:c r="G535" s="24" t="str">
        <x:v>쉬는차</x:v>
      </x:c>
      <x:c r="H535" s="32"/>
      <x:c r="I535" s="24" t="str">
        <x:v>SW-C-02무0357-1-NA-157</x:v>
      </x:c>
      <x:c r="J535" s="24" t="str">
        <x:v>매각</x:v>
      </x:c>
      <x:c r="K535" s="24" t="str">
        <x:v>차량 반납</x:v>
      </x:c>
      <x:c r="L535" s="24" t="str"/>
      <x:c r="M535" s="24" t="str"/>
      <x:c r="N535" s="30" t="n">
        <x:v>46127</x:v>
      </x:c>
    </x:row>
    <x:row r="536" ht="17.25" customHeight="1">
      <x:c r="A536" s="24" t="str">
        <x:v>E-00535</x:v>
      </x:c>
      <x:c r="B536" s="24" t="str">
        <x:v>스위치플랜</x:v>
      </x:c>
      <x:c r="C536" s="24" t="str">
        <x:v>02무0357</x:v>
      </x:c>
      <x:c r="D536" s="30" t="n">
        <x:v>45849</x:v>
      </x:c>
      <x:c r="E536" s="24" t="str">
        <x:v>계약시작</x:v>
      </x:c>
      <x:c r="F536" s="24" t="str"/>
      <x:c r="G536" s="24" t="str">
        <x:v>대여중</x:v>
      </x:c>
      <x:c r="H536" s="32" t="n">
        <x:v>470000</x:v>
      </x:c>
      <x:c r="I536" s="24" t="str">
        <x:v>SW-C-02무0357-2-20250711-157</x:v>
      </x:c>
      <x:c r="J536" s="24" t="str">
        <x:v>김재훈</x:v>
      </x:c>
      <x:c r="K536" s="24" t="str">
        <x:v>구독대여 계약 시작</x:v>
      </x:c>
      <x:c r="L536" s="24" t="str"/>
      <x:c r="M536" s="24" t="str">
        <x:v>하허호</x:v>
      </x:c>
      <x:c r="N536" s="30" t="n">
        <x:v>45849</x:v>
      </x:c>
    </x:row>
    <x:row r="537" ht="17.25" customHeight="1">
      <x:c r="A537" s="24" t="str">
        <x:v>E-00536</x:v>
      </x:c>
      <x:c r="B537" s="24" t="str">
        <x:v>스위치플랜</x:v>
      </x:c>
      <x:c r="C537" s="24" t="str">
        <x:v>02무0357</x:v>
      </x:c>
      <x:c r="D537" s="30" t="n">
        <x:v>46106</x:v>
      </x:c>
      <x:c r="E537" s="24" t="str">
        <x:v>반납</x:v>
      </x:c>
      <x:c r="F537" s="24" t="str">
        <x:v>대여중</x:v>
      </x:c>
      <x:c r="G537" s="24" t="str">
        <x:v>쉬는차</x:v>
      </x:c>
      <x:c r="H537" s="32"/>
      <x:c r="I537" s="24" t="str">
        <x:v>SW-C-02무0357-2-20250711-157</x:v>
      </x:c>
      <x:c r="J537" s="24" t="str">
        <x:v>김재훈</x:v>
      </x:c>
      <x:c r="K537" s="24" t="str">
        <x:v>차량 반납</x:v>
      </x:c>
      <x:c r="L537" s="24" t="str"/>
      <x:c r="M537" s="24" t="str">
        <x:v>하허호</x:v>
      </x:c>
      <x:c r="N537" s="30" t="n">
        <x:v>46106</x:v>
      </x:c>
    </x:row>
    <x:row r="538" ht="17.25" customHeight="1">
      <x:c r="A538" s="24" t="str">
        <x:v>E-00537</x:v>
      </x:c>
      <x:c r="B538" s="24" t="str">
        <x:v>스위치플랜</x:v>
      </x:c>
      <x:c r="C538" s="24" t="str">
        <x:v>02무0357</x:v>
      </x:c>
      <x:c r="D538" s="30" t="n">
        <x:v>45314</x:v>
      </x:c>
      <x:c r="E538" s="24" t="str">
        <x:v>계약시작</x:v>
      </x:c>
      <x:c r="F538" s="24" t="str"/>
      <x:c r="G538" s="24" t="str">
        <x:v>대여중</x:v>
      </x:c>
      <x:c r="H538" s="32" t="n">
        <x:v>550000</x:v>
      </x:c>
      <x:c r="I538" s="24" t="str">
        <x:v>SW-C-02무0357-3-20240123-157</x:v>
      </x:c>
      <x:c r="J538" s="24" t="str">
        <x:v>전순덕</x:v>
      </x:c>
      <x:c r="K538" s="24" t="str">
        <x:v>구독대여 계약 시작</x:v>
      </x:c>
      <x:c r="L538" s="24" t="str"/>
      <x:c r="M538" s="24" t="str">
        <x:v>하허호</x:v>
      </x:c>
      <x:c r="N538" s="30" t="n">
        <x:v>45314</x:v>
      </x:c>
    </x:row>
    <x:row r="539" ht="17.25" customHeight="1">
      <x:c r="A539" s="24" t="str">
        <x:v>E-00538</x:v>
      </x:c>
      <x:c r="B539" s="24" t="str">
        <x:v>스위치플랜</x:v>
      </x:c>
      <x:c r="C539" s="24" t="str">
        <x:v>02무0357</x:v>
      </x:c>
      <x:c r="D539" s="30" t="n">
        <x:v>45751</x:v>
      </x:c>
      <x:c r="E539" s="24" t="str">
        <x:v>반납</x:v>
      </x:c>
      <x:c r="F539" s="24" t="str">
        <x:v>대여중</x:v>
      </x:c>
      <x:c r="G539" s="24" t="str">
        <x:v>쉬는차</x:v>
      </x:c>
      <x:c r="H539" s="32"/>
      <x:c r="I539" s="24" t="str">
        <x:v>SW-C-02무0357-3-20240123-157</x:v>
      </x:c>
      <x:c r="J539" s="24" t="str">
        <x:v>전순덕</x:v>
      </x:c>
      <x:c r="K539" s="24" t="str">
        <x:v>차량 반납</x:v>
      </x:c>
      <x:c r="L539" s="24" t="str"/>
      <x:c r="M539" s="24" t="str">
        <x:v>하허호</x:v>
      </x:c>
      <x:c r="N539" s="30" t="n">
        <x:v>45751</x:v>
      </x:c>
    </x:row>
    <x:row r="540" ht="17.25" customHeight="1">
      <x:c r="A540" s="24" t="str">
        <x:v>E-00539</x:v>
      </x:c>
      <x:c r="B540" s="24" t="str">
        <x:v>스위치플랜</x:v>
      </x:c>
      <x:c r="C540" s="24" t="str">
        <x:v>02무0357</x:v>
      </x:c>
      <x:c r="D540" s="30" t="n">
        <x:v>45314</x:v>
      </x:c>
      <x:c r="E540" s="24" t="str">
        <x:v>계약시작</x:v>
      </x:c>
      <x:c r="F540" s="24" t="str"/>
      <x:c r="G540" s="24" t="str">
        <x:v>대여중</x:v>
      </x:c>
      <x:c r="H540" s="32" t="n">
        <x:v>620000</x:v>
      </x:c>
      <x:c r="I540" s="24" t="str">
        <x:v>SW-C-02무0357-4-20240123-157</x:v>
      </x:c>
      <x:c r="J540" s="24" t="str">
        <x:v>박세도</x:v>
      </x:c>
      <x:c r="K540" s="24" t="str">
        <x:v>구독대여 계약 시작</x:v>
      </x:c>
      <x:c r="L540" s="24" t="str"/>
      <x:c r="M540" s="24" t="str">
        <x:v>하허호</x:v>
      </x:c>
      <x:c r="N540" s="30" t="n">
        <x:v>45314</x:v>
      </x:c>
    </x:row>
    <x:row r="541" ht="17.25" customHeight="1">
      <x:c r="A541" s="24" t="str">
        <x:v>E-00540</x:v>
      </x:c>
      <x:c r="B541" s="24" t="str">
        <x:v>스위치플랜</x:v>
      </x:c>
      <x:c r="C541" s="24" t="str">
        <x:v>02무0357</x:v>
      </x:c>
      <x:c r="D541" s="30"/>
      <x:c r="E541" s="24" t="str">
        <x:v>반납</x:v>
      </x:c>
      <x:c r="F541" s="24" t="str">
        <x:v>대여중</x:v>
      </x:c>
      <x:c r="G541" s="24" t="str">
        <x:v>쉬는차</x:v>
      </x:c>
      <x:c r="H541" s="32"/>
      <x:c r="I541" s="24" t="str">
        <x:v>SW-C-02무0357-4-20240123-157</x:v>
      </x:c>
      <x:c r="J541" s="24" t="str">
        <x:v>박세도</x:v>
      </x:c>
      <x:c r="K541" s="24" t="str">
        <x:v>차량 반납</x:v>
      </x:c>
      <x:c r="L541" s="24" t="str"/>
      <x:c r="M541" s="24" t="str">
        <x:v>하허호</x:v>
      </x:c>
      <x:c r="N541" s="30"/>
    </x:row>
    <x:row r="542" ht="17.25" customHeight="1">
      <x:c r="A542" s="24" t="str">
        <x:v>E-00541</x:v>
      </x:c>
      <x:c r="B542" s="24" t="str">
        <x:v>스위치플랜</x:v>
      </x:c>
      <x:c r="C542" s="24" t="str">
        <x:v>20더8094</x:v>
      </x:c>
      <x:c r="D542" s="30" t="n">
        <x:v>45975</x:v>
      </x:c>
      <x:c r="E542" s="24" t="str">
        <x:v>계약시작</x:v>
      </x:c>
      <x:c r="F542" s="24" t="str"/>
      <x:c r="G542" s="24" t="str">
        <x:v>대여중</x:v>
      </x:c>
      <x:c r="H542" s="32" t="n">
        <x:v>1090000</x:v>
      </x:c>
      <x:c r="I542" s="24" t="str">
        <x:v>SW-C-20더8094-2-20251114-158</x:v>
      </x:c>
      <x:c r="J542" s="24" t="str">
        <x:v>이기복</x:v>
      </x:c>
      <x:c r="K542" s="24" t="str">
        <x:v>구독대여 계약 시작</x:v>
      </x:c>
      <x:c r="L542" s="24" t="str"/>
      <x:c r="M542" s="24" t="str">
        <x:v>하허호</x:v>
      </x:c>
      <x:c r="N542" s="30" t="n">
        <x:v>45975</x:v>
      </x:c>
    </x:row>
    <x:row r="543" ht="17.25" customHeight="1">
      <x:c r="A543" s="24" t="str">
        <x:v>E-00542</x:v>
      </x:c>
      <x:c r="B543" s="24" t="str">
        <x:v>스위치플랜</x:v>
      </x:c>
      <x:c r="C543" s="24" t="str">
        <x:v>20더8094</x:v>
      </x:c>
      <x:c r="D543" s="30" t="n">
        <x:v>46061</x:v>
      </x:c>
      <x:c r="E543" s="24" t="str">
        <x:v>반납</x:v>
      </x:c>
      <x:c r="F543" s="24" t="str">
        <x:v>대여중</x:v>
      </x:c>
      <x:c r="G543" s="24" t="str">
        <x:v>쉬는차</x:v>
      </x:c>
      <x:c r="H543" s="32"/>
      <x:c r="I543" s="24" t="str">
        <x:v>SW-C-20더8094-2-20251114-158</x:v>
      </x:c>
      <x:c r="J543" s="24" t="str">
        <x:v>이기복</x:v>
      </x:c>
      <x:c r="K543" s="24" t="str">
        <x:v>차량 반납</x:v>
      </x:c>
      <x:c r="L543" s="24" t="str"/>
      <x:c r="M543" s="24" t="str">
        <x:v>하허호</x:v>
      </x:c>
      <x:c r="N543" s="30" t="n">
        <x:v>46061</x:v>
      </x:c>
    </x:row>
    <x:row r="544" ht="17.25" customHeight="1">
      <x:c r="A544" s="24" t="str">
        <x:v>E-00543</x:v>
      </x:c>
      <x:c r="B544" s="24" t="str">
        <x:v>스위치플랜</x:v>
      </x:c>
      <x:c r="C544" s="24" t="str">
        <x:v>20더8094</x:v>
      </x:c>
      <x:c r="D544" s="30" t="n">
        <x:v>45337</x:v>
      </x:c>
      <x:c r="E544" s="24" t="str">
        <x:v>계약시작</x:v>
      </x:c>
      <x:c r="F544" s="24" t="str"/>
      <x:c r="G544" s="24" t="str">
        <x:v>대여중</x:v>
      </x:c>
      <x:c r="H544" s="32" t="n">
        <x:v>1060000</x:v>
      </x:c>
      <x:c r="I544" s="24" t="str">
        <x:v>SW-C-20더8094-3-20240215-158</x:v>
      </x:c>
      <x:c r="J544" s="24" t="str">
        <x:v>김주한</x:v>
      </x:c>
      <x:c r="K544" s="24" t="str">
        <x:v>구독대여 계약 시작</x:v>
      </x:c>
      <x:c r="L544" s="24" t="str"/>
      <x:c r="M544" s="24" t="str">
        <x:v>카랜(주)</x:v>
      </x:c>
      <x:c r="N544" s="30" t="n">
        <x:v>45337</x:v>
      </x:c>
    </x:row>
    <x:row r="545" ht="17.25" customHeight="1">
      <x:c r="A545" s="24" t="str">
        <x:v>E-00544</x:v>
      </x:c>
      <x:c r="B545" s="24" t="str">
        <x:v>스위치플랜</x:v>
      </x:c>
      <x:c r="C545" s="24" t="str">
        <x:v>20더8094</x:v>
      </x:c>
      <x:c r="D545" s="30" t="n">
        <x:v>45948</x:v>
      </x:c>
      <x:c r="E545" s="24" t="str">
        <x:v>반납</x:v>
      </x:c>
      <x:c r="F545" s="24" t="str">
        <x:v>대여중</x:v>
      </x:c>
      <x:c r="G545" s="24" t="str">
        <x:v>쉬는차</x:v>
      </x:c>
      <x:c r="H545" s="32"/>
      <x:c r="I545" s="24" t="str">
        <x:v>SW-C-20더8094-3-20240215-158</x:v>
      </x:c>
      <x:c r="J545" s="24" t="str">
        <x:v>김주한</x:v>
      </x:c>
      <x:c r="K545" s="24" t="str">
        <x:v>차량 반납</x:v>
      </x:c>
      <x:c r="L545" s="24" t="str"/>
      <x:c r="M545" s="24" t="str">
        <x:v>카랜(주)</x:v>
      </x:c>
      <x:c r="N545" s="30" t="n">
        <x:v>45948</x:v>
      </x:c>
    </x:row>
    <x:row r="546" ht="17.25" customHeight="1">
      <x:c r="A546" s="24" t="str">
        <x:v>E-00545</x:v>
      </x:c>
      <x:c r="B546" s="24" t="str">
        <x:v>스위치플랜</x:v>
      </x:c>
      <x:c r="C546" s="24" t="str">
        <x:v>103주3484</x:v>
      </x:c>
      <x:c r="D546" s="30" t="n">
        <x:v>46182</x:v>
      </x:c>
      <x:c r="E546" s="24" t="str">
        <x:v>반납</x:v>
      </x:c>
      <x:c r="F546" s="24" t="str">
        <x:v>대여중</x:v>
      </x:c>
      <x:c r="G546" s="24" t="str">
        <x:v>쉬는차</x:v>
      </x:c>
      <x:c r="H546" s="32"/>
      <x:c r="I546" s="24" t="str">
        <x:v>SW-C-103주3484-1-NA-159</x:v>
      </x:c>
      <x:c r="J546" s="24" t="str">
        <x:v>매각</x:v>
      </x:c>
      <x:c r="K546" s="24" t="str">
        <x:v>차량 반납</x:v>
      </x:c>
      <x:c r="L546" s="24" t="str"/>
      <x:c r="M546" s="24" t="str"/>
      <x:c r="N546" s="30" t="n">
        <x:v>46182</x:v>
      </x:c>
    </x:row>
    <x:row r="547" ht="17.25" customHeight="1">
      <x:c r="A547" s="24" t="str">
        <x:v>E-00546</x:v>
      </x:c>
      <x:c r="B547" s="24" t="str">
        <x:v>스위치플랜</x:v>
      </x:c>
      <x:c r="C547" s="24" t="str">
        <x:v>103주3484</x:v>
      </x:c>
      <x:c r="D547" s="30" t="n">
        <x:v>45762</x:v>
      </x:c>
      <x:c r="E547" s="24" t="str">
        <x:v>계약시작</x:v>
      </x:c>
      <x:c r="F547" s="24" t="str"/>
      <x:c r="G547" s="24" t="str">
        <x:v>대여중</x:v>
      </x:c>
      <x:c r="H547" s="32" t="n">
        <x:v>1200000</x:v>
      </x:c>
      <x:c r="I547" s="24" t="str">
        <x:v>SW-C-103주3484-2-20250415-159</x:v>
      </x:c>
      <x:c r="J547" s="24" t="str">
        <x:v>이근호</x:v>
      </x:c>
      <x:c r="K547" s="24" t="str">
        <x:v>구독대여 계약 시작</x:v>
      </x:c>
      <x:c r="L547" s="24" t="str"/>
      <x:c r="M547" s="24" t="str">
        <x:v>하허호</x:v>
      </x:c>
      <x:c r="N547" s="30" t="n">
        <x:v>45762</x:v>
      </x:c>
    </x:row>
    <x:row r="548" ht="17.25" customHeight="1">
      <x:c r="A548" s="24" t="str">
        <x:v>E-00547</x:v>
      </x:c>
      <x:c r="B548" s="24" t="str">
        <x:v>스위치플랜</x:v>
      </x:c>
      <x:c r="C548" s="24" t="str">
        <x:v>103주3484</x:v>
      </x:c>
      <x:c r="D548" s="30" t="n">
        <x:v>46126</x:v>
      </x:c>
      <x:c r="E548" s="24" t="str">
        <x:v>반납</x:v>
      </x:c>
      <x:c r="F548" s="24" t="str">
        <x:v>대여중</x:v>
      </x:c>
      <x:c r="G548" s="24" t="str">
        <x:v>쉬는차</x:v>
      </x:c>
      <x:c r="H548" s="32"/>
      <x:c r="I548" s="24" t="str">
        <x:v>SW-C-103주3484-2-20250415-159</x:v>
      </x:c>
      <x:c r="J548" s="24" t="str">
        <x:v>이근호</x:v>
      </x:c>
      <x:c r="K548" s="24" t="str">
        <x:v>차량 반납</x:v>
      </x:c>
      <x:c r="L548" s="24" t="str"/>
      <x:c r="M548" s="24" t="str">
        <x:v>하허호</x:v>
      </x:c>
      <x:c r="N548" s="30" t="n">
        <x:v>46126</x:v>
      </x:c>
    </x:row>
    <x:row r="549" ht="17.25" customHeight="1">
      <x:c r="A549" s="24" t="str">
        <x:v>E-00548</x:v>
      </x:c>
      <x:c r="B549" s="24" t="str">
        <x:v>스위치플랜</x:v>
      </x:c>
      <x:c r="C549" s="24" t="str">
        <x:v>197너8600</x:v>
      </x:c>
      <x:c r="D549" s="30" t="n">
        <x:v>46182</x:v>
      </x:c>
      <x:c r="E549" s="24" t="str">
        <x:v>반납</x:v>
      </x:c>
      <x:c r="F549" s="24" t="str">
        <x:v>대여중</x:v>
      </x:c>
      <x:c r="G549" s="24" t="str">
        <x:v>쉬는차</x:v>
      </x:c>
      <x:c r="H549" s="32"/>
      <x:c r="I549" s="24" t="str">
        <x:v>SW-C-197너8600-1-NA-160</x:v>
      </x:c>
      <x:c r="J549" s="24" t="str">
        <x:v>매각</x:v>
      </x:c>
      <x:c r="K549" s="24" t="str">
        <x:v>차량 반납</x:v>
      </x:c>
      <x:c r="L549" s="24" t="str"/>
      <x:c r="M549" s="24" t="str"/>
      <x:c r="N549" s="30" t="n">
        <x:v>46182</x:v>
      </x:c>
    </x:row>
    <x:row r="550" ht="17.25" customHeight="1">
      <x:c r="A550" s="24" t="str">
        <x:v>E-00549</x:v>
      </x:c>
      <x:c r="B550" s="24" t="str">
        <x:v>스위치플랜</x:v>
      </x:c>
      <x:c r="C550" s="24" t="str">
        <x:v>197너8600</x:v>
      </x:c>
      <x:c r="D550" s="30" t="n">
        <x:v>45289</x:v>
      </x:c>
      <x:c r="E550" s="24" t="str">
        <x:v>계약시작</x:v>
      </x:c>
      <x:c r="F550" s="24" t="str"/>
      <x:c r="G550" s="24" t="str">
        <x:v>대여중</x:v>
      </x:c>
      <x:c r="H550" s="32" t="n">
        <x:v>770000</x:v>
      </x:c>
      <x:c r="I550" s="24" t="str">
        <x:v>SW-C-197너8600-2-20231229-160</x:v>
      </x:c>
      <x:c r="J550" s="24" t="str">
        <x:v>감창훈</x:v>
      </x:c>
      <x:c r="K550" s="24" t="str">
        <x:v>구독대여 계약 시작</x:v>
      </x:c>
      <x:c r="L550" s="24" t="str"/>
      <x:c r="M550" s="24" t="str">
        <x:v>SI</x:v>
      </x:c>
      <x:c r="N550" s="30" t="n">
        <x:v>45289</x:v>
      </x:c>
    </x:row>
    <x:row r="551" ht="17.25" customHeight="1">
      <x:c r="A551" s="24" t="str">
        <x:v>E-00550</x:v>
      </x:c>
      <x:c r="B551" s="24" t="str">
        <x:v>스위치플랜</x:v>
      </x:c>
      <x:c r="C551" s="24" t="str">
        <x:v>197너8600</x:v>
      </x:c>
      <x:c r="D551" s="30" t="n">
        <x:v>46125</x:v>
      </x:c>
      <x:c r="E551" s="24" t="str">
        <x:v>반납</x:v>
      </x:c>
      <x:c r="F551" s="24" t="str">
        <x:v>대여중</x:v>
      </x:c>
      <x:c r="G551" s="24" t="str">
        <x:v>쉬는차</x:v>
      </x:c>
      <x:c r="H551" s="32"/>
      <x:c r="I551" s="24" t="str">
        <x:v>SW-C-197너8600-2-20231229-160</x:v>
      </x:c>
      <x:c r="J551" s="24" t="str">
        <x:v>감창훈</x:v>
      </x:c>
      <x:c r="K551" s="24" t="str">
        <x:v>차량 반납</x:v>
      </x:c>
      <x:c r="L551" s="24" t="str"/>
      <x:c r="M551" s="24" t="str">
        <x:v>SI</x:v>
      </x:c>
      <x:c r="N551" s="30" t="n">
        <x:v>46125</x:v>
      </x:c>
    </x:row>
    <x:row r="552" ht="17.25" customHeight="1">
      <x:c r="A552" s="24" t="str">
        <x:v>E-00551</x:v>
      </x:c>
      <x:c r="B552" s="24" t="str">
        <x:v>스위치플랜</x:v>
      </x:c>
      <x:c r="C552" s="24" t="str">
        <x:v>166마2517</x:v>
      </x:c>
      <x:c r="D552" s="30" t="n">
        <x:v>46188</x:v>
      </x:c>
      <x:c r="E552" s="24" t="str">
        <x:v>반납</x:v>
      </x:c>
      <x:c r="F552" s="24" t="str">
        <x:v>대여중</x:v>
      </x:c>
      <x:c r="G552" s="24" t="str">
        <x:v>쉬는차</x:v>
      </x:c>
      <x:c r="H552" s="32"/>
      <x:c r="I552" s="24" t="str">
        <x:v>SW-C-166마2517-1-NA-161</x:v>
      </x:c>
      <x:c r="J552" s="24" t="str">
        <x:v>매각</x:v>
      </x:c>
      <x:c r="K552" s="24" t="str">
        <x:v>차량 반납</x:v>
      </x:c>
      <x:c r="L552" s="24" t="str"/>
      <x:c r="M552" s="24" t="str"/>
      <x:c r="N552" s="30" t="n">
        <x:v>46188</x:v>
      </x:c>
    </x:row>
    <x:row r="553" ht="17.25" customHeight="1">
      <x:c r="A553" s="24" t="str">
        <x:v>E-00552</x:v>
      </x:c>
      <x:c r="B553" s="24" t="str">
        <x:v>스위치플랜</x:v>
      </x:c>
      <x:c r="C553" s="24" t="str">
        <x:v>166마2517</x:v>
      </x:c>
      <x:c r="D553" s="30" t="n">
        <x:v>45793</x:v>
      </x:c>
      <x:c r="E553" s="24" t="str">
        <x:v>계약시작</x:v>
      </x:c>
      <x:c r="F553" s="24" t="str"/>
      <x:c r="G553" s="24" t="str">
        <x:v>대여중</x:v>
      </x:c>
      <x:c r="H553" s="32" t="n">
        <x:v>950000</x:v>
      </x:c>
      <x:c r="I553" s="24" t="str">
        <x:v>SW-C-166마2517-2-20250516-161</x:v>
      </x:c>
      <x:c r="J553" s="24" t="str">
        <x:v>김동욱</x:v>
      </x:c>
      <x:c r="K553" s="24" t="str">
        <x:v>구독대여 계약 시작</x:v>
      </x:c>
      <x:c r="L553" s="24" t="str"/>
      <x:c r="M553" s="24" t="str"/>
      <x:c r="N553" s="30" t="n">
        <x:v>45793</x:v>
      </x:c>
    </x:row>
    <x:row r="554" ht="17.25" customHeight="1">
      <x:c r="A554" s="24" t="str">
        <x:v>E-00553</x:v>
      </x:c>
      <x:c r="B554" s="24" t="str">
        <x:v>스위치플랜</x:v>
      </x:c>
      <x:c r="C554" s="24" t="str">
        <x:v>166마2517</x:v>
      </x:c>
      <x:c r="D554" s="30" t="n">
        <x:v>45962</x:v>
      </x:c>
      <x:c r="E554" s="24" t="str">
        <x:v>반납</x:v>
      </x:c>
      <x:c r="F554" s="24" t="str">
        <x:v>대여중</x:v>
      </x:c>
      <x:c r="G554" s="24" t="str">
        <x:v>쉬는차</x:v>
      </x:c>
      <x:c r="H554" s="32"/>
      <x:c r="I554" s="24" t="str">
        <x:v>SW-C-166마2517-2-20250516-161</x:v>
      </x:c>
      <x:c r="J554" s="24" t="str">
        <x:v>김동욱</x:v>
      </x:c>
      <x:c r="K554" s="24" t="str">
        <x:v>차량 반납</x:v>
      </x:c>
      <x:c r="L554" s="24" t="str"/>
      <x:c r="M554" s="24" t="str"/>
      <x:c r="N554" s="30" t="n">
        <x:v>45962</x:v>
      </x:c>
    </x:row>
    <x:row r="555" ht="17.25" customHeight="1">
      <x:c r="A555" s="24" t="str">
        <x:v>E-00554</x:v>
      </x:c>
      <x:c r="B555" s="24" t="str">
        <x:v>스위치플랜</x:v>
      </x:c>
      <x:c r="C555" s="24" t="str">
        <x:v>28누9894</x:v>
      </x:c>
      <x:c r="D555" s="30" t="n">
        <x:v>45700</x:v>
      </x:c>
      <x:c r="E555" s="24" t="str">
        <x:v>계약시작</x:v>
      </x:c>
      <x:c r="F555" s="24" t="str"/>
      <x:c r="G555" s="24" t="str">
        <x:v>대여중</x:v>
      </x:c>
      <x:c r="H555" s="32" t="n">
        <x:v>1270000</x:v>
      </x:c>
      <x:c r="I555" s="24" t="str">
        <x:v>SW-C-28누9894-2-20250212-162</x:v>
      </x:c>
      <x:c r="J555" s="24" t="str">
        <x:v>최다희</x:v>
      </x:c>
      <x:c r="K555" s="24" t="str">
        <x:v>구독대여 계약 시작</x:v>
      </x:c>
      <x:c r="L555" s="24" t="str"/>
      <x:c r="M555" s="24" t="str">
        <x:v>하허호</x:v>
      </x:c>
      <x:c r="N555" s="30" t="n">
        <x:v>45700</x:v>
      </x:c>
    </x:row>
    <x:row r="556" ht="17.25" customHeight="1">
      <x:c r="A556" s="24" t="str">
        <x:v>E-00555</x:v>
      </x:c>
      <x:c r="B556" s="24" t="str">
        <x:v>스위치플랜</x:v>
      </x:c>
      <x:c r="C556" s="24" t="str">
        <x:v>28누9894</x:v>
      </x:c>
      <x:c r="D556" s="30" t="n">
        <x:v>46121</x:v>
      </x:c>
      <x:c r="E556" s="24" t="str">
        <x:v>반납</x:v>
      </x:c>
      <x:c r="F556" s="24" t="str">
        <x:v>대여중</x:v>
      </x:c>
      <x:c r="G556" s="24" t="str">
        <x:v>쉬는차</x:v>
      </x:c>
      <x:c r="H556" s="32"/>
      <x:c r="I556" s="24" t="str">
        <x:v>SW-C-28누9894-2-20250212-162</x:v>
      </x:c>
      <x:c r="J556" s="24" t="str">
        <x:v>최다희</x:v>
      </x:c>
      <x:c r="K556" s="24" t="str">
        <x:v>차량 반납</x:v>
      </x:c>
      <x:c r="L556" s="24" t="str"/>
      <x:c r="M556" s="24" t="str">
        <x:v>하허호</x:v>
      </x:c>
      <x:c r="N556" s="30" t="n">
        <x:v>46121</x:v>
      </x:c>
    </x:row>
    <x:row r="557" ht="17.25" customHeight="1">
      <x:c r="A557" s="24" t="str">
        <x:v>E-00556</x:v>
      </x:c>
      <x:c r="B557" s="24" t="str">
        <x:v>스위치플랜</x:v>
      </x:c>
      <x:c r="C557" s="24" t="str">
        <x:v>174모9625</x:v>
      </x:c>
      <x:c r="D557" s="30" t="n">
        <x:v>46209</x:v>
      </x:c>
      <x:c r="E557" s="24" t="str">
        <x:v>반납</x:v>
      </x:c>
      <x:c r="F557" s="24" t="str">
        <x:v>대여중</x:v>
      </x:c>
      <x:c r="G557" s="24" t="str">
        <x:v>쉬는차</x:v>
      </x:c>
      <x:c r="H557" s="32"/>
      <x:c r="I557" s="24" t="str">
        <x:v>SW-C-174모9625-1-NA-163</x:v>
      </x:c>
      <x:c r="J557" s="24" t="str">
        <x:v>매각</x:v>
      </x:c>
      <x:c r="K557" s="24" t="str">
        <x:v>차량 반납</x:v>
      </x:c>
      <x:c r="L557" s="24" t="str"/>
      <x:c r="M557" s="24" t="str"/>
      <x:c r="N557" s="30" t="n">
        <x:v>46209</x:v>
      </x:c>
    </x:row>
    <x:row r="558" ht="17.25" customHeight="1">
      <x:c r="A558" s="24" t="str">
        <x:v>E-00557</x:v>
      </x:c>
      <x:c r="B558" s="24" t="str">
        <x:v>스위치플랜</x:v>
      </x:c>
      <x:c r="C558" s="24" t="str">
        <x:v>174모9625</x:v>
      </x:c>
      <x:c r="D558" s="30" t="n">
        <x:v>46136</x:v>
      </x:c>
      <x:c r="E558" s="24" t="str">
        <x:v>계약시작</x:v>
      </x:c>
      <x:c r="F558" s="24" t="str"/>
      <x:c r="G558" s="24" t="str">
        <x:v>대여중</x:v>
      </x:c>
      <x:c r="H558" s="32" t="n">
        <x:v>800000</x:v>
      </x:c>
      <x:c r="I558" s="24" t="str">
        <x:v>SW-C-174모9625-2-20260424-163</x:v>
      </x:c>
      <x:c r="J558" s="24" t="str">
        <x:v>이경석</x:v>
      </x:c>
      <x:c r="K558" s="24" t="str">
        <x:v>지인 계약 시작</x:v>
      </x:c>
      <x:c r="L558" s="24" t="str"/>
      <x:c r="M558" s="24" t="str"/>
      <x:c r="N558" s="30" t="n">
        <x:v>46136</x:v>
      </x:c>
    </x:row>
    <x:row r="559" ht="17.25" customHeight="1">
      <x:c r="A559" s="24" t="str">
        <x:v>E-00558</x:v>
      </x:c>
      <x:c r="B559" s="24" t="str">
        <x:v>스위치플랜</x:v>
      </x:c>
      <x:c r="C559" s="24" t="str">
        <x:v>174모9625</x:v>
      </x:c>
      <x:c r="D559" s="30" t="n">
        <x:v>46195</x:v>
      </x:c>
      <x:c r="E559" s="24" t="str">
        <x:v>반납</x:v>
      </x:c>
      <x:c r="F559" s="24" t="str">
        <x:v>대여중</x:v>
      </x:c>
      <x:c r="G559" s="24" t="str">
        <x:v>쉬는차</x:v>
      </x:c>
      <x:c r="H559" s="32"/>
      <x:c r="I559" s="24" t="str">
        <x:v>SW-C-174모9625-2-20260424-163</x:v>
      </x:c>
      <x:c r="J559" s="24" t="str">
        <x:v>이경석</x:v>
      </x:c>
      <x:c r="K559" s="24" t="str">
        <x:v>차량 반납</x:v>
      </x:c>
      <x:c r="L559" s="24" t="str"/>
      <x:c r="M559" s="24" t="str"/>
      <x:c r="N559" s="30" t="n">
        <x:v>46195</x:v>
      </x:c>
    </x:row>
    <x:row r="560" ht="17.25" customHeight="1">
      <x:c r="A560" s="24" t="str">
        <x:v>E-00559</x:v>
      </x:c>
      <x:c r="B560" s="24" t="str">
        <x:v>스위치플랜</x:v>
      </x:c>
      <x:c r="C560" s="24" t="str">
        <x:v>174모9625</x:v>
      </x:c>
      <x:c r="D560" s="30" t="n">
        <x:v>45379</x:v>
      </x:c>
      <x:c r="E560" s="24" t="str">
        <x:v>계약시작</x:v>
      </x:c>
      <x:c r="F560" s="24" t="str"/>
      <x:c r="G560" s="24" t="str">
        <x:v>대여중</x:v>
      </x:c>
      <x:c r="H560" s="32" t="n">
        <x:v>790000</x:v>
      </x:c>
      <x:c r="I560" s="24" t="str">
        <x:v>SW-C-174모9625-3-20240328-163</x:v>
      </x:c>
      <x:c r="J560" s="24" t="str">
        <x:v>통운김형기</x:v>
      </x:c>
      <x:c r="K560" s="24" t="str">
        <x:v>구독대여 계약 시작</x:v>
      </x:c>
      <x:c r="L560" s="24" t="str"/>
      <x:c r="M560" s="24" t="str">
        <x:v>카랜(주)</x:v>
      </x:c>
      <x:c r="N560" s="30" t="n">
        <x:v>45379</x:v>
      </x:c>
    </x:row>
    <x:row r="561" ht="17.25" customHeight="1">
      <x:c r="A561" s="24" t="str">
        <x:v>E-00560</x:v>
      </x:c>
      <x:c r="B561" s="24" t="str">
        <x:v>스위치플랜</x:v>
      </x:c>
      <x:c r="C561" s="24" t="str">
        <x:v>174모9625</x:v>
      </x:c>
      <x:c r="D561" s="30" t="n">
        <x:v>46104</x:v>
      </x:c>
      <x:c r="E561" s="24" t="str">
        <x:v>반납</x:v>
      </x:c>
      <x:c r="F561" s="24" t="str">
        <x:v>대여중</x:v>
      </x:c>
      <x:c r="G561" s="24" t="str">
        <x:v>쉬는차</x:v>
      </x:c>
      <x:c r="H561" s="32"/>
      <x:c r="I561" s="24" t="str">
        <x:v>SW-C-174모9625-3-20240328-163</x:v>
      </x:c>
      <x:c r="J561" s="24" t="str">
        <x:v>통운김형기</x:v>
      </x:c>
      <x:c r="K561" s="24" t="str">
        <x:v>차량 반납</x:v>
      </x:c>
      <x:c r="L561" s="24" t="str"/>
      <x:c r="M561" s="24" t="str">
        <x:v>카랜(주)</x:v>
      </x:c>
      <x:c r="N561" s="30" t="n">
        <x:v>46104</x:v>
      </x:c>
    </x:row>
    <x:row r="562" ht="17.25" customHeight="1">
      <x:c r="A562" s="24" t="str">
        <x:v>E-00561</x:v>
      </x:c>
      <x:c r="B562" s="24" t="str">
        <x:v>스위치플랜</x:v>
      </x:c>
      <x:c r="C562" s="24" t="str">
        <x:v>125도3102</x:v>
      </x:c>
      <x:c r="D562" s="30" t="n">
        <x:v>46209</x:v>
      </x:c>
      <x:c r="E562" s="24" t="str">
        <x:v>반납</x:v>
      </x:c>
      <x:c r="F562" s="24" t="str">
        <x:v>대여중</x:v>
      </x:c>
      <x:c r="G562" s="24" t="str">
        <x:v>쉬는차</x:v>
      </x:c>
      <x:c r="H562" s="32"/>
      <x:c r="I562" s="24" t="str">
        <x:v>SW-C-125도3102-1-NA-164</x:v>
      </x:c>
      <x:c r="J562" s="24" t="str">
        <x:v>매각</x:v>
      </x:c>
      <x:c r="K562" s="24" t="str">
        <x:v>차량 반납</x:v>
      </x:c>
      <x:c r="L562" s="24" t="str"/>
      <x:c r="M562" s="24" t="str"/>
      <x:c r="N562" s="30" t="n">
        <x:v>46209</x:v>
      </x:c>
    </x:row>
    <x:row r="563" ht="17.25" customHeight="1">
      <x:c r="A563" s="24" t="str">
        <x:v>E-00562</x:v>
      </x:c>
      <x:c r="B563" s="24" t="str">
        <x:v>스위치플랜</x:v>
      </x:c>
      <x:c r="C563" s="24" t="str">
        <x:v>125도3102</x:v>
      </x:c>
      <x:c r="D563" s="30" t="n">
        <x:v>45946</x:v>
      </x:c>
      <x:c r="E563" s="24" t="str">
        <x:v>계약시작</x:v>
      </x:c>
      <x:c r="F563" s="24" t="str"/>
      <x:c r="G563" s="24" t="str">
        <x:v>대여중</x:v>
      </x:c>
      <x:c r="H563" s="32" t="n">
        <x:v>830000</x:v>
      </x:c>
      <x:c r="I563" s="24" t="str">
        <x:v>SW-C-125도3102-2-20251016-164</x:v>
      </x:c>
      <x:c r="J563" s="24" t="str">
        <x:v>박대겸</x:v>
      </x:c>
      <x:c r="K563" s="24" t="str">
        <x:v>구독대여 계약 시작</x:v>
      </x:c>
      <x:c r="L563" s="24" t="str"/>
      <x:c r="M563" s="24" t="str">
        <x:v>하허호</x:v>
      </x:c>
      <x:c r="N563" s="30" t="n">
        <x:v>45946</x:v>
      </x:c>
    </x:row>
    <x:row r="564" ht="17.25" customHeight="1">
      <x:c r="A564" s="24" t="str">
        <x:v>E-00563</x:v>
      </x:c>
      <x:c r="B564" s="24" t="str">
        <x:v>스위치플랜</x:v>
      </x:c>
      <x:c r="C564" s="24" t="str">
        <x:v>125도3102</x:v>
      </x:c>
      <x:c r="D564" s="30" t="n">
        <x:v>46177</x:v>
      </x:c>
      <x:c r="E564" s="24" t="str">
        <x:v>반납</x:v>
      </x:c>
      <x:c r="F564" s="24" t="str">
        <x:v>대여중</x:v>
      </x:c>
      <x:c r="G564" s="24" t="str">
        <x:v>쉬는차</x:v>
      </x:c>
      <x:c r="H564" s="32"/>
      <x:c r="I564" s="24" t="str">
        <x:v>SW-C-125도3102-2-20251016-164</x:v>
      </x:c>
      <x:c r="J564" s="24" t="str">
        <x:v>박대겸</x:v>
      </x:c>
      <x:c r="K564" s="24" t="str">
        <x:v>차량 반납</x:v>
      </x:c>
      <x:c r="L564" s="24" t="str"/>
      <x:c r="M564" s="24" t="str">
        <x:v>하허호</x:v>
      </x:c>
      <x:c r="N564" s="30" t="n">
        <x:v>46177</x:v>
      </x:c>
    </x:row>
    <x:row r="565" ht="17.25" customHeight="1">
      <x:c r="A565" s="24" t="str">
        <x:v>E-00564</x:v>
      </x:c>
      <x:c r="B565" s="24" t="str">
        <x:v>스위치플랜</x:v>
      </x:c>
      <x:c r="C565" s="24" t="str">
        <x:v>125도3102</x:v>
      </x:c>
      <x:c r="D565" s="30" t="n">
        <x:v>45868</x:v>
      </x:c>
      <x:c r="E565" s="24" t="str">
        <x:v>계약시작</x:v>
      </x:c>
      <x:c r="F565" s="24" t="str"/>
      <x:c r="G565" s="24" t="str">
        <x:v>대여중</x:v>
      </x:c>
      <x:c r="H565" s="32" t="n">
        <x:v>840000</x:v>
      </x:c>
      <x:c r="I565" s="24" t="str">
        <x:v>SW-C-125도3102-3-20250730-164</x:v>
      </x:c>
      <x:c r="J565" s="24" t="str">
        <x:v>김민혁</x:v>
      </x:c>
      <x:c r="K565" s="24" t="str">
        <x:v>구독대여 계약 시작</x:v>
      </x:c>
      <x:c r="L565" s="24" t="str"/>
      <x:c r="M565" s="24" t="str">
        <x:v>하허호</x:v>
      </x:c>
      <x:c r="N565" s="30" t="n">
        <x:v>45868</x:v>
      </x:c>
    </x:row>
    <x:row r="566" ht="17.25" customHeight="1">
      <x:c r="A566" s="24" t="str">
        <x:v>E-00565</x:v>
      </x:c>
      <x:c r="B566" s="24" t="str">
        <x:v>스위치플랜</x:v>
      </x:c>
      <x:c r="C566" s="24" t="str">
        <x:v>125도3102</x:v>
      </x:c>
      <x:c r="D566" s="30" t="n">
        <x:v>45910</x:v>
      </x:c>
      <x:c r="E566" s="24" t="str">
        <x:v>반납</x:v>
      </x:c>
      <x:c r="F566" s="24" t="str">
        <x:v>대여중</x:v>
      </x:c>
      <x:c r="G566" s="24" t="str">
        <x:v>쉬는차</x:v>
      </x:c>
      <x:c r="H566" s="32"/>
      <x:c r="I566" s="24" t="str">
        <x:v>SW-C-125도3102-3-20250730-164</x:v>
      </x:c>
      <x:c r="J566" s="24" t="str">
        <x:v>김민혁</x:v>
      </x:c>
      <x:c r="K566" s="24" t="str">
        <x:v>차량 반납</x:v>
      </x:c>
      <x:c r="L566" s="24" t="str"/>
      <x:c r="M566" s="24" t="str">
        <x:v>하허호</x:v>
      </x:c>
      <x:c r="N566" s="30" t="n">
        <x:v>45910</x:v>
      </x:c>
    </x:row>
    <x:row r="567" ht="17.25" customHeight="1">
      <x:c r="A567" s="24" t="str">
        <x:v>E-00566</x:v>
      </x:c>
      <x:c r="B567" s="24" t="str">
        <x:v>스위치플랜</x:v>
      </x:c>
      <x:c r="C567" s="24" t="str">
        <x:v>125도3102</x:v>
      </x:c>
      <x:c r="D567" s="30" t="n">
        <x:v>45806</x:v>
      </x:c>
      <x:c r="E567" s="24" t="str">
        <x:v>계약시작</x:v>
      </x:c>
      <x:c r="F567" s="24" t="str"/>
      <x:c r="G567" s="24" t="str">
        <x:v>대여중</x:v>
      </x:c>
      <x:c r="H567" s="32" t="n">
        <x:v>840000</x:v>
      </x:c>
      <x:c r="I567" s="24" t="str">
        <x:v>SW-C-125도3102-4-20250529-164</x:v>
      </x:c>
      <x:c r="J567" s="24" t="str">
        <x:v>이규민</x:v>
      </x:c>
      <x:c r="K567" s="24" t="str">
        <x:v>구독대여 계약 시작</x:v>
      </x:c>
      <x:c r="L567" s="24" t="str"/>
      <x:c r="M567" s="24" t="str">
        <x:v>하허호</x:v>
      </x:c>
      <x:c r="N567" s="30" t="n">
        <x:v>45806</x:v>
      </x:c>
    </x:row>
    <x:row r="568" ht="17.25" customHeight="1">
      <x:c r="A568" s="24" t="str">
        <x:v>E-00567</x:v>
      </x:c>
      <x:c r="B568" s="24" t="str">
        <x:v>스위치플랜</x:v>
      </x:c>
      <x:c r="C568" s="24" t="str">
        <x:v>125도3102</x:v>
      </x:c>
      <x:c r="D568" s="30"/>
      <x:c r="E568" s="24" t="str">
        <x:v>반납</x:v>
      </x:c>
      <x:c r="F568" s="24" t="str">
        <x:v>대여중</x:v>
      </x:c>
      <x:c r="G568" s="24" t="str">
        <x:v>쉬는차</x:v>
      </x:c>
      <x:c r="H568" s="32"/>
      <x:c r="I568" s="24" t="str">
        <x:v>SW-C-125도3102-4-20250529-164</x:v>
      </x:c>
      <x:c r="J568" s="24" t="str">
        <x:v>이규민</x:v>
      </x:c>
      <x:c r="K568" s="24" t="str">
        <x:v>차량 반납</x:v>
      </x:c>
      <x:c r="L568" s="24" t="str"/>
      <x:c r="M568" s="24" t="str">
        <x:v>하허호</x:v>
      </x:c>
      <x:c r="N568" s="30"/>
    </x:row>
    <x:row r="569" ht="17.25" customHeight="1">
      <x:c r="A569" s="24" t="str">
        <x:v>E-00568</x:v>
      </x:c>
      <x:c r="B569" s="24" t="str">
        <x:v>스위치플랜</x:v>
      </x:c>
      <x:c r="C569" s="24" t="str">
        <x:v>125도3102</x:v>
      </x:c>
      <x:c r="D569" s="30" t="n">
        <x:v>46924</x:v>
      </x:c>
      <x:c r="E569" s="24" t="str">
        <x:v>계약시작</x:v>
      </x:c>
      <x:c r="F569" s="24" t="str"/>
      <x:c r="G569" s="24" t="str">
        <x:v>대여중</x:v>
      </x:c>
      <x:c r="H569" s="32" t="n">
        <x:v>45754</x:v>
      </x:c>
      <x:c r="I569" s="24" t="str">
        <x:v>SW-C-125도3102-5-20280620-164</x:v>
      </x:c>
      <x:c r="J569" s="24" t="str">
        <x:v>안준범</x:v>
      </x:c>
      <x:c r="K569" s="24" t="str">
        <x:v>구독대여 계약 시작</x:v>
      </x:c>
      <x:c r="L569" s="24" t="str"/>
      <x:c r="M569" s="24" t="str">
        <x:v>하허호</x:v>
      </x:c>
      <x:c r="N569" s="30" t="n">
        <x:v>46924</x:v>
      </x:c>
    </x:row>
    <x:row r="570" ht="17.25" customHeight="1">
      <x:c r="A570" s="24" t="str">
        <x:v>E-00569</x:v>
      </x:c>
      <x:c r="B570" s="24" t="str">
        <x:v>스위치플랜</x:v>
      </x:c>
      <x:c r="C570" s="24" t="str">
        <x:v>125도3102</x:v>
      </x:c>
      <x:c r="D570" s="30"/>
      <x:c r="E570" s="24" t="str">
        <x:v>반납</x:v>
      </x:c>
      <x:c r="F570" s="24" t="str">
        <x:v>대여중</x:v>
      </x:c>
      <x:c r="G570" s="24" t="str">
        <x:v>쉬는차</x:v>
      </x:c>
      <x:c r="H570" s="32"/>
      <x:c r="I570" s="24" t="str">
        <x:v>SW-C-125도3102-5-20280620-164</x:v>
      </x:c>
      <x:c r="J570" s="24" t="str">
        <x:v>안준범</x:v>
      </x:c>
      <x:c r="K570" s="24" t="str">
        <x:v>차량 반납</x:v>
      </x:c>
      <x:c r="L570" s="24" t="str"/>
      <x:c r="M570" s="24" t="str">
        <x:v>하허호</x:v>
      </x:c>
      <x:c r="N570" s="30"/>
    </x:row>
    <x:row r="571" ht="17.25" customHeight="1">
      <x:c r="A571" s="24" t="str">
        <x:v>E-00570</x:v>
      </x:c>
      <x:c r="B571" s="24" t="str">
        <x:v>스위치플랜</x:v>
      </x:c>
      <x:c r="C571" s="24" t="str">
        <x:v>125도3102</x:v>
      </x:c>
      <x:c r="D571" s="30" t="n">
        <x:v>46924</x:v>
      </x:c>
      <x:c r="E571" s="24" t="str">
        <x:v>계약시작</x:v>
      </x:c>
      <x:c r="F571" s="24" t="str"/>
      <x:c r="G571" s="24" t="str">
        <x:v>대여중</x:v>
      </x:c>
      <x:c r="H571" s="32" t="n">
        <x:v>45464</x:v>
      </x:c>
      <x:c r="I571" s="24" t="str">
        <x:v>SW-C-125도3102-6-20280620-164</x:v>
      </x:c>
      <x:c r="J571" s="24" t="str">
        <x:v>김영준</x:v>
      </x:c>
      <x:c r="K571" s="24" t="str">
        <x:v>구독대여 계약 시작</x:v>
      </x:c>
      <x:c r="L571" s="24" t="str"/>
      <x:c r="M571" s="24" t="str">
        <x:v>하허호</x:v>
      </x:c>
      <x:c r="N571" s="30" t="n">
        <x:v>46924</x:v>
      </x:c>
    </x:row>
    <x:row r="572" ht="17.25" customHeight="1">
      <x:c r="A572" s="24" t="str">
        <x:v>E-00571</x:v>
      </x:c>
      <x:c r="B572" s="24" t="str">
        <x:v>스위치플랜</x:v>
      </x:c>
      <x:c r="C572" s="24" t="str">
        <x:v>125도3102</x:v>
      </x:c>
      <x:c r="D572" s="30"/>
      <x:c r="E572" s="24" t="str">
        <x:v>반납</x:v>
      </x:c>
      <x:c r="F572" s="24" t="str">
        <x:v>대여중</x:v>
      </x:c>
      <x:c r="G572" s="24" t="str">
        <x:v>쉬는차</x:v>
      </x:c>
      <x:c r="H572" s="32"/>
      <x:c r="I572" s="24" t="str">
        <x:v>SW-C-125도3102-6-20280620-164</x:v>
      </x:c>
      <x:c r="J572" s="24" t="str">
        <x:v>김영준</x:v>
      </x:c>
      <x:c r="K572" s="24" t="str">
        <x:v>차량 반납</x:v>
      </x:c>
      <x:c r="L572" s="24" t="str"/>
      <x:c r="M572" s="24" t="str">
        <x:v>하허호</x:v>
      </x:c>
      <x:c r="N572" s="30"/>
    </x:row>
    <x:row r="573" ht="17.25" customHeight="1">
      <x:c r="A573" s="24" t="str">
        <x:v>E-00572</x:v>
      </x:c>
      <x:c r="B573" s="24" t="str">
        <x:v>스위치플랜</x:v>
      </x:c>
      <x:c r="C573" s="24" t="str">
        <x:v>48가9900</x:v>
      </x:c>
      <x:c r="D573" s="30" t="n">
        <x:v>46210</x:v>
      </x:c>
      <x:c r="E573" s="24" t="str">
        <x:v>반납</x:v>
      </x:c>
      <x:c r="F573" s="24" t="str">
        <x:v>대여중</x:v>
      </x:c>
      <x:c r="G573" s="24" t="str">
        <x:v>쉬는차</x:v>
      </x:c>
      <x:c r="H573" s="32"/>
      <x:c r="I573" s="24" t="str">
        <x:v>SW-C-48가9900-1-NA-165</x:v>
      </x:c>
      <x:c r="J573" s="24" t="str">
        <x:v>매각</x:v>
      </x:c>
      <x:c r="K573" s="24" t="str">
        <x:v>차량 반납</x:v>
      </x:c>
      <x:c r="L573" s="24" t="str"/>
      <x:c r="M573" s="24" t="str"/>
      <x:c r="N573" s="30" t="n">
        <x:v>46210</x:v>
      </x:c>
    </x:row>
    <x:row r="574" ht="17.25" customHeight="1">
      <x:c r="A574" s="24" t="str">
        <x:v>E-00573</x:v>
      </x:c>
      <x:c r="B574" s="24" t="str">
        <x:v>스위치플랜</x:v>
      </x:c>
      <x:c r="C574" s="24" t="str">
        <x:v>48가9900</x:v>
      </x:c>
      <x:c r="D574" s="30" t="n">
        <x:v>46001</x:v>
      </x:c>
      <x:c r="E574" s="24" t="str">
        <x:v>계약시작</x:v>
      </x:c>
      <x:c r="F574" s="24" t="str"/>
      <x:c r="G574" s="24" t="str">
        <x:v>대여중</x:v>
      </x:c>
      <x:c r="H574" s="32" t="n">
        <x:v>860000</x:v>
      </x:c>
      <x:c r="I574" s="24" t="str">
        <x:v>SW-C-48가9900-2-20251210-165</x:v>
      </x:c>
      <x:c r="J574" s="24" t="str">
        <x:v>김동현9900</x:v>
      </x:c>
      <x:c r="K574" s="24" t="str">
        <x:v>구독대여 계약 시작</x:v>
      </x:c>
      <x:c r="L574" s="24" t="str"/>
      <x:c r="M574" s="24" t="str">
        <x:v>하허호</x:v>
      </x:c>
      <x:c r="N574" s="30" t="n">
        <x:v>46001</x:v>
      </x:c>
    </x:row>
    <x:row r="575" ht="17.25" customHeight="1">
      <x:c r="A575" s="24" t="str">
        <x:v>E-00574</x:v>
      </x:c>
      <x:c r="B575" s="24" t="str">
        <x:v>스위치플랜</x:v>
      </x:c>
      <x:c r="C575" s="24" t="str">
        <x:v>48가9900</x:v>
      </x:c>
      <x:c r="D575" s="30" t="n">
        <x:v>46153</x:v>
      </x:c>
      <x:c r="E575" s="24" t="str">
        <x:v>반납</x:v>
      </x:c>
      <x:c r="F575" s="24" t="str">
        <x:v>대여중</x:v>
      </x:c>
      <x:c r="G575" s="24" t="str">
        <x:v>쉬는차</x:v>
      </x:c>
      <x:c r="H575" s="32"/>
      <x:c r="I575" s="24" t="str">
        <x:v>SW-C-48가9900-2-20251210-165</x:v>
      </x:c>
      <x:c r="J575" s="24" t="str">
        <x:v>김동현9900</x:v>
      </x:c>
      <x:c r="K575" s="24" t="str">
        <x:v>차량 반납</x:v>
      </x:c>
      <x:c r="L575" s="24" t="str"/>
      <x:c r="M575" s="24" t="str">
        <x:v>하허호</x:v>
      </x:c>
      <x:c r="N575" s="30" t="n">
        <x:v>46153</x:v>
      </x:c>
    </x:row>
    <x:row r="576" ht="17.25" customHeight="1">
      <x:c r="A576" s="24" t="str">
        <x:v>E-00575</x:v>
      </x:c>
      <x:c r="B576" s="24" t="str">
        <x:v>스위치플랜</x:v>
      </x:c>
      <x:c r="C576" s="24" t="str">
        <x:v>48가9900</x:v>
      </x:c>
      <x:c r="D576" s="30" t="n">
        <x:v>45804</x:v>
      </x:c>
      <x:c r="E576" s="24" t="str">
        <x:v>계약시작</x:v>
      </x:c>
      <x:c r="F576" s="24" t="str"/>
      <x:c r="G576" s="24" t="str">
        <x:v>대여중</x:v>
      </x:c>
      <x:c r="H576" s="32" t="n">
        <x:v>1010000</x:v>
      </x:c>
      <x:c r="I576" s="24" t="str">
        <x:v>SW-C-48가9900-3-20250527-165</x:v>
      </x:c>
      <x:c r="J576" s="24" t="str">
        <x:v>권태훈</x:v>
      </x:c>
      <x:c r="K576" s="24" t="str">
        <x:v>구독대여 계약 시작</x:v>
      </x:c>
      <x:c r="L576" s="24" t="str"/>
      <x:c r="M576" s="24" t="str">
        <x:v>하허호</x:v>
      </x:c>
      <x:c r="N576" s="30" t="n">
        <x:v>45804</x:v>
      </x:c>
    </x:row>
    <x:row r="577" ht="17.25" customHeight="1">
      <x:c r="A577" s="24" t="str">
        <x:v>E-00576</x:v>
      </x:c>
      <x:c r="B577" s="24" t="str">
        <x:v>스위치플랜</x:v>
      </x:c>
      <x:c r="C577" s="24" t="str">
        <x:v>48가9900</x:v>
      </x:c>
      <x:c r="D577" s="30" t="n">
        <x:v>45898</x:v>
      </x:c>
      <x:c r="E577" s="24" t="str">
        <x:v>반납</x:v>
      </x:c>
      <x:c r="F577" s="24" t="str">
        <x:v>대여중</x:v>
      </x:c>
      <x:c r="G577" s="24" t="str">
        <x:v>쉬는차</x:v>
      </x:c>
      <x:c r="H577" s="32"/>
      <x:c r="I577" s="24" t="str">
        <x:v>SW-C-48가9900-3-20250527-165</x:v>
      </x:c>
      <x:c r="J577" s="24" t="str">
        <x:v>권태훈</x:v>
      </x:c>
      <x:c r="K577" s="24" t="str">
        <x:v>차량 반납</x:v>
      </x:c>
      <x:c r="L577" s="24" t="str"/>
      <x:c r="M577" s="24" t="str">
        <x:v>하허호</x:v>
      </x:c>
      <x:c r="N577" s="30" t="n">
        <x:v>45898</x:v>
      </x:c>
    </x:row>
    <x:row r="578" ht="17.25" customHeight="1">
      <x:c r="A578" s="24" t="str">
        <x:v>E-00577</x:v>
      </x:c>
      <x:c r="B578" s="24" t="str">
        <x:v>스위치플랜</x:v>
      </x:c>
      <x:c r="C578" s="24" t="str">
        <x:v>48가9900</x:v>
      </x:c>
      <x:c r="D578" s="30" t="n">
        <x:v>45772</x:v>
      </x:c>
      <x:c r="E578" s="24" t="str">
        <x:v>계약시작</x:v>
      </x:c>
      <x:c r="F578" s="24" t="str"/>
      <x:c r="G578" s="24" t="str">
        <x:v>대여중</x:v>
      </x:c>
      <x:c r="H578" s="32" t="n">
        <x:v>910000</x:v>
      </x:c>
      <x:c r="I578" s="24" t="str">
        <x:v>SW-C-48가9900-4-20250425-165</x:v>
      </x:c>
      <x:c r="J578" s="24" t="str">
        <x:v>황우정</x:v>
      </x:c>
      <x:c r="K578" s="24" t="str">
        <x:v>구독대여 계약 시작</x:v>
      </x:c>
      <x:c r="L578" s="24" t="str"/>
      <x:c r="M578" s="24" t="str">
        <x:v>하허호</x:v>
      </x:c>
      <x:c r="N578" s="30" t="n">
        <x:v>45772</x:v>
      </x:c>
    </x:row>
    <x:row r="579" ht="17.25" customHeight="1">
      <x:c r="A579" s="24" t="str">
        <x:v>E-00578</x:v>
      </x:c>
      <x:c r="B579" s="24" t="str">
        <x:v>스위치플랜</x:v>
      </x:c>
      <x:c r="C579" s="24" t="str">
        <x:v>48가9900</x:v>
      </x:c>
      <x:c r="D579" s="30"/>
      <x:c r="E579" s="24" t="str">
        <x:v>반납</x:v>
      </x:c>
      <x:c r="F579" s="24" t="str">
        <x:v>대여중</x:v>
      </x:c>
      <x:c r="G579" s="24" t="str">
        <x:v>쉬는차</x:v>
      </x:c>
      <x:c r="H579" s="32"/>
      <x:c r="I579" s="24" t="str">
        <x:v>SW-C-48가9900-4-20250425-165</x:v>
      </x:c>
      <x:c r="J579" s="24" t="str">
        <x:v>황우정</x:v>
      </x:c>
      <x:c r="K579" s="24" t="str">
        <x:v>차량 반납</x:v>
      </x:c>
      <x:c r="L579" s="24" t="str"/>
      <x:c r="M579" s="24" t="str">
        <x:v>하허호</x:v>
      </x:c>
      <x:c r="N579" s="30"/>
    </x:row>
    <x:row r="580" ht="17.25" customHeight="1">
      <x:c r="A580" s="24" t="str">
        <x:v>E-00579</x:v>
      </x:c>
      <x:c r="B580" s="24" t="str">
        <x:v>스위치플랜</x:v>
      </x:c>
      <x:c r="C580" s="24" t="str">
        <x:v>15마0724</x:v>
      </x:c>
      <x:c r="D580" s="30" t="n">
        <x:v>46212</x:v>
      </x:c>
      <x:c r="E580" s="24" t="str">
        <x:v>반납</x:v>
      </x:c>
      <x:c r="F580" s="24" t="str">
        <x:v>대여중</x:v>
      </x:c>
      <x:c r="G580" s="24" t="str">
        <x:v>쉬는차</x:v>
      </x:c>
      <x:c r="H580" s="32"/>
      <x:c r="I580" s="24" t="str">
        <x:v>SW-C-15마0724-1-NA-166</x:v>
      </x:c>
      <x:c r="J580" s="24" t="str">
        <x:v>매각</x:v>
      </x:c>
      <x:c r="K580" s="24" t="str">
        <x:v>차량 반납</x:v>
      </x:c>
      <x:c r="L580" s="24" t="str"/>
      <x:c r="M580" s="24" t="str"/>
      <x:c r="N580" s="30" t="n">
        <x:v>46212</x:v>
      </x:c>
    </x:row>
    <x:row r="581" ht="17.25" customHeight="1">
      <x:c r="A581" s="24" t="str">
        <x:v>E-00580</x:v>
      </x:c>
      <x:c r="B581" s="24" t="str">
        <x:v>스위치플랜</x:v>
      </x:c>
      <x:c r="C581" s="24" t="str">
        <x:v>15마0724</x:v>
      </x:c>
      <x:c r="D581" s="30" t="n">
        <x:v>45385</x:v>
      </x:c>
      <x:c r="E581" s="24" t="str">
        <x:v>계약시작</x:v>
      </x:c>
      <x:c r="F581" s="24" t="str"/>
      <x:c r="G581" s="24" t="str">
        <x:v>대여중</x:v>
      </x:c>
      <x:c r="H581" s="32" t="n">
        <x:v>650000</x:v>
      </x:c>
      <x:c r="I581" s="24" t="str">
        <x:v>SW-C-15마0724-2-20240403-166</x:v>
      </x:c>
      <x:c r="J581" s="24" t="str">
        <x:v>김세빈</x:v>
      </x:c>
      <x:c r="K581" s="24" t="str">
        <x:v>구독대여 계약 시작</x:v>
      </x:c>
      <x:c r="L581" s="24" t="str"/>
      <x:c r="M581" s="24" t="str">
        <x:v>카랜(주)</x:v>
      </x:c>
      <x:c r="N581" s="30" t="n">
        <x:v>45385</x:v>
      </x:c>
    </x:row>
    <x:row r="582" ht="17.25" customHeight="1">
      <x:c r="A582" s="24" t="str">
        <x:v>E-00581</x:v>
      </x:c>
      <x:c r="B582" s="24" t="str">
        <x:v>스위치플랜</x:v>
      </x:c>
      <x:c r="C582" s="24" t="str">
        <x:v>15마0724</x:v>
      </x:c>
      <x:c r="D582" s="30" t="n">
        <x:v>46090</x:v>
      </x:c>
      <x:c r="E582" s="24" t="str">
        <x:v>반납</x:v>
      </x:c>
      <x:c r="F582" s="24" t="str">
        <x:v>대여중</x:v>
      </x:c>
      <x:c r="G582" s="24" t="str">
        <x:v>쉬는차</x:v>
      </x:c>
      <x:c r="H582" s="32"/>
      <x:c r="I582" s="24" t="str">
        <x:v>SW-C-15마0724-2-20240403-166</x:v>
      </x:c>
      <x:c r="J582" s="24" t="str">
        <x:v>김세빈</x:v>
      </x:c>
      <x:c r="K582" s="24" t="str">
        <x:v>차량 반납</x:v>
      </x:c>
      <x:c r="L582" s="24" t="str"/>
      <x:c r="M582" s="24" t="str">
        <x:v>카랜(주)</x:v>
      </x:c>
      <x:c r="N582" s="30" t="n">
        <x:v>46090</x:v>
      </x:c>
    </x:row>
    <x:row r="583" ht="17.25" customHeight="1">
      <x:c r="A583" s="24" t="str">
        <x:v>E-00582</x:v>
      </x:c>
      <x:c r="B583" s="24" t="str">
        <x:v>스위치플랜</x:v>
      </x:c>
      <x:c r="C583" s="24" t="str">
        <x:v>19무0235</x:v>
      </x:c>
      <x:c r="D583" s="30" t="n">
        <x:v>46212</x:v>
      </x:c>
      <x:c r="E583" s="24" t="str">
        <x:v>반납</x:v>
      </x:c>
      <x:c r="F583" s="24" t="str">
        <x:v>대여중</x:v>
      </x:c>
      <x:c r="G583" s="24" t="str">
        <x:v>쉬는차</x:v>
      </x:c>
      <x:c r="H583" s="32"/>
      <x:c r="I583" s="24" t="str">
        <x:v>SW-C-19무0235-1-NA-167</x:v>
      </x:c>
      <x:c r="J583" s="24" t="str">
        <x:v>매각</x:v>
      </x:c>
      <x:c r="K583" s="24" t="str">
        <x:v>차량 반납</x:v>
      </x:c>
      <x:c r="L583" s="24" t="str"/>
      <x:c r="M583" s="24" t="str"/>
      <x:c r="N583" s="30" t="n">
        <x:v>46212</x:v>
      </x:c>
    </x:row>
    <x:row r="584" ht="17.25" customHeight="1">
      <x:c r="A584" s="24" t="str">
        <x:v>E-00583</x:v>
      </x:c>
      <x:c r="B584" s="24" t="str">
        <x:v>스위치플랜</x:v>
      </x:c>
      <x:c r="C584" s="24" t="str">
        <x:v>19무0235</x:v>
      </x:c>
      <x:c r="D584" s="30" t="n">
        <x:v>45761</x:v>
      </x:c>
      <x:c r="E584" s="24" t="str">
        <x:v>계약시작</x:v>
      </x:c>
      <x:c r="F584" s="24" t="str"/>
      <x:c r="G584" s="24" t="str">
        <x:v>대여중</x:v>
      </x:c>
      <x:c r="H584" s="32" t="n">
        <x:v>780000</x:v>
      </x:c>
      <x:c r="I584" s="24" t="str">
        <x:v>SW-C-19무0235-2-20250414-167</x:v>
      </x:c>
      <x:c r="J584" s="24" t="str">
        <x:v>임명수</x:v>
      </x:c>
      <x:c r="K584" s="24" t="str">
        <x:v>구독대여 계약 시작</x:v>
      </x:c>
      <x:c r="L584" s="24" t="str"/>
      <x:c r="M584" s="24" t="str">
        <x:v>하허호</x:v>
      </x:c>
      <x:c r="N584" s="30" t="n">
        <x:v>45761</x:v>
      </x:c>
    </x:row>
    <x:row r="585" ht="17.25" customHeight="1">
      <x:c r="A585" s="24" t="str">
        <x:v>E-00584</x:v>
      </x:c>
      <x:c r="B585" s="24" t="str">
        <x:v>스위치플랜</x:v>
      </x:c>
      <x:c r="C585" s="24" t="str">
        <x:v>19무0235</x:v>
      </x:c>
      <x:c r="D585" s="30" t="n">
        <x:v>46099</x:v>
      </x:c>
      <x:c r="E585" s="24" t="str">
        <x:v>반납</x:v>
      </x:c>
      <x:c r="F585" s="24" t="str">
        <x:v>대여중</x:v>
      </x:c>
      <x:c r="G585" s="24" t="str">
        <x:v>쉬는차</x:v>
      </x:c>
      <x:c r="H585" s="32"/>
      <x:c r="I585" s="24" t="str">
        <x:v>SW-C-19무0235-2-20250414-167</x:v>
      </x:c>
      <x:c r="J585" s="24" t="str">
        <x:v>임명수</x:v>
      </x:c>
      <x:c r="K585" s="24" t="str">
        <x:v>차량 반납</x:v>
      </x:c>
      <x:c r="L585" s="24" t="str"/>
      <x:c r="M585" s="24" t="str">
        <x:v>하허호</x:v>
      </x:c>
      <x:c r="N585" s="30" t="n">
        <x:v>46099</x:v>
      </x:c>
    </x:row>
    <x:row r="586" ht="17.25" customHeight="1">
      <x:c r="A586" s="24" t="str">
        <x:v>E-00585</x:v>
      </x:c>
      <x:c r="B586" s="24" t="str">
        <x:v>스위치플랜</x:v>
      </x:c>
      <x:c r="C586" s="24" t="str">
        <x:v>19무0235</x:v>
      </x:c>
      <x:c r="D586" s="30" t="n">
        <x:v>45708</x:v>
      </x:c>
      <x:c r="E586" s="24" t="str">
        <x:v>계약시작</x:v>
      </x:c>
      <x:c r="F586" s="24" t="str"/>
      <x:c r="G586" s="24" t="str">
        <x:v>대여중</x:v>
      </x:c>
      <x:c r="H586" s="32" t="n">
        <x:v>780000</x:v>
      </x:c>
      <x:c r="I586" s="24" t="str">
        <x:v>SW-C-19무0235-3-20250220-167</x:v>
      </x:c>
      <x:c r="J586" s="24" t="str">
        <x:v>유혁</x:v>
      </x:c>
      <x:c r="K586" s="24" t="str">
        <x:v>구독대여 계약 시작</x:v>
      </x:c>
      <x:c r="L586" s="24" t="str"/>
      <x:c r="M586" s="24" t="str">
        <x:v>하허호</x:v>
      </x:c>
      <x:c r="N586" s="30" t="n">
        <x:v>45708</x:v>
      </x:c>
    </x:row>
    <x:row r="587" ht="17.25" customHeight="1">
      <x:c r="A587" s="24" t="str">
        <x:v>E-00586</x:v>
      </x:c>
      <x:c r="B587" s="24" t="str">
        <x:v>스위치플랜</x:v>
      </x:c>
      <x:c r="C587" s="24" t="str">
        <x:v>19무0235</x:v>
      </x:c>
      <x:c r="D587" s="30" t="n">
        <x:v>45744</x:v>
      </x:c>
      <x:c r="E587" s="24" t="str">
        <x:v>반납</x:v>
      </x:c>
      <x:c r="F587" s="24" t="str">
        <x:v>대여중</x:v>
      </x:c>
      <x:c r="G587" s="24" t="str">
        <x:v>쉬는차</x:v>
      </x:c>
      <x:c r="H587" s="32"/>
      <x:c r="I587" s="24" t="str">
        <x:v>SW-C-19무0235-3-20250220-167</x:v>
      </x:c>
      <x:c r="J587" s="24" t="str">
        <x:v>유혁</x:v>
      </x:c>
      <x:c r="K587" s="24" t="str">
        <x:v>차량 반납</x:v>
      </x:c>
      <x:c r="L587" s="24" t="str"/>
      <x:c r="M587" s="24" t="str">
        <x:v>하허호</x:v>
      </x:c>
      <x:c r="N587" s="30" t="n">
        <x:v>45744</x:v>
      </x:c>
    </x:row>
    <x:row r="588" ht="17.25" customHeight="1">
      <x:c r="A588" s="24" t="str">
        <x:v>E-00587</x:v>
      </x:c>
      <x:c r="B588" s="24" t="str">
        <x:v>스위치플랜</x:v>
      </x:c>
      <x:c r="C588" s="24" t="str">
        <x:v>19무0235</x:v>
      </x:c>
      <x:c r="D588" s="30" t="n">
        <x:v>45534</x:v>
      </x:c>
      <x:c r="E588" s="24" t="str">
        <x:v>계약시작</x:v>
      </x:c>
      <x:c r="F588" s="24" t="str"/>
      <x:c r="G588" s="24" t="str">
        <x:v>대여중</x:v>
      </x:c>
      <x:c r="H588" s="32" t="n">
        <x:v>820000</x:v>
      </x:c>
      <x:c r="I588" s="24" t="str">
        <x:v>SW-C-19무0235-4-20240830-167</x:v>
      </x:c>
      <x:c r="J588" s="24" t="str">
        <x:v>정상윤</x:v>
      </x:c>
      <x:c r="K588" s="24" t="str">
        <x:v>구독대여 계약 시작</x:v>
      </x:c>
      <x:c r="L588" s="24" t="str"/>
      <x:c r="M588" s="24" t="str">
        <x:v>하허호</x:v>
      </x:c>
      <x:c r="N588" s="30" t="n">
        <x:v>45534</x:v>
      </x:c>
    </x:row>
    <x:row r="589" ht="17.25" customHeight="1">
      <x:c r="A589" s="24" t="str">
        <x:v>E-00588</x:v>
      </x:c>
      <x:c r="B589" s="24" t="str">
        <x:v>스위치플랜</x:v>
      </x:c>
      <x:c r="C589" s="24" t="str">
        <x:v>19무0235</x:v>
      </x:c>
      <x:c r="D589" s="30" t="n">
        <x:v>45688</x:v>
      </x:c>
      <x:c r="E589" s="24" t="str">
        <x:v>반납</x:v>
      </x:c>
      <x:c r="F589" s="24" t="str">
        <x:v>대여중</x:v>
      </x:c>
      <x:c r="G589" s="24" t="str">
        <x:v>쉬는차</x:v>
      </x:c>
      <x:c r="H589" s="32"/>
      <x:c r="I589" s="24" t="str">
        <x:v>SW-C-19무0235-4-20240830-167</x:v>
      </x:c>
      <x:c r="J589" s="24" t="str">
        <x:v>정상윤</x:v>
      </x:c>
      <x:c r="K589" s="24" t="str">
        <x:v>차량 반납</x:v>
      </x:c>
      <x:c r="L589" s="24" t="str"/>
      <x:c r="M589" s="24" t="str">
        <x:v>하허호</x:v>
      </x:c>
      <x:c r="N589" s="30" t="n">
        <x:v>45688</x:v>
      </x:c>
    </x:row>
    <x:row r="590" ht="17.25" customHeight="1">
      <x:c r="A590" s="24" t="str">
        <x:v>E-00589</x:v>
      </x:c>
      <x:c r="B590" s="24" t="str">
        <x:v>스위치플랜</x:v>
      </x:c>
      <x:c r="C590" s="24" t="str">
        <x:v>19무0235</x:v>
      </x:c>
      <x:c r="D590" s="30" t="n">
        <x:v>45811</x:v>
      </x:c>
      <x:c r="E590" s="24" t="str">
        <x:v>계약시작</x:v>
      </x:c>
      <x:c r="F590" s="24" t="str"/>
      <x:c r="G590" s="24" t="str">
        <x:v>대여중</x:v>
      </x:c>
      <x:c r="H590" s="32" t="n">
        <x:v>45447</x:v>
      </x:c>
      <x:c r="I590" s="24" t="str">
        <x:v>SW-C-19무0235-5-20250603-167</x:v>
      </x:c>
      <x:c r="J590" s="24" t="str">
        <x:v>이지용</x:v>
      </x:c>
      <x:c r="K590" s="24" t="str">
        <x:v>구독대여 계약 시작</x:v>
      </x:c>
      <x:c r="L590" s="24" t="str"/>
      <x:c r="M590" s="24" t="str">
        <x:v>카랜(주)</x:v>
      </x:c>
      <x:c r="N590" s="30" t="n">
        <x:v>45811</x:v>
      </x:c>
    </x:row>
    <x:row r="591" ht="17.25" customHeight="1">
      <x:c r="A591" s="24" t="str">
        <x:v>E-00590</x:v>
      </x:c>
      <x:c r="B591" s="24" t="str">
        <x:v>스위치플랜</x:v>
      </x:c>
      <x:c r="C591" s="24" t="str">
        <x:v>19무0235</x:v>
      </x:c>
      <x:c r="D591" s="30"/>
      <x:c r="E591" s="24" t="str">
        <x:v>반납</x:v>
      </x:c>
      <x:c r="F591" s="24" t="str">
        <x:v>대여중</x:v>
      </x:c>
      <x:c r="G591" s="24" t="str">
        <x:v>쉬는차</x:v>
      </x:c>
      <x:c r="H591" s="32"/>
      <x:c r="I591" s="24" t="str">
        <x:v>SW-C-19무0235-5-20250603-167</x:v>
      </x:c>
      <x:c r="J591" s="24" t="str">
        <x:v>이지용</x:v>
      </x:c>
      <x:c r="K591" s="24" t="str">
        <x:v>차량 반납</x:v>
      </x:c>
      <x:c r="L591" s="24" t="str"/>
      <x:c r="M591" s="24" t="str">
        <x:v>카랜(주)</x:v>
      </x:c>
      <x:c r="N591" s="30"/>
    </x:row>
    <x:row r="592" ht="17.25" customHeight="1">
      <x:c r="A592" s="24" t="str">
        <x:v>E-00591</x:v>
      </x:c>
      <x:c r="B592" s="24" t="str">
        <x:v>스위치플랜</x:v>
      </x:c>
      <x:c r="C592" s="24" t="str">
        <x:v>175부9961</x:v>
      </x:c>
      <x:c r="D592" s="30" t="n">
        <x:v>46212</x:v>
      </x:c>
      <x:c r="E592" s="24" t="str">
        <x:v>반납</x:v>
      </x:c>
      <x:c r="F592" s="24" t="str">
        <x:v>대여중</x:v>
      </x:c>
      <x:c r="G592" s="24" t="str">
        <x:v>쉬는차</x:v>
      </x:c>
      <x:c r="H592" s="32"/>
      <x:c r="I592" s="24" t="str">
        <x:v>SW-C-175부9961-1-NA-168</x:v>
      </x:c>
      <x:c r="J592" s="24" t="str">
        <x:v>매각</x:v>
      </x:c>
      <x:c r="K592" s="24" t="str">
        <x:v>차량 반납</x:v>
      </x:c>
      <x:c r="L592" s="24" t="str"/>
      <x:c r="M592" s="24" t="str"/>
      <x:c r="N592" s="30" t="n">
        <x:v>46212</x:v>
      </x:c>
    </x:row>
    <x:row r="593" ht="17.25" customHeight="1">
      <x:c r="A593" s="24" t="str">
        <x:v>E-00592</x:v>
      </x:c>
      <x:c r="B593" s="24" t="str">
        <x:v>스위치플랜</x:v>
      </x:c>
      <x:c r="C593" s="24" t="str">
        <x:v>175부9961</x:v>
      </x:c>
      <x:c r="D593" s="30" t="n">
        <x:v>46036</x:v>
      </x:c>
      <x:c r="E593" s="24" t="str">
        <x:v>계약시작</x:v>
      </x:c>
      <x:c r="F593" s="24" t="str"/>
      <x:c r="G593" s="24" t="str">
        <x:v>대여중</x:v>
      </x:c>
      <x:c r="H593" s="32" t="n">
        <x:v>680000</x:v>
      </x:c>
      <x:c r="I593" s="24" t="str">
        <x:v>SW-C-175부9961-2-20260114-168</x:v>
      </x:c>
      <x:c r="J593" s="24" t="str">
        <x:v>전화춘</x:v>
      </x:c>
      <x:c r="K593" s="24" t="str">
        <x:v>구독대여 계약 시작</x:v>
      </x:c>
      <x:c r="L593" s="24" t="str"/>
      <x:c r="M593" s="24" t="str">
        <x:v>하허호</x:v>
      </x:c>
      <x:c r="N593" s="30" t="n">
        <x:v>46036</x:v>
      </x:c>
    </x:row>
    <x:row r="594" ht="17.25" customHeight="1">
      <x:c r="A594" s="24" t="str">
        <x:v>E-00593</x:v>
      </x:c>
      <x:c r="B594" s="24" t="str">
        <x:v>스위치플랜</x:v>
      </x:c>
      <x:c r="C594" s="24" t="str">
        <x:v>175부9961</x:v>
      </x:c>
      <x:c r="D594" s="30" t="n">
        <x:v>46178</x:v>
      </x:c>
      <x:c r="E594" s="24" t="str">
        <x:v>반납</x:v>
      </x:c>
      <x:c r="F594" s="24" t="str">
        <x:v>대여중</x:v>
      </x:c>
      <x:c r="G594" s="24" t="str">
        <x:v>쉬는차</x:v>
      </x:c>
      <x:c r="H594" s="32"/>
      <x:c r="I594" s="24" t="str">
        <x:v>SW-C-175부9961-2-20260114-168</x:v>
      </x:c>
      <x:c r="J594" s="24" t="str">
        <x:v>전화춘</x:v>
      </x:c>
      <x:c r="K594" s="24" t="str">
        <x:v>차량 반납</x:v>
      </x:c>
      <x:c r="L594" s="24" t="str"/>
      <x:c r="M594" s="24" t="str">
        <x:v>하허호</x:v>
      </x:c>
      <x:c r="N594" s="30" t="n">
        <x:v>46178</x:v>
      </x:c>
    </x:row>
    <x:row r="595" ht="17.25" customHeight="1">
      <x:c r="A595" s="24" t="str">
        <x:v>E-00594</x:v>
      </x:c>
      <x:c r="B595" s="24" t="str">
        <x:v>스위치플랜</x:v>
      </x:c>
      <x:c r="C595" s="24" t="str">
        <x:v>175부9961</x:v>
      </x:c>
      <x:c r="D595" s="30" t="n">
        <x:v>45951</x:v>
      </x:c>
      <x:c r="E595" s="24" t="str">
        <x:v>계약시작</x:v>
      </x:c>
      <x:c r="F595" s="24" t="str"/>
      <x:c r="G595" s="24" t="str">
        <x:v>대여중</x:v>
      </x:c>
      <x:c r="H595" s="32" t="n">
        <x:v>670000</x:v>
      </x:c>
      <x:c r="I595" s="24" t="str">
        <x:v>SW-C-175부9961-3-20251021-168</x:v>
      </x:c>
      <x:c r="J595" s="24" t="str">
        <x:v>진수빈</x:v>
      </x:c>
      <x:c r="K595" s="24" t="str">
        <x:v>구독대여 계약 시작</x:v>
      </x:c>
      <x:c r="L595" s="24" t="str"/>
      <x:c r="M595" s="24" t="str">
        <x:v>하허호</x:v>
      </x:c>
      <x:c r="N595" s="30" t="n">
        <x:v>45951</x:v>
      </x:c>
    </x:row>
    <x:row r="596" ht="17.25" customHeight="1">
      <x:c r="A596" s="24" t="str">
        <x:v>E-00595</x:v>
      </x:c>
      <x:c r="B596" s="24" t="str">
        <x:v>스위치플랜</x:v>
      </x:c>
      <x:c r="C596" s="24" t="str">
        <x:v>175부9961</x:v>
      </x:c>
      <x:c r="D596" s="30" t="n">
        <x:v>45992</x:v>
      </x:c>
      <x:c r="E596" s="24" t="str">
        <x:v>반납</x:v>
      </x:c>
      <x:c r="F596" s="24" t="str">
        <x:v>대여중</x:v>
      </x:c>
      <x:c r="G596" s="24" t="str">
        <x:v>쉬는차</x:v>
      </x:c>
      <x:c r="H596" s="32"/>
      <x:c r="I596" s="24" t="str">
        <x:v>SW-C-175부9961-3-20251021-168</x:v>
      </x:c>
      <x:c r="J596" s="24" t="str">
        <x:v>진수빈</x:v>
      </x:c>
      <x:c r="K596" s="24" t="str">
        <x:v>차량 반납</x:v>
      </x:c>
      <x:c r="L596" s="24" t="str"/>
      <x:c r="M596" s="24" t="str">
        <x:v>하허호</x:v>
      </x:c>
      <x:c r="N596" s="30" t="n">
        <x:v>45992</x:v>
      </x:c>
    </x:row>
    <x:row r="597" ht="17.25" customHeight="1">
      <x:c r="A597" s="24" t="str">
        <x:v>E-00596</x:v>
      </x:c>
      <x:c r="B597" s="24" t="str">
        <x:v>스위치플랜</x:v>
      </x:c>
      <x:c r="C597" s="24" t="str">
        <x:v>175부9961</x:v>
      </x:c>
      <x:c r="D597" s="30" t="n">
        <x:v>45595</x:v>
      </x:c>
      <x:c r="E597" s="24" t="str">
        <x:v>계약시작</x:v>
      </x:c>
      <x:c r="F597" s="24" t="str"/>
      <x:c r="G597" s="24" t="str">
        <x:v>대여중</x:v>
      </x:c>
      <x:c r="H597" s="32" t="n">
        <x:v>770000</x:v>
      </x:c>
      <x:c r="I597" s="24" t="str">
        <x:v>SW-C-175부9961-4-20241030-168</x:v>
      </x:c>
      <x:c r="J597" s="24" t="str">
        <x:v>김진수</x:v>
      </x:c>
      <x:c r="K597" s="24" t="str">
        <x:v>구독대여 계약 시작</x:v>
      </x:c>
      <x:c r="L597" s="24" t="str"/>
      <x:c r="M597" s="24" t="str">
        <x:v>하허호</x:v>
      </x:c>
      <x:c r="N597" s="30" t="n">
        <x:v>45595</x:v>
      </x:c>
    </x:row>
    <x:row r="598" ht="17.25" customHeight="1">
      <x:c r="A598" s="24" t="str">
        <x:v>E-00597</x:v>
      </x:c>
      <x:c r="B598" s="24" t="str">
        <x:v>스위치플랜</x:v>
      </x:c>
      <x:c r="C598" s="24" t="str">
        <x:v>175부9961</x:v>
      </x:c>
      <x:c r="D598" s="30" t="n">
        <x:v>45908</x:v>
      </x:c>
      <x:c r="E598" s="24" t="str">
        <x:v>반납</x:v>
      </x:c>
      <x:c r="F598" s="24" t="str">
        <x:v>대여중</x:v>
      </x:c>
      <x:c r="G598" s="24" t="str">
        <x:v>쉬는차</x:v>
      </x:c>
      <x:c r="H598" s="32"/>
      <x:c r="I598" s="24" t="str">
        <x:v>SW-C-175부9961-4-20241030-168</x:v>
      </x:c>
      <x:c r="J598" s="24" t="str">
        <x:v>김진수</x:v>
      </x:c>
      <x:c r="K598" s="24" t="str">
        <x:v>차량 반납</x:v>
      </x:c>
      <x:c r="L598" s="24" t="str"/>
      <x:c r="M598" s="24" t="str">
        <x:v>하허호</x:v>
      </x:c>
      <x:c r="N598" s="30" t="n">
        <x:v>45908</x:v>
      </x:c>
    </x:row>
    <x:row r="599" ht="17.25" customHeight="1">
      <x:c r="A599" s="24" t="str">
        <x:v>E-00598</x:v>
      </x:c>
      <x:c r="B599" s="24" t="str">
        <x:v>스위치플랜</x:v>
      </x:c>
      <x:c r="C599" s="24" t="str">
        <x:v>175부9961</x:v>
      </x:c>
      <x:c r="D599" s="30" t="n">
        <x:v>45825</x:v>
      </x:c>
      <x:c r="E599" s="24" t="str">
        <x:v>계약시작</x:v>
      </x:c>
      <x:c r="F599" s="24" t="str"/>
      <x:c r="G599" s="24" t="str">
        <x:v>대여중</x:v>
      </x:c>
      <x:c r="H599" s="32" t="n">
        <x:v>45461</x:v>
      </x:c>
      <x:c r="I599" s="24" t="str">
        <x:v>SW-C-175부9961-5-20250617-168</x:v>
      </x:c>
      <x:c r="J599" s="24" t="str">
        <x:v>문수영</x:v>
      </x:c>
      <x:c r="K599" s="24" t="str">
        <x:v>구독대여 계약 시작</x:v>
      </x:c>
      <x:c r="L599" s="24" t="str"/>
      <x:c r="M599" s="24" t="str">
        <x:v>하허호</x:v>
      </x:c>
      <x:c r="N599" s="30" t="n">
        <x:v>45825</x:v>
      </x:c>
    </x:row>
    <x:row r="600" ht="17.25" customHeight="1">
      <x:c r="A600" s="24" t="str">
        <x:v>E-00599</x:v>
      </x:c>
      <x:c r="B600" s="24" t="str">
        <x:v>스위치플랜</x:v>
      </x:c>
      <x:c r="C600" s="24" t="str">
        <x:v>175부9961</x:v>
      </x:c>
      <x:c r="D600" s="30"/>
      <x:c r="E600" s="24" t="str">
        <x:v>반납</x:v>
      </x:c>
      <x:c r="F600" s="24" t="str">
        <x:v>대여중</x:v>
      </x:c>
      <x:c r="G600" s="24" t="str">
        <x:v>쉬는차</x:v>
      </x:c>
      <x:c r="H600" s="32"/>
      <x:c r="I600" s="24" t="str">
        <x:v>SW-C-175부9961-5-20250617-168</x:v>
      </x:c>
      <x:c r="J600" s="24" t="str">
        <x:v>문수영</x:v>
      </x:c>
      <x:c r="K600" s="24" t="str">
        <x:v>차량 반납</x:v>
      </x:c>
      <x:c r="L600" s="24" t="str"/>
      <x:c r="M600" s="24" t="str">
        <x:v>하허호</x:v>
      </x:c>
      <x:c r="N600" s="30"/>
    </x:row>
    <x:row r="601" ht="17.25" customHeight="1">
      <x:c r="A601" s="24" t="str">
        <x:v>E-00600</x:v>
      </x:c>
      <x:c r="B601" s="24" t="str">
        <x:v>스위치플랜</x:v>
      </x:c>
      <x:c r="C601" s="24" t="str">
        <x:v>369두9464</x:v>
      </x:c>
      <x:c r="D601" s="30" t="n">
        <x:v>46216</x:v>
      </x:c>
      <x:c r="E601" s="24" t="str">
        <x:v>반납</x:v>
      </x:c>
      <x:c r="F601" s="24" t="str">
        <x:v>대여중</x:v>
      </x:c>
      <x:c r="G601" s="24" t="str">
        <x:v>쉬는차</x:v>
      </x:c>
      <x:c r="H601" s="32"/>
      <x:c r="I601" s="24" t="str">
        <x:v>SW-C-369두9464-1-NA-169</x:v>
      </x:c>
      <x:c r="J601" s="24" t="str">
        <x:v>매각</x:v>
      </x:c>
      <x:c r="K601" s="24" t="str">
        <x:v>차량 반납</x:v>
      </x:c>
      <x:c r="L601" s="24" t="str"/>
      <x:c r="M601" s="24" t="str"/>
      <x:c r="N601" s="30" t="n">
        <x:v>46216</x:v>
      </x:c>
    </x:row>
    <x:row r="602" ht="17.25" customHeight="1">
      <x:c r="A602" s="24" t="str">
        <x:v>E-00601</x:v>
      </x:c>
      <x:c r="B602" s="24" t="str">
        <x:v>스위치플랜</x:v>
      </x:c>
      <x:c r="C602" s="24" t="str">
        <x:v>369두9464</x:v>
      </x:c>
      <x:c r="D602" s="30" t="n">
        <x:v>45891</x:v>
      </x:c>
      <x:c r="E602" s="24" t="str">
        <x:v>계약시작</x:v>
      </x:c>
      <x:c r="F602" s="24" t="str"/>
      <x:c r="G602" s="24" t="str">
        <x:v>대여중</x:v>
      </x:c>
      <x:c r="H602" s="32" t="n">
        <x:v>850000</x:v>
      </x:c>
      <x:c r="I602" s="24" t="str">
        <x:v>SW-C-369두9464-2-20250822-169</x:v>
      </x:c>
      <x:c r="J602" s="24" t="str">
        <x:v>김민수</x:v>
      </x:c>
      <x:c r="K602" s="24" t="str">
        <x:v>구독대여 계약 시작</x:v>
      </x:c>
      <x:c r="L602" s="24" t="str"/>
      <x:c r="M602" s="24" t="str">
        <x:v>하허호</x:v>
      </x:c>
      <x:c r="N602" s="30" t="n">
        <x:v>45891</x:v>
      </x:c>
    </x:row>
    <x:row r="603" ht="17.25" customHeight="1">
      <x:c r="A603" s="24" t="str">
        <x:v>E-00602</x:v>
      </x:c>
      <x:c r="B603" s="24" t="str">
        <x:v>스위치플랜</x:v>
      </x:c>
      <x:c r="C603" s="24" t="str">
        <x:v>369두9464</x:v>
      </x:c>
      <x:c r="D603" s="30" t="n">
        <x:v>46058</x:v>
      </x:c>
      <x:c r="E603" s="24" t="str">
        <x:v>반납</x:v>
      </x:c>
      <x:c r="F603" s="24" t="str">
        <x:v>대여중</x:v>
      </x:c>
      <x:c r="G603" s="24" t="str">
        <x:v>쉬는차</x:v>
      </x:c>
      <x:c r="H603" s="32"/>
      <x:c r="I603" s="24" t="str">
        <x:v>SW-C-369두9464-2-20250822-169</x:v>
      </x:c>
      <x:c r="J603" s="24" t="str">
        <x:v>김민수</x:v>
      </x:c>
      <x:c r="K603" s="24" t="str">
        <x:v>차량 반납</x:v>
      </x:c>
      <x:c r="L603" s="24" t="str"/>
      <x:c r="M603" s="24" t="str">
        <x:v>하허호</x:v>
      </x:c>
      <x:c r="N603" s="30" t="n">
        <x:v>46058</x:v>
      </x:c>
    </x:row>
    <x:row r="604" ht="17.25" customHeight="1">
      <x:c r="A604" s="24" t="str">
        <x:v>E-00603</x:v>
      </x:c>
      <x:c r="B604" s="24" t="str">
        <x:v>스위치플랜</x:v>
      </x:c>
      <x:c r="C604" s="24" t="str">
        <x:v>369두9464</x:v>
      </x:c>
      <x:c r="D604" s="30" t="n">
        <x:v>45307</x:v>
      </x:c>
      <x:c r="E604" s="24" t="str">
        <x:v>계약시작</x:v>
      </x:c>
      <x:c r="F604" s="24" t="str"/>
      <x:c r="G604" s="24" t="str">
        <x:v>대여중</x:v>
      </x:c>
      <x:c r="H604" s="32" t="n">
        <x:v>1380000</x:v>
      </x:c>
      <x:c r="I604" s="24" t="str">
        <x:v>SW-C-369두9464-3-20240116-169</x:v>
      </x:c>
      <x:c r="J604" s="24" t="str">
        <x:v>닷픽쳐스이엔엠</x:v>
      </x:c>
      <x:c r="K604" s="24" t="str">
        <x:v>구독대여 계약 시작</x:v>
      </x:c>
      <x:c r="L604" s="24" t="str"/>
      <x:c r="M604" s="24" t="str">
        <x:v>SI</x:v>
      </x:c>
      <x:c r="N604" s="30" t="n">
        <x:v>45307</x:v>
      </x:c>
    </x:row>
    <x:row r="605" ht="17.25" customHeight="1">
      <x:c r="A605" s="24" t="str">
        <x:v>E-00604</x:v>
      </x:c>
      <x:c r="B605" s="24" t="str">
        <x:v>스위치플랜</x:v>
      </x:c>
      <x:c r="C605" s="24" t="str">
        <x:v>369두9464</x:v>
      </x:c>
      <x:c r="D605" s="30" t="n">
        <x:v>45849</x:v>
      </x:c>
      <x:c r="E605" s="24" t="str">
        <x:v>반납</x:v>
      </x:c>
      <x:c r="F605" s="24" t="str">
        <x:v>대여중</x:v>
      </x:c>
      <x:c r="G605" s="24" t="str">
        <x:v>쉬는차</x:v>
      </x:c>
      <x:c r="H605" s="32"/>
      <x:c r="I605" s="24" t="str">
        <x:v>SW-C-369두9464-3-20240116-169</x:v>
      </x:c>
      <x:c r="J605" s="24" t="str">
        <x:v>닷픽쳐스이엔엠</x:v>
      </x:c>
      <x:c r="K605" s="24" t="str">
        <x:v>차량 반납</x:v>
      </x:c>
      <x:c r="L605" s="24" t="str"/>
      <x:c r="M605" s="24" t="str">
        <x:v>SI</x:v>
      </x:c>
      <x:c r="N605" s="30" t="n">
        <x:v>45849</x:v>
      </x:c>
    </x:row>
    <x:row r="606" ht="17.25" customHeight="1">
      <x:c r="A606" s="24" t="str">
        <x:v>E-00605</x:v>
      </x:c>
      <x:c r="B606" s="24" t="str">
        <x:v>스위치플랜</x:v>
      </x:c>
      <x:c r="C606" s="24" t="str">
        <x:v>20다0220</x:v>
      </x:c>
      <x:c r="D606" s="30" t="n">
        <x:v>46216</x:v>
      </x:c>
      <x:c r="E606" s="24" t="str">
        <x:v>반납</x:v>
      </x:c>
      <x:c r="F606" s="24" t="str">
        <x:v>대여중</x:v>
      </x:c>
      <x:c r="G606" s="24" t="str">
        <x:v>쉬는차</x:v>
      </x:c>
      <x:c r="H606" s="32"/>
      <x:c r="I606" s="24" t="str">
        <x:v>SW-C-20다0220-1-NA-170</x:v>
      </x:c>
      <x:c r="J606" s="24" t="str">
        <x:v>매각</x:v>
      </x:c>
      <x:c r="K606" s="24" t="str">
        <x:v>차량 반납</x:v>
      </x:c>
      <x:c r="L606" s="24" t="str"/>
      <x:c r="M606" s="24" t="str"/>
      <x:c r="N606" s="30" t="n">
        <x:v>46216</x:v>
      </x:c>
    </x:row>
    <x:row r="607" ht="17.25" customHeight="1">
      <x:c r="A607" s="24" t="str">
        <x:v>E-00606</x:v>
      </x:c>
      <x:c r="B607" s="24" t="str">
        <x:v>스위치플랜</x:v>
      </x:c>
      <x:c r="C607" s="24" t="str">
        <x:v>20다0220</x:v>
      </x:c>
      <x:c r="D607" s="30" t="n">
        <x:v>46001</x:v>
      </x:c>
      <x:c r="E607" s="24" t="str">
        <x:v>계약시작</x:v>
      </x:c>
      <x:c r="F607" s="24" t="str"/>
      <x:c r="G607" s="24" t="str">
        <x:v>대여중</x:v>
      </x:c>
      <x:c r="H607" s="32" t="n">
        <x:v>970000</x:v>
      </x:c>
      <x:c r="I607" s="24" t="str">
        <x:v>SW-C-20다0220-2-20251210-170</x:v>
      </x:c>
      <x:c r="J607" s="24" t="str">
        <x:v>박수범</x:v>
      </x:c>
      <x:c r="K607" s="24" t="str">
        <x:v>구독대여 계약 시작</x:v>
      </x:c>
      <x:c r="L607" s="24" t="str"/>
      <x:c r="M607" s="24" t="str">
        <x:v>하허호</x:v>
      </x:c>
      <x:c r="N607" s="30" t="n">
        <x:v>46001</x:v>
      </x:c>
    </x:row>
    <x:row r="608" ht="17.25" customHeight="1">
      <x:c r="A608" s="24" t="str">
        <x:v>E-00607</x:v>
      </x:c>
      <x:c r="B608" s="24" t="str">
        <x:v>스위치플랜</x:v>
      </x:c>
      <x:c r="C608" s="24" t="str">
        <x:v>20다0220</x:v>
      </x:c>
      <x:c r="D608" s="30" t="n">
        <x:v>46090</x:v>
      </x:c>
      <x:c r="E608" s="24" t="str">
        <x:v>반납</x:v>
      </x:c>
      <x:c r="F608" s="24" t="str">
        <x:v>대여중</x:v>
      </x:c>
      <x:c r="G608" s="24" t="str">
        <x:v>쉬는차</x:v>
      </x:c>
      <x:c r="H608" s="32"/>
      <x:c r="I608" s="24" t="str">
        <x:v>SW-C-20다0220-2-20251210-170</x:v>
      </x:c>
      <x:c r="J608" s="24" t="str">
        <x:v>박수범</x:v>
      </x:c>
      <x:c r="K608" s="24" t="str">
        <x:v>차량 반납</x:v>
      </x:c>
      <x:c r="L608" s="24" t="str"/>
      <x:c r="M608" s="24" t="str">
        <x:v>하허호</x:v>
      </x:c>
      <x:c r="N608" s="30" t="n">
        <x:v>46090</x:v>
      </x:c>
    </x:row>
    <x:row r="609" ht="17.25" customHeight="1">
      <x:c r="A609" s="24" t="str">
        <x:v>E-00608</x:v>
      </x:c>
      <x:c r="B609" s="24" t="str">
        <x:v>스위치플랜</x:v>
      </x:c>
      <x:c r="C609" s="24" t="str">
        <x:v>20다0220</x:v>
      </x:c>
      <x:c r="D609" s="30" t="n">
        <x:v>45946</x:v>
      </x:c>
      <x:c r="E609" s="24" t="str">
        <x:v>계약시작</x:v>
      </x:c>
      <x:c r="F609" s="24" t="str"/>
      <x:c r="G609" s="24" t="str">
        <x:v>대여중</x:v>
      </x:c>
      <x:c r="H609" s="32"/>
      <x:c r="I609" s="24" t="str">
        <x:v>SW-C-20다0220-3-20251016-170</x:v>
      </x:c>
      <x:c r="J609" s="24" t="str">
        <x:v>김성진(조희선)</x:v>
      </x:c>
      <x:c r="K609" s="24" t="str">
        <x:v> 계약 시작</x:v>
      </x:c>
      <x:c r="L609" s="24" t="str"/>
      <x:c r="M609" s="24" t="str"/>
      <x:c r="N609" s="30" t="n">
        <x:v>45946</x:v>
      </x:c>
    </x:row>
    <x:row r="610" ht="17.25" customHeight="1">
      <x:c r="A610" s="24" t="str">
        <x:v>E-00609</x:v>
      </x:c>
      <x:c r="B610" s="24" t="str">
        <x:v>스위치플랜</x:v>
      </x:c>
      <x:c r="C610" s="24" t="str">
        <x:v>20다0220</x:v>
      </x:c>
      <x:c r="D610" s="30" t="n">
        <x:v>45789</x:v>
      </x:c>
      <x:c r="E610" s="24" t="str">
        <x:v>계약시작</x:v>
      </x:c>
      <x:c r="F610" s="24" t="str"/>
      <x:c r="G610" s="24" t="str">
        <x:v>대여중</x:v>
      </x:c>
      <x:c r="H610" s="32" t="n">
        <x:v>1400000</x:v>
      </x:c>
      <x:c r="I610" s="24" t="str">
        <x:v>SW-C-20다0220-4-20250512-170</x:v>
      </x:c>
      <x:c r="J610" s="24" t="str">
        <x:v>이승주</x:v>
      </x:c>
      <x:c r="K610" s="24" t="str">
        <x:v>구독대여 계약 시작</x:v>
      </x:c>
      <x:c r="L610" s="24" t="str"/>
      <x:c r="M610" s="24" t="str">
        <x:v>하허호</x:v>
      </x:c>
      <x:c r="N610" s="30" t="n">
        <x:v>45789</x:v>
      </x:c>
    </x:row>
    <x:row r="611" ht="17.25" customHeight="1">
      <x:c r="A611" s="24" t="str">
        <x:v>E-00610</x:v>
      </x:c>
      <x:c r="B611" s="24" t="str">
        <x:v>스위치플랜</x:v>
      </x:c>
      <x:c r="C611" s="24" t="str">
        <x:v>20다0220</x:v>
      </x:c>
      <x:c r="D611" s="30" t="n">
        <x:v>45875</x:v>
      </x:c>
      <x:c r="E611" s="24" t="str">
        <x:v>반납</x:v>
      </x:c>
      <x:c r="F611" s="24" t="str">
        <x:v>대여중</x:v>
      </x:c>
      <x:c r="G611" s="24" t="str">
        <x:v>쉬는차</x:v>
      </x:c>
      <x:c r="H611" s="32"/>
      <x:c r="I611" s="24" t="str">
        <x:v>SW-C-20다0220-4-20250512-170</x:v>
      </x:c>
      <x:c r="J611" s="24" t="str">
        <x:v>이승주</x:v>
      </x:c>
      <x:c r="K611" s="24" t="str">
        <x:v>차량 반납</x:v>
      </x:c>
      <x:c r="L611" s="24" t="str"/>
      <x:c r="M611" s="24" t="str">
        <x:v>하허호</x:v>
      </x:c>
      <x:c r="N611" s="30" t="n">
        <x:v>45875</x:v>
      </x:c>
    </x:row>
    <x:row r="612" ht="17.25" customHeight="1">
      <x:c r="A612" s="24" t="str">
        <x:v>E-00611</x:v>
      </x:c>
      <x:c r="B612" s="24" t="str">
        <x:v>스위치플랜</x:v>
      </x:c>
      <x:c r="C612" s="24" t="str">
        <x:v>20다0220</x:v>
      </x:c>
      <x:c r="D612" s="30" t="n">
        <x:v>46957</x:v>
      </x:c>
      <x:c r="E612" s="24" t="str">
        <x:v>계약시작</x:v>
      </x:c>
      <x:c r="F612" s="24" t="str"/>
      <x:c r="G612" s="24" t="str">
        <x:v>대여중</x:v>
      </x:c>
      <x:c r="H612" s="32" t="n">
        <x:v>45325</x:v>
      </x:c>
      <x:c r="I612" s="24" t="str">
        <x:v>SW-C-20다0220-5-20280723-170</x:v>
      </x:c>
      <x:c r="J612" s="24" t="str">
        <x:v>조규현</x:v>
      </x:c>
      <x:c r="K612" s="24" t="str">
        <x:v>구독대여 계약 시작</x:v>
      </x:c>
      <x:c r="L612" s="24" t="str"/>
      <x:c r="M612" s="24" t="str">
        <x:v>하허호</x:v>
      </x:c>
      <x:c r="N612" s="30" t="n">
        <x:v>46957</x:v>
      </x:c>
    </x:row>
    <x:row r="613" ht="17.25" customHeight="1">
      <x:c r="A613" s="24" t="str">
        <x:v>E-00612</x:v>
      </x:c>
      <x:c r="B613" s="24" t="str">
        <x:v>스위치플랜</x:v>
      </x:c>
      <x:c r="C613" s="24" t="str">
        <x:v>20다0220</x:v>
      </x:c>
      <x:c r="D613" s="30"/>
      <x:c r="E613" s="24" t="str">
        <x:v>반납</x:v>
      </x:c>
      <x:c r="F613" s="24" t="str">
        <x:v>대여중</x:v>
      </x:c>
      <x:c r="G613" s="24" t="str">
        <x:v>쉬는차</x:v>
      </x:c>
      <x:c r="H613" s="32"/>
      <x:c r="I613" s="24" t="str">
        <x:v>SW-C-20다0220-5-20280723-170</x:v>
      </x:c>
      <x:c r="J613" s="24" t="str">
        <x:v>조규현</x:v>
      </x:c>
      <x:c r="K613" s="24" t="str">
        <x:v>차량 반납</x:v>
      </x:c>
      <x:c r="L613" s="24" t="str"/>
      <x:c r="M613" s="24" t="str">
        <x:v>하허호</x:v>
      </x:c>
      <x:c r="N613" s="30"/>
    </x:row>
    <x:row r="614" ht="17.25" customHeight="1">
      <x:c r="A614" s="24" t="str">
        <x:v>E-00613</x:v>
      </x:c>
      <x:c r="B614" s="24" t="str">
        <x:v>스위치플랜</x:v>
      </x:c>
      <x:c r="C614" s="24" t="str">
        <x:v>20다0220</x:v>
      </x:c>
      <x:c r="D614" s="30" t="n">
        <x:v>46957</x:v>
      </x:c>
      <x:c r="E614" s="24" t="str">
        <x:v>계약시작</x:v>
      </x:c>
      <x:c r="F614" s="24" t="str"/>
      <x:c r="G614" s="24" t="str">
        <x:v>대여중</x:v>
      </x:c>
      <x:c r="H614" s="32" t="n">
        <x:v>45497</x:v>
      </x:c>
      <x:c r="I614" s="24" t="str">
        <x:v>SW-C-20다0220-6-20280723-170</x:v>
      </x:c>
      <x:c r="J614" s="24" t="str">
        <x:v>내셔널 스파이더</x:v>
      </x:c>
      <x:c r="K614" s="24" t="str">
        <x:v>구독대여 계약 시작</x:v>
      </x:c>
      <x:c r="L614" s="24" t="str"/>
      <x:c r="M614" s="24" t="str">
        <x:v>하허호</x:v>
      </x:c>
      <x:c r="N614" s="30" t="n">
        <x:v>46957</x:v>
      </x:c>
    </x:row>
    <x:row r="615" ht="17.25" customHeight="1">
      <x:c r="A615" s="24" t="str">
        <x:v>E-00614</x:v>
      </x:c>
      <x:c r="B615" s="24" t="str">
        <x:v>스위치플랜</x:v>
      </x:c>
      <x:c r="C615" s="24" t="str">
        <x:v>20다0220</x:v>
      </x:c>
      <x:c r="D615" s="30"/>
      <x:c r="E615" s="24" t="str">
        <x:v>반납</x:v>
      </x:c>
      <x:c r="F615" s="24" t="str">
        <x:v>대여중</x:v>
      </x:c>
      <x:c r="G615" s="24" t="str">
        <x:v>쉬는차</x:v>
      </x:c>
      <x:c r="H615" s="32"/>
      <x:c r="I615" s="24" t="str">
        <x:v>SW-C-20다0220-6-20280723-170</x:v>
      </x:c>
      <x:c r="J615" s="24" t="str">
        <x:v>내셔널 스파이더</x:v>
      </x:c>
      <x:c r="K615" s="24" t="str">
        <x:v>차량 반납</x:v>
      </x:c>
      <x:c r="L615" s="24" t="str"/>
      <x:c r="M615" s="24" t="str">
        <x:v>하허호</x:v>
      </x:c>
      <x:c r="N615" s="30"/>
    </x:row>
    <x:row r="616" ht="17.25" customHeight="1">
      <x:c r="A616" s="24" t="str">
        <x:v>E-00615</x:v>
      </x:c>
      <x:c r="B616" s="24" t="str">
        <x:v>스위치플랜</x:v>
      </x:c>
      <x:c r="C616" s="24" t="str">
        <x:v>46누4225</x:v>
      </x:c>
      <x:c r="D616" s="30" t="n">
        <x:v>46217</x:v>
      </x:c>
      <x:c r="E616" s="24" t="str">
        <x:v>반납</x:v>
      </x:c>
      <x:c r="F616" s="24" t="str">
        <x:v>대여중</x:v>
      </x:c>
      <x:c r="G616" s="24" t="str">
        <x:v>쉬는차</x:v>
      </x:c>
      <x:c r="H616" s="32"/>
      <x:c r="I616" s="24" t="str">
        <x:v>SW-C-46누4225-1-NA-171</x:v>
      </x:c>
      <x:c r="J616" s="24" t="str">
        <x:v>매각</x:v>
      </x:c>
      <x:c r="K616" s="24" t="str">
        <x:v>차량 반납</x:v>
      </x:c>
      <x:c r="L616" s="24" t="str"/>
      <x:c r="M616" s="24" t="str"/>
      <x:c r="N616" s="30" t="n">
        <x:v>46217</x:v>
      </x:c>
    </x:row>
    <x:row r="617" ht="17.25" customHeight="1">
      <x:c r="A617" s="24" t="str">
        <x:v>E-00616</x:v>
      </x:c>
      <x:c r="B617" s="24" t="str">
        <x:v>스위치플랜</x:v>
      </x:c>
      <x:c r="C617" s="24" t="str">
        <x:v>46누4225</x:v>
      </x:c>
      <x:c r="D617" s="30" t="n">
        <x:v>46085</x:v>
      </x:c>
      <x:c r="E617" s="24" t="str">
        <x:v>계약시작</x:v>
      </x:c>
      <x:c r="F617" s="24" t="str"/>
      <x:c r="G617" s="24" t="str">
        <x:v>대여중</x:v>
      </x:c>
      <x:c r="H617" s="32" t="n">
        <x:v>1030000</x:v>
      </x:c>
      <x:c r="I617" s="24" t="str">
        <x:v>SW-C-46누4225-2-20260304-171</x:v>
      </x:c>
      <x:c r="J617" s="24" t="str">
        <x:v>김태민</x:v>
      </x:c>
      <x:c r="K617" s="24" t="str">
        <x:v>구독대여 계약 시작</x:v>
      </x:c>
      <x:c r="L617" s="24" t="str"/>
      <x:c r="M617" s="24" t="str">
        <x:v>하허호</x:v>
      </x:c>
      <x:c r="N617" s="30" t="n">
        <x:v>46085</x:v>
      </x:c>
    </x:row>
    <x:row r="618" ht="17.25" customHeight="1">
      <x:c r="A618" s="24" t="str">
        <x:v>E-00617</x:v>
      </x:c>
      <x:c r="B618" s="24" t="str">
        <x:v>스위치플랜</x:v>
      </x:c>
      <x:c r="C618" s="24" t="str">
        <x:v>46누4225</x:v>
      </x:c>
      <x:c r="D618" s="30" t="n">
        <x:v>46209</x:v>
      </x:c>
      <x:c r="E618" s="24" t="str">
        <x:v>반납</x:v>
      </x:c>
      <x:c r="F618" s="24" t="str">
        <x:v>대여중</x:v>
      </x:c>
      <x:c r="G618" s="24" t="str">
        <x:v>쉬는차</x:v>
      </x:c>
      <x:c r="H618" s="32"/>
      <x:c r="I618" s="24" t="str">
        <x:v>SW-C-46누4225-2-20260304-171</x:v>
      </x:c>
      <x:c r="J618" s="24" t="str">
        <x:v>김태민</x:v>
      </x:c>
      <x:c r="K618" s="24" t="str">
        <x:v>차량 반납</x:v>
      </x:c>
      <x:c r="L618" s="24" t="str"/>
      <x:c r="M618" s="24" t="str">
        <x:v>하허호</x:v>
      </x:c>
      <x:c r="N618" s="30" t="n">
        <x:v>46209</x:v>
      </x:c>
    </x:row>
    <x:row r="619" ht="17.25" customHeight="1">
      <x:c r="A619" s="24" t="str">
        <x:v>E-00618</x:v>
      </x:c>
      <x:c r="B619" s="24" t="str">
        <x:v>스위치플랜</x:v>
      </x:c>
      <x:c r="C619" s="24" t="str">
        <x:v>46누4225</x:v>
      </x:c>
      <x:c r="D619" s="30" t="n">
        <x:v>45843</x:v>
      </x:c>
      <x:c r="E619" s="24" t="str">
        <x:v>계약시작</x:v>
      </x:c>
      <x:c r="F619" s="24" t="str"/>
      <x:c r="G619" s="24" t="str">
        <x:v>대여중</x:v>
      </x:c>
      <x:c r="H619" s="32" t="n">
        <x:v>1030000</x:v>
      </x:c>
      <x:c r="I619" s="24" t="str">
        <x:v>SW-C-46누4225-3-20250705-171</x:v>
      </x:c>
      <x:c r="J619" s="24" t="str">
        <x:v>나주영</x:v>
      </x:c>
      <x:c r="K619" s="24" t="str">
        <x:v>구독대여 계약 시작</x:v>
      </x:c>
      <x:c r="L619" s="24" t="str"/>
      <x:c r="M619" s="24" t="str">
        <x:v>하허호</x:v>
      </x:c>
      <x:c r="N619" s="30" t="n">
        <x:v>45843</x:v>
      </x:c>
    </x:row>
    <x:row r="620" ht="17.25" customHeight="1">
      <x:c r="A620" s="24" t="str">
        <x:v>E-00619</x:v>
      </x:c>
      <x:c r="B620" s="24" t="str">
        <x:v>스위치플랜</x:v>
      </x:c>
      <x:c r="C620" s="24" t="str">
        <x:v>46누4225</x:v>
      </x:c>
      <x:c r="D620" s="30"/>
      <x:c r="E620" s="24" t="str">
        <x:v>반납</x:v>
      </x:c>
      <x:c r="F620" s="24" t="str">
        <x:v>대여중</x:v>
      </x:c>
      <x:c r="G620" s="24" t="str">
        <x:v>쉬는차</x:v>
      </x:c>
      <x:c r="H620" s="32"/>
      <x:c r="I620" s="24" t="str">
        <x:v>SW-C-46누4225-3-20250705-171</x:v>
      </x:c>
      <x:c r="J620" s="24" t="str">
        <x:v>나주영</x:v>
      </x:c>
      <x:c r="K620" s="24" t="str">
        <x:v>차량 반납</x:v>
      </x:c>
      <x:c r="L620" s="24" t="str"/>
      <x:c r="M620" s="24" t="str">
        <x:v>하허호</x:v>
      </x:c>
      <x:c r="N620" s="30"/>
    </x:row>
    <x:row r="621" ht="17.25" customHeight="1">
      <x:c r="A621" s="24" t="str">
        <x:v>E-00620</x:v>
      </x:c>
      <x:c r="B621" s="24" t="str">
        <x:v>스위치플랜</x:v>
      </x:c>
      <x:c r="C621" s="24" t="str">
        <x:v>158수3389</x:v>
      </x:c>
      <x:c r="D621" s="30" t="n">
        <x:v>46216</x:v>
      </x:c>
      <x:c r="E621" s="24" t="str">
        <x:v>반납</x:v>
      </x:c>
      <x:c r="F621" s="24" t="str">
        <x:v>대여중</x:v>
      </x:c>
      <x:c r="G621" s="24" t="str">
        <x:v>쉬는차</x:v>
      </x:c>
      <x:c r="H621" s="32"/>
      <x:c r="I621" s="24" t="str">
        <x:v>SW-C-158수3389-1-NA-172</x:v>
      </x:c>
      <x:c r="J621" s="24" t="str">
        <x:v>매각</x:v>
      </x:c>
      <x:c r="K621" s="24" t="str">
        <x:v>차량 반납</x:v>
      </x:c>
      <x:c r="L621" s="24" t="str"/>
      <x:c r="M621" s="24" t="str"/>
      <x:c r="N621" s="30" t="n">
        <x:v>46216</x:v>
      </x:c>
    </x:row>
    <x:row r="622" ht="17.25" customHeight="1">
      <x:c r="A622" s="24" t="str">
        <x:v>E-00621</x:v>
      </x:c>
      <x:c r="B622" s="24" t="str">
        <x:v>스위치플랜</x:v>
      </x:c>
      <x:c r="C622" s="24" t="str">
        <x:v>158수3389</x:v>
      </x:c>
      <x:c r="D622" s="30" t="n">
        <x:v>45569</x:v>
      </x:c>
      <x:c r="E622" s="24" t="str">
        <x:v>계약시작</x:v>
      </x:c>
      <x:c r="F622" s="24" t="str"/>
      <x:c r="G622" s="24" t="str">
        <x:v>대여중</x:v>
      </x:c>
      <x:c r="H622" s="32" t="n">
        <x:v>910000</x:v>
      </x:c>
      <x:c r="I622" s="24" t="str">
        <x:v>SW-C-158수3389-2-20241004-172</x:v>
      </x:c>
      <x:c r="J622" s="24" t="str">
        <x:v>안승현</x:v>
      </x:c>
      <x:c r="K622" s="24" t="str">
        <x:v>구독대여 계약 시작</x:v>
      </x:c>
      <x:c r="L622" s="24" t="str"/>
      <x:c r="M622" s="24" t="str">
        <x:v>하허호</x:v>
      </x:c>
      <x:c r="N622" s="30" t="n">
        <x:v>45569</x:v>
      </x:c>
    </x:row>
    <x:row r="623" ht="17.25" customHeight="1">
      <x:c r="A623" s="24" t="str">
        <x:v>E-00622</x:v>
      </x:c>
      <x:c r="B623" s="24" t="str">
        <x:v>스위치플랜</x:v>
      </x:c>
      <x:c r="C623" s="24" t="str">
        <x:v>158수3389</x:v>
      </x:c>
      <x:c r="D623" s="30" t="n">
        <x:v>46188</x:v>
      </x:c>
      <x:c r="E623" s="24" t="str">
        <x:v>반납</x:v>
      </x:c>
      <x:c r="F623" s="24" t="str">
        <x:v>대여중</x:v>
      </x:c>
      <x:c r="G623" s="24" t="str">
        <x:v>쉬는차</x:v>
      </x:c>
      <x:c r="H623" s="32"/>
      <x:c r="I623" s="24" t="str">
        <x:v>SW-C-158수3389-2-20241004-172</x:v>
      </x:c>
      <x:c r="J623" s="24" t="str">
        <x:v>안승현</x:v>
      </x:c>
      <x:c r="K623" s="24" t="str">
        <x:v>차량 반납</x:v>
      </x:c>
      <x:c r="L623" s="24" t="str"/>
      <x:c r="M623" s="24" t="str">
        <x:v>하허호</x:v>
      </x:c>
      <x:c r="N623" s="30" t="n">
        <x:v>46188</x:v>
      </x:c>
    </x:row>
    <x:row r="624" ht="17.25" customHeight="1">
      <x:c r="A624" s="24" t="str">
        <x:v>E-00623</x:v>
      </x:c>
      <x:c r="B624" s="24" t="str">
        <x:v>스위치플랜</x:v>
      </x:c>
      <x:c r="C624" s="24" t="str">
        <x:v>249구6262</x:v>
      </x:c>
      <x:c r="D624" s="30" t="n">
        <x:v>46216</x:v>
      </x:c>
      <x:c r="E624" s="24" t="str">
        <x:v>반납</x:v>
      </x:c>
      <x:c r="F624" s="24" t="str">
        <x:v>대여중</x:v>
      </x:c>
      <x:c r="G624" s="24" t="str">
        <x:v>쉬는차</x:v>
      </x:c>
      <x:c r="H624" s="32"/>
      <x:c r="I624" s="24" t="str">
        <x:v>SW-C-249구6262-1-NA-173</x:v>
      </x:c>
      <x:c r="J624" s="24" t="str">
        <x:v>매각</x:v>
      </x:c>
      <x:c r="K624" s="24" t="str">
        <x:v>차량 반납</x:v>
      </x:c>
      <x:c r="L624" s="24" t="str"/>
      <x:c r="M624" s="24" t="str"/>
      <x:c r="N624" s="30" t="n">
        <x:v>46216</x:v>
      </x:c>
    </x:row>
    <x:row r="625" ht="17.25" customHeight="1">
      <x:c r="A625" s="24" t="str">
        <x:v>E-00624</x:v>
      </x:c>
      <x:c r="B625" s="24" t="str">
        <x:v>스위치플랜</x:v>
      </x:c>
      <x:c r="C625" s="24" t="str">
        <x:v>249구6262</x:v>
      </x:c>
      <x:c r="D625" s="30" t="n">
        <x:v>45555</x:v>
      </x:c>
      <x:c r="E625" s="24" t="str">
        <x:v>계약시작</x:v>
      </x:c>
      <x:c r="F625" s="24" t="str"/>
      <x:c r="G625" s="24" t="str">
        <x:v>대여중</x:v>
      </x:c>
      <x:c r="H625" s="32" t="n">
        <x:v>1260000</x:v>
      </x:c>
      <x:c r="I625" s="24" t="str">
        <x:v>SW-C-249구6262-2-20240920-173</x:v>
      </x:c>
      <x:c r="J625" s="24" t="str">
        <x:v>임지용</x:v>
      </x:c>
      <x:c r="K625" s="24" t="str">
        <x:v>구독대여 계약 시작</x:v>
      </x:c>
      <x:c r="L625" s="24" t="str"/>
      <x:c r="M625" s="24" t="str">
        <x:v>하허호</x:v>
      </x:c>
      <x:c r="N625" s="30" t="n">
        <x:v>45555</x:v>
      </x:c>
    </x:row>
    <x:row r="626" ht="17.25" customHeight="1">
      <x:c r="A626" s="24" t="str">
        <x:v>E-00625</x:v>
      </x:c>
      <x:c r="B626" s="24" t="str">
        <x:v>스위치플랜</x:v>
      </x:c>
      <x:c r="C626" s="24" t="str">
        <x:v>249구6262</x:v>
      </x:c>
      <x:c r="D626" s="30"/>
      <x:c r="E626" s="24" t="str">
        <x:v>반납</x:v>
      </x:c>
      <x:c r="F626" s="24" t="str">
        <x:v>대여중</x:v>
      </x:c>
      <x:c r="G626" s="24" t="str">
        <x:v>쉬는차</x:v>
      </x:c>
      <x:c r="H626" s="32"/>
      <x:c r="I626" s="24" t="str">
        <x:v>SW-C-249구6262-2-20240920-173</x:v>
      </x:c>
      <x:c r="J626" s="24" t="str">
        <x:v>임지용</x:v>
      </x:c>
      <x:c r="K626" s="24" t="str">
        <x:v>차량 반납</x:v>
      </x:c>
      <x:c r="L626" s="24" t="str"/>
      <x:c r="M626" s="24" t="str">
        <x:v>하허호</x:v>
      </x:c>
      <x:c r="N626" s="30"/>
    </x:row>
    <x:row r="627" ht="17.25" customHeight="1">
      <x:c r="A627" s="24" t="str">
        <x:v>E-00626</x:v>
      </x:c>
      <x:c r="B627" s="24" t="str">
        <x:v>스위치플랜</x:v>
      </x:c>
      <x:c r="C627" s="24" t="str">
        <x:v>26구0535</x:v>
      </x:c>
      <x:c r="D627" s="30" t="n">
        <x:v>45411</x:v>
      </x:c>
      <x:c r="E627" s="24" t="str">
        <x:v>계약시작</x:v>
      </x:c>
      <x:c r="F627" s="24" t="str"/>
      <x:c r="G627" s="24" t="str">
        <x:v>대여중</x:v>
      </x:c>
      <x:c r="H627" s="32" t="n">
        <x:v>730000</x:v>
      </x:c>
      <x:c r="I627" s="24" t="str">
        <x:v>SW-C-26구0535-2-20240429-174</x:v>
      </x:c>
      <x:c r="J627" s="24" t="str">
        <x:v>김효빈</x:v>
      </x:c>
      <x:c r="K627" s="24" t="str">
        <x:v>구독대여 계약 시작</x:v>
      </x:c>
      <x:c r="L627" s="24" t="str"/>
      <x:c r="M627" s="24" t="str">
        <x:v>카랜(주)</x:v>
      </x:c>
      <x:c r="N627" s="30" t="n">
        <x:v>45411</x:v>
      </x:c>
    </x:row>
    <x:row r="628" ht="17.25" customHeight="1">
      <x:c r="A628" s="24" t="str">
        <x:v>E-00627</x:v>
      </x:c>
      <x:c r="B628" s="24" t="str">
        <x:v>스위치플랜</x:v>
      </x:c>
      <x:c r="C628" s="24" t="str">
        <x:v>26구0535</x:v>
      </x:c>
      <x:c r="D628" s="30" t="n">
        <x:v>45918</x:v>
      </x:c>
      <x:c r="E628" s="24" t="str">
        <x:v>반납</x:v>
      </x:c>
      <x:c r="F628" s="24" t="str">
        <x:v>대여중</x:v>
      </x:c>
      <x:c r="G628" s="24" t="str">
        <x:v>쉬는차</x:v>
      </x:c>
      <x:c r="H628" s="32"/>
      <x:c r="I628" s="24" t="str">
        <x:v>SW-C-26구0535-2-20240429-174</x:v>
      </x:c>
      <x:c r="J628" s="24" t="str">
        <x:v>김효빈</x:v>
      </x:c>
      <x:c r="K628" s="24" t="str">
        <x:v>차량 반납</x:v>
      </x:c>
      <x:c r="L628" s="24" t="str"/>
      <x:c r="M628" s="24" t="str">
        <x:v>카랜(주)</x:v>
      </x:c>
      <x:c r="N628" s="30" t="n">
        <x:v>45918</x:v>
      </x:c>
    </x:row>
    <x:row r="629" ht="17.25" customHeight="1">
      <x:c r="A629" s="24" t="str">
        <x:v>E-00628</x:v>
      </x:c>
      <x:c r="B629" s="24" t="str">
        <x:v>스위치플랜</x:v>
      </x:c>
      <x:c r="C629" s="24" t="str">
        <x:v>379우2017</x:v>
      </x:c>
      <x:c r="D629" s="30" t="n">
        <x:v>46177</x:v>
      </x:c>
      <x:c r="E629" s="24" t="str">
        <x:v>계약시작</x:v>
      </x:c>
      <x:c r="F629" s="24" t="str"/>
      <x:c r="G629" s="24" t="str">
        <x:v>대여중</x:v>
      </x:c>
      <x:c r="H629" s="32" t="n">
        <x:v>980000</x:v>
      </x:c>
      <x:c r="I629" s="24" t="str">
        <x:v>SW-C-379우2017-2-20260604-175</x:v>
      </x:c>
      <x:c r="J629" s="24" t="str">
        <x:v>박진학</x:v>
      </x:c>
      <x:c r="K629" s="24" t="str">
        <x:v>구독대여 계약 시작</x:v>
      </x:c>
      <x:c r="L629" s="24" t="str"/>
      <x:c r="M629" s="24" t="str">
        <x:v>하허호</x:v>
      </x:c>
      <x:c r="N629" s="30" t="n">
        <x:v>46177</x:v>
      </x:c>
    </x:row>
    <x:row r="630" ht="17.25" customHeight="1">
      <x:c r="A630" s="24" t="str">
        <x:v>E-00629</x:v>
      </x:c>
      <x:c r="B630" s="24" t="str">
        <x:v>스위치플랜</x:v>
      </x:c>
      <x:c r="C630" s="24" t="str">
        <x:v>379우2017</x:v>
      </x:c>
      <x:c r="D630" s="30" t="n">
        <x:v>46223</x:v>
      </x:c>
      <x:c r="E630" s="24" t="str">
        <x:v>반납</x:v>
      </x:c>
      <x:c r="F630" s="24" t="str">
        <x:v>대여중</x:v>
      </x:c>
      <x:c r="G630" s="24" t="str">
        <x:v>쉬는차</x:v>
      </x:c>
      <x:c r="H630" s="32"/>
      <x:c r="I630" s="24" t="str">
        <x:v>SW-C-379우2017-2-20260604-175</x:v>
      </x:c>
      <x:c r="J630" s="24" t="str">
        <x:v>박진학</x:v>
      </x:c>
      <x:c r="K630" s="24" t="str">
        <x:v>차량 반납</x:v>
      </x:c>
      <x:c r="L630" s="24" t="str"/>
      <x:c r="M630" s="24" t="str">
        <x:v>하허호</x:v>
      </x:c>
      <x:c r="N630" s="30" t="n">
        <x:v>46223</x:v>
      </x:c>
    </x:row>
    <x:row r="631" ht="17.25" customHeight="1">
      <x:c r="A631" s="24" t="str">
        <x:v>E-00630</x:v>
      </x:c>
      <x:c r="B631" s="24" t="str">
        <x:v>스위치플랜</x:v>
      </x:c>
      <x:c r="C631" s="24" t="str">
        <x:v>379우2017</x:v>
      </x:c>
      <x:c r="D631" s="30" t="n">
        <x:v>45805</x:v>
      </x:c>
      <x:c r="E631" s="24" t="str">
        <x:v>계약시작</x:v>
      </x:c>
      <x:c r="F631" s="24" t="str"/>
      <x:c r="G631" s="24" t="str">
        <x:v>대여중</x:v>
      </x:c>
      <x:c r="H631" s="32" t="n">
        <x:v>1600000</x:v>
      </x:c>
      <x:c r="I631" s="24" t="str">
        <x:v>SW-C-379우2017-3-20250528-175</x:v>
      </x:c>
      <x:c r="J631" s="24" t="str">
        <x:v>백준열</x:v>
      </x:c>
      <x:c r="K631" s="24" t="str">
        <x:v>구독대여 계약 시작</x:v>
      </x:c>
      <x:c r="L631" s="24" t="str"/>
      <x:c r="M631" s="24" t="str">
        <x:v>하허호</x:v>
      </x:c>
      <x:c r="N631" s="30" t="n">
        <x:v>45805</x:v>
      </x:c>
    </x:row>
    <x:row r="632" ht="17.25" customHeight="1">
      <x:c r="A632" s="24" t="str">
        <x:v>E-00631</x:v>
      </x:c>
      <x:c r="B632" s="24" t="str">
        <x:v>스위치플랜</x:v>
      </x:c>
      <x:c r="C632" s="24" t="str">
        <x:v>379우2017</x:v>
      </x:c>
      <x:c r="D632" s="30" t="n">
        <x:v>45985</x:v>
      </x:c>
      <x:c r="E632" s="24" t="str">
        <x:v>반납</x:v>
      </x:c>
      <x:c r="F632" s="24" t="str">
        <x:v>대여중</x:v>
      </x:c>
      <x:c r="G632" s="24" t="str">
        <x:v>쉬는차</x:v>
      </x:c>
      <x:c r="H632" s="32"/>
      <x:c r="I632" s="24" t="str">
        <x:v>SW-C-379우2017-3-20250528-175</x:v>
      </x:c>
      <x:c r="J632" s="24" t="str">
        <x:v>백준열</x:v>
      </x:c>
      <x:c r="K632" s="24" t="str">
        <x:v>차량 반납</x:v>
      </x:c>
      <x:c r="L632" s="24" t="str"/>
      <x:c r="M632" s="24" t="str">
        <x:v>하허호</x:v>
      </x:c>
      <x:c r="N632" s="30" t="n">
        <x:v>45985</x:v>
      </x:c>
    </x:row>
    <x:row r="633" ht="17.25" customHeight="1">
      <x:c r="A633" s="24" t="str">
        <x:v>E-00632</x:v>
      </x:c>
      <x:c r="B633" s="24" t="str">
        <x:v>스위치플랜</x:v>
      </x:c>
      <x:c r="C633" s="24" t="str">
        <x:v>163조9326</x:v>
      </x:c>
      <x:c r="D633" s="30" t="n">
        <x:v>46149</x:v>
      </x:c>
      <x:c r="E633" s="24" t="str">
        <x:v>계약시작</x:v>
      </x:c>
      <x:c r="F633" s="24" t="str"/>
      <x:c r="G633" s="24" t="str">
        <x:v>대여중</x:v>
      </x:c>
      <x:c r="H633" s="32" t="n">
        <x:v>580000</x:v>
      </x:c>
      <x:c r="I633" s="24" t="str">
        <x:v>SW-C-163조9326-2-20260507-176</x:v>
      </x:c>
      <x:c r="J633" s="24" t="str">
        <x:v>유혁</x:v>
      </x:c>
      <x:c r="K633" s="24" t="str">
        <x:v>구독대여 계약 시작</x:v>
      </x:c>
      <x:c r="L633" s="24" t="str"/>
      <x:c r="M633" s="24" t="str">
        <x:v>하허호</x:v>
      </x:c>
      <x:c r="N633" s="30" t="n">
        <x:v>46149</x:v>
      </x:c>
    </x:row>
    <x:row r="634" ht="17.25" customHeight="1">
      <x:c r="A634" s="24" t="str">
        <x:v>E-00633</x:v>
      </x:c>
      <x:c r="B634" s="24" t="str">
        <x:v>스위치플랜</x:v>
      </x:c>
      <x:c r="C634" s="24" t="str">
        <x:v>163조9326</x:v>
      </x:c>
      <x:c r="D634" s="30" t="n">
        <x:v>46212</x:v>
      </x:c>
      <x:c r="E634" s="24" t="str">
        <x:v>반납</x:v>
      </x:c>
      <x:c r="F634" s="24" t="str">
        <x:v>대여중</x:v>
      </x:c>
      <x:c r="G634" s="24" t="str">
        <x:v>쉬는차</x:v>
      </x:c>
      <x:c r="H634" s="32"/>
      <x:c r="I634" s="24" t="str">
        <x:v>SW-C-163조9326-2-20260507-176</x:v>
      </x:c>
      <x:c r="J634" s="24" t="str">
        <x:v>유혁</x:v>
      </x:c>
      <x:c r="K634" s="24" t="str">
        <x:v>차량 반납</x:v>
      </x:c>
      <x:c r="L634" s="24" t="str"/>
      <x:c r="M634" s="24" t="str">
        <x:v>하허호</x:v>
      </x:c>
      <x:c r="N634" s="30" t="n">
        <x:v>46212</x:v>
      </x:c>
    </x:row>
    <x:row r="635" ht="17.25" customHeight="1">
      <x:c r="A635" s="24" t="str">
        <x:v>E-00634</x:v>
      </x:c>
      <x:c r="B635" s="24" t="str">
        <x:v>스위치플랜</x:v>
      </x:c>
      <x:c r="C635" s="24" t="str">
        <x:v>163조9326</x:v>
      </x:c>
      <x:c r="D635" s="30" t="n">
        <x:v>46037</x:v>
      </x:c>
      <x:c r="E635" s="24" t="str">
        <x:v>계약시작</x:v>
      </x:c>
      <x:c r="F635" s="24" t="str"/>
      <x:c r="G635" s="24" t="str">
        <x:v>대여중</x:v>
      </x:c>
      <x:c r="H635" s="32" t="n">
        <x:v>700000</x:v>
      </x:c>
      <x:c r="I635" s="24" t="str">
        <x:v>SW-C-163조9326-3-20260115-176</x:v>
      </x:c>
      <x:c r="J635" s="24" t="str">
        <x:v>김영환</x:v>
      </x:c>
      <x:c r="K635" s="24" t="str">
        <x:v>구독대여 계약 시작</x:v>
      </x:c>
      <x:c r="L635" s="24" t="str"/>
      <x:c r="M635" s="24" t="str">
        <x:v>하허호</x:v>
      </x:c>
      <x:c r="N635" s="30" t="n">
        <x:v>46037</x:v>
      </x:c>
    </x:row>
    <x:row r="636" ht="17.25" customHeight="1">
      <x:c r="A636" s="24" t="str">
        <x:v>E-00635</x:v>
      </x:c>
      <x:c r="B636" s="24" t="str">
        <x:v>스위치플랜</x:v>
      </x:c>
      <x:c r="C636" s="24" t="str">
        <x:v>163조9326</x:v>
      </x:c>
      <x:c r="D636" s="30" t="n">
        <x:v>46125</x:v>
      </x:c>
      <x:c r="E636" s="24" t="str">
        <x:v>반납</x:v>
      </x:c>
      <x:c r="F636" s="24" t="str">
        <x:v>대여중</x:v>
      </x:c>
      <x:c r="G636" s="24" t="str">
        <x:v>쉬는차</x:v>
      </x:c>
      <x:c r="H636" s="32"/>
      <x:c r="I636" s="24" t="str">
        <x:v>SW-C-163조9326-3-20260115-176</x:v>
      </x:c>
      <x:c r="J636" s="24" t="str">
        <x:v>김영환</x:v>
      </x:c>
      <x:c r="K636" s="24" t="str">
        <x:v>차량 반납</x:v>
      </x:c>
      <x:c r="L636" s="24" t="str"/>
      <x:c r="M636" s="24" t="str">
        <x:v>하허호</x:v>
      </x:c>
      <x:c r="N636" s="30" t="n">
        <x:v>46125</x:v>
      </x:c>
    </x:row>
    <x:row r="637" ht="17.25" customHeight="1">
      <x:c r="A637" s="24" t="str">
        <x:v>E-00636</x:v>
      </x:c>
      <x:c r="B637" s="24" t="str">
        <x:v>스위치플랜</x:v>
      </x:c>
      <x:c r="C637" s="24" t="str">
        <x:v>163조9326</x:v>
      </x:c>
      <x:c r="D637" s="30" t="n">
        <x:v>45912</x:v>
      </x:c>
      <x:c r="E637" s="24" t="str">
        <x:v>계약시작</x:v>
      </x:c>
      <x:c r="F637" s="24" t="str"/>
      <x:c r="G637" s="24" t="str">
        <x:v>대여중</x:v>
      </x:c>
      <x:c r="H637" s="32" t="n">
        <x:v>700000</x:v>
      </x:c>
      <x:c r="I637" s="24" t="str">
        <x:v>SW-C-163조9326-4-20250912-176</x:v>
      </x:c>
      <x:c r="J637" s="24" t="str">
        <x:v>이민혁9326</x:v>
      </x:c>
      <x:c r="K637" s="24" t="str">
        <x:v>구독대여 계약 시작</x:v>
      </x:c>
      <x:c r="L637" s="24" t="str"/>
      <x:c r="M637" s="24" t="str">
        <x:v>하허호</x:v>
      </x:c>
      <x:c r="N637" s="30" t="n">
        <x:v>45912</x:v>
      </x:c>
    </x:row>
    <x:row r="638" ht="17.25" customHeight="1">
      <x:c r="A638" s="24" t="str">
        <x:v>E-00637</x:v>
      </x:c>
      <x:c r="B638" s="24" t="str">
        <x:v>스위치플랜</x:v>
      </x:c>
      <x:c r="C638" s="24" t="str">
        <x:v>163조9326</x:v>
      </x:c>
      <x:c r="D638" s="30" t="n">
        <x:v>46020</x:v>
      </x:c>
      <x:c r="E638" s="24" t="str">
        <x:v>반납</x:v>
      </x:c>
      <x:c r="F638" s="24" t="str">
        <x:v>대여중</x:v>
      </x:c>
      <x:c r="G638" s="24" t="str">
        <x:v>쉬는차</x:v>
      </x:c>
      <x:c r="H638" s="32"/>
      <x:c r="I638" s="24" t="str">
        <x:v>SW-C-163조9326-4-20250912-176</x:v>
      </x:c>
      <x:c r="J638" s="24" t="str">
        <x:v>이민혁9326</x:v>
      </x:c>
      <x:c r="K638" s="24" t="str">
        <x:v>차량 반납</x:v>
      </x:c>
      <x:c r="L638" s="24" t="str"/>
      <x:c r="M638" s="24" t="str">
        <x:v>하허호</x:v>
      </x:c>
      <x:c r="N638" s="30" t="n">
        <x:v>46020</x:v>
      </x:c>
    </x:row>
    <x:row r="639" ht="17.25" customHeight="1">
      <x:c r="A639" s="24" t="str">
        <x:v>E-00638</x:v>
      </x:c>
      <x:c r="B639" s="24" t="str">
        <x:v>스위치플랜</x:v>
      </x:c>
      <x:c r="C639" s="24" t="str">
        <x:v>163조9326</x:v>
      </x:c>
      <x:c r="D639" s="30" t="n">
        <x:v>47309</x:v>
      </x:c>
      <x:c r="E639" s="24" t="str">
        <x:v>계약시작</x:v>
      </x:c>
      <x:c r="F639" s="24" t="str"/>
      <x:c r="G639" s="24" t="str">
        <x:v>대여중</x:v>
      </x:c>
      <x:c r="H639" s="32" t="n">
        <x:v>45849</x:v>
      </x:c>
      <x:c r="I639" s="24" t="str">
        <x:v>SW-C-163조9326-5-20290710-176</x:v>
      </x:c>
      <x:c r="J639" s="24" t="str">
        <x:v>이규민9326</x:v>
      </x:c>
      <x:c r="K639" s="24" t="str">
        <x:v>구독대여 계약 시작</x:v>
      </x:c>
      <x:c r="L639" s="24" t="str"/>
      <x:c r="M639" s="24" t="str">
        <x:v>하허호</x:v>
      </x:c>
      <x:c r="N639" s="30" t="n">
        <x:v>47309</x:v>
      </x:c>
    </x:row>
    <x:row r="640" ht="17.25" customHeight="1">
      <x:c r="A640" s="24" t="str">
        <x:v>E-00639</x:v>
      </x:c>
      <x:c r="B640" s="24" t="str">
        <x:v>스위치플랜</x:v>
      </x:c>
      <x:c r="C640" s="24" t="str">
        <x:v>163조9326</x:v>
      </x:c>
      <x:c r="D640" s="30"/>
      <x:c r="E640" s="24" t="str">
        <x:v>반납</x:v>
      </x:c>
      <x:c r="F640" s="24" t="str">
        <x:v>대여중</x:v>
      </x:c>
      <x:c r="G640" s="24" t="str">
        <x:v>쉬는차</x:v>
      </x:c>
      <x:c r="H640" s="32"/>
      <x:c r="I640" s="24" t="str">
        <x:v>SW-C-163조9326-5-20290710-176</x:v>
      </x:c>
      <x:c r="J640" s="24" t="str">
        <x:v>이규민9326</x:v>
      </x:c>
      <x:c r="K640" s="24" t="str">
        <x:v>차량 반납</x:v>
      </x:c>
      <x:c r="L640" s="24" t="str"/>
      <x:c r="M640" s="24" t="str">
        <x:v>하허호</x:v>
      </x:c>
      <x:c r="N640" s="30"/>
    </x:row>
    <x:row r="641" ht="17.25" customHeight="1">
      <x:c r="A641" s="24" t="str">
        <x:v>E-00640</x:v>
      </x:c>
      <x:c r="B641" s="24" t="str">
        <x:v>스위치플랜</x:v>
      </x:c>
      <x:c r="C641" s="24" t="str">
        <x:v>163조9326</x:v>
      </x:c>
      <x:c r="D641" s="30" t="n">
        <x:v>45845</x:v>
      </x:c>
      <x:c r="E641" s="24" t="str">
        <x:v>계약시작</x:v>
      </x:c>
      <x:c r="F641" s="24" t="str"/>
      <x:c r="G641" s="24" t="str">
        <x:v>대여중</x:v>
      </x:c>
      <x:c r="H641" s="32" t="n">
        <x:v>45530</x:v>
      </x:c>
      <x:c r="I641" s="24" t="str">
        <x:v>SW-C-163조9326-6-20250707-176</x:v>
      </x:c>
      <x:c r="J641" s="24" t="str">
        <x:v>서강원</x:v>
      </x:c>
      <x:c r="K641" s="24" t="str">
        <x:v>구독대여 계약 시작</x:v>
      </x:c>
      <x:c r="L641" s="24" t="str"/>
      <x:c r="M641" s="24" t="str">
        <x:v>하허호</x:v>
      </x:c>
      <x:c r="N641" s="30" t="n">
        <x:v>45845</x:v>
      </x:c>
    </x:row>
    <x:row r="642" ht="17.25" customHeight="1">
      <x:c r="A642" s="24" t="str">
        <x:v>E-00641</x:v>
      </x:c>
      <x:c r="B642" s="24" t="str">
        <x:v>스위치플랜</x:v>
      </x:c>
      <x:c r="C642" s="24" t="str">
        <x:v>163조9326</x:v>
      </x:c>
      <x:c r="D642" s="30"/>
      <x:c r="E642" s="24" t="str">
        <x:v>반납</x:v>
      </x:c>
      <x:c r="F642" s="24" t="str">
        <x:v>대여중</x:v>
      </x:c>
      <x:c r="G642" s="24" t="str">
        <x:v>쉬는차</x:v>
      </x:c>
      <x:c r="H642" s="32"/>
      <x:c r="I642" s="24" t="str">
        <x:v>SW-C-163조9326-6-20250707-176</x:v>
      </x:c>
      <x:c r="J642" s="24" t="str">
        <x:v>서강원</x:v>
      </x:c>
      <x:c r="K642" s="24" t="str">
        <x:v>차량 반납</x:v>
      </x:c>
      <x:c r="L642" s="24" t="str"/>
      <x:c r="M642" s="24" t="str">
        <x:v>하허호</x:v>
      </x:c>
      <x:c r="N642" s="30"/>
    </x:row>
    <x:row r="643" ht="17.25" customHeight="1">
      <x:c r="A643" s="24" t="str">
        <x:v>E-00642</x:v>
      </x:c>
      <x:c r="B643" s="24" t="str">
        <x:v>스위치플랜</x:v>
      </x:c>
      <x:c r="C643" s="24" t="str">
        <x:v>163조9326</x:v>
      </x:c>
      <x:c r="D643" s="30" t="n">
        <x:v>45845</x:v>
      </x:c>
      <x:c r="E643" s="24" t="str">
        <x:v>계약시작</x:v>
      </x:c>
      <x:c r="F643" s="24" t="str"/>
      <x:c r="G643" s="24" t="str">
        <x:v>대여중</x:v>
      </x:c>
      <x:c r="H643" s="32" t="n">
        <x:v>45481</x:v>
      </x:c>
      <x:c r="I643" s="24" t="str">
        <x:v>SW-C-163조9326-7-20250707-176</x:v>
      </x:c>
      <x:c r="J643" s="24" t="str">
        <x:v>김재원</x:v>
      </x:c>
      <x:c r="K643" s="24" t="str">
        <x:v>구독대여 계약 시작</x:v>
      </x:c>
      <x:c r="L643" s="24" t="str"/>
      <x:c r="M643" s="24" t="str">
        <x:v>하허호</x:v>
      </x:c>
      <x:c r="N643" s="30" t="n">
        <x:v>45845</x:v>
      </x:c>
    </x:row>
    <x:row r="644" ht="17.25" customHeight="1">
      <x:c r="A644" s="24" t="str">
        <x:v>E-00643</x:v>
      </x:c>
      <x:c r="B644" s="24" t="str">
        <x:v>스위치플랜</x:v>
      </x:c>
      <x:c r="C644" s="24" t="str">
        <x:v>163조9326</x:v>
      </x:c>
      <x:c r="D644" s="30"/>
      <x:c r="E644" s="24" t="str">
        <x:v>반납</x:v>
      </x:c>
      <x:c r="F644" s="24" t="str">
        <x:v>대여중</x:v>
      </x:c>
      <x:c r="G644" s="24" t="str">
        <x:v>쉬는차</x:v>
      </x:c>
      <x:c r="H644" s="32"/>
      <x:c r="I644" s="24" t="str">
        <x:v>SW-C-163조9326-7-20250707-176</x:v>
      </x:c>
      <x:c r="J644" s="24" t="str">
        <x:v>김재원</x:v>
      </x:c>
      <x:c r="K644" s="24" t="str">
        <x:v>차량 반납</x:v>
      </x:c>
      <x:c r="L644" s="24" t="str"/>
      <x:c r="M644" s="24" t="str">
        <x:v>하허호</x:v>
      </x:c>
      <x:c r="N644" s="30"/>
    </x:row>
    <x:row r="645" ht="17.25" customHeight="1">
      <x:c r="A645" s="24" t="str">
        <x:v>E-00644</x:v>
      </x:c>
      <x:c r="B645" s="24" t="str">
        <x:v>스위치플랜</x:v>
      </x:c>
      <x:c r="C645" s="24" t="str">
        <x:v>252나8761</x:v>
      </x:c>
      <x:c r="D645" s="30" t="n">
        <x:v>45309</x:v>
      </x:c>
      <x:c r="E645" s="24" t="str">
        <x:v>계약시작</x:v>
      </x:c>
      <x:c r="F645" s="24" t="str"/>
      <x:c r="G645" s="24" t="str">
        <x:v>대여중</x:v>
      </x:c>
      <x:c r="H645" s="32" t="n">
        <x:v>770000</x:v>
      </x:c>
      <x:c r="I645" s="24" t="str">
        <x:v>SW-C-252나8761-2-20240118-177</x:v>
      </x:c>
      <x:c r="J645" s="24" t="str">
        <x:v>성호중</x:v>
      </x:c>
      <x:c r="K645" s="24" t="str">
        <x:v>구독대여 계약 시작</x:v>
      </x:c>
      <x:c r="L645" s="24" t="str"/>
      <x:c r="M645" s="24" t="str">
        <x:v>하허호</x:v>
      </x:c>
      <x:c r="N645" s="30" t="n">
        <x:v>45309</x:v>
      </x:c>
    </x:row>
    <x:row r="646" ht="17.25" customHeight="1">
      <x:c r="A646" s="24" t="str">
        <x:v>E-00645</x:v>
      </x:c>
      <x:c r="B646" s="24" t="str">
        <x:v>스위치플랜</x:v>
      </x:c>
      <x:c r="C646" s="24" t="str">
        <x:v>252나8761</x:v>
      </x:c>
      <x:c r="D646" s="30" t="n">
        <x:v>46219</x:v>
      </x:c>
      <x:c r="E646" s="24" t="str">
        <x:v>반납</x:v>
      </x:c>
      <x:c r="F646" s="24" t="str">
        <x:v>대여중</x:v>
      </x:c>
      <x:c r="G646" s="24" t="str">
        <x:v>쉬는차</x:v>
      </x:c>
      <x:c r="H646" s="32"/>
      <x:c r="I646" s="24" t="str">
        <x:v>SW-C-252나8761-2-20240118-177</x:v>
      </x:c>
      <x:c r="J646" s="24" t="str">
        <x:v>성호중</x:v>
      </x:c>
      <x:c r="K646" s="24" t="str">
        <x:v>차량 반납</x:v>
      </x:c>
      <x:c r="L646" s="24" t="str"/>
      <x:c r="M646" s="24" t="str">
        <x:v>하허호</x:v>
      </x:c>
      <x:c r="N646" s="30" t="n">
        <x:v>46219</x:v>
      </x:c>
    </x:row>
    <x:row r="647" ht="17.25" customHeight="1">
      <x:c r="A647" s="24" t="str">
        <x:v>E-00646</x:v>
      </x:c>
      <x:c r="B647" s="24" t="str">
        <x:v>프라임구독</x:v>
      </x:c>
      <x:c r="C647" s="24" t="str">
        <x:v>01도2340</x:v>
      </x:c>
      <x:c r="D647" s="30" t="n">
        <x:v>44931</x:v>
      </x:c>
      <x:c r="E647" s="24" t="str">
        <x:v>계약시작</x:v>
      </x:c>
      <x:c r="F647" s="24" t="str"/>
      <x:c r="G647" s="24" t="str">
        <x:v>대여중</x:v>
      </x:c>
      <x:c r="H647" s="32" t="n">
        <x:v>640000</x:v>
      </x:c>
      <x:c r="I647" s="24" t="str">
        <x:v>PR-C-01도2340-1-20230105-3</x:v>
      </x:c>
      <x:c r="J647" s="24" t="str">
        <x:v>이광용</x:v>
      </x:c>
      <x:c r="K647" s="24" t="str">
        <x:v>구독 계약 시작</x:v>
      </x:c>
      <x:c r="L647" s="24" t="str"/>
      <x:c r="M647" s="24" t="str"/>
      <x:c r="N647" s="30" t="n">
        <x:v>44931</x:v>
      </x:c>
    </x:row>
    <x:row r="648" ht="17.25" customHeight="1">
      <x:c r="A648" s="24" t="str">
        <x:v>E-00647</x:v>
      </x:c>
      <x:c r="B648" s="24" t="str">
        <x:v>프라임구독</x:v>
      </x:c>
      <x:c r="C648" s="24" t="str">
        <x:v>01두1601</x:v>
      </x:c>
      <x:c r="D648" s="30" t="n">
        <x:v>44643</x:v>
      </x:c>
      <x:c r="E648" s="24" t="str">
        <x:v>계약시작</x:v>
      </x:c>
      <x:c r="F648" s="24" t="str"/>
      <x:c r="G648" s="24" t="str">
        <x:v>대여중</x:v>
      </x:c>
      <x:c r="H648" s="32" t="n">
        <x:v>683000</x:v>
      </x:c>
      <x:c r="I648" s="24" t="str">
        <x:v>PR-C-01두1601-2-20220323-4</x:v>
      </x:c>
      <x:c r="J648" s="24" t="str">
        <x:v>이성민2</x:v>
      </x:c>
      <x:c r="K648" s="24" t="str">
        <x:v>종료 계약 시작</x:v>
      </x:c>
      <x:c r="L648" s="24" t="str"/>
      <x:c r="M648" s="24" t="str"/>
      <x:c r="N648" s="30" t="n">
        <x:v>44643</x:v>
      </x:c>
    </x:row>
    <x:row r="649" ht="17.25" customHeight="1">
      <x:c r="A649" s="24" t="str">
        <x:v>E-00648</x:v>
      </x:c>
      <x:c r="B649" s="24" t="str">
        <x:v>프라임구독</x:v>
      </x:c>
      <x:c r="C649" s="24" t="str">
        <x:v>01두1601</x:v>
      </x:c>
      <x:c r="D649" s="30" t="n">
        <x:v>45748</x:v>
      </x:c>
      <x:c r="E649" s="24" t="str">
        <x:v>반납</x:v>
      </x:c>
      <x:c r="F649" s="24" t="str">
        <x:v>대여중</x:v>
      </x:c>
      <x:c r="G649" s="24" t="str">
        <x:v>쉬는차</x:v>
      </x:c>
      <x:c r="H649" s="32"/>
      <x:c r="I649" s="24" t="str">
        <x:v>PR-C-01두1601-2-20220323-4</x:v>
      </x:c>
      <x:c r="J649" s="24" t="str">
        <x:v>이성민2</x:v>
      </x:c>
      <x:c r="K649" s="24" t="str">
        <x:v>차량 반납</x:v>
      </x:c>
      <x:c r="L649" s="24" t="str"/>
      <x:c r="M649" s="24" t="str"/>
      <x:c r="N649" s="30" t="n">
        <x:v>45748</x:v>
      </x:c>
    </x:row>
    <x:row r="650" ht="17.25" customHeight="1">
      <x:c r="A650" s="24" t="str">
        <x:v>E-00649</x:v>
      </x:c>
      <x:c r="B650" s="24" t="str">
        <x:v>프라임구독</x:v>
      </x:c>
      <x:c r="C650" s="24" t="str">
        <x:v>01무1615</x:v>
      </x:c>
      <x:c r="D650" s="30" t="n">
        <x:v>44958</x:v>
      </x:c>
      <x:c r="E650" s="24" t="str">
        <x:v>계약시작</x:v>
      </x:c>
      <x:c r="F650" s="24" t="str"/>
      <x:c r="G650" s="24" t="str">
        <x:v>대여중</x:v>
      </x:c>
      <x:c r="H650" s="32" t="n">
        <x:v>882000</x:v>
      </x:c>
      <x:c r="I650" s="24" t="str">
        <x:v>PR-C-01무1615-2-20230201-5</x:v>
      </x:c>
      <x:c r="J650" s="24" t="str">
        <x:v>박창열</x:v>
      </x:c>
      <x:c r="K650" s="24" t="str">
        <x:v>종료 계약 시작</x:v>
      </x:c>
      <x:c r="L650" s="24" t="str"/>
      <x:c r="M650" s="24" t="str"/>
      <x:c r="N650" s="30" t="n">
        <x:v>44958</x:v>
      </x:c>
    </x:row>
    <x:row r="651" ht="17.25" customHeight="1">
      <x:c r="A651" s="24" t="str">
        <x:v>E-00650</x:v>
      </x:c>
      <x:c r="B651" s="24" t="str">
        <x:v>프라임구독</x:v>
      </x:c>
      <x:c r="C651" s="24" t="str">
        <x:v>01무1615</x:v>
      </x:c>
      <x:c r="D651" s="30" t="n">
        <x:v>46037</x:v>
      </x:c>
      <x:c r="E651" s="24" t="str">
        <x:v>반납</x:v>
      </x:c>
      <x:c r="F651" s="24" t="str">
        <x:v>대여중</x:v>
      </x:c>
      <x:c r="G651" s="24" t="str">
        <x:v>쉬는차</x:v>
      </x:c>
      <x:c r="H651" s="32"/>
      <x:c r="I651" s="24" t="str">
        <x:v>PR-C-01무1615-2-20230201-5</x:v>
      </x:c>
      <x:c r="J651" s="24" t="str">
        <x:v>박창열</x:v>
      </x:c>
      <x:c r="K651" s="24" t="str">
        <x:v>차량 반납</x:v>
      </x:c>
      <x:c r="L651" s="24" t="str"/>
      <x:c r="M651" s="24" t="str"/>
      <x:c r="N651" s="30" t="n">
        <x:v>46037</x:v>
      </x:c>
    </x:row>
    <x:row r="652" ht="17.25" customHeight="1">
      <x:c r="A652" s="24" t="str">
        <x:v>E-00651</x:v>
      </x:c>
      <x:c r="B652" s="24" t="str">
        <x:v>프라임구독</x:v>
      </x:c>
      <x:c r="C652" s="24" t="str">
        <x:v>01부3634</x:v>
      </x:c>
      <x:c r="D652" s="30" t="n">
        <x:v>45159</x:v>
      </x:c>
      <x:c r="E652" s="24" t="str">
        <x:v>계약시작</x:v>
      </x:c>
      <x:c r="F652" s="24" t="str"/>
      <x:c r="G652" s="24" t="str">
        <x:v>대여중</x:v>
      </x:c>
      <x:c r="H652" s="32" t="n">
        <x:v>412000</x:v>
      </x:c>
      <x:c r="I652" s="24" t="str">
        <x:v>PR-C-01부3634-1-20230821-6</x:v>
      </x:c>
      <x:c r="J652" s="24" t="str">
        <x:v>김창준b</x:v>
      </x:c>
      <x:c r="K652" s="24" t="str">
        <x:v>구독 계약 시작</x:v>
      </x:c>
      <x:c r="L652" s="24" t="str"/>
      <x:c r="M652" s="24" t="str"/>
      <x:c r="N652" s="30" t="n">
        <x:v>45159</x:v>
      </x:c>
    </x:row>
    <x:row r="653" ht="17.25" customHeight="1">
      <x:c r="A653" s="24" t="str">
        <x:v>E-00652</x:v>
      </x:c>
      <x:c r="B653" s="24" t="str">
        <x:v>프라임구독</x:v>
      </x:c>
      <x:c r="C653" s="24" t="str">
        <x:v>02노0857</x:v>
      </x:c>
      <x:c r="D653" s="30" t="n">
        <x:v>44993</x:v>
      </x:c>
      <x:c r="E653" s="24" t="str">
        <x:v>계약시작</x:v>
      </x:c>
      <x:c r="F653" s="24" t="str"/>
      <x:c r="G653" s="24" t="str">
        <x:v>대여중</x:v>
      </x:c>
      <x:c r="H653" s="32" t="n">
        <x:v>573000</x:v>
      </x:c>
      <x:c r="I653" s="24" t="str">
        <x:v>PR-C-02노0857-1-20230308-7</x:v>
      </x:c>
      <x:c r="J653" s="24" t="str">
        <x:v>박이석</x:v>
      </x:c>
      <x:c r="K653" s="24" t="str">
        <x:v>구독 계약 시작</x:v>
      </x:c>
      <x:c r="L653" s="24" t="str"/>
      <x:c r="M653" s="24" t="str"/>
      <x:c r="N653" s="30" t="n">
        <x:v>44993</x:v>
      </x:c>
    </x:row>
    <x:row r="654" ht="17.25" customHeight="1">
      <x:c r="A654" s="24" t="str">
        <x:v>E-00653</x:v>
      </x:c>
      <x:c r="B654" s="24" t="str">
        <x:v>프라임구독</x:v>
      </x:c>
      <x:c r="C654" s="24" t="str">
        <x:v>02어5437</x:v>
      </x:c>
      <x:c r="D654" s="30" t="n">
        <x:v>44704</x:v>
      </x:c>
      <x:c r="E654" s="24" t="str">
        <x:v>계약시작</x:v>
      </x:c>
      <x:c r="F654" s="24" t="str"/>
      <x:c r="G654" s="24" t="str">
        <x:v>대여중</x:v>
      </x:c>
      <x:c r="H654" s="32" t="n">
        <x:v>579000</x:v>
      </x:c>
      <x:c r="I654" s="24" t="str">
        <x:v>PR-C-02어5437-2-20220523-8</x:v>
      </x:c>
      <x:c r="J654" s="24" t="str">
        <x:v>이명진</x:v>
      </x:c>
      <x:c r="K654" s="24" t="str">
        <x:v>종료 계약 시작</x:v>
      </x:c>
      <x:c r="L654" s="24" t="str"/>
      <x:c r="M654" s="24" t="str"/>
      <x:c r="N654" s="30" t="n">
        <x:v>44704</x:v>
      </x:c>
    </x:row>
    <x:row r="655" ht="17.25" customHeight="1">
      <x:c r="A655" s="24" t="str">
        <x:v>E-00654</x:v>
      </x:c>
      <x:c r="B655" s="24" t="str">
        <x:v>프라임구독</x:v>
      </x:c>
      <x:c r="C655" s="24" t="str">
        <x:v>02어5437</x:v>
      </x:c>
      <x:c r="D655" s="30" t="n">
        <x:v>45797</x:v>
      </x:c>
      <x:c r="E655" s="24" t="str">
        <x:v>반납</x:v>
      </x:c>
      <x:c r="F655" s="24" t="str">
        <x:v>대여중</x:v>
      </x:c>
      <x:c r="G655" s="24" t="str">
        <x:v>쉬는차</x:v>
      </x:c>
      <x:c r="H655" s="32"/>
      <x:c r="I655" s="24" t="str">
        <x:v>PR-C-02어5437-2-20220523-8</x:v>
      </x:c>
      <x:c r="J655" s="24" t="str">
        <x:v>이명진</x:v>
      </x:c>
      <x:c r="K655" s="24" t="str">
        <x:v>차량 반납</x:v>
      </x:c>
      <x:c r="L655" s="24" t="str"/>
      <x:c r="M655" s="24" t="str"/>
      <x:c r="N655" s="30" t="n">
        <x:v>45797</x:v>
      </x:c>
    </x:row>
    <x:row r="656" ht="17.25" customHeight="1">
      <x:c r="A656" s="24" t="str">
        <x:v>E-00655</x:v>
      </x:c>
      <x:c r="B656" s="24" t="str">
        <x:v>프라임구독</x:v>
      </x:c>
      <x:c r="C656" s="24" t="str">
        <x:v>03고7687</x:v>
      </x:c>
      <x:c r="D656" s="30" t="n">
        <x:v>44897</x:v>
      </x:c>
      <x:c r="E656" s="24" t="str">
        <x:v>계약시작</x:v>
      </x:c>
      <x:c r="F656" s="24" t="str"/>
      <x:c r="G656" s="24" t="str">
        <x:v>대여중</x:v>
      </x:c>
      <x:c r="H656" s="32" t="n">
        <x:v>1100000</x:v>
      </x:c>
      <x:c r="I656" s="24" t="str">
        <x:v>PR-C-03고7687-2-20221202-9</x:v>
      </x:c>
      <x:c r="J656" s="24" t="str">
        <x:v>이종민</x:v>
      </x:c>
      <x:c r="K656" s="24" t="str">
        <x:v>종료 계약 시작</x:v>
      </x:c>
      <x:c r="L656" s="24" t="str"/>
      <x:c r="M656" s="24" t="str"/>
      <x:c r="N656" s="30" t="n">
        <x:v>44897</x:v>
      </x:c>
    </x:row>
    <x:row r="657" ht="17.25" customHeight="1">
      <x:c r="A657" s="24" t="str">
        <x:v>E-00656</x:v>
      </x:c>
      <x:c r="B657" s="24" t="str">
        <x:v>프라임구독</x:v>
      </x:c>
      <x:c r="C657" s="24" t="str">
        <x:v>03고7687</x:v>
      </x:c>
      <x:c r="D657" s="30" t="n">
        <x:v>46407</x:v>
      </x:c>
      <x:c r="E657" s="24" t="str">
        <x:v>반납</x:v>
      </x:c>
      <x:c r="F657" s="24" t="str">
        <x:v>대여중</x:v>
      </x:c>
      <x:c r="G657" s="24" t="str">
        <x:v>쉬는차</x:v>
      </x:c>
      <x:c r="H657" s="32"/>
      <x:c r="I657" s="24" t="str">
        <x:v>PR-C-03고7687-2-20221202-9</x:v>
      </x:c>
      <x:c r="J657" s="24" t="str">
        <x:v>이종민</x:v>
      </x:c>
      <x:c r="K657" s="24" t="str">
        <x:v>차량 반납</x:v>
      </x:c>
      <x:c r="L657" s="24" t="str"/>
      <x:c r="M657" s="24" t="str"/>
      <x:c r="N657" s="30" t="n">
        <x:v>46407</x:v>
      </x:c>
    </x:row>
    <x:row r="658" ht="17.25" customHeight="1">
      <x:c r="A658" s="24" t="str">
        <x:v>E-00657</x:v>
      </x:c>
      <x:c r="B658" s="24" t="str">
        <x:v>프라임구독</x:v>
      </x:c>
      <x:c r="C658" s="24" t="str">
        <x:v>03러8697</x:v>
      </x:c>
      <x:c r="D658" s="30" t="n">
        <x:v>45149</x:v>
      </x:c>
      <x:c r="E658" s="24" t="str">
        <x:v>계약시작</x:v>
      </x:c>
      <x:c r="F658" s="24" t="str"/>
      <x:c r="G658" s="24" t="str">
        <x:v>대여중</x:v>
      </x:c>
      <x:c r="H658" s="32" t="n">
        <x:v>503000</x:v>
      </x:c>
      <x:c r="I658" s="24" t="str">
        <x:v>PR-C-03러8697-2-20230811-10</x:v>
      </x:c>
      <x:c r="J658" s="24" t="str">
        <x:v>노윤덕</x:v>
      </x:c>
      <x:c r="K658" s="24" t="str">
        <x:v>종료 계약 시작</x:v>
      </x:c>
      <x:c r="L658" s="24" t="str"/>
      <x:c r="M658" s="24" t="str"/>
      <x:c r="N658" s="30" t="n">
        <x:v>45149</x:v>
      </x:c>
    </x:row>
    <x:row r="659" ht="17.25" customHeight="1">
      <x:c r="A659" s="24" t="str">
        <x:v>E-00658</x:v>
      </x:c>
      <x:c r="B659" s="24" t="str">
        <x:v>프라임구독</x:v>
      </x:c>
      <x:c r="C659" s="24" t="str">
        <x:v>03러8697</x:v>
      </x:c>
      <x:c r="D659" s="30" t="n">
        <x:v>46604</x:v>
      </x:c>
      <x:c r="E659" s="24" t="str">
        <x:v>반납</x:v>
      </x:c>
      <x:c r="F659" s="24" t="str">
        <x:v>대여중</x:v>
      </x:c>
      <x:c r="G659" s="24" t="str">
        <x:v>쉬는차</x:v>
      </x:c>
      <x:c r="H659" s="32"/>
      <x:c r="I659" s="24" t="str">
        <x:v>PR-C-03러8697-2-20230811-10</x:v>
      </x:c>
      <x:c r="J659" s="24" t="str">
        <x:v>노윤덕</x:v>
      </x:c>
      <x:c r="K659" s="24" t="str">
        <x:v>차량 반납</x:v>
      </x:c>
      <x:c r="L659" s="24" t="str"/>
      <x:c r="M659" s="24" t="str"/>
      <x:c r="N659" s="30" t="n">
        <x:v>46604</x:v>
      </x:c>
    </x:row>
    <x:row r="660" ht="17.25" customHeight="1">
      <x:c r="A660" s="24" t="str">
        <x:v>E-00659</x:v>
      </x:c>
      <x:c r="B660" s="24" t="str">
        <x:v>프라임구독</x:v>
      </x:c>
      <x:c r="C660" s="24" t="str">
        <x:v>04모0665</x:v>
      </x:c>
      <x:c r="D660" s="30" t="n">
        <x:v>44519</x:v>
      </x:c>
      <x:c r="E660" s="24" t="str">
        <x:v>계약시작</x:v>
      </x:c>
      <x:c r="F660" s="24" t="str"/>
      <x:c r="G660" s="24" t="str">
        <x:v>대여중</x:v>
      </x:c>
      <x:c r="H660" s="32" t="n">
        <x:v>388000</x:v>
      </x:c>
      <x:c r="I660" s="24" t="str">
        <x:v>PR-C-04모0665-2-20211119-11</x:v>
      </x:c>
      <x:c r="J660" s="24" t="str">
        <x:v>김재훈b</x:v>
      </x:c>
      <x:c r="K660" s="24" t="str">
        <x:v>종료 계약 시작</x:v>
      </x:c>
      <x:c r="L660" s="24" t="str"/>
      <x:c r="M660" s="24" t="str"/>
      <x:c r="N660" s="30" t="n">
        <x:v>44519</x:v>
      </x:c>
    </x:row>
    <x:row r="661" ht="17.25" customHeight="1">
      <x:c r="A661" s="24" t="str">
        <x:v>E-00660</x:v>
      </x:c>
      <x:c r="B661" s="24" t="str">
        <x:v>프라임구독</x:v>
      </x:c>
      <x:c r="C661" s="24" t="str">
        <x:v>04모0665</x:v>
      </x:c>
      <x:c r="D661" s="30" t="n">
        <x:v>45621</x:v>
      </x:c>
      <x:c r="E661" s="24" t="str">
        <x:v>반납</x:v>
      </x:c>
      <x:c r="F661" s="24" t="str">
        <x:v>대여중</x:v>
      </x:c>
      <x:c r="G661" s="24" t="str">
        <x:v>쉬는차</x:v>
      </x:c>
      <x:c r="H661" s="32"/>
      <x:c r="I661" s="24" t="str">
        <x:v>PR-C-04모0665-2-20211119-11</x:v>
      </x:c>
      <x:c r="J661" s="24" t="str">
        <x:v>김재훈b</x:v>
      </x:c>
      <x:c r="K661" s="24" t="str">
        <x:v>차량 반납</x:v>
      </x:c>
      <x:c r="L661" s="24" t="str"/>
      <x:c r="M661" s="24" t="str"/>
      <x:c r="N661" s="30" t="n">
        <x:v>45621</x:v>
      </x:c>
    </x:row>
    <x:row r="662" ht="17.25" customHeight="1">
      <x:c r="A662" s="24" t="str">
        <x:v>E-00661</x:v>
      </x:c>
      <x:c r="B662" s="24" t="str">
        <x:v>프라임구독</x:v>
      </x:c>
      <x:c r="C662" s="24" t="str">
        <x:v>06오8368</x:v>
      </x:c>
      <x:c r="D662" s="30" t="n">
        <x:v>44895</x:v>
      </x:c>
      <x:c r="E662" s="24" t="str">
        <x:v>계약시작</x:v>
      </x:c>
      <x:c r="F662" s="24" t="str"/>
      <x:c r="G662" s="24" t="str">
        <x:v>대여중</x:v>
      </x:c>
      <x:c r="H662" s="32" t="n">
        <x:v>1135000</x:v>
      </x:c>
      <x:c r="I662" s="24" t="str">
        <x:v>PR-C-06오8368-2-20221130-12</x:v>
      </x:c>
      <x:c r="J662" s="24" t="str">
        <x:v>전민수</x:v>
      </x:c>
      <x:c r="K662" s="24" t="str">
        <x:v>종료 계약 시작</x:v>
      </x:c>
      <x:c r="L662" s="24" t="str"/>
      <x:c r="M662" s="24" t="str"/>
      <x:c r="N662" s="30" t="n">
        <x:v>44895</x:v>
      </x:c>
    </x:row>
    <x:row r="663" ht="17.25" customHeight="1">
      <x:c r="A663" s="24" t="str">
        <x:v>E-00662</x:v>
      </x:c>
      <x:c r="B663" s="24" t="str">
        <x:v>프라임구독</x:v>
      </x:c>
      <x:c r="C663" s="24" t="str">
        <x:v>06오8368</x:v>
      </x:c>
      <x:c r="D663" s="30" t="n">
        <x:v>45986</x:v>
      </x:c>
      <x:c r="E663" s="24" t="str">
        <x:v>반납</x:v>
      </x:c>
      <x:c r="F663" s="24" t="str">
        <x:v>대여중</x:v>
      </x:c>
      <x:c r="G663" s="24" t="str">
        <x:v>쉬는차</x:v>
      </x:c>
      <x:c r="H663" s="32"/>
      <x:c r="I663" s="24" t="str">
        <x:v>PR-C-06오8368-2-20221130-12</x:v>
      </x:c>
      <x:c r="J663" s="24" t="str">
        <x:v>전민수</x:v>
      </x:c>
      <x:c r="K663" s="24" t="str">
        <x:v>차량 반납</x:v>
      </x:c>
      <x:c r="L663" s="24" t="str"/>
      <x:c r="M663" s="24" t="str"/>
      <x:c r="N663" s="30" t="n">
        <x:v>45986</x:v>
      </x:c>
    </x:row>
    <x:row r="664" ht="17.25" customHeight="1">
      <x:c r="A664" s="24" t="str">
        <x:v>E-00663</x:v>
      </x:c>
      <x:c r="B664" s="24" t="str">
        <x:v>프라임구독</x:v>
      </x:c>
      <x:c r="C664" s="24" t="str">
        <x:v>07로0775</x:v>
      </x:c>
      <x:c r="D664" s="30" t="n">
        <x:v>44880</x:v>
      </x:c>
      <x:c r="E664" s="24" t="str">
        <x:v>계약시작</x:v>
      </x:c>
      <x:c r="F664" s="24" t="str"/>
      <x:c r="G664" s="24" t="str">
        <x:v>대여중</x:v>
      </x:c>
      <x:c r="H664" s="32" t="n">
        <x:v>1795000</x:v>
      </x:c>
      <x:c r="I664" s="24" t="str">
        <x:v>PR-C-07로0775-2-20221115-13</x:v>
      </x:c>
      <x:c r="J664" s="24" t="str">
        <x:v>문석빈</x:v>
      </x:c>
      <x:c r="K664" s="24" t="str">
        <x:v>종료 계약 시작</x:v>
      </x:c>
      <x:c r="L664" s="24" t="str"/>
      <x:c r="M664" s="24" t="str"/>
      <x:c r="N664" s="30" t="n">
        <x:v>44880</x:v>
      </x:c>
    </x:row>
    <x:row r="665" ht="17.25" customHeight="1">
      <x:c r="A665" s="24" t="str">
        <x:v>E-00664</x:v>
      </x:c>
      <x:c r="B665" s="24" t="str">
        <x:v>프라임구독</x:v>
      </x:c>
      <x:c r="C665" s="24" t="str">
        <x:v>07로0775</x:v>
      </x:c>
      <x:c r="D665" s="30" t="n">
        <x:v>45971</x:v>
      </x:c>
      <x:c r="E665" s="24" t="str">
        <x:v>반납</x:v>
      </x:c>
      <x:c r="F665" s="24" t="str">
        <x:v>대여중</x:v>
      </x:c>
      <x:c r="G665" s="24" t="str">
        <x:v>쉬는차</x:v>
      </x:c>
      <x:c r="H665" s="32"/>
      <x:c r="I665" s="24" t="str">
        <x:v>PR-C-07로0775-2-20221115-13</x:v>
      </x:c>
      <x:c r="J665" s="24" t="str">
        <x:v>문석빈</x:v>
      </x:c>
      <x:c r="K665" s="24" t="str">
        <x:v>차량 반납</x:v>
      </x:c>
      <x:c r="L665" s="24" t="str"/>
      <x:c r="M665" s="24" t="str"/>
      <x:c r="N665" s="30" t="n">
        <x:v>45971</x:v>
      </x:c>
    </x:row>
    <x:row r="666" ht="17.25" customHeight="1">
      <x:c r="A666" s="24" t="str">
        <x:v>E-00665</x:v>
      </x:c>
      <x:c r="B666" s="24" t="str">
        <x:v>프라임구독</x:v>
      </x:c>
      <x:c r="C666" s="24" t="str">
        <x:v>08모1646</x:v>
      </x:c>
      <x:c r="D666" s="30" t="n">
        <x:v>44992</x:v>
      </x:c>
      <x:c r="E666" s="24" t="str">
        <x:v>계약시작</x:v>
      </x:c>
      <x:c r="F666" s="24" t="str"/>
      <x:c r="G666" s="24" t="str">
        <x:v>대여중</x:v>
      </x:c>
      <x:c r="H666" s="32" t="n">
        <x:v>691000</x:v>
      </x:c>
      <x:c r="I666" s="24" t="str">
        <x:v>PR-C-08모1646-2-20230307-14</x:v>
      </x:c>
      <x:c r="J666" s="24" t="str">
        <x:v>최천규</x:v>
      </x:c>
      <x:c r="K666" s="24" t="str">
        <x:v>종료 계약 시작</x:v>
      </x:c>
      <x:c r="L666" s="24" t="str"/>
      <x:c r="M666" s="24" t="str"/>
      <x:c r="N666" s="30" t="n">
        <x:v>44992</x:v>
      </x:c>
    </x:row>
    <x:row r="667" ht="17.25" customHeight="1">
      <x:c r="A667" s="24" t="str">
        <x:v>E-00666</x:v>
      </x:c>
      <x:c r="B667" s="24" t="str">
        <x:v>프라임구독</x:v>
      </x:c>
      <x:c r="C667" s="24" t="str">
        <x:v>08모1646</x:v>
      </x:c>
      <x:c r="D667" s="30" t="n">
        <x:v>46091</x:v>
      </x:c>
      <x:c r="E667" s="24" t="str">
        <x:v>반납</x:v>
      </x:c>
      <x:c r="F667" s="24" t="str">
        <x:v>대여중</x:v>
      </x:c>
      <x:c r="G667" s="24" t="str">
        <x:v>쉬는차</x:v>
      </x:c>
      <x:c r="H667" s="32"/>
      <x:c r="I667" s="24" t="str">
        <x:v>PR-C-08모1646-2-20230307-14</x:v>
      </x:c>
      <x:c r="J667" s="24" t="str">
        <x:v>최천규</x:v>
      </x:c>
      <x:c r="K667" s="24" t="str">
        <x:v>차량 반납</x:v>
      </x:c>
      <x:c r="L667" s="24" t="str"/>
      <x:c r="M667" s="24" t="str"/>
      <x:c r="N667" s="30" t="n">
        <x:v>46091</x:v>
      </x:c>
    </x:row>
    <x:row r="668" ht="17.25" customHeight="1">
      <x:c r="A668" s="24" t="str">
        <x:v>E-00667</x:v>
      </x:c>
      <x:c r="B668" s="24" t="str">
        <x:v>프라임구독</x:v>
      </x:c>
      <x:c r="C668" s="24" t="str">
        <x:v>09누4209</x:v>
      </x:c>
      <x:c r="D668" s="30" t="n">
        <x:v>45421</x:v>
      </x:c>
      <x:c r="E668" s="24" t="str">
        <x:v>계약시작</x:v>
      </x:c>
      <x:c r="F668" s="24" t="str"/>
      <x:c r="G668" s="24" t="str">
        <x:v>대여중</x:v>
      </x:c>
      <x:c r="H668" s="32" t="n">
        <x:v>551000</x:v>
      </x:c>
      <x:c r="I668" s="24" t="str">
        <x:v>PR-C-09누4209-2-20240509-15</x:v>
      </x:c>
      <x:c r="J668" s="24" t="str">
        <x:v>박현우</x:v>
      </x:c>
      <x:c r="K668" s="24" t="str">
        <x:v>종료 계약 시작</x:v>
      </x:c>
      <x:c r="L668" s="24" t="str"/>
      <x:c r="M668" s="24" t="str"/>
      <x:c r="N668" s="30" t="n">
        <x:v>45421</x:v>
      </x:c>
    </x:row>
    <x:row r="669" ht="17.25" customHeight="1">
      <x:c r="A669" s="24" t="str">
        <x:v>E-00668</x:v>
      </x:c>
      <x:c r="B669" s="24" t="str">
        <x:v>프라임구독</x:v>
      </x:c>
      <x:c r="C669" s="24" t="str">
        <x:v>09누4209</x:v>
      </x:c>
      <x:c r="D669" s="30" t="n">
        <x:v>46868</x:v>
      </x:c>
      <x:c r="E669" s="24" t="str">
        <x:v>반납</x:v>
      </x:c>
      <x:c r="F669" s="24" t="str">
        <x:v>대여중</x:v>
      </x:c>
      <x:c r="G669" s="24" t="str">
        <x:v>쉬는차</x:v>
      </x:c>
      <x:c r="H669" s="32"/>
      <x:c r="I669" s="24" t="str">
        <x:v>PR-C-09누4209-2-20240509-15</x:v>
      </x:c>
      <x:c r="J669" s="24" t="str">
        <x:v>박현우</x:v>
      </x:c>
      <x:c r="K669" s="24" t="str">
        <x:v>차량 반납</x:v>
      </x:c>
      <x:c r="L669" s="24" t="str"/>
      <x:c r="M669" s="24" t="str"/>
      <x:c r="N669" s="30" t="n">
        <x:v>46868</x:v>
      </x:c>
    </x:row>
    <x:row r="670" ht="17.25" customHeight="1">
      <x:c r="A670" s="24" t="str">
        <x:v>E-00669</x:v>
      </x:c>
      <x:c r="B670" s="24" t="str">
        <x:v>프라임구독</x:v>
      </x:c>
      <x:c r="C670" s="24" t="str">
        <x:v>103너3604</x:v>
      </x:c>
      <x:c r="D670" s="30" t="n">
        <x:v>44904</x:v>
      </x:c>
      <x:c r="E670" s="24" t="str">
        <x:v>계약시작</x:v>
      </x:c>
      <x:c r="F670" s="24" t="str"/>
      <x:c r="G670" s="24" t="str">
        <x:v>대여중</x:v>
      </x:c>
      <x:c r="H670" s="32" t="n">
        <x:v>550000</x:v>
      </x:c>
      <x:c r="I670" s="24" t="str">
        <x:v>PR-C-103너3604-2-20221209-16</x:v>
      </x:c>
      <x:c r="J670" s="24" t="str">
        <x:v>이영남</x:v>
      </x:c>
      <x:c r="K670" s="24" t="str">
        <x:v>종료 계약 시작</x:v>
      </x:c>
      <x:c r="L670" s="24" t="str"/>
      <x:c r="M670" s="24" t="str"/>
      <x:c r="N670" s="30" t="n">
        <x:v>44904</x:v>
      </x:c>
    </x:row>
    <x:row r="671" ht="17.25" customHeight="1">
      <x:c r="A671" s="24" t="str">
        <x:v>E-00670</x:v>
      </x:c>
      <x:c r="B671" s="24" t="str">
        <x:v>프라임구독</x:v>
      </x:c>
      <x:c r="C671" s="24" t="str">
        <x:v>103너3604</x:v>
      </x:c>
      <x:c r="D671" s="30" t="n">
        <x:v>45996</x:v>
      </x:c>
      <x:c r="E671" s="24" t="str">
        <x:v>반납</x:v>
      </x:c>
      <x:c r="F671" s="24" t="str">
        <x:v>대여중</x:v>
      </x:c>
      <x:c r="G671" s="24" t="str">
        <x:v>쉬는차</x:v>
      </x:c>
      <x:c r="H671" s="32"/>
      <x:c r="I671" s="24" t="str">
        <x:v>PR-C-103너3604-2-20221209-16</x:v>
      </x:c>
      <x:c r="J671" s="24" t="str">
        <x:v>이영남</x:v>
      </x:c>
      <x:c r="K671" s="24" t="str">
        <x:v>차량 반납</x:v>
      </x:c>
      <x:c r="L671" s="24" t="str"/>
      <x:c r="M671" s="24" t="str"/>
      <x:c r="N671" s="30" t="n">
        <x:v>45996</x:v>
      </x:c>
    </x:row>
    <x:row r="672" ht="17.25" customHeight="1">
      <x:c r="A672" s="24" t="str">
        <x:v>E-00671</x:v>
      </x:c>
      <x:c r="B672" s="24" t="str">
        <x:v>프라임구독</x:v>
      </x:c>
      <x:c r="C672" s="24" t="str">
        <x:v>107고5687</x:v>
      </x:c>
      <x:c r="D672" s="30" t="n">
        <x:v>44691</x:v>
      </x:c>
      <x:c r="E672" s="24" t="str">
        <x:v>계약시작</x:v>
      </x:c>
      <x:c r="F672" s="24" t="str"/>
      <x:c r="G672" s="24" t="str">
        <x:v>대여중</x:v>
      </x:c>
      <x:c r="H672" s="32" t="n">
        <x:v>335000</x:v>
      </x:c>
      <x:c r="I672" s="24" t="str">
        <x:v>PR-C-107고5687-2-20220510-17</x:v>
      </x:c>
      <x:c r="J672" s="24" t="str">
        <x:v>박지현2</x:v>
      </x:c>
      <x:c r="K672" s="24" t="str">
        <x:v>종료 계약 시작</x:v>
      </x:c>
      <x:c r="L672" s="24" t="str"/>
      <x:c r="M672" s="24" t="str"/>
      <x:c r="N672" s="30" t="n">
        <x:v>44691</x:v>
      </x:c>
    </x:row>
    <x:row r="673" ht="17.25" customHeight="1">
      <x:c r="A673" s="24" t="str">
        <x:v>E-00672</x:v>
      </x:c>
      <x:c r="B673" s="24" t="str">
        <x:v>프라임구독</x:v>
      </x:c>
      <x:c r="C673" s="24" t="str">
        <x:v>107고5687</x:v>
      </x:c>
      <x:c r="D673" s="30" t="n">
        <x:v>45797</x:v>
      </x:c>
      <x:c r="E673" s="24" t="str">
        <x:v>반납</x:v>
      </x:c>
      <x:c r="F673" s="24" t="str">
        <x:v>대여중</x:v>
      </x:c>
      <x:c r="G673" s="24" t="str">
        <x:v>쉬는차</x:v>
      </x:c>
      <x:c r="H673" s="32"/>
      <x:c r="I673" s="24" t="str">
        <x:v>PR-C-107고5687-2-20220510-17</x:v>
      </x:c>
      <x:c r="J673" s="24" t="str">
        <x:v>박지현2</x:v>
      </x:c>
      <x:c r="K673" s="24" t="str">
        <x:v>차량 반납</x:v>
      </x:c>
      <x:c r="L673" s="24" t="str"/>
      <x:c r="M673" s="24" t="str"/>
      <x:c r="N673" s="30" t="n">
        <x:v>45797</x:v>
      </x:c>
    </x:row>
    <x:row r="674" ht="17.25" customHeight="1">
      <x:c r="A674" s="24" t="str">
        <x:v>E-00673</x:v>
      </x:c>
      <x:c r="B674" s="24" t="str">
        <x:v>프라임구독</x:v>
      </x:c>
      <x:c r="C674" s="24" t="str">
        <x:v>107보9912</x:v>
      </x:c>
      <x:c r="D674" s="30" t="n">
        <x:v>44561</x:v>
      </x:c>
      <x:c r="E674" s="24" t="str">
        <x:v>계약시작</x:v>
      </x:c>
      <x:c r="F674" s="24" t="str"/>
      <x:c r="G674" s="24" t="str">
        <x:v>대여중</x:v>
      </x:c>
      <x:c r="H674" s="32" t="n">
        <x:v>647000</x:v>
      </x:c>
      <x:c r="I674" s="24" t="str">
        <x:v>PR-C-107보9912-2-20211231-18</x:v>
      </x:c>
      <x:c r="J674" s="24" t="str">
        <x:v>정재식</x:v>
      </x:c>
      <x:c r="K674" s="24" t="str">
        <x:v>종료 계약 시작</x:v>
      </x:c>
      <x:c r="L674" s="24" t="str"/>
      <x:c r="M674" s="24" t="str"/>
      <x:c r="N674" s="30" t="n">
        <x:v>44561</x:v>
      </x:c>
    </x:row>
    <x:row r="675" ht="17.25" customHeight="1">
      <x:c r="A675" s="24" t="str">
        <x:v>E-00674</x:v>
      </x:c>
      <x:c r="B675" s="24" t="str">
        <x:v>프라임구독</x:v>
      </x:c>
      <x:c r="C675" s="24" t="str">
        <x:v>107보9912</x:v>
      </x:c>
      <x:c r="D675" s="30" t="n">
        <x:v>45646</x:v>
      </x:c>
      <x:c r="E675" s="24" t="str">
        <x:v>반납</x:v>
      </x:c>
      <x:c r="F675" s="24" t="str">
        <x:v>대여중</x:v>
      </x:c>
      <x:c r="G675" s="24" t="str">
        <x:v>쉬는차</x:v>
      </x:c>
      <x:c r="H675" s="32"/>
      <x:c r="I675" s="24" t="str">
        <x:v>PR-C-107보9912-2-20211231-18</x:v>
      </x:c>
      <x:c r="J675" s="24" t="str">
        <x:v>정재식</x:v>
      </x:c>
      <x:c r="K675" s="24" t="str">
        <x:v>차량 반납</x:v>
      </x:c>
      <x:c r="L675" s="24" t="str"/>
      <x:c r="M675" s="24" t="str"/>
      <x:c r="N675" s="30" t="n">
        <x:v>45646</x:v>
      </x:c>
    </x:row>
    <x:row r="676" ht="17.25" customHeight="1">
      <x:c r="A676" s="24" t="str">
        <x:v>E-00675</x:v>
      </x:c>
      <x:c r="B676" s="24" t="str">
        <x:v>프라임구독</x:v>
      </x:c>
      <x:c r="C676" s="24" t="str">
        <x:v>10고0707</x:v>
      </x:c>
      <x:c r="D676" s="30" t="n">
        <x:v>44649</x:v>
      </x:c>
      <x:c r="E676" s="24" t="str">
        <x:v>계약시작</x:v>
      </x:c>
      <x:c r="F676" s="24" t="str"/>
      <x:c r="G676" s="24" t="str">
        <x:v>대여중</x:v>
      </x:c>
      <x:c r="H676" s="32" t="n">
        <x:v>594000</x:v>
      </x:c>
      <x:c r="I676" s="24" t="str">
        <x:v>PR-C-10고0707-2-20220329-19</x:v>
      </x:c>
      <x:c r="J676" s="24" t="str">
        <x:v>정성민</x:v>
      </x:c>
      <x:c r="K676" s="24" t="str">
        <x:v>종료 계약 시작</x:v>
      </x:c>
      <x:c r="L676" s="24" t="str"/>
      <x:c r="M676" s="24" t="str"/>
      <x:c r="N676" s="30" t="n">
        <x:v>44649</x:v>
      </x:c>
    </x:row>
    <x:row r="677" ht="17.25" customHeight="1">
      <x:c r="A677" s="24" t="str">
        <x:v>E-00676</x:v>
      </x:c>
      <x:c r="B677" s="24" t="str">
        <x:v>프라임구독</x:v>
      </x:c>
      <x:c r="C677" s="24" t="str">
        <x:v>10고0707</x:v>
      </x:c>
      <x:c r="D677" s="30" t="n">
        <x:v>45746</x:v>
      </x:c>
      <x:c r="E677" s="24" t="str">
        <x:v>반납</x:v>
      </x:c>
      <x:c r="F677" s="24" t="str">
        <x:v>대여중</x:v>
      </x:c>
      <x:c r="G677" s="24" t="str">
        <x:v>쉬는차</x:v>
      </x:c>
      <x:c r="H677" s="32"/>
      <x:c r="I677" s="24" t="str">
        <x:v>PR-C-10고0707-2-20220329-19</x:v>
      </x:c>
      <x:c r="J677" s="24" t="str">
        <x:v>정성민</x:v>
      </x:c>
      <x:c r="K677" s="24" t="str">
        <x:v>차량 반납</x:v>
      </x:c>
      <x:c r="L677" s="24" t="str"/>
      <x:c r="M677" s="24" t="str"/>
      <x:c r="N677" s="30" t="n">
        <x:v>45746</x:v>
      </x:c>
    </x:row>
    <x:row r="678" ht="17.25" customHeight="1">
      <x:c r="A678" s="24" t="str">
        <x:v>E-00677</x:v>
      </x:c>
      <x:c r="B678" s="24" t="str">
        <x:v>프라임구독</x:v>
      </x:c>
      <x:c r="C678" s="24" t="str">
        <x:v>10루8404</x:v>
      </x:c>
      <x:c r="D678" s="30" t="n">
        <x:v>44601</x:v>
      </x:c>
      <x:c r="E678" s="24" t="str">
        <x:v>계약시작</x:v>
      </x:c>
      <x:c r="F678" s="24" t="str"/>
      <x:c r="G678" s="24" t="str">
        <x:v>대여중</x:v>
      </x:c>
      <x:c r="H678" s="32" t="n">
        <x:v>430000</x:v>
      </x:c>
      <x:c r="I678" s="24" t="str">
        <x:v>PR-C-10루8404-2-20220209-20</x:v>
      </x:c>
      <x:c r="J678" s="24" t="str">
        <x:v>유햇님</x:v>
      </x:c>
      <x:c r="K678" s="24" t="str">
        <x:v>종료 계약 시작</x:v>
      </x:c>
      <x:c r="L678" s="24" t="str"/>
      <x:c r="M678" s="24" t="str"/>
      <x:c r="N678" s="30" t="n">
        <x:v>44601</x:v>
      </x:c>
    </x:row>
    <x:row r="679" ht="17.25" customHeight="1">
      <x:c r="A679" s="24" t="str">
        <x:v>E-00678</x:v>
      </x:c>
      <x:c r="B679" s="24" t="str">
        <x:v>프라임구독</x:v>
      </x:c>
      <x:c r="C679" s="24" t="str">
        <x:v>10루8404</x:v>
      </x:c>
      <x:c r="D679" s="30" t="n">
        <x:v>45708</x:v>
      </x:c>
      <x:c r="E679" s="24" t="str">
        <x:v>반납</x:v>
      </x:c>
      <x:c r="F679" s="24" t="str">
        <x:v>대여중</x:v>
      </x:c>
      <x:c r="G679" s="24" t="str">
        <x:v>쉬는차</x:v>
      </x:c>
      <x:c r="H679" s="32"/>
      <x:c r="I679" s="24" t="str">
        <x:v>PR-C-10루8404-2-20220209-20</x:v>
      </x:c>
      <x:c r="J679" s="24" t="str">
        <x:v>유햇님</x:v>
      </x:c>
      <x:c r="K679" s="24" t="str">
        <x:v>차량 반납</x:v>
      </x:c>
      <x:c r="L679" s="24" t="str"/>
      <x:c r="M679" s="24" t="str"/>
      <x:c r="N679" s="30" t="n">
        <x:v>45708</x:v>
      </x:c>
    </x:row>
    <x:row r="680" ht="17.25" customHeight="1">
      <x:c r="A680" s="24" t="str">
        <x:v>E-00679</x:v>
      </x:c>
      <x:c r="B680" s="24" t="str">
        <x:v>프라임구독</x:v>
      </x:c>
      <x:c r="C680" s="24" t="str">
        <x:v>10버7680</x:v>
      </x:c>
      <x:c r="D680" s="30" t="n">
        <x:v>45093</x:v>
      </x:c>
      <x:c r="E680" s="24" t="str">
        <x:v>계약시작</x:v>
      </x:c>
      <x:c r="F680" s="24" t="str"/>
      <x:c r="G680" s="24" t="str">
        <x:v>대여중</x:v>
      </x:c>
      <x:c r="H680" s="32" t="n">
        <x:v>1160000</x:v>
      </x:c>
      <x:c r="I680" s="24" t="str">
        <x:v>PR-C-10버7680-2-20230616-21</x:v>
      </x:c>
      <x:c r="J680" s="24" t="str">
        <x:v>정재욱</x:v>
      </x:c>
      <x:c r="K680" s="24" t="str">
        <x:v>종료 계약 시작</x:v>
      </x:c>
      <x:c r="L680" s="24" t="str"/>
      <x:c r="M680" s="24" t="str"/>
      <x:c r="N680" s="30" t="n">
        <x:v>45093</x:v>
      </x:c>
    </x:row>
    <x:row r="681" ht="17.25" customHeight="1">
      <x:c r="A681" s="24" t="str">
        <x:v>E-00680</x:v>
      </x:c>
      <x:c r="B681" s="24" t="str">
        <x:v>프라임구독</x:v>
      </x:c>
      <x:c r="C681" s="24" t="str">
        <x:v>10버7680</x:v>
      </x:c>
      <x:c r="D681" s="30" t="n">
        <x:v>46254</x:v>
      </x:c>
      <x:c r="E681" s="24" t="str">
        <x:v>반납</x:v>
      </x:c>
      <x:c r="F681" s="24" t="str">
        <x:v>대여중</x:v>
      </x:c>
      <x:c r="G681" s="24" t="str">
        <x:v>쉬는차</x:v>
      </x:c>
      <x:c r="H681" s="32"/>
      <x:c r="I681" s="24" t="str">
        <x:v>PR-C-10버7680-2-20230616-21</x:v>
      </x:c>
      <x:c r="J681" s="24" t="str">
        <x:v>정재욱</x:v>
      </x:c>
      <x:c r="K681" s="24" t="str">
        <x:v>차량 반납</x:v>
      </x:c>
      <x:c r="L681" s="24" t="str"/>
      <x:c r="M681" s="24" t="str"/>
      <x:c r="N681" s="30" t="n">
        <x:v>46254</x:v>
      </x:c>
    </x:row>
    <x:row r="682" ht="17.25" customHeight="1">
      <x:c r="A682" s="24" t="str">
        <x:v>E-00681</x:v>
      </x:c>
      <x:c r="B682" s="24" t="str">
        <x:v>프라임구독</x:v>
      </x:c>
      <x:c r="C682" s="24" t="str">
        <x:v>110오3731</x:v>
      </x:c>
      <x:c r="D682" s="30" t="n">
        <x:v>44571</x:v>
      </x:c>
      <x:c r="E682" s="24" t="str">
        <x:v>계약시작</x:v>
      </x:c>
      <x:c r="F682" s="24" t="str"/>
      <x:c r="G682" s="24" t="str">
        <x:v>대여중</x:v>
      </x:c>
      <x:c r="H682" s="32" t="n">
        <x:v>393000</x:v>
      </x:c>
      <x:c r="I682" s="24" t="str">
        <x:v>PR-C-110오3731-2-20220110-22</x:v>
      </x:c>
      <x:c r="J682" s="24" t="str">
        <x:v>하준</x:v>
      </x:c>
      <x:c r="K682" s="24" t="str">
        <x:v>종료 계약 시작</x:v>
      </x:c>
      <x:c r="L682" s="24" t="str"/>
      <x:c r="M682" s="24" t="str"/>
      <x:c r="N682" s="30" t="n">
        <x:v>44571</x:v>
      </x:c>
    </x:row>
    <x:row r="683" ht="17.25" customHeight="1">
      <x:c r="A683" s="24" t="str">
        <x:v>E-00682</x:v>
      </x:c>
      <x:c r="B683" s="24" t="str">
        <x:v>프라임구독</x:v>
      </x:c>
      <x:c r="C683" s="24" t="str">
        <x:v>110오3731</x:v>
      </x:c>
      <x:c r="D683" s="30" t="n">
        <x:v>45687</x:v>
      </x:c>
      <x:c r="E683" s="24" t="str">
        <x:v>반납</x:v>
      </x:c>
      <x:c r="F683" s="24" t="str">
        <x:v>대여중</x:v>
      </x:c>
      <x:c r="G683" s="24" t="str">
        <x:v>쉬는차</x:v>
      </x:c>
      <x:c r="H683" s="32"/>
      <x:c r="I683" s="24" t="str">
        <x:v>PR-C-110오3731-2-20220110-22</x:v>
      </x:c>
      <x:c r="J683" s="24" t="str">
        <x:v>하준</x:v>
      </x:c>
      <x:c r="K683" s="24" t="str">
        <x:v>차량 반납</x:v>
      </x:c>
      <x:c r="L683" s="24" t="str"/>
      <x:c r="M683" s="24" t="str"/>
      <x:c r="N683" s="30" t="n">
        <x:v>45687</x:v>
      </x:c>
    </x:row>
    <x:row r="684" ht="17.25" customHeight="1">
      <x:c r="A684" s="24" t="str">
        <x:v>E-00683</x:v>
      </x:c>
      <x:c r="B684" s="24" t="str">
        <x:v>프라임구독</x:v>
      </x:c>
      <x:c r="C684" s="24" t="str">
        <x:v>110오3787</x:v>
      </x:c>
      <x:c r="D684" s="30" t="n">
        <x:v>44579</x:v>
      </x:c>
      <x:c r="E684" s="24" t="str">
        <x:v>계약시작</x:v>
      </x:c>
      <x:c r="F684" s="24" t="str"/>
      <x:c r="G684" s="24" t="str">
        <x:v>대여중</x:v>
      </x:c>
      <x:c r="H684" s="32" t="n">
        <x:v>430000</x:v>
      </x:c>
      <x:c r="I684" s="24" t="str">
        <x:v>PR-C-110오3787-2-20220118-23</x:v>
      </x:c>
      <x:c r="J684" s="24" t="str">
        <x:v>임상현</x:v>
      </x:c>
      <x:c r="K684" s="24" t="str">
        <x:v>종료 계약 시작</x:v>
      </x:c>
      <x:c r="L684" s="24" t="str"/>
      <x:c r="M684" s="24" t="str"/>
      <x:c r="N684" s="30" t="n">
        <x:v>44579</x:v>
      </x:c>
    </x:row>
    <x:row r="685" ht="17.25" customHeight="1">
      <x:c r="A685" s="24" t="str">
        <x:v>E-00684</x:v>
      </x:c>
      <x:c r="B685" s="24" t="str">
        <x:v>프라임구독</x:v>
      </x:c>
      <x:c r="C685" s="24" t="str">
        <x:v>110오3787</x:v>
      </x:c>
      <x:c r="D685" s="30" t="n">
        <x:v>45682</x:v>
      </x:c>
      <x:c r="E685" s="24" t="str">
        <x:v>반납</x:v>
      </x:c>
      <x:c r="F685" s="24" t="str">
        <x:v>대여중</x:v>
      </x:c>
      <x:c r="G685" s="24" t="str">
        <x:v>쉬는차</x:v>
      </x:c>
      <x:c r="H685" s="32"/>
      <x:c r="I685" s="24" t="str">
        <x:v>PR-C-110오3787-2-20220118-23</x:v>
      </x:c>
      <x:c r="J685" s="24" t="str">
        <x:v>임상현</x:v>
      </x:c>
      <x:c r="K685" s="24" t="str">
        <x:v>차량 반납</x:v>
      </x:c>
      <x:c r="L685" s="24" t="str"/>
      <x:c r="M685" s="24" t="str"/>
      <x:c r="N685" s="30" t="n">
        <x:v>45682</x:v>
      </x:c>
    </x:row>
    <x:row r="686" ht="17.25" customHeight="1">
      <x:c r="A686" s="24" t="str">
        <x:v>E-00685</x:v>
      </x:c>
      <x:c r="B686" s="24" t="str">
        <x:v>프라임구독</x:v>
      </x:c>
      <x:c r="C686" s="24" t="str">
        <x:v>111로8548</x:v>
      </x:c>
      <x:c r="D686" s="30" t="n">
        <x:v>45216</x:v>
      </x:c>
      <x:c r="E686" s="24" t="str">
        <x:v>계약시작</x:v>
      </x:c>
      <x:c r="F686" s="24" t="str"/>
      <x:c r="G686" s="24" t="str">
        <x:v>대여중</x:v>
      </x:c>
      <x:c r="H686" s="32" t="n">
        <x:v>718000</x:v>
      </x:c>
      <x:c r="I686" s="24" t="str">
        <x:v>PR-C-111로8548-2-20231017-24</x:v>
      </x:c>
      <x:c r="J686" s="24" t="str">
        <x:v>조유진</x:v>
      </x:c>
      <x:c r="K686" s="24" t="str">
        <x:v>종료 계약 시작</x:v>
      </x:c>
      <x:c r="L686" s="24" t="str"/>
      <x:c r="M686" s="24" t="str"/>
      <x:c r="N686" s="30" t="n">
        <x:v>45216</x:v>
      </x:c>
    </x:row>
    <x:row r="687" ht="17.25" customHeight="1">
      <x:c r="A687" s="24" t="str">
        <x:v>E-00686</x:v>
      </x:c>
      <x:c r="B687" s="24" t="str">
        <x:v>프라임구독</x:v>
      </x:c>
      <x:c r="C687" s="24" t="str">
        <x:v>111로8548</x:v>
      </x:c>
      <x:c r="D687" s="30" t="n">
        <x:v>46680</x:v>
      </x:c>
      <x:c r="E687" s="24" t="str">
        <x:v>반납</x:v>
      </x:c>
      <x:c r="F687" s="24" t="str">
        <x:v>대여중</x:v>
      </x:c>
      <x:c r="G687" s="24" t="str">
        <x:v>쉬는차</x:v>
      </x:c>
      <x:c r="H687" s="32"/>
      <x:c r="I687" s="24" t="str">
        <x:v>PR-C-111로8548-2-20231017-24</x:v>
      </x:c>
      <x:c r="J687" s="24" t="str">
        <x:v>조유진</x:v>
      </x:c>
      <x:c r="K687" s="24" t="str">
        <x:v>차량 반납</x:v>
      </x:c>
      <x:c r="L687" s="24" t="str"/>
      <x:c r="M687" s="24" t="str"/>
      <x:c r="N687" s="30" t="n">
        <x:v>46680</x:v>
      </x:c>
    </x:row>
    <x:row r="688" ht="17.25" customHeight="1">
      <x:c r="A688" s="24" t="str">
        <x:v>E-00687</x:v>
      </x:c>
      <x:c r="B688" s="24" t="str">
        <x:v>프라임구독</x:v>
      </x:c>
      <x:c r="C688" s="24" t="str">
        <x:v>112가8342</x:v>
      </x:c>
      <x:c r="D688" s="30" t="n">
        <x:v>44687</x:v>
      </x:c>
      <x:c r="E688" s="24" t="str">
        <x:v>계약시작</x:v>
      </x:c>
      <x:c r="F688" s="24" t="str"/>
      <x:c r="G688" s="24" t="str">
        <x:v>대여중</x:v>
      </x:c>
      <x:c r="H688" s="32" t="n">
        <x:v>828000</x:v>
      </x:c>
      <x:c r="I688" s="24" t="str">
        <x:v>PR-C-112가8342-2-20220506-25</x:v>
      </x:c>
      <x:c r="J688" s="24" t="str">
        <x:v>성석훈</x:v>
      </x:c>
      <x:c r="K688" s="24" t="str">
        <x:v>종료 계약 시작</x:v>
      </x:c>
      <x:c r="L688" s="24" t="str"/>
      <x:c r="M688" s="24" t="str"/>
      <x:c r="N688" s="30" t="n">
        <x:v>44687</x:v>
      </x:c>
    </x:row>
    <x:row r="689" ht="17.25" customHeight="1">
      <x:c r="A689" s="24" t="str">
        <x:v>E-00688</x:v>
      </x:c>
      <x:c r="B689" s="24" t="str">
        <x:v>프라임구독</x:v>
      </x:c>
      <x:c r="C689" s="24" t="str">
        <x:v>112가8342</x:v>
      </x:c>
      <x:c r="D689" s="30" t="n">
        <x:v>45797</x:v>
      </x:c>
      <x:c r="E689" s="24" t="str">
        <x:v>반납</x:v>
      </x:c>
      <x:c r="F689" s="24" t="str">
        <x:v>대여중</x:v>
      </x:c>
      <x:c r="G689" s="24" t="str">
        <x:v>쉬는차</x:v>
      </x:c>
      <x:c r="H689" s="32"/>
      <x:c r="I689" s="24" t="str">
        <x:v>PR-C-112가8342-2-20220506-25</x:v>
      </x:c>
      <x:c r="J689" s="24" t="str">
        <x:v>성석훈</x:v>
      </x:c>
      <x:c r="K689" s="24" t="str">
        <x:v>차량 반납</x:v>
      </x:c>
      <x:c r="L689" s="24" t="str"/>
      <x:c r="M689" s="24" t="str"/>
      <x:c r="N689" s="30" t="n">
        <x:v>45797</x:v>
      </x:c>
    </x:row>
    <x:row r="690" ht="17.25" customHeight="1">
      <x:c r="A690" s="24" t="str">
        <x:v>E-00689</x:v>
      </x:c>
      <x:c r="B690" s="24" t="str">
        <x:v>프라임구독</x:v>
      </x:c>
      <x:c r="C690" s="24" t="str">
        <x:v>112수8932</x:v>
      </x:c>
      <x:c r="D690" s="30" t="n">
        <x:v>44879</x:v>
      </x:c>
      <x:c r="E690" s="24" t="str">
        <x:v>계약시작</x:v>
      </x:c>
      <x:c r="F690" s="24" t="str"/>
      <x:c r="G690" s="24" t="str">
        <x:v>대여중</x:v>
      </x:c>
      <x:c r="H690" s="32" t="n">
        <x:v>599000</x:v>
      </x:c>
      <x:c r="I690" s="24" t="str">
        <x:v>PR-C-112수8932-2-20221114-26</x:v>
      </x:c>
      <x:c r="J690" s="24" t="str">
        <x:v>정대교</x:v>
      </x:c>
      <x:c r="K690" s="24" t="str">
        <x:v>종료 계약 시작</x:v>
      </x:c>
      <x:c r="L690" s="24" t="str"/>
      <x:c r="M690" s="24" t="str"/>
      <x:c r="N690" s="30" t="n">
        <x:v>44879</x:v>
      </x:c>
    </x:row>
    <x:row r="691" ht="17.25" customHeight="1">
      <x:c r="A691" s="24" t="str">
        <x:v>E-00690</x:v>
      </x:c>
      <x:c r="B691" s="24" t="str">
        <x:v>프라임구독</x:v>
      </x:c>
      <x:c r="C691" s="24" t="str">
        <x:v>112수8932</x:v>
      </x:c>
      <x:c r="D691" s="30" t="n">
        <x:v>45991</x:v>
      </x:c>
      <x:c r="E691" s="24" t="str">
        <x:v>반납</x:v>
      </x:c>
      <x:c r="F691" s="24" t="str">
        <x:v>대여중</x:v>
      </x:c>
      <x:c r="G691" s="24" t="str">
        <x:v>쉬는차</x:v>
      </x:c>
      <x:c r="H691" s="32"/>
      <x:c r="I691" s="24" t="str">
        <x:v>PR-C-112수8932-2-20221114-26</x:v>
      </x:c>
      <x:c r="J691" s="24" t="str">
        <x:v>정대교</x:v>
      </x:c>
      <x:c r="K691" s="24" t="str">
        <x:v>차량 반납</x:v>
      </x:c>
      <x:c r="L691" s="24" t="str"/>
      <x:c r="M691" s="24" t="str"/>
      <x:c r="N691" s="30" t="n">
        <x:v>45991</x:v>
      </x:c>
    </x:row>
    <x:row r="692" ht="17.25" customHeight="1">
      <x:c r="A692" s="24" t="str">
        <x:v>E-00691</x:v>
      </x:c>
      <x:c r="B692" s="24" t="str">
        <x:v>프라임구독</x:v>
      </x:c>
      <x:c r="C692" s="24" t="str">
        <x:v>113더8112</x:v>
      </x:c>
      <x:c r="D692" s="30" t="n">
        <x:v>45155</x:v>
      </x:c>
      <x:c r="E692" s="24" t="str">
        <x:v>계약시작</x:v>
      </x:c>
      <x:c r="F692" s="24" t="str"/>
      <x:c r="G692" s="24" t="str">
        <x:v>대여중</x:v>
      </x:c>
      <x:c r="H692" s="32" t="n">
        <x:v>781000</x:v>
      </x:c>
      <x:c r="I692" s="24" t="str">
        <x:v>PR-C-113더8112-1-20230817-27</x:v>
      </x:c>
      <x:c r="J692" s="24" t="str">
        <x:v>곽현중</x:v>
      </x:c>
      <x:c r="K692" s="24" t="str">
        <x:v>구독 계약 시작</x:v>
      </x:c>
      <x:c r="L692" s="24" t="str"/>
      <x:c r="M692" s="24" t="str"/>
      <x:c r="N692" s="30" t="n">
        <x:v>45155</x:v>
      </x:c>
    </x:row>
    <x:row r="693" ht="17.25" customHeight="1">
      <x:c r="A693" s="24" t="str">
        <x:v>E-00692</x:v>
      </x:c>
      <x:c r="B693" s="24" t="str">
        <x:v>프라임구독</x:v>
      </x:c>
      <x:c r="C693" s="24" t="str">
        <x:v>114루8423</x:v>
      </x:c>
      <x:c r="D693" s="30" t="n">
        <x:v>44866</x:v>
      </x:c>
      <x:c r="E693" s="24" t="str">
        <x:v>계약시작</x:v>
      </x:c>
      <x:c r="F693" s="24" t="str"/>
      <x:c r="G693" s="24" t="str">
        <x:v>대여중</x:v>
      </x:c>
      <x:c r="H693" s="32" t="n">
        <x:v>764000</x:v>
      </x:c>
      <x:c r="I693" s="24" t="str">
        <x:v>PR-C-114루8423-2-20221101-28</x:v>
      </x:c>
      <x:c r="J693" s="24" t="str">
        <x:v>문광순</x:v>
      </x:c>
      <x:c r="K693" s="24" t="str">
        <x:v>종료 계약 시작</x:v>
      </x:c>
      <x:c r="L693" s="24" t="str"/>
      <x:c r="M693" s="24" t="str"/>
      <x:c r="N693" s="30" t="n">
        <x:v>44866</x:v>
      </x:c>
    </x:row>
    <x:row r="694" ht="17.25" customHeight="1">
      <x:c r="A694" s="24" t="str">
        <x:v>E-00693</x:v>
      </x:c>
      <x:c r="B694" s="24" t="str">
        <x:v>프라임구독</x:v>
      </x:c>
      <x:c r="C694" s="24" t="str">
        <x:v>114루8423</x:v>
      </x:c>
      <x:c r="D694" s="30" t="n">
        <x:v>45950</x:v>
      </x:c>
      <x:c r="E694" s="24" t="str">
        <x:v>반납</x:v>
      </x:c>
      <x:c r="F694" s="24" t="str">
        <x:v>대여중</x:v>
      </x:c>
      <x:c r="G694" s="24" t="str">
        <x:v>쉬는차</x:v>
      </x:c>
      <x:c r="H694" s="32"/>
      <x:c r="I694" s="24" t="str">
        <x:v>PR-C-114루8423-2-20221101-28</x:v>
      </x:c>
      <x:c r="J694" s="24" t="str">
        <x:v>문광순</x:v>
      </x:c>
      <x:c r="K694" s="24" t="str">
        <x:v>차량 반납</x:v>
      </x:c>
      <x:c r="L694" s="24" t="str"/>
      <x:c r="M694" s="24" t="str"/>
      <x:c r="N694" s="30" t="n">
        <x:v>45950</x:v>
      </x:c>
    </x:row>
    <x:row r="695" ht="17.25" customHeight="1">
      <x:c r="A695" s="24" t="str">
        <x:v>E-00694</x:v>
      </x:c>
      <x:c r="B695" s="24" t="str">
        <x:v>프라임구독</x:v>
      </x:c>
      <x:c r="C695" s="24" t="str">
        <x:v>119두7903</x:v>
      </x:c>
      <x:c r="D695" s="30" t="n">
        <x:v>44939</x:v>
      </x:c>
      <x:c r="E695" s="24" t="str">
        <x:v>계약시작</x:v>
      </x:c>
      <x:c r="F695" s="24" t="str"/>
      <x:c r="G695" s="24" t="str">
        <x:v>대여중</x:v>
      </x:c>
      <x:c r="H695" s="32" t="n">
        <x:v>685000</x:v>
      </x:c>
      <x:c r="I695" s="24" t="str">
        <x:v>PR-C-119두7903-1-20230113-29</x:v>
      </x:c>
      <x:c r="J695" s="24" t="str">
        <x:v>이보영</x:v>
      </x:c>
      <x:c r="K695" s="24" t="str">
        <x:v>구독 계약 시작</x:v>
      </x:c>
      <x:c r="L695" s="24" t="str"/>
      <x:c r="M695" s="24" t="str"/>
      <x:c r="N695" s="30" t="n">
        <x:v>44939</x:v>
      </x:c>
    </x:row>
    <x:row r="696" ht="17.25" customHeight="1">
      <x:c r="A696" s="24" t="str">
        <x:v>E-00695</x:v>
      </x:c>
      <x:c r="B696" s="24" t="str">
        <x:v>프라임구독</x:v>
      </x:c>
      <x:c r="C696" s="24" t="str">
        <x:v>119라1440</x:v>
      </x:c>
      <x:c r="D696" s="30" t="n">
        <x:v>44972</x:v>
      </x:c>
      <x:c r="E696" s="24" t="str">
        <x:v>계약시작</x:v>
      </x:c>
      <x:c r="F696" s="24" t="str"/>
      <x:c r="G696" s="24" t="str">
        <x:v>대여중</x:v>
      </x:c>
      <x:c r="H696" s="32" t="n">
        <x:v>781000</x:v>
      </x:c>
      <x:c r="I696" s="24" t="str">
        <x:v>PR-C-119라1440-2-20230215-30</x:v>
      </x:c>
      <x:c r="J696" s="24" t="str">
        <x:v>서동구</x:v>
      </x:c>
      <x:c r="K696" s="24" t="str">
        <x:v>종료 계약 시작</x:v>
      </x:c>
      <x:c r="L696" s="24" t="str"/>
      <x:c r="M696" s="24" t="str"/>
      <x:c r="N696" s="30" t="n">
        <x:v>44972</x:v>
      </x:c>
    </x:row>
    <x:row r="697" ht="17.25" customHeight="1">
      <x:c r="A697" s="24" t="str">
        <x:v>E-00696</x:v>
      </x:c>
      <x:c r="B697" s="24" t="str">
        <x:v>프라임구독</x:v>
      </x:c>
      <x:c r="C697" s="24" t="str">
        <x:v>119라1440</x:v>
      </x:c>
      <x:c r="D697" s="30" t="n">
        <x:v>46078</x:v>
      </x:c>
      <x:c r="E697" s="24" t="str">
        <x:v>반납</x:v>
      </x:c>
      <x:c r="F697" s="24" t="str">
        <x:v>대여중</x:v>
      </x:c>
      <x:c r="G697" s="24" t="str">
        <x:v>쉬는차</x:v>
      </x:c>
      <x:c r="H697" s="32"/>
      <x:c r="I697" s="24" t="str">
        <x:v>PR-C-119라1440-2-20230215-30</x:v>
      </x:c>
      <x:c r="J697" s="24" t="str">
        <x:v>서동구</x:v>
      </x:c>
      <x:c r="K697" s="24" t="str">
        <x:v>차량 반납</x:v>
      </x:c>
      <x:c r="L697" s="24" t="str"/>
      <x:c r="M697" s="24" t="str"/>
      <x:c r="N697" s="30" t="n">
        <x:v>46078</x:v>
      </x:c>
    </x:row>
    <x:row r="698" ht="17.25" customHeight="1">
      <x:c r="A698" s="24" t="str">
        <x:v>E-00697</x:v>
      </x:c>
      <x:c r="B698" s="24" t="str">
        <x:v>프라임구독</x:v>
      </x:c>
      <x:c r="C698" s="24" t="str">
        <x:v>11구5844</x:v>
      </x:c>
      <x:c r="D698" s="30" t="n">
        <x:v>44777</x:v>
      </x:c>
      <x:c r="E698" s="24" t="str">
        <x:v>계약시작</x:v>
      </x:c>
      <x:c r="F698" s="24" t="str"/>
      <x:c r="G698" s="24" t="str">
        <x:v>대여중</x:v>
      </x:c>
      <x:c r="H698" s="32" t="n">
        <x:v>608000</x:v>
      </x:c>
      <x:c r="I698" s="24" t="str">
        <x:v>PR-C-11구5844-2-20220804-31</x:v>
      </x:c>
      <x:c r="J698" s="24" t="str">
        <x:v>전인탁</x:v>
      </x:c>
      <x:c r="K698" s="24" t="str">
        <x:v>종료 계약 시작</x:v>
      </x:c>
      <x:c r="L698" s="24" t="str"/>
      <x:c r="M698" s="24" t="str"/>
      <x:c r="N698" s="30" t="n">
        <x:v>44777</x:v>
      </x:c>
    </x:row>
    <x:row r="699" ht="17.25" customHeight="1">
      <x:c r="A699" s="24" t="str">
        <x:v>E-00698</x:v>
      </x:c>
      <x:c r="B699" s="24" t="str">
        <x:v>프라임구독</x:v>
      </x:c>
      <x:c r="C699" s="24" t="str">
        <x:v>11구5844</x:v>
      </x:c>
      <x:c r="D699" s="30" t="n">
        <x:v>45848</x:v>
      </x:c>
      <x:c r="E699" s="24" t="str">
        <x:v>반납</x:v>
      </x:c>
      <x:c r="F699" s="24" t="str">
        <x:v>대여중</x:v>
      </x:c>
      <x:c r="G699" s="24" t="str">
        <x:v>쉬는차</x:v>
      </x:c>
      <x:c r="H699" s="32"/>
      <x:c r="I699" s="24" t="str">
        <x:v>PR-C-11구5844-2-20220804-31</x:v>
      </x:c>
      <x:c r="J699" s="24" t="str">
        <x:v>전인탁</x:v>
      </x:c>
      <x:c r="K699" s="24" t="str">
        <x:v>차량 반납</x:v>
      </x:c>
      <x:c r="L699" s="24" t="str"/>
      <x:c r="M699" s="24" t="str"/>
      <x:c r="N699" s="30" t="n">
        <x:v>45848</x:v>
      </x:c>
    </x:row>
    <x:row r="700" ht="17.25" customHeight="1">
      <x:c r="A700" s="24" t="str">
        <x:v>E-00699</x:v>
      </x:c>
      <x:c r="B700" s="24" t="str">
        <x:v>프라임구독</x:v>
      </x:c>
      <x:c r="C700" s="24" t="str">
        <x:v>11머0509</x:v>
      </x:c>
      <x:c r="D700" s="30" t="n">
        <x:v>44791</x:v>
      </x:c>
      <x:c r="E700" s="24" t="str">
        <x:v>계약시작</x:v>
      </x:c>
      <x:c r="F700" s="24" t="str"/>
      <x:c r="G700" s="24" t="str">
        <x:v>대여중</x:v>
      </x:c>
      <x:c r="H700" s="32" t="n">
        <x:v>818000</x:v>
      </x:c>
      <x:c r="I700" s="24" t="str">
        <x:v>PR-C-11머0509-2-20220818-32</x:v>
      </x:c>
      <x:c r="J700" s="24" t="str">
        <x:v>정영교</x:v>
      </x:c>
      <x:c r="K700" s="24" t="str">
        <x:v>종료 계약 시작</x:v>
      </x:c>
      <x:c r="L700" s="24" t="str"/>
      <x:c r="M700" s="24" t="str"/>
      <x:c r="N700" s="30" t="n">
        <x:v>44791</x:v>
      </x:c>
    </x:row>
    <x:row r="701" ht="17.25" customHeight="1">
      <x:c r="A701" s="24" t="str">
        <x:v>E-00700</x:v>
      </x:c>
      <x:c r="B701" s="24" t="str">
        <x:v>프라임구독</x:v>
      </x:c>
      <x:c r="C701" s="24" t="str">
        <x:v>11머0509</x:v>
      </x:c>
      <x:c r="D701" s="30" t="n">
        <x:v>45894</x:v>
      </x:c>
      <x:c r="E701" s="24" t="str">
        <x:v>반납</x:v>
      </x:c>
      <x:c r="F701" s="24" t="str">
        <x:v>대여중</x:v>
      </x:c>
      <x:c r="G701" s="24" t="str">
        <x:v>쉬는차</x:v>
      </x:c>
      <x:c r="H701" s="32"/>
      <x:c r="I701" s="24" t="str">
        <x:v>PR-C-11머0509-2-20220818-32</x:v>
      </x:c>
      <x:c r="J701" s="24" t="str">
        <x:v>정영교</x:v>
      </x:c>
      <x:c r="K701" s="24" t="str">
        <x:v>차량 반납</x:v>
      </x:c>
      <x:c r="L701" s="24" t="str"/>
      <x:c r="M701" s="24" t="str"/>
      <x:c r="N701" s="30" t="n">
        <x:v>45894</x:v>
      </x:c>
    </x:row>
    <x:row r="702" ht="17.25" customHeight="1">
      <x:c r="A702" s="24" t="str">
        <x:v>E-00701</x:v>
      </x:c>
      <x:c r="B702" s="24" t="str">
        <x:v>프라임구독</x:v>
      </x:c>
      <x:c r="C702" s="24" t="str">
        <x:v>11서5986</x:v>
      </x:c>
      <x:c r="D702" s="30" t="n">
        <x:v>44447</x:v>
      </x:c>
      <x:c r="E702" s="24" t="str">
        <x:v>계약시작</x:v>
      </x:c>
      <x:c r="F702" s="24" t="str"/>
      <x:c r="G702" s="24" t="str">
        <x:v>대여중</x:v>
      </x:c>
      <x:c r="H702" s="32" t="n">
        <x:v>650000</x:v>
      </x:c>
      <x:c r="I702" s="24" t="str">
        <x:v>PR-C-11서5986-2-20210908-33</x:v>
      </x:c>
      <x:c r="J702" s="24" t="str">
        <x:v>한상열</x:v>
      </x:c>
      <x:c r="K702" s="24" t="str">
        <x:v>종료 계약 시작</x:v>
      </x:c>
      <x:c r="L702" s="24" t="str"/>
      <x:c r="M702" s="24" t="str"/>
      <x:c r="N702" s="30" t="n">
        <x:v>44447</x:v>
      </x:c>
    </x:row>
    <x:row r="703" ht="17.25" customHeight="1">
      <x:c r="A703" s="24" t="str">
        <x:v>E-00702</x:v>
      </x:c>
      <x:c r="B703" s="24" t="str">
        <x:v>프라임구독</x:v>
      </x:c>
      <x:c r="C703" s="24" t="str">
        <x:v>11서5986</x:v>
      </x:c>
      <x:c r="D703" s="30" t="n">
        <x:v>45555</x:v>
      </x:c>
      <x:c r="E703" s="24" t="str">
        <x:v>반납</x:v>
      </x:c>
      <x:c r="F703" s="24" t="str">
        <x:v>대여중</x:v>
      </x:c>
      <x:c r="G703" s="24" t="str">
        <x:v>쉬는차</x:v>
      </x:c>
      <x:c r="H703" s="32"/>
      <x:c r="I703" s="24" t="str">
        <x:v>PR-C-11서5986-2-20210908-33</x:v>
      </x:c>
      <x:c r="J703" s="24" t="str">
        <x:v>한상열</x:v>
      </x:c>
      <x:c r="K703" s="24" t="str">
        <x:v>차량 반납</x:v>
      </x:c>
      <x:c r="L703" s="24" t="str"/>
      <x:c r="M703" s="24" t="str"/>
      <x:c r="N703" s="30" t="n">
        <x:v>45555</x:v>
      </x:c>
    </x:row>
    <x:row r="704" ht="17.25" customHeight="1">
      <x:c r="A704" s="24" t="str">
        <x:v>E-00703</x:v>
      </x:c>
      <x:c r="B704" s="24" t="str">
        <x:v>프라임구독</x:v>
      </x:c>
      <x:c r="C704" s="24" t="str">
        <x:v>129수4096</x:v>
      </x:c>
      <x:c r="D704" s="30" t="n">
        <x:v>44897</x:v>
      </x:c>
      <x:c r="E704" s="24" t="str">
        <x:v>계약시작</x:v>
      </x:c>
      <x:c r="F704" s="24" t="str"/>
      <x:c r="G704" s="24" t="str">
        <x:v>대여중</x:v>
      </x:c>
      <x:c r="H704" s="32" t="n">
        <x:v>519000</x:v>
      </x:c>
      <x:c r="I704" s="24" t="str">
        <x:v>PR-C-129수4096-2-20221202-34</x:v>
      </x:c>
      <x:c r="J704" s="24" t="str">
        <x:v>이대우</x:v>
      </x:c>
      <x:c r="K704" s="24" t="str">
        <x:v>종료 계약 시작</x:v>
      </x:c>
      <x:c r="L704" s="24" t="str"/>
      <x:c r="M704" s="24" t="str"/>
      <x:c r="N704" s="30" t="n">
        <x:v>44897</x:v>
      </x:c>
    </x:row>
    <x:row r="705" ht="17.25" customHeight="1">
      <x:c r="A705" s="24" t="str">
        <x:v>E-00704</x:v>
      </x:c>
      <x:c r="B705" s="24" t="str">
        <x:v>프라임구독</x:v>
      </x:c>
      <x:c r="C705" s="24" t="str">
        <x:v>129수4096</x:v>
      </x:c>
      <x:c r="D705" s="30" t="n">
        <x:v>45976</x:v>
      </x:c>
      <x:c r="E705" s="24" t="str">
        <x:v>반납</x:v>
      </x:c>
      <x:c r="F705" s="24" t="str">
        <x:v>대여중</x:v>
      </x:c>
      <x:c r="G705" s="24" t="str">
        <x:v>쉬는차</x:v>
      </x:c>
      <x:c r="H705" s="32"/>
      <x:c r="I705" s="24" t="str">
        <x:v>PR-C-129수4096-2-20221202-34</x:v>
      </x:c>
      <x:c r="J705" s="24" t="str">
        <x:v>이대우</x:v>
      </x:c>
      <x:c r="K705" s="24" t="str">
        <x:v>차량 반납</x:v>
      </x:c>
      <x:c r="L705" s="24" t="str"/>
      <x:c r="M705" s="24" t="str"/>
      <x:c r="N705" s="30" t="n">
        <x:v>45976</x:v>
      </x:c>
    </x:row>
    <x:row r="706" ht="17.25" customHeight="1">
      <x:c r="A706" s="24" t="str">
        <x:v>E-00705</x:v>
      </x:c>
      <x:c r="B706" s="24" t="str">
        <x:v>프라임구독</x:v>
      </x:c>
      <x:c r="C706" s="24" t="str">
        <x:v>12구3819</x:v>
      </x:c>
      <x:c r="D706" s="30" t="n">
        <x:v>45195</x:v>
      </x:c>
      <x:c r="E706" s="24" t="str">
        <x:v>계약시작</x:v>
      </x:c>
      <x:c r="F706" s="24" t="str"/>
      <x:c r="G706" s="24" t="str">
        <x:v>대여중</x:v>
      </x:c>
      <x:c r="H706" s="32" t="n">
        <x:v>447000</x:v>
      </x:c>
      <x:c r="I706" s="24" t="str">
        <x:v>PR-C-12구3819-2-20230926-35</x:v>
      </x:c>
      <x:c r="J706" s="24" t="str">
        <x:v>김경보</x:v>
      </x:c>
      <x:c r="K706" s="24" t="str">
        <x:v>종료 계약 시작</x:v>
      </x:c>
      <x:c r="L706" s="24" t="str"/>
      <x:c r="M706" s="24" t="str"/>
      <x:c r="N706" s="30" t="n">
        <x:v>45195</x:v>
      </x:c>
    </x:row>
    <x:row r="707" ht="17.25" customHeight="1">
      <x:c r="A707" s="24" t="str">
        <x:v>E-00706</x:v>
      </x:c>
      <x:c r="B707" s="24" t="str">
        <x:v>프라임구독</x:v>
      </x:c>
      <x:c r="C707" s="24" t="str">
        <x:v>12구3819</x:v>
      </x:c>
      <x:c r="D707" s="30" t="n">
        <x:v>46290</x:v>
      </x:c>
      <x:c r="E707" s="24" t="str">
        <x:v>반납</x:v>
      </x:c>
      <x:c r="F707" s="24" t="str">
        <x:v>대여중</x:v>
      </x:c>
      <x:c r="G707" s="24" t="str">
        <x:v>쉬는차</x:v>
      </x:c>
      <x:c r="H707" s="32"/>
      <x:c r="I707" s="24" t="str">
        <x:v>PR-C-12구3819-2-20230926-35</x:v>
      </x:c>
      <x:c r="J707" s="24" t="str">
        <x:v>김경보</x:v>
      </x:c>
      <x:c r="K707" s="24" t="str">
        <x:v>차량 반납</x:v>
      </x:c>
      <x:c r="L707" s="24" t="str"/>
      <x:c r="M707" s="24" t="str"/>
      <x:c r="N707" s="30" t="n">
        <x:v>46290</x:v>
      </x:c>
    </x:row>
    <x:row r="708" ht="17.25" customHeight="1">
      <x:c r="A708" s="24" t="str">
        <x:v>E-00707</x:v>
      </x:c>
      <x:c r="B708" s="24" t="str">
        <x:v>프라임구독</x:v>
      </x:c>
      <x:c r="C708" s="24" t="str">
        <x:v>136저9431</x:v>
      </x:c>
      <x:c r="D708" s="30" t="n">
        <x:v>45358</x:v>
      </x:c>
      <x:c r="E708" s="24" t="str">
        <x:v>계약시작</x:v>
      </x:c>
      <x:c r="F708" s="24" t="str"/>
      <x:c r="G708" s="24" t="str">
        <x:v>대여중</x:v>
      </x:c>
      <x:c r="H708" s="32" t="n">
        <x:v>627000</x:v>
      </x:c>
      <x:c r="I708" s="24" t="str">
        <x:v>PR-C-136저9431-1-20240307-36</x:v>
      </x:c>
      <x:c r="J708" s="24" t="str">
        <x:v>김태윤</x:v>
      </x:c>
      <x:c r="K708" s="24" t="str">
        <x:v>구독 계약 시작</x:v>
      </x:c>
      <x:c r="L708" s="24" t="str"/>
      <x:c r="M708" s="24" t="str"/>
      <x:c r="N708" s="30" t="n">
        <x:v>45358</x:v>
      </x:c>
    </x:row>
    <x:row r="709" ht="17.25" customHeight="1">
      <x:c r="A709" s="24" t="str">
        <x:v>E-00708</x:v>
      </x:c>
      <x:c r="B709" s="24" t="str">
        <x:v>프라임구독</x:v>
      </x:c>
      <x:c r="C709" s="24" t="str">
        <x:v>13누7578</x:v>
      </x:c>
      <x:c r="D709" s="30" t="n">
        <x:v>44784</x:v>
      </x:c>
      <x:c r="E709" s="24" t="str">
        <x:v>계약시작</x:v>
      </x:c>
      <x:c r="F709" s="24" t="str"/>
      <x:c r="G709" s="24" t="str">
        <x:v>대여중</x:v>
      </x:c>
      <x:c r="H709" s="32" t="n">
        <x:v>518000</x:v>
      </x:c>
      <x:c r="I709" s="24" t="str">
        <x:v>PR-C-13누7578-2-20220811-37</x:v>
      </x:c>
      <x:c r="J709" s="24" t="str">
        <x:v>정창훈</x:v>
      </x:c>
      <x:c r="K709" s="24" t="str">
        <x:v>종료 계약 시작</x:v>
      </x:c>
      <x:c r="L709" s="24" t="str"/>
      <x:c r="M709" s="24" t="str"/>
      <x:c r="N709" s="30" t="n">
        <x:v>44784</x:v>
      </x:c>
    </x:row>
    <x:row r="710" ht="17.25" customHeight="1">
      <x:c r="A710" s="24" t="str">
        <x:v>E-00709</x:v>
      </x:c>
      <x:c r="B710" s="24" t="str">
        <x:v>프라임구독</x:v>
      </x:c>
      <x:c r="C710" s="24" t="str">
        <x:v>13누7578</x:v>
      </x:c>
      <x:c r="D710" s="30" t="n">
        <x:v>45894</x:v>
      </x:c>
      <x:c r="E710" s="24" t="str">
        <x:v>반납</x:v>
      </x:c>
      <x:c r="F710" s="24" t="str">
        <x:v>대여중</x:v>
      </x:c>
      <x:c r="G710" s="24" t="str">
        <x:v>쉬는차</x:v>
      </x:c>
      <x:c r="H710" s="32"/>
      <x:c r="I710" s="24" t="str">
        <x:v>PR-C-13누7578-2-20220811-37</x:v>
      </x:c>
      <x:c r="J710" s="24" t="str">
        <x:v>정창훈</x:v>
      </x:c>
      <x:c r="K710" s="24" t="str">
        <x:v>차량 반납</x:v>
      </x:c>
      <x:c r="L710" s="24" t="str"/>
      <x:c r="M710" s="24" t="str"/>
      <x:c r="N710" s="30" t="n">
        <x:v>45894</x:v>
      </x:c>
    </x:row>
    <x:row r="711" ht="17.25" customHeight="1">
      <x:c r="A711" s="24" t="str">
        <x:v>E-00710</x:v>
      </x:c>
      <x:c r="B711" s="24" t="str">
        <x:v>프라임구독</x:v>
      </x:c>
      <x:c r="C711" s="24" t="str">
        <x:v>13보6078</x:v>
      </x:c>
      <x:c r="D711" s="30" t="n">
        <x:v>45226</x:v>
      </x:c>
      <x:c r="E711" s="24" t="str">
        <x:v>계약시작</x:v>
      </x:c>
      <x:c r="F711" s="24" t="str"/>
      <x:c r="G711" s="24" t="str">
        <x:v>대여중</x:v>
      </x:c>
      <x:c r="H711" s="32" t="n">
        <x:v>910000</x:v>
      </x:c>
      <x:c r="I711" s="24" t="str">
        <x:v>PR-C-13보6078-2-20231027-38</x:v>
      </x:c>
      <x:c r="J711" s="24" t="str">
        <x:v>김정희</x:v>
      </x:c>
      <x:c r="K711" s="24" t="str">
        <x:v>종료 계약 시작</x:v>
      </x:c>
      <x:c r="L711" s="24" t="str"/>
      <x:c r="M711" s="24" t="str"/>
      <x:c r="N711" s="30" t="n">
        <x:v>45226</x:v>
      </x:c>
    </x:row>
    <x:row r="712" ht="17.25" customHeight="1">
      <x:c r="A712" s="24" t="str">
        <x:v>E-00711</x:v>
      </x:c>
      <x:c r="B712" s="24" t="str">
        <x:v>프라임구독</x:v>
      </x:c>
      <x:c r="C712" s="24" t="str">
        <x:v>13보6078</x:v>
      </x:c>
      <x:c r="D712" s="30" t="n">
        <x:v>46696</x:v>
      </x:c>
      <x:c r="E712" s="24" t="str">
        <x:v>반납</x:v>
      </x:c>
      <x:c r="F712" s="24" t="str">
        <x:v>대여중</x:v>
      </x:c>
      <x:c r="G712" s="24" t="str">
        <x:v>쉬는차</x:v>
      </x:c>
      <x:c r="H712" s="32"/>
      <x:c r="I712" s="24" t="str">
        <x:v>PR-C-13보6078-2-20231027-38</x:v>
      </x:c>
      <x:c r="J712" s="24" t="str">
        <x:v>김정희</x:v>
      </x:c>
      <x:c r="K712" s="24" t="str">
        <x:v>차량 반납</x:v>
      </x:c>
      <x:c r="L712" s="24" t="str"/>
      <x:c r="M712" s="24" t="str"/>
      <x:c r="N712" s="30" t="n">
        <x:v>46696</x:v>
      </x:c>
    </x:row>
    <x:row r="713" ht="17.25" customHeight="1">
      <x:c r="A713" s="24" t="str">
        <x:v>E-00712</x:v>
      </x:c>
      <x:c r="B713" s="24" t="str">
        <x:v>프라임구독</x:v>
      </x:c>
      <x:c r="C713" s="24" t="str">
        <x:v>13서8926</x:v>
      </x:c>
      <x:c r="D713" s="30" t="n">
        <x:v>44489</x:v>
      </x:c>
      <x:c r="E713" s="24" t="str">
        <x:v>계약시작</x:v>
      </x:c>
      <x:c r="F713" s="24" t="str"/>
      <x:c r="G713" s="24" t="str">
        <x:v>대여중</x:v>
      </x:c>
      <x:c r="H713" s="32" t="n">
        <x:v>780000</x:v>
      </x:c>
      <x:c r="I713" s="24" t="str">
        <x:v>PR-C-13서8926-2-20211020-39</x:v>
      </x:c>
      <x:c r="J713" s="24" t="str">
        <x:v>강병철</x:v>
      </x:c>
      <x:c r="K713" s="24" t="str">
        <x:v>종료 계약 시작</x:v>
      </x:c>
      <x:c r="L713" s="24" t="str"/>
      <x:c r="M713" s="24" t="str"/>
      <x:c r="N713" s="30" t="n">
        <x:v>44489</x:v>
      </x:c>
    </x:row>
    <x:row r="714" ht="17.25" customHeight="1">
      <x:c r="A714" s="24" t="str">
        <x:v>E-00713</x:v>
      </x:c>
      <x:c r="B714" s="24" t="str">
        <x:v>프라임구독</x:v>
      </x:c>
      <x:c r="C714" s="24" t="str">
        <x:v>13서8926</x:v>
      </x:c>
      <x:c r="D714" s="30" t="n">
        <x:v>45585</x:v>
      </x:c>
      <x:c r="E714" s="24" t="str">
        <x:v>반납</x:v>
      </x:c>
      <x:c r="F714" s="24" t="str">
        <x:v>대여중</x:v>
      </x:c>
      <x:c r="G714" s="24" t="str">
        <x:v>쉬는차</x:v>
      </x:c>
      <x:c r="H714" s="32"/>
      <x:c r="I714" s="24" t="str">
        <x:v>PR-C-13서8926-2-20211020-39</x:v>
      </x:c>
      <x:c r="J714" s="24" t="str">
        <x:v>강병철</x:v>
      </x:c>
      <x:c r="K714" s="24" t="str">
        <x:v>차량 반납</x:v>
      </x:c>
      <x:c r="L714" s="24" t="str"/>
      <x:c r="M714" s="24" t="str"/>
      <x:c r="N714" s="30" t="n">
        <x:v>45585</x:v>
      </x:c>
    </x:row>
    <x:row r="715" ht="17.25" customHeight="1">
      <x:c r="A715" s="24" t="str">
        <x:v>E-00714</x:v>
      </x:c>
      <x:c r="B715" s="24" t="str">
        <x:v>프라임구독</x:v>
      </x:c>
      <x:c r="C715" s="24" t="str">
        <x:v>141라3003</x:v>
      </x:c>
      <x:c r="D715" s="30" t="n">
        <x:v>45173</x:v>
      </x:c>
      <x:c r="E715" s="24" t="str">
        <x:v>계약시작</x:v>
      </x:c>
      <x:c r="F715" s="24" t="str"/>
      <x:c r="G715" s="24" t="str">
        <x:v>대여중</x:v>
      </x:c>
      <x:c r="H715" s="32" t="n">
        <x:v>1762000</x:v>
      </x:c>
      <x:c r="I715" s="24" t="str">
        <x:v>PR-C-141라3003-2-20230904-40</x:v>
      </x:c>
      <x:c r="J715" s="24" t="str">
        <x:v>김대원</x:v>
      </x:c>
      <x:c r="K715" s="24" t="str">
        <x:v>종료 계약 시작</x:v>
      </x:c>
      <x:c r="L715" s="24" t="str"/>
      <x:c r="M715" s="24" t="str"/>
      <x:c r="N715" s="30" t="n">
        <x:v>45173</x:v>
      </x:c>
    </x:row>
    <x:row r="716" ht="17.25" customHeight="1">
      <x:c r="A716" s="24" t="str">
        <x:v>E-00715</x:v>
      </x:c>
      <x:c r="B716" s="24" t="str">
        <x:v>프라임구독</x:v>
      </x:c>
      <x:c r="C716" s="24" t="str">
        <x:v>141라3003</x:v>
      </x:c>
      <x:c r="D716" s="30" t="n">
        <x:v>46624</x:v>
      </x:c>
      <x:c r="E716" s="24" t="str">
        <x:v>반납</x:v>
      </x:c>
      <x:c r="F716" s="24" t="str">
        <x:v>대여중</x:v>
      </x:c>
      <x:c r="G716" s="24" t="str">
        <x:v>쉬는차</x:v>
      </x:c>
      <x:c r="H716" s="32"/>
      <x:c r="I716" s="24" t="str">
        <x:v>PR-C-141라3003-2-20230904-40</x:v>
      </x:c>
      <x:c r="J716" s="24" t="str">
        <x:v>김대원</x:v>
      </x:c>
      <x:c r="K716" s="24" t="str">
        <x:v>차량 반납</x:v>
      </x:c>
      <x:c r="L716" s="24" t="str"/>
      <x:c r="M716" s="24" t="str"/>
      <x:c r="N716" s="30" t="n">
        <x:v>46624</x:v>
      </x:c>
    </x:row>
    <x:row r="717" ht="17.25" customHeight="1">
      <x:c r="A717" s="24" t="str">
        <x:v>E-00716</x:v>
      </x:c>
      <x:c r="B717" s="24" t="str">
        <x:v>프라임구독</x:v>
      </x:c>
      <x:c r="C717" s="24" t="str">
        <x:v>141로3689</x:v>
      </x:c>
      <x:c r="D717" s="30" t="n">
        <x:v>44907</x:v>
      </x:c>
      <x:c r="E717" s="24" t="str">
        <x:v>계약시작</x:v>
      </x:c>
      <x:c r="F717" s="24" t="str"/>
      <x:c r="G717" s="24" t="str">
        <x:v>대여중</x:v>
      </x:c>
      <x:c r="H717" s="32" t="n">
        <x:v>1017000</x:v>
      </x:c>
      <x:c r="I717" s="24" t="str">
        <x:v>PR-C-141로3689-2-20221212-41</x:v>
      </x:c>
      <x:c r="J717" s="24" t="str">
        <x:v>최다희</x:v>
      </x:c>
      <x:c r="K717" s="24" t="str">
        <x:v>종료 계약 시작</x:v>
      </x:c>
      <x:c r="L717" s="24" t="str"/>
      <x:c r="M717" s="24" t="str"/>
      <x:c r="N717" s="30" t="n">
        <x:v>44907</x:v>
      </x:c>
    </x:row>
    <x:row r="718" ht="17.25" customHeight="1">
      <x:c r="A718" s="24" t="str">
        <x:v>E-00717</x:v>
      </x:c>
      <x:c r="B718" s="24" t="str">
        <x:v>프라임구독</x:v>
      </x:c>
      <x:c r="C718" s="24" t="str">
        <x:v>141로3689</x:v>
      </x:c>
      <x:c r="D718" s="30" t="n">
        <x:v>46001</x:v>
      </x:c>
      <x:c r="E718" s="24" t="str">
        <x:v>반납</x:v>
      </x:c>
      <x:c r="F718" s="24" t="str">
        <x:v>대여중</x:v>
      </x:c>
      <x:c r="G718" s="24" t="str">
        <x:v>쉬는차</x:v>
      </x:c>
      <x:c r="H718" s="32"/>
      <x:c r="I718" s="24" t="str">
        <x:v>PR-C-141로3689-2-20221212-41</x:v>
      </x:c>
      <x:c r="J718" s="24" t="str">
        <x:v>최다희</x:v>
      </x:c>
      <x:c r="K718" s="24" t="str">
        <x:v>차량 반납</x:v>
      </x:c>
      <x:c r="L718" s="24" t="str"/>
      <x:c r="M718" s="24" t="str"/>
      <x:c r="N718" s="30" t="n">
        <x:v>46001</x:v>
      </x:c>
    </x:row>
    <x:row r="719" ht="17.25" customHeight="1">
      <x:c r="A719" s="24" t="str">
        <x:v>E-00718</x:v>
      </x:c>
      <x:c r="B719" s="24" t="str">
        <x:v>프라임구독</x:v>
      </x:c>
      <x:c r="C719" s="24" t="str">
        <x:v>145부9300</x:v>
      </x:c>
      <x:c r="D719" s="30" t="n">
        <x:v>44979</x:v>
      </x:c>
      <x:c r="E719" s="24" t="str">
        <x:v>계약시작</x:v>
      </x:c>
      <x:c r="F719" s="24" t="str"/>
      <x:c r="G719" s="24" t="str">
        <x:v>대여중</x:v>
      </x:c>
      <x:c r="H719" s="32" t="n">
        <x:v>879000</x:v>
      </x:c>
      <x:c r="I719" s="24" t="str">
        <x:v>PR-C-145부9300-2-20230222-42</x:v>
      </x:c>
      <x:c r="J719" s="24" t="str">
        <x:v>임병헌</x:v>
      </x:c>
      <x:c r="K719" s="24" t="str">
        <x:v>종료 계약 시작</x:v>
      </x:c>
      <x:c r="L719" s="24" t="str"/>
      <x:c r="M719" s="24" t="str"/>
      <x:c r="N719" s="30" t="n">
        <x:v>44979</x:v>
      </x:c>
    </x:row>
    <x:row r="720" ht="17.25" customHeight="1">
      <x:c r="A720" s="24" t="str">
        <x:v>E-00719</x:v>
      </x:c>
      <x:c r="B720" s="24" t="str">
        <x:v>프라임구독</x:v>
      </x:c>
      <x:c r="C720" s="24" t="str">
        <x:v>145부9300</x:v>
      </x:c>
      <x:c r="D720" s="30" t="n">
        <x:v>46073</x:v>
      </x:c>
      <x:c r="E720" s="24" t="str">
        <x:v>반납</x:v>
      </x:c>
      <x:c r="F720" s="24" t="str">
        <x:v>대여중</x:v>
      </x:c>
      <x:c r="G720" s="24" t="str">
        <x:v>쉬는차</x:v>
      </x:c>
      <x:c r="H720" s="32"/>
      <x:c r="I720" s="24" t="str">
        <x:v>PR-C-145부9300-2-20230222-42</x:v>
      </x:c>
      <x:c r="J720" s="24" t="str">
        <x:v>임병헌</x:v>
      </x:c>
      <x:c r="K720" s="24" t="str">
        <x:v>차량 반납</x:v>
      </x:c>
      <x:c r="L720" s="24" t="str"/>
      <x:c r="M720" s="24" t="str"/>
      <x:c r="N720" s="30" t="n">
        <x:v>46073</x:v>
      </x:c>
    </x:row>
    <x:row r="721" ht="17.25" customHeight="1">
      <x:c r="A721" s="24" t="str">
        <x:v>E-00720</x:v>
      </x:c>
      <x:c r="B721" s="24" t="str">
        <x:v>프라임구독</x:v>
      </x:c>
      <x:c r="C721" s="24" t="str">
        <x:v>149마1752</x:v>
      </x:c>
      <x:c r="D721" s="30" t="n">
        <x:v>44894</x:v>
      </x:c>
      <x:c r="E721" s="24" t="str">
        <x:v>계약시작</x:v>
      </x:c>
      <x:c r="F721" s="24" t="str"/>
      <x:c r="G721" s="24" t="str">
        <x:v>대여중</x:v>
      </x:c>
      <x:c r="H721" s="32" t="n">
        <x:v>1026000</x:v>
      </x:c>
      <x:c r="I721" s="24" t="str">
        <x:v>PR-C-149마1752-2-20221129-43</x:v>
      </x:c>
      <x:c r="J721" s="24" t="str">
        <x:v>이숙희</x:v>
      </x:c>
      <x:c r="K721" s="24" t="str">
        <x:v>종료 계약 시작</x:v>
      </x:c>
      <x:c r="L721" s="24" t="str"/>
      <x:c r="M721" s="24" t="str"/>
      <x:c r="N721" s="30" t="n">
        <x:v>44894</x:v>
      </x:c>
    </x:row>
    <x:row r="722" ht="17.25" customHeight="1">
      <x:c r="A722" s="24" t="str">
        <x:v>E-00721</x:v>
      </x:c>
      <x:c r="B722" s="24" t="str">
        <x:v>프라임구독</x:v>
      </x:c>
      <x:c r="C722" s="24" t="str">
        <x:v>149마1752</x:v>
      </x:c>
      <x:c r="D722" s="30" t="n">
        <x:v>45981</x:v>
      </x:c>
      <x:c r="E722" s="24" t="str">
        <x:v>반납</x:v>
      </x:c>
      <x:c r="F722" s="24" t="str">
        <x:v>대여중</x:v>
      </x:c>
      <x:c r="G722" s="24" t="str">
        <x:v>쉬는차</x:v>
      </x:c>
      <x:c r="H722" s="32"/>
      <x:c r="I722" s="24" t="str">
        <x:v>PR-C-149마1752-2-20221129-43</x:v>
      </x:c>
      <x:c r="J722" s="24" t="str">
        <x:v>이숙희</x:v>
      </x:c>
      <x:c r="K722" s="24" t="str">
        <x:v>차량 반납</x:v>
      </x:c>
      <x:c r="L722" s="24" t="str"/>
      <x:c r="M722" s="24" t="str"/>
      <x:c r="N722" s="30" t="n">
        <x:v>45981</x:v>
      </x:c>
    </x:row>
    <x:row r="723" ht="17.25" customHeight="1">
      <x:c r="A723" s="24" t="str">
        <x:v>E-00722</x:v>
      </x:c>
      <x:c r="B723" s="24" t="str">
        <x:v>프라임구독</x:v>
      </x:c>
      <x:c r="C723" s="24" t="str">
        <x:v>149머3346</x:v>
      </x:c>
      <x:c r="D723" s="30" t="n">
        <x:v>45125</x:v>
      </x:c>
      <x:c r="E723" s="24" t="str">
        <x:v>계약시작</x:v>
      </x:c>
      <x:c r="F723" s="24" t="str"/>
      <x:c r="G723" s="24" t="str">
        <x:v>대여중</x:v>
      </x:c>
      <x:c r="H723" s="32" t="n">
        <x:v>371000</x:v>
      </x:c>
      <x:c r="I723" s="24" t="str">
        <x:v>PR-C-149머3346-2-20230718-44</x:v>
      </x:c>
      <x:c r="J723" s="24" t="str">
        <x:v>송명진</x:v>
      </x:c>
      <x:c r="K723" s="24" t="str">
        <x:v>종료 계약 시작</x:v>
      </x:c>
      <x:c r="L723" s="24" t="str"/>
      <x:c r="M723" s="24" t="str"/>
      <x:c r="N723" s="30" t="n">
        <x:v>45125</x:v>
      </x:c>
    </x:row>
    <x:row r="724" ht="17.25" customHeight="1">
      <x:c r="A724" s="24" t="str">
        <x:v>E-00723</x:v>
      </x:c>
      <x:c r="B724" s="24" t="str">
        <x:v>프라임구독</x:v>
      </x:c>
      <x:c r="C724" s="24" t="str">
        <x:v>149머3346</x:v>
      </x:c>
      <x:c r="D724" s="30" t="n">
        <x:v>46583</x:v>
      </x:c>
      <x:c r="E724" s="24" t="str">
        <x:v>반납</x:v>
      </x:c>
      <x:c r="F724" s="24" t="str">
        <x:v>대여중</x:v>
      </x:c>
      <x:c r="G724" s="24" t="str">
        <x:v>쉬는차</x:v>
      </x:c>
      <x:c r="H724" s="32"/>
      <x:c r="I724" s="24" t="str">
        <x:v>PR-C-149머3346-2-20230718-44</x:v>
      </x:c>
      <x:c r="J724" s="24" t="str">
        <x:v>송명진</x:v>
      </x:c>
      <x:c r="K724" s="24" t="str">
        <x:v>차량 반납</x:v>
      </x:c>
      <x:c r="L724" s="24" t="str"/>
      <x:c r="M724" s="24" t="str"/>
      <x:c r="N724" s="30" t="n">
        <x:v>46583</x:v>
      </x:c>
    </x:row>
    <x:row r="725" ht="17.25" customHeight="1">
      <x:c r="A725" s="24" t="str">
        <x:v>E-00724</x:v>
      </x:c>
      <x:c r="B725" s="24" t="str">
        <x:v>프라임구독</x:v>
      </x:c>
      <x:c r="C725" s="24" t="str">
        <x:v>14누0912</x:v>
      </x:c>
      <x:c r="D725" s="30" t="n">
        <x:v>45345</x:v>
      </x:c>
      <x:c r="E725" s="24" t="str">
        <x:v>계약시작</x:v>
      </x:c>
      <x:c r="F725" s="24" t="str"/>
      <x:c r="G725" s="24" t="str">
        <x:v>대여중</x:v>
      </x:c>
      <x:c r="H725" s="32" t="n">
        <x:v>408000</x:v>
      </x:c>
      <x:c r="I725" s="24" t="str">
        <x:v>PR-C-14누0912-1-20240223-45</x:v>
      </x:c>
      <x:c r="J725" s="24" t="str">
        <x:v>정준영3</x:v>
      </x:c>
      <x:c r="K725" s="24" t="str">
        <x:v>구독 계약 시작</x:v>
      </x:c>
      <x:c r="L725" s="24" t="str"/>
      <x:c r="M725" s="24" t="str"/>
      <x:c r="N725" s="30" t="n">
        <x:v>45345</x:v>
      </x:c>
    </x:row>
    <x:row r="726" ht="17.25" customHeight="1">
      <x:c r="A726" s="24" t="str">
        <x:v>E-00725</x:v>
      </x:c>
      <x:c r="B726" s="24" t="str">
        <x:v>프라임구독</x:v>
      </x:c>
      <x:c r="C726" s="24" t="str">
        <x:v>14도4653</x:v>
      </x:c>
      <x:c r="D726" s="30" t="n">
        <x:v>45343</x:v>
      </x:c>
      <x:c r="E726" s="24" t="str">
        <x:v>계약시작</x:v>
      </x:c>
      <x:c r="F726" s="24" t="str"/>
      <x:c r="G726" s="24" t="str">
        <x:v>대여중</x:v>
      </x:c>
      <x:c r="H726" s="32" t="n">
        <x:v>381000</x:v>
      </x:c>
      <x:c r="I726" s="24" t="str">
        <x:v>PR-C-14도4653-1-20240221-46</x:v>
      </x:c>
      <x:c r="J726" s="24" t="str">
        <x:v>백혜리</x:v>
      </x:c>
      <x:c r="K726" s="24" t="str">
        <x:v>구독 계약 시작</x:v>
      </x:c>
      <x:c r="L726" s="24" t="str"/>
      <x:c r="M726" s="24" t="str"/>
      <x:c r="N726" s="30" t="n">
        <x:v>45343</x:v>
      </x:c>
    </x:row>
    <x:row r="727" ht="17.25" customHeight="1">
      <x:c r="A727" s="24" t="str">
        <x:v>E-00726</x:v>
      </x:c>
      <x:c r="B727" s="24" t="str">
        <x:v>프라임구독</x:v>
      </x:c>
      <x:c r="C727" s="24" t="str">
        <x:v>14두9128</x:v>
      </x:c>
      <x:c r="D727" s="30" t="n">
        <x:v>45175</x:v>
      </x:c>
      <x:c r="E727" s="24" t="str">
        <x:v>계약시작</x:v>
      </x:c>
      <x:c r="F727" s="24" t="str"/>
      <x:c r="G727" s="24" t="str">
        <x:v>대여중</x:v>
      </x:c>
      <x:c r="H727" s="32" t="n">
        <x:v>911000</x:v>
      </x:c>
      <x:c r="I727" s="24" t="str">
        <x:v>PR-C-14두9128-1-20230906-47</x:v>
      </x:c>
      <x:c r="J727" s="24" t="str">
        <x:v>권소아</x:v>
      </x:c>
      <x:c r="K727" s="24" t="str">
        <x:v>구독 계약 시작</x:v>
      </x:c>
      <x:c r="L727" s="24" t="str"/>
      <x:c r="M727" s="24" t="str"/>
      <x:c r="N727" s="30" t="n">
        <x:v>45175</x:v>
      </x:c>
    </x:row>
    <x:row r="728" ht="17.25" customHeight="1">
      <x:c r="A728" s="24" t="str">
        <x:v>E-00727</x:v>
      </x:c>
      <x:c r="B728" s="24" t="str">
        <x:v>프라임구독</x:v>
      </x:c>
      <x:c r="C728" s="24" t="str">
        <x:v>14소0456</x:v>
      </x:c>
      <x:c r="D728" s="30" t="n">
        <x:v>45002</x:v>
      </x:c>
      <x:c r="E728" s="24" t="str">
        <x:v>계약시작</x:v>
      </x:c>
      <x:c r="F728" s="24" t="str"/>
      <x:c r="G728" s="24" t="str">
        <x:v>대여중</x:v>
      </x:c>
      <x:c r="H728" s="32" t="n">
        <x:v>769000</x:v>
      </x:c>
      <x:c r="I728" s="24" t="str">
        <x:v>PR-C-14소0456-1-20230317-48</x:v>
      </x:c>
      <x:c r="J728" s="24" t="str">
        <x:v>양두식</x:v>
      </x:c>
      <x:c r="K728" s="24" t="str">
        <x:v>구독 계약 시작</x:v>
      </x:c>
      <x:c r="L728" s="24" t="str"/>
      <x:c r="M728" s="24" t="str"/>
      <x:c r="N728" s="30" t="n">
        <x:v>45002</x:v>
      </x:c>
    </x:row>
    <x:row r="729" ht="17.25" customHeight="1">
      <x:c r="A729" s="24" t="str">
        <x:v>E-00728</x:v>
      </x:c>
      <x:c r="B729" s="24" t="str">
        <x:v>프라임구독</x:v>
      </x:c>
      <x:c r="C729" s="24" t="str">
        <x:v>14어6490</x:v>
      </x:c>
      <x:c r="D729" s="30" t="n">
        <x:v>44757</x:v>
      </x:c>
      <x:c r="E729" s="24" t="str">
        <x:v>계약시작</x:v>
      </x:c>
      <x:c r="F729" s="24" t="str"/>
      <x:c r="G729" s="24" t="str">
        <x:v>대여중</x:v>
      </x:c>
      <x:c r="H729" s="32" t="n">
        <x:v>710000</x:v>
      </x:c>
      <x:c r="I729" s="24" t="str">
        <x:v>PR-C-14어6490-2-20220715-49</x:v>
      </x:c>
      <x:c r="J729" s="24" t="str">
        <x:v>문용득</x:v>
      </x:c>
      <x:c r="K729" s="24" t="str">
        <x:v>종료 계약 시작</x:v>
      </x:c>
      <x:c r="L729" s="24" t="str"/>
      <x:c r="M729" s="24" t="str"/>
      <x:c r="N729" s="30" t="n">
        <x:v>44757</x:v>
      </x:c>
    </x:row>
    <x:row r="730" ht="17.25" customHeight="1">
      <x:c r="A730" s="24" t="str">
        <x:v>E-00729</x:v>
      </x:c>
      <x:c r="B730" s="24" t="str">
        <x:v>프라임구독</x:v>
      </x:c>
      <x:c r="C730" s="24" t="str">
        <x:v>14어6490</x:v>
      </x:c>
      <x:c r="D730" s="30" t="n">
        <x:v>45848</x:v>
      </x:c>
      <x:c r="E730" s="24" t="str">
        <x:v>반납</x:v>
      </x:c>
      <x:c r="F730" s="24" t="str">
        <x:v>대여중</x:v>
      </x:c>
      <x:c r="G730" s="24" t="str">
        <x:v>쉬는차</x:v>
      </x:c>
      <x:c r="H730" s="32"/>
      <x:c r="I730" s="24" t="str">
        <x:v>PR-C-14어6490-2-20220715-49</x:v>
      </x:c>
      <x:c r="J730" s="24" t="str">
        <x:v>문용득</x:v>
      </x:c>
      <x:c r="K730" s="24" t="str">
        <x:v>차량 반납</x:v>
      </x:c>
      <x:c r="L730" s="24" t="str"/>
      <x:c r="M730" s="24" t="str"/>
      <x:c r="N730" s="30" t="n">
        <x:v>45848</x:v>
      </x:c>
    </x:row>
    <x:row r="731" ht="17.25" customHeight="1">
      <x:c r="A731" s="24" t="str">
        <x:v>E-00730</x:v>
      </x:c>
      <x:c r="B731" s="24" t="str">
        <x:v>프라임구독</x:v>
      </x:c>
      <x:c r="C731" s="24" t="str">
        <x:v>152거6619</x:v>
      </x:c>
      <x:c r="D731" s="30" t="n">
        <x:v>44882</x:v>
      </x:c>
      <x:c r="E731" s="24" t="str">
        <x:v>계약시작</x:v>
      </x:c>
      <x:c r="F731" s="24" t="str"/>
      <x:c r="G731" s="24" t="str">
        <x:v>대여중</x:v>
      </x:c>
      <x:c r="H731" s="32" t="n">
        <x:v>418000</x:v>
      </x:c>
      <x:c r="I731" s="24" t="str">
        <x:v>PR-C-152거6619-2-20221117-50</x:v>
      </x:c>
      <x:c r="J731" s="24" t="str">
        <x:v>최종직</x:v>
      </x:c>
      <x:c r="K731" s="24" t="str">
        <x:v>종료 계약 시작</x:v>
      </x:c>
      <x:c r="L731" s="24" t="str"/>
      <x:c r="M731" s="24" t="str"/>
      <x:c r="N731" s="30" t="n">
        <x:v>44882</x:v>
      </x:c>
    </x:row>
    <x:row r="732" ht="17.25" customHeight="1">
      <x:c r="A732" s="24" t="str">
        <x:v>E-00731</x:v>
      </x:c>
      <x:c r="B732" s="24" t="str">
        <x:v>프라임구독</x:v>
      </x:c>
      <x:c r="C732" s="24" t="str">
        <x:v>152거6619</x:v>
      </x:c>
      <x:c r="D732" s="30" t="n">
        <x:v>45971</x:v>
      </x:c>
      <x:c r="E732" s="24" t="str">
        <x:v>반납</x:v>
      </x:c>
      <x:c r="F732" s="24" t="str">
        <x:v>대여중</x:v>
      </x:c>
      <x:c r="G732" s="24" t="str">
        <x:v>쉬는차</x:v>
      </x:c>
      <x:c r="H732" s="32"/>
      <x:c r="I732" s="24" t="str">
        <x:v>PR-C-152거6619-2-20221117-50</x:v>
      </x:c>
      <x:c r="J732" s="24" t="str">
        <x:v>최종직</x:v>
      </x:c>
      <x:c r="K732" s="24" t="str">
        <x:v>차량 반납</x:v>
      </x:c>
      <x:c r="L732" s="24" t="str"/>
      <x:c r="M732" s="24" t="str"/>
      <x:c r="N732" s="30" t="n">
        <x:v>45971</x:v>
      </x:c>
    </x:row>
    <x:row r="733" ht="17.25" customHeight="1">
      <x:c r="A733" s="24" t="str">
        <x:v>E-00732</x:v>
      </x:c>
      <x:c r="B733" s="24" t="str">
        <x:v>프라임구독</x:v>
      </x:c>
      <x:c r="C733" s="24" t="str">
        <x:v>157구9550</x:v>
      </x:c>
      <x:c r="D733" s="30" t="n">
        <x:v>45300</x:v>
      </x:c>
      <x:c r="E733" s="24" t="str">
        <x:v>계약시작</x:v>
      </x:c>
      <x:c r="F733" s="24" t="str"/>
      <x:c r="G733" s="24" t="str">
        <x:v>대여중</x:v>
      </x:c>
      <x:c r="H733" s="32" t="n">
        <x:v>986000</x:v>
      </x:c>
      <x:c r="I733" s="24" t="str">
        <x:v>PR-C-157구9550-2-20240109-51</x:v>
      </x:c>
      <x:c r="J733" s="24" t="str">
        <x:v>탁진모</x:v>
      </x:c>
      <x:c r="K733" s="24" t="str">
        <x:v>종료 계약 시작</x:v>
      </x:c>
      <x:c r="L733" s="24" t="str"/>
      <x:c r="M733" s="24" t="str"/>
      <x:c r="N733" s="30" t="n">
        <x:v>45300</x:v>
      </x:c>
    </x:row>
    <x:row r="734" ht="17.25" customHeight="1">
      <x:c r="A734" s="24" t="str">
        <x:v>E-00733</x:v>
      </x:c>
      <x:c r="B734" s="24" t="str">
        <x:v>프라임구독</x:v>
      </x:c>
      <x:c r="C734" s="24" t="str">
        <x:v>157구9550</x:v>
      </x:c>
      <x:c r="D734" s="30" t="n">
        <x:v>46772</x:v>
      </x:c>
      <x:c r="E734" s="24" t="str">
        <x:v>반납</x:v>
      </x:c>
      <x:c r="F734" s="24" t="str">
        <x:v>대여중</x:v>
      </x:c>
      <x:c r="G734" s="24" t="str">
        <x:v>쉬는차</x:v>
      </x:c>
      <x:c r="H734" s="32"/>
      <x:c r="I734" s="24" t="str">
        <x:v>PR-C-157구9550-2-20240109-51</x:v>
      </x:c>
      <x:c r="J734" s="24" t="str">
        <x:v>탁진모</x:v>
      </x:c>
      <x:c r="K734" s="24" t="str">
        <x:v>차량 반납</x:v>
      </x:c>
      <x:c r="L734" s="24" t="str"/>
      <x:c r="M734" s="24" t="str"/>
      <x:c r="N734" s="30" t="n">
        <x:v>46772</x:v>
      </x:c>
    </x:row>
    <x:row r="735" ht="17.25" customHeight="1">
      <x:c r="A735" s="24" t="str">
        <x:v>E-00734</x:v>
      </x:c>
      <x:c r="B735" s="24" t="str">
        <x:v>프라임구독</x:v>
      </x:c>
      <x:c r="C735" s="24" t="str">
        <x:v>15도5239</x:v>
      </x:c>
      <x:c r="D735" s="30" t="n">
        <x:v>44943</x:v>
      </x:c>
      <x:c r="E735" s="24" t="str">
        <x:v>계약시작</x:v>
      </x:c>
      <x:c r="F735" s="24" t="str"/>
      <x:c r="G735" s="24" t="str">
        <x:v>대여중</x:v>
      </x:c>
      <x:c r="H735" s="32" t="n">
        <x:v>500000</x:v>
      </x:c>
      <x:c r="I735" s="24" t="str">
        <x:v>PR-C-15도5239-2-20230117-52</x:v>
      </x:c>
      <x:c r="J735" s="24" t="str">
        <x:v>김성엽2</x:v>
      </x:c>
      <x:c r="K735" s="24" t="str">
        <x:v>종료 계약 시작</x:v>
      </x:c>
      <x:c r="L735" s="24" t="str"/>
      <x:c r="M735" s="24" t="str"/>
      <x:c r="N735" s="30" t="n">
        <x:v>44943</x:v>
      </x:c>
    </x:row>
    <x:row r="736" ht="17.25" customHeight="1">
      <x:c r="A736" s="24" t="str">
        <x:v>E-00735</x:v>
      </x:c>
      <x:c r="B736" s="24" t="str">
        <x:v>프라임구독</x:v>
      </x:c>
      <x:c r="C736" s="24" t="str">
        <x:v>15도5239</x:v>
      </x:c>
      <x:c r="D736" s="30" t="n">
        <x:v>46032</x:v>
      </x:c>
      <x:c r="E736" s="24" t="str">
        <x:v>반납</x:v>
      </x:c>
      <x:c r="F736" s="24" t="str">
        <x:v>대여중</x:v>
      </x:c>
      <x:c r="G736" s="24" t="str">
        <x:v>쉬는차</x:v>
      </x:c>
      <x:c r="H736" s="32"/>
      <x:c r="I736" s="24" t="str">
        <x:v>PR-C-15도5239-2-20230117-52</x:v>
      </x:c>
      <x:c r="J736" s="24" t="str">
        <x:v>김성엽2</x:v>
      </x:c>
      <x:c r="K736" s="24" t="str">
        <x:v>차량 반납</x:v>
      </x:c>
      <x:c r="L736" s="24" t="str"/>
      <x:c r="M736" s="24" t="str"/>
      <x:c r="N736" s="30" t="n">
        <x:v>46032</x:v>
      </x:c>
    </x:row>
    <x:row r="737" ht="17.25" customHeight="1">
      <x:c r="A737" s="24" t="str">
        <x:v>E-00736</x:v>
      </x:c>
      <x:c r="B737" s="24" t="str">
        <x:v>프라임구독</x:v>
      </x:c>
      <x:c r="C737" s="24" t="str">
        <x:v>15마0652</x:v>
      </x:c>
      <x:c r="D737" s="30" t="n">
        <x:v>45247</x:v>
      </x:c>
      <x:c r="E737" s="24" t="str">
        <x:v>계약시작</x:v>
      </x:c>
      <x:c r="F737" s="24" t="str"/>
      <x:c r="G737" s="24" t="str">
        <x:v>대여중</x:v>
      </x:c>
      <x:c r="H737" s="32" t="n">
        <x:v>299000</x:v>
      </x:c>
      <x:c r="I737" s="24" t="str">
        <x:v>PR-C-15마0652-2-20231117-53</x:v>
      </x:c>
      <x:c r="J737" s="24" t="str">
        <x:v>최현규</x:v>
      </x:c>
      <x:c r="K737" s="24" t="str">
        <x:v>종료 계약 시작</x:v>
      </x:c>
      <x:c r="L737" s="24" t="str"/>
      <x:c r="M737" s="24" t="str"/>
      <x:c r="N737" s="30" t="n">
        <x:v>45247</x:v>
      </x:c>
    </x:row>
    <x:row r="738" ht="17.25" customHeight="1">
      <x:c r="A738" s="24" t="str">
        <x:v>E-00737</x:v>
      </x:c>
      <x:c r="B738" s="24" t="str">
        <x:v>프라임구독</x:v>
      </x:c>
      <x:c r="C738" s="24" t="str">
        <x:v>15마0652</x:v>
      </x:c>
      <x:c r="D738" s="30" t="n">
        <x:v>46351</x:v>
      </x:c>
      <x:c r="E738" s="24" t="str">
        <x:v>반납</x:v>
      </x:c>
      <x:c r="F738" s="24" t="str">
        <x:v>대여중</x:v>
      </x:c>
      <x:c r="G738" s="24" t="str">
        <x:v>쉬는차</x:v>
      </x:c>
      <x:c r="H738" s="32"/>
      <x:c r="I738" s="24" t="str">
        <x:v>PR-C-15마0652-2-20231117-53</x:v>
      </x:c>
      <x:c r="J738" s="24" t="str">
        <x:v>최현규</x:v>
      </x:c>
      <x:c r="K738" s="24" t="str">
        <x:v>차량 반납</x:v>
      </x:c>
      <x:c r="L738" s="24" t="str"/>
      <x:c r="M738" s="24" t="str"/>
      <x:c r="N738" s="30" t="n">
        <x:v>46351</x:v>
      </x:c>
    </x:row>
    <x:row r="739" ht="17.25" customHeight="1">
      <x:c r="A739" s="24" t="str">
        <x:v>E-00738</x:v>
      </x:c>
      <x:c r="B739" s="24" t="str">
        <x:v>프라임구독</x:v>
      </x:c>
      <x:c r="C739" s="24" t="str">
        <x:v>15머9092</x:v>
      </x:c>
      <x:c r="D739" s="30" t="n">
        <x:v>44552</x:v>
      </x:c>
      <x:c r="E739" s="24" t="str">
        <x:v>계약시작</x:v>
      </x:c>
      <x:c r="F739" s="24" t="str"/>
      <x:c r="G739" s="24" t="str">
        <x:v>대여중</x:v>
      </x:c>
      <x:c r="H739" s="32" t="n">
        <x:v>390000</x:v>
      </x:c>
      <x:c r="I739" s="24" t="str">
        <x:v>PR-C-15머9092-2-20211222-54</x:v>
      </x:c>
      <x:c r="J739" s="24" t="str">
        <x:v>조향래</x:v>
      </x:c>
      <x:c r="K739" s="24" t="str">
        <x:v>종료 계약 시작</x:v>
      </x:c>
      <x:c r="L739" s="24" t="str"/>
      <x:c r="M739" s="24" t="str"/>
      <x:c r="N739" s="30" t="n">
        <x:v>44552</x:v>
      </x:c>
    </x:row>
    <x:row r="740" ht="17.25" customHeight="1">
      <x:c r="A740" s="24" t="str">
        <x:v>E-00739</x:v>
      </x:c>
      <x:c r="B740" s="24" t="str">
        <x:v>프라임구독</x:v>
      </x:c>
      <x:c r="C740" s="24" t="str">
        <x:v>15머9092</x:v>
      </x:c>
      <x:c r="D740" s="30" t="n">
        <x:v>45646</x:v>
      </x:c>
      <x:c r="E740" s="24" t="str">
        <x:v>반납</x:v>
      </x:c>
      <x:c r="F740" s="24" t="str">
        <x:v>대여중</x:v>
      </x:c>
      <x:c r="G740" s="24" t="str">
        <x:v>쉬는차</x:v>
      </x:c>
      <x:c r="H740" s="32"/>
      <x:c r="I740" s="24" t="str">
        <x:v>PR-C-15머9092-2-20211222-54</x:v>
      </x:c>
      <x:c r="J740" s="24" t="str">
        <x:v>조향래</x:v>
      </x:c>
      <x:c r="K740" s="24" t="str">
        <x:v>차량 반납</x:v>
      </x:c>
      <x:c r="L740" s="24" t="str"/>
      <x:c r="M740" s="24" t="str"/>
      <x:c r="N740" s="30" t="n">
        <x:v>45646</x:v>
      </x:c>
    </x:row>
    <x:row r="741" ht="17.25" customHeight="1">
      <x:c r="A741" s="24" t="str">
        <x:v>E-00740</x:v>
      </x:c>
      <x:c r="B741" s="24" t="str">
        <x:v>프라임구독</x:v>
      </x:c>
      <x:c r="C741" s="24" t="str">
        <x:v>163부8390</x:v>
      </x:c>
      <x:c r="D741" s="30" t="n">
        <x:v>44687</x:v>
      </x:c>
      <x:c r="E741" s="24" t="str">
        <x:v>계약시작</x:v>
      </x:c>
      <x:c r="F741" s="24" t="str"/>
      <x:c r="G741" s="24" t="str">
        <x:v>대여중</x:v>
      </x:c>
      <x:c r="H741" s="32" t="n">
        <x:v>341000</x:v>
      </x:c>
      <x:c r="I741" s="24" t="str">
        <x:v>PR-C-163부8390-2-20220506-55</x:v>
      </x:c>
      <x:c r="J741" s="24" t="str">
        <x:v>김상운</x:v>
      </x:c>
      <x:c r="K741" s="24" t="str">
        <x:v>종료 계약 시작</x:v>
      </x:c>
      <x:c r="L741" s="24" t="str"/>
      <x:c r="M741" s="24" t="str"/>
      <x:c r="N741" s="30" t="n">
        <x:v>44687</x:v>
      </x:c>
    </x:row>
    <x:row r="742" ht="17.25" customHeight="1">
      <x:c r="A742" s="24" t="str">
        <x:v>E-00741</x:v>
      </x:c>
      <x:c r="B742" s="24" t="str">
        <x:v>프라임구독</x:v>
      </x:c>
      <x:c r="C742" s="24" t="str">
        <x:v>163부8390</x:v>
      </x:c>
      <x:c r="D742" s="30" t="n">
        <x:v>45767</x:v>
      </x:c>
      <x:c r="E742" s="24" t="str">
        <x:v>반납</x:v>
      </x:c>
      <x:c r="F742" s="24" t="str">
        <x:v>대여중</x:v>
      </x:c>
      <x:c r="G742" s="24" t="str">
        <x:v>쉬는차</x:v>
      </x:c>
      <x:c r="H742" s="32"/>
      <x:c r="I742" s="24" t="str">
        <x:v>PR-C-163부8390-2-20220506-55</x:v>
      </x:c>
      <x:c r="J742" s="24" t="str">
        <x:v>김상운</x:v>
      </x:c>
      <x:c r="K742" s="24" t="str">
        <x:v>차량 반납</x:v>
      </x:c>
      <x:c r="L742" s="24" t="str"/>
      <x:c r="M742" s="24" t="str"/>
      <x:c r="N742" s="30" t="n">
        <x:v>45767</x:v>
      </x:c>
    </x:row>
    <x:row r="743" ht="17.25" customHeight="1">
      <x:c r="A743" s="24" t="str">
        <x:v>E-00742</x:v>
      </x:c>
      <x:c r="B743" s="24" t="str">
        <x:v>프라임구독</x:v>
      </x:c>
      <x:c r="C743" s="24" t="str">
        <x:v>164노9379</x:v>
      </x:c>
      <x:c r="D743" s="30" t="n">
        <x:v>45152</x:v>
      </x:c>
      <x:c r="E743" s="24" t="str">
        <x:v>계약시작</x:v>
      </x:c>
      <x:c r="F743" s="24" t="str"/>
      <x:c r="G743" s="24" t="str">
        <x:v>대여중</x:v>
      </x:c>
      <x:c r="H743" s="32" t="n">
        <x:v>492000</x:v>
      </x:c>
      <x:c r="I743" s="24" t="str">
        <x:v>PR-C-164노9379-1-20230814-56</x:v>
      </x:c>
      <x:c r="J743" s="24" t="str">
        <x:v>강민규</x:v>
      </x:c>
      <x:c r="K743" s="24" t="str">
        <x:v>구독 계약 시작</x:v>
      </x:c>
      <x:c r="L743" s="24" t="str"/>
      <x:c r="M743" s="24" t="str"/>
      <x:c r="N743" s="30" t="n">
        <x:v>45152</x:v>
      </x:c>
    </x:row>
    <x:row r="744" ht="17.25" customHeight="1">
      <x:c r="A744" s="24" t="str">
        <x:v>E-00743</x:v>
      </x:c>
      <x:c r="B744" s="24" t="str">
        <x:v>프라임구독</x:v>
      </x:c>
      <x:c r="C744" s="24" t="str">
        <x:v>169버5426</x:v>
      </x:c>
      <x:c r="D744" s="30" t="n">
        <x:v>45183</x:v>
      </x:c>
      <x:c r="E744" s="24" t="str">
        <x:v>계약시작</x:v>
      </x:c>
      <x:c r="F744" s="24" t="str"/>
      <x:c r="G744" s="24" t="str">
        <x:v>대여중</x:v>
      </x:c>
      <x:c r="H744" s="32" t="n">
        <x:v>1102000</x:v>
      </x:c>
      <x:c r="I744" s="24" t="str">
        <x:v>PR-C-169버5426-2-20230914-57</x:v>
      </x:c>
      <x:c r="J744" s="24" t="str">
        <x:v>박원</x:v>
      </x:c>
      <x:c r="K744" s="24" t="str">
        <x:v>종료 계약 시작</x:v>
      </x:c>
      <x:c r="L744" s="24" t="str"/>
      <x:c r="M744" s="24" t="str"/>
      <x:c r="N744" s="30" t="n">
        <x:v>45183</x:v>
      </x:c>
    </x:row>
    <x:row r="745" ht="17.25" customHeight="1">
      <x:c r="A745" s="24" t="str">
        <x:v>E-00744</x:v>
      </x:c>
      <x:c r="B745" s="24" t="str">
        <x:v>프라임구독</x:v>
      </x:c>
      <x:c r="C745" s="24" t="str">
        <x:v>169버5426</x:v>
      </x:c>
      <x:c r="D745" s="30" t="n">
        <x:v>46645</x:v>
      </x:c>
      <x:c r="E745" s="24" t="str">
        <x:v>반납</x:v>
      </x:c>
      <x:c r="F745" s="24" t="str">
        <x:v>대여중</x:v>
      </x:c>
      <x:c r="G745" s="24" t="str">
        <x:v>쉬는차</x:v>
      </x:c>
      <x:c r="H745" s="32"/>
      <x:c r="I745" s="24" t="str">
        <x:v>PR-C-169버5426-2-20230914-57</x:v>
      </x:c>
      <x:c r="J745" s="24" t="str">
        <x:v>박원</x:v>
      </x:c>
      <x:c r="K745" s="24" t="str">
        <x:v>차량 반납</x:v>
      </x:c>
      <x:c r="L745" s="24" t="str"/>
      <x:c r="M745" s="24" t="str"/>
      <x:c r="N745" s="30" t="n">
        <x:v>46645</x:v>
      </x:c>
    </x:row>
    <x:row r="746" ht="17.25" customHeight="1">
      <x:c r="A746" s="24" t="str">
        <x:v>E-00745</x:v>
      </x:c>
      <x:c r="B746" s="24" t="str">
        <x:v>프라임구독</x:v>
      </x:c>
      <x:c r="C746" s="24" t="str">
        <x:v>16다6556</x:v>
      </x:c>
      <x:c r="D746" s="30" t="n">
        <x:v>45341</x:v>
      </x:c>
      <x:c r="E746" s="24" t="str">
        <x:v>계약시작</x:v>
      </x:c>
      <x:c r="F746" s="24" t="str"/>
      <x:c r="G746" s="24" t="str">
        <x:v>대여중</x:v>
      </x:c>
      <x:c r="H746" s="32" t="n">
        <x:v>645000</x:v>
      </x:c>
      <x:c r="I746" s="24" t="str">
        <x:v>PR-C-16다6556-2-20240219-58</x:v>
      </x:c>
      <x:c r="J746" s="24" t="str">
        <x:v>이준호</x:v>
      </x:c>
      <x:c r="K746" s="24" t="str">
        <x:v>종료 계약 시작</x:v>
      </x:c>
      <x:c r="L746" s="24" t="str"/>
      <x:c r="M746" s="24" t="str"/>
      <x:c r="N746" s="30" t="n">
        <x:v>45341</x:v>
      </x:c>
    </x:row>
    <x:row r="747" ht="17.25" customHeight="1">
      <x:c r="A747" s="24" t="str">
        <x:v>E-00746</x:v>
      </x:c>
      <x:c r="B747" s="24" t="str">
        <x:v>프라임구독</x:v>
      </x:c>
      <x:c r="C747" s="24" t="str">
        <x:v>16다6556</x:v>
      </x:c>
      <x:c r="D747" s="30" t="n">
        <x:v>46433</x:v>
      </x:c>
      <x:c r="E747" s="24" t="str">
        <x:v>반납</x:v>
      </x:c>
      <x:c r="F747" s="24" t="str">
        <x:v>대여중</x:v>
      </x:c>
      <x:c r="G747" s="24" t="str">
        <x:v>쉬는차</x:v>
      </x:c>
      <x:c r="H747" s="32"/>
      <x:c r="I747" s="24" t="str">
        <x:v>PR-C-16다6556-2-20240219-58</x:v>
      </x:c>
      <x:c r="J747" s="24" t="str">
        <x:v>이준호</x:v>
      </x:c>
      <x:c r="K747" s="24" t="str">
        <x:v>차량 반납</x:v>
      </x:c>
      <x:c r="L747" s="24" t="str"/>
      <x:c r="M747" s="24" t="str"/>
      <x:c r="N747" s="30" t="n">
        <x:v>46433</x:v>
      </x:c>
    </x:row>
    <x:row r="748" ht="17.25" customHeight="1">
      <x:c r="A748" s="24" t="str">
        <x:v>E-00747</x:v>
      </x:c>
      <x:c r="B748" s="24" t="str">
        <x:v>프라임구독</x:v>
      </x:c>
      <x:c r="C748" s="24" t="str">
        <x:v>16다6556</x:v>
      </x:c>
      <x:c r="D748" s="30" t="n">
        <x:v>45341</x:v>
      </x:c>
      <x:c r="E748" s="24" t="str">
        <x:v>계약시작</x:v>
      </x:c>
      <x:c r="F748" s="24" t="str"/>
      <x:c r="G748" s="24" t="str">
        <x:v>대여중</x:v>
      </x:c>
      <x:c r="H748" s="32" t="n">
        <x:v>645000</x:v>
      </x:c>
      <x:c r="I748" s="24" t="str">
        <x:v>PR-C-16다6556-3-20240219-58</x:v>
      </x:c>
      <x:c r="J748" s="24" t="str">
        <x:v>이준호</x:v>
      </x:c>
      <x:c r="K748" s="24" t="str">
        <x:v>종료 계약 시작</x:v>
      </x:c>
      <x:c r="L748" s="24" t="str"/>
      <x:c r="M748" s="24" t="str"/>
      <x:c r="N748" s="30" t="n">
        <x:v>45341</x:v>
      </x:c>
    </x:row>
    <x:row r="749" ht="17.25" customHeight="1">
      <x:c r="A749" s="24" t="str">
        <x:v>E-00748</x:v>
      </x:c>
      <x:c r="B749" s="24" t="str">
        <x:v>프라임구독</x:v>
      </x:c>
      <x:c r="C749" s="24" t="str">
        <x:v>16다6556</x:v>
      </x:c>
      <x:c r="D749" s="30" t="n">
        <x:v>46433</x:v>
      </x:c>
      <x:c r="E749" s="24" t="str">
        <x:v>반납</x:v>
      </x:c>
      <x:c r="F749" s="24" t="str">
        <x:v>대여중</x:v>
      </x:c>
      <x:c r="G749" s="24" t="str">
        <x:v>쉬는차</x:v>
      </x:c>
      <x:c r="H749" s="32"/>
      <x:c r="I749" s="24" t="str">
        <x:v>PR-C-16다6556-3-20240219-58</x:v>
      </x:c>
      <x:c r="J749" s="24" t="str">
        <x:v>이준호</x:v>
      </x:c>
      <x:c r="K749" s="24" t="str">
        <x:v>차량 반납</x:v>
      </x:c>
      <x:c r="L749" s="24" t="str"/>
      <x:c r="M749" s="24" t="str"/>
      <x:c r="N749" s="30" t="n">
        <x:v>46433</x:v>
      </x:c>
    </x:row>
    <x:row r="750" ht="17.25" customHeight="1">
      <x:c r="A750" s="24" t="str">
        <x:v>E-00749</x:v>
      </x:c>
      <x:c r="B750" s="24" t="str">
        <x:v>프라임구독</x:v>
      </x:c>
      <x:c r="C750" s="24" t="str">
        <x:v>16소0356</x:v>
      </x:c>
      <x:c r="D750" s="30" t="n">
        <x:v>44928</x:v>
      </x:c>
      <x:c r="E750" s="24" t="str">
        <x:v>계약시작</x:v>
      </x:c>
      <x:c r="F750" s="24" t="str"/>
      <x:c r="G750" s="24" t="str">
        <x:v>대여중</x:v>
      </x:c>
      <x:c r="H750" s="32" t="n">
        <x:v>654000</x:v>
      </x:c>
      <x:c r="I750" s="24" t="str">
        <x:v>PR-C-16소0356-2-20230102-59</x:v>
      </x:c>
      <x:c r="J750" s="24" t="str">
        <x:v>정이남</x:v>
      </x:c>
      <x:c r="K750" s="24" t="str">
        <x:v>종료 계약 시작</x:v>
      </x:c>
      <x:c r="L750" s="24" t="str"/>
      <x:c r="M750" s="24" t="str"/>
      <x:c r="N750" s="30" t="n">
        <x:v>44928</x:v>
      </x:c>
    </x:row>
    <x:row r="751" ht="17.25" customHeight="1">
      <x:c r="A751" s="24" t="str">
        <x:v>E-00750</x:v>
      </x:c>
      <x:c r="B751" s="24" t="str">
        <x:v>프라임구독</x:v>
      </x:c>
      <x:c r="C751" s="24" t="str">
        <x:v>16소0356</x:v>
      </x:c>
      <x:c r="D751" s="30" t="n">
        <x:v>46032</x:v>
      </x:c>
      <x:c r="E751" s="24" t="str">
        <x:v>반납</x:v>
      </x:c>
      <x:c r="F751" s="24" t="str">
        <x:v>대여중</x:v>
      </x:c>
      <x:c r="G751" s="24" t="str">
        <x:v>쉬는차</x:v>
      </x:c>
      <x:c r="H751" s="32"/>
      <x:c r="I751" s="24" t="str">
        <x:v>PR-C-16소0356-2-20230102-59</x:v>
      </x:c>
      <x:c r="J751" s="24" t="str">
        <x:v>정이남</x:v>
      </x:c>
      <x:c r="K751" s="24" t="str">
        <x:v>차량 반납</x:v>
      </x:c>
      <x:c r="L751" s="24" t="str"/>
      <x:c r="M751" s="24" t="str"/>
      <x:c r="N751" s="30" t="n">
        <x:v>46032</x:v>
      </x:c>
    </x:row>
    <x:row r="752" ht="17.25" customHeight="1">
      <x:c r="A752" s="24" t="str">
        <x:v>E-00751</x:v>
      </x:c>
      <x:c r="B752" s="24" t="str">
        <x:v>프라임구독</x:v>
      </x:c>
      <x:c r="C752" s="24" t="str">
        <x:v>16소0356</x:v>
      </x:c>
      <x:c r="D752" s="30" t="n">
        <x:v>44928</x:v>
      </x:c>
      <x:c r="E752" s="24" t="str">
        <x:v>계약시작</x:v>
      </x:c>
      <x:c r="F752" s="24" t="str"/>
      <x:c r="G752" s="24" t="str">
        <x:v>대여중</x:v>
      </x:c>
      <x:c r="H752" s="32" t="n">
        <x:v>654000</x:v>
      </x:c>
      <x:c r="I752" s="24" t="str">
        <x:v>PR-C-16소0356-3-20230102-59</x:v>
      </x:c>
      <x:c r="J752" s="24" t="str">
        <x:v>정이남</x:v>
      </x:c>
      <x:c r="K752" s="24" t="str">
        <x:v>종료 계약 시작</x:v>
      </x:c>
      <x:c r="L752" s="24" t="str"/>
      <x:c r="M752" s="24" t="str"/>
      <x:c r="N752" s="30" t="n">
        <x:v>44928</x:v>
      </x:c>
    </x:row>
    <x:row r="753" ht="17.25" customHeight="1">
      <x:c r="A753" s="24" t="str">
        <x:v>E-00752</x:v>
      </x:c>
      <x:c r="B753" s="24" t="str">
        <x:v>프라임구독</x:v>
      </x:c>
      <x:c r="C753" s="24" t="str">
        <x:v>16소0356</x:v>
      </x:c>
      <x:c r="D753" s="30" t="n">
        <x:v>46032</x:v>
      </x:c>
      <x:c r="E753" s="24" t="str">
        <x:v>반납</x:v>
      </x:c>
      <x:c r="F753" s="24" t="str">
        <x:v>대여중</x:v>
      </x:c>
      <x:c r="G753" s="24" t="str">
        <x:v>쉬는차</x:v>
      </x:c>
      <x:c r="H753" s="32"/>
      <x:c r="I753" s="24" t="str">
        <x:v>PR-C-16소0356-3-20230102-59</x:v>
      </x:c>
      <x:c r="J753" s="24" t="str">
        <x:v>정이남</x:v>
      </x:c>
      <x:c r="K753" s="24" t="str">
        <x:v>차량 반납</x:v>
      </x:c>
      <x:c r="L753" s="24" t="str"/>
      <x:c r="M753" s="24" t="str"/>
      <x:c r="N753" s="30" t="n">
        <x:v>46032</x:v>
      </x:c>
    </x:row>
    <x:row r="754" ht="17.25" customHeight="1">
      <x:c r="A754" s="24" t="str">
        <x:v>E-00753</x:v>
      </x:c>
      <x:c r="B754" s="24" t="str">
        <x:v>프라임구독</x:v>
      </x:c>
      <x:c r="C754" s="24" t="str">
        <x:v>16어0497</x:v>
      </x:c>
      <x:c r="D754" s="30" t="n">
        <x:v>45180</x:v>
      </x:c>
      <x:c r="E754" s="24" t="str">
        <x:v>계약시작</x:v>
      </x:c>
      <x:c r="F754" s="24" t="str"/>
      <x:c r="G754" s="24" t="str">
        <x:v>대여중</x:v>
      </x:c>
      <x:c r="H754" s="32" t="n">
        <x:v>613000</x:v>
      </x:c>
      <x:c r="I754" s="24" t="str">
        <x:v>PR-C-16어0497-2-20230911-60</x:v>
      </x:c>
      <x:c r="J754" s="24" t="str">
        <x:v>한성욱</x:v>
      </x:c>
      <x:c r="K754" s="24" t="str">
        <x:v>종료 계약 시작</x:v>
      </x:c>
      <x:c r="L754" s="24" t="str"/>
      <x:c r="M754" s="24" t="str"/>
      <x:c r="N754" s="30" t="n">
        <x:v>45180</x:v>
      </x:c>
    </x:row>
    <x:row r="755" ht="17.25" customHeight="1">
      <x:c r="A755" s="24" t="str">
        <x:v>E-00754</x:v>
      </x:c>
      <x:c r="B755" s="24" t="str">
        <x:v>프라임구독</x:v>
      </x:c>
      <x:c r="C755" s="24" t="str">
        <x:v>16어0497</x:v>
      </x:c>
      <x:c r="D755" s="30" t="n">
        <x:v>46645</x:v>
      </x:c>
      <x:c r="E755" s="24" t="str">
        <x:v>반납</x:v>
      </x:c>
      <x:c r="F755" s="24" t="str">
        <x:v>대여중</x:v>
      </x:c>
      <x:c r="G755" s="24" t="str">
        <x:v>쉬는차</x:v>
      </x:c>
      <x:c r="H755" s="32"/>
      <x:c r="I755" s="24" t="str">
        <x:v>PR-C-16어0497-2-20230911-60</x:v>
      </x:c>
      <x:c r="J755" s="24" t="str">
        <x:v>한성욱</x:v>
      </x:c>
      <x:c r="K755" s="24" t="str">
        <x:v>차량 반납</x:v>
      </x:c>
      <x:c r="L755" s="24" t="str"/>
      <x:c r="M755" s="24" t="str"/>
      <x:c r="N755" s="30" t="n">
        <x:v>46645</x:v>
      </x:c>
    </x:row>
    <x:row r="756" ht="17.25" customHeight="1">
      <x:c r="A756" s="24" t="str">
        <x:v>E-00755</x:v>
      </x:c>
      <x:c r="B756" s="24" t="str">
        <x:v>프라임구독</x:v>
      </x:c>
      <x:c r="C756" s="24" t="str">
        <x:v>179다2644</x:v>
      </x:c>
      <x:c r="D756" s="30" t="n">
        <x:v>45098</x:v>
      </x:c>
      <x:c r="E756" s="24" t="str">
        <x:v>계약시작</x:v>
      </x:c>
      <x:c r="F756" s="24" t="str"/>
      <x:c r="G756" s="24" t="str">
        <x:v>대여중</x:v>
      </x:c>
      <x:c r="H756" s="32" t="n">
        <x:v>848000</x:v>
      </x:c>
      <x:c r="I756" s="24" t="str">
        <x:v>PR-C-179다2644-2-20230621-61</x:v>
      </x:c>
      <x:c r="J756" s="24" t="str">
        <x:v>장유진2</x:v>
      </x:c>
      <x:c r="K756" s="24" t="str">
        <x:v>종료 계약 시작</x:v>
      </x:c>
      <x:c r="L756" s="24" t="str"/>
      <x:c r="M756" s="24" t="str"/>
      <x:c r="N756" s="30" t="n">
        <x:v>45098</x:v>
      </x:c>
    </x:row>
    <x:row r="757" ht="17.25" customHeight="1">
      <x:c r="A757" s="24" t="str">
        <x:v>E-00756</x:v>
      </x:c>
      <x:c r="B757" s="24" t="str">
        <x:v>프라임구독</x:v>
      </x:c>
      <x:c r="C757" s="24" t="str">
        <x:v>179다2644</x:v>
      </x:c>
      <x:c r="D757" s="30" t="n">
        <x:v>46198</x:v>
      </x:c>
      <x:c r="E757" s="24" t="str">
        <x:v>반납</x:v>
      </x:c>
      <x:c r="F757" s="24" t="str">
        <x:v>대여중</x:v>
      </x:c>
      <x:c r="G757" s="24" t="str">
        <x:v>쉬는차</x:v>
      </x:c>
      <x:c r="H757" s="32"/>
      <x:c r="I757" s="24" t="str">
        <x:v>PR-C-179다2644-2-20230621-61</x:v>
      </x:c>
      <x:c r="J757" s="24" t="str">
        <x:v>장유진2</x:v>
      </x:c>
      <x:c r="K757" s="24" t="str">
        <x:v>차량 반납</x:v>
      </x:c>
      <x:c r="L757" s="24" t="str"/>
      <x:c r="M757" s="24" t="str"/>
      <x:c r="N757" s="30" t="n">
        <x:v>46198</x:v>
      </x:c>
    </x:row>
    <x:row r="758" ht="17.25" customHeight="1">
      <x:c r="A758" s="24" t="str">
        <x:v>E-00757</x:v>
      </x:c>
      <x:c r="B758" s="24" t="str">
        <x:v>프라임구독</x:v>
      </x:c>
      <x:c r="C758" s="24" t="str">
        <x:v>179다2681</x:v>
      </x:c>
      <x:c r="D758" s="30" t="n">
        <x:v>45082</x:v>
      </x:c>
      <x:c r="E758" s="24" t="str">
        <x:v>계약시작</x:v>
      </x:c>
      <x:c r="F758" s="24" t="str"/>
      <x:c r="G758" s="24" t="str">
        <x:v>대여중</x:v>
      </x:c>
      <x:c r="H758" s="32" t="n">
        <x:v>767000</x:v>
      </x:c>
      <x:c r="I758" s="24" t="str">
        <x:v>PR-C-179다2681-1-20230605-62</x:v>
      </x:c>
      <x:c r="J758" s="24" t="str">
        <x:v>이미옥</x:v>
      </x:c>
      <x:c r="K758" s="24" t="str">
        <x:v>구독 계약 시작</x:v>
      </x:c>
      <x:c r="L758" s="24" t="str"/>
      <x:c r="M758" s="24" t="str"/>
      <x:c r="N758" s="30" t="n">
        <x:v>45082</x:v>
      </x:c>
    </x:row>
    <x:row r="759" ht="17.25" customHeight="1">
      <x:c r="A759" s="24" t="str">
        <x:v>E-00758</x:v>
      </x:c>
      <x:c r="B759" s="24" t="str">
        <x:v>프라임구독</x:v>
      </x:c>
      <x:c r="C759" s="24" t="str">
        <x:v>17구6905</x:v>
      </x:c>
      <x:c r="D759" s="30" t="n">
        <x:v>44664</x:v>
      </x:c>
      <x:c r="E759" s="24" t="str">
        <x:v>계약시작</x:v>
      </x:c>
      <x:c r="F759" s="24" t="str"/>
      <x:c r="G759" s="24" t="str">
        <x:v>대여중</x:v>
      </x:c>
      <x:c r="H759" s="32" t="n">
        <x:v>781000</x:v>
      </x:c>
      <x:c r="I759" s="24" t="str">
        <x:v>PR-C-17구6905-2-20220413-63</x:v>
      </x:c>
      <x:c r="J759" s="24" t="str">
        <x:v>이은술</x:v>
      </x:c>
      <x:c r="K759" s="24" t="str">
        <x:v>종료 계약 시작</x:v>
      </x:c>
      <x:c r="L759" s="24" t="str"/>
      <x:c r="M759" s="24" t="str"/>
      <x:c r="N759" s="30" t="n">
        <x:v>44664</x:v>
      </x:c>
    </x:row>
    <x:row r="760" ht="17.25" customHeight="1">
      <x:c r="A760" s="24" t="str">
        <x:v>E-00759</x:v>
      </x:c>
      <x:c r="B760" s="24" t="str">
        <x:v>프라임구독</x:v>
      </x:c>
      <x:c r="C760" s="24" t="str">
        <x:v>17구6905</x:v>
      </x:c>
      <x:c r="D760" s="30" t="n">
        <x:v>45767</x:v>
      </x:c>
      <x:c r="E760" s="24" t="str">
        <x:v>반납</x:v>
      </x:c>
      <x:c r="F760" s="24" t="str">
        <x:v>대여중</x:v>
      </x:c>
      <x:c r="G760" s="24" t="str">
        <x:v>쉬는차</x:v>
      </x:c>
      <x:c r="H760" s="32"/>
      <x:c r="I760" s="24" t="str">
        <x:v>PR-C-17구6905-2-20220413-63</x:v>
      </x:c>
      <x:c r="J760" s="24" t="str">
        <x:v>이은술</x:v>
      </x:c>
      <x:c r="K760" s="24" t="str">
        <x:v>차량 반납</x:v>
      </x:c>
      <x:c r="L760" s="24" t="str"/>
      <x:c r="M760" s="24" t="str"/>
      <x:c r="N760" s="30" t="n">
        <x:v>45767</x:v>
      </x:c>
    </x:row>
    <x:row r="761" ht="17.25" customHeight="1">
      <x:c r="A761" s="24" t="str">
        <x:v>E-00760</x:v>
      </x:c>
      <x:c r="B761" s="24" t="str">
        <x:v>프라임구독</x:v>
      </x:c>
      <x:c r="C761" s="24" t="str">
        <x:v>181수7351</x:v>
      </x:c>
      <x:c r="D761" s="30" t="n">
        <x:v>44635</x:v>
      </x:c>
      <x:c r="E761" s="24" t="str">
        <x:v>계약시작</x:v>
      </x:c>
      <x:c r="F761" s="24" t="str"/>
      <x:c r="G761" s="24" t="str">
        <x:v>대여중</x:v>
      </x:c>
      <x:c r="H761" s="32" t="n">
        <x:v>660000</x:v>
      </x:c>
      <x:c r="I761" s="24" t="str">
        <x:v>PR-C-181수7351-2-20220315-64</x:v>
      </x:c>
      <x:c r="J761" s="24" t="str">
        <x:v>송하늘</x:v>
      </x:c>
      <x:c r="K761" s="24" t="str">
        <x:v>종료 계약 시작</x:v>
      </x:c>
      <x:c r="L761" s="24" t="str"/>
      <x:c r="M761" s="24" t="str"/>
      <x:c r="N761" s="30" t="n">
        <x:v>44635</x:v>
      </x:c>
    </x:row>
    <x:row r="762" ht="17.25" customHeight="1">
      <x:c r="A762" s="24" t="str">
        <x:v>E-00761</x:v>
      </x:c>
      <x:c r="B762" s="24" t="str">
        <x:v>프라임구독</x:v>
      </x:c>
      <x:c r="C762" s="24" t="str">
        <x:v>181수7351</x:v>
      </x:c>
      <x:c r="D762" s="30" t="n">
        <x:v>45736</x:v>
      </x:c>
      <x:c r="E762" s="24" t="str">
        <x:v>반납</x:v>
      </x:c>
      <x:c r="F762" s="24" t="str">
        <x:v>대여중</x:v>
      </x:c>
      <x:c r="G762" s="24" t="str">
        <x:v>쉬는차</x:v>
      </x:c>
      <x:c r="H762" s="32"/>
      <x:c r="I762" s="24" t="str">
        <x:v>PR-C-181수7351-2-20220315-64</x:v>
      </x:c>
      <x:c r="J762" s="24" t="str">
        <x:v>송하늘</x:v>
      </x:c>
      <x:c r="K762" s="24" t="str">
        <x:v>차량 반납</x:v>
      </x:c>
      <x:c r="L762" s="24" t="str"/>
      <x:c r="M762" s="24" t="str"/>
      <x:c r="N762" s="30" t="n">
        <x:v>45736</x:v>
      </x:c>
    </x:row>
    <x:row r="763" ht="17.25" customHeight="1">
      <x:c r="A763" s="24" t="str">
        <x:v>E-00762</x:v>
      </x:c>
      <x:c r="B763" s="24" t="str">
        <x:v>프라임구독</x:v>
      </x:c>
      <x:c r="C763" s="24" t="str">
        <x:v>184더7470</x:v>
      </x:c>
      <x:c r="D763" s="30" t="n">
        <x:v>44974</x:v>
      </x:c>
      <x:c r="E763" s="24" t="str">
        <x:v>계약시작</x:v>
      </x:c>
      <x:c r="F763" s="24" t="str"/>
      <x:c r="G763" s="24" t="str">
        <x:v>대여중</x:v>
      </x:c>
      <x:c r="H763" s="32" t="n">
        <x:v>473000</x:v>
      </x:c>
      <x:c r="I763" s="24" t="str">
        <x:v>PR-C-184더7470-1-20230217-65</x:v>
      </x:c>
      <x:c r="J763" s="24" t="str">
        <x:v>진하정</x:v>
      </x:c>
      <x:c r="K763" s="24" t="str">
        <x:v>구독 계약 시작</x:v>
      </x:c>
      <x:c r="L763" s="24" t="str"/>
      <x:c r="M763" s="24" t="str"/>
      <x:c r="N763" s="30" t="n">
        <x:v>44974</x:v>
      </x:c>
    </x:row>
    <x:row r="764" ht="17.25" customHeight="1">
      <x:c r="A764" s="24" t="str">
        <x:v>E-00763</x:v>
      </x:c>
      <x:c r="B764" s="24" t="str">
        <x:v>프라임구독</x:v>
      </x:c>
      <x:c r="C764" s="24" t="str">
        <x:v>184주9892</x:v>
      </x:c>
      <x:c r="D764" s="30" t="n">
        <x:v>45422</x:v>
      </x:c>
      <x:c r="E764" s="24" t="str">
        <x:v>계약시작</x:v>
      </x:c>
      <x:c r="F764" s="24" t="str"/>
      <x:c r="G764" s="24" t="str">
        <x:v>대여중</x:v>
      </x:c>
      <x:c r="H764" s="32" t="n">
        <x:v>2000000</x:v>
      </x:c>
      <x:c r="I764" s="24" t="str">
        <x:v>PR-C-184주9892-2-20240510-66</x:v>
      </x:c>
      <x:c r="J764" s="24" t="str">
        <x:v>이만희2</x:v>
      </x:c>
      <x:c r="K764" s="24" t="str">
        <x:v>종료 계약 시작</x:v>
      </x:c>
      <x:c r="L764" s="24" t="str"/>
      <x:c r="M764" s="24" t="str"/>
      <x:c r="N764" s="30" t="n">
        <x:v>45422</x:v>
      </x:c>
    </x:row>
    <x:row r="765" ht="17.25" customHeight="1">
      <x:c r="A765" s="24" t="str">
        <x:v>E-00764</x:v>
      </x:c>
      <x:c r="B765" s="24" t="str">
        <x:v>프라임구독</x:v>
      </x:c>
      <x:c r="C765" s="24" t="str">
        <x:v>184주9892</x:v>
      </x:c>
      <x:c r="D765" s="30" t="n">
        <x:v>46893</x:v>
      </x:c>
      <x:c r="E765" s="24" t="str">
        <x:v>반납</x:v>
      </x:c>
      <x:c r="F765" s="24" t="str">
        <x:v>대여중</x:v>
      </x:c>
      <x:c r="G765" s="24" t="str">
        <x:v>쉬는차</x:v>
      </x:c>
      <x:c r="H765" s="32"/>
      <x:c r="I765" s="24" t="str">
        <x:v>PR-C-184주9892-2-20240510-66</x:v>
      </x:c>
      <x:c r="J765" s="24" t="str">
        <x:v>이만희2</x:v>
      </x:c>
      <x:c r="K765" s="24" t="str">
        <x:v>차량 반납</x:v>
      </x:c>
      <x:c r="L765" s="24" t="str"/>
      <x:c r="M765" s="24" t="str"/>
      <x:c r="N765" s="30" t="n">
        <x:v>46893</x:v>
      </x:c>
    </x:row>
    <x:row r="766" ht="17.25" customHeight="1">
      <x:c r="A766" s="24" t="str">
        <x:v>E-00765</x:v>
      </x:c>
      <x:c r="B766" s="24" t="str">
        <x:v>프라임구독</x:v>
      </x:c>
      <x:c r="C766" s="24" t="str">
        <x:v>18서7100</x:v>
      </x:c>
      <x:c r="D766" s="30" t="n">
        <x:v>44657</x:v>
      </x:c>
      <x:c r="E766" s="24" t="str">
        <x:v>계약시작</x:v>
      </x:c>
      <x:c r="F766" s="24" t="str"/>
      <x:c r="G766" s="24" t="str">
        <x:v>대여중</x:v>
      </x:c>
      <x:c r="H766" s="32" t="n">
        <x:v>930000</x:v>
      </x:c>
      <x:c r="I766" s="24" t="str">
        <x:v>PR-C-18서7100-2-20220406-67</x:v>
      </x:c>
      <x:c r="J766" s="24" t="str">
        <x:v>임경택</x:v>
      </x:c>
      <x:c r="K766" s="24" t="str">
        <x:v>종료 계약 시작</x:v>
      </x:c>
      <x:c r="L766" s="24" t="str"/>
      <x:c r="M766" s="24" t="str"/>
      <x:c r="N766" s="30" t="n">
        <x:v>44657</x:v>
      </x:c>
    </x:row>
    <x:row r="767" ht="17.25" customHeight="1">
      <x:c r="A767" s="24" t="str">
        <x:v>E-00766</x:v>
      </x:c>
      <x:c r="B767" s="24" t="str">
        <x:v>프라임구독</x:v>
      </x:c>
      <x:c r="C767" s="24" t="str">
        <x:v>18서7100</x:v>
      </x:c>
      <x:c r="D767" s="30" t="n">
        <x:v>45736</x:v>
      </x:c>
      <x:c r="E767" s="24" t="str">
        <x:v>반납</x:v>
      </x:c>
      <x:c r="F767" s="24" t="str">
        <x:v>대여중</x:v>
      </x:c>
      <x:c r="G767" s="24" t="str">
        <x:v>쉬는차</x:v>
      </x:c>
      <x:c r="H767" s="32"/>
      <x:c r="I767" s="24" t="str">
        <x:v>PR-C-18서7100-2-20220406-67</x:v>
      </x:c>
      <x:c r="J767" s="24" t="str">
        <x:v>임경택</x:v>
      </x:c>
      <x:c r="K767" s="24" t="str">
        <x:v>차량 반납</x:v>
      </x:c>
      <x:c r="L767" s="24" t="str"/>
      <x:c r="M767" s="24" t="str"/>
      <x:c r="N767" s="30" t="n">
        <x:v>45736</x:v>
      </x:c>
    </x:row>
    <x:row r="768" ht="17.25" customHeight="1">
      <x:c r="A768" s="24" t="str">
        <x:v>E-00767</x:v>
      </x:c>
      <x:c r="B768" s="24" t="str">
        <x:v>프라임구독</x:v>
      </x:c>
      <x:c r="C768" s="24" t="str">
        <x:v>18오6133</x:v>
      </x:c>
      <x:c r="D768" s="30" t="n">
        <x:v>45181</x:v>
      </x:c>
      <x:c r="E768" s="24" t="str">
        <x:v>계약시작</x:v>
      </x:c>
      <x:c r="F768" s="24" t="str"/>
      <x:c r="G768" s="24" t="str">
        <x:v>대여중</x:v>
      </x:c>
      <x:c r="H768" s="32" t="n">
        <x:v>740000</x:v>
      </x:c>
      <x:c r="I768" s="24" t="str">
        <x:v>PR-C-18오6133-2-20230912-68</x:v>
      </x:c>
      <x:c r="J768" s="24" t="str">
        <x:v>원준희</x:v>
      </x:c>
      <x:c r="K768" s="24" t="str">
        <x:v>종료 계약 시작</x:v>
      </x:c>
      <x:c r="L768" s="24" t="str"/>
      <x:c r="M768" s="24" t="str"/>
      <x:c r="N768" s="30" t="n">
        <x:v>45181</x:v>
      </x:c>
    </x:row>
    <x:row r="769" ht="17.25" customHeight="1">
      <x:c r="A769" s="24" t="str">
        <x:v>E-00768</x:v>
      </x:c>
      <x:c r="B769" s="24" t="str">
        <x:v>프라임구독</x:v>
      </x:c>
      <x:c r="C769" s="24" t="str">
        <x:v>18오6133</x:v>
      </x:c>
      <x:c r="D769" s="30" t="n">
        <x:v>46650</x:v>
      </x:c>
      <x:c r="E769" s="24" t="str">
        <x:v>반납</x:v>
      </x:c>
      <x:c r="F769" s="24" t="str">
        <x:v>대여중</x:v>
      </x:c>
      <x:c r="G769" s="24" t="str">
        <x:v>쉬는차</x:v>
      </x:c>
      <x:c r="H769" s="32"/>
      <x:c r="I769" s="24" t="str">
        <x:v>PR-C-18오6133-2-20230912-68</x:v>
      </x:c>
      <x:c r="J769" s="24" t="str">
        <x:v>원준희</x:v>
      </x:c>
      <x:c r="K769" s="24" t="str">
        <x:v>차량 반납</x:v>
      </x:c>
      <x:c r="L769" s="24" t="str"/>
      <x:c r="M769" s="24" t="str"/>
      <x:c r="N769" s="30" t="n">
        <x:v>46650</x:v>
      </x:c>
    </x:row>
    <x:row r="770" ht="17.25" customHeight="1">
      <x:c r="A770" s="24" t="str">
        <x:v>E-00769</x:v>
      </x:c>
      <x:c r="B770" s="24" t="str">
        <x:v>프라임구독</x:v>
      </x:c>
      <x:c r="C770" s="24" t="str">
        <x:v>190모5683</x:v>
      </x:c>
      <x:c r="D770" s="30" t="n">
        <x:v>45096</x:v>
      </x:c>
      <x:c r="E770" s="24" t="str">
        <x:v>계약시작</x:v>
      </x:c>
      <x:c r="F770" s="24" t="str"/>
      <x:c r="G770" s="24" t="str">
        <x:v>대여중</x:v>
      </x:c>
      <x:c r="H770" s="32" t="n">
        <x:v>852000</x:v>
      </x:c>
      <x:c r="I770" s="24" t="str">
        <x:v>PR-C-190모5683-2-20230619-69</x:v>
      </x:c>
      <x:c r="J770" s="24" t="str">
        <x:v>장유진1</x:v>
      </x:c>
      <x:c r="K770" s="24" t="str">
        <x:v>종료 계약 시작</x:v>
      </x:c>
      <x:c r="L770" s="24" t="str"/>
      <x:c r="M770" s="24" t="str"/>
      <x:c r="N770" s="30" t="n">
        <x:v>45096</x:v>
      </x:c>
    </x:row>
    <x:row r="771" ht="17.25" customHeight="1">
      <x:c r="A771" s="24" t="str">
        <x:v>E-00770</x:v>
      </x:c>
      <x:c r="B771" s="24" t="str">
        <x:v>프라임구독</x:v>
      </x:c>
      <x:c r="C771" s="24" t="str">
        <x:v>190모5683</x:v>
      </x:c>
      <x:c r="D771" s="30" t="n">
        <x:v>46198</x:v>
      </x:c>
      <x:c r="E771" s="24" t="str">
        <x:v>반납</x:v>
      </x:c>
      <x:c r="F771" s="24" t="str">
        <x:v>대여중</x:v>
      </x:c>
      <x:c r="G771" s="24" t="str">
        <x:v>쉬는차</x:v>
      </x:c>
      <x:c r="H771" s="32"/>
      <x:c r="I771" s="24" t="str">
        <x:v>PR-C-190모5683-2-20230619-69</x:v>
      </x:c>
      <x:c r="J771" s="24" t="str">
        <x:v>장유진1</x:v>
      </x:c>
      <x:c r="K771" s="24" t="str">
        <x:v>차량 반납</x:v>
      </x:c>
      <x:c r="L771" s="24" t="str"/>
      <x:c r="M771" s="24" t="str"/>
      <x:c r="N771" s="30" t="n">
        <x:v>46198</x:v>
      </x:c>
    </x:row>
    <x:row r="772" ht="17.25" customHeight="1">
      <x:c r="A772" s="24" t="str">
        <x:v>E-00771</x:v>
      </x:c>
      <x:c r="B772" s="24" t="str">
        <x:v>프라임구독</x:v>
      </x:c>
      <x:c r="C772" s="24" t="str">
        <x:v>193저7763</x:v>
      </x:c>
      <x:c r="D772" s="30" t="n">
        <x:v>45243</x:v>
      </x:c>
      <x:c r="E772" s="24" t="str">
        <x:v>계약시작</x:v>
      </x:c>
      <x:c r="F772" s="24" t="str"/>
      <x:c r="G772" s="24" t="str">
        <x:v>대여중</x:v>
      </x:c>
      <x:c r="H772" s="32" t="n">
        <x:v>677000</x:v>
      </x:c>
      <x:c r="I772" s="24" t="str">
        <x:v>PR-C-193저7763-2-20231113-70</x:v>
      </x:c>
      <x:c r="J772" s="24" t="str">
        <x:v>조준일</x:v>
      </x:c>
      <x:c r="K772" s="24" t="str">
        <x:v>종료 계약 시작</x:v>
      </x:c>
      <x:c r="L772" s="24" t="str"/>
      <x:c r="M772" s="24" t="str"/>
      <x:c r="N772" s="30" t="n">
        <x:v>45243</x:v>
      </x:c>
    </x:row>
    <x:row r="773" ht="17.25" customHeight="1">
      <x:c r="A773" s="24" t="str">
        <x:v>E-00772</x:v>
      </x:c>
      <x:c r="B773" s="24" t="str">
        <x:v>프라임구독</x:v>
      </x:c>
      <x:c r="C773" s="24" t="str">
        <x:v>193저7763</x:v>
      </x:c>
      <x:c r="D773" s="30" t="n">
        <x:v>46706</x:v>
      </x:c>
      <x:c r="E773" s="24" t="str">
        <x:v>반납</x:v>
      </x:c>
      <x:c r="F773" s="24" t="str">
        <x:v>대여중</x:v>
      </x:c>
      <x:c r="G773" s="24" t="str">
        <x:v>쉬는차</x:v>
      </x:c>
      <x:c r="H773" s="32"/>
      <x:c r="I773" s="24" t="str">
        <x:v>PR-C-193저7763-2-20231113-70</x:v>
      </x:c>
      <x:c r="J773" s="24" t="str">
        <x:v>조준일</x:v>
      </x:c>
      <x:c r="K773" s="24" t="str">
        <x:v>차량 반납</x:v>
      </x:c>
      <x:c r="L773" s="24" t="str"/>
      <x:c r="M773" s="24" t="str"/>
      <x:c r="N773" s="30" t="n">
        <x:v>46706</x:v>
      </x:c>
    </x:row>
    <x:row r="774" ht="17.25" customHeight="1">
      <x:c r="A774" s="24" t="str">
        <x:v>E-00773</x:v>
      </x:c>
      <x:c r="B774" s="24" t="str">
        <x:v>프라임구독</x:v>
      </x:c>
      <x:c r="C774" s="24" t="str">
        <x:v>198조2892</x:v>
      </x:c>
      <x:c r="D774" s="30" t="n">
        <x:v>44929</x:v>
      </x:c>
      <x:c r="E774" s="24" t="str">
        <x:v>계약시작</x:v>
      </x:c>
      <x:c r="F774" s="24" t="str"/>
      <x:c r="G774" s="24" t="str">
        <x:v>대여중</x:v>
      </x:c>
      <x:c r="H774" s="32" t="n">
        <x:v>925000</x:v>
      </x:c>
      <x:c r="I774" s="24" t="str">
        <x:v>PR-C-198조2892-2-20230103-71</x:v>
      </x:c>
      <x:c r="J774" s="24" t="str">
        <x:v>서승현</x:v>
      </x:c>
      <x:c r="K774" s="24" t="str">
        <x:v>종료 계약 시작</x:v>
      </x:c>
      <x:c r="L774" s="24" t="str"/>
      <x:c r="M774" s="24" t="str"/>
      <x:c r="N774" s="30" t="n">
        <x:v>44929</x:v>
      </x:c>
    </x:row>
    <x:row r="775" ht="17.25" customHeight="1">
      <x:c r="A775" s="24" t="str">
        <x:v>E-00774</x:v>
      </x:c>
      <x:c r="B775" s="24" t="str">
        <x:v>프라임구독</x:v>
      </x:c>
      <x:c r="C775" s="24" t="str">
        <x:v>198조2892</x:v>
      </x:c>
      <x:c r="D775" s="30" t="n">
        <x:v>46011</x:v>
      </x:c>
      <x:c r="E775" s="24" t="str">
        <x:v>반납</x:v>
      </x:c>
      <x:c r="F775" s="24" t="str">
        <x:v>대여중</x:v>
      </x:c>
      <x:c r="G775" s="24" t="str">
        <x:v>쉬는차</x:v>
      </x:c>
      <x:c r="H775" s="32"/>
      <x:c r="I775" s="24" t="str">
        <x:v>PR-C-198조2892-2-20230103-71</x:v>
      </x:c>
      <x:c r="J775" s="24" t="str">
        <x:v>서승현</x:v>
      </x:c>
      <x:c r="K775" s="24" t="str">
        <x:v>차량 반납</x:v>
      </x:c>
      <x:c r="L775" s="24" t="str"/>
      <x:c r="M775" s="24" t="str"/>
      <x:c r="N775" s="30" t="n">
        <x:v>46011</x:v>
      </x:c>
    </x:row>
    <x:row r="776" ht="17.25" customHeight="1">
      <x:c r="A776" s="24" t="str">
        <x:v>E-00775</x:v>
      </x:c>
      <x:c r="B776" s="24" t="str">
        <x:v>프라임구독</x:v>
      </x:c>
      <x:c r="C776" s="24" t="str">
        <x:v>19너5699</x:v>
      </x:c>
      <x:c r="D776" s="30" t="n">
        <x:v>45405</x:v>
      </x:c>
      <x:c r="E776" s="24" t="str">
        <x:v>계약시작</x:v>
      </x:c>
      <x:c r="F776" s="24" t="str"/>
      <x:c r="G776" s="24" t="str">
        <x:v>대여중</x:v>
      </x:c>
      <x:c r="H776" s="32" t="n">
        <x:v>435000</x:v>
      </x:c>
      <x:c r="I776" s="24" t="str">
        <x:v>PR-C-19너5699-1-20240423-72</x:v>
      </x:c>
      <x:c r="J776" s="24" t="str">
        <x:v>김수연</x:v>
      </x:c>
      <x:c r="K776" s="24" t="str">
        <x:v>구독 계약 시작</x:v>
      </x:c>
      <x:c r="L776" s="24" t="str"/>
      <x:c r="M776" s="24" t="str"/>
      <x:c r="N776" s="30" t="n">
        <x:v>45405</x:v>
      </x:c>
    </x:row>
    <x:row r="777" ht="17.25" customHeight="1">
      <x:c r="A777" s="24" t="str">
        <x:v>E-00776</x:v>
      </x:c>
      <x:c r="B777" s="24" t="str">
        <x:v>프라임구독</x:v>
      </x:c>
      <x:c r="C777" s="24" t="str">
        <x:v>19모8971</x:v>
      </x:c>
      <x:c r="D777" s="30" t="n">
        <x:v>45043</x:v>
      </x:c>
      <x:c r="E777" s="24" t="str">
        <x:v>계약시작</x:v>
      </x:c>
      <x:c r="F777" s="24" t="str"/>
      <x:c r="G777" s="24" t="str">
        <x:v>대여중</x:v>
      </x:c>
      <x:c r="H777" s="32" t="n">
        <x:v>425000</x:v>
      </x:c>
      <x:c r="I777" s="24" t="str">
        <x:v>PR-C-19모8971-2-20230427-73</x:v>
      </x:c>
      <x:c r="J777" s="24" t="str">
        <x:v>장은미</x:v>
      </x:c>
      <x:c r="K777" s="24" t="str">
        <x:v>종료 계약 시작</x:v>
      </x:c>
      <x:c r="L777" s="24" t="str"/>
      <x:c r="M777" s="24" t="str"/>
      <x:c r="N777" s="30" t="n">
        <x:v>45043</x:v>
      </x:c>
    </x:row>
    <x:row r="778" ht="17.25" customHeight="1">
      <x:c r="A778" s="24" t="str">
        <x:v>E-00777</x:v>
      </x:c>
      <x:c r="B778" s="24" t="str">
        <x:v>프라임구독</x:v>
      </x:c>
      <x:c r="C778" s="24" t="str">
        <x:v>19모8971</x:v>
      </x:c>
      <x:c r="D778" s="30" t="n">
        <x:v>46137</x:v>
      </x:c>
      <x:c r="E778" s="24" t="str">
        <x:v>반납</x:v>
      </x:c>
      <x:c r="F778" s="24" t="str">
        <x:v>대여중</x:v>
      </x:c>
      <x:c r="G778" s="24" t="str">
        <x:v>쉬는차</x:v>
      </x:c>
      <x:c r="H778" s="32"/>
      <x:c r="I778" s="24" t="str">
        <x:v>PR-C-19모8971-2-20230427-73</x:v>
      </x:c>
      <x:c r="J778" s="24" t="str">
        <x:v>장은미</x:v>
      </x:c>
      <x:c r="K778" s="24" t="str">
        <x:v>차량 반납</x:v>
      </x:c>
      <x:c r="L778" s="24" t="str"/>
      <x:c r="M778" s="24" t="str"/>
      <x:c r="N778" s="30" t="n">
        <x:v>46137</x:v>
      </x:c>
    </x:row>
    <x:row r="779" ht="17.25" customHeight="1">
      <x:c r="A779" s="24" t="str">
        <x:v>E-00778</x:v>
      </x:c>
      <x:c r="B779" s="24" t="str">
        <x:v>프라임구독</x:v>
      </x:c>
      <x:c r="C779" s="24" t="str">
        <x:v>19보9990</x:v>
      </x:c>
      <x:c r="D779" s="30" t="n">
        <x:v>45056</x:v>
      </x:c>
      <x:c r="E779" s="24" t="str">
        <x:v>계약시작</x:v>
      </x:c>
      <x:c r="F779" s="24" t="str"/>
      <x:c r="G779" s="24" t="str">
        <x:v>대여중</x:v>
      </x:c>
      <x:c r="H779" s="32" t="n">
        <x:v>621000</x:v>
      </x:c>
      <x:c r="I779" s="24" t="str">
        <x:v>PR-C-19보9990-2-20230510-74</x:v>
      </x:c>
      <x:c r="J779" s="24" t="str">
        <x:v>박상서</x:v>
      </x:c>
      <x:c r="K779" s="24" t="str">
        <x:v>종료 계약 시작</x:v>
      </x:c>
      <x:c r="L779" s="24" t="str"/>
      <x:c r="M779" s="24" t="str"/>
      <x:c r="N779" s="30" t="n">
        <x:v>45056</x:v>
      </x:c>
    </x:row>
    <x:row r="780" ht="17.25" customHeight="1">
      <x:c r="A780" s="24" t="str">
        <x:v>E-00779</x:v>
      </x:c>
      <x:c r="B780" s="24" t="str">
        <x:v>프라임구독</x:v>
      </x:c>
      <x:c r="C780" s="24" t="str">
        <x:v>19보9990</x:v>
      </x:c>
      <x:c r="D780" s="30" t="n">
        <x:v>46527</x:v>
      </x:c>
      <x:c r="E780" s="24" t="str">
        <x:v>반납</x:v>
      </x:c>
      <x:c r="F780" s="24" t="str">
        <x:v>대여중</x:v>
      </x:c>
      <x:c r="G780" s="24" t="str">
        <x:v>쉬는차</x:v>
      </x:c>
      <x:c r="H780" s="32"/>
      <x:c r="I780" s="24" t="str">
        <x:v>PR-C-19보9990-2-20230510-74</x:v>
      </x:c>
      <x:c r="J780" s="24" t="str">
        <x:v>박상서</x:v>
      </x:c>
      <x:c r="K780" s="24" t="str">
        <x:v>차량 반납</x:v>
      </x:c>
      <x:c r="L780" s="24" t="str"/>
      <x:c r="M780" s="24" t="str"/>
      <x:c r="N780" s="30" t="n">
        <x:v>46527</x:v>
      </x:c>
    </x:row>
    <x:row r="781" ht="17.25" customHeight="1">
      <x:c r="A781" s="24" t="str">
        <x:v>E-00780</x:v>
      </x:c>
      <x:c r="B781" s="24" t="str">
        <x:v>프라임구독</x:v>
      </x:c>
      <x:c r="C781" s="24" t="str">
        <x:v>200나9556</x:v>
      </x:c>
      <x:c r="D781" s="30" t="n">
        <x:v>44861</x:v>
      </x:c>
      <x:c r="E781" s="24" t="str">
        <x:v>계약시작</x:v>
      </x:c>
      <x:c r="F781" s="24" t="str"/>
      <x:c r="G781" s="24" t="str">
        <x:v>대여중</x:v>
      </x:c>
      <x:c r="H781" s="32" t="n">
        <x:v>1050000</x:v>
      </x:c>
      <x:c r="I781" s="24" t="str">
        <x:v>PR-C-200나9556-2-20221027-75</x:v>
      </x:c>
      <x:c r="J781" s="24" t="str">
        <x:v>박신국</x:v>
      </x:c>
      <x:c r="K781" s="24" t="str">
        <x:v>종료 계약 시작</x:v>
      </x:c>
      <x:c r="L781" s="24" t="str"/>
      <x:c r="M781" s="24" t="str"/>
      <x:c r="N781" s="30" t="n">
        <x:v>44861</x:v>
      </x:c>
    </x:row>
    <x:row r="782" ht="17.25" customHeight="1">
      <x:c r="A782" s="24" t="str">
        <x:v>E-00781</x:v>
      </x:c>
      <x:c r="B782" s="24" t="str">
        <x:v>프라임구독</x:v>
      </x:c>
      <x:c r="C782" s="24" t="str">
        <x:v>200나9556</x:v>
      </x:c>
      <x:c r="D782" s="30" t="n">
        <x:v>45955</x:v>
      </x:c>
      <x:c r="E782" s="24" t="str">
        <x:v>반납</x:v>
      </x:c>
      <x:c r="F782" s="24" t="str">
        <x:v>대여중</x:v>
      </x:c>
      <x:c r="G782" s="24" t="str">
        <x:v>쉬는차</x:v>
      </x:c>
      <x:c r="H782" s="32"/>
      <x:c r="I782" s="24" t="str">
        <x:v>PR-C-200나9556-2-20221027-75</x:v>
      </x:c>
      <x:c r="J782" s="24" t="str">
        <x:v>박신국</x:v>
      </x:c>
      <x:c r="K782" s="24" t="str">
        <x:v>차량 반납</x:v>
      </x:c>
      <x:c r="L782" s="24" t="str"/>
      <x:c r="M782" s="24" t="str"/>
      <x:c r="N782" s="30" t="n">
        <x:v>45955</x:v>
      </x:c>
    </x:row>
    <x:row r="783" ht="17.25" customHeight="1">
      <x:c r="A783" s="24" t="str">
        <x:v>E-00782</x:v>
      </x:c>
      <x:c r="B783" s="24" t="str">
        <x:v>프라임구독</x:v>
      </x:c>
      <x:c r="C783" s="24" t="str">
        <x:v>20가6992</x:v>
      </x:c>
      <x:c r="D783" s="30" t="n">
        <x:v>44714</x:v>
      </x:c>
      <x:c r="E783" s="24" t="str">
        <x:v>계약시작</x:v>
      </x:c>
      <x:c r="F783" s="24" t="str"/>
      <x:c r="G783" s="24" t="str">
        <x:v>대여중</x:v>
      </x:c>
      <x:c r="H783" s="32" t="n">
        <x:v>635000</x:v>
      </x:c>
      <x:c r="I783" s="24" t="str">
        <x:v>PR-C-20가6992-2-20220602-76</x:v>
      </x:c>
      <x:c r="J783" s="24" t="str">
        <x:v>정제현</x:v>
      </x:c>
      <x:c r="K783" s="24" t="str">
        <x:v>종료 계약 시작</x:v>
      </x:c>
      <x:c r="L783" s="24" t="str"/>
      <x:c r="M783" s="24" t="str"/>
      <x:c r="N783" s="30" t="n">
        <x:v>44714</x:v>
      </x:c>
    </x:row>
    <x:row r="784" ht="17.25" customHeight="1">
      <x:c r="A784" s="24" t="str">
        <x:v>E-00783</x:v>
      </x:c>
      <x:c r="B784" s="24" t="str">
        <x:v>프라임구독</x:v>
      </x:c>
      <x:c r="C784" s="24" t="str">
        <x:v>20가6992</x:v>
      </x:c>
      <x:c r="D784" s="30" t="n">
        <x:v>45797</x:v>
      </x:c>
      <x:c r="E784" s="24" t="str">
        <x:v>반납</x:v>
      </x:c>
      <x:c r="F784" s="24" t="str">
        <x:v>대여중</x:v>
      </x:c>
      <x:c r="G784" s="24" t="str">
        <x:v>쉬는차</x:v>
      </x:c>
      <x:c r="H784" s="32"/>
      <x:c r="I784" s="24" t="str">
        <x:v>PR-C-20가6992-2-20220602-76</x:v>
      </x:c>
      <x:c r="J784" s="24" t="str">
        <x:v>정제현</x:v>
      </x:c>
      <x:c r="K784" s="24" t="str">
        <x:v>차량 반납</x:v>
      </x:c>
      <x:c r="L784" s="24" t="str"/>
      <x:c r="M784" s="24" t="str"/>
      <x:c r="N784" s="30" t="n">
        <x:v>45797</x:v>
      </x:c>
    </x:row>
    <x:row r="785" ht="17.25" customHeight="1">
      <x:c r="A785" s="24" t="str">
        <x:v>E-00784</x:v>
      </x:c>
      <x:c r="B785" s="24" t="str">
        <x:v>프라임구독</x:v>
      </x:c>
      <x:c r="C785" s="24" t="str">
        <x:v>20누1882</x:v>
      </x:c>
      <x:c r="D785" s="30" t="n">
        <x:v>44684</x:v>
      </x:c>
      <x:c r="E785" s="24" t="str">
        <x:v>계약시작</x:v>
      </x:c>
      <x:c r="F785" s="24" t="str"/>
      <x:c r="G785" s="24" t="str">
        <x:v>대여중</x:v>
      </x:c>
      <x:c r="H785" s="32" t="n">
        <x:v>909000</x:v>
      </x:c>
      <x:c r="I785" s="24" t="str">
        <x:v>PR-C-20누1882-2-20220503-77</x:v>
      </x:c>
      <x:c r="J785" s="24" t="str">
        <x:v>박재연</x:v>
      </x:c>
      <x:c r="K785" s="24" t="str">
        <x:v>종료 계약 시작</x:v>
      </x:c>
      <x:c r="L785" s="24" t="str"/>
      <x:c r="M785" s="24" t="str"/>
      <x:c r="N785" s="30" t="n">
        <x:v>44684</x:v>
      </x:c>
    </x:row>
    <x:row r="786" ht="17.25" customHeight="1">
      <x:c r="A786" s="24" t="str">
        <x:v>E-00785</x:v>
      </x:c>
      <x:c r="B786" s="24" t="str">
        <x:v>프라임구독</x:v>
      </x:c>
      <x:c r="C786" s="24" t="str">
        <x:v>20누1882</x:v>
      </x:c>
      <x:c r="D786" s="30" t="n">
        <x:v>45807</x:v>
      </x:c>
      <x:c r="E786" s="24" t="str">
        <x:v>반납</x:v>
      </x:c>
      <x:c r="F786" s="24" t="str">
        <x:v>대여중</x:v>
      </x:c>
      <x:c r="G786" s="24" t="str">
        <x:v>쉬는차</x:v>
      </x:c>
      <x:c r="H786" s="32"/>
      <x:c r="I786" s="24" t="str">
        <x:v>PR-C-20누1882-2-20220503-77</x:v>
      </x:c>
      <x:c r="J786" s="24" t="str">
        <x:v>박재연</x:v>
      </x:c>
      <x:c r="K786" s="24" t="str">
        <x:v>차량 반납</x:v>
      </x:c>
      <x:c r="L786" s="24" t="str"/>
      <x:c r="M786" s="24" t="str"/>
      <x:c r="N786" s="30" t="n">
        <x:v>45807</x:v>
      </x:c>
    </x:row>
    <x:row r="787" ht="17.25" customHeight="1">
      <x:c r="A787" s="24" t="str">
        <x:v>E-00786</x:v>
      </x:c>
      <x:c r="B787" s="24" t="str">
        <x:v>프라임구독</x:v>
      </x:c>
      <x:c r="C787" s="24" t="str">
        <x:v>20부2787</x:v>
      </x:c>
      <x:c r="D787" s="30" t="n">
        <x:v>45086</x:v>
      </x:c>
      <x:c r="E787" s="24" t="str">
        <x:v>계약시작</x:v>
      </x:c>
      <x:c r="F787" s="24" t="str"/>
      <x:c r="G787" s="24" t="str">
        <x:v>대여중</x:v>
      </x:c>
      <x:c r="H787" s="32" t="n">
        <x:v>1073000</x:v>
      </x:c>
      <x:c r="I787" s="24" t="str">
        <x:v>PR-C-20부2787-2-20230609-78</x:v>
      </x:c>
      <x:c r="J787" s="24" t="str">
        <x:v>박명철2</x:v>
      </x:c>
      <x:c r="K787" s="24" t="str">
        <x:v>종료 계약 시작</x:v>
      </x:c>
      <x:c r="L787" s="24" t="str"/>
      <x:c r="M787" s="24" t="str"/>
      <x:c r="N787" s="30" t="n">
        <x:v>45086</x:v>
      </x:c>
    </x:row>
    <x:row r="788" ht="17.25" customHeight="1">
      <x:c r="A788" s="24" t="str">
        <x:v>E-00787</x:v>
      </x:c>
      <x:c r="B788" s="24" t="str">
        <x:v>프라임구독</x:v>
      </x:c>
      <x:c r="C788" s="24" t="str">
        <x:v>20부2787</x:v>
      </x:c>
      <x:c r="D788" s="30" t="n">
        <x:v>46183</x:v>
      </x:c>
      <x:c r="E788" s="24" t="str">
        <x:v>반납</x:v>
      </x:c>
      <x:c r="F788" s="24" t="str">
        <x:v>대여중</x:v>
      </x:c>
      <x:c r="G788" s="24" t="str">
        <x:v>쉬는차</x:v>
      </x:c>
      <x:c r="H788" s="32"/>
      <x:c r="I788" s="24" t="str">
        <x:v>PR-C-20부2787-2-20230609-78</x:v>
      </x:c>
      <x:c r="J788" s="24" t="str">
        <x:v>박명철2</x:v>
      </x:c>
      <x:c r="K788" s="24" t="str">
        <x:v>차량 반납</x:v>
      </x:c>
      <x:c r="L788" s="24" t="str"/>
      <x:c r="M788" s="24" t="str"/>
      <x:c r="N788" s="30" t="n">
        <x:v>46183</x:v>
      </x:c>
    </x:row>
    <x:row r="789" ht="17.25" customHeight="1">
      <x:c r="A789" s="24" t="str">
        <x:v>E-00788</x:v>
      </x:c>
      <x:c r="B789" s="24" t="str">
        <x:v>프라임구독</x:v>
      </x:c>
      <x:c r="C789" s="24" t="str">
        <x:v>20서8159</x:v>
      </x:c>
      <x:c r="D789" s="30" t="n">
        <x:v>44901</x:v>
      </x:c>
      <x:c r="E789" s="24" t="str">
        <x:v>계약시작</x:v>
      </x:c>
      <x:c r="F789" s="24" t="str"/>
      <x:c r="G789" s="24" t="str">
        <x:v>대여중</x:v>
      </x:c>
      <x:c r="H789" s="32" t="n">
        <x:v>544000</x:v>
      </x:c>
      <x:c r="I789" s="24" t="str">
        <x:v>PR-C-20서8159-2-20221206-79</x:v>
      </x:c>
      <x:c r="J789" s="24" t="str">
        <x:v>박중원</x:v>
      </x:c>
      <x:c r="K789" s="24" t="str">
        <x:v>종료 계약 시작</x:v>
      </x:c>
      <x:c r="L789" s="24" t="str"/>
      <x:c r="M789" s="24" t="str"/>
      <x:c r="N789" s="30" t="n">
        <x:v>44901</x:v>
      </x:c>
    </x:row>
    <x:row r="790" ht="17.25" customHeight="1">
      <x:c r="A790" s="24" t="str">
        <x:v>E-00789</x:v>
      </x:c>
      <x:c r="B790" s="24" t="str">
        <x:v>프라임구독</x:v>
      </x:c>
      <x:c r="C790" s="24" t="str">
        <x:v>20서8159</x:v>
      </x:c>
      <x:c r="D790" s="30" t="n">
        <x:v>46016</x:v>
      </x:c>
      <x:c r="E790" s="24" t="str">
        <x:v>반납</x:v>
      </x:c>
      <x:c r="F790" s="24" t="str">
        <x:v>대여중</x:v>
      </x:c>
      <x:c r="G790" s="24" t="str">
        <x:v>쉬는차</x:v>
      </x:c>
      <x:c r="H790" s="32"/>
      <x:c r="I790" s="24" t="str">
        <x:v>PR-C-20서8159-2-20221206-79</x:v>
      </x:c>
      <x:c r="J790" s="24" t="str">
        <x:v>박중원</x:v>
      </x:c>
      <x:c r="K790" s="24" t="str">
        <x:v>차량 반납</x:v>
      </x:c>
      <x:c r="L790" s="24" t="str"/>
      <x:c r="M790" s="24" t="str"/>
      <x:c r="N790" s="30" t="n">
        <x:v>46016</x:v>
      </x:c>
    </x:row>
    <x:row r="791" ht="17.25" customHeight="1">
      <x:c r="A791" s="24" t="str">
        <x:v>E-00790</x:v>
      </x:c>
      <x:c r="B791" s="24" t="str">
        <x:v>프라임구독</x:v>
      </x:c>
      <x:c r="C791" s="24" t="str">
        <x:v>21고4882</x:v>
      </x:c>
      <x:c r="D791" s="30" t="n">
        <x:v>45247</x:v>
      </x:c>
      <x:c r="E791" s="24" t="str">
        <x:v>계약시작</x:v>
      </x:c>
      <x:c r="F791" s="24" t="str"/>
      <x:c r="G791" s="24" t="str">
        <x:v>대여중</x:v>
      </x:c>
      <x:c r="H791" s="32" t="n">
        <x:v>447000</x:v>
      </x:c>
      <x:c r="I791" s="24" t="str">
        <x:v>PR-C-21고4882-1-20231117-80</x:v>
      </x:c>
      <x:c r="J791" s="24" t="str">
        <x:v>김윤정</x:v>
      </x:c>
      <x:c r="K791" s="24" t="str">
        <x:v>구독 계약 시작</x:v>
      </x:c>
      <x:c r="L791" s="24" t="str"/>
      <x:c r="M791" s="24" t="str"/>
      <x:c r="N791" s="30" t="n">
        <x:v>45247</x:v>
      </x:c>
    </x:row>
    <x:row r="792" ht="17.25" customHeight="1">
      <x:c r="A792" s="24" t="str">
        <x:v>E-00791</x:v>
      </x:c>
      <x:c r="B792" s="24" t="str">
        <x:v>프라임구독</x:v>
      </x:c>
      <x:c r="C792" s="24" t="str">
        <x:v>227서8291</x:v>
      </x:c>
      <x:c r="D792" s="30" t="n">
        <x:v>44888</x:v>
      </x:c>
      <x:c r="E792" s="24" t="str">
        <x:v>계약시작</x:v>
      </x:c>
      <x:c r="F792" s="24" t="str"/>
      <x:c r="G792" s="24" t="str">
        <x:v>대여중</x:v>
      </x:c>
      <x:c r="H792" s="32" t="n">
        <x:v>426000</x:v>
      </x:c>
      <x:c r="I792" s="24" t="str">
        <x:v>PR-C-227서8291-2-20221123-81</x:v>
      </x:c>
      <x:c r="J792" s="24" t="str">
        <x:v>추명서</x:v>
      </x:c>
      <x:c r="K792" s="24" t="str">
        <x:v>종료 계약 시작</x:v>
      </x:c>
      <x:c r="L792" s="24" t="str"/>
      <x:c r="M792" s="24" t="str"/>
      <x:c r="N792" s="30" t="n">
        <x:v>44888</x:v>
      </x:c>
    </x:row>
    <x:row r="793" ht="17.25" customHeight="1">
      <x:c r="A793" s="24" t="str">
        <x:v>E-00792</x:v>
      </x:c>
      <x:c r="B793" s="24" t="str">
        <x:v>프라임구독</x:v>
      </x:c>
      <x:c r="C793" s="24" t="str">
        <x:v>227서8291</x:v>
      </x:c>
      <x:c r="D793" s="30" t="n">
        <x:v>45971</x:v>
      </x:c>
      <x:c r="E793" s="24" t="str">
        <x:v>반납</x:v>
      </x:c>
      <x:c r="F793" s="24" t="str">
        <x:v>대여중</x:v>
      </x:c>
      <x:c r="G793" s="24" t="str">
        <x:v>쉬는차</x:v>
      </x:c>
      <x:c r="H793" s="32"/>
      <x:c r="I793" s="24" t="str">
        <x:v>PR-C-227서8291-2-20221123-81</x:v>
      </x:c>
      <x:c r="J793" s="24" t="str">
        <x:v>추명서</x:v>
      </x:c>
      <x:c r="K793" s="24" t="str">
        <x:v>차량 반납</x:v>
      </x:c>
      <x:c r="L793" s="24" t="str"/>
      <x:c r="M793" s="24" t="str"/>
      <x:c r="N793" s="30" t="n">
        <x:v>45971</x:v>
      </x:c>
    </x:row>
    <x:row r="794" ht="17.25" customHeight="1">
      <x:c r="A794" s="24" t="str">
        <x:v>E-00793</x:v>
      </x:c>
      <x:c r="B794" s="24" t="str">
        <x:v>프라임구독</x:v>
      </x:c>
      <x:c r="C794" s="24" t="str">
        <x:v>22거1063</x:v>
      </x:c>
      <x:c r="D794" s="30" t="n">
        <x:v>44972</x:v>
      </x:c>
      <x:c r="E794" s="24" t="str">
        <x:v>계약시작</x:v>
      </x:c>
      <x:c r="F794" s="24" t="str"/>
      <x:c r="G794" s="24" t="str">
        <x:v>대여중</x:v>
      </x:c>
      <x:c r="H794" s="32" t="n">
        <x:v>656000</x:v>
      </x:c>
      <x:c r="I794" s="24" t="str">
        <x:v>PR-C-22거1063-2-20230215-82</x:v>
      </x:c>
      <x:c r="J794" s="24" t="str">
        <x:v>김민석</x:v>
      </x:c>
      <x:c r="K794" s="24" t="str">
        <x:v>종료 계약 시작</x:v>
      </x:c>
      <x:c r="L794" s="24" t="str"/>
      <x:c r="M794" s="24" t="str"/>
      <x:c r="N794" s="30" t="n">
        <x:v>44972</x:v>
      </x:c>
    </x:row>
    <x:row r="795" ht="17.25" customHeight="1">
      <x:c r="A795" s="24" t="str">
        <x:v>E-00794</x:v>
      </x:c>
      <x:c r="B795" s="24" t="str">
        <x:v>프라임구독</x:v>
      </x:c>
      <x:c r="C795" s="24" t="str">
        <x:v>22거1063</x:v>
      </x:c>
      <x:c r="D795" s="30" t="n">
        <x:v>46096</x:v>
      </x:c>
      <x:c r="E795" s="24" t="str">
        <x:v>반납</x:v>
      </x:c>
      <x:c r="F795" s="24" t="str">
        <x:v>대여중</x:v>
      </x:c>
      <x:c r="G795" s="24" t="str">
        <x:v>쉬는차</x:v>
      </x:c>
      <x:c r="H795" s="32"/>
      <x:c r="I795" s="24" t="str">
        <x:v>PR-C-22거1063-2-20230215-82</x:v>
      </x:c>
      <x:c r="J795" s="24" t="str">
        <x:v>김민석</x:v>
      </x:c>
      <x:c r="K795" s="24" t="str">
        <x:v>차량 반납</x:v>
      </x:c>
      <x:c r="L795" s="24" t="str"/>
      <x:c r="M795" s="24" t="str"/>
      <x:c r="N795" s="30" t="n">
        <x:v>46096</x:v>
      </x:c>
    </x:row>
    <x:row r="796" ht="17.25" customHeight="1">
      <x:c r="A796" s="24" t="str">
        <x:v>E-00795</x:v>
      </x:c>
      <x:c r="B796" s="24" t="str">
        <x:v>프라임구독</x:v>
      </x:c>
      <x:c r="C796" s="24" t="str">
        <x:v>231더7227</x:v>
      </x:c>
      <x:c r="D796" s="30" t="n">
        <x:v>45140</x:v>
      </x:c>
      <x:c r="E796" s="24" t="str">
        <x:v>계약시작</x:v>
      </x:c>
      <x:c r="F796" s="24" t="str"/>
      <x:c r="G796" s="24" t="str">
        <x:v>대여중</x:v>
      </x:c>
      <x:c r="H796" s="32" t="n">
        <x:v>710000</x:v>
      </x:c>
      <x:c r="I796" s="24" t="str">
        <x:v>PR-C-231더7227-2-20230802-83</x:v>
      </x:c>
      <x:c r="J796" s="24" t="str">
        <x:v>최호성</x:v>
      </x:c>
      <x:c r="K796" s="24" t="str">
        <x:v>종료 계약 시작</x:v>
      </x:c>
      <x:c r="L796" s="24" t="str"/>
      <x:c r="M796" s="24" t="str"/>
      <x:c r="N796" s="30" t="n">
        <x:v>45140</x:v>
      </x:c>
    </x:row>
    <x:row r="797" ht="17.25" customHeight="1">
      <x:c r="A797" s="24" t="str">
        <x:v>E-00796</x:v>
      </x:c>
      <x:c r="B797" s="24" t="str">
        <x:v>프라임구독</x:v>
      </x:c>
      <x:c r="C797" s="24" t="str">
        <x:v>231더7227</x:v>
      </x:c>
      <x:c r="D797" s="30" t="n">
        <x:v>46604</x:v>
      </x:c>
      <x:c r="E797" s="24" t="str">
        <x:v>반납</x:v>
      </x:c>
      <x:c r="F797" s="24" t="str">
        <x:v>대여중</x:v>
      </x:c>
      <x:c r="G797" s="24" t="str">
        <x:v>쉬는차</x:v>
      </x:c>
      <x:c r="H797" s="32"/>
      <x:c r="I797" s="24" t="str">
        <x:v>PR-C-231더7227-2-20230802-83</x:v>
      </x:c>
      <x:c r="J797" s="24" t="str">
        <x:v>최호성</x:v>
      </x:c>
      <x:c r="K797" s="24" t="str">
        <x:v>차량 반납</x:v>
      </x:c>
      <x:c r="L797" s="24" t="str"/>
      <x:c r="M797" s="24" t="str"/>
      <x:c r="N797" s="30" t="n">
        <x:v>46604</x:v>
      </x:c>
    </x:row>
    <x:row r="798" ht="17.25" customHeight="1">
      <x:c r="A798" s="24" t="str">
        <x:v>E-00797</x:v>
      </x:c>
      <x:c r="B798" s="24" t="str">
        <x:v>프라임구독</x:v>
      </x:c>
      <x:c r="C798" s="24" t="str">
        <x:v>236가3220</x:v>
      </x:c>
      <x:c r="D798" s="30" t="n">
        <x:v>44799</x:v>
      </x:c>
      <x:c r="E798" s="24" t="str">
        <x:v>계약시작</x:v>
      </x:c>
      <x:c r="F798" s="24" t="str"/>
      <x:c r="G798" s="24" t="str">
        <x:v>대여중</x:v>
      </x:c>
      <x:c r="H798" s="32" t="n">
        <x:v>809000</x:v>
      </x:c>
      <x:c r="I798" s="24" t="str">
        <x:v>PR-C-236가3220-2-20220826-84</x:v>
      </x:c>
      <x:c r="J798" s="24" t="str">
        <x:v>박진흠</x:v>
      </x:c>
      <x:c r="K798" s="24" t="str">
        <x:v>종료 계약 시작</x:v>
      </x:c>
      <x:c r="L798" s="24" t="str"/>
      <x:c r="M798" s="24" t="str"/>
      <x:c r="N798" s="30" t="n">
        <x:v>44799</x:v>
      </x:c>
    </x:row>
    <x:row r="799" ht="17.25" customHeight="1">
      <x:c r="A799" s="24" t="str">
        <x:v>E-00798</x:v>
      </x:c>
      <x:c r="B799" s="24" t="str">
        <x:v>프라임구독</x:v>
      </x:c>
      <x:c r="C799" s="24" t="str">
        <x:v>236가3220</x:v>
      </x:c>
      <x:c r="D799" s="30" t="n">
        <x:v>45879</x:v>
      </x:c>
      <x:c r="E799" s="24" t="str">
        <x:v>반납</x:v>
      </x:c>
      <x:c r="F799" s="24" t="str">
        <x:v>대여중</x:v>
      </x:c>
      <x:c r="G799" s="24" t="str">
        <x:v>쉬는차</x:v>
      </x:c>
      <x:c r="H799" s="32"/>
      <x:c r="I799" s="24" t="str">
        <x:v>PR-C-236가3220-2-20220826-84</x:v>
      </x:c>
      <x:c r="J799" s="24" t="str">
        <x:v>박진흠</x:v>
      </x:c>
      <x:c r="K799" s="24" t="str">
        <x:v>차량 반납</x:v>
      </x:c>
      <x:c r="L799" s="24" t="str"/>
      <x:c r="M799" s="24" t="str"/>
      <x:c r="N799" s="30" t="n">
        <x:v>45879</x:v>
      </x:c>
    </x:row>
    <x:row r="800" ht="17.25" customHeight="1">
      <x:c r="A800" s="24" t="str">
        <x:v>E-00799</x:v>
      </x:c>
      <x:c r="B800" s="24" t="str">
        <x:v>프라임구독</x:v>
      </x:c>
      <x:c r="C800" s="24" t="str">
        <x:v>236보1364</x:v>
      </x:c>
      <x:c r="D800" s="30" t="n">
        <x:v>45364</x:v>
      </x:c>
      <x:c r="E800" s="24" t="str">
        <x:v>계약시작</x:v>
      </x:c>
      <x:c r="F800" s="24" t="str"/>
      <x:c r="G800" s="24" t="str">
        <x:v>대여중</x:v>
      </x:c>
      <x:c r="H800" s="32" t="n">
        <x:v>399000</x:v>
      </x:c>
      <x:c r="I800" s="24" t="str">
        <x:v>PR-C-236보1364-1-20240313-85</x:v>
      </x:c>
      <x:c r="J800" s="24" t="str">
        <x:v>조영훈b</x:v>
      </x:c>
      <x:c r="K800" s="24" t="str">
        <x:v>구독 계약 시작</x:v>
      </x:c>
      <x:c r="L800" s="24" t="str"/>
      <x:c r="M800" s="24" t="str"/>
      <x:c r="N800" s="30" t="n">
        <x:v>45364</x:v>
      </x:c>
    </x:row>
    <x:row r="801" ht="17.25" customHeight="1">
      <x:c r="A801" s="24" t="str">
        <x:v>E-00800</x:v>
      </x:c>
      <x:c r="B801" s="24" t="str">
        <x:v>프라임구독</x:v>
      </x:c>
      <x:c r="C801" s="24" t="str">
        <x:v>239버3661</x:v>
      </x:c>
      <x:c r="D801" s="30" t="n">
        <x:v>45012</x:v>
      </x:c>
      <x:c r="E801" s="24" t="str">
        <x:v>계약시작</x:v>
      </x:c>
      <x:c r="F801" s="24" t="str"/>
      <x:c r="G801" s="24" t="str">
        <x:v>대여중</x:v>
      </x:c>
      <x:c r="H801" s="32" t="n">
        <x:v>784000</x:v>
      </x:c>
      <x:c r="I801" s="24" t="str">
        <x:v>PR-C-239버3661-2-20230327-86</x:v>
      </x:c>
      <x:c r="J801" s="24" t="str">
        <x:v>윤영미</x:v>
      </x:c>
      <x:c r="K801" s="24" t="str">
        <x:v>종료 계약 시작</x:v>
      </x:c>
      <x:c r="L801" s="24" t="str"/>
      <x:c r="M801" s="24" t="str"/>
      <x:c r="N801" s="30" t="n">
        <x:v>45012</x:v>
      </x:c>
    </x:row>
    <x:row r="802" ht="17.25" customHeight="1">
      <x:c r="A802" s="24" t="str">
        <x:v>E-00801</x:v>
      </x:c>
      <x:c r="B802" s="24" t="str">
        <x:v>프라임구독</x:v>
      </x:c>
      <x:c r="C802" s="24" t="str">
        <x:v>239버3661</x:v>
      </x:c>
      <x:c r="D802" s="30" t="n">
        <x:v>46101</x:v>
      </x:c>
      <x:c r="E802" s="24" t="str">
        <x:v>반납</x:v>
      </x:c>
      <x:c r="F802" s="24" t="str">
        <x:v>대여중</x:v>
      </x:c>
      <x:c r="G802" s="24" t="str">
        <x:v>쉬는차</x:v>
      </x:c>
      <x:c r="H802" s="32"/>
      <x:c r="I802" s="24" t="str">
        <x:v>PR-C-239버3661-2-20230327-86</x:v>
      </x:c>
      <x:c r="J802" s="24" t="str">
        <x:v>윤영미</x:v>
      </x:c>
      <x:c r="K802" s="24" t="str">
        <x:v>차량 반납</x:v>
      </x:c>
      <x:c r="L802" s="24" t="str"/>
      <x:c r="M802" s="24" t="str"/>
      <x:c r="N802" s="30" t="n">
        <x:v>46101</x:v>
      </x:c>
    </x:row>
    <x:row r="803" ht="17.25" customHeight="1">
      <x:c r="A803" s="24" t="str">
        <x:v>E-00802</x:v>
      </x:c>
      <x:c r="B803" s="24" t="str">
        <x:v>프라임구독</x:v>
      </x:c>
      <x:c r="C803" s="24" t="str">
        <x:v>23더7974</x:v>
      </x:c>
      <x:c r="D803" s="30" t="n">
        <x:v>44749</x:v>
      </x:c>
      <x:c r="E803" s="24" t="str">
        <x:v>계약시작</x:v>
      </x:c>
      <x:c r="F803" s="24" t="str"/>
      <x:c r="G803" s="24" t="str">
        <x:v>대여중</x:v>
      </x:c>
      <x:c r="H803" s="32" t="n">
        <x:v>457000</x:v>
      </x:c>
      <x:c r="I803" s="24" t="str">
        <x:v>PR-C-23더7974-2-20220707-87</x:v>
      </x:c>
      <x:c r="J803" s="24" t="str">
        <x:v>김윤수</x:v>
      </x:c>
      <x:c r="K803" s="24" t="str">
        <x:v>종료 계약 시작</x:v>
      </x:c>
      <x:c r="L803" s="24" t="str"/>
      <x:c r="M803" s="24" t="str"/>
      <x:c r="N803" s="30" t="n">
        <x:v>44749</x:v>
      </x:c>
    </x:row>
    <x:row r="804" ht="17.25" customHeight="1">
      <x:c r="A804" s="24" t="str">
        <x:v>E-00803</x:v>
      </x:c>
      <x:c r="B804" s="24" t="str">
        <x:v>프라임구독</x:v>
      </x:c>
      <x:c r="C804" s="24" t="str">
        <x:v>23더7974</x:v>
      </x:c>
      <x:c r="D804" s="30" t="n">
        <x:v>45848</x:v>
      </x:c>
      <x:c r="E804" s="24" t="str">
        <x:v>반납</x:v>
      </x:c>
      <x:c r="F804" s="24" t="str">
        <x:v>대여중</x:v>
      </x:c>
      <x:c r="G804" s="24" t="str">
        <x:v>쉬는차</x:v>
      </x:c>
      <x:c r="H804" s="32"/>
      <x:c r="I804" s="24" t="str">
        <x:v>PR-C-23더7974-2-20220707-87</x:v>
      </x:c>
      <x:c r="J804" s="24" t="str">
        <x:v>김윤수</x:v>
      </x:c>
      <x:c r="K804" s="24" t="str">
        <x:v>차량 반납</x:v>
      </x:c>
      <x:c r="L804" s="24" t="str"/>
      <x:c r="M804" s="24" t="str"/>
      <x:c r="N804" s="30" t="n">
        <x:v>45848</x:v>
      </x:c>
    </x:row>
    <x:row r="805" ht="17.25" customHeight="1">
      <x:c r="A805" s="24" t="str">
        <x:v>E-00804</x:v>
      </x:c>
      <x:c r="B805" s="24" t="str">
        <x:v>프라임구독</x:v>
      </x:c>
      <x:c r="C805" s="24" t="str">
        <x:v>240보1114</x:v>
      </x:c>
      <x:c r="D805" s="30" t="n">
        <x:v>44929</x:v>
      </x:c>
      <x:c r="E805" s="24" t="str">
        <x:v>계약시작</x:v>
      </x:c>
      <x:c r="F805" s="24" t="str"/>
      <x:c r="G805" s="24" t="str">
        <x:v>대여중</x:v>
      </x:c>
      <x:c r="H805" s="32" t="n">
        <x:v>938000</x:v>
      </x:c>
      <x:c r="I805" s="24" t="str">
        <x:v>PR-C-240보1114-2-20230103-88</x:v>
      </x:c>
      <x:c r="J805" s="24" t="str">
        <x:v>표인수</x:v>
      </x:c>
      <x:c r="K805" s="24" t="str">
        <x:v>종료 계약 시작</x:v>
      </x:c>
      <x:c r="L805" s="24" t="str"/>
      <x:c r="M805" s="24" t="str"/>
      <x:c r="N805" s="30" t="n">
        <x:v>44929</x:v>
      </x:c>
    </x:row>
    <x:row r="806" ht="17.25" customHeight="1">
      <x:c r="A806" s="24" t="str">
        <x:v>E-00805</x:v>
      </x:c>
      <x:c r="B806" s="24" t="str">
        <x:v>프라임구독</x:v>
      </x:c>
      <x:c r="C806" s="24" t="str">
        <x:v>240보1114</x:v>
      </x:c>
      <x:c r="D806" s="30" t="n">
        <x:v>46021</x:v>
      </x:c>
      <x:c r="E806" s="24" t="str">
        <x:v>반납</x:v>
      </x:c>
      <x:c r="F806" s="24" t="str">
        <x:v>대여중</x:v>
      </x:c>
      <x:c r="G806" s="24" t="str">
        <x:v>쉬는차</x:v>
      </x:c>
      <x:c r="H806" s="32"/>
      <x:c r="I806" s="24" t="str">
        <x:v>PR-C-240보1114-2-20230103-88</x:v>
      </x:c>
      <x:c r="J806" s="24" t="str">
        <x:v>표인수</x:v>
      </x:c>
      <x:c r="K806" s="24" t="str">
        <x:v>차량 반납</x:v>
      </x:c>
      <x:c r="L806" s="24" t="str"/>
      <x:c r="M806" s="24" t="str"/>
      <x:c r="N806" s="30" t="n">
        <x:v>46021</x:v>
      </x:c>
    </x:row>
    <x:row r="807" ht="17.25" customHeight="1">
      <x:c r="A807" s="24" t="str">
        <x:v>E-00806</x:v>
      </x:c>
      <x:c r="B807" s="24" t="str">
        <x:v>프라임구독</x:v>
      </x:c>
      <x:c r="C807" s="24" t="str">
        <x:v>24고7227</x:v>
      </x:c>
      <x:c r="D807" s="30" t="n">
        <x:v>44684</x:v>
      </x:c>
      <x:c r="E807" s="24" t="str">
        <x:v>계약시작</x:v>
      </x:c>
      <x:c r="F807" s="24" t="str"/>
      <x:c r="G807" s="24" t="str">
        <x:v>대여중</x:v>
      </x:c>
      <x:c r="H807" s="32" t="n">
        <x:v>710000</x:v>
      </x:c>
      <x:c r="I807" s="24" t="str">
        <x:v>PR-C-24고7227-2-20220503-89</x:v>
      </x:c>
      <x:c r="J807" s="24" t="str">
        <x:v>김민우</x:v>
      </x:c>
      <x:c r="K807" s="24" t="str">
        <x:v>종료 계약 시작</x:v>
      </x:c>
      <x:c r="L807" s="24" t="str"/>
      <x:c r="M807" s="24" t="str"/>
      <x:c r="N807" s="30" t="n">
        <x:v>44684</x:v>
      </x:c>
    </x:row>
    <x:row r="808" ht="17.25" customHeight="1">
      <x:c r="A808" s="24" t="str">
        <x:v>E-00807</x:v>
      </x:c>
      <x:c r="B808" s="24" t="str">
        <x:v>프라임구독</x:v>
      </x:c>
      <x:c r="C808" s="24" t="str">
        <x:v>24고7227</x:v>
      </x:c>
      <x:c r="D808" s="30" t="n">
        <x:v>45787</x:v>
      </x:c>
      <x:c r="E808" s="24" t="str">
        <x:v>반납</x:v>
      </x:c>
      <x:c r="F808" s="24" t="str">
        <x:v>대여중</x:v>
      </x:c>
      <x:c r="G808" s="24" t="str">
        <x:v>쉬는차</x:v>
      </x:c>
      <x:c r="H808" s="32"/>
      <x:c r="I808" s="24" t="str">
        <x:v>PR-C-24고7227-2-20220503-89</x:v>
      </x:c>
      <x:c r="J808" s="24" t="str">
        <x:v>김민우</x:v>
      </x:c>
      <x:c r="K808" s="24" t="str">
        <x:v>차량 반납</x:v>
      </x:c>
      <x:c r="L808" s="24" t="str"/>
      <x:c r="M808" s="24" t="str"/>
      <x:c r="N808" s="30" t="n">
        <x:v>45787</x:v>
      </x:c>
    </x:row>
    <x:row r="809" ht="17.25" customHeight="1">
      <x:c r="A809" s="24" t="str">
        <x:v>E-00808</x:v>
      </x:c>
      <x:c r="B809" s="24" t="str">
        <x:v>프라임구독</x:v>
      </x:c>
      <x:c r="C809" s="24" t="str">
        <x:v>250서5013</x:v>
      </x:c>
      <x:c r="D809" s="30" t="n">
        <x:v>44796</x:v>
      </x:c>
      <x:c r="E809" s="24" t="str">
        <x:v>계약시작</x:v>
      </x:c>
      <x:c r="F809" s="24" t="str"/>
      <x:c r="G809" s="24" t="str">
        <x:v>대여중</x:v>
      </x:c>
      <x:c r="H809" s="32" t="n">
        <x:v>690000</x:v>
      </x:c>
      <x:c r="I809" s="24" t="str">
        <x:v>PR-C-250서5013-2-20220823-90</x:v>
      </x:c>
      <x:c r="J809" s="24" t="str">
        <x:v>배광일</x:v>
      </x:c>
      <x:c r="K809" s="24" t="str">
        <x:v>종료 계약 시작</x:v>
      </x:c>
      <x:c r="L809" s="24" t="str"/>
      <x:c r="M809" s="24" t="str"/>
      <x:c r="N809" s="30" t="n">
        <x:v>44796</x:v>
      </x:c>
    </x:row>
    <x:row r="810" ht="17.25" customHeight="1">
      <x:c r="A810" s="24" t="str">
        <x:v>E-00809</x:v>
      </x:c>
      <x:c r="B810" s="24" t="str">
        <x:v>프라임구독</x:v>
      </x:c>
      <x:c r="C810" s="24" t="str">
        <x:v>250서5013</x:v>
      </x:c>
      <x:c r="D810" s="30" t="n">
        <x:v>45889</x:v>
      </x:c>
      <x:c r="E810" s="24" t="str">
        <x:v>반납</x:v>
      </x:c>
      <x:c r="F810" s="24" t="str">
        <x:v>대여중</x:v>
      </x:c>
      <x:c r="G810" s="24" t="str">
        <x:v>쉬는차</x:v>
      </x:c>
      <x:c r="H810" s="32"/>
      <x:c r="I810" s="24" t="str">
        <x:v>PR-C-250서5013-2-20220823-90</x:v>
      </x:c>
      <x:c r="J810" s="24" t="str">
        <x:v>배광일</x:v>
      </x:c>
      <x:c r="K810" s="24" t="str">
        <x:v>차량 반납</x:v>
      </x:c>
      <x:c r="L810" s="24" t="str"/>
      <x:c r="M810" s="24" t="str"/>
      <x:c r="N810" s="30" t="n">
        <x:v>45889</x:v>
      </x:c>
    </x:row>
    <x:row r="811" ht="17.25" customHeight="1">
      <x:c r="A811" s="24" t="str">
        <x:v>E-00810</x:v>
      </x:c>
      <x:c r="B811" s="24" t="str">
        <x:v>프라임구독</x:v>
      </x:c>
      <x:c r="C811" s="24" t="str">
        <x:v>255로9949</x:v>
      </x:c>
      <x:c r="D811" s="30" t="n">
        <x:v>44770</x:v>
      </x:c>
      <x:c r="E811" s="24" t="str">
        <x:v>계약시작</x:v>
      </x:c>
      <x:c r="F811" s="24" t="str"/>
      <x:c r="G811" s="24" t="str">
        <x:v>대여중</x:v>
      </x:c>
      <x:c r="H811" s="32" t="n">
        <x:v>900000</x:v>
      </x:c>
      <x:c r="I811" s="24" t="str">
        <x:v>PR-C-255로9949-2-20220728-91</x:v>
      </x:c>
      <x:c r="J811" s="24" t="str">
        <x:v>배성진</x:v>
      </x:c>
      <x:c r="K811" s="24" t="str">
        <x:v>종료 계약 시작</x:v>
      </x:c>
      <x:c r="L811" s="24" t="str"/>
      <x:c r="M811" s="24" t="str"/>
      <x:c r="N811" s="30" t="n">
        <x:v>44770</x:v>
      </x:c>
    </x:row>
    <x:row r="812" ht="17.25" customHeight="1">
      <x:c r="A812" s="24" t="str">
        <x:v>E-00811</x:v>
      </x:c>
      <x:c r="B812" s="24" t="str">
        <x:v>프라임구독</x:v>
      </x:c>
      <x:c r="C812" s="24" t="str">
        <x:v>255로9949</x:v>
      </x:c>
      <x:c r="D812" s="30" t="n">
        <x:v>45930</x:v>
      </x:c>
      <x:c r="E812" s="24" t="str">
        <x:v>반납</x:v>
      </x:c>
      <x:c r="F812" s="24" t="str">
        <x:v>대여중</x:v>
      </x:c>
      <x:c r="G812" s="24" t="str">
        <x:v>쉬는차</x:v>
      </x:c>
      <x:c r="H812" s="32"/>
      <x:c r="I812" s="24" t="str">
        <x:v>PR-C-255로9949-2-20220728-91</x:v>
      </x:c>
      <x:c r="J812" s="24" t="str">
        <x:v>배성진</x:v>
      </x:c>
      <x:c r="K812" s="24" t="str">
        <x:v>차량 반납</x:v>
      </x:c>
      <x:c r="L812" s="24" t="str"/>
      <x:c r="M812" s="24" t="str"/>
      <x:c r="N812" s="30" t="n">
        <x:v>45930</x:v>
      </x:c>
    </x:row>
    <x:row r="813" ht="17.25" customHeight="1">
      <x:c r="A813" s="24" t="str">
        <x:v>E-00812</x:v>
      </x:c>
      <x:c r="B813" s="24" t="str">
        <x:v>프라임구독</x:v>
      </x:c>
      <x:c r="C813" s="24" t="str">
        <x:v>255오1360</x:v>
      </x:c>
      <x:c r="D813" s="30" t="n">
        <x:v>45245</x:v>
      </x:c>
      <x:c r="E813" s="24" t="str">
        <x:v>계약시작</x:v>
      </x:c>
      <x:c r="F813" s="24" t="str"/>
      <x:c r="G813" s="24" t="str">
        <x:v>대여중</x:v>
      </x:c>
      <x:c r="H813" s="32" t="n">
        <x:v>565000</x:v>
      </x:c>
      <x:c r="I813" s="24" t="str">
        <x:v>PR-C-255오1360-1-20231115-92</x:v>
      </x:c>
      <x:c r="J813" s="24" t="str">
        <x:v>이문구</x:v>
      </x:c>
      <x:c r="K813" s="24" t="str">
        <x:v>구독 계약 시작</x:v>
      </x:c>
      <x:c r="L813" s="24" t="str"/>
      <x:c r="M813" s="24" t="str"/>
      <x:c r="N813" s="30" t="n">
        <x:v>45245</x:v>
      </x:c>
    </x:row>
    <x:row r="814" ht="17.25" customHeight="1">
      <x:c r="A814" s="24" t="str">
        <x:v>E-00813</x:v>
      </x:c>
      <x:c r="B814" s="24" t="str">
        <x:v>프라임구독</x:v>
      </x:c>
      <x:c r="C814" s="24" t="str">
        <x:v>255우2089</x:v>
      </x:c>
      <x:c r="D814" s="30" t="n">
        <x:v>44694</x:v>
      </x:c>
      <x:c r="E814" s="24" t="str">
        <x:v>계약시작</x:v>
      </x:c>
      <x:c r="F814" s="24" t="str"/>
      <x:c r="G814" s="24" t="str">
        <x:v>대여중</x:v>
      </x:c>
      <x:c r="H814" s="32" t="n">
        <x:v>450000</x:v>
      </x:c>
      <x:c r="I814" s="24" t="str">
        <x:v>PR-C-255우2089-2-20220513-93</x:v>
      </x:c>
      <x:c r="J814" s="24" t="str">
        <x:v>김미진2</x:v>
      </x:c>
      <x:c r="K814" s="24" t="str">
        <x:v>종료 계약 시작</x:v>
      </x:c>
      <x:c r="L814" s="24" t="str"/>
      <x:c r="M814" s="24" t="str"/>
      <x:c r="N814" s="30" t="n">
        <x:v>44694</x:v>
      </x:c>
    </x:row>
    <x:row r="815" ht="17.25" customHeight="1">
      <x:c r="A815" s="24" t="str">
        <x:v>E-00814</x:v>
      </x:c>
      <x:c r="B815" s="24" t="str">
        <x:v>프라임구독</x:v>
      </x:c>
      <x:c r="C815" s="24" t="str">
        <x:v>255우2089</x:v>
      </x:c>
      <x:c r="D815" s="30" t="n">
        <x:v>45797</x:v>
      </x:c>
      <x:c r="E815" s="24" t="str">
        <x:v>반납</x:v>
      </x:c>
      <x:c r="F815" s="24" t="str">
        <x:v>대여중</x:v>
      </x:c>
      <x:c r="G815" s="24" t="str">
        <x:v>쉬는차</x:v>
      </x:c>
      <x:c r="H815" s="32"/>
      <x:c r="I815" s="24" t="str">
        <x:v>PR-C-255우2089-2-20220513-93</x:v>
      </x:c>
      <x:c r="J815" s="24" t="str">
        <x:v>김미진2</x:v>
      </x:c>
      <x:c r="K815" s="24" t="str">
        <x:v>차량 반납</x:v>
      </x:c>
      <x:c r="L815" s="24" t="str"/>
      <x:c r="M815" s="24" t="str"/>
      <x:c r="N815" s="30" t="n">
        <x:v>45797</x:v>
      </x:c>
    </x:row>
    <x:row r="816" ht="17.25" customHeight="1">
      <x:c r="A816" s="24" t="str">
        <x:v>E-00815</x:v>
      </x:c>
      <x:c r="B816" s="24" t="str">
        <x:v>프라임구독</x:v>
      </x:c>
      <x:c r="C816" s="24" t="str">
        <x:v>25머4399</x:v>
      </x:c>
      <x:c r="D816" s="30" t="n">
        <x:v>44777</x:v>
      </x:c>
      <x:c r="E816" s="24" t="str">
        <x:v>계약시작</x:v>
      </x:c>
      <x:c r="F816" s="24" t="str"/>
      <x:c r="G816" s="24" t="str">
        <x:v>대여중</x:v>
      </x:c>
      <x:c r="H816" s="32" t="n">
        <x:v>371000</x:v>
      </x:c>
      <x:c r="I816" s="24" t="str">
        <x:v>PR-C-25머4399-2-20220804-94</x:v>
      </x:c>
      <x:c r="J816" s="24" t="str">
        <x:v>이봉운</x:v>
      </x:c>
      <x:c r="K816" s="24" t="str">
        <x:v>종료 계약 시작</x:v>
      </x:c>
      <x:c r="L816" s="24" t="str"/>
      <x:c r="M816" s="24" t="str"/>
      <x:c r="N816" s="30" t="n">
        <x:v>44777</x:v>
      </x:c>
    </x:row>
    <x:row r="817" ht="17.25" customHeight="1">
      <x:c r="A817" s="24" t="str">
        <x:v>E-00816</x:v>
      </x:c>
      <x:c r="B817" s="24" t="str">
        <x:v>프라임구독</x:v>
      </x:c>
      <x:c r="C817" s="24" t="str">
        <x:v>25머4399</x:v>
      </x:c>
      <x:c r="D817" s="30" t="n">
        <x:v>45858</x:v>
      </x:c>
      <x:c r="E817" s="24" t="str">
        <x:v>반납</x:v>
      </x:c>
      <x:c r="F817" s="24" t="str">
        <x:v>대여중</x:v>
      </x:c>
      <x:c r="G817" s="24" t="str">
        <x:v>쉬는차</x:v>
      </x:c>
      <x:c r="H817" s="32"/>
      <x:c r="I817" s="24" t="str">
        <x:v>PR-C-25머4399-2-20220804-94</x:v>
      </x:c>
      <x:c r="J817" s="24" t="str">
        <x:v>이봉운</x:v>
      </x:c>
      <x:c r="K817" s="24" t="str">
        <x:v>차량 반납</x:v>
      </x:c>
      <x:c r="L817" s="24" t="str"/>
      <x:c r="M817" s="24" t="str"/>
      <x:c r="N817" s="30" t="n">
        <x:v>45858</x:v>
      </x:c>
    </x:row>
    <x:row r="818" ht="17.25" customHeight="1">
      <x:c r="A818" s="24" t="str">
        <x:v>E-00817</x:v>
      </x:c>
      <x:c r="B818" s="24" t="str">
        <x:v>프라임구독</x:v>
      </x:c>
      <x:c r="C818" s="24" t="str">
        <x:v>25부0580</x:v>
      </x:c>
      <x:c r="D818" s="30" t="n">
        <x:v>44644</x:v>
      </x:c>
      <x:c r="E818" s="24" t="str">
        <x:v>계약시작</x:v>
      </x:c>
      <x:c r="F818" s="24" t="str"/>
      <x:c r="G818" s="24" t="str">
        <x:v>대여중</x:v>
      </x:c>
      <x:c r="H818" s="32" t="n">
        <x:v>810000</x:v>
      </x:c>
      <x:c r="I818" s="24" t="str">
        <x:v>PR-C-25부0580-2-20220324-95</x:v>
      </x:c>
      <x:c r="J818" s="24" t="str">
        <x:v>ALEKSEY</x:v>
      </x:c>
      <x:c r="K818" s="24" t="str">
        <x:v>종료 계약 시작</x:v>
      </x:c>
      <x:c r="L818" s="24" t="str"/>
      <x:c r="M818" s="24" t="str"/>
      <x:c r="N818" s="30" t="n">
        <x:v>44644</x:v>
      </x:c>
    </x:row>
    <x:row r="819" ht="17.25" customHeight="1">
      <x:c r="A819" s="24" t="str">
        <x:v>E-00818</x:v>
      </x:c>
      <x:c r="B819" s="24" t="str">
        <x:v>프라임구독</x:v>
      </x:c>
      <x:c r="C819" s="24" t="str">
        <x:v>25부0580</x:v>
      </x:c>
      <x:c r="D819" s="30" t="n">
        <x:v>45746</x:v>
      </x:c>
      <x:c r="E819" s="24" t="str">
        <x:v>반납</x:v>
      </x:c>
      <x:c r="F819" s="24" t="str">
        <x:v>대여중</x:v>
      </x:c>
      <x:c r="G819" s="24" t="str">
        <x:v>쉬는차</x:v>
      </x:c>
      <x:c r="H819" s="32"/>
      <x:c r="I819" s="24" t="str">
        <x:v>PR-C-25부0580-2-20220324-95</x:v>
      </x:c>
      <x:c r="J819" s="24" t="str">
        <x:v>ALEKSEY</x:v>
      </x:c>
      <x:c r="K819" s="24" t="str">
        <x:v>차량 반납</x:v>
      </x:c>
      <x:c r="L819" s="24" t="str"/>
      <x:c r="M819" s="24" t="str"/>
      <x:c r="N819" s="30" t="n">
        <x:v>45746</x:v>
      </x:c>
    </x:row>
    <x:row r="820" ht="17.25" customHeight="1">
      <x:c r="A820" s="24" t="str">
        <x:v>E-00819</x:v>
      </x:c>
      <x:c r="B820" s="24" t="str">
        <x:v>프라임구독</x:v>
      </x:c>
      <x:c r="C820" s="24" t="str">
        <x:v>25오7995</x:v>
      </x:c>
      <x:c r="D820" s="30" t="n">
        <x:v>44802</x:v>
      </x:c>
      <x:c r="E820" s="24" t="str">
        <x:v>계약시작</x:v>
      </x:c>
      <x:c r="F820" s="24" t="str"/>
      <x:c r="G820" s="24" t="str">
        <x:v>대여중</x:v>
      </x:c>
      <x:c r="H820" s="32" t="n">
        <x:v>675000</x:v>
      </x:c>
      <x:c r="I820" s="24" t="str">
        <x:v>PR-C-25오7995-2-20220829-96</x:v>
      </x:c>
      <x:c r="J820" s="24" t="str">
        <x:v>정금미</x:v>
      </x:c>
      <x:c r="K820" s="24" t="str">
        <x:v>종료 계약 시작</x:v>
      </x:c>
      <x:c r="L820" s="24" t="str"/>
      <x:c r="M820" s="24" t="str"/>
      <x:c r="N820" s="30" t="n">
        <x:v>44802</x:v>
      </x:c>
    </x:row>
    <x:row r="821" ht="17.25" customHeight="1">
      <x:c r="A821" s="24" t="str">
        <x:v>E-00820</x:v>
      </x:c>
      <x:c r="B821" s="24" t="str">
        <x:v>프라임구독</x:v>
      </x:c>
      <x:c r="C821" s="24" t="str">
        <x:v>25오7995</x:v>
      </x:c>
      <x:c r="D821" s="30" t="n">
        <x:v>45910</x:v>
      </x:c>
      <x:c r="E821" s="24" t="str">
        <x:v>반납</x:v>
      </x:c>
      <x:c r="F821" s="24" t="str">
        <x:v>대여중</x:v>
      </x:c>
      <x:c r="G821" s="24" t="str">
        <x:v>쉬는차</x:v>
      </x:c>
      <x:c r="H821" s="32"/>
      <x:c r="I821" s="24" t="str">
        <x:v>PR-C-25오7995-2-20220829-96</x:v>
      </x:c>
      <x:c r="J821" s="24" t="str">
        <x:v>정금미</x:v>
      </x:c>
      <x:c r="K821" s="24" t="str">
        <x:v>차량 반납</x:v>
      </x:c>
      <x:c r="L821" s="24" t="str"/>
      <x:c r="M821" s="24" t="str"/>
      <x:c r="N821" s="30" t="n">
        <x:v>45910</x:v>
      </x:c>
    </x:row>
    <x:row r="822" ht="17.25" customHeight="1">
      <x:c r="A822" s="24" t="str">
        <x:v>E-00821</x:v>
      </x:c>
      <x:c r="B822" s="24" t="str">
        <x:v>프라임구독</x:v>
      </x:c>
      <x:c r="C822" s="24" t="str">
        <x:v>263오7836</x:v>
      </x:c>
      <x:c r="D822" s="30" t="n">
        <x:v>44671</x:v>
      </x:c>
      <x:c r="E822" s="24" t="str">
        <x:v>계약시작</x:v>
      </x:c>
      <x:c r="F822" s="24" t="str"/>
      <x:c r="G822" s="24" t="str">
        <x:v>대여중</x:v>
      </x:c>
      <x:c r="H822" s="32" t="n">
        <x:v>608000</x:v>
      </x:c>
      <x:c r="I822" s="24" t="str">
        <x:v>PR-C-263오7836-2-20220420-97</x:v>
      </x:c>
      <x:c r="J822" s="24" t="str">
        <x:v>이정우</x:v>
      </x:c>
      <x:c r="K822" s="24" t="str">
        <x:v>종료 계약 시작</x:v>
      </x:c>
      <x:c r="L822" s="24" t="str"/>
      <x:c r="M822" s="24" t="str"/>
      <x:c r="N822" s="30" t="n">
        <x:v>44671</x:v>
      </x:c>
    </x:row>
    <x:row r="823" ht="17.25" customHeight="1">
      <x:c r="A823" s="24" t="str">
        <x:v>E-00822</x:v>
      </x:c>
      <x:c r="B823" s="24" t="str">
        <x:v>프라임구독</x:v>
      </x:c>
      <x:c r="C823" s="24" t="str">
        <x:v>263오7836</x:v>
      </x:c>
      <x:c r="D823" s="30" t="n">
        <x:v>45767</x:v>
      </x:c>
      <x:c r="E823" s="24" t="str">
        <x:v>반납</x:v>
      </x:c>
      <x:c r="F823" s="24" t="str">
        <x:v>대여중</x:v>
      </x:c>
      <x:c r="G823" s="24" t="str">
        <x:v>쉬는차</x:v>
      </x:c>
      <x:c r="H823" s="32"/>
      <x:c r="I823" s="24" t="str">
        <x:v>PR-C-263오7836-2-20220420-97</x:v>
      </x:c>
      <x:c r="J823" s="24" t="str">
        <x:v>이정우</x:v>
      </x:c>
      <x:c r="K823" s="24" t="str">
        <x:v>차량 반납</x:v>
      </x:c>
      <x:c r="L823" s="24" t="str"/>
      <x:c r="M823" s="24" t="str"/>
      <x:c r="N823" s="30" t="n">
        <x:v>45767</x:v>
      </x:c>
    </x:row>
    <x:row r="824" ht="17.25" customHeight="1">
      <x:c r="A824" s="24" t="str">
        <x:v>E-00823</x:v>
      </x:c>
      <x:c r="B824" s="24" t="str">
        <x:v>프라임구독</x:v>
      </x:c>
      <x:c r="C824" s="24" t="str">
        <x:v>266버3645</x:v>
      </x:c>
      <x:c r="D824" s="30" t="n">
        <x:v>44747</x:v>
      </x:c>
      <x:c r="E824" s="24" t="str">
        <x:v>계약시작</x:v>
      </x:c>
      <x:c r="F824" s="24" t="str"/>
      <x:c r="G824" s="24" t="str">
        <x:v>대여중</x:v>
      </x:c>
      <x:c r="H824" s="32" t="n">
        <x:v>599000</x:v>
      </x:c>
      <x:c r="I824" s="24" t="str">
        <x:v>PR-C-266버3645-2-20220705-98</x:v>
      </x:c>
      <x:c r="J824" s="24" t="str">
        <x:v>황보훈</x:v>
      </x:c>
      <x:c r="K824" s="24" t="str">
        <x:v>종료 계약 시작</x:v>
      </x:c>
      <x:c r="L824" s="24" t="str"/>
      <x:c r="M824" s="24" t="str"/>
      <x:c r="N824" s="30" t="n">
        <x:v>44747</x:v>
      </x:c>
    </x:row>
    <x:row r="825" ht="17.25" customHeight="1">
      <x:c r="A825" s="24" t="str">
        <x:v>E-00824</x:v>
      </x:c>
      <x:c r="B825" s="24" t="str">
        <x:v>프라임구독</x:v>
      </x:c>
      <x:c r="C825" s="24" t="str">
        <x:v>266버3645</x:v>
      </x:c>
      <x:c r="D825" s="30" t="n">
        <x:v>45828</x:v>
      </x:c>
      <x:c r="E825" s="24" t="str">
        <x:v>반납</x:v>
      </x:c>
      <x:c r="F825" s="24" t="str">
        <x:v>대여중</x:v>
      </x:c>
      <x:c r="G825" s="24" t="str">
        <x:v>쉬는차</x:v>
      </x:c>
      <x:c r="H825" s="32"/>
      <x:c r="I825" s="24" t="str">
        <x:v>PR-C-266버3645-2-20220705-98</x:v>
      </x:c>
      <x:c r="J825" s="24" t="str">
        <x:v>황보훈</x:v>
      </x:c>
      <x:c r="K825" s="24" t="str">
        <x:v>차량 반납</x:v>
      </x:c>
      <x:c r="L825" s="24" t="str"/>
      <x:c r="M825" s="24" t="str"/>
      <x:c r="N825" s="30" t="n">
        <x:v>45828</x:v>
      </x:c>
    </x:row>
    <x:row r="826" ht="17.25" customHeight="1">
      <x:c r="A826" s="24" t="str">
        <x:v>E-00825</x:v>
      </x:c>
      <x:c r="B826" s="24" t="str">
        <x:v>프라임구독</x:v>
      </x:c>
      <x:c r="C826" s="24" t="str">
        <x:v>26너0333</x:v>
      </x:c>
      <x:c r="D826" s="30" t="n">
        <x:v>44880</x:v>
      </x:c>
      <x:c r="E826" s="24" t="str">
        <x:v>계약시작</x:v>
      </x:c>
      <x:c r="F826" s="24" t="str"/>
      <x:c r="G826" s="24" t="str">
        <x:v>대여중</x:v>
      </x:c>
      <x:c r="H826" s="32" t="n">
        <x:v>514000</x:v>
      </x:c>
      <x:c r="I826" s="24" t="str">
        <x:v>PR-C-26너0333-2-20221115-99</x:v>
      </x:c>
      <x:c r="J826" s="24" t="str">
        <x:v>이은정</x:v>
      </x:c>
      <x:c r="K826" s="24" t="str">
        <x:v>종료 계약 시작</x:v>
      </x:c>
      <x:c r="L826" s="24" t="str"/>
      <x:c r="M826" s="24" t="str"/>
      <x:c r="N826" s="30" t="n">
        <x:v>44880</x:v>
      </x:c>
    </x:row>
    <x:row r="827" ht="17.25" customHeight="1">
      <x:c r="A827" s="24" t="str">
        <x:v>E-00826</x:v>
      </x:c>
      <x:c r="B827" s="24" t="str">
        <x:v>프라임구독</x:v>
      </x:c>
      <x:c r="C827" s="24" t="str">
        <x:v>26너0333</x:v>
      </x:c>
      <x:c r="D827" s="30" t="n">
        <x:v>45981</x:v>
      </x:c>
      <x:c r="E827" s="24" t="str">
        <x:v>반납</x:v>
      </x:c>
      <x:c r="F827" s="24" t="str">
        <x:v>대여중</x:v>
      </x:c>
      <x:c r="G827" s="24" t="str">
        <x:v>쉬는차</x:v>
      </x:c>
      <x:c r="H827" s="32"/>
      <x:c r="I827" s="24" t="str">
        <x:v>PR-C-26너0333-2-20221115-99</x:v>
      </x:c>
      <x:c r="J827" s="24" t="str">
        <x:v>이은정</x:v>
      </x:c>
      <x:c r="K827" s="24" t="str">
        <x:v>차량 반납</x:v>
      </x:c>
      <x:c r="L827" s="24" t="str"/>
      <x:c r="M827" s="24" t="str"/>
      <x:c r="N827" s="30" t="n">
        <x:v>45981</x:v>
      </x:c>
    </x:row>
    <x:row r="828" ht="17.25" customHeight="1">
      <x:c r="A828" s="24" t="str">
        <x:v>E-00827</x:v>
      </x:c>
      <x:c r="B828" s="24" t="str">
        <x:v>프라임구독</x:v>
      </x:c>
      <x:c r="C828" s="24" t="str">
        <x:v>26수4134</x:v>
      </x:c>
      <x:c r="D828" s="30" t="n">
        <x:v>44847</x:v>
      </x:c>
      <x:c r="E828" s="24" t="str">
        <x:v>계약시작</x:v>
      </x:c>
      <x:c r="F828" s="24" t="str"/>
      <x:c r="G828" s="24" t="str">
        <x:v>대여중</x:v>
      </x:c>
      <x:c r="H828" s="32" t="n">
        <x:v>492000</x:v>
      </x:c>
      <x:c r="I828" s="24" t="str">
        <x:v>PR-C-26수4134-2-20221013-100</x:v>
      </x:c>
      <x:c r="J828" s="24" t="str">
        <x:v>박성용</x:v>
      </x:c>
      <x:c r="K828" s="24" t="str">
        <x:v>종료 계약 시작</x:v>
      </x:c>
      <x:c r="L828" s="24" t="str"/>
      <x:c r="M828" s="24" t="str"/>
      <x:c r="N828" s="30" t="n">
        <x:v>44847</x:v>
      </x:c>
    </x:row>
    <x:row r="829" ht="17.25" customHeight="1">
      <x:c r="A829" s="24" t="str">
        <x:v>E-00828</x:v>
      </x:c>
      <x:c r="B829" s="24" t="str">
        <x:v>프라임구독</x:v>
      </x:c>
      <x:c r="C829" s="24" t="str">
        <x:v>26수4134</x:v>
      </x:c>
      <x:c r="D829" s="30" t="n">
        <x:v>45940</x:v>
      </x:c>
      <x:c r="E829" s="24" t="str">
        <x:v>반납</x:v>
      </x:c>
      <x:c r="F829" s="24" t="str">
        <x:v>대여중</x:v>
      </x:c>
      <x:c r="G829" s="24" t="str">
        <x:v>쉬는차</x:v>
      </x:c>
      <x:c r="H829" s="32"/>
      <x:c r="I829" s="24" t="str">
        <x:v>PR-C-26수4134-2-20221013-100</x:v>
      </x:c>
      <x:c r="J829" s="24" t="str">
        <x:v>박성용</x:v>
      </x:c>
      <x:c r="K829" s="24" t="str">
        <x:v>차량 반납</x:v>
      </x:c>
      <x:c r="L829" s="24" t="str"/>
      <x:c r="M829" s="24" t="str"/>
      <x:c r="N829" s="30" t="n">
        <x:v>45940</x:v>
      </x:c>
    </x:row>
    <x:row r="830" ht="17.25" customHeight="1">
      <x:c r="A830" s="24" t="str">
        <x:v>E-00829</x:v>
      </x:c>
      <x:c r="B830" s="24" t="str">
        <x:v>프라임구독</x:v>
      </x:c>
      <x:c r="C830" s="24" t="str">
        <x:v>272오2150</x:v>
      </x:c>
      <x:c r="D830" s="30" t="n">
        <x:v>44442</x:v>
      </x:c>
      <x:c r="E830" s="24" t="str">
        <x:v>계약시작</x:v>
      </x:c>
      <x:c r="F830" s="24" t="str"/>
      <x:c r="G830" s="24" t="str">
        <x:v>대여중</x:v>
      </x:c>
      <x:c r="H830" s="32" t="n">
        <x:v>800000</x:v>
      </x:c>
      <x:c r="I830" s="24" t="str">
        <x:v>PR-C-272오2150-2-20210903-101</x:v>
      </x:c>
      <x:c r="J830" s="24" t="str">
        <x:v>강지민</x:v>
      </x:c>
      <x:c r="K830" s="24" t="str">
        <x:v>종료 계약 시작</x:v>
      </x:c>
      <x:c r="L830" s="24" t="str"/>
      <x:c r="M830" s="24" t="str"/>
      <x:c r="N830" s="30" t="n">
        <x:v>44442</x:v>
      </x:c>
    </x:row>
    <x:row r="831" ht="17.25" customHeight="1">
      <x:c r="A831" s="24" t="str">
        <x:v>E-00830</x:v>
      </x:c>
      <x:c r="B831" s="24" t="str">
        <x:v>프라임구독</x:v>
      </x:c>
      <x:c r="C831" s="24" t="str">
        <x:v>272오2150</x:v>
      </x:c>
      <x:c r="D831" s="30" t="n">
        <x:v>45565</x:v>
      </x:c>
      <x:c r="E831" s="24" t="str">
        <x:v>반납</x:v>
      </x:c>
      <x:c r="F831" s="24" t="str">
        <x:v>대여중</x:v>
      </x:c>
      <x:c r="G831" s="24" t="str">
        <x:v>쉬는차</x:v>
      </x:c>
      <x:c r="H831" s="32"/>
      <x:c r="I831" s="24" t="str">
        <x:v>PR-C-272오2150-2-20210903-101</x:v>
      </x:c>
      <x:c r="J831" s="24" t="str">
        <x:v>강지민</x:v>
      </x:c>
      <x:c r="K831" s="24" t="str">
        <x:v>차량 반납</x:v>
      </x:c>
      <x:c r="L831" s="24" t="str"/>
      <x:c r="M831" s="24" t="str"/>
      <x:c r="N831" s="30" t="n">
        <x:v>45565</x:v>
      </x:c>
    </x:row>
    <x:row r="832" ht="17.25" customHeight="1">
      <x:c r="A832" s="24" t="str">
        <x:v>E-00831</x:v>
      </x:c>
      <x:c r="B832" s="24" t="str">
        <x:v>프라임구독</x:v>
      </x:c>
      <x:c r="C832" s="24" t="str">
        <x:v>27로0765</x:v>
      </x:c>
      <x:c r="D832" s="30" t="n">
        <x:v>44655</x:v>
      </x:c>
      <x:c r="E832" s="24" t="str">
        <x:v>계약시작</x:v>
      </x:c>
      <x:c r="F832" s="24" t="str"/>
      <x:c r="G832" s="24" t="str">
        <x:v>대여중</x:v>
      </x:c>
      <x:c r="H832" s="32" t="n">
        <x:v>289000</x:v>
      </x:c>
      <x:c r="I832" s="24" t="str">
        <x:v>PR-C-27로0765-2-20220404-102</x:v>
      </x:c>
      <x:c r="J832" s="24" t="str">
        <x:v>하갑영2</x:v>
      </x:c>
      <x:c r="K832" s="24" t="str">
        <x:v>종료 계약 시작</x:v>
      </x:c>
      <x:c r="L832" s="24" t="str"/>
      <x:c r="M832" s="24" t="str"/>
      <x:c r="N832" s="30" t="n">
        <x:v>44655</x:v>
      </x:c>
    </x:row>
    <x:row r="833" ht="17.25" customHeight="1">
      <x:c r="A833" s="24" t="str">
        <x:v>E-00832</x:v>
      </x:c>
      <x:c r="B833" s="24" t="str">
        <x:v>프라임구독</x:v>
      </x:c>
      <x:c r="C833" s="24" t="str">
        <x:v>27로0765</x:v>
      </x:c>
      <x:c r="D833" s="30" t="n">
        <x:v>45736</x:v>
      </x:c>
      <x:c r="E833" s="24" t="str">
        <x:v>반납</x:v>
      </x:c>
      <x:c r="F833" s="24" t="str">
        <x:v>대여중</x:v>
      </x:c>
      <x:c r="G833" s="24" t="str">
        <x:v>쉬는차</x:v>
      </x:c>
      <x:c r="H833" s="32"/>
      <x:c r="I833" s="24" t="str">
        <x:v>PR-C-27로0765-2-20220404-102</x:v>
      </x:c>
      <x:c r="J833" s="24" t="str">
        <x:v>하갑영2</x:v>
      </x:c>
      <x:c r="K833" s="24" t="str">
        <x:v>차량 반납</x:v>
      </x:c>
      <x:c r="L833" s="24" t="str"/>
      <x:c r="M833" s="24" t="str"/>
      <x:c r="N833" s="30" t="n">
        <x:v>45736</x:v>
      </x:c>
    </x:row>
    <x:row r="834" ht="17.25" customHeight="1">
      <x:c r="A834" s="24" t="str">
        <x:v>E-00833</x:v>
      </x:c>
      <x:c r="B834" s="24" t="str">
        <x:v>프라임구독</x:v>
      </x:c>
      <x:c r="C834" s="24" t="str">
        <x:v>27무0874</x:v>
      </x:c>
      <x:c r="D834" s="30" t="n">
        <x:v>44531</x:v>
      </x:c>
      <x:c r="E834" s="24" t="str">
        <x:v>계약시작</x:v>
      </x:c>
      <x:c r="F834" s="24" t="str"/>
      <x:c r="G834" s="24" t="str">
        <x:v>대여중</x:v>
      </x:c>
      <x:c r="H834" s="32" t="n">
        <x:v>376000</x:v>
      </x:c>
      <x:c r="I834" s="24" t="str">
        <x:v>PR-C-27무0874-2-20211201-103</x:v>
      </x:c>
      <x:c r="J834" s="24" t="str">
        <x:v>신진하</x:v>
      </x:c>
      <x:c r="K834" s="24" t="str">
        <x:v>종료 계약 시작</x:v>
      </x:c>
      <x:c r="L834" s="24" t="str"/>
      <x:c r="M834" s="24" t="str"/>
      <x:c r="N834" s="30" t="n">
        <x:v>44531</x:v>
      </x:c>
    </x:row>
    <x:row r="835" ht="17.25" customHeight="1">
      <x:c r="A835" s="24" t="str">
        <x:v>E-00834</x:v>
      </x:c>
      <x:c r="B835" s="24" t="str">
        <x:v>프라임구독</x:v>
      </x:c>
      <x:c r="C835" s="24" t="str">
        <x:v>27무0874</x:v>
      </x:c>
      <x:c r="D835" s="30" t="n">
        <x:v>45646</x:v>
      </x:c>
      <x:c r="E835" s="24" t="str">
        <x:v>반납</x:v>
      </x:c>
      <x:c r="F835" s="24" t="str">
        <x:v>대여중</x:v>
      </x:c>
      <x:c r="G835" s="24" t="str">
        <x:v>쉬는차</x:v>
      </x:c>
      <x:c r="H835" s="32"/>
      <x:c r="I835" s="24" t="str">
        <x:v>PR-C-27무0874-2-20211201-103</x:v>
      </x:c>
      <x:c r="J835" s="24" t="str">
        <x:v>신진하</x:v>
      </x:c>
      <x:c r="K835" s="24" t="str">
        <x:v>차량 반납</x:v>
      </x:c>
      <x:c r="L835" s="24" t="str"/>
      <x:c r="M835" s="24" t="str"/>
      <x:c r="N835" s="30" t="n">
        <x:v>45646</x:v>
      </x:c>
    </x:row>
    <x:row r="836" ht="17.25" customHeight="1">
      <x:c r="A836" s="24" t="str">
        <x:v>E-00835</x:v>
      </x:c>
      <x:c r="B836" s="24" t="str">
        <x:v>프라임구독</x:v>
      </x:c>
      <x:c r="C836" s="24" t="str">
        <x:v>27오1144</x:v>
      </x:c>
      <x:c r="D836" s="30" t="n">
        <x:v>44750</x:v>
      </x:c>
      <x:c r="E836" s="24" t="str">
        <x:v>계약시작</x:v>
      </x:c>
      <x:c r="F836" s="24" t="str"/>
      <x:c r="G836" s="24" t="str">
        <x:v>대여중</x:v>
      </x:c>
      <x:c r="H836" s="32" t="n">
        <x:v>750000</x:v>
      </x:c>
      <x:c r="I836" s="24" t="str">
        <x:v>PR-C-27오1144-1-20220708-104</x:v>
      </x:c>
      <x:c r="J836" s="24" t="str">
        <x:v>김현규</x:v>
      </x:c>
      <x:c r="K836" s="24" t="str">
        <x:v>구독 계약 시작</x:v>
      </x:c>
      <x:c r="L836" s="24" t="str"/>
      <x:c r="M836" s="24" t="str"/>
      <x:c r="N836" s="30" t="n">
        <x:v>44750</x:v>
      </x:c>
    </x:row>
    <x:row r="837" ht="17.25" customHeight="1">
      <x:c r="A837" s="24" t="str">
        <x:v>E-00836</x:v>
      </x:c>
      <x:c r="B837" s="24" t="str">
        <x:v>프라임구독</x:v>
      </x:c>
      <x:c r="C837" s="24" t="str">
        <x:v>28마6730</x:v>
      </x:c>
      <x:c r="D837" s="30" t="n">
        <x:v>44854</x:v>
      </x:c>
      <x:c r="E837" s="24" t="str">
        <x:v>계약시작</x:v>
      </x:c>
      <x:c r="F837" s="24" t="str"/>
      <x:c r="G837" s="24" t="str">
        <x:v>대여중</x:v>
      </x:c>
      <x:c r="H837" s="32" t="n">
        <x:v>2550000</x:v>
      </x:c>
      <x:c r="I837" s="24" t="str">
        <x:v>PR-C-28마6730-2-20221020-105</x:v>
      </x:c>
      <x:c r="J837" s="24" t="str">
        <x:v>최주희</x:v>
      </x:c>
      <x:c r="K837" s="24" t="str">
        <x:v>종료 계약 시작</x:v>
      </x:c>
      <x:c r="L837" s="24" t="str"/>
      <x:c r="M837" s="24" t="str"/>
      <x:c r="N837" s="30" t="n">
        <x:v>44854</x:v>
      </x:c>
    </x:row>
    <x:row r="838" ht="17.25" customHeight="1">
      <x:c r="A838" s="24" t="str">
        <x:v>E-00837</x:v>
      </x:c>
      <x:c r="B838" s="24" t="str">
        <x:v>프라임구독</x:v>
      </x:c>
      <x:c r="C838" s="24" t="str">
        <x:v>28마6730</x:v>
      </x:c>
      <x:c r="D838" s="30" t="n">
        <x:v>45960</x:v>
      </x:c>
      <x:c r="E838" s="24" t="str">
        <x:v>반납</x:v>
      </x:c>
      <x:c r="F838" s="24" t="str">
        <x:v>대여중</x:v>
      </x:c>
      <x:c r="G838" s="24" t="str">
        <x:v>쉬는차</x:v>
      </x:c>
      <x:c r="H838" s="32"/>
      <x:c r="I838" s="24" t="str">
        <x:v>PR-C-28마6730-2-20221020-105</x:v>
      </x:c>
      <x:c r="J838" s="24" t="str">
        <x:v>최주희</x:v>
      </x:c>
      <x:c r="K838" s="24" t="str">
        <x:v>차량 반납</x:v>
      </x:c>
      <x:c r="L838" s="24" t="str"/>
      <x:c r="M838" s="24" t="str"/>
      <x:c r="N838" s="30" t="n">
        <x:v>45960</x:v>
      </x:c>
    </x:row>
    <x:row r="839" ht="17.25" customHeight="1">
      <x:c r="A839" s="24" t="str">
        <x:v>E-00838</x:v>
      </x:c>
      <x:c r="B839" s="24" t="str">
        <x:v>프라임구독</x:v>
      </x:c>
      <x:c r="C839" s="24" t="str">
        <x:v>28머4792</x:v>
      </x:c>
      <x:c r="D839" s="30" t="n">
        <x:v>45006</x:v>
      </x:c>
      <x:c r="E839" s="24" t="str">
        <x:v>계약시작</x:v>
      </x:c>
      <x:c r="F839" s="24" t="str"/>
      <x:c r="G839" s="24" t="str">
        <x:v>대여중</x:v>
      </x:c>
      <x:c r="H839" s="32" t="n">
        <x:v>818000</x:v>
      </x:c>
      <x:c r="I839" s="24" t="str">
        <x:v>PR-C-28머4792-2-20230321-106</x:v>
      </x:c>
      <x:c r="J839" s="24" t="str">
        <x:v>김용건</x:v>
      </x:c>
      <x:c r="K839" s="24" t="str">
        <x:v>종료 계약 시작</x:v>
      </x:c>
      <x:c r="L839" s="24" t="str"/>
      <x:c r="M839" s="24" t="str"/>
      <x:c r="N839" s="30" t="n">
        <x:v>45006</x:v>
      </x:c>
    </x:row>
    <x:row r="840" ht="17.25" customHeight="1">
      <x:c r="A840" s="24" t="str">
        <x:v>E-00839</x:v>
      </x:c>
      <x:c r="B840" s="24" t="str">
        <x:v>프라임구독</x:v>
      </x:c>
      <x:c r="C840" s="24" t="str">
        <x:v>28머4792</x:v>
      </x:c>
      <x:c r="D840" s="30" t="n">
        <x:v>46101</x:v>
      </x:c>
      <x:c r="E840" s="24" t="str">
        <x:v>반납</x:v>
      </x:c>
      <x:c r="F840" s="24" t="str">
        <x:v>대여중</x:v>
      </x:c>
      <x:c r="G840" s="24" t="str">
        <x:v>쉬는차</x:v>
      </x:c>
      <x:c r="H840" s="32"/>
      <x:c r="I840" s="24" t="str">
        <x:v>PR-C-28머4792-2-20230321-106</x:v>
      </x:c>
      <x:c r="J840" s="24" t="str">
        <x:v>김용건</x:v>
      </x:c>
      <x:c r="K840" s="24" t="str">
        <x:v>차량 반납</x:v>
      </x:c>
      <x:c r="L840" s="24" t="str"/>
      <x:c r="M840" s="24" t="str"/>
      <x:c r="N840" s="30" t="n">
        <x:v>46101</x:v>
      </x:c>
    </x:row>
    <x:row r="841" ht="17.25" customHeight="1">
      <x:c r="A841" s="24" t="str">
        <x:v>E-00840</x:v>
      </x:c>
      <x:c r="B841" s="24" t="str">
        <x:v>프라임구독</x:v>
      </x:c>
      <x:c r="C841" s="24" t="str">
        <x:v>290주5804</x:v>
      </x:c>
      <x:c r="D841" s="30" t="n">
        <x:v>45404</x:v>
      </x:c>
      <x:c r="E841" s="24" t="str">
        <x:v>계약시작</x:v>
      </x:c>
      <x:c r="F841" s="24" t="str"/>
      <x:c r="G841" s="24" t="str">
        <x:v>대여중</x:v>
      </x:c>
      <x:c r="H841" s="32" t="n">
        <x:v>533000</x:v>
      </x:c>
      <x:c r="I841" s="24" t="str">
        <x:v>PR-C-290주5804-1-20240422-107</x:v>
      </x:c>
      <x:c r="J841" s="24" t="str">
        <x:v>김순용</x:v>
      </x:c>
      <x:c r="K841" s="24" t="str">
        <x:v>구독 계약 시작</x:v>
      </x:c>
      <x:c r="L841" s="24" t="str"/>
      <x:c r="M841" s="24" t="str"/>
      <x:c r="N841" s="30" t="n">
        <x:v>45404</x:v>
      </x:c>
    </x:row>
    <x:row r="842" ht="17.25" customHeight="1">
      <x:c r="A842" s="24" t="str">
        <x:v>E-00841</x:v>
      </x:c>
      <x:c r="B842" s="24" t="str">
        <x:v>프라임구독</x:v>
      </x:c>
      <x:c r="C842" s="24" t="str">
        <x:v>29마4743</x:v>
      </x:c>
      <x:c r="D842" s="30" t="n">
        <x:v>45243</x:v>
      </x:c>
      <x:c r="E842" s="24" t="str">
        <x:v>계약시작</x:v>
      </x:c>
      <x:c r="F842" s="24" t="str"/>
      <x:c r="G842" s="24" t="str">
        <x:v>대여중</x:v>
      </x:c>
      <x:c r="H842" s="32" t="n">
        <x:v>1109000</x:v>
      </x:c>
      <x:c r="I842" s="24" t="str">
        <x:v>PR-C-29마4743-1-20231113-108</x:v>
      </x:c>
      <x:c r="J842" s="24" t="str">
        <x:v>변재영</x:v>
      </x:c>
      <x:c r="K842" s="24" t="str">
        <x:v>구독 계약 시작</x:v>
      </x:c>
      <x:c r="L842" s="24" t="str"/>
      <x:c r="M842" s="24" t="str"/>
      <x:c r="N842" s="30" t="n">
        <x:v>45243</x:v>
      </x:c>
    </x:row>
    <x:row r="843" ht="17.25" customHeight="1">
      <x:c r="A843" s="24" t="str">
        <x:v>E-00842</x:v>
      </x:c>
      <x:c r="B843" s="24" t="str">
        <x:v>프라임구독</x:v>
      </x:c>
      <x:c r="C843" s="24" t="str">
        <x:v>302보9212</x:v>
      </x:c>
      <x:c r="D843" s="30" t="n">
        <x:v>44531</x:v>
      </x:c>
      <x:c r="E843" s="24" t="str">
        <x:v>계약시작</x:v>
      </x:c>
      <x:c r="F843" s="24" t="str"/>
      <x:c r="G843" s="24" t="str">
        <x:v>대여중</x:v>
      </x:c>
      <x:c r="H843" s="32" t="n">
        <x:v>499000</x:v>
      </x:c>
      <x:c r="I843" s="24" t="str">
        <x:v>PR-C-302보9212-2-20211201-109</x:v>
      </x:c>
      <x:c r="J843" s="24" t="str">
        <x:v>최대규</x:v>
      </x:c>
      <x:c r="K843" s="24" t="str">
        <x:v>종료 계약 시작</x:v>
      </x:c>
      <x:c r="L843" s="24" t="str"/>
      <x:c r="M843" s="24" t="str"/>
      <x:c r="N843" s="30" t="n">
        <x:v>44531</x:v>
      </x:c>
    </x:row>
    <x:row r="844" ht="17.25" customHeight="1">
      <x:c r="A844" s="24" t="str">
        <x:v>E-00843</x:v>
      </x:c>
      <x:c r="B844" s="24" t="str">
        <x:v>프라임구독</x:v>
      </x:c>
      <x:c r="C844" s="24" t="str">
        <x:v>302보9212</x:v>
      </x:c>
      <x:c r="D844" s="30" t="n">
        <x:v>45616</x:v>
      </x:c>
      <x:c r="E844" s="24" t="str">
        <x:v>반납</x:v>
      </x:c>
      <x:c r="F844" s="24" t="str">
        <x:v>대여중</x:v>
      </x:c>
      <x:c r="G844" s="24" t="str">
        <x:v>쉬는차</x:v>
      </x:c>
      <x:c r="H844" s="32"/>
      <x:c r="I844" s="24" t="str">
        <x:v>PR-C-302보9212-2-20211201-109</x:v>
      </x:c>
      <x:c r="J844" s="24" t="str">
        <x:v>최대규</x:v>
      </x:c>
      <x:c r="K844" s="24" t="str">
        <x:v>차량 반납</x:v>
      </x:c>
      <x:c r="L844" s="24" t="str"/>
      <x:c r="M844" s="24" t="str"/>
      <x:c r="N844" s="30" t="n">
        <x:v>45616</x:v>
      </x:c>
    </x:row>
    <x:row r="845" ht="17.25" customHeight="1">
      <x:c r="A845" s="24" t="str">
        <x:v>E-00844</x:v>
      </x:c>
      <x:c r="B845" s="24" t="str">
        <x:v>프라임구독</x:v>
      </x:c>
      <x:c r="C845" s="24" t="str">
        <x:v>309무3799</x:v>
      </x:c>
      <x:c r="D845" s="30" t="n">
        <x:v>45461</x:v>
      </x:c>
      <x:c r="E845" s="24" t="str">
        <x:v>계약시작</x:v>
      </x:c>
      <x:c r="F845" s="24" t="str"/>
      <x:c r="G845" s="24" t="str">
        <x:v>대여중</x:v>
      </x:c>
      <x:c r="H845" s="32" t="n">
        <x:v>559000</x:v>
      </x:c>
      <x:c r="I845" s="24" t="str">
        <x:v>PR-C-309무3799-1-20240618-110</x:v>
      </x:c>
      <x:c r="J845" s="24" t="str">
        <x:v>신용엽</x:v>
      </x:c>
      <x:c r="K845" s="24" t="str">
        <x:v>구독 계약 시작</x:v>
      </x:c>
      <x:c r="L845" s="24" t="str"/>
      <x:c r="M845" s="24" t="str"/>
      <x:c r="N845" s="30" t="n">
        <x:v>45461</x:v>
      </x:c>
    </x:row>
    <x:row r="846" ht="17.25" customHeight="1">
      <x:c r="A846" s="24" t="str">
        <x:v>E-00845</x:v>
      </x:c>
      <x:c r="B846" s="24" t="str">
        <x:v>프라임구독</x:v>
      </x:c>
      <x:c r="C846" s="24" t="str">
        <x:v>30고0596</x:v>
      </x:c>
      <x:c r="D846" s="30" t="n">
        <x:v>44928</x:v>
      </x:c>
      <x:c r="E846" s="24" t="str">
        <x:v>계약시작</x:v>
      </x:c>
      <x:c r="F846" s="24" t="str"/>
      <x:c r="G846" s="24" t="str">
        <x:v>대여중</x:v>
      </x:c>
      <x:c r="H846" s="32" t="n">
        <x:v>919000</x:v>
      </x:c>
      <x:c r="I846" s="24" t="str">
        <x:v>PR-C-30고0596-2-20230102-111</x:v>
      </x:c>
      <x:c r="J846" s="24" t="str">
        <x:v>서희철2</x:v>
      </x:c>
      <x:c r="K846" s="24" t="str">
        <x:v>종료 계약 시작</x:v>
      </x:c>
      <x:c r="L846" s="24" t="str"/>
      <x:c r="M846" s="24" t="str"/>
      <x:c r="N846" s="30" t="n">
        <x:v>44928</x:v>
      </x:c>
    </x:row>
    <x:row r="847" ht="17.25" customHeight="1">
      <x:c r="A847" s="24" t="str">
        <x:v>E-00846</x:v>
      </x:c>
      <x:c r="B847" s="24" t="str">
        <x:v>프라임구독</x:v>
      </x:c>
      <x:c r="C847" s="24" t="str">
        <x:v>30고0596</x:v>
      </x:c>
      <x:c r="D847" s="30" t="n">
        <x:v>46006</x:v>
      </x:c>
      <x:c r="E847" s="24" t="str">
        <x:v>반납</x:v>
      </x:c>
      <x:c r="F847" s="24" t="str">
        <x:v>대여중</x:v>
      </x:c>
      <x:c r="G847" s="24" t="str">
        <x:v>쉬는차</x:v>
      </x:c>
      <x:c r="H847" s="32"/>
      <x:c r="I847" s="24" t="str">
        <x:v>PR-C-30고0596-2-20230102-111</x:v>
      </x:c>
      <x:c r="J847" s="24" t="str">
        <x:v>서희철2</x:v>
      </x:c>
      <x:c r="K847" s="24" t="str">
        <x:v>차량 반납</x:v>
      </x:c>
      <x:c r="L847" s="24" t="str"/>
      <x:c r="M847" s="24" t="str"/>
      <x:c r="N847" s="30" t="n">
        <x:v>46006</x:v>
      </x:c>
    </x:row>
    <x:row r="848" ht="17.25" customHeight="1">
      <x:c r="A848" s="24" t="str">
        <x:v>E-00847</x:v>
      </x:c>
      <x:c r="B848" s="24" t="str">
        <x:v>프라임구독</x:v>
      </x:c>
      <x:c r="C848" s="24" t="str">
        <x:v>31저0628</x:v>
      </x:c>
      <x:c r="D848" s="30" t="n">
        <x:v>44956</x:v>
      </x:c>
      <x:c r="E848" s="24" t="str">
        <x:v>계약시작</x:v>
      </x:c>
      <x:c r="F848" s="24" t="str"/>
      <x:c r="G848" s="24" t="str">
        <x:v>대여중</x:v>
      </x:c>
      <x:c r="H848" s="32" t="n">
        <x:v>1141000</x:v>
      </x:c>
      <x:c r="I848" s="24" t="str">
        <x:v>PR-C-31저0628-2-20230130-112</x:v>
      </x:c>
      <x:c r="J848" s="24" t="str">
        <x:v>박정우</x:v>
      </x:c>
      <x:c r="K848" s="24" t="str">
        <x:v>종료 계약 시작</x:v>
      </x:c>
      <x:c r="L848" s="24" t="str"/>
      <x:c r="M848" s="24" t="str"/>
      <x:c r="N848" s="30" t="n">
        <x:v>44956</x:v>
      </x:c>
    </x:row>
    <x:row r="849" ht="17.25" customHeight="1">
      <x:c r="A849" s="24" t="str">
        <x:v>E-00848</x:v>
      </x:c>
      <x:c r="B849" s="24" t="str">
        <x:v>프라임구독</x:v>
      </x:c>
      <x:c r="C849" s="24" t="str">
        <x:v>31저0628</x:v>
      </x:c>
      <x:c r="D849" s="30" t="n">
        <x:v>46068</x:v>
      </x:c>
      <x:c r="E849" s="24" t="str">
        <x:v>반납</x:v>
      </x:c>
      <x:c r="F849" s="24" t="str">
        <x:v>대여중</x:v>
      </x:c>
      <x:c r="G849" s="24" t="str">
        <x:v>쉬는차</x:v>
      </x:c>
      <x:c r="H849" s="32"/>
      <x:c r="I849" s="24" t="str">
        <x:v>PR-C-31저0628-2-20230130-112</x:v>
      </x:c>
      <x:c r="J849" s="24" t="str">
        <x:v>박정우</x:v>
      </x:c>
      <x:c r="K849" s="24" t="str">
        <x:v>차량 반납</x:v>
      </x:c>
      <x:c r="L849" s="24" t="str"/>
      <x:c r="M849" s="24" t="str"/>
      <x:c r="N849" s="30" t="n">
        <x:v>46068</x:v>
      </x:c>
    </x:row>
    <x:row r="850" ht="17.25" customHeight="1">
      <x:c r="A850" s="24" t="str">
        <x:v>E-00849</x:v>
      </x:c>
      <x:c r="B850" s="24" t="str">
        <x:v>프라임구독</x:v>
      </x:c>
      <x:c r="C850" s="24" t="str">
        <x:v>322주8288</x:v>
      </x:c>
      <x:c r="D850" s="30" t="n">
        <x:v>44960</x:v>
      </x:c>
      <x:c r="E850" s="24" t="str">
        <x:v>계약시작</x:v>
      </x:c>
      <x:c r="F850" s="24" t="str"/>
      <x:c r="G850" s="24" t="str">
        <x:v>대여중</x:v>
      </x:c>
      <x:c r="H850" s="32" t="n">
        <x:v>868000</x:v>
      </x:c>
      <x:c r="I850" s="24" t="str">
        <x:v>PR-C-322주8288-2-20230203-113</x:v>
      </x:c>
      <x:c r="J850" s="24" t="str"/>
      <x:c r="K850" s="24" t="str">
        <x:v>종료 계약 시작</x:v>
      </x:c>
      <x:c r="L850" s="24" t="str"/>
      <x:c r="M850" s="24" t="str"/>
      <x:c r="N850" s="30" t="n">
        <x:v>44960</x:v>
      </x:c>
    </x:row>
    <x:row r="851" ht="17.25" customHeight="1">
      <x:c r="A851" s="24" t="str">
        <x:v>E-00850</x:v>
      </x:c>
      <x:c r="B851" s="24" t="str">
        <x:v>프라임구독</x:v>
      </x:c>
      <x:c r="C851" s="24" t="str">
        <x:v>322주8288</x:v>
      </x:c>
      <x:c r="D851" s="30" t="n">
        <x:v>46068</x:v>
      </x:c>
      <x:c r="E851" s="24" t="str">
        <x:v>반납</x:v>
      </x:c>
      <x:c r="F851" s="24" t="str">
        <x:v>대여중</x:v>
      </x:c>
      <x:c r="G851" s="24" t="str">
        <x:v>쉬는차</x:v>
      </x:c>
      <x:c r="H851" s="32"/>
      <x:c r="I851" s="24" t="str">
        <x:v>PR-C-322주8288-2-20230203-113</x:v>
      </x:c>
      <x:c r="J851" s="24" t="str"/>
      <x:c r="K851" s="24" t="str">
        <x:v>차량 반납</x:v>
      </x:c>
      <x:c r="L851" s="24" t="str"/>
      <x:c r="M851" s="24" t="str"/>
      <x:c r="N851" s="30" t="n">
        <x:v>46068</x:v>
      </x:c>
    </x:row>
    <x:row r="852" ht="17.25" customHeight="1">
      <x:c r="A852" s="24" t="str">
        <x:v>E-00851</x:v>
      </x:c>
      <x:c r="B852" s="24" t="str">
        <x:v>프라임구독</x:v>
      </x:c>
      <x:c r="C852" s="24" t="str">
        <x:v>32오3869</x:v>
      </x:c>
      <x:c r="D852" s="30" t="n">
        <x:v>44691</x:v>
      </x:c>
      <x:c r="E852" s="24" t="str">
        <x:v>계약시작</x:v>
      </x:c>
      <x:c r="F852" s="24" t="str"/>
      <x:c r="G852" s="24" t="str">
        <x:v>대여중</x:v>
      </x:c>
      <x:c r="H852" s="32" t="n">
        <x:v>783000</x:v>
      </x:c>
      <x:c r="I852" s="24" t="str">
        <x:v>PR-C-32오3869-2-20220510-114</x:v>
      </x:c>
      <x:c r="J852" s="24" t="str">
        <x:v>피은수</x:v>
      </x:c>
      <x:c r="K852" s="24" t="str">
        <x:v>종료 계약 시작</x:v>
      </x:c>
      <x:c r="L852" s="24" t="str"/>
      <x:c r="M852" s="24" t="str"/>
      <x:c r="N852" s="30" t="n">
        <x:v>44691</x:v>
      </x:c>
    </x:row>
    <x:row r="853" ht="17.25" customHeight="1">
      <x:c r="A853" s="24" t="str">
        <x:v>E-00852</x:v>
      </x:c>
      <x:c r="B853" s="24" t="str">
        <x:v>프라임구독</x:v>
      </x:c>
      <x:c r="C853" s="24" t="str">
        <x:v>32오3869</x:v>
      </x:c>
      <x:c r="D853" s="30" t="n">
        <x:v>45802</x:v>
      </x:c>
      <x:c r="E853" s="24" t="str">
        <x:v>반납</x:v>
      </x:c>
      <x:c r="F853" s="24" t="str">
        <x:v>대여중</x:v>
      </x:c>
      <x:c r="G853" s="24" t="str">
        <x:v>쉬는차</x:v>
      </x:c>
      <x:c r="H853" s="32"/>
      <x:c r="I853" s="24" t="str">
        <x:v>PR-C-32오3869-2-20220510-114</x:v>
      </x:c>
      <x:c r="J853" s="24" t="str">
        <x:v>피은수</x:v>
      </x:c>
      <x:c r="K853" s="24" t="str">
        <x:v>차량 반납</x:v>
      </x:c>
      <x:c r="L853" s="24" t="str"/>
      <x:c r="M853" s="24" t="str"/>
      <x:c r="N853" s="30" t="n">
        <x:v>45802</x:v>
      </x:c>
    </x:row>
    <x:row r="854" ht="17.25" customHeight="1">
      <x:c r="A854" s="24" t="str">
        <x:v>E-00853</x:v>
      </x:c>
      <x:c r="B854" s="24" t="str">
        <x:v>프라임구독</x:v>
      </x:c>
      <x:c r="C854" s="24" t="str">
        <x:v>338우2810</x:v>
      </x:c>
      <x:c r="D854" s="30" t="n">
        <x:v>44970</x:v>
      </x:c>
      <x:c r="E854" s="24" t="str">
        <x:v>계약시작</x:v>
      </x:c>
      <x:c r="F854" s="24" t="str"/>
      <x:c r="G854" s="24" t="str">
        <x:v>대여중</x:v>
      </x:c>
      <x:c r="H854" s="32" t="n">
        <x:v>769000</x:v>
      </x:c>
      <x:c r="I854" s="24" t="str">
        <x:v>PR-C-338우2810-2-20230213-115</x:v>
      </x:c>
      <x:c r="J854" s="24" t="str">
        <x:v>김성희</x:v>
      </x:c>
      <x:c r="K854" s="24" t="str">
        <x:v>종료 계약 시작</x:v>
      </x:c>
      <x:c r="L854" s="24" t="str"/>
      <x:c r="M854" s="24" t="str"/>
      <x:c r="N854" s="30" t="n">
        <x:v>44970</x:v>
      </x:c>
    </x:row>
    <x:row r="855" ht="17.25" customHeight="1">
      <x:c r="A855" s="24" t="str">
        <x:v>E-00854</x:v>
      </x:c>
      <x:c r="B855" s="24" t="str">
        <x:v>프라임구독</x:v>
      </x:c>
      <x:c r="C855" s="24" t="str">
        <x:v>338우2810</x:v>
      </x:c>
      <x:c r="D855" s="30" t="n">
        <x:v>46073</x:v>
      </x:c>
      <x:c r="E855" s="24" t="str">
        <x:v>반납</x:v>
      </x:c>
      <x:c r="F855" s="24" t="str">
        <x:v>대여중</x:v>
      </x:c>
      <x:c r="G855" s="24" t="str">
        <x:v>쉬는차</x:v>
      </x:c>
      <x:c r="H855" s="32"/>
      <x:c r="I855" s="24" t="str">
        <x:v>PR-C-338우2810-2-20230213-115</x:v>
      </x:c>
      <x:c r="J855" s="24" t="str">
        <x:v>김성희</x:v>
      </x:c>
      <x:c r="K855" s="24" t="str">
        <x:v>차량 반납</x:v>
      </x:c>
      <x:c r="L855" s="24" t="str"/>
      <x:c r="M855" s="24" t="str"/>
      <x:c r="N855" s="30" t="n">
        <x:v>46073</x:v>
      </x:c>
    </x:row>
    <x:row r="856" ht="17.25" customHeight="1">
      <x:c r="A856" s="24" t="str">
        <x:v>E-00855</x:v>
      </x:c>
      <x:c r="B856" s="24" t="str">
        <x:v>프라임구독</x:v>
      </x:c>
      <x:c r="C856" s="24" t="str">
        <x:v>33모8923</x:v>
      </x:c>
      <x:c r="D856" s="30" t="n">
        <x:v>44861</x:v>
      </x:c>
      <x:c r="E856" s="24" t="str">
        <x:v>계약시작</x:v>
      </x:c>
      <x:c r="F856" s="24" t="str"/>
      <x:c r="G856" s="24" t="str">
        <x:v>대여중</x:v>
      </x:c>
      <x:c r="H856" s="32" t="n">
        <x:v>593000</x:v>
      </x:c>
      <x:c r="I856" s="24" t="str">
        <x:v>PR-C-33모8923-2-20221027-116</x:v>
      </x:c>
      <x:c r="J856" s="24" t="str">
        <x:v>박찬호</x:v>
      </x:c>
      <x:c r="K856" s="24" t="str">
        <x:v>종료 계약 시작</x:v>
      </x:c>
      <x:c r="L856" s="24" t="str"/>
      <x:c r="M856" s="24" t="str"/>
      <x:c r="N856" s="30" t="n">
        <x:v>44861</x:v>
      </x:c>
    </x:row>
    <x:row r="857" ht="17.25" customHeight="1">
      <x:c r="A857" s="24" t="str">
        <x:v>E-00856</x:v>
      </x:c>
      <x:c r="B857" s="24" t="str">
        <x:v>프라임구독</x:v>
      </x:c>
      <x:c r="C857" s="24" t="str">
        <x:v>33모8923</x:v>
      </x:c>
      <x:c r="D857" s="30" t="n">
        <x:v>45950</x:v>
      </x:c>
      <x:c r="E857" s="24" t="str">
        <x:v>반납</x:v>
      </x:c>
      <x:c r="F857" s="24" t="str">
        <x:v>대여중</x:v>
      </x:c>
      <x:c r="G857" s="24" t="str">
        <x:v>쉬는차</x:v>
      </x:c>
      <x:c r="H857" s="32"/>
      <x:c r="I857" s="24" t="str">
        <x:v>PR-C-33모8923-2-20221027-116</x:v>
      </x:c>
      <x:c r="J857" s="24" t="str">
        <x:v>박찬호</x:v>
      </x:c>
      <x:c r="K857" s="24" t="str">
        <x:v>차량 반납</x:v>
      </x:c>
      <x:c r="L857" s="24" t="str"/>
      <x:c r="M857" s="24" t="str"/>
      <x:c r="N857" s="30" t="n">
        <x:v>45950</x:v>
      </x:c>
    </x:row>
    <x:row r="858" ht="17.25" customHeight="1">
      <x:c r="A858" s="24" t="str">
        <x:v>E-00857</x:v>
      </x:c>
      <x:c r="B858" s="24" t="str">
        <x:v>프라임구독</x:v>
      </x:c>
      <x:c r="C858" s="24" t="str">
        <x:v>340고3084</x:v>
      </x:c>
      <x:c r="D858" s="30" t="n">
        <x:v>44747</x:v>
      </x:c>
      <x:c r="E858" s="24" t="str">
        <x:v>계약시작</x:v>
      </x:c>
      <x:c r="F858" s="24" t="str"/>
      <x:c r="G858" s="24" t="str">
        <x:v>대여중</x:v>
      </x:c>
      <x:c r="H858" s="32" t="n">
        <x:v>370000</x:v>
      </x:c>
      <x:c r="I858" s="24" t="str">
        <x:v>PR-C-340고3084-2-20220705-117</x:v>
      </x:c>
      <x:c r="J858" s="24" t="str">
        <x:v>한다혜</x:v>
      </x:c>
      <x:c r="K858" s="24" t="str">
        <x:v>종료 계약 시작</x:v>
      </x:c>
      <x:c r="L858" s="24" t="str"/>
      <x:c r="M858" s="24" t="str"/>
      <x:c r="N858" s="30" t="n">
        <x:v>44747</x:v>
      </x:c>
    </x:row>
    <x:row r="859" ht="17.25" customHeight="1">
      <x:c r="A859" s="24" t="str">
        <x:v>E-00858</x:v>
      </x:c>
      <x:c r="B859" s="24" t="str">
        <x:v>프라임구독</x:v>
      </x:c>
      <x:c r="C859" s="24" t="str">
        <x:v>340고3084</x:v>
      </x:c>
      <x:c r="D859" s="30" t="n">
        <x:v>46198</x:v>
      </x:c>
      <x:c r="E859" s="24" t="str">
        <x:v>반납</x:v>
      </x:c>
      <x:c r="F859" s="24" t="str">
        <x:v>대여중</x:v>
      </x:c>
      <x:c r="G859" s="24" t="str">
        <x:v>쉬는차</x:v>
      </x:c>
      <x:c r="H859" s="32"/>
      <x:c r="I859" s="24" t="str">
        <x:v>PR-C-340고3084-2-20220705-117</x:v>
      </x:c>
      <x:c r="J859" s="24" t="str">
        <x:v>한다혜</x:v>
      </x:c>
      <x:c r="K859" s="24" t="str">
        <x:v>차량 반납</x:v>
      </x:c>
      <x:c r="L859" s="24" t="str"/>
      <x:c r="M859" s="24" t="str"/>
      <x:c r="N859" s="30" t="n">
        <x:v>46198</x:v>
      </x:c>
    </x:row>
    <x:row r="860" ht="17.25" customHeight="1">
      <x:c r="A860" s="24" t="str">
        <x:v>E-00859</x:v>
      </x:c>
      <x:c r="B860" s="24" t="str">
        <x:v>프라임구독</x:v>
      </x:c>
      <x:c r="C860" s="24" t="str">
        <x:v>343거1533</x:v>
      </x:c>
      <x:c r="D860" s="30" t="n">
        <x:v>45082</x:v>
      </x:c>
      <x:c r="E860" s="24" t="str">
        <x:v>계약시작</x:v>
      </x:c>
      <x:c r="F860" s="24" t="str"/>
      <x:c r="G860" s="24" t="str">
        <x:v>대여중</x:v>
      </x:c>
      <x:c r="H860" s="32" t="n">
        <x:v>604000</x:v>
      </x:c>
      <x:c r="I860" s="24" t="str">
        <x:v>PR-C-343거1533-2-20230605-118</x:v>
      </x:c>
      <x:c r="J860" s="24" t="str">
        <x:v>신기윤</x:v>
      </x:c>
      <x:c r="K860" s="24" t="str">
        <x:v>종료 계약 시작</x:v>
      </x:c>
      <x:c r="L860" s="24" t="str"/>
      <x:c r="M860" s="24" t="str"/>
      <x:c r="N860" s="30" t="n">
        <x:v>45082</x:v>
      </x:c>
    </x:row>
    <x:row r="861" ht="17.25" customHeight="1">
      <x:c r="A861" s="24" t="str">
        <x:v>E-00860</x:v>
      </x:c>
      <x:c r="B861" s="24" t="str">
        <x:v>프라임구독</x:v>
      </x:c>
      <x:c r="C861" s="24" t="str">
        <x:v>343거1533</x:v>
      </x:c>
      <x:c r="D861" s="30" t="n">
        <x:v>46558</x:v>
      </x:c>
      <x:c r="E861" s="24" t="str">
        <x:v>반납</x:v>
      </x:c>
      <x:c r="F861" s="24" t="str">
        <x:v>대여중</x:v>
      </x:c>
      <x:c r="G861" s="24" t="str">
        <x:v>쉬는차</x:v>
      </x:c>
      <x:c r="H861" s="32"/>
      <x:c r="I861" s="24" t="str">
        <x:v>PR-C-343거1533-2-20230605-118</x:v>
      </x:c>
      <x:c r="J861" s="24" t="str">
        <x:v>신기윤</x:v>
      </x:c>
      <x:c r="K861" s="24" t="str">
        <x:v>차량 반납</x:v>
      </x:c>
      <x:c r="L861" s="24" t="str"/>
      <x:c r="M861" s="24" t="str"/>
      <x:c r="N861" s="30" t="n">
        <x:v>46558</x:v>
      </x:c>
    </x:row>
    <x:row r="862" ht="17.25" customHeight="1">
      <x:c r="A862" s="24" t="str">
        <x:v>E-00861</x:v>
      </x:c>
      <x:c r="B862" s="24" t="str">
        <x:v>프라임구독</x:v>
      </x:c>
      <x:c r="C862" s="24" t="str">
        <x:v>34구0251</x:v>
      </x:c>
      <x:c r="D862" s="30" t="n">
        <x:v>45397</x:v>
      </x:c>
      <x:c r="E862" s="24" t="str">
        <x:v>계약시작</x:v>
      </x:c>
      <x:c r="F862" s="24" t="str"/>
      <x:c r="G862" s="24" t="str">
        <x:v>대여중</x:v>
      </x:c>
      <x:c r="H862" s="32" t="n">
        <x:v>550000</x:v>
      </x:c>
      <x:c r="I862" s="24" t="str">
        <x:v>PR-C-34구0251-1-20240415-119</x:v>
      </x:c>
      <x:c r="J862" s="24" t="str">
        <x:v>김진성2</x:v>
      </x:c>
      <x:c r="K862" s="24" t="str">
        <x:v>구독 계약 시작</x:v>
      </x:c>
      <x:c r="L862" s="24" t="str"/>
      <x:c r="M862" s="24" t="str"/>
      <x:c r="N862" s="30" t="n">
        <x:v>45397</x:v>
      </x:c>
    </x:row>
    <x:row r="863" ht="17.25" customHeight="1">
      <x:c r="A863" s="24" t="str">
        <x:v>E-00862</x:v>
      </x:c>
      <x:c r="B863" s="24" t="str">
        <x:v>프라임구독</x:v>
      </x:c>
      <x:c r="C863" s="24" t="str">
        <x:v>34우4050</x:v>
      </x:c>
      <x:c r="D863" s="30" t="n">
        <x:v>44895</x:v>
      </x:c>
      <x:c r="E863" s="24" t="str">
        <x:v>계약시작</x:v>
      </x:c>
      <x:c r="F863" s="24" t="str"/>
      <x:c r="G863" s="24" t="str">
        <x:v>대여중</x:v>
      </x:c>
      <x:c r="H863" s="32" t="n">
        <x:v>515000</x:v>
      </x:c>
      <x:c r="I863" s="24" t="str">
        <x:v>PR-C-34우4050-2-20221130-120</x:v>
      </x:c>
      <x:c r="J863" s="24" t="str">
        <x:v>박현수</x:v>
      </x:c>
      <x:c r="K863" s="24" t="str">
        <x:v>종료 계약 시작</x:v>
      </x:c>
      <x:c r="L863" s="24" t="str"/>
      <x:c r="M863" s="24" t="str"/>
      <x:c r="N863" s="30" t="n">
        <x:v>44895</x:v>
      </x:c>
    </x:row>
    <x:row r="864" ht="17.25" customHeight="1">
      <x:c r="A864" s="24" t="str">
        <x:v>E-00863</x:v>
      </x:c>
      <x:c r="B864" s="24" t="str">
        <x:v>프라임구독</x:v>
      </x:c>
      <x:c r="C864" s="24" t="str">
        <x:v>34우4050</x:v>
      </x:c>
      <x:c r="D864" s="30" t="n">
        <x:v>45991</x:v>
      </x:c>
      <x:c r="E864" s="24" t="str">
        <x:v>반납</x:v>
      </x:c>
      <x:c r="F864" s="24" t="str">
        <x:v>대여중</x:v>
      </x:c>
      <x:c r="G864" s="24" t="str">
        <x:v>쉬는차</x:v>
      </x:c>
      <x:c r="H864" s="32"/>
      <x:c r="I864" s="24" t="str">
        <x:v>PR-C-34우4050-2-20221130-120</x:v>
      </x:c>
      <x:c r="J864" s="24" t="str">
        <x:v>박현수</x:v>
      </x:c>
      <x:c r="K864" s="24" t="str">
        <x:v>차량 반납</x:v>
      </x:c>
      <x:c r="L864" s="24" t="str"/>
      <x:c r="M864" s="24" t="str"/>
      <x:c r="N864" s="30" t="n">
        <x:v>45991</x:v>
      </x:c>
    </x:row>
    <x:row r="865" ht="17.25" customHeight="1">
      <x:c r="A865" s="24" t="str">
        <x:v>E-00864</x:v>
      </x:c>
      <x:c r="B865" s="24" t="str">
        <x:v>프라임구독</x:v>
      </x:c>
      <x:c r="C865" s="24" t="str">
        <x:v>355루1724</x:v>
      </x:c>
      <x:c r="D865" s="30" t="n">
        <x:v>44883</x:v>
      </x:c>
      <x:c r="E865" s="24" t="str">
        <x:v>계약시작</x:v>
      </x:c>
      <x:c r="F865" s="24" t="str"/>
      <x:c r="G865" s="24" t="str">
        <x:v>대여중</x:v>
      </x:c>
      <x:c r="H865" s="32" t="n">
        <x:v>1379000</x:v>
      </x:c>
      <x:c r="I865" s="24" t="str">
        <x:v>PR-C-355루1724-2-20221118-121</x:v>
      </x:c>
      <x:c r="J865" s="24" t="str">
        <x:v>강만석</x:v>
      </x:c>
      <x:c r="K865" s="24" t="str">
        <x:v>종료 계약 시작</x:v>
      </x:c>
      <x:c r="L865" s="24" t="str"/>
      <x:c r="M865" s="24" t="str"/>
      <x:c r="N865" s="30" t="n">
        <x:v>44883</x:v>
      </x:c>
    </x:row>
    <x:row r="866" ht="17.25" customHeight="1">
      <x:c r="A866" s="24" t="str">
        <x:v>E-00865</x:v>
      </x:c>
      <x:c r="B866" s="24" t="str">
        <x:v>프라임구독</x:v>
      </x:c>
      <x:c r="C866" s="24" t="str">
        <x:v>355루1724</x:v>
      </x:c>
      <x:c r="D866" s="30" t="n">
        <x:v>45971</x:v>
      </x:c>
      <x:c r="E866" s="24" t="str">
        <x:v>반납</x:v>
      </x:c>
      <x:c r="F866" s="24" t="str">
        <x:v>대여중</x:v>
      </x:c>
      <x:c r="G866" s="24" t="str">
        <x:v>쉬는차</x:v>
      </x:c>
      <x:c r="H866" s="32"/>
      <x:c r="I866" s="24" t="str">
        <x:v>PR-C-355루1724-2-20221118-121</x:v>
      </x:c>
      <x:c r="J866" s="24" t="str">
        <x:v>강만석</x:v>
      </x:c>
      <x:c r="K866" s="24" t="str">
        <x:v>차량 반납</x:v>
      </x:c>
      <x:c r="L866" s="24" t="str"/>
      <x:c r="M866" s="24" t="str"/>
      <x:c r="N866" s="30" t="n">
        <x:v>45971</x:v>
      </x:c>
    </x:row>
    <x:row r="867" ht="17.25" customHeight="1">
      <x:c r="A867" s="24" t="str">
        <x:v>E-00866</x:v>
      </x:c>
      <x:c r="B867" s="24" t="str">
        <x:v>프라임구독</x:v>
      </x:c>
      <x:c r="C867" s="24" t="str">
        <x:v>358다8942</x:v>
      </x:c>
      <x:c r="D867" s="30" t="n">
        <x:v>44938</x:v>
      </x:c>
      <x:c r="E867" s="24" t="str">
        <x:v>계약시작</x:v>
      </x:c>
      <x:c r="F867" s="24" t="str"/>
      <x:c r="G867" s="24" t="str">
        <x:v>대여중</x:v>
      </x:c>
      <x:c r="H867" s="32" t="n">
        <x:v>736000</x:v>
      </x:c>
      <x:c r="I867" s="24" t="str">
        <x:v>PR-C-358다8942-1-20230112-122</x:v>
      </x:c>
      <x:c r="J867" s="24" t="str">
        <x:v>김종범</x:v>
      </x:c>
      <x:c r="K867" s="24" t="str">
        <x:v>구독 계약 시작</x:v>
      </x:c>
      <x:c r="L867" s="24" t="str"/>
      <x:c r="M867" s="24" t="str"/>
      <x:c r="N867" s="30" t="n">
        <x:v>44938</x:v>
      </x:c>
    </x:row>
    <x:row r="868" ht="17.25" customHeight="1">
      <x:c r="A868" s="24" t="str">
        <x:v>E-00867</x:v>
      </x:c>
      <x:c r="B868" s="24" t="str">
        <x:v>프라임구독</x:v>
      </x:c>
      <x:c r="C868" s="24" t="str">
        <x:v>35라3486</x:v>
      </x:c>
      <x:c r="D868" s="30" t="n">
        <x:v>44958</x:v>
      </x:c>
      <x:c r="E868" s="24" t="str">
        <x:v>계약시작</x:v>
      </x:c>
      <x:c r="F868" s="24" t="str"/>
      <x:c r="G868" s="24" t="str">
        <x:v>대여중</x:v>
      </x:c>
      <x:c r="H868" s="32" t="n">
        <x:v>772000</x:v>
      </x:c>
      <x:c r="I868" s="24" t="str">
        <x:v>PR-C-35라3486-2-20230201-123</x:v>
      </x:c>
      <x:c r="J868" s="24" t="str">
        <x:v>안정호</x:v>
      </x:c>
      <x:c r="K868" s="24" t="str">
        <x:v>종료 계약 시작</x:v>
      </x:c>
      <x:c r="L868" s="24" t="str"/>
      <x:c r="M868" s="24" t="str"/>
      <x:c r="N868" s="30" t="n">
        <x:v>44958</x:v>
      </x:c>
    </x:row>
    <x:row r="869" ht="17.25" customHeight="1">
      <x:c r="A869" s="24" t="str">
        <x:v>E-00868</x:v>
      </x:c>
      <x:c r="B869" s="24" t="str">
        <x:v>프라임구독</x:v>
      </x:c>
      <x:c r="C869" s="24" t="str">
        <x:v>35라3486</x:v>
      </x:c>
      <x:c r="D869" s="30" t="n">
        <x:v>46042</x:v>
      </x:c>
      <x:c r="E869" s="24" t="str">
        <x:v>반납</x:v>
      </x:c>
      <x:c r="F869" s="24" t="str">
        <x:v>대여중</x:v>
      </x:c>
      <x:c r="G869" s="24" t="str">
        <x:v>쉬는차</x:v>
      </x:c>
      <x:c r="H869" s="32"/>
      <x:c r="I869" s="24" t="str">
        <x:v>PR-C-35라3486-2-20230201-123</x:v>
      </x:c>
      <x:c r="J869" s="24" t="str">
        <x:v>안정호</x:v>
      </x:c>
      <x:c r="K869" s="24" t="str">
        <x:v>차량 반납</x:v>
      </x:c>
      <x:c r="L869" s="24" t="str"/>
      <x:c r="M869" s="24" t="str"/>
      <x:c r="N869" s="30" t="n">
        <x:v>46042</x:v>
      </x:c>
    </x:row>
    <x:row r="870" ht="17.25" customHeight="1">
      <x:c r="A870" s="24" t="str">
        <x:v>E-00869</x:v>
      </x:c>
      <x:c r="B870" s="24" t="str">
        <x:v>프라임구독</x:v>
      </x:c>
      <x:c r="C870" s="24" t="str">
        <x:v>35조0980</x:v>
      </x:c>
      <x:c r="D870" s="30" t="n">
        <x:v>45149</x:v>
      </x:c>
      <x:c r="E870" s="24" t="str">
        <x:v>계약시작</x:v>
      </x:c>
      <x:c r="F870" s="24" t="str"/>
      <x:c r="G870" s="24" t="str">
        <x:v>대여중</x:v>
      </x:c>
      <x:c r="H870" s="32" t="n">
        <x:v>856000</x:v>
      </x:c>
      <x:c r="I870" s="24" t="str">
        <x:v>PR-C-35조0980-1-20230811-124</x:v>
      </x:c>
      <x:c r="J870" s="24" t="str">
        <x:v>김진성1</x:v>
      </x:c>
      <x:c r="K870" s="24" t="str">
        <x:v>구독 계약 시작</x:v>
      </x:c>
      <x:c r="L870" s="24" t="str"/>
      <x:c r="M870" s="24" t="str"/>
      <x:c r="N870" s="30" t="n">
        <x:v>45149</x:v>
      </x:c>
    </x:row>
    <x:row r="871" ht="17.25" customHeight="1">
      <x:c r="A871" s="24" t="str">
        <x:v>E-00870</x:v>
      </x:c>
      <x:c r="B871" s="24" t="str">
        <x:v>프라임구독</x:v>
      </x:c>
      <x:c r="C871" s="24" t="str">
        <x:v>366버2054</x:v>
      </x:c>
      <x:c r="D871" s="30" t="n">
        <x:v>44539</x:v>
      </x:c>
      <x:c r="E871" s="24" t="str">
        <x:v>계약시작</x:v>
      </x:c>
      <x:c r="F871" s="24" t="str"/>
      <x:c r="G871" s="24" t="str">
        <x:v>대여중</x:v>
      </x:c>
      <x:c r="H871" s="32" t="n">
        <x:v>324000</x:v>
      </x:c>
      <x:c r="I871" s="24" t="str">
        <x:v>PR-C-366버2054-2-20211209-125</x:v>
      </x:c>
      <x:c r="J871" s="24" t="str">
        <x:v>박영균1</x:v>
      </x:c>
      <x:c r="K871" s="24" t="str">
        <x:v>종료 계약 시작</x:v>
      </x:c>
      <x:c r="L871" s="24" t="str"/>
      <x:c r="M871" s="24" t="str"/>
      <x:c r="N871" s="30" t="n">
        <x:v>44539</x:v>
      </x:c>
    </x:row>
    <x:row r="872" ht="17.25" customHeight="1">
      <x:c r="A872" s="24" t="str">
        <x:v>E-00871</x:v>
      </x:c>
      <x:c r="B872" s="24" t="str">
        <x:v>프라임구독</x:v>
      </x:c>
      <x:c r="C872" s="24" t="str">
        <x:v>366버2054</x:v>
      </x:c>
      <x:c r="D872" s="30" t="n">
        <x:v>45636</x:v>
      </x:c>
      <x:c r="E872" s="24" t="str">
        <x:v>반납</x:v>
      </x:c>
      <x:c r="F872" s="24" t="str">
        <x:v>대여중</x:v>
      </x:c>
      <x:c r="G872" s="24" t="str">
        <x:v>쉬는차</x:v>
      </x:c>
      <x:c r="H872" s="32"/>
      <x:c r="I872" s="24" t="str">
        <x:v>PR-C-366버2054-2-20211209-125</x:v>
      </x:c>
      <x:c r="J872" s="24" t="str">
        <x:v>박영균1</x:v>
      </x:c>
      <x:c r="K872" s="24" t="str">
        <x:v>차량 반납</x:v>
      </x:c>
      <x:c r="L872" s="24" t="str"/>
      <x:c r="M872" s="24" t="str"/>
      <x:c r="N872" s="30" t="n">
        <x:v>45636</x:v>
      </x:c>
    </x:row>
    <x:row r="873" ht="17.25" customHeight="1">
      <x:c r="A873" s="24" t="str">
        <x:v>E-00872</x:v>
      </x:c>
      <x:c r="B873" s="24" t="str">
        <x:v>프라임구독</x:v>
      </x:c>
      <x:c r="C873" s="24" t="str">
        <x:v>36너9100</x:v>
      </x:c>
      <x:c r="D873" s="30" t="n">
        <x:v>44803</x:v>
      </x:c>
      <x:c r="E873" s="24" t="str">
        <x:v>계약시작</x:v>
      </x:c>
      <x:c r="F873" s="24" t="str"/>
      <x:c r="G873" s="24" t="str">
        <x:v>대여중</x:v>
      </x:c>
      <x:c r="H873" s="32" t="n">
        <x:v>858000</x:v>
      </x:c>
      <x:c r="I873" s="24" t="str">
        <x:v>PR-C-36너9100-2-20220830-126</x:v>
      </x:c>
      <x:c r="J873" s="24" t="str">
        <x:v>장명수</x:v>
      </x:c>
      <x:c r="K873" s="24" t="str">
        <x:v>종료 계약 시작</x:v>
      </x:c>
      <x:c r="L873" s="24" t="str"/>
      <x:c r="M873" s="24" t="str"/>
      <x:c r="N873" s="30" t="n">
        <x:v>44803</x:v>
      </x:c>
    </x:row>
    <x:row r="874" ht="17.25" customHeight="1">
      <x:c r="A874" s="24" t="str">
        <x:v>E-00873</x:v>
      </x:c>
      <x:c r="B874" s="24" t="str">
        <x:v>프라임구독</x:v>
      </x:c>
      <x:c r="C874" s="24" t="str">
        <x:v>36너9100</x:v>
      </x:c>
      <x:c r="D874" s="30" t="n">
        <x:v>45915</x:v>
      </x:c>
      <x:c r="E874" s="24" t="str">
        <x:v>반납</x:v>
      </x:c>
      <x:c r="F874" s="24" t="str">
        <x:v>대여중</x:v>
      </x:c>
      <x:c r="G874" s="24" t="str">
        <x:v>쉬는차</x:v>
      </x:c>
      <x:c r="H874" s="32"/>
      <x:c r="I874" s="24" t="str">
        <x:v>PR-C-36너9100-2-20220830-126</x:v>
      </x:c>
      <x:c r="J874" s="24" t="str">
        <x:v>장명수</x:v>
      </x:c>
      <x:c r="K874" s="24" t="str">
        <x:v>차량 반납</x:v>
      </x:c>
      <x:c r="L874" s="24" t="str"/>
      <x:c r="M874" s="24" t="str"/>
      <x:c r="N874" s="30" t="n">
        <x:v>45915</x:v>
      </x:c>
    </x:row>
    <x:row r="875" ht="17.25" customHeight="1">
      <x:c r="A875" s="24" t="str">
        <x:v>E-00874</x:v>
      </x:c>
      <x:c r="B875" s="24" t="str">
        <x:v>프라임구독</x:v>
      </x:c>
      <x:c r="C875" s="24" t="str">
        <x:v>36조8835</x:v>
      </x:c>
      <x:c r="D875" s="30" t="n">
        <x:v>44795</x:v>
      </x:c>
      <x:c r="E875" s="24" t="str">
        <x:v>계약시작</x:v>
      </x:c>
      <x:c r="F875" s="24" t="str"/>
      <x:c r="G875" s="24" t="str">
        <x:v>대여중</x:v>
      </x:c>
      <x:c r="H875" s="32" t="n">
        <x:v>593000</x:v>
      </x:c>
      <x:c r="I875" s="24" t="str">
        <x:v>PR-C-36조8835-2-20220822-127</x:v>
      </x:c>
      <x:c r="J875" s="24" t="str">
        <x:v>이상진</x:v>
      </x:c>
      <x:c r="K875" s="24" t="str">
        <x:v>종료 계약 시작</x:v>
      </x:c>
      <x:c r="L875" s="24" t="str"/>
      <x:c r="M875" s="24" t="str"/>
      <x:c r="N875" s="30" t="n">
        <x:v>44795</x:v>
      </x:c>
    </x:row>
    <x:row r="876" ht="17.25" customHeight="1">
      <x:c r="A876" s="24" t="str">
        <x:v>E-00875</x:v>
      </x:c>
      <x:c r="B876" s="24" t="str">
        <x:v>프라임구독</x:v>
      </x:c>
      <x:c r="C876" s="24" t="str">
        <x:v>36조8835</x:v>
      </x:c>
      <x:c r="D876" s="30" t="n">
        <x:v>45894</x:v>
      </x:c>
      <x:c r="E876" s="24" t="str">
        <x:v>반납</x:v>
      </x:c>
      <x:c r="F876" s="24" t="str">
        <x:v>대여중</x:v>
      </x:c>
      <x:c r="G876" s="24" t="str">
        <x:v>쉬는차</x:v>
      </x:c>
      <x:c r="H876" s="32"/>
      <x:c r="I876" s="24" t="str">
        <x:v>PR-C-36조8835-2-20220822-127</x:v>
      </x:c>
      <x:c r="J876" s="24" t="str">
        <x:v>이상진</x:v>
      </x:c>
      <x:c r="K876" s="24" t="str">
        <x:v>차량 반납</x:v>
      </x:c>
      <x:c r="L876" s="24" t="str"/>
      <x:c r="M876" s="24" t="str"/>
      <x:c r="N876" s="30" t="n">
        <x:v>45894</x:v>
      </x:c>
    </x:row>
    <x:row r="877" ht="17.25" customHeight="1">
      <x:c r="A877" s="24" t="str">
        <x:v>E-00876</x:v>
      </x:c>
      <x:c r="B877" s="24" t="str">
        <x:v>프라임구독</x:v>
      </x:c>
      <x:c r="C877" s="24" t="str">
        <x:v>372너6080</x:v>
      </x:c>
      <x:c r="D877" s="30" t="n">
        <x:v>44904</x:v>
      </x:c>
      <x:c r="E877" s="24" t="str">
        <x:v>계약시작</x:v>
      </x:c>
      <x:c r="F877" s="24" t="str"/>
      <x:c r="G877" s="24" t="str">
        <x:v>대여중</x:v>
      </x:c>
      <x:c r="H877" s="32" t="n">
        <x:v>585000</x:v>
      </x:c>
      <x:c r="I877" s="24" t="str">
        <x:v>PR-C-372너6080-2-20221209-128</x:v>
      </x:c>
      <x:c r="J877" s="24" t="str">
        <x:v>허야긴</x:v>
      </x:c>
      <x:c r="K877" s="24" t="str">
        <x:v>종료 계약 시작</x:v>
      </x:c>
      <x:c r="L877" s="24" t="str"/>
      <x:c r="M877" s="24" t="str"/>
      <x:c r="N877" s="30" t="n">
        <x:v>44904</x:v>
      </x:c>
    </x:row>
    <x:row r="878" ht="17.25" customHeight="1">
      <x:c r="A878" s="24" t="str">
        <x:v>E-00877</x:v>
      </x:c>
      <x:c r="B878" s="24" t="str">
        <x:v>프라임구독</x:v>
      </x:c>
      <x:c r="C878" s="24" t="str">
        <x:v>372너6080</x:v>
      </x:c>
      <x:c r="D878" s="30" t="n">
        <x:v>46001</x:v>
      </x:c>
      <x:c r="E878" s="24" t="str">
        <x:v>반납</x:v>
      </x:c>
      <x:c r="F878" s="24" t="str">
        <x:v>대여중</x:v>
      </x:c>
      <x:c r="G878" s="24" t="str">
        <x:v>쉬는차</x:v>
      </x:c>
      <x:c r="H878" s="32"/>
      <x:c r="I878" s="24" t="str">
        <x:v>PR-C-372너6080-2-20221209-128</x:v>
      </x:c>
      <x:c r="J878" s="24" t="str">
        <x:v>허야긴</x:v>
      </x:c>
      <x:c r="K878" s="24" t="str">
        <x:v>차량 반납</x:v>
      </x:c>
      <x:c r="L878" s="24" t="str"/>
      <x:c r="M878" s="24" t="str"/>
      <x:c r="N878" s="30" t="n">
        <x:v>46001</x:v>
      </x:c>
    </x:row>
    <x:row r="879" ht="17.25" customHeight="1">
      <x:c r="A879" s="24" t="str">
        <x:v>E-00878</x:v>
      </x:c>
      <x:c r="B879" s="24" t="str">
        <x:v>프라임구독</x:v>
      </x:c>
      <x:c r="C879" s="24" t="str">
        <x:v>375노8331</x:v>
      </x:c>
      <x:c r="D879" s="30" t="n">
        <x:v>44908</x:v>
      </x:c>
      <x:c r="E879" s="24" t="str">
        <x:v>계약시작</x:v>
      </x:c>
      <x:c r="F879" s="24" t="str"/>
      <x:c r="G879" s="24" t="str">
        <x:v>대여중</x:v>
      </x:c>
      <x:c r="H879" s="32" t="n">
        <x:v>448000</x:v>
      </x:c>
      <x:c r="I879" s="24" t="str">
        <x:v>PR-C-375노8331-2-20221213-129</x:v>
      </x:c>
      <x:c r="J879" s="24" t="str">
        <x:v>황주영</x:v>
      </x:c>
      <x:c r="K879" s="24" t="str">
        <x:v>종료 계약 시작</x:v>
      </x:c>
      <x:c r="L879" s="24" t="str"/>
      <x:c r="M879" s="24" t="str"/>
      <x:c r="N879" s="30" t="n">
        <x:v>44908</x:v>
      </x:c>
    </x:row>
    <x:row r="880" ht="17.25" customHeight="1">
      <x:c r="A880" s="24" t="str">
        <x:v>E-00879</x:v>
      </x:c>
      <x:c r="B880" s="24" t="str">
        <x:v>프라임구독</x:v>
      </x:c>
      <x:c r="C880" s="24" t="str">
        <x:v>375노8331</x:v>
      </x:c>
      <x:c r="D880" s="30" t="n">
        <x:v>46001</x:v>
      </x:c>
      <x:c r="E880" s="24" t="str">
        <x:v>반납</x:v>
      </x:c>
      <x:c r="F880" s="24" t="str">
        <x:v>대여중</x:v>
      </x:c>
      <x:c r="G880" s="24" t="str">
        <x:v>쉬는차</x:v>
      </x:c>
      <x:c r="H880" s="32"/>
      <x:c r="I880" s="24" t="str">
        <x:v>PR-C-375노8331-2-20221213-129</x:v>
      </x:c>
      <x:c r="J880" s="24" t="str">
        <x:v>황주영</x:v>
      </x:c>
      <x:c r="K880" s="24" t="str">
        <x:v>차량 반납</x:v>
      </x:c>
      <x:c r="L880" s="24" t="str"/>
      <x:c r="M880" s="24" t="str"/>
      <x:c r="N880" s="30" t="n">
        <x:v>46001</x:v>
      </x:c>
    </x:row>
    <x:row r="881" ht="17.25" customHeight="1">
      <x:c r="A881" s="24" t="str">
        <x:v>E-00880</x:v>
      </x:c>
      <x:c r="B881" s="24" t="str">
        <x:v>프라임구독</x:v>
      </x:c>
      <x:c r="C881" s="24" t="str">
        <x:v>375어9516</x:v>
      </x:c>
      <x:c r="D881" s="30" t="n">
        <x:v>44890</x:v>
      </x:c>
      <x:c r="E881" s="24" t="str">
        <x:v>계약시작</x:v>
      </x:c>
      <x:c r="F881" s="24" t="str"/>
      <x:c r="G881" s="24" t="str">
        <x:v>대여중</x:v>
      </x:c>
      <x:c r="H881" s="32" t="n">
        <x:v>699000</x:v>
      </x:c>
      <x:c r="I881" s="24" t="str">
        <x:v>PR-C-375어9516-2-20221125-130</x:v>
      </x:c>
      <x:c r="J881" s="24" t="str">
        <x:v>서정빈</x:v>
      </x:c>
      <x:c r="K881" s="24" t="str">
        <x:v>종료 계약 시작</x:v>
      </x:c>
      <x:c r="L881" s="24" t="str"/>
      <x:c r="M881" s="24" t="str"/>
      <x:c r="N881" s="30" t="n">
        <x:v>44890</x:v>
      </x:c>
    </x:row>
    <x:row r="882" ht="17.25" customHeight="1">
      <x:c r="A882" s="24" t="str">
        <x:v>E-00881</x:v>
      </x:c>
      <x:c r="B882" s="24" t="str">
        <x:v>프라임구독</x:v>
      </x:c>
      <x:c r="C882" s="24" t="str">
        <x:v>375어9516</x:v>
      </x:c>
      <x:c r="D882" s="30" t="n">
        <x:v>45971</x:v>
      </x:c>
      <x:c r="E882" s="24" t="str">
        <x:v>반납</x:v>
      </x:c>
      <x:c r="F882" s="24" t="str">
        <x:v>대여중</x:v>
      </x:c>
      <x:c r="G882" s="24" t="str">
        <x:v>쉬는차</x:v>
      </x:c>
      <x:c r="H882" s="32"/>
      <x:c r="I882" s="24" t="str">
        <x:v>PR-C-375어9516-2-20221125-130</x:v>
      </x:c>
      <x:c r="J882" s="24" t="str">
        <x:v>서정빈</x:v>
      </x:c>
      <x:c r="K882" s="24" t="str">
        <x:v>차량 반납</x:v>
      </x:c>
      <x:c r="L882" s="24" t="str"/>
      <x:c r="M882" s="24" t="str"/>
      <x:c r="N882" s="30" t="n">
        <x:v>45971</x:v>
      </x:c>
    </x:row>
    <x:row r="883" ht="17.25" customHeight="1">
      <x:c r="A883" s="24" t="str">
        <x:v>E-00882</x:v>
      </x:c>
      <x:c r="B883" s="24" t="str">
        <x:v>프라임구독</x:v>
      </x:c>
      <x:c r="C883" s="24" t="str">
        <x:v>37가6818</x:v>
      </x:c>
      <x:c r="D883" s="30" t="n">
        <x:v>44736</x:v>
      </x:c>
      <x:c r="E883" s="24" t="str">
        <x:v>계약시작</x:v>
      </x:c>
      <x:c r="F883" s="24" t="str"/>
      <x:c r="G883" s="24" t="str">
        <x:v>대여중</x:v>
      </x:c>
      <x:c r="H883" s="32" t="n">
        <x:v>448000</x:v>
      </x:c>
      <x:c r="I883" s="24" t="str">
        <x:v>PR-C-37가6818-2-20220624-131</x:v>
      </x:c>
      <x:c r="J883" s="24" t="str">
        <x:v>김진덕</x:v>
      </x:c>
      <x:c r="K883" s="24" t="str">
        <x:v>종료 계약 시작</x:v>
      </x:c>
      <x:c r="L883" s="24" t="str"/>
      <x:c r="M883" s="24" t="str"/>
      <x:c r="N883" s="30" t="n">
        <x:v>44736</x:v>
      </x:c>
    </x:row>
    <x:row r="884" ht="17.25" customHeight="1">
      <x:c r="A884" s="24" t="str">
        <x:v>E-00883</x:v>
      </x:c>
      <x:c r="B884" s="24" t="str">
        <x:v>프라임구독</x:v>
      </x:c>
      <x:c r="C884" s="24" t="str">
        <x:v>37가6818</x:v>
      </x:c>
      <x:c r="D884" s="30" t="n">
        <x:v>45833</x:v>
      </x:c>
      <x:c r="E884" s="24" t="str">
        <x:v>반납</x:v>
      </x:c>
      <x:c r="F884" s="24" t="str">
        <x:v>대여중</x:v>
      </x:c>
      <x:c r="G884" s="24" t="str">
        <x:v>쉬는차</x:v>
      </x:c>
      <x:c r="H884" s="32"/>
      <x:c r="I884" s="24" t="str">
        <x:v>PR-C-37가6818-2-20220624-131</x:v>
      </x:c>
      <x:c r="J884" s="24" t="str">
        <x:v>김진덕</x:v>
      </x:c>
      <x:c r="K884" s="24" t="str">
        <x:v>차량 반납</x:v>
      </x:c>
      <x:c r="L884" s="24" t="str"/>
      <x:c r="M884" s="24" t="str"/>
      <x:c r="N884" s="30" t="n">
        <x:v>45833</x:v>
      </x:c>
    </x:row>
    <x:row r="885" ht="17.25" customHeight="1">
      <x:c r="A885" s="24" t="str">
        <x:v>E-00884</x:v>
      </x:c>
      <x:c r="B885" s="24" t="str">
        <x:v>프라임구독</x:v>
      </x:c>
      <x:c r="C885" s="24" t="str">
        <x:v>37루0709</x:v>
      </x:c>
      <x:c r="D885" s="30" t="n">
        <x:v>44498</x:v>
      </x:c>
      <x:c r="E885" s="24" t="str">
        <x:v>계약시작</x:v>
      </x:c>
      <x:c r="F885" s="24" t="str"/>
      <x:c r="G885" s="24" t="str">
        <x:v>대여중</x:v>
      </x:c>
      <x:c r="H885" s="32" t="n">
        <x:v>835000</x:v>
      </x:c>
      <x:c r="I885" s="24" t="str">
        <x:v>PR-C-37루0709-2-20211029-132</x:v>
      </x:c>
      <x:c r="J885" s="24" t="str">
        <x:v>김용수</x:v>
      </x:c>
      <x:c r="K885" s="24" t="str">
        <x:v>종료 계약 시작</x:v>
      </x:c>
      <x:c r="L885" s="24" t="str"/>
      <x:c r="M885" s="24" t="str"/>
      <x:c r="N885" s="30" t="n">
        <x:v>44498</x:v>
      </x:c>
    </x:row>
    <x:row r="886" ht="17.25" customHeight="1">
      <x:c r="A886" s="24" t="str">
        <x:v>E-00885</x:v>
      </x:c>
      <x:c r="B886" s="24" t="str">
        <x:v>프라임구독</x:v>
      </x:c>
      <x:c r="C886" s="24" t="str">
        <x:v>37루0709</x:v>
      </x:c>
      <x:c r="D886" s="30" t="n">
        <x:v>45585</x:v>
      </x:c>
      <x:c r="E886" s="24" t="str">
        <x:v>반납</x:v>
      </x:c>
      <x:c r="F886" s="24" t="str">
        <x:v>대여중</x:v>
      </x:c>
      <x:c r="G886" s="24" t="str">
        <x:v>쉬는차</x:v>
      </x:c>
      <x:c r="H886" s="32"/>
      <x:c r="I886" s="24" t="str">
        <x:v>PR-C-37루0709-2-20211029-132</x:v>
      </x:c>
      <x:c r="J886" s="24" t="str">
        <x:v>김용수</x:v>
      </x:c>
      <x:c r="K886" s="24" t="str">
        <x:v>차량 반납</x:v>
      </x:c>
      <x:c r="L886" s="24" t="str"/>
      <x:c r="M886" s="24" t="str"/>
      <x:c r="N886" s="30" t="n">
        <x:v>45585</x:v>
      </x:c>
    </x:row>
    <x:row r="887" ht="17.25" customHeight="1">
      <x:c r="A887" s="24" t="str">
        <x:v>E-00886</x:v>
      </x:c>
      <x:c r="B887" s="24" t="str">
        <x:v>프라임구독</x:v>
      </x:c>
      <x:c r="C887" s="24" t="str">
        <x:v>37무0235</x:v>
      </x:c>
      <x:c r="D887" s="30" t="n">
        <x:v>44999</x:v>
      </x:c>
      <x:c r="E887" s="24" t="str">
        <x:v>계약시작</x:v>
      </x:c>
      <x:c r="F887" s="24" t="str"/>
      <x:c r="G887" s="24" t="str">
        <x:v>대여중</x:v>
      </x:c>
      <x:c r="H887" s="32" t="n">
        <x:v>759000</x:v>
      </x:c>
      <x:c r="I887" s="24" t="str">
        <x:v>PR-C-37무0235-2-20230314-133</x:v>
      </x:c>
      <x:c r="J887" s="24" t="str">
        <x:v>박창섭</x:v>
      </x:c>
      <x:c r="K887" s="24" t="str">
        <x:v>종료 계약 시작</x:v>
      </x:c>
      <x:c r="L887" s="24" t="str"/>
      <x:c r="M887" s="24" t="str"/>
      <x:c r="N887" s="30" t="n">
        <x:v>44999</x:v>
      </x:c>
    </x:row>
    <x:row r="888" ht="17.25" customHeight="1">
      <x:c r="A888" s="24" t="str">
        <x:v>E-00887</x:v>
      </x:c>
      <x:c r="B888" s="24" t="str">
        <x:v>프라임구독</x:v>
      </x:c>
      <x:c r="C888" s="24" t="str">
        <x:v>37무0235</x:v>
      </x:c>
      <x:c r="D888" s="30" t="n">
        <x:v>46091</x:v>
      </x:c>
      <x:c r="E888" s="24" t="str">
        <x:v>반납</x:v>
      </x:c>
      <x:c r="F888" s="24" t="str">
        <x:v>대여중</x:v>
      </x:c>
      <x:c r="G888" s="24" t="str">
        <x:v>쉬는차</x:v>
      </x:c>
      <x:c r="H888" s="32"/>
      <x:c r="I888" s="24" t="str">
        <x:v>PR-C-37무0235-2-20230314-133</x:v>
      </x:c>
      <x:c r="J888" s="24" t="str">
        <x:v>박창섭</x:v>
      </x:c>
      <x:c r="K888" s="24" t="str">
        <x:v>차량 반납</x:v>
      </x:c>
      <x:c r="L888" s="24" t="str"/>
      <x:c r="M888" s="24" t="str"/>
      <x:c r="N888" s="30" t="n">
        <x:v>46091</x:v>
      </x:c>
    </x:row>
    <x:row r="889" ht="17.25" customHeight="1">
      <x:c r="A889" s="24" t="str">
        <x:v>E-00888</x:v>
      </x:c>
      <x:c r="B889" s="24" t="str">
        <x:v>프라임구독</x:v>
      </x:c>
      <x:c r="C889" s="24" t="str">
        <x:v>37부6628</x:v>
      </x:c>
      <x:c r="D889" s="30" t="n">
        <x:v>45230</x:v>
      </x:c>
      <x:c r="E889" s="24" t="str">
        <x:v>계약시작</x:v>
      </x:c>
      <x:c r="F889" s="24" t="str"/>
      <x:c r="G889" s="24" t="str">
        <x:v>대여중</x:v>
      </x:c>
      <x:c r="H889" s="32" t="n">
        <x:v>770000</x:v>
      </x:c>
      <x:c r="I889" s="24" t="str">
        <x:v>PR-C-37부6628-1-20231031-134</x:v>
      </x:c>
      <x:c r="J889" s="24" t="str">
        <x:v>배초롱</x:v>
      </x:c>
      <x:c r="K889" s="24" t="str">
        <x:v>구독 계약 시작</x:v>
      </x:c>
      <x:c r="L889" s="24" t="str"/>
      <x:c r="M889" s="24" t="str"/>
      <x:c r="N889" s="30" t="n">
        <x:v>45230</x:v>
      </x:c>
    </x:row>
    <x:row r="890" ht="17.25" customHeight="1">
      <x:c r="A890" s="24" t="str">
        <x:v>E-00889</x:v>
      </x:c>
      <x:c r="B890" s="24" t="str">
        <x:v>프라임구독</x:v>
      </x:c>
      <x:c r="C890" s="24" t="str">
        <x:v>383고5530</x:v>
      </x:c>
      <x:c r="D890" s="30" t="n">
        <x:v>44928</x:v>
      </x:c>
      <x:c r="E890" s="24" t="str">
        <x:v>계약시작</x:v>
      </x:c>
      <x:c r="F890" s="24" t="str"/>
      <x:c r="G890" s="24" t="str">
        <x:v>대여중</x:v>
      </x:c>
      <x:c r="H890" s="32" t="n">
        <x:v>1103000</x:v>
      </x:c>
      <x:c r="I890" s="24" t="str">
        <x:v>PR-C-383고5530-2-20230102-135</x:v>
      </x:c>
      <x:c r="J890" s="24" t="str">
        <x:v>최창석</x:v>
      </x:c>
      <x:c r="K890" s="24" t="str">
        <x:v>종료 계약 시작</x:v>
      </x:c>
      <x:c r="L890" s="24" t="str"/>
      <x:c r="M890" s="24" t="str"/>
      <x:c r="N890" s="30" t="n">
        <x:v>44928</x:v>
      </x:c>
    </x:row>
    <x:row r="891" ht="17.25" customHeight="1">
      <x:c r="A891" s="24" t="str">
        <x:v>E-00890</x:v>
      </x:c>
      <x:c r="B891" s="24" t="str">
        <x:v>프라임구독</x:v>
      </x:c>
      <x:c r="C891" s="24" t="str">
        <x:v>383고5530</x:v>
      </x:c>
      <x:c r="D891" s="30" t="n">
        <x:v>46021</x:v>
      </x:c>
      <x:c r="E891" s="24" t="str">
        <x:v>반납</x:v>
      </x:c>
      <x:c r="F891" s="24" t="str">
        <x:v>대여중</x:v>
      </x:c>
      <x:c r="G891" s="24" t="str">
        <x:v>쉬는차</x:v>
      </x:c>
      <x:c r="H891" s="32"/>
      <x:c r="I891" s="24" t="str">
        <x:v>PR-C-383고5530-2-20230102-135</x:v>
      </x:c>
      <x:c r="J891" s="24" t="str">
        <x:v>최창석</x:v>
      </x:c>
      <x:c r="K891" s="24" t="str">
        <x:v>차량 반납</x:v>
      </x:c>
      <x:c r="L891" s="24" t="str"/>
      <x:c r="M891" s="24" t="str"/>
      <x:c r="N891" s="30" t="n">
        <x:v>46021</x:v>
      </x:c>
    </x:row>
    <x:row r="892" ht="17.25" customHeight="1">
      <x:c r="A892" s="24" t="str">
        <x:v>E-00891</x:v>
      </x:c>
      <x:c r="B892" s="24" t="str">
        <x:v>프라임구독</x:v>
      </x:c>
      <x:c r="C892" s="24" t="str">
        <x:v>385두9468</x:v>
      </x:c>
      <x:c r="D892" s="30" t="n">
        <x:v>44783</x:v>
      </x:c>
      <x:c r="E892" s="24" t="str">
        <x:v>계약시작</x:v>
      </x:c>
      <x:c r="F892" s="24" t="str"/>
      <x:c r="G892" s="24" t="str">
        <x:v>대여중</x:v>
      </x:c>
      <x:c r="H892" s="32" t="n">
        <x:v>486000</x:v>
      </x:c>
      <x:c r="I892" s="24" t="str">
        <x:v>PR-C-385두9468-2-20220810-136</x:v>
      </x:c>
      <x:c r="J892" s="24" t="str">
        <x:v>신철호</x:v>
      </x:c>
      <x:c r="K892" s="24" t="str">
        <x:v>종료 계약 시작</x:v>
      </x:c>
      <x:c r="L892" s="24" t="str"/>
      <x:c r="M892" s="24" t="str"/>
      <x:c r="N892" s="30" t="n">
        <x:v>44783</x:v>
      </x:c>
    </x:row>
    <x:row r="893" ht="17.25" customHeight="1">
      <x:c r="A893" s="24" t="str">
        <x:v>E-00892</x:v>
      </x:c>
      <x:c r="B893" s="24" t="str">
        <x:v>프라임구독</x:v>
      </x:c>
      <x:c r="C893" s="24" t="str">
        <x:v>385두9468</x:v>
      </x:c>
      <x:c r="D893" s="30" t="n">
        <x:v>45889</x:v>
      </x:c>
      <x:c r="E893" s="24" t="str">
        <x:v>반납</x:v>
      </x:c>
      <x:c r="F893" s="24" t="str">
        <x:v>대여중</x:v>
      </x:c>
      <x:c r="G893" s="24" t="str">
        <x:v>쉬는차</x:v>
      </x:c>
      <x:c r="H893" s="32"/>
      <x:c r="I893" s="24" t="str">
        <x:v>PR-C-385두9468-2-20220810-136</x:v>
      </x:c>
      <x:c r="J893" s="24" t="str">
        <x:v>신철호</x:v>
      </x:c>
      <x:c r="K893" s="24" t="str">
        <x:v>차량 반납</x:v>
      </x:c>
      <x:c r="L893" s="24" t="str"/>
      <x:c r="M893" s="24" t="str"/>
      <x:c r="N893" s="30" t="n">
        <x:v>45889</x:v>
      </x:c>
    </x:row>
    <x:row r="894" ht="17.25" customHeight="1">
      <x:c r="A894" s="24" t="str">
        <x:v>E-00893</x:v>
      </x:c>
      <x:c r="B894" s="24" t="str">
        <x:v>프라임구독</x:v>
      </x:c>
      <x:c r="C894" s="24" t="str">
        <x:v>38거0839</x:v>
      </x:c>
      <x:c r="D894" s="30" t="n">
        <x:v>45321</x:v>
      </x:c>
      <x:c r="E894" s="24" t="str">
        <x:v>계약시작</x:v>
      </x:c>
      <x:c r="F894" s="24" t="str"/>
      <x:c r="G894" s="24" t="str">
        <x:v>대여중</x:v>
      </x:c>
      <x:c r="H894" s="32" t="n">
        <x:v>573000</x:v>
      </x:c>
      <x:c r="I894" s="24" t="str">
        <x:v>PR-C-38거0839-1-20240130-137</x:v>
      </x:c>
      <x:c r="J894" s="24" t="str">
        <x:v>김준모</x:v>
      </x:c>
      <x:c r="K894" s="24" t="str">
        <x:v>구독 계약 시작</x:v>
      </x:c>
      <x:c r="L894" s="24" t="str"/>
      <x:c r="M894" s="24" t="str"/>
      <x:c r="N894" s="30" t="n">
        <x:v>45321</x:v>
      </x:c>
    </x:row>
    <x:row r="895" ht="17.25" customHeight="1">
      <x:c r="A895" s="24" t="str">
        <x:v>E-00894</x:v>
      </x:c>
      <x:c r="B895" s="24" t="str">
        <x:v>프라임구독</x:v>
      </x:c>
      <x:c r="C895" s="24" t="str">
        <x:v>38나0980</x:v>
      </x:c>
      <x:c r="D895" s="30" t="n">
        <x:v>44907</x:v>
      </x:c>
      <x:c r="E895" s="24" t="str">
        <x:v>계약시작</x:v>
      </x:c>
      <x:c r="F895" s="24" t="str"/>
      <x:c r="G895" s="24" t="str">
        <x:v>대여중</x:v>
      </x:c>
      <x:c r="H895" s="32" t="n">
        <x:v>493000</x:v>
      </x:c>
      <x:c r="I895" s="24" t="str">
        <x:v>PR-C-38나0980-2-20221212-138</x:v>
      </x:c>
      <x:c r="J895" s="24" t="str">
        <x:v>박재한</x:v>
      </x:c>
      <x:c r="K895" s="24" t="str">
        <x:v>종료 계약 시작</x:v>
      </x:c>
      <x:c r="L895" s="24" t="str"/>
      <x:c r="M895" s="24" t="str"/>
      <x:c r="N895" s="30" t="n">
        <x:v>44907</x:v>
      </x:c>
    </x:row>
    <x:row r="896" ht="17.25" customHeight="1">
      <x:c r="A896" s="24" t="str">
        <x:v>E-00895</x:v>
      </x:c>
      <x:c r="B896" s="24" t="str">
        <x:v>프라임구독</x:v>
      </x:c>
      <x:c r="C896" s="24" t="str">
        <x:v>38나0980</x:v>
      </x:c>
      <x:c r="D896" s="30" t="n">
        <x:v>46021</x:v>
      </x:c>
      <x:c r="E896" s="24" t="str">
        <x:v>반납</x:v>
      </x:c>
      <x:c r="F896" s="24" t="str">
        <x:v>대여중</x:v>
      </x:c>
      <x:c r="G896" s="24" t="str">
        <x:v>쉬는차</x:v>
      </x:c>
      <x:c r="H896" s="32"/>
      <x:c r="I896" s="24" t="str">
        <x:v>PR-C-38나0980-2-20221212-138</x:v>
      </x:c>
      <x:c r="J896" s="24" t="str">
        <x:v>박재한</x:v>
      </x:c>
      <x:c r="K896" s="24" t="str">
        <x:v>차량 반납</x:v>
      </x:c>
      <x:c r="L896" s="24" t="str"/>
      <x:c r="M896" s="24" t="str"/>
      <x:c r="N896" s="30" t="n">
        <x:v>46021</x:v>
      </x:c>
    </x:row>
    <x:row r="897" ht="17.25" customHeight="1">
      <x:c r="A897" s="24" t="str">
        <x:v>E-00896</x:v>
      </x:c>
      <x:c r="B897" s="24" t="str">
        <x:v>프라임구독</x:v>
      </x:c>
      <x:c r="C897" s="24" t="str">
        <x:v>38모0931</x:v>
      </x:c>
      <x:c r="D897" s="30" t="n">
        <x:v>44827</x:v>
      </x:c>
      <x:c r="E897" s="24" t="str">
        <x:v>계약시작</x:v>
      </x:c>
      <x:c r="F897" s="24" t="str"/>
      <x:c r="G897" s="24" t="str">
        <x:v>대여중</x:v>
      </x:c>
      <x:c r="H897" s="32" t="n">
        <x:v>710000</x:v>
      </x:c>
      <x:c r="I897" s="24" t="str">
        <x:v>PR-C-38모0931-2-20220923-139</x:v>
      </x:c>
      <x:c r="J897" s="24" t="str">
        <x:v>우경희</x:v>
      </x:c>
      <x:c r="K897" s="24" t="str">
        <x:v>종료 계약 시작</x:v>
      </x:c>
      <x:c r="L897" s="24" t="str"/>
      <x:c r="M897" s="24" t="str"/>
      <x:c r="N897" s="30" t="n">
        <x:v>44827</x:v>
      </x:c>
    </x:row>
    <x:row r="898" ht="17.25" customHeight="1">
      <x:c r="A898" s="24" t="str">
        <x:v>E-00897</x:v>
      </x:c>
      <x:c r="B898" s="24" t="str">
        <x:v>프라임구독</x:v>
      </x:c>
      <x:c r="C898" s="24" t="str">
        <x:v>38모0931</x:v>
      </x:c>
      <x:c r="D898" s="30" t="n">
        <x:v>45935</x:v>
      </x:c>
      <x:c r="E898" s="24" t="str">
        <x:v>반납</x:v>
      </x:c>
      <x:c r="F898" s="24" t="str">
        <x:v>대여중</x:v>
      </x:c>
      <x:c r="G898" s="24" t="str">
        <x:v>쉬는차</x:v>
      </x:c>
      <x:c r="H898" s="32"/>
      <x:c r="I898" s="24" t="str">
        <x:v>PR-C-38모0931-2-20220923-139</x:v>
      </x:c>
      <x:c r="J898" s="24" t="str">
        <x:v>우경희</x:v>
      </x:c>
      <x:c r="K898" s="24" t="str">
        <x:v>차량 반납</x:v>
      </x:c>
      <x:c r="L898" s="24" t="str"/>
      <x:c r="M898" s="24" t="str"/>
      <x:c r="N898" s="30" t="n">
        <x:v>45935</x:v>
      </x:c>
    </x:row>
    <x:row r="899" ht="17.25" customHeight="1">
      <x:c r="A899" s="24" t="str">
        <x:v>E-00898</x:v>
      </x:c>
      <x:c r="B899" s="24" t="str">
        <x:v>프라임구독</x:v>
      </x:c>
      <x:c r="C899" s="24" t="str">
        <x:v>392주8214</x:v>
      </x:c>
      <x:c r="D899" s="30" t="n">
        <x:v>44643</x:v>
      </x:c>
      <x:c r="E899" s="24" t="str">
        <x:v>계약시작</x:v>
      </x:c>
      <x:c r="F899" s="24" t="str"/>
      <x:c r="G899" s="24" t="str">
        <x:v>대여중</x:v>
      </x:c>
      <x:c r="H899" s="32" t="n">
        <x:v>500000</x:v>
      </x:c>
      <x:c r="I899" s="24" t="str">
        <x:v>PR-C-392주8214-2-20220323-140</x:v>
      </x:c>
      <x:c r="J899" s="24" t="str">
        <x:v>하갑영1</x:v>
      </x:c>
      <x:c r="K899" s="24" t="str">
        <x:v>종료 계약 시작</x:v>
      </x:c>
      <x:c r="L899" s="24" t="str"/>
      <x:c r="M899" s="24" t="str"/>
      <x:c r="N899" s="30" t="n">
        <x:v>44643</x:v>
      </x:c>
    </x:row>
    <x:row r="900" ht="17.25" customHeight="1">
      <x:c r="A900" s="24" t="str">
        <x:v>E-00899</x:v>
      </x:c>
      <x:c r="B900" s="24" t="str">
        <x:v>프라임구독</x:v>
      </x:c>
      <x:c r="C900" s="24" t="str">
        <x:v>392주8214</x:v>
      </x:c>
      <x:c r="D900" s="30" t="n">
        <x:v>45736</x:v>
      </x:c>
      <x:c r="E900" s="24" t="str">
        <x:v>반납</x:v>
      </x:c>
      <x:c r="F900" s="24" t="str">
        <x:v>대여중</x:v>
      </x:c>
      <x:c r="G900" s="24" t="str">
        <x:v>쉬는차</x:v>
      </x:c>
      <x:c r="H900" s="32"/>
      <x:c r="I900" s="24" t="str">
        <x:v>PR-C-392주8214-2-20220323-140</x:v>
      </x:c>
      <x:c r="J900" s="24" t="str">
        <x:v>하갑영1</x:v>
      </x:c>
      <x:c r="K900" s="24" t="str">
        <x:v>차량 반납</x:v>
      </x:c>
      <x:c r="L900" s="24" t="str"/>
      <x:c r="M900" s="24" t="str"/>
      <x:c r="N900" s="30" t="n">
        <x:v>45736</x:v>
      </x:c>
    </x:row>
    <x:row r="901" ht="17.25" customHeight="1">
      <x:c r="A901" s="24" t="str">
        <x:v>E-00900</x:v>
      </x:c>
      <x:c r="B901" s="24" t="str">
        <x:v>프라임구독</x:v>
      </x:c>
      <x:c r="C901" s="24" t="str">
        <x:v>392주8214</x:v>
      </x:c>
      <x:c r="D901" s="30" t="n">
        <x:v>44643</x:v>
      </x:c>
      <x:c r="E901" s="24" t="str">
        <x:v>계약시작</x:v>
      </x:c>
      <x:c r="F901" s="24" t="str"/>
      <x:c r="G901" s="24" t="str">
        <x:v>대여중</x:v>
      </x:c>
      <x:c r="H901" s="32" t="n">
        <x:v>500000</x:v>
      </x:c>
      <x:c r="I901" s="24" t="str">
        <x:v>PR-C-392주8214-3-20220323-140</x:v>
      </x:c>
      <x:c r="J901" s="24" t="str">
        <x:v>하갑영1</x:v>
      </x:c>
      <x:c r="K901" s="24" t="str">
        <x:v>종료 계약 시작</x:v>
      </x:c>
      <x:c r="L901" s="24" t="str"/>
      <x:c r="M901" s="24" t="str"/>
      <x:c r="N901" s="30" t="n">
        <x:v>44643</x:v>
      </x:c>
    </x:row>
    <x:row r="902" ht="17.25" customHeight="1">
      <x:c r="A902" s="24" t="str">
        <x:v>E-00901</x:v>
      </x:c>
      <x:c r="B902" s="24" t="str">
        <x:v>프라임구독</x:v>
      </x:c>
      <x:c r="C902" s="24" t="str">
        <x:v>392주8214</x:v>
      </x:c>
      <x:c r="D902" s="30" t="n">
        <x:v>45736</x:v>
      </x:c>
      <x:c r="E902" s="24" t="str">
        <x:v>반납</x:v>
      </x:c>
      <x:c r="F902" s="24" t="str">
        <x:v>대여중</x:v>
      </x:c>
      <x:c r="G902" s="24" t="str">
        <x:v>쉬는차</x:v>
      </x:c>
      <x:c r="H902" s="32"/>
      <x:c r="I902" s="24" t="str">
        <x:v>PR-C-392주8214-3-20220323-140</x:v>
      </x:c>
      <x:c r="J902" s="24" t="str">
        <x:v>하갑영1</x:v>
      </x:c>
      <x:c r="K902" s="24" t="str">
        <x:v>차량 반납</x:v>
      </x:c>
      <x:c r="L902" s="24" t="str"/>
      <x:c r="M902" s="24" t="str"/>
      <x:c r="N902" s="30" t="n">
        <x:v>45736</x:v>
      </x:c>
    </x:row>
    <x:row r="903" ht="17.25" customHeight="1">
      <x:c r="A903" s="24" t="str">
        <x:v>E-00902</x:v>
      </x:c>
      <x:c r="B903" s="24" t="str">
        <x:v>프라임구독</x:v>
      </x:c>
      <x:c r="C903" s="24" t="str">
        <x:v>399저1006</x:v>
      </x:c>
      <x:c r="D903" s="30" t="n">
        <x:v>44886</x:v>
      </x:c>
      <x:c r="E903" s="24" t="str">
        <x:v>계약시작</x:v>
      </x:c>
      <x:c r="F903" s="24" t="str"/>
      <x:c r="G903" s="24" t="str">
        <x:v>대여중</x:v>
      </x:c>
      <x:c r="H903" s="32" t="n">
        <x:v>618000</x:v>
      </x:c>
      <x:c r="I903" s="24" t="str">
        <x:v>PR-C-399저1006-2-20221121-141</x:v>
      </x:c>
      <x:c r="J903" s="24" t="str">
        <x:v>이종혁</x:v>
      </x:c>
      <x:c r="K903" s="24" t="str">
        <x:v>종료 계약 시작</x:v>
      </x:c>
      <x:c r="L903" s="24" t="str"/>
      <x:c r="M903" s="24" t="str"/>
      <x:c r="N903" s="30" t="n">
        <x:v>44886</x:v>
      </x:c>
    </x:row>
    <x:row r="904" ht="17.25" customHeight="1">
      <x:c r="A904" s="24" t="str">
        <x:v>E-00903</x:v>
      </x:c>
      <x:c r="B904" s="24" t="str">
        <x:v>프라임구독</x:v>
      </x:c>
      <x:c r="C904" s="24" t="str">
        <x:v>399저1006</x:v>
      </x:c>
      <x:c r="D904" s="30" t="n">
        <x:v>45981</x:v>
      </x:c>
      <x:c r="E904" s="24" t="str">
        <x:v>반납</x:v>
      </x:c>
      <x:c r="F904" s="24" t="str">
        <x:v>대여중</x:v>
      </x:c>
      <x:c r="G904" s="24" t="str">
        <x:v>쉬는차</x:v>
      </x:c>
      <x:c r="H904" s="32"/>
      <x:c r="I904" s="24" t="str">
        <x:v>PR-C-399저1006-2-20221121-141</x:v>
      </x:c>
      <x:c r="J904" s="24" t="str">
        <x:v>이종혁</x:v>
      </x:c>
      <x:c r="K904" s="24" t="str">
        <x:v>차량 반납</x:v>
      </x:c>
      <x:c r="L904" s="24" t="str"/>
      <x:c r="M904" s="24" t="str"/>
      <x:c r="N904" s="30" t="n">
        <x:v>45981</x:v>
      </x:c>
    </x:row>
    <x:row r="905" ht="17.25" customHeight="1">
      <x:c r="A905" s="24" t="str">
        <x:v>E-00904</x:v>
      </x:c>
      <x:c r="B905" s="24" t="str">
        <x:v>프라임구독</x:v>
      </x:c>
      <x:c r="C905" s="24" t="str">
        <x:v>40가4998</x:v>
      </x:c>
      <x:c r="D905" s="30" t="n">
        <x:v>44880</x:v>
      </x:c>
      <x:c r="E905" s="24" t="str">
        <x:v>계약시작</x:v>
      </x:c>
      <x:c r="F905" s="24" t="str"/>
      <x:c r="G905" s="24" t="str">
        <x:v>대여중</x:v>
      </x:c>
      <x:c r="H905" s="32" t="n">
        <x:v>1033000</x:v>
      </x:c>
      <x:c r="I905" s="24" t="str">
        <x:v>PR-C-40가4998-2-20221115-142</x:v>
      </x:c>
      <x:c r="J905" s="24" t="str">
        <x:v>이한나</x:v>
      </x:c>
      <x:c r="K905" s="24" t="str">
        <x:v>종료 계약 시작</x:v>
      </x:c>
      <x:c r="L905" s="24" t="str"/>
      <x:c r="M905" s="24" t="str"/>
      <x:c r="N905" s="30" t="n">
        <x:v>44880</x:v>
      </x:c>
    </x:row>
    <x:row r="906" ht="17.25" customHeight="1">
      <x:c r="A906" s="24" t="str">
        <x:v>E-00905</x:v>
      </x:c>
      <x:c r="B906" s="24" t="str">
        <x:v>프라임구독</x:v>
      </x:c>
      <x:c r="C906" s="24" t="str">
        <x:v>40가4998</x:v>
      </x:c>
      <x:c r="D906" s="30" t="n">
        <x:v>45971</x:v>
      </x:c>
      <x:c r="E906" s="24" t="str">
        <x:v>반납</x:v>
      </x:c>
      <x:c r="F906" s="24" t="str">
        <x:v>대여중</x:v>
      </x:c>
      <x:c r="G906" s="24" t="str">
        <x:v>쉬는차</x:v>
      </x:c>
      <x:c r="H906" s="32"/>
      <x:c r="I906" s="24" t="str">
        <x:v>PR-C-40가4998-2-20221115-142</x:v>
      </x:c>
      <x:c r="J906" s="24" t="str">
        <x:v>이한나</x:v>
      </x:c>
      <x:c r="K906" s="24" t="str">
        <x:v>차량 반납</x:v>
      </x:c>
      <x:c r="L906" s="24" t="str"/>
      <x:c r="M906" s="24" t="str"/>
      <x:c r="N906" s="30" t="n">
        <x:v>45971</x:v>
      </x:c>
    </x:row>
    <x:row r="907" ht="17.25" customHeight="1">
      <x:c r="A907" s="24" t="str">
        <x:v>E-00906</x:v>
      </x:c>
      <x:c r="B907" s="24" t="str">
        <x:v>프라임구독</x:v>
      </x:c>
      <x:c r="C907" s="24" t="str">
        <x:v>41누0758</x:v>
      </x:c>
      <x:c r="D907" s="30" t="n">
        <x:v>44890</x:v>
      </x:c>
      <x:c r="E907" s="24" t="str">
        <x:v>계약시작</x:v>
      </x:c>
      <x:c r="F907" s="24" t="str"/>
      <x:c r="G907" s="24" t="str">
        <x:v>대여중</x:v>
      </x:c>
      <x:c r="H907" s="32" t="n">
        <x:v>421000</x:v>
      </x:c>
      <x:c r="I907" s="24" t="str">
        <x:v>PR-C-41누0758-1-20221125-143</x:v>
      </x:c>
      <x:c r="J907" s="24" t="str">
        <x:v>장두식</x:v>
      </x:c>
      <x:c r="K907" s="24" t="str">
        <x:v>구독 계약 시작</x:v>
      </x:c>
      <x:c r="L907" s="24" t="str"/>
      <x:c r="M907" s="24" t="str"/>
      <x:c r="N907" s="30" t="n">
        <x:v>44890</x:v>
      </x:c>
    </x:row>
    <x:row r="908" ht="17.25" customHeight="1">
      <x:c r="A908" s="24" t="str">
        <x:v>E-00907</x:v>
      </x:c>
      <x:c r="B908" s="24" t="str">
        <x:v>프라임구독</x:v>
      </x:c>
      <x:c r="C908" s="24" t="str">
        <x:v>45구5908</x:v>
      </x:c>
      <x:c r="D908" s="30" t="n">
        <x:v>44909</x:v>
      </x:c>
      <x:c r="E908" s="24" t="str">
        <x:v>계약시작</x:v>
      </x:c>
      <x:c r="F908" s="24" t="str"/>
      <x:c r="G908" s="24" t="str">
        <x:v>대여중</x:v>
      </x:c>
      <x:c r="H908" s="32" t="n">
        <x:v>1102000</x:v>
      </x:c>
      <x:c r="I908" s="24" t="str">
        <x:v>PR-C-45구5908-2-20221214-144</x:v>
      </x:c>
      <x:c r="J908" s="24" t="str">
        <x:v>윤자민</x:v>
      </x:c>
      <x:c r="K908" s="24" t="str">
        <x:v>종료 계약 시작</x:v>
      </x:c>
      <x:c r="L908" s="24" t="str"/>
      <x:c r="M908" s="24" t="str"/>
      <x:c r="N908" s="30" t="n">
        <x:v>44909</x:v>
      </x:c>
    </x:row>
    <x:row r="909" ht="17.25" customHeight="1">
      <x:c r="A909" s="24" t="str">
        <x:v>E-00908</x:v>
      </x:c>
      <x:c r="B909" s="24" t="str">
        <x:v>프라임구독</x:v>
      </x:c>
      <x:c r="C909" s="24" t="str">
        <x:v>45구5908</x:v>
      </x:c>
      <x:c r="D909" s="30" t="n">
        <x:v>46011</x:v>
      </x:c>
      <x:c r="E909" s="24" t="str">
        <x:v>반납</x:v>
      </x:c>
      <x:c r="F909" s="24" t="str">
        <x:v>대여중</x:v>
      </x:c>
      <x:c r="G909" s="24" t="str">
        <x:v>쉬는차</x:v>
      </x:c>
      <x:c r="H909" s="32"/>
      <x:c r="I909" s="24" t="str">
        <x:v>PR-C-45구5908-2-20221214-144</x:v>
      </x:c>
      <x:c r="J909" s="24" t="str">
        <x:v>윤자민</x:v>
      </x:c>
      <x:c r="K909" s="24" t="str">
        <x:v>차량 반납</x:v>
      </x:c>
      <x:c r="L909" s="24" t="str"/>
      <x:c r="M909" s="24" t="str"/>
      <x:c r="N909" s="30" t="n">
        <x:v>46011</x:v>
      </x:c>
    </x:row>
    <x:row r="910" ht="17.25" customHeight="1">
      <x:c r="A910" s="24" t="str">
        <x:v>E-00909</x:v>
      </x:c>
      <x:c r="B910" s="24" t="str">
        <x:v>프라임구독</x:v>
      </x:c>
      <x:c r="C910" s="24" t="str">
        <x:v>45도3628</x:v>
      </x:c>
      <x:c r="D910" s="30" t="n">
        <x:v>45328</x:v>
      </x:c>
      <x:c r="E910" s="24" t="str">
        <x:v>계약시작</x:v>
      </x:c>
      <x:c r="F910" s="24" t="str"/>
      <x:c r="G910" s="24" t="str">
        <x:v>대여중</x:v>
      </x:c>
      <x:c r="H910" s="32" t="n">
        <x:v>320000</x:v>
      </x:c>
      <x:c r="I910" s="24" t="str">
        <x:v>PR-C-45도3628-2-20240206-145</x:v>
      </x:c>
      <x:c r="J910" s="24" t="str">
        <x:v>이지연b2</x:v>
      </x:c>
      <x:c r="K910" s="24" t="str">
        <x:v>종료 계약 시작</x:v>
      </x:c>
      <x:c r="L910" s="24" t="str"/>
      <x:c r="M910" s="24" t="str"/>
      <x:c r="N910" s="30" t="n">
        <x:v>45328</x:v>
      </x:c>
    </x:row>
    <x:row r="911" ht="17.25" customHeight="1">
      <x:c r="A911" s="24" t="str">
        <x:v>E-00910</x:v>
      </x:c>
      <x:c r="B911" s="24" t="str">
        <x:v>프라임구독</x:v>
      </x:c>
      <x:c r="C911" s="24" t="str">
        <x:v>45도3628</x:v>
      </x:c>
      <x:c r="D911" s="30" t="n">
        <x:v>45703</x:v>
      </x:c>
      <x:c r="E911" s="24" t="str">
        <x:v>반납</x:v>
      </x:c>
      <x:c r="F911" s="24" t="str">
        <x:v>대여중</x:v>
      </x:c>
      <x:c r="G911" s="24" t="str">
        <x:v>쉬는차</x:v>
      </x:c>
      <x:c r="H911" s="32"/>
      <x:c r="I911" s="24" t="str">
        <x:v>PR-C-45도3628-2-20240206-145</x:v>
      </x:c>
      <x:c r="J911" s="24" t="str">
        <x:v>이지연b2</x:v>
      </x:c>
      <x:c r="K911" s="24" t="str">
        <x:v>차량 반납</x:v>
      </x:c>
      <x:c r="L911" s="24" t="str"/>
      <x:c r="M911" s="24" t="str"/>
      <x:c r="N911" s="30" t="n">
        <x:v>45703</x:v>
      </x:c>
    </x:row>
    <x:row r="912" ht="17.25" customHeight="1">
      <x:c r="A912" s="24" t="str">
        <x:v>E-00911</x:v>
      </x:c>
      <x:c r="B912" s="24" t="str">
        <x:v>프라임구독</x:v>
      </x:c>
      <x:c r="C912" s="24" t="str">
        <x:v>46누5796</x:v>
      </x:c>
      <x:c r="D912" s="30" t="n">
        <x:v>44767</x:v>
      </x:c>
      <x:c r="E912" s="24" t="str">
        <x:v>계약시작</x:v>
      </x:c>
      <x:c r="F912" s="24" t="str"/>
      <x:c r="G912" s="24" t="str">
        <x:v>대여중</x:v>
      </x:c>
      <x:c r="H912" s="32" t="n">
        <x:v>632000</x:v>
      </x:c>
      <x:c r="I912" s="24" t="str">
        <x:v>PR-C-46누5796-2-20220725-146</x:v>
      </x:c>
      <x:c r="J912" s="24" t="str">
        <x:v>박희진</x:v>
      </x:c>
      <x:c r="K912" s="24" t="str">
        <x:v>종료 계약 시작</x:v>
      </x:c>
      <x:c r="L912" s="24" t="str"/>
      <x:c r="M912" s="24" t="str"/>
      <x:c r="N912" s="30" t="n">
        <x:v>44767</x:v>
      </x:c>
    </x:row>
    <x:row r="913" ht="17.25" customHeight="1">
      <x:c r="A913" s="24" t="str">
        <x:v>E-00912</x:v>
      </x:c>
      <x:c r="B913" s="24" t="str">
        <x:v>프라임구독</x:v>
      </x:c>
      <x:c r="C913" s="24" t="str">
        <x:v>46누5796</x:v>
      </x:c>
      <x:c r="D913" s="30" t="n">
        <x:v>45858</x:v>
      </x:c>
      <x:c r="E913" s="24" t="str">
        <x:v>반납</x:v>
      </x:c>
      <x:c r="F913" s="24" t="str">
        <x:v>대여중</x:v>
      </x:c>
      <x:c r="G913" s="24" t="str">
        <x:v>쉬는차</x:v>
      </x:c>
      <x:c r="H913" s="32"/>
      <x:c r="I913" s="24" t="str">
        <x:v>PR-C-46누5796-2-20220725-146</x:v>
      </x:c>
      <x:c r="J913" s="24" t="str">
        <x:v>박희진</x:v>
      </x:c>
      <x:c r="K913" s="24" t="str">
        <x:v>차량 반납</x:v>
      </x:c>
      <x:c r="L913" s="24" t="str"/>
      <x:c r="M913" s="24" t="str"/>
      <x:c r="N913" s="30" t="n">
        <x:v>45858</x:v>
      </x:c>
    </x:row>
    <x:row r="914" ht="17.25" customHeight="1">
      <x:c r="A914" s="24" t="str">
        <x:v>E-00913</x:v>
      </x:c>
      <x:c r="B914" s="24" t="str">
        <x:v>프라임구독</x:v>
      </x:c>
      <x:c r="C914" s="24" t="str">
        <x:v>46루1950</x:v>
      </x:c>
      <x:c r="D914" s="30" t="n">
        <x:v>44623</x:v>
      </x:c>
      <x:c r="E914" s="24" t="str">
        <x:v>계약시작</x:v>
      </x:c>
      <x:c r="F914" s="24" t="str"/>
      <x:c r="G914" s="24" t="str">
        <x:v>대여중</x:v>
      </x:c>
      <x:c r="H914" s="32" t="n">
        <x:v>580000</x:v>
      </x:c>
      <x:c r="I914" s="24" t="str">
        <x:v>PR-C-46루1950-2-20220303-147</x:v>
      </x:c>
      <x:c r="J914" s="24" t="str">
        <x:v>김난주</x:v>
      </x:c>
      <x:c r="K914" s="24" t="str">
        <x:v>종료 계약 시작</x:v>
      </x:c>
      <x:c r="L914" s="24" t="str"/>
      <x:c r="M914" s="24" t="str"/>
      <x:c r="N914" s="30" t="n">
        <x:v>44623</x:v>
      </x:c>
    </x:row>
    <x:row r="915" ht="17.25" customHeight="1">
      <x:c r="A915" s="24" t="str">
        <x:v>E-00914</x:v>
      </x:c>
      <x:c r="B915" s="24" t="str">
        <x:v>프라임구독</x:v>
      </x:c>
      <x:c r="C915" s="24" t="str">
        <x:v>46루1950</x:v>
      </x:c>
      <x:c r="D915" s="30" t="n">
        <x:v>45731</x:v>
      </x:c>
      <x:c r="E915" s="24" t="str">
        <x:v>반납</x:v>
      </x:c>
      <x:c r="F915" s="24" t="str">
        <x:v>대여중</x:v>
      </x:c>
      <x:c r="G915" s="24" t="str">
        <x:v>쉬는차</x:v>
      </x:c>
      <x:c r="H915" s="32"/>
      <x:c r="I915" s="24" t="str">
        <x:v>PR-C-46루1950-2-20220303-147</x:v>
      </x:c>
      <x:c r="J915" s="24" t="str">
        <x:v>김난주</x:v>
      </x:c>
      <x:c r="K915" s="24" t="str">
        <x:v>차량 반납</x:v>
      </x:c>
      <x:c r="L915" s="24" t="str"/>
      <x:c r="M915" s="24" t="str"/>
      <x:c r="N915" s="30" t="n">
        <x:v>45731</x:v>
      </x:c>
    </x:row>
    <x:row r="916" ht="17.25" customHeight="1">
      <x:c r="A916" s="24" t="str">
        <x:v>E-00915</x:v>
      </x:c>
      <x:c r="B916" s="24" t="str">
        <x:v>프라임구독</x:v>
      </x:c>
      <x:c r="C916" s="24" t="str">
        <x:v>47너7301</x:v>
      </x:c>
      <x:c r="D916" s="30" t="n">
        <x:v>44719</x:v>
      </x:c>
      <x:c r="E916" s="24" t="str">
        <x:v>계약시작</x:v>
      </x:c>
      <x:c r="F916" s="24" t="str"/>
      <x:c r="G916" s="24" t="str">
        <x:v>대여중</x:v>
      </x:c>
      <x:c r="H916" s="32" t="n">
        <x:v>640000</x:v>
      </x:c>
      <x:c r="I916" s="24" t="str">
        <x:v>PR-C-47너7301-2-20220607-148</x:v>
      </x:c>
      <x:c r="J916" s="24" t="str">
        <x:v>김세훈</x:v>
      </x:c>
      <x:c r="K916" s="24" t="str">
        <x:v>종료 계약 시작</x:v>
      </x:c>
      <x:c r="L916" s="24" t="str"/>
      <x:c r="M916" s="24" t="str"/>
      <x:c r="N916" s="30" t="n">
        <x:v>44719</x:v>
      </x:c>
    </x:row>
    <x:row r="917" ht="17.25" customHeight="1">
      <x:c r="A917" s="24" t="str">
        <x:v>E-00916</x:v>
      </x:c>
      <x:c r="B917" s="24" t="str">
        <x:v>프라임구독</x:v>
      </x:c>
      <x:c r="C917" s="24" t="str">
        <x:v>47너7301</x:v>
      </x:c>
      <x:c r="D917" s="30" t="n">
        <x:v>45797</x:v>
      </x:c>
      <x:c r="E917" s="24" t="str">
        <x:v>반납</x:v>
      </x:c>
      <x:c r="F917" s="24" t="str">
        <x:v>대여중</x:v>
      </x:c>
      <x:c r="G917" s="24" t="str">
        <x:v>쉬는차</x:v>
      </x:c>
      <x:c r="H917" s="32"/>
      <x:c r="I917" s="24" t="str">
        <x:v>PR-C-47너7301-2-20220607-148</x:v>
      </x:c>
      <x:c r="J917" s="24" t="str">
        <x:v>김세훈</x:v>
      </x:c>
      <x:c r="K917" s="24" t="str">
        <x:v>차량 반납</x:v>
      </x:c>
      <x:c r="L917" s="24" t="str"/>
      <x:c r="M917" s="24" t="str"/>
      <x:c r="N917" s="30" t="n">
        <x:v>45797</x:v>
      </x:c>
    </x:row>
    <x:row r="918" ht="17.25" customHeight="1">
      <x:c r="A918" s="24" t="str">
        <x:v>E-00917</x:v>
      </x:c>
      <x:c r="B918" s="24" t="str">
        <x:v>프라임구독</x:v>
      </x:c>
      <x:c r="C918" s="24" t="str">
        <x:v>47마0220</x:v>
      </x:c>
      <x:c r="D918" s="30" t="n">
        <x:v>44935</x:v>
      </x:c>
      <x:c r="E918" s="24" t="str">
        <x:v>계약시작</x:v>
      </x:c>
      <x:c r="F918" s="24" t="str"/>
      <x:c r="G918" s="24" t="str">
        <x:v>대여중</x:v>
      </x:c>
      <x:c r="H918" s="32" t="n">
        <x:v>887000</x:v>
      </x:c>
      <x:c r="I918" s="24" t="str">
        <x:v>PR-C-47마0220-2-20230109-149</x:v>
      </x:c>
      <x:c r="J918" s="24" t="str">
        <x:v>심기섭</x:v>
      </x:c>
      <x:c r="K918" s="24" t="str">
        <x:v>종료 계약 시작</x:v>
      </x:c>
      <x:c r="L918" s="24" t="str"/>
      <x:c r="M918" s="24" t="str"/>
      <x:c r="N918" s="30" t="n">
        <x:v>44935</x:v>
      </x:c>
    </x:row>
    <x:row r="919" ht="17.25" customHeight="1">
      <x:c r="A919" s="24" t="str">
        <x:v>E-00918</x:v>
      </x:c>
      <x:c r="B919" s="24" t="str">
        <x:v>프라임구독</x:v>
      </x:c>
      <x:c r="C919" s="24" t="str">
        <x:v>47마0220</x:v>
      </x:c>
      <x:c r="D919" s="30" t="n">
        <x:v>46042</x:v>
      </x:c>
      <x:c r="E919" s="24" t="str">
        <x:v>반납</x:v>
      </x:c>
      <x:c r="F919" s="24" t="str">
        <x:v>대여중</x:v>
      </x:c>
      <x:c r="G919" s="24" t="str">
        <x:v>쉬는차</x:v>
      </x:c>
      <x:c r="H919" s="32"/>
      <x:c r="I919" s="24" t="str">
        <x:v>PR-C-47마0220-2-20230109-149</x:v>
      </x:c>
      <x:c r="J919" s="24" t="str">
        <x:v>심기섭</x:v>
      </x:c>
      <x:c r="K919" s="24" t="str">
        <x:v>차량 반납</x:v>
      </x:c>
      <x:c r="L919" s="24" t="str"/>
      <x:c r="M919" s="24" t="str"/>
      <x:c r="N919" s="30" t="n">
        <x:v>46042</x:v>
      </x:c>
    </x:row>
    <x:row r="920" ht="17.25" customHeight="1">
      <x:c r="A920" s="24" t="str">
        <x:v>E-00919</x:v>
      </x:c>
      <x:c r="B920" s="24" t="str">
        <x:v>프라임구독</x:v>
      </x:c>
      <x:c r="C920" s="24" t="str">
        <x:v>47어0249</x:v>
      </x:c>
      <x:c r="D920" s="30" t="n">
        <x:v>44956</x:v>
      </x:c>
      <x:c r="E920" s="24" t="str">
        <x:v>계약시작</x:v>
      </x:c>
      <x:c r="F920" s="24" t="str"/>
      <x:c r="G920" s="24" t="str">
        <x:v>대여중</x:v>
      </x:c>
      <x:c r="H920" s="32" t="n">
        <x:v>667000</x:v>
      </x:c>
      <x:c r="I920" s="24" t="str">
        <x:v>PR-C-47어0249-2-20230130-150</x:v>
      </x:c>
      <x:c r="J920" s="24" t="str">
        <x:v>정재민</x:v>
      </x:c>
      <x:c r="K920" s="24" t="str">
        <x:v>종료 계약 시작</x:v>
      </x:c>
      <x:c r="L920" s="24" t="str"/>
      <x:c r="M920" s="24" t="str"/>
      <x:c r="N920" s="30" t="n">
        <x:v>44956</x:v>
      </x:c>
    </x:row>
    <x:row r="921" ht="17.25" customHeight="1">
      <x:c r="A921" s="24" t="str">
        <x:v>E-00920</x:v>
      </x:c>
      <x:c r="B921" s="24" t="str">
        <x:v>프라임구독</x:v>
      </x:c>
      <x:c r="C921" s="24" t="str">
        <x:v>47어0249</x:v>
      </x:c>
      <x:c r="D921" s="30" t="n">
        <x:v>46037</x:v>
      </x:c>
      <x:c r="E921" s="24" t="str">
        <x:v>반납</x:v>
      </x:c>
      <x:c r="F921" s="24" t="str">
        <x:v>대여중</x:v>
      </x:c>
      <x:c r="G921" s="24" t="str">
        <x:v>쉬는차</x:v>
      </x:c>
      <x:c r="H921" s="32"/>
      <x:c r="I921" s="24" t="str">
        <x:v>PR-C-47어0249-2-20230130-150</x:v>
      </x:c>
      <x:c r="J921" s="24" t="str">
        <x:v>정재민</x:v>
      </x:c>
      <x:c r="K921" s="24" t="str">
        <x:v>차량 반납</x:v>
      </x:c>
      <x:c r="L921" s="24" t="str"/>
      <x:c r="M921" s="24" t="str"/>
      <x:c r="N921" s="30" t="n">
        <x:v>46037</x:v>
      </x:c>
    </x:row>
    <x:row r="922" ht="17.25" customHeight="1">
      <x:c r="A922" s="24" t="str">
        <x:v>E-00921</x:v>
      </x:c>
      <x:c r="B922" s="24" t="str">
        <x:v>프라임구독</x:v>
      </x:c>
      <x:c r="C922" s="24" t="str">
        <x:v>48라0691</x:v>
      </x:c>
      <x:c r="D922" s="30" t="n">
        <x:v>44945</x:v>
      </x:c>
      <x:c r="E922" s="24" t="str">
        <x:v>계약시작</x:v>
      </x:c>
      <x:c r="F922" s="24" t="str"/>
      <x:c r="G922" s="24" t="str">
        <x:v>대여중</x:v>
      </x:c>
      <x:c r="H922" s="32" t="n">
        <x:v>672000</x:v>
      </x:c>
      <x:c r="I922" s="24" t="str">
        <x:v>PR-C-48라0691-2-20230119-151</x:v>
      </x:c>
      <x:c r="J922" s="24" t="str">
        <x:v>성시향</x:v>
      </x:c>
      <x:c r="K922" s="24" t="str">
        <x:v>종료 계약 시작</x:v>
      </x:c>
      <x:c r="L922" s="24" t="str"/>
      <x:c r="M922" s="24" t="str"/>
      <x:c r="N922" s="30" t="n">
        <x:v>44945</x:v>
      </x:c>
    </x:row>
    <x:row r="923" ht="17.25" customHeight="1">
      <x:c r="A923" s="24" t="str">
        <x:v>E-00922</x:v>
      </x:c>
      <x:c r="B923" s="24" t="str">
        <x:v>프라임구독</x:v>
      </x:c>
      <x:c r="C923" s="24" t="str">
        <x:v>48라0691</x:v>
      </x:c>
      <x:c r="D923" s="30" t="n">
        <x:v>46050</x:v>
      </x:c>
      <x:c r="E923" s="24" t="str">
        <x:v>반납</x:v>
      </x:c>
      <x:c r="F923" s="24" t="str">
        <x:v>대여중</x:v>
      </x:c>
      <x:c r="G923" s="24" t="str">
        <x:v>쉬는차</x:v>
      </x:c>
      <x:c r="H923" s="32"/>
      <x:c r="I923" s="24" t="str">
        <x:v>PR-C-48라0691-2-20230119-151</x:v>
      </x:c>
      <x:c r="J923" s="24" t="str">
        <x:v>성시향</x:v>
      </x:c>
      <x:c r="K923" s="24" t="str">
        <x:v>차량 반납</x:v>
      </x:c>
      <x:c r="L923" s="24" t="str"/>
      <x:c r="M923" s="24" t="str"/>
      <x:c r="N923" s="30" t="n">
        <x:v>46050</x:v>
      </x:c>
    </x:row>
    <x:row r="924" ht="17.25" customHeight="1">
      <x:c r="A924" s="24" t="str">
        <x:v>E-00923</x:v>
      </x:c>
      <x:c r="B924" s="24" t="str">
        <x:v>프라임구독</x:v>
      </x:c>
      <x:c r="C924" s="24" t="str">
        <x:v>48저0234</x:v>
      </x:c>
      <x:c r="D924" s="30" t="n">
        <x:v>44966</x:v>
      </x:c>
      <x:c r="E924" s="24" t="str">
        <x:v>계약시작</x:v>
      </x:c>
      <x:c r="F924" s="24" t="str"/>
      <x:c r="G924" s="24" t="str">
        <x:v>대여중</x:v>
      </x:c>
      <x:c r="H924" s="32" t="n">
        <x:v>815000</x:v>
      </x:c>
      <x:c r="I924" s="24" t="str">
        <x:v>PR-C-48저0234-2-20230209-152</x:v>
      </x:c>
      <x:c r="J924" s="24" t="str">
        <x:v>김준</x:v>
      </x:c>
      <x:c r="K924" s="24" t="str">
        <x:v>종료 계약 시작</x:v>
      </x:c>
      <x:c r="L924" s="24" t="str"/>
      <x:c r="M924" s="24" t="str"/>
      <x:c r="N924" s="30" t="n">
        <x:v>44966</x:v>
      </x:c>
    </x:row>
    <x:row r="925" ht="17.25" customHeight="1">
      <x:c r="A925" s="24" t="str">
        <x:v>E-00924</x:v>
      </x:c>
      <x:c r="B925" s="24" t="str">
        <x:v>프라임구독</x:v>
      </x:c>
      <x:c r="C925" s="24" t="str">
        <x:v>48저0234</x:v>
      </x:c>
      <x:c r="D925" s="30" t="n">
        <x:v>46063</x:v>
      </x:c>
      <x:c r="E925" s="24" t="str">
        <x:v>반납</x:v>
      </x:c>
      <x:c r="F925" s="24" t="str">
        <x:v>대여중</x:v>
      </x:c>
      <x:c r="G925" s="24" t="str">
        <x:v>쉬는차</x:v>
      </x:c>
      <x:c r="H925" s="32"/>
      <x:c r="I925" s="24" t="str">
        <x:v>PR-C-48저0234-2-20230209-152</x:v>
      </x:c>
      <x:c r="J925" s="24" t="str">
        <x:v>김준</x:v>
      </x:c>
      <x:c r="K925" s="24" t="str">
        <x:v>차량 반납</x:v>
      </x:c>
      <x:c r="L925" s="24" t="str"/>
      <x:c r="M925" s="24" t="str"/>
      <x:c r="N925" s="30" t="n">
        <x:v>46063</x:v>
      </x:c>
    </x:row>
    <x:row r="926" ht="17.25" customHeight="1">
      <x:c r="A926" s="24" t="str">
        <x:v>E-00925</x:v>
      </x:c>
      <x:c r="B926" s="24" t="str">
        <x:v>프라임구독</x:v>
      </x:c>
      <x:c r="C926" s="24" t="str">
        <x:v>49노4773</x:v>
      </x:c>
      <x:c r="D926" s="30" t="n">
        <x:v>44565</x:v>
      </x:c>
      <x:c r="E926" s="24" t="str">
        <x:v>계약시작</x:v>
      </x:c>
      <x:c r="F926" s="24" t="str"/>
      <x:c r="G926" s="24" t="str">
        <x:v>대여중</x:v>
      </x:c>
      <x:c r="H926" s="32" t="n">
        <x:v>550000</x:v>
      </x:c>
      <x:c r="I926" s="24" t="str">
        <x:v>PR-C-49노4773-2-20220104-153</x:v>
      </x:c>
      <x:c r="J926" s="24" t="str">
        <x:v>이수범2</x:v>
      </x:c>
      <x:c r="K926" s="24" t="str">
        <x:v>종료 계약 시작</x:v>
      </x:c>
      <x:c r="L926" s="24" t="str"/>
      <x:c r="M926" s="24" t="str"/>
      <x:c r="N926" s="30" t="n">
        <x:v>44565</x:v>
      </x:c>
    </x:row>
    <x:row r="927" ht="17.25" customHeight="1">
      <x:c r="A927" s="24" t="str">
        <x:v>E-00926</x:v>
      </x:c>
      <x:c r="B927" s="24" t="str">
        <x:v>프라임구독</x:v>
      </x:c>
      <x:c r="C927" s="24" t="str">
        <x:v>49노4773</x:v>
      </x:c>
      <x:c r="D927" s="30" t="n">
        <x:v>45646</x:v>
      </x:c>
      <x:c r="E927" s="24" t="str">
        <x:v>반납</x:v>
      </x:c>
      <x:c r="F927" s="24" t="str">
        <x:v>대여중</x:v>
      </x:c>
      <x:c r="G927" s="24" t="str">
        <x:v>쉬는차</x:v>
      </x:c>
      <x:c r="H927" s="32"/>
      <x:c r="I927" s="24" t="str">
        <x:v>PR-C-49노4773-2-20220104-153</x:v>
      </x:c>
      <x:c r="J927" s="24" t="str">
        <x:v>이수범2</x:v>
      </x:c>
      <x:c r="K927" s="24" t="str">
        <x:v>차량 반납</x:v>
      </x:c>
      <x:c r="L927" s="24" t="str"/>
      <x:c r="M927" s="24" t="str"/>
      <x:c r="N927" s="30" t="n">
        <x:v>45646</x:v>
      </x:c>
    </x:row>
    <x:row r="928" ht="17.25" customHeight="1">
      <x:c r="A928" s="24" t="str">
        <x:v>E-00927</x:v>
      </x:c>
      <x:c r="B928" s="24" t="str">
        <x:v>프라임구독</x:v>
      </x:c>
      <x:c r="C928" s="24" t="str">
        <x:v>49누4194</x:v>
      </x:c>
      <x:c r="D928" s="30" t="n">
        <x:v>44678</x:v>
      </x:c>
      <x:c r="E928" s="24" t="str">
        <x:v>계약시작</x:v>
      </x:c>
      <x:c r="F928" s="24" t="str"/>
      <x:c r="G928" s="24" t="str">
        <x:v>대여중</x:v>
      </x:c>
      <x:c r="H928" s="32" t="n">
        <x:v>565000</x:v>
      </x:c>
      <x:c r="I928" s="24" t="str">
        <x:v>PR-C-49누4194-2-20220427-154</x:v>
      </x:c>
      <x:c r="J928" s="24" t="str">
        <x:v>임정은</x:v>
      </x:c>
      <x:c r="K928" s="24" t="str">
        <x:v>종료 계약 시작</x:v>
      </x:c>
      <x:c r="L928" s="24" t="str"/>
      <x:c r="M928" s="24" t="str"/>
      <x:c r="N928" s="30" t="n">
        <x:v>44678</x:v>
      </x:c>
    </x:row>
    <x:row r="929" ht="17.25" customHeight="1">
      <x:c r="A929" s="24" t="str">
        <x:v>E-00928</x:v>
      </x:c>
      <x:c r="B929" s="24" t="str">
        <x:v>프라임구독</x:v>
      </x:c>
      <x:c r="C929" s="24" t="str">
        <x:v>49누4194</x:v>
      </x:c>
      <x:c r="D929" s="30" t="n">
        <x:v>45757</x:v>
      </x:c>
      <x:c r="E929" s="24" t="str">
        <x:v>반납</x:v>
      </x:c>
      <x:c r="F929" s="24" t="str">
        <x:v>대여중</x:v>
      </x:c>
      <x:c r="G929" s="24" t="str">
        <x:v>쉬는차</x:v>
      </x:c>
      <x:c r="H929" s="32"/>
      <x:c r="I929" s="24" t="str">
        <x:v>PR-C-49누4194-2-20220427-154</x:v>
      </x:c>
      <x:c r="J929" s="24" t="str">
        <x:v>임정은</x:v>
      </x:c>
      <x:c r="K929" s="24" t="str">
        <x:v>차량 반납</x:v>
      </x:c>
      <x:c r="L929" s="24" t="str"/>
      <x:c r="M929" s="24" t="str"/>
      <x:c r="N929" s="30" t="n">
        <x:v>45757</x:v>
      </x:c>
    </x:row>
    <x:row r="930" ht="17.25" customHeight="1">
      <x:c r="A930" s="24" t="str">
        <x:v>E-00929</x:v>
      </x:c>
      <x:c r="B930" s="24" t="str">
        <x:v>프라임구독</x:v>
      </x:c>
      <x:c r="C930" s="24" t="str">
        <x:v>49더0163</x:v>
      </x:c>
      <x:c r="D930" s="30" t="n">
        <x:v>45112</x:v>
      </x:c>
      <x:c r="E930" s="24" t="str">
        <x:v>계약시작</x:v>
      </x:c>
      <x:c r="F930" s="24" t="str"/>
      <x:c r="G930" s="24" t="str">
        <x:v>대여중</x:v>
      </x:c>
      <x:c r="H930" s="32" t="n">
        <x:v>351000</x:v>
      </x:c>
      <x:c r="I930" s="24" t="str">
        <x:v>PR-C-49더0163-1-20230705-155</x:v>
      </x:c>
      <x:c r="J930" s="24" t="str">
        <x:v>김정웅</x:v>
      </x:c>
      <x:c r="K930" s="24" t="str">
        <x:v>구독 계약 시작</x:v>
      </x:c>
      <x:c r="L930" s="24" t="str"/>
      <x:c r="M930" s="24" t="str"/>
      <x:c r="N930" s="30" t="n">
        <x:v>45112</x:v>
      </x:c>
    </x:row>
    <x:row r="931" ht="17.25" customHeight="1">
      <x:c r="A931" s="24" t="str">
        <x:v>E-00930</x:v>
      </x:c>
      <x:c r="B931" s="24" t="str">
        <x:v>프라임구독</x:v>
      </x:c>
      <x:c r="C931" s="24" t="str">
        <x:v>49두5388</x:v>
      </x:c>
      <x:c r="D931" s="30" t="n">
        <x:v>44742</x:v>
      </x:c>
      <x:c r="E931" s="24" t="str">
        <x:v>계약시작</x:v>
      </x:c>
      <x:c r="F931" s="24" t="str"/>
      <x:c r="G931" s="24" t="str">
        <x:v>대여중</x:v>
      </x:c>
      <x:c r="H931" s="32" t="n">
        <x:v>457000</x:v>
      </x:c>
      <x:c r="I931" s="24" t="str">
        <x:v>PR-C-49두5388-2-20220630-156</x:v>
      </x:c>
      <x:c r="J931" s="24" t="str">
        <x:v>석선영</x:v>
      </x:c>
      <x:c r="K931" s="24" t="str">
        <x:v>종료 계약 시작</x:v>
      </x:c>
      <x:c r="L931" s="24" t="str"/>
      <x:c r="M931" s="24" t="str"/>
      <x:c r="N931" s="30" t="n">
        <x:v>44742</x:v>
      </x:c>
    </x:row>
    <x:row r="932" ht="17.25" customHeight="1">
      <x:c r="A932" s="24" t="str">
        <x:v>E-00931</x:v>
      </x:c>
      <x:c r="B932" s="24" t="str">
        <x:v>프라임구독</x:v>
      </x:c>
      <x:c r="C932" s="24" t="str">
        <x:v>49두5388</x:v>
      </x:c>
      <x:c r="D932" s="30" t="n">
        <x:v>45853</x:v>
      </x:c>
      <x:c r="E932" s="24" t="str">
        <x:v>반납</x:v>
      </x:c>
      <x:c r="F932" s="24" t="str">
        <x:v>대여중</x:v>
      </x:c>
      <x:c r="G932" s="24" t="str">
        <x:v>쉬는차</x:v>
      </x:c>
      <x:c r="H932" s="32"/>
      <x:c r="I932" s="24" t="str">
        <x:v>PR-C-49두5388-2-20220630-156</x:v>
      </x:c>
      <x:c r="J932" s="24" t="str">
        <x:v>석선영</x:v>
      </x:c>
      <x:c r="K932" s="24" t="str">
        <x:v>차량 반납</x:v>
      </x:c>
      <x:c r="L932" s="24" t="str"/>
      <x:c r="M932" s="24" t="str"/>
      <x:c r="N932" s="30" t="n">
        <x:v>45853</x:v>
      </x:c>
    </x:row>
    <x:row r="933" ht="17.25" customHeight="1">
      <x:c r="A933" s="24" t="str">
        <x:v>E-00932</x:v>
      </x:c>
      <x:c r="B933" s="24" t="str">
        <x:v>프라임구독</x:v>
      </x:c>
      <x:c r="C933" s="24" t="str">
        <x:v>49부7248</x:v>
      </x:c>
      <x:c r="D933" s="30" t="n">
        <x:v>44830</x:v>
      </x:c>
      <x:c r="E933" s="24" t="str">
        <x:v>계약시작</x:v>
      </x:c>
      <x:c r="F933" s="24" t="str"/>
      <x:c r="G933" s="24" t="str">
        <x:v>대여중</x:v>
      </x:c>
      <x:c r="H933" s="32" t="n">
        <x:v>460000</x:v>
      </x:c>
      <x:c r="I933" s="24" t="str">
        <x:v>PR-C-49부7248-2-20220926-157</x:v>
      </x:c>
      <x:c r="J933" s="24" t="str">
        <x:v>김인숙</x:v>
      </x:c>
      <x:c r="K933" s="24" t="str">
        <x:v>종료 계약 시작</x:v>
      </x:c>
      <x:c r="L933" s="24" t="str"/>
      <x:c r="M933" s="24" t="str"/>
      <x:c r="N933" s="30" t="n">
        <x:v>44830</x:v>
      </x:c>
    </x:row>
    <x:row r="934" ht="17.25" customHeight="1">
      <x:c r="A934" s="24" t="str">
        <x:v>E-00933</x:v>
      </x:c>
      <x:c r="B934" s="24" t="str">
        <x:v>프라임구독</x:v>
      </x:c>
      <x:c r="C934" s="24" t="str">
        <x:v>49부7248</x:v>
      </x:c>
      <x:c r="D934" s="30" t="n">
        <x:v>45915</x:v>
      </x:c>
      <x:c r="E934" s="24" t="str">
        <x:v>반납</x:v>
      </x:c>
      <x:c r="F934" s="24" t="str">
        <x:v>대여중</x:v>
      </x:c>
      <x:c r="G934" s="24" t="str">
        <x:v>쉬는차</x:v>
      </x:c>
      <x:c r="H934" s="32"/>
      <x:c r="I934" s="24" t="str">
        <x:v>PR-C-49부7248-2-20220926-157</x:v>
      </x:c>
      <x:c r="J934" s="24" t="str">
        <x:v>김인숙</x:v>
      </x:c>
      <x:c r="K934" s="24" t="str">
        <x:v>차량 반납</x:v>
      </x:c>
      <x:c r="L934" s="24" t="str"/>
      <x:c r="M934" s="24" t="str"/>
      <x:c r="N934" s="30" t="n">
        <x:v>45915</x:v>
      </x:c>
    </x:row>
    <x:row r="935" ht="17.25" customHeight="1">
      <x:c r="A935" s="24" t="str">
        <x:v>E-00934</x:v>
      </x:c>
      <x:c r="B935" s="24" t="str">
        <x:v>프라임구독</x:v>
      </x:c>
      <x:c r="C935" s="24" t="str">
        <x:v>49수2445</x:v>
      </x:c>
      <x:c r="D935" s="30" t="n">
        <x:v>44929</x:v>
      </x:c>
      <x:c r="E935" s="24" t="str">
        <x:v>계약시작</x:v>
      </x:c>
      <x:c r="F935" s="24" t="str"/>
      <x:c r="G935" s="24" t="str">
        <x:v>대여중</x:v>
      </x:c>
      <x:c r="H935" s="32" t="n">
        <x:v>787000</x:v>
      </x:c>
      <x:c r="I935" s="24" t="str">
        <x:v>PR-C-49수2445-2-20230103-158</x:v>
      </x:c>
      <x:c r="J935" s="24" t="str">
        <x:v>김관배</x:v>
      </x:c>
      <x:c r="K935" s="24" t="str">
        <x:v>종료 계약 시작</x:v>
      </x:c>
      <x:c r="L935" s="24" t="str"/>
      <x:c r="M935" s="24" t="str"/>
      <x:c r="N935" s="30" t="n">
        <x:v>44929</x:v>
      </x:c>
    </x:row>
    <x:row r="936" ht="17.25" customHeight="1">
      <x:c r="A936" s="24" t="str">
        <x:v>E-00935</x:v>
      </x:c>
      <x:c r="B936" s="24" t="str">
        <x:v>프라임구독</x:v>
      </x:c>
      <x:c r="C936" s="24" t="str">
        <x:v>49수2445</x:v>
      </x:c>
      <x:c r="D936" s="30" t="n">
        <x:v>46047</x:v>
      </x:c>
      <x:c r="E936" s="24" t="str">
        <x:v>반납</x:v>
      </x:c>
      <x:c r="F936" s="24" t="str">
        <x:v>대여중</x:v>
      </x:c>
      <x:c r="G936" s="24" t="str">
        <x:v>쉬는차</x:v>
      </x:c>
      <x:c r="H936" s="32"/>
      <x:c r="I936" s="24" t="str">
        <x:v>PR-C-49수2445-2-20230103-158</x:v>
      </x:c>
      <x:c r="J936" s="24" t="str">
        <x:v>김관배</x:v>
      </x:c>
      <x:c r="K936" s="24" t="str">
        <x:v>차량 반납</x:v>
      </x:c>
      <x:c r="L936" s="24" t="str"/>
      <x:c r="M936" s="24" t="str"/>
      <x:c r="N936" s="30" t="n">
        <x:v>46047</x:v>
      </x:c>
    </x:row>
    <x:row r="937" ht="17.25" customHeight="1">
      <x:c r="A937" s="24" t="str">
        <x:v>E-00936</x:v>
      </x:c>
      <x:c r="B937" s="24" t="str">
        <x:v>프라임구독</x:v>
      </x:c>
      <x:c r="C937" s="24" t="str">
        <x:v>49어2497</x:v>
      </x:c>
      <x:c r="D937" s="30" t="n">
        <x:v>45385</x:v>
      </x:c>
      <x:c r="E937" s="24" t="str">
        <x:v>계약시작</x:v>
      </x:c>
      <x:c r="F937" s="24" t="str"/>
      <x:c r="G937" s="24" t="str">
        <x:v>대여중</x:v>
      </x:c>
      <x:c r="H937" s="32" t="n">
        <x:v>559000</x:v>
      </x:c>
      <x:c r="I937" s="24" t="str">
        <x:v>PR-C-49어2497-1-20240403-159</x:v>
      </x:c>
      <x:c r="J937" s="24" t="str">
        <x:v>양원호</x:v>
      </x:c>
      <x:c r="K937" s="24" t="str">
        <x:v>구독 계약 시작</x:v>
      </x:c>
      <x:c r="L937" s="24" t="str"/>
      <x:c r="M937" s="24" t="str"/>
      <x:c r="N937" s="30" t="n">
        <x:v>45385</x:v>
      </x:c>
    </x:row>
    <x:row r="938" ht="17.25" customHeight="1">
      <x:c r="A938" s="24" t="str">
        <x:v>E-00937</x:v>
      </x:c>
      <x:c r="B938" s="24" t="str">
        <x:v>프라임구독</x:v>
      </x:c>
      <x:c r="C938" s="24" t="str">
        <x:v>50다0352</x:v>
      </x:c>
      <x:c r="D938" s="30" t="n">
        <x:v>45356</x:v>
      </x:c>
      <x:c r="E938" s="24" t="str">
        <x:v>계약시작</x:v>
      </x:c>
      <x:c r="F938" s="24" t="str"/>
      <x:c r="G938" s="24" t="str">
        <x:v>대여중</x:v>
      </x:c>
      <x:c r="H938" s="32" t="n">
        <x:v>543000</x:v>
      </x:c>
      <x:c r="I938" s="24" t="str">
        <x:v>PR-C-50다0352-2-20240305-160</x:v>
      </x:c>
      <x:c r="J938" s="24" t="str">
        <x:v>서의석</x:v>
      </x:c>
      <x:c r="K938" s="24" t="str">
        <x:v>종료 계약 시작</x:v>
      </x:c>
      <x:c r="L938" s="24" t="str"/>
      <x:c r="M938" s="24" t="str"/>
      <x:c r="N938" s="30" t="n">
        <x:v>45356</x:v>
      </x:c>
    </x:row>
    <x:row r="939" ht="17.25" customHeight="1">
      <x:c r="A939" s="24" t="str">
        <x:v>E-00938</x:v>
      </x:c>
      <x:c r="B939" s="24" t="str">
        <x:v>프라임구독</x:v>
      </x:c>
      <x:c r="C939" s="24" t="str">
        <x:v>50다0352</x:v>
      </x:c>
      <x:c r="D939" s="30" t="n">
        <x:v>46822</x:v>
      </x:c>
      <x:c r="E939" s="24" t="str">
        <x:v>반납</x:v>
      </x:c>
      <x:c r="F939" s="24" t="str">
        <x:v>대여중</x:v>
      </x:c>
      <x:c r="G939" s="24" t="str">
        <x:v>쉬는차</x:v>
      </x:c>
      <x:c r="H939" s="32"/>
      <x:c r="I939" s="24" t="str">
        <x:v>PR-C-50다0352-2-20240305-160</x:v>
      </x:c>
      <x:c r="J939" s="24" t="str">
        <x:v>서의석</x:v>
      </x:c>
      <x:c r="K939" s="24" t="str">
        <x:v>차량 반납</x:v>
      </x:c>
      <x:c r="L939" s="24" t="str"/>
      <x:c r="M939" s="24" t="str"/>
      <x:c r="N939" s="30" t="n">
        <x:v>46822</x:v>
      </x:c>
    </x:row>
    <x:row r="940" ht="17.25" customHeight="1">
      <x:c r="A940" s="24" t="str">
        <x:v>E-00939</x:v>
      </x:c>
      <x:c r="B940" s="24" t="str">
        <x:v>프라임구독</x:v>
      </x:c>
      <x:c r="C940" s="24" t="str">
        <x:v>50마3675</x:v>
      </x:c>
      <x:c r="D940" s="30" t="n">
        <x:v>44533</x:v>
      </x:c>
      <x:c r="E940" s="24" t="str">
        <x:v>계약시작</x:v>
      </x:c>
      <x:c r="F940" s="24" t="str"/>
      <x:c r="G940" s="24" t="str">
        <x:v>대여중</x:v>
      </x:c>
      <x:c r="H940" s="32" t="n">
        <x:v>690000</x:v>
      </x:c>
      <x:c r="I940" s="24" t="str">
        <x:v>PR-C-50마3675-2-20211203-161</x:v>
      </x:c>
      <x:c r="J940" s="24" t="str">
        <x:v>김예준</x:v>
      </x:c>
      <x:c r="K940" s="24" t="str">
        <x:v>종료 계약 시작</x:v>
      </x:c>
      <x:c r="L940" s="24" t="str"/>
      <x:c r="M940" s="24" t="str"/>
      <x:c r="N940" s="30" t="n">
        <x:v>44533</x:v>
      </x:c>
    </x:row>
    <x:row r="941" ht="17.25" customHeight="1">
      <x:c r="A941" s="24" t="str">
        <x:v>E-00940</x:v>
      </x:c>
      <x:c r="B941" s="24" t="str">
        <x:v>프라임구독</x:v>
      </x:c>
      <x:c r="C941" s="24" t="str">
        <x:v>50마3675</x:v>
      </x:c>
      <x:c r="D941" s="30" t="n">
        <x:v>45636</x:v>
      </x:c>
      <x:c r="E941" s="24" t="str">
        <x:v>반납</x:v>
      </x:c>
      <x:c r="F941" s="24" t="str">
        <x:v>대여중</x:v>
      </x:c>
      <x:c r="G941" s="24" t="str">
        <x:v>쉬는차</x:v>
      </x:c>
      <x:c r="H941" s="32"/>
      <x:c r="I941" s="24" t="str">
        <x:v>PR-C-50마3675-2-20211203-161</x:v>
      </x:c>
      <x:c r="J941" s="24" t="str">
        <x:v>김예준</x:v>
      </x:c>
      <x:c r="K941" s="24" t="str">
        <x:v>차량 반납</x:v>
      </x:c>
      <x:c r="L941" s="24" t="str"/>
      <x:c r="M941" s="24" t="str"/>
      <x:c r="N941" s="30" t="n">
        <x:v>45636</x:v>
      </x:c>
    </x:row>
    <x:row r="942" ht="17.25" customHeight="1">
      <x:c r="A942" s="24" t="str">
        <x:v>E-00941</x:v>
      </x:c>
      <x:c r="B942" s="24" t="str">
        <x:v>프라임구독</x:v>
      </x:c>
      <x:c r="C942" s="24" t="str">
        <x:v>51누9585</x:v>
      </x:c>
      <x:c r="D942" s="30" t="n">
        <x:v>44524</x:v>
      </x:c>
      <x:c r="E942" s="24" t="str">
        <x:v>계약시작</x:v>
      </x:c>
      <x:c r="F942" s="24" t="str"/>
      <x:c r="G942" s="24" t="str">
        <x:v>대여중</x:v>
      </x:c>
      <x:c r="H942" s="32" t="n">
        <x:v>643000</x:v>
      </x:c>
      <x:c r="I942" s="24" t="str">
        <x:v>PR-C-51누9585-2-20211124-162</x:v>
      </x:c>
      <x:c r="J942" s="24" t="str">
        <x:v>박경학</x:v>
      </x:c>
      <x:c r="K942" s="24" t="str">
        <x:v>종료 계약 시작</x:v>
      </x:c>
      <x:c r="L942" s="24" t="str"/>
      <x:c r="M942" s="24" t="str"/>
      <x:c r="N942" s="30" t="n">
        <x:v>44524</x:v>
      </x:c>
    </x:row>
    <x:row r="943" ht="17.25" customHeight="1">
      <x:c r="A943" s="24" t="str">
        <x:v>E-00942</x:v>
      </x:c>
      <x:c r="B943" s="24" t="str">
        <x:v>프라임구독</x:v>
      </x:c>
      <x:c r="C943" s="24" t="str">
        <x:v>51누9585</x:v>
      </x:c>
      <x:c r="D943" s="30" t="n">
        <x:v>45622</x:v>
      </x:c>
      <x:c r="E943" s="24" t="str">
        <x:v>반납</x:v>
      </x:c>
      <x:c r="F943" s="24" t="str">
        <x:v>대여중</x:v>
      </x:c>
      <x:c r="G943" s="24" t="str">
        <x:v>쉬는차</x:v>
      </x:c>
      <x:c r="H943" s="32"/>
      <x:c r="I943" s="24" t="str">
        <x:v>PR-C-51누9585-2-20211124-162</x:v>
      </x:c>
      <x:c r="J943" s="24" t="str">
        <x:v>박경학</x:v>
      </x:c>
      <x:c r="K943" s="24" t="str">
        <x:v>차량 반납</x:v>
      </x:c>
      <x:c r="L943" s="24" t="str"/>
      <x:c r="M943" s="24" t="str"/>
      <x:c r="N943" s="30" t="n">
        <x:v>45622</x:v>
      </x:c>
    </x:row>
    <x:row r="944" ht="17.25" customHeight="1">
      <x:c r="A944" s="24" t="str">
        <x:v>E-00943</x:v>
      </x:c>
      <x:c r="B944" s="24" t="str">
        <x:v>프라임구독</x:v>
      </x:c>
      <x:c r="C944" s="24" t="str">
        <x:v>51주4315</x:v>
      </x:c>
      <x:c r="D944" s="30" t="n">
        <x:v>44839</x:v>
      </x:c>
      <x:c r="E944" s="24" t="str">
        <x:v>계약시작</x:v>
      </x:c>
      <x:c r="F944" s="24" t="str"/>
      <x:c r="G944" s="24" t="str">
        <x:v>대여중</x:v>
      </x:c>
      <x:c r="H944" s="32" t="n">
        <x:v>427000</x:v>
      </x:c>
      <x:c r="I944" s="24" t="str">
        <x:v>PR-C-51주4315-2-20221005-163</x:v>
      </x:c>
      <x:c r="J944" s="24" t="str">
        <x:v>문병욱</x:v>
      </x:c>
      <x:c r="K944" s="24" t="str">
        <x:v>종료 계약 시작</x:v>
      </x:c>
      <x:c r="L944" s="24" t="str"/>
      <x:c r="M944" s="24" t="str"/>
      <x:c r="N944" s="30" t="n">
        <x:v>44839</x:v>
      </x:c>
    </x:row>
    <x:row r="945" ht="17.25" customHeight="1">
      <x:c r="A945" s="24" t="str">
        <x:v>E-00944</x:v>
      </x:c>
      <x:c r="B945" s="24" t="str">
        <x:v>프라임구독</x:v>
      </x:c>
      <x:c r="C945" s="24" t="str">
        <x:v>51주4315</x:v>
      </x:c>
      <x:c r="D945" s="30" t="n">
        <x:v>45920</x:v>
      </x:c>
      <x:c r="E945" s="24" t="str">
        <x:v>반납</x:v>
      </x:c>
      <x:c r="F945" s="24" t="str">
        <x:v>대여중</x:v>
      </x:c>
      <x:c r="G945" s="24" t="str">
        <x:v>쉬는차</x:v>
      </x:c>
      <x:c r="H945" s="32"/>
      <x:c r="I945" s="24" t="str">
        <x:v>PR-C-51주4315-2-20221005-163</x:v>
      </x:c>
      <x:c r="J945" s="24" t="str">
        <x:v>문병욱</x:v>
      </x:c>
      <x:c r="K945" s="24" t="str">
        <x:v>차량 반납</x:v>
      </x:c>
      <x:c r="L945" s="24" t="str"/>
      <x:c r="M945" s="24" t="str"/>
      <x:c r="N945" s="30" t="n">
        <x:v>45920</x:v>
      </x:c>
    </x:row>
    <x:row r="946" ht="17.25" customHeight="1">
      <x:c r="A946" s="24" t="str">
        <x:v>E-00945</x:v>
      </x:c>
      <x:c r="B946" s="24" t="str">
        <x:v>프라임구독</x:v>
      </x:c>
      <x:c r="C946" s="24" t="str">
        <x:v>52우0228</x:v>
      </x:c>
      <x:c r="D946" s="30" t="n">
        <x:v>45111</x:v>
      </x:c>
      <x:c r="E946" s="24" t="str">
        <x:v>계약시작</x:v>
      </x:c>
      <x:c r="F946" s="24" t="str"/>
      <x:c r="G946" s="24" t="str">
        <x:v>대여중</x:v>
      </x:c>
      <x:c r="H946" s="32" t="n">
        <x:v>353000</x:v>
      </x:c>
      <x:c r="I946" s="24" t="str">
        <x:v>PR-C-52우0228-1-20230704-164</x:v>
      </x:c>
      <x:c r="J946" s="24" t="str">
        <x:v>서기열</x:v>
      </x:c>
      <x:c r="K946" s="24" t="str">
        <x:v>구독 계약 시작</x:v>
      </x:c>
      <x:c r="L946" s="24" t="str"/>
      <x:c r="M946" s="24" t="str"/>
      <x:c r="N946" s="30" t="n">
        <x:v>45111</x:v>
      </x:c>
    </x:row>
    <x:row r="947" ht="17.25" customHeight="1">
      <x:c r="A947" s="24" t="str">
        <x:v>E-00946</x:v>
      </x:c>
      <x:c r="B947" s="24" t="str">
        <x:v>프라임구독</x:v>
      </x:c>
      <x:c r="C947" s="24" t="str">
        <x:v>53더9725</x:v>
      </x:c>
      <x:c r="D947" s="30" t="n">
        <x:v>44873</x:v>
      </x:c>
      <x:c r="E947" s="24" t="str">
        <x:v>계약시작</x:v>
      </x:c>
      <x:c r="F947" s="24" t="str"/>
      <x:c r="G947" s="24" t="str">
        <x:v>대여중</x:v>
      </x:c>
      <x:c r="H947" s="32" t="n">
        <x:v>481000</x:v>
      </x:c>
      <x:c r="I947" s="24" t="str">
        <x:v>PR-C-53더9725-2-20221108-165</x:v>
      </x:c>
      <x:c r="J947" s="24" t="str">
        <x:v>이승조</x:v>
      </x:c>
      <x:c r="K947" s="24" t="str">
        <x:v>종료 계약 시작</x:v>
      </x:c>
      <x:c r="L947" s="24" t="str"/>
      <x:c r="M947" s="24" t="str"/>
      <x:c r="N947" s="30" t="n">
        <x:v>44873</x:v>
      </x:c>
    </x:row>
    <x:row r="948" ht="17.25" customHeight="1">
      <x:c r="A948" s="24" t="str">
        <x:v>E-00947</x:v>
      </x:c>
      <x:c r="B948" s="24" t="str">
        <x:v>프라임구독</x:v>
      </x:c>
      <x:c r="C948" s="24" t="str">
        <x:v>53더9725</x:v>
      </x:c>
      <x:c r="D948" s="30" t="n">
        <x:v>45971</x:v>
      </x:c>
      <x:c r="E948" s="24" t="str">
        <x:v>반납</x:v>
      </x:c>
      <x:c r="F948" s="24" t="str">
        <x:v>대여중</x:v>
      </x:c>
      <x:c r="G948" s="24" t="str">
        <x:v>쉬는차</x:v>
      </x:c>
      <x:c r="H948" s="32"/>
      <x:c r="I948" s="24" t="str">
        <x:v>PR-C-53더9725-2-20221108-165</x:v>
      </x:c>
      <x:c r="J948" s="24" t="str">
        <x:v>이승조</x:v>
      </x:c>
      <x:c r="K948" s="24" t="str">
        <x:v>차량 반납</x:v>
      </x:c>
      <x:c r="L948" s="24" t="str"/>
      <x:c r="M948" s="24" t="str"/>
      <x:c r="N948" s="30" t="n">
        <x:v>45971</x:v>
      </x:c>
    </x:row>
    <x:row r="949" ht="17.25" customHeight="1">
      <x:c r="A949" s="24" t="str">
        <x:v>E-00948</x:v>
      </x:c>
      <x:c r="B949" s="24" t="str">
        <x:v>프라임구독</x:v>
      </x:c>
      <x:c r="C949" s="24" t="str">
        <x:v>53보5644</x:v>
      </x:c>
      <x:c r="D949" s="30" t="n">
        <x:v>44791</x:v>
      </x:c>
      <x:c r="E949" s="24" t="str">
        <x:v>계약시작</x:v>
      </x:c>
      <x:c r="F949" s="24" t="str"/>
      <x:c r="G949" s="24" t="str">
        <x:v>대여중</x:v>
      </x:c>
      <x:c r="H949" s="32" t="n">
        <x:v>1198000</x:v>
      </x:c>
      <x:c r="I949" s="24" t="str">
        <x:v>PR-C-53보5644-2-20220818-166</x:v>
      </x:c>
      <x:c r="J949" s="24" t="str">
        <x:v>이정기3</x:v>
      </x:c>
      <x:c r="K949" s="24" t="str">
        <x:v>종료 계약 시작</x:v>
      </x:c>
      <x:c r="L949" s="24" t="str"/>
      <x:c r="M949" s="24" t="str"/>
      <x:c r="N949" s="30" t="n">
        <x:v>44791</x:v>
      </x:c>
    </x:row>
    <x:row r="950" ht="17.25" customHeight="1">
      <x:c r="A950" s="24" t="str">
        <x:v>E-00949</x:v>
      </x:c>
      <x:c r="B950" s="24" t="str">
        <x:v>프라임구독</x:v>
      </x:c>
      <x:c r="C950" s="24" t="str">
        <x:v>53보5644</x:v>
      </x:c>
      <x:c r="D950" s="30" t="n">
        <x:v>45889</x:v>
      </x:c>
      <x:c r="E950" s="24" t="str">
        <x:v>반납</x:v>
      </x:c>
      <x:c r="F950" s="24" t="str">
        <x:v>대여중</x:v>
      </x:c>
      <x:c r="G950" s="24" t="str">
        <x:v>쉬는차</x:v>
      </x:c>
      <x:c r="H950" s="32"/>
      <x:c r="I950" s="24" t="str">
        <x:v>PR-C-53보5644-2-20220818-166</x:v>
      </x:c>
      <x:c r="J950" s="24" t="str">
        <x:v>이정기3</x:v>
      </x:c>
      <x:c r="K950" s="24" t="str">
        <x:v>차량 반납</x:v>
      </x:c>
      <x:c r="L950" s="24" t="str"/>
      <x:c r="M950" s="24" t="str"/>
      <x:c r="N950" s="30" t="n">
        <x:v>45889</x:v>
      </x:c>
    </x:row>
    <x:row r="951" ht="17.25" customHeight="1">
      <x:c r="A951" s="24" t="str">
        <x:v>E-00950</x:v>
      </x:c>
      <x:c r="B951" s="24" t="str">
        <x:v>프라임구독</x:v>
      </x:c>
      <x:c r="C951" s="24" t="str">
        <x:v>54라8654</x:v>
      </x:c>
      <x:c r="D951" s="30" t="n">
        <x:v>45008</x:v>
      </x:c>
      <x:c r="E951" s="24" t="str">
        <x:v>계약시작</x:v>
      </x:c>
      <x:c r="F951" s="24" t="str"/>
      <x:c r="G951" s="24" t="str">
        <x:v>대여중</x:v>
      </x:c>
      <x:c r="H951" s="32" t="n">
        <x:v>880000</x:v>
      </x:c>
      <x:c r="I951" s="24" t="str">
        <x:v>PR-C-54라8654-2-20230323-167</x:v>
      </x:c>
      <x:c r="J951" s="24" t="str">
        <x:v>한주석</x:v>
      </x:c>
      <x:c r="K951" s="24" t="str">
        <x:v>종료 계약 시작</x:v>
      </x:c>
      <x:c r="L951" s="24" t="str"/>
      <x:c r="M951" s="24" t="str"/>
      <x:c r="N951" s="30" t="n">
        <x:v>45008</x:v>
      </x:c>
    </x:row>
    <x:row r="952" ht="17.25" customHeight="1">
      <x:c r="A952" s="24" t="str">
        <x:v>E-00951</x:v>
      </x:c>
      <x:c r="B952" s="24" t="str">
        <x:v>프라임구독</x:v>
      </x:c>
      <x:c r="C952" s="24" t="str">
        <x:v>54라8654</x:v>
      </x:c>
      <x:c r="D952" s="30" t="n">
        <x:v>46106</x:v>
      </x:c>
      <x:c r="E952" s="24" t="str">
        <x:v>반납</x:v>
      </x:c>
      <x:c r="F952" s="24" t="str">
        <x:v>대여중</x:v>
      </x:c>
      <x:c r="G952" s="24" t="str">
        <x:v>쉬는차</x:v>
      </x:c>
      <x:c r="H952" s="32"/>
      <x:c r="I952" s="24" t="str">
        <x:v>PR-C-54라8654-2-20230323-167</x:v>
      </x:c>
      <x:c r="J952" s="24" t="str">
        <x:v>한주석</x:v>
      </x:c>
      <x:c r="K952" s="24" t="str">
        <x:v>차량 반납</x:v>
      </x:c>
      <x:c r="L952" s="24" t="str"/>
      <x:c r="M952" s="24" t="str"/>
      <x:c r="N952" s="30" t="n">
        <x:v>46106</x:v>
      </x:c>
    </x:row>
    <x:row r="953" ht="17.25" customHeight="1">
      <x:c r="A953" s="24" t="str">
        <x:v>E-00952</x:v>
      </x:c>
      <x:c r="B953" s="24" t="str">
        <x:v>프라임구독</x:v>
      </x:c>
      <x:c r="C953" s="24" t="str">
        <x:v>55두2701</x:v>
      </x:c>
      <x:c r="D953" s="30" t="n">
        <x:v>45355</x:v>
      </x:c>
      <x:c r="E953" s="24" t="str">
        <x:v>계약시작</x:v>
      </x:c>
      <x:c r="F953" s="24" t="str"/>
      <x:c r="G953" s="24" t="str">
        <x:v>대여중</x:v>
      </x:c>
      <x:c r="H953" s="32" t="n">
        <x:v>654000</x:v>
      </x:c>
      <x:c r="I953" s="24" t="str">
        <x:v>PR-C-55두2701-2-20240304-168</x:v>
      </x:c>
      <x:c r="J953" s="24" t="str">
        <x:v>정재복</x:v>
      </x:c>
      <x:c r="K953" s="24" t="str">
        <x:v>종료 계약 시작</x:v>
      </x:c>
      <x:c r="L953" s="24" t="str"/>
      <x:c r="M953" s="24" t="str"/>
      <x:c r="N953" s="30" t="n">
        <x:v>45355</x:v>
      </x:c>
    </x:row>
    <x:row r="954" ht="17.25" customHeight="1">
      <x:c r="A954" s="24" t="str">
        <x:v>E-00953</x:v>
      </x:c>
      <x:c r="B954" s="24" t="str">
        <x:v>프라임구독</x:v>
      </x:c>
      <x:c r="C954" s="24" t="str">
        <x:v>55두2701</x:v>
      </x:c>
      <x:c r="D954" s="30" t="n">
        <x:v>46827</x:v>
      </x:c>
      <x:c r="E954" s="24" t="str">
        <x:v>반납</x:v>
      </x:c>
      <x:c r="F954" s="24" t="str">
        <x:v>대여중</x:v>
      </x:c>
      <x:c r="G954" s="24" t="str">
        <x:v>쉬는차</x:v>
      </x:c>
      <x:c r="H954" s="32"/>
      <x:c r="I954" s="24" t="str">
        <x:v>PR-C-55두2701-2-20240304-168</x:v>
      </x:c>
      <x:c r="J954" s="24" t="str">
        <x:v>정재복</x:v>
      </x:c>
      <x:c r="K954" s="24" t="str">
        <x:v>차량 반납</x:v>
      </x:c>
      <x:c r="L954" s="24" t="str"/>
      <x:c r="M954" s="24" t="str"/>
      <x:c r="N954" s="30" t="n">
        <x:v>46827</x:v>
      </x:c>
    </x:row>
    <x:row r="955" ht="17.25" customHeight="1">
      <x:c r="A955" s="24" t="str">
        <x:v>E-00954</x:v>
      </x:c>
      <x:c r="B955" s="24" t="str">
        <x:v>프라임구독</x:v>
      </x:c>
      <x:c r="C955" s="24" t="str">
        <x:v>55소3876</x:v>
      </x:c>
      <x:c r="D955" s="30" t="n">
        <x:v>44706</x:v>
      </x:c>
      <x:c r="E955" s="24" t="str">
        <x:v>계약시작</x:v>
      </x:c>
      <x:c r="F955" s="24" t="str"/>
      <x:c r="G955" s="24" t="str">
        <x:v>대여중</x:v>
      </x:c>
      <x:c r="H955" s="32" t="n">
        <x:v>381000</x:v>
      </x:c>
      <x:c r="I955" s="24" t="str">
        <x:v>PR-C-55소3876-2-20220525-169</x:v>
      </x:c>
      <x:c r="J955" s="24" t="str">
        <x:v>조정민</x:v>
      </x:c>
      <x:c r="K955" s="24" t="str">
        <x:v>종료 계약 시작</x:v>
      </x:c>
      <x:c r="L955" s="24" t="str"/>
      <x:c r="M955" s="24" t="str"/>
      <x:c r="N955" s="30" t="n">
        <x:v>44706</x:v>
      </x:c>
    </x:row>
    <x:row r="956" ht="17.25" customHeight="1">
      <x:c r="A956" s="24" t="str">
        <x:v>E-00955</x:v>
      </x:c>
      <x:c r="B956" s="24" t="str">
        <x:v>프라임구독</x:v>
      </x:c>
      <x:c r="C956" s="24" t="str">
        <x:v>55소3876</x:v>
      </x:c>
      <x:c r="D956" s="30" t="n">
        <x:v>45802</x:v>
      </x:c>
      <x:c r="E956" s="24" t="str">
        <x:v>반납</x:v>
      </x:c>
      <x:c r="F956" s="24" t="str">
        <x:v>대여중</x:v>
      </x:c>
      <x:c r="G956" s="24" t="str">
        <x:v>쉬는차</x:v>
      </x:c>
      <x:c r="H956" s="32"/>
      <x:c r="I956" s="24" t="str">
        <x:v>PR-C-55소3876-2-20220525-169</x:v>
      </x:c>
      <x:c r="J956" s="24" t="str">
        <x:v>조정민</x:v>
      </x:c>
      <x:c r="K956" s="24" t="str">
        <x:v>차량 반납</x:v>
      </x:c>
      <x:c r="L956" s="24" t="str"/>
      <x:c r="M956" s="24" t="str"/>
      <x:c r="N956" s="30" t="n">
        <x:v>45802</x:v>
      </x:c>
    </x:row>
    <x:row r="957" ht="17.25" customHeight="1">
      <x:c r="A957" s="24" t="str">
        <x:v>E-00956</x:v>
      </x:c>
      <x:c r="B957" s="24" t="str">
        <x:v>프라임구독</x:v>
      </x:c>
      <x:c r="C957" s="24" t="str">
        <x:v>56마2851</x:v>
      </x:c>
      <x:c r="D957" s="30" t="n">
        <x:v>45194</x:v>
      </x:c>
      <x:c r="E957" s="24" t="str">
        <x:v>계약시작</x:v>
      </x:c>
      <x:c r="F957" s="24" t="str"/>
      <x:c r="G957" s="24" t="str">
        <x:v>대여중</x:v>
      </x:c>
      <x:c r="H957" s="32" t="n">
        <x:v>515000</x:v>
      </x:c>
      <x:c r="I957" s="24" t="str">
        <x:v>PR-C-56마2851-1-20230925-170</x:v>
      </x:c>
      <x:c r="J957" s="24" t="str">
        <x:v>윤성민</x:v>
      </x:c>
      <x:c r="K957" s="24" t="str">
        <x:v>구독 계약 시작</x:v>
      </x:c>
      <x:c r="L957" s="24" t="str"/>
      <x:c r="M957" s="24" t="str"/>
      <x:c r="N957" s="30" t="n">
        <x:v>45194</x:v>
      </x:c>
    </x:row>
    <x:row r="958" ht="17.25" customHeight="1">
      <x:c r="A958" s="24" t="str">
        <x:v>E-00957</x:v>
      </x:c>
      <x:c r="B958" s="24" t="str">
        <x:v>프라임구독</x:v>
      </x:c>
      <x:c r="C958" s="24" t="str">
        <x:v>56보8997</x:v>
      </x:c>
      <x:c r="D958" s="30" t="n">
        <x:v>44707</x:v>
      </x:c>
      <x:c r="E958" s="24" t="str">
        <x:v>계약시작</x:v>
      </x:c>
      <x:c r="F958" s="24" t="str"/>
      <x:c r="G958" s="24" t="str">
        <x:v>대여중</x:v>
      </x:c>
      <x:c r="H958" s="32" t="n">
        <x:v>412000</x:v>
      </x:c>
      <x:c r="I958" s="24" t="str">
        <x:v>PR-C-56보8997-2-20220526-171</x:v>
      </x:c>
      <x:c r="J958" s="24" t="str">
        <x:v>손미란</x:v>
      </x:c>
      <x:c r="K958" s="24" t="str">
        <x:v>종료 계약 시작</x:v>
      </x:c>
      <x:c r="L958" s="24" t="str"/>
      <x:c r="M958" s="24" t="str"/>
      <x:c r="N958" s="30" t="n">
        <x:v>44707</x:v>
      </x:c>
    </x:row>
    <x:row r="959" ht="17.25" customHeight="1">
      <x:c r="A959" s="24" t="str">
        <x:v>E-00958</x:v>
      </x:c>
      <x:c r="B959" s="24" t="str">
        <x:v>프라임구독</x:v>
      </x:c>
      <x:c r="C959" s="24" t="str">
        <x:v>56보8997</x:v>
      </x:c>
      <x:c r="D959" s="30" t="n">
        <x:v>45787</x:v>
      </x:c>
      <x:c r="E959" s="24" t="str">
        <x:v>반납</x:v>
      </x:c>
      <x:c r="F959" s="24" t="str">
        <x:v>대여중</x:v>
      </x:c>
      <x:c r="G959" s="24" t="str">
        <x:v>쉬는차</x:v>
      </x:c>
      <x:c r="H959" s="32"/>
      <x:c r="I959" s="24" t="str">
        <x:v>PR-C-56보8997-2-20220526-171</x:v>
      </x:c>
      <x:c r="J959" s="24" t="str">
        <x:v>손미란</x:v>
      </x:c>
      <x:c r="K959" s="24" t="str">
        <x:v>차량 반납</x:v>
      </x:c>
      <x:c r="L959" s="24" t="str"/>
      <x:c r="M959" s="24" t="str"/>
      <x:c r="N959" s="30" t="n">
        <x:v>45787</x:v>
      </x:c>
    </x:row>
    <x:row r="960" ht="17.25" customHeight="1">
      <x:c r="A960" s="24" t="str">
        <x:v>E-00959</x:v>
      </x:c>
      <x:c r="B960" s="24" t="str">
        <x:v>프라임구독</x:v>
      </x:c>
      <x:c r="C960" s="24" t="str">
        <x:v>57두7690</x:v>
      </x:c>
      <x:c r="D960" s="30" t="n">
        <x:v>44917</x:v>
      </x:c>
      <x:c r="E960" s="24" t="str">
        <x:v>계약시작</x:v>
      </x:c>
      <x:c r="F960" s="24" t="str"/>
      <x:c r="G960" s="24" t="str">
        <x:v>대여중</x:v>
      </x:c>
      <x:c r="H960" s="32" t="n">
        <x:v>615000</x:v>
      </x:c>
      <x:c r="I960" s="24" t="str">
        <x:v>PR-C-57두7690-2-20221222-172</x:v>
      </x:c>
      <x:c r="J960" s="24" t="str">
        <x:v>이정순</x:v>
      </x:c>
      <x:c r="K960" s="24" t="str">
        <x:v>종료 계약 시작</x:v>
      </x:c>
      <x:c r="L960" s="24" t="str"/>
      <x:c r="M960" s="24" t="str"/>
      <x:c r="N960" s="30" t="n">
        <x:v>44917</x:v>
      </x:c>
    </x:row>
    <x:row r="961" ht="17.25" customHeight="1">
      <x:c r="A961" s="24" t="str">
        <x:v>E-00960</x:v>
      </x:c>
      <x:c r="B961" s="24" t="str">
        <x:v>프라임구독</x:v>
      </x:c>
      <x:c r="C961" s="24" t="str">
        <x:v>57두7690</x:v>
      </x:c>
      <x:c r="D961" s="30" t="n">
        <x:v>46058</x:v>
      </x:c>
      <x:c r="E961" s="24" t="str">
        <x:v>반납</x:v>
      </x:c>
      <x:c r="F961" s="24" t="str">
        <x:v>대여중</x:v>
      </x:c>
      <x:c r="G961" s="24" t="str">
        <x:v>쉬는차</x:v>
      </x:c>
      <x:c r="H961" s="32"/>
      <x:c r="I961" s="24" t="str">
        <x:v>PR-C-57두7690-2-20221222-172</x:v>
      </x:c>
      <x:c r="J961" s="24" t="str">
        <x:v>이정순</x:v>
      </x:c>
      <x:c r="K961" s="24" t="str">
        <x:v>차량 반납</x:v>
      </x:c>
      <x:c r="L961" s="24" t="str"/>
      <x:c r="M961" s="24" t="str"/>
      <x:c r="N961" s="30" t="n">
        <x:v>46058</x:v>
      </x:c>
    </x:row>
    <x:row r="962" ht="17.25" customHeight="1">
      <x:c r="A962" s="24" t="str">
        <x:v>E-00961</x:v>
      </x:c>
      <x:c r="B962" s="24" t="str">
        <x:v>프라임구독</x:v>
      </x:c>
      <x:c r="C962" s="24" t="str">
        <x:v>59보0161</x:v>
      </x:c>
      <x:c r="D962" s="30" t="n">
        <x:v>44946</x:v>
      </x:c>
      <x:c r="E962" s="24" t="str">
        <x:v>계약시작</x:v>
      </x:c>
      <x:c r="F962" s="24" t="str"/>
      <x:c r="G962" s="24" t="str">
        <x:v>대여중</x:v>
      </x:c>
      <x:c r="H962" s="32" t="n">
        <x:v>831000</x:v>
      </x:c>
      <x:c r="I962" s="24" t="str">
        <x:v>PR-C-59보0161-2-20230120-173</x:v>
      </x:c>
      <x:c r="J962" s="24" t="str">
        <x:v>한윤미</x:v>
      </x:c>
      <x:c r="K962" s="24" t="str">
        <x:v>종료 계약 시작</x:v>
      </x:c>
      <x:c r="L962" s="24" t="str"/>
      <x:c r="M962" s="24" t="str"/>
      <x:c r="N962" s="30" t="n">
        <x:v>44946</x:v>
      </x:c>
    </x:row>
    <x:row r="963" ht="17.25" customHeight="1">
      <x:c r="A963" s="24" t="str">
        <x:v>E-00962</x:v>
      </x:c>
      <x:c r="B963" s="24" t="str">
        <x:v>프라임구독</x:v>
      </x:c>
      <x:c r="C963" s="24" t="str">
        <x:v>59보0161</x:v>
      </x:c>
      <x:c r="D963" s="30" t="n">
        <x:v>46032</x:v>
      </x:c>
      <x:c r="E963" s="24" t="str">
        <x:v>반납</x:v>
      </x:c>
      <x:c r="F963" s="24" t="str">
        <x:v>대여중</x:v>
      </x:c>
      <x:c r="G963" s="24" t="str">
        <x:v>쉬는차</x:v>
      </x:c>
      <x:c r="H963" s="32"/>
      <x:c r="I963" s="24" t="str">
        <x:v>PR-C-59보0161-2-20230120-173</x:v>
      </x:c>
      <x:c r="J963" s="24" t="str">
        <x:v>한윤미</x:v>
      </x:c>
      <x:c r="K963" s="24" t="str">
        <x:v>차량 반납</x:v>
      </x:c>
      <x:c r="L963" s="24" t="str"/>
      <x:c r="M963" s="24" t="str"/>
      <x:c r="N963" s="30" t="n">
        <x:v>46032</x:v>
      </x:c>
    </x:row>
    <x:row r="964" ht="17.25" customHeight="1">
      <x:c r="A964" s="24" t="str">
        <x:v>E-00963</x:v>
      </x:c>
      <x:c r="B964" s="24" t="str">
        <x:v>프라임구독</x:v>
      </x:c>
      <x:c r="C964" s="24" t="str">
        <x:v>59보0907</x:v>
      </x:c>
      <x:c r="D964" s="30" t="n">
        <x:v>44559</x:v>
      </x:c>
      <x:c r="E964" s="24" t="str">
        <x:v>계약시작</x:v>
      </x:c>
      <x:c r="F964" s="24" t="str"/>
      <x:c r="G964" s="24" t="str">
        <x:v>대여중</x:v>
      </x:c>
      <x:c r="H964" s="32" t="n">
        <x:v>845000</x:v>
      </x:c>
      <x:c r="I964" s="24" t="str">
        <x:v>PR-C-59보0907-2-20211229-174</x:v>
      </x:c>
      <x:c r="J964" s="24" t="str">
        <x:v>이진홍</x:v>
      </x:c>
      <x:c r="K964" s="24" t="str">
        <x:v>종료 계약 시작</x:v>
      </x:c>
      <x:c r="L964" s="24" t="str"/>
      <x:c r="M964" s="24" t="str"/>
      <x:c r="N964" s="30" t="n">
        <x:v>44559</x:v>
      </x:c>
    </x:row>
    <x:row r="965" ht="17.25" customHeight="1">
      <x:c r="A965" s="24" t="str">
        <x:v>E-00964</x:v>
      </x:c>
      <x:c r="B965" s="24" t="str">
        <x:v>프라임구독</x:v>
      </x:c>
      <x:c r="C965" s="24" t="str">
        <x:v>59보0907</x:v>
      </x:c>
      <x:c r="D965" s="30" t="n">
        <x:v>45677</x:v>
      </x:c>
      <x:c r="E965" s="24" t="str">
        <x:v>반납</x:v>
      </x:c>
      <x:c r="F965" s="24" t="str">
        <x:v>대여중</x:v>
      </x:c>
      <x:c r="G965" s="24" t="str">
        <x:v>쉬는차</x:v>
      </x:c>
      <x:c r="H965" s="32"/>
      <x:c r="I965" s="24" t="str">
        <x:v>PR-C-59보0907-2-20211229-174</x:v>
      </x:c>
      <x:c r="J965" s="24" t="str">
        <x:v>이진홍</x:v>
      </x:c>
      <x:c r="K965" s="24" t="str">
        <x:v>차량 반납</x:v>
      </x:c>
      <x:c r="L965" s="24" t="str"/>
      <x:c r="M965" s="24" t="str"/>
      <x:c r="N965" s="30" t="n">
        <x:v>45677</x:v>
      </x:c>
    </x:row>
    <x:row r="966" ht="17.25" customHeight="1">
      <x:c r="A966" s="24" t="str">
        <x:v>E-00965</x:v>
      </x:c>
      <x:c r="B966" s="24" t="str">
        <x:v>프라임구독</x:v>
      </x:c>
      <x:c r="C966" s="24" t="str">
        <x:v>60조0437</x:v>
      </x:c>
      <x:c r="D966" s="30" t="n">
        <x:v>45034</x:v>
      </x:c>
      <x:c r="E966" s="24" t="str">
        <x:v>계약시작</x:v>
      </x:c>
      <x:c r="F966" s="24" t="str"/>
      <x:c r="G966" s="24" t="str">
        <x:v>대여중</x:v>
      </x:c>
      <x:c r="H966" s="32" t="n">
        <x:v>343000</x:v>
      </x:c>
      <x:c r="I966" s="24" t="str">
        <x:v>PR-C-60조0437-1-20230418-175</x:v>
      </x:c>
      <x:c r="J966" s="24" t="str">
        <x:v>우창식</x:v>
      </x:c>
      <x:c r="K966" s="24" t="str">
        <x:v>구독 계약 시작</x:v>
      </x:c>
      <x:c r="L966" s="24" t="str"/>
      <x:c r="M966" s="24" t="str"/>
      <x:c r="N966" s="30" t="n">
        <x:v>45034</x:v>
      </x:c>
    </x:row>
    <x:row r="967" ht="17.25" customHeight="1">
      <x:c r="A967" s="24" t="str">
        <x:v>E-00966</x:v>
      </x:c>
      <x:c r="B967" s="24" t="str">
        <x:v>프라임구독</x:v>
      </x:c>
      <x:c r="C967" s="24" t="str">
        <x:v>61너2749</x:v>
      </x:c>
      <x:c r="D967" s="30" t="n">
        <x:v>44881</x:v>
      </x:c>
      <x:c r="E967" s="24" t="str">
        <x:v>계약시작</x:v>
      </x:c>
      <x:c r="F967" s="24" t="str"/>
      <x:c r="G967" s="24" t="str">
        <x:v>대여중</x:v>
      </x:c>
      <x:c r="H967" s="32" t="n">
        <x:v>486000</x:v>
      </x:c>
      <x:c r="I967" s="24" t="str">
        <x:v>PR-C-61너2749-2-20221116-176</x:v>
      </x:c>
      <x:c r="J967" s="24" t="str">
        <x:v>이은숙</x:v>
      </x:c>
      <x:c r="K967" s="24" t="str">
        <x:v>종료 계약 시작</x:v>
      </x:c>
      <x:c r="L967" s="24" t="str"/>
      <x:c r="M967" s="24" t="str"/>
      <x:c r="N967" s="30" t="n">
        <x:v>44881</x:v>
      </x:c>
    </x:row>
    <x:row r="968" ht="17.25" customHeight="1">
      <x:c r="A968" s="24" t="str">
        <x:v>E-00967</x:v>
      </x:c>
      <x:c r="B968" s="24" t="str">
        <x:v>프라임구독</x:v>
      </x:c>
      <x:c r="C968" s="24" t="str">
        <x:v>61너2749</x:v>
      </x:c>
      <x:c r="D968" s="30" t="n">
        <x:v>45971</x:v>
      </x:c>
      <x:c r="E968" s="24" t="str">
        <x:v>반납</x:v>
      </x:c>
      <x:c r="F968" s="24" t="str">
        <x:v>대여중</x:v>
      </x:c>
      <x:c r="G968" s="24" t="str">
        <x:v>쉬는차</x:v>
      </x:c>
      <x:c r="H968" s="32"/>
      <x:c r="I968" s="24" t="str">
        <x:v>PR-C-61너2749-2-20221116-176</x:v>
      </x:c>
      <x:c r="J968" s="24" t="str">
        <x:v>이은숙</x:v>
      </x:c>
      <x:c r="K968" s="24" t="str">
        <x:v>차량 반납</x:v>
      </x:c>
      <x:c r="L968" s="24" t="str"/>
      <x:c r="M968" s="24" t="str"/>
      <x:c r="N968" s="30" t="n">
        <x:v>45971</x:v>
      </x:c>
    </x:row>
    <x:row r="969" ht="17.25" customHeight="1">
      <x:c r="A969" s="24" t="str">
        <x:v>E-00968</x:v>
      </x:c>
      <x:c r="B969" s="24" t="str">
        <x:v>프라임구독</x:v>
      </x:c>
      <x:c r="C969" s="24" t="str">
        <x:v>61너5024</x:v>
      </x:c>
      <x:c r="D969" s="30" t="n">
        <x:v>45106</x:v>
      </x:c>
      <x:c r="E969" s="24" t="str">
        <x:v>계약시작</x:v>
      </x:c>
      <x:c r="F969" s="24" t="str"/>
      <x:c r="G969" s="24" t="str">
        <x:v>대여중</x:v>
      </x:c>
      <x:c r="H969" s="32" t="n">
        <x:v>493000</x:v>
      </x:c>
      <x:c r="I969" s="24" t="str">
        <x:v>PR-C-61너5024-1-20230629-177</x:v>
      </x:c>
      <x:c r="J969" s="24" t="str">
        <x:v>안미숙</x:v>
      </x:c>
      <x:c r="K969" s="24" t="str">
        <x:v>구독 계약 시작</x:v>
      </x:c>
      <x:c r="L969" s="24" t="str"/>
      <x:c r="M969" s="24" t="str"/>
      <x:c r="N969" s="30" t="n">
        <x:v>45106</x:v>
      </x:c>
    </x:row>
    <x:row r="970" ht="17.25" customHeight="1">
      <x:c r="A970" s="24" t="str">
        <x:v>E-00969</x:v>
      </x:c>
      <x:c r="B970" s="24" t="str">
        <x:v>프라임구독</x:v>
      </x:c>
      <x:c r="C970" s="24" t="str">
        <x:v>61루2328</x:v>
      </x:c>
      <x:c r="D970" s="30" t="n">
        <x:v>45112</x:v>
      </x:c>
      <x:c r="E970" s="24" t="str">
        <x:v>계약시작</x:v>
      </x:c>
      <x:c r="F970" s="24" t="str"/>
      <x:c r="G970" s="24" t="str">
        <x:v>대여중</x:v>
      </x:c>
      <x:c r="H970" s="32" t="n">
        <x:v>448000</x:v>
      </x:c>
      <x:c r="I970" s="24" t="str">
        <x:v>PR-C-61루2328-1-20230705-178</x:v>
      </x:c>
      <x:c r="J970" s="24" t="str">
        <x:v>권오중</x:v>
      </x:c>
      <x:c r="K970" s="24" t="str">
        <x:v>구독 계약 시작</x:v>
      </x:c>
      <x:c r="L970" s="24" t="str"/>
      <x:c r="M970" s="24" t="str"/>
      <x:c r="N970" s="30" t="n">
        <x:v>45112</x:v>
      </x:c>
    </x:row>
    <x:row r="971" ht="17.25" customHeight="1">
      <x:c r="A971" s="24" t="str">
        <x:v>E-00970</x:v>
      </x:c>
      <x:c r="B971" s="24" t="str">
        <x:v>프라임구독</x:v>
      </x:c>
      <x:c r="C971" s="24" t="str">
        <x:v>61마9264</x:v>
      </x:c>
      <x:c r="D971" s="30" t="n">
        <x:v>44608</x:v>
      </x:c>
      <x:c r="E971" s="24" t="str">
        <x:v>계약시작</x:v>
      </x:c>
      <x:c r="F971" s="24" t="str"/>
      <x:c r="G971" s="24" t="str">
        <x:v>대여중</x:v>
      </x:c>
      <x:c r="H971" s="32" t="n">
        <x:v>660000</x:v>
      </x:c>
      <x:c r="I971" s="24" t="str">
        <x:v>PR-C-61마9264-2-20220216-179</x:v>
      </x:c>
      <x:c r="J971" s="24" t="str">
        <x:v>곽순홍</x:v>
      </x:c>
      <x:c r="K971" s="24" t="str">
        <x:v>종료 계약 시작</x:v>
      </x:c>
      <x:c r="L971" s="24" t="str"/>
      <x:c r="M971" s="24" t="str"/>
      <x:c r="N971" s="30" t="n">
        <x:v>44608</x:v>
      </x:c>
    </x:row>
    <x:row r="972" ht="17.25" customHeight="1">
      <x:c r="A972" s="24" t="str">
        <x:v>E-00971</x:v>
      </x:c>
      <x:c r="B972" s="24" t="str">
        <x:v>프라임구독</x:v>
      </x:c>
      <x:c r="C972" s="24" t="str">
        <x:v>61마9264</x:v>
      </x:c>
      <x:c r="D972" s="30" t="n">
        <x:v>45716</x:v>
      </x:c>
      <x:c r="E972" s="24" t="str">
        <x:v>반납</x:v>
      </x:c>
      <x:c r="F972" s="24" t="str">
        <x:v>대여중</x:v>
      </x:c>
      <x:c r="G972" s="24" t="str">
        <x:v>쉬는차</x:v>
      </x:c>
      <x:c r="H972" s="32"/>
      <x:c r="I972" s="24" t="str">
        <x:v>PR-C-61마9264-2-20220216-179</x:v>
      </x:c>
      <x:c r="J972" s="24" t="str">
        <x:v>곽순홍</x:v>
      </x:c>
      <x:c r="K972" s="24" t="str">
        <x:v>차량 반납</x:v>
      </x:c>
      <x:c r="L972" s="24" t="str"/>
      <x:c r="M972" s="24" t="str"/>
      <x:c r="N972" s="30" t="n">
        <x:v>45716</x:v>
      </x:c>
    </x:row>
    <x:row r="973" ht="17.25" customHeight="1">
      <x:c r="A973" s="24" t="str">
        <x:v>E-00972</x:v>
      </x:c>
      <x:c r="B973" s="24" t="str">
        <x:v>프라임구독</x:v>
      </x:c>
      <x:c r="C973" s="24" t="str">
        <x:v>64고6351</x:v>
      </x:c>
      <x:c r="D973" s="30" t="n">
        <x:v>44904</x:v>
      </x:c>
      <x:c r="E973" s="24" t="str">
        <x:v>계약시작</x:v>
      </x:c>
      <x:c r="F973" s="24" t="str"/>
      <x:c r="G973" s="24" t="str">
        <x:v>대여중</x:v>
      </x:c>
      <x:c r="H973" s="32" t="n">
        <x:v>1264000</x:v>
      </x:c>
      <x:c r="I973" s="24" t="str">
        <x:v>PR-C-64고6351-2-20221209-180</x:v>
      </x:c>
      <x:c r="J973" s="24" t="str">
        <x:v>김광심</x:v>
      </x:c>
      <x:c r="K973" s="24" t="str">
        <x:v>종료 계약 시작</x:v>
      </x:c>
      <x:c r="L973" s="24" t="str"/>
      <x:c r="M973" s="24" t="str"/>
      <x:c r="N973" s="30" t="n">
        <x:v>44904</x:v>
      </x:c>
    </x:row>
    <x:row r="974" ht="17.25" customHeight="1">
      <x:c r="A974" s="24" t="str">
        <x:v>E-00973</x:v>
      </x:c>
      <x:c r="B974" s="24" t="str">
        <x:v>프라임구독</x:v>
      </x:c>
      <x:c r="C974" s="24" t="str">
        <x:v>64고6351</x:v>
      </x:c>
      <x:c r="D974" s="30" t="n">
        <x:v>46011</x:v>
      </x:c>
      <x:c r="E974" s="24" t="str">
        <x:v>반납</x:v>
      </x:c>
      <x:c r="F974" s="24" t="str">
        <x:v>대여중</x:v>
      </x:c>
      <x:c r="G974" s="24" t="str">
        <x:v>쉬는차</x:v>
      </x:c>
      <x:c r="H974" s="32"/>
      <x:c r="I974" s="24" t="str">
        <x:v>PR-C-64고6351-2-20221209-180</x:v>
      </x:c>
      <x:c r="J974" s="24" t="str">
        <x:v>김광심</x:v>
      </x:c>
      <x:c r="K974" s="24" t="str">
        <x:v>차량 반납</x:v>
      </x:c>
      <x:c r="L974" s="24" t="str"/>
      <x:c r="M974" s="24" t="str"/>
      <x:c r="N974" s="30" t="n">
        <x:v>46011</x:v>
      </x:c>
    </x:row>
    <x:row r="975" ht="17.25" customHeight="1">
      <x:c r="A975" s="24" t="str">
        <x:v>E-00974</x:v>
      </x:c>
      <x:c r="B975" s="24" t="str">
        <x:v>프라임구독</x:v>
      </x:c>
      <x:c r="C975" s="24" t="str">
        <x:v>64로0269</x:v>
      </x:c>
      <x:c r="D975" s="30" t="n">
        <x:v>45100</x:v>
      </x:c>
      <x:c r="E975" s="24" t="str">
        <x:v>계약시작</x:v>
      </x:c>
      <x:c r="F975" s="24" t="str"/>
      <x:c r="G975" s="24" t="str">
        <x:v>대여중</x:v>
      </x:c>
      <x:c r="H975" s="32" t="n">
        <x:v>639000</x:v>
      </x:c>
      <x:c r="I975" s="24" t="str">
        <x:v>PR-C-64로0269-1-20230623-181</x:v>
      </x:c>
      <x:c r="J975" s="24" t="str">
        <x:v>배미주</x:v>
      </x:c>
      <x:c r="K975" s="24" t="str">
        <x:v>구독 계약 시작</x:v>
      </x:c>
      <x:c r="L975" s="24" t="str"/>
      <x:c r="M975" s="24" t="str"/>
      <x:c r="N975" s="30" t="n">
        <x:v>45100</x:v>
      </x:c>
    </x:row>
    <x:row r="976" ht="17.25" customHeight="1">
      <x:c r="A976" s="24" t="str">
        <x:v>E-00975</x:v>
      </x:c>
      <x:c r="B976" s="24" t="str">
        <x:v>프라임구독</x:v>
      </x:c>
      <x:c r="C976" s="24" t="str">
        <x:v>65서0911</x:v>
      </x:c>
      <x:c r="D976" s="30" t="n">
        <x:v>44750</x:v>
      </x:c>
      <x:c r="E976" s="24" t="str">
        <x:v>계약시작</x:v>
      </x:c>
      <x:c r="F976" s="24" t="str"/>
      <x:c r="G976" s="24" t="str">
        <x:v>대여중</x:v>
      </x:c>
      <x:c r="H976" s="32" t="n">
        <x:v>457000</x:v>
      </x:c>
      <x:c r="I976" s="24" t="str">
        <x:v>PR-C-65서0911-2-20220708-182</x:v>
      </x:c>
      <x:c r="J976" s="24" t="str">
        <x:v>박준호b</x:v>
      </x:c>
      <x:c r="K976" s="24" t="str">
        <x:v>종료 계약 시작</x:v>
      </x:c>
      <x:c r="L976" s="24" t="str"/>
      <x:c r="M976" s="24" t="str"/>
      <x:c r="N976" s="30" t="n">
        <x:v>44750</x:v>
      </x:c>
    </x:row>
    <x:row r="977" ht="17.25" customHeight="1">
      <x:c r="A977" s="24" t="str">
        <x:v>E-00976</x:v>
      </x:c>
      <x:c r="B977" s="24" t="str">
        <x:v>프라임구독</x:v>
      </x:c>
      <x:c r="C977" s="24" t="str">
        <x:v>65서0911</x:v>
      </x:c>
      <x:c r="D977" s="30" t="n">
        <x:v>45853</x:v>
      </x:c>
      <x:c r="E977" s="24" t="str">
        <x:v>반납</x:v>
      </x:c>
      <x:c r="F977" s="24" t="str">
        <x:v>대여중</x:v>
      </x:c>
      <x:c r="G977" s="24" t="str">
        <x:v>쉬는차</x:v>
      </x:c>
      <x:c r="H977" s="32"/>
      <x:c r="I977" s="24" t="str">
        <x:v>PR-C-65서0911-2-20220708-182</x:v>
      </x:c>
      <x:c r="J977" s="24" t="str">
        <x:v>박준호b</x:v>
      </x:c>
      <x:c r="K977" s="24" t="str">
        <x:v>차량 반납</x:v>
      </x:c>
      <x:c r="L977" s="24" t="str"/>
      <x:c r="M977" s="24" t="str"/>
      <x:c r="N977" s="30" t="n">
        <x:v>45853</x:v>
      </x:c>
    </x:row>
    <x:row r="978" ht="17.25" customHeight="1">
      <x:c r="A978" s="24" t="str">
        <x:v>E-00977</x:v>
      </x:c>
      <x:c r="B978" s="24" t="str">
        <x:v>프라임구독</x:v>
      </x:c>
      <x:c r="C978" s="24" t="str">
        <x:v>66어1934</x:v>
      </x:c>
      <x:c r="D978" s="30" t="n">
        <x:v>44707</x:v>
      </x:c>
      <x:c r="E978" s="24" t="str">
        <x:v>계약시작</x:v>
      </x:c>
      <x:c r="F978" s="24" t="str"/>
      <x:c r="G978" s="24" t="str">
        <x:v>대여중</x:v>
      </x:c>
      <x:c r="H978" s="32" t="n">
        <x:v>350000</x:v>
      </x:c>
      <x:c r="I978" s="24" t="str">
        <x:v>PR-C-66어1934-1-20220526-183</x:v>
      </x:c>
      <x:c r="J978" s="24" t="str">
        <x:v>박진훈</x:v>
      </x:c>
      <x:c r="K978" s="24" t="str">
        <x:v>구독 계약 시작</x:v>
      </x:c>
      <x:c r="L978" s="24" t="str"/>
      <x:c r="M978" s="24" t="str"/>
      <x:c r="N978" s="30" t="n">
        <x:v>44707</x:v>
      </x:c>
    </x:row>
    <x:row r="979" ht="17.25" customHeight="1">
      <x:c r="A979" s="24" t="str">
        <x:v>E-00978</x:v>
      </x:c>
      <x:c r="B979" s="24" t="str">
        <x:v>프라임구독</x:v>
      </x:c>
      <x:c r="C979" s="24" t="str">
        <x:v>66오8575</x:v>
      </x:c>
      <x:c r="D979" s="30" t="n">
        <x:v>45279</x:v>
      </x:c>
      <x:c r="E979" s="24" t="str">
        <x:v>계약시작</x:v>
      </x:c>
      <x:c r="F979" s="24" t="str"/>
      <x:c r="G979" s="24" t="str">
        <x:v>대여중</x:v>
      </x:c>
      <x:c r="H979" s="32" t="n">
        <x:v>250000</x:v>
      </x:c>
      <x:c r="I979" s="24" t="str">
        <x:v>PR-C-66오8575-2-20231219-184</x:v>
      </x:c>
      <x:c r="J979" s="24" t="str">
        <x:v>유만상2</x:v>
      </x:c>
      <x:c r="K979" s="24" t="str">
        <x:v>종료 계약 시작</x:v>
      </x:c>
      <x:c r="L979" s="24" t="str"/>
      <x:c r="M979" s="24" t="str"/>
      <x:c r="N979" s="30" t="n">
        <x:v>45279</x:v>
      </x:c>
    </x:row>
    <x:row r="980" ht="17.25" customHeight="1">
      <x:c r="A980" s="24" t="str">
        <x:v>E-00979</x:v>
      </x:c>
      <x:c r="B980" s="24" t="str">
        <x:v>프라임구독</x:v>
      </x:c>
      <x:c r="C980" s="24" t="str">
        <x:v>66오8575</x:v>
      </x:c>
      <x:c r="D980" s="30" t="n">
        <x:v>46203</x:v>
      </x:c>
      <x:c r="E980" s="24" t="str">
        <x:v>반납</x:v>
      </x:c>
      <x:c r="F980" s="24" t="str">
        <x:v>대여중</x:v>
      </x:c>
      <x:c r="G980" s="24" t="str">
        <x:v>쉬는차</x:v>
      </x:c>
      <x:c r="H980" s="32"/>
      <x:c r="I980" s="24" t="str">
        <x:v>PR-C-66오8575-2-20231219-184</x:v>
      </x:c>
      <x:c r="J980" s="24" t="str">
        <x:v>유만상2</x:v>
      </x:c>
      <x:c r="K980" s="24" t="str">
        <x:v>차량 반납</x:v>
      </x:c>
      <x:c r="L980" s="24" t="str"/>
      <x:c r="M980" s="24" t="str"/>
      <x:c r="N980" s="30" t="n">
        <x:v>46203</x:v>
      </x:c>
    </x:row>
    <x:row r="981" ht="17.25" customHeight="1">
      <x:c r="A981" s="24" t="str">
        <x:v>E-00980</x:v>
      </x:c>
      <x:c r="B981" s="24" t="str">
        <x:v>프라임구독</x:v>
      </x:c>
      <x:c r="C981" s="24" t="str">
        <x:v>67거4224</x:v>
      </x:c>
      <x:c r="D981" s="30" t="n">
        <x:v>44971</x:v>
      </x:c>
      <x:c r="E981" s="24" t="str">
        <x:v>계약시작</x:v>
      </x:c>
      <x:c r="F981" s="24" t="str"/>
      <x:c r="G981" s="24" t="str">
        <x:v>대여중</x:v>
      </x:c>
      <x:c r="H981" s="32" t="n">
        <x:v>1096000</x:v>
      </x:c>
      <x:c r="I981" s="24" t="str">
        <x:v>PR-C-67거4224-2-20230214-185</x:v>
      </x:c>
      <x:c r="J981" s="24" t="str">
        <x:v>이철민</x:v>
      </x:c>
      <x:c r="K981" s="24" t="str">
        <x:v>종료 계약 시작</x:v>
      </x:c>
      <x:c r="L981" s="24" t="str"/>
      <x:c r="M981" s="24" t="str"/>
      <x:c r="N981" s="30" t="n">
        <x:v>44971</x:v>
      </x:c>
    </x:row>
    <x:row r="982" ht="17.25" customHeight="1">
      <x:c r="A982" s="24" t="str">
        <x:v>E-00981</x:v>
      </x:c>
      <x:c r="B982" s="24" t="str">
        <x:v>프라임구독</x:v>
      </x:c>
      <x:c r="C982" s="24" t="str">
        <x:v>67거4224</x:v>
      </x:c>
      <x:c r="D982" s="30" t="n">
        <x:v>46086</x:v>
      </x:c>
      <x:c r="E982" s="24" t="str">
        <x:v>반납</x:v>
      </x:c>
      <x:c r="F982" s="24" t="str">
        <x:v>대여중</x:v>
      </x:c>
      <x:c r="G982" s="24" t="str">
        <x:v>쉬는차</x:v>
      </x:c>
      <x:c r="H982" s="32"/>
      <x:c r="I982" s="24" t="str">
        <x:v>PR-C-67거4224-2-20230214-185</x:v>
      </x:c>
      <x:c r="J982" s="24" t="str">
        <x:v>이철민</x:v>
      </x:c>
      <x:c r="K982" s="24" t="str">
        <x:v>차량 반납</x:v>
      </x:c>
      <x:c r="L982" s="24" t="str"/>
      <x:c r="M982" s="24" t="str"/>
      <x:c r="N982" s="30" t="n">
        <x:v>46086</x:v>
      </x:c>
    </x:row>
    <x:row r="983" ht="17.25" customHeight="1">
      <x:c r="A983" s="24" t="str">
        <x:v>E-00982</x:v>
      </x:c>
      <x:c r="B983" s="24" t="str">
        <x:v>프라임구독</x:v>
      </x:c>
      <x:c r="C983" s="24" t="str">
        <x:v>67구7368</x:v>
      </x:c>
      <x:c r="D983" s="30" t="n">
        <x:v>44929</x:v>
      </x:c>
      <x:c r="E983" s="24" t="str">
        <x:v>계약시작</x:v>
      </x:c>
      <x:c r="F983" s="24" t="str"/>
      <x:c r="G983" s="24" t="str">
        <x:v>대여중</x:v>
      </x:c>
      <x:c r="H983" s="32" t="n">
        <x:v>1054000</x:v>
      </x:c>
      <x:c r="I983" s="24" t="str">
        <x:v>PR-C-67구7368-1-20230103-186</x:v>
      </x:c>
      <x:c r="J983" s="24" t="str">
        <x:v>드림하우징</x:v>
      </x:c>
      <x:c r="K983" s="24" t="str">
        <x:v>구독 계약 시작</x:v>
      </x:c>
      <x:c r="L983" s="24" t="str"/>
      <x:c r="M983" s="24" t="str"/>
      <x:c r="N983" s="30" t="n">
        <x:v>44929</x:v>
      </x:c>
    </x:row>
    <x:row r="984" ht="17.25" customHeight="1">
      <x:c r="A984" s="24" t="str">
        <x:v>E-00983</x:v>
      </x:c>
      <x:c r="B984" s="24" t="str">
        <x:v>프라임구독</x:v>
      </x:c>
      <x:c r="C984" s="24" t="str">
        <x:v>67어3004</x:v>
      </x:c>
      <x:c r="D984" s="30" t="n">
        <x:v>44642</x:v>
      </x:c>
      <x:c r="E984" s="24" t="str">
        <x:v>계약시작</x:v>
      </x:c>
      <x:c r="F984" s="24" t="str"/>
      <x:c r="G984" s="24" t="str">
        <x:v>대여중</x:v>
      </x:c>
      <x:c r="H984" s="32" t="n">
        <x:v>359000</x:v>
      </x:c>
      <x:c r="I984" s="24" t="str">
        <x:v>PR-C-67어3004-2-20220322-187</x:v>
      </x:c>
      <x:c r="J984" s="24" t="str">
        <x:v>한갑수</x:v>
      </x:c>
      <x:c r="K984" s="24" t="str">
        <x:v>종료 계약 시작</x:v>
      </x:c>
      <x:c r="L984" s="24" t="str"/>
      <x:c r="M984" s="24" t="str"/>
      <x:c r="N984" s="30" t="n">
        <x:v>44642</x:v>
      </x:c>
    </x:row>
    <x:row r="985" ht="17.25" customHeight="1">
      <x:c r="A985" s="24" t="str">
        <x:v>E-00984</x:v>
      </x:c>
      <x:c r="B985" s="24" t="str">
        <x:v>프라임구독</x:v>
      </x:c>
      <x:c r="C985" s="24" t="str">
        <x:v>67어3004</x:v>
      </x:c>
      <x:c r="D985" s="30" t="n">
        <x:v>45746</x:v>
      </x:c>
      <x:c r="E985" s="24" t="str">
        <x:v>반납</x:v>
      </x:c>
      <x:c r="F985" s="24" t="str">
        <x:v>대여중</x:v>
      </x:c>
      <x:c r="G985" s="24" t="str">
        <x:v>쉬는차</x:v>
      </x:c>
      <x:c r="H985" s="32"/>
      <x:c r="I985" s="24" t="str">
        <x:v>PR-C-67어3004-2-20220322-187</x:v>
      </x:c>
      <x:c r="J985" s="24" t="str">
        <x:v>한갑수</x:v>
      </x:c>
      <x:c r="K985" s="24" t="str">
        <x:v>차량 반납</x:v>
      </x:c>
      <x:c r="L985" s="24" t="str"/>
      <x:c r="M985" s="24" t="str"/>
      <x:c r="N985" s="30" t="n">
        <x:v>45746</x:v>
      </x:c>
    </x:row>
    <x:row r="986" ht="17.25" customHeight="1">
      <x:c r="A986" s="24" t="str">
        <x:v>E-00985</x:v>
      </x:c>
      <x:c r="B986" s="24" t="str">
        <x:v>프라임구독</x:v>
      </x:c>
      <x:c r="C986" s="24" t="str">
        <x:v>68수7744</x:v>
      </x:c>
      <x:c r="D986" s="30" t="n">
        <x:v>44720</x:v>
      </x:c>
      <x:c r="E986" s="24" t="str">
        <x:v>계약시작</x:v>
      </x:c>
      <x:c r="F986" s="24" t="str"/>
      <x:c r="G986" s="24" t="str">
        <x:v>대여중</x:v>
      </x:c>
      <x:c r="H986" s="32" t="n">
        <x:v>374000</x:v>
      </x:c>
      <x:c r="I986" s="24" t="str">
        <x:v>PR-C-68수7744-2-20220608-188</x:v>
      </x:c>
      <x:c r="J986" s="24" t="str">
        <x:v>김승래</x:v>
      </x:c>
      <x:c r="K986" s="24" t="str">
        <x:v>종료 계약 시작</x:v>
      </x:c>
      <x:c r="L986" s="24" t="str"/>
      <x:c r="M986" s="24" t="str"/>
      <x:c r="N986" s="30" t="n">
        <x:v>44720</x:v>
      </x:c>
    </x:row>
    <x:row r="987" ht="17.25" customHeight="1">
      <x:c r="A987" s="24" t="str">
        <x:v>E-00986</x:v>
      </x:c>
      <x:c r="B987" s="24" t="str">
        <x:v>프라임구독</x:v>
      </x:c>
      <x:c r="C987" s="24" t="str">
        <x:v>68수7744</x:v>
      </x:c>
      <x:c r="D987" s="30" t="n">
        <x:v>45818</x:v>
      </x:c>
      <x:c r="E987" s="24" t="str">
        <x:v>반납</x:v>
      </x:c>
      <x:c r="F987" s="24" t="str">
        <x:v>대여중</x:v>
      </x:c>
      <x:c r="G987" s="24" t="str">
        <x:v>쉬는차</x:v>
      </x:c>
      <x:c r="H987" s="32"/>
      <x:c r="I987" s="24" t="str">
        <x:v>PR-C-68수7744-2-20220608-188</x:v>
      </x:c>
      <x:c r="J987" s="24" t="str">
        <x:v>김승래</x:v>
      </x:c>
      <x:c r="K987" s="24" t="str">
        <x:v>차량 반납</x:v>
      </x:c>
      <x:c r="L987" s="24" t="str"/>
      <x:c r="M987" s="24" t="str"/>
      <x:c r="N987" s="30" t="n">
        <x:v>45818</x:v>
      </x:c>
    </x:row>
    <x:row r="988" ht="17.25" customHeight="1">
      <x:c r="A988" s="24" t="str">
        <x:v>E-00987</x:v>
      </x:c>
      <x:c r="B988" s="24" t="str">
        <x:v>프라임구독</x:v>
      </x:c>
      <x:c r="C988" s="24" t="str">
        <x:v>69나9074</x:v>
      </x:c>
      <x:c r="D988" s="30" t="n">
        <x:v>44424</x:v>
      </x:c>
      <x:c r="E988" s="24" t="str">
        <x:v>계약시작</x:v>
      </x:c>
      <x:c r="F988" s="24" t="str"/>
      <x:c r="G988" s="24" t="str">
        <x:v>대여중</x:v>
      </x:c>
      <x:c r="H988" s="32" t="n">
        <x:v>365000</x:v>
      </x:c>
      <x:c r="I988" s="24" t="str">
        <x:v>PR-C-69나9074-2-20210816-189</x:v>
      </x:c>
      <x:c r="J988" s="24" t="str">
        <x:v>김하은</x:v>
      </x:c>
      <x:c r="K988" s="24" t="str">
        <x:v>종료 계약 시작</x:v>
      </x:c>
      <x:c r="L988" s="24" t="str"/>
      <x:c r="M988" s="24" t="str"/>
      <x:c r="N988" s="30" t="n">
        <x:v>44424</x:v>
      </x:c>
    </x:row>
    <x:row r="989" ht="17.25" customHeight="1">
      <x:c r="A989" s="24" t="str">
        <x:v>E-00988</x:v>
      </x:c>
      <x:c r="B989" s="24" t="str">
        <x:v>프라임구독</x:v>
      </x:c>
      <x:c r="C989" s="24" t="str">
        <x:v>69나9074</x:v>
      </x:c>
      <x:c r="D989" s="30" t="n">
        <x:v>45524</x:v>
      </x:c>
      <x:c r="E989" s="24" t="str">
        <x:v>반납</x:v>
      </x:c>
      <x:c r="F989" s="24" t="str">
        <x:v>대여중</x:v>
      </x:c>
      <x:c r="G989" s="24" t="str">
        <x:v>쉬는차</x:v>
      </x:c>
      <x:c r="H989" s="32"/>
      <x:c r="I989" s="24" t="str">
        <x:v>PR-C-69나9074-2-20210816-189</x:v>
      </x:c>
      <x:c r="J989" s="24" t="str">
        <x:v>김하은</x:v>
      </x:c>
      <x:c r="K989" s="24" t="str">
        <x:v>차량 반납</x:v>
      </x:c>
      <x:c r="L989" s="24" t="str"/>
      <x:c r="M989" s="24" t="str"/>
      <x:c r="N989" s="30" t="n">
        <x:v>45524</x:v>
      </x:c>
    </x:row>
    <x:row r="990" ht="17.25" customHeight="1">
      <x:c r="A990" s="24" t="str">
        <x:v>E-00989</x:v>
      </x:c>
      <x:c r="B990" s="24" t="str">
        <x:v>프라임구독</x:v>
      </x:c>
      <x:c r="C990" s="24" t="str">
        <x:v>69모6244</x:v>
      </x:c>
      <x:c r="D990" s="30" t="n">
        <x:v>45077</x:v>
      </x:c>
      <x:c r="E990" s="24" t="str">
        <x:v>계약시작</x:v>
      </x:c>
      <x:c r="F990" s="24" t="str"/>
      <x:c r="G990" s="24" t="str">
        <x:v>대여중</x:v>
      </x:c>
      <x:c r="H990" s="32" t="n">
        <x:v>1475000</x:v>
      </x:c>
      <x:c r="I990" s="24" t="str">
        <x:v>PR-C-69모6244-2-20230531-190</x:v>
      </x:c>
      <x:c r="J990" s="24" t="str">
        <x:v>이지수</x:v>
      </x:c>
      <x:c r="K990" s="24" t="str">
        <x:v>종료 계약 시작</x:v>
      </x:c>
      <x:c r="L990" s="24" t="str"/>
      <x:c r="M990" s="24" t="str"/>
      <x:c r="N990" s="30" t="n">
        <x:v>45077</x:v>
      </x:c>
    </x:row>
    <x:row r="991" ht="17.25" customHeight="1">
      <x:c r="A991" s="24" t="str">
        <x:v>E-00990</x:v>
      </x:c>
      <x:c r="B991" s="24" t="str">
        <x:v>프라임구독</x:v>
      </x:c>
      <x:c r="C991" s="24" t="str">
        <x:v>69모6244</x:v>
      </x:c>
      <x:c r="D991" s="30" t="n">
        <x:v>46167</x:v>
      </x:c>
      <x:c r="E991" s="24" t="str">
        <x:v>반납</x:v>
      </x:c>
      <x:c r="F991" s="24" t="str">
        <x:v>대여중</x:v>
      </x:c>
      <x:c r="G991" s="24" t="str">
        <x:v>쉬는차</x:v>
      </x:c>
      <x:c r="H991" s="32"/>
      <x:c r="I991" s="24" t="str">
        <x:v>PR-C-69모6244-2-20230531-190</x:v>
      </x:c>
      <x:c r="J991" s="24" t="str">
        <x:v>이지수</x:v>
      </x:c>
      <x:c r="K991" s="24" t="str">
        <x:v>차량 반납</x:v>
      </x:c>
      <x:c r="L991" s="24" t="str"/>
      <x:c r="M991" s="24" t="str"/>
      <x:c r="N991" s="30" t="n">
        <x:v>46167</x:v>
      </x:c>
    </x:row>
    <x:row r="992" ht="17.25" customHeight="1">
      <x:c r="A992" s="24" t="str">
        <x:v>E-00991</x:v>
      </x:c>
      <x:c r="B992" s="24" t="str">
        <x:v>프라임구독</x:v>
      </x:c>
      <x:c r="C992" s="24" t="str">
        <x:v>69버0299</x:v>
      </x:c>
      <x:c r="D992" s="30" t="n">
        <x:v>45356</x:v>
      </x:c>
      <x:c r="E992" s="24" t="str">
        <x:v>계약시작</x:v>
      </x:c>
      <x:c r="F992" s="24" t="str"/>
      <x:c r="G992" s="24" t="str">
        <x:v>대여중</x:v>
      </x:c>
      <x:c r="H992" s="32" t="n">
        <x:v>550000</x:v>
      </x:c>
      <x:c r="I992" s="24" t="str">
        <x:v>PR-C-69버0299-1-20240305-191</x:v>
      </x:c>
      <x:c r="J992" s="24" t="str">
        <x:v>이준영</x:v>
      </x:c>
      <x:c r="K992" s="24" t="str">
        <x:v>구독 계약 시작</x:v>
      </x:c>
      <x:c r="L992" s="24" t="str"/>
      <x:c r="M992" s="24" t="str"/>
      <x:c r="N992" s="30" t="n">
        <x:v>45356</x:v>
      </x:c>
    </x:row>
    <x:row r="993" ht="17.25" customHeight="1">
      <x:c r="A993" s="24" t="str">
        <x:v>E-00992</x:v>
      </x:c>
      <x:c r="B993" s="24" t="str">
        <x:v>프라임구독</x:v>
      </x:c>
      <x:c r="C993" s="24" t="str">
        <x:v>69오7954</x:v>
      </x:c>
      <x:c r="D993" s="30" t="n">
        <x:v>44708</x:v>
      </x:c>
      <x:c r="E993" s="24" t="str">
        <x:v>계약시작</x:v>
      </x:c>
      <x:c r="F993" s="24" t="str"/>
      <x:c r="G993" s="24" t="str">
        <x:v>대여중</x:v>
      </x:c>
      <x:c r="H993" s="32" t="n">
        <x:v>621000</x:v>
      </x:c>
      <x:c r="I993" s="24" t="str">
        <x:v>PR-C-69오7954-2-20220527-192</x:v>
      </x:c>
      <x:c r="J993" s="24" t="str">
        <x:v>OLGA</x:v>
      </x:c>
      <x:c r="K993" s="24" t="str">
        <x:v>종료 계약 시작</x:v>
      </x:c>
      <x:c r="L993" s="24" t="str"/>
      <x:c r="M993" s="24" t="str"/>
      <x:c r="N993" s="30" t="n">
        <x:v>44708</x:v>
      </x:c>
    </x:row>
    <x:row r="994" ht="17.25" customHeight="1">
      <x:c r="A994" s="24" t="str">
        <x:v>E-00993</x:v>
      </x:c>
      <x:c r="B994" s="24" t="str">
        <x:v>프라임구독</x:v>
      </x:c>
      <x:c r="C994" s="24" t="str">
        <x:v>69오7954</x:v>
      </x:c>
      <x:c r="D994" s="30" t="n">
        <x:v>45797</x:v>
      </x:c>
      <x:c r="E994" s="24" t="str">
        <x:v>반납</x:v>
      </x:c>
      <x:c r="F994" s="24" t="str">
        <x:v>대여중</x:v>
      </x:c>
      <x:c r="G994" s="24" t="str">
        <x:v>쉬는차</x:v>
      </x:c>
      <x:c r="H994" s="32"/>
      <x:c r="I994" s="24" t="str">
        <x:v>PR-C-69오7954-2-20220527-192</x:v>
      </x:c>
      <x:c r="J994" s="24" t="str">
        <x:v>OLGA</x:v>
      </x:c>
      <x:c r="K994" s="24" t="str">
        <x:v>차량 반납</x:v>
      </x:c>
      <x:c r="L994" s="24" t="str"/>
      <x:c r="M994" s="24" t="str"/>
      <x:c r="N994" s="30" t="n">
        <x:v>45797</x:v>
      </x:c>
    </x:row>
    <x:row r="995" ht="17.25" customHeight="1">
      <x:c r="A995" s="24" t="str">
        <x:v>E-00994</x:v>
      </x:c>
      <x:c r="B995" s="24" t="str">
        <x:v>프라임구독</x:v>
      </x:c>
      <x:c r="C995" s="24" t="str">
        <x:v>72러4490</x:v>
      </x:c>
      <x:c r="D995" s="30" t="n">
        <x:v>44501</x:v>
      </x:c>
      <x:c r="E995" s="24" t="str">
        <x:v>계약시작</x:v>
      </x:c>
      <x:c r="F995" s="24" t="str"/>
      <x:c r="G995" s="24" t="str">
        <x:v>대여중</x:v>
      </x:c>
      <x:c r="H995" s="32" t="n">
        <x:v>674000</x:v>
      </x:c>
      <x:c r="I995" s="24" t="str">
        <x:v>PR-C-72러4490-2-20211101-193</x:v>
      </x:c>
      <x:c r="J995" s="24" t="str">
        <x:v>김종훈</x:v>
      </x:c>
      <x:c r="K995" s="24" t="str">
        <x:v>종료 계약 시작</x:v>
      </x:c>
      <x:c r="L995" s="24" t="str"/>
      <x:c r="M995" s="24" t="str"/>
      <x:c r="N995" s="30" t="n">
        <x:v>44501</x:v>
      </x:c>
    </x:row>
    <x:row r="996" ht="17.25" customHeight="1">
      <x:c r="A996" s="24" t="str">
        <x:v>E-00995</x:v>
      </x:c>
      <x:c r="B996" s="24" t="str">
        <x:v>프라임구독</x:v>
      </x:c>
      <x:c r="C996" s="24" t="str">
        <x:v>72러4490</x:v>
      </x:c>
      <x:c r="D996" s="30" t="n">
        <x:v>45606</x:v>
      </x:c>
      <x:c r="E996" s="24" t="str">
        <x:v>반납</x:v>
      </x:c>
      <x:c r="F996" s="24" t="str">
        <x:v>대여중</x:v>
      </x:c>
      <x:c r="G996" s="24" t="str">
        <x:v>쉬는차</x:v>
      </x:c>
      <x:c r="H996" s="32"/>
      <x:c r="I996" s="24" t="str">
        <x:v>PR-C-72러4490-2-20211101-193</x:v>
      </x:c>
      <x:c r="J996" s="24" t="str">
        <x:v>김종훈</x:v>
      </x:c>
      <x:c r="K996" s="24" t="str">
        <x:v>차량 반납</x:v>
      </x:c>
      <x:c r="L996" s="24" t="str"/>
      <x:c r="M996" s="24" t="str"/>
      <x:c r="N996" s="30" t="n">
        <x:v>45606</x:v>
      </x:c>
    </x:row>
    <x:row r="997" ht="17.25" customHeight="1">
      <x:c r="A997" s="24" t="str">
        <x:v>E-00996</x:v>
      </x:c>
      <x:c r="B997" s="24" t="str">
        <x:v>프라임구독</x:v>
      </x:c>
      <x:c r="C997" s="24" t="str">
        <x:v>76버5489</x:v>
      </x:c>
      <x:c r="D997" s="30" t="n">
        <x:v>44789</x:v>
      </x:c>
      <x:c r="E997" s="24" t="str">
        <x:v>계약시작</x:v>
      </x:c>
      <x:c r="F997" s="24" t="str"/>
      <x:c r="G997" s="24" t="str">
        <x:v>대여중</x:v>
      </x:c>
      <x:c r="H997" s="32" t="n">
        <x:v>545000</x:v>
      </x:c>
      <x:c r="I997" s="24" t="str">
        <x:v>PR-C-76버5489-1-20220816-194</x:v>
      </x:c>
      <x:c r="J997" s="24" t="str">
        <x:v>한샘</x:v>
      </x:c>
      <x:c r="K997" s="24" t="str">
        <x:v>구독 계약 시작</x:v>
      </x:c>
      <x:c r="L997" s="24" t="str"/>
      <x:c r="M997" s="24" t="str"/>
      <x:c r="N997" s="30" t="n">
        <x:v>44789</x:v>
      </x:c>
    </x:row>
    <x:row r="998" ht="17.25" customHeight="1">
      <x:c r="A998" s="24" t="str">
        <x:v>E-00997</x:v>
      </x:c>
      <x:c r="B998" s="24" t="str">
        <x:v>프라임구독</x:v>
      </x:c>
      <x:c r="C998" s="24" t="str">
        <x:v>78고8923</x:v>
      </x:c>
      <x:c r="D998" s="30" t="n">
        <x:v>44776</x:v>
      </x:c>
      <x:c r="E998" s="24" t="str">
        <x:v>계약시작</x:v>
      </x:c>
      <x:c r="F998" s="24" t="str"/>
      <x:c r="G998" s="24" t="str">
        <x:v>대여중</x:v>
      </x:c>
      <x:c r="H998" s="32" t="n">
        <x:v>478000</x:v>
      </x:c>
      <x:c r="I998" s="24" t="str">
        <x:v>PR-C-78고8923-2-20220803-195</x:v>
      </x:c>
      <x:c r="J998" s="24" t="str">
        <x:v>김창곤2</x:v>
      </x:c>
      <x:c r="K998" s="24" t="str">
        <x:v>종료 계약 시작</x:v>
      </x:c>
      <x:c r="L998" s="24" t="str"/>
      <x:c r="M998" s="24" t="str"/>
      <x:c r="N998" s="30" t="n">
        <x:v>44776</x:v>
      </x:c>
    </x:row>
    <x:row r="999" ht="17.25" customHeight="1">
      <x:c r="A999" s="24" t="str">
        <x:v>E-00998</x:v>
      </x:c>
      <x:c r="B999" s="24" t="str">
        <x:v>프라임구독</x:v>
      </x:c>
      <x:c r="C999" s="24" t="str">
        <x:v>78고8923</x:v>
      </x:c>
      <x:c r="D999" s="30" t="n">
        <x:v>45868</x:v>
      </x:c>
      <x:c r="E999" s="24" t="str">
        <x:v>반납</x:v>
      </x:c>
      <x:c r="F999" s="24" t="str">
        <x:v>대여중</x:v>
      </x:c>
      <x:c r="G999" s="24" t="str">
        <x:v>쉬는차</x:v>
      </x:c>
      <x:c r="H999" s="32"/>
      <x:c r="I999" s="24" t="str">
        <x:v>PR-C-78고8923-2-20220803-195</x:v>
      </x:c>
      <x:c r="J999" s="24" t="str">
        <x:v>김창곤2</x:v>
      </x:c>
      <x:c r="K999" s="24" t="str">
        <x:v>차량 반납</x:v>
      </x:c>
      <x:c r="L999" s="24" t="str"/>
      <x:c r="M999" s="24" t="str"/>
      <x:c r="N999" s="30" t="n">
        <x:v>45868</x:v>
      </x:c>
    </x:row>
    <x:row r="1000" ht="17.25" customHeight="1">
      <x:c r="A1000" s="24" t="str">
        <x:v>E-00999</x:v>
      </x:c>
      <x:c r="B1000" s="24" t="str">
        <x:v>프라임구독</x:v>
      </x:c>
      <x:c r="C1000" s="24" t="str">
        <x:v>79도2997</x:v>
      </x:c>
      <x:c r="D1000" s="30" t="n">
        <x:v>45400</x:v>
      </x:c>
      <x:c r="E1000" s="24" t="str">
        <x:v>계약시작</x:v>
      </x:c>
      <x:c r="F1000" s="24" t="str"/>
      <x:c r="G1000" s="24" t="str">
        <x:v>대여중</x:v>
      </x:c>
      <x:c r="H1000" s="32" t="n">
        <x:v>515000</x:v>
      </x:c>
      <x:c r="I1000" s="24" t="str">
        <x:v>PR-C-79도2997-2-20240418-196</x:v>
      </x:c>
      <x:c r="J1000" s="24" t="str">
        <x:v>옥경숙</x:v>
      </x:c>
      <x:c r="K1000" s="24" t="str">
        <x:v>종료 계약 시작</x:v>
      </x:c>
      <x:c r="L1000" s="24" t="str"/>
      <x:c r="M1000" s="24" t="str"/>
      <x:c r="N1000" s="30" t="n">
        <x:v>45400</x:v>
      </x:c>
    </x:row>
    <x:row r="1001" ht="17.25" customHeight="1">
      <x:c r="A1001" s="24" t="str">
        <x:v>E-01000</x:v>
      </x:c>
      <x:c r="B1001" s="24" t="str">
        <x:v>프라임구독</x:v>
      </x:c>
      <x:c r="C1001" s="24" t="str">
        <x:v>79도2997</x:v>
      </x:c>
      <x:c r="D1001" s="30" t="n">
        <x:v>46868</x:v>
      </x:c>
      <x:c r="E1001" s="24" t="str">
        <x:v>반납</x:v>
      </x:c>
      <x:c r="F1001" s="24" t="str">
        <x:v>대여중</x:v>
      </x:c>
      <x:c r="G1001" s="24" t="str">
        <x:v>쉬는차</x:v>
      </x:c>
      <x:c r="H1001" s="32"/>
      <x:c r="I1001" s="24" t="str">
        <x:v>PR-C-79도2997-2-20240418-196</x:v>
      </x:c>
      <x:c r="J1001" s="24" t="str">
        <x:v>옥경숙</x:v>
      </x:c>
      <x:c r="K1001" s="24" t="str">
        <x:v>차량 반납</x:v>
      </x:c>
      <x:c r="L1001" s="24" t="str"/>
      <x:c r="M1001" s="24" t="str"/>
      <x:c r="N1001" s="30" t="n">
        <x:v>46868</x:v>
      </x:c>
    </x:row>
    <x:row r="1002" ht="17.25" customHeight="1">
      <x:c r="A1002" s="24" t="str">
        <x:v>E-01001</x:v>
      </x:c>
      <x:c r="B1002" s="24" t="str">
        <x:v>프라임구독</x:v>
      </x:c>
      <x:c r="C1002" s="24" t="str">
        <x:v>824도7383</x:v>
      </x:c>
      <x:c r="D1002" s="30" t="n">
        <x:v>45408</x:v>
      </x:c>
      <x:c r="E1002" s="24" t="str">
        <x:v>계약시작</x:v>
      </x:c>
      <x:c r="F1002" s="24" t="str"/>
      <x:c r="G1002" s="24" t="str">
        <x:v>대여중</x:v>
      </x:c>
      <x:c r="H1002" s="32" t="n">
        <x:v>493000</x:v>
      </x:c>
      <x:c r="I1002" s="24" t="str">
        <x:v>PR-C-824도7383-2-20240426-197</x:v>
      </x:c>
      <x:c r="J1002" s="24" t="str">
        <x:v>강필성</x:v>
      </x:c>
      <x:c r="K1002" s="24" t="str">
        <x:v>종료 계약 시작</x:v>
      </x:c>
      <x:c r="L1002" s="24" t="str"/>
      <x:c r="M1002" s="24" t="str"/>
      <x:c r="N1002" s="30" t="n">
        <x:v>45408</x:v>
      </x:c>
    </x:row>
    <x:row r="1003" ht="17.25" customHeight="1">
      <x:c r="A1003" s="24" t="str">
        <x:v>E-01002</x:v>
      </x:c>
      <x:c r="B1003" s="24" t="str">
        <x:v>프라임구독</x:v>
      </x:c>
      <x:c r="C1003" s="24" t="str">
        <x:v>824도7383</x:v>
      </x:c>
      <x:c r="D1003" s="30" t="n">
        <x:v>46853</x:v>
      </x:c>
      <x:c r="E1003" s="24" t="str">
        <x:v>반납</x:v>
      </x:c>
      <x:c r="F1003" s="24" t="str">
        <x:v>대여중</x:v>
      </x:c>
      <x:c r="G1003" s="24" t="str">
        <x:v>쉬는차</x:v>
      </x:c>
      <x:c r="H1003" s="32"/>
      <x:c r="I1003" s="24" t="str">
        <x:v>PR-C-824도7383-2-20240426-197</x:v>
      </x:c>
      <x:c r="J1003" s="24" t="str">
        <x:v>강필성</x:v>
      </x:c>
      <x:c r="K1003" s="24" t="str">
        <x:v>차량 반납</x:v>
      </x:c>
      <x:c r="L1003" s="24" t="str"/>
      <x:c r="M1003" s="24" t="str"/>
      <x:c r="N1003" s="30" t="n">
        <x:v>46853</x:v>
      </x:c>
    </x:row>
    <x:row r="1004" ht="17.25" customHeight="1">
      <x:c r="A1004" s="24" t="str">
        <x:v>E-01003</x:v>
      </x:c>
      <x:c r="B1004" s="24" t="str">
        <x:v>프라임구독</x:v>
      </x:c>
      <x:c r="C1004" s="24" t="str">
        <x:v>82고7047</x:v>
      </x:c>
      <x:c r="D1004" s="30" t="n">
        <x:v>44956</x:v>
      </x:c>
      <x:c r="E1004" s="24" t="str">
        <x:v>계약시작</x:v>
      </x:c>
      <x:c r="F1004" s="24" t="str"/>
      <x:c r="G1004" s="24" t="str">
        <x:v>대여중</x:v>
      </x:c>
      <x:c r="H1004" s="32" t="n">
        <x:v>877000</x:v>
      </x:c>
      <x:c r="I1004" s="24" t="str">
        <x:v>PR-C-82고7047-2-20230130-198</x:v>
      </x:c>
      <x:c r="J1004" s="24" t="str">
        <x:v>신동아</x:v>
      </x:c>
      <x:c r="K1004" s="24" t="str">
        <x:v>종료 계약 시작</x:v>
      </x:c>
      <x:c r="L1004" s="24" t="str"/>
      <x:c r="M1004" s="24" t="str"/>
      <x:c r="N1004" s="30" t="n">
        <x:v>44956</x:v>
      </x:c>
    </x:row>
    <x:row r="1005" ht="17.25" customHeight="1">
      <x:c r="A1005" s="24" t="str">
        <x:v>E-01004</x:v>
      </x:c>
      <x:c r="B1005" s="24" t="str">
        <x:v>프라임구독</x:v>
      </x:c>
      <x:c r="C1005" s="24" t="str">
        <x:v>82고7047</x:v>
      </x:c>
      <x:c r="D1005" s="30" t="n">
        <x:v>46042</x:v>
      </x:c>
      <x:c r="E1005" s="24" t="str">
        <x:v>반납</x:v>
      </x:c>
      <x:c r="F1005" s="24" t="str">
        <x:v>대여중</x:v>
      </x:c>
      <x:c r="G1005" s="24" t="str">
        <x:v>쉬는차</x:v>
      </x:c>
      <x:c r="H1005" s="32"/>
      <x:c r="I1005" s="24" t="str">
        <x:v>PR-C-82고7047-2-20230130-198</x:v>
      </x:c>
      <x:c r="J1005" s="24" t="str">
        <x:v>신동아</x:v>
      </x:c>
      <x:c r="K1005" s="24" t="str">
        <x:v>차량 반납</x:v>
      </x:c>
      <x:c r="L1005" s="24" t="str"/>
      <x:c r="M1005" s="24" t="str"/>
      <x:c r="N1005" s="30" t="n">
        <x:v>46042</x:v>
      </x:c>
    </x:row>
    <x:row r="1006" ht="17.25" customHeight="1">
      <x:c r="A1006" s="24" t="str">
        <x:v>E-01005</x:v>
      </x:c>
      <x:c r="B1006" s="24" t="str">
        <x:v>프라임구독</x:v>
      </x:c>
      <x:c r="C1006" s="24" t="str">
        <x:v>84고8297</x:v>
      </x:c>
      <x:c r="D1006" s="30" t="n">
        <x:v>45371</x:v>
      </x:c>
      <x:c r="E1006" s="24" t="str">
        <x:v>계약시작</x:v>
      </x:c>
      <x:c r="F1006" s="24" t="str"/>
      <x:c r="G1006" s="24" t="str">
        <x:v>대여중</x:v>
      </x:c>
      <x:c r="H1006" s="32" t="n">
        <x:v>508000</x:v>
      </x:c>
      <x:c r="I1006" s="24" t="str">
        <x:v>PR-C-84고8297-2-20240320-199</x:v>
      </x:c>
      <x:c r="J1006" s="24" t="str">
        <x:v>백종하</x:v>
      </x:c>
      <x:c r="K1006" s="24" t="str">
        <x:v>종료 계약 시작</x:v>
      </x:c>
      <x:c r="L1006" s="24" t="str"/>
      <x:c r="M1006" s="24" t="str"/>
      <x:c r="N1006" s="30" t="n">
        <x:v>45371</x:v>
      </x:c>
    </x:row>
    <x:row r="1007" ht="17.25" customHeight="1">
      <x:c r="A1007" s="24" t="str">
        <x:v>E-01006</x:v>
      </x:c>
      <x:c r="B1007" s="24" t="str">
        <x:v>프라임구독</x:v>
      </x:c>
      <x:c r="C1007" s="24" t="str">
        <x:v>84고8297</x:v>
      </x:c>
      <x:c r="D1007" s="30" t="n">
        <x:v>46466</x:v>
      </x:c>
      <x:c r="E1007" s="24" t="str">
        <x:v>반납</x:v>
      </x:c>
      <x:c r="F1007" s="24" t="str">
        <x:v>대여중</x:v>
      </x:c>
      <x:c r="G1007" s="24" t="str">
        <x:v>쉬는차</x:v>
      </x:c>
      <x:c r="H1007" s="32"/>
      <x:c r="I1007" s="24" t="str">
        <x:v>PR-C-84고8297-2-20240320-199</x:v>
      </x:c>
      <x:c r="J1007" s="24" t="str">
        <x:v>백종하</x:v>
      </x:c>
      <x:c r="K1007" s="24" t="str">
        <x:v>차량 반납</x:v>
      </x:c>
      <x:c r="L1007" s="24" t="str"/>
      <x:c r="M1007" s="24" t="str"/>
      <x:c r="N1007" s="30" t="n">
        <x:v>46466</x:v>
      </x:c>
    </x:row>
    <x:row r="1008" ht="17.25" customHeight="1">
      <x:c r="A1008" s="24" t="str">
        <x:v>E-01007</x:v>
      </x:c>
      <x:c r="B1008" s="24" t="str">
        <x:v>프라임구독</x:v>
      </x:c>
      <x:c r="C1008" s="24" t="str">
        <x:v>84모5364</x:v>
      </x:c>
      <x:c r="D1008" s="30" t="n">
        <x:v>45252</x:v>
      </x:c>
      <x:c r="E1008" s="24" t="str">
        <x:v>계약시작</x:v>
      </x:c>
      <x:c r="F1008" s="24" t="str"/>
      <x:c r="G1008" s="24" t="str">
        <x:v>대여중</x:v>
      </x:c>
      <x:c r="H1008" s="32" t="n">
        <x:v>521405</x:v>
      </x:c>
      <x:c r="I1008" s="24" t="str">
        <x:v>PR-C-84모5364-1-20231122-200</x:v>
      </x:c>
      <x:c r="J1008" s="24" t="str">
        <x:v>권용구</x:v>
      </x:c>
      <x:c r="K1008" s="24" t="str">
        <x:v>구독 계약 시작</x:v>
      </x:c>
      <x:c r="L1008" s="24" t="str"/>
      <x:c r="M1008" s="24" t="str"/>
      <x:c r="N1008" s="30" t="n">
        <x:v>45252</x:v>
      </x:c>
    </x:row>
    <x:row r="1009" ht="17.25" customHeight="1">
      <x:c r="A1009" s="24" t="str">
        <x:v>E-01008</x:v>
      </x:c>
      <x:c r="B1009" s="24" t="str">
        <x:v>프라임구독</x:v>
      </x:c>
      <x:c r="C1009" s="24" t="str">
        <x:v>84모5456</x:v>
      </x:c>
      <x:c r="D1009" s="30" t="n">
        <x:v>45244</x:v>
      </x:c>
      <x:c r="E1009" s="24" t="str">
        <x:v>계약시작</x:v>
      </x:c>
      <x:c r="F1009" s="24" t="str"/>
      <x:c r="G1009" s="24" t="str">
        <x:v>대여중</x:v>
      </x:c>
      <x:c r="H1009" s="32" t="n">
        <x:v>447113</x:v>
      </x:c>
      <x:c r="I1009" s="24" t="str">
        <x:v>PR-C-84모5456-2-20231114-201</x:v>
      </x:c>
      <x:c r="J1009" s="24" t="str">
        <x:v>정세규</x:v>
      </x:c>
      <x:c r="K1009" s="24" t="str">
        <x:v>종료 계약 시작</x:v>
      </x:c>
      <x:c r="L1009" s="24" t="str"/>
      <x:c r="M1009" s="24" t="str"/>
      <x:c r="N1009" s="30" t="n">
        <x:v>45244</x:v>
      </x:c>
    </x:row>
    <x:row r="1010" ht="17.25" customHeight="1">
      <x:c r="A1010" s="24" t="str">
        <x:v>E-01009</x:v>
      </x:c>
      <x:c r="B1010" s="24" t="str">
        <x:v>프라임구독</x:v>
      </x:c>
      <x:c r="C1010" s="24" t="str">
        <x:v>84모5456</x:v>
      </x:c>
      <x:c r="D1010" s="30" t="n">
        <x:v>47077</x:v>
      </x:c>
      <x:c r="E1010" s="24" t="str">
        <x:v>반납</x:v>
      </x:c>
      <x:c r="F1010" s="24" t="str">
        <x:v>대여중</x:v>
      </x:c>
      <x:c r="G1010" s="24" t="str">
        <x:v>쉬는차</x:v>
      </x:c>
      <x:c r="H1010" s="32"/>
      <x:c r="I1010" s="24" t="str">
        <x:v>PR-C-84모5456-2-20231114-201</x:v>
      </x:c>
      <x:c r="J1010" s="24" t="str">
        <x:v>정세규</x:v>
      </x:c>
      <x:c r="K1010" s="24" t="str">
        <x:v>차량 반납</x:v>
      </x:c>
      <x:c r="L1010" s="24" t="str"/>
      <x:c r="M1010" s="24" t="str"/>
      <x:c r="N1010" s="30" t="n">
        <x:v>47077</x:v>
      </x:c>
    </x:row>
    <x:row r="1011" ht="17.25" customHeight="1">
      <x:c r="A1011" s="24" t="str">
        <x:v>E-01010</x:v>
      </x:c>
      <x:c r="B1011" s="24" t="str">
        <x:v>프라임구독</x:v>
      </x:c>
      <x:c r="C1011" s="24" t="str">
        <x:v>84우6793</x:v>
      </x:c>
      <x:c r="D1011" s="30" t="n">
        <x:v>44781</x:v>
      </x:c>
      <x:c r="E1011" s="24" t="str">
        <x:v>계약시작</x:v>
      </x:c>
      <x:c r="F1011" s="24" t="str"/>
      <x:c r="G1011" s="24" t="str">
        <x:v>대여중</x:v>
      </x:c>
      <x:c r="H1011" s="32" t="n">
        <x:v>769000</x:v>
      </x:c>
      <x:c r="I1011" s="24" t="str">
        <x:v>PR-C-84우6793-2-20220808-202</x:v>
      </x:c>
      <x:c r="J1011" s="24" t="str">
        <x:v>이래준</x:v>
      </x:c>
      <x:c r="K1011" s="24" t="str">
        <x:v>종료 계약 시작</x:v>
      </x:c>
      <x:c r="L1011" s="24" t="str"/>
      <x:c r="M1011" s="24" t="str"/>
      <x:c r="N1011" s="30" t="n">
        <x:v>44781</x:v>
      </x:c>
    </x:row>
    <x:row r="1012" ht="17.25" customHeight="1">
      <x:c r="A1012" s="24" t="str">
        <x:v>E-01011</x:v>
      </x:c>
      <x:c r="B1012" s="24" t="str">
        <x:v>프라임구독</x:v>
      </x:c>
      <x:c r="C1012" s="24" t="str">
        <x:v>84우6793</x:v>
      </x:c>
      <x:c r="D1012" s="30" t="n">
        <x:v>45879</x:v>
      </x:c>
      <x:c r="E1012" s="24" t="str">
        <x:v>반납</x:v>
      </x:c>
      <x:c r="F1012" s="24" t="str">
        <x:v>대여중</x:v>
      </x:c>
      <x:c r="G1012" s="24" t="str">
        <x:v>쉬는차</x:v>
      </x:c>
      <x:c r="H1012" s="32"/>
      <x:c r="I1012" s="24" t="str">
        <x:v>PR-C-84우6793-2-20220808-202</x:v>
      </x:c>
      <x:c r="J1012" s="24" t="str">
        <x:v>이래준</x:v>
      </x:c>
      <x:c r="K1012" s="24" t="str">
        <x:v>차량 반납</x:v>
      </x:c>
      <x:c r="L1012" s="24" t="str"/>
      <x:c r="M1012" s="24" t="str"/>
      <x:c r="N1012" s="30" t="n">
        <x:v>45879</x:v>
      </x:c>
    </x:row>
    <x:row r="1013" ht="17.25" customHeight="1">
      <x:c r="A1013" s="24" t="str">
        <x:v>E-01012</x:v>
      </x:c>
      <x:c r="B1013" s="24" t="str">
        <x:v>프라임구독</x:v>
      </x:c>
      <x:c r="C1013" s="24" t="str">
        <x:v>86어0692</x:v>
      </x:c>
      <x:c r="D1013" s="30" t="n">
        <x:v>44970</x:v>
      </x:c>
      <x:c r="E1013" s="24" t="str">
        <x:v>계약시작</x:v>
      </x:c>
      <x:c r="F1013" s="24" t="str"/>
      <x:c r="G1013" s="24" t="str">
        <x:v>대여중</x:v>
      </x:c>
      <x:c r="H1013" s="32" t="n">
        <x:v>1221000</x:v>
      </x:c>
      <x:c r="I1013" s="24" t="str">
        <x:v>PR-C-86어0692-2-20230213-203</x:v>
      </x:c>
      <x:c r="J1013" s="24" t="str">
        <x:v>김주원</x:v>
      </x:c>
      <x:c r="K1013" s="24" t="str">
        <x:v>종료 계약 시작</x:v>
      </x:c>
      <x:c r="L1013" s="24" t="str"/>
      <x:c r="M1013" s="24" t="str"/>
      <x:c r="N1013" s="30" t="n">
        <x:v>44970</x:v>
      </x:c>
    </x:row>
    <x:row r="1014" ht="17.25" customHeight="1">
      <x:c r="A1014" s="24" t="str">
        <x:v>E-01013</x:v>
      </x:c>
      <x:c r="B1014" s="24" t="str">
        <x:v>프라임구독</x:v>
      </x:c>
      <x:c r="C1014" s="24" t="str">
        <x:v>86어0692</x:v>
      </x:c>
      <x:c r="D1014" s="30" t="n">
        <x:v>46068</x:v>
      </x:c>
      <x:c r="E1014" s="24" t="str">
        <x:v>반납</x:v>
      </x:c>
      <x:c r="F1014" s="24" t="str">
        <x:v>대여중</x:v>
      </x:c>
      <x:c r="G1014" s="24" t="str">
        <x:v>쉬는차</x:v>
      </x:c>
      <x:c r="H1014" s="32"/>
      <x:c r="I1014" s="24" t="str">
        <x:v>PR-C-86어0692-2-20230213-203</x:v>
      </x:c>
      <x:c r="J1014" s="24" t="str">
        <x:v>김주원</x:v>
      </x:c>
      <x:c r="K1014" s="24" t="str">
        <x:v>차량 반납</x:v>
      </x:c>
      <x:c r="L1014" s="24" t="str"/>
      <x:c r="M1014" s="24" t="str"/>
      <x:c r="N1014" s="30" t="n">
        <x:v>46068</x:v>
      </x:c>
    </x:row>
    <x:row r="1015" ht="17.25" customHeight="1">
      <x:c r="A1015" s="24" t="str">
        <x:v>E-01014</x:v>
      </x:c>
      <x:c r="B1015" s="24" t="str">
        <x:v>프라임구독</x:v>
      </x:c>
      <x:c r="C1015" s="24" t="str">
        <x:v>88더7125</x:v>
      </x:c>
      <x:c r="D1015" s="30" t="n">
        <x:v>44928</x:v>
      </x:c>
      <x:c r="E1015" s="24" t="str">
        <x:v>계약시작</x:v>
      </x:c>
      <x:c r="F1015" s="24" t="str"/>
      <x:c r="G1015" s="24" t="str">
        <x:v>대여중</x:v>
      </x:c>
      <x:c r="H1015" s="32" t="n">
        <x:v>764000</x:v>
      </x:c>
      <x:c r="I1015" s="24" t="str">
        <x:v>PR-C-88더7125-2-20230102-204</x:v>
      </x:c>
      <x:c r="J1015" s="24" t="str">
        <x:v>여동석</x:v>
      </x:c>
      <x:c r="K1015" s="24" t="str">
        <x:v>종료 계약 시작</x:v>
      </x:c>
      <x:c r="L1015" s="24" t="str"/>
      <x:c r="M1015" s="24" t="str"/>
      <x:c r="N1015" s="30" t="n">
        <x:v>44928</x:v>
      </x:c>
    </x:row>
    <x:row r="1016" ht="17.25" customHeight="1">
      <x:c r="A1016" s="24" t="str">
        <x:v>E-01015</x:v>
      </x:c>
      <x:c r="B1016" s="24" t="str">
        <x:v>프라임구독</x:v>
      </x:c>
      <x:c r="C1016" s="24" t="str">
        <x:v>88더7125</x:v>
      </x:c>
      <x:c r="D1016" s="30" t="n">
        <x:v>46011</x:v>
      </x:c>
      <x:c r="E1016" s="24" t="str">
        <x:v>반납</x:v>
      </x:c>
      <x:c r="F1016" s="24" t="str">
        <x:v>대여중</x:v>
      </x:c>
      <x:c r="G1016" s="24" t="str">
        <x:v>쉬는차</x:v>
      </x:c>
      <x:c r="H1016" s="32"/>
      <x:c r="I1016" s="24" t="str">
        <x:v>PR-C-88더7125-2-20230102-204</x:v>
      </x:c>
      <x:c r="J1016" s="24" t="str">
        <x:v>여동석</x:v>
      </x:c>
      <x:c r="K1016" s="24" t="str">
        <x:v>차량 반납</x:v>
      </x:c>
      <x:c r="L1016" s="24" t="str"/>
      <x:c r="M1016" s="24" t="str"/>
      <x:c r="N1016" s="30" t="n">
        <x:v>46011</x:v>
      </x:c>
    </x:row>
    <x:row r="1017" ht="17.25" customHeight="1">
      <x:c r="A1017" s="24" t="str">
        <x:v>E-01016</x:v>
      </x:c>
      <x:c r="B1017" s="24" t="str">
        <x:v>프라임구독</x:v>
      </x:c>
      <x:c r="C1017" s="24" t="str">
        <x:v>88오9333</x:v>
      </x:c>
      <x:c r="D1017" s="30" t="n">
        <x:v>44987</x:v>
      </x:c>
      <x:c r="E1017" s="24" t="str">
        <x:v>계약시작</x:v>
      </x:c>
      <x:c r="F1017" s="24" t="str"/>
      <x:c r="G1017" s="24" t="str">
        <x:v>대여중</x:v>
      </x:c>
      <x:c r="H1017" s="32" t="n">
        <x:v>512000</x:v>
      </x:c>
      <x:c r="I1017" s="24" t="str">
        <x:v>PR-C-88오9333-2-20230302-205</x:v>
      </x:c>
      <x:c r="J1017" s="24" t="str">
        <x:v>안석모</x:v>
      </x:c>
      <x:c r="K1017" s="24" t="str">
        <x:v>종료 계약 시작</x:v>
      </x:c>
      <x:c r="L1017" s="24" t="str"/>
      <x:c r="M1017" s="24" t="str"/>
      <x:c r="N1017" s="30" t="n">
        <x:v>44987</x:v>
      </x:c>
    </x:row>
    <x:row r="1018" ht="17.25" customHeight="1">
      <x:c r="A1018" s="24" t="str">
        <x:v>E-01017</x:v>
      </x:c>
      <x:c r="B1018" s="24" t="str">
        <x:v>프라임구독</x:v>
      </x:c>
      <x:c r="C1018" s="24" t="str">
        <x:v>88오9333</x:v>
      </x:c>
      <x:c r="D1018" s="30" t="n">
        <x:v>46096</x:v>
      </x:c>
      <x:c r="E1018" s="24" t="str">
        <x:v>반납</x:v>
      </x:c>
      <x:c r="F1018" s="24" t="str">
        <x:v>대여중</x:v>
      </x:c>
      <x:c r="G1018" s="24" t="str">
        <x:v>쉬는차</x:v>
      </x:c>
      <x:c r="H1018" s="32"/>
      <x:c r="I1018" s="24" t="str">
        <x:v>PR-C-88오9333-2-20230302-205</x:v>
      </x:c>
      <x:c r="J1018" s="24" t="str">
        <x:v>안석모</x:v>
      </x:c>
      <x:c r="K1018" s="24" t="str">
        <x:v>차량 반납</x:v>
      </x:c>
      <x:c r="L1018" s="24" t="str"/>
      <x:c r="M1018" s="24" t="str"/>
      <x:c r="N1018" s="30" t="n">
        <x:v>46096</x:v>
      </x:c>
    </x:row>
    <x:row r="1019" ht="17.25" customHeight="1">
      <x:c r="A1019" s="24" t="str">
        <x:v>E-01018</x:v>
      </x:c>
      <x:c r="B1019" s="24" t="str">
        <x:v>프라임구독</x:v>
      </x:c>
      <x:c r="C1019" s="24" t="str">
        <x:v>89누6882</x:v>
      </x:c>
      <x:c r="D1019" s="30" t="n">
        <x:v>44862</x:v>
      </x:c>
      <x:c r="E1019" s="24" t="str">
        <x:v>계약시작</x:v>
      </x:c>
      <x:c r="F1019" s="24" t="str"/>
      <x:c r="G1019" s="24" t="str">
        <x:v>대여중</x:v>
      </x:c>
      <x:c r="H1019" s="32" t="n">
        <x:v>918000</x:v>
      </x:c>
      <x:c r="I1019" s="24" t="str">
        <x:v>PR-C-89누6882-2-20221028-206</x:v>
      </x:c>
      <x:c r="J1019" s="24" t="str">
        <x:v>제이에스인더</x:v>
      </x:c>
      <x:c r="K1019" s="24" t="str">
        <x:v>종료 계약 시작</x:v>
      </x:c>
      <x:c r="L1019" s="24" t="str"/>
      <x:c r="M1019" s="24" t="str"/>
      <x:c r="N1019" s="30" t="n">
        <x:v>44862</x:v>
      </x:c>
    </x:row>
    <x:row r="1020" ht="17.25" customHeight="1">
      <x:c r="A1020" s="24" t="str">
        <x:v>E-01019</x:v>
      </x:c>
      <x:c r="B1020" s="24" t="str">
        <x:v>프라임구독</x:v>
      </x:c>
      <x:c r="C1020" s="24" t="str">
        <x:v>89누6882</x:v>
      </x:c>
      <x:c r="D1020" s="30" t="n">
        <x:v>45960</x:v>
      </x:c>
      <x:c r="E1020" s="24" t="str">
        <x:v>반납</x:v>
      </x:c>
      <x:c r="F1020" s="24" t="str">
        <x:v>대여중</x:v>
      </x:c>
      <x:c r="G1020" s="24" t="str">
        <x:v>쉬는차</x:v>
      </x:c>
      <x:c r="H1020" s="32"/>
      <x:c r="I1020" s="24" t="str">
        <x:v>PR-C-89누6882-2-20221028-206</x:v>
      </x:c>
      <x:c r="J1020" s="24" t="str">
        <x:v>제이에스인더</x:v>
      </x:c>
      <x:c r="K1020" s="24" t="str">
        <x:v>차량 반납</x:v>
      </x:c>
      <x:c r="L1020" s="24" t="str"/>
      <x:c r="M1020" s="24" t="str"/>
      <x:c r="N1020" s="30" t="n">
        <x:v>45960</x:v>
      </x:c>
    </x:row>
    <x:row r="1021" ht="17.25" customHeight="1">
      <x:c r="A1021" s="24" t="str">
        <x:v>E-01020</x:v>
      </x:c>
      <x:c r="B1021" s="24" t="str">
        <x:v>프라임구독</x:v>
      </x:c>
      <x:c r="C1021" s="24" t="str">
        <x:v>89더0565</x:v>
      </x:c>
      <x:c r="D1021" s="30" t="n">
        <x:v>45247</x:v>
      </x:c>
      <x:c r="E1021" s="24" t="str">
        <x:v>계약시작</x:v>
      </x:c>
      <x:c r="F1021" s="24" t="str"/>
      <x:c r="G1021" s="24" t="str">
        <x:v>대여중</x:v>
      </x:c>
      <x:c r="H1021" s="32" t="n">
        <x:v>501000</x:v>
      </x:c>
      <x:c r="I1021" s="24" t="str">
        <x:v>PR-C-89더0565-2-20231117-207</x:v>
      </x:c>
      <x:c r="J1021" s="24" t="str">
        <x:v>차상만</x:v>
      </x:c>
      <x:c r="K1021" s="24" t="str">
        <x:v>종료 계약 시작</x:v>
      </x:c>
      <x:c r="L1021" s="24" t="str"/>
      <x:c r="M1021" s="24" t="str"/>
      <x:c r="N1021" s="30" t="n">
        <x:v>45247</x:v>
      </x:c>
    </x:row>
    <x:row r="1022" ht="17.25" customHeight="1">
      <x:c r="A1022" s="24" t="str">
        <x:v>E-01021</x:v>
      </x:c>
      <x:c r="B1022" s="24" t="str">
        <x:v>프라임구독</x:v>
      </x:c>
      <x:c r="C1022" s="24" t="str">
        <x:v>89더0565</x:v>
      </x:c>
      <x:c r="D1022" s="30" t="n">
        <x:v>46711</x:v>
      </x:c>
      <x:c r="E1022" s="24" t="str">
        <x:v>반납</x:v>
      </x:c>
      <x:c r="F1022" s="24" t="str">
        <x:v>대여중</x:v>
      </x:c>
      <x:c r="G1022" s="24" t="str">
        <x:v>쉬는차</x:v>
      </x:c>
      <x:c r="H1022" s="32"/>
      <x:c r="I1022" s="24" t="str">
        <x:v>PR-C-89더0565-2-20231117-207</x:v>
      </x:c>
      <x:c r="J1022" s="24" t="str">
        <x:v>차상만</x:v>
      </x:c>
      <x:c r="K1022" s="24" t="str">
        <x:v>차량 반납</x:v>
      </x:c>
      <x:c r="L1022" s="24" t="str"/>
      <x:c r="M1022" s="24" t="str"/>
      <x:c r="N1022" s="30" t="n">
        <x:v>46711</x:v>
      </x:c>
    </x:row>
    <x:row r="1023" ht="17.25" customHeight="1">
      <x:c r="A1023" s="24" t="str">
        <x:v>E-01022</x:v>
      </x:c>
      <x:c r="B1023" s="24" t="str">
        <x:v>프라임구독</x:v>
      </x:c>
      <x:c r="C1023" s="24" t="str">
        <x:v>91구1898</x:v>
      </x:c>
      <x:c r="D1023" s="30" t="n">
        <x:v>44634</x:v>
      </x:c>
      <x:c r="E1023" s="24" t="str">
        <x:v>계약시작</x:v>
      </x:c>
      <x:c r="F1023" s="24" t="str"/>
      <x:c r="G1023" s="24" t="str">
        <x:v>대여중</x:v>
      </x:c>
      <x:c r="H1023" s="32" t="n">
        <x:v>474000</x:v>
      </x:c>
      <x:c r="I1023" s="24" t="str">
        <x:v>PR-C-91구1898-2-20220314-208</x:v>
      </x:c>
      <x:c r="J1023" s="24" t="str">
        <x:v>오주희</x:v>
      </x:c>
      <x:c r="K1023" s="24" t="str">
        <x:v>종료 계약 시작</x:v>
      </x:c>
      <x:c r="L1023" s="24" t="str"/>
      <x:c r="M1023" s="24" t="str"/>
      <x:c r="N1023" s="30" t="n">
        <x:v>44634</x:v>
      </x:c>
    </x:row>
    <x:row r="1024" ht="17.25" customHeight="1">
      <x:c r="A1024" s="24" t="str">
        <x:v>E-01023</x:v>
      </x:c>
      <x:c r="B1024" s="24" t="str">
        <x:v>프라임구독</x:v>
      </x:c>
      <x:c r="C1024" s="24" t="str">
        <x:v>91구1898</x:v>
      </x:c>
      <x:c r="D1024" s="30" t="n">
        <x:v>45731</x:v>
      </x:c>
      <x:c r="E1024" s="24" t="str">
        <x:v>반납</x:v>
      </x:c>
      <x:c r="F1024" s="24" t="str">
        <x:v>대여중</x:v>
      </x:c>
      <x:c r="G1024" s="24" t="str">
        <x:v>쉬는차</x:v>
      </x:c>
      <x:c r="H1024" s="32"/>
      <x:c r="I1024" s="24" t="str">
        <x:v>PR-C-91구1898-2-20220314-208</x:v>
      </x:c>
      <x:c r="J1024" s="24" t="str">
        <x:v>오주희</x:v>
      </x:c>
      <x:c r="K1024" s="24" t="str">
        <x:v>차량 반납</x:v>
      </x:c>
      <x:c r="L1024" s="24" t="str"/>
      <x:c r="M1024" s="24" t="str"/>
      <x:c r="N1024" s="30" t="n">
        <x:v>45731</x:v>
      </x:c>
    </x:row>
    <x:row r="1025" ht="17.25" customHeight="1">
      <x:c r="A1025" s="24" t="str">
        <x:v>E-01024</x:v>
      </x:c>
      <x:c r="B1025" s="24" t="str">
        <x:v>프라임구독</x:v>
      </x:c>
      <x:c r="C1025" s="24" t="str">
        <x:v>93너4019</x:v>
      </x:c>
      <x:c r="D1025" s="30" t="n">
        <x:v>45223</x:v>
      </x:c>
      <x:c r="E1025" s="24" t="str">
        <x:v>계약시작</x:v>
      </x:c>
      <x:c r="F1025" s="24" t="str"/>
      <x:c r="G1025" s="24" t="str">
        <x:v>대여중</x:v>
      </x:c>
      <x:c r="H1025" s="32" t="n">
        <x:v>554212</x:v>
      </x:c>
      <x:c r="I1025" s="24" t="str">
        <x:v>PR-C-93너4019-1-20231024-209</x:v>
      </x:c>
      <x:c r="J1025" s="24" t="str">
        <x:v>최유미</x:v>
      </x:c>
      <x:c r="K1025" s="24" t="str">
        <x:v>구독 계약 시작</x:v>
      </x:c>
      <x:c r="L1025" s="24" t="str"/>
      <x:c r="M1025" s="24" t="str"/>
      <x:c r="N1025" s="30" t="n">
        <x:v>45223</x:v>
      </x:c>
    </x:row>
    <x:row r="1026" ht="17.25" customHeight="1">
      <x:c r="A1026" s="24" t="str">
        <x:v>E-01025</x:v>
      </x:c>
      <x:c r="B1026" s="24" t="str">
        <x:v>프라임구독</x:v>
      </x:c>
      <x:c r="C1026" s="24" t="str">
        <x:v>93너4040</x:v>
      </x:c>
      <x:c r="D1026" s="30" t="n">
        <x:v>45211</x:v>
      </x:c>
      <x:c r="E1026" s="24" t="str">
        <x:v>계약시작</x:v>
      </x:c>
      <x:c r="F1026" s="24" t="str"/>
      <x:c r="G1026" s="24" t="str">
        <x:v>대여중</x:v>
      </x:c>
      <x:c r="H1026" s="32" t="n">
        <x:v>561668</x:v>
      </x:c>
      <x:c r="I1026" s="24" t="str">
        <x:v>PR-C-93너4040-1-20231012-210</x:v>
      </x:c>
      <x:c r="J1026" s="24" t="str">
        <x:v>이효기</x:v>
      </x:c>
      <x:c r="K1026" s="24" t="str">
        <x:v>구독 계약 시작</x:v>
      </x:c>
      <x:c r="L1026" s="24" t="str"/>
      <x:c r="M1026" s="24" t="str"/>
      <x:c r="N1026" s="30" t="n">
        <x:v>45211</x:v>
      </x:c>
    </x:row>
    <x:row r="1027" ht="17.25" customHeight="1">
      <x:c r="A1027" s="24" t="str">
        <x:v>E-01026</x:v>
      </x:c>
      <x:c r="B1027" s="24" t="str">
        <x:v>프라임구독</x:v>
      </x:c>
      <x:c r="C1027" s="24" t="str">
        <x:v>93오0716</x:v>
      </x:c>
      <x:c r="D1027" s="30" t="n">
        <x:v>45119</x:v>
      </x:c>
      <x:c r="E1027" s="24" t="str">
        <x:v>계약시작</x:v>
      </x:c>
      <x:c r="F1027" s="24" t="str"/>
      <x:c r="G1027" s="24" t="str">
        <x:v>대여중</x:v>
      </x:c>
      <x:c r="H1027" s="32" t="n">
        <x:v>708000</x:v>
      </x:c>
      <x:c r="I1027" s="24" t="str">
        <x:v>PR-C-93오0716-1-20230712-211</x:v>
      </x:c>
      <x:c r="J1027" s="24" t="str">
        <x:v>김성룡</x:v>
      </x:c>
      <x:c r="K1027" s="24" t="str">
        <x:v>구독 계약 시작</x:v>
      </x:c>
      <x:c r="L1027" s="24" t="str"/>
      <x:c r="M1027" s="24" t="str"/>
      <x:c r="N1027" s="30" t="n">
        <x:v>45119</x:v>
      </x:c>
    </x:row>
    <x:row r="1028" ht="17.25" customHeight="1">
      <x:c r="A1028" s="24" t="str">
        <x:v>E-01027</x:v>
      </x:c>
      <x:c r="B1028" s="24" t="str">
        <x:v>프라임구독</x:v>
      </x:c>
      <x:c r="C1028" s="24" t="str">
        <x:v>95서4126</x:v>
      </x:c>
      <x:c r="D1028" s="30" t="n">
        <x:v>45258</x:v>
      </x:c>
      <x:c r="E1028" s="24" t="str">
        <x:v>계약시작</x:v>
      </x:c>
      <x:c r="F1028" s="24" t="str"/>
      <x:c r="G1028" s="24" t="str">
        <x:v>대여중</x:v>
      </x:c>
      <x:c r="H1028" s="32" t="n">
        <x:v>529000</x:v>
      </x:c>
      <x:c r="I1028" s="24" t="str">
        <x:v>PR-C-95서4126-1-20231128-212</x:v>
      </x:c>
      <x:c r="J1028" s="24" t="str">
        <x:v>임은희</x:v>
      </x:c>
      <x:c r="K1028" s="24" t="str">
        <x:v>구독 계약 시작</x:v>
      </x:c>
      <x:c r="L1028" s="24" t="str"/>
      <x:c r="M1028" s="24" t="str"/>
      <x:c r="N1028" s="30" t="n">
        <x:v>45258</x:v>
      </x:c>
    </x:row>
    <x:row r="1029" ht="17.25" customHeight="1">
      <x:c r="A1029" s="24" t="str">
        <x:v>E-01028</x:v>
      </x:c>
      <x:c r="B1029" s="24" t="str">
        <x:v>프라임구독</x:v>
      </x:c>
      <x:c r="C1029" s="24" t="str">
        <x:v>95서4167</x:v>
      </x:c>
      <x:c r="D1029" s="30" t="n">
        <x:v>45250</x:v>
      </x:c>
      <x:c r="E1029" s="24" t="str">
        <x:v>계약시작</x:v>
      </x:c>
      <x:c r="F1029" s="24" t="str"/>
      <x:c r="G1029" s="24" t="str">
        <x:v>대여중</x:v>
      </x:c>
      <x:c r="H1029" s="32" t="n">
        <x:v>440989</x:v>
      </x:c>
      <x:c r="I1029" s="24" t="str">
        <x:v>PR-C-95서4167-2-20231120-213</x:v>
      </x:c>
      <x:c r="J1029" s="24" t="str">
        <x:v>이봉안</x:v>
      </x:c>
      <x:c r="K1029" s="24" t="str">
        <x:v>종료 계약 시작</x:v>
      </x:c>
      <x:c r="L1029" s="24" t="str"/>
      <x:c r="M1029" s="24" t="str"/>
      <x:c r="N1029" s="30" t="n">
        <x:v>45250</x:v>
      </x:c>
    </x:row>
    <x:row r="1030" ht="17.25" customHeight="1">
      <x:c r="A1030" s="24" t="str">
        <x:v>E-01029</x:v>
      </x:c>
      <x:c r="B1030" s="24" t="str">
        <x:v>프라임구독</x:v>
      </x:c>
      <x:c r="C1030" s="24" t="str">
        <x:v>95서4167</x:v>
      </x:c>
      <x:c r="D1030" s="30" t="n">
        <x:v>47082</x:v>
      </x:c>
      <x:c r="E1030" s="24" t="str">
        <x:v>반납</x:v>
      </x:c>
      <x:c r="F1030" s="24" t="str">
        <x:v>대여중</x:v>
      </x:c>
      <x:c r="G1030" s="24" t="str">
        <x:v>쉬는차</x:v>
      </x:c>
      <x:c r="H1030" s="32"/>
      <x:c r="I1030" s="24" t="str">
        <x:v>PR-C-95서4167-2-20231120-213</x:v>
      </x:c>
      <x:c r="J1030" s="24" t="str">
        <x:v>이봉안</x:v>
      </x:c>
      <x:c r="K1030" s="24" t="str">
        <x:v>차량 반납</x:v>
      </x:c>
      <x:c r="L1030" s="24" t="str"/>
      <x:c r="M1030" s="24" t="str"/>
      <x:c r="N1030" s="30" t="n">
        <x:v>47082</x:v>
      </x:c>
    </x:row>
    <x:row r="1031" ht="17.25" customHeight="1">
      <x:c r="A1031" s="24" t="str">
        <x:v>E-01030</x:v>
      </x:c>
      <x:c r="B1031" s="24" t="str">
        <x:v>프라임구독</x:v>
      </x:c>
      <x:c r="C1031" s="24" t="str">
        <x:v>96머7474</x:v>
      </x:c>
      <x:c r="D1031" s="30" t="n">
        <x:v>44957</x:v>
      </x:c>
      <x:c r="E1031" s="24" t="str">
        <x:v>계약시작</x:v>
      </x:c>
      <x:c r="F1031" s="24" t="str"/>
      <x:c r="G1031" s="24" t="str">
        <x:v>대여중</x:v>
      </x:c>
      <x:c r="H1031" s="32" t="n">
        <x:v>662000</x:v>
      </x:c>
      <x:c r="I1031" s="24" t="str">
        <x:v>PR-C-96머7474-1-20230131-214</x:v>
      </x:c>
      <x:c r="J1031" s="24" t="str">
        <x:v>김동석</x:v>
      </x:c>
      <x:c r="K1031" s="24" t="str">
        <x:v>구독 계약 시작</x:v>
      </x:c>
      <x:c r="L1031" s="24" t="str"/>
      <x:c r="M1031" s="24" t="str"/>
      <x:c r="N1031" s="30" t="n">
        <x:v>44957</x:v>
      </x:c>
    </x:row>
    <x:row r="1032" ht="17.25" customHeight="1">
      <x:c r="A1032" s="24" t="str">
        <x:v>E-01031</x:v>
      </x:c>
      <x:c r="B1032" s="24" t="str">
        <x:v>프라임구독</x:v>
      </x:c>
      <x:c r="C1032" s="24" t="str">
        <x:v>96서1502</x:v>
      </x:c>
      <x:c r="D1032" s="30" t="n">
        <x:v>45089</x:v>
      </x:c>
      <x:c r="E1032" s="24" t="str">
        <x:v>계약시작</x:v>
      </x:c>
      <x:c r="F1032" s="24" t="str"/>
      <x:c r="G1032" s="24" t="str">
        <x:v>대여중</x:v>
      </x:c>
      <x:c r="H1032" s="32" t="n">
        <x:v>986000</x:v>
      </x:c>
      <x:c r="I1032" s="24" t="str">
        <x:v>PR-C-96서1502-2-20230612-215</x:v>
      </x:c>
      <x:c r="J1032" s="24" t="str">
        <x:v>박희성</x:v>
      </x:c>
      <x:c r="K1032" s="24" t="str">
        <x:v>종료 계약 시작</x:v>
      </x:c>
      <x:c r="L1032" s="24" t="str"/>
      <x:c r="M1032" s="24" t="str"/>
      <x:c r="N1032" s="30" t="n">
        <x:v>45089</x:v>
      </x:c>
    </x:row>
    <x:row r="1033" ht="17.25" customHeight="1">
      <x:c r="A1033" s="24" t="str">
        <x:v>E-01032</x:v>
      </x:c>
      <x:c r="B1033" s="24" t="str">
        <x:v>프라임구독</x:v>
      </x:c>
      <x:c r="C1033" s="24" t="str">
        <x:v>96서1502</x:v>
      </x:c>
      <x:c r="D1033" s="30" t="n">
        <x:v>46183</x:v>
      </x:c>
      <x:c r="E1033" s="24" t="str">
        <x:v>반납</x:v>
      </x:c>
      <x:c r="F1033" s="24" t="str">
        <x:v>대여중</x:v>
      </x:c>
      <x:c r="G1033" s="24" t="str">
        <x:v>쉬는차</x:v>
      </x:c>
      <x:c r="H1033" s="32"/>
      <x:c r="I1033" s="24" t="str">
        <x:v>PR-C-96서1502-2-20230612-215</x:v>
      </x:c>
      <x:c r="J1033" s="24" t="str">
        <x:v>박희성</x:v>
      </x:c>
      <x:c r="K1033" s="24" t="str">
        <x:v>차량 반납</x:v>
      </x:c>
      <x:c r="L1033" s="24" t="str"/>
      <x:c r="M1033" s="24" t="str"/>
      <x:c r="N1033" s="30" t="n">
        <x:v>46183</x:v>
      </x:c>
    </x:row>
    <x:row r="1034" ht="17.25" customHeight="1">
      <x:c r="A1034" s="24" t="str">
        <x:v>E-01033</x:v>
      </x:c>
      <x:c r="B1034" s="24" t="str">
        <x:v>프라임구독</x:v>
      </x:c>
      <x:c r="C1034" s="24" t="str">
        <x:v>18서7100</x:v>
      </x:c>
      <x:c r="D1034" s="30" t="n">
        <x:v>45523</x:v>
      </x:c>
      <x:c r="E1034" s="24" t="str">
        <x:v>폐차</x:v>
      </x:c>
      <x:c r="F1034" s="24" t="str">
        <x:v>보유</x:v>
      </x:c>
      <x:c r="G1034" s="24" t="str">
        <x:v>보유종료</x:v>
      </x:c>
      <x:c r="H1034" s="32"/>
      <x:c r="I1034" s="24" t="str"/>
      <x:c r="J1034" s="24" t="str">
        <x:v>임경택</x:v>
      </x:c>
      <x:c r="K1034" s="24" t="str"/>
      <x:c r="L1034" s="24" t="str"/>
      <x:c r="M1034" s="24" t="str"/>
      <x:c r="N1034" s="30" t="n">
        <x:v>45523</x:v>
      </x:c>
    </x:row>
    <x:row r="1035" ht="17.25" customHeight="1">
      <x:c r="A1035" s="24" t="str">
        <x:v>E-01034</x:v>
      </x:c>
      <x:c r="B1035" s="24" t="str">
        <x:v>프라임구독</x:v>
      </x:c>
      <x:c r="C1035" s="24" t="str">
        <x:v>33모8923</x:v>
      </x:c>
      <x:c r="D1035" s="30" t="n">
        <x:v>45519</x:v>
      </x:c>
      <x:c r="E1035" s="24" t="str">
        <x:v>경매 O</x:v>
      </x:c>
      <x:c r="F1035" s="24" t="str">
        <x:v>보유</x:v>
      </x:c>
      <x:c r="G1035" s="24" t="str">
        <x:v>보유종료</x:v>
      </x:c>
      <x:c r="H1035" s="32"/>
      <x:c r="I1035" s="24" t="str"/>
      <x:c r="J1035" s="24" t="str">
        <x:v>박찬호</x:v>
      </x:c>
      <x:c r="K1035" s="24" t="str"/>
      <x:c r="L1035" s="24" t="str"/>
      <x:c r="M1035" s="24" t="str"/>
      <x:c r="N1035" s="30" t="n">
        <x:v>45519</x:v>
      </x:c>
    </x:row>
    <x:row r="1036" ht="17.25" customHeight="1">
      <x:c r="A1036" s="24" t="str">
        <x:v>E-01035</x:v>
      </x:c>
      <x:c r="B1036" s="24" t="str">
        <x:v>프라임구독</x:v>
      </x:c>
      <x:c r="C1036" s="24" t="str">
        <x:v>55소3876</x:v>
      </x:c>
      <x:c r="D1036" s="30" t="n">
        <x:v>45523</x:v>
      </x:c>
      <x:c r="E1036" s="24" t="str">
        <x:v>O</x:v>
      </x:c>
      <x:c r="F1036" s="24" t="str">
        <x:v>보유</x:v>
      </x:c>
      <x:c r="G1036" s="24" t="str">
        <x:v>보유종료</x:v>
      </x:c>
      <x:c r="H1036" s="32"/>
      <x:c r="I1036" s="24" t="str"/>
      <x:c r="J1036" s="24" t="str">
        <x:v>조정민</x:v>
      </x:c>
      <x:c r="K1036" s="24" t="str"/>
      <x:c r="L1036" s="24" t="str"/>
      <x:c r="M1036" s="24" t="str"/>
      <x:c r="N1036" s="30" t="n">
        <x:v>45523</x:v>
      </x:c>
    </x:row>
    <x:row r="1037" ht="17.25" customHeight="1">
      <x:c r="A1037" s="24" t="str">
        <x:v>E-01036</x:v>
      </x:c>
      <x:c r="B1037" s="24" t="str">
        <x:v>프라임구독</x:v>
      </x:c>
      <x:c r="C1037" s="24" t="str">
        <x:v>149머3346</x:v>
      </x:c>
      <x:c r="D1037" s="30" t="n">
        <x:v>45530</x:v>
      </x:c>
      <x:c r="E1037" s="24" t="str">
        <x:v>O</x:v>
      </x:c>
      <x:c r="F1037" s="24" t="str">
        <x:v>보유</x:v>
      </x:c>
      <x:c r="G1037" s="24" t="str">
        <x:v>보유종료</x:v>
      </x:c>
      <x:c r="H1037" s="32"/>
      <x:c r="I1037" s="24" t="str"/>
      <x:c r="J1037" s="24" t="str">
        <x:v>송명진</x:v>
      </x:c>
      <x:c r="K1037" s="24" t="str"/>
      <x:c r="L1037" s="24" t="str"/>
      <x:c r="M1037" s="24" t="str"/>
      <x:c r="N1037" s="30" t="n">
        <x:v>45530</x:v>
      </x:c>
    </x:row>
    <x:row r="1038" ht="17.25" customHeight="1">
      <x:c r="A1038" s="24" t="str">
        <x:v>E-01037</x:v>
      </x:c>
      <x:c r="B1038" s="24" t="str">
        <x:v>프라임구독</x:v>
      </x:c>
      <x:c r="C1038" s="24" t="str">
        <x:v>28마6730</x:v>
      </x:c>
      <x:c r="D1038" s="30" t="n">
        <x:v>45526</x:v>
      </x:c>
      <x:c r="E1038" s="24" t="str">
        <x:v>오토플러스 O</x:v>
      </x:c>
      <x:c r="F1038" s="24" t="str">
        <x:v>보유</x:v>
      </x:c>
      <x:c r="G1038" s="24" t="str">
        <x:v>보유종료</x:v>
      </x:c>
      <x:c r="H1038" s="32"/>
      <x:c r="I1038" s="24" t="str"/>
      <x:c r="J1038" s="24" t="str">
        <x:v>최주희</x:v>
      </x:c>
      <x:c r="K1038" s="24" t="str"/>
      <x:c r="L1038" s="24" t="str"/>
      <x:c r="M1038" s="24" t="str"/>
      <x:c r="N1038" s="30" t="n">
        <x:v>45526</x:v>
      </x:c>
    </x:row>
    <x:row r="1039" ht="17.25" customHeight="1">
      <x:c r="A1039" s="24" t="str">
        <x:v>E-01038</x:v>
      </x:c>
      <x:c r="B1039" s="24" t="str">
        <x:v>프라임구독</x:v>
      </x:c>
      <x:c r="C1039" s="24" t="str">
        <x:v>18오6133</x:v>
      </x:c>
      <x:c r="D1039" s="30" t="n">
        <x:v>45531</x:v>
      </x:c>
      <x:c r="E1039" s="24" t="str">
        <x:v>O</x:v>
      </x:c>
      <x:c r="F1039" s="24" t="str">
        <x:v>보유</x:v>
      </x:c>
      <x:c r="G1039" s="24" t="str">
        <x:v>보유종료</x:v>
      </x:c>
      <x:c r="H1039" s="32"/>
      <x:c r="I1039" s="24" t="str"/>
      <x:c r="J1039" s="24" t="str">
        <x:v>원준희</x:v>
      </x:c>
      <x:c r="K1039" s="24" t="str"/>
      <x:c r="L1039" s="24" t="str"/>
      <x:c r="M1039" s="24" t="str"/>
      <x:c r="N1039" s="30" t="n">
        <x:v>45531</x:v>
      </x:c>
    </x:row>
    <x:row r="1040" ht="17.25" customHeight="1">
      <x:c r="A1040" s="24" t="str">
        <x:v>E-01039</x:v>
      </x:c>
      <x:c r="B1040" s="24" t="str">
        <x:v>프라임구독</x:v>
      </x:c>
      <x:c r="C1040" s="24" t="str">
        <x:v>190모5683</x:v>
      </x:c>
      <x:c r="D1040" s="30" t="n">
        <x:v>45524</x:v>
      </x:c>
      <x:c r="E1040" s="24" t="str">
        <x:v>O</x:v>
      </x:c>
      <x:c r="F1040" s="24" t="str">
        <x:v>보유</x:v>
      </x:c>
      <x:c r="G1040" s="24" t="str">
        <x:v>보유종료</x:v>
      </x:c>
      <x:c r="H1040" s="32"/>
      <x:c r="I1040" s="24" t="str"/>
      <x:c r="J1040" s="24" t="str">
        <x:v>장유진1</x:v>
      </x:c>
      <x:c r="K1040" s="24" t="str"/>
      <x:c r="L1040" s="24" t="str"/>
      <x:c r="M1040" s="24" t="str"/>
      <x:c r="N1040" s="30" t="n">
        <x:v>45524</x:v>
      </x:c>
    </x:row>
    <x:row r="1041" ht="17.25" customHeight="1">
      <x:c r="A1041" s="24" t="str">
        <x:v>E-01040</x:v>
      </x:c>
      <x:c r="B1041" s="24" t="str">
        <x:v>프라임구독</x:v>
      </x:c>
      <x:c r="C1041" s="24" t="str">
        <x:v>179다2644</x:v>
      </x:c>
      <x:c r="D1041" s="30" t="n">
        <x:v>45524</x:v>
      </x:c>
      <x:c r="E1041" s="24" t="str">
        <x:v>O</x:v>
      </x:c>
      <x:c r="F1041" s="24" t="str">
        <x:v>보유</x:v>
      </x:c>
      <x:c r="G1041" s="24" t="str">
        <x:v>보유종료</x:v>
      </x:c>
      <x:c r="H1041" s="32"/>
      <x:c r="I1041" s="24" t="str"/>
      <x:c r="J1041" s="24" t="str">
        <x:v>장유진2</x:v>
      </x:c>
      <x:c r="K1041" s="24" t="str"/>
      <x:c r="L1041" s="24" t="str"/>
      <x:c r="M1041" s="24" t="str"/>
      <x:c r="N1041" s="30" t="n">
        <x:v>45524</x:v>
      </x:c>
    </x:row>
    <x:row r="1042" ht="17.25" customHeight="1">
      <x:c r="A1042" s="24" t="str">
        <x:v>E-01041</x:v>
      </x:c>
      <x:c r="B1042" s="24" t="str">
        <x:v>프라임구독</x:v>
      </x:c>
      <x:c r="C1042" s="24" t="str">
        <x:v>82고7047</x:v>
      </x:c>
      <x:c r="D1042" s="30" t="n">
        <x:v>45525</x:v>
      </x:c>
      <x:c r="E1042" s="24" t="str">
        <x:v>O</x:v>
      </x:c>
      <x:c r="F1042" s="24" t="str">
        <x:v>보유</x:v>
      </x:c>
      <x:c r="G1042" s="24" t="str">
        <x:v>보유종료</x:v>
      </x:c>
      <x:c r="H1042" s="32"/>
      <x:c r="I1042" s="24" t="str"/>
      <x:c r="J1042" s="24" t="str">
        <x:v>신동아</x:v>
      </x:c>
      <x:c r="K1042" s="24" t="str"/>
      <x:c r="L1042" s="24" t="str"/>
      <x:c r="M1042" s="24" t="str"/>
      <x:c r="N1042" s="30" t="n">
        <x:v>45525</x:v>
      </x:c>
    </x:row>
    <x:row r="1043" ht="17.25" customHeight="1">
      <x:c r="A1043" s="24" t="str">
        <x:v>E-01042</x:v>
      </x:c>
      <x:c r="B1043" s="24" t="str">
        <x:v>프라임구독</x:v>
      </x:c>
      <x:c r="C1043" s="24" t="str">
        <x:v>17구6905</x:v>
      </x:c>
      <x:c r="D1043" s="30" t="n">
        <x:v>45527</x:v>
      </x:c>
      <x:c r="E1043" s="24" t="str">
        <x:v>O</x:v>
      </x:c>
      <x:c r="F1043" s="24" t="str">
        <x:v>보유</x:v>
      </x:c>
      <x:c r="G1043" s="24" t="str">
        <x:v>보유종료</x:v>
      </x:c>
      <x:c r="H1043" s="32"/>
      <x:c r="I1043" s="24" t="str"/>
      <x:c r="J1043" s="24" t="str">
        <x:v>이은술</x:v>
      </x:c>
      <x:c r="K1043" s="24" t="str"/>
      <x:c r="L1043" s="24" t="str"/>
      <x:c r="M1043" s="24" t="str"/>
      <x:c r="N1043" s="30" t="n">
        <x:v>45527</x:v>
      </x:c>
    </x:row>
    <x:row r="1044" ht="17.25" customHeight="1">
      <x:c r="A1044" s="24" t="str">
        <x:v>E-01043</x:v>
      </x:c>
      <x:c r="B1044" s="24" t="str">
        <x:v>프라임구독</x:v>
      </x:c>
      <x:c r="C1044" s="24" t="str">
        <x:v>149마1752</x:v>
      </x:c>
      <x:c r="D1044" s="30" t="n">
        <x:v>45526</x:v>
      </x:c>
      <x:c r="E1044" s="24" t="str">
        <x:v>O</x:v>
      </x:c>
      <x:c r="F1044" s="24" t="str">
        <x:v>보유</x:v>
      </x:c>
      <x:c r="G1044" s="24" t="str">
        <x:v>보유종료</x:v>
      </x:c>
      <x:c r="H1044" s="32"/>
      <x:c r="I1044" s="24" t="str"/>
      <x:c r="J1044" s="24" t="str">
        <x:v>이숙희</x:v>
      </x:c>
      <x:c r="K1044" s="24" t="str"/>
      <x:c r="L1044" s="24" t="str"/>
      <x:c r="M1044" s="24" t="str"/>
      <x:c r="N1044" s="30" t="n">
        <x:v>45526</x:v>
      </x:c>
    </x:row>
    <x:row r="1045" ht="17.25" customHeight="1">
      <x:c r="A1045" s="24" t="str">
        <x:v>E-01044</x:v>
      </x:c>
      <x:c r="B1045" s="24" t="str">
        <x:v>프라임구독</x:v>
      </x:c>
      <x:c r="C1045" s="24" t="str">
        <x:v>64고6351</x:v>
      </x:c>
      <x:c r="D1045" s="30" t="n">
        <x:v>45523</x:v>
      </x:c>
      <x:c r="E1045" s="24" t="str">
        <x:v>O</x:v>
      </x:c>
      <x:c r="F1045" s="24" t="str">
        <x:v>보유</x:v>
      </x:c>
      <x:c r="G1045" s="24" t="str">
        <x:v>보유종료</x:v>
      </x:c>
      <x:c r="H1045" s="32"/>
      <x:c r="I1045" s="24" t="str"/>
      <x:c r="J1045" s="24" t="str">
        <x:v>김광심</x:v>
      </x:c>
      <x:c r="K1045" s="24" t="str"/>
      <x:c r="L1045" s="24" t="str"/>
      <x:c r="M1045" s="24" t="str"/>
      <x:c r="N1045" s="30" t="n">
        <x:v>45523</x:v>
      </x:c>
    </x:row>
    <x:row r="1046" ht="17.25" customHeight="1">
      <x:c r="A1046" s="24" t="str">
        <x:v>E-01045</x:v>
      </x:c>
      <x:c r="B1046" s="24" t="str">
        <x:v>프라임구독</x:v>
      </x:c>
      <x:c r="C1046" s="24" t="str">
        <x:v>88더7125</x:v>
      </x:c>
      <x:c r="D1046" s="30" t="n">
        <x:v>45526</x:v>
      </x:c>
      <x:c r="E1046" s="24" t="str">
        <x:v>O</x:v>
      </x:c>
      <x:c r="F1046" s="24" t="str">
        <x:v>보유</x:v>
      </x:c>
      <x:c r="G1046" s="24" t="str">
        <x:v>보유종료</x:v>
      </x:c>
      <x:c r="H1046" s="32"/>
      <x:c r="I1046" s="24" t="str"/>
      <x:c r="J1046" s="24" t="str">
        <x:v>여동석</x:v>
      </x:c>
      <x:c r="K1046" s="24" t="str"/>
      <x:c r="L1046" s="24" t="str"/>
      <x:c r="M1046" s="24" t="str"/>
      <x:c r="N1046" s="30" t="n">
        <x:v>45526</x:v>
      </x:c>
    </x:row>
    <x:row r="1047" ht="17.25" customHeight="1">
      <x:c r="A1047" s="24" t="str">
        <x:v>E-01046</x:v>
      </x:c>
      <x:c r="B1047" s="24" t="str">
        <x:v>프라임구독</x:v>
      </x:c>
      <x:c r="C1047" s="24" t="str">
        <x:v>45구5908</x:v>
      </x:c>
      <x:c r="D1047" s="30" t="n">
        <x:v>45530</x:v>
      </x:c>
      <x:c r="E1047" s="24" t="str">
        <x:v>O</x:v>
      </x:c>
      <x:c r="F1047" s="24" t="str">
        <x:v>보유</x:v>
      </x:c>
      <x:c r="G1047" s="24" t="str">
        <x:v>보유종료</x:v>
      </x:c>
      <x:c r="H1047" s="32"/>
      <x:c r="I1047" s="24" t="str"/>
      <x:c r="J1047" s="24" t="str">
        <x:v>윤자민</x:v>
      </x:c>
      <x:c r="K1047" s="24" t="str"/>
      <x:c r="L1047" s="24" t="str"/>
      <x:c r="M1047" s="24" t="str"/>
      <x:c r="N1047" s="30" t="n">
        <x:v>45530</x:v>
      </x:c>
    </x:row>
    <x:row r="1048" ht="17.25" customHeight="1">
      <x:c r="A1048" s="24" t="str">
        <x:v>E-01047</x:v>
      </x:c>
      <x:c r="B1048" s="24" t="str">
        <x:v>프라임구독</x:v>
      </x:c>
      <x:c r="C1048" s="24" t="str">
        <x:v>37무0235</x:v>
      </x:c>
      <x:c r="D1048" s="30" t="n">
        <x:v>45531</x:v>
      </x:c>
      <x:c r="E1048" s="24" t="str">
        <x:v>O</x:v>
      </x:c>
      <x:c r="F1048" s="24" t="str">
        <x:v>보유</x:v>
      </x:c>
      <x:c r="G1048" s="24" t="str">
        <x:v>보유종료</x:v>
      </x:c>
      <x:c r="H1048" s="32"/>
      <x:c r="I1048" s="24" t="str"/>
      <x:c r="J1048" s="24" t="str">
        <x:v>박창섭</x:v>
      </x:c>
      <x:c r="K1048" s="24" t="str"/>
      <x:c r="L1048" s="24" t="str"/>
      <x:c r="M1048" s="24" t="str"/>
      <x:c r="N1048" s="30" t="n">
        <x:v>45531</x:v>
      </x:c>
    </x:row>
    <x:row r="1049" ht="17.25" customHeight="1">
      <x:c r="A1049" s="24" t="str">
        <x:v>E-01048</x:v>
      </x:c>
      <x:c r="B1049" s="24" t="str">
        <x:v>프라임구독</x:v>
      </x:c>
      <x:c r="C1049" s="24" t="str">
        <x:v>61너2749</x:v>
      </x:c>
      <x:c r="D1049" s="30" t="n">
        <x:v>45531</x:v>
      </x:c>
      <x:c r="E1049" s="24" t="str">
        <x:v>경매 O</x:v>
      </x:c>
      <x:c r="F1049" s="24" t="str">
        <x:v>보유</x:v>
      </x:c>
      <x:c r="G1049" s="24" t="str">
        <x:v>보유종료</x:v>
      </x:c>
      <x:c r="H1049" s="32"/>
      <x:c r="I1049" s="24" t="str"/>
      <x:c r="J1049" s="24" t="str">
        <x:v>이은숙</x:v>
      </x:c>
      <x:c r="K1049" s="24" t="str"/>
      <x:c r="L1049" s="24" t="str"/>
      <x:c r="M1049" s="24" t="str"/>
      <x:c r="N1049" s="30" t="n">
        <x:v>45531</x:v>
      </x:c>
    </x:row>
    <x:row r="1050" ht="17.25" customHeight="1">
      <x:c r="A1050" s="24" t="str">
        <x:v>E-01049</x:v>
      </x:c>
      <x:c r="B1050" s="24" t="str">
        <x:v>프라임구독</x:v>
      </x:c>
      <x:c r="C1050" s="24" t="str">
        <x:v>19모8971</x:v>
      </x:c>
      <x:c r="D1050" s="30" t="n">
        <x:v>45532</x:v>
      </x:c>
      <x:c r="E1050" s="24" t="str">
        <x:v>O</x:v>
      </x:c>
      <x:c r="F1050" s="24" t="str">
        <x:v>보유</x:v>
      </x:c>
      <x:c r="G1050" s="24" t="str">
        <x:v>보유종료</x:v>
      </x:c>
      <x:c r="H1050" s="32"/>
      <x:c r="I1050" s="24" t="str"/>
      <x:c r="J1050" s="24" t="str">
        <x:v>장은미</x:v>
      </x:c>
      <x:c r="K1050" s="24" t="str"/>
      <x:c r="L1050" s="24" t="str"/>
      <x:c r="M1050" s="24" t="str"/>
      <x:c r="N1050" s="30" t="n">
        <x:v>45532</x:v>
      </x:c>
    </x:row>
    <x:row r="1051" ht="17.25" customHeight="1">
      <x:c r="A1051" s="24" t="str">
        <x:v>E-01050</x:v>
      </x:c>
      <x:c r="B1051" s="24" t="str">
        <x:v>프라임구독</x:v>
      </x:c>
      <x:c r="C1051" s="24" t="str">
        <x:v>181수7351</x:v>
      </x:c>
      <x:c r="D1051" s="30" t="n">
        <x:v>45532</x:v>
      </x:c>
      <x:c r="E1051" s="24" t="str">
        <x:v>O</x:v>
      </x:c>
      <x:c r="F1051" s="24" t="str">
        <x:v>보유</x:v>
      </x:c>
      <x:c r="G1051" s="24" t="str">
        <x:v>보유종료</x:v>
      </x:c>
      <x:c r="H1051" s="32"/>
      <x:c r="I1051" s="24" t="str"/>
      <x:c r="J1051" s="24" t="str">
        <x:v>송하늘</x:v>
      </x:c>
      <x:c r="K1051" s="24" t="str"/>
      <x:c r="L1051" s="24" t="str"/>
      <x:c r="M1051" s="24" t="str"/>
      <x:c r="N1051" s="30" t="n">
        <x:v>45532</x:v>
      </x:c>
    </x:row>
    <x:row r="1052" ht="17.25" customHeight="1">
      <x:c r="A1052" s="24" t="str">
        <x:v>E-01051</x:v>
      </x:c>
      <x:c r="B1052" s="24" t="str">
        <x:v>프라임구독</x:v>
      </x:c>
      <x:c r="C1052" s="24" t="str">
        <x:v>14어6490</x:v>
      </x:c>
      <x:c r="D1052" s="30" t="n">
        <x:v>45531</x:v>
      </x:c>
      <x:c r="E1052" s="24" t="str">
        <x:v>O</x:v>
      </x:c>
      <x:c r="F1052" s="24" t="str">
        <x:v>보유</x:v>
      </x:c>
      <x:c r="G1052" s="24" t="str">
        <x:v>보유종료</x:v>
      </x:c>
      <x:c r="H1052" s="32"/>
      <x:c r="I1052" s="24" t="str"/>
      <x:c r="J1052" s="24" t="str">
        <x:v>문용득</x:v>
      </x:c>
      <x:c r="K1052" s="24" t="str"/>
      <x:c r="L1052" s="24" t="str"/>
      <x:c r="M1052" s="24" t="str"/>
      <x:c r="N1052" s="30" t="n">
        <x:v>45531</x:v>
      </x:c>
    </x:row>
    <x:row r="1053" ht="17.25" customHeight="1">
      <x:c r="A1053" s="24" t="str">
        <x:v>E-01052</x:v>
      </x:c>
      <x:c r="B1053" s="24" t="str">
        <x:v>프라임구독</x:v>
      </x:c>
      <x:c r="C1053" s="24" t="str">
        <x:v>84우6793</x:v>
      </x:c>
      <x:c r="D1053" s="30" t="n">
        <x:v>45533</x:v>
      </x:c>
      <x:c r="E1053" s="24" t="str">
        <x:v>O</x:v>
      </x:c>
      <x:c r="F1053" s="24" t="str">
        <x:v>보유</x:v>
      </x:c>
      <x:c r="G1053" s="24" t="str">
        <x:v>보유종료</x:v>
      </x:c>
      <x:c r="H1053" s="32"/>
      <x:c r="I1053" s="24" t="str"/>
      <x:c r="J1053" s="24" t="str">
        <x:v>이래준</x:v>
      </x:c>
      <x:c r="K1053" s="24" t="str"/>
      <x:c r="L1053" s="24" t="str"/>
      <x:c r="M1053" s="24" t="str"/>
      <x:c r="N1053" s="30" t="n">
        <x:v>45533</x:v>
      </x:c>
    </x:row>
    <x:row r="1054" ht="17.25" customHeight="1">
      <x:c r="A1054" s="24" t="str">
        <x:v>E-01053</x:v>
      </x:c>
      <x:c r="B1054" s="24" t="str">
        <x:v>프라임구독</x:v>
      </x:c>
      <x:c r="C1054" s="24" t="str">
        <x:v>13누7578</x:v>
      </x:c>
      <x:c r="D1054" s="30" t="n">
        <x:v>45547</x:v>
      </x:c>
      <x:c r="E1054" s="24" t="str">
        <x:v>O</x:v>
      </x:c>
      <x:c r="F1054" s="24" t="str">
        <x:v>보유</x:v>
      </x:c>
      <x:c r="G1054" s="24" t="str">
        <x:v>보유종료</x:v>
      </x:c>
      <x:c r="H1054" s="32"/>
      <x:c r="I1054" s="24" t="str"/>
      <x:c r="J1054" s="24" t="str">
        <x:v>정창훈</x:v>
      </x:c>
      <x:c r="K1054" s="24" t="str"/>
      <x:c r="L1054" s="24" t="str"/>
      <x:c r="M1054" s="24" t="str"/>
      <x:c r="N1054" s="30" t="n">
        <x:v>45547</x:v>
      </x:c>
    </x:row>
    <x:row r="1055" ht="17.25" customHeight="1">
      <x:c r="A1055" s="24" t="str">
        <x:v>E-01054</x:v>
      </x:c>
      <x:c r="B1055" s="24" t="str">
        <x:v>프라임구독</x:v>
      </x:c>
      <x:c r="C1055" s="24" t="str">
        <x:v>12구3819</x:v>
      </x:c>
      <x:c r="D1055" s="30" t="n">
        <x:v>45569</x:v>
      </x:c>
      <x:c r="E1055" s="24" t="str">
        <x:v>O</x:v>
      </x:c>
      <x:c r="F1055" s="24" t="str">
        <x:v>보유</x:v>
      </x:c>
      <x:c r="G1055" s="24" t="str">
        <x:v>보유종료</x:v>
      </x:c>
      <x:c r="H1055" s="32"/>
      <x:c r="I1055" s="24" t="str"/>
      <x:c r="J1055" s="24" t="str">
        <x:v>김경보</x:v>
      </x:c>
      <x:c r="K1055" s="24" t="str"/>
      <x:c r="L1055" s="24" t="str"/>
      <x:c r="M1055" s="24" t="str"/>
      <x:c r="N1055" s="30" t="n">
        <x:v>45569</x:v>
      </x:c>
    </x:row>
    <x:row r="1056" ht="17.25" customHeight="1">
      <x:c r="A1056" s="24" t="str">
        <x:v>E-01055</x:v>
      </x:c>
      <x:c r="B1056" s="24" t="str">
        <x:v>프라임구독</x:v>
      </x:c>
      <x:c r="C1056" s="24" t="str">
        <x:v>53더9725</x:v>
      </x:c>
      <x:c r="D1056" s="30" t="n">
        <x:v>45572</x:v>
      </x:c>
      <x:c r="E1056" s="24" t="str">
        <x:v>O</x:v>
      </x:c>
      <x:c r="F1056" s="24" t="str">
        <x:v>보유</x:v>
      </x:c>
      <x:c r="G1056" s="24" t="str">
        <x:v>보유종료</x:v>
      </x:c>
      <x:c r="H1056" s="32"/>
      <x:c r="I1056" s="24" t="str"/>
      <x:c r="J1056" s="24" t="str">
        <x:v>이승조</x:v>
      </x:c>
      <x:c r="K1056" s="24" t="str"/>
      <x:c r="L1056" s="24" t="str"/>
      <x:c r="M1056" s="24" t="str"/>
      <x:c r="N1056" s="30" t="n">
        <x:v>45572</x:v>
      </x:c>
    </x:row>
    <x:row r="1057" ht="17.25" customHeight="1">
      <x:c r="A1057" s="24" t="str">
        <x:v>E-01056</x:v>
      </x:c>
      <x:c r="B1057" s="24" t="str">
        <x:v>프라임구독</x:v>
      </x:c>
      <x:c r="C1057" s="24" t="str">
        <x:v>45도3628</x:v>
      </x:c>
      <x:c r="D1057" s="30" t="n">
        <x:v>45575</x:v>
      </x:c>
      <x:c r="E1057" s="24" t="str">
        <x:v>O</x:v>
      </x:c>
      <x:c r="F1057" s="24" t="str">
        <x:v>보유</x:v>
      </x:c>
      <x:c r="G1057" s="24" t="str">
        <x:v>보유종료</x:v>
      </x:c>
      <x:c r="H1057" s="32"/>
      <x:c r="I1057" s="24" t="str"/>
      <x:c r="J1057" s="24" t="str">
        <x:v>이지연b2</x:v>
      </x:c>
      <x:c r="K1057" s="24" t="str"/>
      <x:c r="L1057" s="24" t="str"/>
      <x:c r="M1057" s="24" t="str"/>
      <x:c r="N1057" s="30" t="n">
        <x:v>45575</x:v>
      </x:c>
    </x:row>
    <x:row r="1058" ht="17.25" customHeight="1">
      <x:c r="A1058" s="24" t="str">
        <x:v>E-01057</x:v>
      </x:c>
      <x:c r="B1058" s="24" t="str">
        <x:v>프라임구독</x:v>
      </x:c>
      <x:c r="C1058" s="24" t="str">
        <x:v>50다0352</x:v>
      </x:c>
      <x:c r="D1058" s="30" t="n">
        <x:v>45575</x:v>
      </x:c>
      <x:c r="E1058" s="24" t="str">
        <x:v>O</x:v>
      </x:c>
      <x:c r="F1058" s="24" t="str">
        <x:v>보유</x:v>
      </x:c>
      <x:c r="G1058" s="24" t="str">
        <x:v>보유종료</x:v>
      </x:c>
      <x:c r="H1058" s="32"/>
      <x:c r="I1058" s="24" t="str"/>
      <x:c r="J1058" s="24" t="str">
        <x:v>서의석</x:v>
      </x:c>
      <x:c r="K1058" s="24" t="str"/>
      <x:c r="L1058" s="24" t="str"/>
      <x:c r="M1058" s="24" t="str"/>
      <x:c r="N1058" s="30" t="n">
        <x:v>45575</x:v>
      </x:c>
    </x:row>
    <x:row r="1059" ht="17.25" customHeight="1">
      <x:c r="A1059" s="24" t="str">
        <x:v>E-01058</x:v>
      </x:c>
      <x:c r="B1059" s="24" t="str">
        <x:v>프라임구독</x:v>
      </x:c>
      <x:c r="C1059" s="24" t="str">
        <x:v>53보5644</x:v>
      </x:c>
      <x:c r="D1059" s="30" t="n">
        <x:v>45603</x:v>
      </x:c>
      <x:c r="E1059" s="24" t="str">
        <x:v>O</x:v>
      </x:c>
      <x:c r="F1059" s="24" t="str">
        <x:v>보유</x:v>
      </x:c>
      <x:c r="G1059" s="24" t="str">
        <x:v>보유종료</x:v>
      </x:c>
      <x:c r="H1059" s="32"/>
      <x:c r="I1059" s="24" t="str"/>
      <x:c r="J1059" s="24" t="str">
        <x:v>이정기3</x:v>
      </x:c>
      <x:c r="K1059" s="24" t="str"/>
      <x:c r="L1059" s="24" t="str"/>
      <x:c r="M1059" s="24" t="str"/>
      <x:c r="N1059" s="30" t="n">
        <x:v>45603</x:v>
      </x:c>
    </x:row>
    <x:row r="1060" ht="17.25" customHeight="1">
      <x:c r="A1060" s="24" t="str">
        <x:v>E-01059</x:v>
      </x:c>
      <x:c r="B1060" s="24" t="str">
        <x:v>프라임구독</x:v>
      </x:c>
      <x:c r="C1060" s="24" t="str">
        <x:v>46루1950</x:v>
      </x:c>
      <x:c r="D1060" s="30" t="n">
        <x:v>45610</x:v>
      </x:c>
      <x:c r="E1060" s="24" t="str">
        <x:v>O</x:v>
      </x:c>
      <x:c r="F1060" s="24" t="str">
        <x:v>보유</x:v>
      </x:c>
      <x:c r="G1060" s="24" t="str">
        <x:v>보유종료</x:v>
      </x:c>
      <x:c r="H1060" s="32"/>
      <x:c r="I1060" s="24" t="str"/>
      <x:c r="J1060" s="24" t="str">
        <x:v>김난주</x:v>
      </x:c>
      <x:c r="K1060" s="24" t="str"/>
      <x:c r="L1060" s="24" t="str"/>
      <x:c r="M1060" s="24" t="str"/>
      <x:c r="N1060" s="30" t="n">
        <x:v>45610</x:v>
      </x:c>
    </x:row>
    <x:row r="1061" ht="17.25" customHeight="1">
      <x:c r="A1061" s="24" t="str">
        <x:v>E-01060</x:v>
      </x:c>
      <x:c r="B1061" s="24" t="str">
        <x:v>프라임구독</x:v>
      </x:c>
      <x:c r="C1061" s="24" t="str">
        <x:v>31저0628</x:v>
      </x:c>
      <x:c r="D1061" s="30" t="n">
        <x:v>45623</x:v>
      </x:c>
      <x:c r="E1061" s="24" t="str">
        <x:v>O</x:v>
      </x:c>
      <x:c r="F1061" s="24" t="str">
        <x:v>보유</x:v>
      </x:c>
      <x:c r="G1061" s="24" t="str">
        <x:v>보유종료</x:v>
      </x:c>
      <x:c r="H1061" s="32"/>
      <x:c r="I1061" s="24" t="str"/>
      <x:c r="J1061" s="24" t="str">
        <x:v>박정우</x:v>
      </x:c>
      <x:c r="K1061" s="24" t="str"/>
      <x:c r="L1061" s="24" t="str"/>
      <x:c r="M1061" s="24" t="str"/>
      <x:c r="N1061" s="30" t="n">
        <x:v>45623</x:v>
      </x:c>
    </x:row>
  </x:sheetData>
  <x:pageMargins left="0.7" right="0.7" top="0.75" bottom="0.75" header="0.3" footer="0.3"/>
  <x:tableParts count="1">
    <x:tablePart xmlns:r="http://schemas.openxmlformats.org/officeDocument/2006/relationships" r:id="Rc3b1809fe8d04f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130000114440918" hidden="0" customWidth="1"/>
    <x:col min="3" max="3" width="11.25" hidden="0" customWidth="1"/>
    <x:col min="4" max="4" width="12.5" hidden="0" customWidth="1"/>
    <x:col min="5" max="5" width="13.75" hidden="0" customWidth="1"/>
    <x:col min="6" max="6" width="10.630000114440918" hidden="0" customWidth="1"/>
    <x:col min="7" max="7" width="17.5" hidden="0" customWidth="1"/>
    <x:col min="8" max="8" width="17.5" hidden="0" customWidth="1"/>
    <x:col min="9" max="9" width="10.630000114440918" hidden="0" customWidth="1"/>
    <x:col min="10" max="10" width="27.5" hidden="0" customWidth="1"/>
  </x:cols>
  <x:sheetData>
    <x:row r="1" ht="25.5" customHeight="1">
      <x:c r="A1" s="29" t="str">
        <x:v>입금ID</x:v>
      </x:c>
      <x:c r="B1" s="29" t="str">
        <x:v>법인</x:v>
      </x:c>
      <x:c r="C1" s="29" t="str">
        <x:v>거래일</x:v>
      </x:c>
      <x:c r="D1" s="29" t="str">
        <x:v>금액</x:v>
      </x:c>
      <x:c r="E1" s="29" t="str">
        <x:v>입금자</x:v>
      </x:c>
      <x:c r="F1" s="29" t="str">
        <x:v>수단</x:v>
      </x:c>
      <x:c r="G1" s="29" t="str">
        <x:v>계좌</x:v>
      </x:c>
      <x:c r="H1" s="29" t="str">
        <x:v>원본거래ID</x:v>
      </x:c>
      <x:c r="I1" s="29" t="str">
        <x:v>확인상태</x:v>
      </x:c>
      <x:c r="J1" s="29" t="str">
        <x:v>비고</x:v>
      </x:c>
    </x:row>
    <x:row r="2" ht="17.25" customHeight="1">
      <x:c r="A2" s="24" t="str">
        <x:v>입력대기</x:v>
      </x:c>
      <x:c r="B2" s="24" t="str">
        <x:v>스위치플랜</x:v>
      </x:c>
      <x:c r="C2" s="30"/>
      <x:c r="D2" s="32"/>
      <x:c r="E2" s="24" t="str"/>
      <x:c r="F2" s="24" t="str">
        <x:v>계좌이체</x:v>
      </x:c>
      <x:c r="G2" s="24" t="str"/>
      <x:c r="H2" s="24" t="str"/>
      <x:c r="I2" s="24" t="str">
        <x:v>미분류</x:v>
      </x:c>
      <x:c r="J2" s="24" t="str">
        <x:v>은행 거래내역 연결 전</x:v>
      </x:c>
    </x:row>
  </x:sheetData>
  <x:pageMargins left="0.7" right="0.7" top="0.75" bottom="0.75" header="0.3" footer="0.3"/>
  <x:tableParts count="1">
    <x:tablePart xmlns:r="http://schemas.openxmlformats.org/officeDocument/2006/relationships" r:id="Rd4c97880ba864f7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1.25" hidden="0" customWidth="1"/>
    <x:col min="4" max="4" width="12.5" hidden="0" customWidth="1"/>
    <x:col min="5" max="5" width="10" hidden="0" customWidth="1"/>
    <x:col min="6" max="6" width="11.25" hidden="0" customWidth="1"/>
    <x:col min="7" max="7" width="27.5" hidden="0" customWidth="1"/>
  </x:cols>
  <x:sheetData>
    <x:row r="1" ht="25.5" customHeight="1">
      <x:c r="A1" s="29" t="str">
        <x:v>배분ID</x:v>
      </x:c>
      <x:c r="B1" s="29" t="str">
        <x:v>입금ID</x:v>
      </x:c>
      <x:c r="C1" s="29" t="str">
        <x:v>청구ID</x:v>
      </x:c>
      <x:c r="D1" s="29" t="str">
        <x:v>배분금액</x:v>
      </x:c>
      <x:c r="E1" s="29" t="str">
        <x:v>처리자</x:v>
      </x:c>
      <x:c r="F1" s="29" t="str">
        <x:v>처리일</x:v>
      </x:c>
      <x:c r="G1" s="29" t="str">
        <x:v>비고</x:v>
      </x:c>
    </x:row>
    <x:row r="2" ht="17.25" customHeight="1">
      <x:c r="A2" s="24" t="str">
        <x:v>입력대기</x:v>
      </x:c>
      <x:c r="B2" s="24" t="str">
        <x:v>입력대기</x:v>
      </x:c>
      <x:c r="C2" s="24" t="str"/>
      <x:c r="D2" s="32"/>
      <x:c r="E2" s="24" t="str"/>
      <x:c r="F2" s="30"/>
      <x:c r="G2" s="24" t="str">
        <x:v>입금과 청구를 연결하는 원장</x:v>
      </x:c>
    </x:row>
  </x:sheetData>
  <x:pageMargins left="0.7" right="0.7" top="0.75" bottom="0.75" header="0.3" footer="0.3"/>
  <x:tableParts count="1">
    <x:tablePart xmlns:r="http://schemas.openxmlformats.org/officeDocument/2006/relationships" r:id="R61d673557cc643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1.25" hidden="0" customWidth="1"/>
    <x:col min="3" max="3" width="22.5" hidden="0" customWidth="1"/>
    <x:col min="4" max="4" width="53.75" hidden="0" customWidth="1"/>
    <x:col min="5" max="5" width="22.5" hidden="0" customWidth="1"/>
  </x:cols>
  <x:sheetData>
    <x:row r="1" ht="25.5" customHeight="1">
      <x:c r="A1" s="29" t="str">
        <x:v>법인</x:v>
      </x:c>
      <x:c r="B1" s="29" t="str">
        <x:v>구분</x:v>
      </x:c>
      <x:c r="C1" s="29" t="str">
        <x:v>문서명</x:v>
      </x:c>
      <x:c r="D1" s="29" t="str">
        <x:v>URL</x:v>
      </x:c>
      <x:c r="E1" s="29" t="str">
        <x:v>사용범위</x:v>
      </x:c>
    </x:row>
    <x:row r="2" ht="17.25" customHeight="1">
      <x:c r="A2" s="24" t="str">
        <x:v>스위치플랜</x:v>
      </x:c>
      <x:c r="B2" s="24" t="str">
        <x:v>운영관리</x:v>
      </x:c>
      <x:c r="C2" s="24" t="str">
        <x:v>스위치플랜 운영관리</x:v>
      </x:c>
      <x:c r="D2" s="24" t="str">
        <x:v>https://docs.google.com/spreadsheets/d/1KEKm4j0oQ39Jk-0IgaydeMF_IpW7-_evOfeP_pyBkgM/edit</x:v>
      </x:c>
      <x:c r="E2" s="24" t="str">
        <x:v>자산·계약·수납·계약서</x:v>
      </x:c>
    </x:row>
    <x:row r="3" ht="17.25" customHeight="1">
      <x:c r="A3" s="24" t="str">
        <x:v>스위치플랜</x:v>
      </x:c>
      <x:c r="B3" s="24" t="str">
        <x:v>재무관리</x:v>
      </x:c>
      <x:c r="C3" s="24" t="str">
        <x:v>스위치플랜 재무관리</x:v>
      </x:c>
      <x:c r="D3" s="24" t="str">
        <x:v>https://docs.google.com/spreadsheets/d/1iSe54he4nRIYv5Q7Qo35FrlnXUwHhYCso-GWjR7gALk/edit</x:v>
      </x:c>
      <x:c r="E3" s="24" t="str">
        <x:v>자금일보·세무</x:v>
      </x:c>
    </x:row>
    <x:row r="4" ht="17.25" customHeight="1">
      <x:c r="A4" s="24" t="str">
        <x:v>프라임구독</x:v>
      </x:c>
      <x:c r="B4" s="24" t="str">
        <x:v>운영관리</x:v>
      </x:c>
      <x:c r="C4" s="24" t="str">
        <x:v>프라임구독 운영관리</x:v>
      </x:c>
      <x:c r="D4" s="24" t="str">
        <x:v>https://docs.google.com/spreadsheets/d/13QQTz1W0FlBk5V8lggVw93EhDwIgjFF4mRb2BOiKSPk/edit</x:v>
      </x:c>
      <x:c r="E4" s="24" t="str">
        <x:v>자산·계약·수납·보험·회수</x:v>
      </x:c>
    </x:row>
    <x:row r="5" ht="17.25" customHeight="1">
      <x:c r="A5" s="24" t="str">
        <x:v>스위치플랜</x:v>
      </x:c>
      <x:c r="B5" s="24" t="str">
        <x:v>백데이터</x:v>
      </x:c>
      <x:c r="C5" s="24" t="str">
        <x:v>스위치플랜 백데이터</x:v>
      </x:c>
      <x:c r="D5" s="24" t="str">
        <x:v>https://docs.google.com/spreadsheets/d/17PZxK5TCdqNQDccQWWPdWBwylAu96hPIgGz42Dz5DA0/edit</x:v>
      </x:c>
      <x:c r="E5" s="24" t="str">
        <x:v>문서 원본</x:v>
      </x:c>
    </x:row>
    <x:row r="6" ht="17.25" customHeight="1">
      <x:c r="A6" s="24" t="str">
        <x:v>프라임구독</x:v>
      </x:c>
      <x:c r="B6" s="24" t="str">
        <x:v>백데이터</x:v>
      </x:c>
      <x:c r="C6" s="24" t="str">
        <x:v>프라임구독 백데이터</x:v>
      </x:c>
      <x:c r="D6" s="24" t="str">
        <x:v>https://docs.google.com/spreadsheets/d/18QFWdK4ovXUcEZZGoT4Qb8mcnKYMf8CPqG2iN7J8xFA/edit</x:v>
      </x:c>
      <x:c r="E6" s="24" t="str">
        <x:v>문서 원본</x:v>
      </x:c>
    </x:row>
  </x:sheetData>
  <x:pageMargins left="0.7" right="0.7" top="0.75" bottom="0.75" header="0.3" footer="0.3"/>
  <x:tableParts count="1">
    <x:tablePart xmlns:r="http://schemas.openxmlformats.org/officeDocument/2006/relationships" r:id="R7c4336756886402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</x:cols>
  <x:sheetData>
    <x:row r="1">
      <x:c r="A1" s="6" t="str">
        <x:v>법인</x:v>
      </x:c>
      <x:c r="B1" s="6" t="str">
        <x:v>운행상태</x:v>
      </x:c>
      <x:c r="C1" s="6" t="str">
        <x:v>업무상태</x:v>
      </x:c>
      <x:c r="D1" s="6" t="str">
        <x:v>우선순위</x:v>
      </x:c>
      <x:c r="E1" s="6" t="str">
        <x:v>회수승인</x:v>
      </x:c>
      <x:c r="F1" s="6" t="str">
        <x:v>결제수단</x:v>
      </x:c>
      <x:c r="G1" s="6" t="str">
        <x:v>입금확인</x:v>
      </x:c>
      <x:c r="H1" s="6" t="str">
        <x:v>이벤트유형</x:v>
      </x:c>
    </x:row>
    <x:row r="2">
      <x:c r="A2" s="23" t="str">
        <x:v>스위치플랜</x:v>
      </x:c>
      <x:c r="B2" s="23" t="str">
        <x:v>대여중</x:v>
      </x:c>
      <x:c r="C2" s="23" t="str">
        <x:v>대기</x:v>
      </x:c>
      <x:c r="D2" s="23" t="str">
        <x:v>긴급</x:v>
      </x:c>
      <x:c r="E2" s="23" t="str">
        <x:v>검토전</x:v>
      </x:c>
      <x:c r="F2" s="23" t="str">
        <x:v>계좌이체</x:v>
      </x:c>
      <x:c r="G2" s="23" t="str">
        <x:v>미분류</x:v>
      </x:c>
      <x:c r="H2" s="23" t="str">
        <x:v>계약시작</x:v>
      </x:c>
    </x:row>
    <x:row r="3">
      <x:c r="A3" s="23" t="str">
        <x:v>프라임구독</x:v>
      </x:c>
      <x:c r="B3" s="23" t="str">
        <x:v>쉬는차</x:v>
      </x:c>
      <x:c r="C3" s="23" t="str">
        <x:v>진행중</x:v>
      </x:c>
      <x:c r="D3" s="23" t="str">
        <x:v>높음</x:v>
      </x:c>
      <x:c r="E3" s="23" t="str">
        <x:v>승인대기</x:v>
      </x:c>
      <x:c r="F3" s="23" t="str">
        <x:v>CMS</x:v>
      </x:c>
      <x:c r="G3" s="23" t="str">
        <x:v>부분배분</x:v>
      </x:c>
      <x:c r="H3" s="23" t="str">
        <x:v>계약변경</x:v>
      </x:c>
    </x:row>
    <x:row r="4">
      <x:c r="A4" s="23"/>
      <x:c r="B4" s="23" t="str">
        <x:v>상품화중</x:v>
      </x:c>
      <x:c r="C4" s="23" t="str">
        <x:v>보류</x:v>
      </x:c>
      <x:c r="D4" s="23" t="str">
        <x:v>보통</x:v>
      </x:c>
      <x:c r="E4" s="23" t="str">
        <x:v>승인</x:v>
      </x:c>
      <x:c r="F4" s="23" t="str">
        <x:v>카드</x:v>
      </x:c>
      <x:c r="G4" s="23" t="str">
        <x:v>배분완료</x:v>
      </x:c>
      <x:c r="H4" s="23" t="str">
        <x:v>수납</x:v>
      </x:c>
    </x:row>
    <x:row r="5">
      <x:c r="A5" s="23"/>
      <x:c r="B5" s="23" t="str">
        <x:v>정비중</x:v>
      </x:c>
      <x:c r="C5" s="23" t="str">
        <x:v>완료</x:v>
      </x:c>
      <x:c r="D5" s="23" t="str">
        <x:v>낮음</x:v>
      </x:c>
      <x:c r="E5" s="23" t="str">
        <x:v>보류</x:v>
      </x:c>
      <x:c r="F5" s="23" t="str">
        <x:v>현금</x:v>
      </x:c>
      <x:c r="G5" s="23" t="str">
        <x:v>보류</x:v>
      </x:c>
      <x:c r="H5" s="23" t="str">
        <x:v>미수</x:v>
      </x:c>
    </x:row>
    <x:row r="6">
      <x:c r="A6" s="23"/>
      <x:c r="B6" s="23" t="str">
        <x:v>회수중</x:v>
      </x:c>
      <x:c r="C6" s="23"/>
      <x:c r="D6" s="23"/>
      <x:c r="E6" s="23" t="str">
        <x:v>종결</x:v>
      </x:c>
      <x:c r="F6" s="23" t="str">
        <x:v>상계</x:v>
      </x:c>
      <x:c r="G6" s="23"/>
      <x:c r="H6" s="23" t="str">
        <x:v>독촉</x:v>
      </x:c>
    </x:row>
    <x:row r="7">
      <x:c r="A7" s="23"/>
      <x:c r="B7" s="23" t="str">
        <x:v>내부용</x:v>
      </x:c>
      <x:c r="C7" s="23"/>
      <x:c r="D7" s="23"/>
      <x:c r="E7" s="23"/>
      <x:c r="F7" s="23" t="str">
        <x:v>기타</x:v>
      </x:c>
      <x:c r="G7" s="23"/>
      <x:c r="H7" s="23" t="str">
        <x:v>회수</x:v>
      </x:c>
    </x:row>
    <x:row r="8">
      <x:c r="A8" s="23"/>
      <x:c r="B8" s="23" t="str">
        <x:v>확인필요</x:v>
      </x:c>
      <x:c r="C8" s="23"/>
      <x:c r="D8" s="23"/>
      <x:c r="E8" s="23"/>
      <x:c r="F8" s="23"/>
      <x:c r="G8" s="23"/>
      <x:c r="H8" s="23" t="str">
        <x:v>반납</x:v>
      </x:c>
    </x:row>
    <x:row r="9">
      <x:c r="A9" s="23"/>
      <x:c r="B9" s="23"/>
      <x:c r="C9" s="23"/>
      <x:c r="D9" s="23"/>
      <x:c r="E9" s="23"/>
      <x:c r="F9" s="23"/>
      <x:c r="G9" s="23"/>
      <x:c r="H9" s="23" t="str">
        <x:v>정비</x:v>
      </x:c>
    </x:row>
    <x:row r="10">
      <x:c r="A10" s="23"/>
      <x:c r="B10" s="23"/>
      <x:c r="C10" s="23"/>
      <x:c r="D10" s="23"/>
      <x:c r="E10" s="23"/>
      <x:c r="F10" s="23"/>
      <x:c r="G10" s="23"/>
      <x:c r="H10" s="23" t="str">
        <x:v>사고</x:v>
      </x:c>
    </x:row>
    <x:row r="11">
      <x:c r="A11" s="23"/>
      <x:c r="B11" s="23"/>
      <x:c r="C11" s="23"/>
      <x:c r="D11" s="23"/>
      <x:c r="E11" s="23"/>
      <x:c r="F11" s="23"/>
      <x:c r="G11" s="23"/>
      <x:c r="H11" s="23" t="str">
        <x:v>보험변경</x:v>
      </x:c>
    </x:row>
    <x:row r="12">
      <x:c r="A12" s="23"/>
      <x:c r="B12" s="23"/>
      <x:c r="C12" s="23"/>
      <x:c r="D12" s="23"/>
      <x:c r="E12" s="23"/>
      <x:c r="F12" s="23"/>
      <x:c r="G12" s="23"/>
      <x:c r="H12" s="23" t="str">
        <x:v>과태료</x:v>
      </x:c>
    </x:row>
    <x:row r="13">
      <x:c r="A13" s="23"/>
      <x:c r="B13" s="23"/>
      <x:c r="C13" s="23"/>
      <x:c r="D13" s="23"/>
      <x:c r="E13" s="23"/>
      <x:c r="F13" s="23"/>
      <x:c r="G13" s="23"/>
      <x:c r="H13" s="23" t="str">
        <x:v>상품화</x:v>
      </x:c>
    </x:row>
    <x:row r="14">
      <x:c r="A14" s="23"/>
      <x:c r="B14" s="23"/>
      <x:c r="C14" s="23"/>
      <x:c r="D14" s="23"/>
      <x:c r="E14" s="23"/>
      <x:c r="F14" s="23"/>
      <x:c r="G14" s="23"/>
      <x:c r="H14" s="23" t="str">
        <x:v>매각</x:v>
      </x:c>
    </x:row>
    <x:row r="15">
      <x:c r="A15" s="23"/>
      <x:c r="B15" s="23"/>
      <x:c r="C15" s="23"/>
      <x:c r="D15" s="23"/>
      <x:c r="E15" s="23"/>
      <x:c r="F15" s="23"/>
      <x:c r="G15" s="23"/>
      <x:c r="H15" s="23" t="str">
        <x:v>폐차</x:v>
      </x:c>
    </x:row>
    <x:row r="16">
      <x:c r="A16" s="23"/>
      <x:c r="B16" s="23"/>
      <x:c r="C16" s="23"/>
      <x:c r="D16" s="23"/>
      <x:c r="E16" s="23"/>
      <x:c r="F16" s="23"/>
      <x:c r="G16" s="23"/>
      <x:c r="H16" s="23" t="str">
        <x:v>메모</x:v>
      </x:c>
    </x:row>
  </x:sheetData>
  <x:pageMargins left="0.7" right="0.7" top="0.75" bottom="0.75" header="0.3" footer="0.3"/>
</x:worksheet>
</file>